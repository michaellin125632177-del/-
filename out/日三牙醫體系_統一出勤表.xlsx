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設定" sheetId="2" state="visible" r:id="rId2"/>
    <sheet name="醫師週班表" sheetId="3" state="visible" r:id="rId3"/>
    <sheet name="醫師班表" sheetId="4" state="visible" r:id="rId4"/>
    <sheet name="醫師月結" sheetId="5" state="visible" r:id="rId5"/>
    <sheet name="醫護長與管理部班表" sheetId="6" state="visible" r:id="rId6"/>
    <sheet name="打卡匯入" sheetId="7" state="visible" r:id="rId7"/>
    <sheet name="出勤紀錄" sheetId="8" state="visible" r:id="rId8"/>
    <sheet name="月結統計" sheetId="9" state="visible" r:id="rId9"/>
  </sheets>
  <definedNames>
    <definedName name="_xlnm._FilterDatabase" localSheetId="6" hidden="1">'打卡匯入'!$A$2:$F$502</definedName>
    <definedName name="_xlnm._FilterDatabase" localSheetId="7" hidden="1">'出勤紀錄'!$A$2:$S$374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hh:mm"/>
    <numFmt numFmtId="165" formatCode="0.0"/>
    <numFmt numFmtId="166" formatCode="yyyy-mm-dd"/>
    <numFmt numFmtId="167" formatCode="yyyy/m/d"/>
    <numFmt numFmtId="168" formatCode="0;-0;&quot;–&quot;"/>
    <numFmt numFmtId="169" formatCode="0.00;-0.00;&quot;–&quot;"/>
  </numFmts>
  <fonts count="14">
    <font>
      <name val="Calibri"/>
      <family val="2"/>
      <color theme="1"/>
      <sz val="11"/>
      <scheme val="minor"/>
    </font>
    <font>
      <name val="微軟正黑體"/>
      <b val="1"/>
      <color rgb="00000000"/>
      <sz val="16"/>
    </font>
    <font>
      <name val="微軟正黑體"/>
      <b val="1"/>
      <color rgb="00000000"/>
      <sz val="10"/>
    </font>
    <font>
      <name val="微軟正黑體"/>
      <color rgb="00000000"/>
      <sz val="10"/>
    </font>
    <font>
      <name val="微軟正黑體"/>
      <color rgb="00808080"/>
      <sz val="9"/>
    </font>
    <font>
      <name val="微軟正黑體"/>
      <b val="1"/>
      <color rgb="00000000"/>
      <sz val="11"/>
    </font>
    <font>
      <name val="微軟正黑體"/>
      <b val="1"/>
      <color rgb="00FFFFFF"/>
      <sz val="10"/>
    </font>
    <font>
      <name val="微軟正黑體"/>
      <color rgb="00A8433C"/>
      <sz val="9"/>
    </font>
    <font>
      <name val="微軟正黑體"/>
      <color rgb="00000000"/>
      <sz val="9"/>
    </font>
    <font>
      <name val="微軟正黑體"/>
      <b val="1"/>
      <color rgb="00000000"/>
      <sz val="9"/>
    </font>
    <font>
      <name val="微軟正黑體"/>
      <color rgb="00000000"/>
      <sz val="8"/>
    </font>
    <font>
      <name val="微軟正黑體"/>
      <b val="1"/>
      <color rgb="00FFFFFF"/>
      <sz val="8"/>
    </font>
    <font>
      <name val="微軟正黑體"/>
      <b val="1"/>
      <color rgb="00000000"/>
      <sz val="8"/>
    </font>
    <font>
      <name val="微軟正黑體"/>
      <color rgb="00BBBBBB"/>
      <sz val="8"/>
    </font>
  </fonts>
  <fills count="12">
    <fill>
      <patternFill/>
    </fill>
    <fill>
      <patternFill patternType="gray125"/>
    </fill>
    <fill>
      <patternFill patternType="solid">
        <fgColor rgb="FFDCE6EC"/>
        <bgColor rgb="FFDCE6EC"/>
      </patternFill>
    </fill>
    <fill>
      <patternFill patternType="solid">
        <fgColor rgb="FFFFF2CC"/>
        <bgColor rgb="FFFFF2CC"/>
      </patternFill>
    </fill>
    <fill>
      <patternFill patternType="solid">
        <fgColor rgb="FF1F4E5F"/>
        <bgColor rgb="FF1F4E5F"/>
      </patternFill>
    </fill>
    <fill>
      <patternFill patternType="solid">
        <fgColor rgb="FFD9D9D9"/>
        <bgColor rgb="FFD9D9D9"/>
      </patternFill>
    </fill>
    <fill>
      <patternFill patternType="solid">
        <fgColor rgb="FFFBE3EC"/>
        <bgColor rgb="FFFBE3EC"/>
      </patternFill>
    </fill>
    <fill>
      <patternFill patternType="solid">
        <fgColor rgb="FFD9E7F5"/>
        <bgColor rgb="FFD9E7F5"/>
      </patternFill>
    </fill>
    <fill>
      <patternFill patternType="solid">
        <fgColor rgb="FFDCEEDC"/>
        <bgColor rgb="FFDCEEDC"/>
      </patternFill>
    </fill>
    <fill>
      <patternFill patternType="solid">
        <fgColor rgb="FFE8DFF2"/>
        <bgColor rgb="FFE8DFF2"/>
      </patternFill>
    </fill>
    <fill>
      <patternFill patternType="solid">
        <fgColor rgb="FFFAE8A0"/>
        <bgColor rgb="FFFAE8A0"/>
      </patternFill>
    </fill>
    <fill>
      <patternFill patternType="solid">
        <fgColor rgb="FFF2F2F2"/>
        <bgColor rgb="FFF2F2F2"/>
      </patternFill>
    </fill>
  </fills>
  <borders count="10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/>
      <top style="thin">
        <color rgb="00AAAAAA"/>
      </top>
      <bottom style="thin">
        <color rgb="00AAAAAA"/>
      </bottom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 style="thin">
        <color rgb="00AAAAAA"/>
      </left>
      <right/>
      <top/>
      <bottom/>
      <diagonal/>
    </border>
    <border>
      <left style="thin">
        <color rgb="00AAAAAA"/>
      </left>
      <right style="thin">
        <color rgb="00AAAAAA"/>
      </right>
      <top/>
      <bottom/>
      <diagonal/>
    </border>
    <border>
      <left style="thin">
        <color rgb="00AAAAAA"/>
      </left>
      <right style="thin">
        <color rgb="00AAAAAA"/>
      </right>
      <top/>
      <bottom style="thin">
        <color rgb="00AAAAAA"/>
      </bottom>
      <diagonal/>
    </border>
    <border>
      <left style="medium">
        <color rgb="007F7F7F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center" vertical="center"/>
    </xf>
    <xf numFmtId="167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164" fontId="3" fillId="5" borderId="1" applyAlignment="1" pivotButton="0" quotePrefix="0" xfId="0">
      <alignment horizontal="center" vertical="center"/>
    </xf>
    <xf numFmtId="165" fontId="3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167" fontId="2" fillId="3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8" pivotButton="0" quotePrefix="0" xfId="0"/>
    <xf numFmtId="0" fontId="10" fillId="2" borderId="9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2" fillId="0" borderId="9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12" fillId="9" borderId="9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2" fillId="6" borderId="9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2" fillId="7" borderId="1" applyAlignment="1" pivotButton="0" quotePrefix="0" xfId="0">
      <alignment horizontal="center" vertical="center"/>
    </xf>
    <xf numFmtId="0" fontId="12" fillId="7" borderId="9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2" fillId="10" borderId="9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0" fillId="0" borderId="7" pivotButton="0" quotePrefix="0" xfId="0"/>
    <xf numFmtId="0" fontId="12" fillId="2" borderId="9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left" vertical="center"/>
    </xf>
    <xf numFmtId="0" fontId="9" fillId="0" borderId="9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3" fillId="0" borderId="0" pivotButton="0" quotePrefix="0" xfId="0"/>
    <xf numFmtId="0" fontId="9" fillId="6" borderId="1" applyAlignment="1" pivotButton="0" quotePrefix="0" xfId="0">
      <alignment horizontal="center" vertical="center"/>
    </xf>
    <xf numFmtId="168" fontId="12" fillId="11" borderId="9" applyAlignment="1" pivotButton="0" quotePrefix="0" xfId="0">
      <alignment horizontal="center" vertical="center"/>
    </xf>
    <xf numFmtId="168" fontId="12" fillId="11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168" fontId="9" fillId="11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top" wrapText="1"/>
    </xf>
    <xf numFmtId="164" fontId="8" fillId="3" borderId="1" applyAlignment="1" pivotButton="0" quotePrefix="0" xfId="0">
      <alignment horizontal="center" vertical="center"/>
    </xf>
    <xf numFmtId="167" fontId="8" fillId="11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168" fontId="8" fillId="11" borderId="1" applyAlignment="1" pivotButton="0" quotePrefix="0" xfId="0">
      <alignment horizontal="center" vertical="center"/>
    </xf>
    <xf numFmtId="169" fontId="8" fillId="11" borderId="1" applyAlignment="1" pivotButton="0" quotePrefix="0" xfId="0">
      <alignment horizontal="center" vertical="center"/>
    </xf>
    <xf numFmtId="165" fontId="8" fillId="11" borderId="1" applyAlignment="1" pivotButton="0" quotePrefix="0" xfId="0">
      <alignment horizontal="center" vertical="center"/>
    </xf>
    <xf numFmtId="165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</cellXfs>
  <cellStyles count="1">
    <cellStyle name="Normal" xfId="0" builtinId="0" hidden="0"/>
  </cellStyles>
  <dxfs count="12">
    <dxf>
      <fill>
        <patternFill patternType="solid">
          <fgColor rgb="FFFBE3EC"/>
          <bgColor rgb="FFFBE3EC"/>
        </patternFill>
      </fill>
    </dxf>
    <dxf>
      <fill>
        <patternFill patternType="solid">
          <fgColor rgb="FFD9E7F5"/>
          <bgColor rgb="FFD9E7F5"/>
        </patternFill>
      </fill>
    </dxf>
    <dxf>
      <fill>
        <patternFill patternType="solid">
          <fgColor rgb="FFDCEEDC"/>
          <bgColor rgb="FFDCEEDC"/>
        </patternFill>
      </fill>
    </dxf>
    <dxf>
      <fill>
        <patternFill patternType="solid">
          <fgColor rgb="FFE8DFF2"/>
          <bgColor rgb="FFE8DFF2"/>
        </patternFill>
      </fill>
    </dxf>
    <dxf>
      <fill>
        <patternFill patternType="solid">
          <fgColor rgb="FFFAE8A0"/>
          <bgColor rgb="FFFAE8A0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DEBF7"/>
          <bgColor rgb="FFDDEBF7"/>
        </patternFill>
      </fill>
    </dxf>
    <dxf>
      <border>
        <left style="medium">
          <color rgb="00C00000"/>
        </left>
        <right style="medium">
          <color rgb="00C00000"/>
        </right>
        <top style="medium">
          <color rgb="00C00000"/>
        </top>
        <bottom style="medium">
          <color rgb="00C00000"/>
        </bottom>
      </border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CE4E4"/>
          <bgColor rgb="FFFCE4E4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CE4D6"/>
          <bgColor rgb="FF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06" customWidth="1" min="3" max="3"/>
  </cols>
  <sheetData>
    <row r="2">
      <c r="B2" s="1" t="inlineStr">
        <is>
          <t>日三牙醫體系 — 統一出勤表 使用說明</t>
        </is>
      </c>
    </row>
    <row r="4" ht="53" customHeight="1">
      <c r="B4" s="2" t="inlineStr">
        <is>
          <t>為什麼是一個檔</t>
        </is>
      </c>
      <c r="C4" s="3" t="inlineStr">
        <is>
          <t>體系 27 位醫師裡有 18 位跨院看診,林智俊院長一個人就跑四間。
若一間院所一個檔,排他一個月要開四個檔,而且沒有任何機制擋得住「同一個早診
同時被排在晶悅和晶睿」。所以全體系共用這一個檔。</t>
        </is>
      </c>
    </row>
    <row r="5" ht="83" customHeight="1">
      <c r="B5" s="2" t="inlineStr">
        <is>
          <t>醫師與工時制人員為什麼分開排</t>
        </is>
      </c>
      <c r="C5" s="3" t="inlineStr">
        <is>
          <t>醫師的一天是「幾個診次」,醫護長與管理部的一天是「幾個小時」,兩者不能塞進同一種格子。
醫師 → 醫師班表:一人一列,橫向 31 天 × 早/午/晚,格內填院所代碼(悅睿匯曜寶)。
   一格只容得下一間院所,衝堂在結構上就不可能發生。
醫護長 → 醫護長與管理部班表:一人一列,橫向 31 天,格內填班別代碼(早/午/晚/早午/OFF/特…)。
本表目前不含助理。</t>
        </is>
      </c>
    </row>
    <row r="6" ht="83" customHeight="1">
      <c r="B6" s="2" t="inlineStr">
        <is>
          <t>九個分頁怎麼分工</t>
        </is>
      </c>
      <c r="C6" s="3" t="inlineStr">
        <is>
          <t>① 說明 ② 設定 — 總部維護,各院所勿動。
③ 醫師週班表 — 官網門診表的固定週輪值,是排月班的母表。
④ 醫師班表 ⑤ 醫師月結 — 本月實際診次,由週班表自動展開。
⑥ 醫護長與管理部班表 — 各院所醫護長填自己那一列。
⑦ 打卡匯入 ⑧ 出勤紀錄 ⑨ 月結統計 — 醫護長與管理部的法定出勤與月結。</t>
        </is>
      </c>
    </row>
    <row r="7" ht="68" customHeight="1">
      <c r="B7" s="2" t="inlineStr">
        <is>
          <t>週班表與月班表的關係</t>
        </is>
      </c>
      <c r="C7" s="3" t="inlineStr">
        <is>
          <t>門診表是固定的每週輪值,所以月班表不必一格一格填——「醫師班表」已經照
「醫師週班表」把整個月展開好了,直接改例外即可(請假就把該格改成假別代碼)。
⚠ 改「設定」的本期年月只會更新日期與星期列,格子裡的班不會重排。換月份時
   請告知重新產生,或自行把上個月的格子整段調整。</t>
        </is>
      </c>
    </row>
    <row r="8" ht="68" customHeight="1">
      <c r="B8" s="2" t="inlineStr">
        <is>
          <t>各院所診次時間不一樣</t>
        </is>
      </c>
      <c r="C8" s="3" t="inlineStr">
        <is>
          <t>晶悅/晶睿/晶匯/晶曜:早 09:00~11:30、午 14:00~16:30、晚 18:00~20:30。
寶貝牙:早 09:00~14:00、午 14:00~17:00、晚 17:30~21:00,且週一至週五早診休診。
五間院所週日全休、週六晚診全休。醫師班表的早/午/晚只是時段代號,
實際幾點到幾點依「設定」院所清單裡該院所的定義。開診時段表也在那裡。</t>
        </is>
      </c>
    </row>
    <row r="9" ht="53" customHeight="1">
      <c r="B9" s="2" t="inlineStr">
        <is>
          <t>每月作業流程</t>
        </is>
      </c>
      <c r="C9" s="3" t="inlineStr">
        <is>
          <t>上月底:總部排醫師班表 → 看底下五列「各院所每診次醫師數」有沒有 0 → 發給各院所。
     各院所醫護長與管理部排自己那一列 → 檢查人力檢核列 → 交回。
當月底:打卡機匯出檔貼進「打卡匯入」→ 到「出勤紀錄」處理異常 → 月結送人資。</t>
        </is>
      </c>
    </row>
    <row r="10" ht="83" customHeight="1">
      <c r="B10" s="2" t="inlineStr">
        <is>
          <t>醫師班表怎麼填</t>
        </is>
      </c>
      <c r="C10" s="3" t="inlineStr">
        <is>
          <t>每一天有三格:早診、午診、晚診。格內填院所代碼,空白代表該診次沒排班。
  悅 = 晶悅   睿 = 晶睿   匯 = 晶匯   曜 = 晶曜   寶 = 寶貝牙
請假也是填在診次格裡(特/病/事/公/國/OFF/休),因為醫師請假常常只請半天。
所以醫師的月結一律以「診次」為單位,不是天數——請假 3 個診次就是請一天。
五種院所代碼各有底色,一位醫師整月在五間之間怎麼跑,橫著看一列就知道。</t>
        </is>
      </c>
    </row>
    <row r="11" ht="188" customHeight="1">
      <c r="B11" s="2" t="inlineStr">
        <is>
          <t>改班表哪裡會跟著變</t>
        </is>
      </c>
      <c r="C11" s="3" t="inlineStr">
        <is>
          <t>資料是這樣流的,兩邊改都會立刻反映到月結:
  醫師週班表 →(公式)→ 醫師班表 →(公式)→ 醫師月結
① 改「醫師週班表」= 改固定門診(某位醫師從此改成週三晚診)。
   醫師班表整個月的對應格子會立刻跟著變,月結也立刻變。
② 直接改「醫師班表」的格子 = 這個月的單次例外(某天請假、臨時調班)。
   月結一樣立刻變。
⚠ 但②有個副作用:你打字覆蓋的那一格,原本的公式就沒了,
   從此不再跟著週班表走。那種格子會自動加上紅色外框提醒你。
   要讓它恢復連動,從左右鄰近沒被改過的格子複製一格貼回來即可。
   (旁邊的格子公式一樣,貼過來會自動對應到正確的日期與診次。)</t>
        </is>
      </c>
    </row>
    <row r="12" ht="128" customHeight="1">
      <c r="B12" s="2" t="inlineStr">
        <is>
          <t>醫師週班表的標記怎麼看</t>
        </is>
      </c>
      <c r="C12" s="3" t="inlineStr">
        <is>
          <t>週班表是母表,要表示「這一週在 A 院、下一週在 B 院」,所以比醫師班表多幾種寫法:
  悅        每週固定在晶悅
  悅(隔)    隔週在晶悅(單數週有、雙數週沒有)
  悅/睿     兩間輪替——斜線前是單數週、斜線後是雙數週,全表共四組
  寶(不定)  官網註明非每週固定,需向院所確認
  悅(註)    有附加條件,寫在該列最右邊的附註欄
完整對照表在「設定」分頁的「二之二、醫師週班表的標記」。
醫師班表(月班表)不用這些標記,一格就是一個單純的代碼。</t>
        </is>
      </c>
    </row>
    <row r="13" ht="68" customHeight="1">
      <c r="B13" s="2" t="inlineStr">
        <is>
          <t>出勤紀錄怎麼看</t>
        </is>
      </c>
      <c r="C13" s="3" t="inlineStr">
        <is>
          <t>一人一天一列,自動把醫護長與管理部班表與打卡對起來,判定五種狀態:
正常、遲到、早退、未打卡、假日出勤。紅底 = 需處理;橘底 = 當天有加班。
用上方篩選鈕只看非「正常」的最快。沒有打卡機的院所,可把「實際上班/下班」
兩欄公式刪掉改成手填,其餘照算。</t>
        </is>
      </c>
    </row>
    <row r="14" ht="68" customHeight="1">
      <c r="B14" s="2" t="inlineStr">
        <is>
          <t>加班怎麼認定</t>
        </is>
      </c>
      <c r="C14" s="3" t="inlineStr">
        <is>
          <t>超過排班工時的分鐘數要跨過門檻(預設 30 分)才算加班,並無條件捨去到計算
單位(預設 30 分)。否則每天晚幾分鐘打卡都會被算成加班,一個月會憑空多出
好幾小時。遲到早退另有寬限(預設 5 分)。三個參數在「設定」的計算參數區。
這三個數字是勞資慣例、不是法規,上線前請人資確認,並讓同仁事先知道規則。</t>
        </is>
      </c>
    </row>
    <row r="15" ht="53" customHeight="1">
      <c r="B15" s="2" t="inlineStr">
        <is>
          <t>兩種下拉箭頭不一樣</t>
        </is>
      </c>
      <c r="C15" s="3" t="inlineStr">
        <is>
          <t>標題列上的箭頭是「篩選鈕」,用來隱藏或顯示列,不是拿來選資料的。
要選員工編號或班別代碼,請點「資料列」的格子——游標移上去右邊才會出現選單箭頭。
沒排班或沒打卡的格子本來就是空的,篩選鈕點開看到「(空格)」是正常的。</t>
        </is>
      </c>
    </row>
    <row r="16" ht="83" customHeight="1">
      <c r="B16" s="2" t="inlineStr">
        <is>
          <t>如果有些格子是空白的</t>
        </is>
      </c>
      <c r="C16" s="3" t="inlineStr">
        <is>
          <t>姓名、專科、日期、星期都是實際文字,任何檢視器都看得到。
但統計類的格子(醫師月結的診次數、班表底下的人力檢核、出勤紀錄、月結統計)是公式,
在不會重算公式的檢視器裡會顯示空白——手機預覽、雲端硬碟預覽、部分看圖工具都是這樣。
用 Excel 或 Google 試算表正式開啟就會算出來;若仍空白,按 Ctrl+Alt+F9 強制重算。
這些欄位不能寫死成固定數字,否則你改了班表,統計不會跟著變。</t>
        </is>
      </c>
    </row>
    <row r="17" ht="68" customHeight="1">
      <c r="B17" s="2" t="inlineStr">
        <is>
          <t>顏色代表什麼</t>
        </is>
      </c>
      <c r="C17" s="3" t="inlineStr">
        <is>
          <t>黃底 = 你要填的格子        灰底 = 公式自動算,別動
淺藍欄 = 週六/週日          灰色格 = 休假類代碼
五種院所底色 = 醫師該診次在哪一間
紅色 = 人力不足或出勤異常    橘色 = 有加班</t>
        </is>
      </c>
    </row>
    <row r="18" ht="68" customHeight="1">
      <c r="B18" s="2" t="inlineStr">
        <is>
          <t>⚠ 法規提醒</t>
        </is>
      </c>
      <c r="C18" s="3" t="inlineStr">
        <is>
          <t>依勞動基準法第 30 條,雇主應置備勞工出勤紀錄,逐日記載至分鐘為止,保存 5 年。
「出勤紀錄」分頁為此設計,但必須每月另存唯讀封存檔才算數,不要只留一份覆蓋。
加班時數為「實際工時 − 排班工時」,未依第 24 條換算費率,薪資須另行計算。
受僱醫師是否適用勞基法依僱傭契約與主管機關認定,建議請人資確認後再定義醫師工時。</t>
        </is>
      </c>
    </row>
    <row r="19" ht="113" customHeight="1">
      <c r="B19" s="2" t="inlineStr">
        <is>
          <t>⚠ 需要核對的三件事</t>
        </is>
      </c>
      <c r="C19" s="3" t="inlineStr">
        <is>
          <t>一、門診表是從截圖轉錄的,姓名與隔週標記請逐格核對「醫師週班表」。
   若能提供五個門診表頁面的網頁存檔,可以完全免除轉錄誤差。
二、陳爵安、吳冠廷、楊孟庭三位只出現在門診表,官網醫療團隊頁的名單沒有,
   已暫編 D025~D027,英文名與專科待補。
三、隔週互換有四組(劉立德週三、朱柏非週六、王泳泉週一、陳昺元週六),
   同一時段在兩間院所輪替。目前假設第 1、3、5 個該星期幾在前一間,
   第 2、4 個在後一間——哪一週在哪一間無從得知,務必確認。</t>
        </is>
      </c>
    </row>
    <row r="20" ht="83" customHeight="1">
      <c r="B20" s="2" t="inlineStr">
        <is>
          <t>目前待補的資料</t>
        </is>
      </c>
      <c r="C20" s="3" t="inlineStr">
        <is>
          <t>一、醫護長與管理部的到職日尚未提供——特休天數依年資給,沒有到職日算不出特休餘額。
二、本表目前不含助理。日後要納入,在「設定」人員名冊加人、並把醫護長與管理部班表的
   列數調大即可,班別代碼與公式都不用改。
三、員工編號目前為暫編 D001~D027,若人事或打卡系統另有編號應以那套為準。
四、官網門診表有星號註記者(並非每週固定)需逐一向院所確認。</t>
        </is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R20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8" customWidth="1" min="3" max="3"/>
    <col width="9" customWidth="1" min="4" max="4"/>
    <col width="11" customWidth="1" min="5" max="5"/>
    <col width="10" customWidth="1" min="6" max="6"/>
    <col width="11" customWidth="1" min="7" max="7"/>
    <col width="8" customWidth="1" min="8" max="8"/>
    <col width="9" customWidth="1" min="9" max="9"/>
    <col width="9" customWidth="1" min="10" max="10"/>
    <col width="2" customWidth="1" min="11" max="11"/>
    <col width="12" customWidth="1" min="12" max="12"/>
    <col width="2" customWidth="1" min="13" max="13"/>
    <col width="9" customWidth="1" min="14" max="14"/>
    <col width="8" customWidth="1" min="15" max="15"/>
    <col width="2" customWidth="1" min="16" max="16"/>
    <col width="13" customWidth="1" min="17" max="17"/>
    <col width="2" customWidth="1" min="18" max="18"/>
    <col width="16" customWidth="1" min="19" max="19"/>
    <col width="2" customWidth="1" min="20" max="20"/>
    <col width="14" customWidth="1" min="23" max="23"/>
    <col width="26" customWidth="1" min="24" max="24"/>
    <col width="8" customWidth="1" min="25" max="25"/>
    <col width="16" customWidth="1" min="42" max="42"/>
  </cols>
  <sheetData>
    <row r="1">
      <c r="B1" s="1" t="inlineStr">
        <is>
          <t>設定表(總部維護,各院所請勿修改)</t>
        </is>
      </c>
    </row>
    <row r="2">
      <c r="B2" s="4" t="inlineStr">
        <is>
          <t>本期年月</t>
        </is>
      </c>
      <c r="C2" s="5" t="n">
        <v>2026</v>
      </c>
      <c r="D2" s="5" t="n">
        <v>10</v>
      </c>
      <c r="E2" s="6" t="inlineStr">
        <is>
          <t>← 整份檔案的日期、星期都以這裡為準</t>
        </is>
      </c>
    </row>
    <row r="4">
      <c r="B4" s="7" t="inlineStr">
        <is>
          <t>一、班別代碼(工時制:醫護長、管理部共用)</t>
        </is>
      </c>
      <c r="W4" s="2" t="inlineStr">
        <is>
          <t>六、2026 年國定假日(全院休診,班表自動填「國」)</t>
        </is>
      </c>
      <c r="X4" s="8" t="n"/>
      <c r="Y4" s="9" t="n"/>
    </row>
    <row r="5">
      <c r="B5" s="10" t="inlineStr">
        <is>
          <t>代碼</t>
        </is>
      </c>
      <c r="C5" s="10" t="inlineStr">
        <is>
          <t>名稱</t>
        </is>
      </c>
      <c r="D5" s="10" t="inlineStr">
        <is>
          <t>應到</t>
        </is>
      </c>
      <c r="E5" s="10" t="inlineStr">
        <is>
          <t>應退</t>
        </is>
      </c>
      <c r="F5" s="10" t="inlineStr">
        <is>
          <t>休息(分)</t>
        </is>
      </c>
      <c r="G5" s="10" t="inlineStr">
        <is>
          <t>排班工時</t>
        </is>
      </c>
      <c r="H5" s="10" t="inlineStr">
        <is>
          <t>計出勤</t>
        </is>
      </c>
      <c r="I5" s="10" t="inlineStr">
        <is>
          <t>類別</t>
        </is>
      </c>
      <c r="N5" s="11" t="inlineStr">
        <is>
          <t>星期對照</t>
        </is>
      </c>
      <c r="O5" s="11" t="inlineStr"/>
      <c r="Q5" s="11" t="inlineStr">
        <is>
          <t>醫師編號(下拉用)</t>
        </is>
      </c>
      <c r="S5" s="11" t="inlineStr">
        <is>
          <t>工時制人員編號(下拉用)</t>
        </is>
      </c>
      <c r="W5" s="10" t="inlineStr">
        <is>
          <t>日期</t>
        </is>
      </c>
      <c r="X5" s="10" t="inlineStr">
        <is>
          <t>名稱</t>
        </is>
      </c>
      <c r="Y5" s="10" t="inlineStr">
        <is>
          <t>類別</t>
        </is>
      </c>
      <c r="AP5" s="11" t="inlineStr">
        <is>
          <t>醫師週班表下拉選單來源(自動產生,勿刪)</t>
        </is>
      </c>
      <c r="AQ5" s="8" t="n"/>
      <c r="AR5" s="9" t="n"/>
    </row>
    <row r="6">
      <c r="B6" s="12" t="inlineStr">
        <is>
          <t>早</t>
        </is>
      </c>
      <c r="C6" s="13" t="inlineStr">
        <is>
          <t>早班</t>
        </is>
      </c>
      <c r="D6" s="14" t="n">
        <v>0.375</v>
      </c>
      <c r="E6" s="14" t="n">
        <v>0.5</v>
      </c>
      <c r="F6" s="12" t="n">
        <v>0</v>
      </c>
      <c r="G6" s="15" t="n">
        <v>3</v>
      </c>
      <c r="H6" s="12" t="n">
        <v>1</v>
      </c>
      <c r="I6" s="12" t="inlineStr">
        <is>
          <t>上班</t>
        </is>
      </c>
      <c r="N6" s="16" t="n">
        <v>1</v>
      </c>
      <c r="O6" s="16" t="inlineStr">
        <is>
          <t>日</t>
        </is>
      </c>
      <c r="Q6" s="16" t="inlineStr">
        <is>
          <t>D001</t>
        </is>
      </c>
      <c r="S6" s="16" t="inlineStr">
        <is>
          <t>N001</t>
        </is>
      </c>
      <c r="W6" s="17" t="n">
        <v>46023</v>
      </c>
      <c r="X6" s="18" t="inlineStr">
        <is>
          <t>中華民國開國紀念日(週四)</t>
        </is>
      </c>
      <c r="Y6" s="19" t="inlineStr"/>
      <c r="AP6" s="16" t="inlineStr">
        <is>
          <t>悅</t>
        </is>
      </c>
    </row>
    <row r="7">
      <c r="B7" s="12" t="inlineStr">
        <is>
          <t>午</t>
        </is>
      </c>
      <c r="C7" s="13" t="inlineStr">
        <is>
          <t>午班</t>
        </is>
      </c>
      <c r="D7" s="14" t="n">
        <v>0.5833333333333334</v>
      </c>
      <c r="E7" s="14" t="n">
        <v>0.7083333333333334</v>
      </c>
      <c r="F7" s="12" t="n">
        <v>0</v>
      </c>
      <c r="G7" s="15" t="n">
        <v>3</v>
      </c>
      <c r="H7" s="12" t="n">
        <v>1</v>
      </c>
      <c r="I7" s="12" t="inlineStr">
        <is>
          <t>上班</t>
        </is>
      </c>
      <c r="N7" s="16" t="n">
        <v>2</v>
      </c>
      <c r="O7" s="16" t="inlineStr">
        <is>
          <t>一</t>
        </is>
      </c>
      <c r="Q7" s="16" t="inlineStr">
        <is>
          <t>D002</t>
        </is>
      </c>
      <c r="S7" s="16" t="inlineStr">
        <is>
          <t>N002</t>
        </is>
      </c>
      <c r="W7" s="17" t="n">
        <v>46068</v>
      </c>
      <c r="X7" s="18" t="inlineStr">
        <is>
          <t>小年夜(週日)</t>
        </is>
      </c>
      <c r="Y7" s="19" t="inlineStr"/>
      <c r="AP7" s="16" t="inlineStr">
        <is>
          <t>睿</t>
        </is>
      </c>
    </row>
    <row r="8">
      <c r="B8" s="12" t="inlineStr">
        <is>
          <t>晚</t>
        </is>
      </c>
      <c r="C8" s="13" t="inlineStr">
        <is>
          <t>晚班</t>
        </is>
      </c>
      <c r="D8" s="14" t="n">
        <v>0.75</v>
      </c>
      <c r="E8" s="14" t="n">
        <v>0.875</v>
      </c>
      <c r="F8" s="12" t="n">
        <v>0</v>
      </c>
      <c r="G8" s="15" t="n">
        <v>3</v>
      </c>
      <c r="H8" s="12" t="n">
        <v>1</v>
      </c>
      <c r="I8" s="12" t="inlineStr">
        <is>
          <t>上班</t>
        </is>
      </c>
      <c r="N8" s="16" t="n">
        <v>3</v>
      </c>
      <c r="O8" s="16" t="inlineStr">
        <is>
          <t>二</t>
        </is>
      </c>
      <c r="Q8" s="16" t="inlineStr">
        <is>
          <t>D003</t>
        </is>
      </c>
      <c r="S8" s="16" t="inlineStr">
        <is>
          <t>N003</t>
        </is>
      </c>
      <c r="W8" s="17" t="n">
        <v>46069</v>
      </c>
      <c r="X8" s="18" t="inlineStr">
        <is>
          <t>除夕(週一)</t>
        </is>
      </c>
      <c r="Y8" s="19" t="inlineStr"/>
      <c r="AP8" s="16" t="inlineStr">
        <is>
          <t>匯</t>
        </is>
      </c>
    </row>
    <row r="9">
      <c r="B9" s="12" t="inlineStr">
        <is>
          <t>早午</t>
        </is>
      </c>
      <c r="C9" s="13" t="inlineStr">
        <is>
          <t>早班+午班</t>
        </is>
      </c>
      <c r="D9" s="14" t="n">
        <v>0.375</v>
      </c>
      <c r="E9" s="14" t="n">
        <v>0.7083333333333334</v>
      </c>
      <c r="F9" s="12" t="n">
        <v>120</v>
      </c>
      <c r="G9" s="15" t="n">
        <v>6</v>
      </c>
      <c r="H9" s="12" t="n">
        <v>1</v>
      </c>
      <c r="I9" s="12" t="inlineStr">
        <is>
          <t>上班</t>
        </is>
      </c>
      <c r="N9" s="16" t="n">
        <v>4</v>
      </c>
      <c r="O9" s="16" t="inlineStr">
        <is>
          <t>三</t>
        </is>
      </c>
      <c r="Q9" s="16" t="inlineStr">
        <is>
          <t>D004</t>
        </is>
      </c>
      <c r="S9" s="16" t="inlineStr">
        <is>
          <t>N004</t>
        </is>
      </c>
      <c r="W9" s="17" t="n">
        <v>46070</v>
      </c>
      <c r="X9" s="18" t="inlineStr">
        <is>
          <t>春節 初一(週二)</t>
        </is>
      </c>
      <c r="Y9" s="19" t="inlineStr"/>
      <c r="AP9" s="16" t="inlineStr">
        <is>
          <t>曜</t>
        </is>
      </c>
    </row>
    <row r="10">
      <c r="B10" s="12" t="inlineStr">
        <is>
          <t>午晚</t>
        </is>
      </c>
      <c r="C10" s="13" t="inlineStr">
        <is>
          <t>午班+晚班</t>
        </is>
      </c>
      <c r="D10" s="14" t="n">
        <v>0.5833333333333334</v>
      </c>
      <c r="E10" s="14" t="n">
        <v>0.875</v>
      </c>
      <c r="F10" s="12" t="n">
        <v>60</v>
      </c>
      <c r="G10" s="15" t="n">
        <v>6</v>
      </c>
      <c r="H10" s="12" t="n">
        <v>1</v>
      </c>
      <c r="I10" s="12" t="inlineStr">
        <is>
          <t>上班</t>
        </is>
      </c>
      <c r="N10" s="16" t="n">
        <v>5</v>
      </c>
      <c r="O10" s="16" t="inlineStr">
        <is>
          <t>四</t>
        </is>
      </c>
      <c r="Q10" s="16" t="inlineStr">
        <is>
          <t>D005</t>
        </is>
      </c>
      <c r="S10" s="16" t="inlineStr">
        <is>
          <t>M001</t>
        </is>
      </c>
      <c r="W10" s="17" t="n">
        <v>46071</v>
      </c>
      <c r="X10" s="18" t="inlineStr">
        <is>
          <t>春節 初二(週三)</t>
        </is>
      </c>
      <c r="Y10" s="19" t="inlineStr"/>
      <c r="AP10" s="16" t="inlineStr">
        <is>
          <t>寶</t>
        </is>
      </c>
    </row>
    <row r="11">
      <c r="B11" s="12" t="inlineStr">
        <is>
          <t>早晚</t>
        </is>
      </c>
      <c r="C11" s="13" t="inlineStr">
        <is>
          <t>早班+晚班</t>
        </is>
      </c>
      <c r="D11" s="14" t="n">
        <v>0.375</v>
      </c>
      <c r="E11" s="14" t="n">
        <v>0.875</v>
      </c>
      <c r="F11" s="12" t="n">
        <v>360</v>
      </c>
      <c r="G11" s="15" t="n">
        <v>6</v>
      </c>
      <c r="H11" s="12" t="n">
        <v>1</v>
      </c>
      <c r="I11" s="12" t="inlineStr">
        <is>
          <t>上班</t>
        </is>
      </c>
      <c r="N11" s="16" t="n">
        <v>6</v>
      </c>
      <c r="O11" s="16" t="inlineStr">
        <is>
          <t>五</t>
        </is>
      </c>
      <c r="Q11" s="16" t="inlineStr">
        <is>
          <t>D006</t>
        </is>
      </c>
      <c r="S11" s="16" t="inlineStr">
        <is>
          <t>M002</t>
        </is>
      </c>
      <c r="W11" s="17" t="n">
        <v>46072</v>
      </c>
      <c r="X11" s="18" t="inlineStr">
        <is>
          <t>春節 初三(週四)</t>
        </is>
      </c>
      <c r="Y11" s="19" t="inlineStr"/>
      <c r="AP11" s="16" t="inlineStr">
        <is>
          <t>悅(隔)</t>
        </is>
      </c>
    </row>
    <row r="12">
      <c r="B12" s="12" t="inlineStr">
        <is>
          <t>全日</t>
        </is>
      </c>
      <c r="C12" s="13" t="inlineStr">
        <is>
          <t>早+午+晚</t>
        </is>
      </c>
      <c r="D12" s="14" t="n">
        <v>0.375</v>
      </c>
      <c r="E12" s="14" t="n">
        <v>0.875</v>
      </c>
      <c r="F12" s="12" t="n">
        <v>180</v>
      </c>
      <c r="G12" s="15" t="n">
        <v>9</v>
      </c>
      <c r="H12" s="12" t="n">
        <v>1</v>
      </c>
      <c r="I12" s="12" t="inlineStr">
        <is>
          <t>上班</t>
        </is>
      </c>
      <c r="N12" s="16" t="n">
        <v>7</v>
      </c>
      <c r="O12" s="16" t="inlineStr">
        <is>
          <t>六</t>
        </is>
      </c>
      <c r="Q12" s="16" t="inlineStr">
        <is>
          <t>D007</t>
        </is>
      </c>
      <c r="S12" s="16" t="inlineStr">
        <is>
          <t>M003</t>
        </is>
      </c>
      <c r="W12" s="17" t="n">
        <v>46080</v>
      </c>
      <c r="X12" s="18" t="inlineStr">
        <is>
          <t>和平紀念日 補假(週五)</t>
        </is>
      </c>
      <c r="Y12" s="19" t="inlineStr">
        <is>
          <t>補假</t>
        </is>
      </c>
      <c r="AP12" s="16" t="inlineStr">
        <is>
          <t>睿(隔)</t>
        </is>
      </c>
    </row>
    <row r="13">
      <c r="B13" s="12" t="inlineStr">
        <is>
          <t>支</t>
        </is>
      </c>
      <c r="C13" s="13" t="inlineStr">
        <is>
          <t>支援他院</t>
        </is>
      </c>
      <c r="D13" s="14" t="n"/>
      <c r="E13" s="14" t="n"/>
      <c r="F13" s="12" t="n">
        <v>0</v>
      </c>
      <c r="G13" s="15" t="n">
        <v>6</v>
      </c>
      <c r="H13" s="12" t="n">
        <v>1</v>
      </c>
      <c r="I13" s="12" t="inlineStr">
        <is>
          <t>上班</t>
        </is>
      </c>
      <c r="Q13" s="16" t="inlineStr">
        <is>
          <t>D008</t>
        </is>
      </c>
      <c r="S13" s="20" t="inlineStr"/>
      <c r="W13" s="17" t="n">
        <v>46081</v>
      </c>
      <c r="X13" s="18" t="inlineStr">
        <is>
          <t>和平紀念日(週六)</t>
        </is>
      </c>
      <c r="Y13" s="19" t="inlineStr"/>
      <c r="AP13" s="16" t="inlineStr">
        <is>
          <t>匯(隔)</t>
        </is>
      </c>
    </row>
    <row r="14">
      <c r="B14" s="12" t="inlineStr">
        <is>
          <t>訓</t>
        </is>
      </c>
      <c r="C14" s="13" t="inlineStr">
        <is>
          <t>教育訓練/會議</t>
        </is>
      </c>
      <c r="D14" s="14" t="n"/>
      <c r="E14" s="14" t="n"/>
      <c r="F14" s="12" t="n">
        <v>0</v>
      </c>
      <c r="G14" s="15" t="n">
        <v>6</v>
      </c>
      <c r="H14" s="12" t="n">
        <v>1</v>
      </c>
      <c r="I14" s="12" t="inlineStr">
        <is>
          <t>上班</t>
        </is>
      </c>
      <c r="Q14" s="16" t="inlineStr">
        <is>
          <t>D009</t>
        </is>
      </c>
      <c r="S14" s="20" t="inlineStr"/>
      <c r="W14" s="17" t="n">
        <v>46115</v>
      </c>
      <c r="X14" s="18" t="inlineStr">
        <is>
          <t>兒童節 補假(週五)</t>
        </is>
      </c>
      <c r="Y14" s="19" t="inlineStr">
        <is>
          <t>補假</t>
        </is>
      </c>
      <c r="AP14" s="16" t="inlineStr">
        <is>
          <t>曜(隔)</t>
        </is>
      </c>
    </row>
    <row r="15">
      <c r="B15" s="21" t="inlineStr">
        <is>
          <t>OFF</t>
        </is>
      </c>
      <c r="C15" s="22" t="inlineStr">
        <is>
          <t>排休</t>
        </is>
      </c>
      <c r="D15" s="23" t="n"/>
      <c r="E15" s="23" t="n"/>
      <c r="F15" s="21" t="n">
        <v>0</v>
      </c>
      <c r="G15" s="24" t="n">
        <v>0</v>
      </c>
      <c r="H15" s="21" t="n">
        <v>0</v>
      </c>
      <c r="I15" s="21" t="inlineStr">
        <is>
          <t>休假</t>
        </is>
      </c>
      <c r="Q15" s="16" t="inlineStr">
        <is>
          <t>D010</t>
        </is>
      </c>
      <c r="S15" s="20" t="inlineStr"/>
      <c r="W15" s="17" t="n">
        <v>46116</v>
      </c>
      <c r="X15" s="18" t="inlineStr">
        <is>
          <t>兒童節(週六)</t>
        </is>
      </c>
      <c r="Y15" s="19" t="inlineStr"/>
      <c r="AP15" s="16" t="inlineStr">
        <is>
          <t>寶(隔)</t>
        </is>
      </c>
    </row>
    <row r="16">
      <c r="B16" s="21" t="inlineStr">
        <is>
          <t>特</t>
        </is>
      </c>
      <c r="C16" s="22" t="inlineStr">
        <is>
          <t>特休</t>
        </is>
      </c>
      <c r="D16" s="23" t="n"/>
      <c r="E16" s="23" t="n"/>
      <c r="F16" s="21" t="n">
        <v>0</v>
      </c>
      <c r="G16" s="24" t="n">
        <v>0</v>
      </c>
      <c r="H16" s="21" t="n">
        <v>0</v>
      </c>
      <c r="I16" s="21" t="inlineStr">
        <is>
          <t>休假</t>
        </is>
      </c>
      <c r="Q16" s="16" t="inlineStr">
        <is>
          <t>D011</t>
        </is>
      </c>
      <c r="S16" s="20" t="inlineStr"/>
      <c r="W16" s="17" t="n">
        <v>46117</v>
      </c>
      <c r="X16" s="18" t="inlineStr">
        <is>
          <t>清明節(週日)</t>
        </is>
      </c>
      <c r="Y16" s="19" t="inlineStr"/>
      <c r="AP16" s="16" t="inlineStr">
        <is>
          <t>寶(不定)</t>
        </is>
      </c>
    </row>
    <row r="17">
      <c r="B17" s="21" t="inlineStr">
        <is>
          <t>病</t>
        </is>
      </c>
      <c r="C17" s="22" t="inlineStr">
        <is>
          <t>病假</t>
        </is>
      </c>
      <c r="D17" s="23" t="n"/>
      <c r="E17" s="23" t="n"/>
      <c r="F17" s="21" t="n">
        <v>0</v>
      </c>
      <c r="G17" s="24" t="n">
        <v>0</v>
      </c>
      <c r="H17" s="21" t="n">
        <v>0</v>
      </c>
      <c r="I17" s="21" t="inlineStr">
        <is>
          <t>休假</t>
        </is>
      </c>
      <c r="Q17" s="16" t="inlineStr">
        <is>
          <t>D012</t>
        </is>
      </c>
      <c r="S17" s="20" t="inlineStr"/>
      <c r="W17" s="17" t="n">
        <v>46118</v>
      </c>
      <c r="X17" s="18" t="inlineStr">
        <is>
          <t>清明節 補假(週一)</t>
        </is>
      </c>
      <c r="Y17" s="19" t="inlineStr">
        <is>
          <t>補假</t>
        </is>
      </c>
      <c r="AP17" s="16" t="inlineStr">
        <is>
          <t>悅(不定)</t>
        </is>
      </c>
    </row>
    <row r="18">
      <c r="B18" s="21" t="inlineStr">
        <is>
          <t>事</t>
        </is>
      </c>
      <c r="C18" s="22" t="inlineStr">
        <is>
          <t>事假</t>
        </is>
      </c>
      <c r="D18" s="23" t="n"/>
      <c r="E18" s="23" t="n"/>
      <c r="F18" s="21" t="n">
        <v>0</v>
      </c>
      <c r="G18" s="24" t="n">
        <v>0</v>
      </c>
      <c r="H18" s="21" t="n">
        <v>0</v>
      </c>
      <c r="I18" s="21" t="inlineStr">
        <is>
          <t>休假</t>
        </is>
      </c>
      <c r="Q18" s="16" t="inlineStr">
        <is>
          <t>D013</t>
        </is>
      </c>
      <c r="W18" s="17" t="n">
        <v>46143</v>
      </c>
      <c r="X18" s="18" t="inlineStr">
        <is>
          <t>勞動節(週五)</t>
        </is>
      </c>
      <c r="Y18" s="19" t="inlineStr"/>
      <c r="AP18" s="16" t="inlineStr">
        <is>
          <t>悅(註)</t>
        </is>
      </c>
    </row>
    <row r="19">
      <c r="B19" s="21" t="inlineStr">
        <is>
          <t>公</t>
        </is>
      </c>
      <c r="C19" s="22" t="inlineStr">
        <is>
          <t>公假</t>
        </is>
      </c>
      <c r="D19" s="23" t="n"/>
      <c r="E19" s="23" t="n"/>
      <c r="F19" s="21" t="n">
        <v>0</v>
      </c>
      <c r="G19" s="24" t="n">
        <v>0</v>
      </c>
      <c r="H19" s="21" t="n">
        <v>0</v>
      </c>
      <c r="I19" s="21" t="inlineStr">
        <is>
          <t>休假</t>
        </is>
      </c>
      <c r="Q19" s="16" t="inlineStr">
        <is>
          <t>D014</t>
        </is>
      </c>
      <c r="W19" s="17" t="n">
        <v>46192</v>
      </c>
      <c r="X19" s="18" t="inlineStr">
        <is>
          <t>端午節(週五)</t>
        </is>
      </c>
      <c r="Y19" s="19" t="inlineStr"/>
      <c r="AP19" s="16" t="inlineStr">
        <is>
          <t>悅/匯</t>
        </is>
      </c>
    </row>
    <row r="20">
      <c r="B20" s="21" t="inlineStr">
        <is>
          <t>國</t>
        </is>
      </c>
      <c r="C20" s="22" t="inlineStr">
        <is>
          <t>國定假日</t>
        </is>
      </c>
      <c r="D20" s="23" t="n"/>
      <c r="E20" s="23" t="n"/>
      <c r="F20" s="21" t="n">
        <v>0</v>
      </c>
      <c r="G20" s="24" t="n">
        <v>0</v>
      </c>
      <c r="H20" s="21" t="n">
        <v>0</v>
      </c>
      <c r="I20" s="21" t="inlineStr">
        <is>
          <t>休假</t>
        </is>
      </c>
      <c r="Q20" s="16" t="inlineStr">
        <is>
          <t>D015</t>
        </is>
      </c>
      <c r="W20" s="17" t="n">
        <v>46290</v>
      </c>
      <c r="X20" s="18" t="inlineStr">
        <is>
          <t>中秋節(週五)</t>
        </is>
      </c>
      <c r="Y20" s="19" t="inlineStr"/>
      <c r="AP20" s="16" t="inlineStr">
        <is>
          <t>悅/睿</t>
        </is>
      </c>
    </row>
    <row r="21">
      <c r="B21" s="21" t="inlineStr">
        <is>
          <t>休</t>
        </is>
      </c>
      <c r="C21" s="22" t="inlineStr">
        <is>
          <t>休診</t>
        </is>
      </c>
      <c r="D21" s="23" t="n"/>
      <c r="E21" s="23" t="n"/>
      <c r="F21" s="21" t="n">
        <v>0</v>
      </c>
      <c r="G21" s="24" t="n">
        <v>0</v>
      </c>
      <c r="H21" s="21" t="n">
        <v>0</v>
      </c>
      <c r="I21" s="21" t="inlineStr">
        <is>
          <t>休假</t>
        </is>
      </c>
      <c r="Q21" s="16" t="inlineStr">
        <is>
          <t>D016</t>
        </is>
      </c>
      <c r="W21" s="17" t="n">
        <v>46293</v>
      </c>
      <c r="X21" s="18" t="inlineStr">
        <is>
          <t>教師節(週一)</t>
        </is>
      </c>
      <c r="Y21" s="19" t="inlineStr"/>
      <c r="AP21" s="16" t="inlineStr">
        <is>
          <t>睿/曜</t>
        </is>
      </c>
    </row>
    <row r="22">
      <c r="B22" s="6" t="inlineStr">
        <is>
          <t>※ 醫護長與管理部用同一套代碼、同一套時段:早 09:00–12:00、午 14:00–17:00、晚 18:00–21:00。填表的人只要填代碼。</t>
        </is>
      </c>
      <c r="Q22" s="16" t="inlineStr">
        <is>
          <t>D017</t>
        </is>
      </c>
      <c r="W22" s="17" t="n">
        <v>46304</v>
      </c>
      <c r="X22" s="18" t="inlineStr">
        <is>
          <t>國慶日 補假(週五)</t>
        </is>
      </c>
      <c r="Y22" s="19" t="inlineStr">
        <is>
          <t>補假</t>
        </is>
      </c>
      <c r="AP22" s="16" t="inlineStr">
        <is>
          <t>訓</t>
        </is>
      </c>
    </row>
    <row r="23">
      <c r="B23" s="6" t="inlineStr">
        <is>
          <t>※ 有固定時段的代碼必須滿足「應退 − 應到 − 休息 = 排班工時」,否則出勤紀錄會算出不存在的加班。建置腳本會自動檢查。</t>
        </is>
      </c>
      <c r="Q23" s="16" t="inlineStr">
        <is>
          <t>D018</t>
        </is>
      </c>
      <c r="W23" s="17" t="n">
        <v>46305</v>
      </c>
      <c r="X23" s="18" t="inlineStr">
        <is>
          <t>國慶日(週六)</t>
        </is>
      </c>
      <c r="Y23" s="19" t="inlineStr"/>
      <c r="AP23" s="16" t="inlineStr">
        <is>
          <t>OFF</t>
        </is>
      </c>
    </row>
    <row r="24">
      <c r="B24" s="25" t="inlineStr">
        <is>
          <t>※ 注意:勞基法第 30 條的正常工時是每日 8 小時。「全日」排 9 小時,多出來的1 小時本質上就是延長工時,但本表的加班是用「實際 − 排班」算的,排進去就不會被抓出來。要按法規認定,請不要把「全日」當成常態班別。</t>
        </is>
      </c>
      <c r="Q24" s="16" t="inlineStr">
        <is>
          <t>D019</t>
        </is>
      </c>
      <c r="W24" s="17" t="n">
        <v>46320</v>
      </c>
      <c r="X24" s="18" t="inlineStr">
        <is>
          <t>台灣光復節(週日)</t>
        </is>
      </c>
      <c r="Y24" s="19" t="inlineStr"/>
      <c r="AP24" s="16" t="inlineStr">
        <is>
          <t>特</t>
        </is>
      </c>
    </row>
    <row r="25">
      <c r="Q25" s="16" t="inlineStr">
        <is>
          <t>D020</t>
        </is>
      </c>
      <c r="W25" s="17" t="n">
        <v>46321</v>
      </c>
      <c r="X25" s="18" t="inlineStr">
        <is>
          <t>台灣光復節 補假(週一)</t>
        </is>
      </c>
      <c r="Y25" s="19" t="inlineStr">
        <is>
          <t>補假</t>
        </is>
      </c>
      <c r="AP25" s="16" t="inlineStr">
        <is>
          <t>病</t>
        </is>
      </c>
    </row>
    <row r="26">
      <c r="B26" s="7" t="inlineStr">
        <is>
          <t>二、醫師診次代碼(醫師班表用:一格填一個代碼)</t>
        </is>
      </c>
      <c r="E26" s="7" t="inlineStr">
        <is>
          <t>二之二、醫師週班表的標記(母表專用)</t>
        </is>
      </c>
      <c r="Q26" s="16" t="inlineStr">
        <is>
          <t>D021</t>
        </is>
      </c>
      <c r="W26" s="17" t="n">
        <v>46381</v>
      </c>
      <c r="X26" s="18" t="inlineStr">
        <is>
          <t>行憲紀念日(週五)</t>
        </is>
      </c>
      <c r="Y26" s="19" t="inlineStr"/>
      <c r="AP26" s="16" t="inlineStr">
        <is>
          <t>事</t>
        </is>
      </c>
    </row>
    <row r="27">
      <c r="B27" s="10" t="inlineStr">
        <is>
          <t>代碼</t>
        </is>
      </c>
      <c r="C27" s="10" t="inlineStr">
        <is>
          <t>意義</t>
        </is>
      </c>
      <c r="E27" s="10" t="inlineStr">
        <is>
          <t>寫法</t>
        </is>
      </c>
      <c r="F27" s="10" t="inlineStr">
        <is>
          <t>意思</t>
        </is>
      </c>
      <c r="G27" s="10" t="inlineStr">
        <is>
          <t>舉例說明</t>
        </is>
      </c>
      <c r="Q27" s="16" t="inlineStr">
        <is>
          <t>D022</t>
        </is>
      </c>
      <c r="W27" s="20" t="n"/>
      <c r="X27" s="20" t="n"/>
      <c r="Y27" s="20" t="n"/>
      <c r="AP27" s="16" t="inlineStr">
        <is>
          <t>公</t>
        </is>
      </c>
    </row>
    <row r="28">
      <c r="B28" s="26" t="inlineStr">
        <is>
          <t>悅</t>
        </is>
      </c>
      <c r="C28" s="13" t="inlineStr">
        <is>
          <t>晶悅牙醫</t>
        </is>
      </c>
      <c r="E28" s="27" t="inlineStr">
        <is>
          <t>悅</t>
        </is>
      </c>
      <c r="F28" s="20" t="inlineStr">
        <is>
          <t>每週固定</t>
        </is>
      </c>
      <c r="G28" s="28" t="inlineStr">
        <is>
          <t>每一週的這個診次都在晶悅</t>
        </is>
      </c>
      <c r="H28" s="8" t="n"/>
      <c r="I28" s="8" t="n"/>
      <c r="J28" s="9" t="n"/>
      <c r="Q28" s="16" t="inlineStr">
        <is>
          <t>D023</t>
        </is>
      </c>
      <c r="W28" s="20" t="n"/>
      <c r="X28" s="20" t="n"/>
      <c r="Y28" s="20" t="n"/>
      <c r="AP28" s="16" t="inlineStr">
        <is>
          <t>國</t>
        </is>
      </c>
    </row>
    <row r="29">
      <c r="B29" s="29" t="inlineStr">
        <is>
          <t>睿</t>
        </is>
      </c>
      <c r="C29" s="13" t="inlineStr">
        <is>
          <t>晶睿牙醫</t>
        </is>
      </c>
      <c r="E29" s="27" t="inlineStr">
        <is>
          <t>悅(隔)</t>
        </is>
      </c>
      <c r="F29" s="20" t="inlineStr">
        <is>
          <t>隔週看診</t>
        </is>
      </c>
      <c r="G29" s="28" t="inlineStr">
        <is>
          <t>單數週在晶悅,雙數週這個診次不排</t>
        </is>
      </c>
      <c r="H29" s="8" t="n"/>
      <c r="I29" s="8" t="n"/>
      <c r="J29" s="9" t="n"/>
      <c r="Q29" s="16" t="inlineStr">
        <is>
          <t>D024</t>
        </is>
      </c>
      <c r="W29" s="20" t="n"/>
      <c r="X29" s="20" t="n"/>
      <c r="Y29" s="20" t="n"/>
      <c r="AP29" s="16" t="inlineStr">
        <is>
          <t>休</t>
        </is>
      </c>
    </row>
    <row r="30">
      <c r="B30" s="30" t="inlineStr">
        <is>
          <t>匯</t>
        </is>
      </c>
      <c r="C30" s="13" t="inlineStr">
        <is>
          <t>晶匯牙醫</t>
        </is>
      </c>
      <c r="E30" s="27" t="inlineStr">
        <is>
          <t>悅/睿</t>
        </is>
      </c>
      <c r="F30" s="20" t="inlineStr">
        <is>
          <t>兩間院所輪替</t>
        </is>
      </c>
      <c r="G30" s="28" t="inlineStr">
        <is>
          <t>斜線前 = 單數週、斜線後 = 雙數週(全表共四組)</t>
        </is>
      </c>
      <c r="H30" s="8" t="n"/>
      <c r="I30" s="8" t="n"/>
      <c r="J30" s="9" t="n"/>
      <c r="Q30" s="16" t="inlineStr">
        <is>
          <t>D025</t>
        </is>
      </c>
      <c r="W30" s="20" t="n"/>
      <c r="X30" s="20" t="n"/>
      <c r="Y30" s="20" t="n"/>
    </row>
    <row r="31">
      <c r="B31" s="31" t="inlineStr">
        <is>
          <t>曜</t>
        </is>
      </c>
      <c r="C31" s="13" t="inlineStr">
        <is>
          <t>晶曜牙醫</t>
        </is>
      </c>
      <c r="E31" s="27" t="inlineStr">
        <is>
          <t>寶(不定)</t>
        </is>
      </c>
      <c r="F31" s="20" t="inlineStr">
        <is>
          <t>非每週固定</t>
        </is>
      </c>
      <c r="G31" s="28" t="inlineStr">
        <is>
          <t>官網註明「詳情請聯繫院所」,需逐一向院所確認</t>
        </is>
      </c>
      <c r="H31" s="8" t="n"/>
      <c r="I31" s="8" t="n"/>
      <c r="J31" s="9" t="n"/>
      <c r="Q31" s="16" t="inlineStr">
        <is>
          <t>D026</t>
        </is>
      </c>
      <c r="W31" s="20" t="n"/>
      <c r="X31" s="20" t="n"/>
      <c r="Y31" s="20" t="n"/>
    </row>
    <row r="32">
      <c r="B32" s="32" t="inlineStr">
        <is>
          <t>寶</t>
        </is>
      </c>
      <c r="C32" s="13" t="inlineStr">
        <is>
          <t>寶貝牙牙醫</t>
        </is>
      </c>
      <c r="E32" s="27" t="inlineStr">
        <is>
          <t>悅(註)</t>
        </is>
      </c>
      <c r="F32" s="20" t="inlineStr">
        <is>
          <t>有附加條件</t>
        </is>
      </c>
      <c r="G32" s="28" t="inlineStr">
        <is>
          <t>條件寫在該列最右邊的附註欄</t>
        </is>
      </c>
      <c r="H32" s="8" t="n"/>
      <c r="I32" s="8" t="n"/>
      <c r="J32" s="9" t="n"/>
      <c r="Q32" s="16" t="inlineStr">
        <is>
          <t>D027</t>
        </is>
      </c>
      <c r="W32" s="20" t="n"/>
      <c r="X32" s="20" t="n"/>
      <c r="Y32" s="20" t="n"/>
    </row>
    <row r="33">
      <c r="B33" s="27" t="inlineStr">
        <is>
          <t>訓</t>
        </is>
      </c>
      <c r="C33" s="13" t="inlineStr">
        <is>
          <t>教育訓練 / 學會</t>
        </is>
      </c>
      <c r="E33" s="27" t="inlineStr">
        <is>
          <t>OFF 特 病</t>
        </is>
      </c>
      <c r="F33" s="20" t="inlineStr">
        <is>
          <t>休假類</t>
        </is>
      </c>
      <c r="G33" s="28" t="inlineStr">
        <is>
          <t>整個診次請假,寫法與醫師班表相同</t>
        </is>
      </c>
      <c r="H33" s="8" t="n"/>
      <c r="I33" s="8" t="n"/>
      <c r="J33" s="9" t="n"/>
      <c r="Q33" s="20" t="inlineStr"/>
      <c r="W33" s="20" t="n"/>
      <c r="X33" s="20" t="n"/>
      <c r="Y33" s="20" t="n"/>
    </row>
    <row r="34">
      <c r="B34" s="27" t="inlineStr">
        <is>
          <t>OFF</t>
        </is>
      </c>
      <c r="C34" s="13" t="inlineStr">
        <is>
          <t>排休</t>
        </is>
      </c>
      <c r="E34" s="6" t="inlineStr">
        <is>
          <t>※ 單數/雙數週以計算參數區的「隔週基準日」起算,跨月跨年連續不會斷。</t>
        </is>
      </c>
      <c r="Q34" s="20" t="inlineStr"/>
      <c r="W34" s="20" t="n"/>
      <c r="X34" s="20" t="n"/>
      <c r="Y34" s="20" t="n"/>
    </row>
    <row r="35">
      <c r="B35" s="27" t="inlineStr">
        <is>
          <t>特</t>
        </is>
      </c>
      <c r="C35" s="13" t="inlineStr">
        <is>
          <t>特休</t>
        </is>
      </c>
      <c r="E35" s="6" t="inlineStr">
        <is>
          <t>※ 週班表的資料格有下拉選單,但不強制——輸入清單外的寫法只會跳提醒,按「是」照樣存入。</t>
        </is>
      </c>
      <c r="Q35" s="20" t="inlineStr"/>
      <c r="W35" s="20" t="n"/>
      <c r="X35" s="20" t="n"/>
      <c r="Y35" s="20" t="n"/>
    </row>
    <row r="36">
      <c r="B36" s="27" t="inlineStr">
        <is>
          <t>病</t>
        </is>
      </c>
      <c r="C36" s="13" t="inlineStr">
        <is>
          <t>病假</t>
        </is>
      </c>
      <c r="Q36" s="20" t="inlineStr"/>
      <c r="W36" s="20" t="n"/>
      <c r="X36" s="20" t="n"/>
      <c r="Y36" s="20" t="n"/>
    </row>
    <row r="37">
      <c r="B37" s="27" t="inlineStr">
        <is>
          <t>事</t>
        </is>
      </c>
      <c r="C37" s="13" t="inlineStr">
        <is>
          <t>事假</t>
        </is>
      </c>
      <c r="Q37" s="20" t="inlineStr"/>
      <c r="W37" s="20" t="n"/>
      <c r="X37" s="20" t="n"/>
      <c r="Y37" s="20" t="n"/>
    </row>
    <row r="38">
      <c r="B38" s="27" t="inlineStr">
        <is>
          <t>公</t>
        </is>
      </c>
      <c r="C38" s="13" t="inlineStr">
        <is>
          <t>公假</t>
        </is>
      </c>
      <c r="Q38" s="20" t="inlineStr"/>
      <c r="W38" s="20" t="n"/>
      <c r="X38" s="20" t="n"/>
      <c r="Y38" s="20" t="n"/>
    </row>
    <row r="39">
      <c r="B39" s="27" t="inlineStr">
        <is>
          <t>國</t>
        </is>
      </c>
      <c r="C39" s="13" t="inlineStr">
        <is>
          <t>國定假日</t>
        </is>
      </c>
      <c r="Q39" s="20" t="inlineStr"/>
      <c r="W39" s="20" t="n"/>
      <c r="X39" s="20" t="n"/>
      <c r="Y39" s="20" t="n"/>
    </row>
    <row r="40">
      <c r="B40" s="27" t="inlineStr">
        <is>
          <t>休</t>
        </is>
      </c>
      <c r="C40" s="13" t="inlineStr">
        <is>
          <t>休診</t>
        </is>
      </c>
      <c r="Q40" s="20" t="inlineStr"/>
      <c r="W40" s="20" t="n"/>
      <c r="X40" s="20" t="n"/>
      <c r="Y40" s="20" t="n"/>
    </row>
    <row r="41">
      <c r="B41" s="6" t="inlineStr">
        <is>
          <t>※ 醫師班表一格 = 一個診次。填院所代碼表示該診次在哪間看診,填休假代碼表示該診次請假。</t>
        </is>
      </c>
      <c r="Q41" s="20" t="inlineStr"/>
    </row>
    <row r="42">
      <c r="B42" s="6" t="inlineStr">
        <is>
          <t>※ 「醫師週班表」除了上面這些代碼,還會用到右邊那幾種標記——那是母表,要表示隔週與輪替,所以下拉選項比較多。</t>
        </is>
      </c>
      <c r="Q42" s="20" t="inlineStr"/>
      <c r="W42" s="25" t="inlineStr">
        <is>
          <t>※ ⚠ 這份是草稿,務必與行政院人事行政總處公告的「政府行政機關辦公日曆表」核對。法定紀念日日期可信度高,但補假與調整放假(彈性放假)每年公告,以官方版本為準。</t>
        </is>
      </c>
    </row>
    <row r="43">
      <c r="Q43" s="20" t="inlineStr"/>
      <c r="W43" s="6" t="inlineStr">
        <is>
          <t>※ 改這裡不會自動改醫師班表——月班表是產生出來的固定值,改完要重新產生。</t>
        </is>
      </c>
    </row>
    <row r="44">
      <c r="B44" s="7" t="inlineStr">
        <is>
          <t>三、計算參數(全體系一致)</t>
        </is>
      </c>
      <c r="Q44" s="20" t="inlineStr"/>
    </row>
    <row r="45">
      <c r="B45" s="10" t="inlineStr">
        <is>
          <t>參數</t>
        </is>
      </c>
      <c r="C45" s="10" t="inlineStr">
        <is>
          <t>值</t>
        </is>
      </c>
      <c r="D45" s="10" t="inlineStr">
        <is>
          <t>說明</t>
        </is>
      </c>
      <c r="Q45" s="20" t="inlineStr"/>
    </row>
    <row r="46">
      <c r="B46" s="33" t="inlineStr">
        <is>
          <t>加班認定門檻(分)</t>
        </is>
      </c>
      <c r="C46" s="5" t="n">
        <v>30</v>
      </c>
      <c r="D46" s="28" t="inlineStr">
        <is>
          <t>超過排班工時多少分鐘才認定為加班。低於門檻視為正常收尾。</t>
        </is>
      </c>
      <c r="E46" s="8" t="n"/>
      <c r="F46" s="8" t="n"/>
      <c r="G46" s="8" t="n"/>
      <c r="H46" s="8" t="n"/>
      <c r="I46" s="8" t="n"/>
      <c r="J46" s="9" t="n"/>
    </row>
    <row r="47">
      <c r="B47" s="33" t="inlineStr">
        <is>
          <t>加班計算單位(分)</t>
        </is>
      </c>
      <c r="C47" s="5" t="n">
        <v>30</v>
      </c>
      <c r="D47" s="28" t="inlineStr">
        <is>
          <t>認定為加班後,無條件捨去到此單位。填 1 表示逐分鐘計。</t>
        </is>
      </c>
      <c r="E47" s="8" t="n"/>
      <c r="F47" s="8" t="n"/>
      <c r="G47" s="8" t="n"/>
      <c r="H47" s="8" t="n"/>
      <c r="I47" s="8" t="n"/>
      <c r="J47" s="9" t="n"/>
    </row>
    <row r="48">
      <c r="B48" s="33" t="inlineStr">
        <is>
          <t>遲到早退寬限(分)</t>
        </is>
      </c>
      <c r="C48" s="5" t="n">
        <v>5</v>
      </c>
      <c r="D48" s="28" t="inlineStr">
        <is>
          <t>打卡與應到/應退時間差在此範圍內不判定為遲到或早退。</t>
        </is>
      </c>
      <c r="E48" s="8" t="n"/>
      <c r="F48" s="8" t="n"/>
      <c r="G48" s="8" t="n"/>
      <c r="H48" s="8" t="n"/>
      <c r="I48" s="8" t="n"/>
      <c r="J48" s="9" t="n"/>
    </row>
    <row r="49">
      <c r="B49" s="33" t="inlineStr">
        <is>
          <t>隔週基準日</t>
        </is>
      </c>
      <c r="C49" s="34" t="n">
        <v>46293</v>
      </c>
      <c r="D49" s="28" t="inlineStr">
        <is>
          <t>從這個星期一起連續數週。單數週 = 週班表前面那個代碼,雙數週 = 後面那個。若實際輪替對調了,把這個日期往前或往後挪 7 天即可整體對齊。</t>
        </is>
      </c>
      <c r="E49" s="8" t="n"/>
      <c r="F49" s="8" t="n"/>
      <c r="G49" s="8" t="n"/>
      <c r="H49" s="8" t="n"/>
      <c r="I49" s="8" t="n"/>
      <c r="J49" s="9" t="n"/>
    </row>
    <row r="50">
      <c r="B50" s="6" t="inlineStr">
        <is>
          <t>※ 前三個是勞資雙方的認定慣例,不是法律規定的數字。上線前請與人資或勞務顧問確認,並讓同仁事先知道規則。</t>
        </is>
      </c>
    </row>
    <row r="52">
      <c r="B52" s="7" t="inlineStr">
        <is>
          <t>四、院所清單</t>
        </is>
      </c>
      <c r="U52" s="35" t="inlineStr">
        <is>
          <t>一早</t>
        </is>
      </c>
      <c r="V52" s="35" t="inlineStr">
        <is>
          <t>一午</t>
        </is>
      </c>
      <c r="W52" s="35" t="inlineStr">
        <is>
          <t>一晚</t>
        </is>
      </c>
      <c r="X52" s="35" t="inlineStr">
        <is>
          <t>二早</t>
        </is>
      </c>
      <c r="Y52" s="35" t="inlineStr">
        <is>
          <t>二午</t>
        </is>
      </c>
      <c r="Z52" s="35" t="inlineStr">
        <is>
          <t>二晚</t>
        </is>
      </c>
      <c r="AA52" s="35" t="inlineStr">
        <is>
          <t>三早</t>
        </is>
      </c>
      <c r="AB52" s="35" t="inlineStr">
        <is>
          <t>三午</t>
        </is>
      </c>
      <c r="AC52" s="35" t="inlineStr">
        <is>
          <t>三晚</t>
        </is>
      </c>
      <c r="AD52" s="35" t="inlineStr">
        <is>
          <t>四早</t>
        </is>
      </c>
      <c r="AE52" s="35" t="inlineStr">
        <is>
          <t>四午</t>
        </is>
      </c>
      <c r="AF52" s="35" t="inlineStr">
        <is>
          <t>四晚</t>
        </is>
      </c>
      <c r="AG52" s="35" t="inlineStr">
        <is>
          <t>五早</t>
        </is>
      </c>
      <c r="AH52" s="35" t="inlineStr">
        <is>
          <t>五午</t>
        </is>
      </c>
      <c r="AI52" s="35" t="inlineStr">
        <is>
          <t>五晚</t>
        </is>
      </c>
      <c r="AJ52" s="35" t="inlineStr">
        <is>
          <t>六早</t>
        </is>
      </c>
      <c r="AK52" s="35" t="inlineStr">
        <is>
          <t>六午</t>
        </is>
      </c>
      <c r="AL52" s="35" t="inlineStr">
        <is>
          <t>六晚</t>
        </is>
      </c>
      <c r="AM52" s="35" t="inlineStr">
        <is>
          <t>日早</t>
        </is>
      </c>
      <c r="AN52" s="35" t="inlineStr">
        <is>
          <t>日午</t>
        </is>
      </c>
      <c r="AO52" s="35" t="inlineStr">
        <is>
          <t>日晚</t>
        </is>
      </c>
    </row>
    <row r="53">
      <c r="B53" s="10" t="inlineStr">
        <is>
          <t>代碼</t>
        </is>
      </c>
      <c r="C53" s="10" t="inlineStr">
        <is>
          <t>簡稱</t>
        </is>
      </c>
      <c r="D53" s="10" t="inlineStr">
        <is>
          <t>全名</t>
        </is>
      </c>
      <c r="E53" s="10" t="inlineStr">
        <is>
          <t>院長</t>
        </is>
      </c>
      <c r="F53" s="10" t="inlineStr">
        <is>
          <t>電話</t>
        </is>
      </c>
      <c r="G53" s="10" t="inlineStr">
        <is>
          <t>地址</t>
        </is>
      </c>
      <c r="H53" s="10" t="inlineStr">
        <is>
          <t>早診起</t>
        </is>
      </c>
      <c r="I53" s="10" t="inlineStr">
        <is>
          <t>早診訖</t>
        </is>
      </c>
      <c r="J53" s="10" t="inlineStr">
        <is>
          <t>午診起</t>
        </is>
      </c>
      <c r="K53" s="10" t="inlineStr">
        <is>
          <t>午診訖</t>
        </is>
      </c>
      <c r="L53" s="10" t="inlineStr">
        <is>
          <t>晚診起</t>
        </is>
      </c>
      <c r="M53" s="10" t="inlineStr">
        <is>
          <t>晚診訖</t>
        </is>
      </c>
      <c r="U53" s="36" t="inlineStr">
        <is>
          <t>開診時段(1 = 有開診,0 = 休診;順序為週一早…週日晚)</t>
        </is>
      </c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9" t="n"/>
    </row>
    <row r="54">
      <c r="B54" s="37" t="inlineStr">
        <is>
          <t>悅</t>
        </is>
      </c>
      <c r="C54" s="12" t="inlineStr">
        <is>
          <t>晶悅</t>
        </is>
      </c>
      <c r="D54" s="13" t="inlineStr">
        <is>
          <t>晶悅牙醫診所</t>
        </is>
      </c>
      <c r="E54" s="12" t="inlineStr">
        <is>
          <t>林智俊</t>
        </is>
      </c>
      <c r="F54" s="12" t="inlineStr">
        <is>
          <t>03-4257710</t>
        </is>
      </c>
      <c r="G54" s="13" t="inlineStr">
        <is>
          <t>320桃園市中壢區新生路251號</t>
        </is>
      </c>
      <c r="H54" s="20" t="inlineStr">
        <is>
          <t>09:00</t>
        </is>
      </c>
      <c r="I54" s="20" t="inlineStr">
        <is>
          <t>11:30</t>
        </is>
      </c>
      <c r="J54" s="20" t="inlineStr">
        <is>
          <t>14:00</t>
        </is>
      </c>
      <c r="K54" s="20" t="inlineStr">
        <is>
          <t>16:30</t>
        </is>
      </c>
      <c r="L54" s="20" t="inlineStr">
        <is>
          <t>18:00</t>
        </is>
      </c>
      <c r="M54" s="20" t="inlineStr">
        <is>
          <t>20:30</t>
        </is>
      </c>
      <c r="U54" s="38" t="n">
        <v>1</v>
      </c>
      <c r="V54" s="38" t="n">
        <v>1</v>
      </c>
      <c r="W54" s="38" t="n">
        <v>1</v>
      </c>
      <c r="X54" s="38" t="n">
        <v>1</v>
      </c>
      <c r="Y54" s="38" t="n">
        <v>1</v>
      </c>
      <c r="Z54" s="38" t="n">
        <v>1</v>
      </c>
      <c r="AA54" s="38" t="n">
        <v>1</v>
      </c>
      <c r="AB54" s="38" t="n">
        <v>1</v>
      </c>
      <c r="AC54" s="38" t="n">
        <v>1</v>
      </c>
      <c r="AD54" s="38" t="n">
        <v>1</v>
      </c>
      <c r="AE54" s="38" t="n">
        <v>1</v>
      </c>
      <c r="AF54" s="38" t="n">
        <v>1</v>
      </c>
      <c r="AG54" s="38" t="n">
        <v>1</v>
      </c>
      <c r="AH54" s="38" t="n">
        <v>1</v>
      </c>
      <c r="AI54" s="38" t="n">
        <v>1</v>
      </c>
      <c r="AJ54" s="38" t="n">
        <v>1</v>
      </c>
      <c r="AK54" s="38" t="n">
        <v>1</v>
      </c>
      <c r="AL54" s="39" t="n">
        <v>0</v>
      </c>
      <c r="AM54" s="39" t="n">
        <v>0</v>
      </c>
      <c r="AN54" s="39" t="n">
        <v>0</v>
      </c>
      <c r="AO54" s="39" t="n">
        <v>0</v>
      </c>
    </row>
    <row r="55">
      <c r="B55" s="40" t="inlineStr">
        <is>
          <t>睿</t>
        </is>
      </c>
      <c r="C55" s="12" t="inlineStr">
        <is>
          <t>晶睿</t>
        </is>
      </c>
      <c r="D55" s="13" t="inlineStr">
        <is>
          <t>晶睿牙醫診所</t>
        </is>
      </c>
      <c r="E55" s="12" t="inlineStr">
        <is>
          <t>温健成</t>
        </is>
      </c>
      <c r="F55" s="12" t="inlineStr">
        <is>
          <t>03-4522360</t>
        </is>
      </c>
      <c r="G55" s="13" t="inlineStr">
        <is>
          <t>桃園市中壢區福州二街502號</t>
        </is>
      </c>
      <c r="H55" s="20" t="inlineStr">
        <is>
          <t>09:00</t>
        </is>
      </c>
      <c r="I55" s="20" t="inlineStr">
        <is>
          <t>11:30</t>
        </is>
      </c>
      <c r="J55" s="20" t="inlineStr">
        <is>
          <t>14:00</t>
        </is>
      </c>
      <c r="K55" s="20" t="inlineStr">
        <is>
          <t>16:30</t>
        </is>
      </c>
      <c r="L55" s="20" t="inlineStr">
        <is>
          <t>18:00</t>
        </is>
      </c>
      <c r="M55" s="20" t="inlineStr">
        <is>
          <t>20:30</t>
        </is>
      </c>
      <c r="U55" s="38" t="n">
        <v>1</v>
      </c>
      <c r="V55" s="38" t="n">
        <v>1</v>
      </c>
      <c r="W55" s="38" t="n">
        <v>1</v>
      </c>
      <c r="X55" s="38" t="n">
        <v>1</v>
      </c>
      <c r="Y55" s="38" t="n">
        <v>1</v>
      </c>
      <c r="Z55" s="38" t="n">
        <v>1</v>
      </c>
      <c r="AA55" s="38" t="n">
        <v>1</v>
      </c>
      <c r="AB55" s="38" t="n">
        <v>1</v>
      </c>
      <c r="AC55" s="38" t="n">
        <v>1</v>
      </c>
      <c r="AD55" s="38" t="n">
        <v>1</v>
      </c>
      <c r="AE55" s="38" t="n">
        <v>1</v>
      </c>
      <c r="AF55" s="38" t="n">
        <v>1</v>
      </c>
      <c r="AG55" s="38" t="n">
        <v>1</v>
      </c>
      <c r="AH55" s="38" t="n">
        <v>1</v>
      </c>
      <c r="AI55" s="38" t="n">
        <v>1</v>
      </c>
      <c r="AJ55" s="38" t="n">
        <v>1</v>
      </c>
      <c r="AK55" s="38" t="n">
        <v>1</v>
      </c>
      <c r="AL55" s="39" t="n">
        <v>0</v>
      </c>
      <c r="AM55" s="39" t="n">
        <v>0</v>
      </c>
      <c r="AN55" s="39" t="n">
        <v>0</v>
      </c>
      <c r="AO55" s="39" t="n">
        <v>0</v>
      </c>
    </row>
    <row r="56">
      <c r="B56" s="41" t="inlineStr">
        <is>
          <t>匯</t>
        </is>
      </c>
      <c r="C56" s="12" t="inlineStr">
        <is>
          <t>晶匯</t>
        </is>
      </c>
      <c r="D56" s="13" t="inlineStr">
        <is>
          <t>晶匯牙醫診所</t>
        </is>
      </c>
      <c r="E56" s="12" t="inlineStr">
        <is>
          <t>陳昺元</t>
        </is>
      </c>
      <c r="F56" s="12" t="inlineStr">
        <is>
          <t>03-4550719</t>
        </is>
      </c>
      <c r="G56" s="13" t="inlineStr">
        <is>
          <t>桃園市中壢區成章一街172號</t>
        </is>
      </c>
      <c r="H56" s="20" t="inlineStr">
        <is>
          <t>09:00</t>
        </is>
      </c>
      <c r="I56" s="20" t="inlineStr">
        <is>
          <t>11:30</t>
        </is>
      </c>
      <c r="J56" s="20" t="inlineStr">
        <is>
          <t>14:00</t>
        </is>
      </c>
      <c r="K56" s="20" t="inlineStr">
        <is>
          <t>16:30</t>
        </is>
      </c>
      <c r="L56" s="20" t="inlineStr">
        <is>
          <t>18:00</t>
        </is>
      </c>
      <c r="M56" s="20" t="inlineStr">
        <is>
          <t>20:30</t>
        </is>
      </c>
      <c r="U56" s="38" t="n">
        <v>1</v>
      </c>
      <c r="V56" s="38" t="n">
        <v>1</v>
      </c>
      <c r="W56" s="38" t="n">
        <v>1</v>
      </c>
      <c r="X56" s="38" t="n">
        <v>1</v>
      </c>
      <c r="Y56" s="38" t="n">
        <v>1</v>
      </c>
      <c r="Z56" s="38" t="n">
        <v>1</v>
      </c>
      <c r="AA56" s="38" t="n">
        <v>1</v>
      </c>
      <c r="AB56" s="38" t="n">
        <v>1</v>
      </c>
      <c r="AC56" s="38" t="n">
        <v>1</v>
      </c>
      <c r="AD56" s="38" t="n">
        <v>1</v>
      </c>
      <c r="AE56" s="38" t="n">
        <v>1</v>
      </c>
      <c r="AF56" s="38" t="n">
        <v>1</v>
      </c>
      <c r="AG56" s="38" t="n">
        <v>1</v>
      </c>
      <c r="AH56" s="38" t="n">
        <v>1</v>
      </c>
      <c r="AI56" s="38" t="n">
        <v>1</v>
      </c>
      <c r="AJ56" s="38" t="n">
        <v>1</v>
      </c>
      <c r="AK56" s="38" t="n">
        <v>1</v>
      </c>
      <c r="AL56" s="39" t="n">
        <v>0</v>
      </c>
      <c r="AM56" s="39" t="n">
        <v>0</v>
      </c>
      <c r="AN56" s="39" t="n">
        <v>0</v>
      </c>
      <c r="AO56" s="39" t="n">
        <v>0</v>
      </c>
    </row>
    <row r="57">
      <c r="B57" s="42" t="inlineStr">
        <is>
          <t>曜</t>
        </is>
      </c>
      <c r="C57" s="12" t="inlineStr">
        <is>
          <t>晶曜</t>
        </is>
      </c>
      <c r="D57" s="13" t="inlineStr">
        <is>
          <t>晶曜牙醫診所</t>
        </is>
      </c>
      <c r="E57" s="12" t="inlineStr">
        <is>
          <t>劉立德</t>
        </is>
      </c>
      <c r="F57" s="12" t="inlineStr">
        <is>
          <t>03-3150666</t>
        </is>
      </c>
      <c r="G57" s="13" t="inlineStr">
        <is>
          <t>桃園市桃園區中正路1398-1號</t>
        </is>
      </c>
      <c r="H57" s="20" t="inlineStr">
        <is>
          <t>09:00</t>
        </is>
      </c>
      <c r="I57" s="20" t="inlineStr">
        <is>
          <t>11:30</t>
        </is>
      </c>
      <c r="J57" s="20" t="inlineStr">
        <is>
          <t>14:00</t>
        </is>
      </c>
      <c r="K57" s="20" t="inlineStr">
        <is>
          <t>16:30</t>
        </is>
      </c>
      <c r="L57" s="20" t="inlineStr">
        <is>
          <t>18:00</t>
        </is>
      </c>
      <c r="M57" s="20" t="inlineStr">
        <is>
          <t>20:30</t>
        </is>
      </c>
      <c r="U57" s="38" t="n">
        <v>1</v>
      </c>
      <c r="V57" s="38" t="n">
        <v>1</v>
      </c>
      <c r="W57" s="38" t="n">
        <v>1</v>
      </c>
      <c r="X57" s="38" t="n">
        <v>1</v>
      </c>
      <c r="Y57" s="38" t="n">
        <v>1</v>
      </c>
      <c r="Z57" s="38" t="n">
        <v>1</v>
      </c>
      <c r="AA57" s="38" t="n">
        <v>1</v>
      </c>
      <c r="AB57" s="38" t="n">
        <v>1</v>
      </c>
      <c r="AC57" s="38" t="n">
        <v>1</v>
      </c>
      <c r="AD57" s="38" t="n">
        <v>1</v>
      </c>
      <c r="AE57" s="38" t="n">
        <v>1</v>
      </c>
      <c r="AF57" s="38" t="n">
        <v>1</v>
      </c>
      <c r="AG57" s="38" t="n">
        <v>1</v>
      </c>
      <c r="AH57" s="38" t="n">
        <v>1</v>
      </c>
      <c r="AI57" s="38" t="n">
        <v>1</v>
      </c>
      <c r="AJ57" s="38" t="n">
        <v>1</v>
      </c>
      <c r="AK57" s="38" t="n">
        <v>1</v>
      </c>
      <c r="AL57" s="39" t="n">
        <v>0</v>
      </c>
      <c r="AM57" s="39" t="n">
        <v>0</v>
      </c>
      <c r="AN57" s="39" t="n">
        <v>0</v>
      </c>
      <c r="AO57" s="39" t="n">
        <v>0</v>
      </c>
    </row>
    <row r="58">
      <c r="B58" s="43" t="inlineStr">
        <is>
          <t>寶</t>
        </is>
      </c>
      <c r="C58" s="12" t="inlineStr">
        <is>
          <t>寶貝牙</t>
        </is>
      </c>
      <c r="D58" s="13" t="inlineStr">
        <is>
          <t>寶貝牙牙醫診所</t>
        </is>
      </c>
      <c r="E58" s="12" t="inlineStr">
        <is>
          <t>黃育亭</t>
        </is>
      </c>
      <c r="F58" s="12" t="inlineStr">
        <is>
          <t>03-2871688</t>
        </is>
      </c>
      <c r="G58" s="13" t="inlineStr">
        <is>
          <t>桃園市大園區新生路四段273號2樓</t>
        </is>
      </c>
      <c r="H58" s="20" t="inlineStr">
        <is>
          <t>09:00</t>
        </is>
      </c>
      <c r="I58" s="20" t="inlineStr">
        <is>
          <t>14:00</t>
        </is>
      </c>
      <c r="J58" s="20" t="inlineStr">
        <is>
          <t>14:00</t>
        </is>
      </c>
      <c r="K58" s="20" t="inlineStr">
        <is>
          <t>17:00</t>
        </is>
      </c>
      <c r="L58" s="20" t="inlineStr">
        <is>
          <t>17:30</t>
        </is>
      </c>
      <c r="M58" s="20" t="inlineStr">
        <is>
          <t>21:00</t>
        </is>
      </c>
      <c r="U58" s="39" t="n">
        <v>0</v>
      </c>
      <c r="V58" s="38" t="n">
        <v>1</v>
      </c>
      <c r="W58" s="38" t="n">
        <v>1</v>
      </c>
      <c r="X58" s="39" t="n">
        <v>0</v>
      </c>
      <c r="Y58" s="38" t="n">
        <v>1</v>
      </c>
      <c r="Z58" s="38" t="n">
        <v>1</v>
      </c>
      <c r="AA58" s="39" t="n">
        <v>0</v>
      </c>
      <c r="AB58" s="38" t="n">
        <v>1</v>
      </c>
      <c r="AC58" s="38" t="n">
        <v>1</v>
      </c>
      <c r="AD58" s="39" t="n">
        <v>0</v>
      </c>
      <c r="AE58" s="38" t="n">
        <v>1</v>
      </c>
      <c r="AF58" s="38" t="n">
        <v>1</v>
      </c>
      <c r="AG58" s="39" t="n">
        <v>0</v>
      </c>
      <c r="AH58" s="38" t="n">
        <v>1</v>
      </c>
      <c r="AI58" s="38" t="n">
        <v>1</v>
      </c>
      <c r="AJ58" s="38" t="n">
        <v>1</v>
      </c>
      <c r="AK58" s="38" t="n">
        <v>1</v>
      </c>
      <c r="AL58" s="39" t="n">
        <v>0</v>
      </c>
      <c r="AM58" s="39" t="n">
        <v>0</v>
      </c>
      <c r="AN58" s="39" t="n">
        <v>0</v>
      </c>
      <c r="AO58" s="39" t="n">
        <v>0</v>
      </c>
    </row>
    <row r="59">
      <c r="B59" s="12" t="inlineStr"/>
      <c r="C59" s="12" t="inlineStr"/>
      <c r="D59" s="13" t="inlineStr"/>
      <c r="E59" s="12" t="inlineStr"/>
      <c r="F59" s="12" t="inlineStr"/>
      <c r="G59" s="13" t="inlineStr"/>
      <c r="H59" s="20" t="inlineStr"/>
      <c r="I59" s="20" t="inlineStr"/>
      <c r="J59" s="20" t="inlineStr"/>
      <c r="K59" s="20" t="inlineStr"/>
      <c r="L59" s="20" t="inlineStr"/>
      <c r="M59" s="20" t="inlineStr"/>
      <c r="U59" s="38" t="n"/>
      <c r="V59" s="38" t="n"/>
      <c r="W59" s="38" t="n"/>
      <c r="X59" s="38" t="n"/>
      <c r="Y59" s="38" t="n"/>
      <c r="Z59" s="38" t="n"/>
      <c r="AA59" s="38" t="n"/>
      <c r="AB59" s="38" t="n"/>
      <c r="AC59" s="38" t="n"/>
      <c r="AD59" s="38" t="n"/>
      <c r="AE59" s="38" t="n"/>
      <c r="AF59" s="38" t="n"/>
      <c r="AG59" s="38" t="n"/>
      <c r="AH59" s="38" t="n"/>
      <c r="AI59" s="38" t="n"/>
      <c r="AJ59" s="38" t="n"/>
      <c r="AK59" s="38" t="n"/>
      <c r="AL59" s="38" t="n"/>
      <c r="AM59" s="38" t="n"/>
      <c r="AN59" s="38" t="n"/>
      <c r="AO59" s="38" t="n"/>
    </row>
    <row r="60">
      <c r="B60" s="12" t="inlineStr"/>
      <c r="C60" s="12" t="inlineStr"/>
      <c r="D60" s="13" t="inlineStr"/>
      <c r="E60" s="12" t="inlineStr"/>
      <c r="F60" s="12" t="inlineStr"/>
      <c r="G60" s="13" t="inlineStr"/>
      <c r="H60" s="20" t="inlineStr"/>
      <c r="I60" s="20" t="inlineStr"/>
      <c r="J60" s="20" t="inlineStr"/>
      <c r="K60" s="20" t="inlineStr"/>
      <c r="L60" s="20" t="inlineStr"/>
      <c r="M60" s="20" t="inlineStr"/>
      <c r="U60" s="38" t="n"/>
      <c r="V60" s="38" t="n"/>
      <c r="W60" s="38" t="n"/>
      <c r="X60" s="38" t="n"/>
      <c r="Y60" s="38" t="n"/>
      <c r="Z60" s="38" t="n"/>
      <c r="AA60" s="38" t="n"/>
      <c r="AB60" s="38" t="n"/>
      <c r="AC60" s="38" t="n"/>
      <c r="AD60" s="38" t="n"/>
      <c r="AE60" s="38" t="n"/>
      <c r="AF60" s="38" t="n"/>
      <c r="AG60" s="38" t="n"/>
      <c r="AH60" s="38" t="n"/>
      <c r="AI60" s="38" t="n"/>
      <c r="AJ60" s="38" t="n"/>
      <c r="AK60" s="38" t="n"/>
      <c r="AL60" s="38" t="n"/>
      <c r="AM60" s="38" t="n"/>
      <c r="AN60" s="38" t="n"/>
      <c r="AO60" s="38" t="n"/>
    </row>
    <row r="62">
      <c r="B62" s="44" t="inlineStr">
        <is>
          <t>五、人員名冊</t>
        </is>
      </c>
    </row>
    <row r="63">
      <c r="B63" s="10" t="inlineStr">
        <is>
          <t>員工編號</t>
        </is>
      </c>
      <c r="C63" s="10" t="inlineStr">
        <is>
          <t>姓名</t>
        </is>
      </c>
      <c r="D63" s="10" t="inlineStr">
        <is>
          <t>職類</t>
        </is>
      </c>
      <c r="E63" s="10" t="inlineStr">
        <is>
          <t>專科</t>
        </is>
      </c>
      <c r="F63" s="10" t="inlineStr">
        <is>
          <t>職務</t>
        </is>
      </c>
      <c r="G63" s="10" t="inlineStr">
        <is>
          <t>主要院所</t>
        </is>
      </c>
      <c r="H63" s="10" t="inlineStr">
        <is>
          <t>服務院所(醫師)</t>
        </is>
      </c>
      <c r="I63" s="10" t="inlineStr">
        <is>
          <t>英文名</t>
        </is>
      </c>
      <c r="J63" s="10" t="inlineStr">
        <is>
          <t>到職日</t>
        </is>
      </c>
      <c r="K63" s="10" t="inlineStr">
        <is>
          <t>備註</t>
        </is>
      </c>
    </row>
    <row r="64">
      <c r="B64" s="19" t="inlineStr">
        <is>
          <t>D001</t>
        </is>
      </c>
      <c r="C64" s="19" t="inlineStr">
        <is>
          <t>林智俊</t>
        </is>
      </c>
      <c r="D64" s="19" t="inlineStr">
        <is>
          <t>醫師</t>
        </is>
      </c>
      <c r="E64" s="18" t="inlineStr">
        <is>
          <t>牙周植牙專科</t>
        </is>
      </c>
      <c r="F64" s="19" t="inlineStr">
        <is>
          <t>晶悅院長</t>
        </is>
      </c>
      <c r="G64" s="19" t="inlineStr">
        <is>
          <t>晶悅</t>
        </is>
      </c>
      <c r="H64" s="18" t="inlineStr">
        <is>
          <t>晶悅 · 晶睿 · 晶匯 · 晶曜</t>
        </is>
      </c>
      <c r="I64" s="19" t="inlineStr">
        <is>
          <t>JASON LIN</t>
        </is>
      </c>
      <c r="J64" s="19" t="inlineStr"/>
      <c r="K64" s="18" t="inlineStr"/>
    </row>
    <row r="65">
      <c r="B65" s="19" t="inlineStr">
        <is>
          <t>D002</t>
        </is>
      </c>
      <c r="C65" s="19" t="inlineStr">
        <is>
          <t>劉立德</t>
        </is>
      </c>
      <c r="D65" s="19" t="inlineStr">
        <is>
          <t>醫師</t>
        </is>
      </c>
      <c r="E65" s="18" t="inlineStr">
        <is>
          <t>植牙專科 家庭牙醫專科</t>
        </is>
      </c>
      <c r="F65" s="19" t="inlineStr">
        <is>
          <t>晶曜院長</t>
        </is>
      </c>
      <c r="G65" s="19" t="inlineStr">
        <is>
          <t>晶曜</t>
        </is>
      </c>
      <c r="H65" s="18" t="inlineStr">
        <is>
          <t>晶睿 · 晶曜</t>
        </is>
      </c>
      <c r="I65" s="19" t="inlineStr">
        <is>
          <t>LEADER LIU</t>
        </is>
      </c>
      <c r="J65" s="19" t="inlineStr"/>
      <c r="K65" s="18" t="inlineStr"/>
    </row>
    <row r="66">
      <c r="B66" s="19" t="inlineStr">
        <is>
          <t>D003</t>
        </is>
      </c>
      <c r="C66" s="19" t="inlineStr">
        <is>
          <t>王泳泉</t>
        </is>
      </c>
      <c r="D66" s="19" t="inlineStr">
        <is>
          <t>醫師</t>
        </is>
      </c>
      <c r="E66" s="18" t="inlineStr">
        <is>
          <t>矯正專科</t>
        </is>
      </c>
      <c r="F66" s="19" t="inlineStr"/>
      <c r="G66" s="19" t="inlineStr">
        <is>
          <t>晶悅</t>
        </is>
      </c>
      <c r="H66" s="18" t="inlineStr">
        <is>
          <t>晶悅 · 晶睿</t>
        </is>
      </c>
      <c r="I66" s="19" t="inlineStr">
        <is>
          <t>RYAN WANG</t>
        </is>
      </c>
      <c r="J66" s="19" t="inlineStr"/>
      <c r="K66" s="18" t="inlineStr"/>
    </row>
    <row r="67">
      <c r="B67" s="19" t="inlineStr">
        <is>
          <t>D004</t>
        </is>
      </c>
      <c r="C67" s="19" t="inlineStr">
        <is>
          <t>劉玠旻</t>
        </is>
      </c>
      <c r="D67" s="19" t="inlineStr">
        <is>
          <t>醫師</t>
        </is>
      </c>
      <c r="E67" s="18" t="inlineStr">
        <is>
          <t>兒童專科</t>
        </is>
      </c>
      <c r="F67" s="19" t="inlineStr"/>
      <c r="G67" s="19" t="inlineStr">
        <is>
          <t>晶悅</t>
        </is>
      </c>
      <c r="H67" s="18" t="inlineStr">
        <is>
          <t>晶悅 · 晶睿 · 晶曜</t>
        </is>
      </c>
      <c r="I67" s="19" t="inlineStr">
        <is>
          <t>CHIEH-MIN LIU</t>
        </is>
      </c>
      <c r="J67" s="19" t="inlineStr"/>
      <c r="K67" s="18" t="inlineStr"/>
    </row>
    <row r="68">
      <c r="B68" s="19" t="inlineStr">
        <is>
          <t>D005</t>
        </is>
      </c>
      <c r="C68" s="19" t="inlineStr">
        <is>
          <t>陳志僑</t>
        </is>
      </c>
      <c r="D68" s="19" t="inlineStr">
        <is>
          <t>醫師</t>
        </is>
      </c>
      <c r="E68" s="18" t="inlineStr">
        <is>
          <t>口外專科</t>
        </is>
      </c>
      <c r="F68" s="19" t="inlineStr"/>
      <c r="G68" s="19" t="inlineStr">
        <is>
          <t>晶悅</t>
        </is>
      </c>
      <c r="H68" s="18" t="inlineStr">
        <is>
          <t>晶悅 · 晶睿</t>
        </is>
      </c>
      <c r="I68" s="19" t="inlineStr">
        <is>
          <t>CHIH-CHIAO CHEN</t>
        </is>
      </c>
      <c r="J68" s="19" t="inlineStr"/>
      <c r="K68" s="18" t="inlineStr"/>
    </row>
    <row r="69">
      <c r="B69" s="19" t="inlineStr">
        <is>
          <t>D006</t>
        </is>
      </c>
      <c r="C69" s="19" t="inlineStr">
        <is>
          <t>黃榆鈞</t>
        </is>
      </c>
      <c r="D69" s="19" t="inlineStr">
        <is>
          <t>醫師</t>
        </is>
      </c>
      <c r="E69" s="18" t="inlineStr">
        <is>
          <t>矯正專科</t>
        </is>
      </c>
      <c r="F69" s="19" t="inlineStr"/>
      <c r="G69" s="19" t="inlineStr">
        <is>
          <t>晶悅</t>
        </is>
      </c>
      <c r="H69" s="18" t="inlineStr">
        <is>
          <t>晶悅 · 寶貝牙</t>
        </is>
      </c>
      <c r="I69" s="19" t="inlineStr">
        <is>
          <t>YU-CHUN HUANG</t>
        </is>
      </c>
      <c r="J69" s="19" t="inlineStr"/>
      <c r="K69" s="18" t="inlineStr"/>
    </row>
    <row r="70">
      <c r="B70" s="19" t="inlineStr">
        <is>
          <t>D007</t>
        </is>
      </c>
      <c r="C70" s="19" t="inlineStr">
        <is>
          <t>温翊君</t>
        </is>
      </c>
      <c r="D70" s="19" t="inlineStr">
        <is>
          <t>醫師</t>
        </is>
      </c>
      <c r="E70" s="18" t="inlineStr">
        <is>
          <t>根管治療專科</t>
        </is>
      </c>
      <c r="F70" s="19" t="inlineStr"/>
      <c r="G70" s="19" t="inlineStr">
        <is>
          <t>晶悅</t>
        </is>
      </c>
      <c r="H70" s="18" t="inlineStr">
        <is>
          <t>晶悅</t>
        </is>
      </c>
      <c r="I70" s="19" t="inlineStr">
        <is>
          <t>YI-CHUN WEN</t>
        </is>
      </c>
      <c r="J70" s="19" t="inlineStr"/>
      <c r="K70" s="18" t="inlineStr"/>
    </row>
    <row r="71">
      <c r="B71" s="19" t="inlineStr">
        <is>
          <t>D008</t>
        </is>
      </c>
      <c r="C71" s="19" t="inlineStr">
        <is>
          <t>林紫亭</t>
        </is>
      </c>
      <c r="D71" s="19" t="inlineStr">
        <is>
          <t>醫師</t>
        </is>
      </c>
      <c r="E71" s="18" t="inlineStr"/>
      <c r="F71" s="19" t="inlineStr"/>
      <c r="G71" s="19" t="inlineStr">
        <is>
          <t>晶悅</t>
        </is>
      </c>
      <c r="H71" s="18" t="inlineStr">
        <is>
          <t>晶悅</t>
        </is>
      </c>
      <c r="I71" s="19" t="inlineStr">
        <is>
          <t>TZU-TING LIN</t>
        </is>
      </c>
      <c r="J71" s="19" t="inlineStr"/>
      <c r="K71" s="18" t="inlineStr"/>
    </row>
    <row r="72">
      <c r="B72" s="19" t="inlineStr">
        <is>
          <t>D009</t>
        </is>
      </c>
      <c r="C72" s="19" t="inlineStr">
        <is>
          <t>陳昺元</t>
        </is>
      </c>
      <c r="D72" s="19" t="inlineStr">
        <is>
          <t>醫師</t>
        </is>
      </c>
      <c r="E72" s="18" t="inlineStr">
        <is>
          <t>美學植牙專科</t>
        </is>
      </c>
      <c r="F72" s="19" t="inlineStr">
        <is>
          <t>晶匯院長</t>
        </is>
      </c>
      <c r="G72" s="19" t="inlineStr">
        <is>
          <t>晶匯</t>
        </is>
      </c>
      <c r="H72" s="18" t="inlineStr">
        <is>
          <t>晶悅 · 晶匯 · 寶貝牙</t>
        </is>
      </c>
      <c r="I72" s="19" t="inlineStr">
        <is>
          <t>PING-YUAN CHEN</t>
        </is>
      </c>
      <c r="J72" s="19" t="inlineStr"/>
      <c r="K72" s="18" t="inlineStr"/>
    </row>
    <row r="73">
      <c r="B73" s="19" t="inlineStr">
        <is>
          <t>D010</t>
        </is>
      </c>
      <c r="C73" s="19" t="inlineStr">
        <is>
          <t>蔡季軒</t>
        </is>
      </c>
      <c r="D73" s="19" t="inlineStr">
        <is>
          <t>醫師</t>
        </is>
      </c>
      <c r="E73" s="18" t="inlineStr"/>
      <c r="F73" s="19" t="inlineStr"/>
      <c r="G73" s="19" t="inlineStr">
        <is>
          <t>晶悅</t>
        </is>
      </c>
      <c r="H73" s="18" t="inlineStr">
        <is>
          <t>晶悅</t>
        </is>
      </c>
      <c r="I73" s="19" t="inlineStr">
        <is>
          <t>CHI-HSUAN TSAI</t>
        </is>
      </c>
      <c r="J73" s="19" t="inlineStr"/>
      <c r="K73" s="18" t="inlineStr"/>
    </row>
    <row r="74">
      <c r="B74" s="19" t="inlineStr">
        <is>
          <t>D011</t>
        </is>
      </c>
      <c r="C74" s="19" t="inlineStr">
        <is>
          <t>温健成</t>
        </is>
      </c>
      <c r="D74" s="19" t="inlineStr">
        <is>
          <t>醫師</t>
        </is>
      </c>
      <c r="E74" s="18" t="inlineStr"/>
      <c r="F74" s="19" t="inlineStr">
        <is>
          <t>晶睿院長</t>
        </is>
      </c>
      <c r="G74" s="19" t="inlineStr">
        <is>
          <t>晶睿</t>
        </is>
      </c>
      <c r="H74" s="18" t="inlineStr">
        <is>
          <t>晶睿 · 晶匯</t>
        </is>
      </c>
      <c r="I74" s="19" t="inlineStr">
        <is>
          <t>JIAN-CHENG WEN</t>
        </is>
      </c>
      <c r="J74" s="19" t="inlineStr"/>
      <c r="K74" s="18" t="inlineStr"/>
    </row>
    <row r="75">
      <c r="B75" s="19" t="inlineStr">
        <is>
          <t>D012</t>
        </is>
      </c>
      <c r="C75" s="19" t="inlineStr">
        <is>
          <t>陳立軒</t>
        </is>
      </c>
      <c r="D75" s="19" t="inlineStr">
        <is>
          <t>醫師</t>
        </is>
      </c>
      <c r="E75" s="18" t="inlineStr"/>
      <c r="F75" s="19" t="inlineStr"/>
      <c r="G75" s="19" t="inlineStr">
        <is>
          <t>晶睿</t>
        </is>
      </c>
      <c r="H75" s="18" t="inlineStr">
        <is>
          <t>晶睿 · 晶匯 · 晶曜</t>
        </is>
      </c>
      <c r="I75" s="19" t="inlineStr">
        <is>
          <t>LI-HSUAN CHEN</t>
        </is>
      </c>
      <c r="J75" s="19" t="inlineStr"/>
      <c r="K75" s="18" t="inlineStr"/>
    </row>
    <row r="76">
      <c r="B76" s="19" t="inlineStr">
        <is>
          <t>D013</t>
        </is>
      </c>
      <c r="C76" s="19" t="inlineStr">
        <is>
          <t>朱柏非</t>
        </is>
      </c>
      <c r="D76" s="19" t="inlineStr">
        <is>
          <t>醫師</t>
        </is>
      </c>
      <c r="E76" s="18" t="inlineStr"/>
      <c r="F76" s="19" t="inlineStr"/>
      <c r="G76" s="19" t="inlineStr">
        <is>
          <t>晶悅</t>
        </is>
      </c>
      <c r="H76" s="18" t="inlineStr">
        <is>
          <t>晶悅 · 晶匯 · 寶貝牙</t>
        </is>
      </c>
      <c r="I76" s="19" t="inlineStr">
        <is>
          <t>PO-FEI CHU</t>
        </is>
      </c>
      <c r="J76" s="19" t="inlineStr"/>
      <c r="K76" s="18" t="inlineStr"/>
    </row>
    <row r="77">
      <c r="B77" s="19" t="inlineStr">
        <is>
          <t>D014</t>
        </is>
      </c>
      <c r="C77" s="19" t="inlineStr">
        <is>
          <t>鄭漢賢</t>
        </is>
      </c>
      <c r="D77" s="19" t="inlineStr">
        <is>
          <t>醫師</t>
        </is>
      </c>
      <c r="E77" s="18" t="inlineStr"/>
      <c r="F77" s="19" t="inlineStr"/>
      <c r="G77" s="19" t="inlineStr">
        <is>
          <t>晶悅</t>
        </is>
      </c>
      <c r="H77" s="18" t="inlineStr">
        <is>
          <t>晶悅 · 晶匯</t>
        </is>
      </c>
      <c r="I77" s="19" t="inlineStr">
        <is>
          <t>HON-YIN CHENG</t>
        </is>
      </c>
      <c r="J77" s="19" t="inlineStr"/>
      <c r="K77" s="18" t="inlineStr"/>
    </row>
    <row r="78">
      <c r="B78" s="19" t="inlineStr">
        <is>
          <t>D015</t>
        </is>
      </c>
      <c r="C78" s="19" t="inlineStr">
        <is>
          <t>徐平</t>
        </is>
      </c>
      <c r="D78" s="19" t="inlineStr">
        <is>
          <t>醫師</t>
        </is>
      </c>
      <c r="E78" s="18" t="inlineStr"/>
      <c r="F78" s="19" t="inlineStr"/>
      <c r="G78" s="19" t="inlineStr">
        <is>
          <t>晶悅</t>
        </is>
      </c>
      <c r="H78" s="18" t="inlineStr">
        <is>
          <t>晶悅 · 晶曜</t>
        </is>
      </c>
      <c r="I78" s="19" t="inlineStr">
        <is>
          <t>PING HSU</t>
        </is>
      </c>
      <c r="J78" s="19" t="inlineStr"/>
      <c r="K78" s="18" t="inlineStr"/>
    </row>
    <row r="79">
      <c r="B79" s="19" t="inlineStr">
        <is>
          <t>D016</t>
        </is>
      </c>
      <c r="C79" s="19" t="inlineStr">
        <is>
          <t>賴敏傑</t>
        </is>
      </c>
      <c r="D79" s="19" t="inlineStr">
        <is>
          <t>醫師</t>
        </is>
      </c>
      <c r="E79" s="18" t="inlineStr"/>
      <c r="F79" s="19" t="inlineStr"/>
      <c r="G79" s="19" t="inlineStr">
        <is>
          <t>晶睿</t>
        </is>
      </c>
      <c r="H79" s="18" t="inlineStr">
        <is>
          <t>晶睿</t>
        </is>
      </c>
      <c r="I79" s="19" t="inlineStr">
        <is>
          <t>MIN-CHIEH LAI</t>
        </is>
      </c>
      <c r="J79" s="19" t="inlineStr"/>
      <c r="K79" s="18" t="inlineStr"/>
    </row>
    <row r="80">
      <c r="B80" s="19" t="inlineStr">
        <is>
          <t>D017</t>
        </is>
      </c>
      <c r="C80" s="19" t="inlineStr">
        <is>
          <t>吳柏賢</t>
        </is>
      </c>
      <c r="D80" s="19" t="inlineStr">
        <is>
          <t>醫師</t>
        </is>
      </c>
      <c r="E80" s="18" t="inlineStr"/>
      <c r="F80" s="19" t="inlineStr"/>
      <c r="G80" s="19" t="inlineStr">
        <is>
          <t>晶睿</t>
        </is>
      </c>
      <c r="H80" s="18" t="inlineStr">
        <is>
          <t>晶睿 · 晶曜</t>
        </is>
      </c>
      <c r="I80" s="19" t="inlineStr">
        <is>
          <t>BO-XIAN WU</t>
        </is>
      </c>
      <c r="J80" s="19" t="inlineStr"/>
      <c r="K80" s="18" t="inlineStr"/>
    </row>
    <row r="81">
      <c r="B81" s="19" t="inlineStr">
        <is>
          <t>D018</t>
        </is>
      </c>
      <c r="C81" s="19" t="inlineStr">
        <is>
          <t>許博諺</t>
        </is>
      </c>
      <c r="D81" s="19" t="inlineStr">
        <is>
          <t>醫師</t>
        </is>
      </c>
      <c r="E81" s="18" t="inlineStr"/>
      <c r="F81" s="19" t="inlineStr"/>
      <c r="G81" s="19" t="inlineStr">
        <is>
          <t>晶睿</t>
        </is>
      </c>
      <c r="H81" s="18" t="inlineStr">
        <is>
          <t>晶睿 · 晶曜</t>
        </is>
      </c>
      <c r="I81" s="19" t="inlineStr">
        <is>
          <t>PO-YEN HSU</t>
        </is>
      </c>
      <c r="J81" s="19" t="inlineStr"/>
      <c r="K81" s="18" t="inlineStr"/>
    </row>
    <row r="82">
      <c r="B82" s="19" t="inlineStr">
        <is>
          <t>D019</t>
        </is>
      </c>
      <c r="C82" s="19" t="inlineStr">
        <is>
          <t>翁崎紘</t>
        </is>
      </c>
      <c r="D82" s="19" t="inlineStr">
        <is>
          <t>醫師</t>
        </is>
      </c>
      <c r="E82" s="18" t="inlineStr"/>
      <c r="F82" s="19" t="inlineStr"/>
      <c r="G82" s="19" t="inlineStr">
        <is>
          <t>晶悅</t>
        </is>
      </c>
      <c r="H82" s="18" t="inlineStr">
        <is>
          <t>晶悅</t>
        </is>
      </c>
      <c r="I82" s="19" t="inlineStr">
        <is>
          <t>CHI-HONG WENG</t>
        </is>
      </c>
      <c r="J82" s="19" t="inlineStr"/>
      <c r="K82" s="18" t="inlineStr"/>
    </row>
    <row r="83">
      <c r="B83" s="19" t="inlineStr">
        <is>
          <t>D020</t>
        </is>
      </c>
      <c r="C83" s="19" t="inlineStr">
        <is>
          <t>余柏萱</t>
        </is>
      </c>
      <c r="D83" s="19" t="inlineStr">
        <is>
          <t>醫師</t>
        </is>
      </c>
      <c r="E83" s="18" t="inlineStr"/>
      <c r="F83" s="19" t="inlineStr"/>
      <c r="G83" s="19" t="inlineStr">
        <is>
          <t>晶睿</t>
        </is>
      </c>
      <c r="H83" s="18" t="inlineStr">
        <is>
          <t>晶睿 · 寶貝牙</t>
        </is>
      </c>
      <c r="I83" s="19" t="inlineStr">
        <is>
          <t>PO-HSUAN YU</t>
        </is>
      </c>
      <c r="J83" s="19" t="inlineStr"/>
      <c r="K83" s="18" t="inlineStr"/>
    </row>
    <row r="84">
      <c r="B84" s="19" t="inlineStr">
        <is>
          <t>D021</t>
        </is>
      </c>
      <c r="C84" s="19" t="inlineStr">
        <is>
          <t>鄭博文</t>
        </is>
      </c>
      <c r="D84" s="19" t="inlineStr">
        <is>
          <t>醫師</t>
        </is>
      </c>
      <c r="E84" s="18" t="inlineStr"/>
      <c r="F84" s="19" t="inlineStr"/>
      <c r="G84" s="19" t="inlineStr">
        <is>
          <t>晶悅</t>
        </is>
      </c>
      <c r="H84" s="18" t="inlineStr">
        <is>
          <t>晶悅</t>
        </is>
      </c>
      <c r="I84" s="19" t="inlineStr">
        <is>
          <t>PO-WEN CHENG</t>
        </is>
      </c>
      <c r="J84" s="19" t="inlineStr"/>
      <c r="K84" s="18" t="inlineStr"/>
    </row>
    <row r="85">
      <c r="B85" s="19" t="inlineStr">
        <is>
          <t>D022</t>
        </is>
      </c>
      <c r="C85" s="19" t="inlineStr">
        <is>
          <t>黃育亭</t>
        </is>
      </c>
      <c r="D85" s="19" t="inlineStr">
        <is>
          <t>醫師</t>
        </is>
      </c>
      <c r="E85" s="18" t="inlineStr">
        <is>
          <t>兒童</t>
        </is>
      </c>
      <c r="F85" s="19" t="inlineStr">
        <is>
          <t>寶貝牙院長</t>
        </is>
      </c>
      <c r="G85" s="19" t="inlineStr">
        <is>
          <t>寶貝牙</t>
        </is>
      </c>
      <c r="H85" s="18" t="inlineStr">
        <is>
          <t>寶貝牙</t>
        </is>
      </c>
      <c r="I85" s="19" t="inlineStr">
        <is>
          <t>YU-TING HUANG</t>
        </is>
      </c>
      <c r="J85" s="19" t="inlineStr"/>
      <c r="K85" s="18" t="inlineStr"/>
    </row>
    <row r="86">
      <c r="B86" s="19" t="inlineStr">
        <is>
          <t>D023</t>
        </is>
      </c>
      <c r="C86" s="19" t="inlineStr">
        <is>
          <t>黃婷愉</t>
        </is>
      </c>
      <c r="D86" s="19" t="inlineStr">
        <is>
          <t>醫師</t>
        </is>
      </c>
      <c r="E86" s="18" t="inlineStr">
        <is>
          <t>口外</t>
        </is>
      </c>
      <c r="F86" s="19" t="inlineStr"/>
      <c r="G86" s="19" t="inlineStr">
        <is>
          <t>寶貝牙</t>
        </is>
      </c>
      <c r="H86" s="18" t="inlineStr">
        <is>
          <t>寶貝牙</t>
        </is>
      </c>
      <c r="I86" s="19" t="inlineStr">
        <is>
          <t>TING-YU HUANG</t>
        </is>
      </c>
      <c r="J86" s="19" t="inlineStr"/>
      <c r="K86" s="18" t="inlineStr"/>
    </row>
    <row r="87">
      <c r="B87" s="19" t="inlineStr">
        <is>
          <t>D024</t>
        </is>
      </c>
      <c r="C87" s="19" t="inlineStr">
        <is>
          <t>林紓安</t>
        </is>
      </c>
      <c r="D87" s="19" t="inlineStr">
        <is>
          <t>醫師</t>
        </is>
      </c>
      <c r="E87" s="18" t="inlineStr">
        <is>
          <t>兒童</t>
        </is>
      </c>
      <c r="F87" s="19" t="inlineStr"/>
      <c r="G87" s="19" t="inlineStr">
        <is>
          <t>晶匯</t>
        </is>
      </c>
      <c r="H87" s="18" t="inlineStr">
        <is>
          <t>晶匯 · 寶貝牙</t>
        </is>
      </c>
      <c r="I87" s="19" t="inlineStr">
        <is>
          <t>SHU-AN LIN</t>
        </is>
      </c>
      <c r="J87" s="19" t="inlineStr"/>
      <c r="K87" s="18" t="inlineStr"/>
    </row>
    <row r="88">
      <c r="B88" s="19" t="inlineStr">
        <is>
          <t>D025</t>
        </is>
      </c>
      <c r="C88" s="19" t="inlineStr">
        <is>
          <t>陳爵安</t>
        </is>
      </c>
      <c r="D88" s="19" t="inlineStr">
        <is>
          <t>醫師</t>
        </is>
      </c>
      <c r="E88" s="18" t="inlineStr"/>
      <c r="F88" s="19" t="inlineStr"/>
      <c r="G88" s="19" t="inlineStr">
        <is>
          <t>晶睿</t>
        </is>
      </c>
      <c r="H88" s="18" t="inlineStr">
        <is>
          <t>晶睿</t>
        </is>
      </c>
      <c r="I88" s="19" t="inlineStr"/>
      <c r="J88" s="19" t="inlineStr"/>
      <c r="K88" s="18" t="inlineStr"/>
    </row>
    <row r="89">
      <c r="B89" s="19" t="inlineStr">
        <is>
          <t>D026</t>
        </is>
      </c>
      <c r="C89" s="19" t="inlineStr">
        <is>
          <t>吳冠廷</t>
        </is>
      </c>
      <c r="D89" s="19" t="inlineStr">
        <is>
          <t>醫師</t>
        </is>
      </c>
      <c r="E89" s="18" t="inlineStr"/>
      <c r="F89" s="19" t="inlineStr"/>
      <c r="G89" s="19" t="inlineStr">
        <is>
          <t>晶匯</t>
        </is>
      </c>
      <c r="H89" s="18" t="inlineStr">
        <is>
          <t>晶匯</t>
        </is>
      </c>
      <c r="I89" s="19" t="inlineStr"/>
      <c r="J89" s="19" t="inlineStr"/>
      <c r="K89" s="18" t="inlineStr"/>
    </row>
    <row r="90">
      <c r="B90" s="19" t="inlineStr">
        <is>
          <t>D027</t>
        </is>
      </c>
      <c r="C90" s="19" t="inlineStr">
        <is>
          <t>楊孟庭</t>
        </is>
      </c>
      <c r="D90" s="19" t="inlineStr">
        <is>
          <t>醫師</t>
        </is>
      </c>
      <c r="E90" s="18" t="inlineStr"/>
      <c r="F90" s="19" t="inlineStr"/>
      <c r="G90" s="19" t="inlineStr">
        <is>
          <t>晶匯</t>
        </is>
      </c>
      <c r="H90" s="18" t="inlineStr">
        <is>
          <t>晶匯</t>
        </is>
      </c>
      <c r="I90" s="19" t="inlineStr"/>
      <c r="J90" s="19" t="inlineStr"/>
      <c r="K90" s="18" t="inlineStr"/>
    </row>
    <row r="91">
      <c r="B91" s="19" t="inlineStr">
        <is>
          <t>N001</t>
        </is>
      </c>
      <c r="C91" s="19" t="inlineStr">
        <is>
          <t>ivy</t>
        </is>
      </c>
      <c r="D91" s="19" t="inlineStr">
        <is>
          <t>醫護長</t>
        </is>
      </c>
      <c r="E91" s="18" t="inlineStr"/>
      <c r="F91" s="19" t="inlineStr"/>
      <c r="G91" s="19" t="inlineStr">
        <is>
          <t>晶悅</t>
        </is>
      </c>
      <c r="H91" s="18" t="inlineStr"/>
      <c r="I91" s="19" t="inlineStr"/>
      <c r="J91" s="19" t="inlineStr"/>
      <c r="K91" s="18" t="inlineStr"/>
    </row>
    <row r="92">
      <c r="B92" s="19" t="inlineStr">
        <is>
          <t>N002</t>
        </is>
      </c>
      <c r="C92" s="19" t="inlineStr">
        <is>
          <t>文君</t>
        </is>
      </c>
      <c r="D92" s="19" t="inlineStr">
        <is>
          <t>醫護長</t>
        </is>
      </c>
      <c r="E92" s="18" t="inlineStr"/>
      <c r="F92" s="19" t="inlineStr"/>
      <c r="G92" s="19" t="inlineStr">
        <is>
          <t>晶睿·晶曜</t>
        </is>
      </c>
      <c r="H92" s="18" t="inlineStr"/>
      <c r="I92" s="19" t="inlineStr"/>
      <c r="J92" s="19" t="inlineStr"/>
      <c r="K92" s="18" t="inlineStr">
        <is>
          <t>兼管晶睿與晶曜</t>
        </is>
      </c>
    </row>
    <row r="93">
      <c r="B93" s="19" t="inlineStr">
        <is>
          <t>N003</t>
        </is>
      </c>
      <c r="C93" s="19" t="inlineStr">
        <is>
          <t>小玲</t>
        </is>
      </c>
      <c r="D93" s="19" t="inlineStr">
        <is>
          <t>醫護長</t>
        </is>
      </c>
      <c r="E93" s="18" t="inlineStr"/>
      <c r="F93" s="19" t="inlineStr"/>
      <c r="G93" s="19" t="inlineStr">
        <is>
          <t>晶匯</t>
        </is>
      </c>
      <c r="H93" s="18" t="inlineStr"/>
      <c r="I93" s="19" t="inlineStr"/>
      <c r="J93" s="19" t="inlineStr"/>
      <c r="K93" s="18" t="inlineStr"/>
    </row>
    <row r="94">
      <c r="B94" s="19" t="inlineStr">
        <is>
          <t>N004</t>
        </is>
      </c>
      <c r="C94" s="19" t="inlineStr">
        <is>
          <t>娜娜</t>
        </is>
      </c>
      <c r="D94" s="19" t="inlineStr">
        <is>
          <t>醫護長</t>
        </is>
      </c>
      <c r="E94" s="18" t="inlineStr"/>
      <c r="F94" s="19" t="inlineStr"/>
      <c r="G94" s="19" t="inlineStr">
        <is>
          <t>寶貝牙</t>
        </is>
      </c>
      <c r="H94" s="18" t="inlineStr"/>
      <c r="I94" s="19" t="inlineStr"/>
      <c r="J94" s="19" t="inlineStr"/>
      <c r="K94" s="18" t="inlineStr"/>
    </row>
    <row r="95">
      <c r="B95" s="19" t="inlineStr">
        <is>
          <t>M001</t>
        </is>
      </c>
      <c r="C95" s="19" t="inlineStr">
        <is>
          <t>孟諭</t>
        </is>
      </c>
      <c r="D95" s="19" t="inlineStr">
        <is>
          <t>管理部</t>
        </is>
      </c>
      <c r="E95" s="18" t="inlineStr"/>
      <c r="F95" s="19" t="inlineStr"/>
      <c r="G95" s="19" t="inlineStr">
        <is>
          <t>晶匯</t>
        </is>
      </c>
      <c r="H95" s="18" t="inlineStr"/>
      <c r="I95" s="19" t="inlineStr"/>
      <c r="J95" s="19" t="inlineStr"/>
      <c r="K95" s="18" t="inlineStr"/>
    </row>
    <row r="96">
      <c r="B96" s="19" t="inlineStr">
        <is>
          <t>M002</t>
        </is>
      </c>
      <c r="C96" s="19" t="inlineStr">
        <is>
          <t>怡雯</t>
        </is>
      </c>
      <c r="D96" s="19" t="inlineStr">
        <is>
          <t>管理部</t>
        </is>
      </c>
      <c r="E96" s="18" t="inlineStr"/>
      <c r="F96" s="19" t="inlineStr"/>
      <c r="G96" s="19" t="inlineStr">
        <is>
          <t>晶匯</t>
        </is>
      </c>
      <c r="H96" s="18" t="inlineStr"/>
      <c r="I96" s="19" t="inlineStr"/>
      <c r="J96" s="19" t="inlineStr"/>
      <c r="K96" s="18" t="inlineStr"/>
    </row>
    <row r="97">
      <c r="B97" s="19" t="inlineStr">
        <is>
          <t>M003</t>
        </is>
      </c>
      <c r="C97" s="19" t="inlineStr">
        <is>
          <t>小華</t>
        </is>
      </c>
      <c r="D97" s="19" t="inlineStr">
        <is>
          <t>管理部</t>
        </is>
      </c>
      <c r="E97" s="18" t="inlineStr"/>
      <c r="F97" s="19" t="inlineStr"/>
      <c r="G97" s="19" t="inlineStr">
        <is>
          <t>晶匯</t>
        </is>
      </c>
      <c r="H97" s="18" t="inlineStr"/>
      <c r="I97" s="19" t="inlineStr"/>
      <c r="J97" s="19" t="inlineStr"/>
      <c r="K97" s="18" t="inlineStr"/>
    </row>
    <row r="98">
      <c r="B98" s="20" t="inlineStr"/>
      <c r="C98" s="20" t="inlineStr"/>
      <c r="D98" s="20" t="inlineStr"/>
      <c r="E98" s="28" t="inlineStr"/>
      <c r="F98" s="20" t="inlineStr"/>
      <c r="G98" s="20" t="inlineStr"/>
      <c r="H98" s="28" t="inlineStr"/>
      <c r="I98" s="20" t="inlineStr"/>
      <c r="J98" s="20" t="inlineStr"/>
      <c r="K98" s="28" t="inlineStr"/>
    </row>
    <row r="99">
      <c r="B99" s="20" t="inlineStr"/>
      <c r="C99" s="20" t="inlineStr"/>
      <c r="D99" s="20" t="inlineStr"/>
      <c r="E99" s="28" t="inlineStr"/>
      <c r="F99" s="20" t="inlineStr"/>
      <c r="G99" s="20" t="inlineStr"/>
      <c r="H99" s="28" t="inlineStr"/>
      <c r="I99" s="20" t="inlineStr"/>
      <c r="J99" s="20" t="inlineStr"/>
      <c r="K99" s="28" t="inlineStr"/>
    </row>
    <row r="100">
      <c r="B100" s="20" t="inlineStr"/>
      <c r="C100" s="20" t="inlineStr"/>
      <c r="D100" s="20" t="inlineStr"/>
      <c r="E100" s="28" t="inlineStr"/>
      <c r="F100" s="20" t="inlineStr"/>
      <c r="G100" s="20" t="inlineStr"/>
      <c r="H100" s="28" t="inlineStr"/>
      <c r="I100" s="20" t="inlineStr"/>
      <c r="J100" s="20" t="inlineStr"/>
      <c r="K100" s="28" t="inlineStr"/>
    </row>
    <row r="101">
      <c r="B101" s="20" t="inlineStr"/>
      <c r="C101" s="20" t="inlineStr"/>
      <c r="D101" s="20" t="inlineStr"/>
      <c r="E101" s="28" t="inlineStr"/>
      <c r="F101" s="20" t="inlineStr"/>
      <c r="G101" s="20" t="inlineStr"/>
      <c r="H101" s="28" t="inlineStr"/>
      <c r="I101" s="20" t="inlineStr"/>
      <c r="J101" s="20" t="inlineStr"/>
      <c r="K101" s="28" t="inlineStr"/>
    </row>
    <row r="102">
      <c r="B102" s="20" t="inlineStr"/>
      <c r="C102" s="20" t="inlineStr"/>
      <c r="D102" s="20" t="inlineStr"/>
      <c r="E102" s="28" t="inlineStr"/>
      <c r="F102" s="20" t="inlineStr"/>
      <c r="G102" s="20" t="inlineStr"/>
      <c r="H102" s="28" t="inlineStr"/>
      <c r="I102" s="20" t="inlineStr"/>
      <c r="J102" s="20" t="inlineStr"/>
      <c r="K102" s="28" t="inlineStr"/>
    </row>
    <row r="103">
      <c r="B103" s="20" t="inlineStr"/>
      <c r="C103" s="20" t="inlineStr"/>
      <c r="D103" s="20" t="inlineStr"/>
      <c r="E103" s="28" t="inlineStr"/>
      <c r="F103" s="20" t="inlineStr"/>
      <c r="G103" s="20" t="inlineStr"/>
      <c r="H103" s="28" t="inlineStr"/>
      <c r="I103" s="20" t="inlineStr"/>
      <c r="J103" s="20" t="inlineStr"/>
      <c r="K103" s="28" t="inlineStr"/>
    </row>
    <row r="104">
      <c r="B104" s="20" t="inlineStr"/>
      <c r="C104" s="20" t="inlineStr"/>
      <c r="D104" s="20" t="inlineStr"/>
      <c r="E104" s="28" t="inlineStr"/>
      <c r="F104" s="20" t="inlineStr"/>
      <c r="G104" s="20" t="inlineStr"/>
      <c r="H104" s="28" t="inlineStr"/>
      <c r="I104" s="20" t="inlineStr"/>
      <c r="J104" s="20" t="inlineStr"/>
      <c r="K104" s="28" t="inlineStr"/>
    </row>
    <row r="105">
      <c r="B105" s="20" t="inlineStr"/>
      <c r="C105" s="20" t="inlineStr"/>
      <c r="D105" s="20" t="inlineStr"/>
      <c r="E105" s="28" t="inlineStr"/>
      <c r="F105" s="20" t="inlineStr"/>
      <c r="G105" s="20" t="inlineStr"/>
      <c r="H105" s="28" t="inlineStr"/>
      <c r="I105" s="20" t="inlineStr"/>
      <c r="J105" s="20" t="inlineStr"/>
      <c r="K105" s="28" t="inlineStr"/>
    </row>
    <row r="106">
      <c r="B106" s="20" t="inlineStr"/>
      <c r="C106" s="20" t="inlineStr"/>
      <c r="D106" s="20" t="inlineStr"/>
      <c r="E106" s="28" t="inlineStr"/>
      <c r="F106" s="20" t="inlineStr"/>
      <c r="G106" s="20" t="inlineStr"/>
      <c r="H106" s="28" t="inlineStr"/>
      <c r="I106" s="20" t="inlineStr"/>
      <c r="J106" s="20" t="inlineStr"/>
      <c r="K106" s="28" t="inlineStr"/>
    </row>
    <row r="107">
      <c r="B107" s="20" t="inlineStr"/>
      <c r="C107" s="20" t="inlineStr"/>
      <c r="D107" s="20" t="inlineStr"/>
      <c r="E107" s="28" t="inlineStr"/>
      <c r="F107" s="20" t="inlineStr"/>
      <c r="G107" s="20" t="inlineStr"/>
      <c r="H107" s="28" t="inlineStr"/>
      <c r="I107" s="20" t="inlineStr"/>
      <c r="J107" s="20" t="inlineStr"/>
      <c r="K107" s="28" t="inlineStr"/>
    </row>
    <row r="108">
      <c r="B108" s="20" t="inlineStr"/>
      <c r="C108" s="20" t="inlineStr"/>
      <c r="D108" s="20" t="inlineStr"/>
      <c r="E108" s="28" t="inlineStr"/>
      <c r="F108" s="20" t="inlineStr"/>
      <c r="G108" s="20" t="inlineStr"/>
      <c r="H108" s="28" t="inlineStr"/>
      <c r="I108" s="20" t="inlineStr"/>
      <c r="J108" s="20" t="inlineStr"/>
      <c r="K108" s="28" t="inlineStr"/>
    </row>
    <row r="109">
      <c r="B109" s="20" t="inlineStr"/>
      <c r="C109" s="20" t="inlineStr"/>
      <c r="D109" s="20" t="inlineStr"/>
      <c r="E109" s="28" t="inlineStr"/>
      <c r="F109" s="20" t="inlineStr"/>
      <c r="G109" s="20" t="inlineStr"/>
      <c r="H109" s="28" t="inlineStr"/>
      <c r="I109" s="20" t="inlineStr"/>
      <c r="J109" s="20" t="inlineStr"/>
      <c r="K109" s="28" t="inlineStr"/>
    </row>
    <row r="110">
      <c r="B110" s="20" t="inlineStr"/>
      <c r="C110" s="20" t="inlineStr"/>
      <c r="D110" s="20" t="inlineStr"/>
      <c r="E110" s="28" t="inlineStr"/>
      <c r="F110" s="20" t="inlineStr"/>
      <c r="G110" s="20" t="inlineStr"/>
      <c r="H110" s="28" t="inlineStr"/>
      <c r="I110" s="20" t="inlineStr"/>
      <c r="J110" s="20" t="inlineStr"/>
      <c r="K110" s="28" t="inlineStr"/>
    </row>
    <row r="111">
      <c r="B111" s="20" t="inlineStr"/>
      <c r="C111" s="20" t="inlineStr"/>
      <c r="D111" s="20" t="inlineStr"/>
      <c r="E111" s="28" t="inlineStr"/>
      <c r="F111" s="20" t="inlineStr"/>
      <c r="G111" s="20" t="inlineStr"/>
      <c r="H111" s="28" t="inlineStr"/>
      <c r="I111" s="20" t="inlineStr"/>
      <c r="J111" s="20" t="inlineStr"/>
      <c r="K111" s="28" t="inlineStr"/>
    </row>
    <row r="112">
      <c r="B112" s="20" t="inlineStr"/>
      <c r="C112" s="20" t="inlineStr"/>
      <c r="D112" s="20" t="inlineStr"/>
      <c r="E112" s="28" t="inlineStr"/>
      <c r="F112" s="20" t="inlineStr"/>
      <c r="G112" s="20" t="inlineStr"/>
      <c r="H112" s="28" t="inlineStr"/>
      <c r="I112" s="20" t="inlineStr"/>
      <c r="J112" s="20" t="inlineStr"/>
      <c r="K112" s="28" t="inlineStr"/>
    </row>
    <row r="113">
      <c r="B113" s="20" t="inlineStr"/>
      <c r="C113" s="20" t="inlineStr"/>
      <c r="D113" s="20" t="inlineStr"/>
      <c r="E113" s="28" t="inlineStr"/>
      <c r="F113" s="20" t="inlineStr"/>
      <c r="G113" s="20" t="inlineStr"/>
      <c r="H113" s="28" t="inlineStr"/>
      <c r="I113" s="20" t="inlineStr"/>
      <c r="J113" s="20" t="inlineStr"/>
      <c r="K113" s="28" t="inlineStr"/>
    </row>
    <row r="114">
      <c r="B114" s="20" t="inlineStr"/>
      <c r="C114" s="20" t="inlineStr"/>
      <c r="D114" s="20" t="inlineStr"/>
      <c r="E114" s="28" t="inlineStr"/>
      <c r="F114" s="20" t="inlineStr"/>
      <c r="G114" s="20" t="inlineStr"/>
      <c r="H114" s="28" t="inlineStr"/>
      <c r="I114" s="20" t="inlineStr"/>
      <c r="J114" s="20" t="inlineStr"/>
      <c r="K114" s="28" t="inlineStr"/>
    </row>
    <row r="115">
      <c r="B115" s="20" t="inlineStr"/>
      <c r="C115" s="20" t="inlineStr"/>
      <c r="D115" s="20" t="inlineStr"/>
      <c r="E115" s="28" t="inlineStr"/>
      <c r="F115" s="20" t="inlineStr"/>
      <c r="G115" s="20" t="inlineStr"/>
      <c r="H115" s="28" t="inlineStr"/>
      <c r="I115" s="20" t="inlineStr"/>
      <c r="J115" s="20" t="inlineStr"/>
      <c r="K115" s="28" t="inlineStr"/>
    </row>
    <row r="116">
      <c r="B116" s="20" t="inlineStr"/>
      <c r="C116" s="20" t="inlineStr"/>
      <c r="D116" s="20" t="inlineStr"/>
      <c r="E116" s="28" t="inlineStr"/>
      <c r="F116" s="20" t="inlineStr"/>
      <c r="G116" s="20" t="inlineStr"/>
      <c r="H116" s="28" t="inlineStr"/>
      <c r="I116" s="20" t="inlineStr"/>
      <c r="J116" s="20" t="inlineStr"/>
      <c r="K116" s="28" t="inlineStr"/>
    </row>
    <row r="117">
      <c r="B117" s="20" t="inlineStr"/>
      <c r="C117" s="20" t="inlineStr"/>
      <c r="D117" s="20" t="inlineStr"/>
      <c r="E117" s="28" t="inlineStr"/>
      <c r="F117" s="20" t="inlineStr"/>
      <c r="G117" s="20" t="inlineStr"/>
      <c r="H117" s="28" t="inlineStr"/>
      <c r="I117" s="20" t="inlineStr"/>
      <c r="J117" s="20" t="inlineStr"/>
      <c r="K117" s="28" t="inlineStr"/>
    </row>
    <row r="118">
      <c r="B118" s="20" t="inlineStr"/>
      <c r="C118" s="20" t="inlineStr"/>
      <c r="D118" s="20" t="inlineStr"/>
      <c r="E118" s="28" t="inlineStr"/>
      <c r="F118" s="20" t="inlineStr"/>
      <c r="G118" s="20" t="inlineStr"/>
      <c r="H118" s="28" t="inlineStr"/>
      <c r="I118" s="20" t="inlineStr"/>
      <c r="J118" s="20" t="inlineStr"/>
      <c r="K118" s="28" t="inlineStr"/>
    </row>
    <row r="119">
      <c r="B119" s="20" t="inlineStr"/>
      <c r="C119" s="20" t="inlineStr"/>
      <c r="D119" s="20" t="inlineStr"/>
      <c r="E119" s="28" t="inlineStr"/>
      <c r="F119" s="20" t="inlineStr"/>
      <c r="G119" s="20" t="inlineStr"/>
      <c r="H119" s="28" t="inlineStr"/>
      <c r="I119" s="20" t="inlineStr"/>
      <c r="J119" s="20" t="inlineStr"/>
      <c r="K119" s="28" t="inlineStr"/>
    </row>
    <row r="120">
      <c r="B120" s="20" t="inlineStr"/>
      <c r="C120" s="20" t="inlineStr"/>
      <c r="D120" s="20" t="inlineStr"/>
      <c r="E120" s="28" t="inlineStr"/>
      <c r="F120" s="20" t="inlineStr"/>
      <c r="G120" s="20" t="inlineStr"/>
      <c r="H120" s="28" t="inlineStr"/>
      <c r="I120" s="20" t="inlineStr"/>
      <c r="J120" s="20" t="inlineStr"/>
      <c r="K120" s="28" t="inlineStr"/>
    </row>
    <row r="121">
      <c r="B121" s="20" t="inlineStr"/>
      <c r="C121" s="20" t="inlineStr"/>
      <c r="D121" s="20" t="inlineStr"/>
      <c r="E121" s="28" t="inlineStr"/>
      <c r="F121" s="20" t="inlineStr"/>
      <c r="G121" s="20" t="inlineStr"/>
      <c r="H121" s="28" t="inlineStr"/>
      <c r="I121" s="20" t="inlineStr"/>
      <c r="J121" s="20" t="inlineStr"/>
      <c r="K121" s="28" t="inlineStr"/>
    </row>
    <row r="122">
      <c r="B122" s="20" t="inlineStr"/>
      <c r="C122" s="20" t="inlineStr"/>
      <c r="D122" s="20" t="inlineStr"/>
      <c r="E122" s="28" t="inlineStr"/>
      <c r="F122" s="20" t="inlineStr"/>
      <c r="G122" s="20" t="inlineStr"/>
      <c r="H122" s="28" t="inlineStr"/>
      <c r="I122" s="20" t="inlineStr"/>
      <c r="J122" s="20" t="inlineStr"/>
      <c r="K122" s="28" t="inlineStr"/>
    </row>
    <row r="123">
      <c r="B123" s="20" t="inlineStr"/>
      <c r="C123" s="20" t="inlineStr"/>
      <c r="D123" s="20" t="inlineStr"/>
      <c r="E123" s="28" t="inlineStr"/>
      <c r="F123" s="20" t="inlineStr"/>
      <c r="G123" s="20" t="inlineStr"/>
      <c r="H123" s="28" t="inlineStr"/>
      <c r="I123" s="20" t="inlineStr"/>
      <c r="J123" s="20" t="inlineStr"/>
      <c r="K123" s="28" t="inlineStr"/>
    </row>
    <row r="124">
      <c r="B124" s="20" t="inlineStr"/>
      <c r="C124" s="20" t="inlineStr"/>
      <c r="D124" s="20" t="inlineStr"/>
      <c r="E124" s="28" t="inlineStr"/>
      <c r="F124" s="20" t="inlineStr"/>
      <c r="G124" s="20" t="inlineStr"/>
      <c r="H124" s="28" t="inlineStr"/>
      <c r="I124" s="20" t="inlineStr"/>
      <c r="J124" s="20" t="inlineStr"/>
      <c r="K124" s="28" t="inlineStr"/>
    </row>
    <row r="125">
      <c r="B125" s="20" t="inlineStr"/>
      <c r="C125" s="20" t="inlineStr"/>
      <c r="D125" s="20" t="inlineStr"/>
      <c r="E125" s="28" t="inlineStr"/>
      <c r="F125" s="20" t="inlineStr"/>
      <c r="G125" s="20" t="inlineStr"/>
      <c r="H125" s="28" t="inlineStr"/>
      <c r="I125" s="20" t="inlineStr"/>
      <c r="J125" s="20" t="inlineStr"/>
      <c r="K125" s="28" t="inlineStr"/>
    </row>
    <row r="126">
      <c r="B126" s="20" t="inlineStr"/>
      <c r="C126" s="20" t="inlineStr"/>
      <c r="D126" s="20" t="inlineStr"/>
      <c r="E126" s="28" t="inlineStr"/>
      <c r="F126" s="20" t="inlineStr"/>
      <c r="G126" s="20" t="inlineStr"/>
      <c r="H126" s="28" t="inlineStr"/>
      <c r="I126" s="20" t="inlineStr"/>
      <c r="J126" s="20" t="inlineStr"/>
      <c r="K126" s="28" t="inlineStr"/>
    </row>
    <row r="127">
      <c r="B127" s="20" t="inlineStr"/>
      <c r="C127" s="20" t="inlineStr"/>
      <c r="D127" s="20" t="inlineStr"/>
      <c r="E127" s="28" t="inlineStr"/>
      <c r="F127" s="20" t="inlineStr"/>
      <c r="G127" s="20" t="inlineStr"/>
      <c r="H127" s="28" t="inlineStr"/>
      <c r="I127" s="20" t="inlineStr"/>
      <c r="J127" s="20" t="inlineStr"/>
      <c r="K127" s="28" t="inlineStr"/>
    </row>
    <row r="128">
      <c r="B128" s="20" t="inlineStr"/>
      <c r="C128" s="20" t="inlineStr"/>
      <c r="D128" s="20" t="inlineStr"/>
      <c r="E128" s="28" t="inlineStr"/>
      <c r="F128" s="20" t="inlineStr"/>
      <c r="G128" s="20" t="inlineStr"/>
      <c r="H128" s="28" t="inlineStr"/>
      <c r="I128" s="20" t="inlineStr"/>
      <c r="J128" s="20" t="inlineStr"/>
      <c r="K128" s="28" t="inlineStr"/>
    </row>
    <row r="129">
      <c r="B129" s="20" t="inlineStr"/>
      <c r="C129" s="20" t="inlineStr"/>
      <c r="D129" s="20" t="inlineStr"/>
      <c r="E129" s="28" t="inlineStr"/>
      <c r="F129" s="20" t="inlineStr"/>
      <c r="G129" s="20" t="inlineStr"/>
      <c r="H129" s="28" t="inlineStr"/>
      <c r="I129" s="20" t="inlineStr"/>
      <c r="J129" s="20" t="inlineStr"/>
      <c r="K129" s="28" t="inlineStr"/>
    </row>
    <row r="130">
      <c r="B130" s="20" t="inlineStr"/>
      <c r="C130" s="20" t="inlineStr"/>
      <c r="D130" s="20" t="inlineStr"/>
      <c r="E130" s="28" t="inlineStr"/>
      <c r="F130" s="20" t="inlineStr"/>
      <c r="G130" s="20" t="inlineStr"/>
      <c r="H130" s="28" t="inlineStr"/>
      <c r="I130" s="20" t="inlineStr"/>
      <c r="J130" s="20" t="inlineStr"/>
      <c r="K130" s="28" t="inlineStr"/>
    </row>
    <row r="131">
      <c r="B131" s="20" t="inlineStr"/>
      <c r="C131" s="20" t="inlineStr"/>
      <c r="D131" s="20" t="inlineStr"/>
      <c r="E131" s="28" t="inlineStr"/>
      <c r="F131" s="20" t="inlineStr"/>
      <c r="G131" s="20" t="inlineStr"/>
      <c r="H131" s="28" t="inlineStr"/>
      <c r="I131" s="20" t="inlineStr"/>
      <c r="J131" s="20" t="inlineStr"/>
      <c r="K131" s="28" t="inlineStr"/>
    </row>
    <row r="132">
      <c r="B132" s="20" t="inlineStr"/>
      <c r="C132" s="20" t="inlineStr"/>
      <c r="D132" s="20" t="inlineStr"/>
      <c r="E132" s="28" t="inlineStr"/>
      <c r="F132" s="20" t="inlineStr"/>
      <c r="G132" s="20" t="inlineStr"/>
      <c r="H132" s="28" t="inlineStr"/>
      <c r="I132" s="20" t="inlineStr"/>
      <c r="J132" s="20" t="inlineStr"/>
      <c r="K132" s="28" t="inlineStr"/>
    </row>
    <row r="133">
      <c r="B133" s="20" t="inlineStr"/>
      <c r="C133" s="20" t="inlineStr"/>
      <c r="D133" s="20" t="inlineStr"/>
      <c r="E133" s="28" t="inlineStr"/>
      <c r="F133" s="20" t="inlineStr"/>
      <c r="G133" s="20" t="inlineStr"/>
      <c r="H133" s="28" t="inlineStr"/>
      <c r="I133" s="20" t="inlineStr"/>
      <c r="J133" s="20" t="inlineStr"/>
      <c r="K133" s="28" t="inlineStr"/>
    </row>
    <row r="134">
      <c r="B134" s="20" t="inlineStr"/>
      <c r="C134" s="20" t="inlineStr"/>
      <c r="D134" s="20" t="inlineStr"/>
      <c r="E134" s="28" t="inlineStr"/>
      <c r="F134" s="20" t="inlineStr"/>
      <c r="G134" s="20" t="inlineStr"/>
      <c r="H134" s="28" t="inlineStr"/>
      <c r="I134" s="20" t="inlineStr"/>
      <c r="J134" s="20" t="inlineStr"/>
      <c r="K134" s="28" t="inlineStr"/>
    </row>
    <row r="135">
      <c r="B135" s="20" t="inlineStr"/>
      <c r="C135" s="20" t="inlineStr"/>
      <c r="D135" s="20" t="inlineStr"/>
      <c r="E135" s="28" t="inlineStr"/>
      <c r="F135" s="20" t="inlineStr"/>
      <c r="G135" s="20" t="inlineStr"/>
      <c r="H135" s="28" t="inlineStr"/>
      <c r="I135" s="20" t="inlineStr"/>
      <c r="J135" s="20" t="inlineStr"/>
      <c r="K135" s="28" t="inlineStr"/>
    </row>
    <row r="136">
      <c r="B136" s="20" t="inlineStr"/>
      <c r="C136" s="20" t="inlineStr"/>
      <c r="D136" s="20" t="inlineStr"/>
      <c r="E136" s="28" t="inlineStr"/>
      <c r="F136" s="20" t="inlineStr"/>
      <c r="G136" s="20" t="inlineStr"/>
      <c r="H136" s="28" t="inlineStr"/>
      <c r="I136" s="20" t="inlineStr"/>
      <c r="J136" s="20" t="inlineStr"/>
      <c r="K136" s="28" t="inlineStr"/>
    </row>
    <row r="137">
      <c r="B137" s="20" t="inlineStr"/>
      <c r="C137" s="20" t="inlineStr"/>
      <c r="D137" s="20" t="inlineStr"/>
      <c r="E137" s="28" t="inlineStr"/>
      <c r="F137" s="20" t="inlineStr"/>
      <c r="G137" s="20" t="inlineStr"/>
      <c r="H137" s="28" t="inlineStr"/>
      <c r="I137" s="20" t="inlineStr"/>
      <c r="J137" s="20" t="inlineStr"/>
      <c r="K137" s="28" t="inlineStr"/>
    </row>
    <row r="138">
      <c r="B138" s="20" t="inlineStr"/>
      <c r="C138" s="20" t="inlineStr"/>
      <c r="D138" s="20" t="inlineStr"/>
      <c r="E138" s="28" t="inlineStr"/>
      <c r="F138" s="20" t="inlineStr"/>
      <c r="G138" s="20" t="inlineStr"/>
      <c r="H138" s="28" t="inlineStr"/>
      <c r="I138" s="20" t="inlineStr"/>
      <c r="J138" s="20" t="inlineStr"/>
      <c r="K138" s="28" t="inlineStr"/>
    </row>
    <row r="139">
      <c r="B139" s="20" t="inlineStr"/>
      <c r="C139" s="20" t="inlineStr"/>
      <c r="D139" s="20" t="inlineStr"/>
      <c r="E139" s="28" t="inlineStr"/>
      <c r="F139" s="20" t="inlineStr"/>
      <c r="G139" s="20" t="inlineStr"/>
      <c r="H139" s="28" t="inlineStr"/>
      <c r="I139" s="20" t="inlineStr"/>
      <c r="J139" s="20" t="inlineStr"/>
      <c r="K139" s="28" t="inlineStr"/>
    </row>
    <row r="140">
      <c r="B140" s="20" t="inlineStr"/>
      <c r="C140" s="20" t="inlineStr"/>
      <c r="D140" s="20" t="inlineStr"/>
      <c r="E140" s="28" t="inlineStr"/>
      <c r="F140" s="20" t="inlineStr"/>
      <c r="G140" s="20" t="inlineStr"/>
      <c r="H140" s="28" t="inlineStr"/>
      <c r="I140" s="20" t="inlineStr"/>
      <c r="J140" s="20" t="inlineStr"/>
      <c r="K140" s="28" t="inlineStr"/>
    </row>
    <row r="141">
      <c r="B141" s="20" t="inlineStr"/>
      <c r="C141" s="20" t="inlineStr"/>
      <c r="D141" s="20" t="inlineStr"/>
      <c r="E141" s="28" t="inlineStr"/>
      <c r="F141" s="20" t="inlineStr"/>
      <c r="G141" s="20" t="inlineStr"/>
      <c r="H141" s="28" t="inlineStr"/>
      <c r="I141" s="20" t="inlineStr"/>
      <c r="J141" s="20" t="inlineStr"/>
      <c r="K141" s="28" t="inlineStr"/>
    </row>
    <row r="142">
      <c r="B142" s="20" t="inlineStr"/>
      <c r="C142" s="20" t="inlineStr"/>
      <c r="D142" s="20" t="inlineStr"/>
      <c r="E142" s="28" t="inlineStr"/>
      <c r="F142" s="20" t="inlineStr"/>
      <c r="G142" s="20" t="inlineStr"/>
      <c r="H142" s="28" t="inlineStr"/>
      <c r="I142" s="20" t="inlineStr"/>
      <c r="J142" s="20" t="inlineStr"/>
      <c r="K142" s="28" t="inlineStr"/>
    </row>
    <row r="143">
      <c r="B143" s="20" t="inlineStr"/>
      <c r="C143" s="20" t="inlineStr"/>
      <c r="D143" s="20" t="inlineStr"/>
      <c r="E143" s="28" t="inlineStr"/>
      <c r="F143" s="20" t="inlineStr"/>
      <c r="G143" s="20" t="inlineStr"/>
      <c r="H143" s="28" t="inlineStr"/>
      <c r="I143" s="20" t="inlineStr"/>
      <c r="J143" s="20" t="inlineStr"/>
      <c r="K143" s="28" t="inlineStr"/>
    </row>
    <row r="144">
      <c r="B144" s="20" t="inlineStr"/>
      <c r="C144" s="20" t="inlineStr"/>
      <c r="D144" s="20" t="inlineStr"/>
      <c r="E144" s="28" t="inlineStr"/>
      <c r="F144" s="20" t="inlineStr"/>
      <c r="G144" s="20" t="inlineStr"/>
      <c r="H144" s="28" t="inlineStr"/>
      <c r="I144" s="20" t="inlineStr"/>
      <c r="J144" s="20" t="inlineStr"/>
      <c r="K144" s="28" t="inlineStr"/>
    </row>
    <row r="145">
      <c r="B145" s="20" t="inlineStr"/>
      <c r="C145" s="20" t="inlineStr"/>
      <c r="D145" s="20" t="inlineStr"/>
      <c r="E145" s="28" t="inlineStr"/>
      <c r="F145" s="20" t="inlineStr"/>
      <c r="G145" s="20" t="inlineStr"/>
      <c r="H145" s="28" t="inlineStr"/>
      <c r="I145" s="20" t="inlineStr"/>
      <c r="J145" s="20" t="inlineStr"/>
      <c r="K145" s="28" t="inlineStr"/>
    </row>
    <row r="146">
      <c r="B146" s="20" t="inlineStr"/>
      <c r="C146" s="20" t="inlineStr"/>
      <c r="D146" s="20" t="inlineStr"/>
      <c r="E146" s="28" t="inlineStr"/>
      <c r="F146" s="20" t="inlineStr"/>
      <c r="G146" s="20" t="inlineStr"/>
      <c r="H146" s="28" t="inlineStr"/>
      <c r="I146" s="20" t="inlineStr"/>
      <c r="J146" s="20" t="inlineStr"/>
      <c r="K146" s="28" t="inlineStr"/>
    </row>
    <row r="147">
      <c r="B147" s="20" t="inlineStr"/>
      <c r="C147" s="20" t="inlineStr"/>
      <c r="D147" s="20" t="inlineStr"/>
      <c r="E147" s="28" t="inlineStr"/>
      <c r="F147" s="20" t="inlineStr"/>
      <c r="G147" s="20" t="inlineStr"/>
      <c r="H147" s="28" t="inlineStr"/>
      <c r="I147" s="20" t="inlineStr"/>
      <c r="J147" s="20" t="inlineStr"/>
      <c r="K147" s="28" t="inlineStr"/>
    </row>
    <row r="148">
      <c r="B148" s="20" t="inlineStr"/>
      <c r="C148" s="20" t="inlineStr"/>
      <c r="D148" s="20" t="inlineStr"/>
      <c r="E148" s="28" t="inlineStr"/>
      <c r="F148" s="20" t="inlineStr"/>
      <c r="G148" s="20" t="inlineStr"/>
      <c r="H148" s="28" t="inlineStr"/>
      <c r="I148" s="20" t="inlineStr"/>
      <c r="J148" s="20" t="inlineStr"/>
      <c r="K148" s="28" t="inlineStr"/>
    </row>
    <row r="149">
      <c r="B149" s="20" t="inlineStr"/>
      <c r="C149" s="20" t="inlineStr"/>
      <c r="D149" s="20" t="inlineStr"/>
      <c r="E149" s="28" t="inlineStr"/>
      <c r="F149" s="20" t="inlineStr"/>
      <c r="G149" s="20" t="inlineStr"/>
      <c r="H149" s="28" t="inlineStr"/>
      <c r="I149" s="20" t="inlineStr"/>
      <c r="J149" s="20" t="inlineStr"/>
      <c r="K149" s="28" t="inlineStr"/>
    </row>
    <row r="150">
      <c r="B150" s="20" t="inlineStr"/>
      <c r="C150" s="20" t="inlineStr"/>
      <c r="D150" s="20" t="inlineStr"/>
      <c r="E150" s="28" t="inlineStr"/>
      <c r="F150" s="20" t="inlineStr"/>
      <c r="G150" s="20" t="inlineStr"/>
      <c r="H150" s="28" t="inlineStr"/>
      <c r="I150" s="20" t="inlineStr"/>
      <c r="J150" s="20" t="inlineStr"/>
      <c r="K150" s="28" t="inlineStr"/>
    </row>
    <row r="151">
      <c r="B151" s="20" t="inlineStr"/>
      <c r="C151" s="20" t="inlineStr"/>
      <c r="D151" s="20" t="inlineStr"/>
      <c r="E151" s="28" t="inlineStr"/>
      <c r="F151" s="20" t="inlineStr"/>
      <c r="G151" s="20" t="inlineStr"/>
      <c r="H151" s="28" t="inlineStr"/>
      <c r="I151" s="20" t="inlineStr"/>
      <c r="J151" s="20" t="inlineStr"/>
      <c r="K151" s="28" t="inlineStr"/>
    </row>
    <row r="152">
      <c r="B152" s="20" t="inlineStr"/>
      <c r="C152" s="20" t="inlineStr"/>
      <c r="D152" s="20" t="inlineStr"/>
      <c r="E152" s="28" t="inlineStr"/>
      <c r="F152" s="20" t="inlineStr"/>
      <c r="G152" s="20" t="inlineStr"/>
      <c r="H152" s="28" t="inlineStr"/>
      <c r="I152" s="20" t="inlineStr"/>
      <c r="J152" s="20" t="inlineStr"/>
      <c r="K152" s="28" t="inlineStr"/>
    </row>
    <row r="153">
      <c r="B153" s="20" t="inlineStr"/>
      <c r="C153" s="20" t="inlineStr"/>
      <c r="D153" s="20" t="inlineStr"/>
      <c r="E153" s="28" t="inlineStr"/>
      <c r="F153" s="20" t="inlineStr"/>
      <c r="G153" s="20" t="inlineStr"/>
      <c r="H153" s="28" t="inlineStr"/>
      <c r="I153" s="20" t="inlineStr"/>
      <c r="J153" s="20" t="inlineStr"/>
      <c r="K153" s="28" t="inlineStr"/>
    </row>
    <row r="154">
      <c r="B154" s="20" t="inlineStr"/>
      <c r="C154" s="20" t="inlineStr"/>
      <c r="D154" s="20" t="inlineStr"/>
      <c r="E154" s="28" t="inlineStr"/>
      <c r="F154" s="20" t="inlineStr"/>
      <c r="G154" s="20" t="inlineStr"/>
      <c r="H154" s="28" t="inlineStr"/>
      <c r="I154" s="20" t="inlineStr"/>
      <c r="J154" s="20" t="inlineStr"/>
      <c r="K154" s="28" t="inlineStr"/>
    </row>
    <row r="155">
      <c r="B155" s="20" t="inlineStr"/>
      <c r="C155" s="20" t="inlineStr"/>
      <c r="D155" s="20" t="inlineStr"/>
      <c r="E155" s="28" t="inlineStr"/>
      <c r="F155" s="20" t="inlineStr"/>
      <c r="G155" s="20" t="inlineStr"/>
      <c r="H155" s="28" t="inlineStr"/>
      <c r="I155" s="20" t="inlineStr"/>
      <c r="J155" s="20" t="inlineStr"/>
      <c r="K155" s="28" t="inlineStr"/>
    </row>
    <row r="156">
      <c r="B156" s="20" t="inlineStr"/>
      <c r="C156" s="20" t="inlineStr"/>
      <c r="D156" s="20" t="inlineStr"/>
      <c r="E156" s="28" t="inlineStr"/>
      <c r="F156" s="20" t="inlineStr"/>
      <c r="G156" s="20" t="inlineStr"/>
      <c r="H156" s="28" t="inlineStr"/>
      <c r="I156" s="20" t="inlineStr"/>
      <c r="J156" s="20" t="inlineStr"/>
      <c r="K156" s="28" t="inlineStr"/>
    </row>
    <row r="157">
      <c r="B157" s="20" t="inlineStr"/>
      <c r="C157" s="20" t="inlineStr"/>
      <c r="D157" s="20" t="inlineStr"/>
      <c r="E157" s="28" t="inlineStr"/>
      <c r="F157" s="20" t="inlineStr"/>
      <c r="G157" s="20" t="inlineStr"/>
      <c r="H157" s="28" t="inlineStr"/>
      <c r="I157" s="20" t="inlineStr"/>
      <c r="J157" s="20" t="inlineStr"/>
      <c r="K157" s="28" t="inlineStr"/>
    </row>
    <row r="158">
      <c r="B158" s="20" t="inlineStr"/>
      <c r="C158" s="20" t="inlineStr"/>
      <c r="D158" s="20" t="inlineStr"/>
      <c r="E158" s="28" t="inlineStr"/>
      <c r="F158" s="20" t="inlineStr"/>
      <c r="G158" s="20" t="inlineStr"/>
      <c r="H158" s="28" t="inlineStr"/>
      <c r="I158" s="20" t="inlineStr"/>
      <c r="J158" s="20" t="inlineStr"/>
      <c r="K158" s="28" t="inlineStr"/>
    </row>
    <row r="159">
      <c r="B159" s="20" t="inlineStr"/>
      <c r="C159" s="20" t="inlineStr"/>
      <c r="D159" s="20" t="inlineStr"/>
      <c r="E159" s="28" t="inlineStr"/>
      <c r="F159" s="20" t="inlineStr"/>
      <c r="G159" s="20" t="inlineStr"/>
      <c r="H159" s="28" t="inlineStr"/>
      <c r="I159" s="20" t="inlineStr"/>
      <c r="J159" s="20" t="inlineStr"/>
      <c r="K159" s="28" t="inlineStr"/>
    </row>
    <row r="160">
      <c r="B160" s="20" t="inlineStr"/>
      <c r="C160" s="20" t="inlineStr"/>
      <c r="D160" s="20" t="inlineStr"/>
      <c r="E160" s="28" t="inlineStr"/>
      <c r="F160" s="20" t="inlineStr"/>
      <c r="G160" s="20" t="inlineStr"/>
      <c r="H160" s="28" t="inlineStr"/>
      <c r="I160" s="20" t="inlineStr"/>
      <c r="J160" s="20" t="inlineStr"/>
      <c r="K160" s="28" t="inlineStr"/>
    </row>
    <row r="161">
      <c r="B161" s="20" t="inlineStr"/>
      <c r="C161" s="20" t="inlineStr"/>
      <c r="D161" s="20" t="inlineStr"/>
      <c r="E161" s="28" t="inlineStr"/>
      <c r="F161" s="20" t="inlineStr"/>
      <c r="G161" s="20" t="inlineStr"/>
      <c r="H161" s="28" t="inlineStr"/>
      <c r="I161" s="20" t="inlineStr"/>
      <c r="J161" s="20" t="inlineStr"/>
      <c r="K161" s="28" t="inlineStr"/>
    </row>
    <row r="162">
      <c r="B162" s="20" t="inlineStr"/>
      <c r="C162" s="20" t="inlineStr"/>
      <c r="D162" s="20" t="inlineStr"/>
      <c r="E162" s="28" t="inlineStr"/>
      <c r="F162" s="20" t="inlineStr"/>
      <c r="G162" s="20" t="inlineStr"/>
      <c r="H162" s="28" t="inlineStr"/>
      <c r="I162" s="20" t="inlineStr"/>
      <c r="J162" s="20" t="inlineStr"/>
      <c r="K162" s="28" t="inlineStr"/>
    </row>
    <row r="163">
      <c r="B163" s="20" t="inlineStr"/>
      <c r="C163" s="20" t="inlineStr"/>
      <c r="D163" s="20" t="inlineStr"/>
      <c r="E163" s="28" t="inlineStr"/>
      <c r="F163" s="20" t="inlineStr"/>
      <c r="G163" s="20" t="inlineStr"/>
      <c r="H163" s="28" t="inlineStr"/>
      <c r="I163" s="20" t="inlineStr"/>
      <c r="J163" s="20" t="inlineStr"/>
      <c r="K163" s="28" t="inlineStr"/>
    </row>
    <row r="164">
      <c r="B164" s="20" t="inlineStr"/>
      <c r="C164" s="20" t="inlineStr"/>
      <c r="D164" s="20" t="inlineStr"/>
      <c r="E164" s="28" t="inlineStr"/>
      <c r="F164" s="20" t="inlineStr"/>
      <c r="G164" s="20" t="inlineStr"/>
      <c r="H164" s="28" t="inlineStr"/>
      <c r="I164" s="20" t="inlineStr"/>
      <c r="J164" s="20" t="inlineStr"/>
      <c r="K164" s="28" t="inlineStr"/>
    </row>
    <row r="165">
      <c r="B165" s="20" t="inlineStr"/>
      <c r="C165" s="20" t="inlineStr"/>
      <c r="D165" s="20" t="inlineStr"/>
      <c r="E165" s="28" t="inlineStr"/>
      <c r="F165" s="20" t="inlineStr"/>
      <c r="G165" s="20" t="inlineStr"/>
      <c r="H165" s="28" t="inlineStr"/>
      <c r="I165" s="20" t="inlineStr"/>
      <c r="J165" s="20" t="inlineStr"/>
      <c r="K165" s="28" t="inlineStr"/>
    </row>
    <row r="166">
      <c r="B166" s="20" t="inlineStr"/>
      <c r="C166" s="20" t="inlineStr"/>
      <c r="D166" s="20" t="inlineStr"/>
      <c r="E166" s="28" t="inlineStr"/>
      <c r="F166" s="20" t="inlineStr"/>
      <c r="G166" s="20" t="inlineStr"/>
      <c r="H166" s="28" t="inlineStr"/>
      <c r="I166" s="20" t="inlineStr"/>
      <c r="J166" s="20" t="inlineStr"/>
      <c r="K166" s="28" t="inlineStr"/>
    </row>
    <row r="167">
      <c r="B167" s="20" t="inlineStr"/>
      <c r="C167" s="20" t="inlineStr"/>
      <c r="D167" s="20" t="inlineStr"/>
      <c r="E167" s="28" t="inlineStr"/>
      <c r="F167" s="20" t="inlineStr"/>
      <c r="G167" s="20" t="inlineStr"/>
      <c r="H167" s="28" t="inlineStr"/>
      <c r="I167" s="20" t="inlineStr"/>
      <c r="J167" s="20" t="inlineStr"/>
      <c r="K167" s="28" t="inlineStr"/>
    </row>
    <row r="168">
      <c r="B168" s="20" t="inlineStr"/>
      <c r="C168" s="20" t="inlineStr"/>
      <c r="D168" s="20" t="inlineStr"/>
      <c r="E168" s="28" t="inlineStr"/>
      <c r="F168" s="20" t="inlineStr"/>
      <c r="G168" s="20" t="inlineStr"/>
      <c r="H168" s="28" t="inlineStr"/>
      <c r="I168" s="20" t="inlineStr"/>
      <c r="J168" s="20" t="inlineStr"/>
      <c r="K168" s="28" t="inlineStr"/>
    </row>
    <row r="169">
      <c r="B169" s="20" t="inlineStr"/>
      <c r="C169" s="20" t="inlineStr"/>
      <c r="D169" s="20" t="inlineStr"/>
      <c r="E169" s="28" t="inlineStr"/>
      <c r="F169" s="20" t="inlineStr"/>
      <c r="G169" s="20" t="inlineStr"/>
      <c r="H169" s="28" t="inlineStr"/>
      <c r="I169" s="20" t="inlineStr"/>
      <c r="J169" s="20" t="inlineStr"/>
      <c r="K169" s="28" t="inlineStr"/>
    </row>
    <row r="170">
      <c r="B170" s="20" t="inlineStr"/>
      <c r="C170" s="20" t="inlineStr"/>
      <c r="D170" s="20" t="inlineStr"/>
      <c r="E170" s="28" t="inlineStr"/>
      <c r="F170" s="20" t="inlineStr"/>
      <c r="G170" s="20" t="inlineStr"/>
      <c r="H170" s="28" t="inlineStr"/>
      <c r="I170" s="20" t="inlineStr"/>
      <c r="J170" s="20" t="inlineStr"/>
      <c r="K170" s="28" t="inlineStr"/>
    </row>
    <row r="171">
      <c r="B171" s="20" t="inlineStr"/>
      <c r="C171" s="20" t="inlineStr"/>
      <c r="D171" s="20" t="inlineStr"/>
      <c r="E171" s="28" t="inlineStr"/>
      <c r="F171" s="20" t="inlineStr"/>
      <c r="G171" s="20" t="inlineStr"/>
      <c r="H171" s="28" t="inlineStr"/>
      <c r="I171" s="20" t="inlineStr"/>
      <c r="J171" s="20" t="inlineStr"/>
      <c r="K171" s="28" t="inlineStr"/>
    </row>
    <row r="172">
      <c r="B172" s="20" t="inlineStr"/>
      <c r="C172" s="20" t="inlineStr"/>
      <c r="D172" s="20" t="inlineStr"/>
      <c r="E172" s="28" t="inlineStr"/>
      <c r="F172" s="20" t="inlineStr"/>
      <c r="G172" s="20" t="inlineStr"/>
      <c r="H172" s="28" t="inlineStr"/>
      <c r="I172" s="20" t="inlineStr"/>
      <c r="J172" s="20" t="inlineStr"/>
      <c r="K172" s="28" t="inlineStr"/>
    </row>
    <row r="173">
      <c r="B173" s="20" t="inlineStr"/>
      <c r="C173" s="20" t="inlineStr"/>
      <c r="D173" s="20" t="inlineStr"/>
      <c r="E173" s="28" t="inlineStr"/>
      <c r="F173" s="20" t="inlineStr"/>
      <c r="G173" s="20" t="inlineStr"/>
      <c r="H173" s="28" t="inlineStr"/>
      <c r="I173" s="20" t="inlineStr"/>
      <c r="J173" s="20" t="inlineStr"/>
      <c r="K173" s="28" t="inlineStr"/>
    </row>
    <row r="174">
      <c r="B174" s="20" t="inlineStr"/>
      <c r="C174" s="20" t="inlineStr"/>
      <c r="D174" s="20" t="inlineStr"/>
      <c r="E174" s="28" t="inlineStr"/>
      <c r="F174" s="20" t="inlineStr"/>
      <c r="G174" s="20" t="inlineStr"/>
      <c r="H174" s="28" t="inlineStr"/>
      <c r="I174" s="20" t="inlineStr"/>
      <c r="J174" s="20" t="inlineStr"/>
      <c r="K174" s="28" t="inlineStr"/>
    </row>
    <row r="175">
      <c r="B175" s="20" t="inlineStr"/>
      <c r="C175" s="20" t="inlineStr"/>
      <c r="D175" s="20" t="inlineStr"/>
      <c r="E175" s="28" t="inlineStr"/>
      <c r="F175" s="20" t="inlineStr"/>
      <c r="G175" s="20" t="inlineStr"/>
      <c r="H175" s="28" t="inlineStr"/>
      <c r="I175" s="20" t="inlineStr"/>
      <c r="J175" s="20" t="inlineStr"/>
      <c r="K175" s="28" t="inlineStr"/>
    </row>
    <row r="176">
      <c r="B176" s="20" t="inlineStr"/>
      <c r="C176" s="20" t="inlineStr"/>
      <c r="D176" s="20" t="inlineStr"/>
      <c r="E176" s="28" t="inlineStr"/>
      <c r="F176" s="20" t="inlineStr"/>
      <c r="G176" s="20" t="inlineStr"/>
      <c r="H176" s="28" t="inlineStr"/>
      <c r="I176" s="20" t="inlineStr"/>
      <c r="J176" s="20" t="inlineStr"/>
      <c r="K176" s="28" t="inlineStr"/>
    </row>
    <row r="177">
      <c r="B177" s="20" t="inlineStr"/>
      <c r="C177" s="20" t="inlineStr"/>
      <c r="D177" s="20" t="inlineStr"/>
      <c r="E177" s="28" t="inlineStr"/>
      <c r="F177" s="20" t="inlineStr"/>
      <c r="G177" s="20" t="inlineStr"/>
      <c r="H177" s="28" t="inlineStr"/>
      <c r="I177" s="20" t="inlineStr"/>
      <c r="J177" s="20" t="inlineStr"/>
      <c r="K177" s="28" t="inlineStr"/>
    </row>
    <row r="178">
      <c r="B178" s="20" t="inlineStr"/>
      <c r="C178" s="20" t="inlineStr"/>
      <c r="D178" s="20" t="inlineStr"/>
      <c r="E178" s="28" t="inlineStr"/>
      <c r="F178" s="20" t="inlineStr"/>
      <c r="G178" s="20" t="inlineStr"/>
      <c r="H178" s="28" t="inlineStr"/>
      <c r="I178" s="20" t="inlineStr"/>
      <c r="J178" s="20" t="inlineStr"/>
      <c r="K178" s="28" t="inlineStr"/>
    </row>
    <row r="179">
      <c r="B179" s="20" t="inlineStr"/>
      <c r="C179" s="20" t="inlineStr"/>
      <c r="D179" s="20" t="inlineStr"/>
      <c r="E179" s="28" t="inlineStr"/>
      <c r="F179" s="20" t="inlineStr"/>
      <c r="G179" s="20" t="inlineStr"/>
      <c r="H179" s="28" t="inlineStr"/>
      <c r="I179" s="20" t="inlineStr"/>
      <c r="J179" s="20" t="inlineStr"/>
      <c r="K179" s="28" t="inlineStr"/>
    </row>
    <row r="180">
      <c r="B180" s="20" t="inlineStr"/>
      <c r="C180" s="20" t="inlineStr"/>
      <c r="D180" s="20" t="inlineStr"/>
      <c r="E180" s="28" t="inlineStr"/>
      <c r="F180" s="20" t="inlineStr"/>
      <c r="G180" s="20" t="inlineStr"/>
      <c r="H180" s="28" t="inlineStr"/>
      <c r="I180" s="20" t="inlineStr"/>
      <c r="J180" s="20" t="inlineStr"/>
      <c r="K180" s="28" t="inlineStr"/>
    </row>
    <row r="181">
      <c r="B181" s="20" t="inlineStr"/>
      <c r="C181" s="20" t="inlineStr"/>
      <c r="D181" s="20" t="inlineStr"/>
      <c r="E181" s="28" t="inlineStr"/>
      <c r="F181" s="20" t="inlineStr"/>
      <c r="G181" s="20" t="inlineStr"/>
      <c r="H181" s="28" t="inlineStr"/>
      <c r="I181" s="20" t="inlineStr"/>
      <c r="J181" s="20" t="inlineStr"/>
      <c r="K181" s="28" t="inlineStr"/>
    </row>
    <row r="182">
      <c r="B182" s="20" t="inlineStr"/>
      <c r="C182" s="20" t="inlineStr"/>
      <c r="D182" s="20" t="inlineStr"/>
      <c r="E182" s="28" t="inlineStr"/>
      <c r="F182" s="20" t="inlineStr"/>
      <c r="G182" s="20" t="inlineStr"/>
      <c r="H182" s="28" t="inlineStr"/>
      <c r="I182" s="20" t="inlineStr"/>
      <c r="J182" s="20" t="inlineStr"/>
      <c r="K182" s="28" t="inlineStr"/>
    </row>
    <row r="183">
      <c r="B183" s="20" t="inlineStr"/>
      <c r="C183" s="20" t="inlineStr"/>
      <c r="D183" s="20" t="inlineStr"/>
      <c r="E183" s="28" t="inlineStr"/>
      <c r="F183" s="20" t="inlineStr"/>
      <c r="G183" s="20" t="inlineStr"/>
      <c r="H183" s="28" t="inlineStr"/>
      <c r="I183" s="20" t="inlineStr"/>
      <c r="J183" s="20" t="inlineStr"/>
      <c r="K183" s="28" t="inlineStr"/>
    </row>
    <row r="184">
      <c r="B184" s="20" t="inlineStr"/>
      <c r="C184" s="20" t="inlineStr"/>
      <c r="D184" s="20" t="inlineStr"/>
      <c r="E184" s="28" t="inlineStr"/>
      <c r="F184" s="20" t="inlineStr"/>
      <c r="G184" s="20" t="inlineStr"/>
      <c r="H184" s="28" t="inlineStr"/>
      <c r="I184" s="20" t="inlineStr"/>
      <c r="J184" s="20" t="inlineStr"/>
      <c r="K184" s="28" t="inlineStr"/>
    </row>
    <row r="185">
      <c r="B185" s="20" t="inlineStr"/>
      <c r="C185" s="20" t="inlineStr"/>
      <c r="D185" s="20" t="inlineStr"/>
      <c r="E185" s="28" t="inlineStr"/>
      <c r="F185" s="20" t="inlineStr"/>
      <c r="G185" s="20" t="inlineStr"/>
      <c r="H185" s="28" t="inlineStr"/>
      <c r="I185" s="20" t="inlineStr"/>
      <c r="J185" s="20" t="inlineStr"/>
      <c r="K185" s="28" t="inlineStr"/>
    </row>
    <row r="186">
      <c r="B186" s="20" t="inlineStr"/>
      <c r="C186" s="20" t="inlineStr"/>
      <c r="D186" s="20" t="inlineStr"/>
      <c r="E186" s="28" t="inlineStr"/>
      <c r="F186" s="20" t="inlineStr"/>
      <c r="G186" s="20" t="inlineStr"/>
      <c r="H186" s="28" t="inlineStr"/>
      <c r="I186" s="20" t="inlineStr"/>
      <c r="J186" s="20" t="inlineStr"/>
      <c r="K186" s="28" t="inlineStr"/>
    </row>
    <row r="187">
      <c r="B187" s="20" t="inlineStr"/>
      <c r="C187" s="20" t="inlineStr"/>
      <c r="D187" s="20" t="inlineStr"/>
      <c r="E187" s="28" t="inlineStr"/>
      <c r="F187" s="20" t="inlineStr"/>
      <c r="G187" s="20" t="inlineStr"/>
      <c r="H187" s="28" t="inlineStr"/>
      <c r="I187" s="20" t="inlineStr"/>
      <c r="J187" s="20" t="inlineStr"/>
      <c r="K187" s="28" t="inlineStr"/>
    </row>
    <row r="188">
      <c r="B188" s="20" t="inlineStr"/>
      <c r="C188" s="20" t="inlineStr"/>
      <c r="D188" s="20" t="inlineStr"/>
      <c r="E188" s="28" t="inlineStr"/>
      <c r="F188" s="20" t="inlineStr"/>
      <c r="G188" s="20" t="inlineStr"/>
      <c r="H188" s="28" t="inlineStr"/>
      <c r="I188" s="20" t="inlineStr"/>
      <c r="J188" s="20" t="inlineStr"/>
      <c r="K188" s="28" t="inlineStr"/>
    </row>
    <row r="189">
      <c r="B189" s="20" t="inlineStr"/>
      <c r="C189" s="20" t="inlineStr"/>
      <c r="D189" s="20" t="inlineStr"/>
      <c r="E189" s="28" t="inlineStr"/>
      <c r="F189" s="20" t="inlineStr"/>
      <c r="G189" s="20" t="inlineStr"/>
      <c r="H189" s="28" t="inlineStr"/>
      <c r="I189" s="20" t="inlineStr"/>
      <c r="J189" s="20" t="inlineStr"/>
      <c r="K189" s="28" t="inlineStr"/>
    </row>
    <row r="190">
      <c r="B190" s="20" t="inlineStr"/>
      <c r="C190" s="20" t="inlineStr"/>
      <c r="D190" s="20" t="inlineStr"/>
      <c r="E190" s="28" t="inlineStr"/>
      <c r="F190" s="20" t="inlineStr"/>
      <c r="G190" s="20" t="inlineStr"/>
      <c r="H190" s="28" t="inlineStr"/>
      <c r="I190" s="20" t="inlineStr"/>
      <c r="J190" s="20" t="inlineStr"/>
      <c r="K190" s="28" t="inlineStr"/>
    </row>
    <row r="191">
      <c r="B191" s="20" t="inlineStr"/>
      <c r="C191" s="20" t="inlineStr"/>
      <c r="D191" s="20" t="inlineStr"/>
      <c r="E191" s="28" t="inlineStr"/>
      <c r="F191" s="20" t="inlineStr"/>
      <c r="G191" s="20" t="inlineStr"/>
      <c r="H191" s="28" t="inlineStr"/>
      <c r="I191" s="20" t="inlineStr"/>
      <c r="J191" s="20" t="inlineStr"/>
      <c r="K191" s="28" t="inlineStr"/>
    </row>
    <row r="192">
      <c r="B192" s="20" t="inlineStr"/>
      <c r="C192" s="20" t="inlineStr"/>
      <c r="D192" s="20" t="inlineStr"/>
      <c r="E192" s="28" t="inlineStr"/>
      <c r="F192" s="20" t="inlineStr"/>
      <c r="G192" s="20" t="inlineStr"/>
      <c r="H192" s="28" t="inlineStr"/>
      <c r="I192" s="20" t="inlineStr"/>
      <c r="J192" s="20" t="inlineStr"/>
      <c r="K192" s="28" t="inlineStr"/>
    </row>
    <row r="193">
      <c r="B193" s="20" t="inlineStr"/>
      <c r="C193" s="20" t="inlineStr"/>
      <c r="D193" s="20" t="inlineStr"/>
      <c r="E193" s="28" t="inlineStr"/>
      <c r="F193" s="20" t="inlineStr"/>
      <c r="G193" s="20" t="inlineStr"/>
      <c r="H193" s="28" t="inlineStr"/>
      <c r="I193" s="20" t="inlineStr"/>
      <c r="J193" s="20" t="inlineStr"/>
      <c r="K193" s="28" t="inlineStr"/>
    </row>
    <row r="194">
      <c r="B194" s="20" t="inlineStr"/>
      <c r="C194" s="20" t="inlineStr"/>
      <c r="D194" s="20" t="inlineStr"/>
      <c r="E194" s="28" t="inlineStr"/>
      <c r="F194" s="20" t="inlineStr"/>
      <c r="G194" s="20" t="inlineStr"/>
      <c r="H194" s="28" t="inlineStr"/>
      <c r="I194" s="20" t="inlineStr"/>
      <c r="J194" s="20" t="inlineStr"/>
      <c r="K194" s="28" t="inlineStr"/>
    </row>
    <row r="195">
      <c r="B195" s="20" t="inlineStr"/>
      <c r="C195" s="20" t="inlineStr"/>
      <c r="D195" s="20" t="inlineStr"/>
      <c r="E195" s="28" t="inlineStr"/>
      <c r="F195" s="20" t="inlineStr"/>
      <c r="G195" s="20" t="inlineStr"/>
      <c r="H195" s="28" t="inlineStr"/>
      <c r="I195" s="20" t="inlineStr"/>
      <c r="J195" s="20" t="inlineStr"/>
      <c r="K195" s="28" t="inlineStr"/>
    </row>
    <row r="196">
      <c r="B196" s="20" t="inlineStr"/>
      <c r="C196" s="20" t="inlineStr"/>
      <c r="D196" s="20" t="inlineStr"/>
      <c r="E196" s="28" t="inlineStr"/>
      <c r="F196" s="20" t="inlineStr"/>
      <c r="G196" s="20" t="inlineStr"/>
      <c r="H196" s="28" t="inlineStr"/>
      <c r="I196" s="20" t="inlineStr"/>
      <c r="J196" s="20" t="inlineStr"/>
      <c r="K196" s="28" t="inlineStr"/>
    </row>
    <row r="197">
      <c r="B197" s="20" t="inlineStr"/>
      <c r="C197" s="20" t="inlineStr"/>
      <c r="D197" s="20" t="inlineStr"/>
      <c r="E197" s="28" t="inlineStr"/>
      <c r="F197" s="20" t="inlineStr"/>
      <c r="G197" s="20" t="inlineStr"/>
      <c r="H197" s="28" t="inlineStr"/>
      <c r="I197" s="20" t="inlineStr"/>
      <c r="J197" s="20" t="inlineStr"/>
      <c r="K197" s="28" t="inlineStr"/>
    </row>
    <row r="198">
      <c r="B198" s="20" t="inlineStr"/>
      <c r="C198" s="20" t="inlineStr"/>
      <c r="D198" s="20" t="inlineStr"/>
      <c r="E198" s="28" t="inlineStr"/>
      <c r="F198" s="20" t="inlineStr"/>
      <c r="G198" s="20" t="inlineStr"/>
      <c r="H198" s="28" t="inlineStr"/>
      <c r="I198" s="20" t="inlineStr"/>
      <c r="J198" s="20" t="inlineStr"/>
      <c r="K198" s="28" t="inlineStr"/>
    </row>
    <row r="199">
      <c r="B199" s="20" t="inlineStr"/>
      <c r="C199" s="20" t="inlineStr"/>
      <c r="D199" s="20" t="inlineStr"/>
      <c r="E199" s="28" t="inlineStr"/>
      <c r="F199" s="20" t="inlineStr"/>
      <c r="G199" s="20" t="inlineStr"/>
      <c r="H199" s="28" t="inlineStr"/>
      <c r="I199" s="20" t="inlineStr"/>
      <c r="J199" s="20" t="inlineStr"/>
      <c r="K199" s="28" t="inlineStr"/>
    </row>
    <row r="200">
      <c r="B200" s="20" t="inlineStr"/>
      <c r="C200" s="20" t="inlineStr"/>
      <c r="D200" s="20" t="inlineStr"/>
      <c r="E200" s="28" t="inlineStr"/>
      <c r="F200" s="20" t="inlineStr"/>
      <c r="G200" s="20" t="inlineStr"/>
      <c r="H200" s="28" t="inlineStr"/>
      <c r="I200" s="20" t="inlineStr"/>
      <c r="J200" s="20" t="inlineStr"/>
      <c r="K200" s="28" t="inlineStr"/>
    </row>
    <row r="201">
      <c r="B201" s="20" t="inlineStr"/>
      <c r="C201" s="20" t="inlineStr"/>
      <c r="D201" s="20" t="inlineStr"/>
      <c r="E201" s="28" t="inlineStr"/>
      <c r="F201" s="20" t="inlineStr"/>
      <c r="G201" s="20" t="inlineStr"/>
      <c r="H201" s="28" t="inlineStr"/>
      <c r="I201" s="20" t="inlineStr"/>
      <c r="J201" s="20" t="inlineStr"/>
      <c r="K201" s="28" t="inlineStr"/>
    </row>
    <row r="202">
      <c r="B202" s="20" t="inlineStr"/>
      <c r="C202" s="20" t="inlineStr"/>
      <c r="D202" s="20" t="inlineStr"/>
      <c r="E202" s="28" t="inlineStr"/>
      <c r="F202" s="20" t="inlineStr"/>
      <c r="G202" s="20" t="inlineStr"/>
      <c r="H202" s="28" t="inlineStr"/>
      <c r="I202" s="20" t="inlineStr"/>
      <c r="J202" s="20" t="inlineStr"/>
      <c r="K202" s="28" t="inlineStr"/>
    </row>
    <row r="203">
      <c r="B203" s="20" t="inlineStr"/>
      <c r="C203" s="20" t="inlineStr"/>
      <c r="D203" s="20" t="inlineStr"/>
      <c r="E203" s="28" t="inlineStr"/>
      <c r="F203" s="20" t="inlineStr"/>
      <c r="G203" s="20" t="inlineStr"/>
      <c r="H203" s="28" t="inlineStr"/>
      <c r="I203" s="20" t="inlineStr"/>
      <c r="J203" s="20" t="inlineStr"/>
      <c r="K203" s="28" t="inlineStr"/>
    </row>
  </sheetData>
  <mergeCells count="13">
    <mergeCell ref="D46:J46"/>
    <mergeCell ref="U53:AO53"/>
    <mergeCell ref="G31:J31"/>
    <mergeCell ref="D48:J48"/>
    <mergeCell ref="AP5:AR5"/>
    <mergeCell ref="D47:J47"/>
    <mergeCell ref="G29:J29"/>
    <mergeCell ref="G30:J30"/>
    <mergeCell ref="W4:Y4"/>
    <mergeCell ref="G33:J33"/>
    <mergeCell ref="D49:J49"/>
    <mergeCell ref="G32:J32"/>
    <mergeCell ref="G28:J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7.2" customWidth="1" min="3" max="3"/>
    <col width="7.2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7.2" customWidth="1" min="12" max="12"/>
    <col width="7.2" customWidth="1" min="13" max="13"/>
    <col width="7.2" customWidth="1" min="14" max="14"/>
    <col width="7.2" customWidth="1" min="15" max="15"/>
    <col width="7.2" customWidth="1" min="16" max="16"/>
    <col width="7.2" customWidth="1" min="17" max="17"/>
    <col width="7.2" customWidth="1" min="18" max="18"/>
    <col width="7.2" customWidth="1" min="19" max="19"/>
    <col width="7.2" customWidth="1" min="20" max="20"/>
    <col width="3" customWidth="1" min="21" max="21"/>
    <col width="40" customWidth="1" min="22" max="22"/>
  </cols>
  <sheetData>
    <row r="1">
      <c r="A1" s="1" t="inlineStr">
        <is>
          <t>醫師週班表(固定門診表 · 這是排月班的母表)</t>
        </is>
      </c>
    </row>
    <row r="2">
      <c r="A2" s="6" t="inlineStr">
        <is>
          <t>資料來源:官網五間院所門診表頁面,由原始碼直接解析產生(231 筆逐格比對一致)。格內寫法見「設定」分頁的「二之二、醫師週班表的標記」。改這裡等於改固定門診:「醫師班表」整個月的對應格子會立刻跟著變,月結也會。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週一</t>
        </is>
      </c>
      <c r="D3" s="8" t="n"/>
      <c r="E3" s="9" t="n"/>
      <c r="F3" s="10" t="inlineStr">
        <is>
          <t>週二</t>
        </is>
      </c>
      <c r="G3" s="8" t="n"/>
      <c r="H3" s="9" t="n"/>
      <c r="I3" s="10" t="inlineStr">
        <is>
          <t>週三</t>
        </is>
      </c>
      <c r="J3" s="8" t="n"/>
      <c r="K3" s="9" t="n"/>
      <c r="L3" s="10" t="inlineStr">
        <is>
          <t>週四</t>
        </is>
      </c>
      <c r="M3" s="8" t="n"/>
      <c r="N3" s="9" t="n"/>
      <c r="O3" s="10" t="inlineStr">
        <is>
          <t>週五</t>
        </is>
      </c>
      <c r="P3" s="8" t="n"/>
      <c r="Q3" s="9" t="n"/>
      <c r="R3" s="10" t="inlineStr">
        <is>
          <t>週六</t>
        </is>
      </c>
      <c r="S3" s="8" t="n"/>
      <c r="T3" s="9" t="n"/>
      <c r="V3" s="10" t="inlineStr">
        <is>
          <t>附註</t>
        </is>
      </c>
    </row>
    <row r="4">
      <c r="A4" s="45" t="n"/>
      <c r="B4" s="45" t="n"/>
      <c r="C4" s="46" t="inlineStr">
        <is>
          <t>早</t>
        </is>
      </c>
      <c r="D4" s="47" t="inlineStr">
        <is>
          <t>午</t>
        </is>
      </c>
      <c r="E4" s="47" t="inlineStr">
        <is>
          <t>晚</t>
        </is>
      </c>
      <c r="F4" s="46" t="inlineStr">
        <is>
          <t>早</t>
        </is>
      </c>
      <c r="G4" s="47" t="inlineStr">
        <is>
          <t>午</t>
        </is>
      </c>
      <c r="H4" s="47" t="inlineStr">
        <is>
          <t>晚</t>
        </is>
      </c>
      <c r="I4" s="46" t="inlineStr">
        <is>
          <t>早</t>
        </is>
      </c>
      <c r="J4" s="47" t="inlineStr">
        <is>
          <t>午</t>
        </is>
      </c>
      <c r="K4" s="47" t="inlineStr">
        <is>
          <t>晚</t>
        </is>
      </c>
      <c r="L4" s="46" t="inlineStr">
        <is>
          <t>早</t>
        </is>
      </c>
      <c r="M4" s="47" t="inlineStr">
        <is>
          <t>午</t>
        </is>
      </c>
      <c r="N4" s="47" t="inlineStr">
        <is>
          <t>晚</t>
        </is>
      </c>
      <c r="O4" s="46" t="inlineStr">
        <is>
          <t>早</t>
        </is>
      </c>
      <c r="P4" s="47" t="inlineStr">
        <is>
          <t>午</t>
        </is>
      </c>
      <c r="Q4" s="47" t="inlineStr">
        <is>
          <t>晚</t>
        </is>
      </c>
      <c r="R4" s="46" t="inlineStr">
        <is>
          <t>早</t>
        </is>
      </c>
      <c r="S4" s="47" t="inlineStr">
        <is>
          <t>午</t>
        </is>
      </c>
      <c r="T4" s="47" t="inlineStr">
        <is>
          <t>晚</t>
        </is>
      </c>
      <c r="V4" s="45" t="n"/>
    </row>
    <row r="5" ht="17" customHeight="1">
      <c r="A5" s="19" t="inlineStr">
        <is>
          <t>D001</t>
        </is>
      </c>
      <c r="B5" s="16" t="inlineStr">
        <is>
          <t>林智俊</t>
        </is>
      </c>
      <c r="C5" s="48" t="n"/>
      <c r="D5" s="49" t="inlineStr">
        <is>
          <t>悅</t>
        </is>
      </c>
      <c r="E5" s="49" t="inlineStr">
        <is>
          <t>悅</t>
        </is>
      </c>
      <c r="F5" s="50" t="inlineStr">
        <is>
          <t>曜</t>
        </is>
      </c>
      <c r="G5" s="51" t="inlineStr">
        <is>
          <t>曜</t>
        </is>
      </c>
      <c r="H5" s="52" t="n"/>
      <c r="I5" s="53" t="inlineStr">
        <is>
          <t>悅</t>
        </is>
      </c>
      <c r="J5" s="49" t="inlineStr">
        <is>
          <t>悅</t>
        </is>
      </c>
      <c r="K5" s="49" t="inlineStr">
        <is>
          <t>悅</t>
        </is>
      </c>
      <c r="L5" s="48" t="n"/>
      <c r="M5" s="54" t="inlineStr">
        <is>
          <t>匯</t>
        </is>
      </c>
      <c r="N5" s="54" t="inlineStr">
        <is>
          <t>匯</t>
        </is>
      </c>
      <c r="O5" s="48" t="n"/>
      <c r="P5" s="49" t="inlineStr">
        <is>
          <t>悅</t>
        </is>
      </c>
      <c r="Q5" s="49" t="inlineStr">
        <is>
          <t>悅</t>
        </is>
      </c>
      <c r="R5" s="53" t="inlineStr">
        <is>
          <t>悅(隔)</t>
        </is>
      </c>
      <c r="S5" s="52" t="n"/>
      <c r="T5" s="52" t="n"/>
      <c r="V5" s="55" t="inlineStr"/>
    </row>
    <row r="6" ht="17" customHeight="1">
      <c r="A6" s="19" t="inlineStr">
        <is>
          <t>D002</t>
        </is>
      </c>
      <c r="B6" s="16" t="inlineStr">
        <is>
          <t>劉立德</t>
        </is>
      </c>
      <c r="C6" s="50" t="inlineStr">
        <is>
          <t>曜</t>
        </is>
      </c>
      <c r="D6" s="51" t="inlineStr">
        <is>
          <t>曜</t>
        </is>
      </c>
      <c r="E6" s="51" t="inlineStr">
        <is>
          <t>曜</t>
        </is>
      </c>
      <c r="F6" s="48" t="n"/>
      <c r="G6" s="56" t="inlineStr">
        <is>
          <t>睿</t>
        </is>
      </c>
      <c r="H6" s="56" t="inlineStr">
        <is>
          <t>睿</t>
        </is>
      </c>
      <c r="I6" s="57" t="inlineStr">
        <is>
          <t>睿/曜</t>
        </is>
      </c>
      <c r="J6" s="56" t="inlineStr">
        <is>
          <t>睿/曜</t>
        </is>
      </c>
      <c r="K6" s="52" t="n"/>
      <c r="L6" s="50" t="inlineStr">
        <is>
          <t>曜</t>
        </is>
      </c>
      <c r="M6" s="51" t="inlineStr">
        <is>
          <t>曜</t>
        </is>
      </c>
      <c r="N6" s="51" t="inlineStr">
        <is>
          <t>曜</t>
        </is>
      </c>
      <c r="O6" s="48" t="n"/>
      <c r="P6" s="56" t="inlineStr">
        <is>
          <t>睿</t>
        </is>
      </c>
      <c r="Q6" s="56" t="inlineStr">
        <is>
          <t>睿</t>
        </is>
      </c>
      <c r="R6" s="48" t="n"/>
      <c r="S6" s="52" t="n"/>
      <c r="T6" s="52" t="n"/>
      <c r="V6" s="55" t="inlineStr"/>
    </row>
    <row r="7" ht="17" customHeight="1">
      <c r="A7" s="19" t="inlineStr">
        <is>
          <t>D003</t>
        </is>
      </c>
      <c r="B7" s="16" t="inlineStr">
        <is>
          <t>王泳泉</t>
        </is>
      </c>
      <c r="C7" s="48" t="n"/>
      <c r="D7" s="49" t="inlineStr">
        <is>
          <t>悅/睿</t>
        </is>
      </c>
      <c r="E7" s="49" t="inlineStr">
        <is>
          <t>悅/睿</t>
        </is>
      </c>
      <c r="F7" s="48" t="n"/>
      <c r="G7" s="52" t="n"/>
      <c r="H7" s="52" t="n"/>
      <c r="I7" s="48" t="n"/>
      <c r="J7" s="49" t="inlineStr">
        <is>
          <t>悅</t>
        </is>
      </c>
      <c r="K7" s="49" t="inlineStr">
        <is>
          <t>悅</t>
        </is>
      </c>
      <c r="L7" s="48" t="n"/>
      <c r="M7" s="52" t="n"/>
      <c r="N7" s="52" t="n"/>
      <c r="O7" s="48" t="n"/>
      <c r="P7" s="52" t="n"/>
      <c r="Q7" s="52" t="n"/>
      <c r="R7" s="53" t="inlineStr">
        <is>
          <t>悅</t>
        </is>
      </c>
      <c r="S7" s="52" t="n"/>
      <c r="T7" s="52" t="n"/>
      <c r="V7" s="55" t="inlineStr"/>
    </row>
    <row r="8" ht="17" customHeight="1">
      <c r="A8" s="19" t="inlineStr">
        <is>
          <t>D004</t>
        </is>
      </c>
      <c r="B8" s="16" t="inlineStr">
        <is>
          <t>劉玠旻</t>
        </is>
      </c>
      <c r="C8" s="48" t="n"/>
      <c r="D8" s="49" t="inlineStr">
        <is>
          <t>悅(隔)</t>
        </is>
      </c>
      <c r="E8" s="52" t="n"/>
      <c r="F8" s="53" t="inlineStr">
        <is>
          <t>悅</t>
        </is>
      </c>
      <c r="G8" s="49" t="inlineStr">
        <is>
          <t>悅</t>
        </is>
      </c>
      <c r="H8" s="52" t="n"/>
      <c r="I8" s="48" t="n"/>
      <c r="J8" s="51" t="inlineStr">
        <is>
          <t>曜</t>
        </is>
      </c>
      <c r="K8" s="52" t="n"/>
      <c r="L8" s="57" t="inlineStr">
        <is>
          <t>睿</t>
        </is>
      </c>
      <c r="M8" s="56" t="inlineStr">
        <is>
          <t>睿</t>
        </is>
      </c>
      <c r="N8" s="52" t="n"/>
      <c r="O8" s="48" t="n"/>
      <c r="P8" s="52" t="n"/>
      <c r="Q8" s="52" t="n"/>
      <c r="R8" s="48" t="n"/>
      <c r="S8" s="52" t="n"/>
      <c r="T8" s="52" t="n"/>
      <c r="V8" s="55" t="inlineStr"/>
    </row>
    <row r="9" ht="17" customHeight="1">
      <c r="A9" s="19" t="inlineStr">
        <is>
          <t>D005</t>
        </is>
      </c>
      <c r="B9" s="16" t="inlineStr">
        <is>
          <t>陳志僑</t>
        </is>
      </c>
      <c r="C9" s="48" t="n"/>
      <c r="D9" s="52" t="n"/>
      <c r="E9" s="52" t="n"/>
      <c r="F9" s="53" t="inlineStr">
        <is>
          <t>悅</t>
        </is>
      </c>
      <c r="G9" s="49" t="inlineStr">
        <is>
          <t>悅</t>
        </is>
      </c>
      <c r="H9" s="56" t="inlineStr">
        <is>
          <t>睿</t>
        </is>
      </c>
      <c r="I9" s="48" t="n"/>
      <c r="J9" s="52" t="n"/>
      <c r="K9" s="52" t="n"/>
      <c r="L9" s="48" t="n"/>
      <c r="M9" s="52" t="n"/>
      <c r="N9" s="52" t="n"/>
      <c r="O9" s="48" t="n"/>
      <c r="P9" s="52" t="n"/>
      <c r="Q9" s="52" t="n"/>
      <c r="R9" s="48" t="n"/>
      <c r="S9" s="52" t="n"/>
      <c r="T9" s="52" t="n"/>
      <c r="V9" s="55" t="inlineStr"/>
    </row>
    <row r="10" ht="17" customHeight="1">
      <c r="A10" s="19" t="inlineStr">
        <is>
          <t>D006</t>
        </is>
      </c>
      <c r="B10" s="16" t="inlineStr">
        <is>
          <t>黃榆鈞</t>
        </is>
      </c>
      <c r="C10" s="48" t="n"/>
      <c r="D10" s="52" t="n"/>
      <c r="E10" s="52" t="n"/>
      <c r="F10" s="48" t="n"/>
      <c r="G10" s="58" t="inlineStr">
        <is>
          <t>寶(不定)</t>
        </is>
      </c>
      <c r="H10" s="58" t="inlineStr">
        <is>
          <t>寶</t>
        </is>
      </c>
      <c r="I10" s="48" t="n"/>
      <c r="J10" s="52" t="n"/>
      <c r="K10" s="52" t="n"/>
      <c r="L10" s="48" t="n"/>
      <c r="M10" s="49" t="inlineStr">
        <is>
          <t>悅(註)</t>
        </is>
      </c>
      <c r="N10" s="49" t="inlineStr">
        <is>
          <t>悅(註)</t>
        </is>
      </c>
      <c r="O10" s="48" t="n"/>
      <c r="P10" s="52" t="n"/>
      <c r="Q10" s="52" t="n"/>
      <c r="R10" s="59" t="inlineStr">
        <is>
          <t>寶(不定)</t>
        </is>
      </c>
      <c r="S10" s="58" t="inlineStr">
        <is>
          <t>寶(不定)</t>
        </is>
      </c>
      <c r="T10" s="52" t="n"/>
      <c r="V10" s="55" t="inlineStr">
        <is>
          <t>黃榆鈞:每月1日15:30後 / 黃榆鈞:每月1日</t>
        </is>
      </c>
    </row>
    <row r="11" ht="17" customHeight="1">
      <c r="A11" s="19" t="inlineStr">
        <is>
          <t>D007</t>
        </is>
      </c>
      <c r="B11" s="16" t="inlineStr">
        <is>
          <t>温翊君</t>
        </is>
      </c>
      <c r="C11" s="48" t="n"/>
      <c r="D11" s="52" t="n"/>
      <c r="E11" s="52" t="n"/>
      <c r="F11" s="48" t="n"/>
      <c r="G11" s="49" t="inlineStr">
        <is>
          <t>悅</t>
        </is>
      </c>
      <c r="H11" s="49" t="inlineStr">
        <is>
          <t>悅</t>
        </is>
      </c>
      <c r="I11" s="48" t="n"/>
      <c r="J11" s="52" t="n"/>
      <c r="K11" s="52" t="n"/>
      <c r="L11" s="48" t="n"/>
      <c r="M11" s="52" t="n"/>
      <c r="N11" s="52" t="n"/>
      <c r="O11" s="48" t="n"/>
      <c r="P11" s="52" t="n"/>
      <c r="Q11" s="52" t="n"/>
      <c r="R11" s="53" t="inlineStr">
        <is>
          <t>悅</t>
        </is>
      </c>
      <c r="S11" s="49" t="inlineStr">
        <is>
          <t>悅</t>
        </is>
      </c>
      <c r="T11" s="52" t="n"/>
      <c r="V11" s="55" t="inlineStr"/>
    </row>
    <row r="12" ht="17" customHeight="1">
      <c r="A12" s="19" t="inlineStr">
        <is>
          <t>D008</t>
        </is>
      </c>
      <c r="B12" s="16" t="inlineStr">
        <is>
          <t>林紫亭</t>
        </is>
      </c>
      <c r="C12" s="48" t="n"/>
      <c r="D12" s="52" t="n"/>
      <c r="E12" s="52" t="n"/>
      <c r="F12" s="53" t="inlineStr">
        <is>
          <t>悅</t>
        </is>
      </c>
      <c r="G12" s="49" t="inlineStr">
        <is>
          <t>悅</t>
        </is>
      </c>
      <c r="H12" s="49" t="inlineStr">
        <is>
          <t>悅</t>
        </is>
      </c>
      <c r="I12" s="48" t="n"/>
      <c r="J12" s="52" t="n"/>
      <c r="K12" s="52" t="n"/>
      <c r="L12" s="48" t="n"/>
      <c r="M12" s="52" t="n"/>
      <c r="N12" s="52" t="n"/>
      <c r="O12" s="48" t="n"/>
      <c r="P12" s="52" t="n"/>
      <c r="Q12" s="52" t="n"/>
      <c r="R12" s="53" t="inlineStr">
        <is>
          <t>悅</t>
        </is>
      </c>
      <c r="S12" s="49" t="inlineStr">
        <is>
          <t>悅</t>
        </is>
      </c>
      <c r="T12" s="52" t="n"/>
      <c r="V12" s="55" t="inlineStr"/>
    </row>
    <row r="13" ht="17" customHeight="1">
      <c r="A13" s="19" t="inlineStr">
        <is>
          <t>D009</t>
        </is>
      </c>
      <c r="B13" s="16" t="inlineStr">
        <is>
          <t>陳昺元</t>
        </is>
      </c>
      <c r="C13" s="48" t="n"/>
      <c r="D13" s="52" t="n"/>
      <c r="E13" s="52" t="n"/>
      <c r="F13" s="48" t="n"/>
      <c r="G13" s="52" t="n"/>
      <c r="H13" s="52" t="n"/>
      <c r="I13" s="53" t="inlineStr">
        <is>
          <t>悅</t>
        </is>
      </c>
      <c r="J13" s="49" t="inlineStr">
        <is>
          <t>悅</t>
        </is>
      </c>
      <c r="K13" s="49" t="inlineStr">
        <is>
          <t>悅</t>
        </is>
      </c>
      <c r="L13" s="48" t="n"/>
      <c r="M13" s="58" t="inlineStr">
        <is>
          <t>寶</t>
        </is>
      </c>
      <c r="N13" s="58" t="inlineStr">
        <is>
          <t>寶</t>
        </is>
      </c>
      <c r="O13" s="60" t="inlineStr">
        <is>
          <t>匯</t>
        </is>
      </c>
      <c r="P13" s="54" t="inlineStr">
        <is>
          <t>匯</t>
        </is>
      </c>
      <c r="Q13" s="54" t="inlineStr">
        <is>
          <t>匯</t>
        </is>
      </c>
      <c r="R13" s="53" t="inlineStr">
        <is>
          <t>悅/匯</t>
        </is>
      </c>
      <c r="S13" s="49" t="inlineStr">
        <is>
          <t>悅/匯</t>
        </is>
      </c>
      <c r="T13" s="52" t="n"/>
      <c r="V13" s="55" t="inlineStr"/>
    </row>
    <row r="14" ht="17" customHeight="1">
      <c r="A14" s="19" t="inlineStr">
        <is>
          <t>D010</t>
        </is>
      </c>
      <c r="B14" s="16" t="inlineStr">
        <is>
          <t>蔡季軒</t>
        </is>
      </c>
      <c r="C14" s="53" t="inlineStr">
        <is>
          <t>悅</t>
        </is>
      </c>
      <c r="D14" s="49" t="inlineStr">
        <is>
          <t>悅</t>
        </is>
      </c>
      <c r="E14" s="49" t="inlineStr">
        <is>
          <t>悅</t>
        </is>
      </c>
      <c r="F14" s="48" t="n"/>
      <c r="G14" s="49" t="inlineStr">
        <is>
          <t>悅</t>
        </is>
      </c>
      <c r="H14" s="49" t="inlineStr">
        <is>
          <t>悅</t>
        </is>
      </c>
      <c r="I14" s="53" t="inlineStr">
        <is>
          <t>悅</t>
        </is>
      </c>
      <c r="J14" s="49" t="inlineStr">
        <is>
          <t>悅</t>
        </is>
      </c>
      <c r="K14" s="52" t="n"/>
      <c r="L14" s="48" t="n"/>
      <c r="M14" s="52" t="n"/>
      <c r="N14" s="52" t="n"/>
      <c r="O14" s="53" t="inlineStr">
        <is>
          <t>悅</t>
        </is>
      </c>
      <c r="P14" s="49" t="inlineStr">
        <is>
          <t>悅</t>
        </is>
      </c>
      <c r="Q14" s="49" t="inlineStr">
        <is>
          <t>悅</t>
        </is>
      </c>
      <c r="R14" s="48" t="n"/>
      <c r="S14" s="52" t="n"/>
      <c r="T14" s="52" t="n"/>
      <c r="V14" s="55" t="inlineStr"/>
    </row>
    <row r="15" ht="17" customHeight="1">
      <c r="A15" s="19" t="inlineStr">
        <is>
          <t>D011</t>
        </is>
      </c>
      <c r="B15" s="16" t="inlineStr">
        <is>
          <t>温健成</t>
        </is>
      </c>
      <c r="C15" s="48" t="n"/>
      <c r="D15" s="54" t="inlineStr">
        <is>
          <t>匯</t>
        </is>
      </c>
      <c r="E15" s="54" t="inlineStr">
        <is>
          <t>匯</t>
        </is>
      </c>
      <c r="F15" s="57" t="inlineStr">
        <is>
          <t>睿</t>
        </is>
      </c>
      <c r="G15" s="56" t="inlineStr">
        <is>
          <t>睿</t>
        </is>
      </c>
      <c r="H15" s="56" t="inlineStr">
        <is>
          <t>睿</t>
        </is>
      </c>
      <c r="I15" s="48" t="n"/>
      <c r="J15" s="54" t="inlineStr">
        <is>
          <t>匯</t>
        </is>
      </c>
      <c r="K15" s="54" t="inlineStr">
        <is>
          <t>匯</t>
        </is>
      </c>
      <c r="L15" s="57" t="inlineStr">
        <is>
          <t>睿</t>
        </is>
      </c>
      <c r="M15" s="56" t="inlineStr">
        <is>
          <t>睿</t>
        </is>
      </c>
      <c r="N15" s="56" t="inlineStr">
        <is>
          <t>睿</t>
        </is>
      </c>
      <c r="O15" s="48" t="n"/>
      <c r="P15" s="52" t="n"/>
      <c r="Q15" s="52" t="n"/>
      <c r="R15" s="57" t="inlineStr">
        <is>
          <t>睿(隔)</t>
        </is>
      </c>
      <c r="S15" s="56" t="inlineStr">
        <is>
          <t>睿(隔)</t>
        </is>
      </c>
      <c r="T15" s="52" t="n"/>
      <c r="V15" s="55" t="inlineStr"/>
    </row>
    <row r="16" ht="17" customHeight="1">
      <c r="A16" s="19" t="inlineStr">
        <is>
          <t>D012</t>
        </is>
      </c>
      <c r="B16" s="16" t="inlineStr">
        <is>
          <t>陳立軒</t>
        </is>
      </c>
      <c r="C16" s="48" t="n"/>
      <c r="D16" s="56" t="inlineStr">
        <is>
          <t>睿</t>
        </is>
      </c>
      <c r="E16" s="56" t="inlineStr">
        <is>
          <t>睿</t>
        </is>
      </c>
      <c r="F16" s="60" t="inlineStr">
        <is>
          <t>匯</t>
        </is>
      </c>
      <c r="G16" s="51" t="inlineStr">
        <is>
          <t>曜</t>
        </is>
      </c>
      <c r="H16" s="51" t="inlineStr">
        <is>
          <t>曜</t>
        </is>
      </c>
      <c r="I16" s="48" t="n"/>
      <c r="J16" s="56" t="inlineStr">
        <is>
          <t>睿</t>
        </is>
      </c>
      <c r="K16" s="56" t="inlineStr">
        <is>
          <t>睿</t>
        </is>
      </c>
      <c r="L16" s="60" t="inlineStr">
        <is>
          <t>匯</t>
        </is>
      </c>
      <c r="M16" s="54" t="inlineStr">
        <is>
          <t>匯</t>
        </is>
      </c>
      <c r="N16" s="54" t="inlineStr">
        <is>
          <t>匯</t>
        </is>
      </c>
      <c r="O16" s="50" t="inlineStr">
        <is>
          <t>曜</t>
        </is>
      </c>
      <c r="P16" s="51" t="inlineStr">
        <is>
          <t>曜</t>
        </is>
      </c>
      <c r="Q16" s="51" t="inlineStr">
        <is>
          <t>曜</t>
        </is>
      </c>
      <c r="R16" s="50" t="inlineStr">
        <is>
          <t>曜(隔)</t>
        </is>
      </c>
      <c r="S16" s="51" t="inlineStr">
        <is>
          <t>曜(隔)</t>
        </is>
      </c>
      <c r="T16" s="52" t="n"/>
      <c r="V16" s="55" t="inlineStr"/>
    </row>
    <row r="17" ht="17" customHeight="1">
      <c r="A17" s="19" t="inlineStr">
        <is>
          <t>D013</t>
        </is>
      </c>
      <c r="B17" s="16" t="inlineStr">
        <is>
          <t>朱柏非</t>
        </is>
      </c>
      <c r="C17" s="53" t="inlineStr">
        <is>
          <t>悅</t>
        </is>
      </c>
      <c r="D17" s="49" t="inlineStr">
        <is>
          <t>悅</t>
        </is>
      </c>
      <c r="E17" s="49" t="inlineStr">
        <is>
          <t>悅</t>
        </is>
      </c>
      <c r="F17" s="48" t="n"/>
      <c r="G17" s="52" t="n"/>
      <c r="H17" s="52" t="n"/>
      <c r="I17" s="60" t="inlineStr">
        <is>
          <t>匯</t>
        </is>
      </c>
      <c r="J17" s="54" t="inlineStr">
        <is>
          <t>匯</t>
        </is>
      </c>
      <c r="K17" s="54" t="inlineStr">
        <is>
          <t>匯</t>
        </is>
      </c>
      <c r="L17" s="48" t="n"/>
      <c r="M17" s="58" t="inlineStr">
        <is>
          <t>寶</t>
        </is>
      </c>
      <c r="N17" s="58" t="inlineStr">
        <is>
          <t>寶</t>
        </is>
      </c>
      <c r="O17" s="53" t="inlineStr">
        <is>
          <t>悅</t>
        </is>
      </c>
      <c r="P17" s="49" t="inlineStr">
        <is>
          <t>悅</t>
        </is>
      </c>
      <c r="Q17" s="49" t="inlineStr">
        <is>
          <t>悅</t>
        </is>
      </c>
      <c r="R17" s="53" t="inlineStr">
        <is>
          <t>悅/匯</t>
        </is>
      </c>
      <c r="S17" s="49" t="inlineStr">
        <is>
          <t>悅/匯</t>
        </is>
      </c>
      <c r="T17" s="52" t="n"/>
      <c r="V17" s="55" t="inlineStr"/>
    </row>
    <row r="18" ht="17" customHeight="1">
      <c r="A18" s="19" t="inlineStr">
        <is>
          <t>D014</t>
        </is>
      </c>
      <c r="B18" s="16" t="inlineStr">
        <is>
          <t>鄭漢賢</t>
        </is>
      </c>
      <c r="C18" s="53" t="inlineStr">
        <is>
          <t>悅</t>
        </is>
      </c>
      <c r="D18" s="49" t="inlineStr">
        <is>
          <t>悅</t>
        </is>
      </c>
      <c r="E18" s="49" t="inlineStr">
        <is>
          <t>悅</t>
        </is>
      </c>
      <c r="F18" s="60" t="inlineStr">
        <is>
          <t>匯</t>
        </is>
      </c>
      <c r="G18" s="54" t="inlineStr">
        <is>
          <t>匯</t>
        </is>
      </c>
      <c r="H18" s="54" t="inlineStr">
        <is>
          <t>匯</t>
        </is>
      </c>
      <c r="I18" s="48" t="n"/>
      <c r="J18" s="52" t="n"/>
      <c r="K18" s="52" t="n"/>
      <c r="L18" s="53" t="inlineStr">
        <is>
          <t>悅</t>
        </is>
      </c>
      <c r="M18" s="49" t="inlineStr">
        <is>
          <t>悅</t>
        </is>
      </c>
      <c r="N18" s="52" t="n"/>
      <c r="O18" s="60" t="inlineStr">
        <is>
          <t>匯</t>
        </is>
      </c>
      <c r="P18" s="54" t="inlineStr">
        <is>
          <t>匯</t>
        </is>
      </c>
      <c r="Q18" s="54" t="inlineStr">
        <is>
          <t>匯</t>
        </is>
      </c>
      <c r="R18" s="53" t="inlineStr">
        <is>
          <t>悅</t>
        </is>
      </c>
      <c r="S18" s="49" t="inlineStr">
        <is>
          <t>悅</t>
        </is>
      </c>
      <c r="T18" s="52" t="n"/>
      <c r="V18" s="55" t="inlineStr"/>
    </row>
    <row r="19" ht="17" customHeight="1">
      <c r="A19" s="19" t="inlineStr">
        <is>
          <t>D015</t>
        </is>
      </c>
      <c r="B19" s="16" t="inlineStr">
        <is>
          <t>徐平</t>
        </is>
      </c>
      <c r="C19" s="48" t="n"/>
      <c r="D19" s="51" t="inlineStr">
        <is>
          <t>曜</t>
        </is>
      </c>
      <c r="E19" s="51" t="inlineStr">
        <is>
          <t>曜</t>
        </is>
      </c>
      <c r="F19" s="48" t="n"/>
      <c r="G19" s="49" t="inlineStr">
        <is>
          <t>悅</t>
        </is>
      </c>
      <c r="H19" s="49" t="inlineStr">
        <is>
          <t>悅</t>
        </is>
      </c>
      <c r="I19" s="48" t="n"/>
      <c r="J19" s="51" t="inlineStr">
        <is>
          <t>曜</t>
        </is>
      </c>
      <c r="K19" s="51" t="inlineStr">
        <is>
          <t>曜</t>
        </is>
      </c>
      <c r="L19" s="48" t="n"/>
      <c r="M19" s="49" t="inlineStr">
        <is>
          <t>悅</t>
        </is>
      </c>
      <c r="N19" s="49" t="inlineStr">
        <is>
          <t>悅</t>
        </is>
      </c>
      <c r="O19" s="48" t="n"/>
      <c r="P19" s="51" t="inlineStr">
        <is>
          <t>曜</t>
        </is>
      </c>
      <c r="Q19" s="51" t="inlineStr">
        <is>
          <t>曜</t>
        </is>
      </c>
      <c r="R19" s="50" t="inlineStr">
        <is>
          <t>曜(隔)</t>
        </is>
      </c>
      <c r="S19" s="51" t="inlineStr">
        <is>
          <t>曜(隔)</t>
        </is>
      </c>
      <c r="T19" s="52" t="n"/>
      <c r="V19" s="55" t="inlineStr"/>
    </row>
    <row r="20" ht="17" customHeight="1">
      <c r="A20" s="19" t="inlineStr">
        <is>
          <t>D016</t>
        </is>
      </c>
      <c r="B20" s="16" t="inlineStr">
        <is>
          <t>賴敏傑</t>
        </is>
      </c>
      <c r="C20" s="57" t="inlineStr">
        <is>
          <t>睿</t>
        </is>
      </c>
      <c r="D20" s="56" t="inlineStr">
        <is>
          <t>睿</t>
        </is>
      </c>
      <c r="E20" s="56" t="inlineStr">
        <is>
          <t>睿</t>
        </is>
      </c>
      <c r="F20" s="48" t="n"/>
      <c r="G20" s="52" t="n"/>
      <c r="H20" s="52" t="n"/>
      <c r="I20" s="48" t="n"/>
      <c r="J20" s="52" t="n"/>
      <c r="K20" s="52" t="n"/>
      <c r="L20" s="57" t="inlineStr">
        <is>
          <t>睿</t>
        </is>
      </c>
      <c r="M20" s="52" t="n"/>
      <c r="N20" s="52" t="n"/>
      <c r="O20" s="48" t="n"/>
      <c r="P20" s="52" t="n"/>
      <c r="Q20" s="52" t="n"/>
      <c r="R20" s="48" t="n"/>
      <c r="S20" s="52" t="n"/>
      <c r="T20" s="52" t="n"/>
      <c r="V20" s="55" t="inlineStr"/>
    </row>
    <row r="21" ht="17" customHeight="1">
      <c r="A21" s="19" t="inlineStr">
        <is>
          <t>D017</t>
        </is>
      </c>
      <c r="B21" s="16" t="inlineStr">
        <is>
          <t>吳柏賢</t>
        </is>
      </c>
      <c r="C21" s="50" t="inlineStr">
        <is>
          <t>曜</t>
        </is>
      </c>
      <c r="D21" s="51" t="inlineStr">
        <is>
          <t>曜</t>
        </is>
      </c>
      <c r="E21" s="51" t="inlineStr">
        <is>
          <t>曜</t>
        </is>
      </c>
      <c r="F21" s="48" t="n"/>
      <c r="G21" s="52" t="n"/>
      <c r="H21" s="52" t="n"/>
      <c r="I21" s="50" t="inlineStr">
        <is>
          <t>曜</t>
        </is>
      </c>
      <c r="J21" s="51" t="inlineStr">
        <is>
          <t>曜</t>
        </is>
      </c>
      <c r="K21" s="51" t="inlineStr">
        <is>
          <t>曜</t>
        </is>
      </c>
      <c r="L21" s="57" t="inlineStr">
        <is>
          <t>睿</t>
        </is>
      </c>
      <c r="M21" s="56" t="inlineStr">
        <is>
          <t>睿</t>
        </is>
      </c>
      <c r="N21" s="56" t="inlineStr">
        <is>
          <t>睿</t>
        </is>
      </c>
      <c r="O21" s="48" t="n"/>
      <c r="P21" s="51" t="inlineStr">
        <is>
          <t>曜</t>
        </is>
      </c>
      <c r="Q21" s="51" t="inlineStr">
        <is>
          <t>曜</t>
        </is>
      </c>
      <c r="R21" s="57" t="inlineStr">
        <is>
          <t>睿</t>
        </is>
      </c>
      <c r="S21" s="56" t="inlineStr">
        <is>
          <t>睿</t>
        </is>
      </c>
      <c r="T21" s="52" t="n"/>
      <c r="V21" s="55" t="inlineStr"/>
    </row>
    <row r="22" ht="17" customHeight="1">
      <c r="A22" s="19" t="inlineStr">
        <is>
          <t>D018</t>
        </is>
      </c>
      <c r="B22" s="16" t="inlineStr">
        <is>
          <t>許博諺</t>
        </is>
      </c>
      <c r="C22" s="57" t="inlineStr">
        <is>
          <t>睿</t>
        </is>
      </c>
      <c r="D22" s="56" t="inlineStr">
        <is>
          <t>睿</t>
        </is>
      </c>
      <c r="E22" s="56" t="inlineStr">
        <is>
          <t>睿</t>
        </is>
      </c>
      <c r="F22" s="50" t="inlineStr">
        <is>
          <t>曜</t>
        </is>
      </c>
      <c r="G22" s="51" t="inlineStr">
        <is>
          <t>曜</t>
        </is>
      </c>
      <c r="H22" s="51" t="inlineStr">
        <is>
          <t>曜</t>
        </is>
      </c>
      <c r="I22" s="48" t="n"/>
      <c r="J22" s="52" t="n"/>
      <c r="K22" s="52" t="n"/>
      <c r="L22" s="50" t="inlineStr">
        <is>
          <t>曜</t>
        </is>
      </c>
      <c r="M22" s="51" t="inlineStr">
        <is>
          <t>曜</t>
        </is>
      </c>
      <c r="N22" s="51" t="inlineStr">
        <is>
          <t>曜</t>
        </is>
      </c>
      <c r="O22" s="48" t="n"/>
      <c r="P22" s="56" t="inlineStr">
        <is>
          <t>睿</t>
        </is>
      </c>
      <c r="Q22" s="56" t="inlineStr">
        <is>
          <t>睿</t>
        </is>
      </c>
      <c r="R22" s="50" t="inlineStr">
        <is>
          <t>曜</t>
        </is>
      </c>
      <c r="S22" s="51" t="inlineStr">
        <is>
          <t>曜</t>
        </is>
      </c>
      <c r="T22" s="52" t="n"/>
      <c r="V22" s="55" t="inlineStr"/>
    </row>
    <row r="23" ht="17" customHeight="1">
      <c r="A23" s="19" t="inlineStr">
        <is>
          <t>D019</t>
        </is>
      </c>
      <c r="B23" s="16" t="inlineStr">
        <is>
          <t>翁崎紘</t>
        </is>
      </c>
      <c r="C23" s="48" t="n"/>
      <c r="D23" s="52" t="n"/>
      <c r="E23" s="52" t="n"/>
      <c r="F23" s="48" t="n"/>
      <c r="G23" s="52" t="n"/>
      <c r="H23" s="52" t="n"/>
      <c r="I23" s="48" t="n"/>
      <c r="J23" s="52" t="n"/>
      <c r="K23" s="52" t="n"/>
      <c r="L23" s="48" t="n"/>
      <c r="M23" s="52" t="n"/>
      <c r="N23" s="52" t="n"/>
      <c r="O23" s="48" t="n"/>
      <c r="P23" s="49" t="inlineStr">
        <is>
          <t>悅(不定)</t>
        </is>
      </c>
      <c r="Q23" s="49" t="inlineStr">
        <is>
          <t>悅(不定)</t>
        </is>
      </c>
      <c r="R23" s="48" t="n"/>
      <c r="S23" s="52" t="n"/>
      <c r="T23" s="52" t="n"/>
      <c r="V23" s="55" t="inlineStr"/>
    </row>
    <row r="24" ht="17" customHeight="1">
      <c r="A24" s="19" t="inlineStr">
        <is>
          <t>D020</t>
        </is>
      </c>
      <c r="B24" s="16" t="inlineStr">
        <is>
          <t>余柏萱</t>
        </is>
      </c>
      <c r="C24" s="48" t="n"/>
      <c r="D24" s="52" t="n"/>
      <c r="E24" s="52" t="n"/>
      <c r="F24" s="57" t="inlineStr">
        <is>
          <t>睿</t>
        </is>
      </c>
      <c r="G24" s="56" t="inlineStr">
        <is>
          <t>睿</t>
        </is>
      </c>
      <c r="H24" s="56" t="inlineStr">
        <is>
          <t>睿</t>
        </is>
      </c>
      <c r="I24" s="57" t="inlineStr">
        <is>
          <t>睿</t>
        </is>
      </c>
      <c r="J24" s="56" t="inlineStr">
        <is>
          <t>睿</t>
        </is>
      </c>
      <c r="K24" s="56" t="inlineStr">
        <is>
          <t>睿</t>
        </is>
      </c>
      <c r="L24" s="48" t="n"/>
      <c r="M24" s="52" t="n"/>
      <c r="N24" s="52" t="n"/>
      <c r="O24" s="57" t="inlineStr">
        <is>
          <t>睿</t>
        </is>
      </c>
      <c r="P24" s="58" t="inlineStr">
        <is>
          <t>寶</t>
        </is>
      </c>
      <c r="Q24" s="58" t="inlineStr">
        <is>
          <t>寶</t>
        </is>
      </c>
      <c r="R24" s="57" t="inlineStr">
        <is>
          <t>睿</t>
        </is>
      </c>
      <c r="S24" s="56" t="inlineStr">
        <is>
          <t>睿</t>
        </is>
      </c>
      <c r="T24" s="52" t="n"/>
      <c r="V24" s="55" t="inlineStr"/>
    </row>
    <row r="25" ht="17" customHeight="1">
      <c r="A25" s="19" t="inlineStr">
        <is>
          <t>D021</t>
        </is>
      </c>
      <c r="B25" s="16" t="inlineStr">
        <is>
          <t>鄭博文</t>
        </is>
      </c>
      <c r="C25" s="48" t="n"/>
      <c r="D25" s="52" t="n"/>
      <c r="E25" s="52" t="n"/>
      <c r="F25" s="48" t="n"/>
      <c r="G25" s="49" t="inlineStr">
        <is>
          <t>悅</t>
        </is>
      </c>
      <c r="H25" s="49" t="inlineStr">
        <is>
          <t>悅</t>
        </is>
      </c>
      <c r="I25" s="53" t="inlineStr">
        <is>
          <t>悅</t>
        </is>
      </c>
      <c r="J25" s="49" t="inlineStr">
        <is>
          <t>悅</t>
        </is>
      </c>
      <c r="K25" s="49" t="inlineStr">
        <is>
          <t>悅</t>
        </is>
      </c>
      <c r="L25" s="53" t="inlineStr">
        <is>
          <t>悅</t>
        </is>
      </c>
      <c r="M25" s="49" t="inlineStr">
        <is>
          <t>悅</t>
        </is>
      </c>
      <c r="N25" s="49" t="inlineStr">
        <is>
          <t>悅</t>
        </is>
      </c>
      <c r="O25" s="48" t="n"/>
      <c r="P25" s="49" t="inlineStr">
        <is>
          <t>悅</t>
        </is>
      </c>
      <c r="Q25" s="49" t="inlineStr">
        <is>
          <t>悅</t>
        </is>
      </c>
      <c r="R25" s="53" t="inlineStr">
        <is>
          <t>悅</t>
        </is>
      </c>
      <c r="S25" s="49" t="inlineStr">
        <is>
          <t>悅</t>
        </is>
      </c>
      <c r="T25" s="52" t="n"/>
      <c r="V25" s="55" t="inlineStr"/>
    </row>
    <row r="26" ht="17" customHeight="1">
      <c r="A26" s="19" t="inlineStr">
        <is>
          <t>D022</t>
        </is>
      </c>
      <c r="B26" s="16" t="inlineStr">
        <is>
          <t>黃育亭</t>
        </is>
      </c>
      <c r="C26" s="48" t="n"/>
      <c r="D26" s="52" t="n"/>
      <c r="E26" s="52" t="n"/>
      <c r="F26" s="48" t="n"/>
      <c r="G26" s="52" t="n"/>
      <c r="H26" s="52" t="n"/>
      <c r="I26" s="48" t="n"/>
      <c r="J26" s="58" t="inlineStr">
        <is>
          <t>寶</t>
        </is>
      </c>
      <c r="K26" s="58" t="inlineStr">
        <is>
          <t>寶</t>
        </is>
      </c>
      <c r="L26" s="48" t="n"/>
      <c r="M26" s="52" t="n"/>
      <c r="N26" s="52" t="n"/>
      <c r="O26" s="48" t="n"/>
      <c r="P26" s="52" t="n"/>
      <c r="Q26" s="52" t="n"/>
      <c r="R26" s="59" t="inlineStr">
        <is>
          <t>寶(不定)</t>
        </is>
      </c>
      <c r="S26" s="58" t="inlineStr">
        <is>
          <t>寶(不定)</t>
        </is>
      </c>
      <c r="T26" s="52" t="n"/>
      <c r="V26" s="55" t="inlineStr"/>
    </row>
    <row r="27" ht="17" customHeight="1">
      <c r="A27" s="19" t="inlineStr">
        <is>
          <t>D023</t>
        </is>
      </c>
      <c r="B27" s="16" t="inlineStr">
        <is>
          <t>黃婷愉</t>
        </is>
      </c>
      <c r="C27" s="48" t="n"/>
      <c r="D27" s="52" t="n"/>
      <c r="E27" s="52" t="n"/>
      <c r="F27" s="48" t="n"/>
      <c r="G27" s="52" t="n"/>
      <c r="H27" s="52" t="n"/>
      <c r="I27" s="48" t="n"/>
      <c r="J27" s="52" t="n"/>
      <c r="K27" s="52" t="n"/>
      <c r="L27" s="48" t="n"/>
      <c r="M27" s="52" t="n"/>
      <c r="N27" s="52" t="n"/>
      <c r="O27" s="48" t="n"/>
      <c r="P27" s="52" t="n"/>
      <c r="Q27" s="52" t="n"/>
      <c r="R27" s="59" t="inlineStr">
        <is>
          <t>寶(不定)</t>
        </is>
      </c>
      <c r="S27" s="58" t="inlineStr">
        <is>
          <t>寶(不定)</t>
        </is>
      </c>
      <c r="T27" s="52" t="n"/>
      <c r="V27" s="55" t="inlineStr"/>
    </row>
    <row r="28" ht="17" customHeight="1">
      <c r="A28" s="19" t="inlineStr">
        <is>
          <t>D024</t>
        </is>
      </c>
      <c r="B28" s="16" t="inlineStr">
        <is>
          <t>林紓安</t>
        </is>
      </c>
      <c r="C28" s="48" t="n"/>
      <c r="D28" s="58" t="inlineStr">
        <is>
          <t>寶</t>
        </is>
      </c>
      <c r="E28" s="58" t="inlineStr">
        <is>
          <t>寶</t>
        </is>
      </c>
      <c r="F28" s="48" t="n"/>
      <c r="G28" s="52" t="n"/>
      <c r="H28" s="52" t="n"/>
      <c r="I28" s="48" t="n"/>
      <c r="J28" s="54" t="inlineStr">
        <is>
          <t>匯(隔)</t>
        </is>
      </c>
      <c r="K28" s="54" t="inlineStr">
        <is>
          <t>匯(隔)</t>
        </is>
      </c>
      <c r="L28" s="48" t="n"/>
      <c r="M28" s="52" t="n"/>
      <c r="N28" s="52" t="n"/>
      <c r="O28" s="48" t="n"/>
      <c r="P28" s="58" t="inlineStr">
        <is>
          <t>寶</t>
        </is>
      </c>
      <c r="Q28" s="58" t="inlineStr">
        <is>
          <t>寶</t>
        </is>
      </c>
      <c r="R28" s="48" t="n"/>
      <c r="S28" s="52" t="n"/>
      <c r="T28" s="52" t="n"/>
      <c r="V28" s="55" t="inlineStr"/>
    </row>
    <row r="29" ht="17" customHeight="1">
      <c r="A29" s="19" t="inlineStr">
        <is>
          <t>D025</t>
        </is>
      </c>
      <c r="B29" s="16" t="inlineStr">
        <is>
          <t>陳爵安</t>
        </is>
      </c>
      <c r="C29" s="57" t="inlineStr">
        <is>
          <t>睿</t>
        </is>
      </c>
      <c r="D29" s="52" t="n"/>
      <c r="E29" s="52" t="n"/>
      <c r="F29" s="48" t="n"/>
      <c r="G29" s="52" t="n"/>
      <c r="H29" s="52" t="n"/>
      <c r="I29" s="57" t="inlineStr">
        <is>
          <t>睿</t>
        </is>
      </c>
      <c r="J29" s="52" t="n"/>
      <c r="K29" s="56" t="inlineStr">
        <is>
          <t>睿</t>
        </is>
      </c>
      <c r="L29" s="48" t="n"/>
      <c r="M29" s="52" t="n"/>
      <c r="N29" s="52" t="n"/>
      <c r="O29" s="57" t="inlineStr">
        <is>
          <t>睿</t>
        </is>
      </c>
      <c r="P29" s="56" t="inlineStr">
        <is>
          <t>睿</t>
        </is>
      </c>
      <c r="Q29" s="56" t="inlineStr">
        <is>
          <t>睿</t>
        </is>
      </c>
      <c r="R29" s="57" t="inlineStr">
        <is>
          <t>睿</t>
        </is>
      </c>
      <c r="S29" s="56" t="inlineStr">
        <is>
          <t>睿</t>
        </is>
      </c>
      <c r="T29" s="52" t="n"/>
      <c r="V29" s="55" t="inlineStr"/>
    </row>
    <row r="30" ht="17" customHeight="1">
      <c r="A30" s="19" t="inlineStr">
        <is>
          <t>D026</t>
        </is>
      </c>
      <c r="B30" s="16" t="inlineStr">
        <is>
          <t>吳冠廷</t>
        </is>
      </c>
      <c r="C30" s="60" t="inlineStr">
        <is>
          <t>匯</t>
        </is>
      </c>
      <c r="D30" s="54" t="inlineStr">
        <is>
          <t>匯</t>
        </is>
      </c>
      <c r="E30" s="54" t="inlineStr">
        <is>
          <t>匯</t>
        </is>
      </c>
      <c r="F30" s="48" t="n"/>
      <c r="G30" s="52" t="n"/>
      <c r="H30" s="52" t="n"/>
      <c r="I30" s="48" t="n"/>
      <c r="J30" s="52" t="n"/>
      <c r="K30" s="52" t="n"/>
      <c r="L30" s="60" t="inlineStr">
        <is>
          <t>匯</t>
        </is>
      </c>
      <c r="M30" s="54" t="inlineStr">
        <is>
          <t>匯</t>
        </is>
      </c>
      <c r="N30" s="54" t="inlineStr">
        <is>
          <t>匯</t>
        </is>
      </c>
      <c r="O30" s="48" t="n"/>
      <c r="P30" s="52" t="n"/>
      <c r="Q30" s="52" t="n"/>
      <c r="R30" s="48" t="n"/>
      <c r="S30" s="52" t="n"/>
      <c r="T30" s="52" t="n"/>
      <c r="V30" s="55" t="inlineStr"/>
    </row>
    <row r="31" ht="17" customHeight="1">
      <c r="A31" s="19" t="inlineStr">
        <is>
          <t>D027</t>
        </is>
      </c>
      <c r="B31" s="16" t="inlineStr">
        <is>
          <t>楊孟庭</t>
        </is>
      </c>
      <c r="C31" s="48" t="n"/>
      <c r="D31" s="54" t="inlineStr">
        <is>
          <t>匯(隔)</t>
        </is>
      </c>
      <c r="E31" s="54" t="inlineStr">
        <is>
          <t>匯(隔)</t>
        </is>
      </c>
      <c r="F31" s="48" t="n"/>
      <c r="G31" s="52" t="n"/>
      <c r="H31" s="52" t="n"/>
      <c r="I31" s="48" t="n"/>
      <c r="J31" s="52" t="n"/>
      <c r="K31" s="52" t="n"/>
      <c r="L31" s="48" t="n"/>
      <c r="M31" s="52" t="n"/>
      <c r="N31" s="52" t="n"/>
      <c r="O31" s="48" t="n"/>
      <c r="P31" s="52" t="n"/>
      <c r="Q31" s="52" t="n"/>
      <c r="R31" s="60" t="inlineStr">
        <is>
          <t>匯(隔)</t>
        </is>
      </c>
      <c r="S31" s="54" t="inlineStr">
        <is>
          <t>匯(隔)</t>
        </is>
      </c>
      <c r="T31" s="52" t="n"/>
      <c r="V31" s="55" t="inlineStr"/>
    </row>
    <row r="32" ht="17" customHeight="1">
      <c r="A32" s="19" t="n"/>
      <c r="B32" s="16">
        <f>IFERROR(INDEX(設定!$C$64:$C$203,MATCH($A32,設定!$B$64:$B$203,0)),"")</f>
        <v/>
      </c>
      <c r="C32" s="48" t="n"/>
      <c r="D32" s="52" t="n"/>
      <c r="E32" s="52" t="n"/>
      <c r="F32" s="48" t="n"/>
      <c r="G32" s="52" t="n"/>
      <c r="H32" s="52" t="n"/>
      <c r="I32" s="48" t="n"/>
      <c r="J32" s="52" t="n"/>
      <c r="K32" s="52" t="n"/>
      <c r="L32" s="48" t="n"/>
      <c r="M32" s="52" t="n"/>
      <c r="N32" s="52" t="n"/>
      <c r="O32" s="48" t="n"/>
      <c r="P32" s="52" t="n"/>
      <c r="Q32" s="52" t="n"/>
      <c r="R32" s="48" t="n"/>
      <c r="S32" s="52" t="n"/>
      <c r="T32" s="52" t="n"/>
      <c r="V32" s="55" t="inlineStr"/>
    </row>
    <row r="33" ht="17" customHeight="1">
      <c r="A33" s="19" t="n"/>
      <c r="B33" s="16">
        <f>IFERROR(INDEX(設定!$C$64:$C$203,MATCH($A33,設定!$B$64:$B$203,0)),"")</f>
        <v/>
      </c>
      <c r="C33" s="48" t="n"/>
      <c r="D33" s="52" t="n"/>
      <c r="E33" s="52" t="n"/>
      <c r="F33" s="48" t="n"/>
      <c r="G33" s="52" t="n"/>
      <c r="H33" s="52" t="n"/>
      <c r="I33" s="48" t="n"/>
      <c r="J33" s="52" t="n"/>
      <c r="K33" s="52" t="n"/>
      <c r="L33" s="48" t="n"/>
      <c r="M33" s="52" t="n"/>
      <c r="N33" s="52" t="n"/>
      <c r="O33" s="48" t="n"/>
      <c r="P33" s="52" t="n"/>
      <c r="Q33" s="52" t="n"/>
      <c r="R33" s="48" t="n"/>
      <c r="S33" s="52" t="n"/>
      <c r="T33" s="52" t="n"/>
      <c r="V33" s="55" t="inlineStr"/>
    </row>
    <row r="34" ht="17" customHeight="1">
      <c r="A34" s="19" t="n"/>
      <c r="B34" s="16">
        <f>IFERROR(INDEX(設定!$C$64:$C$203,MATCH($A34,設定!$B$64:$B$203,0)),"")</f>
        <v/>
      </c>
      <c r="C34" s="48" t="n"/>
      <c r="D34" s="52" t="n"/>
      <c r="E34" s="52" t="n"/>
      <c r="F34" s="48" t="n"/>
      <c r="G34" s="52" t="n"/>
      <c r="H34" s="52" t="n"/>
      <c r="I34" s="48" t="n"/>
      <c r="J34" s="52" t="n"/>
      <c r="K34" s="52" t="n"/>
      <c r="L34" s="48" t="n"/>
      <c r="M34" s="52" t="n"/>
      <c r="N34" s="52" t="n"/>
      <c r="O34" s="48" t="n"/>
      <c r="P34" s="52" t="n"/>
      <c r="Q34" s="52" t="n"/>
      <c r="R34" s="48" t="n"/>
      <c r="S34" s="52" t="n"/>
      <c r="T34" s="52" t="n"/>
      <c r="V34" s="55" t="inlineStr"/>
    </row>
    <row r="35" ht="17" customHeight="1">
      <c r="A35" s="19" t="n"/>
      <c r="B35" s="16">
        <f>IFERROR(INDEX(設定!$C$64:$C$203,MATCH($A35,設定!$B$64:$B$203,0)),"")</f>
        <v/>
      </c>
      <c r="C35" s="48" t="n"/>
      <c r="D35" s="52" t="n"/>
      <c r="E35" s="52" t="n"/>
      <c r="F35" s="48" t="n"/>
      <c r="G35" s="52" t="n"/>
      <c r="H35" s="52" t="n"/>
      <c r="I35" s="48" t="n"/>
      <c r="J35" s="52" t="n"/>
      <c r="K35" s="52" t="n"/>
      <c r="L35" s="48" t="n"/>
      <c r="M35" s="52" t="n"/>
      <c r="N35" s="52" t="n"/>
      <c r="O35" s="48" t="n"/>
      <c r="P35" s="52" t="n"/>
      <c r="Q35" s="52" t="n"/>
      <c r="R35" s="48" t="n"/>
      <c r="S35" s="52" t="n"/>
      <c r="T35" s="52" t="n"/>
      <c r="V35" s="55" t="inlineStr"/>
    </row>
    <row r="36" ht="17" customHeight="1">
      <c r="A36" s="19" t="n"/>
      <c r="B36" s="16">
        <f>IFERROR(INDEX(設定!$C$64:$C$203,MATCH($A36,設定!$B$64:$B$203,0)),"")</f>
        <v/>
      </c>
      <c r="C36" s="48" t="n"/>
      <c r="D36" s="52" t="n"/>
      <c r="E36" s="52" t="n"/>
      <c r="F36" s="48" t="n"/>
      <c r="G36" s="52" t="n"/>
      <c r="H36" s="52" t="n"/>
      <c r="I36" s="48" t="n"/>
      <c r="J36" s="52" t="n"/>
      <c r="K36" s="52" t="n"/>
      <c r="L36" s="48" t="n"/>
      <c r="M36" s="52" t="n"/>
      <c r="N36" s="52" t="n"/>
      <c r="O36" s="48" t="n"/>
      <c r="P36" s="52" t="n"/>
      <c r="Q36" s="52" t="n"/>
      <c r="R36" s="48" t="n"/>
      <c r="S36" s="52" t="n"/>
      <c r="T36" s="52" t="n"/>
      <c r="V36" s="55" t="inlineStr"/>
    </row>
    <row r="37" ht="17" customHeight="1">
      <c r="A37" s="19" t="n"/>
      <c r="B37" s="16">
        <f>IFERROR(INDEX(設定!$C$64:$C$203,MATCH($A37,設定!$B$64:$B$203,0)),"")</f>
        <v/>
      </c>
      <c r="C37" s="48" t="n"/>
      <c r="D37" s="52" t="n"/>
      <c r="E37" s="52" t="n"/>
      <c r="F37" s="48" t="n"/>
      <c r="G37" s="52" t="n"/>
      <c r="H37" s="52" t="n"/>
      <c r="I37" s="48" t="n"/>
      <c r="J37" s="52" t="n"/>
      <c r="K37" s="52" t="n"/>
      <c r="L37" s="48" t="n"/>
      <c r="M37" s="52" t="n"/>
      <c r="N37" s="52" t="n"/>
      <c r="O37" s="48" t="n"/>
      <c r="P37" s="52" t="n"/>
      <c r="Q37" s="52" t="n"/>
      <c r="R37" s="48" t="n"/>
      <c r="S37" s="52" t="n"/>
      <c r="T37" s="52" t="n"/>
      <c r="V37" s="55" t="inlineStr"/>
    </row>
    <row r="38" ht="17" customHeight="1">
      <c r="A38" s="19" t="n"/>
      <c r="B38" s="16">
        <f>IFERROR(INDEX(設定!$C$64:$C$203,MATCH($A38,設定!$B$64:$B$203,0)),"")</f>
        <v/>
      </c>
      <c r="C38" s="48" t="n"/>
      <c r="D38" s="52" t="n"/>
      <c r="E38" s="52" t="n"/>
      <c r="F38" s="48" t="n"/>
      <c r="G38" s="52" t="n"/>
      <c r="H38" s="52" t="n"/>
      <c r="I38" s="48" t="n"/>
      <c r="J38" s="52" t="n"/>
      <c r="K38" s="52" t="n"/>
      <c r="L38" s="48" t="n"/>
      <c r="M38" s="52" t="n"/>
      <c r="N38" s="52" t="n"/>
      <c r="O38" s="48" t="n"/>
      <c r="P38" s="52" t="n"/>
      <c r="Q38" s="52" t="n"/>
      <c r="R38" s="48" t="n"/>
      <c r="S38" s="52" t="n"/>
      <c r="T38" s="52" t="n"/>
      <c r="V38" s="55" t="inlineStr"/>
    </row>
    <row r="39" ht="17" customHeight="1">
      <c r="A39" s="19" t="n"/>
      <c r="B39" s="16">
        <f>IFERROR(INDEX(設定!$C$64:$C$203,MATCH($A39,設定!$B$64:$B$203,0)),"")</f>
        <v/>
      </c>
      <c r="C39" s="48" t="n"/>
      <c r="D39" s="52" t="n"/>
      <c r="E39" s="52" t="n"/>
      <c r="F39" s="48" t="n"/>
      <c r="G39" s="52" t="n"/>
      <c r="H39" s="52" t="n"/>
      <c r="I39" s="48" t="n"/>
      <c r="J39" s="52" t="n"/>
      <c r="K39" s="52" t="n"/>
      <c r="L39" s="48" t="n"/>
      <c r="M39" s="52" t="n"/>
      <c r="N39" s="52" t="n"/>
      <c r="O39" s="48" t="n"/>
      <c r="P39" s="52" t="n"/>
      <c r="Q39" s="52" t="n"/>
      <c r="R39" s="48" t="n"/>
      <c r="S39" s="52" t="n"/>
      <c r="T39" s="52" t="n"/>
      <c r="V39" s="55" t="inlineStr"/>
    </row>
    <row r="40" ht="17" customHeight="1">
      <c r="A40" s="19" t="n"/>
      <c r="B40" s="16">
        <f>IFERROR(INDEX(設定!$C$64:$C$203,MATCH($A40,設定!$B$64:$B$203,0)),"")</f>
        <v/>
      </c>
      <c r="C40" s="48" t="n"/>
      <c r="D40" s="52" t="n"/>
      <c r="E40" s="52" t="n"/>
      <c r="F40" s="48" t="n"/>
      <c r="G40" s="52" t="n"/>
      <c r="H40" s="52" t="n"/>
      <c r="I40" s="48" t="n"/>
      <c r="J40" s="52" t="n"/>
      <c r="K40" s="52" t="n"/>
      <c r="L40" s="48" t="n"/>
      <c r="M40" s="52" t="n"/>
      <c r="N40" s="52" t="n"/>
      <c r="O40" s="48" t="n"/>
      <c r="P40" s="52" t="n"/>
      <c r="Q40" s="52" t="n"/>
      <c r="R40" s="48" t="n"/>
      <c r="S40" s="52" t="n"/>
      <c r="T40" s="52" t="n"/>
      <c r="V40" s="55" t="inlineStr"/>
    </row>
    <row r="41" ht="17" customHeight="1">
      <c r="A41" s="19" t="n"/>
      <c r="B41" s="16">
        <f>IFERROR(INDEX(設定!$C$64:$C$203,MATCH($A41,設定!$B$64:$B$203,0)),"")</f>
        <v/>
      </c>
      <c r="C41" s="48" t="n"/>
      <c r="D41" s="52" t="n"/>
      <c r="E41" s="52" t="n"/>
      <c r="F41" s="48" t="n"/>
      <c r="G41" s="52" t="n"/>
      <c r="H41" s="52" t="n"/>
      <c r="I41" s="48" t="n"/>
      <c r="J41" s="52" t="n"/>
      <c r="K41" s="52" t="n"/>
      <c r="L41" s="48" t="n"/>
      <c r="M41" s="52" t="n"/>
      <c r="N41" s="52" t="n"/>
      <c r="O41" s="48" t="n"/>
      <c r="P41" s="52" t="n"/>
      <c r="Q41" s="52" t="n"/>
      <c r="R41" s="48" t="n"/>
      <c r="S41" s="52" t="n"/>
      <c r="T41" s="52" t="n"/>
      <c r="V41" s="55" t="inlineStr"/>
    </row>
    <row r="42" ht="17" customHeight="1">
      <c r="A42" s="19" t="n"/>
      <c r="B42" s="16">
        <f>IFERROR(INDEX(設定!$C$64:$C$203,MATCH($A42,設定!$B$64:$B$203,0)),"")</f>
        <v/>
      </c>
      <c r="C42" s="48" t="n"/>
      <c r="D42" s="52" t="n"/>
      <c r="E42" s="52" t="n"/>
      <c r="F42" s="48" t="n"/>
      <c r="G42" s="52" t="n"/>
      <c r="H42" s="52" t="n"/>
      <c r="I42" s="48" t="n"/>
      <c r="J42" s="52" t="n"/>
      <c r="K42" s="52" t="n"/>
      <c r="L42" s="48" t="n"/>
      <c r="M42" s="52" t="n"/>
      <c r="N42" s="52" t="n"/>
      <c r="O42" s="48" t="n"/>
      <c r="P42" s="52" t="n"/>
      <c r="Q42" s="52" t="n"/>
      <c r="R42" s="48" t="n"/>
      <c r="S42" s="52" t="n"/>
      <c r="T42" s="52" t="n"/>
      <c r="V42" s="55" t="inlineStr"/>
    </row>
    <row r="43" ht="17" customHeight="1">
      <c r="A43" s="19" t="n"/>
      <c r="B43" s="16">
        <f>IFERROR(INDEX(設定!$C$64:$C$203,MATCH($A43,設定!$B$64:$B$203,0)),"")</f>
        <v/>
      </c>
      <c r="C43" s="48" t="n"/>
      <c r="D43" s="52" t="n"/>
      <c r="E43" s="52" t="n"/>
      <c r="F43" s="48" t="n"/>
      <c r="G43" s="52" t="n"/>
      <c r="H43" s="52" t="n"/>
      <c r="I43" s="48" t="n"/>
      <c r="J43" s="52" t="n"/>
      <c r="K43" s="52" t="n"/>
      <c r="L43" s="48" t="n"/>
      <c r="M43" s="52" t="n"/>
      <c r="N43" s="52" t="n"/>
      <c r="O43" s="48" t="n"/>
      <c r="P43" s="52" t="n"/>
      <c r="Q43" s="52" t="n"/>
      <c r="R43" s="48" t="n"/>
      <c r="S43" s="52" t="n"/>
      <c r="T43" s="52" t="n"/>
      <c r="V43" s="55" t="inlineStr"/>
    </row>
    <row r="44" ht="17" customHeight="1">
      <c r="A44" s="19" t="n"/>
      <c r="B44" s="16">
        <f>IFERROR(INDEX(設定!$C$64:$C$203,MATCH($A44,設定!$B$64:$B$203,0)),"")</f>
        <v/>
      </c>
      <c r="C44" s="48" t="n"/>
      <c r="D44" s="52" t="n"/>
      <c r="E44" s="52" t="n"/>
      <c r="F44" s="48" t="n"/>
      <c r="G44" s="52" t="n"/>
      <c r="H44" s="52" t="n"/>
      <c r="I44" s="48" t="n"/>
      <c r="J44" s="52" t="n"/>
      <c r="K44" s="52" t="n"/>
      <c r="L44" s="48" t="n"/>
      <c r="M44" s="52" t="n"/>
      <c r="N44" s="52" t="n"/>
      <c r="O44" s="48" t="n"/>
      <c r="P44" s="52" t="n"/>
      <c r="Q44" s="52" t="n"/>
      <c r="R44" s="48" t="n"/>
      <c r="S44" s="52" t="n"/>
      <c r="T44" s="52" t="n"/>
      <c r="V44" s="55" t="inlineStr"/>
    </row>
    <row r="46">
      <c r="A46" s="6" t="inlineStr">
        <is>
          <t>※ 資料由官網五個門診表頁面直接解析產生,非人工轉錄。寫法:悅(隔) = 隔週看診、悅/睿 = 兩院輪替(斜線前為單數週)、寶(不定) = 官網註明非每週固定、悅(註) = 見附註欄。</t>
        </is>
      </c>
    </row>
    <row r="47">
      <c r="A47" s="6" t="inlineStr">
        <is>
          <t>※ 資料格有下拉選單(常用值),但不強制——特殊組合直接打字也可以,不會被擋。</t>
        </is>
      </c>
    </row>
    <row r="48">
      <c r="A48" s="6" t="inlineStr">
        <is>
          <t>※ 隔週的四組互換(劉立德週三、朱柏非週六、王泳泉週一、陳昺元週六)以固定基準日(2026/9/28 起)連續數週判定單雙週,跨月不會斷。哪一組先需要院所確認——確認後把基準日挪一週即可整體對齊。</t>
        </is>
      </c>
    </row>
    <row r="49">
      <c r="A49" s="6" t="inlineStr">
        <is>
          <t>※ 週日五間院所皆休診。寶貝牙另有週一至週五早診休診、週六晚診休診。</t>
        </is>
      </c>
    </row>
  </sheetData>
  <mergeCells count="10">
    <mergeCell ref="A1:T1"/>
    <mergeCell ref="R3:T3"/>
    <mergeCell ref="B3:B4"/>
    <mergeCell ref="A3:A4"/>
    <mergeCell ref="V3:V4"/>
    <mergeCell ref="C3:E3"/>
    <mergeCell ref="I3:K3"/>
    <mergeCell ref="F3:H3"/>
    <mergeCell ref="L3:N3"/>
    <mergeCell ref="O3:Q3"/>
  </mergeCells>
  <dataValidations count="2">
    <dataValidation sqref="C5:T44" showDropDown="0" showInputMessage="0" showErrorMessage="1" allowBlank="1" errorTitle="不在常用清單中" error="這個寫法不在常用清單裡。若是特殊組合(例如三間輪替),按「是」即可照樣存入。" type="list" errorStyle="warning">
      <formula1>"悅,睿,匯,曜,寶,悅(隔),睿(隔),匯(隔),曜(隔),寶(隔),寶(不定),悅(不定),悅(註),悅/匯,悅/睿,睿/曜,訓,OFF,特,病,事,公,國,休"</formula1>
    </dataValidation>
    <dataValidation sqref="A5:A44" showDropDown="0" showInputMessage="0" showErrorMessage="1" allowBlank="1" errorTitle="不在醫師名冊中" error="這個編號不在醫師名冊裡。確定要用請按「是」。" type="list" errorStyle="warning">
      <formula1>設定!$Q$6:$Q$45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59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1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  <col width="4" customWidth="1" min="48" max="48"/>
    <col width="4" customWidth="1" min="49" max="49"/>
    <col width="4" customWidth="1" min="50" max="50"/>
    <col width="4" customWidth="1" min="51" max="51"/>
    <col width="4" customWidth="1" min="52" max="52"/>
    <col width="4" customWidth="1" min="53" max="53"/>
    <col width="4" customWidth="1" min="54" max="54"/>
    <col width="4" customWidth="1" min="55" max="55"/>
    <col width="4" customWidth="1" min="56" max="56"/>
    <col width="4" customWidth="1" min="57" max="57"/>
    <col width="4" customWidth="1" min="58" max="58"/>
    <col width="4" customWidth="1" min="59" max="59"/>
    <col width="4" customWidth="1" min="60" max="60"/>
    <col width="4" customWidth="1" min="61" max="61"/>
    <col width="4" customWidth="1" min="62" max="62"/>
    <col width="4" customWidth="1" min="63" max="63"/>
    <col width="4" customWidth="1" min="64" max="64"/>
    <col width="4" customWidth="1" min="65" max="65"/>
    <col width="4" customWidth="1" min="66" max="66"/>
    <col width="4" customWidth="1" min="67" max="67"/>
    <col width="4" customWidth="1" min="68" max="68"/>
    <col width="4" customWidth="1" min="69" max="69"/>
    <col width="4" customWidth="1" min="70" max="70"/>
    <col width="4" customWidth="1" min="71" max="71"/>
    <col width="4" customWidth="1" min="72" max="72"/>
    <col width="4" customWidth="1" min="73" max="73"/>
    <col width="4" customWidth="1" min="74" max="74"/>
    <col width="4" customWidth="1" min="75" max="75"/>
    <col width="4" customWidth="1" min="76" max="76"/>
    <col width="4" customWidth="1" min="77" max="77"/>
    <col width="4" customWidth="1" min="78" max="78"/>
    <col width="4" customWidth="1" min="79" max="79"/>
    <col width="4" customWidth="1" min="80" max="80"/>
    <col width="4" customWidth="1" min="81" max="81"/>
    <col width="4" customWidth="1" min="82" max="82"/>
    <col width="4" customWidth="1" min="83" max="83"/>
    <col width="4" customWidth="1" min="84" max="84"/>
    <col width="4" customWidth="1" min="85" max="85"/>
    <col width="4" customWidth="1" min="86" max="86"/>
    <col width="4" customWidth="1" min="87" max="87"/>
    <col width="4" customWidth="1" min="88" max="88"/>
    <col width="4" customWidth="1" min="89" max="89"/>
    <col width="4" customWidth="1" min="90" max="90"/>
    <col width="4" customWidth="1" min="91" max="91"/>
    <col width="4" customWidth="1" min="92" max="92"/>
    <col width="4" customWidth="1" min="93" max="93"/>
    <col width="4" customWidth="1" min="94" max="94"/>
    <col width="4" customWidth="1" min="95" max="95"/>
    <col width="4" customWidth="1" min="96" max="96"/>
    <col width="4" customWidth="1" min="97" max="97"/>
    <col hidden="1" width="13" customWidth="1" min="99" max="99"/>
  </cols>
  <sheetData>
    <row r="1">
      <c r="A1" s="1" t="inlineStr">
        <is>
          <t>醫師班表(診次制 · 一格 = 一個診次 · 已依週班表填好本月)</t>
        </is>
      </c>
    </row>
    <row r="2">
      <c r="A2" s="4" t="inlineStr">
        <is>
          <t>期間</t>
        </is>
      </c>
      <c r="B2" s="27" t="inlineStr">
        <is>
          <t>2026 年 10 月</t>
        </is>
      </c>
      <c r="D2" s="61" t="inlineStr">
        <is>
          <t>圖例:</t>
        </is>
      </c>
      <c r="E2" s="62" t="inlineStr">
        <is>
          <t>悅 晶悅</t>
        </is>
      </c>
      <c r="F2" s="8" t="n"/>
      <c r="G2" s="8" t="n"/>
      <c r="H2" s="9" t="n"/>
      <c r="I2" s="63" t="inlineStr">
        <is>
          <t>睿 晶睿</t>
        </is>
      </c>
      <c r="J2" s="8" t="n"/>
      <c r="K2" s="8" t="n"/>
      <c r="L2" s="9" t="n"/>
      <c r="M2" s="64" t="inlineStr">
        <is>
          <t>匯 晶匯</t>
        </is>
      </c>
      <c r="N2" s="8" t="n"/>
      <c r="O2" s="8" t="n"/>
      <c r="P2" s="9" t="n"/>
      <c r="Q2" s="65" t="inlineStr">
        <is>
          <t>曜 晶曜</t>
        </is>
      </c>
      <c r="R2" s="8" t="n"/>
      <c r="S2" s="8" t="n"/>
      <c r="T2" s="9" t="n"/>
      <c r="U2" s="66" t="inlineStr">
        <is>
          <t>寶 寶貝牙</t>
        </is>
      </c>
      <c r="V2" s="8" t="n"/>
      <c r="W2" s="8" t="n"/>
      <c r="X2" s="9" t="n"/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專科</t>
        </is>
      </c>
      <c r="D3" s="10" t="inlineStr">
        <is>
          <t>職務</t>
        </is>
      </c>
      <c r="E3" s="10" t="n">
        <v>1</v>
      </c>
      <c r="F3" s="8" t="n"/>
      <c r="G3" s="9" t="n"/>
      <c r="H3" s="10" t="n">
        <v>2</v>
      </c>
      <c r="I3" s="8" t="n"/>
      <c r="J3" s="9" t="n"/>
      <c r="K3" s="10" t="n">
        <v>3</v>
      </c>
      <c r="L3" s="8" t="n"/>
      <c r="M3" s="9" t="n"/>
      <c r="N3" s="10" t="n">
        <v>4</v>
      </c>
      <c r="O3" s="8" t="n"/>
      <c r="P3" s="9" t="n"/>
      <c r="Q3" s="10" t="n">
        <v>5</v>
      </c>
      <c r="R3" s="8" t="n"/>
      <c r="S3" s="9" t="n"/>
      <c r="T3" s="10" t="n">
        <v>6</v>
      </c>
      <c r="U3" s="8" t="n"/>
      <c r="V3" s="9" t="n"/>
      <c r="W3" s="10" t="n">
        <v>7</v>
      </c>
      <c r="X3" s="8" t="n"/>
      <c r="Y3" s="9" t="n"/>
      <c r="Z3" s="10" t="n">
        <v>8</v>
      </c>
      <c r="AA3" s="8" t="n"/>
      <c r="AB3" s="9" t="n"/>
      <c r="AC3" s="10" t="n">
        <v>9</v>
      </c>
      <c r="AD3" s="8" t="n"/>
      <c r="AE3" s="9" t="n"/>
      <c r="AF3" s="10" t="n">
        <v>10</v>
      </c>
      <c r="AG3" s="8" t="n"/>
      <c r="AH3" s="9" t="n"/>
      <c r="AI3" s="10" t="n">
        <v>11</v>
      </c>
      <c r="AJ3" s="8" t="n"/>
      <c r="AK3" s="9" t="n"/>
      <c r="AL3" s="10" t="n">
        <v>12</v>
      </c>
      <c r="AM3" s="8" t="n"/>
      <c r="AN3" s="9" t="n"/>
      <c r="AO3" s="10" t="n">
        <v>13</v>
      </c>
      <c r="AP3" s="8" t="n"/>
      <c r="AQ3" s="9" t="n"/>
      <c r="AR3" s="10" t="n">
        <v>14</v>
      </c>
      <c r="AS3" s="8" t="n"/>
      <c r="AT3" s="9" t="n"/>
      <c r="AU3" s="10" t="n">
        <v>15</v>
      </c>
      <c r="AV3" s="8" t="n"/>
      <c r="AW3" s="9" t="n"/>
      <c r="AX3" s="10" t="n">
        <v>16</v>
      </c>
      <c r="AY3" s="8" t="n"/>
      <c r="AZ3" s="9" t="n"/>
      <c r="BA3" s="10" t="n">
        <v>17</v>
      </c>
      <c r="BB3" s="8" t="n"/>
      <c r="BC3" s="9" t="n"/>
      <c r="BD3" s="10" t="n">
        <v>18</v>
      </c>
      <c r="BE3" s="8" t="n"/>
      <c r="BF3" s="9" t="n"/>
      <c r="BG3" s="10" t="n">
        <v>19</v>
      </c>
      <c r="BH3" s="8" t="n"/>
      <c r="BI3" s="9" t="n"/>
      <c r="BJ3" s="10" t="n">
        <v>20</v>
      </c>
      <c r="BK3" s="8" t="n"/>
      <c r="BL3" s="9" t="n"/>
      <c r="BM3" s="10" t="n">
        <v>21</v>
      </c>
      <c r="BN3" s="8" t="n"/>
      <c r="BO3" s="9" t="n"/>
      <c r="BP3" s="10" t="n">
        <v>22</v>
      </c>
      <c r="BQ3" s="8" t="n"/>
      <c r="BR3" s="9" t="n"/>
      <c r="BS3" s="10" t="n">
        <v>23</v>
      </c>
      <c r="BT3" s="8" t="n"/>
      <c r="BU3" s="9" t="n"/>
      <c r="BV3" s="10" t="n">
        <v>24</v>
      </c>
      <c r="BW3" s="8" t="n"/>
      <c r="BX3" s="9" t="n"/>
      <c r="BY3" s="10" t="n">
        <v>25</v>
      </c>
      <c r="BZ3" s="8" t="n"/>
      <c r="CA3" s="9" t="n"/>
      <c r="CB3" s="10" t="n">
        <v>26</v>
      </c>
      <c r="CC3" s="8" t="n"/>
      <c r="CD3" s="9" t="n"/>
      <c r="CE3" s="10" t="n">
        <v>27</v>
      </c>
      <c r="CF3" s="8" t="n"/>
      <c r="CG3" s="9" t="n"/>
      <c r="CH3" s="10" t="n">
        <v>28</v>
      </c>
      <c r="CI3" s="8" t="n"/>
      <c r="CJ3" s="9" t="n"/>
      <c r="CK3" s="10" t="n">
        <v>29</v>
      </c>
      <c r="CL3" s="8" t="n"/>
      <c r="CM3" s="9" t="n"/>
      <c r="CN3" s="10" t="n">
        <v>30</v>
      </c>
      <c r="CO3" s="8" t="n"/>
      <c r="CP3" s="9" t="n"/>
      <c r="CQ3" s="10" t="n">
        <v>31</v>
      </c>
      <c r="CR3" s="8" t="n"/>
      <c r="CS3" s="9" t="n"/>
    </row>
    <row r="4">
      <c r="A4" s="67" t="n"/>
      <c r="B4" s="67" t="n"/>
      <c r="C4" s="67" t="n"/>
      <c r="D4" s="67" t="n"/>
      <c r="E4" s="68" t="inlineStr">
        <is>
          <t>四</t>
        </is>
      </c>
      <c r="F4" s="69" t="inlineStr">
        <is>
          <t>四</t>
        </is>
      </c>
      <c r="G4" s="69" t="inlineStr">
        <is>
          <t>四</t>
        </is>
      </c>
      <c r="H4" s="68" t="inlineStr">
        <is>
          <t>五</t>
        </is>
      </c>
      <c r="I4" s="69" t="inlineStr">
        <is>
          <t>五</t>
        </is>
      </c>
      <c r="J4" s="69" t="inlineStr">
        <is>
          <t>五</t>
        </is>
      </c>
      <c r="K4" s="68" t="inlineStr">
        <is>
          <t>六</t>
        </is>
      </c>
      <c r="L4" s="69" t="inlineStr">
        <is>
          <t>六</t>
        </is>
      </c>
      <c r="M4" s="69" t="inlineStr">
        <is>
          <t>六</t>
        </is>
      </c>
      <c r="N4" s="68" t="inlineStr">
        <is>
          <t>日</t>
        </is>
      </c>
      <c r="O4" s="69" t="inlineStr">
        <is>
          <t>日</t>
        </is>
      </c>
      <c r="P4" s="69" t="inlineStr">
        <is>
          <t>日</t>
        </is>
      </c>
      <c r="Q4" s="68" t="inlineStr">
        <is>
          <t>一</t>
        </is>
      </c>
      <c r="R4" s="69" t="inlineStr">
        <is>
          <t>一</t>
        </is>
      </c>
      <c r="S4" s="69" t="inlineStr">
        <is>
          <t>一</t>
        </is>
      </c>
      <c r="T4" s="68" t="inlineStr">
        <is>
          <t>二</t>
        </is>
      </c>
      <c r="U4" s="69" t="inlineStr">
        <is>
          <t>二</t>
        </is>
      </c>
      <c r="V4" s="69" t="inlineStr">
        <is>
          <t>二</t>
        </is>
      </c>
      <c r="W4" s="68" t="inlineStr">
        <is>
          <t>三</t>
        </is>
      </c>
      <c r="X4" s="69" t="inlineStr">
        <is>
          <t>三</t>
        </is>
      </c>
      <c r="Y4" s="69" t="inlineStr">
        <is>
          <t>三</t>
        </is>
      </c>
      <c r="Z4" s="68" t="inlineStr">
        <is>
          <t>四</t>
        </is>
      </c>
      <c r="AA4" s="69" t="inlineStr">
        <is>
          <t>四</t>
        </is>
      </c>
      <c r="AB4" s="69" t="inlineStr">
        <is>
          <t>四</t>
        </is>
      </c>
      <c r="AC4" s="68" t="inlineStr">
        <is>
          <t>五</t>
        </is>
      </c>
      <c r="AD4" s="69" t="inlineStr">
        <is>
          <t>五</t>
        </is>
      </c>
      <c r="AE4" s="69" t="inlineStr">
        <is>
          <t>五</t>
        </is>
      </c>
      <c r="AF4" s="68" t="inlineStr">
        <is>
          <t>六</t>
        </is>
      </c>
      <c r="AG4" s="69" t="inlineStr">
        <is>
          <t>六</t>
        </is>
      </c>
      <c r="AH4" s="69" t="inlineStr">
        <is>
          <t>六</t>
        </is>
      </c>
      <c r="AI4" s="68" t="inlineStr">
        <is>
          <t>日</t>
        </is>
      </c>
      <c r="AJ4" s="69" t="inlineStr">
        <is>
          <t>日</t>
        </is>
      </c>
      <c r="AK4" s="69" t="inlineStr">
        <is>
          <t>日</t>
        </is>
      </c>
      <c r="AL4" s="68" t="inlineStr">
        <is>
          <t>一</t>
        </is>
      </c>
      <c r="AM4" s="69" t="inlineStr">
        <is>
          <t>一</t>
        </is>
      </c>
      <c r="AN4" s="69" t="inlineStr">
        <is>
          <t>一</t>
        </is>
      </c>
      <c r="AO4" s="68" t="inlineStr">
        <is>
          <t>二</t>
        </is>
      </c>
      <c r="AP4" s="69" t="inlineStr">
        <is>
          <t>二</t>
        </is>
      </c>
      <c r="AQ4" s="69" t="inlineStr">
        <is>
          <t>二</t>
        </is>
      </c>
      <c r="AR4" s="68" t="inlineStr">
        <is>
          <t>三</t>
        </is>
      </c>
      <c r="AS4" s="69" t="inlineStr">
        <is>
          <t>三</t>
        </is>
      </c>
      <c r="AT4" s="69" t="inlineStr">
        <is>
          <t>三</t>
        </is>
      </c>
      <c r="AU4" s="68" t="inlineStr">
        <is>
          <t>四</t>
        </is>
      </c>
      <c r="AV4" s="69" t="inlineStr">
        <is>
          <t>四</t>
        </is>
      </c>
      <c r="AW4" s="69" t="inlineStr">
        <is>
          <t>四</t>
        </is>
      </c>
      <c r="AX4" s="68" t="inlineStr">
        <is>
          <t>五</t>
        </is>
      </c>
      <c r="AY4" s="69" t="inlineStr">
        <is>
          <t>五</t>
        </is>
      </c>
      <c r="AZ4" s="69" t="inlineStr">
        <is>
          <t>五</t>
        </is>
      </c>
      <c r="BA4" s="68" t="inlineStr">
        <is>
          <t>六</t>
        </is>
      </c>
      <c r="BB4" s="69" t="inlineStr">
        <is>
          <t>六</t>
        </is>
      </c>
      <c r="BC4" s="69" t="inlineStr">
        <is>
          <t>六</t>
        </is>
      </c>
      <c r="BD4" s="68" t="inlineStr">
        <is>
          <t>日</t>
        </is>
      </c>
      <c r="BE4" s="69" t="inlineStr">
        <is>
          <t>日</t>
        </is>
      </c>
      <c r="BF4" s="69" t="inlineStr">
        <is>
          <t>日</t>
        </is>
      </c>
      <c r="BG4" s="68" t="inlineStr">
        <is>
          <t>一</t>
        </is>
      </c>
      <c r="BH4" s="69" t="inlineStr">
        <is>
          <t>一</t>
        </is>
      </c>
      <c r="BI4" s="69" t="inlineStr">
        <is>
          <t>一</t>
        </is>
      </c>
      <c r="BJ4" s="68" t="inlineStr">
        <is>
          <t>二</t>
        </is>
      </c>
      <c r="BK4" s="69" t="inlineStr">
        <is>
          <t>二</t>
        </is>
      </c>
      <c r="BL4" s="69" t="inlineStr">
        <is>
          <t>二</t>
        </is>
      </c>
      <c r="BM4" s="68" t="inlineStr">
        <is>
          <t>三</t>
        </is>
      </c>
      <c r="BN4" s="69" t="inlineStr">
        <is>
          <t>三</t>
        </is>
      </c>
      <c r="BO4" s="69" t="inlineStr">
        <is>
          <t>三</t>
        </is>
      </c>
      <c r="BP4" s="68" t="inlineStr">
        <is>
          <t>四</t>
        </is>
      </c>
      <c r="BQ4" s="69" t="inlineStr">
        <is>
          <t>四</t>
        </is>
      </c>
      <c r="BR4" s="69" t="inlineStr">
        <is>
          <t>四</t>
        </is>
      </c>
      <c r="BS4" s="68" t="inlineStr">
        <is>
          <t>五</t>
        </is>
      </c>
      <c r="BT4" s="69" t="inlineStr">
        <is>
          <t>五</t>
        </is>
      </c>
      <c r="BU4" s="69" t="inlineStr">
        <is>
          <t>五</t>
        </is>
      </c>
      <c r="BV4" s="68" t="inlineStr">
        <is>
          <t>六</t>
        </is>
      </c>
      <c r="BW4" s="69" t="inlineStr">
        <is>
          <t>六</t>
        </is>
      </c>
      <c r="BX4" s="69" t="inlineStr">
        <is>
          <t>六</t>
        </is>
      </c>
      <c r="BY4" s="68" t="inlineStr">
        <is>
          <t>日</t>
        </is>
      </c>
      <c r="BZ4" s="69" t="inlineStr">
        <is>
          <t>日</t>
        </is>
      </c>
      <c r="CA4" s="69" t="inlineStr">
        <is>
          <t>日</t>
        </is>
      </c>
      <c r="CB4" s="68" t="inlineStr">
        <is>
          <t>一</t>
        </is>
      </c>
      <c r="CC4" s="69" t="inlineStr">
        <is>
          <t>一</t>
        </is>
      </c>
      <c r="CD4" s="69" t="inlineStr">
        <is>
          <t>一</t>
        </is>
      </c>
      <c r="CE4" s="68" t="inlineStr">
        <is>
          <t>二</t>
        </is>
      </c>
      <c r="CF4" s="69" t="inlineStr">
        <is>
          <t>二</t>
        </is>
      </c>
      <c r="CG4" s="69" t="inlineStr">
        <is>
          <t>二</t>
        </is>
      </c>
      <c r="CH4" s="68" t="inlineStr">
        <is>
          <t>三</t>
        </is>
      </c>
      <c r="CI4" s="69" t="inlineStr">
        <is>
          <t>三</t>
        </is>
      </c>
      <c r="CJ4" s="69" t="inlineStr">
        <is>
          <t>三</t>
        </is>
      </c>
      <c r="CK4" s="68" t="inlineStr">
        <is>
          <t>四</t>
        </is>
      </c>
      <c r="CL4" s="69" t="inlineStr">
        <is>
          <t>四</t>
        </is>
      </c>
      <c r="CM4" s="69" t="inlineStr">
        <is>
          <t>四</t>
        </is>
      </c>
      <c r="CN4" s="68" t="inlineStr">
        <is>
          <t>五</t>
        </is>
      </c>
      <c r="CO4" s="69" t="inlineStr">
        <is>
          <t>五</t>
        </is>
      </c>
      <c r="CP4" s="69" t="inlineStr">
        <is>
          <t>五</t>
        </is>
      </c>
      <c r="CQ4" s="68" t="inlineStr">
        <is>
          <t>六</t>
        </is>
      </c>
      <c r="CR4" s="69" t="inlineStr">
        <is>
          <t>六</t>
        </is>
      </c>
      <c r="CS4" s="69" t="inlineStr">
        <is>
          <t>六</t>
        </is>
      </c>
    </row>
    <row r="5">
      <c r="A5" s="45" t="n"/>
      <c r="B5" s="45" t="n"/>
      <c r="C5" s="45" t="n"/>
      <c r="D5" s="45" t="n"/>
      <c r="E5" s="46" t="inlineStr">
        <is>
          <t>早</t>
        </is>
      </c>
      <c r="F5" s="47" t="inlineStr">
        <is>
          <t>午</t>
        </is>
      </c>
      <c r="G5" s="47" t="inlineStr">
        <is>
          <t>晚</t>
        </is>
      </c>
      <c r="H5" s="46" t="inlineStr">
        <is>
          <t>早</t>
        </is>
      </c>
      <c r="I5" s="47" t="inlineStr">
        <is>
          <t>午</t>
        </is>
      </c>
      <c r="J5" s="47" t="inlineStr">
        <is>
          <t>晚</t>
        </is>
      </c>
      <c r="K5" s="46" t="inlineStr">
        <is>
          <t>早</t>
        </is>
      </c>
      <c r="L5" s="47" t="inlineStr">
        <is>
          <t>午</t>
        </is>
      </c>
      <c r="M5" s="47" t="inlineStr">
        <is>
          <t>晚</t>
        </is>
      </c>
      <c r="N5" s="46" t="inlineStr">
        <is>
          <t>早</t>
        </is>
      </c>
      <c r="O5" s="47" t="inlineStr">
        <is>
          <t>午</t>
        </is>
      </c>
      <c r="P5" s="47" t="inlineStr">
        <is>
          <t>晚</t>
        </is>
      </c>
      <c r="Q5" s="46" t="inlineStr">
        <is>
          <t>早</t>
        </is>
      </c>
      <c r="R5" s="47" t="inlineStr">
        <is>
          <t>午</t>
        </is>
      </c>
      <c r="S5" s="47" t="inlineStr">
        <is>
          <t>晚</t>
        </is>
      </c>
      <c r="T5" s="46" t="inlineStr">
        <is>
          <t>早</t>
        </is>
      </c>
      <c r="U5" s="47" t="inlineStr">
        <is>
          <t>午</t>
        </is>
      </c>
      <c r="V5" s="47" t="inlineStr">
        <is>
          <t>晚</t>
        </is>
      </c>
      <c r="W5" s="46" t="inlineStr">
        <is>
          <t>早</t>
        </is>
      </c>
      <c r="X5" s="47" t="inlineStr">
        <is>
          <t>午</t>
        </is>
      </c>
      <c r="Y5" s="47" t="inlineStr">
        <is>
          <t>晚</t>
        </is>
      </c>
      <c r="Z5" s="46" t="inlineStr">
        <is>
          <t>早</t>
        </is>
      </c>
      <c r="AA5" s="47" t="inlineStr">
        <is>
          <t>午</t>
        </is>
      </c>
      <c r="AB5" s="47" t="inlineStr">
        <is>
          <t>晚</t>
        </is>
      </c>
      <c r="AC5" s="46" t="inlineStr">
        <is>
          <t>早</t>
        </is>
      </c>
      <c r="AD5" s="47" t="inlineStr">
        <is>
          <t>午</t>
        </is>
      </c>
      <c r="AE5" s="47" t="inlineStr">
        <is>
          <t>晚</t>
        </is>
      </c>
      <c r="AF5" s="46" t="inlineStr">
        <is>
          <t>早</t>
        </is>
      </c>
      <c r="AG5" s="47" t="inlineStr">
        <is>
          <t>午</t>
        </is>
      </c>
      <c r="AH5" s="47" t="inlineStr">
        <is>
          <t>晚</t>
        </is>
      </c>
      <c r="AI5" s="46" t="inlineStr">
        <is>
          <t>早</t>
        </is>
      </c>
      <c r="AJ5" s="47" t="inlineStr">
        <is>
          <t>午</t>
        </is>
      </c>
      <c r="AK5" s="47" t="inlineStr">
        <is>
          <t>晚</t>
        </is>
      </c>
      <c r="AL5" s="46" t="inlineStr">
        <is>
          <t>早</t>
        </is>
      </c>
      <c r="AM5" s="47" t="inlineStr">
        <is>
          <t>午</t>
        </is>
      </c>
      <c r="AN5" s="47" t="inlineStr">
        <is>
          <t>晚</t>
        </is>
      </c>
      <c r="AO5" s="46" t="inlineStr">
        <is>
          <t>早</t>
        </is>
      </c>
      <c r="AP5" s="47" t="inlineStr">
        <is>
          <t>午</t>
        </is>
      </c>
      <c r="AQ5" s="47" t="inlineStr">
        <is>
          <t>晚</t>
        </is>
      </c>
      <c r="AR5" s="46" t="inlineStr">
        <is>
          <t>早</t>
        </is>
      </c>
      <c r="AS5" s="47" t="inlineStr">
        <is>
          <t>午</t>
        </is>
      </c>
      <c r="AT5" s="47" t="inlineStr">
        <is>
          <t>晚</t>
        </is>
      </c>
      <c r="AU5" s="46" t="inlineStr">
        <is>
          <t>早</t>
        </is>
      </c>
      <c r="AV5" s="47" t="inlineStr">
        <is>
          <t>午</t>
        </is>
      </c>
      <c r="AW5" s="47" t="inlineStr">
        <is>
          <t>晚</t>
        </is>
      </c>
      <c r="AX5" s="46" t="inlineStr">
        <is>
          <t>早</t>
        </is>
      </c>
      <c r="AY5" s="47" t="inlineStr">
        <is>
          <t>午</t>
        </is>
      </c>
      <c r="AZ5" s="47" t="inlineStr">
        <is>
          <t>晚</t>
        </is>
      </c>
      <c r="BA5" s="46" t="inlineStr">
        <is>
          <t>早</t>
        </is>
      </c>
      <c r="BB5" s="47" t="inlineStr">
        <is>
          <t>午</t>
        </is>
      </c>
      <c r="BC5" s="47" t="inlineStr">
        <is>
          <t>晚</t>
        </is>
      </c>
      <c r="BD5" s="46" t="inlineStr">
        <is>
          <t>早</t>
        </is>
      </c>
      <c r="BE5" s="47" t="inlineStr">
        <is>
          <t>午</t>
        </is>
      </c>
      <c r="BF5" s="47" t="inlineStr">
        <is>
          <t>晚</t>
        </is>
      </c>
      <c r="BG5" s="46" t="inlineStr">
        <is>
          <t>早</t>
        </is>
      </c>
      <c r="BH5" s="47" t="inlineStr">
        <is>
          <t>午</t>
        </is>
      </c>
      <c r="BI5" s="47" t="inlineStr">
        <is>
          <t>晚</t>
        </is>
      </c>
      <c r="BJ5" s="46" t="inlineStr">
        <is>
          <t>早</t>
        </is>
      </c>
      <c r="BK5" s="47" t="inlineStr">
        <is>
          <t>午</t>
        </is>
      </c>
      <c r="BL5" s="47" t="inlineStr">
        <is>
          <t>晚</t>
        </is>
      </c>
      <c r="BM5" s="46" t="inlineStr">
        <is>
          <t>早</t>
        </is>
      </c>
      <c r="BN5" s="47" t="inlineStr">
        <is>
          <t>午</t>
        </is>
      </c>
      <c r="BO5" s="47" t="inlineStr">
        <is>
          <t>晚</t>
        </is>
      </c>
      <c r="BP5" s="46" t="inlineStr">
        <is>
          <t>早</t>
        </is>
      </c>
      <c r="BQ5" s="47" t="inlineStr">
        <is>
          <t>午</t>
        </is>
      </c>
      <c r="BR5" s="47" t="inlineStr">
        <is>
          <t>晚</t>
        </is>
      </c>
      <c r="BS5" s="46" t="inlineStr">
        <is>
          <t>早</t>
        </is>
      </c>
      <c r="BT5" s="47" t="inlineStr">
        <is>
          <t>午</t>
        </is>
      </c>
      <c r="BU5" s="47" t="inlineStr">
        <is>
          <t>晚</t>
        </is>
      </c>
      <c r="BV5" s="46" t="inlineStr">
        <is>
          <t>早</t>
        </is>
      </c>
      <c r="BW5" s="47" t="inlineStr">
        <is>
          <t>午</t>
        </is>
      </c>
      <c r="BX5" s="47" t="inlineStr">
        <is>
          <t>晚</t>
        </is>
      </c>
      <c r="BY5" s="46" t="inlineStr">
        <is>
          <t>早</t>
        </is>
      </c>
      <c r="BZ5" s="47" t="inlineStr">
        <is>
          <t>午</t>
        </is>
      </c>
      <c r="CA5" s="47" t="inlineStr">
        <is>
          <t>晚</t>
        </is>
      </c>
      <c r="CB5" s="46" t="inlineStr">
        <is>
          <t>早</t>
        </is>
      </c>
      <c r="CC5" s="47" t="inlineStr">
        <is>
          <t>午</t>
        </is>
      </c>
      <c r="CD5" s="47" t="inlineStr">
        <is>
          <t>晚</t>
        </is>
      </c>
      <c r="CE5" s="46" t="inlineStr">
        <is>
          <t>早</t>
        </is>
      </c>
      <c r="CF5" s="47" t="inlineStr">
        <is>
          <t>午</t>
        </is>
      </c>
      <c r="CG5" s="47" t="inlineStr">
        <is>
          <t>晚</t>
        </is>
      </c>
      <c r="CH5" s="46" t="inlineStr">
        <is>
          <t>早</t>
        </is>
      </c>
      <c r="CI5" s="47" t="inlineStr">
        <is>
          <t>午</t>
        </is>
      </c>
      <c r="CJ5" s="47" t="inlineStr">
        <is>
          <t>晚</t>
        </is>
      </c>
      <c r="CK5" s="46" t="inlineStr">
        <is>
          <t>早</t>
        </is>
      </c>
      <c r="CL5" s="47" t="inlineStr">
        <is>
          <t>午</t>
        </is>
      </c>
      <c r="CM5" s="47" t="inlineStr">
        <is>
          <t>晚</t>
        </is>
      </c>
      <c r="CN5" s="46" t="inlineStr">
        <is>
          <t>早</t>
        </is>
      </c>
      <c r="CO5" s="47" t="inlineStr">
        <is>
          <t>午</t>
        </is>
      </c>
      <c r="CP5" s="47" t="inlineStr">
        <is>
          <t>晚</t>
        </is>
      </c>
      <c r="CQ5" s="46" t="inlineStr">
        <is>
          <t>早</t>
        </is>
      </c>
      <c r="CR5" s="47" t="inlineStr">
        <is>
          <t>午</t>
        </is>
      </c>
      <c r="CS5" s="47" t="inlineStr">
        <is>
          <t>晚</t>
        </is>
      </c>
    </row>
    <row r="6" ht="17" customHeight="1">
      <c r="A6" s="19" t="inlineStr">
        <is>
          <t>D001</t>
        </is>
      </c>
      <c r="B6" s="16" t="inlineStr">
        <is>
          <t>林智俊</t>
        </is>
      </c>
      <c r="C6" s="70" t="inlineStr">
        <is>
          <t>牙周植牙專科</t>
        </is>
      </c>
      <c r="D6" s="16" t="inlineStr">
        <is>
          <t>晶悅院長</t>
        </is>
      </c>
      <c r="E6" s="71">
        <f>IF(E$59="X","",IF(E$59&lt;&gt;"",E$59,IF(IFERROR(INDEX(醫師週班表!$C$5:$T$44,$CU6,E$57),"")=0,"",IF(MID(IFERROR(INDEX(醫師週班表!$C$5:$T$44,$CU6,E$57),""),2,1)="/",MID(IFERROR(INDEX(醫師週班表!$C$5:$T$44,$CU6,E$57),""),1+E$58*2,1),IF(MID(IFERROR(INDEX(醫師週班表!$C$5:$T$44,$CU6,E$57),""),3,1)="隔",IF(E$58=0,LEFT(IFERROR(INDEX(醫師週班表!$C$5:$T$44,$CU6,E$57),""),1),""),IF(MID(IFERROR(INDEX(醫師週班表!$C$5:$T$44,$CU6,E$57),""),2,1)="(",LEFT(IFERROR(INDEX(醫師週班表!$C$5:$T$44,$CU6,E$57),""),1),IFERROR(INDEX(醫師週班表!$C$5:$T$44,$CU6,E$57),"")))))))</f>
        <v/>
      </c>
      <c r="F6" s="72">
        <f>IF(F$59="X","",IF(F$59&lt;&gt;"",F$59,IF(IFERROR(INDEX(醫師週班表!$C$5:$T$44,$CU6,F$57),"")=0,"",IF(MID(IFERROR(INDEX(醫師週班表!$C$5:$T$44,$CU6,F$57),""),2,1)="/",MID(IFERROR(INDEX(醫師週班表!$C$5:$T$44,$CU6,F$57),""),1+F$58*2,1),IF(MID(IFERROR(INDEX(醫師週班表!$C$5:$T$44,$CU6,F$57),""),3,1)="隔",IF(F$58=0,LEFT(IFERROR(INDEX(醫師週班表!$C$5:$T$44,$CU6,F$57),""),1),""),IF(MID(IFERROR(INDEX(醫師週班表!$C$5:$T$44,$CU6,F$57),""),2,1)="(",LEFT(IFERROR(INDEX(醫師週班表!$C$5:$T$44,$CU6,F$57),""),1),IFERROR(INDEX(醫師週班表!$C$5:$T$44,$CU6,F$57),"")))))))</f>
        <v/>
      </c>
      <c r="G6" s="72">
        <f>IF(G$59="X","",IF(G$59&lt;&gt;"",G$59,IF(IFERROR(INDEX(醫師週班表!$C$5:$T$44,$CU6,G$57),"")=0,"",IF(MID(IFERROR(INDEX(醫師週班表!$C$5:$T$44,$CU6,G$57),""),2,1)="/",MID(IFERROR(INDEX(醫師週班表!$C$5:$T$44,$CU6,G$57),""),1+G$58*2,1),IF(MID(IFERROR(INDEX(醫師週班表!$C$5:$T$44,$CU6,G$57),""),3,1)="隔",IF(G$58=0,LEFT(IFERROR(INDEX(醫師週班表!$C$5:$T$44,$CU6,G$57),""),1),""),IF(MID(IFERROR(INDEX(醫師週班表!$C$5:$T$44,$CU6,G$57),""),2,1)="(",LEFT(IFERROR(INDEX(醫師週班表!$C$5:$T$44,$CU6,G$57),""),1),IFERROR(INDEX(醫師週班表!$C$5:$T$44,$CU6,G$57),"")))))))</f>
        <v/>
      </c>
      <c r="H6" s="71">
        <f>IF(H$59="X","",IF(H$59&lt;&gt;"",H$59,IF(IFERROR(INDEX(醫師週班表!$C$5:$T$44,$CU6,H$57),"")=0,"",IF(MID(IFERROR(INDEX(醫師週班表!$C$5:$T$44,$CU6,H$57),""),2,1)="/",MID(IFERROR(INDEX(醫師週班表!$C$5:$T$44,$CU6,H$57),""),1+H$58*2,1),IF(MID(IFERROR(INDEX(醫師週班表!$C$5:$T$44,$CU6,H$57),""),3,1)="隔",IF(H$58=0,LEFT(IFERROR(INDEX(醫師週班表!$C$5:$T$44,$CU6,H$57),""),1),""),IF(MID(IFERROR(INDEX(醫師週班表!$C$5:$T$44,$CU6,H$57),""),2,1)="(",LEFT(IFERROR(INDEX(醫師週班表!$C$5:$T$44,$CU6,H$57),""),1),IFERROR(INDEX(醫師週班表!$C$5:$T$44,$CU6,H$57),"")))))))</f>
        <v/>
      </c>
      <c r="I6" s="72">
        <f>IF(I$59="X","",IF(I$59&lt;&gt;"",I$59,IF(IFERROR(INDEX(醫師週班表!$C$5:$T$44,$CU6,I$57),"")=0,"",IF(MID(IFERROR(INDEX(醫師週班表!$C$5:$T$44,$CU6,I$57),""),2,1)="/",MID(IFERROR(INDEX(醫師週班表!$C$5:$T$44,$CU6,I$57),""),1+I$58*2,1),IF(MID(IFERROR(INDEX(醫師週班表!$C$5:$T$44,$CU6,I$57),""),3,1)="隔",IF(I$58=0,LEFT(IFERROR(INDEX(醫師週班表!$C$5:$T$44,$CU6,I$57),""),1),""),IF(MID(IFERROR(INDEX(醫師週班表!$C$5:$T$44,$CU6,I$57),""),2,1)="(",LEFT(IFERROR(INDEX(醫師週班表!$C$5:$T$44,$CU6,I$57),""),1),IFERROR(INDEX(醫師週班表!$C$5:$T$44,$CU6,I$57),"")))))))</f>
        <v/>
      </c>
      <c r="J6" s="72">
        <f>IF(J$59="X","",IF(J$59&lt;&gt;"",J$59,IF(IFERROR(INDEX(醫師週班表!$C$5:$T$44,$CU6,J$57),"")=0,"",IF(MID(IFERROR(INDEX(醫師週班表!$C$5:$T$44,$CU6,J$57),""),2,1)="/",MID(IFERROR(INDEX(醫師週班表!$C$5:$T$44,$CU6,J$57),""),1+J$58*2,1),IF(MID(IFERROR(INDEX(醫師週班表!$C$5:$T$44,$CU6,J$57),""),3,1)="隔",IF(J$58=0,LEFT(IFERROR(INDEX(醫師週班表!$C$5:$T$44,$CU6,J$57),""),1),""),IF(MID(IFERROR(INDEX(醫師週班表!$C$5:$T$44,$CU6,J$57),""),2,1)="(",LEFT(IFERROR(INDEX(醫師週班表!$C$5:$T$44,$CU6,J$57),""),1),IFERROR(INDEX(醫師週班表!$C$5:$T$44,$CU6,J$57),"")))))))</f>
        <v/>
      </c>
      <c r="K6" s="71">
        <f>IF(K$59="X","",IF(K$59&lt;&gt;"",K$59,IF(IFERROR(INDEX(醫師週班表!$C$5:$T$44,$CU6,K$57),"")=0,"",IF(MID(IFERROR(INDEX(醫師週班表!$C$5:$T$44,$CU6,K$57),""),2,1)="/",MID(IFERROR(INDEX(醫師週班表!$C$5:$T$44,$CU6,K$57),""),1+K$58*2,1),IF(MID(IFERROR(INDEX(醫師週班表!$C$5:$T$44,$CU6,K$57),""),3,1)="隔",IF(K$58=0,LEFT(IFERROR(INDEX(醫師週班表!$C$5:$T$44,$CU6,K$57),""),1),""),IF(MID(IFERROR(INDEX(醫師週班表!$C$5:$T$44,$CU6,K$57),""),2,1)="(",LEFT(IFERROR(INDEX(醫師週班表!$C$5:$T$44,$CU6,K$57),""),1),IFERROR(INDEX(醫師週班表!$C$5:$T$44,$CU6,K$57),"")))))))</f>
        <v/>
      </c>
      <c r="L6" s="72">
        <f>IF(L$59="X","",IF(L$59&lt;&gt;"",L$59,IF(IFERROR(INDEX(醫師週班表!$C$5:$T$44,$CU6,L$57),"")=0,"",IF(MID(IFERROR(INDEX(醫師週班表!$C$5:$T$44,$CU6,L$57),""),2,1)="/",MID(IFERROR(INDEX(醫師週班表!$C$5:$T$44,$CU6,L$57),""),1+L$58*2,1),IF(MID(IFERROR(INDEX(醫師週班表!$C$5:$T$44,$CU6,L$57),""),3,1)="隔",IF(L$58=0,LEFT(IFERROR(INDEX(醫師週班表!$C$5:$T$44,$CU6,L$57),""),1),""),IF(MID(IFERROR(INDEX(醫師週班表!$C$5:$T$44,$CU6,L$57),""),2,1)="(",LEFT(IFERROR(INDEX(醫師週班表!$C$5:$T$44,$CU6,L$57),""),1),IFERROR(INDEX(醫師週班表!$C$5:$T$44,$CU6,L$57),"")))))))</f>
        <v/>
      </c>
      <c r="M6" s="72">
        <f>IF(M$59="X","",IF(M$59&lt;&gt;"",M$59,IF(IFERROR(INDEX(醫師週班表!$C$5:$T$44,$CU6,M$57),"")=0,"",IF(MID(IFERROR(INDEX(醫師週班表!$C$5:$T$44,$CU6,M$57),""),2,1)="/",MID(IFERROR(INDEX(醫師週班表!$C$5:$T$44,$CU6,M$57),""),1+M$58*2,1),IF(MID(IFERROR(INDEX(醫師週班表!$C$5:$T$44,$CU6,M$57),""),3,1)="隔",IF(M$58=0,LEFT(IFERROR(INDEX(醫師週班表!$C$5:$T$44,$CU6,M$57),""),1),""),IF(MID(IFERROR(INDEX(醫師週班表!$C$5:$T$44,$CU6,M$57),""),2,1)="(",LEFT(IFERROR(INDEX(醫師週班表!$C$5:$T$44,$CU6,M$57),""),1),IFERROR(INDEX(醫師週班表!$C$5:$T$44,$CU6,M$57),"")))))))</f>
        <v/>
      </c>
      <c r="N6" s="71">
        <f>IF(N$59="X","",IF(N$59&lt;&gt;"",N$59,IF(IFERROR(INDEX(醫師週班表!$C$5:$T$44,$CU6,N$57),"")=0,"",IF(MID(IFERROR(INDEX(醫師週班表!$C$5:$T$44,$CU6,N$57),""),2,1)="/",MID(IFERROR(INDEX(醫師週班表!$C$5:$T$44,$CU6,N$57),""),1+N$58*2,1),IF(MID(IFERROR(INDEX(醫師週班表!$C$5:$T$44,$CU6,N$57),""),3,1)="隔",IF(N$58=0,LEFT(IFERROR(INDEX(醫師週班表!$C$5:$T$44,$CU6,N$57),""),1),""),IF(MID(IFERROR(INDEX(醫師週班表!$C$5:$T$44,$CU6,N$57),""),2,1)="(",LEFT(IFERROR(INDEX(醫師週班表!$C$5:$T$44,$CU6,N$57),""),1),IFERROR(INDEX(醫師週班表!$C$5:$T$44,$CU6,N$57),"")))))))</f>
        <v/>
      </c>
      <c r="O6" s="72">
        <f>IF(O$59="X","",IF(O$59&lt;&gt;"",O$59,IF(IFERROR(INDEX(醫師週班表!$C$5:$T$44,$CU6,O$57),"")=0,"",IF(MID(IFERROR(INDEX(醫師週班表!$C$5:$T$44,$CU6,O$57),""),2,1)="/",MID(IFERROR(INDEX(醫師週班表!$C$5:$T$44,$CU6,O$57),""),1+O$58*2,1),IF(MID(IFERROR(INDEX(醫師週班表!$C$5:$T$44,$CU6,O$57),""),3,1)="隔",IF(O$58=0,LEFT(IFERROR(INDEX(醫師週班表!$C$5:$T$44,$CU6,O$57),""),1),""),IF(MID(IFERROR(INDEX(醫師週班表!$C$5:$T$44,$CU6,O$57),""),2,1)="(",LEFT(IFERROR(INDEX(醫師週班表!$C$5:$T$44,$CU6,O$57),""),1),IFERROR(INDEX(醫師週班表!$C$5:$T$44,$CU6,O$57),"")))))))</f>
        <v/>
      </c>
      <c r="P6" s="72">
        <f>IF(P$59="X","",IF(P$59&lt;&gt;"",P$59,IF(IFERROR(INDEX(醫師週班表!$C$5:$T$44,$CU6,P$57),"")=0,"",IF(MID(IFERROR(INDEX(醫師週班表!$C$5:$T$44,$CU6,P$57),""),2,1)="/",MID(IFERROR(INDEX(醫師週班表!$C$5:$T$44,$CU6,P$57),""),1+P$58*2,1),IF(MID(IFERROR(INDEX(醫師週班表!$C$5:$T$44,$CU6,P$57),""),3,1)="隔",IF(P$58=0,LEFT(IFERROR(INDEX(醫師週班表!$C$5:$T$44,$CU6,P$57),""),1),""),IF(MID(IFERROR(INDEX(醫師週班表!$C$5:$T$44,$CU6,P$57),""),2,1)="(",LEFT(IFERROR(INDEX(醫師週班表!$C$5:$T$44,$CU6,P$57),""),1),IFERROR(INDEX(醫師週班表!$C$5:$T$44,$CU6,P$57),"")))))))</f>
        <v/>
      </c>
      <c r="Q6" s="71">
        <f>IF(Q$59="X","",IF(Q$59&lt;&gt;"",Q$59,IF(IFERROR(INDEX(醫師週班表!$C$5:$T$44,$CU6,Q$57),"")=0,"",IF(MID(IFERROR(INDEX(醫師週班表!$C$5:$T$44,$CU6,Q$57),""),2,1)="/",MID(IFERROR(INDEX(醫師週班表!$C$5:$T$44,$CU6,Q$57),""),1+Q$58*2,1),IF(MID(IFERROR(INDEX(醫師週班表!$C$5:$T$44,$CU6,Q$57),""),3,1)="隔",IF(Q$58=0,LEFT(IFERROR(INDEX(醫師週班表!$C$5:$T$44,$CU6,Q$57),""),1),""),IF(MID(IFERROR(INDEX(醫師週班表!$C$5:$T$44,$CU6,Q$57),""),2,1)="(",LEFT(IFERROR(INDEX(醫師週班表!$C$5:$T$44,$CU6,Q$57),""),1),IFERROR(INDEX(醫師週班表!$C$5:$T$44,$CU6,Q$57),"")))))))</f>
        <v/>
      </c>
      <c r="R6" s="72">
        <f>IF(R$59="X","",IF(R$59&lt;&gt;"",R$59,IF(IFERROR(INDEX(醫師週班表!$C$5:$T$44,$CU6,R$57),"")=0,"",IF(MID(IFERROR(INDEX(醫師週班表!$C$5:$T$44,$CU6,R$57),""),2,1)="/",MID(IFERROR(INDEX(醫師週班表!$C$5:$T$44,$CU6,R$57),""),1+R$58*2,1),IF(MID(IFERROR(INDEX(醫師週班表!$C$5:$T$44,$CU6,R$57),""),3,1)="隔",IF(R$58=0,LEFT(IFERROR(INDEX(醫師週班表!$C$5:$T$44,$CU6,R$57),""),1),""),IF(MID(IFERROR(INDEX(醫師週班表!$C$5:$T$44,$CU6,R$57),""),2,1)="(",LEFT(IFERROR(INDEX(醫師週班表!$C$5:$T$44,$CU6,R$57),""),1),IFERROR(INDEX(醫師週班表!$C$5:$T$44,$CU6,R$57),"")))))))</f>
        <v/>
      </c>
      <c r="S6" s="72">
        <f>IF(S$59="X","",IF(S$59&lt;&gt;"",S$59,IF(IFERROR(INDEX(醫師週班表!$C$5:$T$44,$CU6,S$57),"")=0,"",IF(MID(IFERROR(INDEX(醫師週班表!$C$5:$T$44,$CU6,S$57),""),2,1)="/",MID(IFERROR(INDEX(醫師週班表!$C$5:$T$44,$CU6,S$57),""),1+S$58*2,1),IF(MID(IFERROR(INDEX(醫師週班表!$C$5:$T$44,$CU6,S$57),""),3,1)="隔",IF(S$58=0,LEFT(IFERROR(INDEX(醫師週班表!$C$5:$T$44,$CU6,S$57),""),1),""),IF(MID(IFERROR(INDEX(醫師週班表!$C$5:$T$44,$CU6,S$57),""),2,1)="(",LEFT(IFERROR(INDEX(醫師週班表!$C$5:$T$44,$CU6,S$57),""),1),IFERROR(INDEX(醫師週班表!$C$5:$T$44,$CU6,S$57),"")))))))</f>
        <v/>
      </c>
      <c r="T6" s="71">
        <f>IF(T$59="X","",IF(T$59&lt;&gt;"",T$59,IF(IFERROR(INDEX(醫師週班表!$C$5:$T$44,$CU6,T$57),"")=0,"",IF(MID(IFERROR(INDEX(醫師週班表!$C$5:$T$44,$CU6,T$57),""),2,1)="/",MID(IFERROR(INDEX(醫師週班表!$C$5:$T$44,$CU6,T$57),""),1+T$58*2,1),IF(MID(IFERROR(INDEX(醫師週班表!$C$5:$T$44,$CU6,T$57),""),3,1)="隔",IF(T$58=0,LEFT(IFERROR(INDEX(醫師週班表!$C$5:$T$44,$CU6,T$57),""),1),""),IF(MID(IFERROR(INDEX(醫師週班表!$C$5:$T$44,$CU6,T$57),""),2,1)="(",LEFT(IFERROR(INDEX(醫師週班表!$C$5:$T$44,$CU6,T$57),""),1),IFERROR(INDEX(醫師週班表!$C$5:$T$44,$CU6,T$57),"")))))))</f>
        <v/>
      </c>
      <c r="U6" s="72">
        <f>IF(U$59="X","",IF(U$59&lt;&gt;"",U$59,IF(IFERROR(INDEX(醫師週班表!$C$5:$T$44,$CU6,U$57),"")=0,"",IF(MID(IFERROR(INDEX(醫師週班表!$C$5:$T$44,$CU6,U$57),""),2,1)="/",MID(IFERROR(INDEX(醫師週班表!$C$5:$T$44,$CU6,U$57),""),1+U$58*2,1),IF(MID(IFERROR(INDEX(醫師週班表!$C$5:$T$44,$CU6,U$57),""),3,1)="隔",IF(U$58=0,LEFT(IFERROR(INDEX(醫師週班表!$C$5:$T$44,$CU6,U$57),""),1),""),IF(MID(IFERROR(INDEX(醫師週班表!$C$5:$T$44,$CU6,U$57),""),2,1)="(",LEFT(IFERROR(INDEX(醫師週班表!$C$5:$T$44,$CU6,U$57),""),1),IFERROR(INDEX(醫師週班表!$C$5:$T$44,$CU6,U$57),"")))))))</f>
        <v/>
      </c>
      <c r="V6" s="72">
        <f>IF(V$59="X","",IF(V$59&lt;&gt;"",V$59,IF(IFERROR(INDEX(醫師週班表!$C$5:$T$44,$CU6,V$57),"")=0,"",IF(MID(IFERROR(INDEX(醫師週班表!$C$5:$T$44,$CU6,V$57),""),2,1)="/",MID(IFERROR(INDEX(醫師週班表!$C$5:$T$44,$CU6,V$57),""),1+V$58*2,1),IF(MID(IFERROR(INDEX(醫師週班表!$C$5:$T$44,$CU6,V$57),""),3,1)="隔",IF(V$58=0,LEFT(IFERROR(INDEX(醫師週班表!$C$5:$T$44,$CU6,V$57),""),1),""),IF(MID(IFERROR(INDEX(醫師週班表!$C$5:$T$44,$CU6,V$57),""),2,1)="(",LEFT(IFERROR(INDEX(醫師週班表!$C$5:$T$44,$CU6,V$57),""),1),IFERROR(INDEX(醫師週班表!$C$5:$T$44,$CU6,V$57),"")))))))</f>
        <v/>
      </c>
      <c r="W6" s="71">
        <f>IF(W$59="X","",IF(W$59&lt;&gt;"",W$59,IF(IFERROR(INDEX(醫師週班表!$C$5:$T$44,$CU6,W$57),"")=0,"",IF(MID(IFERROR(INDEX(醫師週班表!$C$5:$T$44,$CU6,W$57),""),2,1)="/",MID(IFERROR(INDEX(醫師週班表!$C$5:$T$44,$CU6,W$57),""),1+W$58*2,1),IF(MID(IFERROR(INDEX(醫師週班表!$C$5:$T$44,$CU6,W$57),""),3,1)="隔",IF(W$58=0,LEFT(IFERROR(INDEX(醫師週班表!$C$5:$T$44,$CU6,W$57),""),1),""),IF(MID(IFERROR(INDEX(醫師週班表!$C$5:$T$44,$CU6,W$57),""),2,1)="(",LEFT(IFERROR(INDEX(醫師週班表!$C$5:$T$44,$CU6,W$57),""),1),IFERROR(INDEX(醫師週班表!$C$5:$T$44,$CU6,W$57),"")))))))</f>
        <v/>
      </c>
      <c r="X6" s="72">
        <f>IF(X$59="X","",IF(X$59&lt;&gt;"",X$59,IF(IFERROR(INDEX(醫師週班表!$C$5:$T$44,$CU6,X$57),"")=0,"",IF(MID(IFERROR(INDEX(醫師週班表!$C$5:$T$44,$CU6,X$57),""),2,1)="/",MID(IFERROR(INDEX(醫師週班表!$C$5:$T$44,$CU6,X$57),""),1+X$58*2,1),IF(MID(IFERROR(INDEX(醫師週班表!$C$5:$T$44,$CU6,X$57),""),3,1)="隔",IF(X$58=0,LEFT(IFERROR(INDEX(醫師週班表!$C$5:$T$44,$CU6,X$57),""),1),""),IF(MID(IFERROR(INDEX(醫師週班表!$C$5:$T$44,$CU6,X$57),""),2,1)="(",LEFT(IFERROR(INDEX(醫師週班表!$C$5:$T$44,$CU6,X$57),""),1),IFERROR(INDEX(醫師週班表!$C$5:$T$44,$CU6,X$57),"")))))))</f>
        <v/>
      </c>
      <c r="Y6" s="72">
        <f>IF(Y$59="X","",IF(Y$59&lt;&gt;"",Y$59,IF(IFERROR(INDEX(醫師週班表!$C$5:$T$44,$CU6,Y$57),"")=0,"",IF(MID(IFERROR(INDEX(醫師週班表!$C$5:$T$44,$CU6,Y$57),""),2,1)="/",MID(IFERROR(INDEX(醫師週班表!$C$5:$T$44,$CU6,Y$57),""),1+Y$58*2,1),IF(MID(IFERROR(INDEX(醫師週班表!$C$5:$T$44,$CU6,Y$57),""),3,1)="隔",IF(Y$58=0,LEFT(IFERROR(INDEX(醫師週班表!$C$5:$T$44,$CU6,Y$57),""),1),""),IF(MID(IFERROR(INDEX(醫師週班表!$C$5:$T$44,$CU6,Y$57),""),2,1)="(",LEFT(IFERROR(INDEX(醫師週班表!$C$5:$T$44,$CU6,Y$57),""),1),IFERROR(INDEX(醫師週班表!$C$5:$T$44,$CU6,Y$57),"")))))))</f>
        <v/>
      </c>
      <c r="Z6" s="71">
        <f>IF(Z$59="X","",IF(Z$59&lt;&gt;"",Z$59,IF(IFERROR(INDEX(醫師週班表!$C$5:$T$44,$CU6,Z$57),"")=0,"",IF(MID(IFERROR(INDEX(醫師週班表!$C$5:$T$44,$CU6,Z$57),""),2,1)="/",MID(IFERROR(INDEX(醫師週班表!$C$5:$T$44,$CU6,Z$57),""),1+Z$58*2,1),IF(MID(IFERROR(INDEX(醫師週班表!$C$5:$T$44,$CU6,Z$57),""),3,1)="隔",IF(Z$58=0,LEFT(IFERROR(INDEX(醫師週班表!$C$5:$T$44,$CU6,Z$57),""),1),""),IF(MID(IFERROR(INDEX(醫師週班表!$C$5:$T$44,$CU6,Z$57),""),2,1)="(",LEFT(IFERROR(INDEX(醫師週班表!$C$5:$T$44,$CU6,Z$57),""),1),IFERROR(INDEX(醫師週班表!$C$5:$T$44,$CU6,Z$57),"")))))))</f>
        <v/>
      </c>
      <c r="AA6" s="72">
        <f>IF(AA$59="X","",IF(AA$59&lt;&gt;"",AA$59,IF(IFERROR(INDEX(醫師週班表!$C$5:$T$44,$CU6,AA$57),"")=0,"",IF(MID(IFERROR(INDEX(醫師週班表!$C$5:$T$44,$CU6,AA$57),""),2,1)="/",MID(IFERROR(INDEX(醫師週班表!$C$5:$T$44,$CU6,AA$57),""),1+AA$58*2,1),IF(MID(IFERROR(INDEX(醫師週班表!$C$5:$T$44,$CU6,AA$57),""),3,1)="隔",IF(AA$58=0,LEFT(IFERROR(INDEX(醫師週班表!$C$5:$T$44,$CU6,AA$57),""),1),""),IF(MID(IFERROR(INDEX(醫師週班表!$C$5:$T$44,$CU6,AA$57),""),2,1)="(",LEFT(IFERROR(INDEX(醫師週班表!$C$5:$T$44,$CU6,AA$57),""),1),IFERROR(INDEX(醫師週班表!$C$5:$T$44,$CU6,AA$57),"")))))))</f>
        <v/>
      </c>
      <c r="AB6" s="72">
        <f>IF(AB$59="X","",IF(AB$59&lt;&gt;"",AB$59,IF(IFERROR(INDEX(醫師週班表!$C$5:$T$44,$CU6,AB$57),"")=0,"",IF(MID(IFERROR(INDEX(醫師週班表!$C$5:$T$44,$CU6,AB$57),""),2,1)="/",MID(IFERROR(INDEX(醫師週班表!$C$5:$T$44,$CU6,AB$57),""),1+AB$58*2,1),IF(MID(IFERROR(INDEX(醫師週班表!$C$5:$T$44,$CU6,AB$57),""),3,1)="隔",IF(AB$58=0,LEFT(IFERROR(INDEX(醫師週班表!$C$5:$T$44,$CU6,AB$57),""),1),""),IF(MID(IFERROR(INDEX(醫師週班表!$C$5:$T$44,$CU6,AB$57),""),2,1)="(",LEFT(IFERROR(INDEX(醫師週班表!$C$5:$T$44,$CU6,AB$57),""),1),IFERROR(INDEX(醫師週班表!$C$5:$T$44,$CU6,AB$57),"")))))))</f>
        <v/>
      </c>
      <c r="AC6" s="71">
        <f>IF(AC$59="X","",IF(AC$59&lt;&gt;"",AC$59,IF(IFERROR(INDEX(醫師週班表!$C$5:$T$44,$CU6,AC$57),"")=0,"",IF(MID(IFERROR(INDEX(醫師週班表!$C$5:$T$44,$CU6,AC$57),""),2,1)="/",MID(IFERROR(INDEX(醫師週班表!$C$5:$T$44,$CU6,AC$57),""),1+AC$58*2,1),IF(MID(IFERROR(INDEX(醫師週班表!$C$5:$T$44,$CU6,AC$57),""),3,1)="隔",IF(AC$58=0,LEFT(IFERROR(INDEX(醫師週班表!$C$5:$T$44,$CU6,AC$57),""),1),""),IF(MID(IFERROR(INDEX(醫師週班表!$C$5:$T$44,$CU6,AC$57),""),2,1)="(",LEFT(IFERROR(INDEX(醫師週班表!$C$5:$T$44,$CU6,AC$57),""),1),IFERROR(INDEX(醫師週班表!$C$5:$T$44,$CU6,AC$57),"")))))))</f>
        <v/>
      </c>
      <c r="AD6" s="72">
        <f>IF(AD$59="X","",IF(AD$59&lt;&gt;"",AD$59,IF(IFERROR(INDEX(醫師週班表!$C$5:$T$44,$CU6,AD$57),"")=0,"",IF(MID(IFERROR(INDEX(醫師週班表!$C$5:$T$44,$CU6,AD$57),""),2,1)="/",MID(IFERROR(INDEX(醫師週班表!$C$5:$T$44,$CU6,AD$57),""),1+AD$58*2,1),IF(MID(IFERROR(INDEX(醫師週班表!$C$5:$T$44,$CU6,AD$57),""),3,1)="隔",IF(AD$58=0,LEFT(IFERROR(INDEX(醫師週班表!$C$5:$T$44,$CU6,AD$57),""),1),""),IF(MID(IFERROR(INDEX(醫師週班表!$C$5:$T$44,$CU6,AD$57),""),2,1)="(",LEFT(IFERROR(INDEX(醫師週班表!$C$5:$T$44,$CU6,AD$57),""),1),IFERROR(INDEX(醫師週班表!$C$5:$T$44,$CU6,AD$57),"")))))))</f>
        <v/>
      </c>
      <c r="AE6" s="72">
        <f>IF(AE$59="X","",IF(AE$59&lt;&gt;"",AE$59,IF(IFERROR(INDEX(醫師週班表!$C$5:$T$44,$CU6,AE$57),"")=0,"",IF(MID(IFERROR(INDEX(醫師週班表!$C$5:$T$44,$CU6,AE$57),""),2,1)="/",MID(IFERROR(INDEX(醫師週班表!$C$5:$T$44,$CU6,AE$57),""),1+AE$58*2,1),IF(MID(IFERROR(INDEX(醫師週班表!$C$5:$T$44,$CU6,AE$57),""),3,1)="隔",IF(AE$58=0,LEFT(IFERROR(INDEX(醫師週班表!$C$5:$T$44,$CU6,AE$57),""),1),""),IF(MID(IFERROR(INDEX(醫師週班表!$C$5:$T$44,$CU6,AE$57),""),2,1)="(",LEFT(IFERROR(INDEX(醫師週班表!$C$5:$T$44,$CU6,AE$57),""),1),IFERROR(INDEX(醫師週班表!$C$5:$T$44,$CU6,AE$57),"")))))))</f>
        <v/>
      </c>
      <c r="AF6" s="71">
        <f>IF(AF$59="X","",IF(AF$59&lt;&gt;"",AF$59,IF(IFERROR(INDEX(醫師週班表!$C$5:$T$44,$CU6,AF$57),"")=0,"",IF(MID(IFERROR(INDEX(醫師週班表!$C$5:$T$44,$CU6,AF$57),""),2,1)="/",MID(IFERROR(INDEX(醫師週班表!$C$5:$T$44,$CU6,AF$57),""),1+AF$58*2,1),IF(MID(IFERROR(INDEX(醫師週班表!$C$5:$T$44,$CU6,AF$57),""),3,1)="隔",IF(AF$58=0,LEFT(IFERROR(INDEX(醫師週班表!$C$5:$T$44,$CU6,AF$57),""),1),""),IF(MID(IFERROR(INDEX(醫師週班表!$C$5:$T$44,$CU6,AF$57),""),2,1)="(",LEFT(IFERROR(INDEX(醫師週班表!$C$5:$T$44,$CU6,AF$57),""),1),IFERROR(INDEX(醫師週班表!$C$5:$T$44,$CU6,AF$57),"")))))))</f>
        <v/>
      </c>
      <c r="AG6" s="72">
        <f>IF(AG$59="X","",IF(AG$59&lt;&gt;"",AG$59,IF(IFERROR(INDEX(醫師週班表!$C$5:$T$44,$CU6,AG$57),"")=0,"",IF(MID(IFERROR(INDEX(醫師週班表!$C$5:$T$44,$CU6,AG$57),""),2,1)="/",MID(IFERROR(INDEX(醫師週班表!$C$5:$T$44,$CU6,AG$57),""),1+AG$58*2,1),IF(MID(IFERROR(INDEX(醫師週班表!$C$5:$T$44,$CU6,AG$57),""),3,1)="隔",IF(AG$58=0,LEFT(IFERROR(INDEX(醫師週班表!$C$5:$T$44,$CU6,AG$57),""),1),""),IF(MID(IFERROR(INDEX(醫師週班表!$C$5:$T$44,$CU6,AG$57),""),2,1)="(",LEFT(IFERROR(INDEX(醫師週班表!$C$5:$T$44,$CU6,AG$57),""),1),IFERROR(INDEX(醫師週班表!$C$5:$T$44,$CU6,AG$57),"")))))))</f>
        <v/>
      </c>
      <c r="AH6" s="72">
        <f>IF(AH$59="X","",IF(AH$59&lt;&gt;"",AH$59,IF(IFERROR(INDEX(醫師週班表!$C$5:$T$44,$CU6,AH$57),"")=0,"",IF(MID(IFERROR(INDEX(醫師週班表!$C$5:$T$44,$CU6,AH$57),""),2,1)="/",MID(IFERROR(INDEX(醫師週班表!$C$5:$T$44,$CU6,AH$57),""),1+AH$58*2,1),IF(MID(IFERROR(INDEX(醫師週班表!$C$5:$T$44,$CU6,AH$57),""),3,1)="隔",IF(AH$58=0,LEFT(IFERROR(INDEX(醫師週班表!$C$5:$T$44,$CU6,AH$57),""),1),""),IF(MID(IFERROR(INDEX(醫師週班表!$C$5:$T$44,$CU6,AH$57),""),2,1)="(",LEFT(IFERROR(INDEX(醫師週班表!$C$5:$T$44,$CU6,AH$57),""),1),IFERROR(INDEX(醫師週班表!$C$5:$T$44,$CU6,AH$57),"")))))))</f>
        <v/>
      </c>
      <c r="AI6" s="71">
        <f>IF(AI$59="X","",IF(AI$59&lt;&gt;"",AI$59,IF(IFERROR(INDEX(醫師週班表!$C$5:$T$44,$CU6,AI$57),"")=0,"",IF(MID(IFERROR(INDEX(醫師週班表!$C$5:$T$44,$CU6,AI$57),""),2,1)="/",MID(IFERROR(INDEX(醫師週班表!$C$5:$T$44,$CU6,AI$57),""),1+AI$58*2,1),IF(MID(IFERROR(INDEX(醫師週班表!$C$5:$T$44,$CU6,AI$57),""),3,1)="隔",IF(AI$58=0,LEFT(IFERROR(INDEX(醫師週班表!$C$5:$T$44,$CU6,AI$57),""),1),""),IF(MID(IFERROR(INDEX(醫師週班表!$C$5:$T$44,$CU6,AI$57),""),2,1)="(",LEFT(IFERROR(INDEX(醫師週班表!$C$5:$T$44,$CU6,AI$57),""),1),IFERROR(INDEX(醫師週班表!$C$5:$T$44,$CU6,AI$57),"")))))))</f>
        <v/>
      </c>
      <c r="AJ6" s="72">
        <f>IF(AJ$59="X","",IF(AJ$59&lt;&gt;"",AJ$59,IF(IFERROR(INDEX(醫師週班表!$C$5:$T$44,$CU6,AJ$57),"")=0,"",IF(MID(IFERROR(INDEX(醫師週班表!$C$5:$T$44,$CU6,AJ$57),""),2,1)="/",MID(IFERROR(INDEX(醫師週班表!$C$5:$T$44,$CU6,AJ$57),""),1+AJ$58*2,1),IF(MID(IFERROR(INDEX(醫師週班表!$C$5:$T$44,$CU6,AJ$57),""),3,1)="隔",IF(AJ$58=0,LEFT(IFERROR(INDEX(醫師週班表!$C$5:$T$44,$CU6,AJ$57),""),1),""),IF(MID(IFERROR(INDEX(醫師週班表!$C$5:$T$44,$CU6,AJ$57),""),2,1)="(",LEFT(IFERROR(INDEX(醫師週班表!$C$5:$T$44,$CU6,AJ$57),""),1),IFERROR(INDEX(醫師週班表!$C$5:$T$44,$CU6,AJ$57),"")))))))</f>
        <v/>
      </c>
      <c r="AK6" s="72">
        <f>IF(AK$59="X","",IF(AK$59&lt;&gt;"",AK$59,IF(IFERROR(INDEX(醫師週班表!$C$5:$T$44,$CU6,AK$57),"")=0,"",IF(MID(IFERROR(INDEX(醫師週班表!$C$5:$T$44,$CU6,AK$57),""),2,1)="/",MID(IFERROR(INDEX(醫師週班表!$C$5:$T$44,$CU6,AK$57),""),1+AK$58*2,1),IF(MID(IFERROR(INDEX(醫師週班表!$C$5:$T$44,$CU6,AK$57),""),3,1)="隔",IF(AK$58=0,LEFT(IFERROR(INDEX(醫師週班表!$C$5:$T$44,$CU6,AK$57),""),1),""),IF(MID(IFERROR(INDEX(醫師週班表!$C$5:$T$44,$CU6,AK$57),""),2,1)="(",LEFT(IFERROR(INDEX(醫師週班表!$C$5:$T$44,$CU6,AK$57),""),1),IFERROR(INDEX(醫師週班表!$C$5:$T$44,$CU6,AK$57),"")))))))</f>
        <v/>
      </c>
      <c r="AL6" s="71">
        <f>IF(AL$59="X","",IF(AL$59&lt;&gt;"",AL$59,IF(IFERROR(INDEX(醫師週班表!$C$5:$T$44,$CU6,AL$57),"")=0,"",IF(MID(IFERROR(INDEX(醫師週班表!$C$5:$T$44,$CU6,AL$57),""),2,1)="/",MID(IFERROR(INDEX(醫師週班表!$C$5:$T$44,$CU6,AL$57),""),1+AL$58*2,1),IF(MID(IFERROR(INDEX(醫師週班表!$C$5:$T$44,$CU6,AL$57),""),3,1)="隔",IF(AL$58=0,LEFT(IFERROR(INDEX(醫師週班表!$C$5:$T$44,$CU6,AL$57),""),1),""),IF(MID(IFERROR(INDEX(醫師週班表!$C$5:$T$44,$CU6,AL$57),""),2,1)="(",LEFT(IFERROR(INDEX(醫師週班表!$C$5:$T$44,$CU6,AL$57),""),1),IFERROR(INDEX(醫師週班表!$C$5:$T$44,$CU6,AL$57),"")))))))</f>
        <v/>
      </c>
      <c r="AM6" s="72">
        <f>IF(AM$59="X","",IF(AM$59&lt;&gt;"",AM$59,IF(IFERROR(INDEX(醫師週班表!$C$5:$T$44,$CU6,AM$57),"")=0,"",IF(MID(IFERROR(INDEX(醫師週班表!$C$5:$T$44,$CU6,AM$57),""),2,1)="/",MID(IFERROR(INDEX(醫師週班表!$C$5:$T$44,$CU6,AM$57),""),1+AM$58*2,1),IF(MID(IFERROR(INDEX(醫師週班表!$C$5:$T$44,$CU6,AM$57),""),3,1)="隔",IF(AM$58=0,LEFT(IFERROR(INDEX(醫師週班表!$C$5:$T$44,$CU6,AM$57),""),1),""),IF(MID(IFERROR(INDEX(醫師週班表!$C$5:$T$44,$CU6,AM$57),""),2,1)="(",LEFT(IFERROR(INDEX(醫師週班表!$C$5:$T$44,$CU6,AM$57),""),1),IFERROR(INDEX(醫師週班表!$C$5:$T$44,$CU6,AM$57),"")))))))</f>
        <v/>
      </c>
      <c r="AN6" s="72">
        <f>IF(AN$59="X","",IF(AN$59&lt;&gt;"",AN$59,IF(IFERROR(INDEX(醫師週班表!$C$5:$T$44,$CU6,AN$57),"")=0,"",IF(MID(IFERROR(INDEX(醫師週班表!$C$5:$T$44,$CU6,AN$57),""),2,1)="/",MID(IFERROR(INDEX(醫師週班表!$C$5:$T$44,$CU6,AN$57),""),1+AN$58*2,1),IF(MID(IFERROR(INDEX(醫師週班表!$C$5:$T$44,$CU6,AN$57),""),3,1)="隔",IF(AN$58=0,LEFT(IFERROR(INDEX(醫師週班表!$C$5:$T$44,$CU6,AN$57),""),1),""),IF(MID(IFERROR(INDEX(醫師週班表!$C$5:$T$44,$CU6,AN$57),""),2,1)="(",LEFT(IFERROR(INDEX(醫師週班表!$C$5:$T$44,$CU6,AN$57),""),1),IFERROR(INDEX(醫師週班表!$C$5:$T$44,$CU6,AN$57),"")))))))</f>
        <v/>
      </c>
      <c r="AO6" s="71">
        <f>IF(AO$59="X","",IF(AO$59&lt;&gt;"",AO$59,IF(IFERROR(INDEX(醫師週班表!$C$5:$T$44,$CU6,AO$57),"")=0,"",IF(MID(IFERROR(INDEX(醫師週班表!$C$5:$T$44,$CU6,AO$57),""),2,1)="/",MID(IFERROR(INDEX(醫師週班表!$C$5:$T$44,$CU6,AO$57),""),1+AO$58*2,1),IF(MID(IFERROR(INDEX(醫師週班表!$C$5:$T$44,$CU6,AO$57),""),3,1)="隔",IF(AO$58=0,LEFT(IFERROR(INDEX(醫師週班表!$C$5:$T$44,$CU6,AO$57),""),1),""),IF(MID(IFERROR(INDEX(醫師週班表!$C$5:$T$44,$CU6,AO$57),""),2,1)="(",LEFT(IFERROR(INDEX(醫師週班表!$C$5:$T$44,$CU6,AO$57),""),1),IFERROR(INDEX(醫師週班表!$C$5:$T$44,$CU6,AO$57),"")))))))</f>
        <v/>
      </c>
      <c r="AP6" s="72">
        <f>IF(AP$59="X","",IF(AP$59&lt;&gt;"",AP$59,IF(IFERROR(INDEX(醫師週班表!$C$5:$T$44,$CU6,AP$57),"")=0,"",IF(MID(IFERROR(INDEX(醫師週班表!$C$5:$T$44,$CU6,AP$57),""),2,1)="/",MID(IFERROR(INDEX(醫師週班表!$C$5:$T$44,$CU6,AP$57),""),1+AP$58*2,1),IF(MID(IFERROR(INDEX(醫師週班表!$C$5:$T$44,$CU6,AP$57),""),3,1)="隔",IF(AP$58=0,LEFT(IFERROR(INDEX(醫師週班表!$C$5:$T$44,$CU6,AP$57),""),1),""),IF(MID(IFERROR(INDEX(醫師週班表!$C$5:$T$44,$CU6,AP$57),""),2,1)="(",LEFT(IFERROR(INDEX(醫師週班表!$C$5:$T$44,$CU6,AP$57),""),1),IFERROR(INDEX(醫師週班表!$C$5:$T$44,$CU6,AP$57),"")))))))</f>
        <v/>
      </c>
      <c r="AQ6" s="72">
        <f>IF(AQ$59="X","",IF(AQ$59&lt;&gt;"",AQ$59,IF(IFERROR(INDEX(醫師週班表!$C$5:$T$44,$CU6,AQ$57),"")=0,"",IF(MID(IFERROR(INDEX(醫師週班表!$C$5:$T$44,$CU6,AQ$57),""),2,1)="/",MID(IFERROR(INDEX(醫師週班表!$C$5:$T$44,$CU6,AQ$57),""),1+AQ$58*2,1),IF(MID(IFERROR(INDEX(醫師週班表!$C$5:$T$44,$CU6,AQ$57),""),3,1)="隔",IF(AQ$58=0,LEFT(IFERROR(INDEX(醫師週班表!$C$5:$T$44,$CU6,AQ$57),""),1),""),IF(MID(IFERROR(INDEX(醫師週班表!$C$5:$T$44,$CU6,AQ$57),""),2,1)="(",LEFT(IFERROR(INDEX(醫師週班表!$C$5:$T$44,$CU6,AQ$57),""),1),IFERROR(INDEX(醫師週班表!$C$5:$T$44,$CU6,AQ$57),"")))))))</f>
        <v/>
      </c>
      <c r="AR6" s="71">
        <f>IF(AR$59="X","",IF(AR$59&lt;&gt;"",AR$59,IF(IFERROR(INDEX(醫師週班表!$C$5:$T$44,$CU6,AR$57),"")=0,"",IF(MID(IFERROR(INDEX(醫師週班表!$C$5:$T$44,$CU6,AR$57),""),2,1)="/",MID(IFERROR(INDEX(醫師週班表!$C$5:$T$44,$CU6,AR$57),""),1+AR$58*2,1),IF(MID(IFERROR(INDEX(醫師週班表!$C$5:$T$44,$CU6,AR$57),""),3,1)="隔",IF(AR$58=0,LEFT(IFERROR(INDEX(醫師週班表!$C$5:$T$44,$CU6,AR$57),""),1),""),IF(MID(IFERROR(INDEX(醫師週班表!$C$5:$T$44,$CU6,AR$57),""),2,1)="(",LEFT(IFERROR(INDEX(醫師週班表!$C$5:$T$44,$CU6,AR$57),""),1),IFERROR(INDEX(醫師週班表!$C$5:$T$44,$CU6,AR$57),"")))))))</f>
        <v/>
      </c>
      <c r="AS6" s="72">
        <f>IF(AS$59="X","",IF(AS$59&lt;&gt;"",AS$59,IF(IFERROR(INDEX(醫師週班表!$C$5:$T$44,$CU6,AS$57),"")=0,"",IF(MID(IFERROR(INDEX(醫師週班表!$C$5:$T$44,$CU6,AS$57),""),2,1)="/",MID(IFERROR(INDEX(醫師週班表!$C$5:$T$44,$CU6,AS$57),""),1+AS$58*2,1),IF(MID(IFERROR(INDEX(醫師週班表!$C$5:$T$44,$CU6,AS$57),""),3,1)="隔",IF(AS$58=0,LEFT(IFERROR(INDEX(醫師週班表!$C$5:$T$44,$CU6,AS$57),""),1),""),IF(MID(IFERROR(INDEX(醫師週班表!$C$5:$T$44,$CU6,AS$57),""),2,1)="(",LEFT(IFERROR(INDEX(醫師週班表!$C$5:$T$44,$CU6,AS$57),""),1),IFERROR(INDEX(醫師週班表!$C$5:$T$44,$CU6,AS$57),"")))))))</f>
        <v/>
      </c>
      <c r="AT6" s="72">
        <f>IF(AT$59="X","",IF(AT$59&lt;&gt;"",AT$59,IF(IFERROR(INDEX(醫師週班表!$C$5:$T$44,$CU6,AT$57),"")=0,"",IF(MID(IFERROR(INDEX(醫師週班表!$C$5:$T$44,$CU6,AT$57),""),2,1)="/",MID(IFERROR(INDEX(醫師週班表!$C$5:$T$44,$CU6,AT$57),""),1+AT$58*2,1),IF(MID(IFERROR(INDEX(醫師週班表!$C$5:$T$44,$CU6,AT$57),""),3,1)="隔",IF(AT$58=0,LEFT(IFERROR(INDEX(醫師週班表!$C$5:$T$44,$CU6,AT$57),""),1),""),IF(MID(IFERROR(INDEX(醫師週班表!$C$5:$T$44,$CU6,AT$57),""),2,1)="(",LEFT(IFERROR(INDEX(醫師週班表!$C$5:$T$44,$CU6,AT$57),""),1),IFERROR(INDEX(醫師週班表!$C$5:$T$44,$CU6,AT$57),"")))))))</f>
        <v/>
      </c>
      <c r="AU6" s="71">
        <f>IF(AU$59="X","",IF(AU$59&lt;&gt;"",AU$59,IF(IFERROR(INDEX(醫師週班表!$C$5:$T$44,$CU6,AU$57),"")=0,"",IF(MID(IFERROR(INDEX(醫師週班表!$C$5:$T$44,$CU6,AU$57),""),2,1)="/",MID(IFERROR(INDEX(醫師週班表!$C$5:$T$44,$CU6,AU$57),""),1+AU$58*2,1),IF(MID(IFERROR(INDEX(醫師週班表!$C$5:$T$44,$CU6,AU$57),""),3,1)="隔",IF(AU$58=0,LEFT(IFERROR(INDEX(醫師週班表!$C$5:$T$44,$CU6,AU$57),""),1),""),IF(MID(IFERROR(INDEX(醫師週班表!$C$5:$T$44,$CU6,AU$57),""),2,1)="(",LEFT(IFERROR(INDEX(醫師週班表!$C$5:$T$44,$CU6,AU$57),""),1),IFERROR(INDEX(醫師週班表!$C$5:$T$44,$CU6,AU$57),"")))))))</f>
        <v/>
      </c>
      <c r="AV6" s="72">
        <f>IF(AV$59="X","",IF(AV$59&lt;&gt;"",AV$59,IF(IFERROR(INDEX(醫師週班表!$C$5:$T$44,$CU6,AV$57),"")=0,"",IF(MID(IFERROR(INDEX(醫師週班表!$C$5:$T$44,$CU6,AV$57),""),2,1)="/",MID(IFERROR(INDEX(醫師週班表!$C$5:$T$44,$CU6,AV$57),""),1+AV$58*2,1),IF(MID(IFERROR(INDEX(醫師週班表!$C$5:$T$44,$CU6,AV$57),""),3,1)="隔",IF(AV$58=0,LEFT(IFERROR(INDEX(醫師週班表!$C$5:$T$44,$CU6,AV$57),""),1),""),IF(MID(IFERROR(INDEX(醫師週班表!$C$5:$T$44,$CU6,AV$57),""),2,1)="(",LEFT(IFERROR(INDEX(醫師週班表!$C$5:$T$44,$CU6,AV$57),""),1),IFERROR(INDEX(醫師週班表!$C$5:$T$44,$CU6,AV$57),"")))))))</f>
        <v/>
      </c>
      <c r="AW6" s="72">
        <f>IF(AW$59="X","",IF(AW$59&lt;&gt;"",AW$59,IF(IFERROR(INDEX(醫師週班表!$C$5:$T$44,$CU6,AW$57),"")=0,"",IF(MID(IFERROR(INDEX(醫師週班表!$C$5:$T$44,$CU6,AW$57),""),2,1)="/",MID(IFERROR(INDEX(醫師週班表!$C$5:$T$44,$CU6,AW$57),""),1+AW$58*2,1),IF(MID(IFERROR(INDEX(醫師週班表!$C$5:$T$44,$CU6,AW$57),""),3,1)="隔",IF(AW$58=0,LEFT(IFERROR(INDEX(醫師週班表!$C$5:$T$44,$CU6,AW$57),""),1),""),IF(MID(IFERROR(INDEX(醫師週班表!$C$5:$T$44,$CU6,AW$57),""),2,1)="(",LEFT(IFERROR(INDEX(醫師週班表!$C$5:$T$44,$CU6,AW$57),""),1),IFERROR(INDEX(醫師週班表!$C$5:$T$44,$CU6,AW$57),"")))))))</f>
        <v/>
      </c>
      <c r="AX6" s="71">
        <f>IF(AX$59="X","",IF(AX$59&lt;&gt;"",AX$59,IF(IFERROR(INDEX(醫師週班表!$C$5:$T$44,$CU6,AX$57),"")=0,"",IF(MID(IFERROR(INDEX(醫師週班表!$C$5:$T$44,$CU6,AX$57),""),2,1)="/",MID(IFERROR(INDEX(醫師週班表!$C$5:$T$44,$CU6,AX$57),""),1+AX$58*2,1),IF(MID(IFERROR(INDEX(醫師週班表!$C$5:$T$44,$CU6,AX$57),""),3,1)="隔",IF(AX$58=0,LEFT(IFERROR(INDEX(醫師週班表!$C$5:$T$44,$CU6,AX$57),""),1),""),IF(MID(IFERROR(INDEX(醫師週班表!$C$5:$T$44,$CU6,AX$57),""),2,1)="(",LEFT(IFERROR(INDEX(醫師週班表!$C$5:$T$44,$CU6,AX$57),""),1),IFERROR(INDEX(醫師週班表!$C$5:$T$44,$CU6,AX$57),"")))))))</f>
        <v/>
      </c>
      <c r="AY6" s="72">
        <f>IF(AY$59="X","",IF(AY$59&lt;&gt;"",AY$59,IF(IFERROR(INDEX(醫師週班表!$C$5:$T$44,$CU6,AY$57),"")=0,"",IF(MID(IFERROR(INDEX(醫師週班表!$C$5:$T$44,$CU6,AY$57),""),2,1)="/",MID(IFERROR(INDEX(醫師週班表!$C$5:$T$44,$CU6,AY$57),""),1+AY$58*2,1),IF(MID(IFERROR(INDEX(醫師週班表!$C$5:$T$44,$CU6,AY$57),""),3,1)="隔",IF(AY$58=0,LEFT(IFERROR(INDEX(醫師週班表!$C$5:$T$44,$CU6,AY$57),""),1),""),IF(MID(IFERROR(INDEX(醫師週班表!$C$5:$T$44,$CU6,AY$57),""),2,1)="(",LEFT(IFERROR(INDEX(醫師週班表!$C$5:$T$44,$CU6,AY$57),""),1),IFERROR(INDEX(醫師週班表!$C$5:$T$44,$CU6,AY$57),"")))))))</f>
        <v/>
      </c>
      <c r="AZ6" s="72">
        <f>IF(AZ$59="X","",IF(AZ$59&lt;&gt;"",AZ$59,IF(IFERROR(INDEX(醫師週班表!$C$5:$T$44,$CU6,AZ$57),"")=0,"",IF(MID(IFERROR(INDEX(醫師週班表!$C$5:$T$44,$CU6,AZ$57),""),2,1)="/",MID(IFERROR(INDEX(醫師週班表!$C$5:$T$44,$CU6,AZ$57),""),1+AZ$58*2,1),IF(MID(IFERROR(INDEX(醫師週班表!$C$5:$T$44,$CU6,AZ$57),""),3,1)="隔",IF(AZ$58=0,LEFT(IFERROR(INDEX(醫師週班表!$C$5:$T$44,$CU6,AZ$57),""),1),""),IF(MID(IFERROR(INDEX(醫師週班表!$C$5:$T$44,$CU6,AZ$57),""),2,1)="(",LEFT(IFERROR(INDEX(醫師週班表!$C$5:$T$44,$CU6,AZ$57),""),1),IFERROR(INDEX(醫師週班表!$C$5:$T$44,$CU6,AZ$57),"")))))))</f>
        <v/>
      </c>
      <c r="BA6" s="71">
        <f>IF(BA$59="X","",IF(BA$59&lt;&gt;"",BA$59,IF(IFERROR(INDEX(醫師週班表!$C$5:$T$44,$CU6,BA$57),"")=0,"",IF(MID(IFERROR(INDEX(醫師週班表!$C$5:$T$44,$CU6,BA$57),""),2,1)="/",MID(IFERROR(INDEX(醫師週班表!$C$5:$T$44,$CU6,BA$57),""),1+BA$58*2,1),IF(MID(IFERROR(INDEX(醫師週班表!$C$5:$T$44,$CU6,BA$57),""),3,1)="隔",IF(BA$58=0,LEFT(IFERROR(INDEX(醫師週班表!$C$5:$T$44,$CU6,BA$57),""),1),""),IF(MID(IFERROR(INDEX(醫師週班表!$C$5:$T$44,$CU6,BA$57),""),2,1)="(",LEFT(IFERROR(INDEX(醫師週班表!$C$5:$T$44,$CU6,BA$57),""),1),IFERROR(INDEX(醫師週班表!$C$5:$T$44,$CU6,BA$57),"")))))))</f>
        <v/>
      </c>
      <c r="BB6" s="72">
        <f>IF(BB$59="X","",IF(BB$59&lt;&gt;"",BB$59,IF(IFERROR(INDEX(醫師週班表!$C$5:$T$44,$CU6,BB$57),"")=0,"",IF(MID(IFERROR(INDEX(醫師週班表!$C$5:$T$44,$CU6,BB$57),""),2,1)="/",MID(IFERROR(INDEX(醫師週班表!$C$5:$T$44,$CU6,BB$57),""),1+BB$58*2,1),IF(MID(IFERROR(INDEX(醫師週班表!$C$5:$T$44,$CU6,BB$57),""),3,1)="隔",IF(BB$58=0,LEFT(IFERROR(INDEX(醫師週班表!$C$5:$T$44,$CU6,BB$57),""),1),""),IF(MID(IFERROR(INDEX(醫師週班表!$C$5:$T$44,$CU6,BB$57),""),2,1)="(",LEFT(IFERROR(INDEX(醫師週班表!$C$5:$T$44,$CU6,BB$57),""),1),IFERROR(INDEX(醫師週班表!$C$5:$T$44,$CU6,BB$57),"")))))))</f>
        <v/>
      </c>
      <c r="BC6" s="72">
        <f>IF(BC$59="X","",IF(BC$59&lt;&gt;"",BC$59,IF(IFERROR(INDEX(醫師週班表!$C$5:$T$44,$CU6,BC$57),"")=0,"",IF(MID(IFERROR(INDEX(醫師週班表!$C$5:$T$44,$CU6,BC$57),""),2,1)="/",MID(IFERROR(INDEX(醫師週班表!$C$5:$T$44,$CU6,BC$57),""),1+BC$58*2,1),IF(MID(IFERROR(INDEX(醫師週班表!$C$5:$T$44,$CU6,BC$57),""),3,1)="隔",IF(BC$58=0,LEFT(IFERROR(INDEX(醫師週班表!$C$5:$T$44,$CU6,BC$57),""),1),""),IF(MID(IFERROR(INDEX(醫師週班表!$C$5:$T$44,$CU6,BC$57),""),2,1)="(",LEFT(IFERROR(INDEX(醫師週班表!$C$5:$T$44,$CU6,BC$57),""),1),IFERROR(INDEX(醫師週班表!$C$5:$T$44,$CU6,BC$57),"")))))))</f>
        <v/>
      </c>
      <c r="BD6" s="71">
        <f>IF(BD$59="X","",IF(BD$59&lt;&gt;"",BD$59,IF(IFERROR(INDEX(醫師週班表!$C$5:$T$44,$CU6,BD$57),"")=0,"",IF(MID(IFERROR(INDEX(醫師週班表!$C$5:$T$44,$CU6,BD$57),""),2,1)="/",MID(IFERROR(INDEX(醫師週班表!$C$5:$T$44,$CU6,BD$57),""),1+BD$58*2,1),IF(MID(IFERROR(INDEX(醫師週班表!$C$5:$T$44,$CU6,BD$57),""),3,1)="隔",IF(BD$58=0,LEFT(IFERROR(INDEX(醫師週班表!$C$5:$T$44,$CU6,BD$57),""),1),""),IF(MID(IFERROR(INDEX(醫師週班表!$C$5:$T$44,$CU6,BD$57),""),2,1)="(",LEFT(IFERROR(INDEX(醫師週班表!$C$5:$T$44,$CU6,BD$57),""),1),IFERROR(INDEX(醫師週班表!$C$5:$T$44,$CU6,BD$57),"")))))))</f>
        <v/>
      </c>
      <c r="BE6" s="72">
        <f>IF(BE$59="X","",IF(BE$59&lt;&gt;"",BE$59,IF(IFERROR(INDEX(醫師週班表!$C$5:$T$44,$CU6,BE$57),"")=0,"",IF(MID(IFERROR(INDEX(醫師週班表!$C$5:$T$44,$CU6,BE$57),""),2,1)="/",MID(IFERROR(INDEX(醫師週班表!$C$5:$T$44,$CU6,BE$57),""),1+BE$58*2,1),IF(MID(IFERROR(INDEX(醫師週班表!$C$5:$T$44,$CU6,BE$57),""),3,1)="隔",IF(BE$58=0,LEFT(IFERROR(INDEX(醫師週班表!$C$5:$T$44,$CU6,BE$57),""),1),""),IF(MID(IFERROR(INDEX(醫師週班表!$C$5:$T$44,$CU6,BE$57),""),2,1)="(",LEFT(IFERROR(INDEX(醫師週班表!$C$5:$T$44,$CU6,BE$57),""),1),IFERROR(INDEX(醫師週班表!$C$5:$T$44,$CU6,BE$57),"")))))))</f>
        <v/>
      </c>
      <c r="BF6" s="72">
        <f>IF(BF$59="X","",IF(BF$59&lt;&gt;"",BF$59,IF(IFERROR(INDEX(醫師週班表!$C$5:$T$44,$CU6,BF$57),"")=0,"",IF(MID(IFERROR(INDEX(醫師週班表!$C$5:$T$44,$CU6,BF$57),""),2,1)="/",MID(IFERROR(INDEX(醫師週班表!$C$5:$T$44,$CU6,BF$57),""),1+BF$58*2,1),IF(MID(IFERROR(INDEX(醫師週班表!$C$5:$T$44,$CU6,BF$57),""),3,1)="隔",IF(BF$58=0,LEFT(IFERROR(INDEX(醫師週班表!$C$5:$T$44,$CU6,BF$57),""),1),""),IF(MID(IFERROR(INDEX(醫師週班表!$C$5:$T$44,$CU6,BF$57),""),2,1)="(",LEFT(IFERROR(INDEX(醫師週班表!$C$5:$T$44,$CU6,BF$57),""),1),IFERROR(INDEX(醫師週班表!$C$5:$T$44,$CU6,BF$57),"")))))))</f>
        <v/>
      </c>
      <c r="BG6" s="71">
        <f>IF(BG$59="X","",IF(BG$59&lt;&gt;"",BG$59,IF(IFERROR(INDEX(醫師週班表!$C$5:$T$44,$CU6,BG$57),"")=0,"",IF(MID(IFERROR(INDEX(醫師週班表!$C$5:$T$44,$CU6,BG$57),""),2,1)="/",MID(IFERROR(INDEX(醫師週班表!$C$5:$T$44,$CU6,BG$57),""),1+BG$58*2,1),IF(MID(IFERROR(INDEX(醫師週班表!$C$5:$T$44,$CU6,BG$57),""),3,1)="隔",IF(BG$58=0,LEFT(IFERROR(INDEX(醫師週班表!$C$5:$T$44,$CU6,BG$57),""),1),""),IF(MID(IFERROR(INDEX(醫師週班表!$C$5:$T$44,$CU6,BG$57),""),2,1)="(",LEFT(IFERROR(INDEX(醫師週班表!$C$5:$T$44,$CU6,BG$57),""),1),IFERROR(INDEX(醫師週班表!$C$5:$T$44,$CU6,BG$57),"")))))))</f>
        <v/>
      </c>
      <c r="BH6" s="72">
        <f>IF(BH$59="X","",IF(BH$59&lt;&gt;"",BH$59,IF(IFERROR(INDEX(醫師週班表!$C$5:$T$44,$CU6,BH$57),"")=0,"",IF(MID(IFERROR(INDEX(醫師週班表!$C$5:$T$44,$CU6,BH$57),""),2,1)="/",MID(IFERROR(INDEX(醫師週班表!$C$5:$T$44,$CU6,BH$57),""),1+BH$58*2,1),IF(MID(IFERROR(INDEX(醫師週班表!$C$5:$T$44,$CU6,BH$57),""),3,1)="隔",IF(BH$58=0,LEFT(IFERROR(INDEX(醫師週班表!$C$5:$T$44,$CU6,BH$57),""),1),""),IF(MID(IFERROR(INDEX(醫師週班表!$C$5:$T$44,$CU6,BH$57),""),2,1)="(",LEFT(IFERROR(INDEX(醫師週班表!$C$5:$T$44,$CU6,BH$57),""),1),IFERROR(INDEX(醫師週班表!$C$5:$T$44,$CU6,BH$57),"")))))))</f>
        <v/>
      </c>
      <c r="BI6" s="72">
        <f>IF(BI$59="X","",IF(BI$59&lt;&gt;"",BI$59,IF(IFERROR(INDEX(醫師週班表!$C$5:$T$44,$CU6,BI$57),"")=0,"",IF(MID(IFERROR(INDEX(醫師週班表!$C$5:$T$44,$CU6,BI$57),""),2,1)="/",MID(IFERROR(INDEX(醫師週班表!$C$5:$T$44,$CU6,BI$57),""),1+BI$58*2,1),IF(MID(IFERROR(INDEX(醫師週班表!$C$5:$T$44,$CU6,BI$57),""),3,1)="隔",IF(BI$58=0,LEFT(IFERROR(INDEX(醫師週班表!$C$5:$T$44,$CU6,BI$57),""),1),""),IF(MID(IFERROR(INDEX(醫師週班表!$C$5:$T$44,$CU6,BI$57),""),2,1)="(",LEFT(IFERROR(INDEX(醫師週班表!$C$5:$T$44,$CU6,BI$57),""),1),IFERROR(INDEX(醫師週班表!$C$5:$T$44,$CU6,BI$57),"")))))))</f>
        <v/>
      </c>
      <c r="BJ6" s="71">
        <f>IF(BJ$59="X","",IF(BJ$59&lt;&gt;"",BJ$59,IF(IFERROR(INDEX(醫師週班表!$C$5:$T$44,$CU6,BJ$57),"")=0,"",IF(MID(IFERROR(INDEX(醫師週班表!$C$5:$T$44,$CU6,BJ$57),""),2,1)="/",MID(IFERROR(INDEX(醫師週班表!$C$5:$T$44,$CU6,BJ$57),""),1+BJ$58*2,1),IF(MID(IFERROR(INDEX(醫師週班表!$C$5:$T$44,$CU6,BJ$57),""),3,1)="隔",IF(BJ$58=0,LEFT(IFERROR(INDEX(醫師週班表!$C$5:$T$44,$CU6,BJ$57),""),1),""),IF(MID(IFERROR(INDEX(醫師週班表!$C$5:$T$44,$CU6,BJ$57),""),2,1)="(",LEFT(IFERROR(INDEX(醫師週班表!$C$5:$T$44,$CU6,BJ$57),""),1),IFERROR(INDEX(醫師週班表!$C$5:$T$44,$CU6,BJ$57),"")))))))</f>
        <v/>
      </c>
      <c r="BK6" s="72">
        <f>IF(BK$59="X","",IF(BK$59&lt;&gt;"",BK$59,IF(IFERROR(INDEX(醫師週班表!$C$5:$T$44,$CU6,BK$57),"")=0,"",IF(MID(IFERROR(INDEX(醫師週班表!$C$5:$T$44,$CU6,BK$57),""),2,1)="/",MID(IFERROR(INDEX(醫師週班表!$C$5:$T$44,$CU6,BK$57),""),1+BK$58*2,1),IF(MID(IFERROR(INDEX(醫師週班表!$C$5:$T$44,$CU6,BK$57),""),3,1)="隔",IF(BK$58=0,LEFT(IFERROR(INDEX(醫師週班表!$C$5:$T$44,$CU6,BK$57),""),1),""),IF(MID(IFERROR(INDEX(醫師週班表!$C$5:$T$44,$CU6,BK$57),""),2,1)="(",LEFT(IFERROR(INDEX(醫師週班表!$C$5:$T$44,$CU6,BK$57),""),1),IFERROR(INDEX(醫師週班表!$C$5:$T$44,$CU6,BK$57),"")))))))</f>
        <v/>
      </c>
      <c r="BL6" s="72">
        <f>IF(BL$59="X","",IF(BL$59&lt;&gt;"",BL$59,IF(IFERROR(INDEX(醫師週班表!$C$5:$T$44,$CU6,BL$57),"")=0,"",IF(MID(IFERROR(INDEX(醫師週班表!$C$5:$T$44,$CU6,BL$57),""),2,1)="/",MID(IFERROR(INDEX(醫師週班表!$C$5:$T$44,$CU6,BL$57),""),1+BL$58*2,1),IF(MID(IFERROR(INDEX(醫師週班表!$C$5:$T$44,$CU6,BL$57),""),3,1)="隔",IF(BL$58=0,LEFT(IFERROR(INDEX(醫師週班表!$C$5:$T$44,$CU6,BL$57),""),1),""),IF(MID(IFERROR(INDEX(醫師週班表!$C$5:$T$44,$CU6,BL$57),""),2,1)="(",LEFT(IFERROR(INDEX(醫師週班表!$C$5:$T$44,$CU6,BL$57),""),1),IFERROR(INDEX(醫師週班表!$C$5:$T$44,$CU6,BL$57),"")))))))</f>
        <v/>
      </c>
      <c r="BM6" s="71">
        <f>IF(BM$59="X","",IF(BM$59&lt;&gt;"",BM$59,IF(IFERROR(INDEX(醫師週班表!$C$5:$T$44,$CU6,BM$57),"")=0,"",IF(MID(IFERROR(INDEX(醫師週班表!$C$5:$T$44,$CU6,BM$57),""),2,1)="/",MID(IFERROR(INDEX(醫師週班表!$C$5:$T$44,$CU6,BM$57),""),1+BM$58*2,1),IF(MID(IFERROR(INDEX(醫師週班表!$C$5:$T$44,$CU6,BM$57),""),3,1)="隔",IF(BM$58=0,LEFT(IFERROR(INDEX(醫師週班表!$C$5:$T$44,$CU6,BM$57),""),1),""),IF(MID(IFERROR(INDEX(醫師週班表!$C$5:$T$44,$CU6,BM$57),""),2,1)="(",LEFT(IFERROR(INDEX(醫師週班表!$C$5:$T$44,$CU6,BM$57),""),1),IFERROR(INDEX(醫師週班表!$C$5:$T$44,$CU6,BM$57),"")))))))</f>
        <v/>
      </c>
      <c r="BN6" s="72">
        <f>IF(BN$59="X","",IF(BN$59&lt;&gt;"",BN$59,IF(IFERROR(INDEX(醫師週班表!$C$5:$T$44,$CU6,BN$57),"")=0,"",IF(MID(IFERROR(INDEX(醫師週班表!$C$5:$T$44,$CU6,BN$57),""),2,1)="/",MID(IFERROR(INDEX(醫師週班表!$C$5:$T$44,$CU6,BN$57),""),1+BN$58*2,1),IF(MID(IFERROR(INDEX(醫師週班表!$C$5:$T$44,$CU6,BN$57),""),3,1)="隔",IF(BN$58=0,LEFT(IFERROR(INDEX(醫師週班表!$C$5:$T$44,$CU6,BN$57),""),1),""),IF(MID(IFERROR(INDEX(醫師週班表!$C$5:$T$44,$CU6,BN$57),""),2,1)="(",LEFT(IFERROR(INDEX(醫師週班表!$C$5:$T$44,$CU6,BN$57),""),1),IFERROR(INDEX(醫師週班表!$C$5:$T$44,$CU6,BN$57),"")))))))</f>
        <v/>
      </c>
      <c r="BO6" s="72">
        <f>IF(BO$59="X","",IF(BO$59&lt;&gt;"",BO$59,IF(IFERROR(INDEX(醫師週班表!$C$5:$T$44,$CU6,BO$57),"")=0,"",IF(MID(IFERROR(INDEX(醫師週班表!$C$5:$T$44,$CU6,BO$57),""),2,1)="/",MID(IFERROR(INDEX(醫師週班表!$C$5:$T$44,$CU6,BO$57),""),1+BO$58*2,1),IF(MID(IFERROR(INDEX(醫師週班表!$C$5:$T$44,$CU6,BO$57),""),3,1)="隔",IF(BO$58=0,LEFT(IFERROR(INDEX(醫師週班表!$C$5:$T$44,$CU6,BO$57),""),1),""),IF(MID(IFERROR(INDEX(醫師週班表!$C$5:$T$44,$CU6,BO$57),""),2,1)="(",LEFT(IFERROR(INDEX(醫師週班表!$C$5:$T$44,$CU6,BO$57),""),1),IFERROR(INDEX(醫師週班表!$C$5:$T$44,$CU6,BO$57),"")))))))</f>
        <v/>
      </c>
      <c r="BP6" s="71">
        <f>IF(BP$59="X","",IF(BP$59&lt;&gt;"",BP$59,IF(IFERROR(INDEX(醫師週班表!$C$5:$T$44,$CU6,BP$57),"")=0,"",IF(MID(IFERROR(INDEX(醫師週班表!$C$5:$T$44,$CU6,BP$57),""),2,1)="/",MID(IFERROR(INDEX(醫師週班表!$C$5:$T$44,$CU6,BP$57),""),1+BP$58*2,1),IF(MID(IFERROR(INDEX(醫師週班表!$C$5:$T$44,$CU6,BP$57),""),3,1)="隔",IF(BP$58=0,LEFT(IFERROR(INDEX(醫師週班表!$C$5:$T$44,$CU6,BP$57),""),1),""),IF(MID(IFERROR(INDEX(醫師週班表!$C$5:$T$44,$CU6,BP$57),""),2,1)="(",LEFT(IFERROR(INDEX(醫師週班表!$C$5:$T$44,$CU6,BP$57),""),1),IFERROR(INDEX(醫師週班表!$C$5:$T$44,$CU6,BP$57),"")))))))</f>
        <v/>
      </c>
      <c r="BQ6" s="72">
        <f>IF(BQ$59="X","",IF(BQ$59&lt;&gt;"",BQ$59,IF(IFERROR(INDEX(醫師週班表!$C$5:$T$44,$CU6,BQ$57),"")=0,"",IF(MID(IFERROR(INDEX(醫師週班表!$C$5:$T$44,$CU6,BQ$57),""),2,1)="/",MID(IFERROR(INDEX(醫師週班表!$C$5:$T$44,$CU6,BQ$57),""),1+BQ$58*2,1),IF(MID(IFERROR(INDEX(醫師週班表!$C$5:$T$44,$CU6,BQ$57),""),3,1)="隔",IF(BQ$58=0,LEFT(IFERROR(INDEX(醫師週班表!$C$5:$T$44,$CU6,BQ$57),""),1),""),IF(MID(IFERROR(INDEX(醫師週班表!$C$5:$T$44,$CU6,BQ$57),""),2,1)="(",LEFT(IFERROR(INDEX(醫師週班表!$C$5:$T$44,$CU6,BQ$57),""),1),IFERROR(INDEX(醫師週班表!$C$5:$T$44,$CU6,BQ$57),"")))))))</f>
        <v/>
      </c>
      <c r="BR6" s="72">
        <f>IF(BR$59="X","",IF(BR$59&lt;&gt;"",BR$59,IF(IFERROR(INDEX(醫師週班表!$C$5:$T$44,$CU6,BR$57),"")=0,"",IF(MID(IFERROR(INDEX(醫師週班表!$C$5:$T$44,$CU6,BR$57),""),2,1)="/",MID(IFERROR(INDEX(醫師週班表!$C$5:$T$44,$CU6,BR$57),""),1+BR$58*2,1),IF(MID(IFERROR(INDEX(醫師週班表!$C$5:$T$44,$CU6,BR$57),""),3,1)="隔",IF(BR$58=0,LEFT(IFERROR(INDEX(醫師週班表!$C$5:$T$44,$CU6,BR$57),""),1),""),IF(MID(IFERROR(INDEX(醫師週班表!$C$5:$T$44,$CU6,BR$57),""),2,1)="(",LEFT(IFERROR(INDEX(醫師週班表!$C$5:$T$44,$CU6,BR$57),""),1),IFERROR(INDEX(醫師週班表!$C$5:$T$44,$CU6,BR$57),"")))))))</f>
        <v/>
      </c>
      <c r="BS6" s="71">
        <f>IF(BS$59="X","",IF(BS$59&lt;&gt;"",BS$59,IF(IFERROR(INDEX(醫師週班表!$C$5:$T$44,$CU6,BS$57),"")=0,"",IF(MID(IFERROR(INDEX(醫師週班表!$C$5:$T$44,$CU6,BS$57),""),2,1)="/",MID(IFERROR(INDEX(醫師週班表!$C$5:$T$44,$CU6,BS$57),""),1+BS$58*2,1),IF(MID(IFERROR(INDEX(醫師週班表!$C$5:$T$44,$CU6,BS$57),""),3,1)="隔",IF(BS$58=0,LEFT(IFERROR(INDEX(醫師週班表!$C$5:$T$44,$CU6,BS$57),""),1),""),IF(MID(IFERROR(INDEX(醫師週班表!$C$5:$T$44,$CU6,BS$57),""),2,1)="(",LEFT(IFERROR(INDEX(醫師週班表!$C$5:$T$44,$CU6,BS$57),""),1),IFERROR(INDEX(醫師週班表!$C$5:$T$44,$CU6,BS$57),"")))))))</f>
        <v/>
      </c>
      <c r="BT6" s="72">
        <f>IF(BT$59="X","",IF(BT$59&lt;&gt;"",BT$59,IF(IFERROR(INDEX(醫師週班表!$C$5:$T$44,$CU6,BT$57),"")=0,"",IF(MID(IFERROR(INDEX(醫師週班表!$C$5:$T$44,$CU6,BT$57),""),2,1)="/",MID(IFERROR(INDEX(醫師週班表!$C$5:$T$44,$CU6,BT$57),""),1+BT$58*2,1),IF(MID(IFERROR(INDEX(醫師週班表!$C$5:$T$44,$CU6,BT$57),""),3,1)="隔",IF(BT$58=0,LEFT(IFERROR(INDEX(醫師週班表!$C$5:$T$44,$CU6,BT$57),""),1),""),IF(MID(IFERROR(INDEX(醫師週班表!$C$5:$T$44,$CU6,BT$57),""),2,1)="(",LEFT(IFERROR(INDEX(醫師週班表!$C$5:$T$44,$CU6,BT$57),""),1),IFERROR(INDEX(醫師週班表!$C$5:$T$44,$CU6,BT$57),"")))))))</f>
        <v/>
      </c>
      <c r="BU6" s="72">
        <f>IF(BU$59="X","",IF(BU$59&lt;&gt;"",BU$59,IF(IFERROR(INDEX(醫師週班表!$C$5:$T$44,$CU6,BU$57),"")=0,"",IF(MID(IFERROR(INDEX(醫師週班表!$C$5:$T$44,$CU6,BU$57),""),2,1)="/",MID(IFERROR(INDEX(醫師週班表!$C$5:$T$44,$CU6,BU$57),""),1+BU$58*2,1),IF(MID(IFERROR(INDEX(醫師週班表!$C$5:$T$44,$CU6,BU$57),""),3,1)="隔",IF(BU$58=0,LEFT(IFERROR(INDEX(醫師週班表!$C$5:$T$44,$CU6,BU$57),""),1),""),IF(MID(IFERROR(INDEX(醫師週班表!$C$5:$T$44,$CU6,BU$57),""),2,1)="(",LEFT(IFERROR(INDEX(醫師週班表!$C$5:$T$44,$CU6,BU$57),""),1),IFERROR(INDEX(醫師週班表!$C$5:$T$44,$CU6,BU$57),"")))))))</f>
        <v/>
      </c>
      <c r="BV6" s="71">
        <f>IF(BV$59="X","",IF(BV$59&lt;&gt;"",BV$59,IF(IFERROR(INDEX(醫師週班表!$C$5:$T$44,$CU6,BV$57),"")=0,"",IF(MID(IFERROR(INDEX(醫師週班表!$C$5:$T$44,$CU6,BV$57),""),2,1)="/",MID(IFERROR(INDEX(醫師週班表!$C$5:$T$44,$CU6,BV$57),""),1+BV$58*2,1),IF(MID(IFERROR(INDEX(醫師週班表!$C$5:$T$44,$CU6,BV$57),""),3,1)="隔",IF(BV$58=0,LEFT(IFERROR(INDEX(醫師週班表!$C$5:$T$44,$CU6,BV$57),""),1),""),IF(MID(IFERROR(INDEX(醫師週班表!$C$5:$T$44,$CU6,BV$57),""),2,1)="(",LEFT(IFERROR(INDEX(醫師週班表!$C$5:$T$44,$CU6,BV$57),""),1),IFERROR(INDEX(醫師週班表!$C$5:$T$44,$CU6,BV$57),"")))))))</f>
        <v/>
      </c>
      <c r="BW6" s="72">
        <f>IF(BW$59="X","",IF(BW$59&lt;&gt;"",BW$59,IF(IFERROR(INDEX(醫師週班表!$C$5:$T$44,$CU6,BW$57),"")=0,"",IF(MID(IFERROR(INDEX(醫師週班表!$C$5:$T$44,$CU6,BW$57),""),2,1)="/",MID(IFERROR(INDEX(醫師週班表!$C$5:$T$44,$CU6,BW$57),""),1+BW$58*2,1),IF(MID(IFERROR(INDEX(醫師週班表!$C$5:$T$44,$CU6,BW$57),""),3,1)="隔",IF(BW$58=0,LEFT(IFERROR(INDEX(醫師週班表!$C$5:$T$44,$CU6,BW$57),""),1),""),IF(MID(IFERROR(INDEX(醫師週班表!$C$5:$T$44,$CU6,BW$57),""),2,1)="(",LEFT(IFERROR(INDEX(醫師週班表!$C$5:$T$44,$CU6,BW$57),""),1),IFERROR(INDEX(醫師週班表!$C$5:$T$44,$CU6,BW$57),"")))))))</f>
        <v/>
      </c>
      <c r="BX6" s="72">
        <f>IF(BX$59="X","",IF(BX$59&lt;&gt;"",BX$59,IF(IFERROR(INDEX(醫師週班表!$C$5:$T$44,$CU6,BX$57),"")=0,"",IF(MID(IFERROR(INDEX(醫師週班表!$C$5:$T$44,$CU6,BX$57),""),2,1)="/",MID(IFERROR(INDEX(醫師週班表!$C$5:$T$44,$CU6,BX$57),""),1+BX$58*2,1),IF(MID(IFERROR(INDEX(醫師週班表!$C$5:$T$44,$CU6,BX$57),""),3,1)="隔",IF(BX$58=0,LEFT(IFERROR(INDEX(醫師週班表!$C$5:$T$44,$CU6,BX$57),""),1),""),IF(MID(IFERROR(INDEX(醫師週班表!$C$5:$T$44,$CU6,BX$57),""),2,1)="(",LEFT(IFERROR(INDEX(醫師週班表!$C$5:$T$44,$CU6,BX$57),""),1),IFERROR(INDEX(醫師週班表!$C$5:$T$44,$CU6,BX$57),"")))))))</f>
        <v/>
      </c>
      <c r="BY6" s="71">
        <f>IF(BY$59="X","",IF(BY$59&lt;&gt;"",BY$59,IF(IFERROR(INDEX(醫師週班表!$C$5:$T$44,$CU6,BY$57),"")=0,"",IF(MID(IFERROR(INDEX(醫師週班表!$C$5:$T$44,$CU6,BY$57),""),2,1)="/",MID(IFERROR(INDEX(醫師週班表!$C$5:$T$44,$CU6,BY$57),""),1+BY$58*2,1),IF(MID(IFERROR(INDEX(醫師週班表!$C$5:$T$44,$CU6,BY$57),""),3,1)="隔",IF(BY$58=0,LEFT(IFERROR(INDEX(醫師週班表!$C$5:$T$44,$CU6,BY$57),""),1),""),IF(MID(IFERROR(INDEX(醫師週班表!$C$5:$T$44,$CU6,BY$57),""),2,1)="(",LEFT(IFERROR(INDEX(醫師週班表!$C$5:$T$44,$CU6,BY$57),""),1),IFERROR(INDEX(醫師週班表!$C$5:$T$44,$CU6,BY$57),"")))))))</f>
        <v/>
      </c>
      <c r="BZ6" s="72">
        <f>IF(BZ$59="X","",IF(BZ$59&lt;&gt;"",BZ$59,IF(IFERROR(INDEX(醫師週班表!$C$5:$T$44,$CU6,BZ$57),"")=0,"",IF(MID(IFERROR(INDEX(醫師週班表!$C$5:$T$44,$CU6,BZ$57),""),2,1)="/",MID(IFERROR(INDEX(醫師週班表!$C$5:$T$44,$CU6,BZ$57),""),1+BZ$58*2,1),IF(MID(IFERROR(INDEX(醫師週班表!$C$5:$T$44,$CU6,BZ$57),""),3,1)="隔",IF(BZ$58=0,LEFT(IFERROR(INDEX(醫師週班表!$C$5:$T$44,$CU6,BZ$57),""),1),""),IF(MID(IFERROR(INDEX(醫師週班表!$C$5:$T$44,$CU6,BZ$57),""),2,1)="(",LEFT(IFERROR(INDEX(醫師週班表!$C$5:$T$44,$CU6,BZ$57),""),1),IFERROR(INDEX(醫師週班表!$C$5:$T$44,$CU6,BZ$57),"")))))))</f>
        <v/>
      </c>
      <c r="CA6" s="72">
        <f>IF(CA$59="X","",IF(CA$59&lt;&gt;"",CA$59,IF(IFERROR(INDEX(醫師週班表!$C$5:$T$44,$CU6,CA$57),"")=0,"",IF(MID(IFERROR(INDEX(醫師週班表!$C$5:$T$44,$CU6,CA$57),""),2,1)="/",MID(IFERROR(INDEX(醫師週班表!$C$5:$T$44,$CU6,CA$57),""),1+CA$58*2,1),IF(MID(IFERROR(INDEX(醫師週班表!$C$5:$T$44,$CU6,CA$57),""),3,1)="隔",IF(CA$58=0,LEFT(IFERROR(INDEX(醫師週班表!$C$5:$T$44,$CU6,CA$57),""),1),""),IF(MID(IFERROR(INDEX(醫師週班表!$C$5:$T$44,$CU6,CA$57),""),2,1)="(",LEFT(IFERROR(INDEX(醫師週班表!$C$5:$T$44,$CU6,CA$57),""),1),IFERROR(INDEX(醫師週班表!$C$5:$T$44,$CU6,CA$57),"")))))))</f>
        <v/>
      </c>
      <c r="CB6" s="71">
        <f>IF(CB$59="X","",IF(CB$59&lt;&gt;"",CB$59,IF(IFERROR(INDEX(醫師週班表!$C$5:$T$44,$CU6,CB$57),"")=0,"",IF(MID(IFERROR(INDEX(醫師週班表!$C$5:$T$44,$CU6,CB$57),""),2,1)="/",MID(IFERROR(INDEX(醫師週班表!$C$5:$T$44,$CU6,CB$57),""),1+CB$58*2,1),IF(MID(IFERROR(INDEX(醫師週班表!$C$5:$T$44,$CU6,CB$57),""),3,1)="隔",IF(CB$58=0,LEFT(IFERROR(INDEX(醫師週班表!$C$5:$T$44,$CU6,CB$57),""),1),""),IF(MID(IFERROR(INDEX(醫師週班表!$C$5:$T$44,$CU6,CB$57),""),2,1)="(",LEFT(IFERROR(INDEX(醫師週班表!$C$5:$T$44,$CU6,CB$57),""),1),IFERROR(INDEX(醫師週班表!$C$5:$T$44,$CU6,CB$57),"")))))))</f>
        <v/>
      </c>
      <c r="CC6" s="72">
        <f>IF(CC$59="X","",IF(CC$59&lt;&gt;"",CC$59,IF(IFERROR(INDEX(醫師週班表!$C$5:$T$44,$CU6,CC$57),"")=0,"",IF(MID(IFERROR(INDEX(醫師週班表!$C$5:$T$44,$CU6,CC$57),""),2,1)="/",MID(IFERROR(INDEX(醫師週班表!$C$5:$T$44,$CU6,CC$57),""),1+CC$58*2,1),IF(MID(IFERROR(INDEX(醫師週班表!$C$5:$T$44,$CU6,CC$57),""),3,1)="隔",IF(CC$58=0,LEFT(IFERROR(INDEX(醫師週班表!$C$5:$T$44,$CU6,CC$57),""),1),""),IF(MID(IFERROR(INDEX(醫師週班表!$C$5:$T$44,$CU6,CC$57),""),2,1)="(",LEFT(IFERROR(INDEX(醫師週班表!$C$5:$T$44,$CU6,CC$57),""),1),IFERROR(INDEX(醫師週班表!$C$5:$T$44,$CU6,CC$57),"")))))))</f>
        <v/>
      </c>
      <c r="CD6" s="72">
        <f>IF(CD$59="X","",IF(CD$59&lt;&gt;"",CD$59,IF(IFERROR(INDEX(醫師週班表!$C$5:$T$44,$CU6,CD$57),"")=0,"",IF(MID(IFERROR(INDEX(醫師週班表!$C$5:$T$44,$CU6,CD$57),""),2,1)="/",MID(IFERROR(INDEX(醫師週班表!$C$5:$T$44,$CU6,CD$57),""),1+CD$58*2,1),IF(MID(IFERROR(INDEX(醫師週班表!$C$5:$T$44,$CU6,CD$57),""),3,1)="隔",IF(CD$58=0,LEFT(IFERROR(INDEX(醫師週班表!$C$5:$T$44,$CU6,CD$57),""),1),""),IF(MID(IFERROR(INDEX(醫師週班表!$C$5:$T$44,$CU6,CD$57),""),2,1)="(",LEFT(IFERROR(INDEX(醫師週班表!$C$5:$T$44,$CU6,CD$57),""),1),IFERROR(INDEX(醫師週班表!$C$5:$T$44,$CU6,CD$57),"")))))))</f>
        <v/>
      </c>
      <c r="CE6" s="71">
        <f>IF(CE$59="X","",IF(CE$59&lt;&gt;"",CE$59,IF(IFERROR(INDEX(醫師週班表!$C$5:$T$44,$CU6,CE$57),"")=0,"",IF(MID(IFERROR(INDEX(醫師週班表!$C$5:$T$44,$CU6,CE$57),""),2,1)="/",MID(IFERROR(INDEX(醫師週班表!$C$5:$T$44,$CU6,CE$57),""),1+CE$58*2,1),IF(MID(IFERROR(INDEX(醫師週班表!$C$5:$T$44,$CU6,CE$57),""),3,1)="隔",IF(CE$58=0,LEFT(IFERROR(INDEX(醫師週班表!$C$5:$T$44,$CU6,CE$57),""),1),""),IF(MID(IFERROR(INDEX(醫師週班表!$C$5:$T$44,$CU6,CE$57),""),2,1)="(",LEFT(IFERROR(INDEX(醫師週班表!$C$5:$T$44,$CU6,CE$57),""),1),IFERROR(INDEX(醫師週班表!$C$5:$T$44,$CU6,CE$57),"")))))))</f>
        <v/>
      </c>
      <c r="CF6" s="72">
        <f>IF(CF$59="X","",IF(CF$59&lt;&gt;"",CF$59,IF(IFERROR(INDEX(醫師週班表!$C$5:$T$44,$CU6,CF$57),"")=0,"",IF(MID(IFERROR(INDEX(醫師週班表!$C$5:$T$44,$CU6,CF$57),""),2,1)="/",MID(IFERROR(INDEX(醫師週班表!$C$5:$T$44,$CU6,CF$57),""),1+CF$58*2,1),IF(MID(IFERROR(INDEX(醫師週班表!$C$5:$T$44,$CU6,CF$57),""),3,1)="隔",IF(CF$58=0,LEFT(IFERROR(INDEX(醫師週班表!$C$5:$T$44,$CU6,CF$57),""),1),""),IF(MID(IFERROR(INDEX(醫師週班表!$C$5:$T$44,$CU6,CF$57),""),2,1)="(",LEFT(IFERROR(INDEX(醫師週班表!$C$5:$T$44,$CU6,CF$57),""),1),IFERROR(INDEX(醫師週班表!$C$5:$T$44,$CU6,CF$57),"")))))))</f>
        <v/>
      </c>
      <c r="CG6" s="72">
        <f>IF(CG$59="X","",IF(CG$59&lt;&gt;"",CG$59,IF(IFERROR(INDEX(醫師週班表!$C$5:$T$44,$CU6,CG$57),"")=0,"",IF(MID(IFERROR(INDEX(醫師週班表!$C$5:$T$44,$CU6,CG$57),""),2,1)="/",MID(IFERROR(INDEX(醫師週班表!$C$5:$T$44,$CU6,CG$57),""),1+CG$58*2,1),IF(MID(IFERROR(INDEX(醫師週班表!$C$5:$T$44,$CU6,CG$57),""),3,1)="隔",IF(CG$58=0,LEFT(IFERROR(INDEX(醫師週班表!$C$5:$T$44,$CU6,CG$57),""),1),""),IF(MID(IFERROR(INDEX(醫師週班表!$C$5:$T$44,$CU6,CG$57),""),2,1)="(",LEFT(IFERROR(INDEX(醫師週班表!$C$5:$T$44,$CU6,CG$57),""),1),IFERROR(INDEX(醫師週班表!$C$5:$T$44,$CU6,CG$57),"")))))))</f>
        <v/>
      </c>
      <c r="CH6" s="71">
        <f>IF(CH$59="X","",IF(CH$59&lt;&gt;"",CH$59,IF(IFERROR(INDEX(醫師週班表!$C$5:$T$44,$CU6,CH$57),"")=0,"",IF(MID(IFERROR(INDEX(醫師週班表!$C$5:$T$44,$CU6,CH$57),""),2,1)="/",MID(IFERROR(INDEX(醫師週班表!$C$5:$T$44,$CU6,CH$57),""),1+CH$58*2,1),IF(MID(IFERROR(INDEX(醫師週班表!$C$5:$T$44,$CU6,CH$57),""),3,1)="隔",IF(CH$58=0,LEFT(IFERROR(INDEX(醫師週班表!$C$5:$T$44,$CU6,CH$57),""),1),""),IF(MID(IFERROR(INDEX(醫師週班表!$C$5:$T$44,$CU6,CH$57),""),2,1)="(",LEFT(IFERROR(INDEX(醫師週班表!$C$5:$T$44,$CU6,CH$57),""),1),IFERROR(INDEX(醫師週班表!$C$5:$T$44,$CU6,CH$57),"")))))))</f>
        <v/>
      </c>
      <c r="CI6" s="72">
        <f>IF(CI$59="X","",IF(CI$59&lt;&gt;"",CI$59,IF(IFERROR(INDEX(醫師週班表!$C$5:$T$44,$CU6,CI$57),"")=0,"",IF(MID(IFERROR(INDEX(醫師週班表!$C$5:$T$44,$CU6,CI$57),""),2,1)="/",MID(IFERROR(INDEX(醫師週班表!$C$5:$T$44,$CU6,CI$57),""),1+CI$58*2,1),IF(MID(IFERROR(INDEX(醫師週班表!$C$5:$T$44,$CU6,CI$57),""),3,1)="隔",IF(CI$58=0,LEFT(IFERROR(INDEX(醫師週班表!$C$5:$T$44,$CU6,CI$57),""),1),""),IF(MID(IFERROR(INDEX(醫師週班表!$C$5:$T$44,$CU6,CI$57),""),2,1)="(",LEFT(IFERROR(INDEX(醫師週班表!$C$5:$T$44,$CU6,CI$57),""),1),IFERROR(INDEX(醫師週班表!$C$5:$T$44,$CU6,CI$57),"")))))))</f>
        <v/>
      </c>
      <c r="CJ6" s="72">
        <f>IF(CJ$59="X","",IF(CJ$59&lt;&gt;"",CJ$59,IF(IFERROR(INDEX(醫師週班表!$C$5:$T$44,$CU6,CJ$57),"")=0,"",IF(MID(IFERROR(INDEX(醫師週班表!$C$5:$T$44,$CU6,CJ$57),""),2,1)="/",MID(IFERROR(INDEX(醫師週班表!$C$5:$T$44,$CU6,CJ$57),""),1+CJ$58*2,1),IF(MID(IFERROR(INDEX(醫師週班表!$C$5:$T$44,$CU6,CJ$57),""),3,1)="隔",IF(CJ$58=0,LEFT(IFERROR(INDEX(醫師週班表!$C$5:$T$44,$CU6,CJ$57),""),1),""),IF(MID(IFERROR(INDEX(醫師週班表!$C$5:$T$44,$CU6,CJ$57),""),2,1)="(",LEFT(IFERROR(INDEX(醫師週班表!$C$5:$T$44,$CU6,CJ$57),""),1),IFERROR(INDEX(醫師週班表!$C$5:$T$44,$CU6,CJ$57),"")))))))</f>
        <v/>
      </c>
      <c r="CK6" s="71">
        <f>IF(CK$59="X","",IF(CK$59&lt;&gt;"",CK$59,IF(IFERROR(INDEX(醫師週班表!$C$5:$T$44,$CU6,CK$57),"")=0,"",IF(MID(IFERROR(INDEX(醫師週班表!$C$5:$T$44,$CU6,CK$57),""),2,1)="/",MID(IFERROR(INDEX(醫師週班表!$C$5:$T$44,$CU6,CK$57),""),1+CK$58*2,1),IF(MID(IFERROR(INDEX(醫師週班表!$C$5:$T$44,$CU6,CK$57),""),3,1)="隔",IF(CK$58=0,LEFT(IFERROR(INDEX(醫師週班表!$C$5:$T$44,$CU6,CK$57),""),1),""),IF(MID(IFERROR(INDEX(醫師週班表!$C$5:$T$44,$CU6,CK$57),""),2,1)="(",LEFT(IFERROR(INDEX(醫師週班表!$C$5:$T$44,$CU6,CK$57),""),1),IFERROR(INDEX(醫師週班表!$C$5:$T$44,$CU6,CK$57),"")))))))</f>
        <v/>
      </c>
      <c r="CL6" s="72">
        <f>IF(CL$59="X","",IF(CL$59&lt;&gt;"",CL$59,IF(IFERROR(INDEX(醫師週班表!$C$5:$T$44,$CU6,CL$57),"")=0,"",IF(MID(IFERROR(INDEX(醫師週班表!$C$5:$T$44,$CU6,CL$57),""),2,1)="/",MID(IFERROR(INDEX(醫師週班表!$C$5:$T$44,$CU6,CL$57),""),1+CL$58*2,1),IF(MID(IFERROR(INDEX(醫師週班表!$C$5:$T$44,$CU6,CL$57),""),3,1)="隔",IF(CL$58=0,LEFT(IFERROR(INDEX(醫師週班表!$C$5:$T$44,$CU6,CL$57),""),1),""),IF(MID(IFERROR(INDEX(醫師週班表!$C$5:$T$44,$CU6,CL$57),""),2,1)="(",LEFT(IFERROR(INDEX(醫師週班表!$C$5:$T$44,$CU6,CL$57),""),1),IFERROR(INDEX(醫師週班表!$C$5:$T$44,$CU6,CL$57),"")))))))</f>
        <v/>
      </c>
      <c r="CM6" s="72">
        <f>IF(CM$59="X","",IF(CM$59&lt;&gt;"",CM$59,IF(IFERROR(INDEX(醫師週班表!$C$5:$T$44,$CU6,CM$57),"")=0,"",IF(MID(IFERROR(INDEX(醫師週班表!$C$5:$T$44,$CU6,CM$57),""),2,1)="/",MID(IFERROR(INDEX(醫師週班表!$C$5:$T$44,$CU6,CM$57),""),1+CM$58*2,1),IF(MID(IFERROR(INDEX(醫師週班表!$C$5:$T$44,$CU6,CM$57),""),3,1)="隔",IF(CM$58=0,LEFT(IFERROR(INDEX(醫師週班表!$C$5:$T$44,$CU6,CM$57),""),1),""),IF(MID(IFERROR(INDEX(醫師週班表!$C$5:$T$44,$CU6,CM$57),""),2,1)="(",LEFT(IFERROR(INDEX(醫師週班表!$C$5:$T$44,$CU6,CM$57),""),1),IFERROR(INDEX(醫師週班表!$C$5:$T$44,$CU6,CM$57),"")))))))</f>
        <v/>
      </c>
      <c r="CN6" s="71">
        <f>IF(CN$59="X","",IF(CN$59&lt;&gt;"",CN$59,IF(IFERROR(INDEX(醫師週班表!$C$5:$T$44,$CU6,CN$57),"")=0,"",IF(MID(IFERROR(INDEX(醫師週班表!$C$5:$T$44,$CU6,CN$57),""),2,1)="/",MID(IFERROR(INDEX(醫師週班表!$C$5:$T$44,$CU6,CN$57),""),1+CN$58*2,1),IF(MID(IFERROR(INDEX(醫師週班表!$C$5:$T$44,$CU6,CN$57),""),3,1)="隔",IF(CN$58=0,LEFT(IFERROR(INDEX(醫師週班表!$C$5:$T$44,$CU6,CN$57),""),1),""),IF(MID(IFERROR(INDEX(醫師週班表!$C$5:$T$44,$CU6,CN$57),""),2,1)="(",LEFT(IFERROR(INDEX(醫師週班表!$C$5:$T$44,$CU6,CN$57),""),1),IFERROR(INDEX(醫師週班表!$C$5:$T$44,$CU6,CN$57),"")))))))</f>
        <v/>
      </c>
      <c r="CO6" s="72">
        <f>IF(CO$59="X","",IF(CO$59&lt;&gt;"",CO$59,IF(IFERROR(INDEX(醫師週班表!$C$5:$T$44,$CU6,CO$57),"")=0,"",IF(MID(IFERROR(INDEX(醫師週班表!$C$5:$T$44,$CU6,CO$57),""),2,1)="/",MID(IFERROR(INDEX(醫師週班表!$C$5:$T$44,$CU6,CO$57),""),1+CO$58*2,1),IF(MID(IFERROR(INDEX(醫師週班表!$C$5:$T$44,$CU6,CO$57),""),3,1)="隔",IF(CO$58=0,LEFT(IFERROR(INDEX(醫師週班表!$C$5:$T$44,$CU6,CO$57),""),1),""),IF(MID(IFERROR(INDEX(醫師週班表!$C$5:$T$44,$CU6,CO$57),""),2,1)="(",LEFT(IFERROR(INDEX(醫師週班表!$C$5:$T$44,$CU6,CO$57),""),1),IFERROR(INDEX(醫師週班表!$C$5:$T$44,$CU6,CO$57),"")))))))</f>
        <v/>
      </c>
      <c r="CP6" s="72">
        <f>IF(CP$59="X","",IF(CP$59&lt;&gt;"",CP$59,IF(IFERROR(INDEX(醫師週班表!$C$5:$T$44,$CU6,CP$57),"")=0,"",IF(MID(IFERROR(INDEX(醫師週班表!$C$5:$T$44,$CU6,CP$57),""),2,1)="/",MID(IFERROR(INDEX(醫師週班表!$C$5:$T$44,$CU6,CP$57),""),1+CP$58*2,1),IF(MID(IFERROR(INDEX(醫師週班表!$C$5:$T$44,$CU6,CP$57),""),3,1)="隔",IF(CP$58=0,LEFT(IFERROR(INDEX(醫師週班表!$C$5:$T$44,$CU6,CP$57),""),1),""),IF(MID(IFERROR(INDEX(醫師週班表!$C$5:$T$44,$CU6,CP$57),""),2,1)="(",LEFT(IFERROR(INDEX(醫師週班表!$C$5:$T$44,$CU6,CP$57),""),1),IFERROR(INDEX(醫師週班表!$C$5:$T$44,$CU6,CP$57),"")))))))</f>
        <v/>
      </c>
      <c r="CQ6" s="71">
        <f>IF(CQ$59="X","",IF(CQ$59&lt;&gt;"",CQ$59,IF(IFERROR(INDEX(醫師週班表!$C$5:$T$44,$CU6,CQ$57),"")=0,"",IF(MID(IFERROR(INDEX(醫師週班表!$C$5:$T$44,$CU6,CQ$57),""),2,1)="/",MID(IFERROR(INDEX(醫師週班表!$C$5:$T$44,$CU6,CQ$57),""),1+CQ$58*2,1),IF(MID(IFERROR(INDEX(醫師週班表!$C$5:$T$44,$CU6,CQ$57),""),3,1)="隔",IF(CQ$58=0,LEFT(IFERROR(INDEX(醫師週班表!$C$5:$T$44,$CU6,CQ$57),""),1),""),IF(MID(IFERROR(INDEX(醫師週班表!$C$5:$T$44,$CU6,CQ$57),""),2,1)="(",LEFT(IFERROR(INDEX(醫師週班表!$C$5:$T$44,$CU6,CQ$57),""),1),IFERROR(INDEX(醫師週班表!$C$5:$T$44,$CU6,CQ$57),"")))))))</f>
        <v/>
      </c>
      <c r="CR6" s="72">
        <f>IF(CR$59="X","",IF(CR$59&lt;&gt;"",CR$59,IF(IFERROR(INDEX(醫師週班表!$C$5:$T$44,$CU6,CR$57),"")=0,"",IF(MID(IFERROR(INDEX(醫師週班表!$C$5:$T$44,$CU6,CR$57),""),2,1)="/",MID(IFERROR(INDEX(醫師週班表!$C$5:$T$44,$CU6,CR$57),""),1+CR$58*2,1),IF(MID(IFERROR(INDEX(醫師週班表!$C$5:$T$44,$CU6,CR$57),""),3,1)="隔",IF(CR$58=0,LEFT(IFERROR(INDEX(醫師週班表!$C$5:$T$44,$CU6,CR$57),""),1),""),IF(MID(IFERROR(INDEX(醫師週班表!$C$5:$T$44,$CU6,CR$57),""),2,1)="(",LEFT(IFERROR(INDEX(醫師週班表!$C$5:$T$44,$CU6,CR$57),""),1),IFERROR(INDEX(醫師週班表!$C$5:$T$44,$CU6,CR$57),"")))))))</f>
        <v/>
      </c>
      <c r="CS6" s="72">
        <f>IF(CS$59="X","",IF(CS$59&lt;&gt;"",CS$59,IF(IFERROR(INDEX(醫師週班表!$C$5:$T$44,$CU6,CS$57),"")=0,"",IF(MID(IFERROR(INDEX(醫師週班表!$C$5:$T$44,$CU6,CS$57),""),2,1)="/",MID(IFERROR(INDEX(醫師週班表!$C$5:$T$44,$CU6,CS$57),""),1+CS$58*2,1),IF(MID(IFERROR(INDEX(醫師週班表!$C$5:$T$44,$CU6,CS$57),""),3,1)="隔",IF(CS$58=0,LEFT(IFERROR(INDEX(醫師週班表!$C$5:$T$44,$CU6,CS$57),""),1),""),IF(MID(IFERROR(INDEX(醫師週班表!$C$5:$T$44,$CU6,CS$57),""),2,1)="(",LEFT(IFERROR(INDEX(醫師週班表!$C$5:$T$44,$CU6,CS$57),""),1),IFERROR(INDEX(醫師週班表!$C$5:$T$44,$CU6,CS$57),"")))))))</f>
        <v/>
      </c>
      <c r="CU6" s="73">
        <f>IFERROR(MATCH($A6,醫師週班表!$A$5:$A$44,0),0)</f>
        <v/>
      </c>
    </row>
    <row r="7" ht="17" customHeight="1">
      <c r="A7" s="19" t="inlineStr">
        <is>
          <t>D002</t>
        </is>
      </c>
      <c r="B7" s="16" t="inlineStr">
        <is>
          <t>劉立德</t>
        </is>
      </c>
      <c r="C7" s="70" t="inlineStr">
        <is>
          <t>植牙專科 家庭牙醫專科</t>
        </is>
      </c>
      <c r="D7" s="16" t="inlineStr">
        <is>
          <t>晶曜院長</t>
        </is>
      </c>
      <c r="E7" s="71">
        <f>IF(E$59="X","",IF(E$59&lt;&gt;"",E$59,IF(IFERROR(INDEX(醫師週班表!$C$5:$T$44,$CU7,E$57),"")=0,"",IF(MID(IFERROR(INDEX(醫師週班表!$C$5:$T$44,$CU7,E$57),""),2,1)="/",MID(IFERROR(INDEX(醫師週班表!$C$5:$T$44,$CU7,E$57),""),1+E$58*2,1),IF(MID(IFERROR(INDEX(醫師週班表!$C$5:$T$44,$CU7,E$57),""),3,1)="隔",IF(E$58=0,LEFT(IFERROR(INDEX(醫師週班表!$C$5:$T$44,$CU7,E$57),""),1),""),IF(MID(IFERROR(INDEX(醫師週班表!$C$5:$T$44,$CU7,E$57),""),2,1)="(",LEFT(IFERROR(INDEX(醫師週班表!$C$5:$T$44,$CU7,E$57),""),1),IFERROR(INDEX(醫師週班表!$C$5:$T$44,$CU7,E$57),"")))))))</f>
        <v/>
      </c>
      <c r="F7" s="72">
        <f>IF(F$59="X","",IF(F$59&lt;&gt;"",F$59,IF(IFERROR(INDEX(醫師週班表!$C$5:$T$44,$CU7,F$57),"")=0,"",IF(MID(IFERROR(INDEX(醫師週班表!$C$5:$T$44,$CU7,F$57),""),2,1)="/",MID(IFERROR(INDEX(醫師週班表!$C$5:$T$44,$CU7,F$57),""),1+F$58*2,1),IF(MID(IFERROR(INDEX(醫師週班表!$C$5:$T$44,$CU7,F$57),""),3,1)="隔",IF(F$58=0,LEFT(IFERROR(INDEX(醫師週班表!$C$5:$T$44,$CU7,F$57),""),1),""),IF(MID(IFERROR(INDEX(醫師週班表!$C$5:$T$44,$CU7,F$57),""),2,1)="(",LEFT(IFERROR(INDEX(醫師週班表!$C$5:$T$44,$CU7,F$57),""),1),IFERROR(INDEX(醫師週班表!$C$5:$T$44,$CU7,F$57),"")))))))</f>
        <v/>
      </c>
      <c r="G7" s="72">
        <f>IF(G$59="X","",IF(G$59&lt;&gt;"",G$59,IF(IFERROR(INDEX(醫師週班表!$C$5:$T$44,$CU7,G$57),"")=0,"",IF(MID(IFERROR(INDEX(醫師週班表!$C$5:$T$44,$CU7,G$57),""),2,1)="/",MID(IFERROR(INDEX(醫師週班表!$C$5:$T$44,$CU7,G$57),""),1+G$58*2,1),IF(MID(IFERROR(INDEX(醫師週班表!$C$5:$T$44,$CU7,G$57),""),3,1)="隔",IF(G$58=0,LEFT(IFERROR(INDEX(醫師週班表!$C$5:$T$44,$CU7,G$57),""),1),""),IF(MID(IFERROR(INDEX(醫師週班表!$C$5:$T$44,$CU7,G$57),""),2,1)="(",LEFT(IFERROR(INDEX(醫師週班表!$C$5:$T$44,$CU7,G$57),""),1),IFERROR(INDEX(醫師週班表!$C$5:$T$44,$CU7,G$57),"")))))))</f>
        <v/>
      </c>
      <c r="H7" s="71">
        <f>IF(H$59="X","",IF(H$59&lt;&gt;"",H$59,IF(IFERROR(INDEX(醫師週班表!$C$5:$T$44,$CU7,H$57),"")=0,"",IF(MID(IFERROR(INDEX(醫師週班表!$C$5:$T$44,$CU7,H$57),""),2,1)="/",MID(IFERROR(INDEX(醫師週班表!$C$5:$T$44,$CU7,H$57),""),1+H$58*2,1),IF(MID(IFERROR(INDEX(醫師週班表!$C$5:$T$44,$CU7,H$57),""),3,1)="隔",IF(H$58=0,LEFT(IFERROR(INDEX(醫師週班表!$C$5:$T$44,$CU7,H$57),""),1),""),IF(MID(IFERROR(INDEX(醫師週班表!$C$5:$T$44,$CU7,H$57),""),2,1)="(",LEFT(IFERROR(INDEX(醫師週班表!$C$5:$T$44,$CU7,H$57),""),1),IFERROR(INDEX(醫師週班表!$C$5:$T$44,$CU7,H$57),"")))))))</f>
        <v/>
      </c>
      <c r="I7" s="72">
        <f>IF(I$59="X","",IF(I$59&lt;&gt;"",I$59,IF(IFERROR(INDEX(醫師週班表!$C$5:$T$44,$CU7,I$57),"")=0,"",IF(MID(IFERROR(INDEX(醫師週班表!$C$5:$T$44,$CU7,I$57),""),2,1)="/",MID(IFERROR(INDEX(醫師週班表!$C$5:$T$44,$CU7,I$57),""),1+I$58*2,1),IF(MID(IFERROR(INDEX(醫師週班表!$C$5:$T$44,$CU7,I$57),""),3,1)="隔",IF(I$58=0,LEFT(IFERROR(INDEX(醫師週班表!$C$5:$T$44,$CU7,I$57),""),1),""),IF(MID(IFERROR(INDEX(醫師週班表!$C$5:$T$44,$CU7,I$57),""),2,1)="(",LEFT(IFERROR(INDEX(醫師週班表!$C$5:$T$44,$CU7,I$57),""),1),IFERROR(INDEX(醫師週班表!$C$5:$T$44,$CU7,I$57),"")))))))</f>
        <v/>
      </c>
      <c r="J7" s="72">
        <f>IF(J$59="X","",IF(J$59&lt;&gt;"",J$59,IF(IFERROR(INDEX(醫師週班表!$C$5:$T$44,$CU7,J$57),"")=0,"",IF(MID(IFERROR(INDEX(醫師週班表!$C$5:$T$44,$CU7,J$57),""),2,1)="/",MID(IFERROR(INDEX(醫師週班表!$C$5:$T$44,$CU7,J$57),""),1+J$58*2,1),IF(MID(IFERROR(INDEX(醫師週班表!$C$5:$T$44,$CU7,J$57),""),3,1)="隔",IF(J$58=0,LEFT(IFERROR(INDEX(醫師週班表!$C$5:$T$44,$CU7,J$57),""),1),""),IF(MID(IFERROR(INDEX(醫師週班表!$C$5:$T$44,$CU7,J$57),""),2,1)="(",LEFT(IFERROR(INDEX(醫師週班表!$C$5:$T$44,$CU7,J$57),""),1),IFERROR(INDEX(醫師週班表!$C$5:$T$44,$CU7,J$57),"")))))))</f>
        <v/>
      </c>
      <c r="K7" s="71">
        <f>IF(K$59="X","",IF(K$59&lt;&gt;"",K$59,IF(IFERROR(INDEX(醫師週班表!$C$5:$T$44,$CU7,K$57),"")=0,"",IF(MID(IFERROR(INDEX(醫師週班表!$C$5:$T$44,$CU7,K$57),""),2,1)="/",MID(IFERROR(INDEX(醫師週班表!$C$5:$T$44,$CU7,K$57),""),1+K$58*2,1),IF(MID(IFERROR(INDEX(醫師週班表!$C$5:$T$44,$CU7,K$57),""),3,1)="隔",IF(K$58=0,LEFT(IFERROR(INDEX(醫師週班表!$C$5:$T$44,$CU7,K$57),""),1),""),IF(MID(IFERROR(INDEX(醫師週班表!$C$5:$T$44,$CU7,K$57),""),2,1)="(",LEFT(IFERROR(INDEX(醫師週班表!$C$5:$T$44,$CU7,K$57),""),1),IFERROR(INDEX(醫師週班表!$C$5:$T$44,$CU7,K$57),"")))))))</f>
        <v/>
      </c>
      <c r="L7" s="72">
        <f>IF(L$59="X","",IF(L$59&lt;&gt;"",L$59,IF(IFERROR(INDEX(醫師週班表!$C$5:$T$44,$CU7,L$57),"")=0,"",IF(MID(IFERROR(INDEX(醫師週班表!$C$5:$T$44,$CU7,L$57),""),2,1)="/",MID(IFERROR(INDEX(醫師週班表!$C$5:$T$44,$CU7,L$57),""),1+L$58*2,1),IF(MID(IFERROR(INDEX(醫師週班表!$C$5:$T$44,$CU7,L$57),""),3,1)="隔",IF(L$58=0,LEFT(IFERROR(INDEX(醫師週班表!$C$5:$T$44,$CU7,L$57),""),1),""),IF(MID(IFERROR(INDEX(醫師週班表!$C$5:$T$44,$CU7,L$57),""),2,1)="(",LEFT(IFERROR(INDEX(醫師週班表!$C$5:$T$44,$CU7,L$57),""),1),IFERROR(INDEX(醫師週班表!$C$5:$T$44,$CU7,L$57),"")))))))</f>
        <v/>
      </c>
      <c r="M7" s="72">
        <f>IF(M$59="X","",IF(M$59&lt;&gt;"",M$59,IF(IFERROR(INDEX(醫師週班表!$C$5:$T$44,$CU7,M$57),"")=0,"",IF(MID(IFERROR(INDEX(醫師週班表!$C$5:$T$44,$CU7,M$57),""),2,1)="/",MID(IFERROR(INDEX(醫師週班表!$C$5:$T$44,$CU7,M$57),""),1+M$58*2,1),IF(MID(IFERROR(INDEX(醫師週班表!$C$5:$T$44,$CU7,M$57),""),3,1)="隔",IF(M$58=0,LEFT(IFERROR(INDEX(醫師週班表!$C$5:$T$44,$CU7,M$57),""),1),""),IF(MID(IFERROR(INDEX(醫師週班表!$C$5:$T$44,$CU7,M$57),""),2,1)="(",LEFT(IFERROR(INDEX(醫師週班表!$C$5:$T$44,$CU7,M$57),""),1),IFERROR(INDEX(醫師週班表!$C$5:$T$44,$CU7,M$57),"")))))))</f>
        <v/>
      </c>
      <c r="N7" s="71">
        <f>IF(N$59="X","",IF(N$59&lt;&gt;"",N$59,IF(IFERROR(INDEX(醫師週班表!$C$5:$T$44,$CU7,N$57),"")=0,"",IF(MID(IFERROR(INDEX(醫師週班表!$C$5:$T$44,$CU7,N$57),""),2,1)="/",MID(IFERROR(INDEX(醫師週班表!$C$5:$T$44,$CU7,N$57),""),1+N$58*2,1),IF(MID(IFERROR(INDEX(醫師週班表!$C$5:$T$44,$CU7,N$57),""),3,1)="隔",IF(N$58=0,LEFT(IFERROR(INDEX(醫師週班表!$C$5:$T$44,$CU7,N$57),""),1),""),IF(MID(IFERROR(INDEX(醫師週班表!$C$5:$T$44,$CU7,N$57),""),2,1)="(",LEFT(IFERROR(INDEX(醫師週班表!$C$5:$T$44,$CU7,N$57),""),1),IFERROR(INDEX(醫師週班表!$C$5:$T$44,$CU7,N$57),"")))))))</f>
        <v/>
      </c>
      <c r="O7" s="72">
        <f>IF(O$59="X","",IF(O$59&lt;&gt;"",O$59,IF(IFERROR(INDEX(醫師週班表!$C$5:$T$44,$CU7,O$57),"")=0,"",IF(MID(IFERROR(INDEX(醫師週班表!$C$5:$T$44,$CU7,O$57),""),2,1)="/",MID(IFERROR(INDEX(醫師週班表!$C$5:$T$44,$CU7,O$57),""),1+O$58*2,1),IF(MID(IFERROR(INDEX(醫師週班表!$C$5:$T$44,$CU7,O$57),""),3,1)="隔",IF(O$58=0,LEFT(IFERROR(INDEX(醫師週班表!$C$5:$T$44,$CU7,O$57),""),1),""),IF(MID(IFERROR(INDEX(醫師週班表!$C$5:$T$44,$CU7,O$57),""),2,1)="(",LEFT(IFERROR(INDEX(醫師週班表!$C$5:$T$44,$CU7,O$57),""),1),IFERROR(INDEX(醫師週班表!$C$5:$T$44,$CU7,O$57),"")))))))</f>
        <v/>
      </c>
      <c r="P7" s="72">
        <f>IF(P$59="X","",IF(P$59&lt;&gt;"",P$59,IF(IFERROR(INDEX(醫師週班表!$C$5:$T$44,$CU7,P$57),"")=0,"",IF(MID(IFERROR(INDEX(醫師週班表!$C$5:$T$44,$CU7,P$57),""),2,1)="/",MID(IFERROR(INDEX(醫師週班表!$C$5:$T$44,$CU7,P$57),""),1+P$58*2,1),IF(MID(IFERROR(INDEX(醫師週班表!$C$5:$T$44,$CU7,P$57),""),3,1)="隔",IF(P$58=0,LEFT(IFERROR(INDEX(醫師週班表!$C$5:$T$44,$CU7,P$57),""),1),""),IF(MID(IFERROR(INDEX(醫師週班表!$C$5:$T$44,$CU7,P$57),""),2,1)="(",LEFT(IFERROR(INDEX(醫師週班表!$C$5:$T$44,$CU7,P$57),""),1),IFERROR(INDEX(醫師週班表!$C$5:$T$44,$CU7,P$57),"")))))))</f>
        <v/>
      </c>
      <c r="Q7" s="71">
        <f>IF(Q$59="X","",IF(Q$59&lt;&gt;"",Q$59,IF(IFERROR(INDEX(醫師週班表!$C$5:$T$44,$CU7,Q$57),"")=0,"",IF(MID(IFERROR(INDEX(醫師週班表!$C$5:$T$44,$CU7,Q$57),""),2,1)="/",MID(IFERROR(INDEX(醫師週班表!$C$5:$T$44,$CU7,Q$57),""),1+Q$58*2,1),IF(MID(IFERROR(INDEX(醫師週班表!$C$5:$T$44,$CU7,Q$57),""),3,1)="隔",IF(Q$58=0,LEFT(IFERROR(INDEX(醫師週班表!$C$5:$T$44,$CU7,Q$57),""),1),""),IF(MID(IFERROR(INDEX(醫師週班表!$C$5:$T$44,$CU7,Q$57),""),2,1)="(",LEFT(IFERROR(INDEX(醫師週班表!$C$5:$T$44,$CU7,Q$57),""),1),IFERROR(INDEX(醫師週班表!$C$5:$T$44,$CU7,Q$57),"")))))))</f>
        <v/>
      </c>
      <c r="R7" s="72">
        <f>IF(R$59="X","",IF(R$59&lt;&gt;"",R$59,IF(IFERROR(INDEX(醫師週班表!$C$5:$T$44,$CU7,R$57),"")=0,"",IF(MID(IFERROR(INDEX(醫師週班表!$C$5:$T$44,$CU7,R$57),""),2,1)="/",MID(IFERROR(INDEX(醫師週班表!$C$5:$T$44,$CU7,R$57),""),1+R$58*2,1),IF(MID(IFERROR(INDEX(醫師週班表!$C$5:$T$44,$CU7,R$57),""),3,1)="隔",IF(R$58=0,LEFT(IFERROR(INDEX(醫師週班表!$C$5:$T$44,$CU7,R$57),""),1),""),IF(MID(IFERROR(INDEX(醫師週班表!$C$5:$T$44,$CU7,R$57),""),2,1)="(",LEFT(IFERROR(INDEX(醫師週班表!$C$5:$T$44,$CU7,R$57),""),1),IFERROR(INDEX(醫師週班表!$C$5:$T$44,$CU7,R$57),"")))))))</f>
        <v/>
      </c>
      <c r="S7" s="72">
        <f>IF(S$59="X","",IF(S$59&lt;&gt;"",S$59,IF(IFERROR(INDEX(醫師週班表!$C$5:$T$44,$CU7,S$57),"")=0,"",IF(MID(IFERROR(INDEX(醫師週班表!$C$5:$T$44,$CU7,S$57),""),2,1)="/",MID(IFERROR(INDEX(醫師週班表!$C$5:$T$44,$CU7,S$57),""),1+S$58*2,1),IF(MID(IFERROR(INDEX(醫師週班表!$C$5:$T$44,$CU7,S$57),""),3,1)="隔",IF(S$58=0,LEFT(IFERROR(INDEX(醫師週班表!$C$5:$T$44,$CU7,S$57),""),1),""),IF(MID(IFERROR(INDEX(醫師週班表!$C$5:$T$44,$CU7,S$57),""),2,1)="(",LEFT(IFERROR(INDEX(醫師週班表!$C$5:$T$44,$CU7,S$57),""),1),IFERROR(INDEX(醫師週班表!$C$5:$T$44,$CU7,S$57),"")))))))</f>
        <v/>
      </c>
      <c r="T7" s="71">
        <f>IF(T$59="X","",IF(T$59&lt;&gt;"",T$59,IF(IFERROR(INDEX(醫師週班表!$C$5:$T$44,$CU7,T$57),"")=0,"",IF(MID(IFERROR(INDEX(醫師週班表!$C$5:$T$44,$CU7,T$57),""),2,1)="/",MID(IFERROR(INDEX(醫師週班表!$C$5:$T$44,$CU7,T$57),""),1+T$58*2,1),IF(MID(IFERROR(INDEX(醫師週班表!$C$5:$T$44,$CU7,T$57),""),3,1)="隔",IF(T$58=0,LEFT(IFERROR(INDEX(醫師週班表!$C$5:$T$44,$CU7,T$57),""),1),""),IF(MID(IFERROR(INDEX(醫師週班表!$C$5:$T$44,$CU7,T$57),""),2,1)="(",LEFT(IFERROR(INDEX(醫師週班表!$C$5:$T$44,$CU7,T$57),""),1),IFERROR(INDEX(醫師週班表!$C$5:$T$44,$CU7,T$57),"")))))))</f>
        <v/>
      </c>
      <c r="U7" s="72">
        <f>IF(U$59="X","",IF(U$59&lt;&gt;"",U$59,IF(IFERROR(INDEX(醫師週班表!$C$5:$T$44,$CU7,U$57),"")=0,"",IF(MID(IFERROR(INDEX(醫師週班表!$C$5:$T$44,$CU7,U$57),""),2,1)="/",MID(IFERROR(INDEX(醫師週班表!$C$5:$T$44,$CU7,U$57),""),1+U$58*2,1),IF(MID(IFERROR(INDEX(醫師週班表!$C$5:$T$44,$CU7,U$57),""),3,1)="隔",IF(U$58=0,LEFT(IFERROR(INDEX(醫師週班表!$C$5:$T$44,$CU7,U$57),""),1),""),IF(MID(IFERROR(INDEX(醫師週班表!$C$5:$T$44,$CU7,U$57),""),2,1)="(",LEFT(IFERROR(INDEX(醫師週班表!$C$5:$T$44,$CU7,U$57),""),1),IFERROR(INDEX(醫師週班表!$C$5:$T$44,$CU7,U$57),"")))))))</f>
        <v/>
      </c>
      <c r="V7" s="72">
        <f>IF(V$59="X","",IF(V$59&lt;&gt;"",V$59,IF(IFERROR(INDEX(醫師週班表!$C$5:$T$44,$CU7,V$57),"")=0,"",IF(MID(IFERROR(INDEX(醫師週班表!$C$5:$T$44,$CU7,V$57),""),2,1)="/",MID(IFERROR(INDEX(醫師週班表!$C$5:$T$44,$CU7,V$57),""),1+V$58*2,1),IF(MID(IFERROR(INDEX(醫師週班表!$C$5:$T$44,$CU7,V$57),""),3,1)="隔",IF(V$58=0,LEFT(IFERROR(INDEX(醫師週班表!$C$5:$T$44,$CU7,V$57),""),1),""),IF(MID(IFERROR(INDEX(醫師週班表!$C$5:$T$44,$CU7,V$57),""),2,1)="(",LEFT(IFERROR(INDEX(醫師週班表!$C$5:$T$44,$CU7,V$57),""),1),IFERROR(INDEX(醫師週班表!$C$5:$T$44,$CU7,V$57),"")))))))</f>
        <v/>
      </c>
      <c r="W7" s="71">
        <f>IF(W$59="X","",IF(W$59&lt;&gt;"",W$59,IF(IFERROR(INDEX(醫師週班表!$C$5:$T$44,$CU7,W$57),"")=0,"",IF(MID(IFERROR(INDEX(醫師週班表!$C$5:$T$44,$CU7,W$57),""),2,1)="/",MID(IFERROR(INDEX(醫師週班表!$C$5:$T$44,$CU7,W$57),""),1+W$58*2,1),IF(MID(IFERROR(INDEX(醫師週班表!$C$5:$T$44,$CU7,W$57),""),3,1)="隔",IF(W$58=0,LEFT(IFERROR(INDEX(醫師週班表!$C$5:$T$44,$CU7,W$57),""),1),""),IF(MID(IFERROR(INDEX(醫師週班表!$C$5:$T$44,$CU7,W$57),""),2,1)="(",LEFT(IFERROR(INDEX(醫師週班表!$C$5:$T$44,$CU7,W$57),""),1),IFERROR(INDEX(醫師週班表!$C$5:$T$44,$CU7,W$57),"")))))))</f>
        <v/>
      </c>
      <c r="X7" s="72">
        <f>IF(X$59="X","",IF(X$59&lt;&gt;"",X$59,IF(IFERROR(INDEX(醫師週班表!$C$5:$T$44,$CU7,X$57),"")=0,"",IF(MID(IFERROR(INDEX(醫師週班表!$C$5:$T$44,$CU7,X$57),""),2,1)="/",MID(IFERROR(INDEX(醫師週班表!$C$5:$T$44,$CU7,X$57),""),1+X$58*2,1),IF(MID(IFERROR(INDEX(醫師週班表!$C$5:$T$44,$CU7,X$57),""),3,1)="隔",IF(X$58=0,LEFT(IFERROR(INDEX(醫師週班表!$C$5:$T$44,$CU7,X$57),""),1),""),IF(MID(IFERROR(INDEX(醫師週班表!$C$5:$T$44,$CU7,X$57),""),2,1)="(",LEFT(IFERROR(INDEX(醫師週班表!$C$5:$T$44,$CU7,X$57),""),1),IFERROR(INDEX(醫師週班表!$C$5:$T$44,$CU7,X$57),"")))))))</f>
        <v/>
      </c>
      <c r="Y7" s="72">
        <f>IF(Y$59="X","",IF(Y$59&lt;&gt;"",Y$59,IF(IFERROR(INDEX(醫師週班表!$C$5:$T$44,$CU7,Y$57),"")=0,"",IF(MID(IFERROR(INDEX(醫師週班表!$C$5:$T$44,$CU7,Y$57),""),2,1)="/",MID(IFERROR(INDEX(醫師週班表!$C$5:$T$44,$CU7,Y$57),""),1+Y$58*2,1),IF(MID(IFERROR(INDEX(醫師週班表!$C$5:$T$44,$CU7,Y$57),""),3,1)="隔",IF(Y$58=0,LEFT(IFERROR(INDEX(醫師週班表!$C$5:$T$44,$CU7,Y$57),""),1),""),IF(MID(IFERROR(INDEX(醫師週班表!$C$5:$T$44,$CU7,Y$57),""),2,1)="(",LEFT(IFERROR(INDEX(醫師週班表!$C$5:$T$44,$CU7,Y$57),""),1),IFERROR(INDEX(醫師週班表!$C$5:$T$44,$CU7,Y$57),"")))))))</f>
        <v/>
      </c>
      <c r="Z7" s="71">
        <f>IF(Z$59="X","",IF(Z$59&lt;&gt;"",Z$59,IF(IFERROR(INDEX(醫師週班表!$C$5:$T$44,$CU7,Z$57),"")=0,"",IF(MID(IFERROR(INDEX(醫師週班表!$C$5:$T$44,$CU7,Z$57),""),2,1)="/",MID(IFERROR(INDEX(醫師週班表!$C$5:$T$44,$CU7,Z$57),""),1+Z$58*2,1),IF(MID(IFERROR(INDEX(醫師週班表!$C$5:$T$44,$CU7,Z$57),""),3,1)="隔",IF(Z$58=0,LEFT(IFERROR(INDEX(醫師週班表!$C$5:$T$44,$CU7,Z$57),""),1),""),IF(MID(IFERROR(INDEX(醫師週班表!$C$5:$T$44,$CU7,Z$57),""),2,1)="(",LEFT(IFERROR(INDEX(醫師週班表!$C$5:$T$44,$CU7,Z$57),""),1),IFERROR(INDEX(醫師週班表!$C$5:$T$44,$CU7,Z$57),"")))))))</f>
        <v/>
      </c>
      <c r="AA7" s="72">
        <f>IF(AA$59="X","",IF(AA$59&lt;&gt;"",AA$59,IF(IFERROR(INDEX(醫師週班表!$C$5:$T$44,$CU7,AA$57),"")=0,"",IF(MID(IFERROR(INDEX(醫師週班表!$C$5:$T$44,$CU7,AA$57),""),2,1)="/",MID(IFERROR(INDEX(醫師週班表!$C$5:$T$44,$CU7,AA$57),""),1+AA$58*2,1),IF(MID(IFERROR(INDEX(醫師週班表!$C$5:$T$44,$CU7,AA$57),""),3,1)="隔",IF(AA$58=0,LEFT(IFERROR(INDEX(醫師週班表!$C$5:$T$44,$CU7,AA$57),""),1),""),IF(MID(IFERROR(INDEX(醫師週班表!$C$5:$T$44,$CU7,AA$57),""),2,1)="(",LEFT(IFERROR(INDEX(醫師週班表!$C$5:$T$44,$CU7,AA$57),""),1),IFERROR(INDEX(醫師週班表!$C$5:$T$44,$CU7,AA$57),"")))))))</f>
        <v/>
      </c>
      <c r="AB7" s="72">
        <f>IF(AB$59="X","",IF(AB$59&lt;&gt;"",AB$59,IF(IFERROR(INDEX(醫師週班表!$C$5:$T$44,$CU7,AB$57),"")=0,"",IF(MID(IFERROR(INDEX(醫師週班表!$C$5:$T$44,$CU7,AB$57),""),2,1)="/",MID(IFERROR(INDEX(醫師週班表!$C$5:$T$44,$CU7,AB$57),""),1+AB$58*2,1),IF(MID(IFERROR(INDEX(醫師週班表!$C$5:$T$44,$CU7,AB$57),""),3,1)="隔",IF(AB$58=0,LEFT(IFERROR(INDEX(醫師週班表!$C$5:$T$44,$CU7,AB$57),""),1),""),IF(MID(IFERROR(INDEX(醫師週班表!$C$5:$T$44,$CU7,AB$57),""),2,1)="(",LEFT(IFERROR(INDEX(醫師週班表!$C$5:$T$44,$CU7,AB$57),""),1),IFERROR(INDEX(醫師週班表!$C$5:$T$44,$CU7,AB$57),"")))))))</f>
        <v/>
      </c>
      <c r="AC7" s="71">
        <f>IF(AC$59="X","",IF(AC$59&lt;&gt;"",AC$59,IF(IFERROR(INDEX(醫師週班表!$C$5:$T$44,$CU7,AC$57),"")=0,"",IF(MID(IFERROR(INDEX(醫師週班表!$C$5:$T$44,$CU7,AC$57),""),2,1)="/",MID(IFERROR(INDEX(醫師週班表!$C$5:$T$44,$CU7,AC$57),""),1+AC$58*2,1),IF(MID(IFERROR(INDEX(醫師週班表!$C$5:$T$44,$CU7,AC$57),""),3,1)="隔",IF(AC$58=0,LEFT(IFERROR(INDEX(醫師週班表!$C$5:$T$44,$CU7,AC$57),""),1),""),IF(MID(IFERROR(INDEX(醫師週班表!$C$5:$T$44,$CU7,AC$57),""),2,1)="(",LEFT(IFERROR(INDEX(醫師週班表!$C$5:$T$44,$CU7,AC$57),""),1),IFERROR(INDEX(醫師週班表!$C$5:$T$44,$CU7,AC$57),"")))))))</f>
        <v/>
      </c>
      <c r="AD7" s="72">
        <f>IF(AD$59="X","",IF(AD$59&lt;&gt;"",AD$59,IF(IFERROR(INDEX(醫師週班表!$C$5:$T$44,$CU7,AD$57),"")=0,"",IF(MID(IFERROR(INDEX(醫師週班表!$C$5:$T$44,$CU7,AD$57),""),2,1)="/",MID(IFERROR(INDEX(醫師週班表!$C$5:$T$44,$CU7,AD$57),""),1+AD$58*2,1),IF(MID(IFERROR(INDEX(醫師週班表!$C$5:$T$44,$CU7,AD$57),""),3,1)="隔",IF(AD$58=0,LEFT(IFERROR(INDEX(醫師週班表!$C$5:$T$44,$CU7,AD$57),""),1),""),IF(MID(IFERROR(INDEX(醫師週班表!$C$5:$T$44,$CU7,AD$57),""),2,1)="(",LEFT(IFERROR(INDEX(醫師週班表!$C$5:$T$44,$CU7,AD$57),""),1),IFERROR(INDEX(醫師週班表!$C$5:$T$44,$CU7,AD$57),"")))))))</f>
        <v/>
      </c>
      <c r="AE7" s="72">
        <f>IF(AE$59="X","",IF(AE$59&lt;&gt;"",AE$59,IF(IFERROR(INDEX(醫師週班表!$C$5:$T$44,$CU7,AE$57),"")=0,"",IF(MID(IFERROR(INDEX(醫師週班表!$C$5:$T$44,$CU7,AE$57),""),2,1)="/",MID(IFERROR(INDEX(醫師週班表!$C$5:$T$44,$CU7,AE$57),""),1+AE$58*2,1),IF(MID(IFERROR(INDEX(醫師週班表!$C$5:$T$44,$CU7,AE$57),""),3,1)="隔",IF(AE$58=0,LEFT(IFERROR(INDEX(醫師週班表!$C$5:$T$44,$CU7,AE$57),""),1),""),IF(MID(IFERROR(INDEX(醫師週班表!$C$5:$T$44,$CU7,AE$57),""),2,1)="(",LEFT(IFERROR(INDEX(醫師週班表!$C$5:$T$44,$CU7,AE$57),""),1),IFERROR(INDEX(醫師週班表!$C$5:$T$44,$CU7,AE$57),"")))))))</f>
        <v/>
      </c>
      <c r="AF7" s="71">
        <f>IF(AF$59="X","",IF(AF$59&lt;&gt;"",AF$59,IF(IFERROR(INDEX(醫師週班表!$C$5:$T$44,$CU7,AF$57),"")=0,"",IF(MID(IFERROR(INDEX(醫師週班表!$C$5:$T$44,$CU7,AF$57),""),2,1)="/",MID(IFERROR(INDEX(醫師週班表!$C$5:$T$44,$CU7,AF$57),""),1+AF$58*2,1),IF(MID(IFERROR(INDEX(醫師週班表!$C$5:$T$44,$CU7,AF$57),""),3,1)="隔",IF(AF$58=0,LEFT(IFERROR(INDEX(醫師週班表!$C$5:$T$44,$CU7,AF$57),""),1),""),IF(MID(IFERROR(INDEX(醫師週班表!$C$5:$T$44,$CU7,AF$57),""),2,1)="(",LEFT(IFERROR(INDEX(醫師週班表!$C$5:$T$44,$CU7,AF$57),""),1),IFERROR(INDEX(醫師週班表!$C$5:$T$44,$CU7,AF$57),"")))))))</f>
        <v/>
      </c>
      <c r="AG7" s="72">
        <f>IF(AG$59="X","",IF(AG$59&lt;&gt;"",AG$59,IF(IFERROR(INDEX(醫師週班表!$C$5:$T$44,$CU7,AG$57),"")=0,"",IF(MID(IFERROR(INDEX(醫師週班表!$C$5:$T$44,$CU7,AG$57),""),2,1)="/",MID(IFERROR(INDEX(醫師週班表!$C$5:$T$44,$CU7,AG$57),""),1+AG$58*2,1),IF(MID(IFERROR(INDEX(醫師週班表!$C$5:$T$44,$CU7,AG$57),""),3,1)="隔",IF(AG$58=0,LEFT(IFERROR(INDEX(醫師週班表!$C$5:$T$44,$CU7,AG$57),""),1),""),IF(MID(IFERROR(INDEX(醫師週班表!$C$5:$T$44,$CU7,AG$57),""),2,1)="(",LEFT(IFERROR(INDEX(醫師週班表!$C$5:$T$44,$CU7,AG$57),""),1),IFERROR(INDEX(醫師週班表!$C$5:$T$44,$CU7,AG$57),"")))))))</f>
        <v/>
      </c>
      <c r="AH7" s="72">
        <f>IF(AH$59="X","",IF(AH$59&lt;&gt;"",AH$59,IF(IFERROR(INDEX(醫師週班表!$C$5:$T$44,$CU7,AH$57),"")=0,"",IF(MID(IFERROR(INDEX(醫師週班表!$C$5:$T$44,$CU7,AH$57),""),2,1)="/",MID(IFERROR(INDEX(醫師週班表!$C$5:$T$44,$CU7,AH$57),""),1+AH$58*2,1),IF(MID(IFERROR(INDEX(醫師週班表!$C$5:$T$44,$CU7,AH$57),""),3,1)="隔",IF(AH$58=0,LEFT(IFERROR(INDEX(醫師週班表!$C$5:$T$44,$CU7,AH$57),""),1),""),IF(MID(IFERROR(INDEX(醫師週班表!$C$5:$T$44,$CU7,AH$57),""),2,1)="(",LEFT(IFERROR(INDEX(醫師週班表!$C$5:$T$44,$CU7,AH$57),""),1),IFERROR(INDEX(醫師週班表!$C$5:$T$44,$CU7,AH$57),"")))))))</f>
        <v/>
      </c>
      <c r="AI7" s="71">
        <f>IF(AI$59="X","",IF(AI$59&lt;&gt;"",AI$59,IF(IFERROR(INDEX(醫師週班表!$C$5:$T$44,$CU7,AI$57),"")=0,"",IF(MID(IFERROR(INDEX(醫師週班表!$C$5:$T$44,$CU7,AI$57),""),2,1)="/",MID(IFERROR(INDEX(醫師週班表!$C$5:$T$44,$CU7,AI$57),""),1+AI$58*2,1),IF(MID(IFERROR(INDEX(醫師週班表!$C$5:$T$44,$CU7,AI$57),""),3,1)="隔",IF(AI$58=0,LEFT(IFERROR(INDEX(醫師週班表!$C$5:$T$44,$CU7,AI$57),""),1),""),IF(MID(IFERROR(INDEX(醫師週班表!$C$5:$T$44,$CU7,AI$57),""),2,1)="(",LEFT(IFERROR(INDEX(醫師週班表!$C$5:$T$44,$CU7,AI$57),""),1),IFERROR(INDEX(醫師週班表!$C$5:$T$44,$CU7,AI$57),"")))))))</f>
        <v/>
      </c>
      <c r="AJ7" s="72">
        <f>IF(AJ$59="X","",IF(AJ$59&lt;&gt;"",AJ$59,IF(IFERROR(INDEX(醫師週班表!$C$5:$T$44,$CU7,AJ$57),"")=0,"",IF(MID(IFERROR(INDEX(醫師週班表!$C$5:$T$44,$CU7,AJ$57),""),2,1)="/",MID(IFERROR(INDEX(醫師週班表!$C$5:$T$44,$CU7,AJ$57),""),1+AJ$58*2,1),IF(MID(IFERROR(INDEX(醫師週班表!$C$5:$T$44,$CU7,AJ$57),""),3,1)="隔",IF(AJ$58=0,LEFT(IFERROR(INDEX(醫師週班表!$C$5:$T$44,$CU7,AJ$57),""),1),""),IF(MID(IFERROR(INDEX(醫師週班表!$C$5:$T$44,$CU7,AJ$57),""),2,1)="(",LEFT(IFERROR(INDEX(醫師週班表!$C$5:$T$44,$CU7,AJ$57),""),1),IFERROR(INDEX(醫師週班表!$C$5:$T$44,$CU7,AJ$57),"")))))))</f>
        <v/>
      </c>
      <c r="AK7" s="72">
        <f>IF(AK$59="X","",IF(AK$59&lt;&gt;"",AK$59,IF(IFERROR(INDEX(醫師週班表!$C$5:$T$44,$CU7,AK$57),"")=0,"",IF(MID(IFERROR(INDEX(醫師週班表!$C$5:$T$44,$CU7,AK$57),""),2,1)="/",MID(IFERROR(INDEX(醫師週班表!$C$5:$T$44,$CU7,AK$57),""),1+AK$58*2,1),IF(MID(IFERROR(INDEX(醫師週班表!$C$5:$T$44,$CU7,AK$57),""),3,1)="隔",IF(AK$58=0,LEFT(IFERROR(INDEX(醫師週班表!$C$5:$T$44,$CU7,AK$57),""),1),""),IF(MID(IFERROR(INDEX(醫師週班表!$C$5:$T$44,$CU7,AK$57),""),2,1)="(",LEFT(IFERROR(INDEX(醫師週班表!$C$5:$T$44,$CU7,AK$57),""),1),IFERROR(INDEX(醫師週班表!$C$5:$T$44,$CU7,AK$57),"")))))))</f>
        <v/>
      </c>
      <c r="AL7" s="71">
        <f>IF(AL$59="X","",IF(AL$59&lt;&gt;"",AL$59,IF(IFERROR(INDEX(醫師週班表!$C$5:$T$44,$CU7,AL$57),"")=0,"",IF(MID(IFERROR(INDEX(醫師週班表!$C$5:$T$44,$CU7,AL$57),""),2,1)="/",MID(IFERROR(INDEX(醫師週班表!$C$5:$T$44,$CU7,AL$57),""),1+AL$58*2,1),IF(MID(IFERROR(INDEX(醫師週班表!$C$5:$T$44,$CU7,AL$57),""),3,1)="隔",IF(AL$58=0,LEFT(IFERROR(INDEX(醫師週班表!$C$5:$T$44,$CU7,AL$57),""),1),""),IF(MID(IFERROR(INDEX(醫師週班表!$C$5:$T$44,$CU7,AL$57),""),2,1)="(",LEFT(IFERROR(INDEX(醫師週班表!$C$5:$T$44,$CU7,AL$57),""),1),IFERROR(INDEX(醫師週班表!$C$5:$T$44,$CU7,AL$57),"")))))))</f>
        <v/>
      </c>
      <c r="AM7" s="72">
        <f>IF(AM$59="X","",IF(AM$59&lt;&gt;"",AM$59,IF(IFERROR(INDEX(醫師週班表!$C$5:$T$44,$CU7,AM$57),"")=0,"",IF(MID(IFERROR(INDEX(醫師週班表!$C$5:$T$44,$CU7,AM$57),""),2,1)="/",MID(IFERROR(INDEX(醫師週班表!$C$5:$T$44,$CU7,AM$57),""),1+AM$58*2,1),IF(MID(IFERROR(INDEX(醫師週班表!$C$5:$T$44,$CU7,AM$57),""),3,1)="隔",IF(AM$58=0,LEFT(IFERROR(INDEX(醫師週班表!$C$5:$T$44,$CU7,AM$57),""),1),""),IF(MID(IFERROR(INDEX(醫師週班表!$C$5:$T$44,$CU7,AM$57),""),2,1)="(",LEFT(IFERROR(INDEX(醫師週班表!$C$5:$T$44,$CU7,AM$57),""),1),IFERROR(INDEX(醫師週班表!$C$5:$T$44,$CU7,AM$57),"")))))))</f>
        <v/>
      </c>
      <c r="AN7" s="72">
        <f>IF(AN$59="X","",IF(AN$59&lt;&gt;"",AN$59,IF(IFERROR(INDEX(醫師週班表!$C$5:$T$44,$CU7,AN$57),"")=0,"",IF(MID(IFERROR(INDEX(醫師週班表!$C$5:$T$44,$CU7,AN$57),""),2,1)="/",MID(IFERROR(INDEX(醫師週班表!$C$5:$T$44,$CU7,AN$57),""),1+AN$58*2,1),IF(MID(IFERROR(INDEX(醫師週班表!$C$5:$T$44,$CU7,AN$57),""),3,1)="隔",IF(AN$58=0,LEFT(IFERROR(INDEX(醫師週班表!$C$5:$T$44,$CU7,AN$57),""),1),""),IF(MID(IFERROR(INDEX(醫師週班表!$C$5:$T$44,$CU7,AN$57),""),2,1)="(",LEFT(IFERROR(INDEX(醫師週班表!$C$5:$T$44,$CU7,AN$57),""),1),IFERROR(INDEX(醫師週班表!$C$5:$T$44,$CU7,AN$57),"")))))))</f>
        <v/>
      </c>
      <c r="AO7" s="71">
        <f>IF(AO$59="X","",IF(AO$59&lt;&gt;"",AO$59,IF(IFERROR(INDEX(醫師週班表!$C$5:$T$44,$CU7,AO$57),"")=0,"",IF(MID(IFERROR(INDEX(醫師週班表!$C$5:$T$44,$CU7,AO$57),""),2,1)="/",MID(IFERROR(INDEX(醫師週班表!$C$5:$T$44,$CU7,AO$57),""),1+AO$58*2,1),IF(MID(IFERROR(INDEX(醫師週班表!$C$5:$T$44,$CU7,AO$57),""),3,1)="隔",IF(AO$58=0,LEFT(IFERROR(INDEX(醫師週班表!$C$5:$T$44,$CU7,AO$57),""),1),""),IF(MID(IFERROR(INDEX(醫師週班表!$C$5:$T$44,$CU7,AO$57),""),2,1)="(",LEFT(IFERROR(INDEX(醫師週班表!$C$5:$T$44,$CU7,AO$57),""),1),IFERROR(INDEX(醫師週班表!$C$5:$T$44,$CU7,AO$57),"")))))))</f>
        <v/>
      </c>
      <c r="AP7" s="72">
        <f>IF(AP$59="X","",IF(AP$59&lt;&gt;"",AP$59,IF(IFERROR(INDEX(醫師週班表!$C$5:$T$44,$CU7,AP$57),"")=0,"",IF(MID(IFERROR(INDEX(醫師週班表!$C$5:$T$44,$CU7,AP$57),""),2,1)="/",MID(IFERROR(INDEX(醫師週班表!$C$5:$T$44,$CU7,AP$57),""),1+AP$58*2,1),IF(MID(IFERROR(INDEX(醫師週班表!$C$5:$T$44,$CU7,AP$57),""),3,1)="隔",IF(AP$58=0,LEFT(IFERROR(INDEX(醫師週班表!$C$5:$T$44,$CU7,AP$57),""),1),""),IF(MID(IFERROR(INDEX(醫師週班表!$C$5:$T$44,$CU7,AP$57),""),2,1)="(",LEFT(IFERROR(INDEX(醫師週班表!$C$5:$T$44,$CU7,AP$57),""),1),IFERROR(INDEX(醫師週班表!$C$5:$T$44,$CU7,AP$57),"")))))))</f>
        <v/>
      </c>
      <c r="AQ7" s="72">
        <f>IF(AQ$59="X","",IF(AQ$59&lt;&gt;"",AQ$59,IF(IFERROR(INDEX(醫師週班表!$C$5:$T$44,$CU7,AQ$57),"")=0,"",IF(MID(IFERROR(INDEX(醫師週班表!$C$5:$T$44,$CU7,AQ$57),""),2,1)="/",MID(IFERROR(INDEX(醫師週班表!$C$5:$T$44,$CU7,AQ$57),""),1+AQ$58*2,1),IF(MID(IFERROR(INDEX(醫師週班表!$C$5:$T$44,$CU7,AQ$57),""),3,1)="隔",IF(AQ$58=0,LEFT(IFERROR(INDEX(醫師週班表!$C$5:$T$44,$CU7,AQ$57),""),1),""),IF(MID(IFERROR(INDEX(醫師週班表!$C$5:$T$44,$CU7,AQ$57),""),2,1)="(",LEFT(IFERROR(INDEX(醫師週班表!$C$5:$T$44,$CU7,AQ$57),""),1),IFERROR(INDEX(醫師週班表!$C$5:$T$44,$CU7,AQ$57),"")))))))</f>
        <v/>
      </c>
      <c r="AR7" s="71">
        <f>IF(AR$59="X","",IF(AR$59&lt;&gt;"",AR$59,IF(IFERROR(INDEX(醫師週班表!$C$5:$T$44,$CU7,AR$57),"")=0,"",IF(MID(IFERROR(INDEX(醫師週班表!$C$5:$T$44,$CU7,AR$57),""),2,1)="/",MID(IFERROR(INDEX(醫師週班表!$C$5:$T$44,$CU7,AR$57),""),1+AR$58*2,1),IF(MID(IFERROR(INDEX(醫師週班表!$C$5:$T$44,$CU7,AR$57),""),3,1)="隔",IF(AR$58=0,LEFT(IFERROR(INDEX(醫師週班表!$C$5:$T$44,$CU7,AR$57),""),1),""),IF(MID(IFERROR(INDEX(醫師週班表!$C$5:$T$44,$CU7,AR$57),""),2,1)="(",LEFT(IFERROR(INDEX(醫師週班表!$C$5:$T$44,$CU7,AR$57),""),1),IFERROR(INDEX(醫師週班表!$C$5:$T$44,$CU7,AR$57),"")))))))</f>
        <v/>
      </c>
      <c r="AS7" s="72">
        <f>IF(AS$59="X","",IF(AS$59&lt;&gt;"",AS$59,IF(IFERROR(INDEX(醫師週班表!$C$5:$T$44,$CU7,AS$57),"")=0,"",IF(MID(IFERROR(INDEX(醫師週班表!$C$5:$T$44,$CU7,AS$57),""),2,1)="/",MID(IFERROR(INDEX(醫師週班表!$C$5:$T$44,$CU7,AS$57),""),1+AS$58*2,1),IF(MID(IFERROR(INDEX(醫師週班表!$C$5:$T$44,$CU7,AS$57),""),3,1)="隔",IF(AS$58=0,LEFT(IFERROR(INDEX(醫師週班表!$C$5:$T$44,$CU7,AS$57),""),1),""),IF(MID(IFERROR(INDEX(醫師週班表!$C$5:$T$44,$CU7,AS$57),""),2,1)="(",LEFT(IFERROR(INDEX(醫師週班表!$C$5:$T$44,$CU7,AS$57),""),1),IFERROR(INDEX(醫師週班表!$C$5:$T$44,$CU7,AS$57),"")))))))</f>
        <v/>
      </c>
      <c r="AT7" s="72">
        <f>IF(AT$59="X","",IF(AT$59&lt;&gt;"",AT$59,IF(IFERROR(INDEX(醫師週班表!$C$5:$T$44,$CU7,AT$57),"")=0,"",IF(MID(IFERROR(INDEX(醫師週班表!$C$5:$T$44,$CU7,AT$57),""),2,1)="/",MID(IFERROR(INDEX(醫師週班表!$C$5:$T$44,$CU7,AT$57),""),1+AT$58*2,1),IF(MID(IFERROR(INDEX(醫師週班表!$C$5:$T$44,$CU7,AT$57),""),3,1)="隔",IF(AT$58=0,LEFT(IFERROR(INDEX(醫師週班表!$C$5:$T$44,$CU7,AT$57),""),1),""),IF(MID(IFERROR(INDEX(醫師週班表!$C$5:$T$44,$CU7,AT$57),""),2,1)="(",LEFT(IFERROR(INDEX(醫師週班表!$C$5:$T$44,$CU7,AT$57),""),1),IFERROR(INDEX(醫師週班表!$C$5:$T$44,$CU7,AT$57),"")))))))</f>
        <v/>
      </c>
      <c r="AU7" s="71">
        <f>IF(AU$59="X","",IF(AU$59&lt;&gt;"",AU$59,IF(IFERROR(INDEX(醫師週班表!$C$5:$T$44,$CU7,AU$57),"")=0,"",IF(MID(IFERROR(INDEX(醫師週班表!$C$5:$T$44,$CU7,AU$57),""),2,1)="/",MID(IFERROR(INDEX(醫師週班表!$C$5:$T$44,$CU7,AU$57),""),1+AU$58*2,1),IF(MID(IFERROR(INDEX(醫師週班表!$C$5:$T$44,$CU7,AU$57),""),3,1)="隔",IF(AU$58=0,LEFT(IFERROR(INDEX(醫師週班表!$C$5:$T$44,$CU7,AU$57),""),1),""),IF(MID(IFERROR(INDEX(醫師週班表!$C$5:$T$44,$CU7,AU$57),""),2,1)="(",LEFT(IFERROR(INDEX(醫師週班表!$C$5:$T$44,$CU7,AU$57),""),1),IFERROR(INDEX(醫師週班表!$C$5:$T$44,$CU7,AU$57),"")))))))</f>
        <v/>
      </c>
      <c r="AV7" s="72">
        <f>IF(AV$59="X","",IF(AV$59&lt;&gt;"",AV$59,IF(IFERROR(INDEX(醫師週班表!$C$5:$T$44,$CU7,AV$57),"")=0,"",IF(MID(IFERROR(INDEX(醫師週班表!$C$5:$T$44,$CU7,AV$57),""),2,1)="/",MID(IFERROR(INDEX(醫師週班表!$C$5:$T$44,$CU7,AV$57),""),1+AV$58*2,1),IF(MID(IFERROR(INDEX(醫師週班表!$C$5:$T$44,$CU7,AV$57),""),3,1)="隔",IF(AV$58=0,LEFT(IFERROR(INDEX(醫師週班表!$C$5:$T$44,$CU7,AV$57),""),1),""),IF(MID(IFERROR(INDEX(醫師週班表!$C$5:$T$44,$CU7,AV$57),""),2,1)="(",LEFT(IFERROR(INDEX(醫師週班表!$C$5:$T$44,$CU7,AV$57),""),1),IFERROR(INDEX(醫師週班表!$C$5:$T$44,$CU7,AV$57),"")))))))</f>
        <v/>
      </c>
      <c r="AW7" s="72">
        <f>IF(AW$59="X","",IF(AW$59&lt;&gt;"",AW$59,IF(IFERROR(INDEX(醫師週班表!$C$5:$T$44,$CU7,AW$57),"")=0,"",IF(MID(IFERROR(INDEX(醫師週班表!$C$5:$T$44,$CU7,AW$57),""),2,1)="/",MID(IFERROR(INDEX(醫師週班表!$C$5:$T$44,$CU7,AW$57),""),1+AW$58*2,1),IF(MID(IFERROR(INDEX(醫師週班表!$C$5:$T$44,$CU7,AW$57),""),3,1)="隔",IF(AW$58=0,LEFT(IFERROR(INDEX(醫師週班表!$C$5:$T$44,$CU7,AW$57),""),1),""),IF(MID(IFERROR(INDEX(醫師週班表!$C$5:$T$44,$CU7,AW$57),""),2,1)="(",LEFT(IFERROR(INDEX(醫師週班表!$C$5:$T$44,$CU7,AW$57),""),1),IFERROR(INDEX(醫師週班表!$C$5:$T$44,$CU7,AW$57),"")))))))</f>
        <v/>
      </c>
      <c r="AX7" s="71">
        <f>IF(AX$59="X","",IF(AX$59&lt;&gt;"",AX$59,IF(IFERROR(INDEX(醫師週班表!$C$5:$T$44,$CU7,AX$57),"")=0,"",IF(MID(IFERROR(INDEX(醫師週班表!$C$5:$T$44,$CU7,AX$57),""),2,1)="/",MID(IFERROR(INDEX(醫師週班表!$C$5:$T$44,$CU7,AX$57),""),1+AX$58*2,1),IF(MID(IFERROR(INDEX(醫師週班表!$C$5:$T$44,$CU7,AX$57),""),3,1)="隔",IF(AX$58=0,LEFT(IFERROR(INDEX(醫師週班表!$C$5:$T$44,$CU7,AX$57),""),1),""),IF(MID(IFERROR(INDEX(醫師週班表!$C$5:$T$44,$CU7,AX$57),""),2,1)="(",LEFT(IFERROR(INDEX(醫師週班表!$C$5:$T$44,$CU7,AX$57),""),1),IFERROR(INDEX(醫師週班表!$C$5:$T$44,$CU7,AX$57),"")))))))</f>
        <v/>
      </c>
      <c r="AY7" s="72">
        <f>IF(AY$59="X","",IF(AY$59&lt;&gt;"",AY$59,IF(IFERROR(INDEX(醫師週班表!$C$5:$T$44,$CU7,AY$57),"")=0,"",IF(MID(IFERROR(INDEX(醫師週班表!$C$5:$T$44,$CU7,AY$57),""),2,1)="/",MID(IFERROR(INDEX(醫師週班表!$C$5:$T$44,$CU7,AY$57),""),1+AY$58*2,1),IF(MID(IFERROR(INDEX(醫師週班表!$C$5:$T$44,$CU7,AY$57),""),3,1)="隔",IF(AY$58=0,LEFT(IFERROR(INDEX(醫師週班表!$C$5:$T$44,$CU7,AY$57),""),1),""),IF(MID(IFERROR(INDEX(醫師週班表!$C$5:$T$44,$CU7,AY$57),""),2,1)="(",LEFT(IFERROR(INDEX(醫師週班表!$C$5:$T$44,$CU7,AY$57),""),1),IFERROR(INDEX(醫師週班表!$C$5:$T$44,$CU7,AY$57),"")))))))</f>
        <v/>
      </c>
      <c r="AZ7" s="72">
        <f>IF(AZ$59="X","",IF(AZ$59&lt;&gt;"",AZ$59,IF(IFERROR(INDEX(醫師週班表!$C$5:$T$44,$CU7,AZ$57),"")=0,"",IF(MID(IFERROR(INDEX(醫師週班表!$C$5:$T$44,$CU7,AZ$57),""),2,1)="/",MID(IFERROR(INDEX(醫師週班表!$C$5:$T$44,$CU7,AZ$57),""),1+AZ$58*2,1),IF(MID(IFERROR(INDEX(醫師週班表!$C$5:$T$44,$CU7,AZ$57),""),3,1)="隔",IF(AZ$58=0,LEFT(IFERROR(INDEX(醫師週班表!$C$5:$T$44,$CU7,AZ$57),""),1),""),IF(MID(IFERROR(INDEX(醫師週班表!$C$5:$T$44,$CU7,AZ$57),""),2,1)="(",LEFT(IFERROR(INDEX(醫師週班表!$C$5:$T$44,$CU7,AZ$57),""),1),IFERROR(INDEX(醫師週班表!$C$5:$T$44,$CU7,AZ$57),"")))))))</f>
        <v/>
      </c>
      <c r="BA7" s="71">
        <f>IF(BA$59="X","",IF(BA$59&lt;&gt;"",BA$59,IF(IFERROR(INDEX(醫師週班表!$C$5:$T$44,$CU7,BA$57),"")=0,"",IF(MID(IFERROR(INDEX(醫師週班表!$C$5:$T$44,$CU7,BA$57),""),2,1)="/",MID(IFERROR(INDEX(醫師週班表!$C$5:$T$44,$CU7,BA$57),""),1+BA$58*2,1),IF(MID(IFERROR(INDEX(醫師週班表!$C$5:$T$44,$CU7,BA$57),""),3,1)="隔",IF(BA$58=0,LEFT(IFERROR(INDEX(醫師週班表!$C$5:$T$44,$CU7,BA$57),""),1),""),IF(MID(IFERROR(INDEX(醫師週班表!$C$5:$T$44,$CU7,BA$57),""),2,1)="(",LEFT(IFERROR(INDEX(醫師週班表!$C$5:$T$44,$CU7,BA$57),""),1),IFERROR(INDEX(醫師週班表!$C$5:$T$44,$CU7,BA$57),"")))))))</f>
        <v/>
      </c>
      <c r="BB7" s="72">
        <f>IF(BB$59="X","",IF(BB$59&lt;&gt;"",BB$59,IF(IFERROR(INDEX(醫師週班表!$C$5:$T$44,$CU7,BB$57),"")=0,"",IF(MID(IFERROR(INDEX(醫師週班表!$C$5:$T$44,$CU7,BB$57),""),2,1)="/",MID(IFERROR(INDEX(醫師週班表!$C$5:$T$44,$CU7,BB$57),""),1+BB$58*2,1),IF(MID(IFERROR(INDEX(醫師週班表!$C$5:$T$44,$CU7,BB$57),""),3,1)="隔",IF(BB$58=0,LEFT(IFERROR(INDEX(醫師週班表!$C$5:$T$44,$CU7,BB$57),""),1),""),IF(MID(IFERROR(INDEX(醫師週班表!$C$5:$T$44,$CU7,BB$57),""),2,1)="(",LEFT(IFERROR(INDEX(醫師週班表!$C$5:$T$44,$CU7,BB$57),""),1),IFERROR(INDEX(醫師週班表!$C$5:$T$44,$CU7,BB$57),"")))))))</f>
        <v/>
      </c>
      <c r="BC7" s="72">
        <f>IF(BC$59="X","",IF(BC$59&lt;&gt;"",BC$59,IF(IFERROR(INDEX(醫師週班表!$C$5:$T$44,$CU7,BC$57),"")=0,"",IF(MID(IFERROR(INDEX(醫師週班表!$C$5:$T$44,$CU7,BC$57),""),2,1)="/",MID(IFERROR(INDEX(醫師週班表!$C$5:$T$44,$CU7,BC$57),""),1+BC$58*2,1),IF(MID(IFERROR(INDEX(醫師週班表!$C$5:$T$44,$CU7,BC$57),""),3,1)="隔",IF(BC$58=0,LEFT(IFERROR(INDEX(醫師週班表!$C$5:$T$44,$CU7,BC$57),""),1),""),IF(MID(IFERROR(INDEX(醫師週班表!$C$5:$T$44,$CU7,BC$57),""),2,1)="(",LEFT(IFERROR(INDEX(醫師週班表!$C$5:$T$44,$CU7,BC$57),""),1),IFERROR(INDEX(醫師週班表!$C$5:$T$44,$CU7,BC$57),"")))))))</f>
        <v/>
      </c>
      <c r="BD7" s="71">
        <f>IF(BD$59="X","",IF(BD$59&lt;&gt;"",BD$59,IF(IFERROR(INDEX(醫師週班表!$C$5:$T$44,$CU7,BD$57),"")=0,"",IF(MID(IFERROR(INDEX(醫師週班表!$C$5:$T$44,$CU7,BD$57),""),2,1)="/",MID(IFERROR(INDEX(醫師週班表!$C$5:$T$44,$CU7,BD$57),""),1+BD$58*2,1),IF(MID(IFERROR(INDEX(醫師週班表!$C$5:$T$44,$CU7,BD$57),""),3,1)="隔",IF(BD$58=0,LEFT(IFERROR(INDEX(醫師週班表!$C$5:$T$44,$CU7,BD$57),""),1),""),IF(MID(IFERROR(INDEX(醫師週班表!$C$5:$T$44,$CU7,BD$57),""),2,1)="(",LEFT(IFERROR(INDEX(醫師週班表!$C$5:$T$44,$CU7,BD$57),""),1),IFERROR(INDEX(醫師週班表!$C$5:$T$44,$CU7,BD$57),"")))))))</f>
        <v/>
      </c>
      <c r="BE7" s="72">
        <f>IF(BE$59="X","",IF(BE$59&lt;&gt;"",BE$59,IF(IFERROR(INDEX(醫師週班表!$C$5:$T$44,$CU7,BE$57),"")=0,"",IF(MID(IFERROR(INDEX(醫師週班表!$C$5:$T$44,$CU7,BE$57),""),2,1)="/",MID(IFERROR(INDEX(醫師週班表!$C$5:$T$44,$CU7,BE$57),""),1+BE$58*2,1),IF(MID(IFERROR(INDEX(醫師週班表!$C$5:$T$44,$CU7,BE$57),""),3,1)="隔",IF(BE$58=0,LEFT(IFERROR(INDEX(醫師週班表!$C$5:$T$44,$CU7,BE$57),""),1),""),IF(MID(IFERROR(INDEX(醫師週班表!$C$5:$T$44,$CU7,BE$57),""),2,1)="(",LEFT(IFERROR(INDEX(醫師週班表!$C$5:$T$44,$CU7,BE$57),""),1),IFERROR(INDEX(醫師週班表!$C$5:$T$44,$CU7,BE$57),"")))))))</f>
        <v/>
      </c>
      <c r="BF7" s="72">
        <f>IF(BF$59="X","",IF(BF$59&lt;&gt;"",BF$59,IF(IFERROR(INDEX(醫師週班表!$C$5:$T$44,$CU7,BF$57),"")=0,"",IF(MID(IFERROR(INDEX(醫師週班表!$C$5:$T$44,$CU7,BF$57),""),2,1)="/",MID(IFERROR(INDEX(醫師週班表!$C$5:$T$44,$CU7,BF$57),""),1+BF$58*2,1),IF(MID(IFERROR(INDEX(醫師週班表!$C$5:$T$44,$CU7,BF$57),""),3,1)="隔",IF(BF$58=0,LEFT(IFERROR(INDEX(醫師週班表!$C$5:$T$44,$CU7,BF$57),""),1),""),IF(MID(IFERROR(INDEX(醫師週班表!$C$5:$T$44,$CU7,BF$57),""),2,1)="(",LEFT(IFERROR(INDEX(醫師週班表!$C$5:$T$44,$CU7,BF$57),""),1),IFERROR(INDEX(醫師週班表!$C$5:$T$44,$CU7,BF$57),"")))))))</f>
        <v/>
      </c>
      <c r="BG7" s="71">
        <f>IF(BG$59="X","",IF(BG$59&lt;&gt;"",BG$59,IF(IFERROR(INDEX(醫師週班表!$C$5:$T$44,$CU7,BG$57),"")=0,"",IF(MID(IFERROR(INDEX(醫師週班表!$C$5:$T$44,$CU7,BG$57),""),2,1)="/",MID(IFERROR(INDEX(醫師週班表!$C$5:$T$44,$CU7,BG$57),""),1+BG$58*2,1),IF(MID(IFERROR(INDEX(醫師週班表!$C$5:$T$44,$CU7,BG$57),""),3,1)="隔",IF(BG$58=0,LEFT(IFERROR(INDEX(醫師週班表!$C$5:$T$44,$CU7,BG$57),""),1),""),IF(MID(IFERROR(INDEX(醫師週班表!$C$5:$T$44,$CU7,BG$57),""),2,1)="(",LEFT(IFERROR(INDEX(醫師週班表!$C$5:$T$44,$CU7,BG$57),""),1),IFERROR(INDEX(醫師週班表!$C$5:$T$44,$CU7,BG$57),"")))))))</f>
        <v/>
      </c>
      <c r="BH7" s="72">
        <f>IF(BH$59="X","",IF(BH$59&lt;&gt;"",BH$59,IF(IFERROR(INDEX(醫師週班表!$C$5:$T$44,$CU7,BH$57),"")=0,"",IF(MID(IFERROR(INDEX(醫師週班表!$C$5:$T$44,$CU7,BH$57),""),2,1)="/",MID(IFERROR(INDEX(醫師週班表!$C$5:$T$44,$CU7,BH$57),""),1+BH$58*2,1),IF(MID(IFERROR(INDEX(醫師週班表!$C$5:$T$44,$CU7,BH$57),""),3,1)="隔",IF(BH$58=0,LEFT(IFERROR(INDEX(醫師週班表!$C$5:$T$44,$CU7,BH$57),""),1),""),IF(MID(IFERROR(INDEX(醫師週班表!$C$5:$T$44,$CU7,BH$57),""),2,1)="(",LEFT(IFERROR(INDEX(醫師週班表!$C$5:$T$44,$CU7,BH$57),""),1),IFERROR(INDEX(醫師週班表!$C$5:$T$44,$CU7,BH$57),"")))))))</f>
        <v/>
      </c>
      <c r="BI7" s="72">
        <f>IF(BI$59="X","",IF(BI$59&lt;&gt;"",BI$59,IF(IFERROR(INDEX(醫師週班表!$C$5:$T$44,$CU7,BI$57),"")=0,"",IF(MID(IFERROR(INDEX(醫師週班表!$C$5:$T$44,$CU7,BI$57),""),2,1)="/",MID(IFERROR(INDEX(醫師週班表!$C$5:$T$44,$CU7,BI$57),""),1+BI$58*2,1),IF(MID(IFERROR(INDEX(醫師週班表!$C$5:$T$44,$CU7,BI$57),""),3,1)="隔",IF(BI$58=0,LEFT(IFERROR(INDEX(醫師週班表!$C$5:$T$44,$CU7,BI$57),""),1),""),IF(MID(IFERROR(INDEX(醫師週班表!$C$5:$T$44,$CU7,BI$57),""),2,1)="(",LEFT(IFERROR(INDEX(醫師週班表!$C$5:$T$44,$CU7,BI$57),""),1),IFERROR(INDEX(醫師週班表!$C$5:$T$44,$CU7,BI$57),"")))))))</f>
        <v/>
      </c>
      <c r="BJ7" s="71">
        <f>IF(BJ$59="X","",IF(BJ$59&lt;&gt;"",BJ$59,IF(IFERROR(INDEX(醫師週班表!$C$5:$T$44,$CU7,BJ$57),"")=0,"",IF(MID(IFERROR(INDEX(醫師週班表!$C$5:$T$44,$CU7,BJ$57),""),2,1)="/",MID(IFERROR(INDEX(醫師週班表!$C$5:$T$44,$CU7,BJ$57),""),1+BJ$58*2,1),IF(MID(IFERROR(INDEX(醫師週班表!$C$5:$T$44,$CU7,BJ$57),""),3,1)="隔",IF(BJ$58=0,LEFT(IFERROR(INDEX(醫師週班表!$C$5:$T$44,$CU7,BJ$57),""),1),""),IF(MID(IFERROR(INDEX(醫師週班表!$C$5:$T$44,$CU7,BJ$57),""),2,1)="(",LEFT(IFERROR(INDEX(醫師週班表!$C$5:$T$44,$CU7,BJ$57),""),1),IFERROR(INDEX(醫師週班表!$C$5:$T$44,$CU7,BJ$57),"")))))))</f>
        <v/>
      </c>
      <c r="BK7" s="72">
        <f>IF(BK$59="X","",IF(BK$59&lt;&gt;"",BK$59,IF(IFERROR(INDEX(醫師週班表!$C$5:$T$44,$CU7,BK$57),"")=0,"",IF(MID(IFERROR(INDEX(醫師週班表!$C$5:$T$44,$CU7,BK$57),""),2,1)="/",MID(IFERROR(INDEX(醫師週班表!$C$5:$T$44,$CU7,BK$57),""),1+BK$58*2,1),IF(MID(IFERROR(INDEX(醫師週班表!$C$5:$T$44,$CU7,BK$57),""),3,1)="隔",IF(BK$58=0,LEFT(IFERROR(INDEX(醫師週班表!$C$5:$T$44,$CU7,BK$57),""),1),""),IF(MID(IFERROR(INDEX(醫師週班表!$C$5:$T$44,$CU7,BK$57),""),2,1)="(",LEFT(IFERROR(INDEX(醫師週班表!$C$5:$T$44,$CU7,BK$57),""),1),IFERROR(INDEX(醫師週班表!$C$5:$T$44,$CU7,BK$57),"")))))))</f>
        <v/>
      </c>
      <c r="BL7" s="72">
        <f>IF(BL$59="X","",IF(BL$59&lt;&gt;"",BL$59,IF(IFERROR(INDEX(醫師週班表!$C$5:$T$44,$CU7,BL$57),"")=0,"",IF(MID(IFERROR(INDEX(醫師週班表!$C$5:$T$44,$CU7,BL$57),""),2,1)="/",MID(IFERROR(INDEX(醫師週班表!$C$5:$T$44,$CU7,BL$57),""),1+BL$58*2,1),IF(MID(IFERROR(INDEX(醫師週班表!$C$5:$T$44,$CU7,BL$57),""),3,1)="隔",IF(BL$58=0,LEFT(IFERROR(INDEX(醫師週班表!$C$5:$T$44,$CU7,BL$57),""),1),""),IF(MID(IFERROR(INDEX(醫師週班表!$C$5:$T$44,$CU7,BL$57),""),2,1)="(",LEFT(IFERROR(INDEX(醫師週班表!$C$5:$T$44,$CU7,BL$57),""),1),IFERROR(INDEX(醫師週班表!$C$5:$T$44,$CU7,BL$57),"")))))))</f>
        <v/>
      </c>
      <c r="BM7" s="71">
        <f>IF(BM$59="X","",IF(BM$59&lt;&gt;"",BM$59,IF(IFERROR(INDEX(醫師週班表!$C$5:$T$44,$CU7,BM$57),"")=0,"",IF(MID(IFERROR(INDEX(醫師週班表!$C$5:$T$44,$CU7,BM$57),""),2,1)="/",MID(IFERROR(INDEX(醫師週班表!$C$5:$T$44,$CU7,BM$57),""),1+BM$58*2,1),IF(MID(IFERROR(INDEX(醫師週班表!$C$5:$T$44,$CU7,BM$57),""),3,1)="隔",IF(BM$58=0,LEFT(IFERROR(INDEX(醫師週班表!$C$5:$T$44,$CU7,BM$57),""),1),""),IF(MID(IFERROR(INDEX(醫師週班表!$C$5:$T$44,$CU7,BM$57),""),2,1)="(",LEFT(IFERROR(INDEX(醫師週班表!$C$5:$T$44,$CU7,BM$57),""),1),IFERROR(INDEX(醫師週班表!$C$5:$T$44,$CU7,BM$57),"")))))))</f>
        <v/>
      </c>
      <c r="BN7" s="72">
        <f>IF(BN$59="X","",IF(BN$59&lt;&gt;"",BN$59,IF(IFERROR(INDEX(醫師週班表!$C$5:$T$44,$CU7,BN$57),"")=0,"",IF(MID(IFERROR(INDEX(醫師週班表!$C$5:$T$44,$CU7,BN$57),""),2,1)="/",MID(IFERROR(INDEX(醫師週班表!$C$5:$T$44,$CU7,BN$57),""),1+BN$58*2,1),IF(MID(IFERROR(INDEX(醫師週班表!$C$5:$T$44,$CU7,BN$57),""),3,1)="隔",IF(BN$58=0,LEFT(IFERROR(INDEX(醫師週班表!$C$5:$T$44,$CU7,BN$57),""),1),""),IF(MID(IFERROR(INDEX(醫師週班表!$C$5:$T$44,$CU7,BN$57),""),2,1)="(",LEFT(IFERROR(INDEX(醫師週班表!$C$5:$T$44,$CU7,BN$57),""),1),IFERROR(INDEX(醫師週班表!$C$5:$T$44,$CU7,BN$57),"")))))))</f>
        <v/>
      </c>
      <c r="BO7" s="72">
        <f>IF(BO$59="X","",IF(BO$59&lt;&gt;"",BO$59,IF(IFERROR(INDEX(醫師週班表!$C$5:$T$44,$CU7,BO$57),"")=0,"",IF(MID(IFERROR(INDEX(醫師週班表!$C$5:$T$44,$CU7,BO$57),""),2,1)="/",MID(IFERROR(INDEX(醫師週班表!$C$5:$T$44,$CU7,BO$57),""),1+BO$58*2,1),IF(MID(IFERROR(INDEX(醫師週班表!$C$5:$T$44,$CU7,BO$57),""),3,1)="隔",IF(BO$58=0,LEFT(IFERROR(INDEX(醫師週班表!$C$5:$T$44,$CU7,BO$57),""),1),""),IF(MID(IFERROR(INDEX(醫師週班表!$C$5:$T$44,$CU7,BO$57),""),2,1)="(",LEFT(IFERROR(INDEX(醫師週班表!$C$5:$T$44,$CU7,BO$57),""),1),IFERROR(INDEX(醫師週班表!$C$5:$T$44,$CU7,BO$57),"")))))))</f>
        <v/>
      </c>
      <c r="BP7" s="71">
        <f>IF(BP$59="X","",IF(BP$59&lt;&gt;"",BP$59,IF(IFERROR(INDEX(醫師週班表!$C$5:$T$44,$CU7,BP$57),"")=0,"",IF(MID(IFERROR(INDEX(醫師週班表!$C$5:$T$44,$CU7,BP$57),""),2,1)="/",MID(IFERROR(INDEX(醫師週班表!$C$5:$T$44,$CU7,BP$57),""),1+BP$58*2,1),IF(MID(IFERROR(INDEX(醫師週班表!$C$5:$T$44,$CU7,BP$57),""),3,1)="隔",IF(BP$58=0,LEFT(IFERROR(INDEX(醫師週班表!$C$5:$T$44,$CU7,BP$57),""),1),""),IF(MID(IFERROR(INDEX(醫師週班表!$C$5:$T$44,$CU7,BP$57),""),2,1)="(",LEFT(IFERROR(INDEX(醫師週班表!$C$5:$T$44,$CU7,BP$57),""),1),IFERROR(INDEX(醫師週班表!$C$5:$T$44,$CU7,BP$57),"")))))))</f>
        <v/>
      </c>
      <c r="BQ7" s="72">
        <f>IF(BQ$59="X","",IF(BQ$59&lt;&gt;"",BQ$59,IF(IFERROR(INDEX(醫師週班表!$C$5:$T$44,$CU7,BQ$57),"")=0,"",IF(MID(IFERROR(INDEX(醫師週班表!$C$5:$T$44,$CU7,BQ$57),""),2,1)="/",MID(IFERROR(INDEX(醫師週班表!$C$5:$T$44,$CU7,BQ$57),""),1+BQ$58*2,1),IF(MID(IFERROR(INDEX(醫師週班表!$C$5:$T$44,$CU7,BQ$57),""),3,1)="隔",IF(BQ$58=0,LEFT(IFERROR(INDEX(醫師週班表!$C$5:$T$44,$CU7,BQ$57),""),1),""),IF(MID(IFERROR(INDEX(醫師週班表!$C$5:$T$44,$CU7,BQ$57),""),2,1)="(",LEFT(IFERROR(INDEX(醫師週班表!$C$5:$T$44,$CU7,BQ$57),""),1),IFERROR(INDEX(醫師週班表!$C$5:$T$44,$CU7,BQ$57),"")))))))</f>
        <v/>
      </c>
      <c r="BR7" s="72">
        <f>IF(BR$59="X","",IF(BR$59&lt;&gt;"",BR$59,IF(IFERROR(INDEX(醫師週班表!$C$5:$T$44,$CU7,BR$57),"")=0,"",IF(MID(IFERROR(INDEX(醫師週班表!$C$5:$T$44,$CU7,BR$57),""),2,1)="/",MID(IFERROR(INDEX(醫師週班表!$C$5:$T$44,$CU7,BR$57),""),1+BR$58*2,1),IF(MID(IFERROR(INDEX(醫師週班表!$C$5:$T$44,$CU7,BR$57),""),3,1)="隔",IF(BR$58=0,LEFT(IFERROR(INDEX(醫師週班表!$C$5:$T$44,$CU7,BR$57),""),1),""),IF(MID(IFERROR(INDEX(醫師週班表!$C$5:$T$44,$CU7,BR$57),""),2,1)="(",LEFT(IFERROR(INDEX(醫師週班表!$C$5:$T$44,$CU7,BR$57),""),1),IFERROR(INDEX(醫師週班表!$C$5:$T$44,$CU7,BR$57),"")))))))</f>
        <v/>
      </c>
      <c r="BS7" s="71">
        <f>IF(BS$59="X","",IF(BS$59&lt;&gt;"",BS$59,IF(IFERROR(INDEX(醫師週班表!$C$5:$T$44,$CU7,BS$57),"")=0,"",IF(MID(IFERROR(INDEX(醫師週班表!$C$5:$T$44,$CU7,BS$57),""),2,1)="/",MID(IFERROR(INDEX(醫師週班表!$C$5:$T$44,$CU7,BS$57),""),1+BS$58*2,1),IF(MID(IFERROR(INDEX(醫師週班表!$C$5:$T$44,$CU7,BS$57),""),3,1)="隔",IF(BS$58=0,LEFT(IFERROR(INDEX(醫師週班表!$C$5:$T$44,$CU7,BS$57),""),1),""),IF(MID(IFERROR(INDEX(醫師週班表!$C$5:$T$44,$CU7,BS$57),""),2,1)="(",LEFT(IFERROR(INDEX(醫師週班表!$C$5:$T$44,$CU7,BS$57),""),1),IFERROR(INDEX(醫師週班表!$C$5:$T$44,$CU7,BS$57),"")))))))</f>
        <v/>
      </c>
      <c r="BT7" s="72">
        <f>IF(BT$59="X","",IF(BT$59&lt;&gt;"",BT$59,IF(IFERROR(INDEX(醫師週班表!$C$5:$T$44,$CU7,BT$57),"")=0,"",IF(MID(IFERROR(INDEX(醫師週班表!$C$5:$T$44,$CU7,BT$57),""),2,1)="/",MID(IFERROR(INDEX(醫師週班表!$C$5:$T$44,$CU7,BT$57),""),1+BT$58*2,1),IF(MID(IFERROR(INDEX(醫師週班表!$C$5:$T$44,$CU7,BT$57),""),3,1)="隔",IF(BT$58=0,LEFT(IFERROR(INDEX(醫師週班表!$C$5:$T$44,$CU7,BT$57),""),1),""),IF(MID(IFERROR(INDEX(醫師週班表!$C$5:$T$44,$CU7,BT$57),""),2,1)="(",LEFT(IFERROR(INDEX(醫師週班表!$C$5:$T$44,$CU7,BT$57),""),1),IFERROR(INDEX(醫師週班表!$C$5:$T$44,$CU7,BT$57),"")))))))</f>
        <v/>
      </c>
      <c r="BU7" s="72">
        <f>IF(BU$59="X","",IF(BU$59&lt;&gt;"",BU$59,IF(IFERROR(INDEX(醫師週班表!$C$5:$T$44,$CU7,BU$57),"")=0,"",IF(MID(IFERROR(INDEX(醫師週班表!$C$5:$T$44,$CU7,BU$57),""),2,1)="/",MID(IFERROR(INDEX(醫師週班表!$C$5:$T$44,$CU7,BU$57),""),1+BU$58*2,1),IF(MID(IFERROR(INDEX(醫師週班表!$C$5:$T$44,$CU7,BU$57),""),3,1)="隔",IF(BU$58=0,LEFT(IFERROR(INDEX(醫師週班表!$C$5:$T$44,$CU7,BU$57),""),1),""),IF(MID(IFERROR(INDEX(醫師週班表!$C$5:$T$44,$CU7,BU$57),""),2,1)="(",LEFT(IFERROR(INDEX(醫師週班表!$C$5:$T$44,$CU7,BU$57),""),1),IFERROR(INDEX(醫師週班表!$C$5:$T$44,$CU7,BU$57),"")))))))</f>
        <v/>
      </c>
      <c r="BV7" s="71">
        <f>IF(BV$59="X","",IF(BV$59&lt;&gt;"",BV$59,IF(IFERROR(INDEX(醫師週班表!$C$5:$T$44,$CU7,BV$57),"")=0,"",IF(MID(IFERROR(INDEX(醫師週班表!$C$5:$T$44,$CU7,BV$57),""),2,1)="/",MID(IFERROR(INDEX(醫師週班表!$C$5:$T$44,$CU7,BV$57),""),1+BV$58*2,1),IF(MID(IFERROR(INDEX(醫師週班表!$C$5:$T$44,$CU7,BV$57),""),3,1)="隔",IF(BV$58=0,LEFT(IFERROR(INDEX(醫師週班表!$C$5:$T$44,$CU7,BV$57),""),1),""),IF(MID(IFERROR(INDEX(醫師週班表!$C$5:$T$44,$CU7,BV$57),""),2,1)="(",LEFT(IFERROR(INDEX(醫師週班表!$C$5:$T$44,$CU7,BV$57),""),1),IFERROR(INDEX(醫師週班表!$C$5:$T$44,$CU7,BV$57),"")))))))</f>
        <v/>
      </c>
      <c r="BW7" s="72">
        <f>IF(BW$59="X","",IF(BW$59&lt;&gt;"",BW$59,IF(IFERROR(INDEX(醫師週班表!$C$5:$T$44,$CU7,BW$57),"")=0,"",IF(MID(IFERROR(INDEX(醫師週班表!$C$5:$T$44,$CU7,BW$57),""),2,1)="/",MID(IFERROR(INDEX(醫師週班表!$C$5:$T$44,$CU7,BW$57),""),1+BW$58*2,1),IF(MID(IFERROR(INDEX(醫師週班表!$C$5:$T$44,$CU7,BW$57),""),3,1)="隔",IF(BW$58=0,LEFT(IFERROR(INDEX(醫師週班表!$C$5:$T$44,$CU7,BW$57),""),1),""),IF(MID(IFERROR(INDEX(醫師週班表!$C$5:$T$44,$CU7,BW$57),""),2,1)="(",LEFT(IFERROR(INDEX(醫師週班表!$C$5:$T$44,$CU7,BW$57),""),1),IFERROR(INDEX(醫師週班表!$C$5:$T$44,$CU7,BW$57),"")))))))</f>
        <v/>
      </c>
      <c r="BX7" s="72">
        <f>IF(BX$59="X","",IF(BX$59&lt;&gt;"",BX$59,IF(IFERROR(INDEX(醫師週班表!$C$5:$T$44,$CU7,BX$57),"")=0,"",IF(MID(IFERROR(INDEX(醫師週班表!$C$5:$T$44,$CU7,BX$57),""),2,1)="/",MID(IFERROR(INDEX(醫師週班表!$C$5:$T$44,$CU7,BX$57),""),1+BX$58*2,1),IF(MID(IFERROR(INDEX(醫師週班表!$C$5:$T$44,$CU7,BX$57),""),3,1)="隔",IF(BX$58=0,LEFT(IFERROR(INDEX(醫師週班表!$C$5:$T$44,$CU7,BX$57),""),1),""),IF(MID(IFERROR(INDEX(醫師週班表!$C$5:$T$44,$CU7,BX$57),""),2,1)="(",LEFT(IFERROR(INDEX(醫師週班表!$C$5:$T$44,$CU7,BX$57),""),1),IFERROR(INDEX(醫師週班表!$C$5:$T$44,$CU7,BX$57),"")))))))</f>
        <v/>
      </c>
      <c r="BY7" s="71">
        <f>IF(BY$59="X","",IF(BY$59&lt;&gt;"",BY$59,IF(IFERROR(INDEX(醫師週班表!$C$5:$T$44,$CU7,BY$57),"")=0,"",IF(MID(IFERROR(INDEX(醫師週班表!$C$5:$T$44,$CU7,BY$57),""),2,1)="/",MID(IFERROR(INDEX(醫師週班表!$C$5:$T$44,$CU7,BY$57),""),1+BY$58*2,1),IF(MID(IFERROR(INDEX(醫師週班表!$C$5:$T$44,$CU7,BY$57),""),3,1)="隔",IF(BY$58=0,LEFT(IFERROR(INDEX(醫師週班表!$C$5:$T$44,$CU7,BY$57),""),1),""),IF(MID(IFERROR(INDEX(醫師週班表!$C$5:$T$44,$CU7,BY$57),""),2,1)="(",LEFT(IFERROR(INDEX(醫師週班表!$C$5:$T$44,$CU7,BY$57),""),1),IFERROR(INDEX(醫師週班表!$C$5:$T$44,$CU7,BY$57),"")))))))</f>
        <v/>
      </c>
      <c r="BZ7" s="72">
        <f>IF(BZ$59="X","",IF(BZ$59&lt;&gt;"",BZ$59,IF(IFERROR(INDEX(醫師週班表!$C$5:$T$44,$CU7,BZ$57),"")=0,"",IF(MID(IFERROR(INDEX(醫師週班表!$C$5:$T$44,$CU7,BZ$57),""),2,1)="/",MID(IFERROR(INDEX(醫師週班表!$C$5:$T$44,$CU7,BZ$57),""),1+BZ$58*2,1),IF(MID(IFERROR(INDEX(醫師週班表!$C$5:$T$44,$CU7,BZ$57),""),3,1)="隔",IF(BZ$58=0,LEFT(IFERROR(INDEX(醫師週班表!$C$5:$T$44,$CU7,BZ$57),""),1),""),IF(MID(IFERROR(INDEX(醫師週班表!$C$5:$T$44,$CU7,BZ$57),""),2,1)="(",LEFT(IFERROR(INDEX(醫師週班表!$C$5:$T$44,$CU7,BZ$57),""),1),IFERROR(INDEX(醫師週班表!$C$5:$T$44,$CU7,BZ$57),"")))))))</f>
        <v/>
      </c>
      <c r="CA7" s="72">
        <f>IF(CA$59="X","",IF(CA$59&lt;&gt;"",CA$59,IF(IFERROR(INDEX(醫師週班表!$C$5:$T$44,$CU7,CA$57),"")=0,"",IF(MID(IFERROR(INDEX(醫師週班表!$C$5:$T$44,$CU7,CA$57),""),2,1)="/",MID(IFERROR(INDEX(醫師週班表!$C$5:$T$44,$CU7,CA$57),""),1+CA$58*2,1),IF(MID(IFERROR(INDEX(醫師週班表!$C$5:$T$44,$CU7,CA$57),""),3,1)="隔",IF(CA$58=0,LEFT(IFERROR(INDEX(醫師週班表!$C$5:$T$44,$CU7,CA$57),""),1),""),IF(MID(IFERROR(INDEX(醫師週班表!$C$5:$T$44,$CU7,CA$57),""),2,1)="(",LEFT(IFERROR(INDEX(醫師週班表!$C$5:$T$44,$CU7,CA$57),""),1),IFERROR(INDEX(醫師週班表!$C$5:$T$44,$CU7,CA$57),"")))))))</f>
        <v/>
      </c>
      <c r="CB7" s="71">
        <f>IF(CB$59="X","",IF(CB$59&lt;&gt;"",CB$59,IF(IFERROR(INDEX(醫師週班表!$C$5:$T$44,$CU7,CB$57),"")=0,"",IF(MID(IFERROR(INDEX(醫師週班表!$C$5:$T$44,$CU7,CB$57),""),2,1)="/",MID(IFERROR(INDEX(醫師週班表!$C$5:$T$44,$CU7,CB$57),""),1+CB$58*2,1),IF(MID(IFERROR(INDEX(醫師週班表!$C$5:$T$44,$CU7,CB$57),""),3,1)="隔",IF(CB$58=0,LEFT(IFERROR(INDEX(醫師週班表!$C$5:$T$44,$CU7,CB$57),""),1),""),IF(MID(IFERROR(INDEX(醫師週班表!$C$5:$T$44,$CU7,CB$57),""),2,1)="(",LEFT(IFERROR(INDEX(醫師週班表!$C$5:$T$44,$CU7,CB$57),""),1),IFERROR(INDEX(醫師週班表!$C$5:$T$44,$CU7,CB$57),"")))))))</f>
        <v/>
      </c>
      <c r="CC7" s="72">
        <f>IF(CC$59="X","",IF(CC$59&lt;&gt;"",CC$59,IF(IFERROR(INDEX(醫師週班表!$C$5:$T$44,$CU7,CC$57),"")=0,"",IF(MID(IFERROR(INDEX(醫師週班表!$C$5:$T$44,$CU7,CC$57),""),2,1)="/",MID(IFERROR(INDEX(醫師週班表!$C$5:$T$44,$CU7,CC$57),""),1+CC$58*2,1),IF(MID(IFERROR(INDEX(醫師週班表!$C$5:$T$44,$CU7,CC$57),""),3,1)="隔",IF(CC$58=0,LEFT(IFERROR(INDEX(醫師週班表!$C$5:$T$44,$CU7,CC$57),""),1),""),IF(MID(IFERROR(INDEX(醫師週班表!$C$5:$T$44,$CU7,CC$57),""),2,1)="(",LEFT(IFERROR(INDEX(醫師週班表!$C$5:$T$44,$CU7,CC$57),""),1),IFERROR(INDEX(醫師週班表!$C$5:$T$44,$CU7,CC$57),"")))))))</f>
        <v/>
      </c>
      <c r="CD7" s="72">
        <f>IF(CD$59="X","",IF(CD$59&lt;&gt;"",CD$59,IF(IFERROR(INDEX(醫師週班表!$C$5:$T$44,$CU7,CD$57),"")=0,"",IF(MID(IFERROR(INDEX(醫師週班表!$C$5:$T$44,$CU7,CD$57),""),2,1)="/",MID(IFERROR(INDEX(醫師週班表!$C$5:$T$44,$CU7,CD$57),""),1+CD$58*2,1),IF(MID(IFERROR(INDEX(醫師週班表!$C$5:$T$44,$CU7,CD$57),""),3,1)="隔",IF(CD$58=0,LEFT(IFERROR(INDEX(醫師週班表!$C$5:$T$44,$CU7,CD$57),""),1),""),IF(MID(IFERROR(INDEX(醫師週班表!$C$5:$T$44,$CU7,CD$57),""),2,1)="(",LEFT(IFERROR(INDEX(醫師週班表!$C$5:$T$44,$CU7,CD$57),""),1),IFERROR(INDEX(醫師週班表!$C$5:$T$44,$CU7,CD$57),"")))))))</f>
        <v/>
      </c>
      <c r="CE7" s="71">
        <f>IF(CE$59="X","",IF(CE$59&lt;&gt;"",CE$59,IF(IFERROR(INDEX(醫師週班表!$C$5:$T$44,$CU7,CE$57),"")=0,"",IF(MID(IFERROR(INDEX(醫師週班表!$C$5:$T$44,$CU7,CE$57),""),2,1)="/",MID(IFERROR(INDEX(醫師週班表!$C$5:$T$44,$CU7,CE$57),""),1+CE$58*2,1),IF(MID(IFERROR(INDEX(醫師週班表!$C$5:$T$44,$CU7,CE$57),""),3,1)="隔",IF(CE$58=0,LEFT(IFERROR(INDEX(醫師週班表!$C$5:$T$44,$CU7,CE$57),""),1),""),IF(MID(IFERROR(INDEX(醫師週班表!$C$5:$T$44,$CU7,CE$57),""),2,1)="(",LEFT(IFERROR(INDEX(醫師週班表!$C$5:$T$44,$CU7,CE$57),""),1),IFERROR(INDEX(醫師週班表!$C$5:$T$44,$CU7,CE$57),"")))))))</f>
        <v/>
      </c>
      <c r="CF7" s="72">
        <f>IF(CF$59="X","",IF(CF$59&lt;&gt;"",CF$59,IF(IFERROR(INDEX(醫師週班表!$C$5:$T$44,$CU7,CF$57),"")=0,"",IF(MID(IFERROR(INDEX(醫師週班表!$C$5:$T$44,$CU7,CF$57),""),2,1)="/",MID(IFERROR(INDEX(醫師週班表!$C$5:$T$44,$CU7,CF$57),""),1+CF$58*2,1),IF(MID(IFERROR(INDEX(醫師週班表!$C$5:$T$44,$CU7,CF$57),""),3,1)="隔",IF(CF$58=0,LEFT(IFERROR(INDEX(醫師週班表!$C$5:$T$44,$CU7,CF$57),""),1),""),IF(MID(IFERROR(INDEX(醫師週班表!$C$5:$T$44,$CU7,CF$57),""),2,1)="(",LEFT(IFERROR(INDEX(醫師週班表!$C$5:$T$44,$CU7,CF$57),""),1),IFERROR(INDEX(醫師週班表!$C$5:$T$44,$CU7,CF$57),"")))))))</f>
        <v/>
      </c>
      <c r="CG7" s="72">
        <f>IF(CG$59="X","",IF(CG$59&lt;&gt;"",CG$59,IF(IFERROR(INDEX(醫師週班表!$C$5:$T$44,$CU7,CG$57),"")=0,"",IF(MID(IFERROR(INDEX(醫師週班表!$C$5:$T$44,$CU7,CG$57),""),2,1)="/",MID(IFERROR(INDEX(醫師週班表!$C$5:$T$44,$CU7,CG$57),""),1+CG$58*2,1),IF(MID(IFERROR(INDEX(醫師週班表!$C$5:$T$44,$CU7,CG$57),""),3,1)="隔",IF(CG$58=0,LEFT(IFERROR(INDEX(醫師週班表!$C$5:$T$44,$CU7,CG$57),""),1),""),IF(MID(IFERROR(INDEX(醫師週班表!$C$5:$T$44,$CU7,CG$57),""),2,1)="(",LEFT(IFERROR(INDEX(醫師週班表!$C$5:$T$44,$CU7,CG$57),""),1),IFERROR(INDEX(醫師週班表!$C$5:$T$44,$CU7,CG$57),"")))))))</f>
        <v/>
      </c>
      <c r="CH7" s="71">
        <f>IF(CH$59="X","",IF(CH$59&lt;&gt;"",CH$59,IF(IFERROR(INDEX(醫師週班表!$C$5:$T$44,$CU7,CH$57),"")=0,"",IF(MID(IFERROR(INDEX(醫師週班表!$C$5:$T$44,$CU7,CH$57),""),2,1)="/",MID(IFERROR(INDEX(醫師週班表!$C$5:$T$44,$CU7,CH$57),""),1+CH$58*2,1),IF(MID(IFERROR(INDEX(醫師週班表!$C$5:$T$44,$CU7,CH$57),""),3,1)="隔",IF(CH$58=0,LEFT(IFERROR(INDEX(醫師週班表!$C$5:$T$44,$CU7,CH$57),""),1),""),IF(MID(IFERROR(INDEX(醫師週班表!$C$5:$T$44,$CU7,CH$57),""),2,1)="(",LEFT(IFERROR(INDEX(醫師週班表!$C$5:$T$44,$CU7,CH$57),""),1),IFERROR(INDEX(醫師週班表!$C$5:$T$44,$CU7,CH$57),"")))))))</f>
        <v/>
      </c>
      <c r="CI7" s="72">
        <f>IF(CI$59="X","",IF(CI$59&lt;&gt;"",CI$59,IF(IFERROR(INDEX(醫師週班表!$C$5:$T$44,$CU7,CI$57),"")=0,"",IF(MID(IFERROR(INDEX(醫師週班表!$C$5:$T$44,$CU7,CI$57),""),2,1)="/",MID(IFERROR(INDEX(醫師週班表!$C$5:$T$44,$CU7,CI$57),""),1+CI$58*2,1),IF(MID(IFERROR(INDEX(醫師週班表!$C$5:$T$44,$CU7,CI$57),""),3,1)="隔",IF(CI$58=0,LEFT(IFERROR(INDEX(醫師週班表!$C$5:$T$44,$CU7,CI$57),""),1),""),IF(MID(IFERROR(INDEX(醫師週班表!$C$5:$T$44,$CU7,CI$57),""),2,1)="(",LEFT(IFERROR(INDEX(醫師週班表!$C$5:$T$44,$CU7,CI$57),""),1),IFERROR(INDEX(醫師週班表!$C$5:$T$44,$CU7,CI$57),"")))))))</f>
        <v/>
      </c>
      <c r="CJ7" s="72">
        <f>IF(CJ$59="X","",IF(CJ$59&lt;&gt;"",CJ$59,IF(IFERROR(INDEX(醫師週班表!$C$5:$T$44,$CU7,CJ$57),"")=0,"",IF(MID(IFERROR(INDEX(醫師週班表!$C$5:$T$44,$CU7,CJ$57),""),2,1)="/",MID(IFERROR(INDEX(醫師週班表!$C$5:$T$44,$CU7,CJ$57),""),1+CJ$58*2,1),IF(MID(IFERROR(INDEX(醫師週班表!$C$5:$T$44,$CU7,CJ$57),""),3,1)="隔",IF(CJ$58=0,LEFT(IFERROR(INDEX(醫師週班表!$C$5:$T$44,$CU7,CJ$57),""),1),""),IF(MID(IFERROR(INDEX(醫師週班表!$C$5:$T$44,$CU7,CJ$57),""),2,1)="(",LEFT(IFERROR(INDEX(醫師週班表!$C$5:$T$44,$CU7,CJ$57),""),1),IFERROR(INDEX(醫師週班表!$C$5:$T$44,$CU7,CJ$57),"")))))))</f>
        <v/>
      </c>
      <c r="CK7" s="71">
        <f>IF(CK$59="X","",IF(CK$59&lt;&gt;"",CK$59,IF(IFERROR(INDEX(醫師週班表!$C$5:$T$44,$CU7,CK$57),"")=0,"",IF(MID(IFERROR(INDEX(醫師週班表!$C$5:$T$44,$CU7,CK$57),""),2,1)="/",MID(IFERROR(INDEX(醫師週班表!$C$5:$T$44,$CU7,CK$57),""),1+CK$58*2,1),IF(MID(IFERROR(INDEX(醫師週班表!$C$5:$T$44,$CU7,CK$57),""),3,1)="隔",IF(CK$58=0,LEFT(IFERROR(INDEX(醫師週班表!$C$5:$T$44,$CU7,CK$57),""),1),""),IF(MID(IFERROR(INDEX(醫師週班表!$C$5:$T$44,$CU7,CK$57),""),2,1)="(",LEFT(IFERROR(INDEX(醫師週班表!$C$5:$T$44,$CU7,CK$57),""),1),IFERROR(INDEX(醫師週班表!$C$5:$T$44,$CU7,CK$57),"")))))))</f>
        <v/>
      </c>
      <c r="CL7" s="72">
        <f>IF(CL$59="X","",IF(CL$59&lt;&gt;"",CL$59,IF(IFERROR(INDEX(醫師週班表!$C$5:$T$44,$CU7,CL$57),"")=0,"",IF(MID(IFERROR(INDEX(醫師週班表!$C$5:$T$44,$CU7,CL$57),""),2,1)="/",MID(IFERROR(INDEX(醫師週班表!$C$5:$T$44,$CU7,CL$57),""),1+CL$58*2,1),IF(MID(IFERROR(INDEX(醫師週班表!$C$5:$T$44,$CU7,CL$57),""),3,1)="隔",IF(CL$58=0,LEFT(IFERROR(INDEX(醫師週班表!$C$5:$T$44,$CU7,CL$57),""),1),""),IF(MID(IFERROR(INDEX(醫師週班表!$C$5:$T$44,$CU7,CL$57),""),2,1)="(",LEFT(IFERROR(INDEX(醫師週班表!$C$5:$T$44,$CU7,CL$57),""),1),IFERROR(INDEX(醫師週班表!$C$5:$T$44,$CU7,CL$57),"")))))))</f>
        <v/>
      </c>
      <c r="CM7" s="72">
        <f>IF(CM$59="X","",IF(CM$59&lt;&gt;"",CM$59,IF(IFERROR(INDEX(醫師週班表!$C$5:$T$44,$CU7,CM$57),"")=0,"",IF(MID(IFERROR(INDEX(醫師週班表!$C$5:$T$44,$CU7,CM$57),""),2,1)="/",MID(IFERROR(INDEX(醫師週班表!$C$5:$T$44,$CU7,CM$57),""),1+CM$58*2,1),IF(MID(IFERROR(INDEX(醫師週班表!$C$5:$T$44,$CU7,CM$57),""),3,1)="隔",IF(CM$58=0,LEFT(IFERROR(INDEX(醫師週班表!$C$5:$T$44,$CU7,CM$57),""),1),""),IF(MID(IFERROR(INDEX(醫師週班表!$C$5:$T$44,$CU7,CM$57),""),2,1)="(",LEFT(IFERROR(INDEX(醫師週班表!$C$5:$T$44,$CU7,CM$57),""),1),IFERROR(INDEX(醫師週班表!$C$5:$T$44,$CU7,CM$57),"")))))))</f>
        <v/>
      </c>
      <c r="CN7" s="71">
        <f>IF(CN$59="X","",IF(CN$59&lt;&gt;"",CN$59,IF(IFERROR(INDEX(醫師週班表!$C$5:$T$44,$CU7,CN$57),"")=0,"",IF(MID(IFERROR(INDEX(醫師週班表!$C$5:$T$44,$CU7,CN$57),""),2,1)="/",MID(IFERROR(INDEX(醫師週班表!$C$5:$T$44,$CU7,CN$57),""),1+CN$58*2,1),IF(MID(IFERROR(INDEX(醫師週班表!$C$5:$T$44,$CU7,CN$57),""),3,1)="隔",IF(CN$58=0,LEFT(IFERROR(INDEX(醫師週班表!$C$5:$T$44,$CU7,CN$57),""),1),""),IF(MID(IFERROR(INDEX(醫師週班表!$C$5:$T$44,$CU7,CN$57),""),2,1)="(",LEFT(IFERROR(INDEX(醫師週班表!$C$5:$T$44,$CU7,CN$57),""),1),IFERROR(INDEX(醫師週班表!$C$5:$T$44,$CU7,CN$57),"")))))))</f>
        <v/>
      </c>
      <c r="CO7" s="72">
        <f>IF(CO$59="X","",IF(CO$59&lt;&gt;"",CO$59,IF(IFERROR(INDEX(醫師週班表!$C$5:$T$44,$CU7,CO$57),"")=0,"",IF(MID(IFERROR(INDEX(醫師週班表!$C$5:$T$44,$CU7,CO$57),""),2,1)="/",MID(IFERROR(INDEX(醫師週班表!$C$5:$T$44,$CU7,CO$57),""),1+CO$58*2,1),IF(MID(IFERROR(INDEX(醫師週班表!$C$5:$T$44,$CU7,CO$57),""),3,1)="隔",IF(CO$58=0,LEFT(IFERROR(INDEX(醫師週班表!$C$5:$T$44,$CU7,CO$57),""),1),""),IF(MID(IFERROR(INDEX(醫師週班表!$C$5:$T$44,$CU7,CO$57),""),2,1)="(",LEFT(IFERROR(INDEX(醫師週班表!$C$5:$T$44,$CU7,CO$57),""),1),IFERROR(INDEX(醫師週班表!$C$5:$T$44,$CU7,CO$57),"")))))))</f>
        <v/>
      </c>
      <c r="CP7" s="72">
        <f>IF(CP$59="X","",IF(CP$59&lt;&gt;"",CP$59,IF(IFERROR(INDEX(醫師週班表!$C$5:$T$44,$CU7,CP$57),"")=0,"",IF(MID(IFERROR(INDEX(醫師週班表!$C$5:$T$44,$CU7,CP$57),""),2,1)="/",MID(IFERROR(INDEX(醫師週班表!$C$5:$T$44,$CU7,CP$57),""),1+CP$58*2,1),IF(MID(IFERROR(INDEX(醫師週班表!$C$5:$T$44,$CU7,CP$57),""),3,1)="隔",IF(CP$58=0,LEFT(IFERROR(INDEX(醫師週班表!$C$5:$T$44,$CU7,CP$57),""),1),""),IF(MID(IFERROR(INDEX(醫師週班表!$C$5:$T$44,$CU7,CP$57),""),2,1)="(",LEFT(IFERROR(INDEX(醫師週班表!$C$5:$T$44,$CU7,CP$57),""),1),IFERROR(INDEX(醫師週班表!$C$5:$T$44,$CU7,CP$57),"")))))))</f>
        <v/>
      </c>
      <c r="CQ7" s="71">
        <f>IF(CQ$59="X","",IF(CQ$59&lt;&gt;"",CQ$59,IF(IFERROR(INDEX(醫師週班表!$C$5:$T$44,$CU7,CQ$57),"")=0,"",IF(MID(IFERROR(INDEX(醫師週班表!$C$5:$T$44,$CU7,CQ$57),""),2,1)="/",MID(IFERROR(INDEX(醫師週班表!$C$5:$T$44,$CU7,CQ$57),""),1+CQ$58*2,1),IF(MID(IFERROR(INDEX(醫師週班表!$C$5:$T$44,$CU7,CQ$57),""),3,1)="隔",IF(CQ$58=0,LEFT(IFERROR(INDEX(醫師週班表!$C$5:$T$44,$CU7,CQ$57),""),1),""),IF(MID(IFERROR(INDEX(醫師週班表!$C$5:$T$44,$CU7,CQ$57),""),2,1)="(",LEFT(IFERROR(INDEX(醫師週班表!$C$5:$T$44,$CU7,CQ$57),""),1),IFERROR(INDEX(醫師週班表!$C$5:$T$44,$CU7,CQ$57),"")))))))</f>
        <v/>
      </c>
      <c r="CR7" s="72">
        <f>IF(CR$59="X","",IF(CR$59&lt;&gt;"",CR$59,IF(IFERROR(INDEX(醫師週班表!$C$5:$T$44,$CU7,CR$57),"")=0,"",IF(MID(IFERROR(INDEX(醫師週班表!$C$5:$T$44,$CU7,CR$57),""),2,1)="/",MID(IFERROR(INDEX(醫師週班表!$C$5:$T$44,$CU7,CR$57),""),1+CR$58*2,1),IF(MID(IFERROR(INDEX(醫師週班表!$C$5:$T$44,$CU7,CR$57),""),3,1)="隔",IF(CR$58=0,LEFT(IFERROR(INDEX(醫師週班表!$C$5:$T$44,$CU7,CR$57),""),1),""),IF(MID(IFERROR(INDEX(醫師週班表!$C$5:$T$44,$CU7,CR$57),""),2,1)="(",LEFT(IFERROR(INDEX(醫師週班表!$C$5:$T$44,$CU7,CR$57),""),1),IFERROR(INDEX(醫師週班表!$C$5:$T$44,$CU7,CR$57),"")))))))</f>
        <v/>
      </c>
      <c r="CS7" s="72">
        <f>IF(CS$59="X","",IF(CS$59&lt;&gt;"",CS$59,IF(IFERROR(INDEX(醫師週班表!$C$5:$T$44,$CU7,CS$57),"")=0,"",IF(MID(IFERROR(INDEX(醫師週班表!$C$5:$T$44,$CU7,CS$57),""),2,1)="/",MID(IFERROR(INDEX(醫師週班表!$C$5:$T$44,$CU7,CS$57),""),1+CS$58*2,1),IF(MID(IFERROR(INDEX(醫師週班表!$C$5:$T$44,$CU7,CS$57),""),3,1)="隔",IF(CS$58=0,LEFT(IFERROR(INDEX(醫師週班表!$C$5:$T$44,$CU7,CS$57),""),1),""),IF(MID(IFERROR(INDEX(醫師週班表!$C$5:$T$44,$CU7,CS$57),""),2,1)="(",LEFT(IFERROR(INDEX(醫師週班表!$C$5:$T$44,$CU7,CS$57),""),1),IFERROR(INDEX(醫師週班表!$C$5:$T$44,$CU7,CS$57),"")))))))</f>
        <v/>
      </c>
      <c r="CU7" s="73">
        <f>IFERROR(MATCH($A7,醫師週班表!$A$5:$A$44,0),0)</f>
        <v/>
      </c>
    </row>
    <row r="8" ht="17" customHeight="1">
      <c r="A8" s="19" t="inlineStr">
        <is>
          <t>D003</t>
        </is>
      </c>
      <c r="B8" s="16" t="inlineStr">
        <is>
          <t>王泳泉</t>
        </is>
      </c>
      <c r="C8" s="70" t="inlineStr">
        <is>
          <t>矯正專科</t>
        </is>
      </c>
      <c r="D8" s="16" t="inlineStr"/>
      <c r="E8" s="71">
        <f>IF(E$59="X","",IF(E$59&lt;&gt;"",E$59,IF(IFERROR(INDEX(醫師週班表!$C$5:$T$44,$CU8,E$57),"")=0,"",IF(MID(IFERROR(INDEX(醫師週班表!$C$5:$T$44,$CU8,E$57),""),2,1)="/",MID(IFERROR(INDEX(醫師週班表!$C$5:$T$44,$CU8,E$57),""),1+E$58*2,1),IF(MID(IFERROR(INDEX(醫師週班表!$C$5:$T$44,$CU8,E$57),""),3,1)="隔",IF(E$58=0,LEFT(IFERROR(INDEX(醫師週班表!$C$5:$T$44,$CU8,E$57),""),1),""),IF(MID(IFERROR(INDEX(醫師週班表!$C$5:$T$44,$CU8,E$57),""),2,1)="(",LEFT(IFERROR(INDEX(醫師週班表!$C$5:$T$44,$CU8,E$57),""),1),IFERROR(INDEX(醫師週班表!$C$5:$T$44,$CU8,E$57),"")))))))</f>
        <v/>
      </c>
      <c r="F8" s="72">
        <f>IF(F$59="X","",IF(F$59&lt;&gt;"",F$59,IF(IFERROR(INDEX(醫師週班表!$C$5:$T$44,$CU8,F$57),"")=0,"",IF(MID(IFERROR(INDEX(醫師週班表!$C$5:$T$44,$CU8,F$57),""),2,1)="/",MID(IFERROR(INDEX(醫師週班表!$C$5:$T$44,$CU8,F$57),""),1+F$58*2,1),IF(MID(IFERROR(INDEX(醫師週班表!$C$5:$T$44,$CU8,F$57),""),3,1)="隔",IF(F$58=0,LEFT(IFERROR(INDEX(醫師週班表!$C$5:$T$44,$CU8,F$57),""),1),""),IF(MID(IFERROR(INDEX(醫師週班表!$C$5:$T$44,$CU8,F$57),""),2,1)="(",LEFT(IFERROR(INDEX(醫師週班表!$C$5:$T$44,$CU8,F$57),""),1),IFERROR(INDEX(醫師週班表!$C$5:$T$44,$CU8,F$57),"")))))))</f>
        <v/>
      </c>
      <c r="G8" s="72">
        <f>IF(G$59="X","",IF(G$59&lt;&gt;"",G$59,IF(IFERROR(INDEX(醫師週班表!$C$5:$T$44,$CU8,G$57),"")=0,"",IF(MID(IFERROR(INDEX(醫師週班表!$C$5:$T$44,$CU8,G$57),""),2,1)="/",MID(IFERROR(INDEX(醫師週班表!$C$5:$T$44,$CU8,G$57),""),1+G$58*2,1),IF(MID(IFERROR(INDEX(醫師週班表!$C$5:$T$44,$CU8,G$57),""),3,1)="隔",IF(G$58=0,LEFT(IFERROR(INDEX(醫師週班表!$C$5:$T$44,$CU8,G$57),""),1),""),IF(MID(IFERROR(INDEX(醫師週班表!$C$5:$T$44,$CU8,G$57),""),2,1)="(",LEFT(IFERROR(INDEX(醫師週班表!$C$5:$T$44,$CU8,G$57),""),1),IFERROR(INDEX(醫師週班表!$C$5:$T$44,$CU8,G$57),"")))))))</f>
        <v/>
      </c>
      <c r="H8" s="71">
        <f>IF(H$59="X","",IF(H$59&lt;&gt;"",H$59,IF(IFERROR(INDEX(醫師週班表!$C$5:$T$44,$CU8,H$57),"")=0,"",IF(MID(IFERROR(INDEX(醫師週班表!$C$5:$T$44,$CU8,H$57),""),2,1)="/",MID(IFERROR(INDEX(醫師週班表!$C$5:$T$44,$CU8,H$57),""),1+H$58*2,1),IF(MID(IFERROR(INDEX(醫師週班表!$C$5:$T$44,$CU8,H$57),""),3,1)="隔",IF(H$58=0,LEFT(IFERROR(INDEX(醫師週班表!$C$5:$T$44,$CU8,H$57),""),1),""),IF(MID(IFERROR(INDEX(醫師週班表!$C$5:$T$44,$CU8,H$57),""),2,1)="(",LEFT(IFERROR(INDEX(醫師週班表!$C$5:$T$44,$CU8,H$57),""),1),IFERROR(INDEX(醫師週班表!$C$5:$T$44,$CU8,H$57),"")))))))</f>
        <v/>
      </c>
      <c r="I8" s="72">
        <f>IF(I$59="X","",IF(I$59&lt;&gt;"",I$59,IF(IFERROR(INDEX(醫師週班表!$C$5:$T$44,$CU8,I$57),"")=0,"",IF(MID(IFERROR(INDEX(醫師週班表!$C$5:$T$44,$CU8,I$57),""),2,1)="/",MID(IFERROR(INDEX(醫師週班表!$C$5:$T$44,$CU8,I$57),""),1+I$58*2,1),IF(MID(IFERROR(INDEX(醫師週班表!$C$5:$T$44,$CU8,I$57),""),3,1)="隔",IF(I$58=0,LEFT(IFERROR(INDEX(醫師週班表!$C$5:$T$44,$CU8,I$57),""),1),""),IF(MID(IFERROR(INDEX(醫師週班表!$C$5:$T$44,$CU8,I$57),""),2,1)="(",LEFT(IFERROR(INDEX(醫師週班表!$C$5:$T$44,$CU8,I$57),""),1),IFERROR(INDEX(醫師週班表!$C$5:$T$44,$CU8,I$57),"")))))))</f>
        <v/>
      </c>
      <c r="J8" s="72">
        <f>IF(J$59="X","",IF(J$59&lt;&gt;"",J$59,IF(IFERROR(INDEX(醫師週班表!$C$5:$T$44,$CU8,J$57),"")=0,"",IF(MID(IFERROR(INDEX(醫師週班表!$C$5:$T$44,$CU8,J$57),""),2,1)="/",MID(IFERROR(INDEX(醫師週班表!$C$5:$T$44,$CU8,J$57),""),1+J$58*2,1),IF(MID(IFERROR(INDEX(醫師週班表!$C$5:$T$44,$CU8,J$57),""),3,1)="隔",IF(J$58=0,LEFT(IFERROR(INDEX(醫師週班表!$C$5:$T$44,$CU8,J$57),""),1),""),IF(MID(IFERROR(INDEX(醫師週班表!$C$5:$T$44,$CU8,J$57),""),2,1)="(",LEFT(IFERROR(INDEX(醫師週班表!$C$5:$T$44,$CU8,J$57),""),1),IFERROR(INDEX(醫師週班表!$C$5:$T$44,$CU8,J$57),"")))))))</f>
        <v/>
      </c>
      <c r="K8" s="71">
        <f>IF(K$59="X","",IF(K$59&lt;&gt;"",K$59,IF(IFERROR(INDEX(醫師週班表!$C$5:$T$44,$CU8,K$57),"")=0,"",IF(MID(IFERROR(INDEX(醫師週班表!$C$5:$T$44,$CU8,K$57),""),2,1)="/",MID(IFERROR(INDEX(醫師週班表!$C$5:$T$44,$CU8,K$57),""),1+K$58*2,1),IF(MID(IFERROR(INDEX(醫師週班表!$C$5:$T$44,$CU8,K$57),""),3,1)="隔",IF(K$58=0,LEFT(IFERROR(INDEX(醫師週班表!$C$5:$T$44,$CU8,K$57),""),1),""),IF(MID(IFERROR(INDEX(醫師週班表!$C$5:$T$44,$CU8,K$57),""),2,1)="(",LEFT(IFERROR(INDEX(醫師週班表!$C$5:$T$44,$CU8,K$57),""),1),IFERROR(INDEX(醫師週班表!$C$5:$T$44,$CU8,K$57),"")))))))</f>
        <v/>
      </c>
      <c r="L8" s="72">
        <f>IF(L$59="X","",IF(L$59&lt;&gt;"",L$59,IF(IFERROR(INDEX(醫師週班表!$C$5:$T$44,$CU8,L$57),"")=0,"",IF(MID(IFERROR(INDEX(醫師週班表!$C$5:$T$44,$CU8,L$57),""),2,1)="/",MID(IFERROR(INDEX(醫師週班表!$C$5:$T$44,$CU8,L$57),""),1+L$58*2,1),IF(MID(IFERROR(INDEX(醫師週班表!$C$5:$T$44,$CU8,L$57),""),3,1)="隔",IF(L$58=0,LEFT(IFERROR(INDEX(醫師週班表!$C$5:$T$44,$CU8,L$57),""),1),""),IF(MID(IFERROR(INDEX(醫師週班表!$C$5:$T$44,$CU8,L$57),""),2,1)="(",LEFT(IFERROR(INDEX(醫師週班表!$C$5:$T$44,$CU8,L$57),""),1),IFERROR(INDEX(醫師週班表!$C$5:$T$44,$CU8,L$57),"")))))))</f>
        <v/>
      </c>
      <c r="M8" s="72">
        <f>IF(M$59="X","",IF(M$59&lt;&gt;"",M$59,IF(IFERROR(INDEX(醫師週班表!$C$5:$T$44,$CU8,M$57),"")=0,"",IF(MID(IFERROR(INDEX(醫師週班表!$C$5:$T$44,$CU8,M$57),""),2,1)="/",MID(IFERROR(INDEX(醫師週班表!$C$5:$T$44,$CU8,M$57),""),1+M$58*2,1),IF(MID(IFERROR(INDEX(醫師週班表!$C$5:$T$44,$CU8,M$57),""),3,1)="隔",IF(M$58=0,LEFT(IFERROR(INDEX(醫師週班表!$C$5:$T$44,$CU8,M$57),""),1),""),IF(MID(IFERROR(INDEX(醫師週班表!$C$5:$T$44,$CU8,M$57),""),2,1)="(",LEFT(IFERROR(INDEX(醫師週班表!$C$5:$T$44,$CU8,M$57),""),1),IFERROR(INDEX(醫師週班表!$C$5:$T$44,$CU8,M$57),"")))))))</f>
        <v/>
      </c>
      <c r="N8" s="71">
        <f>IF(N$59="X","",IF(N$59&lt;&gt;"",N$59,IF(IFERROR(INDEX(醫師週班表!$C$5:$T$44,$CU8,N$57),"")=0,"",IF(MID(IFERROR(INDEX(醫師週班表!$C$5:$T$44,$CU8,N$57),""),2,1)="/",MID(IFERROR(INDEX(醫師週班表!$C$5:$T$44,$CU8,N$57),""),1+N$58*2,1),IF(MID(IFERROR(INDEX(醫師週班表!$C$5:$T$44,$CU8,N$57),""),3,1)="隔",IF(N$58=0,LEFT(IFERROR(INDEX(醫師週班表!$C$5:$T$44,$CU8,N$57),""),1),""),IF(MID(IFERROR(INDEX(醫師週班表!$C$5:$T$44,$CU8,N$57),""),2,1)="(",LEFT(IFERROR(INDEX(醫師週班表!$C$5:$T$44,$CU8,N$57),""),1),IFERROR(INDEX(醫師週班表!$C$5:$T$44,$CU8,N$57),"")))))))</f>
        <v/>
      </c>
      <c r="O8" s="72">
        <f>IF(O$59="X","",IF(O$59&lt;&gt;"",O$59,IF(IFERROR(INDEX(醫師週班表!$C$5:$T$44,$CU8,O$57),"")=0,"",IF(MID(IFERROR(INDEX(醫師週班表!$C$5:$T$44,$CU8,O$57),""),2,1)="/",MID(IFERROR(INDEX(醫師週班表!$C$5:$T$44,$CU8,O$57),""),1+O$58*2,1),IF(MID(IFERROR(INDEX(醫師週班表!$C$5:$T$44,$CU8,O$57),""),3,1)="隔",IF(O$58=0,LEFT(IFERROR(INDEX(醫師週班表!$C$5:$T$44,$CU8,O$57),""),1),""),IF(MID(IFERROR(INDEX(醫師週班表!$C$5:$T$44,$CU8,O$57),""),2,1)="(",LEFT(IFERROR(INDEX(醫師週班表!$C$5:$T$44,$CU8,O$57),""),1),IFERROR(INDEX(醫師週班表!$C$5:$T$44,$CU8,O$57),"")))))))</f>
        <v/>
      </c>
      <c r="P8" s="72">
        <f>IF(P$59="X","",IF(P$59&lt;&gt;"",P$59,IF(IFERROR(INDEX(醫師週班表!$C$5:$T$44,$CU8,P$57),"")=0,"",IF(MID(IFERROR(INDEX(醫師週班表!$C$5:$T$44,$CU8,P$57),""),2,1)="/",MID(IFERROR(INDEX(醫師週班表!$C$5:$T$44,$CU8,P$57),""),1+P$58*2,1),IF(MID(IFERROR(INDEX(醫師週班表!$C$5:$T$44,$CU8,P$57),""),3,1)="隔",IF(P$58=0,LEFT(IFERROR(INDEX(醫師週班表!$C$5:$T$44,$CU8,P$57),""),1),""),IF(MID(IFERROR(INDEX(醫師週班表!$C$5:$T$44,$CU8,P$57),""),2,1)="(",LEFT(IFERROR(INDEX(醫師週班表!$C$5:$T$44,$CU8,P$57),""),1),IFERROR(INDEX(醫師週班表!$C$5:$T$44,$CU8,P$57),"")))))))</f>
        <v/>
      </c>
      <c r="Q8" s="71">
        <f>IF(Q$59="X","",IF(Q$59&lt;&gt;"",Q$59,IF(IFERROR(INDEX(醫師週班表!$C$5:$T$44,$CU8,Q$57),"")=0,"",IF(MID(IFERROR(INDEX(醫師週班表!$C$5:$T$44,$CU8,Q$57),""),2,1)="/",MID(IFERROR(INDEX(醫師週班表!$C$5:$T$44,$CU8,Q$57),""),1+Q$58*2,1),IF(MID(IFERROR(INDEX(醫師週班表!$C$5:$T$44,$CU8,Q$57),""),3,1)="隔",IF(Q$58=0,LEFT(IFERROR(INDEX(醫師週班表!$C$5:$T$44,$CU8,Q$57),""),1),""),IF(MID(IFERROR(INDEX(醫師週班表!$C$5:$T$44,$CU8,Q$57),""),2,1)="(",LEFT(IFERROR(INDEX(醫師週班表!$C$5:$T$44,$CU8,Q$57),""),1),IFERROR(INDEX(醫師週班表!$C$5:$T$44,$CU8,Q$57),"")))))))</f>
        <v/>
      </c>
      <c r="R8" s="72">
        <f>IF(R$59="X","",IF(R$59&lt;&gt;"",R$59,IF(IFERROR(INDEX(醫師週班表!$C$5:$T$44,$CU8,R$57),"")=0,"",IF(MID(IFERROR(INDEX(醫師週班表!$C$5:$T$44,$CU8,R$57),""),2,1)="/",MID(IFERROR(INDEX(醫師週班表!$C$5:$T$44,$CU8,R$57),""),1+R$58*2,1),IF(MID(IFERROR(INDEX(醫師週班表!$C$5:$T$44,$CU8,R$57),""),3,1)="隔",IF(R$58=0,LEFT(IFERROR(INDEX(醫師週班表!$C$5:$T$44,$CU8,R$57),""),1),""),IF(MID(IFERROR(INDEX(醫師週班表!$C$5:$T$44,$CU8,R$57),""),2,1)="(",LEFT(IFERROR(INDEX(醫師週班表!$C$5:$T$44,$CU8,R$57),""),1),IFERROR(INDEX(醫師週班表!$C$5:$T$44,$CU8,R$57),"")))))))</f>
        <v/>
      </c>
      <c r="S8" s="72">
        <f>IF(S$59="X","",IF(S$59&lt;&gt;"",S$59,IF(IFERROR(INDEX(醫師週班表!$C$5:$T$44,$CU8,S$57),"")=0,"",IF(MID(IFERROR(INDEX(醫師週班表!$C$5:$T$44,$CU8,S$57),""),2,1)="/",MID(IFERROR(INDEX(醫師週班表!$C$5:$T$44,$CU8,S$57),""),1+S$58*2,1),IF(MID(IFERROR(INDEX(醫師週班表!$C$5:$T$44,$CU8,S$57),""),3,1)="隔",IF(S$58=0,LEFT(IFERROR(INDEX(醫師週班表!$C$5:$T$44,$CU8,S$57),""),1),""),IF(MID(IFERROR(INDEX(醫師週班表!$C$5:$T$44,$CU8,S$57),""),2,1)="(",LEFT(IFERROR(INDEX(醫師週班表!$C$5:$T$44,$CU8,S$57),""),1),IFERROR(INDEX(醫師週班表!$C$5:$T$44,$CU8,S$57),"")))))))</f>
        <v/>
      </c>
      <c r="T8" s="71">
        <f>IF(T$59="X","",IF(T$59&lt;&gt;"",T$59,IF(IFERROR(INDEX(醫師週班表!$C$5:$T$44,$CU8,T$57),"")=0,"",IF(MID(IFERROR(INDEX(醫師週班表!$C$5:$T$44,$CU8,T$57),""),2,1)="/",MID(IFERROR(INDEX(醫師週班表!$C$5:$T$44,$CU8,T$57),""),1+T$58*2,1),IF(MID(IFERROR(INDEX(醫師週班表!$C$5:$T$44,$CU8,T$57),""),3,1)="隔",IF(T$58=0,LEFT(IFERROR(INDEX(醫師週班表!$C$5:$T$44,$CU8,T$57),""),1),""),IF(MID(IFERROR(INDEX(醫師週班表!$C$5:$T$44,$CU8,T$57),""),2,1)="(",LEFT(IFERROR(INDEX(醫師週班表!$C$5:$T$44,$CU8,T$57),""),1),IFERROR(INDEX(醫師週班表!$C$5:$T$44,$CU8,T$57),"")))))))</f>
        <v/>
      </c>
      <c r="U8" s="72">
        <f>IF(U$59="X","",IF(U$59&lt;&gt;"",U$59,IF(IFERROR(INDEX(醫師週班表!$C$5:$T$44,$CU8,U$57),"")=0,"",IF(MID(IFERROR(INDEX(醫師週班表!$C$5:$T$44,$CU8,U$57),""),2,1)="/",MID(IFERROR(INDEX(醫師週班表!$C$5:$T$44,$CU8,U$57),""),1+U$58*2,1),IF(MID(IFERROR(INDEX(醫師週班表!$C$5:$T$44,$CU8,U$57),""),3,1)="隔",IF(U$58=0,LEFT(IFERROR(INDEX(醫師週班表!$C$5:$T$44,$CU8,U$57),""),1),""),IF(MID(IFERROR(INDEX(醫師週班表!$C$5:$T$44,$CU8,U$57),""),2,1)="(",LEFT(IFERROR(INDEX(醫師週班表!$C$5:$T$44,$CU8,U$57),""),1),IFERROR(INDEX(醫師週班表!$C$5:$T$44,$CU8,U$57),"")))))))</f>
        <v/>
      </c>
      <c r="V8" s="72">
        <f>IF(V$59="X","",IF(V$59&lt;&gt;"",V$59,IF(IFERROR(INDEX(醫師週班表!$C$5:$T$44,$CU8,V$57),"")=0,"",IF(MID(IFERROR(INDEX(醫師週班表!$C$5:$T$44,$CU8,V$57),""),2,1)="/",MID(IFERROR(INDEX(醫師週班表!$C$5:$T$44,$CU8,V$57),""),1+V$58*2,1),IF(MID(IFERROR(INDEX(醫師週班表!$C$5:$T$44,$CU8,V$57),""),3,1)="隔",IF(V$58=0,LEFT(IFERROR(INDEX(醫師週班表!$C$5:$T$44,$CU8,V$57),""),1),""),IF(MID(IFERROR(INDEX(醫師週班表!$C$5:$T$44,$CU8,V$57),""),2,1)="(",LEFT(IFERROR(INDEX(醫師週班表!$C$5:$T$44,$CU8,V$57),""),1),IFERROR(INDEX(醫師週班表!$C$5:$T$44,$CU8,V$57),"")))))))</f>
        <v/>
      </c>
      <c r="W8" s="71">
        <f>IF(W$59="X","",IF(W$59&lt;&gt;"",W$59,IF(IFERROR(INDEX(醫師週班表!$C$5:$T$44,$CU8,W$57),"")=0,"",IF(MID(IFERROR(INDEX(醫師週班表!$C$5:$T$44,$CU8,W$57),""),2,1)="/",MID(IFERROR(INDEX(醫師週班表!$C$5:$T$44,$CU8,W$57),""),1+W$58*2,1),IF(MID(IFERROR(INDEX(醫師週班表!$C$5:$T$44,$CU8,W$57),""),3,1)="隔",IF(W$58=0,LEFT(IFERROR(INDEX(醫師週班表!$C$5:$T$44,$CU8,W$57),""),1),""),IF(MID(IFERROR(INDEX(醫師週班表!$C$5:$T$44,$CU8,W$57),""),2,1)="(",LEFT(IFERROR(INDEX(醫師週班表!$C$5:$T$44,$CU8,W$57),""),1),IFERROR(INDEX(醫師週班表!$C$5:$T$44,$CU8,W$57),"")))))))</f>
        <v/>
      </c>
      <c r="X8" s="72">
        <f>IF(X$59="X","",IF(X$59&lt;&gt;"",X$59,IF(IFERROR(INDEX(醫師週班表!$C$5:$T$44,$CU8,X$57),"")=0,"",IF(MID(IFERROR(INDEX(醫師週班表!$C$5:$T$44,$CU8,X$57),""),2,1)="/",MID(IFERROR(INDEX(醫師週班表!$C$5:$T$44,$CU8,X$57),""),1+X$58*2,1),IF(MID(IFERROR(INDEX(醫師週班表!$C$5:$T$44,$CU8,X$57),""),3,1)="隔",IF(X$58=0,LEFT(IFERROR(INDEX(醫師週班表!$C$5:$T$44,$CU8,X$57),""),1),""),IF(MID(IFERROR(INDEX(醫師週班表!$C$5:$T$44,$CU8,X$57),""),2,1)="(",LEFT(IFERROR(INDEX(醫師週班表!$C$5:$T$44,$CU8,X$57),""),1),IFERROR(INDEX(醫師週班表!$C$5:$T$44,$CU8,X$57),"")))))))</f>
        <v/>
      </c>
      <c r="Y8" s="72">
        <f>IF(Y$59="X","",IF(Y$59&lt;&gt;"",Y$59,IF(IFERROR(INDEX(醫師週班表!$C$5:$T$44,$CU8,Y$57),"")=0,"",IF(MID(IFERROR(INDEX(醫師週班表!$C$5:$T$44,$CU8,Y$57),""),2,1)="/",MID(IFERROR(INDEX(醫師週班表!$C$5:$T$44,$CU8,Y$57),""),1+Y$58*2,1),IF(MID(IFERROR(INDEX(醫師週班表!$C$5:$T$44,$CU8,Y$57),""),3,1)="隔",IF(Y$58=0,LEFT(IFERROR(INDEX(醫師週班表!$C$5:$T$44,$CU8,Y$57),""),1),""),IF(MID(IFERROR(INDEX(醫師週班表!$C$5:$T$44,$CU8,Y$57),""),2,1)="(",LEFT(IFERROR(INDEX(醫師週班表!$C$5:$T$44,$CU8,Y$57),""),1),IFERROR(INDEX(醫師週班表!$C$5:$T$44,$CU8,Y$57),"")))))))</f>
        <v/>
      </c>
      <c r="Z8" s="71">
        <f>IF(Z$59="X","",IF(Z$59&lt;&gt;"",Z$59,IF(IFERROR(INDEX(醫師週班表!$C$5:$T$44,$CU8,Z$57),"")=0,"",IF(MID(IFERROR(INDEX(醫師週班表!$C$5:$T$44,$CU8,Z$57),""),2,1)="/",MID(IFERROR(INDEX(醫師週班表!$C$5:$T$44,$CU8,Z$57),""),1+Z$58*2,1),IF(MID(IFERROR(INDEX(醫師週班表!$C$5:$T$44,$CU8,Z$57),""),3,1)="隔",IF(Z$58=0,LEFT(IFERROR(INDEX(醫師週班表!$C$5:$T$44,$CU8,Z$57),""),1),""),IF(MID(IFERROR(INDEX(醫師週班表!$C$5:$T$44,$CU8,Z$57),""),2,1)="(",LEFT(IFERROR(INDEX(醫師週班表!$C$5:$T$44,$CU8,Z$57),""),1),IFERROR(INDEX(醫師週班表!$C$5:$T$44,$CU8,Z$57),"")))))))</f>
        <v/>
      </c>
      <c r="AA8" s="72">
        <f>IF(AA$59="X","",IF(AA$59&lt;&gt;"",AA$59,IF(IFERROR(INDEX(醫師週班表!$C$5:$T$44,$CU8,AA$57),"")=0,"",IF(MID(IFERROR(INDEX(醫師週班表!$C$5:$T$44,$CU8,AA$57),""),2,1)="/",MID(IFERROR(INDEX(醫師週班表!$C$5:$T$44,$CU8,AA$57),""),1+AA$58*2,1),IF(MID(IFERROR(INDEX(醫師週班表!$C$5:$T$44,$CU8,AA$57),""),3,1)="隔",IF(AA$58=0,LEFT(IFERROR(INDEX(醫師週班表!$C$5:$T$44,$CU8,AA$57),""),1),""),IF(MID(IFERROR(INDEX(醫師週班表!$C$5:$T$44,$CU8,AA$57),""),2,1)="(",LEFT(IFERROR(INDEX(醫師週班表!$C$5:$T$44,$CU8,AA$57),""),1),IFERROR(INDEX(醫師週班表!$C$5:$T$44,$CU8,AA$57),"")))))))</f>
        <v/>
      </c>
      <c r="AB8" s="72">
        <f>IF(AB$59="X","",IF(AB$59&lt;&gt;"",AB$59,IF(IFERROR(INDEX(醫師週班表!$C$5:$T$44,$CU8,AB$57),"")=0,"",IF(MID(IFERROR(INDEX(醫師週班表!$C$5:$T$44,$CU8,AB$57),""),2,1)="/",MID(IFERROR(INDEX(醫師週班表!$C$5:$T$44,$CU8,AB$57),""),1+AB$58*2,1),IF(MID(IFERROR(INDEX(醫師週班表!$C$5:$T$44,$CU8,AB$57),""),3,1)="隔",IF(AB$58=0,LEFT(IFERROR(INDEX(醫師週班表!$C$5:$T$44,$CU8,AB$57),""),1),""),IF(MID(IFERROR(INDEX(醫師週班表!$C$5:$T$44,$CU8,AB$57),""),2,1)="(",LEFT(IFERROR(INDEX(醫師週班表!$C$5:$T$44,$CU8,AB$57),""),1),IFERROR(INDEX(醫師週班表!$C$5:$T$44,$CU8,AB$57),"")))))))</f>
        <v/>
      </c>
      <c r="AC8" s="71">
        <f>IF(AC$59="X","",IF(AC$59&lt;&gt;"",AC$59,IF(IFERROR(INDEX(醫師週班表!$C$5:$T$44,$CU8,AC$57),"")=0,"",IF(MID(IFERROR(INDEX(醫師週班表!$C$5:$T$44,$CU8,AC$57),""),2,1)="/",MID(IFERROR(INDEX(醫師週班表!$C$5:$T$44,$CU8,AC$57),""),1+AC$58*2,1),IF(MID(IFERROR(INDEX(醫師週班表!$C$5:$T$44,$CU8,AC$57),""),3,1)="隔",IF(AC$58=0,LEFT(IFERROR(INDEX(醫師週班表!$C$5:$T$44,$CU8,AC$57),""),1),""),IF(MID(IFERROR(INDEX(醫師週班表!$C$5:$T$44,$CU8,AC$57),""),2,1)="(",LEFT(IFERROR(INDEX(醫師週班表!$C$5:$T$44,$CU8,AC$57),""),1),IFERROR(INDEX(醫師週班表!$C$5:$T$44,$CU8,AC$57),"")))))))</f>
        <v/>
      </c>
      <c r="AD8" s="72">
        <f>IF(AD$59="X","",IF(AD$59&lt;&gt;"",AD$59,IF(IFERROR(INDEX(醫師週班表!$C$5:$T$44,$CU8,AD$57),"")=0,"",IF(MID(IFERROR(INDEX(醫師週班表!$C$5:$T$44,$CU8,AD$57),""),2,1)="/",MID(IFERROR(INDEX(醫師週班表!$C$5:$T$44,$CU8,AD$57),""),1+AD$58*2,1),IF(MID(IFERROR(INDEX(醫師週班表!$C$5:$T$44,$CU8,AD$57),""),3,1)="隔",IF(AD$58=0,LEFT(IFERROR(INDEX(醫師週班表!$C$5:$T$44,$CU8,AD$57),""),1),""),IF(MID(IFERROR(INDEX(醫師週班表!$C$5:$T$44,$CU8,AD$57),""),2,1)="(",LEFT(IFERROR(INDEX(醫師週班表!$C$5:$T$44,$CU8,AD$57),""),1),IFERROR(INDEX(醫師週班表!$C$5:$T$44,$CU8,AD$57),"")))))))</f>
        <v/>
      </c>
      <c r="AE8" s="72">
        <f>IF(AE$59="X","",IF(AE$59&lt;&gt;"",AE$59,IF(IFERROR(INDEX(醫師週班表!$C$5:$T$44,$CU8,AE$57),"")=0,"",IF(MID(IFERROR(INDEX(醫師週班表!$C$5:$T$44,$CU8,AE$57),""),2,1)="/",MID(IFERROR(INDEX(醫師週班表!$C$5:$T$44,$CU8,AE$57),""),1+AE$58*2,1),IF(MID(IFERROR(INDEX(醫師週班表!$C$5:$T$44,$CU8,AE$57),""),3,1)="隔",IF(AE$58=0,LEFT(IFERROR(INDEX(醫師週班表!$C$5:$T$44,$CU8,AE$57),""),1),""),IF(MID(IFERROR(INDEX(醫師週班表!$C$5:$T$44,$CU8,AE$57),""),2,1)="(",LEFT(IFERROR(INDEX(醫師週班表!$C$5:$T$44,$CU8,AE$57),""),1),IFERROR(INDEX(醫師週班表!$C$5:$T$44,$CU8,AE$57),"")))))))</f>
        <v/>
      </c>
      <c r="AF8" s="71">
        <f>IF(AF$59="X","",IF(AF$59&lt;&gt;"",AF$59,IF(IFERROR(INDEX(醫師週班表!$C$5:$T$44,$CU8,AF$57),"")=0,"",IF(MID(IFERROR(INDEX(醫師週班表!$C$5:$T$44,$CU8,AF$57),""),2,1)="/",MID(IFERROR(INDEX(醫師週班表!$C$5:$T$44,$CU8,AF$57),""),1+AF$58*2,1),IF(MID(IFERROR(INDEX(醫師週班表!$C$5:$T$44,$CU8,AF$57),""),3,1)="隔",IF(AF$58=0,LEFT(IFERROR(INDEX(醫師週班表!$C$5:$T$44,$CU8,AF$57),""),1),""),IF(MID(IFERROR(INDEX(醫師週班表!$C$5:$T$44,$CU8,AF$57),""),2,1)="(",LEFT(IFERROR(INDEX(醫師週班表!$C$5:$T$44,$CU8,AF$57),""),1),IFERROR(INDEX(醫師週班表!$C$5:$T$44,$CU8,AF$57),"")))))))</f>
        <v/>
      </c>
      <c r="AG8" s="72">
        <f>IF(AG$59="X","",IF(AG$59&lt;&gt;"",AG$59,IF(IFERROR(INDEX(醫師週班表!$C$5:$T$44,$CU8,AG$57),"")=0,"",IF(MID(IFERROR(INDEX(醫師週班表!$C$5:$T$44,$CU8,AG$57),""),2,1)="/",MID(IFERROR(INDEX(醫師週班表!$C$5:$T$44,$CU8,AG$57),""),1+AG$58*2,1),IF(MID(IFERROR(INDEX(醫師週班表!$C$5:$T$44,$CU8,AG$57),""),3,1)="隔",IF(AG$58=0,LEFT(IFERROR(INDEX(醫師週班表!$C$5:$T$44,$CU8,AG$57),""),1),""),IF(MID(IFERROR(INDEX(醫師週班表!$C$5:$T$44,$CU8,AG$57),""),2,1)="(",LEFT(IFERROR(INDEX(醫師週班表!$C$5:$T$44,$CU8,AG$57),""),1),IFERROR(INDEX(醫師週班表!$C$5:$T$44,$CU8,AG$57),"")))))))</f>
        <v/>
      </c>
      <c r="AH8" s="72">
        <f>IF(AH$59="X","",IF(AH$59&lt;&gt;"",AH$59,IF(IFERROR(INDEX(醫師週班表!$C$5:$T$44,$CU8,AH$57),"")=0,"",IF(MID(IFERROR(INDEX(醫師週班表!$C$5:$T$44,$CU8,AH$57),""),2,1)="/",MID(IFERROR(INDEX(醫師週班表!$C$5:$T$44,$CU8,AH$57),""),1+AH$58*2,1),IF(MID(IFERROR(INDEX(醫師週班表!$C$5:$T$44,$CU8,AH$57),""),3,1)="隔",IF(AH$58=0,LEFT(IFERROR(INDEX(醫師週班表!$C$5:$T$44,$CU8,AH$57),""),1),""),IF(MID(IFERROR(INDEX(醫師週班表!$C$5:$T$44,$CU8,AH$57),""),2,1)="(",LEFT(IFERROR(INDEX(醫師週班表!$C$5:$T$44,$CU8,AH$57),""),1),IFERROR(INDEX(醫師週班表!$C$5:$T$44,$CU8,AH$57),"")))))))</f>
        <v/>
      </c>
      <c r="AI8" s="71">
        <f>IF(AI$59="X","",IF(AI$59&lt;&gt;"",AI$59,IF(IFERROR(INDEX(醫師週班表!$C$5:$T$44,$CU8,AI$57),"")=0,"",IF(MID(IFERROR(INDEX(醫師週班表!$C$5:$T$44,$CU8,AI$57),""),2,1)="/",MID(IFERROR(INDEX(醫師週班表!$C$5:$T$44,$CU8,AI$57),""),1+AI$58*2,1),IF(MID(IFERROR(INDEX(醫師週班表!$C$5:$T$44,$CU8,AI$57),""),3,1)="隔",IF(AI$58=0,LEFT(IFERROR(INDEX(醫師週班表!$C$5:$T$44,$CU8,AI$57),""),1),""),IF(MID(IFERROR(INDEX(醫師週班表!$C$5:$T$44,$CU8,AI$57),""),2,1)="(",LEFT(IFERROR(INDEX(醫師週班表!$C$5:$T$44,$CU8,AI$57),""),1),IFERROR(INDEX(醫師週班表!$C$5:$T$44,$CU8,AI$57),"")))))))</f>
        <v/>
      </c>
      <c r="AJ8" s="72">
        <f>IF(AJ$59="X","",IF(AJ$59&lt;&gt;"",AJ$59,IF(IFERROR(INDEX(醫師週班表!$C$5:$T$44,$CU8,AJ$57),"")=0,"",IF(MID(IFERROR(INDEX(醫師週班表!$C$5:$T$44,$CU8,AJ$57),""),2,1)="/",MID(IFERROR(INDEX(醫師週班表!$C$5:$T$44,$CU8,AJ$57),""),1+AJ$58*2,1),IF(MID(IFERROR(INDEX(醫師週班表!$C$5:$T$44,$CU8,AJ$57),""),3,1)="隔",IF(AJ$58=0,LEFT(IFERROR(INDEX(醫師週班表!$C$5:$T$44,$CU8,AJ$57),""),1),""),IF(MID(IFERROR(INDEX(醫師週班表!$C$5:$T$44,$CU8,AJ$57),""),2,1)="(",LEFT(IFERROR(INDEX(醫師週班表!$C$5:$T$44,$CU8,AJ$57),""),1),IFERROR(INDEX(醫師週班表!$C$5:$T$44,$CU8,AJ$57),"")))))))</f>
        <v/>
      </c>
      <c r="AK8" s="72">
        <f>IF(AK$59="X","",IF(AK$59&lt;&gt;"",AK$59,IF(IFERROR(INDEX(醫師週班表!$C$5:$T$44,$CU8,AK$57),"")=0,"",IF(MID(IFERROR(INDEX(醫師週班表!$C$5:$T$44,$CU8,AK$57),""),2,1)="/",MID(IFERROR(INDEX(醫師週班表!$C$5:$T$44,$CU8,AK$57),""),1+AK$58*2,1),IF(MID(IFERROR(INDEX(醫師週班表!$C$5:$T$44,$CU8,AK$57),""),3,1)="隔",IF(AK$58=0,LEFT(IFERROR(INDEX(醫師週班表!$C$5:$T$44,$CU8,AK$57),""),1),""),IF(MID(IFERROR(INDEX(醫師週班表!$C$5:$T$44,$CU8,AK$57),""),2,1)="(",LEFT(IFERROR(INDEX(醫師週班表!$C$5:$T$44,$CU8,AK$57),""),1),IFERROR(INDEX(醫師週班表!$C$5:$T$44,$CU8,AK$57),"")))))))</f>
        <v/>
      </c>
      <c r="AL8" s="71">
        <f>IF(AL$59="X","",IF(AL$59&lt;&gt;"",AL$59,IF(IFERROR(INDEX(醫師週班表!$C$5:$T$44,$CU8,AL$57),"")=0,"",IF(MID(IFERROR(INDEX(醫師週班表!$C$5:$T$44,$CU8,AL$57),""),2,1)="/",MID(IFERROR(INDEX(醫師週班表!$C$5:$T$44,$CU8,AL$57),""),1+AL$58*2,1),IF(MID(IFERROR(INDEX(醫師週班表!$C$5:$T$44,$CU8,AL$57),""),3,1)="隔",IF(AL$58=0,LEFT(IFERROR(INDEX(醫師週班表!$C$5:$T$44,$CU8,AL$57),""),1),""),IF(MID(IFERROR(INDEX(醫師週班表!$C$5:$T$44,$CU8,AL$57),""),2,1)="(",LEFT(IFERROR(INDEX(醫師週班表!$C$5:$T$44,$CU8,AL$57),""),1),IFERROR(INDEX(醫師週班表!$C$5:$T$44,$CU8,AL$57),"")))))))</f>
        <v/>
      </c>
      <c r="AM8" s="72">
        <f>IF(AM$59="X","",IF(AM$59&lt;&gt;"",AM$59,IF(IFERROR(INDEX(醫師週班表!$C$5:$T$44,$CU8,AM$57),"")=0,"",IF(MID(IFERROR(INDEX(醫師週班表!$C$5:$T$44,$CU8,AM$57),""),2,1)="/",MID(IFERROR(INDEX(醫師週班表!$C$5:$T$44,$CU8,AM$57),""),1+AM$58*2,1),IF(MID(IFERROR(INDEX(醫師週班表!$C$5:$T$44,$CU8,AM$57),""),3,1)="隔",IF(AM$58=0,LEFT(IFERROR(INDEX(醫師週班表!$C$5:$T$44,$CU8,AM$57),""),1),""),IF(MID(IFERROR(INDEX(醫師週班表!$C$5:$T$44,$CU8,AM$57),""),2,1)="(",LEFT(IFERROR(INDEX(醫師週班表!$C$5:$T$44,$CU8,AM$57),""),1),IFERROR(INDEX(醫師週班表!$C$5:$T$44,$CU8,AM$57),"")))))))</f>
        <v/>
      </c>
      <c r="AN8" s="72">
        <f>IF(AN$59="X","",IF(AN$59&lt;&gt;"",AN$59,IF(IFERROR(INDEX(醫師週班表!$C$5:$T$44,$CU8,AN$57),"")=0,"",IF(MID(IFERROR(INDEX(醫師週班表!$C$5:$T$44,$CU8,AN$57),""),2,1)="/",MID(IFERROR(INDEX(醫師週班表!$C$5:$T$44,$CU8,AN$57),""),1+AN$58*2,1),IF(MID(IFERROR(INDEX(醫師週班表!$C$5:$T$44,$CU8,AN$57),""),3,1)="隔",IF(AN$58=0,LEFT(IFERROR(INDEX(醫師週班表!$C$5:$T$44,$CU8,AN$57),""),1),""),IF(MID(IFERROR(INDEX(醫師週班表!$C$5:$T$44,$CU8,AN$57),""),2,1)="(",LEFT(IFERROR(INDEX(醫師週班表!$C$5:$T$44,$CU8,AN$57),""),1),IFERROR(INDEX(醫師週班表!$C$5:$T$44,$CU8,AN$57),"")))))))</f>
        <v/>
      </c>
      <c r="AO8" s="71">
        <f>IF(AO$59="X","",IF(AO$59&lt;&gt;"",AO$59,IF(IFERROR(INDEX(醫師週班表!$C$5:$T$44,$CU8,AO$57),"")=0,"",IF(MID(IFERROR(INDEX(醫師週班表!$C$5:$T$44,$CU8,AO$57),""),2,1)="/",MID(IFERROR(INDEX(醫師週班表!$C$5:$T$44,$CU8,AO$57),""),1+AO$58*2,1),IF(MID(IFERROR(INDEX(醫師週班表!$C$5:$T$44,$CU8,AO$57),""),3,1)="隔",IF(AO$58=0,LEFT(IFERROR(INDEX(醫師週班表!$C$5:$T$44,$CU8,AO$57),""),1),""),IF(MID(IFERROR(INDEX(醫師週班表!$C$5:$T$44,$CU8,AO$57),""),2,1)="(",LEFT(IFERROR(INDEX(醫師週班表!$C$5:$T$44,$CU8,AO$57),""),1),IFERROR(INDEX(醫師週班表!$C$5:$T$44,$CU8,AO$57),"")))))))</f>
        <v/>
      </c>
      <c r="AP8" s="72">
        <f>IF(AP$59="X","",IF(AP$59&lt;&gt;"",AP$59,IF(IFERROR(INDEX(醫師週班表!$C$5:$T$44,$CU8,AP$57),"")=0,"",IF(MID(IFERROR(INDEX(醫師週班表!$C$5:$T$44,$CU8,AP$57),""),2,1)="/",MID(IFERROR(INDEX(醫師週班表!$C$5:$T$44,$CU8,AP$57),""),1+AP$58*2,1),IF(MID(IFERROR(INDEX(醫師週班表!$C$5:$T$44,$CU8,AP$57),""),3,1)="隔",IF(AP$58=0,LEFT(IFERROR(INDEX(醫師週班表!$C$5:$T$44,$CU8,AP$57),""),1),""),IF(MID(IFERROR(INDEX(醫師週班表!$C$5:$T$44,$CU8,AP$57),""),2,1)="(",LEFT(IFERROR(INDEX(醫師週班表!$C$5:$T$44,$CU8,AP$57),""),1),IFERROR(INDEX(醫師週班表!$C$5:$T$44,$CU8,AP$57),"")))))))</f>
        <v/>
      </c>
      <c r="AQ8" s="72">
        <f>IF(AQ$59="X","",IF(AQ$59&lt;&gt;"",AQ$59,IF(IFERROR(INDEX(醫師週班表!$C$5:$T$44,$CU8,AQ$57),"")=0,"",IF(MID(IFERROR(INDEX(醫師週班表!$C$5:$T$44,$CU8,AQ$57),""),2,1)="/",MID(IFERROR(INDEX(醫師週班表!$C$5:$T$44,$CU8,AQ$57),""),1+AQ$58*2,1),IF(MID(IFERROR(INDEX(醫師週班表!$C$5:$T$44,$CU8,AQ$57),""),3,1)="隔",IF(AQ$58=0,LEFT(IFERROR(INDEX(醫師週班表!$C$5:$T$44,$CU8,AQ$57),""),1),""),IF(MID(IFERROR(INDEX(醫師週班表!$C$5:$T$44,$CU8,AQ$57),""),2,1)="(",LEFT(IFERROR(INDEX(醫師週班表!$C$5:$T$44,$CU8,AQ$57),""),1),IFERROR(INDEX(醫師週班表!$C$5:$T$44,$CU8,AQ$57),"")))))))</f>
        <v/>
      </c>
      <c r="AR8" s="71">
        <f>IF(AR$59="X","",IF(AR$59&lt;&gt;"",AR$59,IF(IFERROR(INDEX(醫師週班表!$C$5:$T$44,$CU8,AR$57),"")=0,"",IF(MID(IFERROR(INDEX(醫師週班表!$C$5:$T$44,$CU8,AR$57),""),2,1)="/",MID(IFERROR(INDEX(醫師週班表!$C$5:$T$44,$CU8,AR$57),""),1+AR$58*2,1),IF(MID(IFERROR(INDEX(醫師週班表!$C$5:$T$44,$CU8,AR$57),""),3,1)="隔",IF(AR$58=0,LEFT(IFERROR(INDEX(醫師週班表!$C$5:$T$44,$CU8,AR$57),""),1),""),IF(MID(IFERROR(INDEX(醫師週班表!$C$5:$T$44,$CU8,AR$57),""),2,1)="(",LEFT(IFERROR(INDEX(醫師週班表!$C$5:$T$44,$CU8,AR$57),""),1),IFERROR(INDEX(醫師週班表!$C$5:$T$44,$CU8,AR$57),"")))))))</f>
        <v/>
      </c>
      <c r="AS8" s="72">
        <f>IF(AS$59="X","",IF(AS$59&lt;&gt;"",AS$59,IF(IFERROR(INDEX(醫師週班表!$C$5:$T$44,$CU8,AS$57),"")=0,"",IF(MID(IFERROR(INDEX(醫師週班表!$C$5:$T$44,$CU8,AS$57),""),2,1)="/",MID(IFERROR(INDEX(醫師週班表!$C$5:$T$44,$CU8,AS$57),""),1+AS$58*2,1),IF(MID(IFERROR(INDEX(醫師週班表!$C$5:$T$44,$CU8,AS$57),""),3,1)="隔",IF(AS$58=0,LEFT(IFERROR(INDEX(醫師週班表!$C$5:$T$44,$CU8,AS$57),""),1),""),IF(MID(IFERROR(INDEX(醫師週班表!$C$5:$T$44,$CU8,AS$57),""),2,1)="(",LEFT(IFERROR(INDEX(醫師週班表!$C$5:$T$44,$CU8,AS$57),""),1),IFERROR(INDEX(醫師週班表!$C$5:$T$44,$CU8,AS$57),"")))))))</f>
        <v/>
      </c>
      <c r="AT8" s="72">
        <f>IF(AT$59="X","",IF(AT$59&lt;&gt;"",AT$59,IF(IFERROR(INDEX(醫師週班表!$C$5:$T$44,$CU8,AT$57),"")=0,"",IF(MID(IFERROR(INDEX(醫師週班表!$C$5:$T$44,$CU8,AT$57),""),2,1)="/",MID(IFERROR(INDEX(醫師週班表!$C$5:$T$44,$CU8,AT$57),""),1+AT$58*2,1),IF(MID(IFERROR(INDEX(醫師週班表!$C$5:$T$44,$CU8,AT$57),""),3,1)="隔",IF(AT$58=0,LEFT(IFERROR(INDEX(醫師週班表!$C$5:$T$44,$CU8,AT$57),""),1),""),IF(MID(IFERROR(INDEX(醫師週班表!$C$5:$T$44,$CU8,AT$57),""),2,1)="(",LEFT(IFERROR(INDEX(醫師週班表!$C$5:$T$44,$CU8,AT$57),""),1),IFERROR(INDEX(醫師週班表!$C$5:$T$44,$CU8,AT$57),"")))))))</f>
        <v/>
      </c>
      <c r="AU8" s="71">
        <f>IF(AU$59="X","",IF(AU$59&lt;&gt;"",AU$59,IF(IFERROR(INDEX(醫師週班表!$C$5:$T$44,$CU8,AU$57),"")=0,"",IF(MID(IFERROR(INDEX(醫師週班表!$C$5:$T$44,$CU8,AU$57),""),2,1)="/",MID(IFERROR(INDEX(醫師週班表!$C$5:$T$44,$CU8,AU$57),""),1+AU$58*2,1),IF(MID(IFERROR(INDEX(醫師週班表!$C$5:$T$44,$CU8,AU$57),""),3,1)="隔",IF(AU$58=0,LEFT(IFERROR(INDEX(醫師週班表!$C$5:$T$44,$CU8,AU$57),""),1),""),IF(MID(IFERROR(INDEX(醫師週班表!$C$5:$T$44,$CU8,AU$57),""),2,1)="(",LEFT(IFERROR(INDEX(醫師週班表!$C$5:$T$44,$CU8,AU$57),""),1),IFERROR(INDEX(醫師週班表!$C$5:$T$44,$CU8,AU$57),"")))))))</f>
        <v/>
      </c>
      <c r="AV8" s="72">
        <f>IF(AV$59="X","",IF(AV$59&lt;&gt;"",AV$59,IF(IFERROR(INDEX(醫師週班表!$C$5:$T$44,$CU8,AV$57),"")=0,"",IF(MID(IFERROR(INDEX(醫師週班表!$C$5:$T$44,$CU8,AV$57),""),2,1)="/",MID(IFERROR(INDEX(醫師週班表!$C$5:$T$44,$CU8,AV$57),""),1+AV$58*2,1),IF(MID(IFERROR(INDEX(醫師週班表!$C$5:$T$44,$CU8,AV$57),""),3,1)="隔",IF(AV$58=0,LEFT(IFERROR(INDEX(醫師週班表!$C$5:$T$44,$CU8,AV$57),""),1),""),IF(MID(IFERROR(INDEX(醫師週班表!$C$5:$T$44,$CU8,AV$57),""),2,1)="(",LEFT(IFERROR(INDEX(醫師週班表!$C$5:$T$44,$CU8,AV$57),""),1),IFERROR(INDEX(醫師週班表!$C$5:$T$44,$CU8,AV$57),"")))))))</f>
        <v/>
      </c>
      <c r="AW8" s="72">
        <f>IF(AW$59="X","",IF(AW$59&lt;&gt;"",AW$59,IF(IFERROR(INDEX(醫師週班表!$C$5:$T$44,$CU8,AW$57),"")=0,"",IF(MID(IFERROR(INDEX(醫師週班表!$C$5:$T$44,$CU8,AW$57),""),2,1)="/",MID(IFERROR(INDEX(醫師週班表!$C$5:$T$44,$CU8,AW$57),""),1+AW$58*2,1),IF(MID(IFERROR(INDEX(醫師週班表!$C$5:$T$44,$CU8,AW$57),""),3,1)="隔",IF(AW$58=0,LEFT(IFERROR(INDEX(醫師週班表!$C$5:$T$44,$CU8,AW$57),""),1),""),IF(MID(IFERROR(INDEX(醫師週班表!$C$5:$T$44,$CU8,AW$57),""),2,1)="(",LEFT(IFERROR(INDEX(醫師週班表!$C$5:$T$44,$CU8,AW$57),""),1),IFERROR(INDEX(醫師週班表!$C$5:$T$44,$CU8,AW$57),"")))))))</f>
        <v/>
      </c>
      <c r="AX8" s="71">
        <f>IF(AX$59="X","",IF(AX$59&lt;&gt;"",AX$59,IF(IFERROR(INDEX(醫師週班表!$C$5:$T$44,$CU8,AX$57),"")=0,"",IF(MID(IFERROR(INDEX(醫師週班表!$C$5:$T$44,$CU8,AX$57),""),2,1)="/",MID(IFERROR(INDEX(醫師週班表!$C$5:$T$44,$CU8,AX$57),""),1+AX$58*2,1),IF(MID(IFERROR(INDEX(醫師週班表!$C$5:$T$44,$CU8,AX$57),""),3,1)="隔",IF(AX$58=0,LEFT(IFERROR(INDEX(醫師週班表!$C$5:$T$44,$CU8,AX$57),""),1),""),IF(MID(IFERROR(INDEX(醫師週班表!$C$5:$T$44,$CU8,AX$57),""),2,1)="(",LEFT(IFERROR(INDEX(醫師週班表!$C$5:$T$44,$CU8,AX$57),""),1),IFERROR(INDEX(醫師週班表!$C$5:$T$44,$CU8,AX$57),"")))))))</f>
        <v/>
      </c>
      <c r="AY8" s="72">
        <f>IF(AY$59="X","",IF(AY$59&lt;&gt;"",AY$59,IF(IFERROR(INDEX(醫師週班表!$C$5:$T$44,$CU8,AY$57),"")=0,"",IF(MID(IFERROR(INDEX(醫師週班表!$C$5:$T$44,$CU8,AY$57),""),2,1)="/",MID(IFERROR(INDEX(醫師週班表!$C$5:$T$44,$CU8,AY$57),""),1+AY$58*2,1),IF(MID(IFERROR(INDEX(醫師週班表!$C$5:$T$44,$CU8,AY$57),""),3,1)="隔",IF(AY$58=0,LEFT(IFERROR(INDEX(醫師週班表!$C$5:$T$44,$CU8,AY$57),""),1),""),IF(MID(IFERROR(INDEX(醫師週班表!$C$5:$T$44,$CU8,AY$57),""),2,1)="(",LEFT(IFERROR(INDEX(醫師週班表!$C$5:$T$44,$CU8,AY$57),""),1),IFERROR(INDEX(醫師週班表!$C$5:$T$44,$CU8,AY$57),"")))))))</f>
        <v/>
      </c>
      <c r="AZ8" s="72">
        <f>IF(AZ$59="X","",IF(AZ$59&lt;&gt;"",AZ$59,IF(IFERROR(INDEX(醫師週班表!$C$5:$T$44,$CU8,AZ$57),"")=0,"",IF(MID(IFERROR(INDEX(醫師週班表!$C$5:$T$44,$CU8,AZ$57),""),2,1)="/",MID(IFERROR(INDEX(醫師週班表!$C$5:$T$44,$CU8,AZ$57),""),1+AZ$58*2,1),IF(MID(IFERROR(INDEX(醫師週班表!$C$5:$T$44,$CU8,AZ$57),""),3,1)="隔",IF(AZ$58=0,LEFT(IFERROR(INDEX(醫師週班表!$C$5:$T$44,$CU8,AZ$57),""),1),""),IF(MID(IFERROR(INDEX(醫師週班表!$C$5:$T$44,$CU8,AZ$57),""),2,1)="(",LEFT(IFERROR(INDEX(醫師週班表!$C$5:$T$44,$CU8,AZ$57),""),1),IFERROR(INDEX(醫師週班表!$C$5:$T$44,$CU8,AZ$57),"")))))))</f>
        <v/>
      </c>
      <c r="BA8" s="71">
        <f>IF(BA$59="X","",IF(BA$59&lt;&gt;"",BA$59,IF(IFERROR(INDEX(醫師週班表!$C$5:$T$44,$CU8,BA$57),"")=0,"",IF(MID(IFERROR(INDEX(醫師週班表!$C$5:$T$44,$CU8,BA$57),""),2,1)="/",MID(IFERROR(INDEX(醫師週班表!$C$5:$T$44,$CU8,BA$57),""),1+BA$58*2,1),IF(MID(IFERROR(INDEX(醫師週班表!$C$5:$T$44,$CU8,BA$57),""),3,1)="隔",IF(BA$58=0,LEFT(IFERROR(INDEX(醫師週班表!$C$5:$T$44,$CU8,BA$57),""),1),""),IF(MID(IFERROR(INDEX(醫師週班表!$C$5:$T$44,$CU8,BA$57),""),2,1)="(",LEFT(IFERROR(INDEX(醫師週班表!$C$5:$T$44,$CU8,BA$57),""),1),IFERROR(INDEX(醫師週班表!$C$5:$T$44,$CU8,BA$57),"")))))))</f>
        <v/>
      </c>
      <c r="BB8" s="72">
        <f>IF(BB$59="X","",IF(BB$59&lt;&gt;"",BB$59,IF(IFERROR(INDEX(醫師週班表!$C$5:$T$44,$CU8,BB$57),"")=0,"",IF(MID(IFERROR(INDEX(醫師週班表!$C$5:$T$44,$CU8,BB$57),""),2,1)="/",MID(IFERROR(INDEX(醫師週班表!$C$5:$T$44,$CU8,BB$57),""),1+BB$58*2,1),IF(MID(IFERROR(INDEX(醫師週班表!$C$5:$T$44,$CU8,BB$57),""),3,1)="隔",IF(BB$58=0,LEFT(IFERROR(INDEX(醫師週班表!$C$5:$T$44,$CU8,BB$57),""),1),""),IF(MID(IFERROR(INDEX(醫師週班表!$C$5:$T$44,$CU8,BB$57),""),2,1)="(",LEFT(IFERROR(INDEX(醫師週班表!$C$5:$T$44,$CU8,BB$57),""),1),IFERROR(INDEX(醫師週班表!$C$5:$T$44,$CU8,BB$57),"")))))))</f>
        <v/>
      </c>
      <c r="BC8" s="72">
        <f>IF(BC$59="X","",IF(BC$59&lt;&gt;"",BC$59,IF(IFERROR(INDEX(醫師週班表!$C$5:$T$44,$CU8,BC$57),"")=0,"",IF(MID(IFERROR(INDEX(醫師週班表!$C$5:$T$44,$CU8,BC$57),""),2,1)="/",MID(IFERROR(INDEX(醫師週班表!$C$5:$T$44,$CU8,BC$57),""),1+BC$58*2,1),IF(MID(IFERROR(INDEX(醫師週班表!$C$5:$T$44,$CU8,BC$57),""),3,1)="隔",IF(BC$58=0,LEFT(IFERROR(INDEX(醫師週班表!$C$5:$T$44,$CU8,BC$57),""),1),""),IF(MID(IFERROR(INDEX(醫師週班表!$C$5:$T$44,$CU8,BC$57),""),2,1)="(",LEFT(IFERROR(INDEX(醫師週班表!$C$5:$T$44,$CU8,BC$57),""),1),IFERROR(INDEX(醫師週班表!$C$5:$T$44,$CU8,BC$57),"")))))))</f>
        <v/>
      </c>
      <c r="BD8" s="71">
        <f>IF(BD$59="X","",IF(BD$59&lt;&gt;"",BD$59,IF(IFERROR(INDEX(醫師週班表!$C$5:$T$44,$CU8,BD$57),"")=0,"",IF(MID(IFERROR(INDEX(醫師週班表!$C$5:$T$44,$CU8,BD$57),""),2,1)="/",MID(IFERROR(INDEX(醫師週班表!$C$5:$T$44,$CU8,BD$57),""),1+BD$58*2,1),IF(MID(IFERROR(INDEX(醫師週班表!$C$5:$T$44,$CU8,BD$57),""),3,1)="隔",IF(BD$58=0,LEFT(IFERROR(INDEX(醫師週班表!$C$5:$T$44,$CU8,BD$57),""),1),""),IF(MID(IFERROR(INDEX(醫師週班表!$C$5:$T$44,$CU8,BD$57),""),2,1)="(",LEFT(IFERROR(INDEX(醫師週班表!$C$5:$T$44,$CU8,BD$57),""),1),IFERROR(INDEX(醫師週班表!$C$5:$T$44,$CU8,BD$57),"")))))))</f>
        <v/>
      </c>
      <c r="BE8" s="72">
        <f>IF(BE$59="X","",IF(BE$59&lt;&gt;"",BE$59,IF(IFERROR(INDEX(醫師週班表!$C$5:$T$44,$CU8,BE$57),"")=0,"",IF(MID(IFERROR(INDEX(醫師週班表!$C$5:$T$44,$CU8,BE$57),""),2,1)="/",MID(IFERROR(INDEX(醫師週班表!$C$5:$T$44,$CU8,BE$57),""),1+BE$58*2,1),IF(MID(IFERROR(INDEX(醫師週班表!$C$5:$T$44,$CU8,BE$57),""),3,1)="隔",IF(BE$58=0,LEFT(IFERROR(INDEX(醫師週班表!$C$5:$T$44,$CU8,BE$57),""),1),""),IF(MID(IFERROR(INDEX(醫師週班表!$C$5:$T$44,$CU8,BE$57),""),2,1)="(",LEFT(IFERROR(INDEX(醫師週班表!$C$5:$T$44,$CU8,BE$57),""),1),IFERROR(INDEX(醫師週班表!$C$5:$T$44,$CU8,BE$57),"")))))))</f>
        <v/>
      </c>
      <c r="BF8" s="72">
        <f>IF(BF$59="X","",IF(BF$59&lt;&gt;"",BF$59,IF(IFERROR(INDEX(醫師週班表!$C$5:$T$44,$CU8,BF$57),"")=0,"",IF(MID(IFERROR(INDEX(醫師週班表!$C$5:$T$44,$CU8,BF$57),""),2,1)="/",MID(IFERROR(INDEX(醫師週班表!$C$5:$T$44,$CU8,BF$57),""),1+BF$58*2,1),IF(MID(IFERROR(INDEX(醫師週班表!$C$5:$T$44,$CU8,BF$57),""),3,1)="隔",IF(BF$58=0,LEFT(IFERROR(INDEX(醫師週班表!$C$5:$T$44,$CU8,BF$57),""),1),""),IF(MID(IFERROR(INDEX(醫師週班表!$C$5:$T$44,$CU8,BF$57),""),2,1)="(",LEFT(IFERROR(INDEX(醫師週班表!$C$5:$T$44,$CU8,BF$57),""),1),IFERROR(INDEX(醫師週班表!$C$5:$T$44,$CU8,BF$57),"")))))))</f>
        <v/>
      </c>
      <c r="BG8" s="71">
        <f>IF(BG$59="X","",IF(BG$59&lt;&gt;"",BG$59,IF(IFERROR(INDEX(醫師週班表!$C$5:$T$44,$CU8,BG$57),"")=0,"",IF(MID(IFERROR(INDEX(醫師週班表!$C$5:$T$44,$CU8,BG$57),""),2,1)="/",MID(IFERROR(INDEX(醫師週班表!$C$5:$T$44,$CU8,BG$57),""),1+BG$58*2,1),IF(MID(IFERROR(INDEX(醫師週班表!$C$5:$T$44,$CU8,BG$57),""),3,1)="隔",IF(BG$58=0,LEFT(IFERROR(INDEX(醫師週班表!$C$5:$T$44,$CU8,BG$57),""),1),""),IF(MID(IFERROR(INDEX(醫師週班表!$C$5:$T$44,$CU8,BG$57),""),2,1)="(",LEFT(IFERROR(INDEX(醫師週班表!$C$5:$T$44,$CU8,BG$57),""),1),IFERROR(INDEX(醫師週班表!$C$5:$T$44,$CU8,BG$57),"")))))))</f>
        <v/>
      </c>
      <c r="BH8" s="72">
        <f>IF(BH$59="X","",IF(BH$59&lt;&gt;"",BH$59,IF(IFERROR(INDEX(醫師週班表!$C$5:$T$44,$CU8,BH$57),"")=0,"",IF(MID(IFERROR(INDEX(醫師週班表!$C$5:$T$44,$CU8,BH$57),""),2,1)="/",MID(IFERROR(INDEX(醫師週班表!$C$5:$T$44,$CU8,BH$57),""),1+BH$58*2,1),IF(MID(IFERROR(INDEX(醫師週班表!$C$5:$T$44,$CU8,BH$57),""),3,1)="隔",IF(BH$58=0,LEFT(IFERROR(INDEX(醫師週班表!$C$5:$T$44,$CU8,BH$57),""),1),""),IF(MID(IFERROR(INDEX(醫師週班表!$C$5:$T$44,$CU8,BH$57),""),2,1)="(",LEFT(IFERROR(INDEX(醫師週班表!$C$5:$T$44,$CU8,BH$57),""),1),IFERROR(INDEX(醫師週班表!$C$5:$T$44,$CU8,BH$57),"")))))))</f>
        <v/>
      </c>
      <c r="BI8" s="72">
        <f>IF(BI$59="X","",IF(BI$59&lt;&gt;"",BI$59,IF(IFERROR(INDEX(醫師週班表!$C$5:$T$44,$CU8,BI$57),"")=0,"",IF(MID(IFERROR(INDEX(醫師週班表!$C$5:$T$44,$CU8,BI$57),""),2,1)="/",MID(IFERROR(INDEX(醫師週班表!$C$5:$T$44,$CU8,BI$57),""),1+BI$58*2,1),IF(MID(IFERROR(INDEX(醫師週班表!$C$5:$T$44,$CU8,BI$57),""),3,1)="隔",IF(BI$58=0,LEFT(IFERROR(INDEX(醫師週班表!$C$5:$T$44,$CU8,BI$57),""),1),""),IF(MID(IFERROR(INDEX(醫師週班表!$C$5:$T$44,$CU8,BI$57),""),2,1)="(",LEFT(IFERROR(INDEX(醫師週班表!$C$5:$T$44,$CU8,BI$57),""),1),IFERROR(INDEX(醫師週班表!$C$5:$T$44,$CU8,BI$57),"")))))))</f>
        <v/>
      </c>
      <c r="BJ8" s="71">
        <f>IF(BJ$59="X","",IF(BJ$59&lt;&gt;"",BJ$59,IF(IFERROR(INDEX(醫師週班表!$C$5:$T$44,$CU8,BJ$57),"")=0,"",IF(MID(IFERROR(INDEX(醫師週班表!$C$5:$T$44,$CU8,BJ$57),""),2,1)="/",MID(IFERROR(INDEX(醫師週班表!$C$5:$T$44,$CU8,BJ$57),""),1+BJ$58*2,1),IF(MID(IFERROR(INDEX(醫師週班表!$C$5:$T$44,$CU8,BJ$57),""),3,1)="隔",IF(BJ$58=0,LEFT(IFERROR(INDEX(醫師週班表!$C$5:$T$44,$CU8,BJ$57),""),1),""),IF(MID(IFERROR(INDEX(醫師週班表!$C$5:$T$44,$CU8,BJ$57),""),2,1)="(",LEFT(IFERROR(INDEX(醫師週班表!$C$5:$T$44,$CU8,BJ$57),""),1),IFERROR(INDEX(醫師週班表!$C$5:$T$44,$CU8,BJ$57),"")))))))</f>
        <v/>
      </c>
      <c r="BK8" s="72">
        <f>IF(BK$59="X","",IF(BK$59&lt;&gt;"",BK$59,IF(IFERROR(INDEX(醫師週班表!$C$5:$T$44,$CU8,BK$57),"")=0,"",IF(MID(IFERROR(INDEX(醫師週班表!$C$5:$T$44,$CU8,BK$57),""),2,1)="/",MID(IFERROR(INDEX(醫師週班表!$C$5:$T$44,$CU8,BK$57),""),1+BK$58*2,1),IF(MID(IFERROR(INDEX(醫師週班表!$C$5:$T$44,$CU8,BK$57),""),3,1)="隔",IF(BK$58=0,LEFT(IFERROR(INDEX(醫師週班表!$C$5:$T$44,$CU8,BK$57),""),1),""),IF(MID(IFERROR(INDEX(醫師週班表!$C$5:$T$44,$CU8,BK$57),""),2,1)="(",LEFT(IFERROR(INDEX(醫師週班表!$C$5:$T$44,$CU8,BK$57),""),1),IFERROR(INDEX(醫師週班表!$C$5:$T$44,$CU8,BK$57),"")))))))</f>
        <v/>
      </c>
      <c r="BL8" s="72">
        <f>IF(BL$59="X","",IF(BL$59&lt;&gt;"",BL$59,IF(IFERROR(INDEX(醫師週班表!$C$5:$T$44,$CU8,BL$57),"")=0,"",IF(MID(IFERROR(INDEX(醫師週班表!$C$5:$T$44,$CU8,BL$57),""),2,1)="/",MID(IFERROR(INDEX(醫師週班表!$C$5:$T$44,$CU8,BL$57),""),1+BL$58*2,1),IF(MID(IFERROR(INDEX(醫師週班表!$C$5:$T$44,$CU8,BL$57),""),3,1)="隔",IF(BL$58=0,LEFT(IFERROR(INDEX(醫師週班表!$C$5:$T$44,$CU8,BL$57),""),1),""),IF(MID(IFERROR(INDEX(醫師週班表!$C$5:$T$44,$CU8,BL$57),""),2,1)="(",LEFT(IFERROR(INDEX(醫師週班表!$C$5:$T$44,$CU8,BL$57),""),1),IFERROR(INDEX(醫師週班表!$C$5:$T$44,$CU8,BL$57),"")))))))</f>
        <v/>
      </c>
      <c r="BM8" s="71">
        <f>IF(BM$59="X","",IF(BM$59&lt;&gt;"",BM$59,IF(IFERROR(INDEX(醫師週班表!$C$5:$T$44,$CU8,BM$57),"")=0,"",IF(MID(IFERROR(INDEX(醫師週班表!$C$5:$T$44,$CU8,BM$57),""),2,1)="/",MID(IFERROR(INDEX(醫師週班表!$C$5:$T$44,$CU8,BM$57),""),1+BM$58*2,1),IF(MID(IFERROR(INDEX(醫師週班表!$C$5:$T$44,$CU8,BM$57),""),3,1)="隔",IF(BM$58=0,LEFT(IFERROR(INDEX(醫師週班表!$C$5:$T$44,$CU8,BM$57),""),1),""),IF(MID(IFERROR(INDEX(醫師週班表!$C$5:$T$44,$CU8,BM$57),""),2,1)="(",LEFT(IFERROR(INDEX(醫師週班表!$C$5:$T$44,$CU8,BM$57),""),1),IFERROR(INDEX(醫師週班表!$C$5:$T$44,$CU8,BM$57),"")))))))</f>
        <v/>
      </c>
      <c r="BN8" s="72">
        <f>IF(BN$59="X","",IF(BN$59&lt;&gt;"",BN$59,IF(IFERROR(INDEX(醫師週班表!$C$5:$T$44,$CU8,BN$57),"")=0,"",IF(MID(IFERROR(INDEX(醫師週班表!$C$5:$T$44,$CU8,BN$57),""),2,1)="/",MID(IFERROR(INDEX(醫師週班表!$C$5:$T$44,$CU8,BN$57),""),1+BN$58*2,1),IF(MID(IFERROR(INDEX(醫師週班表!$C$5:$T$44,$CU8,BN$57),""),3,1)="隔",IF(BN$58=0,LEFT(IFERROR(INDEX(醫師週班表!$C$5:$T$44,$CU8,BN$57),""),1),""),IF(MID(IFERROR(INDEX(醫師週班表!$C$5:$T$44,$CU8,BN$57),""),2,1)="(",LEFT(IFERROR(INDEX(醫師週班表!$C$5:$T$44,$CU8,BN$57),""),1),IFERROR(INDEX(醫師週班表!$C$5:$T$44,$CU8,BN$57),"")))))))</f>
        <v/>
      </c>
      <c r="BO8" s="72">
        <f>IF(BO$59="X","",IF(BO$59&lt;&gt;"",BO$59,IF(IFERROR(INDEX(醫師週班表!$C$5:$T$44,$CU8,BO$57),"")=0,"",IF(MID(IFERROR(INDEX(醫師週班表!$C$5:$T$44,$CU8,BO$57),""),2,1)="/",MID(IFERROR(INDEX(醫師週班表!$C$5:$T$44,$CU8,BO$57),""),1+BO$58*2,1),IF(MID(IFERROR(INDEX(醫師週班表!$C$5:$T$44,$CU8,BO$57),""),3,1)="隔",IF(BO$58=0,LEFT(IFERROR(INDEX(醫師週班表!$C$5:$T$44,$CU8,BO$57),""),1),""),IF(MID(IFERROR(INDEX(醫師週班表!$C$5:$T$44,$CU8,BO$57),""),2,1)="(",LEFT(IFERROR(INDEX(醫師週班表!$C$5:$T$44,$CU8,BO$57),""),1),IFERROR(INDEX(醫師週班表!$C$5:$T$44,$CU8,BO$57),"")))))))</f>
        <v/>
      </c>
      <c r="BP8" s="71">
        <f>IF(BP$59="X","",IF(BP$59&lt;&gt;"",BP$59,IF(IFERROR(INDEX(醫師週班表!$C$5:$T$44,$CU8,BP$57),"")=0,"",IF(MID(IFERROR(INDEX(醫師週班表!$C$5:$T$44,$CU8,BP$57),""),2,1)="/",MID(IFERROR(INDEX(醫師週班表!$C$5:$T$44,$CU8,BP$57),""),1+BP$58*2,1),IF(MID(IFERROR(INDEX(醫師週班表!$C$5:$T$44,$CU8,BP$57),""),3,1)="隔",IF(BP$58=0,LEFT(IFERROR(INDEX(醫師週班表!$C$5:$T$44,$CU8,BP$57),""),1),""),IF(MID(IFERROR(INDEX(醫師週班表!$C$5:$T$44,$CU8,BP$57),""),2,1)="(",LEFT(IFERROR(INDEX(醫師週班表!$C$5:$T$44,$CU8,BP$57),""),1),IFERROR(INDEX(醫師週班表!$C$5:$T$44,$CU8,BP$57),"")))))))</f>
        <v/>
      </c>
      <c r="BQ8" s="72">
        <f>IF(BQ$59="X","",IF(BQ$59&lt;&gt;"",BQ$59,IF(IFERROR(INDEX(醫師週班表!$C$5:$T$44,$CU8,BQ$57),"")=0,"",IF(MID(IFERROR(INDEX(醫師週班表!$C$5:$T$44,$CU8,BQ$57),""),2,1)="/",MID(IFERROR(INDEX(醫師週班表!$C$5:$T$44,$CU8,BQ$57),""),1+BQ$58*2,1),IF(MID(IFERROR(INDEX(醫師週班表!$C$5:$T$44,$CU8,BQ$57),""),3,1)="隔",IF(BQ$58=0,LEFT(IFERROR(INDEX(醫師週班表!$C$5:$T$44,$CU8,BQ$57),""),1),""),IF(MID(IFERROR(INDEX(醫師週班表!$C$5:$T$44,$CU8,BQ$57),""),2,1)="(",LEFT(IFERROR(INDEX(醫師週班表!$C$5:$T$44,$CU8,BQ$57),""),1),IFERROR(INDEX(醫師週班表!$C$5:$T$44,$CU8,BQ$57),"")))))))</f>
        <v/>
      </c>
      <c r="BR8" s="72">
        <f>IF(BR$59="X","",IF(BR$59&lt;&gt;"",BR$59,IF(IFERROR(INDEX(醫師週班表!$C$5:$T$44,$CU8,BR$57),"")=0,"",IF(MID(IFERROR(INDEX(醫師週班表!$C$5:$T$44,$CU8,BR$57),""),2,1)="/",MID(IFERROR(INDEX(醫師週班表!$C$5:$T$44,$CU8,BR$57),""),1+BR$58*2,1),IF(MID(IFERROR(INDEX(醫師週班表!$C$5:$T$44,$CU8,BR$57),""),3,1)="隔",IF(BR$58=0,LEFT(IFERROR(INDEX(醫師週班表!$C$5:$T$44,$CU8,BR$57),""),1),""),IF(MID(IFERROR(INDEX(醫師週班表!$C$5:$T$44,$CU8,BR$57),""),2,1)="(",LEFT(IFERROR(INDEX(醫師週班表!$C$5:$T$44,$CU8,BR$57),""),1),IFERROR(INDEX(醫師週班表!$C$5:$T$44,$CU8,BR$57),"")))))))</f>
        <v/>
      </c>
      <c r="BS8" s="71">
        <f>IF(BS$59="X","",IF(BS$59&lt;&gt;"",BS$59,IF(IFERROR(INDEX(醫師週班表!$C$5:$T$44,$CU8,BS$57),"")=0,"",IF(MID(IFERROR(INDEX(醫師週班表!$C$5:$T$44,$CU8,BS$57),""),2,1)="/",MID(IFERROR(INDEX(醫師週班表!$C$5:$T$44,$CU8,BS$57),""),1+BS$58*2,1),IF(MID(IFERROR(INDEX(醫師週班表!$C$5:$T$44,$CU8,BS$57),""),3,1)="隔",IF(BS$58=0,LEFT(IFERROR(INDEX(醫師週班表!$C$5:$T$44,$CU8,BS$57),""),1),""),IF(MID(IFERROR(INDEX(醫師週班表!$C$5:$T$44,$CU8,BS$57),""),2,1)="(",LEFT(IFERROR(INDEX(醫師週班表!$C$5:$T$44,$CU8,BS$57),""),1),IFERROR(INDEX(醫師週班表!$C$5:$T$44,$CU8,BS$57),"")))))))</f>
        <v/>
      </c>
      <c r="BT8" s="72">
        <f>IF(BT$59="X","",IF(BT$59&lt;&gt;"",BT$59,IF(IFERROR(INDEX(醫師週班表!$C$5:$T$44,$CU8,BT$57),"")=0,"",IF(MID(IFERROR(INDEX(醫師週班表!$C$5:$T$44,$CU8,BT$57),""),2,1)="/",MID(IFERROR(INDEX(醫師週班表!$C$5:$T$44,$CU8,BT$57),""),1+BT$58*2,1),IF(MID(IFERROR(INDEX(醫師週班表!$C$5:$T$44,$CU8,BT$57),""),3,1)="隔",IF(BT$58=0,LEFT(IFERROR(INDEX(醫師週班表!$C$5:$T$44,$CU8,BT$57),""),1),""),IF(MID(IFERROR(INDEX(醫師週班表!$C$5:$T$44,$CU8,BT$57),""),2,1)="(",LEFT(IFERROR(INDEX(醫師週班表!$C$5:$T$44,$CU8,BT$57),""),1),IFERROR(INDEX(醫師週班表!$C$5:$T$44,$CU8,BT$57),"")))))))</f>
        <v/>
      </c>
      <c r="BU8" s="72">
        <f>IF(BU$59="X","",IF(BU$59&lt;&gt;"",BU$59,IF(IFERROR(INDEX(醫師週班表!$C$5:$T$44,$CU8,BU$57),"")=0,"",IF(MID(IFERROR(INDEX(醫師週班表!$C$5:$T$44,$CU8,BU$57),""),2,1)="/",MID(IFERROR(INDEX(醫師週班表!$C$5:$T$44,$CU8,BU$57),""),1+BU$58*2,1),IF(MID(IFERROR(INDEX(醫師週班表!$C$5:$T$44,$CU8,BU$57),""),3,1)="隔",IF(BU$58=0,LEFT(IFERROR(INDEX(醫師週班表!$C$5:$T$44,$CU8,BU$57),""),1),""),IF(MID(IFERROR(INDEX(醫師週班表!$C$5:$T$44,$CU8,BU$57),""),2,1)="(",LEFT(IFERROR(INDEX(醫師週班表!$C$5:$T$44,$CU8,BU$57),""),1),IFERROR(INDEX(醫師週班表!$C$5:$T$44,$CU8,BU$57),"")))))))</f>
        <v/>
      </c>
      <c r="BV8" s="71">
        <f>IF(BV$59="X","",IF(BV$59&lt;&gt;"",BV$59,IF(IFERROR(INDEX(醫師週班表!$C$5:$T$44,$CU8,BV$57),"")=0,"",IF(MID(IFERROR(INDEX(醫師週班表!$C$5:$T$44,$CU8,BV$57),""),2,1)="/",MID(IFERROR(INDEX(醫師週班表!$C$5:$T$44,$CU8,BV$57),""),1+BV$58*2,1),IF(MID(IFERROR(INDEX(醫師週班表!$C$5:$T$44,$CU8,BV$57),""),3,1)="隔",IF(BV$58=0,LEFT(IFERROR(INDEX(醫師週班表!$C$5:$T$44,$CU8,BV$57),""),1),""),IF(MID(IFERROR(INDEX(醫師週班表!$C$5:$T$44,$CU8,BV$57),""),2,1)="(",LEFT(IFERROR(INDEX(醫師週班表!$C$5:$T$44,$CU8,BV$57),""),1),IFERROR(INDEX(醫師週班表!$C$5:$T$44,$CU8,BV$57),"")))))))</f>
        <v/>
      </c>
      <c r="BW8" s="72">
        <f>IF(BW$59="X","",IF(BW$59&lt;&gt;"",BW$59,IF(IFERROR(INDEX(醫師週班表!$C$5:$T$44,$CU8,BW$57),"")=0,"",IF(MID(IFERROR(INDEX(醫師週班表!$C$5:$T$44,$CU8,BW$57),""),2,1)="/",MID(IFERROR(INDEX(醫師週班表!$C$5:$T$44,$CU8,BW$57),""),1+BW$58*2,1),IF(MID(IFERROR(INDEX(醫師週班表!$C$5:$T$44,$CU8,BW$57),""),3,1)="隔",IF(BW$58=0,LEFT(IFERROR(INDEX(醫師週班表!$C$5:$T$44,$CU8,BW$57),""),1),""),IF(MID(IFERROR(INDEX(醫師週班表!$C$5:$T$44,$CU8,BW$57),""),2,1)="(",LEFT(IFERROR(INDEX(醫師週班表!$C$5:$T$44,$CU8,BW$57),""),1),IFERROR(INDEX(醫師週班表!$C$5:$T$44,$CU8,BW$57),"")))))))</f>
        <v/>
      </c>
      <c r="BX8" s="72">
        <f>IF(BX$59="X","",IF(BX$59&lt;&gt;"",BX$59,IF(IFERROR(INDEX(醫師週班表!$C$5:$T$44,$CU8,BX$57),"")=0,"",IF(MID(IFERROR(INDEX(醫師週班表!$C$5:$T$44,$CU8,BX$57),""),2,1)="/",MID(IFERROR(INDEX(醫師週班表!$C$5:$T$44,$CU8,BX$57),""),1+BX$58*2,1),IF(MID(IFERROR(INDEX(醫師週班表!$C$5:$T$44,$CU8,BX$57),""),3,1)="隔",IF(BX$58=0,LEFT(IFERROR(INDEX(醫師週班表!$C$5:$T$44,$CU8,BX$57),""),1),""),IF(MID(IFERROR(INDEX(醫師週班表!$C$5:$T$44,$CU8,BX$57),""),2,1)="(",LEFT(IFERROR(INDEX(醫師週班表!$C$5:$T$44,$CU8,BX$57),""),1),IFERROR(INDEX(醫師週班表!$C$5:$T$44,$CU8,BX$57),"")))))))</f>
        <v/>
      </c>
      <c r="BY8" s="71">
        <f>IF(BY$59="X","",IF(BY$59&lt;&gt;"",BY$59,IF(IFERROR(INDEX(醫師週班表!$C$5:$T$44,$CU8,BY$57),"")=0,"",IF(MID(IFERROR(INDEX(醫師週班表!$C$5:$T$44,$CU8,BY$57),""),2,1)="/",MID(IFERROR(INDEX(醫師週班表!$C$5:$T$44,$CU8,BY$57),""),1+BY$58*2,1),IF(MID(IFERROR(INDEX(醫師週班表!$C$5:$T$44,$CU8,BY$57),""),3,1)="隔",IF(BY$58=0,LEFT(IFERROR(INDEX(醫師週班表!$C$5:$T$44,$CU8,BY$57),""),1),""),IF(MID(IFERROR(INDEX(醫師週班表!$C$5:$T$44,$CU8,BY$57),""),2,1)="(",LEFT(IFERROR(INDEX(醫師週班表!$C$5:$T$44,$CU8,BY$57),""),1),IFERROR(INDEX(醫師週班表!$C$5:$T$44,$CU8,BY$57),"")))))))</f>
        <v/>
      </c>
      <c r="BZ8" s="72">
        <f>IF(BZ$59="X","",IF(BZ$59&lt;&gt;"",BZ$59,IF(IFERROR(INDEX(醫師週班表!$C$5:$T$44,$CU8,BZ$57),"")=0,"",IF(MID(IFERROR(INDEX(醫師週班表!$C$5:$T$44,$CU8,BZ$57),""),2,1)="/",MID(IFERROR(INDEX(醫師週班表!$C$5:$T$44,$CU8,BZ$57),""),1+BZ$58*2,1),IF(MID(IFERROR(INDEX(醫師週班表!$C$5:$T$44,$CU8,BZ$57),""),3,1)="隔",IF(BZ$58=0,LEFT(IFERROR(INDEX(醫師週班表!$C$5:$T$44,$CU8,BZ$57),""),1),""),IF(MID(IFERROR(INDEX(醫師週班表!$C$5:$T$44,$CU8,BZ$57),""),2,1)="(",LEFT(IFERROR(INDEX(醫師週班表!$C$5:$T$44,$CU8,BZ$57),""),1),IFERROR(INDEX(醫師週班表!$C$5:$T$44,$CU8,BZ$57),"")))))))</f>
        <v/>
      </c>
      <c r="CA8" s="72">
        <f>IF(CA$59="X","",IF(CA$59&lt;&gt;"",CA$59,IF(IFERROR(INDEX(醫師週班表!$C$5:$T$44,$CU8,CA$57),"")=0,"",IF(MID(IFERROR(INDEX(醫師週班表!$C$5:$T$44,$CU8,CA$57),""),2,1)="/",MID(IFERROR(INDEX(醫師週班表!$C$5:$T$44,$CU8,CA$57),""),1+CA$58*2,1),IF(MID(IFERROR(INDEX(醫師週班表!$C$5:$T$44,$CU8,CA$57),""),3,1)="隔",IF(CA$58=0,LEFT(IFERROR(INDEX(醫師週班表!$C$5:$T$44,$CU8,CA$57),""),1),""),IF(MID(IFERROR(INDEX(醫師週班表!$C$5:$T$44,$CU8,CA$57),""),2,1)="(",LEFT(IFERROR(INDEX(醫師週班表!$C$5:$T$44,$CU8,CA$57),""),1),IFERROR(INDEX(醫師週班表!$C$5:$T$44,$CU8,CA$57),"")))))))</f>
        <v/>
      </c>
      <c r="CB8" s="71">
        <f>IF(CB$59="X","",IF(CB$59&lt;&gt;"",CB$59,IF(IFERROR(INDEX(醫師週班表!$C$5:$T$44,$CU8,CB$57),"")=0,"",IF(MID(IFERROR(INDEX(醫師週班表!$C$5:$T$44,$CU8,CB$57),""),2,1)="/",MID(IFERROR(INDEX(醫師週班表!$C$5:$T$44,$CU8,CB$57),""),1+CB$58*2,1),IF(MID(IFERROR(INDEX(醫師週班表!$C$5:$T$44,$CU8,CB$57),""),3,1)="隔",IF(CB$58=0,LEFT(IFERROR(INDEX(醫師週班表!$C$5:$T$44,$CU8,CB$57),""),1),""),IF(MID(IFERROR(INDEX(醫師週班表!$C$5:$T$44,$CU8,CB$57),""),2,1)="(",LEFT(IFERROR(INDEX(醫師週班表!$C$5:$T$44,$CU8,CB$57),""),1),IFERROR(INDEX(醫師週班表!$C$5:$T$44,$CU8,CB$57),"")))))))</f>
        <v/>
      </c>
      <c r="CC8" s="72">
        <f>IF(CC$59="X","",IF(CC$59&lt;&gt;"",CC$59,IF(IFERROR(INDEX(醫師週班表!$C$5:$T$44,$CU8,CC$57),"")=0,"",IF(MID(IFERROR(INDEX(醫師週班表!$C$5:$T$44,$CU8,CC$57),""),2,1)="/",MID(IFERROR(INDEX(醫師週班表!$C$5:$T$44,$CU8,CC$57),""),1+CC$58*2,1),IF(MID(IFERROR(INDEX(醫師週班表!$C$5:$T$44,$CU8,CC$57),""),3,1)="隔",IF(CC$58=0,LEFT(IFERROR(INDEX(醫師週班表!$C$5:$T$44,$CU8,CC$57),""),1),""),IF(MID(IFERROR(INDEX(醫師週班表!$C$5:$T$44,$CU8,CC$57),""),2,1)="(",LEFT(IFERROR(INDEX(醫師週班表!$C$5:$T$44,$CU8,CC$57),""),1),IFERROR(INDEX(醫師週班表!$C$5:$T$44,$CU8,CC$57),"")))))))</f>
        <v/>
      </c>
      <c r="CD8" s="72">
        <f>IF(CD$59="X","",IF(CD$59&lt;&gt;"",CD$59,IF(IFERROR(INDEX(醫師週班表!$C$5:$T$44,$CU8,CD$57),"")=0,"",IF(MID(IFERROR(INDEX(醫師週班表!$C$5:$T$44,$CU8,CD$57),""),2,1)="/",MID(IFERROR(INDEX(醫師週班表!$C$5:$T$44,$CU8,CD$57),""),1+CD$58*2,1),IF(MID(IFERROR(INDEX(醫師週班表!$C$5:$T$44,$CU8,CD$57),""),3,1)="隔",IF(CD$58=0,LEFT(IFERROR(INDEX(醫師週班表!$C$5:$T$44,$CU8,CD$57),""),1),""),IF(MID(IFERROR(INDEX(醫師週班表!$C$5:$T$44,$CU8,CD$57),""),2,1)="(",LEFT(IFERROR(INDEX(醫師週班表!$C$5:$T$44,$CU8,CD$57),""),1),IFERROR(INDEX(醫師週班表!$C$5:$T$44,$CU8,CD$57),"")))))))</f>
        <v/>
      </c>
      <c r="CE8" s="71">
        <f>IF(CE$59="X","",IF(CE$59&lt;&gt;"",CE$59,IF(IFERROR(INDEX(醫師週班表!$C$5:$T$44,$CU8,CE$57),"")=0,"",IF(MID(IFERROR(INDEX(醫師週班表!$C$5:$T$44,$CU8,CE$57),""),2,1)="/",MID(IFERROR(INDEX(醫師週班表!$C$5:$T$44,$CU8,CE$57),""),1+CE$58*2,1),IF(MID(IFERROR(INDEX(醫師週班表!$C$5:$T$44,$CU8,CE$57),""),3,1)="隔",IF(CE$58=0,LEFT(IFERROR(INDEX(醫師週班表!$C$5:$T$44,$CU8,CE$57),""),1),""),IF(MID(IFERROR(INDEX(醫師週班表!$C$5:$T$44,$CU8,CE$57),""),2,1)="(",LEFT(IFERROR(INDEX(醫師週班表!$C$5:$T$44,$CU8,CE$57),""),1),IFERROR(INDEX(醫師週班表!$C$5:$T$44,$CU8,CE$57),"")))))))</f>
        <v/>
      </c>
      <c r="CF8" s="72">
        <f>IF(CF$59="X","",IF(CF$59&lt;&gt;"",CF$59,IF(IFERROR(INDEX(醫師週班表!$C$5:$T$44,$CU8,CF$57),"")=0,"",IF(MID(IFERROR(INDEX(醫師週班表!$C$5:$T$44,$CU8,CF$57),""),2,1)="/",MID(IFERROR(INDEX(醫師週班表!$C$5:$T$44,$CU8,CF$57),""),1+CF$58*2,1),IF(MID(IFERROR(INDEX(醫師週班表!$C$5:$T$44,$CU8,CF$57),""),3,1)="隔",IF(CF$58=0,LEFT(IFERROR(INDEX(醫師週班表!$C$5:$T$44,$CU8,CF$57),""),1),""),IF(MID(IFERROR(INDEX(醫師週班表!$C$5:$T$44,$CU8,CF$57),""),2,1)="(",LEFT(IFERROR(INDEX(醫師週班表!$C$5:$T$44,$CU8,CF$57),""),1),IFERROR(INDEX(醫師週班表!$C$5:$T$44,$CU8,CF$57),"")))))))</f>
        <v/>
      </c>
      <c r="CG8" s="72">
        <f>IF(CG$59="X","",IF(CG$59&lt;&gt;"",CG$59,IF(IFERROR(INDEX(醫師週班表!$C$5:$T$44,$CU8,CG$57),"")=0,"",IF(MID(IFERROR(INDEX(醫師週班表!$C$5:$T$44,$CU8,CG$57),""),2,1)="/",MID(IFERROR(INDEX(醫師週班表!$C$5:$T$44,$CU8,CG$57),""),1+CG$58*2,1),IF(MID(IFERROR(INDEX(醫師週班表!$C$5:$T$44,$CU8,CG$57),""),3,1)="隔",IF(CG$58=0,LEFT(IFERROR(INDEX(醫師週班表!$C$5:$T$44,$CU8,CG$57),""),1),""),IF(MID(IFERROR(INDEX(醫師週班表!$C$5:$T$44,$CU8,CG$57),""),2,1)="(",LEFT(IFERROR(INDEX(醫師週班表!$C$5:$T$44,$CU8,CG$57),""),1),IFERROR(INDEX(醫師週班表!$C$5:$T$44,$CU8,CG$57),"")))))))</f>
        <v/>
      </c>
      <c r="CH8" s="71">
        <f>IF(CH$59="X","",IF(CH$59&lt;&gt;"",CH$59,IF(IFERROR(INDEX(醫師週班表!$C$5:$T$44,$CU8,CH$57),"")=0,"",IF(MID(IFERROR(INDEX(醫師週班表!$C$5:$T$44,$CU8,CH$57),""),2,1)="/",MID(IFERROR(INDEX(醫師週班表!$C$5:$T$44,$CU8,CH$57),""),1+CH$58*2,1),IF(MID(IFERROR(INDEX(醫師週班表!$C$5:$T$44,$CU8,CH$57),""),3,1)="隔",IF(CH$58=0,LEFT(IFERROR(INDEX(醫師週班表!$C$5:$T$44,$CU8,CH$57),""),1),""),IF(MID(IFERROR(INDEX(醫師週班表!$C$5:$T$44,$CU8,CH$57),""),2,1)="(",LEFT(IFERROR(INDEX(醫師週班表!$C$5:$T$44,$CU8,CH$57),""),1),IFERROR(INDEX(醫師週班表!$C$5:$T$44,$CU8,CH$57),"")))))))</f>
        <v/>
      </c>
      <c r="CI8" s="72">
        <f>IF(CI$59="X","",IF(CI$59&lt;&gt;"",CI$59,IF(IFERROR(INDEX(醫師週班表!$C$5:$T$44,$CU8,CI$57),"")=0,"",IF(MID(IFERROR(INDEX(醫師週班表!$C$5:$T$44,$CU8,CI$57),""),2,1)="/",MID(IFERROR(INDEX(醫師週班表!$C$5:$T$44,$CU8,CI$57),""),1+CI$58*2,1),IF(MID(IFERROR(INDEX(醫師週班表!$C$5:$T$44,$CU8,CI$57),""),3,1)="隔",IF(CI$58=0,LEFT(IFERROR(INDEX(醫師週班表!$C$5:$T$44,$CU8,CI$57),""),1),""),IF(MID(IFERROR(INDEX(醫師週班表!$C$5:$T$44,$CU8,CI$57),""),2,1)="(",LEFT(IFERROR(INDEX(醫師週班表!$C$5:$T$44,$CU8,CI$57),""),1),IFERROR(INDEX(醫師週班表!$C$5:$T$44,$CU8,CI$57),"")))))))</f>
        <v/>
      </c>
      <c r="CJ8" s="72">
        <f>IF(CJ$59="X","",IF(CJ$59&lt;&gt;"",CJ$59,IF(IFERROR(INDEX(醫師週班表!$C$5:$T$44,$CU8,CJ$57),"")=0,"",IF(MID(IFERROR(INDEX(醫師週班表!$C$5:$T$44,$CU8,CJ$57),""),2,1)="/",MID(IFERROR(INDEX(醫師週班表!$C$5:$T$44,$CU8,CJ$57),""),1+CJ$58*2,1),IF(MID(IFERROR(INDEX(醫師週班表!$C$5:$T$44,$CU8,CJ$57),""),3,1)="隔",IF(CJ$58=0,LEFT(IFERROR(INDEX(醫師週班表!$C$5:$T$44,$CU8,CJ$57),""),1),""),IF(MID(IFERROR(INDEX(醫師週班表!$C$5:$T$44,$CU8,CJ$57),""),2,1)="(",LEFT(IFERROR(INDEX(醫師週班表!$C$5:$T$44,$CU8,CJ$57),""),1),IFERROR(INDEX(醫師週班表!$C$5:$T$44,$CU8,CJ$57),"")))))))</f>
        <v/>
      </c>
      <c r="CK8" s="71">
        <f>IF(CK$59="X","",IF(CK$59&lt;&gt;"",CK$59,IF(IFERROR(INDEX(醫師週班表!$C$5:$T$44,$CU8,CK$57),"")=0,"",IF(MID(IFERROR(INDEX(醫師週班表!$C$5:$T$44,$CU8,CK$57),""),2,1)="/",MID(IFERROR(INDEX(醫師週班表!$C$5:$T$44,$CU8,CK$57),""),1+CK$58*2,1),IF(MID(IFERROR(INDEX(醫師週班表!$C$5:$T$44,$CU8,CK$57),""),3,1)="隔",IF(CK$58=0,LEFT(IFERROR(INDEX(醫師週班表!$C$5:$T$44,$CU8,CK$57),""),1),""),IF(MID(IFERROR(INDEX(醫師週班表!$C$5:$T$44,$CU8,CK$57),""),2,1)="(",LEFT(IFERROR(INDEX(醫師週班表!$C$5:$T$44,$CU8,CK$57),""),1),IFERROR(INDEX(醫師週班表!$C$5:$T$44,$CU8,CK$57),"")))))))</f>
        <v/>
      </c>
      <c r="CL8" s="72">
        <f>IF(CL$59="X","",IF(CL$59&lt;&gt;"",CL$59,IF(IFERROR(INDEX(醫師週班表!$C$5:$T$44,$CU8,CL$57),"")=0,"",IF(MID(IFERROR(INDEX(醫師週班表!$C$5:$T$44,$CU8,CL$57),""),2,1)="/",MID(IFERROR(INDEX(醫師週班表!$C$5:$T$44,$CU8,CL$57),""),1+CL$58*2,1),IF(MID(IFERROR(INDEX(醫師週班表!$C$5:$T$44,$CU8,CL$57),""),3,1)="隔",IF(CL$58=0,LEFT(IFERROR(INDEX(醫師週班表!$C$5:$T$44,$CU8,CL$57),""),1),""),IF(MID(IFERROR(INDEX(醫師週班表!$C$5:$T$44,$CU8,CL$57),""),2,1)="(",LEFT(IFERROR(INDEX(醫師週班表!$C$5:$T$44,$CU8,CL$57),""),1),IFERROR(INDEX(醫師週班表!$C$5:$T$44,$CU8,CL$57),"")))))))</f>
        <v/>
      </c>
      <c r="CM8" s="72">
        <f>IF(CM$59="X","",IF(CM$59&lt;&gt;"",CM$59,IF(IFERROR(INDEX(醫師週班表!$C$5:$T$44,$CU8,CM$57),"")=0,"",IF(MID(IFERROR(INDEX(醫師週班表!$C$5:$T$44,$CU8,CM$57),""),2,1)="/",MID(IFERROR(INDEX(醫師週班表!$C$5:$T$44,$CU8,CM$57),""),1+CM$58*2,1),IF(MID(IFERROR(INDEX(醫師週班表!$C$5:$T$44,$CU8,CM$57),""),3,1)="隔",IF(CM$58=0,LEFT(IFERROR(INDEX(醫師週班表!$C$5:$T$44,$CU8,CM$57),""),1),""),IF(MID(IFERROR(INDEX(醫師週班表!$C$5:$T$44,$CU8,CM$57),""),2,1)="(",LEFT(IFERROR(INDEX(醫師週班表!$C$5:$T$44,$CU8,CM$57),""),1),IFERROR(INDEX(醫師週班表!$C$5:$T$44,$CU8,CM$57),"")))))))</f>
        <v/>
      </c>
      <c r="CN8" s="71">
        <f>IF(CN$59="X","",IF(CN$59&lt;&gt;"",CN$59,IF(IFERROR(INDEX(醫師週班表!$C$5:$T$44,$CU8,CN$57),"")=0,"",IF(MID(IFERROR(INDEX(醫師週班表!$C$5:$T$44,$CU8,CN$57),""),2,1)="/",MID(IFERROR(INDEX(醫師週班表!$C$5:$T$44,$CU8,CN$57),""),1+CN$58*2,1),IF(MID(IFERROR(INDEX(醫師週班表!$C$5:$T$44,$CU8,CN$57),""),3,1)="隔",IF(CN$58=0,LEFT(IFERROR(INDEX(醫師週班表!$C$5:$T$44,$CU8,CN$57),""),1),""),IF(MID(IFERROR(INDEX(醫師週班表!$C$5:$T$44,$CU8,CN$57),""),2,1)="(",LEFT(IFERROR(INDEX(醫師週班表!$C$5:$T$44,$CU8,CN$57),""),1),IFERROR(INDEX(醫師週班表!$C$5:$T$44,$CU8,CN$57),"")))))))</f>
        <v/>
      </c>
      <c r="CO8" s="72">
        <f>IF(CO$59="X","",IF(CO$59&lt;&gt;"",CO$59,IF(IFERROR(INDEX(醫師週班表!$C$5:$T$44,$CU8,CO$57),"")=0,"",IF(MID(IFERROR(INDEX(醫師週班表!$C$5:$T$44,$CU8,CO$57),""),2,1)="/",MID(IFERROR(INDEX(醫師週班表!$C$5:$T$44,$CU8,CO$57),""),1+CO$58*2,1),IF(MID(IFERROR(INDEX(醫師週班表!$C$5:$T$44,$CU8,CO$57),""),3,1)="隔",IF(CO$58=0,LEFT(IFERROR(INDEX(醫師週班表!$C$5:$T$44,$CU8,CO$57),""),1),""),IF(MID(IFERROR(INDEX(醫師週班表!$C$5:$T$44,$CU8,CO$57),""),2,1)="(",LEFT(IFERROR(INDEX(醫師週班表!$C$5:$T$44,$CU8,CO$57),""),1),IFERROR(INDEX(醫師週班表!$C$5:$T$44,$CU8,CO$57),"")))))))</f>
        <v/>
      </c>
      <c r="CP8" s="72">
        <f>IF(CP$59="X","",IF(CP$59&lt;&gt;"",CP$59,IF(IFERROR(INDEX(醫師週班表!$C$5:$T$44,$CU8,CP$57),"")=0,"",IF(MID(IFERROR(INDEX(醫師週班表!$C$5:$T$44,$CU8,CP$57),""),2,1)="/",MID(IFERROR(INDEX(醫師週班表!$C$5:$T$44,$CU8,CP$57),""),1+CP$58*2,1),IF(MID(IFERROR(INDEX(醫師週班表!$C$5:$T$44,$CU8,CP$57),""),3,1)="隔",IF(CP$58=0,LEFT(IFERROR(INDEX(醫師週班表!$C$5:$T$44,$CU8,CP$57),""),1),""),IF(MID(IFERROR(INDEX(醫師週班表!$C$5:$T$44,$CU8,CP$57),""),2,1)="(",LEFT(IFERROR(INDEX(醫師週班表!$C$5:$T$44,$CU8,CP$57),""),1),IFERROR(INDEX(醫師週班表!$C$5:$T$44,$CU8,CP$57),"")))))))</f>
        <v/>
      </c>
      <c r="CQ8" s="71">
        <f>IF(CQ$59="X","",IF(CQ$59&lt;&gt;"",CQ$59,IF(IFERROR(INDEX(醫師週班表!$C$5:$T$44,$CU8,CQ$57),"")=0,"",IF(MID(IFERROR(INDEX(醫師週班表!$C$5:$T$44,$CU8,CQ$57),""),2,1)="/",MID(IFERROR(INDEX(醫師週班表!$C$5:$T$44,$CU8,CQ$57),""),1+CQ$58*2,1),IF(MID(IFERROR(INDEX(醫師週班表!$C$5:$T$44,$CU8,CQ$57),""),3,1)="隔",IF(CQ$58=0,LEFT(IFERROR(INDEX(醫師週班表!$C$5:$T$44,$CU8,CQ$57),""),1),""),IF(MID(IFERROR(INDEX(醫師週班表!$C$5:$T$44,$CU8,CQ$57),""),2,1)="(",LEFT(IFERROR(INDEX(醫師週班表!$C$5:$T$44,$CU8,CQ$57),""),1),IFERROR(INDEX(醫師週班表!$C$5:$T$44,$CU8,CQ$57),"")))))))</f>
        <v/>
      </c>
      <c r="CR8" s="72">
        <f>IF(CR$59="X","",IF(CR$59&lt;&gt;"",CR$59,IF(IFERROR(INDEX(醫師週班表!$C$5:$T$44,$CU8,CR$57),"")=0,"",IF(MID(IFERROR(INDEX(醫師週班表!$C$5:$T$44,$CU8,CR$57),""),2,1)="/",MID(IFERROR(INDEX(醫師週班表!$C$5:$T$44,$CU8,CR$57),""),1+CR$58*2,1),IF(MID(IFERROR(INDEX(醫師週班表!$C$5:$T$44,$CU8,CR$57),""),3,1)="隔",IF(CR$58=0,LEFT(IFERROR(INDEX(醫師週班表!$C$5:$T$44,$CU8,CR$57),""),1),""),IF(MID(IFERROR(INDEX(醫師週班表!$C$5:$T$44,$CU8,CR$57),""),2,1)="(",LEFT(IFERROR(INDEX(醫師週班表!$C$5:$T$44,$CU8,CR$57),""),1),IFERROR(INDEX(醫師週班表!$C$5:$T$44,$CU8,CR$57),"")))))))</f>
        <v/>
      </c>
      <c r="CS8" s="72">
        <f>IF(CS$59="X","",IF(CS$59&lt;&gt;"",CS$59,IF(IFERROR(INDEX(醫師週班表!$C$5:$T$44,$CU8,CS$57),"")=0,"",IF(MID(IFERROR(INDEX(醫師週班表!$C$5:$T$44,$CU8,CS$57),""),2,1)="/",MID(IFERROR(INDEX(醫師週班表!$C$5:$T$44,$CU8,CS$57),""),1+CS$58*2,1),IF(MID(IFERROR(INDEX(醫師週班表!$C$5:$T$44,$CU8,CS$57),""),3,1)="隔",IF(CS$58=0,LEFT(IFERROR(INDEX(醫師週班表!$C$5:$T$44,$CU8,CS$57),""),1),""),IF(MID(IFERROR(INDEX(醫師週班表!$C$5:$T$44,$CU8,CS$57),""),2,1)="(",LEFT(IFERROR(INDEX(醫師週班表!$C$5:$T$44,$CU8,CS$57),""),1),IFERROR(INDEX(醫師週班表!$C$5:$T$44,$CU8,CS$57),"")))))))</f>
        <v/>
      </c>
      <c r="CU8" s="73">
        <f>IFERROR(MATCH($A8,醫師週班表!$A$5:$A$44,0),0)</f>
        <v/>
      </c>
    </row>
    <row r="9" ht="17" customHeight="1">
      <c r="A9" s="19" t="inlineStr">
        <is>
          <t>D004</t>
        </is>
      </c>
      <c r="B9" s="16" t="inlineStr">
        <is>
          <t>劉玠旻</t>
        </is>
      </c>
      <c r="C9" s="70" t="inlineStr">
        <is>
          <t>兒童專科</t>
        </is>
      </c>
      <c r="D9" s="16" t="inlineStr"/>
      <c r="E9" s="71">
        <f>IF(E$59="X","",IF(E$59&lt;&gt;"",E$59,IF(IFERROR(INDEX(醫師週班表!$C$5:$T$44,$CU9,E$57),"")=0,"",IF(MID(IFERROR(INDEX(醫師週班表!$C$5:$T$44,$CU9,E$57),""),2,1)="/",MID(IFERROR(INDEX(醫師週班表!$C$5:$T$44,$CU9,E$57),""),1+E$58*2,1),IF(MID(IFERROR(INDEX(醫師週班表!$C$5:$T$44,$CU9,E$57),""),3,1)="隔",IF(E$58=0,LEFT(IFERROR(INDEX(醫師週班表!$C$5:$T$44,$CU9,E$57),""),1),""),IF(MID(IFERROR(INDEX(醫師週班表!$C$5:$T$44,$CU9,E$57),""),2,1)="(",LEFT(IFERROR(INDEX(醫師週班表!$C$5:$T$44,$CU9,E$57),""),1),IFERROR(INDEX(醫師週班表!$C$5:$T$44,$CU9,E$57),"")))))))</f>
        <v/>
      </c>
      <c r="F9" s="72">
        <f>IF(F$59="X","",IF(F$59&lt;&gt;"",F$59,IF(IFERROR(INDEX(醫師週班表!$C$5:$T$44,$CU9,F$57),"")=0,"",IF(MID(IFERROR(INDEX(醫師週班表!$C$5:$T$44,$CU9,F$57),""),2,1)="/",MID(IFERROR(INDEX(醫師週班表!$C$5:$T$44,$CU9,F$57),""),1+F$58*2,1),IF(MID(IFERROR(INDEX(醫師週班表!$C$5:$T$44,$CU9,F$57),""),3,1)="隔",IF(F$58=0,LEFT(IFERROR(INDEX(醫師週班表!$C$5:$T$44,$CU9,F$57),""),1),""),IF(MID(IFERROR(INDEX(醫師週班表!$C$5:$T$44,$CU9,F$57),""),2,1)="(",LEFT(IFERROR(INDEX(醫師週班表!$C$5:$T$44,$CU9,F$57),""),1),IFERROR(INDEX(醫師週班表!$C$5:$T$44,$CU9,F$57),"")))))))</f>
        <v/>
      </c>
      <c r="G9" s="72">
        <f>IF(G$59="X","",IF(G$59&lt;&gt;"",G$59,IF(IFERROR(INDEX(醫師週班表!$C$5:$T$44,$CU9,G$57),"")=0,"",IF(MID(IFERROR(INDEX(醫師週班表!$C$5:$T$44,$CU9,G$57),""),2,1)="/",MID(IFERROR(INDEX(醫師週班表!$C$5:$T$44,$CU9,G$57),""),1+G$58*2,1),IF(MID(IFERROR(INDEX(醫師週班表!$C$5:$T$44,$CU9,G$57),""),3,1)="隔",IF(G$58=0,LEFT(IFERROR(INDEX(醫師週班表!$C$5:$T$44,$CU9,G$57),""),1),""),IF(MID(IFERROR(INDEX(醫師週班表!$C$5:$T$44,$CU9,G$57),""),2,1)="(",LEFT(IFERROR(INDEX(醫師週班表!$C$5:$T$44,$CU9,G$57),""),1),IFERROR(INDEX(醫師週班表!$C$5:$T$44,$CU9,G$57),"")))))))</f>
        <v/>
      </c>
      <c r="H9" s="71">
        <f>IF(H$59="X","",IF(H$59&lt;&gt;"",H$59,IF(IFERROR(INDEX(醫師週班表!$C$5:$T$44,$CU9,H$57),"")=0,"",IF(MID(IFERROR(INDEX(醫師週班表!$C$5:$T$44,$CU9,H$57),""),2,1)="/",MID(IFERROR(INDEX(醫師週班表!$C$5:$T$44,$CU9,H$57),""),1+H$58*2,1),IF(MID(IFERROR(INDEX(醫師週班表!$C$5:$T$44,$CU9,H$57),""),3,1)="隔",IF(H$58=0,LEFT(IFERROR(INDEX(醫師週班表!$C$5:$T$44,$CU9,H$57),""),1),""),IF(MID(IFERROR(INDEX(醫師週班表!$C$5:$T$44,$CU9,H$57),""),2,1)="(",LEFT(IFERROR(INDEX(醫師週班表!$C$5:$T$44,$CU9,H$57),""),1),IFERROR(INDEX(醫師週班表!$C$5:$T$44,$CU9,H$57),"")))))))</f>
        <v/>
      </c>
      <c r="I9" s="72">
        <f>IF(I$59="X","",IF(I$59&lt;&gt;"",I$59,IF(IFERROR(INDEX(醫師週班表!$C$5:$T$44,$CU9,I$57),"")=0,"",IF(MID(IFERROR(INDEX(醫師週班表!$C$5:$T$44,$CU9,I$57),""),2,1)="/",MID(IFERROR(INDEX(醫師週班表!$C$5:$T$44,$CU9,I$57),""),1+I$58*2,1),IF(MID(IFERROR(INDEX(醫師週班表!$C$5:$T$44,$CU9,I$57),""),3,1)="隔",IF(I$58=0,LEFT(IFERROR(INDEX(醫師週班表!$C$5:$T$44,$CU9,I$57),""),1),""),IF(MID(IFERROR(INDEX(醫師週班表!$C$5:$T$44,$CU9,I$57),""),2,1)="(",LEFT(IFERROR(INDEX(醫師週班表!$C$5:$T$44,$CU9,I$57),""),1),IFERROR(INDEX(醫師週班表!$C$5:$T$44,$CU9,I$57),"")))))))</f>
        <v/>
      </c>
      <c r="J9" s="72">
        <f>IF(J$59="X","",IF(J$59&lt;&gt;"",J$59,IF(IFERROR(INDEX(醫師週班表!$C$5:$T$44,$CU9,J$57),"")=0,"",IF(MID(IFERROR(INDEX(醫師週班表!$C$5:$T$44,$CU9,J$57),""),2,1)="/",MID(IFERROR(INDEX(醫師週班表!$C$5:$T$44,$CU9,J$57),""),1+J$58*2,1),IF(MID(IFERROR(INDEX(醫師週班表!$C$5:$T$44,$CU9,J$57),""),3,1)="隔",IF(J$58=0,LEFT(IFERROR(INDEX(醫師週班表!$C$5:$T$44,$CU9,J$57),""),1),""),IF(MID(IFERROR(INDEX(醫師週班表!$C$5:$T$44,$CU9,J$57),""),2,1)="(",LEFT(IFERROR(INDEX(醫師週班表!$C$5:$T$44,$CU9,J$57),""),1),IFERROR(INDEX(醫師週班表!$C$5:$T$44,$CU9,J$57),"")))))))</f>
        <v/>
      </c>
      <c r="K9" s="71">
        <f>IF(K$59="X","",IF(K$59&lt;&gt;"",K$59,IF(IFERROR(INDEX(醫師週班表!$C$5:$T$44,$CU9,K$57),"")=0,"",IF(MID(IFERROR(INDEX(醫師週班表!$C$5:$T$44,$CU9,K$57),""),2,1)="/",MID(IFERROR(INDEX(醫師週班表!$C$5:$T$44,$CU9,K$57),""),1+K$58*2,1),IF(MID(IFERROR(INDEX(醫師週班表!$C$5:$T$44,$CU9,K$57),""),3,1)="隔",IF(K$58=0,LEFT(IFERROR(INDEX(醫師週班表!$C$5:$T$44,$CU9,K$57),""),1),""),IF(MID(IFERROR(INDEX(醫師週班表!$C$5:$T$44,$CU9,K$57),""),2,1)="(",LEFT(IFERROR(INDEX(醫師週班表!$C$5:$T$44,$CU9,K$57),""),1),IFERROR(INDEX(醫師週班表!$C$5:$T$44,$CU9,K$57),"")))))))</f>
        <v/>
      </c>
      <c r="L9" s="72">
        <f>IF(L$59="X","",IF(L$59&lt;&gt;"",L$59,IF(IFERROR(INDEX(醫師週班表!$C$5:$T$44,$CU9,L$57),"")=0,"",IF(MID(IFERROR(INDEX(醫師週班表!$C$5:$T$44,$CU9,L$57),""),2,1)="/",MID(IFERROR(INDEX(醫師週班表!$C$5:$T$44,$CU9,L$57),""),1+L$58*2,1),IF(MID(IFERROR(INDEX(醫師週班表!$C$5:$T$44,$CU9,L$57),""),3,1)="隔",IF(L$58=0,LEFT(IFERROR(INDEX(醫師週班表!$C$5:$T$44,$CU9,L$57),""),1),""),IF(MID(IFERROR(INDEX(醫師週班表!$C$5:$T$44,$CU9,L$57),""),2,1)="(",LEFT(IFERROR(INDEX(醫師週班表!$C$5:$T$44,$CU9,L$57),""),1),IFERROR(INDEX(醫師週班表!$C$5:$T$44,$CU9,L$57),"")))))))</f>
        <v/>
      </c>
      <c r="M9" s="72">
        <f>IF(M$59="X","",IF(M$59&lt;&gt;"",M$59,IF(IFERROR(INDEX(醫師週班表!$C$5:$T$44,$CU9,M$57),"")=0,"",IF(MID(IFERROR(INDEX(醫師週班表!$C$5:$T$44,$CU9,M$57),""),2,1)="/",MID(IFERROR(INDEX(醫師週班表!$C$5:$T$44,$CU9,M$57),""),1+M$58*2,1),IF(MID(IFERROR(INDEX(醫師週班表!$C$5:$T$44,$CU9,M$57),""),3,1)="隔",IF(M$58=0,LEFT(IFERROR(INDEX(醫師週班表!$C$5:$T$44,$CU9,M$57),""),1),""),IF(MID(IFERROR(INDEX(醫師週班表!$C$5:$T$44,$CU9,M$57),""),2,1)="(",LEFT(IFERROR(INDEX(醫師週班表!$C$5:$T$44,$CU9,M$57),""),1),IFERROR(INDEX(醫師週班表!$C$5:$T$44,$CU9,M$57),"")))))))</f>
        <v/>
      </c>
      <c r="N9" s="71">
        <f>IF(N$59="X","",IF(N$59&lt;&gt;"",N$59,IF(IFERROR(INDEX(醫師週班表!$C$5:$T$44,$CU9,N$57),"")=0,"",IF(MID(IFERROR(INDEX(醫師週班表!$C$5:$T$44,$CU9,N$57),""),2,1)="/",MID(IFERROR(INDEX(醫師週班表!$C$5:$T$44,$CU9,N$57),""),1+N$58*2,1),IF(MID(IFERROR(INDEX(醫師週班表!$C$5:$T$44,$CU9,N$57),""),3,1)="隔",IF(N$58=0,LEFT(IFERROR(INDEX(醫師週班表!$C$5:$T$44,$CU9,N$57),""),1),""),IF(MID(IFERROR(INDEX(醫師週班表!$C$5:$T$44,$CU9,N$57),""),2,1)="(",LEFT(IFERROR(INDEX(醫師週班表!$C$5:$T$44,$CU9,N$57),""),1),IFERROR(INDEX(醫師週班表!$C$5:$T$44,$CU9,N$57),"")))))))</f>
        <v/>
      </c>
      <c r="O9" s="72">
        <f>IF(O$59="X","",IF(O$59&lt;&gt;"",O$59,IF(IFERROR(INDEX(醫師週班表!$C$5:$T$44,$CU9,O$57),"")=0,"",IF(MID(IFERROR(INDEX(醫師週班表!$C$5:$T$44,$CU9,O$57),""),2,1)="/",MID(IFERROR(INDEX(醫師週班表!$C$5:$T$44,$CU9,O$57),""),1+O$58*2,1),IF(MID(IFERROR(INDEX(醫師週班表!$C$5:$T$44,$CU9,O$57),""),3,1)="隔",IF(O$58=0,LEFT(IFERROR(INDEX(醫師週班表!$C$5:$T$44,$CU9,O$57),""),1),""),IF(MID(IFERROR(INDEX(醫師週班表!$C$5:$T$44,$CU9,O$57),""),2,1)="(",LEFT(IFERROR(INDEX(醫師週班表!$C$5:$T$44,$CU9,O$57),""),1),IFERROR(INDEX(醫師週班表!$C$5:$T$44,$CU9,O$57),"")))))))</f>
        <v/>
      </c>
      <c r="P9" s="72">
        <f>IF(P$59="X","",IF(P$59&lt;&gt;"",P$59,IF(IFERROR(INDEX(醫師週班表!$C$5:$T$44,$CU9,P$57),"")=0,"",IF(MID(IFERROR(INDEX(醫師週班表!$C$5:$T$44,$CU9,P$57),""),2,1)="/",MID(IFERROR(INDEX(醫師週班表!$C$5:$T$44,$CU9,P$57),""),1+P$58*2,1),IF(MID(IFERROR(INDEX(醫師週班表!$C$5:$T$44,$CU9,P$57),""),3,1)="隔",IF(P$58=0,LEFT(IFERROR(INDEX(醫師週班表!$C$5:$T$44,$CU9,P$57),""),1),""),IF(MID(IFERROR(INDEX(醫師週班表!$C$5:$T$44,$CU9,P$57),""),2,1)="(",LEFT(IFERROR(INDEX(醫師週班表!$C$5:$T$44,$CU9,P$57),""),1),IFERROR(INDEX(醫師週班表!$C$5:$T$44,$CU9,P$57),"")))))))</f>
        <v/>
      </c>
      <c r="Q9" s="71">
        <f>IF(Q$59="X","",IF(Q$59&lt;&gt;"",Q$59,IF(IFERROR(INDEX(醫師週班表!$C$5:$T$44,$CU9,Q$57),"")=0,"",IF(MID(IFERROR(INDEX(醫師週班表!$C$5:$T$44,$CU9,Q$57),""),2,1)="/",MID(IFERROR(INDEX(醫師週班表!$C$5:$T$44,$CU9,Q$57),""),1+Q$58*2,1),IF(MID(IFERROR(INDEX(醫師週班表!$C$5:$T$44,$CU9,Q$57),""),3,1)="隔",IF(Q$58=0,LEFT(IFERROR(INDEX(醫師週班表!$C$5:$T$44,$CU9,Q$57),""),1),""),IF(MID(IFERROR(INDEX(醫師週班表!$C$5:$T$44,$CU9,Q$57),""),2,1)="(",LEFT(IFERROR(INDEX(醫師週班表!$C$5:$T$44,$CU9,Q$57),""),1),IFERROR(INDEX(醫師週班表!$C$5:$T$44,$CU9,Q$57),"")))))))</f>
        <v/>
      </c>
      <c r="R9" s="72">
        <f>IF(R$59="X","",IF(R$59&lt;&gt;"",R$59,IF(IFERROR(INDEX(醫師週班表!$C$5:$T$44,$CU9,R$57),"")=0,"",IF(MID(IFERROR(INDEX(醫師週班表!$C$5:$T$44,$CU9,R$57),""),2,1)="/",MID(IFERROR(INDEX(醫師週班表!$C$5:$T$44,$CU9,R$57),""),1+R$58*2,1),IF(MID(IFERROR(INDEX(醫師週班表!$C$5:$T$44,$CU9,R$57),""),3,1)="隔",IF(R$58=0,LEFT(IFERROR(INDEX(醫師週班表!$C$5:$T$44,$CU9,R$57),""),1),""),IF(MID(IFERROR(INDEX(醫師週班表!$C$5:$T$44,$CU9,R$57),""),2,1)="(",LEFT(IFERROR(INDEX(醫師週班表!$C$5:$T$44,$CU9,R$57),""),1),IFERROR(INDEX(醫師週班表!$C$5:$T$44,$CU9,R$57),"")))))))</f>
        <v/>
      </c>
      <c r="S9" s="72">
        <f>IF(S$59="X","",IF(S$59&lt;&gt;"",S$59,IF(IFERROR(INDEX(醫師週班表!$C$5:$T$44,$CU9,S$57),"")=0,"",IF(MID(IFERROR(INDEX(醫師週班表!$C$5:$T$44,$CU9,S$57),""),2,1)="/",MID(IFERROR(INDEX(醫師週班表!$C$5:$T$44,$CU9,S$57),""),1+S$58*2,1),IF(MID(IFERROR(INDEX(醫師週班表!$C$5:$T$44,$CU9,S$57),""),3,1)="隔",IF(S$58=0,LEFT(IFERROR(INDEX(醫師週班表!$C$5:$T$44,$CU9,S$57),""),1),""),IF(MID(IFERROR(INDEX(醫師週班表!$C$5:$T$44,$CU9,S$57),""),2,1)="(",LEFT(IFERROR(INDEX(醫師週班表!$C$5:$T$44,$CU9,S$57),""),1),IFERROR(INDEX(醫師週班表!$C$5:$T$44,$CU9,S$57),"")))))))</f>
        <v/>
      </c>
      <c r="T9" s="71">
        <f>IF(T$59="X","",IF(T$59&lt;&gt;"",T$59,IF(IFERROR(INDEX(醫師週班表!$C$5:$T$44,$CU9,T$57),"")=0,"",IF(MID(IFERROR(INDEX(醫師週班表!$C$5:$T$44,$CU9,T$57),""),2,1)="/",MID(IFERROR(INDEX(醫師週班表!$C$5:$T$44,$CU9,T$57),""),1+T$58*2,1),IF(MID(IFERROR(INDEX(醫師週班表!$C$5:$T$44,$CU9,T$57),""),3,1)="隔",IF(T$58=0,LEFT(IFERROR(INDEX(醫師週班表!$C$5:$T$44,$CU9,T$57),""),1),""),IF(MID(IFERROR(INDEX(醫師週班表!$C$5:$T$44,$CU9,T$57),""),2,1)="(",LEFT(IFERROR(INDEX(醫師週班表!$C$5:$T$44,$CU9,T$57),""),1),IFERROR(INDEX(醫師週班表!$C$5:$T$44,$CU9,T$57),"")))))))</f>
        <v/>
      </c>
      <c r="U9" s="72">
        <f>IF(U$59="X","",IF(U$59&lt;&gt;"",U$59,IF(IFERROR(INDEX(醫師週班表!$C$5:$T$44,$CU9,U$57),"")=0,"",IF(MID(IFERROR(INDEX(醫師週班表!$C$5:$T$44,$CU9,U$57),""),2,1)="/",MID(IFERROR(INDEX(醫師週班表!$C$5:$T$44,$CU9,U$57),""),1+U$58*2,1),IF(MID(IFERROR(INDEX(醫師週班表!$C$5:$T$44,$CU9,U$57),""),3,1)="隔",IF(U$58=0,LEFT(IFERROR(INDEX(醫師週班表!$C$5:$T$44,$CU9,U$57),""),1),""),IF(MID(IFERROR(INDEX(醫師週班表!$C$5:$T$44,$CU9,U$57),""),2,1)="(",LEFT(IFERROR(INDEX(醫師週班表!$C$5:$T$44,$CU9,U$57),""),1),IFERROR(INDEX(醫師週班表!$C$5:$T$44,$CU9,U$57),"")))))))</f>
        <v/>
      </c>
      <c r="V9" s="72">
        <f>IF(V$59="X","",IF(V$59&lt;&gt;"",V$59,IF(IFERROR(INDEX(醫師週班表!$C$5:$T$44,$CU9,V$57),"")=0,"",IF(MID(IFERROR(INDEX(醫師週班表!$C$5:$T$44,$CU9,V$57),""),2,1)="/",MID(IFERROR(INDEX(醫師週班表!$C$5:$T$44,$CU9,V$57),""),1+V$58*2,1),IF(MID(IFERROR(INDEX(醫師週班表!$C$5:$T$44,$CU9,V$57),""),3,1)="隔",IF(V$58=0,LEFT(IFERROR(INDEX(醫師週班表!$C$5:$T$44,$CU9,V$57),""),1),""),IF(MID(IFERROR(INDEX(醫師週班表!$C$5:$T$44,$CU9,V$57),""),2,1)="(",LEFT(IFERROR(INDEX(醫師週班表!$C$5:$T$44,$CU9,V$57),""),1),IFERROR(INDEX(醫師週班表!$C$5:$T$44,$CU9,V$57),"")))))))</f>
        <v/>
      </c>
      <c r="W9" s="71">
        <f>IF(W$59="X","",IF(W$59&lt;&gt;"",W$59,IF(IFERROR(INDEX(醫師週班表!$C$5:$T$44,$CU9,W$57),"")=0,"",IF(MID(IFERROR(INDEX(醫師週班表!$C$5:$T$44,$CU9,W$57),""),2,1)="/",MID(IFERROR(INDEX(醫師週班表!$C$5:$T$44,$CU9,W$57),""),1+W$58*2,1),IF(MID(IFERROR(INDEX(醫師週班表!$C$5:$T$44,$CU9,W$57),""),3,1)="隔",IF(W$58=0,LEFT(IFERROR(INDEX(醫師週班表!$C$5:$T$44,$CU9,W$57),""),1),""),IF(MID(IFERROR(INDEX(醫師週班表!$C$5:$T$44,$CU9,W$57),""),2,1)="(",LEFT(IFERROR(INDEX(醫師週班表!$C$5:$T$44,$CU9,W$57),""),1),IFERROR(INDEX(醫師週班表!$C$5:$T$44,$CU9,W$57),"")))))))</f>
        <v/>
      </c>
      <c r="X9" s="72">
        <f>IF(X$59="X","",IF(X$59&lt;&gt;"",X$59,IF(IFERROR(INDEX(醫師週班表!$C$5:$T$44,$CU9,X$57),"")=0,"",IF(MID(IFERROR(INDEX(醫師週班表!$C$5:$T$44,$CU9,X$57),""),2,1)="/",MID(IFERROR(INDEX(醫師週班表!$C$5:$T$44,$CU9,X$57),""),1+X$58*2,1),IF(MID(IFERROR(INDEX(醫師週班表!$C$5:$T$44,$CU9,X$57),""),3,1)="隔",IF(X$58=0,LEFT(IFERROR(INDEX(醫師週班表!$C$5:$T$44,$CU9,X$57),""),1),""),IF(MID(IFERROR(INDEX(醫師週班表!$C$5:$T$44,$CU9,X$57),""),2,1)="(",LEFT(IFERROR(INDEX(醫師週班表!$C$5:$T$44,$CU9,X$57),""),1),IFERROR(INDEX(醫師週班表!$C$5:$T$44,$CU9,X$57),"")))))))</f>
        <v/>
      </c>
      <c r="Y9" s="72">
        <f>IF(Y$59="X","",IF(Y$59&lt;&gt;"",Y$59,IF(IFERROR(INDEX(醫師週班表!$C$5:$T$44,$CU9,Y$57),"")=0,"",IF(MID(IFERROR(INDEX(醫師週班表!$C$5:$T$44,$CU9,Y$57),""),2,1)="/",MID(IFERROR(INDEX(醫師週班表!$C$5:$T$44,$CU9,Y$57),""),1+Y$58*2,1),IF(MID(IFERROR(INDEX(醫師週班表!$C$5:$T$44,$CU9,Y$57),""),3,1)="隔",IF(Y$58=0,LEFT(IFERROR(INDEX(醫師週班表!$C$5:$T$44,$CU9,Y$57),""),1),""),IF(MID(IFERROR(INDEX(醫師週班表!$C$5:$T$44,$CU9,Y$57),""),2,1)="(",LEFT(IFERROR(INDEX(醫師週班表!$C$5:$T$44,$CU9,Y$57),""),1),IFERROR(INDEX(醫師週班表!$C$5:$T$44,$CU9,Y$57),"")))))))</f>
        <v/>
      </c>
      <c r="Z9" s="71">
        <f>IF(Z$59="X","",IF(Z$59&lt;&gt;"",Z$59,IF(IFERROR(INDEX(醫師週班表!$C$5:$T$44,$CU9,Z$57),"")=0,"",IF(MID(IFERROR(INDEX(醫師週班表!$C$5:$T$44,$CU9,Z$57),""),2,1)="/",MID(IFERROR(INDEX(醫師週班表!$C$5:$T$44,$CU9,Z$57),""),1+Z$58*2,1),IF(MID(IFERROR(INDEX(醫師週班表!$C$5:$T$44,$CU9,Z$57),""),3,1)="隔",IF(Z$58=0,LEFT(IFERROR(INDEX(醫師週班表!$C$5:$T$44,$CU9,Z$57),""),1),""),IF(MID(IFERROR(INDEX(醫師週班表!$C$5:$T$44,$CU9,Z$57),""),2,1)="(",LEFT(IFERROR(INDEX(醫師週班表!$C$5:$T$44,$CU9,Z$57),""),1),IFERROR(INDEX(醫師週班表!$C$5:$T$44,$CU9,Z$57),"")))))))</f>
        <v/>
      </c>
      <c r="AA9" s="72">
        <f>IF(AA$59="X","",IF(AA$59&lt;&gt;"",AA$59,IF(IFERROR(INDEX(醫師週班表!$C$5:$T$44,$CU9,AA$57),"")=0,"",IF(MID(IFERROR(INDEX(醫師週班表!$C$5:$T$44,$CU9,AA$57),""),2,1)="/",MID(IFERROR(INDEX(醫師週班表!$C$5:$T$44,$CU9,AA$57),""),1+AA$58*2,1),IF(MID(IFERROR(INDEX(醫師週班表!$C$5:$T$44,$CU9,AA$57),""),3,1)="隔",IF(AA$58=0,LEFT(IFERROR(INDEX(醫師週班表!$C$5:$T$44,$CU9,AA$57),""),1),""),IF(MID(IFERROR(INDEX(醫師週班表!$C$5:$T$44,$CU9,AA$57),""),2,1)="(",LEFT(IFERROR(INDEX(醫師週班表!$C$5:$T$44,$CU9,AA$57),""),1),IFERROR(INDEX(醫師週班表!$C$5:$T$44,$CU9,AA$57),"")))))))</f>
        <v/>
      </c>
      <c r="AB9" s="72">
        <f>IF(AB$59="X","",IF(AB$59&lt;&gt;"",AB$59,IF(IFERROR(INDEX(醫師週班表!$C$5:$T$44,$CU9,AB$57),"")=0,"",IF(MID(IFERROR(INDEX(醫師週班表!$C$5:$T$44,$CU9,AB$57),""),2,1)="/",MID(IFERROR(INDEX(醫師週班表!$C$5:$T$44,$CU9,AB$57),""),1+AB$58*2,1),IF(MID(IFERROR(INDEX(醫師週班表!$C$5:$T$44,$CU9,AB$57),""),3,1)="隔",IF(AB$58=0,LEFT(IFERROR(INDEX(醫師週班表!$C$5:$T$44,$CU9,AB$57),""),1),""),IF(MID(IFERROR(INDEX(醫師週班表!$C$5:$T$44,$CU9,AB$57),""),2,1)="(",LEFT(IFERROR(INDEX(醫師週班表!$C$5:$T$44,$CU9,AB$57),""),1),IFERROR(INDEX(醫師週班表!$C$5:$T$44,$CU9,AB$57),"")))))))</f>
        <v/>
      </c>
      <c r="AC9" s="71">
        <f>IF(AC$59="X","",IF(AC$59&lt;&gt;"",AC$59,IF(IFERROR(INDEX(醫師週班表!$C$5:$T$44,$CU9,AC$57),"")=0,"",IF(MID(IFERROR(INDEX(醫師週班表!$C$5:$T$44,$CU9,AC$57),""),2,1)="/",MID(IFERROR(INDEX(醫師週班表!$C$5:$T$44,$CU9,AC$57),""),1+AC$58*2,1),IF(MID(IFERROR(INDEX(醫師週班表!$C$5:$T$44,$CU9,AC$57),""),3,1)="隔",IF(AC$58=0,LEFT(IFERROR(INDEX(醫師週班表!$C$5:$T$44,$CU9,AC$57),""),1),""),IF(MID(IFERROR(INDEX(醫師週班表!$C$5:$T$44,$CU9,AC$57),""),2,1)="(",LEFT(IFERROR(INDEX(醫師週班表!$C$5:$T$44,$CU9,AC$57),""),1),IFERROR(INDEX(醫師週班表!$C$5:$T$44,$CU9,AC$57),"")))))))</f>
        <v/>
      </c>
      <c r="AD9" s="72">
        <f>IF(AD$59="X","",IF(AD$59&lt;&gt;"",AD$59,IF(IFERROR(INDEX(醫師週班表!$C$5:$T$44,$CU9,AD$57),"")=0,"",IF(MID(IFERROR(INDEX(醫師週班表!$C$5:$T$44,$CU9,AD$57),""),2,1)="/",MID(IFERROR(INDEX(醫師週班表!$C$5:$T$44,$CU9,AD$57),""),1+AD$58*2,1),IF(MID(IFERROR(INDEX(醫師週班表!$C$5:$T$44,$CU9,AD$57),""),3,1)="隔",IF(AD$58=0,LEFT(IFERROR(INDEX(醫師週班表!$C$5:$T$44,$CU9,AD$57),""),1),""),IF(MID(IFERROR(INDEX(醫師週班表!$C$5:$T$44,$CU9,AD$57),""),2,1)="(",LEFT(IFERROR(INDEX(醫師週班表!$C$5:$T$44,$CU9,AD$57),""),1),IFERROR(INDEX(醫師週班表!$C$5:$T$44,$CU9,AD$57),"")))))))</f>
        <v/>
      </c>
      <c r="AE9" s="72">
        <f>IF(AE$59="X","",IF(AE$59&lt;&gt;"",AE$59,IF(IFERROR(INDEX(醫師週班表!$C$5:$T$44,$CU9,AE$57),"")=0,"",IF(MID(IFERROR(INDEX(醫師週班表!$C$5:$T$44,$CU9,AE$57),""),2,1)="/",MID(IFERROR(INDEX(醫師週班表!$C$5:$T$44,$CU9,AE$57),""),1+AE$58*2,1),IF(MID(IFERROR(INDEX(醫師週班表!$C$5:$T$44,$CU9,AE$57),""),3,1)="隔",IF(AE$58=0,LEFT(IFERROR(INDEX(醫師週班表!$C$5:$T$44,$CU9,AE$57),""),1),""),IF(MID(IFERROR(INDEX(醫師週班表!$C$5:$T$44,$CU9,AE$57),""),2,1)="(",LEFT(IFERROR(INDEX(醫師週班表!$C$5:$T$44,$CU9,AE$57),""),1),IFERROR(INDEX(醫師週班表!$C$5:$T$44,$CU9,AE$57),"")))))))</f>
        <v/>
      </c>
      <c r="AF9" s="71">
        <f>IF(AF$59="X","",IF(AF$59&lt;&gt;"",AF$59,IF(IFERROR(INDEX(醫師週班表!$C$5:$T$44,$CU9,AF$57),"")=0,"",IF(MID(IFERROR(INDEX(醫師週班表!$C$5:$T$44,$CU9,AF$57),""),2,1)="/",MID(IFERROR(INDEX(醫師週班表!$C$5:$T$44,$CU9,AF$57),""),1+AF$58*2,1),IF(MID(IFERROR(INDEX(醫師週班表!$C$5:$T$44,$CU9,AF$57),""),3,1)="隔",IF(AF$58=0,LEFT(IFERROR(INDEX(醫師週班表!$C$5:$T$44,$CU9,AF$57),""),1),""),IF(MID(IFERROR(INDEX(醫師週班表!$C$5:$T$44,$CU9,AF$57),""),2,1)="(",LEFT(IFERROR(INDEX(醫師週班表!$C$5:$T$44,$CU9,AF$57),""),1),IFERROR(INDEX(醫師週班表!$C$5:$T$44,$CU9,AF$57),"")))))))</f>
        <v/>
      </c>
      <c r="AG9" s="72">
        <f>IF(AG$59="X","",IF(AG$59&lt;&gt;"",AG$59,IF(IFERROR(INDEX(醫師週班表!$C$5:$T$44,$CU9,AG$57),"")=0,"",IF(MID(IFERROR(INDEX(醫師週班表!$C$5:$T$44,$CU9,AG$57),""),2,1)="/",MID(IFERROR(INDEX(醫師週班表!$C$5:$T$44,$CU9,AG$57),""),1+AG$58*2,1),IF(MID(IFERROR(INDEX(醫師週班表!$C$5:$T$44,$CU9,AG$57),""),3,1)="隔",IF(AG$58=0,LEFT(IFERROR(INDEX(醫師週班表!$C$5:$T$44,$CU9,AG$57),""),1),""),IF(MID(IFERROR(INDEX(醫師週班表!$C$5:$T$44,$CU9,AG$57),""),2,1)="(",LEFT(IFERROR(INDEX(醫師週班表!$C$5:$T$44,$CU9,AG$57),""),1),IFERROR(INDEX(醫師週班表!$C$5:$T$44,$CU9,AG$57),"")))))))</f>
        <v/>
      </c>
      <c r="AH9" s="72">
        <f>IF(AH$59="X","",IF(AH$59&lt;&gt;"",AH$59,IF(IFERROR(INDEX(醫師週班表!$C$5:$T$44,$CU9,AH$57),"")=0,"",IF(MID(IFERROR(INDEX(醫師週班表!$C$5:$T$44,$CU9,AH$57),""),2,1)="/",MID(IFERROR(INDEX(醫師週班表!$C$5:$T$44,$CU9,AH$57),""),1+AH$58*2,1),IF(MID(IFERROR(INDEX(醫師週班表!$C$5:$T$44,$CU9,AH$57),""),3,1)="隔",IF(AH$58=0,LEFT(IFERROR(INDEX(醫師週班表!$C$5:$T$44,$CU9,AH$57),""),1),""),IF(MID(IFERROR(INDEX(醫師週班表!$C$5:$T$44,$CU9,AH$57),""),2,1)="(",LEFT(IFERROR(INDEX(醫師週班表!$C$5:$T$44,$CU9,AH$57),""),1),IFERROR(INDEX(醫師週班表!$C$5:$T$44,$CU9,AH$57),"")))))))</f>
        <v/>
      </c>
      <c r="AI9" s="71">
        <f>IF(AI$59="X","",IF(AI$59&lt;&gt;"",AI$59,IF(IFERROR(INDEX(醫師週班表!$C$5:$T$44,$CU9,AI$57),"")=0,"",IF(MID(IFERROR(INDEX(醫師週班表!$C$5:$T$44,$CU9,AI$57),""),2,1)="/",MID(IFERROR(INDEX(醫師週班表!$C$5:$T$44,$CU9,AI$57),""),1+AI$58*2,1),IF(MID(IFERROR(INDEX(醫師週班表!$C$5:$T$44,$CU9,AI$57),""),3,1)="隔",IF(AI$58=0,LEFT(IFERROR(INDEX(醫師週班表!$C$5:$T$44,$CU9,AI$57),""),1),""),IF(MID(IFERROR(INDEX(醫師週班表!$C$5:$T$44,$CU9,AI$57),""),2,1)="(",LEFT(IFERROR(INDEX(醫師週班表!$C$5:$T$44,$CU9,AI$57),""),1),IFERROR(INDEX(醫師週班表!$C$5:$T$44,$CU9,AI$57),"")))))))</f>
        <v/>
      </c>
      <c r="AJ9" s="72">
        <f>IF(AJ$59="X","",IF(AJ$59&lt;&gt;"",AJ$59,IF(IFERROR(INDEX(醫師週班表!$C$5:$T$44,$CU9,AJ$57),"")=0,"",IF(MID(IFERROR(INDEX(醫師週班表!$C$5:$T$44,$CU9,AJ$57),""),2,1)="/",MID(IFERROR(INDEX(醫師週班表!$C$5:$T$44,$CU9,AJ$57),""),1+AJ$58*2,1),IF(MID(IFERROR(INDEX(醫師週班表!$C$5:$T$44,$CU9,AJ$57),""),3,1)="隔",IF(AJ$58=0,LEFT(IFERROR(INDEX(醫師週班表!$C$5:$T$44,$CU9,AJ$57),""),1),""),IF(MID(IFERROR(INDEX(醫師週班表!$C$5:$T$44,$CU9,AJ$57),""),2,1)="(",LEFT(IFERROR(INDEX(醫師週班表!$C$5:$T$44,$CU9,AJ$57),""),1),IFERROR(INDEX(醫師週班表!$C$5:$T$44,$CU9,AJ$57),"")))))))</f>
        <v/>
      </c>
      <c r="AK9" s="72">
        <f>IF(AK$59="X","",IF(AK$59&lt;&gt;"",AK$59,IF(IFERROR(INDEX(醫師週班表!$C$5:$T$44,$CU9,AK$57),"")=0,"",IF(MID(IFERROR(INDEX(醫師週班表!$C$5:$T$44,$CU9,AK$57),""),2,1)="/",MID(IFERROR(INDEX(醫師週班表!$C$5:$T$44,$CU9,AK$57),""),1+AK$58*2,1),IF(MID(IFERROR(INDEX(醫師週班表!$C$5:$T$44,$CU9,AK$57),""),3,1)="隔",IF(AK$58=0,LEFT(IFERROR(INDEX(醫師週班表!$C$5:$T$44,$CU9,AK$57),""),1),""),IF(MID(IFERROR(INDEX(醫師週班表!$C$5:$T$44,$CU9,AK$57),""),2,1)="(",LEFT(IFERROR(INDEX(醫師週班表!$C$5:$T$44,$CU9,AK$57),""),1),IFERROR(INDEX(醫師週班表!$C$5:$T$44,$CU9,AK$57),"")))))))</f>
        <v/>
      </c>
      <c r="AL9" s="71">
        <f>IF(AL$59="X","",IF(AL$59&lt;&gt;"",AL$59,IF(IFERROR(INDEX(醫師週班表!$C$5:$T$44,$CU9,AL$57),"")=0,"",IF(MID(IFERROR(INDEX(醫師週班表!$C$5:$T$44,$CU9,AL$57),""),2,1)="/",MID(IFERROR(INDEX(醫師週班表!$C$5:$T$44,$CU9,AL$57),""),1+AL$58*2,1),IF(MID(IFERROR(INDEX(醫師週班表!$C$5:$T$44,$CU9,AL$57),""),3,1)="隔",IF(AL$58=0,LEFT(IFERROR(INDEX(醫師週班表!$C$5:$T$44,$CU9,AL$57),""),1),""),IF(MID(IFERROR(INDEX(醫師週班表!$C$5:$T$44,$CU9,AL$57),""),2,1)="(",LEFT(IFERROR(INDEX(醫師週班表!$C$5:$T$44,$CU9,AL$57),""),1),IFERROR(INDEX(醫師週班表!$C$5:$T$44,$CU9,AL$57),"")))))))</f>
        <v/>
      </c>
      <c r="AM9" s="72">
        <f>IF(AM$59="X","",IF(AM$59&lt;&gt;"",AM$59,IF(IFERROR(INDEX(醫師週班表!$C$5:$T$44,$CU9,AM$57),"")=0,"",IF(MID(IFERROR(INDEX(醫師週班表!$C$5:$T$44,$CU9,AM$57),""),2,1)="/",MID(IFERROR(INDEX(醫師週班表!$C$5:$T$44,$CU9,AM$57),""),1+AM$58*2,1),IF(MID(IFERROR(INDEX(醫師週班表!$C$5:$T$44,$CU9,AM$57),""),3,1)="隔",IF(AM$58=0,LEFT(IFERROR(INDEX(醫師週班表!$C$5:$T$44,$CU9,AM$57),""),1),""),IF(MID(IFERROR(INDEX(醫師週班表!$C$5:$T$44,$CU9,AM$57),""),2,1)="(",LEFT(IFERROR(INDEX(醫師週班表!$C$5:$T$44,$CU9,AM$57),""),1),IFERROR(INDEX(醫師週班表!$C$5:$T$44,$CU9,AM$57),"")))))))</f>
        <v/>
      </c>
      <c r="AN9" s="72">
        <f>IF(AN$59="X","",IF(AN$59&lt;&gt;"",AN$59,IF(IFERROR(INDEX(醫師週班表!$C$5:$T$44,$CU9,AN$57),"")=0,"",IF(MID(IFERROR(INDEX(醫師週班表!$C$5:$T$44,$CU9,AN$57),""),2,1)="/",MID(IFERROR(INDEX(醫師週班表!$C$5:$T$44,$CU9,AN$57),""),1+AN$58*2,1),IF(MID(IFERROR(INDEX(醫師週班表!$C$5:$T$44,$CU9,AN$57),""),3,1)="隔",IF(AN$58=0,LEFT(IFERROR(INDEX(醫師週班表!$C$5:$T$44,$CU9,AN$57),""),1),""),IF(MID(IFERROR(INDEX(醫師週班表!$C$5:$T$44,$CU9,AN$57),""),2,1)="(",LEFT(IFERROR(INDEX(醫師週班表!$C$5:$T$44,$CU9,AN$57),""),1),IFERROR(INDEX(醫師週班表!$C$5:$T$44,$CU9,AN$57),"")))))))</f>
        <v/>
      </c>
      <c r="AO9" s="71">
        <f>IF(AO$59="X","",IF(AO$59&lt;&gt;"",AO$59,IF(IFERROR(INDEX(醫師週班表!$C$5:$T$44,$CU9,AO$57),"")=0,"",IF(MID(IFERROR(INDEX(醫師週班表!$C$5:$T$44,$CU9,AO$57),""),2,1)="/",MID(IFERROR(INDEX(醫師週班表!$C$5:$T$44,$CU9,AO$57),""),1+AO$58*2,1),IF(MID(IFERROR(INDEX(醫師週班表!$C$5:$T$44,$CU9,AO$57),""),3,1)="隔",IF(AO$58=0,LEFT(IFERROR(INDEX(醫師週班表!$C$5:$T$44,$CU9,AO$57),""),1),""),IF(MID(IFERROR(INDEX(醫師週班表!$C$5:$T$44,$CU9,AO$57),""),2,1)="(",LEFT(IFERROR(INDEX(醫師週班表!$C$5:$T$44,$CU9,AO$57),""),1),IFERROR(INDEX(醫師週班表!$C$5:$T$44,$CU9,AO$57),"")))))))</f>
        <v/>
      </c>
      <c r="AP9" s="72">
        <f>IF(AP$59="X","",IF(AP$59&lt;&gt;"",AP$59,IF(IFERROR(INDEX(醫師週班表!$C$5:$T$44,$CU9,AP$57),"")=0,"",IF(MID(IFERROR(INDEX(醫師週班表!$C$5:$T$44,$CU9,AP$57),""),2,1)="/",MID(IFERROR(INDEX(醫師週班表!$C$5:$T$44,$CU9,AP$57),""),1+AP$58*2,1),IF(MID(IFERROR(INDEX(醫師週班表!$C$5:$T$44,$CU9,AP$57),""),3,1)="隔",IF(AP$58=0,LEFT(IFERROR(INDEX(醫師週班表!$C$5:$T$44,$CU9,AP$57),""),1),""),IF(MID(IFERROR(INDEX(醫師週班表!$C$5:$T$44,$CU9,AP$57),""),2,1)="(",LEFT(IFERROR(INDEX(醫師週班表!$C$5:$T$44,$CU9,AP$57),""),1),IFERROR(INDEX(醫師週班表!$C$5:$T$44,$CU9,AP$57),"")))))))</f>
        <v/>
      </c>
      <c r="AQ9" s="72">
        <f>IF(AQ$59="X","",IF(AQ$59&lt;&gt;"",AQ$59,IF(IFERROR(INDEX(醫師週班表!$C$5:$T$44,$CU9,AQ$57),"")=0,"",IF(MID(IFERROR(INDEX(醫師週班表!$C$5:$T$44,$CU9,AQ$57),""),2,1)="/",MID(IFERROR(INDEX(醫師週班表!$C$5:$T$44,$CU9,AQ$57),""),1+AQ$58*2,1),IF(MID(IFERROR(INDEX(醫師週班表!$C$5:$T$44,$CU9,AQ$57),""),3,1)="隔",IF(AQ$58=0,LEFT(IFERROR(INDEX(醫師週班表!$C$5:$T$44,$CU9,AQ$57),""),1),""),IF(MID(IFERROR(INDEX(醫師週班表!$C$5:$T$44,$CU9,AQ$57),""),2,1)="(",LEFT(IFERROR(INDEX(醫師週班表!$C$5:$T$44,$CU9,AQ$57),""),1),IFERROR(INDEX(醫師週班表!$C$5:$T$44,$CU9,AQ$57),"")))))))</f>
        <v/>
      </c>
      <c r="AR9" s="71">
        <f>IF(AR$59="X","",IF(AR$59&lt;&gt;"",AR$59,IF(IFERROR(INDEX(醫師週班表!$C$5:$T$44,$CU9,AR$57),"")=0,"",IF(MID(IFERROR(INDEX(醫師週班表!$C$5:$T$44,$CU9,AR$57),""),2,1)="/",MID(IFERROR(INDEX(醫師週班表!$C$5:$T$44,$CU9,AR$57),""),1+AR$58*2,1),IF(MID(IFERROR(INDEX(醫師週班表!$C$5:$T$44,$CU9,AR$57),""),3,1)="隔",IF(AR$58=0,LEFT(IFERROR(INDEX(醫師週班表!$C$5:$T$44,$CU9,AR$57),""),1),""),IF(MID(IFERROR(INDEX(醫師週班表!$C$5:$T$44,$CU9,AR$57),""),2,1)="(",LEFT(IFERROR(INDEX(醫師週班表!$C$5:$T$44,$CU9,AR$57),""),1),IFERROR(INDEX(醫師週班表!$C$5:$T$44,$CU9,AR$57),"")))))))</f>
        <v/>
      </c>
      <c r="AS9" s="72">
        <f>IF(AS$59="X","",IF(AS$59&lt;&gt;"",AS$59,IF(IFERROR(INDEX(醫師週班表!$C$5:$T$44,$CU9,AS$57),"")=0,"",IF(MID(IFERROR(INDEX(醫師週班表!$C$5:$T$44,$CU9,AS$57),""),2,1)="/",MID(IFERROR(INDEX(醫師週班表!$C$5:$T$44,$CU9,AS$57),""),1+AS$58*2,1),IF(MID(IFERROR(INDEX(醫師週班表!$C$5:$T$44,$CU9,AS$57),""),3,1)="隔",IF(AS$58=0,LEFT(IFERROR(INDEX(醫師週班表!$C$5:$T$44,$CU9,AS$57),""),1),""),IF(MID(IFERROR(INDEX(醫師週班表!$C$5:$T$44,$CU9,AS$57),""),2,1)="(",LEFT(IFERROR(INDEX(醫師週班表!$C$5:$T$44,$CU9,AS$57),""),1),IFERROR(INDEX(醫師週班表!$C$5:$T$44,$CU9,AS$57),"")))))))</f>
        <v/>
      </c>
      <c r="AT9" s="72">
        <f>IF(AT$59="X","",IF(AT$59&lt;&gt;"",AT$59,IF(IFERROR(INDEX(醫師週班表!$C$5:$T$44,$CU9,AT$57),"")=0,"",IF(MID(IFERROR(INDEX(醫師週班表!$C$5:$T$44,$CU9,AT$57),""),2,1)="/",MID(IFERROR(INDEX(醫師週班表!$C$5:$T$44,$CU9,AT$57),""),1+AT$58*2,1),IF(MID(IFERROR(INDEX(醫師週班表!$C$5:$T$44,$CU9,AT$57),""),3,1)="隔",IF(AT$58=0,LEFT(IFERROR(INDEX(醫師週班表!$C$5:$T$44,$CU9,AT$57),""),1),""),IF(MID(IFERROR(INDEX(醫師週班表!$C$5:$T$44,$CU9,AT$57),""),2,1)="(",LEFT(IFERROR(INDEX(醫師週班表!$C$5:$T$44,$CU9,AT$57),""),1),IFERROR(INDEX(醫師週班表!$C$5:$T$44,$CU9,AT$57),"")))))))</f>
        <v/>
      </c>
      <c r="AU9" s="71">
        <f>IF(AU$59="X","",IF(AU$59&lt;&gt;"",AU$59,IF(IFERROR(INDEX(醫師週班表!$C$5:$T$44,$CU9,AU$57),"")=0,"",IF(MID(IFERROR(INDEX(醫師週班表!$C$5:$T$44,$CU9,AU$57),""),2,1)="/",MID(IFERROR(INDEX(醫師週班表!$C$5:$T$44,$CU9,AU$57),""),1+AU$58*2,1),IF(MID(IFERROR(INDEX(醫師週班表!$C$5:$T$44,$CU9,AU$57),""),3,1)="隔",IF(AU$58=0,LEFT(IFERROR(INDEX(醫師週班表!$C$5:$T$44,$CU9,AU$57),""),1),""),IF(MID(IFERROR(INDEX(醫師週班表!$C$5:$T$44,$CU9,AU$57),""),2,1)="(",LEFT(IFERROR(INDEX(醫師週班表!$C$5:$T$44,$CU9,AU$57),""),1),IFERROR(INDEX(醫師週班表!$C$5:$T$44,$CU9,AU$57),"")))))))</f>
        <v/>
      </c>
      <c r="AV9" s="72">
        <f>IF(AV$59="X","",IF(AV$59&lt;&gt;"",AV$59,IF(IFERROR(INDEX(醫師週班表!$C$5:$T$44,$CU9,AV$57),"")=0,"",IF(MID(IFERROR(INDEX(醫師週班表!$C$5:$T$44,$CU9,AV$57),""),2,1)="/",MID(IFERROR(INDEX(醫師週班表!$C$5:$T$44,$CU9,AV$57),""),1+AV$58*2,1),IF(MID(IFERROR(INDEX(醫師週班表!$C$5:$T$44,$CU9,AV$57),""),3,1)="隔",IF(AV$58=0,LEFT(IFERROR(INDEX(醫師週班表!$C$5:$T$44,$CU9,AV$57),""),1),""),IF(MID(IFERROR(INDEX(醫師週班表!$C$5:$T$44,$CU9,AV$57),""),2,1)="(",LEFT(IFERROR(INDEX(醫師週班表!$C$5:$T$44,$CU9,AV$57),""),1),IFERROR(INDEX(醫師週班表!$C$5:$T$44,$CU9,AV$57),"")))))))</f>
        <v/>
      </c>
      <c r="AW9" s="72">
        <f>IF(AW$59="X","",IF(AW$59&lt;&gt;"",AW$59,IF(IFERROR(INDEX(醫師週班表!$C$5:$T$44,$CU9,AW$57),"")=0,"",IF(MID(IFERROR(INDEX(醫師週班表!$C$5:$T$44,$CU9,AW$57),""),2,1)="/",MID(IFERROR(INDEX(醫師週班表!$C$5:$T$44,$CU9,AW$57),""),1+AW$58*2,1),IF(MID(IFERROR(INDEX(醫師週班表!$C$5:$T$44,$CU9,AW$57),""),3,1)="隔",IF(AW$58=0,LEFT(IFERROR(INDEX(醫師週班表!$C$5:$T$44,$CU9,AW$57),""),1),""),IF(MID(IFERROR(INDEX(醫師週班表!$C$5:$T$44,$CU9,AW$57),""),2,1)="(",LEFT(IFERROR(INDEX(醫師週班表!$C$5:$T$44,$CU9,AW$57),""),1),IFERROR(INDEX(醫師週班表!$C$5:$T$44,$CU9,AW$57),"")))))))</f>
        <v/>
      </c>
      <c r="AX9" s="71">
        <f>IF(AX$59="X","",IF(AX$59&lt;&gt;"",AX$59,IF(IFERROR(INDEX(醫師週班表!$C$5:$T$44,$CU9,AX$57),"")=0,"",IF(MID(IFERROR(INDEX(醫師週班表!$C$5:$T$44,$CU9,AX$57),""),2,1)="/",MID(IFERROR(INDEX(醫師週班表!$C$5:$T$44,$CU9,AX$57),""),1+AX$58*2,1),IF(MID(IFERROR(INDEX(醫師週班表!$C$5:$T$44,$CU9,AX$57),""),3,1)="隔",IF(AX$58=0,LEFT(IFERROR(INDEX(醫師週班表!$C$5:$T$44,$CU9,AX$57),""),1),""),IF(MID(IFERROR(INDEX(醫師週班表!$C$5:$T$44,$CU9,AX$57),""),2,1)="(",LEFT(IFERROR(INDEX(醫師週班表!$C$5:$T$44,$CU9,AX$57),""),1),IFERROR(INDEX(醫師週班表!$C$5:$T$44,$CU9,AX$57),"")))))))</f>
        <v/>
      </c>
      <c r="AY9" s="72">
        <f>IF(AY$59="X","",IF(AY$59&lt;&gt;"",AY$59,IF(IFERROR(INDEX(醫師週班表!$C$5:$T$44,$CU9,AY$57),"")=0,"",IF(MID(IFERROR(INDEX(醫師週班表!$C$5:$T$44,$CU9,AY$57),""),2,1)="/",MID(IFERROR(INDEX(醫師週班表!$C$5:$T$44,$CU9,AY$57),""),1+AY$58*2,1),IF(MID(IFERROR(INDEX(醫師週班表!$C$5:$T$44,$CU9,AY$57),""),3,1)="隔",IF(AY$58=0,LEFT(IFERROR(INDEX(醫師週班表!$C$5:$T$44,$CU9,AY$57),""),1),""),IF(MID(IFERROR(INDEX(醫師週班表!$C$5:$T$44,$CU9,AY$57),""),2,1)="(",LEFT(IFERROR(INDEX(醫師週班表!$C$5:$T$44,$CU9,AY$57),""),1),IFERROR(INDEX(醫師週班表!$C$5:$T$44,$CU9,AY$57),"")))))))</f>
        <v/>
      </c>
      <c r="AZ9" s="72">
        <f>IF(AZ$59="X","",IF(AZ$59&lt;&gt;"",AZ$59,IF(IFERROR(INDEX(醫師週班表!$C$5:$T$44,$CU9,AZ$57),"")=0,"",IF(MID(IFERROR(INDEX(醫師週班表!$C$5:$T$44,$CU9,AZ$57),""),2,1)="/",MID(IFERROR(INDEX(醫師週班表!$C$5:$T$44,$CU9,AZ$57),""),1+AZ$58*2,1),IF(MID(IFERROR(INDEX(醫師週班表!$C$5:$T$44,$CU9,AZ$57),""),3,1)="隔",IF(AZ$58=0,LEFT(IFERROR(INDEX(醫師週班表!$C$5:$T$44,$CU9,AZ$57),""),1),""),IF(MID(IFERROR(INDEX(醫師週班表!$C$5:$T$44,$CU9,AZ$57),""),2,1)="(",LEFT(IFERROR(INDEX(醫師週班表!$C$5:$T$44,$CU9,AZ$57),""),1),IFERROR(INDEX(醫師週班表!$C$5:$T$44,$CU9,AZ$57),"")))))))</f>
        <v/>
      </c>
      <c r="BA9" s="71">
        <f>IF(BA$59="X","",IF(BA$59&lt;&gt;"",BA$59,IF(IFERROR(INDEX(醫師週班表!$C$5:$T$44,$CU9,BA$57),"")=0,"",IF(MID(IFERROR(INDEX(醫師週班表!$C$5:$T$44,$CU9,BA$57),""),2,1)="/",MID(IFERROR(INDEX(醫師週班表!$C$5:$T$44,$CU9,BA$57),""),1+BA$58*2,1),IF(MID(IFERROR(INDEX(醫師週班表!$C$5:$T$44,$CU9,BA$57),""),3,1)="隔",IF(BA$58=0,LEFT(IFERROR(INDEX(醫師週班表!$C$5:$T$44,$CU9,BA$57),""),1),""),IF(MID(IFERROR(INDEX(醫師週班表!$C$5:$T$44,$CU9,BA$57),""),2,1)="(",LEFT(IFERROR(INDEX(醫師週班表!$C$5:$T$44,$CU9,BA$57),""),1),IFERROR(INDEX(醫師週班表!$C$5:$T$44,$CU9,BA$57),"")))))))</f>
        <v/>
      </c>
      <c r="BB9" s="72">
        <f>IF(BB$59="X","",IF(BB$59&lt;&gt;"",BB$59,IF(IFERROR(INDEX(醫師週班表!$C$5:$T$44,$CU9,BB$57),"")=0,"",IF(MID(IFERROR(INDEX(醫師週班表!$C$5:$T$44,$CU9,BB$57),""),2,1)="/",MID(IFERROR(INDEX(醫師週班表!$C$5:$T$44,$CU9,BB$57),""),1+BB$58*2,1),IF(MID(IFERROR(INDEX(醫師週班表!$C$5:$T$44,$CU9,BB$57),""),3,1)="隔",IF(BB$58=0,LEFT(IFERROR(INDEX(醫師週班表!$C$5:$T$44,$CU9,BB$57),""),1),""),IF(MID(IFERROR(INDEX(醫師週班表!$C$5:$T$44,$CU9,BB$57),""),2,1)="(",LEFT(IFERROR(INDEX(醫師週班表!$C$5:$T$44,$CU9,BB$57),""),1),IFERROR(INDEX(醫師週班表!$C$5:$T$44,$CU9,BB$57),"")))))))</f>
        <v/>
      </c>
      <c r="BC9" s="72">
        <f>IF(BC$59="X","",IF(BC$59&lt;&gt;"",BC$59,IF(IFERROR(INDEX(醫師週班表!$C$5:$T$44,$CU9,BC$57),"")=0,"",IF(MID(IFERROR(INDEX(醫師週班表!$C$5:$T$44,$CU9,BC$57),""),2,1)="/",MID(IFERROR(INDEX(醫師週班表!$C$5:$T$44,$CU9,BC$57),""),1+BC$58*2,1),IF(MID(IFERROR(INDEX(醫師週班表!$C$5:$T$44,$CU9,BC$57),""),3,1)="隔",IF(BC$58=0,LEFT(IFERROR(INDEX(醫師週班表!$C$5:$T$44,$CU9,BC$57),""),1),""),IF(MID(IFERROR(INDEX(醫師週班表!$C$5:$T$44,$CU9,BC$57),""),2,1)="(",LEFT(IFERROR(INDEX(醫師週班表!$C$5:$T$44,$CU9,BC$57),""),1),IFERROR(INDEX(醫師週班表!$C$5:$T$44,$CU9,BC$57),"")))))))</f>
        <v/>
      </c>
      <c r="BD9" s="71">
        <f>IF(BD$59="X","",IF(BD$59&lt;&gt;"",BD$59,IF(IFERROR(INDEX(醫師週班表!$C$5:$T$44,$CU9,BD$57),"")=0,"",IF(MID(IFERROR(INDEX(醫師週班表!$C$5:$T$44,$CU9,BD$57),""),2,1)="/",MID(IFERROR(INDEX(醫師週班表!$C$5:$T$44,$CU9,BD$57),""),1+BD$58*2,1),IF(MID(IFERROR(INDEX(醫師週班表!$C$5:$T$44,$CU9,BD$57),""),3,1)="隔",IF(BD$58=0,LEFT(IFERROR(INDEX(醫師週班表!$C$5:$T$44,$CU9,BD$57),""),1),""),IF(MID(IFERROR(INDEX(醫師週班表!$C$5:$T$44,$CU9,BD$57),""),2,1)="(",LEFT(IFERROR(INDEX(醫師週班表!$C$5:$T$44,$CU9,BD$57),""),1),IFERROR(INDEX(醫師週班表!$C$5:$T$44,$CU9,BD$57),"")))))))</f>
        <v/>
      </c>
      <c r="BE9" s="72">
        <f>IF(BE$59="X","",IF(BE$59&lt;&gt;"",BE$59,IF(IFERROR(INDEX(醫師週班表!$C$5:$T$44,$CU9,BE$57),"")=0,"",IF(MID(IFERROR(INDEX(醫師週班表!$C$5:$T$44,$CU9,BE$57),""),2,1)="/",MID(IFERROR(INDEX(醫師週班表!$C$5:$T$44,$CU9,BE$57),""),1+BE$58*2,1),IF(MID(IFERROR(INDEX(醫師週班表!$C$5:$T$44,$CU9,BE$57),""),3,1)="隔",IF(BE$58=0,LEFT(IFERROR(INDEX(醫師週班表!$C$5:$T$44,$CU9,BE$57),""),1),""),IF(MID(IFERROR(INDEX(醫師週班表!$C$5:$T$44,$CU9,BE$57),""),2,1)="(",LEFT(IFERROR(INDEX(醫師週班表!$C$5:$T$44,$CU9,BE$57),""),1),IFERROR(INDEX(醫師週班表!$C$5:$T$44,$CU9,BE$57),"")))))))</f>
        <v/>
      </c>
      <c r="BF9" s="72">
        <f>IF(BF$59="X","",IF(BF$59&lt;&gt;"",BF$59,IF(IFERROR(INDEX(醫師週班表!$C$5:$T$44,$CU9,BF$57),"")=0,"",IF(MID(IFERROR(INDEX(醫師週班表!$C$5:$T$44,$CU9,BF$57),""),2,1)="/",MID(IFERROR(INDEX(醫師週班表!$C$5:$T$44,$CU9,BF$57),""),1+BF$58*2,1),IF(MID(IFERROR(INDEX(醫師週班表!$C$5:$T$44,$CU9,BF$57),""),3,1)="隔",IF(BF$58=0,LEFT(IFERROR(INDEX(醫師週班表!$C$5:$T$44,$CU9,BF$57),""),1),""),IF(MID(IFERROR(INDEX(醫師週班表!$C$5:$T$44,$CU9,BF$57),""),2,1)="(",LEFT(IFERROR(INDEX(醫師週班表!$C$5:$T$44,$CU9,BF$57),""),1),IFERROR(INDEX(醫師週班表!$C$5:$T$44,$CU9,BF$57),"")))))))</f>
        <v/>
      </c>
      <c r="BG9" s="71">
        <f>IF(BG$59="X","",IF(BG$59&lt;&gt;"",BG$59,IF(IFERROR(INDEX(醫師週班表!$C$5:$T$44,$CU9,BG$57),"")=0,"",IF(MID(IFERROR(INDEX(醫師週班表!$C$5:$T$44,$CU9,BG$57),""),2,1)="/",MID(IFERROR(INDEX(醫師週班表!$C$5:$T$44,$CU9,BG$57),""),1+BG$58*2,1),IF(MID(IFERROR(INDEX(醫師週班表!$C$5:$T$44,$CU9,BG$57),""),3,1)="隔",IF(BG$58=0,LEFT(IFERROR(INDEX(醫師週班表!$C$5:$T$44,$CU9,BG$57),""),1),""),IF(MID(IFERROR(INDEX(醫師週班表!$C$5:$T$44,$CU9,BG$57),""),2,1)="(",LEFT(IFERROR(INDEX(醫師週班表!$C$5:$T$44,$CU9,BG$57),""),1),IFERROR(INDEX(醫師週班表!$C$5:$T$44,$CU9,BG$57),"")))))))</f>
        <v/>
      </c>
      <c r="BH9" s="72">
        <f>IF(BH$59="X","",IF(BH$59&lt;&gt;"",BH$59,IF(IFERROR(INDEX(醫師週班表!$C$5:$T$44,$CU9,BH$57),"")=0,"",IF(MID(IFERROR(INDEX(醫師週班表!$C$5:$T$44,$CU9,BH$57),""),2,1)="/",MID(IFERROR(INDEX(醫師週班表!$C$5:$T$44,$CU9,BH$57),""),1+BH$58*2,1),IF(MID(IFERROR(INDEX(醫師週班表!$C$5:$T$44,$CU9,BH$57),""),3,1)="隔",IF(BH$58=0,LEFT(IFERROR(INDEX(醫師週班表!$C$5:$T$44,$CU9,BH$57),""),1),""),IF(MID(IFERROR(INDEX(醫師週班表!$C$5:$T$44,$CU9,BH$57),""),2,1)="(",LEFT(IFERROR(INDEX(醫師週班表!$C$5:$T$44,$CU9,BH$57),""),1),IFERROR(INDEX(醫師週班表!$C$5:$T$44,$CU9,BH$57),"")))))))</f>
        <v/>
      </c>
      <c r="BI9" s="72">
        <f>IF(BI$59="X","",IF(BI$59&lt;&gt;"",BI$59,IF(IFERROR(INDEX(醫師週班表!$C$5:$T$44,$CU9,BI$57),"")=0,"",IF(MID(IFERROR(INDEX(醫師週班表!$C$5:$T$44,$CU9,BI$57),""),2,1)="/",MID(IFERROR(INDEX(醫師週班表!$C$5:$T$44,$CU9,BI$57),""),1+BI$58*2,1),IF(MID(IFERROR(INDEX(醫師週班表!$C$5:$T$44,$CU9,BI$57),""),3,1)="隔",IF(BI$58=0,LEFT(IFERROR(INDEX(醫師週班表!$C$5:$T$44,$CU9,BI$57),""),1),""),IF(MID(IFERROR(INDEX(醫師週班表!$C$5:$T$44,$CU9,BI$57),""),2,1)="(",LEFT(IFERROR(INDEX(醫師週班表!$C$5:$T$44,$CU9,BI$57),""),1),IFERROR(INDEX(醫師週班表!$C$5:$T$44,$CU9,BI$57),"")))))))</f>
        <v/>
      </c>
      <c r="BJ9" s="71">
        <f>IF(BJ$59="X","",IF(BJ$59&lt;&gt;"",BJ$59,IF(IFERROR(INDEX(醫師週班表!$C$5:$T$44,$CU9,BJ$57),"")=0,"",IF(MID(IFERROR(INDEX(醫師週班表!$C$5:$T$44,$CU9,BJ$57),""),2,1)="/",MID(IFERROR(INDEX(醫師週班表!$C$5:$T$44,$CU9,BJ$57),""),1+BJ$58*2,1),IF(MID(IFERROR(INDEX(醫師週班表!$C$5:$T$44,$CU9,BJ$57),""),3,1)="隔",IF(BJ$58=0,LEFT(IFERROR(INDEX(醫師週班表!$C$5:$T$44,$CU9,BJ$57),""),1),""),IF(MID(IFERROR(INDEX(醫師週班表!$C$5:$T$44,$CU9,BJ$57),""),2,1)="(",LEFT(IFERROR(INDEX(醫師週班表!$C$5:$T$44,$CU9,BJ$57),""),1),IFERROR(INDEX(醫師週班表!$C$5:$T$44,$CU9,BJ$57),"")))))))</f>
        <v/>
      </c>
      <c r="BK9" s="72">
        <f>IF(BK$59="X","",IF(BK$59&lt;&gt;"",BK$59,IF(IFERROR(INDEX(醫師週班表!$C$5:$T$44,$CU9,BK$57),"")=0,"",IF(MID(IFERROR(INDEX(醫師週班表!$C$5:$T$44,$CU9,BK$57),""),2,1)="/",MID(IFERROR(INDEX(醫師週班表!$C$5:$T$44,$CU9,BK$57),""),1+BK$58*2,1),IF(MID(IFERROR(INDEX(醫師週班表!$C$5:$T$44,$CU9,BK$57),""),3,1)="隔",IF(BK$58=0,LEFT(IFERROR(INDEX(醫師週班表!$C$5:$T$44,$CU9,BK$57),""),1),""),IF(MID(IFERROR(INDEX(醫師週班表!$C$5:$T$44,$CU9,BK$57),""),2,1)="(",LEFT(IFERROR(INDEX(醫師週班表!$C$5:$T$44,$CU9,BK$57),""),1),IFERROR(INDEX(醫師週班表!$C$5:$T$44,$CU9,BK$57),"")))))))</f>
        <v/>
      </c>
      <c r="BL9" s="72">
        <f>IF(BL$59="X","",IF(BL$59&lt;&gt;"",BL$59,IF(IFERROR(INDEX(醫師週班表!$C$5:$T$44,$CU9,BL$57),"")=0,"",IF(MID(IFERROR(INDEX(醫師週班表!$C$5:$T$44,$CU9,BL$57),""),2,1)="/",MID(IFERROR(INDEX(醫師週班表!$C$5:$T$44,$CU9,BL$57),""),1+BL$58*2,1),IF(MID(IFERROR(INDEX(醫師週班表!$C$5:$T$44,$CU9,BL$57),""),3,1)="隔",IF(BL$58=0,LEFT(IFERROR(INDEX(醫師週班表!$C$5:$T$44,$CU9,BL$57),""),1),""),IF(MID(IFERROR(INDEX(醫師週班表!$C$5:$T$44,$CU9,BL$57),""),2,1)="(",LEFT(IFERROR(INDEX(醫師週班表!$C$5:$T$44,$CU9,BL$57),""),1),IFERROR(INDEX(醫師週班表!$C$5:$T$44,$CU9,BL$57),"")))))))</f>
        <v/>
      </c>
      <c r="BM9" s="71">
        <f>IF(BM$59="X","",IF(BM$59&lt;&gt;"",BM$59,IF(IFERROR(INDEX(醫師週班表!$C$5:$T$44,$CU9,BM$57),"")=0,"",IF(MID(IFERROR(INDEX(醫師週班表!$C$5:$T$44,$CU9,BM$57),""),2,1)="/",MID(IFERROR(INDEX(醫師週班表!$C$5:$T$44,$CU9,BM$57),""),1+BM$58*2,1),IF(MID(IFERROR(INDEX(醫師週班表!$C$5:$T$44,$CU9,BM$57),""),3,1)="隔",IF(BM$58=0,LEFT(IFERROR(INDEX(醫師週班表!$C$5:$T$44,$CU9,BM$57),""),1),""),IF(MID(IFERROR(INDEX(醫師週班表!$C$5:$T$44,$CU9,BM$57),""),2,1)="(",LEFT(IFERROR(INDEX(醫師週班表!$C$5:$T$44,$CU9,BM$57),""),1),IFERROR(INDEX(醫師週班表!$C$5:$T$44,$CU9,BM$57),"")))))))</f>
        <v/>
      </c>
      <c r="BN9" s="72">
        <f>IF(BN$59="X","",IF(BN$59&lt;&gt;"",BN$59,IF(IFERROR(INDEX(醫師週班表!$C$5:$T$44,$CU9,BN$57),"")=0,"",IF(MID(IFERROR(INDEX(醫師週班表!$C$5:$T$44,$CU9,BN$57),""),2,1)="/",MID(IFERROR(INDEX(醫師週班表!$C$5:$T$44,$CU9,BN$57),""),1+BN$58*2,1),IF(MID(IFERROR(INDEX(醫師週班表!$C$5:$T$44,$CU9,BN$57),""),3,1)="隔",IF(BN$58=0,LEFT(IFERROR(INDEX(醫師週班表!$C$5:$T$44,$CU9,BN$57),""),1),""),IF(MID(IFERROR(INDEX(醫師週班表!$C$5:$T$44,$CU9,BN$57),""),2,1)="(",LEFT(IFERROR(INDEX(醫師週班表!$C$5:$T$44,$CU9,BN$57),""),1),IFERROR(INDEX(醫師週班表!$C$5:$T$44,$CU9,BN$57),"")))))))</f>
        <v/>
      </c>
      <c r="BO9" s="72">
        <f>IF(BO$59="X","",IF(BO$59&lt;&gt;"",BO$59,IF(IFERROR(INDEX(醫師週班表!$C$5:$T$44,$CU9,BO$57),"")=0,"",IF(MID(IFERROR(INDEX(醫師週班表!$C$5:$T$44,$CU9,BO$57),""),2,1)="/",MID(IFERROR(INDEX(醫師週班表!$C$5:$T$44,$CU9,BO$57),""),1+BO$58*2,1),IF(MID(IFERROR(INDEX(醫師週班表!$C$5:$T$44,$CU9,BO$57),""),3,1)="隔",IF(BO$58=0,LEFT(IFERROR(INDEX(醫師週班表!$C$5:$T$44,$CU9,BO$57),""),1),""),IF(MID(IFERROR(INDEX(醫師週班表!$C$5:$T$44,$CU9,BO$57),""),2,1)="(",LEFT(IFERROR(INDEX(醫師週班表!$C$5:$T$44,$CU9,BO$57),""),1),IFERROR(INDEX(醫師週班表!$C$5:$T$44,$CU9,BO$57),"")))))))</f>
        <v/>
      </c>
      <c r="BP9" s="71">
        <f>IF(BP$59="X","",IF(BP$59&lt;&gt;"",BP$59,IF(IFERROR(INDEX(醫師週班表!$C$5:$T$44,$CU9,BP$57),"")=0,"",IF(MID(IFERROR(INDEX(醫師週班表!$C$5:$T$44,$CU9,BP$57),""),2,1)="/",MID(IFERROR(INDEX(醫師週班表!$C$5:$T$44,$CU9,BP$57),""),1+BP$58*2,1),IF(MID(IFERROR(INDEX(醫師週班表!$C$5:$T$44,$CU9,BP$57),""),3,1)="隔",IF(BP$58=0,LEFT(IFERROR(INDEX(醫師週班表!$C$5:$T$44,$CU9,BP$57),""),1),""),IF(MID(IFERROR(INDEX(醫師週班表!$C$5:$T$44,$CU9,BP$57),""),2,1)="(",LEFT(IFERROR(INDEX(醫師週班表!$C$5:$T$44,$CU9,BP$57),""),1),IFERROR(INDEX(醫師週班表!$C$5:$T$44,$CU9,BP$57),"")))))))</f>
        <v/>
      </c>
      <c r="BQ9" s="72">
        <f>IF(BQ$59="X","",IF(BQ$59&lt;&gt;"",BQ$59,IF(IFERROR(INDEX(醫師週班表!$C$5:$T$44,$CU9,BQ$57),"")=0,"",IF(MID(IFERROR(INDEX(醫師週班表!$C$5:$T$44,$CU9,BQ$57),""),2,1)="/",MID(IFERROR(INDEX(醫師週班表!$C$5:$T$44,$CU9,BQ$57),""),1+BQ$58*2,1),IF(MID(IFERROR(INDEX(醫師週班表!$C$5:$T$44,$CU9,BQ$57),""),3,1)="隔",IF(BQ$58=0,LEFT(IFERROR(INDEX(醫師週班表!$C$5:$T$44,$CU9,BQ$57),""),1),""),IF(MID(IFERROR(INDEX(醫師週班表!$C$5:$T$44,$CU9,BQ$57),""),2,1)="(",LEFT(IFERROR(INDEX(醫師週班表!$C$5:$T$44,$CU9,BQ$57),""),1),IFERROR(INDEX(醫師週班表!$C$5:$T$44,$CU9,BQ$57),"")))))))</f>
        <v/>
      </c>
      <c r="BR9" s="72">
        <f>IF(BR$59="X","",IF(BR$59&lt;&gt;"",BR$59,IF(IFERROR(INDEX(醫師週班表!$C$5:$T$44,$CU9,BR$57),"")=0,"",IF(MID(IFERROR(INDEX(醫師週班表!$C$5:$T$44,$CU9,BR$57),""),2,1)="/",MID(IFERROR(INDEX(醫師週班表!$C$5:$T$44,$CU9,BR$57),""),1+BR$58*2,1),IF(MID(IFERROR(INDEX(醫師週班表!$C$5:$T$44,$CU9,BR$57),""),3,1)="隔",IF(BR$58=0,LEFT(IFERROR(INDEX(醫師週班表!$C$5:$T$44,$CU9,BR$57),""),1),""),IF(MID(IFERROR(INDEX(醫師週班表!$C$5:$T$44,$CU9,BR$57),""),2,1)="(",LEFT(IFERROR(INDEX(醫師週班表!$C$5:$T$44,$CU9,BR$57),""),1),IFERROR(INDEX(醫師週班表!$C$5:$T$44,$CU9,BR$57),"")))))))</f>
        <v/>
      </c>
      <c r="BS9" s="71">
        <f>IF(BS$59="X","",IF(BS$59&lt;&gt;"",BS$59,IF(IFERROR(INDEX(醫師週班表!$C$5:$T$44,$CU9,BS$57),"")=0,"",IF(MID(IFERROR(INDEX(醫師週班表!$C$5:$T$44,$CU9,BS$57),""),2,1)="/",MID(IFERROR(INDEX(醫師週班表!$C$5:$T$44,$CU9,BS$57),""),1+BS$58*2,1),IF(MID(IFERROR(INDEX(醫師週班表!$C$5:$T$44,$CU9,BS$57),""),3,1)="隔",IF(BS$58=0,LEFT(IFERROR(INDEX(醫師週班表!$C$5:$T$44,$CU9,BS$57),""),1),""),IF(MID(IFERROR(INDEX(醫師週班表!$C$5:$T$44,$CU9,BS$57),""),2,1)="(",LEFT(IFERROR(INDEX(醫師週班表!$C$5:$T$44,$CU9,BS$57),""),1),IFERROR(INDEX(醫師週班表!$C$5:$T$44,$CU9,BS$57),"")))))))</f>
        <v/>
      </c>
      <c r="BT9" s="72">
        <f>IF(BT$59="X","",IF(BT$59&lt;&gt;"",BT$59,IF(IFERROR(INDEX(醫師週班表!$C$5:$T$44,$CU9,BT$57),"")=0,"",IF(MID(IFERROR(INDEX(醫師週班表!$C$5:$T$44,$CU9,BT$57),""),2,1)="/",MID(IFERROR(INDEX(醫師週班表!$C$5:$T$44,$CU9,BT$57),""),1+BT$58*2,1),IF(MID(IFERROR(INDEX(醫師週班表!$C$5:$T$44,$CU9,BT$57),""),3,1)="隔",IF(BT$58=0,LEFT(IFERROR(INDEX(醫師週班表!$C$5:$T$44,$CU9,BT$57),""),1),""),IF(MID(IFERROR(INDEX(醫師週班表!$C$5:$T$44,$CU9,BT$57),""),2,1)="(",LEFT(IFERROR(INDEX(醫師週班表!$C$5:$T$44,$CU9,BT$57),""),1),IFERROR(INDEX(醫師週班表!$C$5:$T$44,$CU9,BT$57),"")))))))</f>
        <v/>
      </c>
      <c r="BU9" s="72">
        <f>IF(BU$59="X","",IF(BU$59&lt;&gt;"",BU$59,IF(IFERROR(INDEX(醫師週班表!$C$5:$T$44,$CU9,BU$57),"")=0,"",IF(MID(IFERROR(INDEX(醫師週班表!$C$5:$T$44,$CU9,BU$57),""),2,1)="/",MID(IFERROR(INDEX(醫師週班表!$C$5:$T$44,$CU9,BU$57),""),1+BU$58*2,1),IF(MID(IFERROR(INDEX(醫師週班表!$C$5:$T$44,$CU9,BU$57),""),3,1)="隔",IF(BU$58=0,LEFT(IFERROR(INDEX(醫師週班表!$C$5:$T$44,$CU9,BU$57),""),1),""),IF(MID(IFERROR(INDEX(醫師週班表!$C$5:$T$44,$CU9,BU$57),""),2,1)="(",LEFT(IFERROR(INDEX(醫師週班表!$C$5:$T$44,$CU9,BU$57),""),1),IFERROR(INDEX(醫師週班表!$C$5:$T$44,$CU9,BU$57),"")))))))</f>
        <v/>
      </c>
      <c r="BV9" s="71">
        <f>IF(BV$59="X","",IF(BV$59&lt;&gt;"",BV$59,IF(IFERROR(INDEX(醫師週班表!$C$5:$T$44,$CU9,BV$57),"")=0,"",IF(MID(IFERROR(INDEX(醫師週班表!$C$5:$T$44,$CU9,BV$57),""),2,1)="/",MID(IFERROR(INDEX(醫師週班表!$C$5:$T$44,$CU9,BV$57),""),1+BV$58*2,1),IF(MID(IFERROR(INDEX(醫師週班表!$C$5:$T$44,$CU9,BV$57),""),3,1)="隔",IF(BV$58=0,LEFT(IFERROR(INDEX(醫師週班表!$C$5:$T$44,$CU9,BV$57),""),1),""),IF(MID(IFERROR(INDEX(醫師週班表!$C$5:$T$44,$CU9,BV$57),""),2,1)="(",LEFT(IFERROR(INDEX(醫師週班表!$C$5:$T$44,$CU9,BV$57),""),1),IFERROR(INDEX(醫師週班表!$C$5:$T$44,$CU9,BV$57),"")))))))</f>
        <v/>
      </c>
      <c r="BW9" s="72">
        <f>IF(BW$59="X","",IF(BW$59&lt;&gt;"",BW$59,IF(IFERROR(INDEX(醫師週班表!$C$5:$T$44,$CU9,BW$57),"")=0,"",IF(MID(IFERROR(INDEX(醫師週班表!$C$5:$T$44,$CU9,BW$57),""),2,1)="/",MID(IFERROR(INDEX(醫師週班表!$C$5:$T$44,$CU9,BW$57),""),1+BW$58*2,1),IF(MID(IFERROR(INDEX(醫師週班表!$C$5:$T$44,$CU9,BW$57),""),3,1)="隔",IF(BW$58=0,LEFT(IFERROR(INDEX(醫師週班表!$C$5:$T$44,$CU9,BW$57),""),1),""),IF(MID(IFERROR(INDEX(醫師週班表!$C$5:$T$44,$CU9,BW$57),""),2,1)="(",LEFT(IFERROR(INDEX(醫師週班表!$C$5:$T$44,$CU9,BW$57),""),1),IFERROR(INDEX(醫師週班表!$C$5:$T$44,$CU9,BW$57),"")))))))</f>
        <v/>
      </c>
      <c r="BX9" s="72">
        <f>IF(BX$59="X","",IF(BX$59&lt;&gt;"",BX$59,IF(IFERROR(INDEX(醫師週班表!$C$5:$T$44,$CU9,BX$57),"")=0,"",IF(MID(IFERROR(INDEX(醫師週班表!$C$5:$T$44,$CU9,BX$57),""),2,1)="/",MID(IFERROR(INDEX(醫師週班表!$C$5:$T$44,$CU9,BX$57),""),1+BX$58*2,1),IF(MID(IFERROR(INDEX(醫師週班表!$C$5:$T$44,$CU9,BX$57),""),3,1)="隔",IF(BX$58=0,LEFT(IFERROR(INDEX(醫師週班表!$C$5:$T$44,$CU9,BX$57),""),1),""),IF(MID(IFERROR(INDEX(醫師週班表!$C$5:$T$44,$CU9,BX$57),""),2,1)="(",LEFT(IFERROR(INDEX(醫師週班表!$C$5:$T$44,$CU9,BX$57),""),1),IFERROR(INDEX(醫師週班表!$C$5:$T$44,$CU9,BX$57),"")))))))</f>
        <v/>
      </c>
      <c r="BY9" s="71">
        <f>IF(BY$59="X","",IF(BY$59&lt;&gt;"",BY$59,IF(IFERROR(INDEX(醫師週班表!$C$5:$T$44,$CU9,BY$57),"")=0,"",IF(MID(IFERROR(INDEX(醫師週班表!$C$5:$T$44,$CU9,BY$57),""),2,1)="/",MID(IFERROR(INDEX(醫師週班表!$C$5:$T$44,$CU9,BY$57),""),1+BY$58*2,1),IF(MID(IFERROR(INDEX(醫師週班表!$C$5:$T$44,$CU9,BY$57),""),3,1)="隔",IF(BY$58=0,LEFT(IFERROR(INDEX(醫師週班表!$C$5:$T$44,$CU9,BY$57),""),1),""),IF(MID(IFERROR(INDEX(醫師週班表!$C$5:$T$44,$CU9,BY$57),""),2,1)="(",LEFT(IFERROR(INDEX(醫師週班表!$C$5:$T$44,$CU9,BY$57),""),1),IFERROR(INDEX(醫師週班表!$C$5:$T$44,$CU9,BY$57),"")))))))</f>
        <v/>
      </c>
      <c r="BZ9" s="72">
        <f>IF(BZ$59="X","",IF(BZ$59&lt;&gt;"",BZ$59,IF(IFERROR(INDEX(醫師週班表!$C$5:$T$44,$CU9,BZ$57),"")=0,"",IF(MID(IFERROR(INDEX(醫師週班表!$C$5:$T$44,$CU9,BZ$57),""),2,1)="/",MID(IFERROR(INDEX(醫師週班表!$C$5:$T$44,$CU9,BZ$57),""),1+BZ$58*2,1),IF(MID(IFERROR(INDEX(醫師週班表!$C$5:$T$44,$CU9,BZ$57),""),3,1)="隔",IF(BZ$58=0,LEFT(IFERROR(INDEX(醫師週班表!$C$5:$T$44,$CU9,BZ$57),""),1),""),IF(MID(IFERROR(INDEX(醫師週班表!$C$5:$T$44,$CU9,BZ$57),""),2,1)="(",LEFT(IFERROR(INDEX(醫師週班表!$C$5:$T$44,$CU9,BZ$57),""),1),IFERROR(INDEX(醫師週班表!$C$5:$T$44,$CU9,BZ$57),"")))))))</f>
        <v/>
      </c>
      <c r="CA9" s="72">
        <f>IF(CA$59="X","",IF(CA$59&lt;&gt;"",CA$59,IF(IFERROR(INDEX(醫師週班表!$C$5:$T$44,$CU9,CA$57),"")=0,"",IF(MID(IFERROR(INDEX(醫師週班表!$C$5:$T$44,$CU9,CA$57),""),2,1)="/",MID(IFERROR(INDEX(醫師週班表!$C$5:$T$44,$CU9,CA$57),""),1+CA$58*2,1),IF(MID(IFERROR(INDEX(醫師週班表!$C$5:$T$44,$CU9,CA$57),""),3,1)="隔",IF(CA$58=0,LEFT(IFERROR(INDEX(醫師週班表!$C$5:$T$44,$CU9,CA$57),""),1),""),IF(MID(IFERROR(INDEX(醫師週班表!$C$5:$T$44,$CU9,CA$57),""),2,1)="(",LEFT(IFERROR(INDEX(醫師週班表!$C$5:$T$44,$CU9,CA$57),""),1),IFERROR(INDEX(醫師週班表!$C$5:$T$44,$CU9,CA$57),"")))))))</f>
        <v/>
      </c>
      <c r="CB9" s="71">
        <f>IF(CB$59="X","",IF(CB$59&lt;&gt;"",CB$59,IF(IFERROR(INDEX(醫師週班表!$C$5:$T$44,$CU9,CB$57),"")=0,"",IF(MID(IFERROR(INDEX(醫師週班表!$C$5:$T$44,$CU9,CB$57),""),2,1)="/",MID(IFERROR(INDEX(醫師週班表!$C$5:$T$44,$CU9,CB$57),""),1+CB$58*2,1),IF(MID(IFERROR(INDEX(醫師週班表!$C$5:$T$44,$CU9,CB$57),""),3,1)="隔",IF(CB$58=0,LEFT(IFERROR(INDEX(醫師週班表!$C$5:$T$44,$CU9,CB$57),""),1),""),IF(MID(IFERROR(INDEX(醫師週班表!$C$5:$T$44,$CU9,CB$57),""),2,1)="(",LEFT(IFERROR(INDEX(醫師週班表!$C$5:$T$44,$CU9,CB$57),""),1),IFERROR(INDEX(醫師週班表!$C$5:$T$44,$CU9,CB$57),"")))))))</f>
        <v/>
      </c>
      <c r="CC9" s="72">
        <f>IF(CC$59="X","",IF(CC$59&lt;&gt;"",CC$59,IF(IFERROR(INDEX(醫師週班表!$C$5:$T$44,$CU9,CC$57),"")=0,"",IF(MID(IFERROR(INDEX(醫師週班表!$C$5:$T$44,$CU9,CC$57),""),2,1)="/",MID(IFERROR(INDEX(醫師週班表!$C$5:$T$44,$CU9,CC$57),""),1+CC$58*2,1),IF(MID(IFERROR(INDEX(醫師週班表!$C$5:$T$44,$CU9,CC$57),""),3,1)="隔",IF(CC$58=0,LEFT(IFERROR(INDEX(醫師週班表!$C$5:$T$44,$CU9,CC$57),""),1),""),IF(MID(IFERROR(INDEX(醫師週班表!$C$5:$T$44,$CU9,CC$57),""),2,1)="(",LEFT(IFERROR(INDEX(醫師週班表!$C$5:$T$44,$CU9,CC$57),""),1),IFERROR(INDEX(醫師週班表!$C$5:$T$44,$CU9,CC$57),"")))))))</f>
        <v/>
      </c>
      <c r="CD9" s="72">
        <f>IF(CD$59="X","",IF(CD$59&lt;&gt;"",CD$59,IF(IFERROR(INDEX(醫師週班表!$C$5:$T$44,$CU9,CD$57),"")=0,"",IF(MID(IFERROR(INDEX(醫師週班表!$C$5:$T$44,$CU9,CD$57),""),2,1)="/",MID(IFERROR(INDEX(醫師週班表!$C$5:$T$44,$CU9,CD$57),""),1+CD$58*2,1),IF(MID(IFERROR(INDEX(醫師週班表!$C$5:$T$44,$CU9,CD$57),""),3,1)="隔",IF(CD$58=0,LEFT(IFERROR(INDEX(醫師週班表!$C$5:$T$44,$CU9,CD$57),""),1),""),IF(MID(IFERROR(INDEX(醫師週班表!$C$5:$T$44,$CU9,CD$57),""),2,1)="(",LEFT(IFERROR(INDEX(醫師週班表!$C$5:$T$44,$CU9,CD$57),""),1),IFERROR(INDEX(醫師週班表!$C$5:$T$44,$CU9,CD$57),"")))))))</f>
        <v/>
      </c>
      <c r="CE9" s="71">
        <f>IF(CE$59="X","",IF(CE$59&lt;&gt;"",CE$59,IF(IFERROR(INDEX(醫師週班表!$C$5:$T$44,$CU9,CE$57),"")=0,"",IF(MID(IFERROR(INDEX(醫師週班表!$C$5:$T$44,$CU9,CE$57),""),2,1)="/",MID(IFERROR(INDEX(醫師週班表!$C$5:$T$44,$CU9,CE$57),""),1+CE$58*2,1),IF(MID(IFERROR(INDEX(醫師週班表!$C$5:$T$44,$CU9,CE$57),""),3,1)="隔",IF(CE$58=0,LEFT(IFERROR(INDEX(醫師週班表!$C$5:$T$44,$CU9,CE$57),""),1),""),IF(MID(IFERROR(INDEX(醫師週班表!$C$5:$T$44,$CU9,CE$57),""),2,1)="(",LEFT(IFERROR(INDEX(醫師週班表!$C$5:$T$44,$CU9,CE$57),""),1),IFERROR(INDEX(醫師週班表!$C$5:$T$44,$CU9,CE$57),"")))))))</f>
        <v/>
      </c>
      <c r="CF9" s="72">
        <f>IF(CF$59="X","",IF(CF$59&lt;&gt;"",CF$59,IF(IFERROR(INDEX(醫師週班表!$C$5:$T$44,$CU9,CF$57),"")=0,"",IF(MID(IFERROR(INDEX(醫師週班表!$C$5:$T$44,$CU9,CF$57),""),2,1)="/",MID(IFERROR(INDEX(醫師週班表!$C$5:$T$44,$CU9,CF$57),""),1+CF$58*2,1),IF(MID(IFERROR(INDEX(醫師週班表!$C$5:$T$44,$CU9,CF$57),""),3,1)="隔",IF(CF$58=0,LEFT(IFERROR(INDEX(醫師週班表!$C$5:$T$44,$CU9,CF$57),""),1),""),IF(MID(IFERROR(INDEX(醫師週班表!$C$5:$T$44,$CU9,CF$57),""),2,1)="(",LEFT(IFERROR(INDEX(醫師週班表!$C$5:$T$44,$CU9,CF$57),""),1),IFERROR(INDEX(醫師週班表!$C$5:$T$44,$CU9,CF$57),"")))))))</f>
        <v/>
      </c>
      <c r="CG9" s="72">
        <f>IF(CG$59="X","",IF(CG$59&lt;&gt;"",CG$59,IF(IFERROR(INDEX(醫師週班表!$C$5:$T$44,$CU9,CG$57),"")=0,"",IF(MID(IFERROR(INDEX(醫師週班表!$C$5:$T$44,$CU9,CG$57),""),2,1)="/",MID(IFERROR(INDEX(醫師週班表!$C$5:$T$44,$CU9,CG$57),""),1+CG$58*2,1),IF(MID(IFERROR(INDEX(醫師週班表!$C$5:$T$44,$CU9,CG$57),""),3,1)="隔",IF(CG$58=0,LEFT(IFERROR(INDEX(醫師週班表!$C$5:$T$44,$CU9,CG$57),""),1),""),IF(MID(IFERROR(INDEX(醫師週班表!$C$5:$T$44,$CU9,CG$57),""),2,1)="(",LEFT(IFERROR(INDEX(醫師週班表!$C$5:$T$44,$CU9,CG$57),""),1),IFERROR(INDEX(醫師週班表!$C$5:$T$44,$CU9,CG$57),"")))))))</f>
        <v/>
      </c>
      <c r="CH9" s="71">
        <f>IF(CH$59="X","",IF(CH$59&lt;&gt;"",CH$59,IF(IFERROR(INDEX(醫師週班表!$C$5:$T$44,$CU9,CH$57),"")=0,"",IF(MID(IFERROR(INDEX(醫師週班表!$C$5:$T$44,$CU9,CH$57),""),2,1)="/",MID(IFERROR(INDEX(醫師週班表!$C$5:$T$44,$CU9,CH$57),""),1+CH$58*2,1),IF(MID(IFERROR(INDEX(醫師週班表!$C$5:$T$44,$CU9,CH$57),""),3,1)="隔",IF(CH$58=0,LEFT(IFERROR(INDEX(醫師週班表!$C$5:$T$44,$CU9,CH$57),""),1),""),IF(MID(IFERROR(INDEX(醫師週班表!$C$5:$T$44,$CU9,CH$57),""),2,1)="(",LEFT(IFERROR(INDEX(醫師週班表!$C$5:$T$44,$CU9,CH$57),""),1),IFERROR(INDEX(醫師週班表!$C$5:$T$44,$CU9,CH$57),"")))))))</f>
        <v/>
      </c>
      <c r="CI9" s="72">
        <f>IF(CI$59="X","",IF(CI$59&lt;&gt;"",CI$59,IF(IFERROR(INDEX(醫師週班表!$C$5:$T$44,$CU9,CI$57),"")=0,"",IF(MID(IFERROR(INDEX(醫師週班表!$C$5:$T$44,$CU9,CI$57),""),2,1)="/",MID(IFERROR(INDEX(醫師週班表!$C$5:$T$44,$CU9,CI$57),""),1+CI$58*2,1),IF(MID(IFERROR(INDEX(醫師週班表!$C$5:$T$44,$CU9,CI$57),""),3,1)="隔",IF(CI$58=0,LEFT(IFERROR(INDEX(醫師週班表!$C$5:$T$44,$CU9,CI$57),""),1),""),IF(MID(IFERROR(INDEX(醫師週班表!$C$5:$T$44,$CU9,CI$57),""),2,1)="(",LEFT(IFERROR(INDEX(醫師週班表!$C$5:$T$44,$CU9,CI$57),""),1),IFERROR(INDEX(醫師週班表!$C$5:$T$44,$CU9,CI$57),"")))))))</f>
        <v/>
      </c>
      <c r="CJ9" s="72">
        <f>IF(CJ$59="X","",IF(CJ$59&lt;&gt;"",CJ$59,IF(IFERROR(INDEX(醫師週班表!$C$5:$T$44,$CU9,CJ$57),"")=0,"",IF(MID(IFERROR(INDEX(醫師週班表!$C$5:$T$44,$CU9,CJ$57),""),2,1)="/",MID(IFERROR(INDEX(醫師週班表!$C$5:$T$44,$CU9,CJ$57),""),1+CJ$58*2,1),IF(MID(IFERROR(INDEX(醫師週班表!$C$5:$T$44,$CU9,CJ$57),""),3,1)="隔",IF(CJ$58=0,LEFT(IFERROR(INDEX(醫師週班表!$C$5:$T$44,$CU9,CJ$57),""),1),""),IF(MID(IFERROR(INDEX(醫師週班表!$C$5:$T$44,$CU9,CJ$57),""),2,1)="(",LEFT(IFERROR(INDEX(醫師週班表!$C$5:$T$44,$CU9,CJ$57),""),1),IFERROR(INDEX(醫師週班表!$C$5:$T$44,$CU9,CJ$57),"")))))))</f>
        <v/>
      </c>
      <c r="CK9" s="71">
        <f>IF(CK$59="X","",IF(CK$59&lt;&gt;"",CK$59,IF(IFERROR(INDEX(醫師週班表!$C$5:$T$44,$CU9,CK$57),"")=0,"",IF(MID(IFERROR(INDEX(醫師週班表!$C$5:$T$44,$CU9,CK$57),""),2,1)="/",MID(IFERROR(INDEX(醫師週班表!$C$5:$T$44,$CU9,CK$57),""),1+CK$58*2,1),IF(MID(IFERROR(INDEX(醫師週班表!$C$5:$T$44,$CU9,CK$57),""),3,1)="隔",IF(CK$58=0,LEFT(IFERROR(INDEX(醫師週班表!$C$5:$T$44,$CU9,CK$57),""),1),""),IF(MID(IFERROR(INDEX(醫師週班表!$C$5:$T$44,$CU9,CK$57),""),2,1)="(",LEFT(IFERROR(INDEX(醫師週班表!$C$5:$T$44,$CU9,CK$57),""),1),IFERROR(INDEX(醫師週班表!$C$5:$T$44,$CU9,CK$57),"")))))))</f>
        <v/>
      </c>
      <c r="CL9" s="72">
        <f>IF(CL$59="X","",IF(CL$59&lt;&gt;"",CL$59,IF(IFERROR(INDEX(醫師週班表!$C$5:$T$44,$CU9,CL$57),"")=0,"",IF(MID(IFERROR(INDEX(醫師週班表!$C$5:$T$44,$CU9,CL$57),""),2,1)="/",MID(IFERROR(INDEX(醫師週班表!$C$5:$T$44,$CU9,CL$57),""),1+CL$58*2,1),IF(MID(IFERROR(INDEX(醫師週班表!$C$5:$T$44,$CU9,CL$57),""),3,1)="隔",IF(CL$58=0,LEFT(IFERROR(INDEX(醫師週班表!$C$5:$T$44,$CU9,CL$57),""),1),""),IF(MID(IFERROR(INDEX(醫師週班表!$C$5:$T$44,$CU9,CL$57),""),2,1)="(",LEFT(IFERROR(INDEX(醫師週班表!$C$5:$T$44,$CU9,CL$57),""),1),IFERROR(INDEX(醫師週班表!$C$5:$T$44,$CU9,CL$57),"")))))))</f>
        <v/>
      </c>
      <c r="CM9" s="72">
        <f>IF(CM$59="X","",IF(CM$59&lt;&gt;"",CM$59,IF(IFERROR(INDEX(醫師週班表!$C$5:$T$44,$CU9,CM$57),"")=0,"",IF(MID(IFERROR(INDEX(醫師週班表!$C$5:$T$44,$CU9,CM$57),""),2,1)="/",MID(IFERROR(INDEX(醫師週班表!$C$5:$T$44,$CU9,CM$57),""),1+CM$58*2,1),IF(MID(IFERROR(INDEX(醫師週班表!$C$5:$T$44,$CU9,CM$57),""),3,1)="隔",IF(CM$58=0,LEFT(IFERROR(INDEX(醫師週班表!$C$5:$T$44,$CU9,CM$57),""),1),""),IF(MID(IFERROR(INDEX(醫師週班表!$C$5:$T$44,$CU9,CM$57),""),2,1)="(",LEFT(IFERROR(INDEX(醫師週班表!$C$5:$T$44,$CU9,CM$57),""),1),IFERROR(INDEX(醫師週班表!$C$5:$T$44,$CU9,CM$57),"")))))))</f>
        <v/>
      </c>
      <c r="CN9" s="71">
        <f>IF(CN$59="X","",IF(CN$59&lt;&gt;"",CN$59,IF(IFERROR(INDEX(醫師週班表!$C$5:$T$44,$CU9,CN$57),"")=0,"",IF(MID(IFERROR(INDEX(醫師週班表!$C$5:$T$44,$CU9,CN$57),""),2,1)="/",MID(IFERROR(INDEX(醫師週班表!$C$5:$T$44,$CU9,CN$57),""),1+CN$58*2,1),IF(MID(IFERROR(INDEX(醫師週班表!$C$5:$T$44,$CU9,CN$57),""),3,1)="隔",IF(CN$58=0,LEFT(IFERROR(INDEX(醫師週班表!$C$5:$T$44,$CU9,CN$57),""),1),""),IF(MID(IFERROR(INDEX(醫師週班表!$C$5:$T$44,$CU9,CN$57),""),2,1)="(",LEFT(IFERROR(INDEX(醫師週班表!$C$5:$T$44,$CU9,CN$57),""),1),IFERROR(INDEX(醫師週班表!$C$5:$T$44,$CU9,CN$57),"")))))))</f>
        <v/>
      </c>
      <c r="CO9" s="72">
        <f>IF(CO$59="X","",IF(CO$59&lt;&gt;"",CO$59,IF(IFERROR(INDEX(醫師週班表!$C$5:$T$44,$CU9,CO$57),"")=0,"",IF(MID(IFERROR(INDEX(醫師週班表!$C$5:$T$44,$CU9,CO$57),""),2,1)="/",MID(IFERROR(INDEX(醫師週班表!$C$5:$T$44,$CU9,CO$57),""),1+CO$58*2,1),IF(MID(IFERROR(INDEX(醫師週班表!$C$5:$T$44,$CU9,CO$57),""),3,1)="隔",IF(CO$58=0,LEFT(IFERROR(INDEX(醫師週班表!$C$5:$T$44,$CU9,CO$57),""),1),""),IF(MID(IFERROR(INDEX(醫師週班表!$C$5:$T$44,$CU9,CO$57),""),2,1)="(",LEFT(IFERROR(INDEX(醫師週班表!$C$5:$T$44,$CU9,CO$57),""),1),IFERROR(INDEX(醫師週班表!$C$5:$T$44,$CU9,CO$57),"")))))))</f>
        <v/>
      </c>
      <c r="CP9" s="72">
        <f>IF(CP$59="X","",IF(CP$59&lt;&gt;"",CP$59,IF(IFERROR(INDEX(醫師週班表!$C$5:$T$44,$CU9,CP$57),"")=0,"",IF(MID(IFERROR(INDEX(醫師週班表!$C$5:$T$44,$CU9,CP$57),""),2,1)="/",MID(IFERROR(INDEX(醫師週班表!$C$5:$T$44,$CU9,CP$57),""),1+CP$58*2,1),IF(MID(IFERROR(INDEX(醫師週班表!$C$5:$T$44,$CU9,CP$57),""),3,1)="隔",IF(CP$58=0,LEFT(IFERROR(INDEX(醫師週班表!$C$5:$T$44,$CU9,CP$57),""),1),""),IF(MID(IFERROR(INDEX(醫師週班表!$C$5:$T$44,$CU9,CP$57),""),2,1)="(",LEFT(IFERROR(INDEX(醫師週班表!$C$5:$T$44,$CU9,CP$57),""),1),IFERROR(INDEX(醫師週班表!$C$5:$T$44,$CU9,CP$57),"")))))))</f>
        <v/>
      </c>
      <c r="CQ9" s="71">
        <f>IF(CQ$59="X","",IF(CQ$59&lt;&gt;"",CQ$59,IF(IFERROR(INDEX(醫師週班表!$C$5:$T$44,$CU9,CQ$57),"")=0,"",IF(MID(IFERROR(INDEX(醫師週班表!$C$5:$T$44,$CU9,CQ$57),""),2,1)="/",MID(IFERROR(INDEX(醫師週班表!$C$5:$T$44,$CU9,CQ$57),""),1+CQ$58*2,1),IF(MID(IFERROR(INDEX(醫師週班表!$C$5:$T$44,$CU9,CQ$57),""),3,1)="隔",IF(CQ$58=0,LEFT(IFERROR(INDEX(醫師週班表!$C$5:$T$44,$CU9,CQ$57),""),1),""),IF(MID(IFERROR(INDEX(醫師週班表!$C$5:$T$44,$CU9,CQ$57),""),2,1)="(",LEFT(IFERROR(INDEX(醫師週班表!$C$5:$T$44,$CU9,CQ$57),""),1),IFERROR(INDEX(醫師週班表!$C$5:$T$44,$CU9,CQ$57),"")))))))</f>
        <v/>
      </c>
      <c r="CR9" s="72">
        <f>IF(CR$59="X","",IF(CR$59&lt;&gt;"",CR$59,IF(IFERROR(INDEX(醫師週班表!$C$5:$T$44,$CU9,CR$57),"")=0,"",IF(MID(IFERROR(INDEX(醫師週班表!$C$5:$T$44,$CU9,CR$57),""),2,1)="/",MID(IFERROR(INDEX(醫師週班表!$C$5:$T$44,$CU9,CR$57),""),1+CR$58*2,1),IF(MID(IFERROR(INDEX(醫師週班表!$C$5:$T$44,$CU9,CR$57),""),3,1)="隔",IF(CR$58=0,LEFT(IFERROR(INDEX(醫師週班表!$C$5:$T$44,$CU9,CR$57),""),1),""),IF(MID(IFERROR(INDEX(醫師週班表!$C$5:$T$44,$CU9,CR$57),""),2,1)="(",LEFT(IFERROR(INDEX(醫師週班表!$C$5:$T$44,$CU9,CR$57),""),1),IFERROR(INDEX(醫師週班表!$C$5:$T$44,$CU9,CR$57),"")))))))</f>
        <v/>
      </c>
      <c r="CS9" s="72">
        <f>IF(CS$59="X","",IF(CS$59&lt;&gt;"",CS$59,IF(IFERROR(INDEX(醫師週班表!$C$5:$T$44,$CU9,CS$57),"")=0,"",IF(MID(IFERROR(INDEX(醫師週班表!$C$5:$T$44,$CU9,CS$57),""),2,1)="/",MID(IFERROR(INDEX(醫師週班表!$C$5:$T$44,$CU9,CS$57),""),1+CS$58*2,1),IF(MID(IFERROR(INDEX(醫師週班表!$C$5:$T$44,$CU9,CS$57),""),3,1)="隔",IF(CS$58=0,LEFT(IFERROR(INDEX(醫師週班表!$C$5:$T$44,$CU9,CS$57),""),1),""),IF(MID(IFERROR(INDEX(醫師週班表!$C$5:$T$44,$CU9,CS$57),""),2,1)="(",LEFT(IFERROR(INDEX(醫師週班表!$C$5:$T$44,$CU9,CS$57),""),1),IFERROR(INDEX(醫師週班表!$C$5:$T$44,$CU9,CS$57),"")))))))</f>
        <v/>
      </c>
      <c r="CU9" s="73">
        <f>IFERROR(MATCH($A9,醫師週班表!$A$5:$A$44,0),0)</f>
        <v/>
      </c>
    </row>
    <row r="10" ht="17" customHeight="1">
      <c r="A10" s="19" t="inlineStr">
        <is>
          <t>D005</t>
        </is>
      </c>
      <c r="B10" s="16" t="inlineStr">
        <is>
          <t>陳志僑</t>
        </is>
      </c>
      <c r="C10" s="70" t="inlineStr">
        <is>
          <t>口外專科</t>
        </is>
      </c>
      <c r="D10" s="16" t="inlineStr"/>
      <c r="E10" s="71">
        <f>IF(E$59="X","",IF(E$59&lt;&gt;"",E$59,IF(IFERROR(INDEX(醫師週班表!$C$5:$T$44,$CU10,E$57),"")=0,"",IF(MID(IFERROR(INDEX(醫師週班表!$C$5:$T$44,$CU10,E$57),""),2,1)="/",MID(IFERROR(INDEX(醫師週班表!$C$5:$T$44,$CU10,E$57),""),1+E$58*2,1),IF(MID(IFERROR(INDEX(醫師週班表!$C$5:$T$44,$CU10,E$57),""),3,1)="隔",IF(E$58=0,LEFT(IFERROR(INDEX(醫師週班表!$C$5:$T$44,$CU10,E$57),""),1),""),IF(MID(IFERROR(INDEX(醫師週班表!$C$5:$T$44,$CU10,E$57),""),2,1)="(",LEFT(IFERROR(INDEX(醫師週班表!$C$5:$T$44,$CU10,E$57),""),1),IFERROR(INDEX(醫師週班表!$C$5:$T$44,$CU10,E$57),"")))))))</f>
        <v/>
      </c>
      <c r="F10" s="72">
        <f>IF(F$59="X","",IF(F$59&lt;&gt;"",F$59,IF(IFERROR(INDEX(醫師週班表!$C$5:$T$44,$CU10,F$57),"")=0,"",IF(MID(IFERROR(INDEX(醫師週班表!$C$5:$T$44,$CU10,F$57),""),2,1)="/",MID(IFERROR(INDEX(醫師週班表!$C$5:$T$44,$CU10,F$57),""),1+F$58*2,1),IF(MID(IFERROR(INDEX(醫師週班表!$C$5:$T$44,$CU10,F$57),""),3,1)="隔",IF(F$58=0,LEFT(IFERROR(INDEX(醫師週班表!$C$5:$T$44,$CU10,F$57),""),1),""),IF(MID(IFERROR(INDEX(醫師週班表!$C$5:$T$44,$CU10,F$57),""),2,1)="(",LEFT(IFERROR(INDEX(醫師週班表!$C$5:$T$44,$CU10,F$57),""),1),IFERROR(INDEX(醫師週班表!$C$5:$T$44,$CU10,F$57),"")))))))</f>
        <v/>
      </c>
      <c r="G10" s="72">
        <f>IF(G$59="X","",IF(G$59&lt;&gt;"",G$59,IF(IFERROR(INDEX(醫師週班表!$C$5:$T$44,$CU10,G$57),"")=0,"",IF(MID(IFERROR(INDEX(醫師週班表!$C$5:$T$44,$CU10,G$57),""),2,1)="/",MID(IFERROR(INDEX(醫師週班表!$C$5:$T$44,$CU10,G$57),""),1+G$58*2,1),IF(MID(IFERROR(INDEX(醫師週班表!$C$5:$T$44,$CU10,G$57),""),3,1)="隔",IF(G$58=0,LEFT(IFERROR(INDEX(醫師週班表!$C$5:$T$44,$CU10,G$57),""),1),""),IF(MID(IFERROR(INDEX(醫師週班表!$C$5:$T$44,$CU10,G$57),""),2,1)="(",LEFT(IFERROR(INDEX(醫師週班表!$C$5:$T$44,$CU10,G$57),""),1),IFERROR(INDEX(醫師週班表!$C$5:$T$44,$CU10,G$57),"")))))))</f>
        <v/>
      </c>
      <c r="H10" s="71">
        <f>IF(H$59="X","",IF(H$59&lt;&gt;"",H$59,IF(IFERROR(INDEX(醫師週班表!$C$5:$T$44,$CU10,H$57),"")=0,"",IF(MID(IFERROR(INDEX(醫師週班表!$C$5:$T$44,$CU10,H$57),""),2,1)="/",MID(IFERROR(INDEX(醫師週班表!$C$5:$T$44,$CU10,H$57),""),1+H$58*2,1),IF(MID(IFERROR(INDEX(醫師週班表!$C$5:$T$44,$CU10,H$57),""),3,1)="隔",IF(H$58=0,LEFT(IFERROR(INDEX(醫師週班表!$C$5:$T$44,$CU10,H$57),""),1),""),IF(MID(IFERROR(INDEX(醫師週班表!$C$5:$T$44,$CU10,H$57),""),2,1)="(",LEFT(IFERROR(INDEX(醫師週班表!$C$5:$T$44,$CU10,H$57),""),1),IFERROR(INDEX(醫師週班表!$C$5:$T$44,$CU10,H$57),"")))))))</f>
        <v/>
      </c>
      <c r="I10" s="72">
        <f>IF(I$59="X","",IF(I$59&lt;&gt;"",I$59,IF(IFERROR(INDEX(醫師週班表!$C$5:$T$44,$CU10,I$57),"")=0,"",IF(MID(IFERROR(INDEX(醫師週班表!$C$5:$T$44,$CU10,I$57),""),2,1)="/",MID(IFERROR(INDEX(醫師週班表!$C$5:$T$44,$CU10,I$57),""),1+I$58*2,1),IF(MID(IFERROR(INDEX(醫師週班表!$C$5:$T$44,$CU10,I$57),""),3,1)="隔",IF(I$58=0,LEFT(IFERROR(INDEX(醫師週班表!$C$5:$T$44,$CU10,I$57),""),1),""),IF(MID(IFERROR(INDEX(醫師週班表!$C$5:$T$44,$CU10,I$57),""),2,1)="(",LEFT(IFERROR(INDEX(醫師週班表!$C$5:$T$44,$CU10,I$57),""),1),IFERROR(INDEX(醫師週班表!$C$5:$T$44,$CU10,I$57),"")))))))</f>
        <v/>
      </c>
      <c r="J10" s="72">
        <f>IF(J$59="X","",IF(J$59&lt;&gt;"",J$59,IF(IFERROR(INDEX(醫師週班表!$C$5:$T$44,$CU10,J$57),"")=0,"",IF(MID(IFERROR(INDEX(醫師週班表!$C$5:$T$44,$CU10,J$57),""),2,1)="/",MID(IFERROR(INDEX(醫師週班表!$C$5:$T$44,$CU10,J$57),""),1+J$58*2,1),IF(MID(IFERROR(INDEX(醫師週班表!$C$5:$T$44,$CU10,J$57),""),3,1)="隔",IF(J$58=0,LEFT(IFERROR(INDEX(醫師週班表!$C$5:$T$44,$CU10,J$57),""),1),""),IF(MID(IFERROR(INDEX(醫師週班表!$C$5:$T$44,$CU10,J$57),""),2,1)="(",LEFT(IFERROR(INDEX(醫師週班表!$C$5:$T$44,$CU10,J$57),""),1),IFERROR(INDEX(醫師週班表!$C$5:$T$44,$CU10,J$57),"")))))))</f>
        <v/>
      </c>
      <c r="K10" s="71">
        <f>IF(K$59="X","",IF(K$59&lt;&gt;"",K$59,IF(IFERROR(INDEX(醫師週班表!$C$5:$T$44,$CU10,K$57),"")=0,"",IF(MID(IFERROR(INDEX(醫師週班表!$C$5:$T$44,$CU10,K$57),""),2,1)="/",MID(IFERROR(INDEX(醫師週班表!$C$5:$T$44,$CU10,K$57),""),1+K$58*2,1),IF(MID(IFERROR(INDEX(醫師週班表!$C$5:$T$44,$CU10,K$57),""),3,1)="隔",IF(K$58=0,LEFT(IFERROR(INDEX(醫師週班表!$C$5:$T$44,$CU10,K$57),""),1),""),IF(MID(IFERROR(INDEX(醫師週班表!$C$5:$T$44,$CU10,K$57),""),2,1)="(",LEFT(IFERROR(INDEX(醫師週班表!$C$5:$T$44,$CU10,K$57),""),1),IFERROR(INDEX(醫師週班表!$C$5:$T$44,$CU10,K$57),"")))))))</f>
        <v/>
      </c>
      <c r="L10" s="72">
        <f>IF(L$59="X","",IF(L$59&lt;&gt;"",L$59,IF(IFERROR(INDEX(醫師週班表!$C$5:$T$44,$CU10,L$57),"")=0,"",IF(MID(IFERROR(INDEX(醫師週班表!$C$5:$T$44,$CU10,L$57),""),2,1)="/",MID(IFERROR(INDEX(醫師週班表!$C$5:$T$44,$CU10,L$57),""),1+L$58*2,1),IF(MID(IFERROR(INDEX(醫師週班表!$C$5:$T$44,$CU10,L$57),""),3,1)="隔",IF(L$58=0,LEFT(IFERROR(INDEX(醫師週班表!$C$5:$T$44,$CU10,L$57),""),1),""),IF(MID(IFERROR(INDEX(醫師週班表!$C$5:$T$44,$CU10,L$57),""),2,1)="(",LEFT(IFERROR(INDEX(醫師週班表!$C$5:$T$44,$CU10,L$57),""),1),IFERROR(INDEX(醫師週班表!$C$5:$T$44,$CU10,L$57),"")))))))</f>
        <v/>
      </c>
      <c r="M10" s="72">
        <f>IF(M$59="X","",IF(M$59&lt;&gt;"",M$59,IF(IFERROR(INDEX(醫師週班表!$C$5:$T$44,$CU10,M$57),"")=0,"",IF(MID(IFERROR(INDEX(醫師週班表!$C$5:$T$44,$CU10,M$57),""),2,1)="/",MID(IFERROR(INDEX(醫師週班表!$C$5:$T$44,$CU10,M$57),""),1+M$58*2,1),IF(MID(IFERROR(INDEX(醫師週班表!$C$5:$T$44,$CU10,M$57),""),3,1)="隔",IF(M$58=0,LEFT(IFERROR(INDEX(醫師週班表!$C$5:$T$44,$CU10,M$57),""),1),""),IF(MID(IFERROR(INDEX(醫師週班表!$C$5:$T$44,$CU10,M$57),""),2,1)="(",LEFT(IFERROR(INDEX(醫師週班表!$C$5:$T$44,$CU10,M$57),""),1),IFERROR(INDEX(醫師週班表!$C$5:$T$44,$CU10,M$57),"")))))))</f>
        <v/>
      </c>
      <c r="N10" s="71">
        <f>IF(N$59="X","",IF(N$59&lt;&gt;"",N$59,IF(IFERROR(INDEX(醫師週班表!$C$5:$T$44,$CU10,N$57),"")=0,"",IF(MID(IFERROR(INDEX(醫師週班表!$C$5:$T$44,$CU10,N$57),""),2,1)="/",MID(IFERROR(INDEX(醫師週班表!$C$5:$T$44,$CU10,N$57),""),1+N$58*2,1),IF(MID(IFERROR(INDEX(醫師週班表!$C$5:$T$44,$CU10,N$57),""),3,1)="隔",IF(N$58=0,LEFT(IFERROR(INDEX(醫師週班表!$C$5:$T$44,$CU10,N$57),""),1),""),IF(MID(IFERROR(INDEX(醫師週班表!$C$5:$T$44,$CU10,N$57),""),2,1)="(",LEFT(IFERROR(INDEX(醫師週班表!$C$5:$T$44,$CU10,N$57),""),1),IFERROR(INDEX(醫師週班表!$C$5:$T$44,$CU10,N$57),"")))))))</f>
        <v/>
      </c>
      <c r="O10" s="72">
        <f>IF(O$59="X","",IF(O$59&lt;&gt;"",O$59,IF(IFERROR(INDEX(醫師週班表!$C$5:$T$44,$CU10,O$57),"")=0,"",IF(MID(IFERROR(INDEX(醫師週班表!$C$5:$T$44,$CU10,O$57),""),2,1)="/",MID(IFERROR(INDEX(醫師週班表!$C$5:$T$44,$CU10,O$57),""),1+O$58*2,1),IF(MID(IFERROR(INDEX(醫師週班表!$C$5:$T$44,$CU10,O$57),""),3,1)="隔",IF(O$58=0,LEFT(IFERROR(INDEX(醫師週班表!$C$5:$T$44,$CU10,O$57),""),1),""),IF(MID(IFERROR(INDEX(醫師週班表!$C$5:$T$44,$CU10,O$57),""),2,1)="(",LEFT(IFERROR(INDEX(醫師週班表!$C$5:$T$44,$CU10,O$57),""),1),IFERROR(INDEX(醫師週班表!$C$5:$T$44,$CU10,O$57),"")))))))</f>
        <v/>
      </c>
      <c r="P10" s="72">
        <f>IF(P$59="X","",IF(P$59&lt;&gt;"",P$59,IF(IFERROR(INDEX(醫師週班表!$C$5:$T$44,$CU10,P$57),"")=0,"",IF(MID(IFERROR(INDEX(醫師週班表!$C$5:$T$44,$CU10,P$57),""),2,1)="/",MID(IFERROR(INDEX(醫師週班表!$C$5:$T$44,$CU10,P$57),""),1+P$58*2,1),IF(MID(IFERROR(INDEX(醫師週班表!$C$5:$T$44,$CU10,P$57),""),3,1)="隔",IF(P$58=0,LEFT(IFERROR(INDEX(醫師週班表!$C$5:$T$44,$CU10,P$57),""),1),""),IF(MID(IFERROR(INDEX(醫師週班表!$C$5:$T$44,$CU10,P$57),""),2,1)="(",LEFT(IFERROR(INDEX(醫師週班表!$C$5:$T$44,$CU10,P$57),""),1),IFERROR(INDEX(醫師週班表!$C$5:$T$44,$CU10,P$57),"")))))))</f>
        <v/>
      </c>
      <c r="Q10" s="71">
        <f>IF(Q$59="X","",IF(Q$59&lt;&gt;"",Q$59,IF(IFERROR(INDEX(醫師週班表!$C$5:$T$44,$CU10,Q$57),"")=0,"",IF(MID(IFERROR(INDEX(醫師週班表!$C$5:$T$44,$CU10,Q$57),""),2,1)="/",MID(IFERROR(INDEX(醫師週班表!$C$5:$T$44,$CU10,Q$57),""),1+Q$58*2,1),IF(MID(IFERROR(INDEX(醫師週班表!$C$5:$T$44,$CU10,Q$57),""),3,1)="隔",IF(Q$58=0,LEFT(IFERROR(INDEX(醫師週班表!$C$5:$T$44,$CU10,Q$57),""),1),""),IF(MID(IFERROR(INDEX(醫師週班表!$C$5:$T$44,$CU10,Q$57),""),2,1)="(",LEFT(IFERROR(INDEX(醫師週班表!$C$5:$T$44,$CU10,Q$57),""),1),IFERROR(INDEX(醫師週班表!$C$5:$T$44,$CU10,Q$57),"")))))))</f>
        <v/>
      </c>
      <c r="R10" s="72">
        <f>IF(R$59="X","",IF(R$59&lt;&gt;"",R$59,IF(IFERROR(INDEX(醫師週班表!$C$5:$T$44,$CU10,R$57),"")=0,"",IF(MID(IFERROR(INDEX(醫師週班表!$C$5:$T$44,$CU10,R$57),""),2,1)="/",MID(IFERROR(INDEX(醫師週班表!$C$5:$T$44,$CU10,R$57),""),1+R$58*2,1),IF(MID(IFERROR(INDEX(醫師週班表!$C$5:$T$44,$CU10,R$57),""),3,1)="隔",IF(R$58=0,LEFT(IFERROR(INDEX(醫師週班表!$C$5:$T$44,$CU10,R$57),""),1),""),IF(MID(IFERROR(INDEX(醫師週班表!$C$5:$T$44,$CU10,R$57),""),2,1)="(",LEFT(IFERROR(INDEX(醫師週班表!$C$5:$T$44,$CU10,R$57),""),1),IFERROR(INDEX(醫師週班表!$C$5:$T$44,$CU10,R$57),"")))))))</f>
        <v/>
      </c>
      <c r="S10" s="72">
        <f>IF(S$59="X","",IF(S$59&lt;&gt;"",S$59,IF(IFERROR(INDEX(醫師週班表!$C$5:$T$44,$CU10,S$57),"")=0,"",IF(MID(IFERROR(INDEX(醫師週班表!$C$5:$T$44,$CU10,S$57),""),2,1)="/",MID(IFERROR(INDEX(醫師週班表!$C$5:$T$44,$CU10,S$57),""),1+S$58*2,1),IF(MID(IFERROR(INDEX(醫師週班表!$C$5:$T$44,$CU10,S$57),""),3,1)="隔",IF(S$58=0,LEFT(IFERROR(INDEX(醫師週班表!$C$5:$T$44,$CU10,S$57),""),1),""),IF(MID(IFERROR(INDEX(醫師週班表!$C$5:$T$44,$CU10,S$57),""),2,1)="(",LEFT(IFERROR(INDEX(醫師週班表!$C$5:$T$44,$CU10,S$57),""),1),IFERROR(INDEX(醫師週班表!$C$5:$T$44,$CU10,S$57),"")))))))</f>
        <v/>
      </c>
      <c r="T10" s="71">
        <f>IF(T$59="X","",IF(T$59&lt;&gt;"",T$59,IF(IFERROR(INDEX(醫師週班表!$C$5:$T$44,$CU10,T$57),"")=0,"",IF(MID(IFERROR(INDEX(醫師週班表!$C$5:$T$44,$CU10,T$57),""),2,1)="/",MID(IFERROR(INDEX(醫師週班表!$C$5:$T$44,$CU10,T$57),""),1+T$58*2,1),IF(MID(IFERROR(INDEX(醫師週班表!$C$5:$T$44,$CU10,T$57),""),3,1)="隔",IF(T$58=0,LEFT(IFERROR(INDEX(醫師週班表!$C$5:$T$44,$CU10,T$57),""),1),""),IF(MID(IFERROR(INDEX(醫師週班表!$C$5:$T$44,$CU10,T$57),""),2,1)="(",LEFT(IFERROR(INDEX(醫師週班表!$C$5:$T$44,$CU10,T$57),""),1),IFERROR(INDEX(醫師週班表!$C$5:$T$44,$CU10,T$57),"")))))))</f>
        <v/>
      </c>
      <c r="U10" s="72">
        <f>IF(U$59="X","",IF(U$59&lt;&gt;"",U$59,IF(IFERROR(INDEX(醫師週班表!$C$5:$T$44,$CU10,U$57),"")=0,"",IF(MID(IFERROR(INDEX(醫師週班表!$C$5:$T$44,$CU10,U$57),""),2,1)="/",MID(IFERROR(INDEX(醫師週班表!$C$5:$T$44,$CU10,U$57),""),1+U$58*2,1),IF(MID(IFERROR(INDEX(醫師週班表!$C$5:$T$44,$CU10,U$57),""),3,1)="隔",IF(U$58=0,LEFT(IFERROR(INDEX(醫師週班表!$C$5:$T$44,$CU10,U$57),""),1),""),IF(MID(IFERROR(INDEX(醫師週班表!$C$5:$T$44,$CU10,U$57),""),2,1)="(",LEFT(IFERROR(INDEX(醫師週班表!$C$5:$T$44,$CU10,U$57),""),1),IFERROR(INDEX(醫師週班表!$C$5:$T$44,$CU10,U$57),"")))))))</f>
        <v/>
      </c>
      <c r="V10" s="72">
        <f>IF(V$59="X","",IF(V$59&lt;&gt;"",V$59,IF(IFERROR(INDEX(醫師週班表!$C$5:$T$44,$CU10,V$57),"")=0,"",IF(MID(IFERROR(INDEX(醫師週班表!$C$5:$T$44,$CU10,V$57),""),2,1)="/",MID(IFERROR(INDEX(醫師週班表!$C$5:$T$44,$CU10,V$57),""),1+V$58*2,1),IF(MID(IFERROR(INDEX(醫師週班表!$C$5:$T$44,$CU10,V$57),""),3,1)="隔",IF(V$58=0,LEFT(IFERROR(INDEX(醫師週班表!$C$5:$T$44,$CU10,V$57),""),1),""),IF(MID(IFERROR(INDEX(醫師週班表!$C$5:$T$44,$CU10,V$57),""),2,1)="(",LEFT(IFERROR(INDEX(醫師週班表!$C$5:$T$44,$CU10,V$57),""),1),IFERROR(INDEX(醫師週班表!$C$5:$T$44,$CU10,V$57),"")))))))</f>
        <v/>
      </c>
      <c r="W10" s="71">
        <f>IF(W$59="X","",IF(W$59&lt;&gt;"",W$59,IF(IFERROR(INDEX(醫師週班表!$C$5:$T$44,$CU10,W$57),"")=0,"",IF(MID(IFERROR(INDEX(醫師週班表!$C$5:$T$44,$CU10,W$57),""),2,1)="/",MID(IFERROR(INDEX(醫師週班表!$C$5:$T$44,$CU10,W$57),""),1+W$58*2,1),IF(MID(IFERROR(INDEX(醫師週班表!$C$5:$T$44,$CU10,W$57),""),3,1)="隔",IF(W$58=0,LEFT(IFERROR(INDEX(醫師週班表!$C$5:$T$44,$CU10,W$57),""),1),""),IF(MID(IFERROR(INDEX(醫師週班表!$C$5:$T$44,$CU10,W$57),""),2,1)="(",LEFT(IFERROR(INDEX(醫師週班表!$C$5:$T$44,$CU10,W$57),""),1),IFERROR(INDEX(醫師週班表!$C$5:$T$44,$CU10,W$57),"")))))))</f>
        <v/>
      </c>
      <c r="X10" s="72">
        <f>IF(X$59="X","",IF(X$59&lt;&gt;"",X$59,IF(IFERROR(INDEX(醫師週班表!$C$5:$T$44,$CU10,X$57),"")=0,"",IF(MID(IFERROR(INDEX(醫師週班表!$C$5:$T$44,$CU10,X$57),""),2,1)="/",MID(IFERROR(INDEX(醫師週班表!$C$5:$T$44,$CU10,X$57),""),1+X$58*2,1),IF(MID(IFERROR(INDEX(醫師週班表!$C$5:$T$44,$CU10,X$57),""),3,1)="隔",IF(X$58=0,LEFT(IFERROR(INDEX(醫師週班表!$C$5:$T$44,$CU10,X$57),""),1),""),IF(MID(IFERROR(INDEX(醫師週班表!$C$5:$T$44,$CU10,X$57),""),2,1)="(",LEFT(IFERROR(INDEX(醫師週班表!$C$5:$T$44,$CU10,X$57),""),1),IFERROR(INDEX(醫師週班表!$C$5:$T$44,$CU10,X$57),"")))))))</f>
        <v/>
      </c>
      <c r="Y10" s="72">
        <f>IF(Y$59="X","",IF(Y$59&lt;&gt;"",Y$59,IF(IFERROR(INDEX(醫師週班表!$C$5:$T$44,$CU10,Y$57),"")=0,"",IF(MID(IFERROR(INDEX(醫師週班表!$C$5:$T$44,$CU10,Y$57),""),2,1)="/",MID(IFERROR(INDEX(醫師週班表!$C$5:$T$44,$CU10,Y$57),""),1+Y$58*2,1),IF(MID(IFERROR(INDEX(醫師週班表!$C$5:$T$44,$CU10,Y$57),""),3,1)="隔",IF(Y$58=0,LEFT(IFERROR(INDEX(醫師週班表!$C$5:$T$44,$CU10,Y$57),""),1),""),IF(MID(IFERROR(INDEX(醫師週班表!$C$5:$T$44,$CU10,Y$57),""),2,1)="(",LEFT(IFERROR(INDEX(醫師週班表!$C$5:$T$44,$CU10,Y$57),""),1),IFERROR(INDEX(醫師週班表!$C$5:$T$44,$CU10,Y$57),"")))))))</f>
        <v/>
      </c>
      <c r="Z10" s="71">
        <f>IF(Z$59="X","",IF(Z$59&lt;&gt;"",Z$59,IF(IFERROR(INDEX(醫師週班表!$C$5:$T$44,$CU10,Z$57),"")=0,"",IF(MID(IFERROR(INDEX(醫師週班表!$C$5:$T$44,$CU10,Z$57),""),2,1)="/",MID(IFERROR(INDEX(醫師週班表!$C$5:$T$44,$CU10,Z$57),""),1+Z$58*2,1),IF(MID(IFERROR(INDEX(醫師週班表!$C$5:$T$44,$CU10,Z$57),""),3,1)="隔",IF(Z$58=0,LEFT(IFERROR(INDEX(醫師週班表!$C$5:$T$44,$CU10,Z$57),""),1),""),IF(MID(IFERROR(INDEX(醫師週班表!$C$5:$T$44,$CU10,Z$57),""),2,1)="(",LEFT(IFERROR(INDEX(醫師週班表!$C$5:$T$44,$CU10,Z$57),""),1),IFERROR(INDEX(醫師週班表!$C$5:$T$44,$CU10,Z$57),"")))))))</f>
        <v/>
      </c>
      <c r="AA10" s="72">
        <f>IF(AA$59="X","",IF(AA$59&lt;&gt;"",AA$59,IF(IFERROR(INDEX(醫師週班表!$C$5:$T$44,$CU10,AA$57),"")=0,"",IF(MID(IFERROR(INDEX(醫師週班表!$C$5:$T$44,$CU10,AA$57),""),2,1)="/",MID(IFERROR(INDEX(醫師週班表!$C$5:$T$44,$CU10,AA$57),""),1+AA$58*2,1),IF(MID(IFERROR(INDEX(醫師週班表!$C$5:$T$44,$CU10,AA$57),""),3,1)="隔",IF(AA$58=0,LEFT(IFERROR(INDEX(醫師週班表!$C$5:$T$44,$CU10,AA$57),""),1),""),IF(MID(IFERROR(INDEX(醫師週班表!$C$5:$T$44,$CU10,AA$57),""),2,1)="(",LEFT(IFERROR(INDEX(醫師週班表!$C$5:$T$44,$CU10,AA$57),""),1),IFERROR(INDEX(醫師週班表!$C$5:$T$44,$CU10,AA$57),"")))))))</f>
        <v/>
      </c>
      <c r="AB10" s="72">
        <f>IF(AB$59="X","",IF(AB$59&lt;&gt;"",AB$59,IF(IFERROR(INDEX(醫師週班表!$C$5:$T$44,$CU10,AB$57),"")=0,"",IF(MID(IFERROR(INDEX(醫師週班表!$C$5:$T$44,$CU10,AB$57),""),2,1)="/",MID(IFERROR(INDEX(醫師週班表!$C$5:$T$44,$CU10,AB$57),""),1+AB$58*2,1),IF(MID(IFERROR(INDEX(醫師週班表!$C$5:$T$44,$CU10,AB$57),""),3,1)="隔",IF(AB$58=0,LEFT(IFERROR(INDEX(醫師週班表!$C$5:$T$44,$CU10,AB$57),""),1),""),IF(MID(IFERROR(INDEX(醫師週班表!$C$5:$T$44,$CU10,AB$57),""),2,1)="(",LEFT(IFERROR(INDEX(醫師週班表!$C$5:$T$44,$CU10,AB$57),""),1),IFERROR(INDEX(醫師週班表!$C$5:$T$44,$CU10,AB$57),"")))))))</f>
        <v/>
      </c>
      <c r="AC10" s="71">
        <f>IF(AC$59="X","",IF(AC$59&lt;&gt;"",AC$59,IF(IFERROR(INDEX(醫師週班表!$C$5:$T$44,$CU10,AC$57),"")=0,"",IF(MID(IFERROR(INDEX(醫師週班表!$C$5:$T$44,$CU10,AC$57),""),2,1)="/",MID(IFERROR(INDEX(醫師週班表!$C$5:$T$44,$CU10,AC$57),""),1+AC$58*2,1),IF(MID(IFERROR(INDEX(醫師週班表!$C$5:$T$44,$CU10,AC$57),""),3,1)="隔",IF(AC$58=0,LEFT(IFERROR(INDEX(醫師週班表!$C$5:$T$44,$CU10,AC$57),""),1),""),IF(MID(IFERROR(INDEX(醫師週班表!$C$5:$T$44,$CU10,AC$57),""),2,1)="(",LEFT(IFERROR(INDEX(醫師週班表!$C$5:$T$44,$CU10,AC$57),""),1),IFERROR(INDEX(醫師週班表!$C$5:$T$44,$CU10,AC$57),"")))))))</f>
        <v/>
      </c>
      <c r="AD10" s="72">
        <f>IF(AD$59="X","",IF(AD$59&lt;&gt;"",AD$59,IF(IFERROR(INDEX(醫師週班表!$C$5:$T$44,$CU10,AD$57),"")=0,"",IF(MID(IFERROR(INDEX(醫師週班表!$C$5:$T$44,$CU10,AD$57),""),2,1)="/",MID(IFERROR(INDEX(醫師週班表!$C$5:$T$44,$CU10,AD$57),""),1+AD$58*2,1),IF(MID(IFERROR(INDEX(醫師週班表!$C$5:$T$44,$CU10,AD$57),""),3,1)="隔",IF(AD$58=0,LEFT(IFERROR(INDEX(醫師週班表!$C$5:$T$44,$CU10,AD$57),""),1),""),IF(MID(IFERROR(INDEX(醫師週班表!$C$5:$T$44,$CU10,AD$57),""),2,1)="(",LEFT(IFERROR(INDEX(醫師週班表!$C$5:$T$44,$CU10,AD$57),""),1),IFERROR(INDEX(醫師週班表!$C$5:$T$44,$CU10,AD$57),"")))))))</f>
        <v/>
      </c>
      <c r="AE10" s="72">
        <f>IF(AE$59="X","",IF(AE$59&lt;&gt;"",AE$59,IF(IFERROR(INDEX(醫師週班表!$C$5:$T$44,$CU10,AE$57),"")=0,"",IF(MID(IFERROR(INDEX(醫師週班表!$C$5:$T$44,$CU10,AE$57),""),2,1)="/",MID(IFERROR(INDEX(醫師週班表!$C$5:$T$44,$CU10,AE$57),""),1+AE$58*2,1),IF(MID(IFERROR(INDEX(醫師週班表!$C$5:$T$44,$CU10,AE$57),""),3,1)="隔",IF(AE$58=0,LEFT(IFERROR(INDEX(醫師週班表!$C$5:$T$44,$CU10,AE$57),""),1),""),IF(MID(IFERROR(INDEX(醫師週班表!$C$5:$T$44,$CU10,AE$57),""),2,1)="(",LEFT(IFERROR(INDEX(醫師週班表!$C$5:$T$44,$CU10,AE$57),""),1),IFERROR(INDEX(醫師週班表!$C$5:$T$44,$CU10,AE$57),"")))))))</f>
        <v/>
      </c>
      <c r="AF10" s="71">
        <f>IF(AF$59="X","",IF(AF$59&lt;&gt;"",AF$59,IF(IFERROR(INDEX(醫師週班表!$C$5:$T$44,$CU10,AF$57),"")=0,"",IF(MID(IFERROR(INDEX(醫師週班表!$C$5:$T$44,$CU10,AF$57),""),2,1)="/",MID(IFERROR(INDEX(醫師週班表!$C$5:$T$44,$CU10,AF$57),""),1+AF$58*2,1),IF(MID(IFERROR(INDEX(醫師週班表!$C$5:$T$44,$CU10,AF$57),""),3,1)="隔",IF(AF$58=0,LEFT(IFERROR(INDEX(醫師週班表!$C$5:$T$44,$CU10,AF$57),""),1),""),IF(MID(IFERROR(INDEX(醫師週班表!$C$5:$T$44,$CU10,AF$57),""),2,1)="(",LEFT(IFERROR(INDEX(醫師週班表!$C$5:$T$44,$CU10,AF$57),""),1),IFERROR(INDEX(醫師週班表!$C$5:$T$44,$CU10,AF$57),"")))))))</f>
        <v/>
      </c>
      <c r="AG10" s="72">
        <f>IF(AG$59="X","",IF(AG$59&lt;&gt;"",AG$59,IF(IFERROR(INDEX(醫師週班表!$C$5:$T$44,$CU10,AG$57),"")=0,"",IF(MID(IFERROR(INDEX(醫師週班表!$C$5:$T$44,$CU10,AG$57),""),2,1)="/",MID(IFERROR(INDEX(醫師週班表!$C$5:$T$44,$CU10,AG$57),""),1+AG$58*2,1),IF(MID(IFERROR(INDEX(醫師週班表!$C$5:$T$44,$CU10,AG$57),""),3,1)="隔",IF(AG$58=0,LEFT(IFERROR(INDEX(醫師週班表!$C$5:$T$44,$CU10,AG$57),""),1),""),IF(MID(IFERROR(INDEX(醫師週班表!$C$5:$T$44,$CU10,AG$57),""),2,1)="(",LEFT(IFERROR(INDEX(醫師週班表!$C$5:$T$44,$CU10,AG$57),""),1),IFERROR(INDEX(醫師週班表!$C$5:$T$44,$CU10,AG$57),"")))))))</f>
        <v/>
      </c>
      <c r="AH10" s="72">
        <f>IF(AH$59="X","",IF(AH$59&lt;&gt;"",AH$59,IF(IFERROR(INDEX(醫師週班表!$C$5:$T$44,$CU10,AH$57),"")=0,"",IF(MID(IFERROR(INDEX(醫師週班表!$C$5:$T$44,$CU10,AH$57),""),2,1)="/",MID(IFERROR(INDEX(醫師週班表!$C$5:$T$44,$CU10,AH$57),""),1+AH$58*2,1),IF(MID(IFERROR(INDEX(醫師週班表!$C$5:$T$44,$CU10,AH$57),""),3,1)="隔",IF(AH$58=0,LEFT(IFERROR(INDEX(醫師週班表!$C$5:$T$44,$CU10,AH$57),""),1),""),IF(MID(IFERROR(INDEX(醫師週班表!$C$5:$T$44,$CU10,AH$57),""),2,1)="(",LEFT(IFERROR(INDEX(醫師週班表!$C$5:$T$44,$CU10,AH$57),""),1),IFERROR(INDEX(醫師週班表!$C$5:$T$44,$CU10,AH$57),"")))))))</f>
        <v/>
      </c>
      <c r="AI10" s="71">
        <f>IF(AI$59="X","",IF(AI$59&lt;&gt;"",AI$59,IF(IFERROR(INDEX(醫師週班表!$C$5:$T$44,$CU10,AI$57),"")=0,"",IF(MID(IFERROR(INDEX(醫師週班表!$C$5:$T$44,$CU10,AI$57),""),2,1)="/",MID(IFERROR(INDEX(醫師週班表!$C$5:$T$44,$CU10,AI$57),""),1+AI$58*2,1),IF(MID(IFERROR(INDEX(醫師週班表!$C$5:$T$44,$CU10,AI$57),""),3,1)="隔",IF(AI$58=0,LEFT(IFERROR(INDEX(醫師週班表!$C$5:$T$44,$CU10,AI$57),""),1),""),IF(MID(IFERROR(INDEX(醫師週班表!$C$5:$T$44,$CU10,AI$57),""),2,1)="(",LEFT(IFERROR(INDEX(醫師週班表!$C$5:$T$44,$CU10,AI$57),""),1),IFERROR(INDEX(醫師週班表!$C$5:$T$44,$CU10,AI$57),"")))))))</f>
        <v/>
      </c>
      <c r="AJ10" s="72">
        <f>IF(AJ$59="X","",IF(AJ$59&lt;&gt;"",AJ$59,IF(IFERROR(INDEX(醫師週班表!$C$5:$T$44,$CU10,AJ$57),"")=0,"",IF(MID(IFERROR(INDEX(醫師週班表!$C$5:$T$44,$CU10,AJ$57),""),2,1)="/",MID(IFERROR(INDEX(醫師週班表!$C$5:$T$44,$CU10,AJ$57),""),1+AJ$58*2,1),IF(MID(IFERROR(INDEX(醫師週班表!$C$5:$T$44,$CU10,AJ$57),""),3,1)="隔",IF(AJ$58=0,LEFT(IFERROR(INDEX(醫師週班表!$C$5:$T$44,$CU10,AJ$57),""),1),""),IF(MID(IFERROR(INDEX(醫師週班表!$C$5:$T$44,$CU10,AJ$57),""),2,1)="(",LEFT(IFERROR(INDEX(醫師週班表!$C$5:$T$44,$CU10,AJ$57),""),1),IFERROR(INDEX(醫師週班表!$C$5:$T$44,$CU10,AJ$57),"")))))))</f>
        <v/>
      </c>
      <c r="AK10" s="72">
        <f>IF(AK$59="X","",IF(AK$59&lt;&gt;"",AK$59,IF(IFERROR(INDEX(醫師週班表!$C$5:$T$44,$CU10,AK$57),"")=0,"",IF(MID(IFERROR(INDEX(醫師週班表!$C$5:$T$44,$CU10,AK$57),""),2,1)="/",MID(IFERROR(INDEX(醫師週班表!$C$5:$T$44,$CU10,AK$57),""),1+AK$58*2,1),IF(MID(IFERROR(INDEX(醫師週班表!$C$5:$T$44,$CU10,AK$57),""),3,1)="隔",IF(AK$58=0,LEFT(IFERROR(INDEX(醫師週班表!$C$5:$T$44,$CU10,AK$57),""),1),""),IF(MID(IFERROR(INDEX(醫師週班表!$C$5:$T$44,$CU10,AK$57),""),2,1)="(",LEFT(IFERROR(INDEX(醫師週班表!$C$5:$T$44,$CU10,AK$57),""),1),IFERROR(INDEX(醫師週班表!$C$5:$T$44,$CU10,AK$57),"")))))))</f>
        <v/>
      </c>
      <c r="AL10" s="71">
        <f>IF(AL$59="X","",IF(AL$59&lt;&gt;"",AL$59,IF(IFERROR(INDEX(醫師週班表!$C$5:$T$44,$CU10,AL$57),"")=0,"",IF(MID(IFERROR(INDEX(醫師週班表!$C$5:$T$44,$CU10,AL$57),""),2,1)="/",MID(IFERROR(INDEX(醫師週班表!$C$5:$T$44,$CU10,AL$57),""),1+AL$58*2,1),IF(MID(IFERROR(INDEX(醫師週班表!$C$5:$T$44,$CU10,AL$57),""),3,1)="隔",IF(AL$58=0,LEFT(IFERROR(INDEX(醫師週班表!$C$5:$T$44,$CU10,AL$57),""),1),""),IF(MID(IFERROR(INDEX(醫師週班表!$C$5:$T$44,$CU10,AL$57),""),2,1)="(",LEFT(IFERROR(INDEX(醫師週班表!$C$5:$T$44,$CU10,AL$57),""),1),IFERROR(INDEX(醫師週班表!$C$5:$T$44,$CU10,AL$57),"")))))))</f>
        <v/>
      </c>
      <c r="AM10" s="72">
        <f>IF(AM$59="X","",IF(AM$59&lt;&gt;"",AM$59,IF(IFERROR(INDEX(醫師週班表!$C$5:$T$44,$CU10,AM$57),"")=0,"",IF(MID(IFERROR(INDEX(醫師週班表!$C$5:$T$44,$CU10,AM$57),""),2,1)="/",MID(IFERROR(INDEX(醫師週班表!$C$5:$T$44,$CU10,AM$57),""),1+AM$58*2,1),IF(MID(IFERROR(INDEX(醫師週班表!$C$5:$T$44,$CU10,AM$57),""),3,1)="隔",IF(AM$58=0,LEFT(IFERROR(INDEX(醫師週班表!$C$5:$T$44,$CU10,AM$57),""),1),""),IF(MID(IFERROR(INDEX(醫師週班表!$C$5:$T$44,$CU10,AM$57),""),2,1)="(",LEFT(IFERROR(INDEX(醫師週班表!$C$5:$T$44,$CU10,AM$57),""),1),IFERROR(INDEX(醫師週班表!$C$5:$T$44,$CU10,AM$57),"")))))))</f>
        <v/>
      </c>
      <c r="AN10" s="72">
        <f>IF(AN$59="X","",IF(AN$59&lt;&gt;"",AN$59,IF(IFERROR(INDEX(醫師週班表!$C$5:$T$44,$CU10,AN$57),"")=0,"",IF(MID(IFERROR(INDEX(醫師週班表!$C$5:$T$44,$CU10,AN$57),""),2,1)="/",MID(IFERROR(INDEX(醫師週班表!$C$5:$T$44,$CU10,AN$57),""),1+AN$58*2,1),IF(MID(IFERROR(INDEX(醫師週班表!$C$5:$T$44,$CU10,AN$57),""),3,1)="隔",IF(AN$58=0,LEFT(IFERROR(INDEX(醫師週班表!$C$5:$T$44,$CU10,AN$57),""),1),""),IF(MID(IFERROR(INDEX(醫師週班表!$C$5:$T$44,$CU10,AN$57),""),2,1)="(",LEFT(IFERROR(INDEX(醫師週班表!$C$5:$T$44,$CU10,AN$57),""),1),IFERROR(INDEX(醫師週班表!$C$5:$T$44,$CU10,AN$57),"")))))))</f>
        <v/>
      </c>
      <c r="AO10" s="71">
        <f>IF(AO$59="X","",IF(AO$59&lt;&gt;"",AO$59,IF(IFERROR(INDEX(醫師週班表!$C$5:$T$44,$CU10,AO$57),"")=0,"",IF(MID(IFERROR(INDEX(醫師週班表!$C$5:$T$44,$CU10,AO$57),""),2,1)="/",MID(IFERROR(INDEX(醫師週班表!$C$5:$T$44,$CU10,AO$57),""),1+AO$58*2,1),IF(MID(IFERROR(INDEX(醫師週班表!$C$5:$T$44,$CU10,AO$57),""),3,1)="隔",IF(AO$58=0,LEFT(IFERROR(INDEX(醫師週班表!$C$5:$T$44,$CU10,AO$57),""),1),""),IF(MID(IFERROR(INDEX(醫師週班表!$C$5:$T$44,$CU10,AO$57),""),2,1)="(",LEFT(IFERROR(INDEX(醫師週班表!$C$5:$T$44,$CU10,AO$57),""),1),IFERROR(INDEX(醫師週班表!$C$5:$T$44,$CU10,AO$57),"")))))))</f>
        <v/>
      </c>
      <c r="AP10" s="72">
        <f>IF(AP$59="X","",IF(AP$59&lt;&gt;"",AP$59,IF(IFERROR(INDEX(醫師週班表!$C$5:$T$44,$CU10,AP$57),"")=0,"",IF(MID(IFERROR(INDEX(醫師週班表!$C$5:$T$44,$CU10,AP$57),""),2,1)="/",MID(IFERROR(INDEX(醫師週班表!$C$5:$T$44,$CU10,AP$57),""),1+AP$58*2,1),IF(MID(IFERROR(INDEX(醫師週班表!$C$5:$T$44,$CU10,AP$57),""),3,1)="隔",IF(AP$58=0,LEFT(IFERROR(INDEX(醫師週班表!$C$5:$T$44,$CU10,AP$57),""),1),""),IF(MID(IFERROR(INDEX(醫師週班表!$C$5:$T$44,$CU10,AP$57),""),2,1)="(",LEFT(IFERROR(INDEX(醫師週班表!$C$5:$T$44,$CU10,AP$57),""),1),IFERROR(INDEX(醫師週班表!$C$5:$T$44,$CU10,AP$57),"")))))))</f>
        <v/>
      </c>
      <c r="AQ10" s="72">
        <f>IF(AQ$59="X","",IF(AQ$59&lt;&gt;"",AQ$59,IF(IFERROR(INDEX(醫師週班表!$C$5:$T$44,$CU10,AQ$57),"")=0,"",IF(MID(IFERROR(INDEX(醫師週班表!$C$5:$T$44,$CU10,AQ$57),""),2,1)="/",MID(IFERROR(INDEX(醫師週班表!$C$5:$T$44,$CU10,AQ$57),""),1+AQ$58*2,1),IF(MID(IFERROR(INDEX(醫師週班表!$C$5:$T$44,$CU10,AQ$57),""),3,1)="隔",IF(AQ$58=0,LEFT(IFERROR(INDEX(醫師週班表!$C$5:$T$44,$CU10,AQ$57),""),1),""),IF(MID(IFERROR(INDEX(醫師週班表!$C$5:$T$44,$CU10,AQ$57),""),2,1)="(",LEFT(IFERROR(INDEX(醫師週班表!$C$5:$T$44,$CU10,AQ$57),""),1),IFERROR(INDEX(醫師週班表!$C$5:$T$44,$CU10,AQ$57),"")))))))</f>
        <v/>
      </c>
      <c r="AR10" s="71">
        <f>IF(AR$59="X","",IF(AR$59&lt;&gt;"",AR$59,IF(IFERROR(INDEX(醫師週班表!$C$5:$T$44,$CU10,AR$57),"")=0,"",IF(MID(IFERROR(INDEX(醫師週班表!$C$5:$T$44,$CU10,AR$57),""),2,1)="/",MID(IFERROR(INDEX(醫師週班表!$C$5:$T$44,$CU10,AR$57),""),1+AR$58*2,1),IF(MID(IFERROR(INDEX(醫師週班表!$C$5:$T$44,$CU10,AR$57),""),3,1)="隔",IF(AR$58=0,LEFT(IFERROR(INDEX(醫師週班表!$C$5:$T$44,$CU10,AR$57),""),1),""),IF(MID(IFERROR(INDEX(醫師週班表!$C$5:$T$44,$CU10,AR$57),""),2,1)="(",LEFT(IFERROR(INDEX(醫師週班表!$C$5:$T$44,$CU10,AR$57),""),1),IFERROR(INDEX(醫師週班表!$C$5:$T$44,$CU10,AR$57),"")))))))</f>
        <v/>
      </c>
      <c r="AS10" s="72">
        <f>IF(AS$59="X","",IF(AS$59&lt;&gt;"",AS$59,IF(IFERROR(INDEX(醫師週班表!$C$5:$T$44,$CU10,AS$57),"")=0,"",IF(MID(IFERROR(INDEX(醫師週班表!$C$5:$T$44,$CU10,AS$57),""),2,1)="/",MID(IFERROR(INDEX(醫師週班表!$C$5:$T$44,$CU10,AS$57),""),1+AS$58*2,1),IF(MID(IFERROR(INDEX(醫師週班表!$C$5:$T$44,$CU10,AS$57),""),3,1)="隔",IF(AS$58=0,LEFT(IFERROR(INDEX(醫師週班表!$C$5:$T$44,$CU10,AS$57),""),1),""),IF(MID(IFERROR(INDEX(醫師週班表!$C$5:$T$44,$CU10,AS$57),""),2,1)="(",LEFT(IFERROR(INDEX(醫師週班表!$C$5:$T$44,$CU10,AS$57),""),1),IFERROR(INDEX(醫師週班表!$C$5:$T$44,$CU10,AS$57),"")))))))</f>
        <v/>
      </c>
      <c r="AT10" s="72">
        <f>IF(AT$59="X","",IF(AT$59&lt;&gt;"",AT$59,IF(IFERROR(INDEX(醫師週班表!$C$5:$T$44,$CU10,AT$57),"")=0,"",IF(MID(IFERROR(INDEX(醫師週班表!$C$5:$T$44,$CU10,AT$57),""),2,1)="/",MID(IFERROR(INDEX(醫師週班表!$C$5:$T$44,$CU10,AT$57),""),1+AT$58*2,1),IF(MID(IFERROR(INDEX(醫師週班表!$C$5:$T$44,$CU10,AT$57),""),3,1)="隔",IF(AT$58=0,LEFT(IFERROR(INDEX(醫師週班表!$C$5:$T$44,$CU10,AT$57),""),1),""),IF(MID(IFERROR(INDEX(醫師週班表!$C$5:$T$44,$CU10,AT$57),""),2,1)="(",LEFT(IFERROR(INDEX(醫師週班表!$C$5:$T$44,$CU10,AT$57),""),1),IFERROR(INDEX(醫師週班表!$C$5:$T$44,$CU10,AT$57),"")))))))</f>
        <v/>
      </c>
      <c r="AU10" s="71">
        <f>IF(AU$59="X","",IF(AU$59&lt;&gt;"",AU$59,IF(IFERROR(INDEX(醫師週班表!$C$5:$T$44,$CU10,AU$57),"")=0,"",IF(MID(IFERROR(INDEX(醫師週班表!$C$5:$T$44,$CU10,AU$57),""),2,1)="/",MID(IFERROR(INDEX(醫師週班表!$C$5:$T$44,$CU10,AU$57),""),1+AU$58*2,1),IF(MID(IFERROR(INDEX(醫師週班表!$C$5:$T$44,$CU10,AU$57),""),3,1)="隔",IF(AU$58=0,LEFT(IFERROR(INDEX(醫師週班表!$C$5:$T$44,$CU10,AU$57),""),1),""),IF(MID(IFERROR(INDEX(醫師週班表!$C$5:$T$44,$CU10,AU$57),""),2,1)="(",LEFT(IFERROR(INDEX(醫師週班表!$C$5:$T$44,$CU10,AU$57),""),1),IFERROR(INDEX(醫師週班表!$C$5:$T$44,$CU10,AU$57),"")))))))</f>
        <v/>
      </c>
      <c r="AV10" s="72">
        <f>IF(AV$59="X","",IF(AV$59&lt;&gt;"",AV$59,IF(IFERROR(INDEX(醫師週班表!$C$5:$T$44,$CU10,AV$57),"")=0,"",IF(MID(IFERROR(INDEX(醫師週班表!$C$5:$T$44,$CU10,AV$57),""),2,1)="/",MID(IFERROR(INDEX(醫師週班表!$C$5:$T$44,$CU10,AV$57),""),1+AV$58*2,1),IF(MID(IFERROR(INDEX(醫師週班表!$C$5:$T$44,$CU10,AV$57),""),3,1)="隔",IF(AV$58=0,LEFT(IFERROR(INDEX(醫師週班表!$C$5:$T$44,$CU10,AV$57),""),1),""),IF(MID(IFERROR(INDEX(醫師週班表!$C$5:$T$44,$CU10,AV$57),""),2,1)="(",LEFT(IFERROR(INDEX(醫師週班表!$C$5:$T$44,$CU10,AV$57),""),1),IFERROR(INDEX(醫師週班表!$C$5:$T$44,$CU10,AV$57),"")))))))</f>
        <v/>
      </c>
      <c r="AW10" s="72">
        <f>IF(AW$59="X","",IF(AW$59&lt;&gt;"",AW$59,IF(IFERROR(INDEX(醫師週班表!$C$5:$T$44,$CU10,AW$57),"")=0,"",IF(MID(IFERROR(INDEX(醫師週班表!$C$5:$T$44,$CU10,AW$57),""),2,1)="/",MID(IFERROR(INDEX(醫師週班表!$C$5:$T$44,$CU10,AW$57),""),1+AW$58*2,1),IF(MID(IFERROR(INDEX(醫師週班表!$C$5:$T$44,$CU10,AW$57),""),3,1)="隔",IF(AW$58=0,LEFT(IFERROR(INDEX(醫師週班表!$C$5:$T$44,$CU10,AW$57),""),1),""),IF(MID(IFERROR(INDEX(醫師週班表!$C$5:$T$44,$CU10,AW$57),""),2,1)="(",LEFT(IFERROR(INDEX(醫師週班表!$C$5:$T$44,$CU10,AW$57),""),1),IFERROR(INDEX(醫師週班表!$C$5:$T$44,$CU10,AW$57),"")))))))</f>
        <v/>
      </c>
      <c r="AX10" s="71">
        <f>IF(AX$59="X","",IF(AX$59&lt;&gt;"",AX$59,IF(IFERROR(INDEX(醫師週班表!$C$5:$T$44,$CU10,AX$57),"")=0,"",IF(MID(IFERROR(INDEX(醫師週班表!$C$5:$T$44,$CU10,AX$57),""),2,1)="/",MID(IFERROR(INDEX(醫師週班表!$C$5:$T$44,$CU10,AX$57),""),1+AX$58*2,1),IF(MID(IFERROR(INDEX(醫師週班表!$C$5:$T$44,$CU10,AX$57),""),3,1)="隔",IF(AX$58=0,LEFT(IFERROR(INDEX(醫師週班表!$C$5:$T$44,$CU10,AX$57),""),1),""),IF(MID(IFERROR(INDEX(醫師週班表!$C$5:$T$44,$CU10,AX$57),""),2,1)="(",LEFT(IFERROR(INDEX(醫師週班表!$C$5:$T$44,$CU10,AX$57),""),1),IFERROR(INDEX(醫師週班表!$C$5:$T$44,$CU10,AX$57),"")))))))</f>
        <v/>
      </c>
      <c r="AY10" s="72">
        <f>IF(AY$59="X","",IF(AY$59&lt;&gt;"",AY$59,IF(IFERROR(INDEX(醫師週班表!$C$5:$T$44,$CU10,AY$57),"")=0,"",IF(MID(IFERROR(INDEX(醫師週班表!$C$5:$T$44,$CU10,AY$57),""),2,1)="/",MID(IFERROR(INDEX(醫師週班表!$C$5:$T$44,$CU10,AY$57),""),1+AY$58*2,1),IF(MID(IFERROR(INDEX(醫師週班表!$C$5:$T$44,$CU10,AY$57),""),3,1)="隔",IF(AY$58=0,LEFT(IFERROR(INDEX(醫師週班表!$C$5:$T$44,$CU10,AY$57),""),1),""),IF(MID(IFERROR(INDEX(醫師週班表!$C$5:$T$44,$CU10,AY$57),""),2,1)="(",LEFT(IFERROR(INDEX(醫師週班表!$C$5:$T$44,$CU10,AY$57),""),1),IFERROR(INDEX(醫師週班表!$C$5:$T$44,$CU10,AY$57),"")))))))</f>
        <v/>
      </c>
      <c r="AZ10" s="72">
        <f>IF(AZ$59="X","",IF(AZ$59&lt;&gt;"",AZ$59,IF(IFERROR(INDEX(醫師週班表!$C$5:$T$44,$CU10,AZ$57),"")=0,"",IF(MID(IFERROR(INDEX(醫師週班表!$C$5:$T$44,$CU10,AZ$57),""),2,1)="/",MID(IFERROR(INDEX(醫師週班表!$C$5:$T$44,$CU10,AZ$57),""),1+AZ$58*2,1),IF(MID(IFERROR(INDEX(醫師週班表!$C$5:$T$44,$CU10,AZ$57),""),3,1)="隔",IF(AZ$58=0,LEFT(IFERROR(INDEX(醫師週班表!$C$5:$T$44,$CU10,AZ$57),""),1),""),IF(MID(IFERROR(INDEX(醫師週班表!$C$5:$T$44,$CU10,AZ$57),""),2,1)="(",LEFT(IFERROR(INDEX(醫師週班表!$C$5:$T$44,$CU10,AZ$57),""),1),IFERROR(INDEX(醫師週班表!$C$5:$T$44,$CU10,AZ$57),"")))))))</f>
        <v/>
      </c>
      <c r="BA10" s="71">
        <f>IF(BA$59="X","",IF(BA$59&lt;&gt;"",BA$59,IF(IFERROR(INDEX(醫師週班表!$C$5:$T$44,$CU10,BA$57),"")=0,"",IF(MID(IFERROR(INDEX(醫師週班表!$C$5:$T$44,$CU10,BA$57),""),2,1)="/",MID(IFERROR(INDEX(醫師週班表!$C$5:$T$44,$CU10,BA$57),""),1+BA$58*2,1),IF(MID(IFERROR(INDEX(醫師週班表!$C$5:$T$44,$CU10,BA$57),""),3,1)="隔",IF(BA$58=0,LEFT(IFERROR(INDEX(醫師週班表!$C$5:$T$44,$CU10,BA$57),""),1),""),IF(MID(IFERROR(INDEX(醫師週班表!$C$5:$T$44,$CU10,BA$57),""),2,1)="(",LEFT(IFERROR(INDEX(醫師週班表!$C$5:$T$44,$CU10,BA$57),""),1),IFERROR(INDEX(醫師週班表!$C$5:$T$44,$CU10,BA$57),"")))))))</f>
        <v/>
      </c>
      <c r="BB10" s="72">
        <f>IF(BB$59="X","",IF(BB$59&lt;&gt;"",BB$59,IF(IFERROR(INDEX(醫師週班表!$C$5:$T$44,$CU10,BB$57),"")=0,"",IF(MID(IFERROR(INDEX(醫師週班表!$C$5:$T$44,$CU10,BB$57),""),2,1)="/",MID(IFERROR(INDEX(醫師週班表!$C$5:$T$44,$CU10,BB$57),""),1+BB$58*2,1),IF(MID(IFERROR(INDEX(醫師週班表!$C$5:$T$44,$CU10,BB$57),""),3,1)="隔",IF(BB$58=0,LEFT(IFERROR(INDEX(醫師週班表!$C$5:$T$44,$CU10,BB$57),""),1),""),IF(MID(IFERROR(INDEX(醫師週班表!$C$5:$T$44,$CU10,BB$57),""),2,1)="(",LEFT(IFERROR(INDEX(醫師週班表!$C$5:$T$44,$CU10,BB$57),""),1),IFERROR(INDEX(醫師週班表!$C$5:$T$44,$CU10,BB$57),"")))))))</f>
        <v/>
      </c>
      <c r="BC10" s="72">
        <f>IF(BC$59="X","",IF(BC$59&lt;&gt;"",BC$59,IF(IFERROR(INDEX(醫師週班表!$C$5:$T$44,$CU10,BC$57),"")=0,"",IF(MID(IFERROR(INDEX(醫師週班表!$C$5:$T$44,$CU10,BC$57),""),2,1)="/",MID(IFERROR(INDEX(醫師週班表!$C$5:$T$44,$CU10,BC$57),""),1+BC$58*2,1),IF(MID(IFERROR(INDEX(醫師週班表!$C$5:$T$44,$CU10,BC$57),""),3,1)="隔",IF(BC$58=0,LEFT(IFERROR(INDEX(醫師週班表!$C$5:$T$44,$CU10,BC$57),""),1),""),IF(MID(IFERROR(INDEX(醫師週班表!$C$5:$T$44,$CU10,BC$57),""),2,1)="(",LEFT(IFERROR(INDEX(醫師週班表!$C$5:$T$44,$CU10,BC$57),""),1),IFERROR(INDEX(醫師週班表!$C$5:$T$44,$CU10,BC$57),"")))))))</f>
        <v/>
      </c>
      <c r="BD10" s="71">
        <f>IF(BD$59="X","",IF(BD$59&lt;&gt;"",BD$59,IF(IFERROR(INDEX(醫師週班表!$C$5:$T$44,$CU10,BD$57),"")=0,"",IF(MID(IFERROR(INDEX(醫師週班表!$C$5:$T$44,$CU10,BD$57),""),2,1)="/",MID(IFERROR(INDEX(醫師週班表!$C$5:$T$44,$CU10,BD$57),""),1+BD$58*2,1),IF(MID(IFERROR(INDEX(醫師週班表!$C$5:$T$44,$CU10,BD$57),""),3,1)="隔",IF(BD$58=0,LEFT(IFERROR(INDEX(醫師週班表!$C$5:$T$44,$CU10,BD$57),""),1),""),IF(MID(IFERROR(INDEX(醫師週班表!$C$5:$T$44,$CU10,BD$57),""),2,1)="(",LEFT(IFERROR(INDEX(醫師週班表!$C$5:$T$44,$CU10,BD$57),""),1),IFERROR(INDEX(醫師週班表!$C$5:$T$44,$CU10,BD$57),"")))))))</f>
        <v/>
      </c>
      <c r="BE10" s="72">
        <f>IF(BE$59="X","",IF(BE$59&lt;&gt;"",BE$59,IF(IFERROR(INDEX(醫師週班表!$C$5:$T$44,$CU10,BE$57),"")=0,"",IF(MID(IFERROR(INDEX(醫師週班表!$C$5:$T$44,$CU10,BE$57),""),2,1)="/",MID(IFERROR(INDEX(醫師週班表!$C$5:$T$44,$CU10,BE$57),""),1+BE$58*2,1),IF(MID(IFERROR(INDEX(醫師週班表!$C$5:$T$44,$CU10,BE$57),""),3,1)="隔",IF(BE$58=0,LEFT(IFERROR(INDEX(醫師週班表!$C$5:$T$44,$CU10,BE$57),""),1),""),IF(MID(IFERROR(INDEX(醫師週班表!$C$5:$T$44,$CU10,BE$57),""),2,1)="(",LEFT(IFERROR(INDEX(醫師週班表!$C$5:$T$44,$CU10,BE$57),""),1),IFERROR(INDEX(醫師週班表!$C$5:$T$44,$CU10,BE$57),"")))))))</f>
        <v/>
      </c>
      <c r="BF10" s="72">
        <f>IF(BF$59="X","",IF(BF$59&lt;&gt;"",BF$59,IF(IFERROR(INDEX(醫師週班表!$C$5:$T$44,$CU10,BF$57),"")=0,"",IF(MID(IFERROR(INDEX(醫師週班表!$C$5:$T$44,$CU10,BF$57),""),2,1)="/",MID(IFERROR(INDEX(醫師週班表!$C$5:$T$44,$CU10,BF$57),""),1+BF$58*2,1),IF(MID(IFERROR(INDEX(醫師週班表!$C$5:$T$44,$CU10,BF$57),""),3,1)="隔",IF(BF$58=0,LEFT(IFERROR(INDEX(醫師週班表!$C$5:$T$44,$CU10,BF$57),""),1),""),IF(MID(IFERROR(INDEX(醫師週班表!$C$5:$T$44,$CU10,BF$57),""),2,1)="(",LEFT(IFERROR(INDEX(醫師週班表!$C$5:$T$44,$CU10,BF$57),""),1),IFERROR(INDEX(醫師週班表!$C$5:$T$44,$CU10,BF$57),"")))))))</f>
        <v/>
      </c>
      <c r="BG10" s="71">
        <f>IF(BG$59="X","",IF(BG$59&lt;&gt;"",BG$59,IF(IFERROR(INDEX(醫師週班表!$C$5:$T$44,$CU10,BG$57),"")=0,"",IF(MID(IFERROR(INDEX(醫師週班表!$C$5:$T$44,$CU10,BG$57),""),2,1)="/",MID(IFERROR(INDEX(醫師週班表!$C$5:$T$44,$CU10,BG$57),""),1+BG$58*2,1),IF(MID(IFERROR(INDEX(醫師週班表!$C$5:$T$44,$CU10,BG$57),""),3,1)="隔",IF(BG$58=0,LEFT(IFERROR(INDEX(醫師週班表!$C$5:$T$44,$CU10,BG$57),""),1),""),IF(MID(IFERROR(INDEX(醫師週班表!$C$5:$T$44,$CU10,BG$57),""),2,1)="(",LEFT(IFERROR(INDEX(醫師週班表!$C$5:$T$44,$CU10,BG$57),""),1),IFERROR(INDEX(醫師週班表!$C$5:$T$44,$CU10,BG$57),"")))))))</f>
        <v/>
      </c>
      <c r="BH10" s="72">
        <f>IF(BH$59="X","",IF(BH$59&lt;&gt;"",BH$59,IF(IFERROR(INDEX(醫師週班表!$C$5:$T$44,$CU10,BH$57),"")=0,"",IF(MID(IFERROR(INDEX(醫師週班表!$C$5:$T$44,$CU10,BH$57),""),2,1)="/",MID(IFERROR(INDEX(醫師週班表!$C$5:$T$44,$CU10,BH$57),""),1+BH$58*2,1),IF(MID(IFERROR(INDEX(醫師週班表!$C$5:$T$44,$CU10,BH$57),""),3,1)="隔",IF(BH$58=0,LEFT(IFERROR(INDEX(醫師週班表!$C$5:$T$44,$CU10,BH$57),""),1),""),IF(MID(IFERROR(INDEX(醫師週班表!$C$5:$T$44,$CU10,BH$57),""),2,1)="(",LEFT(IFERROR(INDEX(醫師週班表!$C$5:$T$44,$CU10,BH$57),""),1),IFERROR(INDEX(醫師週班表!$C$5:$T$44,$CU10,BH$57),"")))))))</f>
        <v/>
      </c>
      <c r="BI10" s="72">
        <f>IF(BI$59="X","",IF(BI$59&lt;&gt;"",BI$59,IF(IFERROR(INDEX(醫師週班表!$C$5:$T$44,$CU10,BI$57),"")=0,"",IF(MID(IFERROR(INDEX(醫師週班表!$C$5:$T$44,$CU10,BI$57),""),2,1)="/",MID(IFERROR(INDEX(醫師週班表!$C$5:$T$44,$CU10,BI$57),""),1+BI$58*2,1),IF(MID(IFERROR(INDEX(醫師週班表!$C$5:$T$44,$CU10,BI$57),""),3,1)="隔",IF(BI$58=0,LEFT(IFERROR(INDEX(醫師週班表!$C$5:$T$44,$CU10,BI$57),""),1),""),IF(MID(IFERROR(INDEX(醫師週班表!$C$5:$T$44,$CU10,BI$57),""),2,1)="(",LEFT(IFERROR(INDEX(醫師週班表!$C$5:$T$44,$CU10,BI$57),""),1),IFERROR(INDEX(醫師週班表!$C$5:$T$44,$CU10,BI$57),"")))))))</f>
        <v/>
      </c>
      <c r="BJ10" s="71">
        <f>IF(BJ$59="X","",IF(BJ$59&lt;&gt;"",BJ$59,IF(IFERROR(INDEX(醫師週班表!$C$5:$T$44,$CU10,BJ$57),"")=0,"",IF(MID(IFERROR(INDEX(醫師週班表!$C$5:$T$44,$CU10,BJ$57),""),2,1)="/",MID(IFERROR(INDEX(醫師週班表!$C$5:$T$44,$CU10,BJ$57),""),1+BJ$58*2,1),IF(MID(IFERROR(INDEX(醫師週班表!$C$5:$T$44,$CU10,BJ$57),""),3,1)="隔",IF(BJ$58=0,LEFT(IFERROR(INDEX(醫師週班表!$C$5:$T$44,$CU10,BJ$57),""),1),""),IF(MID(IFERROR(INDEX(醫師週班表!$C$5:$T$44,$CU10,BJ$57),""),2,1)="(",LEFT(IFERROR(INDEX(醫師週班表!$C$5:$T$44,$CU10,BJ$57),""),1),IFERROR(INDEX(醫師週班表!$C$5:$T$44,$CU10,BJ$57),"")))))))</f>
        <v/>
      </c>
      <c r="BK10" s="72">
        <f>IF(BK$59="X","",IF(BK$59&lt;&gt;"",BK$59,IF(IFERROR(INDEX(醫師週班表!$C$5:$T$44,$CU10,BK$57),"")=0,"",IF(MID(IFERROR(INDEX(醫師週班表!$C$5:$T$44,$CU10,BK$57),""),2,1)="/",MID(IFERROR(INDEX(醫師週班表!$C$5:$T$44,$CU10,BK$57),""),1+BK$58*2,1),IF(MID(IFERROR(INDEX(醫師週班表!$C$5:$T$44,$CU10,BK$57),""),3,1)="隔",IF(BK$58=0,LEFT(IFERROR(INDEX(醫師週班表!$C$5:$T$44,$CU10,BK$57),""),1),""),IF(MID(IFERROR(INDEX(醫師週班表!$C$5:$T$44,$CU10,BK$57),""),2,1)="(",LEFT(IFERROR(INDEX(醫師週班表!$C$5:$T$44,$CU10,BK$57),""),1),IFERROR(INDEX(醫師週班表!$C$5:$T$44,$CU10,BK$57),"")))))))</f>
        <v/>
      </c>
      <c r="BL10" s="72">
        <f>IF(BL$59="X","",IF(BL$59&lt;&gt;"",BL$59,IF(IFERROR(INDEX(醫師週班表!$C$5:$T$44,$CU10,BL$57),"")=0,"",IF(MID(IFERROR(INDEX(醫師週班表!$C$5:$T$44,$CU10,BL$57),""),2,1)="/",MID(IFERROR(INDEX(醫師週班表!$C$5:$T$44,$CU10,BL$57),""),1+BL$58*2,1),IF(MID(IFERROR(INDEX(醫師週班表!$C$5:$T$44,$CU10,BL$57),""),3,1)="隔",IF(BL$58=0,LEFT(IFERROR(INDEX(醫師週班表!$C$5:$T$44,$CU10,BL$57),""),1),""),IF(MID(IFERROR(INDEX(醫師週班表!$C$5:$T$44,$CU10,BL$57),""),2,1)="(",LEFT(IFERROR(INDEX(醫師週班表!$C$5:$T$44,$CU10,BL$57),""),1),IFERROR(INDEX(醫師週班表!$C$5:$T$44,$CU10,BL$57),"")))))))</f>
        <v/>
      </c>
      <c r="BM10" s="71">
        <f>IF(BM$59="X","",IF(BM$59&lt;&gt;"",BM$59,IF(IFERROR(INDEX(醫師週班表!$C$5:$T$44,$CU10,BM$57),"")=0,"",IF(MID(IFERROR(INDEX(醫師週班表!$C$5:$T$44,$CU10,BM$57),""),2,1)="/",MID(IFERROR(INDEX(醫師週班表!$C$5:$T$44,$CU10,BM$57),""),1+BM$58*2,1),IF(MID(IFERROR(INDEX(醫師週班表!$C$5:$T$44,$CU10,BM$57),""),3,1)="隔",IF(BM$58=0,LEFT(IFERROR(INDEX(醫師週班表!$C$5:$T$44,$CU10,BM$57),""),1),""),IF(MID(IFERROR(INDEX(醫師週班表!$C$5:$T$44,$CU10,BM$57),""),2,1)="(",LEFT(IFERROR(INDEX(醫師週班表!$C$5:$T$44,$CU10,BM$57),""),1),IFERROR(INDEX(醫師週班表!$C$5:$T$44,$CU10,BM$57),"")))))))</f>
        <v/>
      </c>
      <c r="BN10" s="72">
        <f>IF(BN$59="X","",IF(BN$59&lt;&gt;"",BN$59,IF(IFERROR(INDEX(醫師週班表!$C$5:$T$44,$CU10,BN$57),"")=0,"",IF(MID(IFERROR(INDEX(醫師週班表!$C$5:$T$44,$CU10,BN$57),""),2,1)="/",MID(IFERROR(INDEX(醫師週班表!$C$5:$T$44,$CU10,BN$57),""),1+BN$58*2,1),IF(MID(IFERROR(INDEX(醫師週班表!$C$5:$T$44,$CU10,BN$57),""),3,1)="隔",IF(BN$58=0,LEFT(IFERROR(INDEX(醫師週班表!$C$5:$T$44,$CU10,BN$57),""),1),""),IF(MID(IFERROR(INDEX(醫師週班表!$C$5:$T$44,$CU10,BN$57),""),2,1)="(",LEFT(IFERROR(INDEX(醫師週班表!$C$5:$T$44,$CU10,BN$57),""),1),IFERROR(INDEX(醫師週班表!$C$5:$T$44,$CU10,BN$57),"")))))))</f>
        <v/>
      </c>
      <c r="BO10" s="72">
        <f>IF(BO$59="X","",IF(BO$59&lt;&gt;"",BO$59,IF(IFERROR(INDEX(醫師週班表!$C$5:$T$44,$CU10,BO$57),"")=0,"",IF(MID(IFERROR(INDEX(醫師週班表!$C$5:$T$44,$CU10,BO$57),""),2,1)="/",MID(IFERROR(INDEX(醫師週班表!$C$5:$T$44,$CU10,BO$57),""),1+BO$58*2,1),IF(MID(IFERROR(INDEX(醫師週班表!$C$5:$T$44,$CU10,BO$57),""),3,1)="隔",IF(BO$58=0,LEFT(IFERROR(INDEX(醫師週班表!$C$5:$T$44,$CU10,BO$57),""),1),""),IF(MID(IFERROR(INDEX(醫師週班表!$C$5:$T$44,$CU10,BO$57),""),2,1)="(",LEFT(IFERROR(INDEX(醫師週班表!$C$5:$T$44,$CU10,BO$57),""),1),IFERROR(INDEX(醫師週班表!$C$5:$T$44,$CU10,BO$57),"")))))))</f>
        <v/>
      </c>
      <c r="BP10" s="71">
        <f>IF(BP$59="X","",IF(BP$59&lt;&gt;"",BP$59,IF(IFERROR(INDEX(醫師週班表!$C$5:$T$44,$CU10,BP$57),"")=0,"",IF(MID(IFERROR(INDEX(醫師週班表!$C$5:$T$44,$CU10,BP$57),""),2,1)="/",MID(IFERROR(INDEX(醫師週班表!$C$5:$T$44,$CU10,BP$57),""),1+BP$58*2,1),IF(MID(IFERROR(INDEX(醫師週班表!$C$5:$T$44,$CU10,BP$57),""),3,1)="隔",IF(BP$58=0,LEFT(IFERROR(INDEX(醫師週班表!$C$5:$T$44,$CU10,BP$57),""),1),""),IF(MID(IFERROR(INDEX(醫師週班表!$C$5:$T$44,$CU10,BP$57),""),2,1)="(",LEFT(IFERROR(INDEX(醫師週班表!$C$5:$T$44,$CU10,BP$57),""),1),IFERROR(INDEX(醫師週班表!$C$5:$T$44,$CU10,BP$57),"")))))))</f>
        <v/>
      </c>
      <c r="BQ10" s="72">
        <f>IF(BQ$59="X","",IF(BQ$59&lt;&gt;"",BQ$59,IF(IFERROR(INDEX(醫師週班表!$C$5:$T$44,$CU10,BQ$57),"")=0,"",IF(MID(IFERROR(INDEX(醫師週班表!$C$5:$T$44,$CU10,BQ$57),""),2,1)="/",MID(IFERROR(INDEX(醫師週班表!$C$5:$T$44,$CU10,BQ$57),""),1+BQ$58*2,1),IF(MID(IFERROR(INDEX(醫師週班表!$C$5:$T$44,$CU10,BQ$57),""),3,1)="隔",IF(BQ$58=0,LEFT(IFERROR(INDEX(醫師週班表!$C$5:$T$44,$CU10,BQ$57),""),1),""),IF(MID(IFERROR(INDEX(醫師週班表!$C$5:$T$44,$CU10,BQ$57),""),2,1)="(",LEFT(IFERROR(INDEX(醫師週班表!$C$5:$T$44,$CU10,BQ$57),""),1),IFERROR(INDEX(醫師週班表!$C$5:$T$44,$CU10,BQ$57),"")))))))</f>
        <v/>
      </c>
      <c r="BR10" s="72">
        <f>IF(BR$59="X","",IF(BR$59&lt;&gt;"",BR$59,IF(IFERROR(INDEX(醫師週班表!$C$5:$T$44,$CU10,BR$57),"")=0,"",IF(MID(IFERROR(INDEX(醫師週班表!$C$5:$T$44,$CU10,BR$57),""),2,1)="/",MID(IFERROR(INDEX(醫師週班表!$C$5:$T$44,$CU10,BR$57),""),1+BR$58*2,1),IF(MID(IFERROR(INDEX(醫師週班表!$C$5:$T$44,$CU10,BR$57),""),3,1)="隔",IF(BR$58=0,LEFT(IFERROR(INDEX(醫師週班表!$C$5:$T$44,$CU10,BR$57),""),1),""),IF(MID(IFERROR(INDEX(醫師週班表!$C$5:$T$44,$CU10,BR$57),""),2,1)="(",LEFT(IFERROR(INDEX(醫師週班表!$C$5:$T$44,$CU10,BR$57),""),1),IFERROR(INDEX(醫師週班表!$C$5:$T$44,$CU10,BR$57),"")))))))</f>
        <v/>
      </c>
      <c r="BS10" s="71">
        <f>IF(BS$59="X","",IF(BS$59&lt;&gt;"",BS$59,IF(IFERROR(INDEX(醫師週班表!$C$5:$T$44,$CU10,BS$57),"")=0,"",IF(MID(IFERROR(INDEX(醫師週班表!$C$5:$T$44,$CU10,BS$57),""),2,1)="/",MID(IFERROR(INDEX(醫師週班表!$C$5:$T$44,$CU10,BS$57),""),1+BS$58*2,1),IF(MID(IFERROR(INDEX(醫師週班表!$C$5:$T$44,$CU10,BS$57),""),3,1)="隔",IF(BS$58=0,LEFT(IFERROR(INDEX(醫師週班表!$C$5:$T$44,$CU10,BS$57),""),1),""),IF(MID(IFERROR(INDEX(醫師週班表!$C$5:$T$44,$CU10,BS$57),""),2,1)="(",LEFT(IFERROR(INDEX(醫師週班表!$C$5:$T$44,$CU10,BS$57),""),1),IFERROR(INDEX(醫師週班表!$C$5:$T$44,$CU10,BS$57),"")))))))</f>
        <v/>
      </c>
      <c r="BT10" s="72">
        <f>IF(BT$59="X","",IF(BT$59&lt;&gt;"",BT$59,IF(IFERROR(INDEX(醫師週班表!$C$5:$T$44,$CU10,BT$57),"")=0,"",IF(MID(IFERROR(INDEX(醫師週班表!$C$5:$T$44,$CU10,BT$57),""),2,1)="/",MID(IFERROR(INDEX(醫師週班表!$C$5:$T$44,$CU10,BT$57),""),1+BT$58*2,1),IF(MID(IFERROR(INDEX(醫師週班表!$C$5:$T$44,$CU10,BT$57),""),3,1)="隔",IF(BT$58=0,LEFT(IFERROR(INDEX(醫師週班表!$C$5:$T$44,$CU10,BT$57),""),1),""),IF(MID(IFERROR(INDEX(醫師週班表!$C$5:$T$44,$CU10,BT$57),""),2,1)="(",LEFT(IFERROR(INDEX(醫師週班表!$C$5:$T$44,$CU10,BT$57),""),1),IFERROR(INDEX(醫師週班表!$C$5:$T$44,$CU10,BT$57),"")))))))</f>
        <v/>
      </c>
      <c r="BU10" s="72">
        <f>IF(BU$59="X","",IF(BU$59&lt;&gt;"",BU$59,IF(IFERROR(INDEX(醫師週班表!$C$5:$T$44,$CU10,BU$57),"")=0,"",IF(MID(IFERROR(INDEX(醫師週班表!$C$5:$T$44,$CU10,BU$57),""),2,1)="/",MID(IFERROR(INDEX(醫師週班表!$C$5:$T$44,$CU10,BU$57),""),1+BU$58*2,1),IF(MID(IFERROR(INDEX(醫師週班表!$C$5:$T$44,$CU10,BU$57),""),3,1)="隔",IF(BU$58=0,LEFT(IFERROR(INDEX(醫師週班表!$C$5:$T$44,$CU10,BU$57),""),1),""),IF(MID(IFERROR(INDEX(醫師週班表!$C$5:$T$44,$CU10,BU$57),""),2,1)="(",LEFT(IFERROR(INDEX(醫師週班表!$C$5:$T$44,$CU10,BU$57),""),1),IFERROR(INDEX(醫師週班表!$C$5:$T$44,$CU10,BU$57),"")))))))</f>
        <v/>
      </c>
      <c r="BV10" s="71">
        <f>IF(BV$59="X","",IF(BV$59&lt;&gt;"",BV$59,IF(IFERROR(INDEX(醫師週班表!$C$5:$T$44,$CU10,BV$57),"")=0,"",IF(MID(IFERROR(INDEX(醫師週班表!$C$5:$T$44,$CU10,BV$57),""),2,1)="/",MID(IFERROR(INDEX(醫師週班表!$C$5:$T$44,$CU10,BV$57),""),1+BV$58*2,1),IF(MID(IFERROR(INDEX(醫師週班表!$C$5:$T$44,$CU10,BV$57),""),3,1)="隔",IF(BV$58=0,LEFT(IFERROR(INDEX(醫師週班表!$C$5:$T$44,$CU10,BV$57),""),1),""),IF(MID(IFERROR(INDEX(醫師週班表!$C$5:$T$44,$CU10,BV$57),""),2,1)="(",LEFT(IFERROR(INDEX(醫師週班表!$C$5:$T$44,$CU10,BV$57),""),1),IFERROR(INDEX(醫師週班表!$C$5:$T$44,$CU10,BV$57),"")))))))</f>
        <v/>
      </c>
      <c r="BW10" s="72">
        <f>IF(BW$59="X","",IF(BW$59&lt;&gt;"",BW$59,IF(IFERROR(INDEX(醫師週班表!$C$5:$T$44,$CU10,BW$57),"")=0,"",IF(MID(IFERROR(INDEX(醫師週班表!$C$5:$T$44,$CU10,BW$57),""),2,1)="/",MID(IFERROR(INDEX(醫師週班表!$C$5:$T$44,$CU10,BW$57),""),1+BW$58*2,1),IF(MID(IFERROR(INDEX(醫師週班表!$C$5:$T$44,$CU10,BW$57),""),3,1)="隔",IF(BW$58=0,LEFT(IFERROR(INDEX(醫師週班表!$C$5:$T$44,$CU10,BW$57),""),1),""),IF(MID(IFERROR(INDEX(醫師週班表!$C$5:$T$44,$CU10,BW$57),""),2,1)="(",LEFT(IFERROR(INDEX(醫師週班表!$C$5:$T$44,$CU10,BW$57),""),1),IFERROR(INDEX(醫師週班表!$C$5:$T$44,$CU10,BW$57),"")))))))</f>
        <v/>
      </c>
      <c r="BX10" s="72">
        <f>IF(BX$59="X","",IF(BX$59&lt;&gt;"",BX$59,IF(IFERROR(INDEX(醫師週班表!$C$5:$T$44,$CU10,BX$57),"")=0,"",IF(MID(IFERROR(INDEX(醫師週班表!$C$5:$T$44,$CU10,BX$57),""),2,1)="/",MID(IFERROR(INDEX(醫師週班表!$C$5:$T$44,$CU10,BX$57),""),1+BX$58*2,1),IF(MID(IFERROR(INDEX(醫師週班表!$C$5:$T$44,$CU10,BX$57),""),3,1)="隔",IF(BX$58=0,LEFT(IFERROR(INDEX(醫師週班表!$C$5:$T$44,$CU10,BX$57),""),1),""),IF(MID(IFERROR(INDEX(醫師週班表!$C$5:$T$44,$CU10,BX$57),""),2,1)="(",LEFT(IFERROR(INDEX(醫師週班表!$C$5:$T$44,$CU10,BX$57),""),1),IFERROR(INDEX(醫師週班表!$C$5:$T$44,$CU10,BX$57),"")))))))</f>
        <v/>
      </c>
      <c r="BY10" s="71">
        <f>IF(BY$59="X","",IF(BY$59&lt;&gt;"",BY$59,IF(IFERROR(INDEX(醫師週班表!$C$5:$T$44,$CU10,BY$57),"")=0,"",IF(MID(IFERROR(INDEX(醫師週班表!$C$5:$T$44,$CU10,BY$57),""),2,1)="/",MID(IFERROR(INDEX(醫師週班表!$C$5:$T$44,$CU10,BY$57),""),1+BY$58*2,1),IF(MID(IFERROR(INDEX(醫師週班表!$C$5:$T$44,$CU10,BY$57),""),3,1)="隔",IF(BY$58=0,LEFT(IFERROR(INDEX(醫師週班表!$C$5:$T$44,$CU10,BY$57),""),1),""),IF(MID(IFERROR(INDEX(醫師週班表!$C$5:$T$44,$CU10,BY$57),""),2,1)="(",LEFT(IFERROR(INDEX(醫師週班表!$C$5:$T$44,$CU10,BY$57),""),1),IFERROR(INDEX(醫師週班表!$C$5:$T$44,$CU10,BY$57),"")))))))</f>
        <v/>
      </c>
      <c r="BZ10" s="72">
        <f>IF(BZ$59="X","",IF(BZ$59&lt;&gt;"",BZ$59,IF(IFERROR(INDEX(醫師週班表!$C$5:$T$44,$CU10,BZ$57),"")=0,"",IF(MID(IFERROR(INDEX(醫師週班表!$C$5:$T$44,$CU10,BZ$57),""),2,1)="/",MID(IFERROR(INDEX(醫師週班表!$C$5:$T$44,$CU10,BZ$57),""),1+BZ$58*2,1),IF(MID(IFERROR(INDEX(醫師週班表!$C$5:$T$44,$CU10,BZ$57),""),3,1)="隔",IF(BZ$58=0,LEFT(IFERROR(INDEX(醫師週班表!$C$5:$T$44,$CU10,BZ$57),""),1),""),IF(MID(IFERROR(INDEX(醫師週班表!$C$5:$T$44,$CU10,BZ$57),""),2,1)="(",LEFT(IFERROR(INDEX(醫師週班表!$C$5:$T$44,$CU10,BZ$57),""),1),IFERROR(INDEX(醫師週班表!$C$5:$T$44,$CU10,BZ$57),"")))))))</f>
        <v/>
      </c>
      <c r="CA10" s="72">
        <f>IF(CA$59="X","",IF(CA$59&lt;&gt;"",CA$59,IF(IFERROR(INDEX(醫師週班表!$C$5:$T$44,$CU10,CA$57),"")=0,"",IF(MID(IFERROR(INDEX(醫師週班表!$C$5:$T$44,$CU10,CA$57),""),2,1)="/",MID(IFERROR(INDEX(醫師週班表!$C$5:$T$44,$CU10,CA$57),""),1+CA$58*2,1),IF(MID(IFERROR(INDEX(醫師週班表!$C$5:$T$44,$CU10,CA$57),""),3,1)="隔",IF(CA$58=0,LEFT(IFERROR(INDEX(醫師週班表!$C$5:$T$44,$CU10,CA$57),""),1),""),IF(MID(IFERROR(INDEX(醫師週班表!$C$5:$T$44,$CU10,CA$57),""),2,1)="(",LEFT(IFERROR(INDEX(醫師週班表!$C$5:$T$44,$CU10,CA$57),""),1),IFERROR(INDEX(醫師週班表!$C$5:$T$44,$CU10,CA$57),"")))))))</f>
        <v/>
      </c>
      <c r="CB10" s="71">
        <f>IF(CB$59="X","",IF(CB$59&lt;&gt;"",CB$59,IF(IFERROR(INDEX(醫師週班表!$C$5:$T$44,$CU10,CB$57),"")=0,"",IF(MID(IFERROR(INDEX(醫師週班表!$C$5:$T$44,$CU10,CB$57),""),2,1)="/",MID(IFERROR(INDEX(醫師週班表!$C$5:$T$44,$CU10,CB$57),""),1+CB$58*2,1),IF(MID(IFERROR(INDEX(醫師週班表!$C$5:$T$44,$CU10,CB$57),""),3,1)="隔",IF(CB$58=0,LEFT(IFERROR(INDEX(醫師週班表!$C$5:$T$44,$CU10,CB$57),""),1),""),IF(MID(IFERROR(INDEX(醫師週班表!$C$5:$T$44,$CU10,CB$57),""),2,1)="(",LEFT(IFERROR(INDEX(醫師週班表!$C$5:$T$44,$CU10,CB$57),""),1),IFERROR(INDEX(醫師週班表!$C$5:$T$44,$CU10,CB$57),"")))))))</f>
        <v/>
      </c>
      <c r="CC10" s="72">
        <f>IF(CC$59="X","",IF(CC$59&lt;&gt;"",CC$59,IF(IFERROR(INDEX(醫師週班表!$C$5:$T$44,$CU10,CC$57),"")=0,"",IF(MID(IFERROR(INDEX(醫師週班表!$C$5:$T$44,$CU10,CC$57),""),2,1)="/",MID(IFERROR(INDEX(醫師週班表!$C$5:$T$44,$CU10,CC$57),""),1+CC$58*2,1),IF(MID(IFERROR(INDEX(醫師週班表!$C$5:$T$44,$CU10,CC$57),""),3,1)="隔",IF(CC$58=0,LEFT(IFERROR(INDEX(醫師週班表!$C$5:$T$44,$CU10,CC$57),""),1),""),IF(MID(IFERROR(INDEX(醫師週班表!$C$5:$T$44,$CU10,CC$57),""),2,1)="(",LEFT(IFERROR(INDEX(醫師週班表!$C$5:$T$44,$CU10,CC$57),""),1),IFERROR(INDEX(醫師週班表!$C$5:$T$44,$CU10,CC$57),"")))))))</f>
        <v/>
      </c>
      <c r="CD10" s="72">
        <f>IF(CD$59="X","",IF(CD$59&lt;&gt;"",CD$59,IF(IFERROR(INDEX(醫師週班表!$C$5:$T$44,$CU10,CD$57),"")=0,"",IF(MID(IFERROR(INDEX(醫師週班表!$C$5:$T$44,$CU10,CD$57),""),2,1)="/",MID(IFERROR(INDEX(醫師週班表!$C$5:$T$44,$CU10,CD$57),""),1+CD$58*2,1),IF(MID(IFERROR(INDEX(醫師週班表!$C$5:$T$44,$CU10,CD$57),""),3,1)="隔",IF(CD$58=0,LEFT(IFERROR(INDEX(醫師週班表!$C$5:$T$44,$CU10,CD$57),""),1),""),IF(MID(IFERROR(INDEX(醫師週班表!$C$5:$T$44,$CU10,CD$57),""),2,1)="(",LEFT(IFERROR(INDEX(醫師週班表!$C$5:$T$44,$CU10,CD$57),""),1),IFERROR(INDEX(醫師週班表!$C$5:$T$44,$CU10,CD$57),"")))))))</f>
        <v/>
      </c>
      <c r="CE10" s="71">
        <f>IF(CE$59="X","",IF(CE$59&lt;&gt;"",CE$59,IF(IFERROR(INDEX(醫師週班表!$C$5:$T$44,$CU10,CE$57),"")=0,"",IF(MID(IFERROR(INDEX(醫師週班表!$C$5:$T$44,$CU10,CE$57),""),2,1)="/",MID(IFERROR(INDEX(醫師週班表!$C$5:$T$44,$CU10,CE$57),""),1+CE$58*2,1),IF(MID(IFERROR(INDEX(醫師週班表!$C$5:$T$44,$CU10,CE$57),""),3,1)="隔",IF(CE$58=0,LEFT(IFERROR(INDEX(醫師週班表!$C$5:$T$44,$CU10,CE$57),""),1),""),IF(MID(IFERROR(INDEX(醫師週班表!$C$5:$T$44,$CU10,CE$57),""),2,1)="(",LEFT(IFERROR(INDEX(醫師週班表!$C$5:$T$44,$CU10,CE$57),""),1),IFERROR(INDEX(醫師週班表!$C$5:$T$44,$CU10,CE$57),"")))))))</f>
        <v/>
      </c>
      <c r="CF10" s="72">
        <f>IF(CF$59="X","",IF(CF$59&lt;&gt;"",CF$59,IF(IFERROR(INDEX(醫師週班表!$C$5:$T$44,$CU10,CF$57),"")=0,"",IF(MID(IFERROR(INDEX(醫師週班表!$C$5:$T$44,$CU10,CF$57),""),2,1)="/",MID(IFERROR(INDEX(醫師週班表!$C$5:$T$44,$CU10,CF$57),""),1+CF$58*2,1),IF(MID(IFERROR(INDEX(醫師週班表!$C$5:$T$44,$CU10,CF$57),""),3,1)="隔",IF(CF$58=0,LEFT(IFERROR(INDEX(醫師週班表!$C$5:$T$44,$CU10,CF$57),""),1),""),IF(MID(IFERROR(INDEX(醫師週班表!$C$5:$T$44,$CU10,CF$57),""),2,1)="(",LEFT(IFERROR(INDEX(醫師週班表!$C$5:$T$44,$CU10,CF$57),""),1),IFERROR(INDEX(醫師週班表!$C$5:$T$44,$CU10,CF$57),"")))))))</f>
        <v/>
      </c>
      <c r="CG10" s="72">
        <f>IF(CG$59="X","",IF(CG$59&lt;&gt;"",CG$59,IF(IFERROR(INDEX(醫師週班表!$C$5:$T$44,$CU10,CG$57),"")=0,"",IF(MID(IFERROR(INDEX(醫師週班表!$C$5:$T$44,$CU10,CG$57),""),2,1)="/",MID(IFERROR(INDEX(醫師週班表!$C$5:$T$44,$CU10,CG$57),""),1+CG$58*2,1),IF(MID(IFERROR(INDEX(醫師週班表!$C$5:$T$44,$CU10,CG$57),""),3,1)="隔",IF(CG$58=0,LEFT(IFERROR(INDEX(醫師週班表!$C$5:$T$44,$CU10,CG$57),""),1),""),IF(MID(IFERROR(INDEX(醫師週班表!$C$5:$T$44,$CU10,CG$57),""),2,1)="(",LEFT(IFERROR(INDEX(醫師週班表!$C$5:$T$44,$CU10,CG$57),""),1),IFERROR(INDEX(醫師週班表!$C$5:$T$44,$CU10,CG$57),"")))))))</f>
        <v/>
      </c>
      <c r="CH10" s="71">
        <f>IF(CH$59="X","",IF(CH$59&lt;&gt;"",CH$59,IF(IFERROR(INDEX(醫師週班表!$C$5:$T$44,$CU10,CH$57),"")=0,"",IF(MID(IFERROR(INDEX(醫師週班表!$C$5:$T$44,$CU10,CH$57),""),2,1)="/",MID(IFERROR(INDEX(醫師週班表!$C$5:$T$44,$CU10,CH$57),""),1+CH$58*2,1),IF(MID(IFERROR(INDEX(醫師週班表!$C$5:$T$44,$CU10,CH$57),""),3,1)="隔",IF(CH$58=0,LEFT(IFERROR(INDEX(醫師週班表!$C$5:$T$44,$CU10,CH$57),""),1),""),IF(MID(IFERROR(INDEX(醫師週班表!$C$5:$T$44,$CU10,CH$57),""),2,1)="(",LEFT(IFERROR(INDEX(醫師週班表!$C$5:$T$44,$CU10,CH$57),""),1),IFERROR(INDEX(醫師週班表!$C$5:$T$44,$CU10,CH$57),"")))))))</f>
        <v/>
      </c>
      <c r="CI10" s="72">
        <f>IF(CI$59="X","",IF(CI$59&lt;&gt;"",CI$59,IF(IFERROR(INDEX(醫師週班表!$C$5:$T$44,$CU10,CI$57),"")=0,"",IF(MID(IFERROR(INDEX(醫師週班表!$C$5:$T$44,$CU10,CI$57),""),2,1)="/",MID(IFERROR(INDEX(醫師週班表!$C$5:$T$44,$CU10,CI$57),""),1+CI$58*2,1),IF(MID(IFERROR(INDEX(醫師週班表!$C$5:$T$44,$CU10,CI$57),""),3,1)="隔",IF(CI$58=0,LEFT(IFERROR(INDEX(醫師週班表!$C$5:$T$44,$CU10,CI$57),""),1),""),IF(MID(IFERROR(INDEX(醫師週班表!$C$5:$T$44,$CU10,CI$57),""),2,1)="(",LEFT(IFERROR(INDEX(醫師週班表!$C$5:$T$44,$CU10,CI$57),""),1),IFERROR(INDEX(醫師週班表!$C$5:$T$44,$CU10,CI$57),"")))))))</f>
        <v/>
      </c>
      <c r="CJ10" s="72">
        <f>IF(CJ$59="X","",IF(CJ$59&lt;&gt;"",CJ$59,IF(IFERROR(INDEX(醫師週班表!$C$5:$T$44,$CU10,CJ$57),"")=0,"",IF(MID(IFERROR(INDEX(醫師週班表!$C$5:$T$44,$CU10,CJ$57),""),2,1)="/",MID(IFERROR(INDEX(醫師週班表!$C$5:$T$44,$CU10,CJ$57),""),1+CJ$58*2,1),IF(MID(IFERROR(INDEX(醫師週班表!$C$5:$T$44,$CU10,CJ$57),""),3,1)="隔",IF(CJ$58=0,LEFT(IFERROR(INDEX(醫師週班表!$C$5:$T$44,$CU10,CJ$57),""),1),""),IF(MID(IFERROR(INDEX(醫師週班表!$C$5:$T$44,$CU10,CJ$57),""),2,1)="(",LEFT(IFERROR(INDEX(醫師週班表!$C$5:$T$44,$CU10,CJ$57),""),1),IFERROR(INDEX(醫師週班表!$C$5:$T$44,$CU10,CJ$57),"")))))))</f>
        <v/>
      </c>
      <c r="CK10" s="71">
        <f>IF(CK$59="X","",IF(CK$59&lt;&gt;"",CK$59,IF(IFERROR(INDEX(醫師週班表!$C$5:$T$44,$CU10,CK$57),"")=0,"",IF(MID(IFERROR(INDEX(醫師週班表!$C$5:$T$44,$CU10,CK$57),""),2,1)="/",MID(IFERROR(INDEX(醫師週班表!$C$5:$T$44,$CU10,CK$57),""),1+CK$58*2,1),IF(MID(IFERROR(INDEX(醫師週班表!$C$5:$T$44,$CU10,CK$57),""),3,1)="隔",IF(CK$58=0,LEFT(IFERROR(INDEX(醫師週班表!$C$5:$T$44,$CU10,CK$57),""),1),""),IF(MID(IFERROR(INDEX(醫師週班表!$C$5:$T$44,$CU10,CK$57),""),2,1)="(",LEFT(IFERROR(INDEX(醫師週班表!$C$5:$T$44,$CU10,CK$57),""),1),IFERROR(INDEX(醫師週班表!$C$5:$T$44,$CU10,CK$57),"")))))))</f>
        <v/>
      </c>
      <c r="CL10" s="72">
        <f>IF(CL$59="X","",IF(CL$59&lt;&gt;"",CL$59,IF(IFERROR(INDEX(醫師週班表!$C$5:$T$44,$CU10,CL$57),"")=0,"",IF(MID(IFERROR(INDEX(醫師週班表!$C$5:$T$44,$CU10,CL$57),""),2,1)="/",MID(IFERROR(INDEX(醫師週班表!$C$5:$T$44,$CU10,CL$57),""),1+CL$58*2,1),IF(MID(IFERROR(INDEX(醫師週班表!$C$5:$T$44,$CU10,CL$57),""),3,1)="隔",IF(CL$58=0,LEFT(IFERROR(INDEX(醫師週班表!$C$5:$T$44,$CU10,CL$57),""),1),""),IF(MID(IFERROR(INDEX(醫師週班表!$C$5:$T$44,$CU10,CL$57),""),2,1)="(",LEFT(IFERROR(INDEX(醫師週班表!$C$5:$T$44,$CU10,CL$57),""),1),IFERROR(INDEX(醫師週班表!$C$5:$T$44,$CU10,CL$57),"")))))))</f>
        <v/>
      </c>
      <c r="CM10" s="72">
        <f>IF(CM$59="X","",IF(CM$59&lt;&gt;"",CM$59,IF(IFERROR(INDEX(醫師週班表!$C$5:$T$44,$CU10,CM$57),"")=0,"",IF(MID(IFERROR(INDEX(醫師週班表!$C$5:$T$44,$CU10,CM$57),""),2,1)="/",MID(IFERROR(INDEX(醫師週班表!$C$5:$T$44,$CU10,CM$57),""),1+CM$58*2,1),IF(MID(IFERROR(INDEX(醫師週班表!$C$5:$T$44,$CU10,CM$57),""),3,1)="隔",IF(CM$58=0,LEFT(IFERROR(INDEX(醫師週班表!$C$5:$T$44,$CU10,CM$57),""),1),""),IF(MID(IFERROR(INDEX(醫師週班表!$C$5:$T$44,$CU10,CM$57),""),2,1)="(",LEFT(IFERROR(INDEX(醫師週班表!$C$5:$T$44,$CU10,CM$57),""),1),IFERROR(INDEX(醫師週班表!$C$5:$T$44,$CU10,CM$57),"")))))))</f>
        <v/>
      </c>
      <c r="CN10" s="71">
        <f>IF(CN$59="X","",IF(CN$59&lt;&gt;"",CN$59,IF(IFERROR(INDEX(醫師週班表!$C$5:$T$44,$CU10,CN$57),"")=0,"",IF(MID(IFERROR(INDEX(醫師週班表!$C$5:$T$44,$CU10,CN$57),""),2,1)="/",MID(IFERROR(INDEX(醫師週班表!$C$5:$T$44,$CU10,CN$57),""),1+CN$58*2,1),IF(MID(IFERROR(INDEX(醫師週班表!$C$5:$T$44,$CU10,CN$57),""),3,1)="隔",IF(CN$58=0,LEFT(IFERROR(INDEX(醫師週班表!$C$5:$T$44,$CU10,CN$57),""),1),""),IF(MID(IFERROR(INDEX(醫師週班表!$C$5:$T$44,$CU10,CN$57),""),2,1)="(",LEFT(IFERROR(INDEX(醫師週班表!$C$5:$T$44,$CU10,CN$57),""),1),IFERROR(INDEX(醫師週班表!$C$5:$T$44,$CU10,CN$57),"")))))))</f>
        <v/>
      </c>
      <c r="CO10" s="72">
        <f>IF(CO$59="X","",IF(CO$59&lt;&gt;"",CO$59,IF(IFERROR(INDEX(醫師週班表!$C$5:$T$44,$CU10,CO$57),"")=0,"",IF(MID(IFERROR(INDEX(醫師週班表!$C$5:$T$44,$CU10,CO$57),""),2,1)="/",MID(IFERROR(INDEX(醫師週班表!$C$5:$T$44,$CU10,CO$57),""),1+CO$58*2,1),IF(MID(IFERROR(INDEX(醫師週班表!$C$5:$T$44,$CU10,CO$57),""),3,1)="隔",IF(CO$58=0,LEFT(IFERROR(INDEX(醫師週班表!$C$5:$T$44,$CU10,CO$57),""),1),""),IF(MID(IFERROR(INDEX(醫師週班表!$C$5:$T$44,$CU10,CO$57),""),2,1)="(",LEFT(IFERROR(INDEX(醫師週班表!$C$5:$T$44,$CU10,CO$57),""),1),IFERROR(INDEX(醫師週班表!$C$5:$T$44,$CU10,CO$57),"")))))))</f>
        <v/>
      </c>
      <c r="CP10" s="72">
        <f>IF(CP$59="X","",IF(CP$59&lt;&gt;"",CP$59,IF(IFERROR(INDEX(醫師週班表!$C$5:$T$44,$CU10,CP$57),"")=0,"",IF(MID(IFERROR(INDEX(醫師週班表!$C$5:$T$44,$CU10,CP$57),""),2,1)="/",MID(IFERROR(INDEX(醫師週班表!$C$5:$T$44,$CU10,CP$57),""),1+CP$58*2,1),IF(MID(IFERROR(INDEX(醫師週班表!$C$5:$T$44,$CU10,CP$57),""),3,1)="隔",IF(CP$58=0,LEFT(IFERROR(INDEX(醫師週班表!$C$5:$T$44,$CU10,CP$57),""),1),""),IF(MID(IFERROR(INDEX(醫師週班表!$C$5:$T$44,$CU10,CP$57),""),2,1)="(",LEFT(IFERROR(INDEX(醫師週班表!$C$5:$T$44,$CU10,CP$57),""),1),IFERROR(INDEX(醫師週班表!$C$5:$T$44,$CU10,CP$57),"")))))))</f>
        <v/>
      </c>
      <c r="CQ10" s="71">
        <f>IF(CQ$59="X","",IF(CQ$59&lt;&gt;"",CQ$59,IF(IFERROR(INDEX(醫師週班表!$C$5:$T$44,$CU10,CQ$57),"")=0,"",IF(MID(IFERROR(INDEX(醫師週班表!$C$5:$T$44,$CU10,CQ$57),""),2,1)="/",MID(IFERROR(INDEX(醫師週班表!$C$5:$T$44,$CU10,CQ$57),""),1+CQ$58*2,1),IF(MID(IFERROR(INDEX(醫師週班表!$C$5:$T$44,$CU10,CQ$57),""),3,1)="隔",IF(CQ$58=0,LEFT(IFERROR(INDEX(醫師週班表!$C$5:$T$44,$CU10,CQ$57),""),1),""),IF(MID(IFERROR(INDEX(醫師週班表!$C$5:$T$44,$CU10,CQ$57),""),2,1)="(",LEFT(IFERROR(INDEX(醫師週班表!$C$5:$T$44,$CU10,CQ$57),""),1),IFERROR(INDEX(醫師週班表!$C$5:$T$44,$CU10,CQ$57),"")))))))</f>
        <v/>
      </c>
      <c r="CR10" s="72">
        <f>IF(CR$59="X","",IF(CR$59&lt;&gt;"",CR$59,IF(IFERROR(INDEX(醫師週班表!$C$5:$T$44,$CU10,CR$57),"")=0,"",IF(MID(IFERROR(INDEX(醫師週班表!$C$5:$T$44,$CU10,CR$57),""),2,1)="/",MID(IFERROR(INDEX(醫師週班表!$C$5:$T$44,$CU10,CR$57),""),1+CR$58*2,1),IF(MID(IFERROR(INDEX(醫師週班表!$C$5:$T$44,$CU10,CR$57),""),3,1)="隔",IF(CR$58=0,LEFT(IFERROR(INDEX(醫師週班表!$C$5:$T$44,$CU10,CR$57),""),1),""),IF(MID(IFERROR(INDEX(醫師週班表!$C$5:$T$44,$CU10,CR$57),""),2,1)="(",LEFT(IFERROR(INDEX(醫師週班表!$C$5:$T$44,$CU10,CR$57),""),1),IFERROR(INDEX(醫師週班表!$C$5:$T$44,$CU10,CR$57),"")))))))</f>
        <v/>
      </c>
      <c r="CS10" s="72">
        <f>IF(CS$59="X","",IF(CS$59&lt;&gt;"",CS$59,IF(IFERROR(INDEX(醫師週班表!$C$5:$T$44,$CU10,CS$57),"")=0,"",IF(MID(IFERROR(INDEX(醫師週班表!$C$5:$T$44,$CU10,CS$57),""),2,1)="/",MID(IFERROR(INDEX(醫師週班表!$C$5:$T$44,$CU10,CS$57),""),1+CS$58*2,1),IF(MID(IFERROR(INDEX(醫師週班表!$C$5:$T$44,$CU10,CS$57),""),3,1)="隔",IF(CS$58=0,LEFT(IFERROR(INDEX(醫師週班表!$C$5:$T$44,$CU10,CS$57),""),1),""),IF(MID(IFERROR(INDEX(醫師週班表!$C$5:$T$44,$CU10,CS$57),""),2,1)="(",LEFT(IFERROR(INDEX(醫師週班表!$C$5:$T$44,$CU10,CS$57),""),1),IFERROR(INDEX(醫師週班表!$C$5:$T$44,$CU10,CS$57),"")))))))</f>
        <v/>
      </c>
      <c r="CU10" s="73">
        <f>IFERROR(MATCH($A10,醫師週班表!$A$5:$A$44,0),0)</f>
        <v/>
      </c>
    </row>
    <row r="11" ht="17" customHeight="1">
      <c r="A11" s="19" t="inlineStr">
        <is>
          <t>D006</t>
        </is>
      </c>
      <c r="B11" s="16" t="inlineStr">
        <is>
          <t>黃榆鈞</t>
        </is>
      </c>
      <c r="C11" s="70" t="inlineStr">
        <is>
          <t>矯正專科</t>
        </is>
      </c>
      <c r="D11" s="16" t="inlineStr"/>
      <c r="E11" s="71">
        <f>IF(E$59="X","",IF(E$59&lt;&gt;"",E$59,IF(IFERROR(INDEX(醫師週班表!$C$5:$T$44,$CU11,E$57),"")=0,"",IF(MID(IFERROR(INDEX(醫師週班表!$C$5:$T$44,$CU11,E$57),""),2,1)="/",MID(IFERROR(INDEX(醫師週班表!$C$5:$T$44,$CU11,E$57),""),1+E$58*2,1),IF(MID(IFERROR(INDEX(醫師週班表!$C$5:$T$44,$CU11,E$57),""),3,1)="隔",IF(E$58=0,LEFT(IFERROR(INDEX(醫師週班表!$C$5:$T$44,$CU11,E$57),""),1),""),IF(MID(IFERROR(INDEX(醫師週班表!$C$5:$T$44,$CU11,E$57),""),2,1)="(",LEFT(IFERROR(INDEX(醫師週班表!$C$5:$T$44,$CU11,E$57),""),1),IFERROR(INDEX(醫師週班表!$C$5:$T$44,$CU11,E$57),"")))))))</f>
        <v/>
      </c>
      <c r="F11" s="72">
        <f>IF(F$59="X","",IF(F$59&lt;&gt;"",F$59,IF(IFERROR(INDEX(醫師週班表!$C$5:$T$44,$CU11,F$57),"")=0,"",IF(MID(IFERROR(INDEX(醫師週班表!$C$5:$T$44,$CU11,F$57),""),2,1)="/",MID(IFERROR(INDEX(醫師週班表!$C$5:$T$44,$CU11,F$57),""),1+F$58*2,1),IF(MID(IFERROR(INDEX(醫師週班表!$C$5:$T$44,$CU11,F$57),""),3,1)="隔",IF(F$58=0,LEFT(IFERROR(INDEX(醫師週班表!$C$5:$T$44,$CU11,F$57),""),1),""),IF(MID(IFERROR(INDEX(醫師週班表!$C$5:$T$44,$CU11,F$57),""),2,1)="(",LEFT(IFERROR(INDEX(醫師週班表!$C$5:$T$44,$CU11,F$57),""),1),IFERROR(INDEX(醫師週班表!$C$5:$T$44,$CU11,F$57),"")))))))</f>
        <v/>
      </c>
      <c r="G11" s="72">
        <f>IF(G$59="X","",IF(G$59&lt;&gt;"",G$59,IF(IFERROR(INDEX(醫師週班表!$C$5:$T$44,$CU11,G$57),"")=0,"",IF(MID(IFERROR(INDEX(醫師週班表!$C$5:$T$44,$CU11,G$57),""),2,1)="/",MID(IFERROR(INDEX(醫師週班表!$C$5:$T$44,$CU11,G$57),""),1+G$58*2,1),IF(MID(IFERROR(INDEX(醫師週班表!$C$5:$T$44,$CU11,G$57),""),3,1)="隔",IF(G$58=0,LEFT(IFERROR(INDEX(醫師週班表!$C$5:$T$44,$CU11,G$57),""),1),""),IF(MID(IFERROR(INDEX(醫師週班表!$C$5:$T$44,$CU11,G$57),""),2,1)="(",LEFT(IFERROR(INDEX(醫師週班表!$C$5:$T$44,$CU11,G$57),""),1),IFERROR(INDEX(醫師週班表!$C$5:$T$44,$CU11,G$57),"")))))))</f>
        <v/>
      </c>
      <c r="H11" s="71">
        <f>IF(H$59="X","",IF(H$59&lt;&gt;"",H$59,IF(IFERROR(INDEX(醫師週班表!$C$5:$T$44,$CU11,H$57),"")=0,"",IF(MID(IFERROR(INDEX(醫師週班表!$C$5:$T$44,$CU11,H$57),""),2,1)="/",MID(IFERROR(INDEX(醫師週班表!$C$5:$T$44,$CU11,H$57),""),1+H$58*2,1),IF(MID(IFERROR(INDEX(醫師週班表!$C$5:$T$44,$CU11,H$57),""),3,1)="隔",IF(H$58=0,LEFT(IFERROR(INDEX(醫師週班表!$C$5:$T$44,$CU11,H$57),""),1),""),IF(MID(IFERROR(INDEX(醫師週班表!$C$5:$T$44,$CU11,H$57),""),2,1)="(",LEFT(IFERROR(INDEX(醫師週班表!$C$5:$T$44,$CU11,H$57),""),1),IFERROR(INDEX(醫師週班表!$C$5:$T$44,$CU11,H$57),"")))))))</f>
        <v/>
      </c>
      <c r="I11" s="72">
        <f>IF(I$59="X","",IF(I$59&lt;&gt;"",I$59,IF(IFERROR(INDEX(醫師週班表!$C$5:$T$44,$CU11,I$57),"")=0,"",IF(MID(IFERROR(INDEX(醫師週班表!$C$5:$T$44,$CU11,I$57),""),2,1)="/",MID(IFERROR(INDEX(醫師週班表!$C$5:$T$44,$CU11,I$57),""),1+I$58*2,1),IF(MID(IFERROR(INDEX(醫師週班表!$C$5:$T$44,$CU11,I$57),""),3,1)="隔",IF(I$58=0,LEFT(IFERROR(INDEX(醫師週班表!$C$5:$T$44,$CU11,I$57),""),1),""),IF(MID(IFERROR(INDEX(醫師週班表!$C$5:$T$44,$CU11,I$57),""),2,1)="(",LEFT(IFERROR(INDEX(醫師週班表!$C$5:$T$44,$CU11,I$57),""),1),IFERROR(INDEX(醫師週班表!$C$5:$T$44,$CU11,I$57),"")))))))</f>
        <v/>
      </c>
      <c r="J11" s="72">
        <f>IF(J$59="X","",IF(J$59&lt;&gt;"",J$59,IF(IFERROR(INDEX(醫師週班表!$C$5:$T$44,$CU11,J$57),"")=0,"",IF(MID(IFERROR(INDEX(醫師週班表!$C$5:$T$44,$CU11,J$57),""),2,1)="/",MID(IFERROR(INDEX(醫師週班表!$C$5:$T$44,$CU11,J$57),""),1+J$58*2,1),IF(MID(IFERROR(INDEX(醫師週班表!$C$5:$T$44,$CU11,J$57),""),3,1)="隔",IF(J$58=0,LEFT(IFERROR(INDEX(醫師週班表!$C$5:$T$44,$CU11,J$57),""),1),""),IF(MID(IFERROR(INDEX(醫師週班表!$C$5:$T$44,$CU11,J$57),""),2,1)="(",LEFT(IFERROR(INDEX(醫師週班表!$C$5:$T$44,$CU11,J$57),""),1),IFERROR(INDEX(醫師週班表!$C$5:$T$44,$CU11,J$57),"")))))))</f>
        <v/>
      </c>
      <c r="K11" s="71">
        <f>IF(K$59="X","",IF(K$59&lt;&gt;"",K$59,IF(IFERROR(INDEX(醫師週班表!$C$5:$T$44,$CU11,K$57),"")=0,"",IF(MID(IFERROR(INDEX(醫師週班表!$C$5:$T$44,$CU11,K$57),""),2,1)="/",MID(IFERROR(INDEX(醫師週班表!$C$5:$T$44,$CU11,K$57),""),1+K$58*2,1),IF(MID(IFERROR(INDEX(醫師週班表!$C$5:$T$44,$CU11,K$57),""),3,1)="隔",IF(K$58=0,LEFT(IFERROR(INDEX(醫師週班表!$C$5:$T$44,$CU11,K$57),""),1),""),IF(MID(IFERROR(INDEX(醫師週班表!$C$5:$T$44,$CU11,K$57),""),2,1)="(",LEFT(IFERROR(INDEX(醫師週班表!$C$5:$T$44,$CU11,K$57),""),1),IFERROR(INDEX(醫師週班表!$C$5:$T$44,$CU11,K$57),"")))))))</f>
        <v/>
      </c>
      <c r="L11" s="72">
        <f>IF(L$59="X","",IF(L$59&lt;&gt;"",L$59,IF(IFERROR(INDEX(醫師週班表!$C$5:$T$44,$CU11,L$57),"")=0,"",IF(MID(IFERROR(INDEX(醫師週班表!$C$5:$T$44,$CU11,L$57),""),2,1)="/",MID(IFERROR(INDEX(醫師週班表!$C$5:$T$44,$CU11,L$57),""),1+L$58*2,1),IF(MID(IFERROR(INDEX(醫師週班表!$C$5:$T$44,$CU11,L$57),""),3,1)="隔",IF(L$58=0,LEFT(IFERROR(INDEX(醫師週班表!$C$5:$T$44,$CU11,L$57),""),1),""),IF(MID(IFERROR(INDEX(醫師週班表!$C$5:$T$44,$CU11,L$57),""),2,1)="(",LEFT(IFERROR(INDEX(醫師週班表!$C$5:$T$44,$CU11,L$57),""),1),IFERROR(INDEX(醫師週班表!$C$5:$T$44,$CU11,L$57),"")))))))</f>
        <v/>
      </c>
      <c r="M11" s="72">
        <f>IF(M$59="X","",IF(M$59&lt;&gt;"",M$59,IF(IFERROR(INDEX(醫師週班表!$C$5:$T$44,$CU11,M$57),"")=0,"",IF(MID(IFERROR(INDEX(醫師週班表!$C$5:$T$44,$CU11,M$57),""),2,1)="/",MID(IFERROR(INDEX(醫師週班表!$C$5:$T$44,$CU11,M$57),""),1+M$58*2,1),IF(MID(IFERROR(INDEX(醫師週班表!$C$5:$T$44,$CU11,M$57),""),3,1)="隔",IF(M$58=0,LEFT(IFERROR(INDEX(醫師週班表!$C$5:$T$44,$CU11,M$57),""),1),""),IF(MID(IFERROR(INDEX(醫師週班表!$C$5:$T$44,$CU11,M$57),""),2,1)="(",LEFT(IFERROR(INDEX(醫師週班表!$C$5:$T$44,$CU11,M$57),""),1),IFERROR(INDEX(醫師週班表!$C$5:$T$44,$CU11,M$57),"")))))))</f>
        <v/>
      </c>
      <c r="N11" s="71">
        <f>IF(N$59="X","",IF(N$59&lt;&gt;"",N$59,IF(IFERROR(INDEX(醫師週班表!$C$5:$T$44,$CU11,N$57),"")=0,"",IF(MID(IFERROR(INDEX(醫師週班表!$C$5:$T$44,$CU11,N$57),""),2,1)="/",MID(IFERROR(INDEX(醫師週班表!$C$5:$T$44,$CU11,N$57),""),1+N$58*2,1),IF(MID(IFERROR(INDEX(醫師週班表!$C$5:$T$44,$CU11,N$57),""),3,1)="隔",IF(N$58=0,LEFT(IFERROR(INDEX(醫師週班表!$C$5:$T$44,$CU11,N$57),""),1),""),IF(MID(IFERROR(INDEX(醫師週班表!$C$5:$T$44,$CU11,N$57),""),2,1)="(",LEFT(IFERROR(INDEX(醫師週班表!$C$5:$T$44,$CU11,N$57),""),1),IFERROR(INDEX(醫師週班表!$C$5:$T$44,$CU11,N$57),"")))))))</f>
        <v/>
      </c>
      <c r="O11" s="72">
        <f>IF(O$59="X","",IF(O$59&lt;&gt;"",O$59,IF(IFERROR(INDEX(醫師週班表!$C$5:$T$44,$CU11,O$57),"")=0,"",IF(MID(IFERROR(INDEX(醫師週班表!$C$5:$T$44,$CU11,O$57),""),2,1)="/",MID(IFERROR(INDEX(醫師週班表!$C$5:$T$44,$CU11,O$57),""),1+O$58*2,1),IF(MID(IFERROR(INDEX(醫師週班表!$C$5:$T$44,$CU11,O$57),""),3,1)="隔",IF(O$58=0,LEFT(IFERROR(INDEX(醫師週班表!$C$5:$T$44,$CU11,O$57),""),1),""),IF(MID(IFERROR(INDEX(醫師週班表!$C$5:$T$44,$CU11,O$57),""),2,1)="(",LEFT(IFERROR(INDEX(醫師週班表!$C$5:$T$44,$CU11,O$57),""),1),IFERROR(INDEX(醫師週班表!$C$5:$T$44,$CU11,O$57),"")))))))</f>
        <v/>
      </c>
      <c r="P11" s="72">
        <f>IF(P$59="X","",IF(P$59&lt;&gt;"",P$59,IF(IFERROR(INDEX(醫師週班表!$C$5:$T$44,$CU11,P$57),"")=0,"",IF(MID(IFERROR(INDEX(醫師週班表!$C$5:$T$44,$CU11,P$57),""),2,1)="/",MID(IFERROR(INDEX(醫師週班表!$C$5:$T$44,$CU11,P$57),""),1+P$58*2,1),IF(MID(IFERROR(INDEX(醫師週班表!$C$5:$T$44,$CU11,P$57),""),3,1)="隔",IF(P$58=0,LEFT(IFERROR(INDEX(醫師週班表!$C$5:$T$44,$CU11,P$57),""),1),""),IF(MID(IFERROR(INDEX(醫師週班表!$C$5:$T$44,$CU11,P$57),""),2,1)="(",LEFT(IFERROR(INDEX(醫師週班表!$C$5:$T$44,$CU11,P$57),""),1),IFERROR(INDEX(醫師週班表!$C$5:$T$44,$CU11,P$57),"")))))))</f>
        <v/>
      </c>
      <c r="Q11" s="71">
        <f>IF(Q$59="X","",IF(Q$59&lt;&gt;"",Q$59,IF(IFERROR(INDEX(醫師週班表!$C$5:$T$44,$CU11,Q$57),"")=0,"",IF(MID(IFERROR(INDEX(醫師週班表!$C$5:$T$44,$CU11,Q$57),""),2,1)="/",MID(IFERROR(INDEX(醫師週班表!$C$5:$T$44,$CU11,Q$57),""),1+Q$58*2,1),IF(MID(IFERROR(INDEX(醫師週班表!$C$5:$T$44,$CU11,Q$57),""),3,1)="隔",IF(Q$58=0,LEFT(IFERROR(INDEX(醫師週班表!$C$5:$T$44,$CU11,Q$57),""),1),""),IF(MID(IFERROR(INDEX(醫師週班表!$C$5:$T$44,$CU11,Q$57),""),2,1)="(",LEFT(IFERROR(INDEX(醫師週班表!$C$5:$T$44,$CU11,Q$57),""),1),IFERROR(INDEX(醫師週班表!$C$5:$T$44,$CU11,Q$57),"")))))))</f>
        <v/>
      </c>
      <c r="R11" s="72">
        <f>IF(R$59="X","",IF(R$59&lt;&gt;"",R$59,IF(IFERROR(INDEX(醫師週班表!$C$5:$T$44,$CU11,R$57),"")=0,"",IF(MID(IFERROR(INDEX(醫師週班表!$C$5:$T$44,$CU11,R$57),""),2,1)="/",MID(IFERROR(INDEX(醫師週班表!$C$5:$T$44,$CU11,R$57),""),1+R$58*2,1),IF(MID(IFERROR(INDEX(醫師週班表!$C$5:$T$44,$CU11,R$57),""),3,1)="隔",IF(R$58=0,LEFT(IFERROR(INDEX(醫師週班表!$C$5:$T$44,$CU11,R$57),""),1),""),IF(MID(IFERROR(INDEX(醫師週班表!$C$5:$T$44,$CU11,R$57),""),2,1)="(",LEFT(IFERROR(INDEX(醫師週班表!$C$5:$T$44,$CU11,R$57),""),1),IFERROR(INDEX(醫師週班表!$C$5:$T$44,$CU11,R$57),"")))))))</f>
        <v/>
      </c>
      <c r="S11" s="72">
        <f>IF(S$59="X","",IF(S$59&lt;&gt;"",S$59,IF(IFERROR(INDEX(醫師週班表!$C$5:$T$44,$CU11,S$57),"")=0,"",IF(MID(IFERROR(INDEX(醫師週班表!$C$5:$T$44,$CU11,S$57),""),2,1)="/",MID(IFERROR(INDEX(醫師週班表!$C$5:$T$44,$CU11,S$57),""),1+S$58*2,1),IF(MID(IFERROR(INDEX(醫師週班表!$C$5:$T$44,$CU11,S$57),""),3,1)="隔",IF(S$58=0,LEFT(IFERROR(INDEX(醫師週班表!$C$5:$T$44,$CU11,S$57),""),1),""),IF(MID(IFERROR(INDEX(醫師週班表!$C$5:$T$44,$CU11,S$57),""),2,1)="(",LEFT(IFERROR(INDEX(醫師週班表!$C$5:$T$44,$CU11,S$57),""),1),IFERROR(INDEX(醫師週班表!$C$5:$T$44,$CU11,S$57),"")))))))</f>
        <v/>
      </c>
      <c r="T11" s="71">
        <f>IF(T$59="X","",IF(T$59&lt;&gt;"",T$59,IF(IFERROR(INDEX(醫師週班表!$C$5:$T$44,$CU11,T$57),"")=0,"",IF(MID(IFERROR(INDEX(醫師週班表!$C$5:$T$44,$CU11,T$57),""),2,1)="/",MID(IFERROR(INDEX(醫師週班表!$C$5:$T$44,$CU11,T$57),""),1+T$58*2,1),IF(MID(IFERROR(INDEX(醫師週班表!$C$5:$T$44,$CU11,T$57),""),3,1)="隔",IF(T$58=0,LEFT(IFERROR(INDEX(醫師週班表!$C$5:$T$44,$CU11,T$57),""),1),""),IF(MID(IFERROR(INDEX(醫師週班表!$C$5:$T$44,$CU11,T$57),""),2,1)="(",LEFT(IFERROR(INDEX(醫師週班表!$C$5:$T$44,$CU11,T$57),""),1),IFERROR(INDEX(醫師週班表!$C$5:$T$44,$CU11,T$57),"")))))))</f>
        <v/>
      </c>
      <c r="U11" s="72">
        <f>IF(U$59="X","",IF(U$59&lt;&gt;"",U$59,IF(IFERROR(INDEX(醫師週班表!$C$5:$T$44,$CU11,U$57),"")=0,"",IF(MID(IFERROR(INDEX(醫師週班表!$C$5:$T$44,$CU11,U$57),""),2,1)="/",MID(IFERROR(INDEX(醫師週班表!$C$5:$T$44,$CU11,U$57),""),1+U$58*2,1),IF(MID(IFERROR(INDEX(醫師週班表!$C$5:$T$44,$CU11,U$57),""),3,1)="隔",IF(U$58=0,LEFT(IFERROR(INDEX(醫師週班表!$C$5:$T$44,$CU11,U$57),""),1),""),IF(MID(IFERROR(INDEX(醫師週班表!$C$5:$T$44,$CU11,U$57),""),2,1)="(",LEFT(IFERROR(INDEX(醫師週班表!$C$5:$T$44,$CU11,U$57),""),1),IFERROR(INDEX(醫師週班表!$C$5:$T$44,$CU11,U$57),"")))))))</f>
        <v/>
      </c>
      <c r="V11" s="72">
        <f>IF(V$59="X","",IF(V$59&lt;&gt;"",V$59,IF(IFERROR(INDEX(醫師週班表!$C$5:$T$44,$CU11,V$57),"")=0,"",IF(MID(IFERROR(INDEX(醫師週班表!$C$5:$T$44,$CU11,V$57),""),2,1)="/",MID(IFERROR(INDEX(醫師週班表!$C$5:$T$44,$CU11,V$57),""),1+V$58*2,1),IF(MID(IFERROR(INDEX(醫師週班表!$C$5:$T$44,$CU11,V$57),""),3,1)="隔",IF(V$58=0,LEFT(IFERROR(INDEX(醫師週班表!$C$5:$T$44,$CU11,V$57),""),1),""),IF(MID(IFERROR(INDEX(醫師週班表!$C$5:$T$44,$CU11,V$57),""),2,1)="(",LEFT(IFERROR(INDEX(醫師週班表!$C$5:$T$44,$CU11,V$57),""),1),IFERROR(INDEX(醫師週班表!$C$5:$T$44,$CU11,V$57),"")))))))</f>
        <v/>
      </c>
      <c r="W11" s="71">
        <f>IF(W$59="X","",IF(W$59&lt;&gt;"",W$59,IF(IFERROR(INDEX(醫師週班表!$C$5:$T$44,$CU11,W$57),"")=0,"",IF(MID(IFERROR(INDEX(醫師週班表!$C$5:$T$44,$CU11,W$57),""),2,1)="/",MID(IFERROR(INDEX(醫師週班表!$C$5:$T$44,$CU11,W$57),""),1+W$58*2,1),IF(MID(IFERROR(INDEX(醫師週班表!$C$5:$T$44,$CU11,W$57),""),3,1)="隔",IF(W$58=0,LEFT(IFERROR(INDEX(醫師週班表!$C$5:$T$44,$CU11,W$57),""),1),""),IF(MID(IFERROR(INDEX(醫師週班表!$C$5:$T$44,$CU11,W$57),""),2,1)="(",LEFT(IFERROR(INDEX(醫師週班表!$C$5:$T$44,$CU11,W$57),""),1),IFERROR(INDEX(醫師週班表!$C$5:$T$44,$CU11,W$57),"")))))))</f>
        <v/>
      </c>
      <c r="X11" s="72">
        <f>IF(X$59="X","",IF(X$59&lt;&gt;"",X$59,IF(IFERROR(INDEX(醫師週班表!$C$5:$T$44,$CU11,X$57),"")=0,"",IF(MID(IFERROR(INDEX(醫師週班表!$C$5:$T$44,$CU11,X$57),""),2,1)="/",MID(IFERROR(INDEX(醫師週班表!$C$5:$T$44,$CU11,X$57),""),1+X$58*2,1),IF(MID(IFERROR(INDEX(醫師週班表!$C$5:$T$44,$CU11,X$57),""),3,1)="隔",IF(X$58=0,LEFT(IFERROR(INDEX(醫師週班表!$C$5:$T$44,$CU11,X$57),""),1),""),IF(MID(IFERROR(INDEX(醫師週班表!$C$5:$T$44,$CU11,X$57),""),2,1)="(",LEFT(IFERROR(INDEX(醫師週班表!$C$5:$T$44,$CU11,X$57),""),1),IFERROR(INDEX(醫師週班表!$C$5:$T$44,$CU11,X$57),"")))))))</f>
        <v/>
      </c>
      <c r="Y11" s="72">
        <f>IF(Y$59="X","",IF(Y$59&lt;&gt;"",Y$59,IF(IFERROR(INDEX(醫師週班表!$C$5:$T$44,$CU11,Y$57),"")=0,"",IF(MID(IFERROR(INDEX(醫師週班表!$C$5:$T$44,$CU11,Y$57),""),2,1)="/",MID(IFERROR(INDEX(醫師週班表!$C$5:$T$44,$CU11,Y$57),""),1+Y$58*2,1),IF(MID(IFERROR(INDEX(醫師週班表!$C$5:$T$44,$CU11,Y$57),""),3,1)="隔",IF(Y$58=0,LEFT(IFERROR(INDEX(醫師週班表!$C$5:$T$44,$CU11,Y$57),""),1),""),IF(MID(IFERROR(INDEX(醫師週班表!$C$5:$T$44,$CU11,Y$57),""),2,1)="(",LEFT(IFERROR(INDEX(醫師週班表!$C$5:$T$44,$CU11,Y$57),""),1),IFERROR(INDEX(醫師週班表!$C$5:$T$44,$CU11,Y$57),"")))))))</f>
        <v/>
      </c>
      <c r="Z11" s="71">
        <f>IF(Z$59="X","",IF(Z$59&lt;&gt;"",Z$59,IF(IFERROR(INDEX(醫師週班表!$C$5:$T$44,$CU11,Z$57),"")=0,"",IF(MID(IFERROR(INDEX(醫師週班表!$C$5:$T$44,$CU11,Z$57),""),2,1)="/",MID(IFERROR(INDEX(醫師週班表!$C$5:$T$44,$CU11,Z$57),""),1+Z$58*2,1),IF(MID(IFERROR(INDEX(醫師週班表!$C$5:$T$44,$CU11,Z$57),""),3,1)="隔",IF(Z$58=0,LEFT(IFERROR(INDEX(醫師週班表!$C$5:$T$44,$CU11,Z$57),""),1),""),IF(MID(IFERROR(INDEX(醫師週班表!$C$5:$T$44,$CU11,Z$57),""),2,1)="(",LEFT(IFERROR(INDEX(醫師週班表!$C$5:$T$44,$CU11,Z$57),""),1),IFERROR(INDEX(醫師週班表!$C$5:$T$44,$CU11,Z$57),"")))))))</f>
        <v/>
      </c>
      <c r="AA11" s="72">
        <f>IF(AA$59="X","",IF(AA$59&lt;&gt;"",AA$59,IF(IFERROR(INDEX(醫師週班表!$C$5:$T$44,$CU11,AA$57),"")=0,"",IF(MID(IFERROR(INDEX(醫師週班表!$C$5:$T$44,$CU11,AA$57),""),2,1)="/",MID(IFERROR(INDEX(醫師週班表!$C$5:$T$44,$CU11,AA$57),""),1+AA$58*2,1),IF(MID(IFERROR(INDEX(醫師週班表!$C$5:$T$44,$CU11,AA$57),""),3,1)="隔",IF(AA$58=0,LEFT(IFERROR(INDEX(醫師週班表!$C$5:$T$44,$CU11,AA$57),""),1),""),IF(MID(IFERROR(INDEX(醫師週班表!$C$5:$T$44,$CU11,AA$57),""),2,1)="(",LEFT(IFERROR(INDEX(醫師週班表!$C$5:$T$44,$CU11,AA$57),""),1),IFERROR(INDEX(醫師週班表!$C$5:$T$44,$CU11,AA$57),"")))))))</f>
        <v/>
      </c>
      <c r="AB11" s="72">
        <f>IF(AB$59="X","",IF(AB$59&lt;&gt;"",AB$59,IF(IFERROR(INDEX(醫師週班表!$C$5:$T$44,$CU11,AB$57),"")=0,"",IF(MID(IFERROR(INDEX(醫師週班表!$C$5:$T$44,$CU11,AB$57),""),2,1)="/",MID(IFERROR(INDEX(醫師週班表!$C$5:$T$44,$CU11,AB$57),""),1+AB$58*2,1),IF(MID(IFERROR(INDEX(醫師週班表!$C$5:$T$44,$CU11,AB$57),""),3,1)="隔",IF(AB$58=0,LEFT(IFERROR(INDEX(醫師週班表!$C$5:$T$44,$CU11,AB$57),""),1),""),IF(MID(IFERROR(INDEX(醫師週班表!$C$5:$T$44,$CU11,AB$57),""),2,1)="(",LEFT(IFERROR(INDEX(醫師週班表!$C$5:$T$44,$CU11,AB$57),""),1),IFERROR(INDEX(醫師週班表!$C$5:$T$44,$CU11,AB$57),"")))))))</f>
        <v/>
      </c>
      <c r="AC11" s="71">
        <f>IF(AC$59="X","",IF(AC$59&lt;&gt;"",AC$59,IF(IFERROR(INDEX(醫師週班表!$C$5:$T$44,$CU11,AC$57),"")=0,"",IF(MID(IFERROR(INDEX(醫師週班表!$C$5:$T$44,$CU11,AC$57),""),2,1)="/",MID(IFERROR(INDEX(醫師週班表!$C$5:$T$44,$CU11,AC$57),""),1+AC$58*2,1),IF(MID(IFERROR(INDEX(醫師週班表!$C$5:$T$44,$CU11,AC$57),""),3,1)="隔",IF(AC$58=0,LEFT(IFERROR(INDEX(醫師週班表!$C$5:$T$44,$CU11,AC$57),""),1),""),IF(MID(IFERROR(INDEX(醫師週班表!$C$5:$T$44,$CU11,AC$57),""),2,1)="(",LEFT(IFERROR(INDEX(醫師週班表!$C$5:$T$44,$CU11,AC$57),""),1),IFERROR(INDEX(醫師週班表!$C$5:$T$44,$CU11,AC$57),"")))))))</f>
        <v/>
      </c>
      <c r="AD11" s="72">
        <f>IF(AD$59="X","",IF(AD$59&lt;&gt;"",AD$59,IF(IFERROR(INDEX(醫師週班表!$C$5:$T$44,$CU11,AD$57),"")=0,"",IF(MID(IFERROR(INDEX(醫師週班表!$C$5:$T$44,$CU11,AD$57),""),2,1)="/",MID(IFERROR(INDEX(醫師週班表!$C$5:$T$44,$CU11,AD$57),""),1+AD$58*2,1),IF(MID(IFERROR(INDEX(醫師週班表!$C$5:$T$44,$CU11,AD$57),""),3,1)="隔",IF(AD$58=0,LEFT(IFERROR(INDEX(醫師週班表!$C$5:$T$44,$CU11,AD$57),""),1),""),IF(MID(IFERROR(INDEX(醫師週班表!$C$5:$T$44,$CU11,AD$57),""),2,1)="(",LEFT(IFERROR(INDEX(醫師週班表!$C$5:$T$44,$CU11,AD$57),""),1),IFERROR(INDEX(醫師週班表!$C$5:$T$44,$CU11,AD$57),"")))))))</f>
        <v/>
      </c>
      <c r="AE11" s="72">
        <f>IF(AE$59="X","",IF(AE$59&lt;&gt;"",AE$59,IF(IFERROR(INDEX(醫師週班表!$C$5:$T$44,$CU11,AE$57),"")=0,"",IF(MID(IFERROR(INDEX(醫師週班表!$C$5:$T$44,$CU11,AE$57),""),2,1)="/",MID(IFERROR(INDEX(醫師週班表!$C$5:$T$44,$CU11,AE$57),""),1+AE$58*2,1),IF(MID(IFERROR(INDEX(醫師週班表!$C$5:$T$44,$CU11,AE$57),""),3,1)="隔",IF(AE$58=0,LEFT(IFERROR(INDEX(醫師週班表!$C$5:$T$44,$CU11,AE$57),""),1),""),IF(MID(IFERROR(INDEX(醫師週班表!$C$5:$T$44,$CU11,AE$57),""),2,1)="(",LEFT(IFERROR(INDEX(醫師週班表!$C$5:$T$44,$CU11,AE$57),""),1),IFERROR(INDEX(醫師週班表!$C$5:$T$44,$CU11,AE$57),"")))))))</f>
        <v/>
      </c>
      <c r="AF11" s="71">
        <f>IF(AF$59="X","",IF(AF$59&lt;&gt;"",AF$59,IF(IFERROR(INDEX(醫師週班表!$C$5:$T$44,$CU11,AF$57),"")=0,"",IF(MID(IFERROR(INDEX(醫師週班表!$C$5:$T$44,$CU11,AF$57),""),2,1)="/",MID(IFERROR(INDEX(醫師週班表!$C$5:$T$44,$CU11,AF$57),""),1+AF$58*2,1),IF(MID(IFERROR(INDEX(醫師週班表!$C$5:$T$44,$CU11,AF$57),""),3,1)="隔",IF(AF$58=0,LEFT(IFERROR(INDEX(醫師週班表!$C$5:$T$44,$CU11,AF$57),""),1),""),IF(MID(IFERROR(INDEX(醫師週班表!$C$5:$T$44,$CU11,AF$57),""),2,1)="(",LEFT(IFERROR(INDEX(醫師週班表!$C$5:$T$44,$CU11,AF$57),""),1),IFERROR(INDEX(醫師週班表!$C$5:$T$44,$CU11,AF$57),"")))))))</f>
        <v/>
      </c>
      <c r="AG11" s="72">
        <f>IF(AG$59="X","",IF(AG$59&lt;&gt;"",AG$59,IF(IFERROR(INDEX(醫師週班表!$C$5:$T$44,$CU11,AG$57),"")=0,"",IF(MID(IFERROR(INDEX(醫師週班表!$C$5:$T$44,$CU11,AG$57),""),2,1)="/",MID(IFERROR(INDEX(醫師週班表!$C$5:$T$44,$CU11,AG$57),""),1+AG$58*2,1),IF(MID(IFERROR(INDEX(醫師週班表!$C$5:$T$44,$CU11,AG$57),""),3,1)="隔",IF(AG$58=0,LEFT(IFERROR(INDEX(醫師週班表!$C$5:$T$44,$CU11,AG$57),""),1),""),IF(MID(IFERROR(INDEX(醫師週班表!$C$5:$T$44,$CU11,AG$57),""),2,1)="(",LEFT(IFERROR(INDEX(醫師週班表!$C$5:$T$44,$CU11,AG$57),""),1),IFERROR(INDEX(醫師週班表!$C$5:$T$44,$CU11,AG$57),"")))))))</f>
        <v/>
      </c>
      <c r="AH11" s="72">
        <f>IF(AH$59="X","",IF(AH$59&lt;&gt;"",AH$59,IF(IFERROR(INDEX(醫師週班表!$C$5:$T$44,$CU11,AH$57),"")=0,"",IF(MID(IFERROR(INDEX(醫師週班表!$C$5:$T$44,$CU11,AH$57),""),2,1)="/",MID(IFERROR(INDEX(醫師週班表!$C$5:$T$44,$CU11,AH$57),""),1+AH$58*2,1),IF(MID(IFERROR(INDEX(醫師週班表!$C$5:$T$44,$CU11,AH$57),""),3,1)="隔",IF(AH$58=0,LEFT(IFERROR(INDEX(醫師週班表!$C$5:$T$44,$CU11,AH$57),""),1),""),IF(MID(IFERROR(INDEX(醫師週班表!$C$5:$T$44,$CU11,AH$57),""),2,1)="(",LEFT(IFERROR(INDEX(醫師週班表!$C$5:$T$44,$CU11,AH$57),""),1),IFERROR(INDEX(醫師週班表!$C$5:$T$44,$CU11,AH$57),"")))))))</f>
        <v/>
      </c>
      <c r="AI11" s="71">
        <f>IF(AI$59="X","",IF(AI$59&lt;&gt;"",AI$59,IF(IFERROR(INDEX(醫師週班表!$C$5:$T$44,$CU11,AI$57),"")=0,"",IF(MID(IFERROR(INDEX(醫師週班表!$C$5:$T$44,$CU11,AI$57),""),2,1)="/",MID(IFERROR(INDEX(醫師週班表!$C$5:$T$44,$CU11,AI$57),""),1+AI$58*2,1),IF(MID(IFERROR(INDEX(醫師週班表!$C$5:$T$44,$CU11,AI$57),""),3,1)="隔",IF(AI$58=0,LEFT(IFERROR(INDEX(醫師週班表!$C$5:$T$44,$CU11,AI$57),""),1),""),IF(MID(IFERROR(INDEX(醫師週班表!$C$5:$T$44,$CU11,AI$57),""),2,1)="(",LEFT(IFERROR(INDEX(醫師週班表!$C$5:$T$44,$CU11,AI$57),""),1),IFERROR(INDEX(醫師週班表!$C$5:$T$44,$CU11,AI$57),"")))))))</f>
        <v/>
      </c>
      <c r="AJ11" s="72">
        <f>IF(AJ$59="X","",IF(AJ$59&lt;&gt;"",AJ$59,IF(IFERROR(INDEX(醫師週班表!$C$5:$T$44,$CU11,AJ$57),"")=0,"",IF(MID(IFERROR(INDEX(醫師週班表!$C$5:$T$44,$CU11,AJ$57),""),2,1)="/",MID(IFERROR(INDEX(醫師週班表!$C$5:$T$44,$CU11,AJ$57),""),1+AJ$58*2,1),IF(MID(IFERROR(INDEX(醫師週班表!$C$5:$T$44,$CU11,AJ$57),""),3,1)="隔",IF(AJ$58=0,LEFT(IFERROR(INDEX(醫師週班表!$C$5:$T$44,$CU11,AJ$57),""),1),""),IF(MID(IFERROR(INDEX(醫師週班表!$C$5:$T$44,$CU11,AJ$57),""),2,1)="(",LEFT(IFERROR(INDEX(醫師週班表!$C$5:$T$44,$CU11,AJ$57),""),1),IFERROR(INDEX(醫師週班表!$C$5:$T$44,$CU11,AJ$57),"")))))))</f>
        <v/>
      </c>
      <c r="AK11" s="72">
        <f>IF(AK$59="X","",IF(AK$59&lt;&gt;"",AK$59,IF(IFERROR(INDEX(醫師週班表!$C$5:$T$44,$CU11,AK$57),"")=0,"",IF(MID(IFERROR(INDEX(醫師週班表!$C$5:$T$44,$CU11,AK$57),""),2,1)="/",MID(IFERROR(INDEX(醫師週班表!$C$5:$T$44,$CU11,AK$57),""),1+AK$58*2,1),IF(MID(IFERROR(INDEX(醫師週班表!$C$5:$T$44,$CU11,AK$57),""),3,1)="隔",IF(AK$58=0,LEFT(IFERROR(INDEX(醫師週班表!$C$5:$T$44,$CU11,AK$57),""),1),""),IF(MID(IFERROR(INDEX(醫師週班表!$C$5:$T$44,$CU11,AK$57),""),2,1)="(",LEFT(IFERROR(INDEX(醫師週班表!$C$5:$T$44,$CU11,AK$57),""),1),IFERROR(INDEX(醫師週班表!$C$5:$T$44,$CU11,AK$57),"")))))))</f>
        <v/>
      </c>
      <c r="AL11" s="71">
        <f>IF(AL$59="X","",IF(AL$59&lt;&gt;"",AL$59,IF(IFERROR(INDEX(醫師週班表!$C$5:$T$44,$CU11,AL$57),"")=0,"",IF(MID(IFERROR(INDEX(醫師週班表!$C$5:$T$44,$CU11,AL$57),""),2,1)="/",MID(IFERROR(INDEX(醫師週班表!$C$5:$T$44,$CU11,AL$57),""),1+AL$58*2,1),IF(MID(IFERROR(INDEX(醫師週班表!$C$5:$T$44,$CU11,AL$57),""),3,1)="隔",IF(AL$58=0,LEFT(IFERROR(INDEX(醫師週班表!$C$5:$T$44,$CU11,AL$57),""),1),""),IF(MID(IFERROR(INDEX(醫師週班表!$C$5:$T$44,$CU11,AL$57),""),2,1)="(",LEFT(IFERROR(INDEX(醫師週班表!$C$5:$T$44,$CU11,AL$57),""),1),IFERROR(INDEX(醫師週班表!$C$5:$T$44,$CU11,AL$57),"")))))))</f>
        <v/>
      </c>
      <c r="AM11" s="72">
        <f>IF(AM$59="X","",IF(AM$59&lt;&gt;"",AM$59,IF(IFERROR(INDEX(醫師週班表!$C$5:$T$44,$CU11,AM$57),"")=0,"",IF(MID(IFERROR(INDEX(醫師週班表!$C$5:$T$44,$CU11,AM$57),""),2,1)="/",MID(IFERROR(INDEX(醫師週班表!$C$5:$T$44,$CU11,AM$57),""),1+AM$58*2,1),IF(MID(IFERROR(INDEX(醫師週班表!$C$5:$T$44,$CU11,AM$57),""),3,1)="隔",IF(AM$58=0,LEFT(IFERROR(INDEX(醫師週班表!$C$5:$T$44,$CU11,AM$57),""),1),""),IF(MID(IFERROR(INDEX(醫師週班表!$C$5:$T$44,$CU11,AM$57),""),2,1)="(",LEFT(IFERROR(INDEX(醫師週班表!$C$5:$T$44,$CU11,AM$57),""),1),IFERROR(INDEX(醫師週班表!$C$5:$T$44,$CU11,AM$57),"")))))))</f>
        <v/>
      </c>
      <c r="AN11" s="72">
        <f>IF(AN$59="X","",IF(AN$59&lt;&gt;"",AN$59,IF(IFERROR(INDEX(醫師週班表!$C$5:$T$44,$CU11,AN$57),"")=0,"",IF(MID(IFERROR(INDEX(醫師週班表!$C$5:$T$44,$CU11,AN$57),""),2,1)="/",MID(IFERROR(INDEX(醫師週班表!$C$5:$T$44,$CU11,AN$57),""),1+AN$58*2,1),IF(MID(IFERROR(INDEX(醫師週班表!$C$5:$T$44,$CU11,AN$57),""),3,1)="隔",IF(AN$58=0,LEFT(IFERROR(INDEX(醫師週班表!$C$5:$T$44,$CU11,AN$57),""),1),""),IF(MID(IFERROR(INDEX(醫師週班表!$C$5:$T$44,$CU11,AN$57),""),2,1)="(",LEFT(IFERROR(INDEX(醫師週班表!$C$5:$T$44,$CU11,AN$57),""),1),IFERROR(INDEX(醫師週班表!$C$5:$T$44,$CU11,AN$57),"")))))))</f>
        <v/>
      </c>
      <c r="AO11" s="71">
        <f>IF(AO$59="X","",IF(AO$59&lt;&gt;"",AO$59,IF(IFERROR(INDEX(醫師週班表!$C$5:$T$44,$CU11,AO$57),"")=0,"",IF(MID(IFERROR(INDEX(醫師週班表!$C$5:$T$44,$CU11,AO$57),""),2,1)="/",MID(IFERROR(INDEX(醫師週班表!$C$5:$T$44,$CU11,AO$57),""),1+AO$58*2,1),IF(MID(IFERROR(INDEX(醫師週班表!$C$5:$T$44,$CU11,AO$57),""),3,1)="隔",IF(AO$58=0,LEFT(IFERROR(INDEX(醫師週班表!$C$5:$T$44,$CU11,AO$57),""),1),""),IF(MID(IFERROR(INDEX(醫師週班表!$C$5:$T$44,$CU11,AO$57),""),2,1)="(",LEFT(IFERROR(INDEX(醫師週班表!$C$5:$T$44,$CU11,AO$57),""),1),IFERROR(INDEX(醫師週班表!$C$5:$T$44,$CU11,AO$57),"")))))))</f>
        <v/>
      </c>
      <c r="AP11" s="72">
        <f>IF(AP$59="X","",IF(AP$59&lt;&gt;"",AP$59,IF(IFERROR(INDEX(醫師週班表!$C$5:$T$44,$CU11,AP$57),"")=0,"",IF(MID(IFERROR(INDEX(醫師週班表!$C$5:$T$44,$CU11,AP$57),""),2,1)="/",MID(IFERROR(INDEX(醫師週班表!$C$5:$T$44,$CU11,AP$57),""),1+AP$58*2,1),IF(MID(IFERROR(INDEX(醫師週班表!$C$5:$T$44,$CU11,AP$57),""),3,1)="隔",IF(AP$58=0,LEFT(IFERROR(INDEX(醫師週班表!$C$5:$T$44,$CU11,AP$57),""),1),""),IF(MID(IFERROR(INDEX(醫師週班表!$C$5:$T$44,$CU11,AP$57),""),2,1)="(",LEFT(IFERROR(INDEX(醫師週班表!$C$5:$T$44,$CU11,AP$57),""),1),IFERROR(INDEX(醫師週班表!$C$5:$T$44,$CU11,AP$57),"")))))))</f>
        <v/>
      </c>
      <c r="AQ11" s="72">
        <f>IF(AQ$59="X","",IF(AQ$59&lt;&gt;"",AQ$59,IF(IFERROR(INDEX(醫師週班表!$C$5:$T$44,$CU11,AQ$57),"")=0,"",IF(MID(IFERROR(INDEX(醫師週班表!$C$5:$T$44,$CU11,AQ$57),""),2,1)="/",MID(IFERROR(INDEX(醫師週班表!$C$5:$T$44,$CU11,AQ$57),""),1+AQ$58*2,1),IF(MID(IFERROR(INDEX(醫師週班表!$C$5:$T$44,$CU11,AQ$57),""),3,1)="隔",IF(AQ$58=0,LEFT(IFERROR(INDEX(醫師週班表!$C$5:$T$44,$CU11,AQ$57),""),1),""),IF(MID(IFERROR(INDEX(醫師週班表!$C$5:$T$44,$CU11,AQ$57),""),2,1)="(",LEFT(IFERROR(INDEX(醫師週班表!$C$5:$T$44,$CU11,AQ$57),""),1),IFERROR(INDEX(醫師週班表!$C$5:$T$44,$CU11,AQ$57),"")))))))</f>
        <v/>
      </c>
      <c r="AR11" s="71">
        <f>IF(AR$59="X","",IF(AR$59&lt;&gt;"",AR$59,IF(IFERROR(INDEX(醫師週班表!$C$5:$T$44,$CU11,AR$57),"")=0,"",IF(MID(IFERROR(INDEX(醫師週班表!$C$5:$T$44,$CU11,AR$57),""),2,1)="/",MID(IFERROR(INDEX(醫師週班表!$C$5:$T$44,$CU11,AR$57),""),1+AR$58*2,1),IF(MID(IFERROR(INDEX(醫師週班表!$C$5:$T$44,$CU11,AR$57),""),3,1)="隔",IF(AR$58=0,LEFT(IFERROR(INDEX(醫師週班表!$C$5:$T$44,$CU11,AR$57),""),1),""),IF(MID(IFERROR(INDEX(醫師週班表!$C$5:$T$44,$CU11,AR$57),""),2,1)="(",LEFT(IFERROR(INDEX(醫師週班表!$C$5:$T$44,$CU11,AR$57),""),1),IFERROR(INDEX(醫師週班表!$C$5:$T$44,$CU11,AR$57),"")))))))</f>
        <v/>
      </c>
      <c r="AS11" s="72">
        <f>IF(AS$59="X","",IF(AS$59&lt;&gt;"",AS$59,IF(IFERROR(INDEX(醫師週班表!$C$5:$T$44,$CU11,AS$57),"")=0,"",IF(MID(IFERROR(INDEX(醫師週班表!$C$5:$T$44,$CU11,AS$57),""),2,1)="/",MID(IFERROR(INDEX(醫師週班表!$C$5:$T$44,$CU11,AS$57),""),1+AS$58*2,1),IF(MID(IFERROR(INDEX(醫師週班表!$C$5:$T$44,$CU11,AS$57),""),3,1)="隔",IF(AS$58=0,LEFT(IFERROR(INDEX(醫師週班表!$C$5:$T$44,$CU11,AS$57),""),1),""),IF(MID(IFERROR(INDEX(醫師週班表!$C$5:$T$44,$CU11,AS$57),""),2,1)="(",LEFT(IFERROR(INDEX(醫師週班表!$C$5:$T$44,$CU11,AS$57),""),1),IFERROR(INDEX(醫師週班表!$C$5:$T$44,$CU11,AS$57),"")))))))</f>
        <v/>
      </c>
      <c r="AT11" s="72">
        <f>IF(AT$59="X","",IF(AT$59&lt;&gt;"",AT$59,IF(IFERROR(INDEX(醫師週班表!$C$5:$T$44,$CU11,AT$57),"")=0,"",IF(MID(IFERROR(INDEX(醫師週班表!$C$5:$T$44,$CU11,AT$57),""),2,1)="/",MID(IFERROR(INDEX(醫師週班表!$C$5:$T$44,$CU11,AT$57),""),1+AT$58*2,1),IF(MID(IFERROR(INDEX(醫師週班表!$C$5:$T$44,$CU11,AT$57),""),3,1)="隔",IF(AT$58=0,LEFT(IFERROR(INDEX(醫師週班表!$C$5:$T$44,$CU11,AT$57),""),1),""),IF(MID(IFERROR(INDEX(醫師週班表!$C$5:$T$44,$CU11,AT$57),""),2,1)="(",LEFT(IFERROR(INDEX(醫師週班表!$C$5:$T$44,$CU11,AT$57),""),1),IFERROR(INDEX(醫師週班表!$C$5:$T$44,$CU11,AT$57),"")))))))</f>
        <v/>
      </c>
      <c r="AU11" s="71">
        <f>IF(AU$59="X","",IF(AU$59&lt;&gt;"",AU$59,IF(IFERROR(INDEX(醫師週班表!$C$5:$T$44,$CU11,AU$57),"")=0,"",IF(MID(IFERROR(INDEX(醫師週班表!$C$5:$T$44,$CU11,AU$57),""),2,1)="/",MID(IFERROR(INDEX(醫師週班表!$C$5:$T$44,$CU11,AU$57),""),1+AU$58*2,1),IF(MID(IFERROR(INDEX(醫師週班表!$C$5:$T$44,$CU11,AU$57),""),3,1)="隔",IF(AU$58=0,LEFT(IFERROR(INDEX(醫師週班表!$C$5:$T$44,$CU11,AU$57),""),1),""),IF(MID(IFERROR(INDEX(醫師週班表!$C$5:$T$44,$CU11,AU$57),""),2,1)="(",LEFT(IFERROR(INDEX(醫師週班表!$C$5:$T$44,$CU11,AU$57),""),1),IFERROR(INDEX(醫師週班表!$C$5:$T$44,$CU11,AU$57),"")))))))</f>
        <v/>
      </c>
      <c r="AV11" s="72">
        <f>IF(AV$59="X","",IF(AV$59&lt;&gt;"",AV$59,IF(IFERROR(INDEX(醫師週班表!$C$5:$T$44,$CU11,AV$57),"")=0,"",IF(MID(IFERROR(INDEX(醫師週班表!$C$5:$T$44,$CU11,AV$57),""),2,1)="/",MID(IFERROR(INDEX(醫師週班表!$C$5:$T$44,$CU11,AV$57),""),1+AV$58*2,1),IF(MID(IFERROR(INDEX(醫師週班表!$C$5:$T$44,$CU11,AV$57),""),3,1)="隔",IF(AV$58=0,LEFT(IFERROR(INDEX(醫師週班表!$C$5:$T$44,$CU11,AV$57),""),1),""),IF(MID(IFERROR(INDEX(醫師週班表!$C$5:$T$44,$CU11,AV$57),""),2,1)="(",LEFT(IFERROR(INDEX(醫師週班表!$C$5:$T$44,$CU11,AV$57),""),1),IFERROR(INDEX(醫師週班表!$C$5:$T$44,$CU11,AV$57),"")))))))</f>
        <v/>
      </c>
      <c r="AW11" s="72">
        <f>IF(AW$59="X","",IF(AW$59&lt;&gt;"",AW$59,IF(IFERROR(INDEX(醫師週班表!$C$5:$T$44,$CU11,AW$57),"")=0,"",IF(MID(IFERROR(INDEX(醫師週班表!$C$5:$T$44,$CU11,AW$57),""),2,1)="/",MID(IFERROR(INDEX(醫師週班表!$C$5:$T$44,$CU11,AW$57),""),1+AW$58*2,1),IF(MID(IFERROR(INDEX(醫師週班表!$C$5:$T$44,$CU11,AW$57),""),3,1)="隔",IF(AW$58=0,LEFT(IFERROR(INDEX(醫師週班表!$C$5:$T$44,$CU11,AW$57),""),1),""),IF(MID(IFERROR(INDEX(醫師週班表!$C$5:$T$44,$CU11,AW$57),""),2,1)="(",LEFT(IFERROR(INDEX(醫師週班表!$C$5:$T$44,$CU11,AW$57),""),1),IFERROR(INDEX(醫師週班表!$C$5:$T$44,$CU11,AW$57),"")))))))</f>
        <v/>
      </c>
      <c r="AX11" s="71">
        <f>IF(AX$59="X","",IF(AX$59&lt;&gt;"",AX$59,IF(IFERROR(INDEX(醫師週班表!$C$5:$T$44,$CU11,AX$57),"")=0,"",IF(MID(IFERROR(INDEX(醫師週班表!$C$5:$T$44,$CU11,AX$57),""),2,1)="/",MID(IFERROR(INDEX(醫師週班表!$C$5:$T$44,$CU11,AX$57),""),1+AX$58*2,1),IF(MID(IFERROR(INDEX(醫師週班表!$C$5:$T$44,$CU11,AX$57),""),3,1)="隔",IF(AX$58=0,LEFT(IFERROR(INDEX(醫師週班表!$C$5:$T$44,$CU11,AX$57),""),1),""),IF(MID(IFERROR(INDEX(醫師週班表!$C$5:$T$44,$CU11,AX$57),""),2,1)="(",LEFT(IFERROR(INDEX(醫師週班表!$C$5:$T$44,$CU11,AX$57),""),1),IFERROR(INDEX(醫師週班表!$C$5:$T$44,$CU11,AX$57),"")))))))</f>
        <v/>
      </c>
      <c r="AY11" s="72">
        <f>IF(AY$59="X","",IF(AY$59&lt;&gt;"",AY$59,IF(IFERROR(INDEX(醫師週班表!$C$5:$T$44,$CU11,AY$57),"")=0,"",IF(MID(IFERROR(INDEX(醫師週班表!$C$5:$T$44,$CU11,AY$57),""),2,1)="/",MID(IFERROR(INDEX(醫師週班表!$C$5:$T$44,$CU11,AY$57),""),1+AY$58*2,1),IF(MID(IFERROR(INDEX(醫師週班表!$C$5:$T$44,$CU11,AY$57),""),3,1)="隔",IF(AY$58=0,LEFT(IFERROR(INDEX(醫師週班表!$C$5:$T$44,$CU11,AY$57),""),1),""),IF(MID(IFERROR(INDEX(醫師週班表!$C$5:$T$44,$CU11,AY$57),""),2,1)="(",LEFT(IFERROR(INDEX(醫師週班表!$C$5:$T$44,$CU11,AY$57),""),1),IFERROR(INDEX(醫師週班表!$C$5:$T$44,$CU11,AY$57),"")))))))</f>
        <v/>
      </c>
      <c r="AZ11" s="72">
        <f>IF(AZ$59="X","",IF(AZ$59&lt;&gt;"",AZ$59,IF(IFERROR(INDEX(醫師週班表!$C$5:$T$44,$CU11,AZ$57),"")=0,"",IF(MID(IFERROR(INDEX(醫師週班表!$C$5:$T$44,$CU11,AZ$57),""),2,1)="/",MID(IFERROR(INDEX(醫師週班表!$C$5:$T$44,$CU11,AZ$57),""),1+AZ$58*2,1),IF(MID(IFERROR(INDEX(醫師週班表!$C$5:$T$44,$CU11,AZ$57),""),3,1)="隔",IF(AZ$58=0,LEFT(IFERROR(INDEX(醫師週班表!$C$5:$T$44,$CU11,AZ$57),""),1),""),IF(MID(IFERROR(INDEX(醫師週班表!$C$5:$T$44,$CU11,AZ$57),""),2,1)="(",LEFT(IFERROR(INDEX(醫師週班表!$C$5:$T$44,$CU11,AZ$57),""),1),IFERROR(INDEX(醫師週班表!$C$5:$T$44,$CU11,AZ$57),"")))))))</f>
        <v/>
      </c>
      <c r="BA11" s="71">
        <f>IF(BA$59="X","",IF(BA$59&lt;&gt;"",BA$59,IF(IFERROR(INDEX(醫師週班表!$C$5:$T$44,$CU11,BA$57),"")=0,"",IF(MID(IFERROR(INDEX(醫師週班表!$C$5:$T$44,$CU11,BA$57),""),2,1)="/",MID(IFERROR(INDEX(醫師週班表!$C$5:$T$44,$CU11,BA$57),""),1+BA$58*2,1),IF(MID(IFERROR(INDEX(醫師週班表!$C$5:$T$44,$CU11,BA$57),""),3,1)="隔",IF(BA$58=0,LEFT(IFERROR(INDEX(醫師週班表!$C$5:$T$44,$CU11,BA$57),""),1),""),IF(MID(IFERROR(INDEX(醫師週班表!$C$5:$T$44,$CU11,BA$57),""),2,1)="(",LEFT(IFERROR(INDEX(醫師週班表!$C$5:$T$44,$CU11,BA$57),""),1),IFERROR(INDEX(醫師週班表!$C$5:$T$44,$CU11,BA$57),"")))))))</f>
        <v/>
      </c>
      <c r="BB11" s="72">
        <f>IF(BB$59="X","",IF(BB$59&lt;&gt;"",BB$59,IF(IFERROR(INDEX(醫師週班表!$C$5:$T$44,$CU11,BB$57),"")=0,"",IF(MID(IFERROR(INDEX(醫師週班表!$C$5:$T$44,$CU11,BB$57),""),2,1)="/",MID(IFERROR(INDEX(醫師週班表!$C$5:$T$44,$CU11,BB$57),""),1+BB$58*2,1),IF(MID(IFERROR(INDEX(醫師週班表!$C$5:$T$44,$CU11,BB$57),""),3,1)="隔",IF(BB$58=0,LEFT(IFERROR(INDEX(醫師週班表!$C$5:$T$44,$CU11,BB$57),""),1),""),IF(MID(IFERROR(INDEX(醫師週班表!$C$5:$T$44,$CU11,BB$57),""),2,1)="(",LEFT(IFERROR(INDEX(醫師週班表!$C$5:$T$44,$CU11,BB$57),""),1),IFERROR(INDEX(醫師週班表!$C$5:$T$44,$CU11,BB$57),"")))))))</f>
        <v/>
      </c>
      <c r="BC11" s="72">
        <f>IF(BC$59="X","",IF(BC$59&lt;&gt;"",BC$59,IF(IFERROR(INDEX(醫師週班表!$C$5:$T$44,$CU11,BC$57),"")=0,"",IF(MID(IFERROR(INDEX(醫師週班表!$C$5:$T$44,$CU11,BC$57),""),2,1)="/",MID(IFERROR(INDEX(醫師週班表!$C$5:$T$44,$CU11,BC$57),""),1+BC$58*2,1),IF(MID(IFERROR(INDEX(醫師週班表!$C$5:$T$44,$CU11,BC$57),""),3,1)="隔",IF(BC$58=0,LEFT(IFERROR(INDEX(醫師週班表!$C$5:$T$44,$CU11,BC$57),""),1),""),IF(MID(IFERROR(INDEX(醫師週班表!$C$5:$T$44,$CU11,BC$57),""),2,1)="(",LEFT(IFERROR(INDEX(醫師週班表!$C$5:$T$44,$CU11,BC$57),""),1),IFERROR(INDEX(醫師週班表!$C$5:$T$44,$CU11,BC$57),"")))))))</f>
        <v/>
      </c>
      <c r="BD11" s="71">
        <f>IF(BD$59="X","",IF(BD$59&lt;&gt;"",BD$59,IF(IFERROR(INDEX(醫師週班表!$C$5:$T$44,$CU11,BD$57),"")=0,"",IF(MID(IFERROR(INDEX(醫師週班表!$C$5:$T$44,$CU11,BD$57),""),2,1)="/",MID(IFERROR(INDEX(醫師週班表!$C$5:$T$44,$CU11,BD$57),""),1+BD$58*2,1),IF(MID(IFERROR(INDEX(醫師週班表!$C$5:$T$44,$CU11,BD$57),""),3,1)="隔",IF(BD$58=0,LEFT(IFERROR(INDEX(醫師週班表!$C$5:$T$44,$CU11,BD$57),""),1),""),IF(MID(IFERROR(INDEX(醫師週班表!$C$5:$T$44,$CU11,BD$57),""),2,1)="(",LEFT(IFERROR(INDEX(醫師週班表!$C$5:$T$44,$CU11,BD$57),""),1),IFERROR(INDEX(醫師週班表!$C$5:$T$44,$CU11,BD$57),"")))))))</f>
        <v/>
      </c>
      <c r="BE11" s="72">
        <f>IF(BE$59="X","",IF(BE$59&lt;&gt;"",BE$59,IF(IFERROR(INDEX(醫師週班表!$C$5:$T$44,$CU11,BE$57),"")=0,"",IF(MID(IFERROR(INDEX(醫師週班表!$C$5:$T$44,$CU11,BE$57),""),2,1)="/",MID(IFERROR(INDEX(醫師週班表!$C$5:$T$44,$CU11,BE$57),""),1+BE$58*2,1),IF(MID(IFERROR(INDEX(醫師週班表!$C$5:$T$44,$CU11,BE$57),""),3,1)="隔",IF(BE$58=0,LEFT(IFERROR(INDEX(醫師週班表!$C$5:$T$44,$CU11,BE$57),""),1),""),IF(MID(IFERROR(INDEX(醫師週班表!$C$5:$T$44,$CU11,BE$57),""),2,1)="(",LEFT(IFERROR(INDEX(醫師週班表!$C$5:$T$44,$CU11,BE$57),""),1),IFERROR(INDEX(醫師週班表!$C$5:$T$44,$CU11,BE$57),"")))))))</f>
        <v/>
      </c>
      <c r="BF11" s="72">
        <f>IF(BF$59="X","",IF(BF$59&lt;&gt;"",BF$59,IF(IFERROR(INDEX(醫師週班表!$C$5:$T$44,$CU11,BF$57),"")=0,"",IF(MID(IFERROR(INDEX(醫師週班表!$C$5:$T$44,$CU11,BF$57),""),2,1)="/",MID(IFERROR(INDEX(醫師週班表!$C$5:$T$44,$CU11,BF$57),""),1+BF$58*2,1),IF(MID(IFERROR(INDEX(醫師週班表!$C$5:$T$44,$CU11,BF$57),""),3,1)="隔",IF(BF$58=0,LEFT(IFERROR(INDEX(醫師週班表!$C$5:$T$44,$CU11,BF$57),""),1),""),IF(MID(IFERROR(INDEX(醫師週班表!$C$5:$T$44,$CU11,BF$57),""),2,1)="(",LEFT(IFERROR(INDEX(醫師週班表!$C$5:$T$44,$CU11,BF$57),""),1),IFERROR(INDEX(醫師週班表!$C$5:$T$44,$CU11,BF$57),"")))))))</f>
        <v/>
      </c>
      <c r="BG11" s="71">
        <f>IF(BG$59="X","",IF(BG$59&lt;&gt;"",BG$59,IF(IFERROR(INDEX(醫師週班表!$C$5:$T$44,$CU11,BG$57),"")=0,"",IF(MID(IFERROR(INDEX(醫師週班表!$C$5:$T$44,$CU11,BG$57),""),2,1)="/",MID(IFERROR(INDEX(醫師週班表!$C$5:$T$44,$CU11,BG$57),""),1+BG$58*2,1),IF(MID(IFERROR(INDEX(醫師週班表!$C$5:$T$44,$CU11,BG$57),""),3,1)="隔",IF(BG$58=0,LEFT(IFERROR(INDEX(醫師週班表!$C$5:$T$44,$CU11,BG$57),""),1),""),IF(MID(IFERROR(INDEX(醫師週班表!$C$5:$T$44,$CU11,BG$57),""),2,1)="(",LEFT(IFERROR(INDEX(醫師週班表!$C$5:$T$44,$CU11,BG$57),""),1),IFERROR(INDEX(醫師週班表!$C$5:$T$44,$CU11,BG$57),"")))))))</f>
        <v/>
      </c>
      <c r="BH11" s="72">
        <f>IF(BH$59="X","",IF(BH$59&lt;&gt;"",BH$59,IF(IFERROR(INDEX(醫師週班表!$C$5:$T$44,$CU11,BH$57),"")=0,"",IF(MID(IFERROR(INDEX(醫師週班表!$C$5:$T$44,$CU11,BH$57),""),2,1)="/",MID(IFERROR(INDEX(醫師週班表!$C$5:$T$44,$CU11,BH$57),""),1+BH$58*2,1),IF(MID(IFERROR(INDEX(醫師週班表!$C$5:$T$44,$CU11,BH$57),""),3,1)="隔",IF(BH$58=0,LEFT(IFERROR(INDEX(醫師週班表!$C$5:$T$44,$CU11,BH$57),""),1),""),IF(MID(IFERROR(INDEX(醫師週班表!$C$5:$T$44,$CU11,BH$57),""),2,1)="(",LEFT(IFERROR(INDEX(醫師週班表!$C$5:$T$44,$CU11,BH$57),""),1),IFERROR(INDEX(醫師週班表!$C$5:$T$44,$CU11,BH$57),"")))))))</f>
        <v/>
      </c>
      <c r="BI11" s="72">
        <f>IF(BI$59="X","",IF(BI$59&lt;&gt;"",BI$59,IF(IFERROR(INDEX(醫師週班表!$C$5:$T$44,$CU11,BI$57),"")=0,"",IF(MID(IFERROR(INDEX(醫師週班表!$C$5:$T$44,$CU11,BI$57),""),2,1)="/",MID(IFERROR(INDEX(醫師週班表!$C$5:$T$44,$CU11,BI$57),""),1+BI$58*2,1),IF(MID(IFERROR(INDEX(醫師週班表!$C$5:$T$44,$CU11,BI$57),""),3,1)="隔",IF(BI$58=0,LEFT(IFERROR(INDEX(醫師週班表!$C$5:$T$44,$CU11,BI$57),""),1),""),IF(MID(IFERROR(INDEX(醫師週班表!$C$5:$T$44,$CU11,BI$57),""),2,1)="(",LEFT(IFERROR(INDEX(醫師週班表!$C$5:$T$44,$CU11,BI$57),""),1),IFERROR(INDEX(醫師週班表!$C$5:$T$44,$CU11,BI$57),"")))))))</f>
        <v/>
      </c>
      <c r="BJ11" s="71">
        <f>IF(BJ$59="X","",IF(BJ$59&lt;&gt;"",BJ$59,IF(IFERROR(INDEX(醫師週班表!$C$5:$T$44,$CU11,BJ$57),"")=0,"",IF(MID(IFERROR(INDEX(醫師週班表!$C$5:$T$44,$CU11,BJ$57),""),2,1)="/",MID(IFERROR(INDEX(醫師週班表!$C$5:$T$44,$CU11,BJ$57),""),1+BJ$58*2,1),IF(MID(IFERROR(INDEX(醫師週班表!$C$5:$T$44,$CU11,BJ$57),""),3,1)="隔",IF(BJ$58=0,LEFT(IFERROR(INDEX(醫師週班表!$C$5:$T$44,$CU11,BJ$57),""),1),""),IF(MID(IFERROR(INDEX(醫師週班表!$C$5:$T$44,$CU11,BJ$57),""),2,1)="(",LEFT(IFERROR(INDEX(醫師週班表!$C$5:$T$44,$CU11,BJ$57),""),1),IFERROR(INDEX(醫師週班表!$C$5:$T$44,$CU11,BJ$57),"")))))))</f>
        <v/>
      </c>
      <c r="BK11" s="72">
        <f>IF(BK$59="X","",IF(BK$59&lt;&gt;"",BK$59,IF(IFERROR(INDEX(醫師週班表!$C$5:$T$44,$CU11,BK$57),"")=0,"",IF(MID(IFERROR(INDEX(醫師週班表!$C$5:$T$44,$CU11,BK$57),""),2,1)="/",MID(IFERROR(INDEX(醫師週班表!$C$5:$T$44,$CU11,BK$57),""),1+BK$58*2,1),IF(MID(IFERROR(INDEX(醫師週班表!$C$5:$T$44,$CU11,BK$57),""),3,1)="隔",IF(BK$58=0,LEFT(IFERROR(INDEX(醫師週班表!$C$5:$T$44,$CU11,BK$57),""),1),""),IF(MID(IFERROR(INDEX(醫師週班表!$C$5:$T$44,$CU11,BK$57),""),2,1)="(",LEFT(IFERROR(INDEX(醫師週班表!$C$5:$T$44,$CU11,BK$57),""),1),IFERROR(INDEX(醫師週班表!$C$5:$T$44,$CU11,BK$57),"")))))))</f>
        <v/>
      </c>
      <c r="BL11" s="72">
        <f>IF(BL$59="X","",IF(BL$59&lt;&gt;"",BL$59,IF(IFERROR(INDEX(醫師週班表!$C$5:$T$44,$CU11,BL$57),"")=0,"",IF(MID(IFERROR(INDEX(醫師週班表!$C$5:$T$44,$CU11,BL$57),""),2,1)="/",MID(IFERROR(INDEX(醫師週班表!$C$5:$T$44,$CU11,BL$57),""),1+BL$58*2,1),IF(MID(IFERROR(INDEX(醫師週班表!$C$5:$T$44,$CU11,BL$57),""),3,1)="隔",IF(BL$58=0,LEFT(IFERROR(INDEX(醫師週班表!$C$5:$T$44,$CU11,BL$57),""),1),""),IF(MID(IFERROR(INDEX(醫師週班表!$C$5:$T$44,$CU11,BL$57),""),2,1)="(",LEFT(IFERROR(INDEX(醫師週班表!$C$5:$T$44,$CU11,BL$57),""),1),IFERROR(INDEX(醫師週班表!$C$5:$T$44,$CU11,BL$57),"")))))))</f>
        <v/>
      </c>
      <c r="BM11" s="71">
        <f>IF(BM$59="X","",IF(BM$59&lt;&gt;"",BM$59,IF(IFERROR(INDEX(醫師週班表!$C$5:$T$44,$CU11,BM$57),"")=0,"",IF(MID(IFERROR(INDEX(醫師週班表!$C$5:$T$44,$CU11,BM$57),""),2,1)="/",MID(IFERROR(INDEX(醫師週班表!$C$5:$T$44,$CU11,BM$57),""),1+BM$58*2,1),IF(MID(IFERROR(INDEX(醫師週班表!$C$5:$T$44,$CU11,BM$57),""),3,1)="隔",IF(BM$58=0,LEFT(IFERROR(INDEX(醫師週班表!$C$5:$T$44,$CU11,BM$57),""),1),""),IF(MID(IFERROR(INDEX(醫師週班表!$C$5:$T$44,$CU11,BM$57),""),2,1)="(",LEFT(IFERROR(INDEX(醫師週班表!$C$5:$T$44,$CU11,BM$57),""),1),IFERROR(INDEX(醫師週班表!$C$5:$T$44,$CU11,BM$57),"")))))))</f>
        <v/>
      </c>
      <c r="BN11" s="72">
        <f>IF(BN$59="X","",IF(BN$59&lt;&gt;"",BN$59,IF(IFERROR(INDEX(醫師週班表!$C$5:$T$44,$CU11,BN$57),"")=0,"",IF(MID(IFERROR(INDEX(醫師週班表!$C$5:$T$44,$CU11,BN$57),""),2,1)="/",MID(IFERROR(INDEX(醫師週班表!$C$5:$T$44,$CU11,BN$57),""),1+BN$58*2,1),IF(MID(IFERROR(INDEX(醫師週班表!$C$5:$T$44,$CU11,BN$57),""),3,1)="隔",IF(BN$58=0,LEFT(IFERROR(INDEX(醫師週班表!$C$5:$T$44,$CU11,BN$57),""),1),""),IF(MID(IFERROR(INDEX(醫師週班表!$C$5:$T$44,$CU11,BN$57),""),2,1)="(",LEFT(IFERROR(INDEX(醫師週班表!$C$5:$T$44,$CU11,BN$57),""),1),IFERROR(INDEX(醫師週班表!$C$5:$T$44,$CU11,BN$57),"")))))))</f>
        <v/>
      </c>
      <c r="BO11" s="72">
        <f>IF(BO$59="X","",IF(BO$59&lt;&gt;"",BO$59,IF(IFERROR(INDEX(醫師週班表!$C$5:$T$44,$CU11,BO$57),"")=0,"",IF(MID(IFERROR(INDEX(醫師週班表!$C$5:$T$44,$CU11,BO$57),""),2,1)="/",MID(IFERROR(INDEX(醫師週班表!$C$5:$T$44,$CU11,BO$57),""),1+BO$58*2,1),IF(MID(IFERROR(INDEX(醫師週班表!$C$5:$T$44,$CU11,BO$57),""),3,1)="隔",IF(BO$58=0,LEFT(IFERROR(INDEX(醫師週班表!$C$5:$T$44,$CU11,BO$57),""),1),""),IF(MID(IFERROR(INDEX(醫師週班表!$C$5:$T$44,$CU11,BO$57),""),2,1)="(",LEFT(IFERROR(INDEX(醫師週班表!$C$5:$T$44,$CU11,BO$57),""),1),IFERROR(INDEX(醫師週班表!$C$5:$T$44,$CU11,BO$57),"")))))))</f>
        <v/>
      </c>
      <c r="BP11" s="71">
        <f>IF(BP$59="X","",IF(BP$59&lt;&gt;"",BP$59,IF(IFERROR(INDEX(醫師週班表!$C$5:$T$44,$CU11,BP$57),"")=0,"",IF(MID(IFERROR(INDEX(醫師週班表!$C$5:$T$44,$CU11,BP$57),""),2,1)="/",MID(IFERROR(INDEX(醫師週班表!$C$5:$T$44,$CU11,BP$57),""),1+BP$58*2,1),IF(MID(IFERROR(INDEX(醫師週班表!$C$5:$T$44,$CU11,BP$57),""),3,1)="隔",IF(BP$58=0,LEFT(IFERROR(INDEX(醫師週班表!$C$5:$T$44,$CU11,BP$57),""),1),""),IF(MID(IFERROR(INDEX(醫師週班表!$C$5:$T$44,$CU11,BP$57),""),2,1)="(",LEFT(IFERROR(INDEX(醫師週班表!$C$5:$T$44,$CU11,BP$57),""),1),IFERROR(INDEX(醫師週班表!$C$5:$T$44,$CU11,BP$57),"")))))))</f>
        <v/>
      </c>
      <c r="BQ11" s="72">
        <f>IF(BQ$59="X","",IF(BQ$59&lt;&gt;"",BQ$59,IF(IFERROR(INDEX(醫師週班表!$C$5:$T$44,$CU11,BQ$57),"")=0,"",IF(MID(IFERROR(INDEX(醫師週班表!$C$5:$T$44,$CU11,BQ$57),""),2,1)="/",MID(IFERROR(INDEX(醫師週班表!$C$5:$T$44,$CU11,BQ$57),""),1+BQ$58*2,1),IF(MID(IFERROR(INDEX(醫師週班表!$C$5:$T$44,$CU11,BQ$57),""),3,1)="隔",IF(BQ$58=0,LEFT(IFERROR(INDEX(醫師週班表!$C$5:$T$44,$CU11,BQ$57),""),1),""),IF(MID(IFERROR(INDEX(醫師週班表!$C$5:$T$44,$CU11,BQ$57),""),2,1)="(",LEFT(IFERROR(INDEX(醫師週班表!$C$5:$T$44,$CU11,BQ$57),""),1),IFERROR(INDEX(醫師週班表!$C$5:$T$44,$CU11,BQ$57),"")))))))</f>
        <v/>
      </c>
      <c r="BR11" s="72">
        <f>IF(BR$59="X","",IF(BR$59&lt;&gt;"",BR$59,IF(IFERROR(INDEX(醫師週班表!$C$5:$T$44,$CU11,BR$57),"")=0,"",IF(MID(IFERROR(INDEX(醫師週班表!$C$5:$T$44,$CU11,BR$57),""),2,1)="/",MID(IFERROR(INDEX(醫師週班表!$C$5:$T$44,$CU11,BR$57),""),1+BR$58*2,1),IF(MID(IFERROR(INDEX(醫師週班表!$C$5:$T$44,$CU11,BR$57),""),3,1)="隔",IF(BR$58=0,LEFT(IFERROR(INDEX(醫師週班表!$C$5:$T$44,$CU11,BR$57),""),1),""),IF(MID(IFERROR(INDEX(醫師週班表!$C$5:$T$44,$CU11,BR$57),""),2,1)="(",LEFT(IFERROR(INDEX(醫師週班表!$C$5:$T$44,$CU11,BR$57),""),1),IFERROR(INDEX(醫師週班表!$C$5:$T$44,$CU11,BR$57),"")))))))</f>
        <v/>
      </c>
      <c r="BS11" s="71">
        <f>IF(BS$59="X","",IF(BS$59&lt;&gt;"",BS$59,IF(IFERROR(INDEX(醫師週班表!$C$5:$T$44,$CU11,BS$57),"")=0,"",IF(MID(IFERROR(INDEX(醫師週班表!$C$5:$T$44,$CU11,BS$57),""),2,1)="/",MID(IFERROR(INDEX(醫師週班表!$C$5:$T$44,$CU11,BS$57),""),1+BS$58*2,1),IF(MID(IFERROR(INDEX(醫師週班表!$C$5:$T$44,$CU11,BS$57),""),3,1)="隔",IF(BS$58=0,LEFT(IFERROR(INDEX(醫師週班表!$C$5:$T$44,$CU11,BS$57),""),1),""),IF(MID(IFERROR(INDEX(醫師週班表!$C$5:$T$44,$CU11,BS$57),""),2,1)="(",LEFT(IFERROR(INDEX(醫師週班表!$C$5:$T$44,$CU11,BS$57),""),1),IFERROR(INDEX(醫師週班表!$C$5:$T$44,$CU11,BS$57),"")))))))</f>
        <v/>
      </c>
      <c r="BT11" s="72">
        <f>IF(BT$59="X","",IF(BT$59&lt;&gt;"",BT$59,IF(IFERROR(INDEX(醫師週班表!$C$5:$T$44,$CU11,BT$57),"")=0,"",IF(MID(IFERROR(INDEX(醫師週班表!$C$5:$T$44,$CU11,BT$57),""),2,1)="/",MID(IFERROR(INDEX(醫師週班表!$C$5:$T$44,$CU11,BT$57),""),1+BT$58*2,1),IF(MID(IFERROR(INDEX(醫師週班表!$C$5:$T$44,$CU11,BT$57),""),3,1)="隔",IF(BT$58=0,LEFT(IFERROR(INDEX(醫師週班表!$C$5:$T$44,$CU11,BT$57),""),1),""),IF(MID(IFERROR(INDEX(醫師週班表!$C$5:$T$44,$CU11,BT$57),""),2,1)="(",LEFT(IFERROR(INDEX(醫師週班表!$C$5:$T$44,$CU11,BT$57),""),1),IFERROR(INDEX(醫師週班表!$C$5:$T$44,$CU11,BT$57),"")))))))</f>
        <v/>
      </c>
      <c r="BU11" s="72">
        <f>IF(BU$59="X","",IF(BU$59&lt;&gt;"",BU$59,IF(IFERROR(INDEX(醫師週班表!$C$5:$T$44,$CU11,BU$57),"")=0,"",IF(MID(IFERROR(INDEX(醫師週班表!$C$5:$T$44,$CU11,BU$57),""),2,1)="/",MID(IFERROR(INDEX(醫師週班表!$C$5:$T$44,$CU11,BU$57),""),1+BU$58*2,1),IF(MID(IFERROR(INDEX(醫師週班表!$C$5:$T$44,$CU11,BU$57),""),3,1)="隔",IF(BU$58=0,LEFT(IFERROR(INDEX(醫師週班表!$C$5:$T$44,$CU11,BU$57),""),1),""),IF(MID(IFERROR(INDEX(醫師週班表!$C$5:$T$44,$CU11,BU$57),""),2,1)="(",LEFT(IFERROR(INDEX(醫師週班表!$C$5:$T$44,$CU11,BU$57),""),1),IFERROR(INDEX(醫師週班表!$C$5:$T$44,$CU11,BU$57),"")))))))</f>
        <v/>
      </c>
      <c r="BV11" s="71">
        <f>IF(BV$59="X","",IF(BV$59&lt;&gt;"",BV$59,IF(IFERROR(INDEX(醫師週班表!$C$5:$T$44,$CU11,BV$57),"")=0,"",IF(MID(IFERROR(INDEX(醫師週班表!$C$5:$T$44,$CU11,BV$57),""),2,1)="/",MID(IFERROR(INDEX(醫師週班表!$C$5:$T$44,$CU11,BV$57),""),1+BV$58*2,1),IF(MID(IFERROR(INDEX(醫師週班表!$C$5:$T$44,$CU11,BV$57),""),3,1)="隔",IF(BV$58=0,LEFT(IFERROR(INDEX(醫師週班表!$C$5:$T$44,$CU11,BV$57),""),1),""),IF(MID(IFERROR(INDEX(醫師週班表!$C$5:$T$44,$CU11,BV$57),""),2,1)="(",LEFT(IFERROR(INDEX(醫師週班表!$C$5:$T$44,$CU11,BV$57),""),1),IFERROR(INDEX(醫師週班表!$C$5:$T$44,$CU11,BV$57),"")))))))</f>
        <v/>
      </c>
      <c r="BW11" s="72">
        <f>IF(BW$59="X","",IF(BW$59&lt;&gt;"",BW$59,IF(IFERROR(INDEX(醫師週班表!$C$5:$T$44,$CU11,BW$57),"")=0,"",IF(MID(IFERROR(INDEX(醫師週班表!$C$5:$T$44,$CU11,BW$57),""),2,1)="/",MID(IFERROR(INDEX(醫師週班表!$C$5:$T$44,$CU11,BW$57),""),1+BW$58*2,1),IF(MID(IFERROR(INDEX(醫師週班表!$C$5:$T$44,$CU11,BW$57),""),3,1)="隔",IF(BW$58=0,LEFT(IFERROR(INDEX(醫師週班表!$C$5:$T$44,$CU11,BW$57),""),1),""),IF(MID(IFERROR(INDEX(醫師週班表!$C$5:$T$44,$CU11,BW$57),""),2,1)="(",LEFT(IFERROR(INDEX(醫師週班表!$C$5:$T$44,$CU11,BW$57),""),1),IFERROR(INDEX(醫師週班表!$C$5:$T$44,$CU11,BW$57),"")))))))</f>
        <v/>
      </c>
      <c r="BX11" s="72">
        <f>IF(BX$59="X","",IF(BX$59&lt;&gt;"",BX$59,IF(IFERROR(INDEX(醫師週班表!$C$5:$T$44,$CU11,BX$57),"")=0,"",IF(MID(IFERROR(INDEX(醫師週班表!$C$5:$T$44,$CU11,BX$57),""),2,1)="/",MID(IFERROR(INDEX(醫師週班表!$C$5:$T$44,$CU11,BX$57),""),1+BX$58*2,1),IF(MID(IFERROR(INDEX(醫師週班表!$C$5:$T$44,$CU11,BX$57),""),3,1)="隔",IF(BX$58=0,LEFT(IFERROR(INDEX(醫師週班表!$C$5:$T$44,$CU11,BX$57),""),1),""),IF(MID(IFERROR(INDEX(醫師週班表!$C$5:$T$44,$CU11,BX$57),""),2,1)="(",LEFT(IFERROR(INDEX(醫師週班表!$C$5:$T$44,$CU11,BX$57),""),1),IFERROR(INDEX(醫師週班表!$C$5:$T$44,$CU11,BX$57),"")))))))</f>
        <v/>
      </c>
      <c r="BY11" s="71">
        <f>IF(BY$59="X","",IF(BY$59&lt;&gt;"",BY$59,IF(IFERROR(INDEX(醫師週班表!$C$5:$T$44,$CU11,BY$57),"")=0,"",IF(MID(IFERROR(INDEX(醫師週班表!$C$5:$T$44,$CU11,BY$57),""),2,1)="/",MID(IFERROR(INDEX(醫師週班表!$C$5:$T$44,$CU11,BY$57),""),1+BY$58*2,1),IF(MID(IFERROR(INDEX(醫師週班表!$C$5:$T$44,$CU11,BY$57),""),3,1)="隔",IF(BY$58=0,LEFT(IFERROR(INDEX(醫師週班表!$C$5:$T$44,$CU11,BY$57),""),1),""),IF(MID(IFERROR(INDEX(醫師週班表!$C$5:$T$44,$CU11,BY$57),""),2,1)="(",LEFT(IFERROR(INDEX(醫師週班表!$C$5:$T$44,$CU11,BY$57),""),1),IFERROR(INDEX(醫師週班表!$C$5:$T$44,$CU11,BY$57),"")))))))</f>
        <v/>
      </c>
      <c r="BZ11" s="72">
        <f>IF(BZ$59="X","",IF(BZ$59&lt;&gt;"",BZ$59,IF(IFERROR(INDEX(醫師週班表!$C$5:$T$44,$CU11,BZ$57),"")=0,"",IF(MID(IFERROR(INDEX(醫師週班表!$C$5:$T$44,$CU11,BZ$57),""),2,1)="/",MID(IFERROR(INDEX(醫師週班表!$C$5:$T$44,$CU11,BZ$57),""),1+BZ$58*2,1),IF(MID(IFERROR(INDEX(醫師週班表!$C$5:$T$44,$CU11,BZ$57),""),3,1)="隔",IF(BZ$58=0,LEFT(IFERROR(INDEX(醫師週班表!$C$5:$T$44,$CU11,BZ$57),""),1),""),IF(MID(IFERROR(INDEX(醫師週班表!$C$5:$T$44,$CU11,BZ$57),""),2,1)="(",LEFT(IFERROR(INDEX(醫師週班表!$C$5:$T$44,$CU11,BZ$57),""),1),IFERROR(INDEX(醫師週班表!$C$5:$T$44,$CU11,BZ$57),"")))))))</f>
        <v/>
      </c>
      <c r="CA11" s="72">
        <f>IF(CA$59="X","",IF(CA$59&lt;&gt;"",CA$59,IF(IFERROR(INDEX(醫師週班表!$C$5:$T$44,$CU11,CA$57),"")=0,"",IF(MID(IFERROR(INDEX(醫師週班表!$C$5:$T$44,$CU11,CA$57),""),2,1)="/",MID(IFERROR(INDEX(醫師週班表!$C$5:$T$44,$CU11,CA$57),""),1+CA$58*2,1),IF(MID(IFERROR(INDEX(醫師週班表!$C$5:$T$44,$CU11,CA$57),""),3,1)="隔",IF(CA$58=0,LEFT(IFERROR(INDEX(醫師週班表!$C$5:$T$44,$CU11,CA$57),""),1),""),IF(MID(IFERROR(INDEX(醫師週班表!$C$5:$T$44,$CU11,CA$57),""),2,1)="(",LEFT(IFERROR(INDEX(醫師週班表!$C$5:$T$44,$CU11,CA$57),""),1),IFERROR(INDEX(醫師週班表!$C$5:$T$44,$CU11,CA$57),"")))))))</f>
        <v/>
      </c>
      <c r="CB11" s="71">
        <f>IF(CB$59="X","",IF(CB$59&lt;&gt;"",CB$59,IF(IFERROR(INDEX(醫師週班表!$C$5:$T$44,$CU11,CB$57),"")=0,"",IF(MID(IFERROR(INDEX(醫師週班表!$C$5:$T$44,$CU11,CB$57),""),2,1)="/",MID(IFERROR(INDEX(醫師週班表!$C$5:$T$44,$CU11,CB$57),""),1+CB$58*2,1),IF(MID(IFERROR(INDEX(醫師週班表!$C$5:$T$44,$CU11,CB$57),""),3,1)="隔",IF(CB$58=0,LEFT(IFERROR(INDEX(醫師週班表!$C$5:$T$44,$CU11,CB$57),""),1),""),IF(MID(IFERROR(INDEX(醫師週班表!$C$5:$T$44,$CU11,CB$57),""),2,1)="(",LEFT(IFERROR(INDEX(醫師週班表!$C$5:$T$44,$CU11,CB$57),""),1),IFERROR(INDEX(醫師週班表!$C$5:$T$44,$CU11,CB$57),"")))))))</f>
        <v/>
      </c>
      <c r="CC11" s="72">
        <f>IF(CC$59="X","",IF(CC$59&lt;&gt;"",CC$59,IF(IFERROR(INDEX(醫師週班表!$C$5:$T$44,$CU11,CC$57),"")=0,"",IF(MID(IFERROR(INDEX(醫師週班表!$C$5:$T$44,$CU11,CC$57),""),2,1)="/",MID(IFERROR(INDEX(醫師週班表!$C$5:$T$44,$CU11,CC$57),""),1+CC$58*2,1),IF(MID(IFERROR(INDEX(醫師週班表!$C$5:$T$44,$CU11,CC$57),""),3,1)="隔",IF(CC$58=0,LEFT(IFERROR(INDEX(醫師週班表!$C$5:$T$44,$CU11,CC$57),""),1),""),IF(MID(IFERROR(INDEX(醫師週班表!$C$5:$T$44,$CU11,CC$57),""),2,1)="(",LEFT(IFERROR(INDEX(醫師週班表!$C$5:$T$44,$CU11,CC$57),""),1),IFERROR(INDEX(醫師週班表!$C$5:$T$44,$CU11,CC$57),"")))))))</f>
        <v/>
      </c>
      <c r="CD11" s="72">
        <f>IF(CD$59="X","",IF(CD$59&lt;&gt;"",CD$59,IF(IFERROR(INDEX(醫師週班表!$C$5:$T$44,$CU11,CD$57),"")=0,"",IF(MID(IFERROR(INDEX(醫師週班表!$C$5:$T$44,$CU11,CD$57),""),2,1)="/",MID(IFERROR(INDEX(醫師週班表!$C$5:$T$44,$CU11,CD$57),""),1+CD$58*2,1),IF(MID(IFERROR(INDEX(醫師週班表!$C$5:$T$44,$CU11,CD$57),""),3,1)="隔",IF(CD$58=0,LEFT(IFERROR(INDEX(醫師週班表!$C$5:$T$44,$CU11,CD$57),""),1),""),IF(MID(IFERROR(INDEX(醫師週班表!$C$5:$T$44,$CU11,CD$57),""),2,1)="(",LEFT(IFERROR(INDEX(醫師週班表!$C$5:$T$44,$CU11,CD$57),""),1),IFERROR(INDEX(醫師週班表!$C$5:$T$44,$CU11,CD$57),"")))))))</f>
        <v/>
      </c>
      <c r="CE11" s="71">
        <f>IF(CE$59="X","",IF(CE$59&lt;&gt;"",CE$59,IF(IFERROR(INDEX(醫師週班表!$C$5:$T$44,$CU11,CE$57),"")=0,"",IF(MID(IFERROR(INDEX(醫師週班表!$C$5:$T$44,$CU11,CE$57),""),2,1)="/",MID(IFERROR(INDEX(醫師週班表!$C$5:$T$44,$CU11,CE$57),""),1+CE$58*2,1),IF(MID(IFERROR(INDEX(醫師週班表!$C$5:$T$44,$CU11,CE$57),""),3,1)="隔",IF(CE$58=0,LEFT(IFERROR(INDEX(醫師週班表!$C$5:$T$44,$CU11,CE$57),""),1),""),IF(MID(IFERROR(INDEX(醫師週班表!$C$5:$T$44,$CU11,CE$57),""),2,1)="(",LEFT(IFERROR(INDEX(醫師週班表!$C$5:$T$44,$CU11,CE$57),""),1),IFERROR(INDEX(醫師週班表!$C$5:$T$44,$CU11,CE$57),"")))))))</f>
        <v/>
      </c>
      <c r="CF11" s="72">
        <f>IF(CF$59="X","",IF(CF$59&lt;&gt;"",CF$59,IF(IFERROR(INDEX(醫師週班表!$C$5:$T$44,$CU11,CF$57),"")=0,"",IF(MID(IFERROR(INDEX(醫師週班表!$C$5:$T$44,$CU11,CF$57),""),2,1)="/",MID(IFERROR(INDEX(醫師週班表!$C$5:$T$44,$CU11,CF$57),""),1+CF$58*2,1),IF(MID(IFERROR(INDEX(醫師週班表!$C$5:$T$44,$CU11,CF$57),""),3,1)="隔",IF(CF$58=0,LEFT(IFERROR(INDEX(醫師週班表!$C$5:$T$44,$CU11,CF$57),""),1),""),IF(MID(IFERROR(INDEX(醫師週班表!$C$5:$T$44,$CU11,CF$57),""),2,1)="(",LEFT(IFERROR(INDEX(醫師週班表!$C$5:$T$44,$CU11,CF$57),""),1),IFERROR(INDEX(醫師週班表!$C$5:$T$44,$CU11,CF$57),"")))))))</f>
        <v/>
      </c>
      <c r="CG11" s="72">
        <f>IF(CG$59="X","",IF(CG$59&lt;&gt;"",CG$59,IF(IFERROR(INDEX(醫師週班表!$C$5:$T$44,$CU11,CG$57),"")=0,"",IF(MID(IFERROR(INDEX(醫師週班表!$C$5:$T$44,$CU11,CG$57),""),2,1)="/",MID(IFERROR(INDEX(醫師週班表!$C$5:$T$44,$CU11,CG$57),""),1+CG$58*2,1),IF(MID(IFERROR(INDEX(醫師週班表!$C$5:$T$44,$CU11,CG$57),""),3,1)="隔",IF(CG$58=0,LEFT(IFERROR(INDEX(醫師週班表!$C$5:$T$44,$CU11,CG$57),""),1),""),IF(MID(IFERROR(INDEX(醫師週班表!$C$5:$T$44,$CU11,CG$57),""),2,1)="(",LEFT(IFERROR(INDEX(醫師週班表!$C$5:$T$44,$CU11,CG$57),""),1),IFERROR(INDEX(醫師週班表!$C$5:$T$44,$CU11,CG$57),"")))))))</f>
        <v/>
      </c>
      <c r="CH11" s="71">
        <f>IF(CH$59="X","",IF(CH$59&lt;&gt;"",CH$59,IF(IFERROR(INDEX(醫師週班表!$C$5:$T$44,$CU11,CH$57),"")=0,"",IF(MID(IFERROR(INDEX(醫師週班表!$C$5:$T$44,$CU11,CH$57),""),2,1)="/",MID(IFERROR(INDEX(醫師週班表!$C$5:$T$44,$CU11,CH$57),""),1+CH$58*2,1),IF(MID(IFERROR(INDEX(醫師週班表!$C$5:$T$44,$CU11,CH$57),""),3,1)="隔",IF(CH$58=0,LEFT(IFERROR(INDEX(醫師週班表!$C$5:$T$44,$CU11,CH$57),""),1),""),IF(MID(IFERROR(INDEX(醫師週班表!$C$5:$T$44,$CU11,CH$57),""),2,1)="(",LEFT(IFERROR(INDEX(醫師週班表!$C$5:$T$44,$CU11,CH$57),""),1),IFERROR(INDEX(醫師週班表!$C$5:$T$44,$CU11,CH$57),"")))))))</f>
        <v/>
      </c>
      <c r="CI11" s="72">
        <f>IF(CI$59="X","",IF(CI$59&lt;&gt;"",CI$59,IF(IFERROR(INDEX(醫師週班表!$C$5:$T$44,$CU11,CI$57),"")=0,"",IF(MID(IFERROR(INDEX(醫師週班表!$C$5:$T$44,$CU11,CI$57),""),2,1)="/",MID(IFERROR(INDEX(醫師週班表!$C$5:$T$44,$CU11,CI$57),""),1+CI$58*2,1),IF(MID(IFERROR(INDEX(醫師週班表!$C$5:$T$44,$CU11,CI$57),""),3,1)="隔",IF(CI$58=0,LEFT(IFERROR(INDEX(醫師週班表!$C$5:$T$44,$CU11,CI$57),""),1),""),IF(MID(IFERROR(INDEX(醫師週班表!$C$5:$T$44,$CU11,CI$57),""),2,1)="(",LEFT(IFERROR(INDEX(醫師週班表!$C$5:$T$44,$CU11,CI$57),""),1),IFERROR(INDEX(醫師週班表!$C$5:$T$44,$CU11,CI$57),"")))))))</f>
        <v/>
      </c>
      <c r="CJ11" s="72">
        <f>IF(CJ$59="X","",IF(CJ$59&lt;&gt;"",CJ$59,IF(IFERROR(INDEX(醫師週班表!$C$5:$T$44,$CU11,CJ$57),"")=0,"",IF(MID(IFERROR(INDEX(醫師週班表!$C$5:$T$44,$CU11,CJ$57),""),2,1)="/",MID(IFERROR(INDEX(醫師週班表!$C$5:$T$44,$CU11,CJ$57),""),1+CJ$58*2,1),IF(MID(IFERROR(INDEX(醫師週班表!$C$5:$T$44,$CU11,CJ$57),""),3,1)="隔",IF(CJ$58=0,LEFT(IFERROR(INDEX(醫師週班表!$C$5:$T$44,$CU11,CJ$57),""),1),""),IF(MID(IFERROR(INDEX(醫師週班表!$C$5:$T$44,$CU11,CJ$57),""),2,1)="(",LEFT(IFERROR(INDEX(醫師週班表!$C$5:$T$44,$CU11,CJ$57),""),1),IFERROR(INDEX(醫師週班表!$C$5:$T$44,$CU11,CJ$57),"")))))))</f>
        <v/>
      </c>
      <c r="CK11" s="71">
        <f>IF(CK$59="X","",IF(CK$59&lt;&gt;"",CK$59,IF(IFERROR(INDEX(醫師週班表!$C$5:$T$44,$CU11,CK$57),"")=0,"",IF(MID(IFERROR(INDEX(醫師週班表!$C$5:$T$44,$CU11,CK$57),""),2,1)="/",MID(IFERROR(INDEX(醫師週班表!$C$5:$T$44,$CU11,CK$57),""),1+CK$58*2,1),IF(MID(IFERROR(INDEX(醫師週班表!$C$5:$T$44,$CU11,CK$57),""),3,1)="隔",IF(CK$58=0,LEFT(IFERROR(INDEX(醫師週班表!$C$5:$T$44,$CU11,CK$57),""),1),""),IF(MID(IFERROR(INDEX(醫師週班表!$C$5:$T$44,$CU11,CK$57),""),2,1)="(",LEFT(IFERROR(INDEX(醫師週班表!$C$5:$T$44,$CU11,CK$57),""),1),IFERROR(INDEX(醫師週班表!$C$5:$T$44,$CU11,CK$57),"")))))))</f>
        <v/>
      </c>
      <c r="CL11" s="72">
        <f>IF(CL$59="X","",IF(CL$59&lt;&gt;"",CL$59,IF(IFERROR(INDEX(醫師週班表!$C$5:$T$44,$CU11,CL$57),"")=0,"",IF(MID(IFERROR(INDEX(醫師週班表!$C$5:$T$44,$CU11,CL$57),""),2,1)="/",MID(IFERROR(INDEX(醫師週班表!$C$5:$T$44,$CU11,CL$57),""),1+CL$58*2,1),IF(MID(IFERROR(INDEX(醫師週班表!$C$5:$T$44,$CU11,CL$57),""),3,1)="隔",IF(CL$58=0,LEFT(IFERROR(INDEX(醫師週班表!$C$5:$T$44,$CU11,CL$57),""),1),""),IF(MID(IFERROR(INDEX(醫師週班表!$C$5:$T$44,$CU11,CL$57),""),2,1)="(",LEFT(IFERROR(INDEX(醫師週班表!$C$5:$T$44,$CU11,CL$57),""),1),IFERROR(INDEX(醫師週班表!$C$5:$T$44,$CU11,CL$57),"")))))))</f>
        <v/>
      </c>
      <c r="CM11" s="72">
        <f>IF(CM$59="X","",IF(CM$59&lt;&gt;"",CM$59,IF(IFERROR(INDEX(醫師週班表!$C$5:$T$44,$CU11,CM$57),"")=0,"",IF(MID(IFERROR(INDEX(醫師週班表!$C$5:$T$44,$CU11,CM$57),""),2,1)="/",MID(IFERROR(INDEX(醫師週班表!$C$5:$T$44,$CU11,CM$57),""),1+CM$58*2,1),IF(MID(IFERROR(INDEX(醫師週班表!$C$5:$T$44,$CU11,CM$57),""),3,1)="隔",IF(CM$58=0,LEFT(IFERROR(INDEX(醫師週班表!$C$5:$T$44,$CU11,CM$57),""),1),""),IF(MID(IFERROR(INDEX(醫師週班表!$C$5:$T$44,$CU11,CM$57),""),2,1)="(",LEFT(IFERROR(INDEX(醫師週班表!$C$5:$T$44,$CU11,CM$57),""),1),IFERROR(INDEX(醫師週班表!$C$5:$T$44,$CU11,CM$57),"")))))))</f>
        <v/>
      </c>
      <c r="CN11" s="71">
        <f>IF(CN$59="X","",IF(CN$59&lt;&gt;"",CN$59,IF(IFERROR(INDEX(醫師週班表!$C$5:$T$44,$CU11,CN$57),"")=0,"",IF(MID(IFERROR(INDEX(醫師週班表!$C$5:$T$44,$CU11,CN$57),""),2,1)="/",MID(IFERROR(INDEX(醫師週班表!$C$5:$T$44,$CU11,CN$57),""),1+CN$58*2,1),IF(MID(IFERROR(INDEX(醫師週班表!$C$5:$T$44,$CU11,CN$57),""),3,1)="隔",IF(CN$58=0,LEFT(IFERROR(INDEX(醫師週班表!$C$5:$T$44,$CU11,CN$57),""),1),""),IF(MID(IFERROR(INDEX(醫師週班表!$C$5:$T$44,$CU11,CN$57),""),2,1)="(",LEFT(IFERROR(INDEX(醫師週班表!$C$5:$T$44,$CU11,CN$57),""),1),IFERROR(INDEX(醫師週班表!$C$5:$T$44,$CU11,CN$57),"")))))))</f>
        <v/>
      </c>
      <c r="CO11" s="72">
        <f>IF(CO$59="X","",IF(CO$59&lt;&gt;"",CO$59,IF(IFERROR(INDEX(醫師週班表!$C$5:$T$44,$CU11,CO$57),"")=0,"",IF(MID(IFERROR(INDEX(醫師週班表!$C$5:$T$44,$CU11,CO$57),""),2,1)="/",MID(IFERROR(INDEX(醫師週班表!$C$5:$T$44,$CU11,CO$57),""),1+CO$58*2,1),IF(MID(IFERROR(INDEX(醫師週班表!$C$5:$T$44,$CU11,CO$57),""),3,1)="隔",IF(CO$58=0,LEFT(IFERROR(INDEX(醫師週班表!$C$5:$T$44,$CU11,CO$57),""),1),""),IF(MID(IFERROR(INDEX(醫師週班表!$C$5:$T$44,$CU11,CO$57),""),2,1)="(",LEFT(IFERROR(INDEX(醫師週班表!$C$5:$T$44,$CU11,CO$57),""),1),IFERROR(INDEX(醫師週班表!$C$5:$T$44,$CU11,CO$57),"")))))))</f>
        <v/>
      </c>
      <c r="CP11" s="72">
        <f>IF(CP$59="X","",IF(CP$59&lt;&gt;"",CP$59,IF(IFERROR(INDEX(醫師週班表!$C$5:$T$44,$CU11,CP$57),"")=0,"",IF(MID(IFERROR(INDEX(醫師週班表!$C$5:$T$44,$CU11,CP$57),""),2,1)="/",MID(IFERROR(INDEX(醫師週班表!$C$5:$T$44,$CU11,CP$57),""),1+CP$58*2,1),IF(MID(IFERROR(INDEX(醫師週班表!$C$5:$T$44,$CU11,CP$57),""),3,1)="隔",IF(CP$58=0,LEFT(IFERROR(INDEX(醫師週班表!$C$5:$T$44,$CU11,CP$57),""),1),""),IF(MID(IFERROR(INDEX(醫師週班表!$C$5:$T$44,$CU11,CP$57),""),2,1)="(",LEFT(IFERROR(INDEX(醫師週班表!$C$5:$T$44,$CU11,CP$57),""),1),IFERROR(INDEX(醫師週班表!$C$5:$T$44,$CU11,CP$57),"")))))))</f>
        <v/>
      </c>
      <c r="CQ11" s="71">
        <f>IF(CQ$59="X","",IF(CQ$59&lt;&gt;"",CQ$59,IF(IFERROR(INDEX(醫師週班表!$C$5:$T$44,$CU11,CQ$57),"")=0,"",IF(MID(IFERROR(INDEX(醫師週班表!$C$5:$T$44,$CU11,CQ$57),""),2,1)="/",MID(IFERROR(INDEX(醫師週班表!$C$5:$T$44,$CU11,CQ$57),""),1+CQ$58*2,1),IF(MID(IFERROR(INDEX(醫師週班表!$C$5:$T$44,$CU11,CQ$57),""),3,1)="隔",IF(CQ$58=0,LEFT(IFERROR(INDEX(醫師週班表!$C$5:$T$44,$CU11,CQ$57),""),1),""),IF(MID(IFERROR(INDEX(醫師週班表!$C$5:$T$44,$CU11,CQ$57),""),2,1)="(",LEFT(IFERROR(INDEX(醫師週班表!$C$5:$T$44,$CU11,CQ$57),""),1),IFERROR(INDEX(醫師週班表!$C$5:$T$44,$CU11,CQ$57),"")))))))</f>
        <v/>
      </c>
      <c r="CR11" s="72">
        <f>IF(CR$59="X","",IF(CR$59&lt;&gt;"",CR$59,IF(IFERROR(INDEX(醫師週班表!$C$5:$T$44,$CU11,CR$57),"")=0,"",IF(MID(IFERROR(INDEX(醫師週班表!$C$5:$T$44,$CU11,CR$57),""),2,1)="/",MID(IFERROR(INDEX(醫師週班表!$C$5:$T$44,$CU11,CR$57),""),1+CR$58*2,1),IF(MID(IFERROR(INDEX(醫師週班表!$C$5:$T$44,$CU11,CR$57),""),3,1)="隔",IF(CR$58=0,LEFT(IFERROR(INDEX(醫師週班表!$C$5:$T$44,$CU11,CR$57),""),1),""),IF(MID(IFERROR(INDEX(醫師週班表!$C$5:$T$44,$CU11,CR$57),""),2,1)="(",LEFT(IFERROR(INDEX(醫師週班表!$C$5:$T$44,$CU11,CR$57),""),1),IFERROR(INDEX(醫師週班表!$C$5:$T$44,$CU11,CR$57),"")))))))</f>
        <v/>
      </c>
      <c r="CS11" s="72">
        <f>IF(CS$59="X","",IF(CS$59&lt;&gt;"",CS$59,IF(IFERROR(INDEX(醫師週班表!$C$5:$T$44,$CU11,CS$57),"")=0,"",IF(MID(IFERROR(INDEX(醫師週班表!$C$5:$T$44,$CU11,CS$57),""),2,1)="/",MID(IFERROR(INDEX(醫師週班表!$C$5:$T$44,$CU11,CS$57),""),1+CS$58*2,1),IF(MID(IFERROR(INDEX(醫師週班表!$C$5:$T$44,$CU11,CS$57),""),3,1)="隔",IF(CS$58=0,LEFT(IFERROR(INDEX(醫師週班表!$C$5:$T$44,$CU11,CS$57),""),1),""),IF(MID(IFERROR(INDEX(醫師週班表!$C$5:$T$44,$CU11,CS$57),""),2,1)="(",LEFT(IFERROR(INDEX(醫師週班表!$C$5:$T$44,$CU11,CS$57),""),1),IFERROR(INDEX(醫師週班表!$C$5:$T$44,$CU11,CS$57),"")))))))</f>
        <v/>
      </c>
      <c r="CU11" s="73">
        <f>IFERROR(MATCH($A11,醫師週班表!$A$5:$A$44,0),0)</f>
        <v/>
      </c>
    </row>
    <row r="12" ht="17" customHeight="1">
      <c r="A12" s="19" t="inlineStr">
        <is>
          <t>D007</t>
        </is>
      </c>
      <c r="B12" s="16" t="inlineStr">
        <is>
          <t>温翊君</t>
        </is>
      </c>
      <c r="C12" s="70" t="inlineStr">
        <is>
          <t>根管治療專科</t>
        </is>
      </c>
      <c r="D12" s="16" t="inlineStr"/>
      <c r="E12" s="71">
        <f>IF(E$59="X","",IF(E$59&lt;&gt;"",E$59,IF(IFERROR(INDEX(醫師週班表!$C$5:$T$44,$CU12,E$57),"")=0,"",IF(MID(IFERROR(INDEX(醫師週班表!$C$5:$T$44,$CU12,E$57),""),2,1)="/",MID(IFERROR(INDEX(醫師週班表!$C$5:$T$44,$CU12,E$57),""),1+E$58*2,1),IF(MID(IFERROR(INDEX(醫師週班表!$C$5:$T$44,$CU12,E$57),""),3,1)="隔",IF(E$58=0,LEFT(IFERROR(INDEX(醫師週班表!$C$5:$T$44,$CU12,E$57),""),1),""),IF(MID(IFERROR(INDEX(醫師週班表!$C$5:$T$44,$CU12,E$57),""),2,1)="(",LEFT(IFERROR(INDEX(醫師週班表!$C$5:$T$44,$CU12,E$57),""),1),IFERROR(INDEX(醫師週班表!$C$5:$T$44,$CU12,E$57),"")))))))</f>
        <v/>
      </c>
      <c r="F12" s="72">
        <f>IF(F$59="X","",IF(F$59&lt;&gt;"",F$59,IF(IFERROR(INDEX(醫師週班表!$C$5:$T$44,$CU12,F$57),"")=0,"",IF(MID(IFERROR(INDEX(醫師週班表!$C$5:$T$44,$CU12,F$57),""),2,1)="/",MID(IFERROR(INDEX(醫師週班表!$C$5:$T$44,$CU12,F$57),""),1+F$58*2,1),IF(MID(IFERROR(INDEX(醫師週班表!$C$5:$T$44,$CU12,F$57),""),3,1)="隔",IF(F$58=0,LEFT(IFERROR(INDEX(醫師週班表!$C$5:$T$44,$CU12,F$57),""),1),""),IF(MID(IFERROR(INDEX(醫師週班表!$C$5:$T$44,$CU12,F$57),""),2,1)="(",LEFT(IFERROR(INDEX(醫師週班表!$C$5:$T$44,$CU12,F$57),""),1),IFERROR(INDEX(醫師週班表!$C$5:$T$44,$CU12,F$57),"")))))))</f>
        <v/>
      </c>
      <c r="G12" s="72">
        <f>IF(G$59="X","",IF(G$59&lt;&gt;"",G$59,IF(IFERROR(INDEX(醫師週班表!$C$5:$T$44,$CU12,G$57),"")=0,"",IF(MID(IFERROR(INDEX(醫師週班表!$C$5:$T$44,$CU12,G$57),""),2,1)="/",MID(IFERROR(INDEX(醫師週班表!$C$5:$T$44,$CU12,G$57),""),1+G$58*2,1),IF(MID(IFERROR(INDEX(醫師週班表!$C$5:$T$44,$CU12,G$57),""),3,1)="隔",IF(G$58=0,LEFT(IFERROR(INDEX(醫師週班表!$C$5:$T$44,$CU12,G$57),""),1),""),IF(MID(IFERROR(INDEX(醫師週班表!$C$5:$T$44,$CU12,G$57),""),2,1)="(",LEFT(IFERROR(INDEX(醫師週班表!$C$5:$T$44,$CU12,G$57),""),1),IFERROR(INDEX(醫師週班表!$C$5:$T$44,$CU12,G$57),"")))))))</f>
        <v/>
      </c>
      <c r="H12" s="71">
        <f>IF(H$59="X","",IF(H$59&lt;&gt;"",H$59,IF(IFERROR(INDEX(醫師週班表!$C$5:$T$44,$CU12,H$57),"")=0,"",IF(MID(IFERROR(INDEX(醫師週班表!$C$5:$T$44,$CU12,H$57),""),2,1)="/",MID(IFERROR(INDEX(醫師週班表!$C$5:$T$44,$CU12,H$57),""),1+H$58*2,1),IF(MID(IFERROR(INDEX(醫師週班表!$C$5:$T$44,$CU12,H$57),""),3,1)="隔",IF(H$58=0,LEFT(IFERROR(INDEX(醫師週班表!$C$5:$T$44,$CU12,H$57),""),1),""),IF(MID(IFERROR(INDEX(醫師週班表!$C$5:$T$44,$CU12,H$57),""),2,1)="(",LEFT(IFERROR(INDEX(醫師週班表!$C$5:$T$44,$CU12,H$57),""),1),IFERROR(INDEX(醫師週班表!$C$5:$T$44,$CU12,H$57),"")))))))</f>
        <v/>
      </c>
      <c r="I12" s="72">
        <f>IF(I$59="X","",IF(I$59&lt;&gt;"",I$59,IF(IFERROR(INDEX(醫師週班表!$C$5:$T$44,$CU12,I$57),"")=0,"",IF(MID(IFERROR(INDEX(醫師週班表!$C$5:$T$44,$CU12,I$57),""),2,1)="/",MID(IFERROR(INDEX(醫師週班表!$C$5:$T$44,$CU12,I$57),""),1+I$58*2,1),IF(MID(IFERROR(INDEX(醫師週班表!$C$5:$T$44,$CU12,I$57),""),3,1)="隔",IF(I$58=0,LEFT(IFERROR(INDEX(醫師週班表!$C$5:$T$44,$CU12,I$57),""),1),""),IF(MID(IFERROR(INDEX(醫師週班表!$C$5:$T$44,$CU12,I$57),""),2,1)="(",LEFT(IFERROR(INDEX(醫師週班表!$C$5:$T$44,$CU12,I$57),""),1),IFERROR(INDEX(醫師週班表!$C$5:$T$44,$CU12,I$57),"")))))))</f>
        <v/>
      </c>
      <c r="J12" s="72">
        <f>IF(J$59="X","",IF(J$59&lt;&gt;"",J$59,IF(IFERROR(INDEX(醫師週班表!$C$5:$T$44,$CU12,J$57),"")=0,"",IF(MID(IFERROR(INDEX(醫師週班表!$C$5:$T$44,$CU12,J$57),""),2,1)="/",MID(IFERROR(INDEX(醫師週班表!$C$5:$T$44,$CU12,J$57),""),1+J$58*2,1),IF(MID(IFERROR(INDEX(醫師週班表!$C$5:$T$44,$CU12,J$57),""),3,1)="隔",IF(J$58=0,LEFT(IFERROR(INDEX(醫師週班表!$C$5:$T$44,$CU12,J$57),""),1),""),IF(MID(IFERROR(INDEX(醫師週班表!$C$5:$T$44,$CU12,J$57),""),2,1)="(",LEFT(IFERROR(INDEX(醫師週班表!$C$5:$T$44,$CU12,J$57),""),1),IFERROR(INDEX(醫師週班表!$C$5:$T$44,$CU12,J$57),"")))))))</f>
        <v/>
      </c>
      <c r="K12" s="71">
        <f>IF(K$59="X","",IF(K$59&lt;&gt;"",K$59,IF(IFERROR(INDEX(醫師週班表!$C$5:$T$44,$CU12,K$57),"")=0,"",IF(MID(IFERROR(INDEX(醫師週班表!$C$5:$T$44,$CU12,K$57),""),2,1)="/",MID(IFERROR(INDEX(醫師週班表!$C$5:$T$44,$CU12,K$57),""),1+K$58*2,1),IF(MID(IFERROR(INDEX(醫師週班表!$C$5:$T$44,$CU12,K$57),""),3,1)="隔",IF(K$58=0,LEFT(IFERROR(INDEX(醫師週班表!$C$5:$T$44,$CU12,K$57),""),1),""),IF(MID(IFERROR(INDEX(醫師週班表!$C$5:$T$44,$CU12,K$57),""),2,1)="(",LEFT(IFERROR(INDEX(醫師週班表!$C$5:$T$44,$CU12,K$57),""),1),IFERROR(INDEX(醫師週班表!$C$5:$T$44,$CU12,K$57),"")))))))</f>
        <v/>
      </c>
      <c r="L12" s="72">
        <f>IF(L$59="X","",IF(L$59&lt;&gt;"",L$59,IF(IFERROR(INDEX(醫師週班表!$C$5:$T$44,$CU12,L$57),"")=0,"",IF(MID(IFERROR(INDEX(醫師週班表!$C$5:$T$44,$CU12,L$57),""),2,1)="/",MID(IFERROR(INDEX(醫師週班表!$C$5:$T$44,$CU12,L$57),""),1+L$58*2,1),IF(MID(IFERROR(INDEX(醫師週班表!$C$5:$T$44,$CU12,L$57),""),3,1)="隔",IF(L$58=0,LEFT(IFERROR(INDEX(醫師週班表!$C$5:$T$44,$CU12,L$57),""),1),""),IF(MID(IFERROR(INDEX(醫師週班表!$C$5:$T$44,$CU12,L$57),""),2,1)="(",LEFT(IFERROR(INDEX(醫師週班表!$C$5:$T$44,$CU12,L$57),""),1),IFERROR(INDEX(醫師週班表!$C$5:$T$44,$CU12,L$57),"")))))))</f>
        <v/>
      </c>
      <c r="M12" s="72">
        <f>IF(M$59="X","",IF(M$59&lt;&gt;"",M$59,IF(IFERROR(INDEX(醫師週班表!$C$5:$T$44,$CU12,M$57),"")=0,"",IF(MID(IFERROR(INDEX(醫師週班表!$C$5:$T$44,$CU12,M$57),""),2,1)="/",MID(IFERROR(INDEX(醫師週班表!$C$5:$T$44,$CU12,M$57),""),1+M$58*2,1),IF(MID(IFERROR(INDEX(醫師週班表!$C$5:$T$44,$CU12,M$57),""),3,1)="隔",IF(M$58=0,LEFT(IFERROR(INDEX(醫師週班表!$C$5:$T$44,$CU12,M$57),""),1),""),IF(MID(IFERROR(INDEX(醫師週班表!$C$5:$T$44,$CU12,M$57),""),2,1)="(",LEFT(IFERROR(INDEX(醫師週班表!$C$5:$T$44,$CU12,M$57),""),1),IFERROR(INDEX(醫師週班表!$C$5:$T$44,$CU12,M$57),"")))))))</f>
        <v/>
      </c>
      <c r="N12" s="71">
        <f>IF(N$59="X","",IF(N$59&lt;&gt;"",N$59,IF(IFERROR(INDEX(醫師週班表!$C$5:$T$44,$CU12,N$57),"")=0,"",IF(MID(IFERROR(INDEX(醫師週班表!$C$5:$T$44,$CU12,N$57),""),2,1)="/",MID(IFERROR(INDEX(醫師週班表!$C$5:$T$44,$CU12,N$57),""),1+N$58*2,1),IF(MID(IFERROR(INDEX(醫師週班表!$C$5:$T$44,$CU12,N$57),""),3,1)="隔",IF(N$58=0,LEFT(IFERROR(INDEX(醫師週班表!$C$5:$T$44,$CU12,N$57),""),1),""),IF(MID(IFERROR(INDEX(醫師週班表!$C$5:$T$44,$CU12,N$57),""),2,1)="(",LEFT(IFERROR(INDEX(醫師週班表!$C$5:$T$44,$CU12,N$57),""),1),IFERROR(INDEX(醫師週班表!$C$5:$T$44,$CU12,N$57),"")))))))</f>
        <v/>
      </c>
      <c r="O12" s="72">
        <f>IF(O$59="X","",IF(O$59&lt;&gt;"",O$59,IF(IFERROR(INDEX(醫師週班表!$C$5:$T$44,$CU12,O$57),"")=0,"",IF(MID(IFERROR(INDEX(醫師週班表!$C$5:$T$44,$CU12,O$57),""),2,1)="/",MID(IFERROR(INDEX(醫師週班表!$C$5:$T$44,$CU12,O$57),""),1+O$58*2,1),IF(MID(IFERROR(INDEX(醫師週班表!$C$5:$T$44,$CU12,O$57),""),3,1)="隔",IF(O$58=0,LEFT(IFERROR(INDEX(醫師週班表!$C$5:$T$44,$CU12,O$57),""),1),""),IF(MID(IFERROR(INDEX(醫師週班表!$C$5:$T$44,$CU12,O$57),""),2,1)="(",LEFT(IFERROR(INDEX(醫師週班表!$C$5:$T$44,$CU12,O$57),""),1),IFERROR(INDEX(醫師週班表!$C$5:$T$44,$CU12,O$57),"")))))))</f>
        <v/>
      </c>
      <c r="P12" s="72">
        <f>IF(P$59="X","",IF(P$59&lt;&gt;"",P$59,IF(IFERROR(INDEX(醫師週班表!$C$5:$T$44,$CU12,P$57),"")=0,"",IF(MID(IFERROR(INDEX(醫師週班表!$C$5:$T$44,$CU12,P$57),""),2,1)="/",MID(IFERROR(INDEX(醫師週班表!$C$5:$T$44,$CU12,P$57),""),1+P$58*2,1),IF(MID(IFERROR(INDEX(醫師週班表!$C$5:$T$44,$CU12,P$57),""),3,1)="隔",IF(P$58=0,LEFT(IFERROR(INDEX(醫師週班表!$C$5:$T$44,$CU12,P$57),""),1),""),IF(MID(IFERROR(INDEX(醫師週班表!$C$5:$T$44,$CU12,P$57),""),2,1)="(",LEFT(IFERROR(INDEX(醫師週班表!$C$5:$T$44,$CU12,P$57),""),1),IFERROR(INDEX(醫師週班表!$C$5:$T$44,$CU12,P$57),"")))))))</f>
        <v/>
      </c>
      <c r="Q12" s="71">
        <f>IF(Q$59="X","",IF(Q$59&lt;&gt;"",Q$59,IF(IFERROR(INDEX(醫師週班表!$C$5:$T$44,$CU12,Q$57),"")=0,"",IF(MID(IFERROR(INDEX(醫師週班表!$C$5:$T$44,$CU12,Q$57),""),2,1)="/",MID(IFERROR(INDEX(醫師週班表!$C$5:$T$44,$CU12,Q$57),""),1+Q$58*2,1),IF(MID(IFERROR(INDEX(醫師週班表!$C$5:$T$44,$CU12,Q$57),""),3,1)="隔",IF(Q$58=0,LEFT(IFERROR(INDEX(醫師週班表!$C$5:$T$44,$CU12,Q$57),""),1),""),IF(MID(IFERROR(INDEX(醫師週班表!$C$5:$T$44,$CU12,Q$57),""),2,1)="(",LEFT(IFERROR(INDEX(醫師週班表!$C$5:$T$44,$CU12,Q$57),""),1),IFERROR(INDEX(醫師週班表!$C$5:$T$44,$CU12,Q$57),"")))))))</f>
        <v/>
      </c>
      <c r="R12" s="72">
        <f>IF(R$59="X","",IF(R$59&lt;&gt;"",R$59,IF(IFERROR(INDEX(醫師週班表!$C$5:$T$44,$CU12,R$57),"")=0,"",IF(MID(IFERROR(INDEX(醫師週班表!$C$5:$T$44,$CU12,R$57),""),2,1)="/",MID(IFERROR(INDEX(醫師週班表!$C$5:$T$44,$CU12,R$57),""),1+R$58*2,1),IF(MID(IFERROR(INDEX(醫師週班表!$C$5:$T$44,$CU12,R$57),""),3,1)="隔",IF(R$58=0,LEFT(IFERROR(INDEX(醫師週班表!$C$5:$T$44,$CU12,R$57),""),1),""),IF(MID(IFERROR(INDEX(醫師週班表!$C$5:$T$44,$CU12,R$57),""),2,1)="(",LEFT(IFERROR(INDEX(醫師週班表!$C$5:$T$44,$CU12,R$57),""),1),IFERROR(INDEX(醫師週班表!$C$5:$T$44,$CU12,R$57),"")))))))</f>
        <v/>
      </c>
      <c r="S12" s="72">
        <f>IF(S$59="X","",IF(S$59&lt;&gt;"",S$59,IF(IFERROR(INDEX(醫師週班表!$C$5:$T$44,$CU12,S$57),"")=0,"",IF(MID(IFERROR(INDEX(醫師週班表!$C$5:$T$44,$CU12,S$57),""),2,1)="/",MID(IFERROR(INDEX(醫師週班表!$C$5:$T$44,$CU12,S$57),""),1+S$58*2,1),IF(MID(IFERROR(INDEX(醫師週班表!$C$5:$T$44,$CU12,S$57),""),3,1)="隔",IF(S$58=0,LEFT(IFERROR(INDEX(醫師週班表!$C$5:$T$44,$CU12,S$57),""),1),""),IF(MID(IFERROR(INDEX(醫師週班表!$C$5:$T$44,$CU12,S$57),""),2,1)="(",LEFT(IFERROR(INDEX(醫師週班表!$C$5:$T$44,$CU12,S$57),""),1),IFERROR(INDEX(醫師週班表!$C$5:$T$44,$CU12,S$57),"")))))))</f>
        <v/>
      </c>
      <c r="T12" s="71">
        <f>IF(T$59="X","",IF(T$59&lt;&gt;"",T$59,IF(IFERROR(INDEX(醫師週班表!$C$5:$T$44,$CU12,T$57),"")=0,"",IF(MID(IFERROR(INDEX(醫師週班表!$C$5:$T$44,$CU12,T$57),""),2,1)="/",MID(IFERROR(INDEX(醫師週班表!$C$5:$T$44,$CU12,T$57),""),1+T$58*2,1),IF(MID(IFERROR(INDEX(醫師週班表!$C$5:$T$44,$CU12,T$57),""),3,1)="隔",IF(T$58=0,LEFT(IFERROR(INDEX(醫師週班表!$C$5:$T$44,$CU12,T$57),""),1),""),IF(MID(IFERROR(INDEX(醫師週班表!$C$5:$T$44,$CU12,T$57),""),2,1)="(",LEFT(IFERROR(INDEX(醫師週班表!$C$5:$T$44,$CU12,T$57),""),1),IFERROR(INDEX(醫師週班表!$C$5:$T$44,$CU12,T$57),"")))))))</f>
        <v/>
      </c>
      <c r="U12" s="72">
        <f>IF(U$59="X","",IF(U$59&lt;&gt;"",U$59,IF(IFERROR(INDEX(醫師週班表!$C$5:$T$44,$CU12,U$57),"")=0,"",IF(MID(IFERROR(INDEX(醫師週班表!$C$5:$T$44,$CU12,U$57),""),2,1)="/",MID(IFERROR(INDEX(醫師週班表!$C$5:$T$44,$CU12,U$57),""),1+U$58*2,1),IF(MID(IFERROR(INDEX(醫師週班表!$C$5:$T$44,$CU12,U$57),""),3,1)="隔",IF(U$58=0,LEFT(IFERROR(INDEX(醫師週班表!$C$5:$T$44,$CU12,U$57),""),1),""),IF(MID(IFERROR(INDEX(醫師週班表!$C$5:$T$44,$CU12,U$57),""),2,1)="(",LEFT(IFERROR(INDEX(醫師週班表!$C$5:$T$44,$CU12,U$57),""),1),IFERROR(INDEX(醫師週班表!$C$5:$T$44,$CU12,U$57),"")))))))</f>
        <v/>
      </c>
      <c r="V12" s="72">
        <f>IF(V$59="X","",IF(V$59&lt;&gt;"",V$59,IF(IFERROR(INDEX(醫師週班表!$C$5:$T$44,$CU12,V$57),"")=0,"",IF(MID(IFERROR(INDEX(醫師週班表!$C$5:$T$44,$CU12,V$57),""),2,1)="/",MID(IFERROR(INDEX(醫師週班表!$C$5:$T$44,$CU12,V$57),""),1+V$58*2,1),IF(MID(IFERROR(INDEX(醫師週班表!$C$5:$T$44,$CU12,V$57),""),3,1)="隔",IF(V$58=0,LEFT(IFERROR(INDEX(醫師週班表!$C$5:$T$44,$CU12,V$57),""),1),""),IF(MID(IFERROR(INDEX(醫師週班表!$C$5:$T$44,$CU12,V$57),""),2,1)="(",LEFT(IFERROR(INDEX(醫師週班表!$C$5:$T$44,$CU12,V$57),""),1),IFERROR(INDEX(醫師週班表!$C$5:$T$44,$CU12,V$57),"")))))))</f>
        <v/>
      </c>
      <c r="W12" s="71">
        <f>IF(W$59="X","",IF(W$59&lt;&gt;"",W$59,IF(IFERROR(INDEX(醫師週班表!$C$5:$T$44,$CU12,W$57),"")=0,"",IF(MID(IFERROR(INDEX(醫師週班表!$C$5:$T$44,$CU12,W$57),""),2,1)="/",MID(IFERROR(INDEX(醫師週班表!$C$5:$T$44,$CU12,W$57),""),1+W$58*2,1),IF(MID(IFERROR(INDEX(醫師週班表!$C$5:$T$44,$CU12,W$57),""),3,1)="隔",IF(W$58=0,LEFT(IFERROR(INDEX(醫師週班表!$C$5:$T$44,$CU12,W$57),""),1),""),IF(MID(IFERROR(INDEX(醫師週班表!$C$5:$T$44,$CU12,W$57),""),2,1)="(",LEFT(IFERROR(INDEX(醫師週班表!$C$5:$T$44,$CU12,W$57),""),1),IFERROR(INDEX(醫師週班表!$C$5:$T$44,$CU12,W$57),"")))))))</f>
        <v/>
      </c>
      <c r="X12" s="72">
        <f>IF(X$59="X","",IF(X$59&lt;&gt;"",X$59,IF(IFERROR(INDEX(醫師週班表!$C$5:$T$44,$CU12,X$57),"")=0,"",IF(MID(IFERROR(INDEX(醫師週班表!$C$5:$T$44,$CU12,X$57),""),2,1)="/",MID(IFERROR(INDEX(醫師週班表!$C$5:$T$44,$CU12,X$57),""),1+X$58*2,1),IF(MID(IFERROR(INDEX(醫師週班表!$C$5:$T$44,$CU12,X$57),""),3,1)="隔",IF(X$58=0,LEFT(IFERROR(INDEX(醫師週班表!$C$5:$T$44,$CU12,X$57),""),1),""),IF(MID(IFERROR(INDEX(醫師週班表!$C$5:$T$44,$CU12,X$57),""),2,1)="(",LEFT(IFERROR(INDEX(醫師週班表!$C$5:$T$44,$CU12,X$57),""),1),IFERROR(INDEX(醫師週班表!$C$5:$T$44,$CU12,X$57),"")))))))</f>
        <v/>
      </c>
      <c r="Y12" s="72">
        <f>IF(Y$59="X","",IF(Y$59&lt;&gt;"",Y$59,IF(IFERROR(INDEX(醫師週班表!$C$5:$T$44,$CU12,Y$57),"")=0,"",IF(MID(IFERROR(INDEX(醫師週班表!$C$5:$T$44,$CU12,Y$57),""),2,1)="/",MID(IFERROR(INDEX(醫師週班表!$C$5:$T$44,$CU12,Y$57),""),1+Y$58*2,1),IF(MID(IFERROR(INDEX(醫師週班表!$C$5:$T$44,$CU12,Y$57),""),3,1)="隔",IF(Y$58=0,LEFT(IFERROR(INDEX(醫師週班表!$C$5:$T$44,$CU12,Y$57),""),1),""),IF(MID(IFERROR(INDEX(醫師週班表!$C$5:$T$44,$CU12,Y$57),""),2,1)="(",LEFT(IFERROR(INDEX(醫師週班表!$C$5:$T$44,$CU12,Y$57),""),1),IFERROR(INDEX(醫師週班表!$C$5:$T$44,$CU12,Y$57),"")))))))</f>
        <v/>
      </c>
      <c r="Z12" s="71">
        <f>IF(Z$59="X","",IF(Z$59&lt;&gt;"",Z$59,IF(IFERROR(INDEX(醫師週班表!$C$5:$T$44,$CU12,Z$57),"")=0,"",IF(MID(IFERROR(INDEX(醫師週班表!$C$5:$T$44,$CU12,Z$57),""),2,1)="/",MID(IFERROR(INDEX(醫師週班表!$C$5:$T$44,$CU12,Z$57),""),1+Z$58*2,1),IF(MID(IFERROR(INDEX(醫師週班表!$C$5:$T$44,$CU12,Z$57),""),3,1)="隔",IF(Z$58=0,LEFT(IFERROR(INDEX(醫師週班表!$C$5:$T$44,$CU12,Z$57),""),1),""),IF(MID(IFERROR(INDEX(醫師週班表!$C$5:$T$44,$CU12,Z$57),""),2,1)="(",LEFT(IFERROR(INDEX(醫師週班表!$C$5:$T$44,$CU12,Z$57),""),1),IFERROR(INDEX(醫師週班表!$C$5:$T$44,$CU12,Z$57),"")))))))</f>
        <v/>
      </c>
      <c r="AA12" s="72">
        <f>IF(AA$59="X","",IF(AA$59&lt;&gt;"",AA$59,IF(IFERROR(INDEX(醫師週班表!$C$5:$T$44,$CU12,AA$57),"")=0,"",IF(MID(IFERROR(INDEX(醫師週班表!$C$5:$T$44,$CU12,AA$57),""),2,1)="/",MID(IFERROR(INDEX(醫師週班表!$C$5:$T$44,$CU12,AA$57),""),1+AA$58*2,1),IF(MID(IFERROR(INDEX(醫師週班表!$C$5:$T$44,$CU12,AA$57),""),3,1)="隔",IF(AA$58=0,LEFT(IFERROR(INDEX(醫師週班表!$C$5:$T$44,$CU12,AA$57),""),1),""),IF(MID(IFERROR(INDEX(醫師週班表!$C$5:$T$44,$CU12,AA$57),""),2,1)="(",LEFT(IFERROR(INDEX(醫師週班表!$C$5:$T$44,$CU12,AA$57),""),1),IFERROR(INDEX(醫師週班表!$C$5:$T$44,$CU12,AA$57),"")))))))</f>
        <v/>
      </c>
      <c r="AB12" s="72">
        <f>IF(AB$59="X","",IF(AB$59&lt;&gt;"",AB$59,IF(IFERROR(INDEX(醫師週班表!$C$5:$T$44,$CU12,AB$57),"")=0,"",IF(MID(IFERROR(INDEX(醫師週班表!$C$5:$T$44,$CU12,AB$57),""),2,1)="/",MID(IFERROR(INDEX(醫師週班表!$C$5:$T$44,$CU12,AB$57),""),1+AB$58*2,1),IF(MID(IFERROR(INDEX(醫師週班表!$C$5:$T$44,$CU12,AB$57),""),3,1)="隔",IF(AB$58=0,LEFT(IFERROR(INDEX(醫師週班表!$C$5:$T$44,$CU12,AB$57),""),1),""),IF(MID(IFERROR(INDEX(醫師週班表!$C$5:$T$44,$CU12,AB$57),""),2,1)="(",LEFT(IFERROR(INDEX(醫師週班表!$C$5:$T$44,$CU12,AB$57),""),1),IFERROR(INDEX(醫師週班表!$C$5:$T$44,$CU12,AB$57),"")))))))</f>
        <v/>
      </c>
      <c r="AC12" s="71">
        <f>IF(AC$59="X","",IF(AC$59&lt;&gt;"",AC$59,IF(IFERROR(INDEX(醫師週班表!$C$5:$T$44,$CU12,AC$57),"")=0,"",IF(MID(IFERROR(INDEX(醫師週班表!$C$5:$T$44,$CU12,AC$57),""),2,1)="/",MID(IFERROR(INDEX(醫師週班表!$C$5:$T$44,$CU12,AC$57),""),1+AC$58*2,1),IF(MID(IFERROR(INDEX(醫師週班表!$C$5:$T$44,$CU12,AC$57),""),3,1)="隔",IF(AC$58=0,LEFT(IFERROR(INDEX(醫師週班表!$C$5:$T$44,$CU12,AC$57),""),1),""),IF(MID(IFERROR(INDEX(醫師週班表!$C$5:$T$44,$CU12,AC$57),""),2,1)="(",LEFT(IFERROR(INDEX(醫師週班表!$C$5:$T$44,$CU12,AC$57),""),1),IFERROR(INDEX(醫師週班表!$C$5:$T$44,$CU12,AC$57),"")))))))</f>
        <v/>
      </c>
      <c r="AD12" s="72">
        <f>IF(AD$59="X","",IF(AD$59&lt;&gt;"",AD$59,IF(IFERROR(INDEX(醫師週班表!$C$5:$T$44,$CU12,AD$57),"")=0,"",IF(MID(IFERROR(INDEX(醫師週班表!$C$5:$T$44,$CU12,AD$57),""),2,1)="/",MID(IFERROR(INDEX(醫師週班表!$C$5:$T$44,$CU12,AD$57),""),1+AD$58*2,1),IF(MID(IFERROR(INDEX(醫師週班表!$C$5:$T$44,$CU12,AD$57),""),3,1)="隔",IF(AD$58=0,LEFT(IFERROR(INDEX(醫師週班表!$C$5:$T$44,$CU12,AD$57),""),1),""),IF(MID(IFERROR(INDEX(醫師週班表!$C$5:$T$44,$CU12,AD$57),""),2,1)="(",LEFT(IFERROR(INDEX(醫師週班表!$C$5:$T$44,$CU12,AD$57),""),1),IFERROR(INDEX(醫師週班表!$C$5:$T$44,$CU12,AD$57),"")))))))</f>
        <v/>
      </c>
      <c r="AE12" s="72">
        <f>IF(AE$59="X","",IF(AE$59&lt;&gt;"",AE$59,IF(IFERROR(INDEX(醫師週班表!$C$5:$T$44,$CU12,AE$57),"")=0,"",IF(MID(IFERROR(INDEX(醫師週班表!$C$5:$T$44,$CU12,AE$57),""),2,1)="/",MID(IFERROR(INDEX(醫師週班表!$C$5:$T$44,$CU12,AE$57),""),1+AE$58*2,1),IF(MID(IFERROR(INDEX(醫師週班表!$C$5:$T$44,$CU12,AE$57),""),3,1)="隔",IF(AE$58=0,LEFT(IFERROR(INDEX(醫師週班表!$C$5:$T$44,$CU12,AE$57),""),1),""),IF(MID(IFERROR(INDEX(醫師週班表!$C$5:$T$44,$CU12,AE$57),""),2,1)="(",LEFT(IFERROR(INDEX(醫師週班表!$C$5:$T$44,$CU12,AE$57),""),1),IFERROR(INDEX(醫師週班表!$C$5:$T$44,$CU12,AE$57),"")))))))</f>
        <v/>
      </c>
      <c r="AF12" s="71">
        <f>IF(AF$59="X","",IF(AF$59&lt;&gt;"",AF$59,IF(IFERROR(INDEX(醫師週班表!$C$5:$T$44,$CU12,AF$57),"")=0,"",IF(MID(IFERROR(INDEX(醫師週班表!$C$5:$T$44,$CU12,AF$57),""),2,1)="/",MID(IFERROR(INDEX(醫師週班表!$C$5:$T$44,$CU12,AF$57),""),1+AF$58*2,1),IF(MID(IFERROR(INDEX(醫師週班表!$C$5:$T$44,$CU12,AF$57),""),3,1)="隔",IF(AF$58=0,LEFT(IFERROR(INDEX(醫師週班表!$C$5:$T$44,$CU12,AF$57),""),1),""),IF(MID(IFERROR(INDEX(醫師週班表!$C$5:$T$44,$CU12,AF$57),""),2,1)="(",LEFT(IFERROR(INDEX(醫師週班表!$C$5:$T$44,$CU12,AF$57),""),1),IFERROR(INDEX(醫師週班表!$C$5:$T$44,$CU12,AF$57),"")))))))</f>
        <v/>
      </c>
      <c r="AG12" s="72">
        <f>IF(AG$59="X","",IF(AG$59&lt;&gt;"",AG$59,IF(IFERROR(INDEX(醫師週班表!$C$5:$T$44,$CU12,AG$57),"")=0,"",IF(MID(IFERROR(INDEX(醫師週班表!$C$5:$T$44,$CU12,AG$57),""),2,1)="/",MID(IFERROR(INDEX(醫師週班表!$C$5:$T$44,$CU12,AG$57),""),1+AG$58*2,1),IF(MID(IFERROR(INDEX(醫師週班表!$C$5:$T$44,$CU12,AG$57),""),3,1)="隔",IF(AG$58=0,LEFT(IFERROR(INDEX(醫師週班表!$C$5:$T$44,$CU12,AG$57),""),1),""),IF(MID(IFERROR(INDEX(醫師週班表!$C$5:$T$44,$CU12,AG$57),""),2,1)="(",LEFT(IFERROR(INDEX(醫師週班表!$C$5:$T$44,$CU12,AG$57),""),1),IFERROR(INDEX(醫師週班表!$C$5:$T$44,$CU12,AG$57),"")))))))</f>
        <v/>
      </c>
      <c r="AH12" s="72">
        <f>IF(AH$59="X","",IF(AH$59&lt;&gt;"",AH$59,IF(IFERROR(INDEX(醫師週班表!$C$5:$T$44,$CU12,AH$57),"")=0,"",IF(MID(IFERROR(INDEX(醫師週班表!$C$5:$T$44,$CU12,AH$57),""),2,1)="/",MID(IFERROR(INDEX(醫師週班表!$C$5:$T$44,$CU12,AH$57),""),1+AH$58*2,1),IF(MID(IFERROR(INDEX(醫師週班表!$C$5:$T$44,$CU12,AH$57),""),3,1)="隔",IF(AH$58=0,LEFT(IFERROR(INDEX(醫師週班表!$C$5:$T$44,$CU12,AH$57),""),1),""),IF(MID(IFERROR(INDEX(醫師週班表!$C$5:$T$44,$CU12,AH$57),""),2,1)="(",LEFT(IFERROR(INDEX(醫師週班表!$C$5:$T$44,$CU12,AH$57),""),1),IFERROR(INDEX(醫師週班表!$C$5:$T$44,$CU12,AH$57),"")))))))</f>
        <v/>
      </c>
      <c r="AI12" s="71">
        <f>IF(AI$59="X","",IF(AI$59&lt;&gt;"",AI$59,IF(IFERROR(INDEX(醫師週班表!$C$5:$T$44,$CU12,AI$57),"")=0,"",IF(MID(IFERROR(INDEX(醫師週班表!$C$5:$T$44,$CU12,AI$57),""),2,1)="/",MID(IFERROR(INDEX(醫師週班表!$C$5:$T$44,$CU12,AI$57),""),1+AI$58*2,1),IF(MID(IFERROR(INDEX(醫師週班表!$C$5:$T$44,$CU12,AI$57),""),3,1)="隔",IF(AI$58=0,LEFT(IFERROR(INDEX(醫師週班表!$C$5:$T$44,$CU12,AI$57),""),1),""),IF(MID(IFERROR(INDEX(醫師週班表!$C$5:$T$44,$CU12,AI$57),""),2,1)="(",LEFT(IFERROR(INDEX(醫師週班表!$C$5:$T$44,$CU12,AI$57),""),1),IFERROR(INDEX(醫師週班表!$C$5:$T$44,$CU12,AI$57),"")))))))</f>
        <v/>
      </c>
      <c r="AJ12" s="72">
        <f>IF(AJ$59="X","",IF(AJ$59&lt;&gt;"",AJ$59,IF(IFERROR(INDEX(醫師週班表!$C$5:$T$44,$CU12,AJ$57),"")=0,"",IF(MID(IFERROR(INDEX(醫師週班表!$C$5:$T$44,$CU12,AJ$57),""),2,1)="/",MID(IFERROR(INDEX(醫師週班表!$C$5:$T$44,$CU12,AJ$57),""),1+AJ$58*2,1),IF(MID(IFERROR(INDEX(醫師週班表!$C$5:$T$44,$CU12,AJ$57),""),3,1)="隔",IF(AJ$58=0,LEFT(IFERROR(INDEX(醫師週班表!$C$5:$T$44,$CU12,AJ$57),""),1),""),IF(MID(IFERROR(INDEX(醫師週班表!$C$5:$T$44,$CU12,AJ$57),""),2,1)="(",LEFT(IFERROR(INDEX(醫師週班表!$C$5:$T$44,$CU12,AJ$57),""),1),IFERROR(INDEX(醫師週班表!$C$5:$T$44,$CU12,AJ$57),"")))))))</f>
        <v/>
      </c>
      <c r="AK12" s="72">
        <f>IF(AK$59="X","",IF(AK$59&lt;&gt;"",AK$59,IF(IFERROR(INDEX(醫師週班表!$C$5:$T$44,$CU12,AK$57),"")=0,"",IF(MID(IFERROR(INDEX(醫師週班表!$C$5:$T$44,$CU12,AK$57),""),2,1)="/",MID(IFERROR(INDEX(醫師週班表!$C$5:$T$44,$CU12,AK$57),""),1+AK$58*2,1),IF(MID(IFERROR(INDEX(醫師週班表!$C$5:$T$44,$CU12,AK$57),""),3,1)="隔",IF(AK$58=0,LEFT(IFERROR(INDEX(醫師週班表!$C$5:$T$44,$CU12,AK$57),""),1),""),IF(MID(IFERROR(INDEX(醫師週班表!$C$5:$T$44,$CU12,AK$57),""),2,1)="(",LEFT(IFERROR(INDEX(醫師週班表!$C$5:$T$44,$CU12,AK$57),""),1),IFERROR(INDEX(醫師週班表!$C$5:$T$44,$CU12,AK$57),"")))))))</f>
        <v/>
      </c>
      <c r="AL12" s="71">
        <f>IF(AL$59="X","",IF(AL$59&lt;&gt;"",AL$59,IF(IFERROR(INDEX(醫師週班表!$C$5:$T$44,$CU12,AL$57),"")=0,"",IF(MID(IFERROR(INDEX(醫師週班表!$C$5:$T$44,$CU12,AL$57),""),2,1)="/",MID(IFERROR(INDEX(醫師週班表!$C$5:$T$44,$CU12,AL$57),""),1+AL$58*2,1),IF(MID(IFERROR(INDEX(醫師週班表!$C$5:$T$44,$CU12,AL$57),""),3,1)="隔",IF(AL$58=0,LEFT(IFERROR(INDEX(醫師週班表!$C$5:$T$44,$CU12,AL$57),""),1),""),IF(MID(IFERROR(INDEX(醫師週班表!$C$5:$T$44,$CU12,AL$57),""),2,1)="(",LEFT(IFERROR(INDEX(醫師週班表!$C$5:$T$44,$CU12,AL$57),""),1),IFERROR(INDEX(醫師週班表!$C$5:$T$44,$CU12,AL$57),"")))))))</f>
        <v/>
      </c>
      <c r="AM12" s="72">
        <f>IF(AM$59="X","",IF(AM$59&lt;&gt;"",AM$59,IF(IFERROR(INDEX(醫師週班表!$C$5:$T$44,$CU12,AM$57),"")=0,"",IF(MID(IFERROR(INDEX(醫師週班表!$C$5:$T$44,$CU12,AM$57),""),2,1)="/",MID(IFERROR(INDEX(醫師週班表!$C$5:$T$44,$CU12,AM$57),""),1+AM$58*2,1),IF(MID(IFERROR(INDEX(醫師週班表!$C$5:$T$44,$CU12,AM$57),""),3,1)="隔",IF(AM$58=0,LEFT(IFERROR(INDEX(醫師週班表!$C$5:$T$44,$CU12,AM$57),""),1),""),IF(MID(IFERROR(INDEX(醫師週班表!$C$5:$T$44,$CU12,AM$57),""),2,1)="(",LEFT(IFERROR(INDEX(醫師週班表!$C$5:$T$44,$CU12,AM$57),""),1),IFERROR(INDEX(醫師週班表!$C$5:$T$44,$CU12,AM$57),"")))))))</f>
        <v/>
      </c>
      <c r="AN12" s="72">
        <f>IF(AN$59="X","",IF(AN$59&lt;&gt;"",AN$59,IF(IFERROR(INDEX(醫師週班表!$C$5:$T$44,$CU12,AN$57),"")=0,"",IF(MID(IFERROR(INDEX(醫師週班表!$C$5:$T$44,$CU12,AN$57),""),2,1)="/",MID(IFERROR(INDEX(醫師週班表!$C$5:$T$44,$CU12,AN$57),""),1+AN$58*2,1),IF(MID(IFERROR(INDEX(醫師週班表!$C$5:$T$44,$CU12,AN$57),""),3,1)="隔",IF(AN$58=0,LEFT(IFERROR(INDEX(醫師週班表!$C$5:$T$44,$CU12,AN$57),""),1),""),IF(MID(IFERROR(INDEX(醫師週班表!$C$5:$T$44,$CU12,AN$57),""),2,1)="(",LEFT(IFERROR(INDEX(醫師週班表!$C$5:$T$44,$CU12,AN$57),""),1),IFERROR(INDEX(醫師週班表!$C$5:$T$44,$CU12,AN$57),"")))))))</f>
        <v/>
      </c>
      <c r="AO12" s="71">
        <f>IF(AO$59="X","",IF(AO$59&lt;&gt;"",AO$59,IF(IFERROR(INDEX(醫師週班表!$C$5:$T$44,$CU12,AO$57),"")=0,"",IF(MID(IFERROR(INDEX(醫師週班表!$C$5:$T$44,$CU12,AO$57),""),2,1)="/",MID(IFERROR(INDEX(醫師週班表!$C$5:$T$44,$CU12,AO$57),""),1+AO$58*2,1),IF(MID(IFERROR(INDEX(醫師週班表!$C$5:$T$44,$CU12,AO$57),""),3,1)="隔",IF(AO$58=0,LEFT(IFERROR(INDEX(醫師週班表!$C$5:$T$44,$CU12,AO$57),""),1),""),IF(MID(IFERROR(INDEX(醫師週班表!$C$5:$T$44,$CU12,AO$57),""),2,1)="(",LEFT(IFERROR(INDEX(醫師週班表!$C$5:$T$44,$CU12,AO$57),""),1),IFERROR(INDEX(醫師週班表!$C$5:$T$44,$CU12,AO$57),"")))))))</f>
        <v/>
      </c>
      <c r="AP12" s="72">
        <f>IF(AP$59="X","",IF(AP$59&lt;&gt;"",AP$59,IF(IFERROR(INDEX(醫師週班表!$C$5:$T$44,$CU12,AP$57),"")=0,"",IF(MID(IFERROR(INDEX(醫師週班表!$C$5:$T$44,$CU12,AP$57),""),2,1)="/",MID(IFERROR(INDEX(醫師週班表!$C$5:$T$44,$CU12,AP$57),""),1+AP$58*2,1),IF(MID(IFERROR(INDEX(醫師週班表!$C$5:$T$44,$CU12,AP$57),""),3,1)="隔",IF(AP$58=0,LEFT(IFERROR(INDEX(醫師週班表!$C$5:$T$44,$CU12,AP$57),""),1),""),IF(MID(IFERROR(INDEX(醫師週班表!$C$5:$T$44,$CU12,AP$57),""),2,1)="(",LEFT(IFERROR(INDEX(醫師週班表!$C$5:$T$44,$CU12,AP$57),""),1),IFERROR(INDEX(醫師週班表!$C$5:$T$44,$CU12,AP$57),"")))))))</f>
        <v/>
      </c>
      <c r="AQ12" s="72">
        <f>IF(AQ$59="X","",IF(AQ$59&lt;&gt;"",AQ$59,IF(IFERROR(INDEX(醫師週班表!$C$5:$T$44,$CU12,AQ$57),"")=0,"",IF(MID(IFERROR(INDEX(醫師週班表!$C$5:$T$44,$CU12,AQ$57),""),2,1)="/",MID(IFERROR(INDEX(醫師週班表!$C$5:$T$44,$CU12,AQ$57),""),1+AQ$58*2,1),IF(MID(IFERROR(INDEX(醫師週班表!$C$5:$T$44,$CU12,AQ$57),""),3,1)="隔",IF(AQ$58=0,LEFT(IFERROR(INDEX(醫師週班表!$C$5:$T$44,$CU12,AQ$57),""),1),""),IF(MID(IFERROR(INDEX(醫師週班表!$C$5:$T$44,$CU12,AQ$57),""),2,1)="(",LEFT(IFERROR(INDEX(醫師週班表!$C$5:$T$44,$CU12,AQ$57),""),1),IFERROR(INDEX(醫師週班表!$C$5:$T$44,$CU12,AQ$57),"")))))))</f>
        <v/>
      </c>
      <c r="AR12" s="71">
        <f>IF(AR$59="X","",IF(AR$59&lt;&gt;"",AR$59,IF(IFERROR(INDEX(醫師週班表!$C$5:$T$44,$CU12,AR$57),"")=0,"",IF(MID(IFERROR(INDEX(醫師週班表!$C$5:$T$44,$CU12,AR$57),""),2,1)="/",MID(IFERROR(INDEX(醫師週班表!$C$5:$T$44,$CU12,AR$57),""),1+AR$58*2,1),IF(MID(IFERROR(INDEX(醫師週班表!$C$5:$T$44,$CU12,AR$57),""),3,1)="隔",IF(AR$58=0,LEFT(IFERROR(INDEX(醫師週班表!$C$5:$T$44,$CU12,AR$57),""),1),""),IF(MID(IFERROR(INDEX(醫師週班表!$C$5:$T$44,$CU12,AR$57),""),2,1)="(",LEFT(IFERROR(INDEX(醫師週班表!$C$5:$T$44,$CU12,AR$57),""),1),IFERROR(INDEX(醫師週班表!$C$5:$T$44,$CU12,AR$57),"")))))))</f>
        <v/>
      </c>
      <c r="AS12" s="72">
        <f>IF(AS$59="X","",IF(AS$59&lt;&gt;"",AS$59,IF(IFERROR(INDEX(醫師週班表!$C$5:$T$44,$CU12,AS$57),"")=0,"",IF(MID(IFERROR(INDEX(醫師週班表!$C$5:$T$44,$CU12,AS$57),""),2,1)="/",MID(IFERROR(INDEX(醫師週班表!$C$5:$T$44,$CU12,AS$57),""),1+AS$58*2,1),IF(MID(IFERROR(INDEX(醫師週班表!$C$5:$T$44,$CU12,AS$57),""),3,1)="隔",IF(AS$58=0,LEFT(IFERROR(INDEX(醫師週班表!$C$5:$T$44,$CU12,AS$57),""),1),""),IF(MID(IFERROR(INDEX(醫師週班表!$C$5:$T$44,$CU12,AS$57),""),2,1)="(",LEFT(IFERROR(INDEX(醫師週班表!$C$5:$T$44,$CU12,AS$57),""),1),IFERROR(INDEX(醫師週班表!$C$5:$T$44,$CU12,AS$57),"")))))))</f>
        <v/>
      </c>
      <c r="AT12" s="72">
        <f>IF(AT$59="X","",IF(AT$59&lt;&gt;"",AT$59,IF(IFERROR(INDEX(醫師週班表!$C$5:$T$44,$CU12,AT$57),"")=0,"",IF(MID(IFERROR(INDEX(醫師週班表!$C$5:$T$44,$CU12,AT$57),""),2,1)="/",MID(IFERROR(INDEX(醫師週班表!$C$5:$T$44,$CU12,AT$57),""),1+AT$58*2,1),IF(MID(IFERROR(INDEX(醫師週班表!$C$5:$T$44,$CU12,AT$57),""),3,1)="隔",IF(AT$58=0,LEFT(IFERROR(INDEX(醫師週班表!$C$5:$T$44,$CU12,AT$57),""),1),""),IF(MID(IFERROR(INDEX(醫師週班表!$C$5:$T$44,$CU12,AT$57),""),2,1)="(",LEFT(IFERROR(INDEX(醫師週班表!$C$5:$T$44,$CU12,AT$57),""),1),IFERROR(INDEX(醫師週班表!$C$5:$T$44,$CU12,AT$57),"")))))))</f>
        <v/>
      </c>
      <c r="AU12" s="71">
        <f>IF(AU$59="X","",IF(AU$59&lt;&gt;"",AU$59,IF(IFERROR(INDEX(醫師週班表!$C$5:$T$44,$CU12,AU$57),"")=0,"",IF(MID(IFERROR(INDEX(醫師週班表!$C$5:$T$44,$CU12,AU$57),""),2,1)="/",MID(IFERROR(INDEX(醫師週班表!$C$5:$T$44,$CU12,AU$57),""),1+AU$58*2,1),IF(MID(IFERROR(INDEX(醫師週班表!$C$5:$T$44,$CU12,AU$57),""),3,1)="隔",IF(AU$58=0,LEFT(IFERROR(INDEX(醫師週班表!$C$5:$T$44,$CU12,AU$57),""),1),""),IF(MID(IFERROR(INDEX(醫師週班表!$C$5:$T$44,$CU12,AU$57),""),2,1)="(",LEFT(IFERROR(INDEX(醫師週班表!$C$5:$T$44,$CU12,AU$57),""),1),IFERROR(INDEX(醫師週班表!$C$5:$T$44,$CU12,AU$57),"")))))))</f>
        <v/>
      </c>
      <c r="AV12" s="72">
        <f>IF(AV$59="X","",IF(AV$59&lt;&gt;"",AV$59,IF(IFERROR(INDEX(醫師週班表!$C$5:$T$44,$CU12,AV$57),"")=0,"",IF(MID(IFERROR(INDEX(醫師週班表!$C$5:$T$44,$CU12,AV$57),""),2,1)="/",MID(IFERROR(INDEX(醫師週班表!$C$5:$T$44,$CU12,AV$57),""),1+AV$58*2,1),IF(MID(IFERROR(INDEX(醫師週班表!$C$5:$T$44,$CU12,AV$57),""),3,1)="隔",IF(AV$58=0,LEFT(IFERROR(INDEX(醫師週班表!$C$5:$T$44,$CU12,AV$57),""),1),""),IF(MID(IFERROR(INDEX(醫師週班表!$C$5:$T$44,$CU12,AV$57),""),2,1)="(",LEFT(IFERROR(INDEX(醫師週班表!$C$5:$T$44,$CU12,AV$57),""),1),IFERROR(INDEX(醫師週班表!$C$5:$T$44,$CU12,AV$57),"")))))))</f>
        <v/>
      </c>
      <c r="AW12" s="72">
        <f>IF(AW$59="X","",IF(AW$59&lt;&gt;"",AW$59,IF(IFERROR(INDEX(醫師週班表!$C$5:$T$44,$CU12,AW$57),"")=0,"",IF(MID(IFERROR(INDEX(醫師週班表!$C$5:$T$44,$CU12,AW$57),""),2,1)="/",MID(IFERROR(INDEX(醫師週班表!$C$5:$T$44,$CU12,AW$57),""),1+AW$58*2,1),IF(MID(IFERROR(INDEX(醫師週班表!$C$5:$T$44,$CU12,AW$57),""),3,1)="隔",IF(AW$58=0,LEFT(IFERROR(INDEX(醫師週班表!$C$5:$T$44,$CU12,AW$57),""),1),""),IF(MID(IFERROR(INDEX(醫師週班表!$C$5:$T$44,$CU12,AW$57),""),2,1)="(",LEFT(IFERROR(INDEX(醫師週班表!$C$5:$T$44,$CU12,AW$57),""),1),IFERROR(INDEX(醫師週班表!$C$5:$T$44,$CU12,AW$57),"")))))))</f>
        <v/>
      </c>
      <c r="AX12" s="71">
        <f>IF(AX$59="X","",IF(AX$59&lt;&gt;"",AX$59,IF(IFERROR(INDEX(醫師週班表!$C$5:$T$44,$CU12,AX$57),"")=0,"",IF(MID(IFERROR(INDEX(醫師週班表!$C$5:$T$44,$CU12,AX$57),""),2,1)="/",MID(IFERROR(INDEX(醫師週班表!$C$5:$T$44,$CU12,AX$57),""),1+AX$58*2,1),IF(MID(IFERROR(INDEX(醫師週班表!$C$5:$T$44,$CU12,AX$57),""),3,1)="隔",IF(AX$58=0,LEFT(IFERROR(INDEX(醫師週班表!$C$5:$T$44,$CU12,AX$57),""),1),""),IF(MID(IFERROR(INDEX(醫師週班表!$C$5:$T$44,$CU12,AX$57),""),2,1)="(",LEFT(IFERROR(INDEX(醫師週班表!$C$5:$T$44,$CU12,AX$57),""),1),IFERROR(INDEX(醫師週班表!$C$5:$T$44,$CU12,AX$57),"")))))))</f>
        <v/>
      </c>
      <c r="AY12" s="72">
        <f>IF(AY$59="X","",IF(AY$59&lt;&gt;"",AY$59,IF(IFERROR(INDEX(醫師週班表!$C$5:$T$44,$CU12,AY$57),"")=0,"",IF(MID(IFERROR(INDEX(醫師週班表!$C$5:$T$44,$CU12,AY$57),""),2,1)="/",MID(IFERROR(INDEX(醫師週班表!$C$5:$T$44,$CU12,AY$57),""),1+AY$58*2,1),IF(MID(IFERROR(INDEX(醫師週班表!$C$5:$T$44,$CU12,AY$57),""),3,1)="隔",IF(AY$58=0,LEFT(IFERROR(INDEX(醫師週班表!$C$5:$T$44,$CU12,AY$57),""),1),""),IF(MID(IFERROR(INDEX(醫師週班表!$C$5:$T$44,$CU12,AY$57),""),2,1)="(",LEFT(IFERROR(INDEX(醫師週班表!$C$5:$T$44,$CU12,AY$57),""),1),IFERROR(INDEX(醫師週班表!$C$5:$T$44,$CU12,AY$57),"")))))))</f>
        <v/>
      </c>
      <c r="AZ12" s="72">
        <f>IF(AZ$59="X","",IF(AZ$59&lt;&gt;"",AZ$59,IF(IFERROR(INDEX(醫師週班表!$C$5:$T$44,$CU12,AZ$57),"")=0,"",IF(MID(IFERROR(INDEX(醫師週班表!$C$5:$T$44,$CU12,AZ$57),""),2,1)="/",MID(IFERROR(INDEX(醫師週班表!$C$5:$T$44,$CU12,AZ$57),""),1+AZ$58*2,1),IF(MID(IFERROR(INDEX(醫師週班表!$C$5:$T$44,$CU12,AZ$57),""),3,1)="隔",IF(AZ$58=0,LEFT(IFERROR(INDEX(醫師週班表!$C$5:$T$44,$CU12,AZ$57),""),1),""),IF(MID(IFERROR(INDEX(醫師週班表!$C$5:$T$44,$CU12,AZ$57),""),2,1)="(",LEFT(IFERROR(INDEX(醫師週班表!$C$5:$T$44,$CU12,AZ$57),""),1),IFERROR(INDEX(醫師週班表!$C$5:$T$44,$CU12,AZ$57),"")))))))</f>
        <v/>
      </c>
      <c r="BA12" s="71">
        <f>IF(BA$59="X","",IF(BA$59&lt;&gt;"",BA$59,IF(IFERROR(INDEX(醫師週班表!$C$5:$T$44,$CU12,BA$57),"")=0,"",IF(MID(IFERROR(INDEX(醫師週班表!$C$5:$T$44,$CU12,BA$57),""),2,1)="/",MID(IFERROR(INDEX(醫師週班表!$C$5:$T$44,$CU12,BA$57),""),1+BA$58*2,1),IF(MID(IFERROR(INDEX(醫師週班表!$C$5:$T$44,$CU12,BA$57),""),3,1)="隔",IF(BA$58=0,LEFT(IFERROR(INDEX(醫師週班表!$C$5:$T$44,$CU12,BA$57),""),1),""),IF(MID(IFERROR(INDEX(醫師週班表!$C$5:$T$44,$CU12,BA$57),""),2,1)="(",LEFT(IFERROR(INDEX(醫師週班表!$C$5:$T$44,$CU12,BA$57),""),1),IFERROR(INDEX(醫師週班表!$C$5:$T$44,$CU12,BA$57),"")))))))</f>
        <v/>
      </c>
      <c r="BB12" s="72">
        <f>IF(BB$59="X","",IF(BB$59&lt;&gt;"",BB$59,IF(IFERROR(INDEX(醫師週班表!$C$5:$T$44,$CU12,BB$57),"")=0,"",IF(MID(IFERROR(INDEX(醫師週班表!$C$5:$T$44,$CU12,BB$57),""),2,1)="/",MID(IFERROR(INDEX(醫師週班表!$C$5:$T$44,$CU12,BB$57),""),1+BB$58*2,1),IF(MID(IFERROR(INDEX(醫師週班表!$C$5:$T$44,$CU12,BB$57),""),3,1)="隔",IF(BB$58=0,LEFT(IFERROR(INDEX(醫師週班表!$C$5:$T$44,$CU12,BB$57),""),1),""),IF(MID(IFERROR(INDEX(醫師週班表!$C$5:$T$44,$CU12,BB$57),""),2,1)="(",LEFT(IFERROR(INDEX(醫師週班表!$C$5:$T$44,$CU12,BB$57),""),1),IFERROR(INDEX(醫師週班表!$C$5:$T$44,$CU12,BB$57),"")))))))</f>
        <v/>
      </c>
      <c r="BC12" s="72">
        <f>IF(BC$59="X","",IF(BC$59&lt;&gt;"",BC$59,IF(IFERROR(INDEX(醫師週班表!$C$5:$T$44,$CU12,BC$57),"")=0,"",IF(MID(IFERROR(INDEX(醫師週班表!$C$5:$T$44,$CU12,BC$57),""),2,1)="/",MID(IFERROR(INDEX(醫師週班表!$C$5:$T$44,$CU12,BC$57),""),1+BC$58*2,1),IF(MID(IFERROR(INDEX(醫師週班表!$C$5:$T$44,$CU12,BC$57),""),3,1)="隔",IF(BC$58=0,LEFT(IFERROR(INDEX(醫師週班表!$C$5:$T$44,$CU12,BC$57),""),1),""),IF(MID(IFERROR(INDEX(醫師週班表!$C$5:$T$44,$CU12,BC$57),""),2,1)="(",LEFT(IFERROR(INDEX(醫師週班表!$C$5:$T$44,$CU12,BC$57),""),1),IFERROR(INDEX(醫師週班表!$C$5:$T$44,$CU12,BC$57),"")))))))</f>
        <v/>
      </c>
      <c r="BD12" s="71">
        <f>IF(BD$59="X","",IF(BD$59&lt;&gt;"",BD$59,IF(IFERROR(INDEX(醫師週班表!$C$5:$T$44,$CU12,BD$57),"")=0,"",IF(MID(IFERROR(INDEX(醫師週班表!$C$5:$T$44,$CU12,BD$57),""),2,1)="/",MID(IFERROR(INDEX(醫師週班表!$C$5:$T$44,$CU12,BD$57),""),1+BD$58*2,1),IF(MID(IFERROR(INDEX(醫師週班表!$C$5:$T$44,$CU12,BD$57),""),3,1)="隔",IF(BD$58=0,LEFT(IFERROR(INDEX(醫師週班表!$C$5:$T$44,$CU12,BD$57),""),1),""),IF(MID(IFERROR(INDEX(醫師週班表!$C$5:$T$44,$CU12,BD$57),""),2,1)="(",LEFT(IFERROR(INDEX(醫師週班表!$C$5:$T$44,$CU12,BD$57),""),1),IFERROR(INDEX(醫師週班表!$C$5:$T$44,$CU12,BD$57),"")))))))</f>
        <v/>
      </c>
      <c r="BE12" s="72">
        <f>IF(BE$59="X","",IF(BE$59&lt;&gt;"",BE$59,IF(IFERROR(INDEX(醫師週班表!$C$5:$T$44,$CU12,BE$57),"")=0,"",IF(MID(IFERROR(INDEX(醫師週班表!$C$5:$T$44,$CU12,BE$57),""),2,1)="/",MID(IFERROR(INDEX(醫師週班表!$C$5:$T$44,$CU12,BE$57),""),1+BE$58*2,1),IF(MID(IFERROR(INDEX(醫師週班表!$C$5:$T$44,$CU12,BE$57),""),3,1)="隔",IF(BE$58=0,LEFT(IFERROR(INDEX(醫師週班表!$C$5:$T$44,$CU12,BE$57),""),1),""),IF(MID(IFERROR(INDEX(醫師週班表!$C$5:$T$44,$CU12,BE$57),""),2,1)="(",LEFT(IFERROR(INDEX(醫師週班表!$C$5:$T$44,$CU12,BE$57),""),1),IFERROR(INDEX(醫師週班表!$C$5:$T$44,$CU12,BE$57),"")))))))</f>
        <v/>
      </c>
      <c r="BF12" s="72">
        <f>IF(BF$59="X","",IF(BF$59&lt;&gt;"",BF$59,IF(IFERROR(INDEX(醫師週班表!$C$5:$T$44,$CU12,BF$57),"")=0,"",IF(MID(IFERROR(INDEX(醫師週班表!$C$5:$T$44,$CU12,BF$57),""),2,1)="/",MID(IFERROR(INDEX(醫師週班表!$C$5:$T$44,$CU12,BF$57),""),1+BF$58*2,1),IF(MID(IFERROR(INDEX(醫師週班表!$C$5:$T$44,$CU12,BF$57),""),3,1)="隔",IF(BF$58=0,LEFT(IFERROR(INDEX(醫師週班表!$C$5:$T$44,$CU12,BF$57),""),1),""),IF(MID(IFERROR(INDEX(醫師週班表!$C$5:$T$44,$CU12,BF$57),""),2,1)="(",LEFT(IFERROR(INDEX(醫師週班表!$C$5:$T$44,$CU12,BF$57),""),1),IFERROR(INDEX(醫師週班表!$C$5:$T$44,$CU12,BF$57),"")))))))</f>
        <v/>
      </c>
      <c r="BG12" s="71">
        <f>IF(BG$59="X","",IF(BG$59&lt;&gt;"",BG$59,IF(IFERROR(INDEX(醫師週班表!$C$5:$T$44,$CU12,BG$57),"")=0,"",IF(MID(IFERROR(INDEX(醫師週班表!$C$5:$T$44,$CU12,BG$57),""),2,1)="/",MID(IFERROR(INDEX(醫師週班表!$C$5:$T$44,$CU12,BG$57),""),1+BG$58*2,1),IF(MID(IFERROR(INDEX(醫師週班表!$C$5:$T$44,$CU12,BG$57),""),3,1)="隔",IF(BG$58=0,LEFT(IFERROR(INDEX(醫師週班表!$C$5:$T$44,$CU12,BG$57),""),1),""),IF(MID(IFERROR(INDEX(醫師週班表!$C$5:$T$44,$CU12,BG$57),""),2,1)="(",LEFT(IFERROR(INDEX(醫師週班表!$C$5:$T$44,$CU12,BG$57),""),1),IFERROR(INDEX(醫師週班表!$C$5:$T$44,$CU12,BG$57),"")))))))</f>
        <v/>
      </c>
      <c r="BH12" s="72">
        <f>IF(BH$59="X","",IF(BH$59&lt;&gt;"",BH$59,IF(IFERROR(INDEX(醫師週班表!$C$5:$T$44,$CU12,BH$57),"")=0,"",IF(MID(IFERROR(INDEX(醫師週班表!$C$5:$T$44,$CU12,BH$57),""),2,1)="/",MID(IFERROR(INDEX(醫師週班表!$C$5:$T$44,$CU12,BH$57),""),1+BH$58*2,1),IF(MID(IFERROR(INDEX(醫師週班表!$C$5:$T$44,$CU12,BH$57),""),3,1)="隔",IF(BH$58=0,LEFT(IFERROR(INDEX(醫師週班表!$C$5:$T$44,$CU12,BH$57),""),1),""),IF(MID(IFERROR(INDEX(醫師週班表!$C$5:$T$44,$CU12,BH$57),""),2,1)="(",LEFT(IFERROR(INDEX(醫師週班表!$C$5:$T$44,$CU12,BH$57),""),1),IFERROR(INDEX(醫師週班表!$C$5:$T$44,$CU12,BH$57),"")))))))</f>
        <v/>
      </c>
      <c r="BI12" s="72">
        <f>IF(BI$59="X","",IF(BI$59&lt;&gt;"",BI$59,IF(IFERROR(INDEX(醫師週班表!$C$5:$T$44,$CU12,BI$57),"")=0,"",IF(MID(IFERROR(INDEX(醫師週班表!$C$5:$T$44,$CU12,BI$57),""),2,1)="/",MID(IFERROR(INDEX(醫師週班表!$C$5:$T$44,$CU12,BI$57),""),1+BI$58*2,1),IF(MID(IFERROR(INDEX(醫師週班表!$C$5:$T$44,$CU12,BI$57),""),3,1)="隔",IF(BI$58=0,LEFT(IFERROR(INDEX(醫師週班表!$C$5:$T$44,$CU12,BI$57),""),1),""),IF(MID(IFERROR(INDEX(醫師週班表!$C$5:$T$44,$CU12,BI$57),""),2,1)="(",LEFT(IFERROR(INDEX(醫師週班表!$C$5:$T$44,$CU12,BI$57),""),1),IFERROR(INDEX(醫師週班表!$C$5:$T$44,$CU12,BI$57),"")))))))</f>
        <v/>
      </c>
      <c r="BJ12" s="71">
        <f>IF(BJ$59="X","",IF(BJ$59&lt;&gt;"",BJ$59,IF(IFERROR(INDEX(醫師週班表!$C$5:$T$44,$CU12,BJ$57),"")=0,"",IF(MID(IFERROR(INDEX(醫師週班表!$C$5:$T$44,$CU12,BJ$57),""),2,1)="/",MID(IFERROR(INDEX(醫師週班表!$C$5:$T$44,$CU12,BJ$57),""),1+BJ$58*2,1),IF(MID(IFERROR(INDEX(醫師週班表!$C$5:$T$44,$CU12,BJ$57),""),3,1)="隔",IF(BJ$58=0,LEFT(IFERROR(INDEX(醫師週班表!$C$5:$T$44,$CU12,BJ$57),""),1),""),IF(MID(IFERROR(INDEX(醫師週班表!$C$5:$T$44,$CU12,BJ$57),""),2,1)="(",LEFT(IFERROR(INDEX(醫師週班表!$C$5:$T$44,$CU12,BJ$57),""),1),IFERROR(INDEX(醫師週班表!$C$5:$T$44,$CU12,BJ$57),"")))))))</f>
        <v/>
      </c>
      <c r="BK12" s="72">
        <f>IF(BK$59="X","",IF(BK$59&lt;&gt;"",BK$59,IF(IFERROR(INDEX(醫師週班表!$C$5:$T$44,$CU12,BK$57),"")=0,"",IF(MID(IFERROR(INDEX(醫師週班表!$C$5:$T$44,$CU12,BK$57),""),2,1)="/",MID(IFERROR(INDEX(醫師週班表!$C$5:$T$44,$CU12,BK$57),""),1+BK$58*2,1),IF(MID(IFERROR(INDEX(醫師週班表!$C$5:$T$44,$CU12,BK$57),""),3,1)="隔",IF(BK$58=0,LEFT(IFERROR(INDEX(醫師週班表!$C$5:$T$44,$CU12,BK$57),""),1),""),IF(MID(IFERROR(INDEX(醫師週班表!$C$5:$T$44,$CU12,BK$57),""),2,1)="(",LEFT(IFERROR(INDEX(醫師週班表!$C$5:$T$44,$CU12,BK$57),""),1),IFERROR(INDEX(醫師週班表!$C$5:$T$44,$CU12,BK$57),"")))))))</f>
        <v/>
      </c>
      <c r="BL12" s="72">
        <f>IF(BL$59="X","",IF(BL$59&lt;&gt;"",BL$59,IF(IFERROR(INDEX(醫師週班表!$C$5:$T$44,$CU12,BL$57),"")=0,"",IF(MID(IFERROR(INDEX(醫師週班表!$C$5:$T$44,$CU12,BL$57),""),2,1)="/",MID(IFERROR(INDEX(醫師週班表!$C$5:$T$44,$CU12,BL$57),""),1+BL$58*2,1),IF(MID(IFERROR(INDEX(醫師週班表!$C$5:$T$44,$CU12,BL$57),""),3,1)="隔",IF(BL$58=0,LEFT(IFERROR(INDEX(醫師週班表!$C$5:$T$44,$CU12,BL$57),""),1),""),IF(MID(IFERROR(INDEX(醫師週班表!$C$5:$T$44,$CU12,BL$57),""),2,1)="(",LEFT(IFERROR(INDEX(醫師週班表!$C$5:$T$44,$CU12,BL$57),""),1),IFERROR(INDEX(醫師週班表!$C$5:$T$44,$CU12,BL$57),"")))))))</f>
        <v/>
      </c>
      <c r="BM12" s="71">
        <f>IF(BM$59="X","",IF(BM$59&lt;&gt;"",BM$59,IF(IFERROR(INDEX(醫師週班表!$C$5:$T$44,$CU12,BM$57),"")=0,"",IF(MID(IFERROR(INDEX(醫師週班表!$C$5:$T$44,$CU12,BM$57),""),2,1)="/",MID(IFERROR(INDEX(醫師週班表!$C$5:$T$44,$CU12,BM$57),""),1+BM$58*2,1),IF(MID(IFERROR(INDEX(醫師週班表!$C$5:$T$44,$CU12,BM$57),""),3,1)="隔",IF(BM$58=0,LEFT(IFERROR(INDEX(醫師週班表!$C$5:$T$44,$CU12,BM$57),""),1),""),IF(MID(IFERROR(INDEX(醫師週班表!$C$5:$T$44,$CU12,BM$57),""),2,1)="(",LEFT(IFERROR(INDEX(醫師週班表!$C$5:$T$44,$CU12,BM$57),""),1),IFERROR(INDEX(醫師週班表!$C$5:$T$44,$CU12,BM$57),"")))))))</f>
        <v/>
      </c>
      <c r="BN12" s="72">
        <f>IF(BN$59="X","",IF(BN$59&lt;&gt;"",BN$59,IF(IFERROR(INDEX(醫師週班表!$C$5:$T$44,$CU12,BN$57),"")=0,"",IF(MID(IFERROR(INDEX(醫師週班表!$C$5:$T$44,$CU12,BN$57),""),2,1)="/",MID(IFERROR(INDEX(醫師週班表!$C$5:$T$44,$CU12,BN$57),""),1+BN$58*2,1),IF(MID(IFERROR(INDEX(醫師週班表!$C$5:$T$44,$CU12,BN$57),""),3,1)="隔",IF(BN$58=0,LEFT(IFERROR(INDEX(醫師週班表!$C$5:$T$44,$CU12,BN$57),""),1),""),IF(MID(IFERROR(INDEX(醫師週班表!$C$5:$T$44,$CU12,BN$57),""),2,1)="(",LEFT(IFERROR(INDEX(醫師週班表!$C$5:$T$44,$CU12,BN$57),""),1),IFERROR(INDEX(醫師週班表!$C$5:$T$44,$CU12,BN$57),"")))))))</f>
        <v/>
      </c>
      <c r="BO12" s="72">
        <f>IF(BO$59="X","",IF(BO$59&lt;&gt;"",BO$59,IF(IFERROR(INDEX(醫師週班表!$C$5:$T$44,$CU12,BO$57),"")=0,"",IF(MID(IFERROR(INDEX(醫師週班表!$C$5:$T$44,$CU12,BO$57),""),2,1)="/",MID(IFERROR(INDEX(醫師週班表!$C$5:$T$44,$CU12,BO$57),""),1+BO$58*2,1),IF(MID(IFERROR(INDEX(醫師週班表!$C$5:$T$44,$CU12,BO$57),""),3,1)="隔",IF(BO$58=0,LEFT(IFERROR(INDEX(醫師週班表!$C$5:$T$44,$CU12,BO$57),""),1),""),IF(MID(IFERROR(INDEX(醫師週班表!$C$5:$T$44,$CU12,BO$57),""),2,1)="(",LEFT(IFERROR(INDEX(醫師週班表!$C$5:$T$44,$CU12,BO$57),""),1),IFERROR(INDEX(醫師週班表!$C$5:$T$44,$CU12,BO$57),"")))))))</f>
        <v/>
      </c>
      <c r="BP12" s="71">
        <f>IF(BP$59="X","",IF(BP$59&lt;&gt;"",BP$59,IF(IFERROR(INDEX(醫師週班表!$C$5:$T$44,$CU12,BP$57),"")=0,"",IF(MID(IFERROR(INDEX(醫師週班表!$C$5:$T$44,$CU12,BP$57),""),2,1)="/",MID(IFERROR(INDEX(醫師週班表!$C$5:$T$44,$CU12,BP$57),""),1+BP$58*2,1),IF(MID(IFERROR(INDEX(醫師週班表!$C$5:$T$44,$CU12,BP$57),""),3,1)="隔",IF(BP$58=0,LEFT(IFERROR(INDEX(醫師週班表!$C$5:$T$44,$CU12,BP$57),""),1),""),IF(MID(IFERROR(INDEX(醫師週班表!$C$5:$T$44,$CU12,BP$57),""),2,1)="(",LEFT(IFERROR(INDEX(醫師週班表!$C$5:$T$44,$CU12,BP$57),""),1),IFERROR(INDEX(醫師週班表!$C$5:$T$44,$CU12,BP$57),"")))))))</f>
        <v/>
      </c>
      <c r="BQ12" s="72">
        <f>IF(BQ$59="X","",IF(BQ$59&lt;&gt;"",BQ$59,IF(IFERROR(INDEX(醫師週班表!$C$5:$T$44,$CU12,BQ$57),"")=0,"",IF(MID(IFERROR(INDEX(醫師週班表!$C$5:$T$44,$CU12,BQ$57),""),2,1)="/",MID(IFERROR(INDEX(醫師週班表!$C$5:$T$44,$CU12,BQ$57),""),1+BQ$58*2,1),IF(MID(IFERROR(INDEX(醫師週班表!$C$5:$T$44,$CU12,BQ$57),""),3,1)="隔",IF(BQ$58=0,LEFT(IFERROR(INDEX(醫師週班表!$C$5:$T$44,$CU12,BQ$57),""),1),""),IF(MID(IFERROR(INDEX(醫師週班表!$C$5:$T$44,$CU12,BQ$57),""),2,1)="(",LEFT(IFERROR(INDEX(醫師週班表!$C$5:$T$44,$CU12,BQ$57),""),1),IFERROR(INDEX(醫師週班表!$C$5:$T$44,$CU12,BQ$57),"")))))))</f>
        <v/>
      </c>
      <c r="BR12" s="72">
        <f>IF(BR$59="X","",IF(BR$59&lt;&gt;"",BR$59,IF(IFERROR(INDEX(醫師週班表!$C$5:$T$44,$CU12,BR$57),"")=0,"",IF(MID(IFERROR(INDEX(醫師週班表!$C$5:$T$44,$CU12,BR$57),""),2,1)="/",MID(IFERROR(INDEX(醫師週班表!$C$5:$T$44,$CU12,BR$57),""),1+BR$58*2,1),IF(MID(IFERROR(INDEX(醫師週班表!$C$5:$T$44,$CU12,BR$57),""),3,1)="隔",IF(BR$58=0,LEFT(IFERROR(INDEX(醫師週班表!$C$5:$T$44,$CU12,BR$57),""),1),""),IF(MID(IFERROR(INDEX(醫師週班表!$C$5:$T$44,$CU12,BR$57),""),2,1)="(",LEFT(IFERROR(INDEX(醫師週班表!$C$5:$T$44,$CU12,BR$57),""),1),IFERROR(INDEX(醫師週班表!$C$5:$T$44,$CU12,BR$57),"")))))))</f>
        <v/>
      </c>
      <c r="BS12" s="71">
        <f>IF(BS$59="X","",IF(BS$59&lt;&gt;"",BS$59,IF(IFERROR(INDEX(醫師週班表!$C$5:$T$44,$CU12,BS$57),"")=0,"",IF(MID(IFERROR(INDEX(醫師週班表!$C$5:$T$44,$CU12,BS$57),""),2,1)="/",MID(IFERROR(INDEX(醫師週班表!$C$5:$T$44,$CU12,BS$57),""),1+BS$58*2,1),IF(MID(IFERROR(INDEX(醫師週班表!$C$5:$T$44,$CU12,BS$57),""),3,1)="隔",IF(BS$58=0,LEFT(IFERROR(INDEX(醫師週班表!$C$5:$T$44,$CU12,BS$57),""),1),""),IF(MID(IFERROR(INDEX(醫師週班表!$C$5:$T$44,$CU12,BS$57),""),2,1)="(",LEFT(IFERROR(INDEX(醫師週班表!$C$5:$T$44,$CU12,BS$57),""),1),IFERROR(INDEX(醫師週班表!$C$5:$T$44,$CU12,BS$57),"")))))))</f>
        <v/>
      </c>
      <c r="BT12" s="72">
        <f>IF(BT$59="X","",IF(BT$59&lt;&gt;"",BT$59,IF(IFERROR(INDEX(醫師週班表!$C$5:$T$44,$CU12,BT$57),"")=0,"",IF(MID(IFERROR(INDEX(醫師週班表!$C$5:$T$44,$CU12,BT$57),""),2,1)="/",MID(IFERROR(INDEX(醫師週班表!$C$5:$T$44,$CU12,BT$57),""),1+BT$58*2,1),IF(MID(IFERROR(INDEX(醫師週班表!$C$5:$T$44,$CU12,BT$57),""),3,1)="隔",IF(BT$58=0,LEFT(IFERROR(INDEX(醫師週班表!$C$5:$T$44,$CU12,BT$57),""),1),""),IF(MID(IFERROR(INDEX(醫師週班表!$C$5:$T$44,$CU12,BT$57),""),2,1)="(",LEFT(IFERROR(INDEX(醫師週班表!$C$5:$T$44,$CU12,BT$57),""),1),IFERROR(INDEX(醫師週班表!$C$5:$T$44,$CU12,BT$57),"")))))))</f>
        <v/>
      </c>
      <c r="BU12" s="72">
        <f>IF(BU$59="X","",IF(BU$59&lt;&gt;"",BU$59,IF(IFERROR(INDEX(醫師週班表!$C$5:$T$44,$CU12,BU$57),"")=0,"",IF(MID(IFERROR(INDEX(醫師週班表!$C$5:$T$44,$CU12,BU$57),""),2,1)="/",MID(IFERROR(INDEX(醫師週班表!$C$5:$T$44,$CU12,BU$57),""),1+BU$58*2,1),IF(MID(IFERROR(INDEX(醫師週班表!$C$5:$T$44,$CU12,BU$57),""),3,1)="隔",IF(BU$58=0,LEFT(IFERROR(INDEX(醫師週班表!$C$5:$T$44,$CU12,BU$57),""),1),""),IF(MID(IFERROR(INDEX(醫師週班表!$C$5:$T$44,$CU12,BU$57),""),2,1)="(",LEFT(IFERROR(INDEX(醫師週班表!$C$5:$T$44,$CU12,BU$57),""),1),IFERROR(INDEX(醫師週班表!$C$5:$T$44,$CU12,BU$57),"")))))))</f>
        <v/>
      </c>
      <c r="BV12" s="71">
        <f>IF(BV$59="X","",IF(BV$59&lt;&gt;"",BV$59,IF(IFERROR(INDEX(醫師週班表!$C$5:$T$44,$CU12,BV$57),"")=0,"",IF(MID(IFERROR(INDEX(醫師週班表!$C$5:$T$44,$CU12,BV$57),""),2,1)="/",MID(IFERROR(INDEX(醫師週班表!$C$5:$T$44,$CU12,BV$57),""),1+BV$58*2,1),IF(MID(IFERROR(INDEX(醫師週班表!$C$5:$T$44,$CU12,BV$57),""),3,1)="隔",IF(BV$58=0,LEFT(IFERROR(INDEX(醫師週班表!$C$5:$T$44,$CU12,BV$57),""),1),""),IF(MID(IFERROR(INDEX(醫師週班表!$C$5:$T$44,$CU12,BV$57),""),2,1)="(",LEFT(IFERROR(INDEX(醫師週班表!$C$5:$T$44,$CU12,BV$57),""),1),IFERROR(INDEX(醫師週班表!$C$5:$T$44,$CU12,BV$57),"")))))))</f>
        <v/>
      </c>
      <c r="BW12" s="72">
        <f>IF(BW$59="X","",IF(BW$59&lt;&gt;"",BW$59,IF(IFERROR(INDEX(醫師週班表!$C$5:$T$44,$CU12,BW$57),"")=0,"",IF(MID(IFERROR(INDEX(醫師週班表!$C$5:$T$44,$CU12,BW$57),""),2,1)="/",MID(IFERROR(INDEX(醫師週班表!$C$5:$T$44,$CU12,BW$57),""),1+BW$58*2,1),IF(MID(IFERROR(INDEX(醫師週班表!$C$5:$T$44,$CU12,BW$57),""),3,1)="隔",IF(BW$58=0,LEFT(IFERROR(INDEX(醫師週班表!$C$5:$T$44,$CU12,BW$57),""),1),""),IF(MID(IFERROR(INDEX(醫師週班表!$C$5:$T$44,$CU12,BW$57),""),2,1)="(",LEFT(IFERROR(INDEX(醫師週班表!$C$5:$T$44,$CU12,BW$57),""),1),IFERROR(INDEX(醫師週班表!$C$5:$T$44,$CU12,BW$57),"")))))))</f>
        <v/>
      </c>
      <c r="BX12" s="72">
        <f>IF(BX$59="X","",IF(BX$59&lt;&gt;"",BX$59,IF(IFERROR(INDEX(醫師週班表!$C$5:$T$44,$CU12,BX$57),"")=0,"",IF(MID(IFERROR(INDEX(醫師週班表!$C$5:$T$44,$CU12,BX$57),""),2,1)="/",MID(IFERROR(INDEX(醫師週班表!$C$5:$T$44,$CU12,BX$57),""),1+BX$58*2,1),IF(MID(IFERROR(INDEX(醫師週班表!$C$5:$T$44,$CU12,BX$57),""),3,1)="隔",IF(BX$58=0,LEFT(IFERROR(INDEX(醫師週班表!$C$5:$T$44,$CU12,BX$57),""),1),""),IF(MID(IFERROR(INDEX(醫師週班表!$C$5:$T$44,$CU12,BX$57),""),2,1)="(",LEFT(IFERROR(INDEX(醫師週班表!$C$5:$T$44,$CU12,BX$57),""),1),IFERROR(INDEX(醫師週班表!$C$5:$T$44,$CU12,BX$57),"")))))))</f>
        <v/>
      </c>
      <c r="BY12" s="71">
        <f>IF(BY$59="X","",IF(BY$59&lt;&gt;"",BY$59,IF(IFERROR(INDEX(醫師週班表!$C$5:$T$44,$CU12,BY$57),"")=0,"",IF(MID(IFERROR(INDEX(醫師週班表!$C$5:$T$44,$CU12,BY$57),""),2,1)="/",MID(IFERROR(INDEX(醫師週班表!$C$5:$T$44,$CU12,BY$57),""),1+BY$58*2,1),IF(MID(IFERROR(INDEX(醫師週班表!$C$5:$T$44,$CU12,BY$57),""),3,1)="隔",IF(BY$58=0,LEFT(IFERROR(INDEX(醫師週班表!$C$5:$T$44,$CU12,BY$57),""),1),""),IF(MID(IFERROR(INDEX(醫師週班表!$C$5:$T$44,$CU12,BY$57),""),2,1)="(",LEFT(IFERROR(INDEX(醫師週班表!$C$5:$T$44,$CU12,BY$57),""),1),IFERROR(INDEX(醫師週班表!$C$5:$T$44,$CU12,BY$57),"")))))))</f>
        <v/>
      </c>
      <c r="BZ12" s="72">
        <f>IF(BZ$59="X","",IF(BZ$59&lt;&gt;"",BZ$59,IF(IFERROR(INDEX(醫師週班表!$C$5:$T$44,$CU12,BZ$57),"")=0,"",IF(MID(IFERROR(INDEX(醫師週班表!$C$5:$T$44,$CU12,BZ$57),""),2,1)="/",MID(IFERROR(INDEX(醫師週班表!$C$5:$T$44,$CU12,BZ$57),""),1+BZ$58*2,1),IF(MID(IFERROR(INDEX(醫師週班表!$C$5:$T$44,$CU12,BZ$57),""),3,1)="隔",IF(BZ$58=0,LEFT(IFERROR(INDEX(醫師週班表!$C$5:$T$44,$CU12,BZ$57),""),1),""),IF(MID(IFERROR(INDEX(醫師週班表!$C$5:$T$44,$CU12,BZ$57),""),2,1)="(",LEFT(IFERROR(INDEX(醫師週班表!$C$5:$T$44,$CU12,BZ$57),""),1),IFERROR(INDEX(醫師週班表!$C$5:$T$44,$CU12,BZ$57),"")))))))</f>
        <v/>
      </c>
      <c r="CA12" s="72">
        <f>IF(CA$59="X","",IF(CA$59&lt;&gt;"",CA$59,IF(IFERROR(INDEX(醫師週班表!$C$5:$T$44,$CU12,CA$57),"")=0,"",IF(MID(IFERROR(INDEX(醫師週班表!$C$5:$T$44,$CU12,CA$57),""),2,1)="/",MID(IFERROR(INDEX(醫師週班表!$C$5:$T$44,$CU12,CA$57),""),1+CA$58*2,1),IF(MID(IFERROR(INDEX(醫師週班表!$C$5:$T$44,$CU12,CA$57),""),3,1)="隔",IF(CA$58=0,LEFT(IFERROR(INDEX(醫師週班表!$C$5:$T$44,$CU12,CA$57),""),1),""),IF(MID(IFERROR(INDEX(醫師週班表!$C$5:$T$44,$CU12,CA$57),""),2,1)="(",LEFT(IFERROR(INDEX(醫師週班表!$C$5:$T$44,$CU12,CA$57),""),1),IFERROR(INDEX(醫師週班表!$C$5:$T$44,$CU12,CA$57),"")))))))</f>
        <v/>
      </c>
      <c r="CB12" s="71">
        <f>IF(CB$59="X","",IF(CB$59&lt;&gt;"",CB$59,IF(IFERROR(INDEX(醫師週班表!$C$5:$T$44,$CU12,CB$57),"")=0,"",IF(MID(IFERROR(INDEX(醫師週班表!$C$5:$T$44,$CU12,CB$57),""),2,1)="/",MID(IFERROR(INDEX(醫師週班表!$C$5:$T$44,$CU12,CB$57),""),1+CB$58*2,1),IF(MID(IFERROR(INDEX(醫師週班表!$C$5:$T$44,$CU12,CB$57),""),3,1)="隔",IF(CB$58=0,LEFT(IFERROR(INDEX(醫師週班表!$C$5:$T$44,$CU12,CB$57),""),1),""),IF(MID(IFERROR(INDEX(醫師週班表!$C$5:$T$44,$CU12,CB$57),""),2,1)="(",LEFT(IFERROR(INDEX(醫師週班表!$C$5:$T$44,$CU12,CB$57),""),1),IFERROR(INDEX(醫師週班表!$C$5:$T$44,$CU12,CB$57),"")))))))</f>
        <v/>
      </c>
      <c r="CC12" s="72">
        <f>IF(CC$59="X","",IF(CC$59&lt;&gt;"",CC$59,IF(IFERROR(INDEX(醫師週班表!$C$5:$T$44,$CU12,CC$57),"")=0,"",IF(MID(IFERROR(INDEX(醫師週班表!$C$5:$T$44,$CU12,CC$57),""),2,1)="/",MID(IFERROR(INDEX(醫師週班表!$C$5:$T$44,$CU12,CC$57),""),1+CC$58*2,1),IF(MID(IFERROR(INDEX(醫師週班表!$C$5:$T$44,$CU12,CC$57),""),3,1)="隔",IF(CC$58=0,LEFT(IFERROR(INDEX(醫師週班表!$C$5:$T$44,$CU12,CC$57),""),1),""),IF(MID(IFERROR(INDEX(醫師週班表!$C$5:$T$44,$CU12,CC$57),""),2,1)="(",LEFT(IFERROR(INDEX(醫師週班表!$C$5:$T$44,$CU12,CC$57),""),1),IFERROR(INDEX(醫師週班表!$C$5:$T$44,$CU12,CC$57),"")))))))</f>
        <v/>
      </c>
      <c r="CD12" s="72">
        <f>IF(CD$59="X","",IF(CD$59&lt;&gt;"",CD$59,IF(IFERROR(INDEX(醫師週班表!$C$5:$T$44,$CU12,CD$57),"")=0,"",IF(MID(IFERROR(INDEX(醫師週班表!$C$5:$T$44,$CU12,CD$57),""),2,1)="/",MID(IFERROR(INDEX(醫師週班表!$C$5:$T$44,$CU12,CD$57),""),1+CD$58*2,1),IF(MID(IFERROR(INDEX(醫師週班表!$C$5:$T$44,$CU12,CD$57),""),3,1)="隔",IF(CD$58=0,LEFT(IFERROR(INDEX(醫師週班表!$C$5:$T$44,$CU12,CD$57),""),1),""),IF(MID(IFERROR(INDEX(醫師週班表!$C$5:$T$44,$CU12,CD$57),""),2,1)="(",LEFT(IFERROR(INDEX(醫師週班表!$C$5:$T$44,$CU12,CD$57),""),1),IFERROR(INDEX(醫師週班表!$C$5:$T$44,$CU12,CD$57),"")))))))</f>
        <v/>
      </c>
      <c r="CE12" s="71">
        <f>IF(CE$59="X","",IF(CE$59&lt;&gt;"",CE$59,IF(IFERROR(INDEX(醫師週班表!$C$5:$T$44,$CU12,CE$57),"")=0,"",IF(MID(IFERROR(INDEX(醫師週班表!$C$5:$T$44,$CU12,CE$57),""),2,1)="/",MID(IFERROR(INDEX(醫師週班表!$C$5:$T$44,$CU12,CE$57),""),1+CE$58*2,1),IF(MID(IFERROR(INDEX(醫師週班表!$C$5:$T$44,$CU12,CE$57),""),3,1)="隔",IF(CE$58=0,LEFT(IFERROR(INDEX(醫師週班表!$C$5:$T$44,$CU12,CE$57),""),1),""),IF(MID(IFERROR(INDEX(醫師週班表!$C$5:$T$44,$CU12,CE$57),""),2,1)="(",LEFT(IFERROR(INDEX(醫師週班表!$C$5:$T$44,$CU12,CE$57),""),1),IFERROR(INDEX(醫師週班表!$C$5:$T$44,$CU12,CE$57),"")))))))</f>
        <v/>
      </c>
      <c r="CF12" s="72">
        <f>IF(CF$59="X","",IF(CF$59&lt;&gt;"",CF$59,IF(IFERROR(INDEX(醫師週班表!$C$5:$T$44,$CU12,CF$57),"")=0,"",IF(MID(IFERROR(INDEX(醫師週班表!$C$5:$T$44,$CU12,CF$57),""),2,1)="/",MID(IFERROR(INDEX(醫師週班表!$C$5:$T$44,$CU12,CF$57),""),1+CF$58*2,1),IF(MID(IFERROR(INDEX(醫師週班表!$C$5:$T$44,$CU12,CF$57),""),3,1)="隔",IF(CF$58=0,LEFT(IFERROR(INDEX(醫師週班表!$C$5:$T$44,$CU12,CF$57),""),1),""),IF(MID(IFERROR(INDEX(醫師週班表!$C$5:$T$44,$CU12,CF$57),""),2,1)="(",LEFT(IFERROR(INDEX(醫師週班表!$C$5:$T$44,$CU12,CF$57),""),1),IFERROR(INDEX(醫師週班表!$C$5:$T$44,$CU12,CF$57),"")))))))</f>
        <v/>
      </c>
      <c r="CG12" s="72">
        <f>IF(CG$59="X","",IF(CG$59&lt;&gt;"",CG$59,IF(IFERROR(INDEX(醫師週班表!$C$5:$T$44,$CU12,CG$57),"")=0,"",IF(MID(IFERROR(INDEX(醫師週班表!$C$5:$T$44,$CU12,CG$57),""),2,1)="/",MID(IFERROR(INDEX(醫師週班表!$C$5:$T$44,$CU12,CG$57),""),1+CG$58*2,1),IF(MID(IFERROR(INDEX(醫師週班表!$C$5:$T$44,$CU12,CG$57),""),3,1)="隔",IF(CG$58=0,LEFT(IFERROR(INDEX(醫師週班表!$C$5:$T$44,$CU12,CG$57),""),1),""),IF(MID(IFERROR(INDEX(醫師週班表!$C$5:$T$44,$CU12,CG$57),""),2,1)="(",LEFT(IFERROR(INDEX(醫師週班表!$C$5:$T$44,$CU12,CG$57),""),1),IFERROR(INDEX(醫師週班表!$C$5:$T$44,$CU12,CG$57),"")))))))</f>
        <v/>
      </c>
      <c r="CH12" s="71">
        <f>IF(CH$59="X","",IF(CH$59&lt;&gt;"",CH$59,IF(IFERROR(INDEX(醫師週班表!$C$5:$T$44,$CU12,CH$57),"")=0,"",IF(MID(IFERROR(INDEX(醫師週班表!$C$5:$T$44,$CU12,CH$57),""),2,1)="/",MID(IFERROR(INDEX(醫師週班表!$C$5:$T$44,$CU12,CH$57),""),1+CH$58*2,1),IF(MID(IFERROR(INDEX(醫師週班表!$C$5:$T$44,$CU12,CH$57),""),3,1)="隔",IF(CH$58=0,LEFT(IFERROR(INDEX(醫師週班表!$C$5:$T$44,$CU12,CH$57),""),1),""),IF(MID(IFERROR(INDEX(醫師週班表!$C$5:$T$44,$CU12,CH$57),""),2,1)="(",LEFT(IFERROR(INDEX(醫師週班表!$C$5:$T$44,$CU12,CH$57),""),1),IFERROR(INDEX(醫師週班表!$C$5:$T$44,$CU12,CH$57),"")))))))</f>
        <v/>
      </c>
      <c r="CI12" s="72">
        <f>IF(CI$59="X","",IF(CI$59&lt;&gt;"",CI$59,IF(IFERROR(INDEX(醫師週班表!$C$5:$T$44,$CU12,CI$57),"")=0,"",IF(MID(IFERROR(INDEX(醫師週班表!$C$5:$T$44,$CU12,CI$57),""),2,1)="/",MID(IFERROR(INDEX(醫師週班表!$C$5:$T$44,$CU12,CI$57),""),1+CI$58*2,1),IF(MID(IFERROR(INDEX(醫師週班表!$C$5:$T$44,$CU12,CI$57),""),3,1)="隔",IF(CI$58=0,LEFT(IFERROR(INDEX(醫師週班表!$C$5:$T$44,$CU12,CI$57),""),1),""),IF(MID(IFERROR(INDEX(醫師週班表!$C$5:$T$44,$CU12,CI$57),""),2,1)="(",LEFT(IFERROR(INDEX(醫師週班表!$C$5:$T$44,$CU12,CI$57),""),1),IFERROR(INDEX(醫師週班表!$C$5:$T$44,$CU12,CI$57),"")))))))</f>
        <v/>
      </c>
      <c r="CJ12" s="72">
        <f>IF(CJ$59="X","",IF(CJ$59&lt;&gt;"",CJ$59,IF(IFERROR(INDEX(醫師週班表!$C$5:$T$44,$CU12,CJ$57),"")=0,"",IF(MID(IFERROR(INDEX(醫師週班表!$C$5:$T$44,$CU12,CJ$57),""),2,1)="/",MID(IFERROR(INDEX(醫師週班表!$C$5:$T$44,$CU12,CJ$57),""),1+CJ$58*2,1),IF(MID(IFERROR(INDEX(醫師週班表!$C$5:$T$44,$CU12,CJ$57),""),3,1)="隔",IF(CJ$58=0,LEFT(IFERROR(INDEX(醫師週班表!$C$5:$T$44,$CU12,CJ$57),""),1),""),IF(MID(IFERROR(INDEX(醫師週班表!$C$5:$T$44,$CU12,CJ$57),""),2,1)="(",LEFT(IFERROR(INDEX(醫師週班表!$C$5:$T$44,$CU12,CJ$57),""),1),IFERROR(INDEX(醫師週班表!$C$5:$T$44,$CU12,CJ$57),"")))))))</f>
        <v/>
      </c>
      <c r="CK12" s="71">
        <f>IF(CK$59="X","",IF(CK$59&lt;&gt;"",CK$59,IF(IFERROR(INDEX(醫師週班表!$C$5:$T$44,$CU12,CK$57),"")=0,"",IF(MID(IFERROR(INDEX(醫師週班表!$C$5:$T$44,$CU12,CK$57),""),2,1)="/",MID(IFERROR(INDEX(醫師週班表!$C$5:$T$44,$CU12,CK$57),""),1+CK$58*2,1),IF(MID(IFERROR(INDEX(醫師週班表!$C$5:$T$44,$CU12,CK$57),""),3,1)="隔",IF(CK$58=0,LEFT(IFERROR(INDEX(醫師週班表!$C$5:$T$44,$CU12,CK$57),""),1),""),IF(MID(IFERROR(INDEX(醫師週班表!$C$5:$T$44,$CU12,CK$57),""),2,1)="(",LEFT(IFERROR(INDEX(醫師週班表!$C$5:$T$44,$CU12,CK$57),""),1),IFERROR(INDEX(醫師週班表!$C$5:$T$44,$CU12,CK$57),"")))))))</f>
        <v/>
      </c>
      <c r="CL12" s="72">
        <f>IF(CL$59="X","",IF(CL$59&lt;&gt;"",CL$59,IF(IFERROR(INDEX(醫師週班表!$C$5:$T$44,$CU12,CL$57),"")=0,"",IF(MID(IFERROR(INDEX(醫師週班表!$C$5:$T$44,$CU12,CL$57),""),2,1)="/",MID(IFERROR(INDEX(醫師週班表!$C$5:$T$44,$CU12,CL$57),""),1+CL$58*2,1),IF(MID(IFERROR(INDEX(醫師週班表!$C$5:$T$44,$CU12,CL$57),""),3,1)="隔",IF(CL$58=0,LEFT(IFERROR(INDEX(醫師週班表!$C$5:$T$44,$CU12,CL$57),""),1),""),IF(MID(IFERROR(INDEX(醫師週班表!$C$5:$T$44,$CU12,CL$57),""),2,1)="(",LEFT(IFERROR(INDEX(醫師週班表!$C$5:$T$44,$CU12,CL$57),""),1),IFERROR(INDEX(醫師週班表!$C$5:$T$44,$CU12,CL$57),"")))))))</f>
        <v/>
      </c>
      <c r="CM12" s="72">
        <f>IF(CM$59="X","",IF(CM$59&lt;&gt;"",CM$59,IF(IFERROR(INDEX(醫師週班表!$C$5:$T$44,$CU12,CM$57),"")=0,"",IF(MID(IFERROR(INDEX(醫師週班表!$C$5:$T$44,$CU12,CM$57),""),2,1)="/",MID(IFERROR(INDEX(醫師週班表!$C$5:$T$44,$CU12,CM$57),""),1+CM$58*2,1),IF(MID(IFERROR(INDEX(醫師週班表!$C$5:$T$44,$CU12,CM$57),""),3,1)="隔",IF(CM$58=0,LEFT(IFERROR(INDEX(醫師週班表!$C$5:$T$44,$CU12,CM$57),""),1),""),IF(MID(IFERROR(INDEX(醫師週班表!$C$5:$T$44,$CU12,CM$57),""),2,1)="(",LEFT(IFERROR(INDEX(醫師週班表!$C$5:$T$44,$CU12,CM$57),""),1),IFERROR(INDEX(醫師週班表!$C$5:$T$44,$CU12,CM$57),"")))))))</f>
        <v/>
      </c>
      <c r="CN12" s="71">
        <f>IF(CN$59="X","",IF(CN$59&lt;&gt;"",CN$59,IF(IFERROR(INDEX(醫師週班表!$C$5:$T$44,$CU12,CN$57),"")=0,"",IF(MID(IFERROR(INDEX(醫師週班表!$C$5:$T$44,$CU12,CN$57),""),2,1)="/",MID(IFERROR(INDEX(醫師週班表!$C$5:$T$44,$CU12,CN$57),""),1+CN$58*2,1),IF(MID(IFERROR(INDEX(醫師週班表!$C$5:$T$44,$CU12,CN$57),""),3,1)="隔",IF(CN$58=0,LEFT(IFERROR(INDEX(醫師週班表!$C$5:$T$44,$CU12,CN$57),""),1),""),IF(MID(IFERROR(INDEX(醫師週班表!$C$5:$T$44,$CU12,CN$57),""),2,1)="(",LEFT(IFERROR(INDEX(醫師週班表!$C$5:$T$44,$CU12,CN$57),""),1),IFERROR(INDEX(醫師週班表!$C$5:$T$44,$CU12,CN$57),"")))))))</f>
        <v/>
      </c>
      <c r="CO12" s="72">
        <f>IF(CO$59="X","",IF(CO$59&lt;&gt;"",CO$59,IF(IFERROR(INDEX(醫師週班表!$C$5:$T$44,$CU12,CO$57),"")=0,"",IF(MID(IFERROR(INDEX(醫師週班表!$C$5:$T$44,$CU12,CO$57),""),2,1)="/",MID(IFERROR(INDEX(醫師週班表!$C$5:$T$44,$CU12,CO$57),""),1+CO$58*2,1),IF(MID(IFERROR(INDEX(醫師週班表!$C$5:$T$44,$CU12,CO$57),""),3,1)="隔",IF(CO$58=0,LEFT(IFERROR(INDEX(醫師週班表!$C$5:$T$44,$CU12,CO$57),""),1),""),IF(MID(IFERROR(INDEX(醫師週班表!$C$5:$T$44,$CU12,CO$57),""),2,1)="(",LEFT(IFERROR(INDEX(醫師週班表!$C$5:$T$44,$CU12,CO$57),""),1),IFERROR(INDEX(醫師週班表!$C$5:$T$44,$CU12,CO$57),"")))))))</f>
        <v/>
      </c>
      <c r="CP12" s="72">
        <f>IF(CP$59="X","",IF(CP$59&lt;&gt;"",CP$59,IF(IFERROR(INDEX(醫師週班表!$C$5:$T$44,$CU12,CP$57),"")=0,"",IF(MID(IFERROR(INDEX(醫師週班表!$C$5:$T$44,$CU12,CP$57),""),2,1)="/",MID(IFERROR(INDEX(醫師週班表!$C$5:$T$44,$CU12,CP$57),""),1+CP$58*2,1),IF(MID(IFERROR(INDEX(醫師週班表!$C$5:$T$44,$CU12,CP$57),""),3,1)="隔",IF(CP$58=0,LEFT(IFERROR(INDEX(醫師週班表!$C$5:$T$44,$CU12,CP$57),""),1),""),IF(MID(IFERROR(INDEX(醫師週班表!$C$5:$T$44,$CU12,CP$57),""),2,1)="(",LEFT(IFERROR(INDEX(醫師週班表!$C$5:$T$44,$CU12,CP$57),""),1),IFERROR(INDEX(醫師週班表!$C$5:$T$44,$CU12,CP$57),"")))))))</f>
        <v/>
      </c>
      <c r="CQ12" s="71">
        <f>IF(CQ$59="X","",IF(CQ$59&lt;&gt;"",CQ$59,IF(IFERROR(INDEX(醫師週班表!$C$5:$T$44,$CU12,CQ$57),"")=0,"",IF(MID(IFERROR(INDEX(醫師週班表!$C$5:$T$44,$CU12,CQ$57),""),2,1)="/",MID(IFERROR(INDEX(醫師週班表!$C$5:$T$44,$CU12,CQ$57),""),1+CQ$58*2,1),IF(MID(IFERROR(INDEX(醫師週班表!$C$5:$T$44,$CU12,CQ$57),""),3,1)="隔",IF(CQ$58=0,LEFT(IFERROR(INDEX(醫師週班表!$C$5:$T$44,$CU12,CQ$57),""),1),""),IF(MID(IFERROR(INDEX(醫師週班表!$C$5:$T$44,$CU12,CQ$57),""),2,1)="(",LEFT(IFERROR(INDEX(醫師週班表!$C$5:$T$44,$CU12,CQ$57),""),1),IFERROR(INDEX(醫師週班表!$C$5:$T$44,$CU12,CQ$57),"")))))))</f>
        <v/>
      </c>
      <c r="CR12" s="72">
        <f>IF(CR$59="X","",IF(CR$59&lt;&gt;"",CR$59,IF(IFERROR(INDEX(醫師週班表!$C$5:$T$44,$CU12,CR$57),"")=0,"",IF(MID(IFERROR(INDEX(醫師週班表!$C$5:$T$44,$CU12,CR$57),""),2,1)="/",MID(IFERROR(INDEX(醫師週班表!$C$5:$T$44,$CU12,CR$57),""),1+CR$58*2,1),IF(MID(IFERROR(INDEX(醫師週班表!$C$5:$T$44,$CU12,CR$57),""),3,1)="隔",IF(CR$58=0,LEFT(IFERROR(INDEX(醫師週班表!$C$5:$T$44,$CU12,CR$57),""),1),""),IF(MID(IFERROR(INDEX(醫師週班表!$C$5:$T$44,$CU12,CR$57),""),2,1)="(",LEFT(IFERROR(INDEX(醫師週班表!$C$5:$T$44,$CU12,CR$57),""),1),IFERROR(INDEX(醫師週班表!$C$5:$T$44,$CU12,CR$57),"")))))))</f>
        <v/>
      </c>
      <c r="CS12" s="72">
        <f>IF(CS$59="X","",IF(CS$59&lt;&gt;"",CS$59,IF(IFERROR(INDEX(醫師週班表!$C$5:$T$44,$CU12,CS$57),"")=0,"",IF(MID(IFERROR(INDEX(醫師週班表!$C$5:$T$44,$CU12,CS$57),""),2,1)="/",MID(IFERROR(INDEX(醫師週班表!$C$5:$T$44,$CU12,CS$57),""),1+CS$58*2,1),IF(MID(IFERROR(INDEX(醫師週班表!$C$5:$T$44,$CU12,CS$57),""),3,1)="隔",IF(CS$58=0,LEFT(IFERROR(INDEX(醫師週班表!$C$5:$T$44,$CU12,CS$57),""),1),""),IF(MID(IFERROR(INDEX(醫師週班表!$C$5:$T$44,$CU12,CS$57),""),2,1)="(",LEFT(IFERROR(INDEX(醫師週班表!$C$5:$T$44,$CU12,CS$57),""),1),IFERROR(INDEX(醫師週班表!$C$5:$T$44,$CU12,CS$57),"")))))))</f>
        <v/>
      </c>
      <c r="CU12" s="73">
        <f>IFERROR(MATCH($A12,醫師週班表!$A$5:$A$44,0),0)</f>
        <v/>
      </c>
    </row>
    <row r="13" ht="17" customHeight="1">
      <c r="A13" s="19" t="inlineStr">
        <is>
          <t>D008</t>
        </is>
      </c>
      <c r="B13" s="16" t="inlineStr">
        <is>
          <t>林紫亭</t>
        </is>
      </c>
      <c r="C13" s="70" t="inlineStr"/>
      <c r="D13" s="16" t="inlineStr"/>
      <c r="E13" s="71">
        <f>IF(E$59="X","",IF(E$59&lt;&gt;"",E$59,IF(IFERROR(INDEX(醫師週班表!$C$5:$T$44,$CU13,E$57),"")=0,"",IF(MID(IFERROR(INDEX(醫師週班表!$C$5:$T$44,$CU13,E$57),""),2,1)="/",MID(IFERROR(INDEX(醫師週班表!$C$5:$T$44,$CU13,E$57),""),1+E$58*2,1),IF(MID(IFERROR(INDEX(醫師週班表!$C$5:$T$44,$CU13,E$57),""),3,1)="隔",IF(E$58=0,LEFT(IFERROR(INDEX(醫師週班表!$C$5:$T$44,$CU13,E$57),""),1),""),IF(MID(IFERROR(INDEX(醫師週班表!$C$5:$T$44,$CU13,E$57),""),2,1)="(",LEFT(IFERROR(INDEX(醫師週班表!$C$5:$T$44,$CU13,E$57),""),1),IFERROR(INDEX(醫師週班表!$C$5:$T$44,$CU13,E$57),"")))))))</f>
        <v/>
      </c>
      <c r="F13" s="72">
        <f>IF(F$59="X","",IF(F$59&lt;&gt;"",F$59,IF(IFERROR(INDEX(醫師週班表!$C$5:$T$44,$CU13,F$57),"")=0,"",IF(MID(IFERROR(INDEX(醫師週班表!$C$5:$T$44,$CU13,F$57),""),2,1)="/",MID(IFERROR(INDEX(醫師週班表!$C$5:$T$44,$CU13,F$57),""),1+F$58*2,1),IF(MID(IFERROR(INDEX(醫師週班表!$C$5:$T$44,$CU13,F$57),""),3,1)="隔",IF(F$58=0,LEFT(IFERROR(INDEX(醫師週班表!$C$5:$T$44,$CU13,F$57),""),1),""),IF(MID(IFERROR(INDEX(醫師週班表!$C$5:$T$44,$CU13,F$57),""),2,1)="(",LEFT(IFERROR(INDEX(醫師週班表!$C$5:$T$44,$CU13,F$57),""),1),IFERROR(INDEX(醫師週班表!$C$5:$T$44,$CU13,F$57),"")))))))</f>
        <v/>
      </c>
      <c r="G13" s="72">
        <f>IF(G$59="X","",IF(G$59&lt;&gt;"",G$59,IF(IFERROR(INDEX(醫師週班表!$C$5:$T$44,$CU13,G$57),"")=0,"",IF(MID(IFERROR(INDEX(醫師週班表!$C$5:$T$44,$CU13,G$57),""),2,1)="/",MID(IFERROR(INDEX(醫師週班表!$C$5:$T$44,$CU13,G$57),""),1+G$58*2,1),IF(MID(IFERROR(INDEX(醫師週班表!$C$5:$T$44,$CU13,G$57),""),3,1)="隔",IF(G$58=0,LEFT(IFERROR(INDEX(醫師週班表!$C$5:$T$44,$CU13,G$57),""),1),""),IF(MID(IFERROR(INDEX(醫師週班表!$C$5:$T$44,$CU13,G$57),""),2,1)="(",LEFT(IFERROR(INDEX(醫師週班表!$C$5:$T$44,$CU13,G$57),""),1),IFERROR(INDEX(醫師週班表!$C$5:$T$44,$CU13,G$57),"")))))))</f>
        <v/>
      </c>
      <c r="H13" s="71">
        <f>IF(H$59="X","",IF(H$59&lt;&gt;"",H$59,IF(IFERROR(INDEX(醫師週班表!$C$5:$T$44,$CU13,H$57),"")=0,"",IF(MID(IFERROR(INDEX(醫師週班表!$C$5:$T$44,$CU13,H$57),""),2,1)="/",MID(IFERROR(INDEX(醫師週班表!$C$5:$T$44,$CU13,H$57),""),1+H$58*2,1),IF(MID(IFERROR(INDEX(醫師週班表!$C$5:$T$44,$CU13,H$57),""),3,1)="隔",IF(H$58=0,LEFT(IFERROR(INDEX(醫師週班表!$C$5:$T$44,$CU13,H$57),""),1),""),IF(MID(IFERROR(INDEX(醫師週班表!$C$5:$T$44,$CU13,H$57),""),2,1)="(",LEFT(IFERROR(INDEX(醫師週班表!$C$5:$T$44,$CU13,H$57),""),1),IFERROR(INDEX(醫師週班表!$C$5:$T$44,$CU13,H$57),"")))))))</f>
        <v/>
      </c>
      <c r="I13" s="72">
        <f>IF(I$59="X","",IF(I$59&lt;&gt;"",I$59,IF(IFERROR(INDEX(醫師週班表!$C$5:$T$44,$CU13,I$57),"")=0,"",IF(MID(IFERROR(INDEX(醫師週班表!$C$5:$T$44,$CU13,I$57),""),2,1)="/",MID(IFERROR(INDEX(醫師週班表!$C$5:$T$44,$CU13,I$57),""),1+I$58*2,1),IF(MID(IFERROR(INDEX(醫師週班表!$C$5:$T$44,$CU13,I$57),""),3,1)="隔",IF(I$58=0,LEFT(IFERROR(INDEX(醫師週班表!$C$5:$T$44,$CU13,I$57),""),1),""),IF(MID(IFERROR(INDEX(醫師週班表!$C$5:$T$44,$CU13,I$57),""),2,1)="(",LEFT(IFERROR(INDEX(醫師週班表!$C$5:$T$44,$CU13,I$57),""),1),IFERROR(INDEX(醫師週班表!$C$5:$T$44,$CU13,I$57),"")))))))</f>
        <v/>
      </c>
      <c r="J13" s="72">
        <f>IF(J$59="X","",IF(J$59&lt;&gt;"",J$59,IF(IFERROR(INDEX(醫師週班表!$C$5:$T$44,$CU13,J$57),"")=0,"",IF(MID(IFERROR(INDEX(醫師週班表!$C$5:$T$44,$CU13,J$57),""),2,1)="/",MID(IFERROR(INDEX(醫師週班表!$C$5:$T$44,$CU13,J$57),""),1+J$58*2,1),IF(MID(IFERROR(INDEX(醫師週班表!$C$5:$T$44,$CU13,J$57),""),3,1)="隔",IF(J$58=0,LEFT(IFERROR(INDEX(醫師週班表!$C$5:$T$44,$CU13,J$57),""),1),""),IF(MID(IFERROR(INDEX(醫師週班表!$C$5:$T$44,$CU13,J$57),""),2,1)="(",LEFT(IFERROR(INDEX(醫師週班表!$C$5:$T$44,$CU13,J$57),""),1),IFERROR(INDEX(醫師週班表!$C$5:$T$44,$CU13,J$57),"")))))))</f>
        <v/>
      </c>
      <c r="K13" s="71">
        <f>IF(K$59="X","",IF(K$59&lt;&gt;"",K$59,IF(IFERROR(INDEX(醫師週班表!$C$5:$T$44,$CU13,K$57),"")=0,"",IF(MID(IFERROR(INDEX(醫師週班表!$C$5:$T$44,$CU13,K$57),""),2,1)="/",MID(IFERROR(INDEX(醫師週班表!$C$5:$T$44,$CU13,K$57),""),1+K$58*2,1),IF(MID(IFERROR(INDEX(醫師週班表!$C$5:$T$44,$CU13,K$57),""),3,1)="隔",IF(K$58=0,LEFT(IFERROR(INDEX(醫師週班表!$C$5:$T$44,$CU13,K$57),""),1),""),IF(MID(IFERROR(INDEX(醫師週班表!$C$5:$T$44,$CU13,K$57),""),2,1)="(",LEFT(IFERROR(INDEX(醫師週班表!$C$5:$T$44,$CU13,K$57),""),1),IFERROR(INDEX(醫師週班表!$C$5:$T$44,$CU13,K$57),"")))))))</f>
        <v/>
      </c>
      <c r="L13" s="72">
        <f>IF(L$59="X","",IF(L$59&lt;&gt;"",L$59,IF(IFERROR(INDEX(醫師週班表!$C$5:$T$44,$CU13,L$57),"")=0,"",IF(MID(IFERROR(INDEX(醫師週班表!$C$5:$T$44,$CU13,L$57),""),2,1)="/",MID(IFERROR(INDEX(醫師週班表!$C$5:$T$44,$CU13,L$57),""),1+L$58*2,1),IF(MID(IFERROR(INDEX(醫師週班表!$C$5:$T$44,$CU13,L$57),""),3,1)="隔",IF(L$58=0,LEFT(IFERROR(INDEX(醫師週班表!$C$5:$T$44,$CU13,L$57),""),1),""),IF(MID(IFERROR(INDEX(醫師週班表!$C$5:$T$44,$CU13,L$57),""),2,1)="(",LEFT(IFERROR(INDEX(醫師週班表!$C$5:$T$44,$CU13,L$57),""),1),IFERROR(INDEX(醫師週班表!$C$5:$T$44,$CU13,L$57),"")))))))</f>
        <v/>
      </c>
      <c r="M13" s="72">
        <f>IF(M$59="X","",IF(M$59&lt;&gt;"",M$59,IF(IFERROR(INDEX(醫師週班表!$C$5:$T$44,$CU13,M$57),"")=0,"",IF(MID(IFERROR(INDEX(醫師週班表!$C$5:$T$44,$CU13,M$57),""),2,1)="/",MID(IFERROR(INDEX(醫師週班表!$C$5:$T$44,$CU13,M$57),""),1+M$58*2,1),IF(MID(IFERROR(INDEX(醫師週班表!$C$5:$T$44,$CU13,M$57),""),3,1)="隔",IF(M$58=0,LEFT(IFERROR(INDEX(醫師週班表!$C$5:$T$44,$CU13,M$57),""),1),""),IF(MID(IFERROR(INDEX(醫師週班表!$C$5:$T$44,$CU13,M$57),""),2,1)="(",LEFT(IFERROR(INDEX(醫師週班表!$C$5:$T$44,$CU13,M$57),""),1),IFERROR(INDEX(醫師週班表!$C$5:$T$44,$CU13,M$57),"")))))))</f>
        <v/>
      </c>
      <c r="N13" s="71">
        <f>IF(N$59="X","",IF(N$59&lt;&gt;"",N$59,IF(IFERROR(INDEX(醫師週班表!$C$5:$T$44,$CU13,N$57),"")=0,"",IF(MID(IFERROR(INDEX(醫師週班表!$C$5:$T$44,$CU13,N$57),""),2,1)="/",MID(IFERROR(INDEX(醫師週班表!$C$5:$T$44,$CU13,N$57),""),1+N$58*2,1),IF(MID(IFERROR(INDEX(醫師週班表!$C$5:$T$44,$CU13,N$57),""),3,1)="隔",IF(N$58=0,LEFT(IFERROR(INDEX(醫師週班表!$C$5:$T$44,$CU13,N$57),""),1),""),IF(MID(IFERROR(INDEX(醫師週班表!$C$5:$T$44,$CU13,N$57),""),2,1)="(",LEFT(IFERROR(INDEX(醫師週班表!$C$5:$T$44,$CU13,N$57),""),1),IFERROR(INDEX(醫師週班表!$C$5:$T$44,$CU13,N$57),"")))))))</f>
        <v/>
      </c>
      <c r="O13" s="72">
        <f>IF(O$59="X","",IF(O$59&lt;&gt;"",O$59,IF(IFERROR(INDEX(醫師週班表!$C$5:$T$44,$CU13,O$57),"")=0,"",IF(MID(IFERROR(INDEX(醫師週班表!$C$5:$T$44,$CU13,O$57),""),2,1)="/",MID(IFERROR(INDEX(醫師週班表!$C$5:$T$44,$CU13,O$57),""),1+O$58*2,1),IF(MID(IFERROR(INDEX(醫師週班表!$C$5:$T$44,$CU13,O$57),""),3,1)="隔",IF(O$58=0,LEFT(IFERROR(INDEX(醫師週班表!$C$5:$T$44,$CU13,O$57),""),1),""),IF(MID(IFERROR(INDEX(醫師週班表!$C$5:$T$44,$CU13,O$57),""),2,1)="(",LEFT(IFERROR(INDEX(醫師週班表!$C$5:$T$44,$CU13,O$57),""),1),IFERROR(INDEX(醫師週班表!$C$5:$T$44,$CU13,O$57),"")))))))</f>
        <v/>
      </c>
      <c r="P13" s="72">
        <f>IF(P$59="X","",IF(P$59&lt;&gt;"",P$59,IF(IFERROR(INDEX(醫師週班表!$C$5:$T$44,$CU13,P$57),"")=0,"",IF(MID(IFERROR(INDEX(醫師週班表!$C$5:$T$44,$CU13,P$57),""),2,1)="/",MID(IFERROR(INDEX(醫師週班表!$C$5:$T$44,$CU13,P$57),""),1+P$58*2,1),IF(MID(IFERROR(INDEX(醫師週班表!$C$5:$T$44,$CU13,P$57),""),3,1)="隔",IF(P$58=0,LEFT(IFERROR(INDEX(醫師週班表!$C$5:$T$44,$CU13,P$57),""),1),""),IF(MID(IFERROR(INDEX(醫師週班表!$C$5:$T$44,$CU13,P$57),""),2,1)="(",LEFT(IFERROR(INDEX(醫師週班表!$C$5:$T$44,$CU13,P$57),""),1),IFERROR(INDEX(醫師週班表!$C$5:$T$44,$CU13,P$57),"")))))))</f>
        <v/>
      </c>
      <c r="Q13" s="71">
        <f>IF(Q$59="X","",IF(Q$59&lt;&gt;"",Q$59,IF(IFERROR(INDEX(醫師週班表!$C$5:$T$44,$CU13,Q$57),"")=0,"",IF(MID(IFERROR(INDEX(醫師週班表!$C$5:$T$44,$CU13,Q$57),""),2,1)="/",MID(IFERROR(INDEX(醫師週班表!$C$5:$T$44,$CU13,Q$57),""),1+Q$58*2,1),IF(MID(IFERROR(INDEX(醫師週班表!$C$5:$T$44,$CU13,Q$57),""),3,1)="隔",IF(Q$58=0,LEFT(IFERROR(INDEX(醫師週班表!$C$5:$T$44,$CU13,Q$57),""),1),""),IF(MID(IFERROR(INDEX(醫師週班表!$C$5:$T$44,$CU13,Q$57),""),2,1)="(",LEFT(IFERROR(INDEX(醫師週班表!$C$5:$T$44,$CU13,Q$57),""),1),IFERROR(INDEX(醫師週班表!$C$5:$T$44,$CU13,Q$57),"")))))))</f>
        <v/>
      </c>
      <c r="R13" s="72">
        <f>IF(R$59="X","",IF(R$59&lt;&gt;"",R$59,IF(IFERROR(INDEX(醫師週班表!$C$5:$T$44,$CU13,R$57),"")=0,"",IF(MID(IFERROR(INDEX(醫師週班表!$C$5:$T$44,$CU13,R$57),""),2,1)="/",MID(IFERROR(INDEX(醫師週班表!$C$5:$T$44,$CU13,R$57),""),1+R$58*2,1),IF(MID(IFERROR(INDEX(醫師週班表!$C$5:$T$44,$CU13,R$57),""),3,1)="隔",IF(R$58=0,LEFT(IFERROR(INDEX(醫師週班表!$C$5:$T$44,$CU13,R$57),""),1),""),IF(MID(IFERROR(INDEX(醫師週班表!$C$5:$T$44,$CU13,R$57),""),2,1)="(",LEFT(IFERROR(INDEX(醫師週班表!$C$5:$T$44,$CU13,R$57),""),1),IFERROR(INDEX(醫師週班表!$C$5:$T$44,$CU13,R$57),"")))))))</f>
        <v/>
      </c>
      <c r="S13" s="72">
        <f>IF(S$59="X","",IF(S$59&lt;&gt;"",S$59,IF(IFERROR(INDEX(醫師週班表!$C$5:$T$44,$CU13,S$57),"")=0,"",IF(MID(IFERROR(INDEX(醫師週班表!$C$5:$T$44,$CU13,S$57),""),2,1)="/",MID(IFERROR(INDEX(醫師週班表!$C$5:$T$44,$CU13,S$57),""),1+S$58*2,1),IF(MID(IFERROR(INDEX(醫師週班表!$C$5:$T$44,$CU13,S$57),""),3,1)="隔",IF(S$58=0,LEFT(IFERROR(INDEX(醫師週班表!$C$5:$T$44,$CU13,S$57),""),1),""),IF(MID(IFERROR(INDEX(醫師週班表!$C$5:$T$44,$CU13,S$57),""),2,1)="(",LEFT(IFERROR(INDEX(醫師週班表!$C$5:$T$44,$CU13,S$57),""),1),IFERROR(INDEX(醫師週班表!$C$5:$T$44,$CU13,S$57),"")))))))</f>
        <v/>
      </c>
      <c r="T13" s="71">
        <f>IF(T$59="X","",IF(T$59&lt;&gt;"",T$59,IF(IFERROR(INDEX(醫師週班表!$C$5:$T$44,$CU13,T$57),"")=0,"",IF(MID(IFERROR(INDEX(醫師週班表!$C$5:$T$44,$CU13,T$57),""),2,1)="/",MID(IFERROR(INDEX(醫師週班表!$C$5:$T$44,$CU13,T$57),""),1+T$58*2,1),IF(MID(IFERROR(INDEX(醫師週班表!$C$5:$T$44,$CU13,T$57),""),3,1)="隔",IF(T$58=0,LEFT(IFERROR(INDEX(醫師週班表!$C$5:$T$44,$CU13,T$57),""),1),""),IF(MID(IFERROR(INDEX(醫師週班表!$C$5:$T$44,$CU13,T$57),""),2,1)="(",LEFT(IFERROR(INDEX(醫師週班表!$C$5:$T$44,$CU13,T$57),""),1),IFERROR(INDEX(醫師週班表!$C$5:$T$44,$CU13,T$57),"")))))))</f>
        <v/>
      </c>
      <c r="U13" s="72">
        <f>IF(U$59="X","",IF(U$59&lt;&gt;"",U$59,IF(IFERROR(INDEX(醫師週班表!$C$5:$T$44,$CU13,U$57),"")=0,"",IF(MID(IFERROR(INDEX(醫師週班表!$C$5:$T$44,$CU13,U$57),""),2,1)="/",MID(IFERROR(INDEX(醫師週班表!$C$5:$T$44,$CU13,U$57),""),1+U$58*2,1),IF(MID(IFERROR(INDEX(醫師週班表!$C$5:$T$44,$CU13,U$57),""),3,1)="隔",IF(U$58=0,LEFT(IFERROR(INDEX(醫師週班表!$C$5:$T$44,$CU13,U$57),""),1),""),IF(MID(IFERROR(INDEX(醫師週班表!$C$5:$T$44,$CU13,U$57),""),2,1)="(",LEFT(IFERROR(INDEX(醫師週班表!$C$5:$T$44,$CU13,U$57),""),1),IFERROR(INDEX(醫師週班表!$C$5:$T$44,$CU13,U$57),"")))))))</f>
        <v/>
      </c>
      <c r="V13" s="72">
        <f>IF(V$59="X","",IF(V$59&lt;&gt;"",V$59,IF(IFERROR(INDEX(醫師週班表!$C$5:$T$44,$CU13,V$57),"")=0,"",IF(MID(IFERROR(INDEX(醫師週班表!$C$5:$T$44,$CU13,V$57),""),2,1)="/",MID(IFERROR(INDEX(醫師週班表!$C$5:$T$44,$CU13,V$57),""),1+V$58*2,1),IF(MID(IFERROR(INDEX(醫師週班表!$C$5:$T$44,$CU13,V$57),""),3,1)="隔",IF(V$58=0,LEFT(IFERROR(INDEX(醫師週班表!$C$5:$T$44,$CU13,V$57),""),1),""),IF(MID(IFERROR(INDEX(醫師週班表!$C$5:$T$44,$CU13,V$57),""),2,1)="(",LEFT(IFERROR(INDEX(醫師週班表!$C$5:$T$44,$CU13,V$57),""),1),IFERROR(INDEX(醫師週班表!$C$5:$T$44,$CU13,V$57),"")))))))</f>
        <v/>
      </c>
      <c r="W13" s="71">
        <f>IF(W$59="X","",IF(W$59&lt;&gt;"",W$59,IF(IFERROR(INDEX(醫師週班表!$C$5:$T$44,$CU13,W$57),"")=0,"",IF(MID(IFERROR(INDEX(醫師週班表!$C$5:$T$44,$CU13,W$57),""),2,1)="/",MID(IFERROR(INDEX(醫師週班表!$C$5:$T$44,$CU13,W$57),""),1+W$58*2,1),IF(MID(IFERROR(INDEX(醫師週班表!$C$5:$T$44,$CU13,W$57),""),3,1)="隔",IF(W$58=0,LEFT(IFERROR(INDEX(醫師週班表!$C$5:$T$44,$CU13,W$57),""),1),""),IF(MID(IFERROR(INDEX(醫師週班表!$C$5:$T$44,$CU13,W$57),""),2,1)="(",LEFT(IFERROR(INDEX(醫師週班表!$C$5:$T$44,$CU13,W$57),""),1),IFERROR(INDEX(醫師週班表!$C$5:$T$44,$CU13,W$57),"")))))))</f>
        <v/>
      </c>
      <c r="X13" s="72">
        <f>IF(X$59="X","",IF(X$59&lt;&gt;"",X$59,IF(IFERROR(INDEX(醫師週班表!$C$5:$T$44,$CU13,X$57),"")=0,"",IF(MID(IFERROR(INDEX(醫師週班表!$C$5:$T$44,$CU13,X$57),""),2,1)="/",MID(IFERROR(INDEX(醫師週班表!$C$5:$T$44,$CU13,X$57),""),1+X$58*2,1),IF(MID(IFERROR(INDEX(醫師週班表!$C$5:$T$44,$CU13,X$57),""),3,1)="隔",IF(X$58=0,LEFT(IFERROR(INDEX(醫師週班表!$C$5:$T$44,$CU13,X$57),""),1),""),IF(MID(IFERROR(INDEX(醫師週班表!$C$5:$T$44,$CU13,X$57),""),2,1)="(",LEFT(IFERROR(INDEX(醫師週班表!$C$5:$T$44,$CU13,X$57),""),1),IFERROR(INDEX(醫師週班表!$C$5:$T$44,$CU13,X$57),"")))))))</f>
        <v/>
      </c>
      <c r="Y13" s="72">
        <f>IF(Y$59="X","",IF(Y$59&lt;&gt;"",Y$59,IF(IFERROR(INDEX(醫師週班表!$C$5:$T$44,$CU13,Y$57),"")=0,"",IF(MID(IFERROR(INDEX(醫師週班表!$C$5:$T$44,$CU13,Y$57),""),2,1)="/",MID(IFERROR(INDEX(醫師週班表!$C$5:$T$44,$CU13,Y$57),""),1+Y$58*2,1),IF(MID(IFERROR(INDEX(醫師週班表!$C$5:$T$44,$CU13,Y$57),""),3,1)="隔",IF(Y$58=0,LEFT(IFERROR(INDEX(醫師週班表!$C$5:$T$44,$CU13,Y$57),""),1),""),IF(MID(IFERROR(INDEX(醫師週班表!$C$5:$T$44,$CU13,Y$57),""),2,1)="(",LEFT(IFERROR(INDEX(醫師週班表!$C$5:$T$44,$CU13,Y$57),""),1),IFERROR(INDEX(醫師週班表!$C$5:$T$44,$CU13,Y$57),"")))))))</f>
        <v/>
      </c>
      <c r="Z13" s="71">
        <f>IF(Z$59="X","",IF(Z$59&lt;&gt;"",Z$59,IF(IFERROR(INDEX(醫師週班表!$C$5:$T$44,$CU13,Z$57),"")=0,"",IF(MID(IFERROR(INDEX(醫師週班表!$C$5:$T$44,$CU13,Z$57),""),2,1)="/",MID(IFERROR(INDEX(醫師週班表!$C$5:$T$44,$CU13,Z$57),""),1+Z$58*2,1),IF(MID(IFERROR(INDEX(醫師週班表!$C$5:$T$44,$CU13,Z$57),""),3,1)="隔",IF(Z$58=0,LEFT(IFERROR(INDEX(醫師週班表!$C$5:$T$44,$CU13,Z$57),""),1),""),IF(MID(IFERROR(INDEX(醫師週班表!$C$5:$T$44,$CU13,Z$57),""),2,1)="(",LEFT(IFERROR(INDEX(醫師週班表!$C$5:$T$44,$CU13,Z$57),""),1),IFERROR(INDEX(醫師週班表!$C$5:$T$44,$CU13,Z$57),"")))))))</f>
        <v/>
      </c>
      <c r="AA13" s="72">
        <f>IF(AA$59="X","",IF(AA$59&lt;&gt;"",AA$59,IF(IFERROR(INDEX(醫師週班表!$C$5:$T$44,$CU13,AA$57),"")=0,"",IF(MID(IFERROR(INDEX(醫師週班表!$C$5:$T$44,$CU13,AA$57),""),2,1)="/",MID(IFERROR(INDEX(醫師週班表!$C$5:$T$44,$CU13,AA$57),""),1+AA$58*2,1),IF(MID(IFERROR(INDEX(醫師週班表!$C$5:$T$44,$CU13,AA$57),""),3,1)="隔",IF(AA$58=0,LEFT(IFERROR(INDEX(醫師週班表!$C$5:$T$44,$CU13,AA$57),""),1),""),IF(MID(IFERROR(INDEX(醫師週班表!$C$5:$T$44,$CU13,AA$57),""),2,1)="(",LEFT(IFERROR(INDEX(醫師週班表!$C$5:$T$44,$CU13,AA$57),""),1),IFERROR(INDEX(醫師週班表!$C$5:$T$44,$CU13,AA$57),"")))))))</f>
        <v/>
      </c>
      <c r="AB13" s="72">
        <f>IF(AB$59="X","",IF(AB$59&lt;&gt;"",AB$59,IF(IFERROR(INDEX(醫師週班表!$C$5:$T$44,$CU13,AB$57),"")=0,"",IF(MID(IFERROR(INDEX(醫師週班表!$C$5:$T$44,$CU13,AB$57),""),2,1)="/",MID(IFERROR(INDEX(醫師週班表!$C$5:$T$44,$CU13,AB$57),""),1+AB$58*2,1),IF(MID(IFERROR(INDEX(醫師週班表!$C$5:$T$44,$CU13,AB$57),""),3,1)="隔",IF(AB$58=0,LEFT(IFERROR(INDEX(醫師週班表!$C$5:$T$44,$CU13,AB$57),""),1),""),IF(MID(IFERROR(INDEX(醫師週班表!$C$5:$T$44,$CU13,AB$57),""),2,1)="(",LEFT(IFERROR(INDEX(醫師週班表!$C$5:$T$44,$CU13,AB$57),""),1),IFERROR(INDEX(醫師週班表!$C$5:$T$44,$CU13,AB$57),"")))))))</f>
        <v/>
      </c>
      <c r="AC13" s="71">
        <f>IF(AC$59="X","",IF(AC$59&lt;&gt;"",AC$59,IF(IFERROR(INDEX(醫師週班表!$C$5:$T$44,$CU13,AC$57),"")=0,"",IF(MID(IFERROR(INDEX(醫師週班表!$C$5:$T$44,$CU13,AC$57),""),2,1)="/",MID(IFERROR(INDEX(醫師週班表!$C$5:$T$44,$CU13,AC$57),""),1+AC$58*2,1),IF(MID(IFERROR(INDEX(醫師週班表!$C$5:$T$44,$CU13,AC$57),""),3,1)="隔",IF(AC$58=0,LEFT(IFERROR(INDEX(醫師週班表!$C$5:$T$44,$CU13,AC$57),""),1),""),IF(MID(IFERROR(INDEX(醫師週班表!$C$5:$T$44,$CU13,AC$57),""),2,1)="(",LEFT(IFERROR(INDEX(醫師週班表!$C$5:$T$44,$CU13,AC$57),""),1),IFERROR(INDEX(醫師週班表!$C$5:$T$44,$CU13,AC$57),"")))))))</f>
        <v/>
      </c>
      <c r="AD13" s="72">
        <f>IF(AD$59="X","",IF(AD$59&lt;&gt;"",AD$59,IF(IFERROR(INDEX(醫師週班表!$C$5:$T$44,$CU13,AD$57),"")=0,"",IF(MID(IFERROR(INDEX(醫師週班表!$C$5:$T$44,$CU13,AD$57),""),2,1)="/",MID(IFERROR(INDEX(醫師週班表!$C$5:$T$44,$CU13,AD$57),""),1+AD$58*2,1),IF(MID(IFERROR(INDEX(醫師週班表!$C$5:$T$44,$CU13,AD$57),""),3,1)="隔",IF(AD$58=0,LEFT(IFERROR(INDEX(醫師週班表!$C$5:$T$44,$CU13,AD$57),""),1),""),IF(MID(IFERROR(INDEX(醫師週班表!$C$5:$T$44,$CU13,AD$57),""),2,1)="(",LEFT(IFERROR(INDEX(醫師週班表!$C$5:$T$44,$CU13,AD$57),""),1),IFERROR(INDEX(醫師週班表!$C$5:$T$44,$CU13,AD$57),"")))))))</f>
        <v/>
      </c>
      <c r="AE13" s="72">
        <f>IF(AE$59="X","",IF(AE$59&lt;&gt;"",AE$59,IF(IFERROR(INDEX(醫師週班表!$C$5:$T$44,$CU13,AE$57),"")=0,"",IF(MID(IFERROR(INDEX(醫師週班表!$C$5:$T$44,$CU13,AE$57),""),2,1)="/",MID(IFERROR(INDEX(醫師週班表!$C$5:$T$44,$CU13,AE$57),""),1+AE$58*2,1),IF(MID(IFERROR(INDEX(醫師週班表!$C$5:$T$44,$CU13,AE$57),""),3,1)="隔",IF(AE$58=0,LEFT(IFERROR(INDEX(醫師週班表!$C$5:$T$44,$CU13,AE$57),""),1),""),IF(MID(IFERROR(INDEX(醫師週班表!$C$5:$T$44,$CU13,AE$57),""),2,1)="(",LEFT(IFERROR(INDEX(醫師週班表!$C$5:$T$44,$CU13,AE$57),""),1),IFERROR(INDEX(醫師週班表!$C$5:$T$44,$CU13,AE$57),"")))))))</f>
        <v/>
      </c>
      <c r="AF13" s="71">
        <f>IF(AF$59="X","",IF(AF$59&lt;&gt;"",AF$59,IF(IFERROR(INDEX(醫師週班表!$C$5:$T$44,$CU13,AF$57),"")=0,"",IF(MID(IFERROR(INDEX(醫師週班表!$C$5:$T$44,$CU13,AF$57),""),2,1)="/",MID(IFERROR(INDEX(醫師週班表!$C$5:$T$44,$CU13,AF$57),""),1+AF$58*2,1),IF(MID(IFERROR(INDEX(醫師週班表!$C$5:$T$44,$CU13,AF$57),""),3,1)="隔",IF(AF$58=0,LEFT(IFERROR(INDEX(醫師週班表!$C$5:$T$44,$CU13,AF$57),""),1),""),IF(MID(IFERROR(INDEX(醫師週班表!$C$5:$T$44,$CU13,AF$57),""),2,1)="(",LEFT(IFERROR(INDEX(醫師週班表!$C$5:$T$44,$CU13,AF$57),""),1),IFERROR(INDEX(醫師週班表!$C$5:$T$44,$CU13,AF$57),"")))))))</f>
        <v/>
      </c>
      <c r="AG13" s="72">
        <f>IF(AG$59="X","",IF(AG$59&lt;&gt;"",AG$59,IF(IFERROR(INDEX(醫師週班表!$C$5:$T$44,$CU13,AG$57),"")=0,"",IF(MID(IFERROR(INDEX(醫師週班表!$C$5:$T$44,$CU13,AG$57),""),2,1)="/",MID(IFERROR(INDEX(醫師週班表!$C$5:$T$44,$CU13,AG$57),""),1+AG$58*2,1),IF(MID(IFERROR(INDEX(醫師週班表!$C$5:$T$44,$CU13,AG$57),""),3,1)="隔",IF(AG$58=0,LEFT(IFERROR(INDEX(醫師週班表!$C$5:$T$44,$CU13,AG$57),""),1),""),IF(MID(IFERROR(INDEX(醫師週班表!$C$5:$T$44,$CU13,AG$57),""),2,1)="(",LEFT(IFERROR(INDEX(醫師週班表!$C$5:$T$44,$CU13,AG$57),""),1),IFERROR(INDEX(醫師週班表!$C$5:$T$44,$CU13,AG$57),"")))))))</f>
        <v/>
      </c>
      <c r="AH13" s="72">
        <f>IF(AH$59="X","",IF(AH$59&lt;&gt;"",AH$59,IF(IFERROR(INDEX(醫師週班表!$C$5:$T$44,$CU13,AH$57),"")=0,"",IF(MID(IFERROR(INDEX(醫師週班表!$C$5:$T$44,$CU13,AH$57),""),2,1)="/",MID(IFERROR(INDEX(醫師週班表!$C$5:$T$44,$CU13,AH$57),""),1+AH$58*2,1),IF(MID(IFERROR(INDEX(醫師週班表!$C$5:$T$44,$CU13,AH$57),""),3,1)="隔",IF(AH$58=0,LEFT(IFERROR(INDEX(醫師週班表!$C$5:$T$44,$CU13,AH$57),""),1),""),IF(MID(IFERROR(INDEX(醫師週班表!$C$5:$T$44,$CU13,AH$57),""),2,1)="(",LEFT(IFERROR(INDEX(醫師週班表!$C$5:$T$44,$CU13,AH$57),""),1),IFERROR(INDEX(醫師週班表!$C$5:$T$44,$CU13,AH$57),"")))))))</f>
        <v/>
      </c>
      <c r="AI13" s="71">
        <f>IF(AI$59="X","",IF(AI$59&lt;&gt;"",AI$59,IF(IFERROR(INDEX(醫師週班表!$C$5:$T$44,$CU13,AI$57),"")=0,"",IF(MID(IFERROR(INDEX(醫師週班表!$C$5:$T$44,$CU13,AI$57),""),2,1)="/",MID(IFERROR(INDEX(醫師週班表!$C$5:$T$44,$CU13,AI$57),""),1+AI$58*2,1),IF(MID(IFERROR(INDEX(醫師週班表!$C$5:$T$44,$CU13,AI$57),""),3,1)="隔",IF(AI$58=0,LEFT(IFERROR(INDEX(醫師週班表!$C$5:$T$44,$CU13,AI$57),""),1),""),IF(MID(IFERROR(INDEX(醫師週班表!$C$5:$T$44,$CU13,AI$57),""),2,1)="(",LEFT(IFERROR(INDEX(醫師週班表!$C$5:$T$44,$CU13,AI$57),""),1),IFERROR(INDEX(醫師週班表!$C$5:$T$44,$CU13,AI$57),"")))))))</f>
        <v/>
      </c>
      <c r="AJ13" s="72">
        <f>IF(AJ$59="X","",IF(AJ$59&lt;&gt;"",AJ$59,IF(IFERROR(INDEX(醫師週班表!$C$5:$T$44,$CU13,AJ$57),"")=0,"",IF(MID(IFERROR(INDEX(醫師週班表!$C$5:$T$44,$CU13,AJ$57),""),2,1)="/",MID(IFERROR(INDEX(醫師週班表!$C$5:$T$44,$CU13,AJ$57),""),1+AJ$58*2,1),IF(MID(IFERROR(INDEX(醫師週班表!$C$5:$T$44,$CU13,AJ$57),""),3,1)="隔",IF(AJ$58=0,LEFT(IFERROR(INDEX(醫師週班表!$C$5:$T$44,$CU13,AJ$57),""),1),""),IF(MID(IFERROR(INDEX(醫師週班表!$C$5:$T$44,$CU13,AJ$57),""),2,1)="(",LEFT(IFERROR(INDEX(醫師週班表!$C$5:$T$44,$CU13,AJ$57),""),1),IFERROR(INDEX(醫師週班表!$C$5:$T$44,$CU13,AJ$57),"")))))))</f>
        <v/>
      </c>
      <c r="AK13" s="72">
        <f>IF(AK$59="X","",IF(AK$59&lt;&gt;"",AK$59,IF(IFERROR(INDEX(醫師週班表!$C$5:$T$44,$CU13,AK$57),"")=0,"",IF(MID(IFERROR(INDEX(醫師週班表!$C$5:$T$44,$CU13,AK$57),""),2,1)="/",MID(IFERROR(INDEX(醫師週班表!$C$5:$T$44,$CU13,AK$57),""),1+AK$58*2,1),IF(MID(IFERROR(INDEX(醫師週班表!$C$5:$T$44,$CU13,AK$57),""),3,1)="隔",IF(AK$58=0,LEFT(IFERROR(INDEX(醫師週班表!$C$5:$T$44,$CU13,AK$57),""),1),""),IF(MID(IFERROR(INDEX(醫師週班表!$C$5:$T$44,$CU13,AK$57),""),2,1)="(",LEFT(IFERROR(INDEX(醫師週班表!$C$5:$T$44,$CU13,AK$57),""),1),IFERROR(INDEX(醫師週班表!$C$5:$T$44,$CU13,AK$57),"")))))))</f>
        <v/>
      </c>
      <c r="AL13" s="71">
        <f>IF(AL$59="X","",IF(AL$59&lt;&gt;"",AL$59,IF(IFERROR(INDEX(醫師週班表!$C$5:$T$44,$CU13,AL$57),"")=0,"",IF(MID(IFERROR(INDEX(醫師週班表!$C$5:$T$44,$CU13,AL$57),""),2,1)="/",MID(IFERROR(INDEX(醫師週班表!$C$5:$T$44,$CU13,AL$57),""),1+AL$58*2,1),IF(MID(IFERROR(INDEX(醫師週班表!$C$5:$T$44,$CU13,AL$57),""),3,1)="隔",IF(AL$58=0,LEFT(IFERROR(INDEX(醫師週班表!$C$5:$T$44,$CU13,AL$57),""),1),""),IF(MID(IFERROR(INDEX(醫師週班表!$C$5:$T$44,$CU13,AL$57),""),2,1)="(",LEFT(IFERROR(INDEX(醫師週班表!$C$5:$T$44,$CU13,AL$57),""),1),IFERROR(INDEX(醫師週班表!$C$5:$T$44,$CU13,AL$57),"")))))))</f>
        <v/>
      </c>
      <c r="AM13" s="72">
        <f>IF(AM$59="X","",IF(AM$59&lt;&gt;"",AM$59,IF(IFERROR(INDEX(醫師週班表!$C$5:$T$44,$CU13,AM$57),"")=0,"",IF(MID(IFERROR(INDEX(醫師週班表!$C$5:$T$44,$CU13,AM$57),""),2,1)="/",MID(IFERROR(INDEX(醫師週班表!$C$5:$T$44,$CU13,AM$57),""),1+AM$58*2,1),IF(MID(IFERROR(INDEX(醫師週班表!$C$5:$T$44,$CU13,AM$57),""),3,1)="隔",IF(AM$58=0,LEFT(IFERROR(INDEX(醫師週班表!$C$5:$T$44,$CU13,AM$57),""),1),""),IF(MID(IFERROR(INDEX(醫師週班表!$C$5:$T$44,$CU13,AM$57),""),2,1)="(",LEFT(IFERROR(INDEX(醫師週班表!$C$5:$T$44,$CU13,AM$57),""),1),IFERROR(INDEX(醫師週班表!$C$5:$T$44,$CU13,AM$57),"")))))))</f>
        <v/>
      </c>
      <c r="AN13" s="72">
        <f>IF(AN$59="X","",IF(AN$59&lt;&gt;"",AN$59,IF(IFERROR(INDEX(醫師週班表!$C$5:$T$44,$CU13,AN$57),"")=0,"",IF(MID(IFERROR(INDEX(醫師週班表!$C$5:$T$44,$CU13,AN$57),""),2,1)="/",MID(IFERROR(INDEX(醫師週班表!$C$5:$T$44,$CU13,AN$57),""),1+AN$58*2,1),IF(MID(IFERROR(INDEX(醫師週班表!$C$5:$T$44,$CU13,AN$57),""),3,1)="隔",IF(AN$58=0,LEFT(IFERROR(INDEX(醫師週班表!$C$5:$T$44,$CU13,AN$57),""),1),""),IF(MID(IFERROR(INDEX(醫師週班表!$C$5:$T$44,$CU13,AN$57),""),2,1)="(",LEFT(IFERROR(INDEX(醫師週班表!$C$5:$T$44,$CU13,AN$57),""),1),IFERROR(INDEX(醫師週班表!$C$5:$T$44,$CU13,AN$57),"")))))))</f>
        <v/>
      </c>
      <c r="AO13" s="71">
        <f>IF(AO$59="X","",IF(AO$59&lt;&gt;"",AO$59,IF(IFERROR(INDEX(醫師週班表!$C$5:$T$44,$CU13,AO$57),"")=0,"",IF(MID(IFERROR(INDEX(醫師週班表!$C$5:$T$44,$CU13,AO$57),""),2,1)="/",MID(IFERROR(INDEX(醫師週班表!$C$5:$T$44,$CU13,AO$57),""),1+AO$58*2,1),IF(MID(IFERROR(INDEX(醫師週班表!$C$5:$T$44,$CU13,AO$57),""),3,1)="隔",IF(AO$58=0,LEFT(IFERROR(INDEX(醫師週班表!$C$5:$T$44,$CU13,AO$57),""),1),""),IF(MID(IFERROR(INDEX(醫師週班表!$C$5:$T$44,$CU13,AO$57),""),2,1)="(",LEFT(IFERROR(INDEX(醫師週班表!$C$5:$T$44,$CU13,AO$57),""),1),IFERROR(INDEX(醫師週班表!$C$5:$T$44,$CU13,AO$57),"")))))))</f>
        <v/>
      </c>
      <c r="AP13" s="72">
        <f>IF(AP$59="X","",IF(AP$59&lt;&gt;"",AP$59,IF(IFERROR(INDEX(醫師週班表!$C$5:$T$44,$CU13,AP$57),"")=0,"",IF(MID(IFERROR(INDEX(醫師週班表!$C$5:$T$44,$CU13,AP$57),""),2,1)="/",MID(IFERROR(INDEX(醫師週班表!$C$5:$T$44,$CU13,AP$57),""),1+AP$58*2,1),IF(MID(IFERROR(INDEX(醫師週班表!$C$5:$T$44,$CU13,AP$57),""),3,1)="隔",IF(AP$58=0,LEFT(IFERROR(INDEX(醫師週班表!$C$5:$T$44,$CU13,AP$57),""),1),""),IF(MID(IFERROR(INDEX(醫師週班表!$C$5:$T$44,$CU13,AP$57),""),2,1)="(",LEFT(IFERROR(INDEX(醫師週班表!$C$5:$T$44,$CU13,AP$57),""),1),IFERROR(INDEX(醫師週班表!$C$5:$T$44,$CU13,AP$57),"")))))))</f>
        <v/>
      </c>
      <c r="AQ13" s="72">
        <f>IF(AQ$59="X","",IF(AQ$59&lt;&gt;"",AQ$59,IF(IFERROR(INDEX(醫師週班表!$C$5:$T$44,$CU13,AQ$57),"")=0,"",IF(MID(IFERROR(INDEX(醫師週班表!$C$5:$T$44,$CU13,AQ$57),""),2,1)="/",MID(IFERROR(INDEX(醫師週班表!$C$5:$T$44,$CU13,AQ$57),""),1+AQ$58*2,1),IF(MID(IFERROR(INDEX(醫師週班表!$C$5:$T$44,$CU13,AQ$57),""),3,1)="隔",IF(AQ$58=0,LEFT(IFERROR(INDEX(醫師週班表!$C$5:$T$44,$CU13,AQ$57),""),1),""),IF(MID(IFERROR(INDEX(醫師週班表!$C$5:$T$44,$CU13,AQ$57),""),2,1)="(",LEFT(IFERROR(INDEX(醫師週班表!$C$5:$T$44,$CU13,AQ$57),""),1),IFERROR(INDEX(醫師週班表!$C$5:$T$44,$CU13,AQ$57),"")))))))</f>
        <v/>
      </c>
      <c r="AR13" s="71">
        <f>IF(AR$59="X","",IF(AR$59&lt;&gt;"",AR$59,IF(IFERROR(INDEX(醫師週班表!$C$5:$T$44,$CU13,AR$57),"")=0,"",IF(MID(IFERROR(INDEX(醫師週班表!$C$5:$T$44,$CU13,AR$57),""),2,1)="/",MID(IFERROR(INDEX(醫師週班表!$C$5:$T$44,$CU13,AR$57),""),1+AR$58*2,1),IF(MID(IFERROR(INDEX(醫師週班表!$C$5:$T$44,$CU13,AR$57),""),3,1)="隔",IF(AR$58=0,LEFT(IFERROR(INDEX(醫師週班表!$C$5:$T$44,$CU13,AR$57),""),1),""),IF(MID(IFERROR(INDEX(醫師週班表!$C$5:$T$44,$CU13,AR$57),""),2,1)="(",LEFT(IFERROR(INDEX(醫師週班表!$C$5:$T$44,$CU13,AR$57),""),1),IFERROR(INDEX(醫師週班表!$C$5:$T$44,$CU13,AR$57),"")))))))</f>
        <v/>
      </c>
      <c r="AS13" s="72">
        <f>IF(AS$59="X","",IF(AS$59&lt;&gt;"",AS$59,IF(IFERROR(INDEX(醫師週班表!$C$5:$T$44,$CU13,AS$57),"")=0,"",IF(MID(IFERROR(INDEX(醫師週班表!$C$5:$T$44,$CU13,AS$57),""),2,1)="/",MID(IFERROR(INDEX(醫師週班表!$C$5:$T$44,$CU13,AS$57),""),1+AS$58*2,1),IF(MID(IFERROR(INDEX(醫師週班表!$C$5:$T$44,$CU13,AS$57),""),3,1)="隔",IF(AS$58=0,LEFT(IFERROR(INDEX(醫師週班表!$C$5:$T$44,$CU13,AS$57),""),1),""),IF(MID(IFERROR(INDEX(醫師週班表!$C$5:$T$44,$CU13,AS$57),""),2,1)="(",LEFT(IFERROR(INDEX(醫師週班表!$C$5:$T$44,$CU13,AS$57),""),1),IFERROR(INDEX(醫師週班表!$C$5:$T$44,$CU13,AS$57),"")))))))</f>
        <v/>
      </c>
      <c r="AT13" s="72">
        <f>IF(AT$59="X","",IF(AT$59&lt;&gt;"",AT$59,IF(IFERROR(INDEX(醫師週班表!$C$5:$T$44,$CU13,AT$57),"")=0,"",IF(MID(IFERROR(INDEX(醫師週班表!$C$5:$T$44,$CU13,AT$57),""),2,1)="/",MID(IFERROR(INDEX(醫師週班表!$C$5:$T$44,$CU13,AT$57),""),1+AT$58*2,1),IF(MID(IFERROR(INDEX(醫師週班表!$C$5:$T$44,$CU13,AT$57),""),3,1)="隔",IF(AT$58=0,LEFT(IFERROR(INDEX(醫師週班表!$C$5:$T$44,$CU13,AT$57),""),1),""),IF(MID(IFERROR(INDEX(醫師週班表!$C$5:$T$44,$CU13,AT$57),""),2,1)="(",LEFT(IFERROR(INDEX(醫師週班表!$C$5:$T$44,$CU13,AT$57),""),1),IFERROR(INDEX(醫師週班表!$C$5:$T$44,$CU13,AT$57),"")))))))</f>
        <v/>
      </c>
      <c r="AU13" s="71">
        <f>IF(AU$59="X","",IF(AU$59&lt;&gt;"",AU$59,IF(IFERROR(INDEX(醫師週班表!$C$5:$T$44,$CU13,AU$57),"")=0,"",IF(MID(IFERROR(INDEX(醫師週班表!$C$5:$T$44,$CU13,AU$57),""),2,1)="/",MID(IFERROR(INDEX(醫師週班表!$C$5:$T$44,$CU13,AU$57),""),1+AU$58*2,1),IF(MID(IFERROR(INDEX(醫師週班表!$C$5:$T$44,$CU13,AU$57),""),3,1)="隔",IF(AU$58=0,LEFT(IFERROR(INDEX(醫師週班表!$C$5:$T$44,$CU13,AU$57),""),1),""),IF(MID(IFERROR(INDEX(醫師週班表!$C$5:$T$44,$CU13,AU$57),""),2,1)="(",LEFT(IFERROR(INDEX(醫師週班表!$C$5:$T$44,$CU13,AU$57),""),1),IFERROR(INDEX(醫師週班表!$C$5:$T$44,$CU13,AU$57),"")))))))</f>
        <v/>
      </c>
      <c r="AV13" s="72">
        <f>IF(AV$59="X","",IF(AV$59&lt;&gt;"",AV$59,IF(IFERROR(INDEX(醫師週班表!$C$5:$T$44,$CU13,AV$57),"")=0,"",IF(MID(IFERROR(INDEX(醫師週班表!$C$5:$T$44,$CU13,AV$57),""),2,1)="/",MID(IFERROR(INDEX(醫師週班表!$C$5:$T$44,$CU13,AV$57),""),1+AV$58*2,1),IF(MID(IFERROR(INDEX(醫師週班表!$C$5:$T$44,$CU13,AV$57),""),3,1)="隔",IF(AV$58=0,LEFT(IFERROR(INDEX(醫師週班表!$C$5:$T$44,$CU13,AV$57),""),1),""),IF(MID(IFERROR(INDEX(醫師週班表!$C$5:$T$44,$CU13,AV$57),""),2,1)="(",LEFT(IFERROR(INDEX(醫師週班表!$C$5:$T$44,$CU13,AV$57),""),1),IFERROR(INDEX(醫師週班表!$C$5:$T$44,$CU13,AV$57),"")))))))</f>
        <v/>
      </c>
      <c r="AW13" s="72">
        <f>IF(AW$59="X","",IF(AW$59&lt;&gt;"",AW$59,IF(IFERROR(INDEX(醫師週班表!$C$5:$T$44,$CU13,AW$57),"")=0,"",IF(MID(IFERROR(INDEX(醫師週班表!$C$5:$T$44,$CU13,AW$57),""),2,1)="/",MID(IFERROR(INDEX(醫師週班表!$C$5:$T$44,$CU13,AW$57),""),1+AW$58*2,1),IF(MID(IFERROR(INDEX(醫師週班表!$C$5:$T$44,$CU13,AW$57),""),3,1)="隔",IF(AW$58=0,LEFT(IFERROR(INDEX(醫師週班表!$C$5:$T$44,$CU13,AW$57),""),1),""),IF(MID(IFERROR(INDEX(醫師週班表!$C$5:$T$44,$CU13,AW$57),""),2,1)="(",LEFT(IFERROR(INDEX(醫師週班表!$C$5:$T$44,$CU13,AW$57),""),1),IFERROR(INDEX(醫師週班表!$C$5:$T$44,$CU13,AW$57),"")))))))</f>
        <v/>
      </c>
      <c r="AX13" s="71">
        <f>IF(AX$59="X","",IF(AX$59&lt;&gt;"",AX$59,IF(IFERROR(INDEX(醫師週班表!$C$5:$T$44,$CU13,AX$57),"")=0,"",IF(MID(IFERROR(INDEX(醫師週班表!$C$5:$T$44,$CU13,AX$57),""),2,1)="/",MID(IFERROR(INDEX(醫師週班表!$C$5:$T$44,$CU13,AX$57),""),1+AX$58*2,1),IF(MID(IFERROR(INDEX(醫師週班表!$C$5:$T$44,$CU13,AX$57),""),3,1)="隔",IF(AX$58=0,LEFT(IFERROR(INDEX(醫師週班表!$C$5:$T$44,$CU13,AX$57),""),1),""),IF(MID(IFERROR(INDEX(醫師週班表!$C$5:$T$44,$CU13,AX$57),""),2,1)="(",LEFT(IFERROR(INDEX(醫師週班表!$C$5:$T$44,$CU13,AX$57),""),1),IFERROR(INDEX(醫師週班表!$C$5:$T$44,$CU13,AX$57),"")))))))</f>
        <v/>
      </c>
      <c r="AY13" s="72">
        <f>IF(AY$59="X","",IF(AY$59&lt;&gt;"",AY$59,IF(IFERROR(INDEX(醫師週班表!$C$5:$T$44,$CU13,AY$57),"")=0,"",IF(MID(IFERROR(INDEX(醫師週班表!$C$5:$T$44,$CU13,AY$57),""),2,1)="/",MID(IFERROR(INDEX(醫師週班表!$C$5:$T$44,$CU13,AY$57),""),1+AY$58*2,1),IF(MID(IFERROR(INDEX(醫師週班表!$C$5:$T$44,$CU13,AY$57),""),3,1)="隔",IF(AY$58=0,LEFT(IFERROR(INDEX(醫師週班表!$C$5:$T$44,$CU13,AY$57),""),1),""),IF(MID(IFERROR(INDEX(醫師週班表!$C$5:$T$44,$CU13,AY$57),""),2,1)="(",LEFT(IFERROR(INDEX(醫師週班表!$C$5:$T$44,$CU13,AY$57),""),1),IFERROR(INDEX(醫師週班表!$C$5:$T$44,$CU13,AY$57),"")))))))</f>
        <v/>
      </c>
      <c r="AZ13" s="72">
        <f>IF(AZ$59="X","",IF(AZ$59&lt;&gt;"",AZ$59,IF(IFERROR(INDEX(醫師週班表!$C$5:$T$44,$CU13,AZ$57),"")=0,"",IF(MID(IFERROR(INDEX(醫師週班表!$C$5:$T$44,$CU13,AZ$57),""),2,1)="/",MID(IFERROR(INDEX(醫師週班表!$C$5:$T$44,$CU13,AZ$57),""),1+AZ$58*2,1),IF(MID(IFERROR(INDEX(醫師週班表!$C$5:$T$44,$CU13,AZ$57),""),3,1)="隔",IF(AZ$58=0,LEFT(IFERROR(INDEX(醫師週班表!$C$5:$T$44,$CU13,AZ$57),""),1),""),IF(MID(IFERROR(INDEX(醫師週班表!$C$5:$T$44,$CU13,AZ$57),""),2,1)="(",LEFT(IFERROR(INDEX(醫師週班表!$C$5:$T$44,$CU13,AZ$57),""),1),IFERROR(INDEX(醫師週班表!$C$5:$T$44,$CU13,AZ$57),"")))))))</f>
        <v/>
      </c>
      <c r="BA13" s="71">
        <f>IF(BA$59="X","",IF(BA$59&lt;&gt;"",BA$59,IF(IFERROR(INDEX(醫師週班表!$C$5:$T$44,$CU13,BA$57),"")=0,"",IF(MID(IFERROR(INDEX(醫師週班表!$C$5:$T$44,$CU13,BA$57),""),2,1)="/",MID(IFERROR(INDEX(醫師週班表!$C$5:$T$44,$CU13,BA$57),""),1+BA$58*2,1),IF(MID(IFERROR(INDEX(醫師週班表!$C$5:$T$44,$CU13,BA$57),""),3,1)="隔",IF(BA$58=0,LEFT(IFERROR(INDEX(醫師週班表!$C$5:$T$44,$CU13,BA$57),""),1),""),IF(MID(IFERROR(INDEX(醫師週班表!$C$5:$T$44,$CU13,BA$57),""),2,1)="(",LEFT(IFERROR(INDEX(醫師週班表!$C$5:$T$44,$CU13,BA$57),""),1),IFERROR(INDEX(醫師週班表!$C$5:$T$44,$CU13,BA$57),"")))))))</f>
        <v/>
      </c>
      <c r="BB13" s="72">
        <f>IF(BB$59="X","",IF(BB$59&lt;&gt;"",BB$59,IF(IFERROR(INDEX(醫師週班表!$C$5:$T$44,$CU13,BB$57),"")=0,"",IF(MID(IFERROR(INDEX(醫師週班表!$C$5:$T$44,$CU13,BB$57),""),2,1)="/",MID(IFERROR(INDEX(醫師週班表!$C$5:$T$44,$CU13,BB$57),""),1+BB$58*2,1),IF(MID(IFERROR(INDEX(醫師週班表!$C$5:$T$44,$CU13,BB$57),""),3,1)="隔",IF(BB$58=0,LEFT(IFERROR(INDEX(醫師週班表!$C$5:$T$44,$CU13,BB$57),""),1),""),IF(MID(IFERROR(INDEX(醫師週班表!$C$5:$T$44,$CU13,BB$57),""),2,1)="(",LEFT(IFERROR(INDEX(醫師週班表!$C$5:$T$44,$CU13,BB$57),""),1),IFERROR(INDEX(醫師週班表!$C$5:$T$44,$CU13,BB$57),"")))))))</f>
        <v/>
      </c>
      <c r="BC13" s="72">
        <f>IF(BC$59="X","",IF(BC$59&lt;&gt;"",BC$59,IF(IFERROR(INDEX(醫師週班表!$C$5:$T$44,$CU13,BC$57),"")=0,"",IF(MID(IFERROR(INDEX(醫師週班表!$C$5:$T$44,$CU13,BC$57),""),2,1)="/",MID(IFERROR(INDEX(醫師週班表!$C$5:$T$44,$CU13,BC$57),""),1+BC$58*2,1),IF(MID(IFERROR(INDEX(醫師週班表!$C$5:$T$44,$CU13,BC$57),""),3,1)="隔",IF(BC$58=0,LEFT(IFERROR(INDEX(醫師週班表!$C$5:$T$44,$CU13,BC$57),""),1),""),IF(MID(IFERROR(INDEX(醫師週班表!$C$5:$T$44,$CU13,BC$57),""),2,1)="(",LEFT(IFERROR(INDEX(醫師週班表!$C$5:$T$44,$CU13,BC$57),""),1),IFERROR(INDEX(醫師週班表!$C$5:$T$44,$CU13,BC$57),"")))))))</f>
        <v/>
      </c>
      <c r="BD13" s="71">
        <f>IF(BD$59="X","",IF(BD$59&lt;&gt;"",BD$59,IF(IFERROR(INDEX(醫師週班表!$C$5:$T$44,$CU13,BD$57),"")=0,"",IF(MID(IFERROR(INDEX(醫師週班表!$C$5:$T$44,$CU13,BD$57),""),2,1)="/",MID(IFERROR(INDEX(醫師週班表!$C$5:$T$44,$CU13,BD$57),""),1+BD$58*2,1),IF(MID(IFERROR(INDEX(醫師週班表!$C$5:$T$44,$CU13,BD$57),""),3,1)="隔",IF(BD$58=0,LEFT(IFERROR(INDEX(醫師週班表!$C$5:$T$44,$CU13,BD$57),""),1),""),IF(MID(IFERROR(INDEX(醫師週班表!$C$5:$T$44,$CU13,BD$57),""),2,1)="(",LEFT(IFERROR(INDEX(醫師週班表!$C$5:$T$44,$CU13,BD$57),""),1),IFERROR(INDEX(醫師週班表!$C$5:$T$44,$CU13,BD$57),"")))))))</f>
        <v/>
      </c>
      <c r="BE13" s="72">
        <f>IF(BE$59="X","",IF(BE$59&lt;&gt;"",BE$59,IF(IFERROR(INDEX(醫師週班表!$C$5:$T$44,$CU13,BE$57),"")=0,"",IF(MID(IFERROR(INDEX(醫師週班表!$C$5:$T$44,$CU13,BE$57),""),2,1)="/",MID(IFERROR(INDEX(醫師週班表!$C$5:$T$44,$CU13,BE$57),""),1+BE$58*2,1),IF(MID(IFERROR(INDEX(醫師週班表!$C$5:$T$44,$CU13,BE$57),""),3,1)="隔",IF(BE$58=0,LEFT(IFERROR(INDEX(醫師週班表!$C$5:$T$44,$CU13,BE$57),""),1),""),IF(MID(IFERROR(INDEX(醫師週班表!$C$5:$T$44,$CU13,BE$57),""),2,1)="(",LEFT(IFERROR(INDEX(醫師週班表!$C$5:$T$44,$CU13,BE$57),""),1),IFERROR(INDEX(醫師週班表!$C$5:$T$44,$CU13,BE$57),"")))))))</f>
        <v/>
      </c>
      <c r="BF13" s="72">
        <f>IF(BF$59="X","",IF(BF$59&lt;&gt;"",BF$59,IF(IFERROR(INDEX(醫師週班表!$C$5:$T$44,$CU13,BF$57),"")=0,"",IF(MID(IFERROR(INDEX(醫師週班表!$C$5:$T$44,$CU13,BF$57),""),2,1)="/",MID(IFERROR(INDEX(醫師週班表!$C$5:$T$44,$CU13,BF$57),""),1+BF$58*2,1),IF(MID(IFERROR(INDEX(醫師週班表!$C$5:$T$44,$CU13,BF$57),""),3,1)="隔",IF(BF$58=0,LEFT(IFERROR(INDEX(醫師週班表!$C$5:$T$44,$CU13,BF$57),""),1),""),IF(MID(IFERROR(INDEX(醫師週班表!$C$5:$T$44,$CU13,BF$57),""),2,1)="(",LEFT(IFERROR(INDEX(醫師週班表!$C$5:$T$44,$CU13,BF$57),""),1),IFERROR(INDEX(醫師週班表!$C$5:$T$44,$CU13,BF$57),"")))))))</f>
        <v/>
      </c>
      <c r="BG13" s="71">
        <f>IF(BG$59="X","",IF(BG$59&lt;&gt;"",BG$59,IF(IFERROR(INDEX(醫師週班表!$C$5:$T$44,$CU13,BG$57),"")=0,"",IF(MID(IFERROR(INDEX(醫師週班表!$C$5:$T$44,$CU13,BG$57),""),2,1)="/",MID(IFERROR(INDEX(醫師週班表!$C$5:$T$44,$CU13,BG$57),""),1+BG$58*2,1),IF(MID(IFERROR(INDEX(醫師週班表!$C$5:$T$44,$CU13,BG$57),""),3,1)="隔",IF(BG$58=0,LEFT(IFERROR(INDEX(醫師週班表!$C$5:$T$44,$CU13,BG$57),""),1),""),IF(MID(IFERROR(INDEX(醫師週班表!$C$5:$T$44,$CU13,BG$57),""),2,1)="(",LEFT(IFERROR(INDEX(醫師週班表!$C$5:$T$44,$CU13,BG$57),""),1),IFERROR(INDEX(醫師週班表!$C$5:$T$44,$CU13,BG$57),"")))))))</f>
        <v/>
      </c>
      <c r="BH13" s="72">
        <f>IF(BH$59="X","",IF(BH$59&lt;&gt;"",BH$59,IF(IFERROR(INDEX(醫師週班表!$C$5:$T$44,$CU13,BH$57),"")=0,"",IF(MID(IFERROR(INDEX(醫師週班表!$C$5:$T$44,$CU13,BH$57),""),2,1)="/",MID(IFERROR(INDEX(醫師週班表!$C$5:$T$44,$CU13,BH$57),""),1+BH$58*2,1),IF(MID(IFERROR(INDEX(醫師週班表!$C$5:$T$44,$CU13,BH$57),""),3,1)="隔",IF(BH$58=0,LEFT(IFERROR(INDEX(醫師週班表!$C$5:$T$44,$CU13,BH$57),""),1),""),IF(MID(IFERROR(INDEX(醫師週班表!$C$5:$T$44,$CU13,BH$57),""),2,1)="(",LEFT(IFERROR(INDEX(醫師週班表!$C$5:$T$44,$CU13,BH$57),""),1),IFERROR(INDEX(醫師週班表!$C$5:$T$44,$CU13,BH$57),"")))))))</f>
        <v/>
      </c>
      <c r="BI13" s="72">
        <f>IF(BI$59="X","",IF(BI$59&lt;&gt;"",BI$59,IF(IFERROR(INDEX(醫師週班表!$C$5:$T$44,$CU13,BI$57),"")=0,"",IF(MID(IFERROR(INDEX(醫師週班表!$C$5:$T$44,$CU13,BI$57),""),2,1)="/",MID(IFERROR(INDEX(醫師週班表!$C$5:$T$44,$CU13,BI$57),""),1+BI$58*2,1),IF(MID(IFERROR(INDEX(醫師週班表!$C$5:$T$44,$CU13,BI$57),""),3,1)="隔",IF(BI$58=0,LEFT(IFERROR(INDEX(醫師週班表!$C$5:$T$44,$CU13,BI$57),""),1),""),IF(MID(IFERROR(INDEX(醫師週班表!$C$5:$T$44,$CU13,BI$57),""),2,1)="(",LEFT(IFERROR(INDEX(醫師週班表!$C$5:$T$44,$CU13,BI$57),""),1),IFERROR(INDEX(醫師週班表!$C$5:$T$44,$CU13,BI$57),"")))))))</f>
        <v/>
      </c>
      <c r="BJ13" s="71">
        <f>IF(BJ$59="X","",IF(BJ$59&lt;&gt;"",BJ$59,IF(IFERROR(INDEX(醫師週班表!$C$5:$T$44,$CU13,BJ$57),"")=0,"",IF(MID(IFERROR(INDEX(醫師週班表!$C$5:$T$44,$CU13,BJ$57),""),2,1)="/",MID(IFERROR(INDEX(醫師週班表!$C$5:$T$44,$CU13,BJ$57),""),1+BJ$58*2,1),IF(MID(IFERROR(INDEX(醫師週班表!$C$5:$T$44,$CU13,BJ$57),""),3,1)="隔",IF(BJ$58=0,LEFT(IFERROR(INDEX(醫師週班表!$C$5:$T$44,$CU13,BJ$57),""),1),""),IF(MID(IFERROR(INDEX(醫師週班表!$C$5:$T$44,$CU13,BJ$57),""),2,1)="(",LEFT(IFERROR(INDEX(醫師週班表!$C$5:$T$44,$CU13,BJ$57),""),1),IFERROR(INDEX(醫師週班表!$C$5:$T$44,$CU13,BJ$57),"")))))))</f>
        <v/>
      </c>
      <c r="BK13" s="72">
        <f>IF(BK$59="X","",IF(BK$59&lt;&gt;"",BK$59,IF(IFERROR(INDEX(醫師週班表!$C$5:$T$44,$CU13,BK$57),"")=0,"",IF(MID(IFERROR(INDEX(醫師週班表!$C$5:$T$44,$CU13,BK$57),""),2,1)="/",MID(IFERROR(INDEX(醫師週班表!$C$5:$T$44,$CU13,BK$57),""),1+BK$58*2,1),IF(MID(IFERROR(INDEX(醫師週班表!$C$5:$T$44,$CU13,BK$57),""),3,1)="隔",IF(BK$58=0,LEFT(IFERROR(INDEX(醫師週班表!$C$5:$T$44,$CU13,BK$57),""),1),""),IF(MID(IFERROR(INDEX(醫師週班表!$C$5:$T$44,$CU13,BK$57),""),2,1)="(",LEFT(IFERROR(INDEX(醫師週班表!$C$5:$T$44,$CU13,BK$57),""),1),IFERROR(INDEX(醫師週班表!$C$5:$T$44,$CU13,BK$57),"")))))))</f>
        <v/>
      </c>
      <c r="BL13" s="72">
        <f>IF(BL$59="X","",IF(BL$59&lt;&gt;"",BL$59,IF(IFERROR(INDEX(醫師週班表!$C$5:$T$44,$CU13,BL$57),"")=0,"",IF(MID(IFERROR(INDEX(醫師週班表!$C$5:$T$44,$CU13,BL$57),""),2,1)="/",MID(IFERROR(INDEX(醫師週班表!$C$5:$T$44,$CU13,BL$57),""),1+BL$58*2,1),IF(MID(IFERROR(INDEX(醫師週班表!$C$5:$T$44,$CU13,BL$57),""),3,1)="隔",IF(BL$58=0,LEFT(IFERROR(INDEX(醫師週班表!$C$5:$T$44,$CU13,BL$57),""),1),""),IF(MID(IFERROR(INDEX(醫師週班表!$C$5:$T$44,$CU13,BL$57),""),2,1)="(",LEFT(IFERROR(INDEX(醫師週班表!$C$5:$T$44,$CU13,BL$57),""),1),IFERROR(INDEX(醫師週班表!$C$5:$T$44,$CU13,BL$57),"")))))))</f>
        <v/>
      </c>
      <c r="BM13" s="71">
        <f>IF(BM$59="X","",IF(BM$59&lt;&gt;"",BM$59,IF(IFERROR(INDEX(醫師週班表!$C$5:$T$44,$CU13,BM$57),"")=0,"",IF(MID(IFERROR(INDEX(醫師週班表!$C$5:$T$44,$CU13,BM$57),""),2,1)="/",MID(IFERROR(INDEX(醫師週班表!$C$5:$T$44,$CU13,BM$57),""),1+BM$58*2,1),IF(MID(IFERROR(INDEX(醫師週班表!$C$5:$T$44,$CU13,BM$57),""),3,1)="隔",IF(BM$58=0,LEFT(IFERROR(INDEX(醫師週班表!$C$5:$T$44,$CU13,BM$57),""),1),""),IF(MID(IFERROR(INDEX(醫師週班表!$C$5:$T$44,$CU13,BM$57),""),2,1)="(",LEFT(IFERROR(INDEX(醫師週班表!$C$5:$T$44,$CU13,BM$57),""),1),IFERROR(INDEX(醫師週班表!$C$5:$T$44,$CU13,BM$57),"")))))))</f>
        <v/>
      </c>
      <c r="BN13" s="72">
        <f>IF(BN$59="X","",IF(BN$59&lt;&gt;"",BN$59,IF(IFERROR(INDEX(醫師週班表!$C$5:$T$44,$CU13,BN$57),"")=0,"",IF(MID(IFERROR(INDEX(醫師週班表!$C$5:$T$44,$CU13,BN$57),""),2,1)="/",MID(IFERROR(INDEX(醫師週班表!$C$5:$T$44,$CU13,BN$57),""),1+BN$58*2,1),IF(MID(IFERROR(INDEX(醫師週班表!$C$5:$T$44,$CU13,BN$57),""),3,1)="隔",IF(BN$58=0,LEFT(IFERROR(INDEX(醫師週班表!$C$5:$T$44,$CU13,BN$57),""),1),""),IF(MID(IFERROR(INDEX(醫師週班表!$C$5:$T$44,$CU13,BN$57),""),2,1)="(",LEFT(IFERROR(INDEX(醫師週班表!$C$5:$T$44,$CU13,BN$57),""),1),IFERROR(INDEX(醫師週班表!$C$5:$T$44,$CU13,BN$57),"")))))))</f>
        <v/>
      </c>
      <c r="BO13" s="72">
        <f>IF(BO$59="X","",IF(BO$59&lt;&gt;"",BO$59,IF(IFERROR(INDEX(醫師週班表!$C$5:$T$44,$CU13,BO$57),"")=0,"",IF(MID(IFERROR(INDEX(醫師週班表!$C$5:$T$44,$CU13,BO$57),""),2,1)="/",MID(IFERROR(INDEX(醫師週班表!$C$5:$T$44,$CU13,BO$57),""),1+BO$58*2,1),IF(MID(IFERROR(INDEX(醫師週班表!$C$5:$T$44,$CU13,BO$57),""),3,1)="隔",IF(BO$58=0,LEFT(IFERROR(INDEX(醫師週班表!$C$5:$T$44,$CU13,BO$57),""),1),""),IF(MID(IFERROR(INDEX(醫師週班表!$C$5:$T$44,$CU13,BO$57),""),2,1)="(",LEFT(IFERROR(INDEX(醫師週班表!$C$5:$T$44,$CU13,BO$57),""),1),IFERROR(INDEX(醫師週班表!$C$5:$T$44,$CU13,BO$57),"")))))))</f>
        <v/>
      </c>
      <c r="BP13" s="71">
        <f>IF(BP$59="X","",IF(BP$59&lt;&gt;"",BP$59,IF(IFERROR(INDEX(醫師週班表!$C$5:$T$44,$CU13,BP$57),"")=0,"",IF(MID(IFERROR(INDEX(醫師週班表!$C$5:$T$44,$CU13,BP$57),""),2,1)="/",MID(IFERROR(INDEX(醫師週班表!$C$5:$T$44,$CU13,BP$57),""),1+BP$58*2,1),IF(MID(IFERROR(INDEX(醫師週班表!$C$5:$T$44,$CU13,BP$57),""),3,1)="隔",IF(BP$58=0,LEFT(IFERROR(INDEX(醫師週班表!$C$5:$T$44,$CU13,BP$57),""),1),""),IF(MID(IFERROR(INDEX(醫師週班表!$C$5:$T$44,$CU13,BP$57),""),2,1)="(",LEFT(IFERROR(INDEX(醫師週班表!$C$5:$T$44,$CU13,BP$57),""),1),IFERROR(INDEX(醫師週班表!$C$5:$T$44,$CU13,BP$57),"")))))))</f>
        <v/>
      </c>
      <c r="BQ13" s="72">
        <f>IF(BQ$59="X","",IF(BQ$59&lt;&gt;"",BQ$59,IF(IFERROR(INDEX(醫師週班表!$C$5:$T$44,$CU13,BQ$57),"")=0,"",IF(MID(IFERROR(INDEX(醫師週班表!$C$5:$T$44,$CU13,BQ$57),""),2,1)="/",MID(IFERROR(INDEX(醫師週班表!$C$5:$T$44,$CU13,BQ$57),""),1+BQ$58*2,1),IF(MID(IFERROR(INDEX(醫師週班表!$C$5:$T$44,$CU13,BQ$57),""),3,1)="隔",IF(BQ$58=0,LEFT(IFERROR(INDEX(醫師週班表!$C$5:$T$44,$CU13,BQ$57),""),1),""),IF(MID(IFERROR(INDEX(醫師週班表!$C$5:$T$44,$CU13,BQ$57),""),2,1)="(",LEFT(IFERROR(INDEX(醫師週班表!$C$5:$T$44,$CU13,BQ$57),""),1),IFERROR(INDEX(醫師週班表!$C$5:$T$44,$CU13,BQ$57),"")))))))</f>
        <v/>
      </c>
      <c r="BR13" s="72">
        <f>IF(BR$59="X","",IF(BR$59&lt;&gt;"",BR$59,IF(IFERROR(INDEX(醫師週班表!$C$5:$T$44,$CU13,BR$57),"")=0,"",IF(MID(IFERROR(INDEX(醫師週班表!$C$5:$T$44,$CU13,BR$57),""),2,1)="/",MID(IFERROR(INDEX(醫師週班表!$C$5:$T$44,$CU13,BR$57),""),1+BR$58*2,1),IF(MID(IFERROR(INDEX(醫師週班表!$C$5:$T$44,$CU13,BR$57),""),3,1)="隔",IF(BR$58=0,LEFT(IFERROR(INDEX(醫師週班表!$C$5:$T$44,$CU13,BR$57),""),1),""),IF(MID(IFERROR(INDEX(醫師週班表!$C$5:$T$44,$CU13,BR$57),""),2,1)="(",LEFT(IFERROR(INDEX(醫師週班表!$C$5:$T$44,$CU13,BR$57),""),1),IFERROR(INDEX(醫師週班表!$C$5:$T$44,$CU13,BR$57),"")))))))</f>
        <v/>
      </c>
      <c r="BS13" s="71">
        <f>IF(BS$59="X","",IF(BS$59&lt;&gt;"",BS$59,IF(IFERROR(INDEX(醫師週班表!$C$5:$T$44,$CU13,BS$57),"")=0,"",IF(MID(IFERROR(INDEX(醫師週班表!$C$5:$T$44,$CU13,BS$57),""),2,1)="/",MID(IFERROR(INDEX(醫師週班表!$C$5:$T$44,$CU13,BS$57),""),1+BS$58*2,1),IF(MID(IFERROR(INDEX(醫師週班表!$C$5:$T$44,$CU13,BS$57),""),3,1)="隔",IF(BS$58=0,LEFT(IFERROR(INDEX(醫師週班表!$C$5:$T$44,$CU13,BS$57),""),1),""),IF(MID(IFERROR(INDEX(醫師週班表!$C$5:$T$44,$CU13,BS$57),""),2,1)="(",LEFT(IFERROR(INDEX(醫師週班表!$C$5:$T$44,$CU13,BS$57),""),1),IFERROR(INDEX(醫師週班表!$C$5:$T$44,$CU13,BS$57),"")))))))</f>
        <v/>
      </c>
      <c r="BT13" s="72">
        <f>IF(BT$59="X","",IF(BT$59&lt;&gt;"",BT$59,IF(IFERROR(INDEX(醫師週班表!$C$5:$T$44,$CU13,BT$57),"")=0,"",IF(MID(IFERROR(INDEX(醫師週班表!$C$5:$T$44,$CU13,BT$57),""),2,1)="/",MID(IFERROR(INDEX(醫師週班表!$C$5:$T$44,$CU13,BT$57),""),1+BT$58*2,1),IF(MID(IFERROR(INDEX(醫師週班表!$C$5:$T$44,$CU13,BT$57),""),3,1)="隔",IF(BT$58=0,LEFT(IFERROR(INDEX(醫師週班表!$C$5:$T$44,$CU13,BT$57),""),1),""),IF(MID(IFERROR(INDEX(醫師週班表!$C$5:$T$44,$CU13,BT$57),""),2,1)="(",LEFT(IFERROR(INDEX(醫師週班表!$C$5:$T$44,$CU13,BT$57),""),1),IFERROR(INDEX(醫師週班表!$C$5:$T$44,$CU13,BT$57),"")))))))</f>
        <v/>
      </c>
      <c r="BU13" s="72">
        <f>IF(BU$59="X","",IF(BU$59&lt;&gt;"",BU$59,IF(IFERROR(INDEX(醫師週班表!$C$5:$T$44,$CU13,BU$57),"")=0,"",IF(MID(IFERROR(INDEX(醫師週班表!$C$5:$T$44,$CU13,BU$57),""),2,1)="/",MID(IFERROR(INDEX(醫師週班表!$C$5:$T$44,$CU13,BU$57),""),1+BU$58*2,1),IF(MID(IFERROR(INDEX(醫師週班表!$C$5:$T$44,$CU13,BU$57),""),3,1)="隔",IF(BU$58=0,LEFT(IFERROR(INDEX(醫師週班表!$C$5:$T$44,$CU13,BU$57),""),1),""),IF(MID(IFERROR(INDEX(醫師週班表!$C$5:$T$44,$CU13,BU$57),""),2,1)="(",LEFT(IFERROR(INDEX(醫師週班表!$C$5:$T$44,$CU13,BU$57),""),1),IFERROR(INDEX(醫師週班表!$C$5:$T$44,$CU13,BU$57),"")))))))</f>
        <v/>
      </c>
      <c r="BV13" s="71">
        <f>IF(BV$59="X","",IF(BV$59&lt;&gt;"",BV$59,IF(IFERROR(INDEX(醫師週班表!$C$5:$T$44,$CU13,BV$57),"")=0,"",IF(MID(IFERROR(INDEX(醫師週班表!$C$5:$T$44,$CU13,BV$57),""),2,1)="/",MID(IFERROR(INDEX(醫師週班表!$C$5:$T$44,$CU13,BV$57),""),1+BV$58*2,1),IF(MID(IFERROR(INDEX(醫師週班表!$C$5:$T$44,$CU13,BV$57),""),3,1)="隔",IF(BV$58=0,LEFT(IFERROR(INDEX(醫師週班表!$C$5:$T$44,$CU13,BV$57),""),1),""),IF(MID(IFERROR(INDEX(醫師週班表!$C$5:$T$44,$CU13,BV$57),""),2,1)="(",LEFT(IFERROR(INDEX(醫師週班表!$C$5:$T$44,$CU13,BV$57),""),1),IFERROR(INDEX(醫師週班表!$C$5:$T$44,$CU13,BV$57),"")))))))</f>
        <v/>
      </c>
      <c r="BW13" s="72">
        <f>IF(BW$59="X","",IF(BW$59&lt;&gt;"",BW$59,IF(IFERROR(INDEX(醫師週班表!$C$5:$T$44,$CU13,BW$57),"")=0,"",IF(MID(IFERROR(INDEX(醫師週班表!$C$5:$T$44,$CU13,BW$57),""),2,1)="/",MID(IFERROR(INDEX(醫師週班表!$C$5:$T$44,$CU13,BW$57),""),1+BW$58*2,1),IF(MID(IFERROR(INDEX(醫師週班表!$C$5:$T$44,$CU13,BW$57),""),3,1)="隔",IF(BW$58=0,LEFT(IFERROR(INDEX(醫師週班表!$C$5:$T$44,$CU13,BW$57),""),1),""),IF(MID(IFERROR(INDEX(醫師週班表!$C$5:$T$44,$CU13,BW$57),""),2,1)="(",LEFT(IFERROR(INDEX(醫師週班表!$C$5:$T$44,$CU13,BW$57),""),1),IFERROR(INDEX(醫師週班表!$C$5:$T$44,$CU13,BW$57),"")))))))</f>
        <v/>
      </c>
      <c r="BX13" s="72">
        <f>IF(BX$59="X","",IF(BX$59&lt;&gt;"",BX$59,IF(IFERROR(INDEX(醫師週班表!$C$5:$T$44,$CU13,BX$57),"")=0,"",IF(MID(IFERROR(INDEX(醫師週班表!$C$5:$T$44,$CU13,BX$57),""),2,1)="/",MID(IFERROR(INDEX(醫師週班表!$C$5:$T$44,$CU13,BX$57),""),1+BX$58*2,1),IF(MID(IFERROR(INDEX(醫師週班表!$C$5:$T$44,$CU13,BX$57),""),3,1)="隔",IF(BX$58=0,LEFT(IFERROR(INDEX(醫師週班表!$C$5:$T$44,$CU13,BX$57),""),1),""),IF(MID(IFERROR(INDEX(醫師週班表!$C$5:$T$44,$CU13,BX$57),""),2,1)="(",LEFT(IFERROR(INDEX(醫師週班表!$C$5:$T$44,$CU13,BX$57),""),1),IFERROR(INDEX(醫師週班表!$C$5:$T$44,$CU13,BX$57),"")))))))</f>
        <v/>
      </c>
      <c r="BY13" s="71">
        <f>IF(BY$59="X","",IF(BY$59&lt;&gt;"",BY$59,IF(IFERROR(INDEX(醫師週班表!$C$5:$T$44,$CU13,BY$57),"")=0,"",IF(MID(IFERROR(INDEX(醫師週班表!$C$5:$T$44,$CU13,BY$57),""),2,1)="/",MID(IFERROR(INDEX(醫師週班表!$C$5:$T$44,$CU13,BY$57),""),1+BY$58*2,1),IF(MID(IFERROR(INDEX(醫師週班表!$C$5:$T$44,$CU13,BY$57),""),3,1)="隔",IF(BY$58=0,LEFT(IFERROR(INDEX(醫師週班表!$C$5:$T$44,$CU13,BY$57),""),1),""),IF(MID(IFERROR(INDEX(醫師週班表!$C$5:$T$44,$CU13,BY$57),""),2,1)="(",LEFT(IFERROR(INDEX(醫師週班表!$C$5:$T$44,$CU13,BY$57),""),1),IFERROR(INDEX(醫師週班表!$C$5:$T$44,$CU13,BY$57),"")))))))</f>
        <v/>
      </c>
      <c r="BZ13" s="72">
        <f>IF(BZ$59="X","",IF(BZ$59&lt;&gt;"",BZ$59,IF(IFERROR(INDEX(醫師週班表!$C$5:$T$44,$CU13,BZ$57),"")=0,"",IF(MID(IFERROR(INDEX(醫師週班表!$C$5:$T$44,$CU13,BZ$57),""),2,1)="/",MID(IFERROR(INDEX(醫師週班表!$C$5:$T$44,$CU13,BZ$57),""),1+BZ$58*2,1),IF(MID(IFERROR(INDEX(醫師週班表!$C$5:$T$44,$CU13,BZ$57),""),3,1)="隔",IF(BZ$58=0,LEFT(IFERROR(INDEX(醫師週班表!$C$5:$T$44,$CU13,BZ$57),""),1),""),IF(MID(IFERROR(INDEX(醫師週班表!$C$5:$T$44,$CU13,BZ$57),""),2,1)="(",LEFT(IFERROR(INDEX(醫師週班表!$C$5:$T$44,$CU13,BZ$57),""),1),IFERROR(INDEX(醫師週班表!$C$5:$T$44,$CU13,BZ$57),"")))))))</f>
        <v/>
      </c>
      <c r="CA13" s="72">
        <f>IF(CA$59="X","",IF(CA$59&lt;&gt;"",CA$59,IF(IFERROR(INDEX(醫師週班表!$C$5:$T$44,$CU13,CA$57),"")=0,"",IF(MID(IFERROR(INDEX(醫師週班表!$C$5:$T$44,$CU13,CA$57),""),2,1)="/",MID(IFERROR(INDEX(醫師週班表!$C$5:$T$44,$CU13,CA$57),""),1+CA$58*2,1),IF(MID(IFERROR(INDEX(醫師週班表!$C$5:$T$44,$CU13,CA$57),""),3,1)="隔",IF(CA$58=0,LEFT(IFERROR(INDEX(醫師週班表!$C$5:$T$44,$CU13,CA$57),""),1),""),IF(MID(IFERROR(INDEX(醫師週班表!$C$5:$T$44,$CU13,CA$57),""),2,1)="(",LEFT(IFERROR(INDEX(醫師週班表!$C$5:$T$44,$CU13,CA$57),""),1),IFERROR(INDEX(醫師週班表!$C$5:$T$44,$CU13,CA$57),"")))))))</f>
        <v/>
      </c>
      <c r="CB13" s="71">
        <f>IF(CB$59="X","",IF(CB$59&lt;&gt;"",CB$59,IF(IFERROR(INDEX(醫師週班表!$C$5:$T$44,$CU13,CB$57),"")=0,"",IF(MID(IFERROR(INDEX(醫師週班表!$C$5:$T$44,$CU13,CB$57),""),2,1)="/",MID(IFERROR(INDEX(醫師週班表!$C$5:$T$44,$CU13,CB$57),""),1+CB$58*2,1),IF(MID(IFERROR(INDEX(醫師週班表!$C$5:$T$44,$CU13,CB$57),""),3,1)="隔",IF(CB$58=0,LEFT(IFERROR(INDEX(醫師週班表!$C$5:$T$44,$CU13,CB$57),""),1),""),IF(MID(IFERROR(INDEX(醫師週班表!$C$5:$T$44,$CU13,CB$57),""),2,1)="(",LEFT(IFERROR(INDEX(醫師週班表!$C$5:$T$44,$CU13,CB$57),""),1),IFERROR(INDEX(醫師週班表!$C$5:$T$44,$CU13,CB$57),"")))))))</f>
        <v/>
      </c>
      <c r="CC13" s="72">
        <f>IF(CC$59="X","",IF(CC$59&lt;&gt;"",CC$59,IF(IFERROR(INDEX(醫師週班表!$C$5:$T$44,$CU13,CC$57),"")=0,"",IF(MID(IFERROR(INDEX(醫師週班表!$C$5:$T$44,$CU13,CC$57),""),2,1)="/",MID(IFERROR(INDEX(醫師週班表!$C$5:$T$44,$CU13,CC$57),""),1+CC$58*2,1),IF(MID(IFERROR(INDEX(醫師週班表!$C$5:$T$44,$CU13,CC$57),""),3,1)="隔",IF(CC$58=0,LEFT(IFERROR(INDEX(醫師週班表!$C$5:$T$44,$CU13,CC$57),""),1),""),IF(MID(IFERROR(INDEX(醫師週班表!$C$5:$T$44,$CU13,CC$57),""),2,1)="(",LEFT(IFERROR(INDEX(醫師週班表!$C$5:$T$44,$CU13,CC$57),""),1),IFERROR(INDEX(醫師週班表!$C$5:$T$44,$CU13,CC$57),"")))))))</f>
        <v/>
      </c>
      <c r="CD13" s="72">
        <f>IF(CD$59="X","",IF(CD$59&lt;&gt;"",CD$59,IF(IFERROR(INDEX(醫師週班表!$C$5:$T$44,$CU13,CD$57),"")=0,"",IF(MID(IFERROR(INDEX(醫師週班表!$C$5:$T$44,$CU13,CD$57),""),2,1)="/",MID(IFERROR(INDEX(醫師週班表!$C$5:$T$44,$CU13,CD$57),""),1+CD$58*2,1),IF(MID(IFERROR(INDEX(醫師週班表!$C$5:$T$44,$CU13,CD$57),""),3,1)="隔",IF(CD$58=0,LEFT(IFERROR(INDEX(醫師週班表!$C$5:$T$44,$CU13,CD$57),""),1),""),IF(MID(IFERROR(INDEX(醫師週班表!$C$5:$T$44,$CU13,CD$57),""),2,1)="(",LEFT(IFERROR(INDEX(醫師週班表!$C$5:$T$44,$CU13,CD$57),""),1),IFERROR(INDEX(醫師週班表!$C$5:$T$44,$CU13,CD$57),"")))))))</f>
        <v/>
      </c>
      <c r="CE13" s="71">
        <f>IF(CE$59="X","",IF(CE$59&lt;&gt;"",CE$59,IF(IFERROR(INDEX(醫師週班表!$C$5:$T$44,$CU13,CE$57),"")=0,"",IF(MID(IFERROR(INDEX(醫師週班表!$C$5:$T$44,$CU13,CE$57),""),2,1)="/",MID(IFERROR(INDEX(醫師週班表!$C$5:$T$44,$CU13,CE$57),""),1+CE$58*2,1),IF(MID(IFERROR(INDEX(醫師週班表!$C$5:$T$44,$CU13,CE$57),""),3,1)="隔",IF(CE$58=0,LEFT(IFERROR(INDEX(醫師週班表!$C$5:$T$44,$CU13,CE$57),""),1),""),IF(MID(IFERROR(INDEX(醫師週班表!$C$5:$T$44,$CU13,CE$57),""),2,1)="(",LEFT(IFERROR(INDEX(醫師週班表!$C$5:$T$44,$CU13,CE$57),""),1),IFERROR(INDEX(醫師週班表!$C$5:$T$44,$CU13,CE$57),"")))))))</f>
        <v/>
      </c>
      <c r="CF13" s="72">
        <f>IF(CF$59="X","",IF(CF$59&lt;&gt;"",CF$59,IF(IFERROR(INDEX(醫師週班表!$C$5:$T$44,$CU13,CF$57),"")=0,"",IF(MID(IFERROR(INDEX(醫師週班表!$C$5:$T$44,$CU13,CF$57),""),2,1)="/",MID(IFERROR(INDEX(醫師週班表!$C$5:$T$44,$CU13,CF$57),""),1+CF$58*2,1),IF(MID(IFERROR(INDEX(醫師週班表!$C$5:$T$44,$CU13,CF$57),""),3,1)="隔",IF(CF$58=0,LEFT(IFERROR(INDEX(醫師週班表!$C$5:$T$44,$CU13,CF$57),""),1),""),IF(MID(IFERROR(INDEX(醫師週班表!$C$5:$T$44,$CU13,CF$57),""),2,1)="(",LEFT(IFERROR(INDEX(醫師週班表!$C$5:$T$44,$CU13,CF$57),""),1),IFERROR(INDEX(醫師週班表!$C$5:$T$44,$CU13,CF$57),"")))))))</f>
        <v/>
      </c>
      <c r="CG13" s="72">
        <f>IF(CG$59="X","",IF(CG$59&lt;&gt;"",CG$59,IF(IFERROR(INDEX(醫師週班表!$C$5:$T$44,$CU13,CG$57),"")=0,"",IF(MID(IFERROR(INDEX(醫師週班表!$C$5:$T$44,$CU13,CG$57),""),2,1)="/",MID(IFERROR(INDEX(醫師週班表!$C$5:$T$44,$CU13,CG$57),""),1+CG$58*2,1),IF(MID(IFERROR(INDEX(醫師週班表!$C$5:$T$44,$CU13,CG$57),""),3,1)="隔",IF(CG$58=0,LEFT(IFERROR(INDEX(醫師週班表!$C$5:$T$44,$CU13,CG$57),""),1),""),IF(MID(IFERROR(INDEX(醫師週班表!$C$5:$T$44,$CU13,CG$57),""),2,1)="(",LEFT(IFERROR(INDEX(醫師週班表!$C$5:$T$44,$CU13,CG$57),""),1),IFERROR(INDEX(醫師週班表!$C$5:$T$44,$CU13,CG$57),"")))))))</f>
        <v/>
      </c>
      <c r="CH13" s="71">
        <f>IF(CH$59="X","",IF(CH$59&lt;&gt;"",CH$59,IF(IFERROR(INDEX(醫師週班表!$C$5:$T$44,$CU13,CH$57),"")=0,"",IF(MID(IFERROR(INDEX(醫師週班表!$C$5:$T$44,$CU13,CH$57),""),2,1)="/",MID(IFERROR(INDEX(醫師週班表!$C$5:$T$44,$CU13,CH$57),""),1+CH$58*2,1),IF(MID(IFERROR(INDEX(醫師週班表!$C$5:$T$44,$CU13,CH$57),""),3,1)="隔",IF(CH$58=0,LEFT(IFERROR(INDEX(醫師週班表!$C$5:$T$44,$CU13,CH$57),""),1),""),IF(MID(IFERROR(INDEX(醫師週班表!$C$5:$T$44,$CU13,CH$57),""),2,1)="(",LEFT(IFERROR(INDEX(醫師週班表!$C$5:$T$44,$CU13,CH$57),""),1),IFERROR(INDEX(醫師週班表!$C$5:$T$44,$CU13,CH$57),"")))))))</f>
        <v/>
      </c>
      <c r="CI13" s="72">
        <f>IF(CI$59="X","",IF(CI$59&lt;&gt;"",CI$59,IF(IFERROR(INDEX(醫師週班表!$C$5:$T$44,$CU13,CI$57),"")=0,"",IF(MID(IFERROR(INDEX(醫師週班表!$C$5:$T$44,$CU13,CI$57),""),2,1)="/",MID(IFERROR(INDEX(醫師週班表!$C$5:$T$44,$CU13,CI$57),""),1+CI$58*2,1),IF(MID(IFERROR(INDEX(醫師週班表!$C$5:$T$44,$CU13,CI$57),""),3,1)="隔",IF(CI$58=0,LEFT(IFERROR(INDEX(醫師週班表!$C$5:$T$44,$CU13,CI$57),""),1),""),IF(MID(IFERROR(INDEX(醫師週班表!$C$5:$T$44,$CU13,CI$57),""),2,1)="(",LEFT(IFERROR(INDEX(醫師週班表!$C$5:$T$44,$CU13,CI$57),""),1),IFERROR(INDEX(醫師週班表!$C$5:$T$44,$CU13,CI$57),"")))))))</f>
        <v/>
      </c>
      <c r="CJ13" s="72">
        <f>IF(CJ$59="X","",IF(CJ$59&lt;&gt;"",CJ$59,IF(IFERROR(INDEX(醫師週班表!$C$5:$T$44,$CU13,CJ$57),"")=0,"",IF(MID(IFERROR(INDEX(醫師週班表!$C$5:$T$44,$CU13,CJ$57),""),2,1)="/",MID(IFERROR(INDEX(醫師週班表!$C$5:$T$44,$CU13,CJ$57),""),1+CJ$58*2,1),IF(MID(IFERROR(INDEX(醫師週班表!$C$5:$T$44,$CU13,CJ$57),""),3,1)="隔",IF(CJ$58=0,LEFT(IFERROR(INDEX(醫師週班表!$C$5:$T$44,$CU13,CJ$57),""),1),""),IF(MID(IFERROR(INDEX(醫師週班表!$C$5:$T$44,$CU13,CJ$57),""),2,1)="(",LEFT(IFERROR(INDEX(醫師週班表!$C$5:$T$44,$CU13,CJ$57),""),1),IFERROR(INDEX(醫師週班表!$C$5:$T$44,$CU13,CJ$57),"")))))))</f>
        <v/>
      </c>
      <c r="CK13" s="71">
        <f>IF(CK$59="X","",IF(CK$59&lt;&gt;"",CK$59,IF(IFERROR(INDEX(醫師週班表!$C$5:$T$44,$CU13,CK$57),"")=0,"",IF(MID(IFERROR(INDEX(醫師週班表!$C$5:$T$44,$CU13,CK$57),""),2,1)="/",MID(IFERROR(INDEX(醫師週班表!$C$5:$T$44,$CU13,CK$57),""),1+CK$58*2,1),IF(MID(IFERROR(INDEX(醫師週班表!$C$5:$T$44,$CU13,CK$57),""),3,1)="隔",IF(CK$58=0,LEFT(IFERROR(INDEX(醫師週班表!$C$5:$T$44,$CU13,CK$57),""),1),""),IF(MID(IFERROR(INDEX(醫師週班表!$C$5:$T$44,$CU13,CK$57),""),2,1)="(",LEFT(IFERROR(INDEX(醫師週班表!$C$5:$T$44,$CU13,CK$57),""),1),IFERROR(INDEX(醫師週班表!$C$5:$T$44,$CU13,CK$57),"")))))))</f>
        <v/>
      </c>
      <c r="CL13" s="72">
        <f>IF(CL$59="X","",IF(CL$59&lt;&gt;"",CL$59,IF(IFERROR(INDEX(醫師週班表!$C$5:$T$44,$CU13,CL$57),"")=0,"",IF(MID(IFERROR(INDEX(醫師週班表!$C$5:$T$44,$CU13,CL$57),""),2,1)="/",MID(IFERROR(INDEX(醫師週班表!$C$5:$T$44,$CU13,CL$57),""),1+CL$58*2,1),IF(MID(IFERROR(INDEX(醫師週班表!$C$5:$T$44,$CU13,CL$57),""),3,1)="隔",IF(CL$58=0,LEFT(IFERROR(INDEX(醫師週班表!$C$5:$T$44,$CU13,CL$57),""),1),""),IF(MID(IFERROR(INDEX(醫師週班表!$C$5:$T$44,$CU13,CL$57),""),2,1)="(",LEFT(IFERROR(INDEX(醫師週班表!$C$5:$T$44,$CU13,CL$57),""),1),IFERROR(INDEX(醫師週班表!$C$5:$T$44,$CU13,CL$57),"")))))))</f>
        <v/>
      </c>
      <c r="CM13" s="72">
        <f>IF(CM$59="X","",IF(CM$59&lt;&gt;"",CM$59,IF(IFERROR(INDEX(醫師週班表!$C$5:$T$44,$CU13,CM$57),"")=0,"",IF(MID(IFERROR(INDEX(醫師週班表!$C$5:$T$44,$CU13,CM$57),""),2,1)="/",MID(IFERROR(INDEX(醫師週班表!$C$5:$T$44,$CU13,CM$57),""),1+CM$58*2,1),IF(MID(IFERROR(INDEX(醫師週班表!$C$5:$T$44,$CU13,CM$57),""),3,1)="隔",IF(CM$58=0,LEFT(IFERROR(INDEX(醫師週班表!$C$5:$T$44,$CU13,CM$57),""),1),""),IF(MID(IFERROR(INDEX(醫師週班表!$C$5:$T$44,$CU13,CM$57),""),2,1)="(",LEFT(IFERROR(INDEX(醫師週班表!$C$5:$T$44,$CU13,CM$57),""),1),IFERROR(INDEX(醫師週班表!$C$5:$T$44,$CU13,CM$57),"")))))))</f>
        <v/>
      </c>
      <c r="CN13" s="71">
        <f>IF(CN$59="X","",IF(CN$59&lt;&gt;"",CN$59,IF(IFERROR(INDEX(醫師週班表!$C$5:$T$44,$CU13,CN$57),"")=0,"",IF(MID(IFERROR(INDEX(醫師週班表!$C$5:$T$44,$CU13,CN$57),""),2,1)="/",MID(IFERROR(INDEX(醫師週班表!$C$5:$T$44,$CU13,CN$57),""),1+CN$58*2,1),IF(MID(IFERROR(INDEX(醫師週班表!$C$5:$T$44,$CU13,CN$57),""),3,1)="隔",IF(CN$58=0,LEFT(IFERROR(INDEX(醫師週班表!$C$5:$T$44,$CU13,CN$57),""),1),""),IF(MID(IFERROR(INDEX(醫師週班表!$C$5:$T$44,$CU13,CN$57),""),2,1)="(",LEFT(IFERROR(INDEX(醫師週班表!$C$5:$T$44,$CU13,CN$57),""),1),IFERROR(INDEX(醫師週班表!$C$5:$T$44,$CU13,CN$57),"")))))))</f>
        <v/>
      </c>
      <c r="CO13" s="72">
        <f>IF(CO$59="X","",IF(CO$59&lt;&gt;"",CO$59,IF(IFERROR(INDEX(醫師週班表!$C$5:$T$44,$CU13,CO$57),"")=0,"",IF(MID(IFERROR(INDEX(醫師週班表!$C$5:$T$44,$CU13,CO$57),""),2,1)="/",MID(IFERROR(INDEX(醫師週班表!$C$5:$T$44,$CU13,CO$57),""),1+CO$58*2,1),IF(MID(IFERROR(INDEX(醫師週班表!$C$5:$T$44,$CU13,CO$57),""),3,1)="隔",IF(CO$58=0,LEFT(IFERROR(INDEX(醫師週班表!$C$5:$T$44,$CU13,CO$57),""),1),""),IF(MID(IFERROR(INDEX(醫師週班表!$C$5:$T$44,$CU13,CO$57),""),2,1)="(",LEFT(IFERROR(INDEX(醫師週班表!$C$5:$T$44,$CU13,CO$57),""),1),IFERROR(INDEX(醫師週班表!$C$5:$T$44,$CU13,CO$57),"")))))))</f>
        <v/>
      </c>
      <c r="CP13" s="72">
        <f>IF(CP$59="X","",IF(CP$59&lt;&gt;"",CP$59,IF(IFERROR(INDEX(醫師週班表!$C$5:$T$44,$CU13,CP$57),"")=0,"",IF(MID(IFERROR(INDEX(醫師週班表!$C$5:$T$44,$CU13,CP$57),""),2,1)="/",MID(IFERROR(INDEX(醫師週班表!$C$5:$T$44,$CU13,CP$57),""),1+CP$58*2,1),IF(MID(IFERROR(INDEX(醫師週班表!$C$5:$T$44,$CU13,CP$57),""),3,1)="隔",IF(CP$58=0,LEFT(IFERROR(INDEX(醫師週班表!$C$5:$T$44,$CU13,CP$57),""),1),""),IF(MID(IFERROR(INDEX(醫師週班表!$C$5:$T$44,$CU13,CP$57),""),2,1)="(",LEFT(IFERROR(INDEX(醫師週班表!$C$5:$T$44,$CU13,CP$57),""),1),IFERROR(INDEX(醫師週班表!$C$5:$T$44,$CU13,CP$57),"")))))))</f>
        <v/>
      </c>
      <c r="CQ13" s="71">
        <f>IF(CQ$59="X","",IF(CQ$59&lt;&gt;"",CQ$59,IF(IFERROR(INDEX(醫師週班表!$C$5:$T$44,$CU13,CQ$57),"")=0,"",IF(MID(IFERROR(INDEX(醫師週班表!$C$5:$T$44,$CU13,CQ$57),""),2,1)="/",MID(IFERROR(INDEX(醫師週班表!$C$5:$T$44,$CU13,CQ$57),""),1+CQ$58*2,1),IF(MID(IFERROR(INDEX(醫師週班表!$C$5:$T$44,$CU13,CQ$57),""),3,1)="隔",IF(CQ$58=0,LEFT(IFERROR(INDEX(醫師週班表!$C$5:$T$44,$CU13,CQ$57),""),1),""),IF(MID(IFERROR(INDEX(醫師週班表!$C$5:$T$44,$CU13,CQ$57),""),2,1)="(",LEFT(IFERROR(INDEX(醫師週班表!$C$5:$T$44,$CU13,CQ$57),""),1),IFERROR(INDEX(醫師週班表!$C$5:$T$44,$CU13,CQ$57),"")))))))</f>
        <v/>
      </c>
      <c r="CR13" s="72">
        <f>IF(CR$59="X","",IF(CR$59&lt;&gt;"",CR$59,IF(IFERROR(INDEX(醫師週班表!$C$5:$T$44,$CU13,CR$57),"")=0,"",IF(MID(IFERROR(INDEX(醫師週班表!$C$5:$T$44,$CU13,CR$57),""),2,1)="/",MID(IFERROR(INDEX(醫師週班表!$C$5:$T$44,$CU13,CR$57),""),1+CR$58*2,1),IF(MID(IFERROR(INDEX(醫師週班表!$C$5:$T$44,$CU13,CR$57),""),3,1)="隔",IF(CR$58=0,LEFT(IFERROR(INDEX(醫師週班表!$C$5:$T$44,$CU13,CR$57),""),1),""),IF(MID(IFERROR(INDEX(醫師週班表!$C$5:$T$44,$CU13,CR$57),""),2,1)="(",LEFT(IFERROR(INDEX(醫師週班表!$C$5:$T$44,$CU13,CR$57),""),1),IFERROR(INDEX(醫師週班表!$C$5:$T$44,$CU13,CR$57),"")))))))</f>
        <v/>
      </c>
      <c r="CS13" s="72">
        <f>IF(CS$59="X","",IF(CS$59&lt;&gt;"",CS$59,IF(IFERROR(INDEX(醫師週班表!$C$5:$T$44,$CU13,CS$57),"")=0,"",IF(MID(IFERROR(INDEX(醫師週班表!$C$5:$T$44,$CU13,CS$57),""),2,1)="/",MID(IFERROR(INDEX(醫師週班表!$C$5:$T$44,$CU13,CS$57),""),1+CS$58*2,1),IF(MID(IFERROR(INDEX(醫師週班表!$C$5:$T$44,$CU13,CS$57),""),3,1)="隔",IF(CS$58=0,LEFT(IFERROR(INDEX(醫師週班表!$C$5:$T$44,$CU13,CS$57),""),1),""),IF(MID(IFERROR(INDEX(醫師週班表!$C$5:$T$44,$CU13,CS$57),""),2,1)="(",LEFT(IFERROR(INDEX(醫師週班表!$C$5:$T$44,$CU13,CS$57),""),1),IFERROR(INDEX(醫師週班表!$C$5:$T$44,$CU13,CS$57),"")))))))</f>
        <v/>
      </c>
      <c r="CU13" s="73">
        <f>IFERROR(MATCH($A13,醫師週班表!$A$5:$A$44,0),0)</f>
        <v/>
      </c>
    </row>
    <row r="14" ht="17" customHeight="1">
      <c r="A14" s="19" t="inlineStr">
        <is>
          <t>D009</t>
        </is>
      </c>
      <c r="B14" s="16" t="inlineStr">
        <is>
          <t>陳昺元</t>
        </is>
      </c>
      <c r="C14" s="70" t="inlineStr">
        <is>
          <t>美學植牙專科</t>
        </is>
      </c>
      <c r="D14" s="16" t="inlineStr">
        <is>
          <t>晶匯院長</t>
        </is>
      </c>
      <c r="E14" s="71">
        <f>IF(E$59="X","",IF(E$59&lt;&gt;"",E$59,IF(IFERROR(INDEX(醫師週班表!$C$5:$T$44,$CU14,E$57),"")=0,"",IF(MID(IFERROR(INDEX(醫師週班表!$C$5:$T$44,$CU14,E$57),""),2,1)="/",MID(IFERROR(INDEX(醫師週班表!$C$5:$T$44,$CU14,E$57),""),1+E$58*2,1),IF(MID(IFERROR(INDEX(醫師週班表!$C$5:$T$44,$CU14,E$57),""),3,1)="隔",IF(E$58=0,LEFT(IFERROR(INDEX(醫師週班表!$C$5:$T$44,$CU14,E$57),""),1),""),IF(MID(IFERROR(INDEX(醫師週班表!$C$5:$T$44,$CU14,E$57),""),2,1)="(",LEFT(IFERROR(INDEX(醫師週班表!$C$5:$T$44,$CU14,E$57),""),1),IFERROR(INDEX(醫師週班表!$C$5:$T$44,$CU14,E$57),"")))))))</f>
        <v/>
      </c>
      <c r="F14" s="72">
        <f>IF(F$59="X","",IF(F$59&lt;&gt;"",F$59,IF(IFERROR(INDEX(醫師週班表!$C$5:$T$44,$CU14,F$57),"")=0,"",IF(MID(IFERROR(INDEX(醫師週班表!$C$5:$T$44,$CU14,F$57),""),2,1)="/",MID(IFERROR(INDEX(醫師週班表!$C$5:$T$44,$CU14,F$57),""),1+F$58*2,1),IF(MID(IFERROR(INDEX(醫師週班表!$C$5:$T$44,$CU14,F$57),""),3,1)="隔",IF(F$58=0,LEFT(IFERROR(INDEX(醫師週班表!$C$5:$T$44,$CU14,F$57),""),1),""),IF(MID(IFERROR(INDEX(醫師週班表!$C$5:$T$44,$CU14,F$57),""),2,1)="(",LEFT(IFERROR(INDEX(醫師週班表!$C$5:$T$44,$CU14,F$57),""),1),IFERROR(INDEX(醫師週班表!$C$5:$T$44,$CU14,F$57),"")))))))</f>
        <v/>
      </c>
      <c r="G14" s="72">
        <f>IF(G$59="X","",IF(G$59&lt;&gt;"",G$59,IF(IFERROR(INDEX(醫師週班表!$C$5:$T$44,$CU14,G$57),"")=0,"",IF(MID(IFERROR(INDEX(醫師週班表!$C$5:$T$44,$CU14,G$57),""),2,1)="/",MID(IFERROR(INDEX(醫師週班表!$C$5:$T$44,$CU14,G$57),""),1+G$58*2,1),IF(MID(IFERROR(INDEX(醫師週班表!$C$5:$T$44,$CU14,G$57),""),3,1)="隔",IF(G$58=0,LEFT(IFERROR(INDEX(醫師週班表!$C$5:$T$44,$CU14,G$57),""),1),""),IF(MID(IFERROR(INDEX(醫師週班表!$C$5:$T$44,$CU14,G$57),""),2,1)="(",LEFT(IFERROR(INDEX(醫師週班表!$C$5:$T$44,$CU14,G$57),""),1),IFERROR(INDEX(醫師週班表!$C$5:$T$44,$CU14,G$57),"")))))))</f>
        <v/>
      </c>
      <c r="H14" s="71">
        <f>IF(H$59="X","",IF(H$59&lt;&gt;"",H$59,IF(IFERROR(INDEX(醫師週班表!$C$5:$T$44,$CU14,H$57),"")=0,"",IF(MID(IFERROR(INDEX(醫師週班表!$C$5:$T$44,$CU14,H$57),""),2,1)="/",MID(IFERROR(INDEX(醫師週班表!$C$5:$T$44,$CU14,H$57),""),1+H$58*2,1),IF(MID(IFERROR(INDEX(醫師週班表!$C$5:$T$44,$CU14,H$57),""),3,1)="隔",IF(H$58=0,LEFT(IFERROR(INDEX(醫師週班表!$C$5:$T$44,$CU14,H$57),""),1),""),IF(MID(IFERROR(INDEX(醫師週班表!$C$5:$T$44,$CU14,H$57),""),2,1)="(",LEFT(IFERROR(INDEX(醫師週班表!$C$5:$T$44,$CU14,H$57),""),1),IFERROR(INDEX(醫師週班表!$C$5:$T$44,$CU14,H$57),"")))))))</f>
        <v/>
      </c>
      <c r="I14" s="72">
        <f>IF(I$59="X","",IF(I$59&lt;&gt;"",I$59,IF(IFERROR(INDEX(醫師週班表!$C$5:$T$44,$CU14,I$57),"")=0,"",IF(MID(IFERROR(INDEX(醫師週班表!$C$5:$T$44,$CU14,I$57),""),2,1)="/",MID(IFERROR(INDEX(醫師週班表!$C$5:$T$44,$CU14,I$57),""),1+I$58*2,1),IF(MID(IFERROR(INDEX(醫師週班表!$C$5:$T$44,$CU14,I$57),""),3,1)="隔",IF(I$58=0,LEFT(IFERROR(INDEX(醫師週班表!$C$5:$T$44,$CU14,I$57),""),1),""),IF(MID(IFERROR(INDEX(醫師週班表!$C$5:$T$44,$CU14,I$57),""),2,1)="(",LEFT(IFERROR(INDEX(醫師週班表!$C$5:$T$44,$CU14,I$57),""),1),IFERROR(INDEX(醫師週班表!$C$5:$T$44,$CU14,I$57),"")))))))</f>
        <v/>
      </c>
      <c r="J14" s="72">
        <f>IF(J$59="X","",IF(J$59&lt;&gt;"",J$59,IF(IFERROR(INDEX(醫師週班表!$C$5:$T$44,$CU14,J$57),"")=0,"",IF(MID(IFERROR(INDEX(醫師週班表!$C$5:$T$44,$CU14,J$57),""),2,1)="/",MID(IFERROR(INDEX(醫師週班表!$C$5:$T$44,$CU14,J$57),""),1+J$58*2,1),IF(MID(IFERROR(INDEX(醫師週班表!$C$5:$T$44,$CU14,J$57),""),3,1)="隔",IF(J$58=0,LEFT(IFERROR(INDEX(醫師週班表!$C$5:$T$44,$CU14,J$57),""),1),""),IF(MID(IFERROR(INDEX(醫師週班表!$C$5:$T$44,$CU14,J$57),""),2,1)="(",LEFT(IFERROR(INDEX(醫師週班表!$C$5:$T$44,$CU14,J$57),""),1),IFERROR(INDEX(醫師週班表!$C$5:$T$44,$CU14,J$57),"")))))))</f>
        <v/>
      </c>
      <c r="K14" s="71">
        <f>IF(K$59="X","",IF(K$59&lt;&gt;"",K$59,IF(IFERROR(INDEX(醫師週班表!$C$5:$T$44,$CU14,K$57),"")=0,"",IF(MID(IFERROR(INDEX(醫師週班表!$C$5:$T$44,$CU14,K$57),""),2,1)="/",MID(IFERROR(INDEX(醫師週班表!$C$5:$T$44,$CU14,K$57),""),1+K$58*2,1),IF(MID(IFERROR(INDEX(醫師週班表!$C$5:$T$44,$CU14,K$57),""),3,1)="隔",IF(K$58=0,LEFT(IFERROR(INDEX(醫師週班表!$C$5:$T$44,$CU14,K$57),""),1),""),IF(MID(IFERROR(INDEX(醫師週班表!$C$5:$T$44,$CU14,K$57),""),2,1)="(",LEFT(IFERROR(INDEX(醫師週班表!$C$5:$T$44,$CU14,K$57),""),1),IFERROR(INDEX(醫師週班表!$C$5:$T$44,$CU14,K$57),"")))))))</f>
        <v/>
      </c>
      <c r="L14" s="72">
        <f>IF(L$59="X","",IF(L$59&lt;&gt;"",L$59,IF(IFERROR(INDEX(醫師週班表!$C$5:$T$44,$CU14,L$57),"")=0,"",IF(MID(IFERROR(INDEX(醫師週班表!$C$5:$T$44,$CU14,L$57),""),2,1)="/",MID(IFERROR(INDEX(醫師週班表!$C$5:$T$44,$CU14,L$57),""),1+L$58*2,1),IF(MID(IFERROR(INDEX(醫師週班表!$C$5:$T$44,$CU14,L$57),""),3,1)="隔",IF(L$58=0,LEFT(IFERROR(INDEX(醫師週班表!$C$5:$T$44,$CU14,L$57),""),1),""),IF(MID(IFERROR(INDEX(醫師週班表!$C$5:$T$44,$CU14,L$57),""),2,1)="(",LEFT(IFERROR(INDEX(醫師週班表!$C$5:$T$44,$CU14,L$57),""),1),IFERROR(INDEX(醫師週班表!$C$5:$T$44,$CU14,L$57),"")))))))</f>
        <v/>
      </c>
      <c r="M14" s="72">
        <f>IF(M$59="X","",IF(M$59&lt;&gt;"",M$59,IF(IFERROR(INDEX(醫師週班表!$C$5:$T$44,$CU14,M$57),"")=0,"",IF(MID(IFERROR(INDEX(醫師週班表!$C$5:$T$44,$CU14,M$57),""),2,1)="/",MID(IFERROR(INDEX(醫師週班表!$C$5:$T$44,$CU14,M$57),""),1+M$58*2,1),IF(MID(IFERROR(INDEX(醫師週班表!$C$5:$T$44,$CU14,M$57),""),3,1)="隔",IF(M$58=0,LEFT(IFERROR(INDEX(醫師週班表!$C$5:$T$44,$CU14,M$57),""),1),""),IF(MID(IFERROR(INDEX(醫師週班表!$C$5:$T$44,$CU14,M$57),""),2,1)="(",LEFT(IFERROR(INDEX(醫師週班表!$C$5:$T$44,$CU14,M$57),""),1),IFERROR(INDEX(醫師週班表!$C$5:$T$44,$CU14,M$57),"")))))))</f>
        <v/>
      </c>
      <c r="N14" s="71">
        <f>IF(N$59="X","",IF(N$59&lt;&gt;"",N$59,IF(IFERROR(INDEX(醫師週班表!$C$5:$T$44,$CU14,N$57),"")=0,"",IF(MID(IFERROR(INDEX(醫師週班表!$C$5:$T$44,$CU14,N$57),""),2,1)="/",MID(IFERROR(INDEX(醫師週班表!$C$5:$T$44,$CU14,N$57),""),1+N$58*2,1),IF(MID(IFERROR(INDEX(醫師週班表!$C$5:$T$44,$CU14,N$57),""),3,1)="隔",IF(N$58=0,LEFT(IFERROR(INDEX(醫師週班表!$C$5:$T$44,$CU14,N$57),""),1),""),IF(MID(IFERROR(INDEX(醫師週班表!$C$5:$T$44,$CU14,N$57),""),2,1)="(",LEFT(IFERROR(INDEX(醫師週班表!$C$5:$T$44,$CU14,N$57),""),1),IFERROR(INDEX(醫師週班表!$C$5:$T$44,$CU14,N$57),"")))))))</f>
        <v/>
      </c>
      <c r="O14" s="72">
        <f>IF(O$59="X","",IF(O$59&lt;&gt;"",O$59,IF(IFERROR(INDEX(醫師週班表!$C$5:$T$44,$CU14,O$57),"")=0,"",IF(MID(IFERROR(INDEX(醫師週班表!$C$5:$T$44,$CU14,O$57),""),2,1)="/",MID(IFERROR(INDEX(醫師週班表!$C$5:$T$44,$CU14,O$57),""),1+O$58*2,1),IF(MID(IFERROR(INDEX(醫師週班表!$C$5:$T$44,$CU14,O$57),""),3,1)="隔",IF(O$58=0,LEFT(IFERROR(INDEX(醫師週班表!$C$5:$T$44,$CU14,O$57),""),1),""),IF(MID(IFERROR(INDEX(醫師週班表!$C$5:$T$44,$CU14,O$57),""),2,1)="(",LEFT(IFERROR(INDEX(醫師週班表!$C$5:$T$44,$CU14,O$57),""),1),IFERROR(INDEX(醫師週班表!$C$5:$T$44,$CU14,O$57),"")))))))</f>
        <v/>
      </c>
      <c r="P14" s="72">
        <f>IF(P$59="X","",IF(P$59&lt;&gt;"",P$59,IF(IFERROR(INDEX(醫師週班表!$C$5:$T$44,$CU14,P$57),"")=0,"",IF(MID(IFERROR(INDEX(醫師週班表!$C$5:$T$44,$CU14,P$57),""),2,1)="/",MID(IFERROR(INDEX(醫師週班表!$C$5:$T$44,$CU14,P$57),""),1+P$58*2,1),IF(MID(IFERROR(INDEX(醫師週班表!$C$5:$T$44,$CU14,P$57),""),3,1)="隔",IF(P$58=0,LEFT(IFERROR(INDEX(醫師週班表!$C$5:$T$44,$CU14,P$57),""),1),""),IF(MID(IFERROR(INDEX(醫師週班表!$C$5:$T$44,$CU14,P$57),""),2,1)="(",LEFT(IFERROR(INDEX(醫師週班表!$C$5:$T$44,$CU14,P$57),""),1),IFERROR(INDEX(醫師週班表!$C$5:$T$44,$CU14,P$57),"")))))))</f>
        <v/>
      </c>
      <c r="Q14" s="71">
        <f>IF(Q$59="X","",IF(Q$59&lt;&gt;"",Q$59,IF(IFERROR(INDEX(醫師週班表!$C$5:$T$44,$CU14,Q$57),"")=0,"",IF(MID(IFERROR(INDEX(醫師週班表!$C$5:$T$44,$CU14,Q$57),""),2,1)="/",MID(IFERROR(INDEX(醫師週班表!$C$5:$T$44,$CU14,Q$57),""),1+Q$58*2,1),IF(MID(IFERROR(INDEX(醫師週班表!$C$5:$T$44,$CU14,Q$57),""),3,1)="隔",IF(Q$58=0,LEFT(IFERROR(INDEX(醫師週班表!$C$5:$T$44,$CU14,Q$57),""),1),""),IF(MID(IFERROR(INDEX(醫師週班表!$C$5:$T$44,$CU14,Q$57),""),2,1)="(",LEFT(IFERROR(INDEX(醫師週班表!$C$5:$T$44,$CU14,Q$57),""),1),IFERROR(INDEX(醫師週班表!$C$5:$T$44,$CU14,Q$57),"")))))))</f>
        <v/>
      </c>
      <c r="R14" s="72">
        <f>IF(R$59="X","",IF(R$59&lt;&gt;"",R$59,IF(IFERROR(INDEX(醫師週班表!$C$5:$T$44,$CU14,R$57),"")=0,"",IF(MID(IFERROR(INDEX(醫師週班表!$C$5:$T$44,$CU14,R$57),""),2,1)="/",MID(IFERROR(INDEX(醫師週班表!$C$5:$T$44,$CU14,R$57),""),1+R$58*2,1),IF(MID(IFERROR(INDEX(醫師週班表!$C$5:$T$44,$CU14,R$57),""),3,1)="隔",IF(R$58=0,LEFT(IFERROR(INDEX(醫師週班表!$C$5:$T$44,$CU14,R$57),""),1),""),IF(MID(IFERROR(INDEX(醫師週班表!$C$5:$T$44,$CU14,R$57),""),2,1)="(",LEFT(IFERROR(INDEX(醫師週班表!$C$5:$T$44,$CU14,R$57),""),1),IFERROR(INDEX(醫師週班表!$C$5:$T$44,$CU14,R$57),"")))))))</f>
        <v/>
      </c>
      <c r="S14" s="72">
        <f>IF(S$59="X","",IF(S$59&lt;&gt;"",S$59,IF(IFERROR(INDEX(醫師週班表!$C$5:$T$44,$CU14,S$57),"")=0,"",IF(MID(IFERROR(INDEX(醫師週班表!$C$5:$T$44,$CU14,S$57),""),2,1)="/",MID(IFERROR(INDEX(醫師週班表!$C$5:$T$44,$CU14,S$57),""),1+S$58*2,1),IF(MID(IFERROR(INDEX(醫師週班表!$C$5:$T$44,$CU14,S$57),""),3,1)="隔",IF(S$58=0,LEFT(IFERROR(INDEX(醫師週班表!$C$5:$T$44,$CU14,S$57),""),1),""),IF(MID(IFERROR(INDEX(醫師週班表!$C$5:$T$44,$CU14,S$57),""),2,1)="(",LEFT(IFERROR(INDEX(醫師週班表!$C$5:$T$44,$CU14,S$57),""),1),IFERROR(INDEX(醫師週班表!$C$5:$T$44,$CU14,S$57),"")))))))</f>
        <v/>
      </c>
      <c r="T14" s="71">
        <f>IF(T$59="X","",IF(T$59&lt;&gt;"",T$59,IF(IFERROR(INDEX(醫師週班表!$C$5:$T$44,$CU14,T$57),"")=0,"",IF(MID(IFERROR(INDEX(醫師週班表!$C$5:$T$44,$CU14,T$57),""),2,1)="/",MID(IFERROR(INDEX(醫師週班表!$C$5:$T$44,$CU14,T$57),""),1+T$58*2,1),IF(MID(IFERROR(INDEX(醫師週班表!$C$5:$T$44,$CU14,T$57),""),3,1)="隔",IF(T$58=0,LEFT(IFERROR(INDEX(醫師週班表!$C$5:$T$44,$CU14,T$57),""),1),""),IF(MID(IFERROR(INDEX(醫師週班表!$C$5:$T$44,$CU14,T$57),""),2,1)="(",LEFT(IFERROR(INDEX(醫師週班表!$C$5:$T$44,$CU14,T$57),""),1),IFERROR(INDEX(醫師週班表!$C$5:$T$44,$CU14,T$57),"")))))))</f>
        <v/>
      </c>
      <c r="U14" s="72">
        <f>IF(U$59="X","",IF(U$59&lt;&gt;"",U$59,IF(IFERROR(INDEX(醫師週班表!$C$5:$T$44,$CU14,U$57),"")=0,"",IF(MID(IFERROR(INDEX(醫師週班表!$C$5:$T$44,$CU14,U$57),""),2,1)="/",MID(IFERROR(INDEX(醫師週班表!$C$5:$T$44,$CU14,U$57),""),1+U$58*2,1),IF(MID(IFERROR(INDEX(醫師週班表!$C$5:$T$44,$CU14,U$57),""),3,1)="隔",IF(U$58=0,LEFT(IFERROR(INDEX(醫師週班表!$C$5:$T$44,$CU14,U$57),""),1),""),IF(MID(IFERROR(INDEX(醫師週班表!$C$5:$T$44,$CU14,U$57),""),2,1)="(",LEFT(IFERROR(INDEX(醫師週班表!$C$5:$T$44,$CU14,U$57),""),1),IFERROR(INDEX(醫師週班表!$C$5:$T$44,$CU14,U$57),"")))))))</f>
        <v/>
      </c>
      <c r="V14" s="72">
        <f>IF(V$59="X","",IF(V$59&lt;&gt;"",V$59,IF(IFERROR(INDEX(醫師週班表!$C$5:$T$44,$CU14,V$57),"")=0,"",IF(MID(IFERROR(INDEX(醫師週班表!$C$5:$T$44,$CU14,V$57),""),2,1)="/",MID(IFERROR(INDEX(醫師週班表!$C$5:$T$44,$CU14,V$57),""),1+V$58*2,1),IF(MID(IFERROR(INDEX(醫師週班表!$C$5:$T$44,$CU14,V$57),""),3,1)="隔",IF(V$58=0,LEFT(IFERROR(INDEX(醫師週班表!$C$5:$T$44,$CU14,V$57),""),1),""),IF(MID(IFERROR(INDEX(醫師週班表!$C$5:$T$44,$CU14,V$57),""),2,1)="(",LEFT(IFERROR(INDEX(醫師週班表!$C$5:$T$44,$CU14,V$57),""),1),IFERROR(INDEX(醫師週班表!$C$5:$T$44,$CU14,V$57),"")))))))</f>
        <v/>
      </c>
      <c r="W14" s="71">
        <f>IF(W$59="X","",IF(W$59&lt;&gt;"",W$59,IF(IFERROR(INDEX(醫師週班表!$C$5:$T$44,$CU14,W$57),"")=0,"",IF(MID(IFERROR(INDEX(醫師週班表!$C$5:$T$44,$CU14,W$57),""),2,1)="/",MID(IFERROR(INDEX(醫師週班表!$C$5:$T$44,$CU14,W$57),""),1+W$58*2,1),IF(MID(IFERROR(INDEX(醫師週班表!$C$5:$T$44,$CU14,W$57),""),3,1)="隔",IF(W$58=0,LEFT(IFERROR(INDEX(醫師週班表!$C$5:$T$44,$CU14,W$57),""),1),""),IF(MID(IFERROR(INDEX(醫師週班表!$C$5:$T$44,$CU14,W$57),""),2,1)="(",LEFT(IFERROR(INDEX(醫師週班表!$C$5:$T$44,$CU14,W$57),""),1),IFERROR(INDEX(醫師週班表!$C$5:$T$44,$CU14,W$57),"")))))))</f>
        <v/>
      </c>
      <c r="X14" s="72">
        <f>IF(X$59="X","",IF(X$59&lt;&gt;"",X$59,IF(IFERROR(INDEX(醫師週班表!$C$5:$T$44,$CU14,X$57),"")=0,"",IF(MID(IFERROR(INDEX(醫師週班表!$C$5:$T$44,$CU14,X$57),""),2,1)="/",MID(IFERROR(INDEX(醫師週班表!$C$5:$T$44,$CU14,X$57),""),1+X$58*2,1),IF(MID(IFERROR(INDEX(醫師週班表!$C$5:$T$44,$CU14,X$57),""),3,1)="隔",IF(X$58=0,LEFT(IFERROR(INDEX(醫師週班表!$C$5:$T$44,$CU14,X$57),""),1),""),IF(MID(IFERROR(INDEX(醫師週班表!$C$5:$T$44,$CU14,X$57),""),2,1)="(",LEFT(IFERROR(INDEX(醫師週班表!$C$5:$T$44,$CU14,X$57),""),1),IFERROR(INDEX(醫師週班表!$C$5:$T$44,$CU14,X$57),"")))))))</f>
        <v/>
      </c>
      <c r="Y14" s="72">
        <f>IF(Y$59="X","",IF(Y$59&lt;&gt;"",Y$59,IF(IFERROR(INDEX(醫師週班表!$C$5:$T$44,$CU14,Y$57),"")=0,"",IF(MID(IFERROR(INDEX(醫師週班表!$C$5:$T$44,$CU14,Y$57),""),2,1)="/",MID(IFERROR(INDEX(醫師週班表!$C$5:$T$44,$CU14,Y$57),""),1+Y$58*2,1),IF(MID(IFERROR(INDEX(醫師週班表!$C$5:$T$44,$CU14,Y$57),""),3,1)="隔",IF(Y$58=0,LEFT(IFERROR(INDEX(醫師週班表!$C$5:$T$44,$CU14,Y$57),""),1),""),IF(MID(IFERROR(INDEX(醫師週班表!$C$5:$T$44,$CU14,Y$57),""),2,1)="(",LEFT(IFERROR(INDEX(醫師週班表!$C$5:$T$44,$CU14,Y$57),""),1),IFERROR(INDEX(醫師週班表!$C$5:$T$44,$CU14,Y$57),"")))))))</f>
        <v/>
      </c>
      <c r="Z14" s="71">
        <f>IF(Z$59="X","",IF(Z$59&lt;&gt;"",Z$59,IF(IFERROR(INDEX(醫師週班表!$C$5:$T$44,$CU14,Z$57),"")=0,"",IF(MID(IFERROR(INDEX(醫師週班表!$C$5:$T$44,$CU14,Z$57),""),2,1)="/",MID(IFERROR(INDEX(醫師週班表!$C$5:$T$44,$CU14,Z$57),""),1+Z$58*2,1),IF(MID(IFERROR(INDEX(醫師週班表!$C$5:$T$44,$CU14,Z$57),""),3,1)="隔",IF(Z$58=0,LEFT(IFERROR(INDEX(醫師週班表!$C$5:$T$44,$CU14,Z$57),""),1),""),IF(MID(IFERROR(INDEX(醫師週班表!$C$5:$T$44,$CU14,Z$57),""),2,1)="(",LEFT(IFERROR(INDEX(醫師週班表!$C$5:$T$44,$CU14,Z$57),""),1),IFERROR(INDEX(醫師週班表!$C$5:$T$44,$CU14,Z$57),"")))))))</f>
        <v/>
      </c>
      <c r="AA14" s="72">
        <f>IF(AA$59="X","",IF(AA$59&lt;&gt;"",AA$59,IF(IFERROR(INDEX(醫師週班表!$C$5:$T$44,$CU14,AA$57),"")=0,"",IF(MID(IFERROR(INDEX(醫師週班表!$C$5:$T$44,$CU14,AA$57),""),2,1)="/",MID(IFERROR(INDEX(醫師週班表!$C$5:$T$44,$CU14,AA$57),""),1+AA$58*2,1),IF(MID(IFERROR(INDEX(醫師週班表!$C$5:$T$44,$CU14,AA$57),""),3,1)="隔",IF(AA$58=0,LEFT(IFERROR(INDEX(醫師週班表!$C$5:$T$44,$CU14,AA$57),""),1),""),IF(MID(IFERROR(INDEX(醫師週班表!$C$5:$T$44,$CU14,AA$57),""),2,1)="(",LEFT(IFERROR(INDEX(醫師週班表!$C$5:$T$44,$CU14,AA$57),""),1),IFERROR(INDEX(醫師週班表!$C$5:$T$44,$CU14,AA$57),"")))))))</f>
        <v/>
      </c>
      <c r="AB14" s="72">
        <f>IF(AB$59="X","",IF(AB$59&lt;&gt;"",AB$59,IF(IFERROR(INDEX(醫師週班表!$C$5:$T$44,$CU14,AB$57),"")=0,"",IF(MID(IFERROR(INDEX(醫師週班表!$C$5:$T$44,$CU14,AB$57),""),2,1)="/",MID(IFERROR(INDEX(醫師週班表!$C$5:$T$44,$CU14,AB$57),""),1+AB$58*2,1),IF(MID(IFERROR(INDEX(醫師週班表!$C$5:$T$44,$CU14,AB$57),""),3,1)="隔",IF(AB$58=0,LEFT(IFERROR(INDEX(醫師週班表!$C$5:$T$44,$CU14,AB$57),""),1),""),IF(MID(IFERROR(INDEX(醫師週班表!$C$5:$T$44,$CU14,AB$57),""),2,1)="(",LEFT(IFERROR(INDEX(醫師週班表!$C$5:$T$44,$CU14,AB$57),""),1),IFERROR(INDEX(醫師週班表!$C$5:$T$44,$CU14,AB$57),"")))))))</f>
        <v/>
      </c>
      <c r="AC14" s="71">
        <f>IF(AC$59="X","",IF(AC$59&lt;&gt;"",AC$59,IF(IFERROR(INDEX(醫師週班表!$C$5:$T$44,$CU14,AC$57),"")=0,"",IF(MID(IFERROR(INDEX(醫師週班表!$C$5:$T$44,$CU14,AC$57),""),2,1)="/",MID(IFERROR(INDEX(醫師週班表!$C$5:$T$44,$CU14,AC$57),""),1+AC$58*2,1),IF(MID(IFERROR(INDEX(醫師週班表!$C$5:$T$44,$CU14,AC$57),""),3,1)="隔",IF(AC$58=0,LEFT(IFERROR(INDEX(醫師週班表!$C$5:$T$44,$CU14,AC$57),""),1),""),IF(MID(IFERROR(INDEX(醫師週班表!$C$5:$T$44,$CU14,AC$57),""),2,1)="(",LEFT(IFERROR(INDEX(醫師週班表!$C$5:$T$44,$CU14,AC$57),""),1),IFERROR(INDEX(醫師週班表!$C$5:$T$44,$CU14,AC$57),"")))))))</f>
        <v/>
      </c>
      <c r="AD14" s="72">
        <f>IF(AD$59="X","",IF(AD$59&lt;&gt;"",AD$59,IF(IFERROR(INDEX(醫師週班表!$C$5:$T$44,$CU14,AD$57),"")=0,"",IF(MID(IFERROR(INDEX(醫師週班表!$C$5:$T$44,$CU14,AD$57),""),2,1)="/",MID(IFERROR(INDEX(醫師週班表!$C$5:$T$44,$CU14,AD$57),""),1+AD$58*2,1),IF(MID(IFERROR(INDEX(醫師週班表!$C$5:$T$44,$CU14,AD$57),""),3,1)="隔",IF(AD$58=0,LEFT(IFERROR(INDEX(醫師週班表!$C$5:$T$44,$CU14,AD$57),""),1),""),IF(MID(IFERROR(INDEX(醫師週班表!$C$5:$T$44,$CU14,AD$57),""),2,1)="(",LEFT(IFERROR(INDEX(醫師週班表!$C$5:$T$44,$CU14,AD$57),""),1),IFERROR(INDEX(醫師週班表!$C$5:$T$44,$CU14,AD$57),"")))))))</f>
        <v/>
      </c>
      <c r="AE14" s="72">
        <f>IF(AE$59="X","",IF(AE$59&lt;&gt;"",AE$59,IF(IFERROR(INDEX(醫師週班表!$C$5:$T$44,$CU14,AE$57),"")=0,"",IF(MID(IFERROR(INDEX(醫師週班表!$C$5:$T$44,$CU14,AE$57),""),2,1)="/",MID(IFERROR(INDEX(醫師週班表!$C$5:$T$44,$CU14,AE$57),""),1+AE$58*2,1),IF(MID(IFERROR(INDEX(醫師週班表!$C$5:$T$44,$CU14,AE$57),""),3,1)="隔",IF(AE$58=0,LEFT(IFERROR(INDEX(醫師週班表!$C$5:$T$44,$CU14,AE$57),""),1),""),IF(MID(IFERROR(INDEX(醫師週班表!$C$5:$T$44,$CU14,AE$57),""),2,1)="(",LEFT(IFERROR(INDEX(醫師週班表!$C$5:$T$44,$CU14,AE$57),""),1),IFERROR(INDEX(醫師週班表!$C$5:$T$44,$CU14,AE$57),"")))))))</f>
        <v/>
      </c>
      <c r="AF14" s="71">
        <f>IF(AF$59="X","",IF(AF$59&lt;&gt;"",AF$59,IF(IFERROR(INDEX(醫師週班表!$C$5:$T$44,$CU14,AF$57),"")=0,"",IF(MID(IFERROR(INDEX(醫師週班表!$C$5:$T$44,$CU14,AF$57),""),2,1)="/",MID(IFERROR(INDEX(醫師週班表!$C$5:$T$44,$CU14,AF$57),""),1+AF$58*2,1),IF(MID(IFERROR(INDEX(醫師週班表!$C$5:$T$44,$CU14,AF$57),""),3,1)="隔",IF(AF$58=0,LEFT(IFERROR(INDEX(醫師週班表!$C$5:$T$44,$CU14,AF$57),""),1),""),IF(MID(IFERROR(INDEX(醫師週班表!$C$5:$T$44,$CU14,AF$57),""),2,1)="(",LEFT(IFERROR(INDEX(醫師週班表!$C$5:$T$44,$CU14,AF$57),""),1),IFERROR(INDEX(醫師週班表!$C$5:$T$44,$CU14,AF$57),"")))))))</f>
        <v/>
      </c>
      <c r="AG14" s="72">
        <f>IF(AG$59="X","",IF(AG$59&lt;&gt;"",AG$59,IF(IFERROR(INDEX(醫師週班表!$C$5:$T$44,$CU14,AG$57),"")=0,"",IF(MID(IFERROR(INDEX(醫師週班表!$C$5:$T$44,$CU14,AG$57),""),2,1)="/",MID(IFERROR(INDEX(醫師週班表!$C$5:$T$44,$CU14,AG$57),""),1+AG$58*2,1),IF(MID(IFERROR(INDEX(醫師週班表!$C$5:$T$44,$CU14,AG$57),""),3,1)="隔",IF(AG$58=0,LEFT(IFERROR(INDEX(醫師週班表!$C$5:$T$44,$CU14,AG$57),""),1),""),IF(MID(IFERROR(INDEX(醫師週班表!$C$5:$T$44,$CU14,AG$57),""),2,1)="(",LEFT(IFERROR(INDEX(醫師週班表!$C$5:$T$44,$CU14,AG$57),""),1),IFERROR(INDEX(醫師週班表!$C$5:$T$44,$CU14,AG$57),"")))))))</f>
        <v/>
      </c>
      <c r="AH14" s="72">
        <f>IF(AH$59="X","",IF(AH$59&lt;&gt;"",AH$59,IF(IFERROR(INDEX(醫師週班表!$C$5:$T$44,$CU14,AH$57),"")=0,"",IF(MID(IFERROR(INDEX(醫師週班表!$C$5:$T$44,$CU14,AH$57),""),2,1)="/",MID(IFERROR(INDEX(醫師週班表!$C$5:$T$44,$CU14,AH$57),""),1+AH$58*2,1),IF(MID(IFERROR(INDEX(醫師週班表!$C$5:$T$44,$CU14,AH$57),""),3,1)="隔",IF(AH$58=0,LEFT(IFERROR(INDEX(醫師週班表!$C$5:$T$44,$CU14,AH$57),""),1),""),IF(MID(IFERROR(INDEX(醫師週班表!$C$5:$T$44,$CU14,AH$57),""),2,1)="(",LEFT(IFERROR(INDEX(醫師週班表!$C$5:$T$44,$CU14,AH$57),""),1),IFERROR(INDEX(醫師週班表!$C$5:$T$44,$CU14,AH$57),"")))))))</f>
        <v/>
      </c>
      <c r="AI14" s="71">
        <f>IF(AI$59="X","",IF(AI$59&lt;&gt;"",AI$59,IF(IFERROR(INDEX(醫師週班表!$C$5:$T$44,$CU14,AI$57),"")=0,"",IF(MID(IFERROR(INDEX(醫師週班表!$C$5:$T$44,$CU14,AI$57),""),2,1)="/",MID(IFERROR(INDEX(醫師週班表!$C$5:$T$44,$CU14,AI$57),""),1+AI$58*2,1),IF(MID(IFERROR(INDEX(醫師週班表!$C$5:$T$44,$CU14,AI$57),""),3,1)="隔",IF(AI$58=0,LEFT(IFERROR(INDEX(醫師週班表!$C$5:$T$44,$CU14,AI$57),""),1),""),IF(MID(IFERROR(INDEX(醫師週班表!$C$5:$T$44,$CU14,AI$57),""),2,1)="(",LEFT(IFERROR(INDEX(醫師週班表!$C$5:$T$44,$CU14,AI$57),""),1),IFERROR(INDEX(醫師週班表!$C$5:$T$44,$CU14,AI$57),"")))))))</f>
        <v/>
      </c>
      <c r="AJ14" s="72">
        <f>IF(AJ$59="X","",IF(AJ$59&lt;&gt;"",AJ$59,IF(IFERROR(INDEX(醫師週班表!$C$5:$T$44,$CU14,AJ$57),"")=0,"",IF(MID(IFERROR(INDEX(醫師週班表!$C$5:$T$44,$CU14,AJ$57),""),2,1)="/",MID(IFERROR(INDEX(醫師週班表!$C$5:$T$44,$CU14,AJ$57),""),1+AJ$58*2,1),IF(MID(IFERROR(INDEX(醫師週班表!$C$5:$T$44,$CU14,AJ$57),""),3,1)="隔",IF(AJ$58=0,LEFT(IFERROR(INDEX(醫師週班表!$C$5:$T$44,$CU14,AJ$57),""),1),""),IF(MID(IFERROR(INDEX(醫師週班表!$C$5:$T$44,$CU14,AJ$57),""),2,1)="(",LEFT(IFERROR(INDEX(醫師週班表!$C$5:$T$44,$CU14,AJ$57),""),1),IFERROR(INDEX(醫師週班表!$C$5:$T$44,$CU14,AJ$57),"")))))))</f>
        <v/>
      </c>
      <c r="AK14" s="72">
        <f>IF(AK$59="X","",IF(AK$59&lt;&gt;"",AK$59,IF(IFERROR(INDEX(醫師週班表!$C$5:$T$44,$CU14,AK$57),"")=0,"",IF(MID(IFERROR(INDEX(醫師週班表!$C$5:$T$44,$CU14,AK$57),""),2,1)="/",MID(IFERROR(INDEX(醫師週班表!$C$5:$T$44,$CU14,AK$57),""),1+AK$58*2,1),IF(MID(IFERROR(INDEX(醫師週班表!$C$5:$T$44,$CU14,AK$57),""),3,1)="隔",IF(AK$58=0,LEFT(IFERROR(INDEX(醫師週班表!$C$5:$T$44,$CU14,AK$57),""),1),""),IF(MID(IFERROR(INDEX(醫師週班表!$C$5:$T$44,$CU14,AK$57),""),2,1)="(",LEFT(IFERROR(INDEX(醫師週班表!$C$5:$T$44,$CU14,AK$57),""),1),IFERROR(INDEX(醫師週班表!$C$5:$T$44,$CU14,AK$57),"")))))))</f>
        <v/>
      </c>
      <c r="AL14" s="71">
        <f>IF(AL$59="X","",IF(AL$59&lt;&gt;"",AL$59,IF(IFERROR(INDEX(醫師週班表!$C$5:$T$44,$CU14,AL$57),"")=0,"",IF(MID(IFERROR(INDEX(醫師週班表!$C$5:$T$44,$CU14,AL$57),""),2,1)="/",MID(IFERROR(INDEX(醫師週班表!$C$5:$T$44,$CU14,AL$57),""),1+AL$58*2,1),IF(MID(IFERROR(INDEX(醫師週班表!$C$5:$T$44,$CU14,AL$57),""),3,1)="隔",IF(AL$58=0,LEFT(IFERROR(INDEX(醫師週班表!$C$5:$T$44,$CU14,AL$57),""),1),""),IF(MID(IFERROR(INDEX(醫師週班表!$C$5:$T$44,$CU14,AL$57),""),2,1)="(",LEFT(IFERROR(INDEX(醫師週班表!$C$5:$T$44,$CU14,AL$57),""),1),IFERROR(INDEX(醫師週班表!$C$5:$T$44,$CU14,AL$57),"")))))))</f>
        <v/>
      </c>
      <c r="AM14" s="72">
        <f>IF(AM$59="X","",IF(AM$59&lt;&gt;"",AM$59,IF(IFERROR(INDEX(醫師週班表!$C$5:$T$44,$CU14,AM$57),"")=0,"",IF(MID(IFERROR(INDEX(醫師週班表!$C$5:$T$44,$CU14,AM$57),""),2,1)="/",MID(IFERROR(INDEX(醫師週班表!$C$5:$T$44,$CU14,AM$57),""),1+AM$58*2,1),IF(MID(IFERROR(INDEX(醫師週班表!$C$5:$T$44,$CU14,AM$57),""),3,1)="隔",IF(AM$58=0,LEFT(IFERROR(INDEX(醫師週班表!$C$5:$T$44,$CU14,AM$57),""),1),""),IF(MID(IFERROR(INDEX(醫師週班表!$C$5:$T$44,$CU14,AM$57),""),2,1)="(",LEFT(IFERROR(INDEX(醫師週班表!$C$5:$T$44,$CU14,AM$57),""),1),IFERROR(INDEX(醫師週班表!$C$5:$T$44,$CU14,AM$57),"")))))))</f>
        <v/>
      </c>
      <c r="AN14" s="72">
        <f>IF(AN$59="X","",IF(AN$59&lt;&gt;"",AN$59,IF(IFERROR(INDEX(醫師週班表!$C$5:$T$44,$CU14,AN$57),"")=0,"",IF(MID(IFERROR(INDEX(醫師週班表!$C$5:$T$44,$CU14,AN$57),""),2,1)="/",MID(IFERROR(INDEX(醫師週班表!$C$5:$T$44,$CU14,AN$57),""),1+AN$58*2,1),IF(MID(IFERROR(INDEX(醫師週班表!$C$5:$T$44,$CU14,AN$57),""),3,1)="隔",IF(AN$58=0,LEFT(IFERROR(INDEX(醫師週班表!$C$5:$T$44,$CU14,AN$57),""),1),""),IF(MID(IFERROR(INDEX(醫師週班表!$C$5:$T$44,$CU14,AN$57),""),2,1)="(",LEFT(IFERROR(INDEX(醫師週班表!$C$5:$T$44,$CU14,AN$57),""),1),IFERROR(INDEX(醫師週班表!$C$5:$T$44,$CU14,AN$57),"")))))))</f>
        <v/>
      </c>
      <c r="AO14" s="71">
        <f>IF(AO$59="X","",IF(AO$59&lt;&gt;"",AO$59,IF(IFERROR(INDEX(醫師週班表!$C$5:$T$44,$CU14,AO$57),"")=0,"",IF(MID(IFERROR(INDEX(醫師週班表!$C$5:$T$44,$CU14,AO$57),""),2,1)="/",MID(IFERROR(INDEX(醫師週班表!$C$5:$T$44,$CU14,AO$57),""),1+AO$58*2,1),IF(MID(IFERROR(INDEX(醫師週班表!$C$5:$T$44,$CU14,AO$57),""),3,1)="隔",IF(AO$58=0,LEFT(IFERROR(INDEX(醫師週班表!$C$5:$T$44,$CU14,AO$57),""),1),""),IF(MID(IFERROR(INDEX(醫師週班表!$C$5:$T$44,$CU14,AO$57),""),2,1)="(",LEFT(IFERROR(INDEX(醫師週班表!$C$5:$T$44,$CU14,AO$57),""),1),IFERROR(INDEX(醫師週班表!$C$5:$T$44,$CU14,AO$57),"")))))))</f>
        <v/>
      </c>
      <c r="AP14" s="72">
        <f>IF(AP$59="X","",IF(AP$59&lt;&gt;"",AP$59,IF(IFERROR(INDEX(醫師週班表!$C$5:$T$44,$CU14,AP$57),"")=0,"",IF(MID(IFERROR(INDEX(醫師週班表!$C$5:$T$44,$CU14,AP$57),""),2,1)="/",MID(IFERROR(INDEX(醫師週班表!$C$5:$T$44,$CU14,AP$57),""),1+AP$58*2,1),IF(MID(IFERROR(INDEX(醫師週班表!$C$5:$T$44,$CU14,AP$57),""),3,1)="隔",IF(AP$58=0,LEFT(IFERROR(INDEX(醫師週班表!$C$5:$T$44,$CU14,AP$57),""),1),""),IF(MID(IFERROR(INDEX(醫師週班表!$C$5:$T$44,$CU14,AP$57),""),2,1)="(",LEFT(IFERROR(INDEX(醫師週班表!$C$5:$T$44,$CU14,AP$57),""),1),IFERROR(INDEX(醫師週班表!$C$5:$T$44,$CU14,AP$57),"")))))))</f>
        <v/>
      </c>
      <c r="AQ14" s="72">
        <f>IF(AQ$59="X","",IF(AQ$59&lt;&gt;"",AQ$59,IF(IFERROR(INDEX(醫師週班表!$C$5:$T$44,$CU14,AQ$57),"")=0,"",IF(MID(IFERROR(INDEX(醫師週班表!$C$5:$T$44,$CU14,AQ$57),""),2,1)="/",MID(IFERROR(INDEX(醫師週班表!$C$5:$T$44,$CU14,AQ$57),""),1+AQ$58*2,1),IF(MID(IFERROR(INDEX(醫師週班表!$C$5:$T$44,$CU14,AQ$57),""),3,1)="隔",IF(AQ$58=0,LEFT(IFERROR(INDEX(醫師週班表!$C$5:$T$44,$CU14,AQ$57),""),1),""),IF(MID(IFERROR(INDEX(醫師週班表!$C$5:$T$44,$CU14,AQ$57),""),2,1)="(",LEFT(IFERROR(INDEX(醫師週班表!$C$5:$T$44,$CU14,AQ$57),""),1),IFERROR(INDEX(醫師週班表!$C$5:$T$44,$CU14,AQ$57),"")))))))</f>
        <v/>
      </c>
      <c r="AR14" s="71">
        <f>IF(AR$59="X","",IF(AR$59&lt;&gt;"",AR$59,IF(IFERROR(INDEX(醫師週班表!$C$5:$T$44,$CU14,AR$57),"")=0,"",IF(MID(IFERROR(INDEX(醫師週班表!$C$5:$T$44,$CU14,AR$57),""),2,1)="/",MID(IFERROR(INDEX(醫師週班表!$C$5:$T$44,$CU14,AR$57),""),1+AR$58*2,1),IF(MID(IFERROR(INDEX(醫師週班表!$C$5:$T$44,$CU14,AR$57),""),3,1)="隔",IF(AR$58=0,LEFT(IFERROR(INDEX(醫師週班表!$C$5:$T$44,$CU14,AR$57),""),1),""),IF(MID(IFERROR(INDEX(醫師週班表!$C$5:$T$44,$CU14,AR$57),""),2,1)="(",LEFT(IFERROR(INDEX(醫師週班表!$C$5:$T$44,$CU14,AR$57),""),1),IFERROR(INDEX(醫師週班表!$C$5:$T$44,$CU14,AR$57),"")))))))</f>
        <v/>
      </c>
      <c r="AS14" s="72">
        <f>IF(AS$59="X","",IF(AS$59&lt;&gt;"",AS$59,IF(IFERROR(INDEX(醫師週班表!$C$5:$T$44,$CU14,AS$57),"")=0,"",IF(MID(IFERROR(INDEX(醫師週班表!$C$5:$T$44,$CU14,AS$57),""),2,1)="/",MID(IFERROR(INDEX(醫師週班表!$C$5:$T$44,$CU14,AS$57),""),1+AS$58*2,1),IF(MID(IFERROR(INDEX(醫師週班表!$C$5:$T$44,$CU14,AS$57),""),3,1)="隔",IF(AS$58=0,LEFT(IFERROR(INDEX(醫師週班表!$C$5:$T$44,$CU14,AS$57),""),1),""),IF(MID(IFERROR(INDEX(醫師週班表!$C$5:$T$44,$CU14,AS$57),""),2,1)="(",LEFT(IFERROR(INDEX(醫師週班表!$C$5:$T$44,$CU14,AS$57),""),1),IFERROR(INDEX(醫師週班表!$C$5:$T$44,$CU14,AS$57),"")))))))</f>
        <v/>
      </c>
      <c r="AT14" s="72">
        <f>IF(AT$59="X","",IF(AT$59&lt;&gt;"",AT$59,IF(IFERROR(INDEX(醫師週班表!$C$5:$T$44,$CU14,AT$57),"")=0,"",IF(MID(IFERROR(INDEX(醫師週班表!$C$5:$T$44,$CU14,AT$57),""),2,1)="/",MID(IFERROR(INDEX(醫師週班表!$C$5:$T$44,$CU14,AT$57),""),1+AT$58*2,1),IF(MID(IFERROR(INDEX(醫師週班表!$C$5:$T$44,$CU14,AT$57),""),3,1)="隔",IF(AT$58=0,LEFT(IFERROR(INDEX(醫師週班表!$C$5:$T$44,$CU14,AT$57),""),1),""),IF(MID(IFERROR(INDEX(醫師週班表!$C$5:$T$44,$CU14,AT$57),""),2,1)="(",LEFT(IFERROR(INDEX(醫師週班表!$C$5:$T$44,$CU14,AT$57),""),1),IFERROR(INDEX(醫師週班表!$C$5:$T$44,$CU14,AT$57),"")))))))</f>
        <v/>
      </c>
      <c r="AU14" s="71">
        <f>IF(AU$59="X","",IF(AU$59&lt;&gt;"",AU$59,IF(IFERROR(INDEX(醫師週班表!$C$5:$T$44,$CU14,AU$57),"")=0,"",IF(MID(IFERROR(INDEX(醫師週班表!$C$5:$T$44,$CU14,AU$57),""),2,1)="/",MID(IFERROR(INDEX(醫師週班表!$C$5:$T$44,$CU14,AU$57),""),1+AU$58*2,1),IF(MID(IFERROR(INDEX(醫師週班表!$C$5:$T$44,$CU14,AU$57),""),3,1)="隔",IF(AU$58=0,LEFT(IFERROR(INDEX(醫師週班表!$C$5:$T$44,$CU14,AU$57),""),1),""),IF(MID(IFERROR(INDEX(醫師週班表!$C$5:$T$44,$CU14,AU$57),""),2,1)="(",LEFT(IFERROR(INDEX(醫師週班表!$C$5:$T$44,$CU14,AU$57),""),1),IFERROR(INDEX(醫師週班表!$C$5:$T$44,$CU14,AU$57),"")))))))</f>
        <v/>
      </c>
      <c r="AV14" s="72">
        <f>IF(AV$59="X","",IF(AV$59&lt;&gt;"",AV$59,IF(IFERROR(INDEX(醫師週班表!$C$5:$T$44,$CU14,AV$57),"")=0,"",IF(MID(IFERROR(INDEX(醫師週班表!$C$5:$T$44,$CU14,AV$57),""),2,1)="/",MID(IFERROR(INDEX(醫師週班表!$C$5:$T$44,$CU14,AV$57),""),1+AV$58*2,1),IF(MID(IFERROR(INDEX(醫師週班表!$C$5:$T$44,$CU14,AV$57),""),3,1)="隔",IF(AV$58=0,LEFT(IFERROR(INDEX(醫師週班表!$C$5:$T$44,$CU14,AV$57),""),1),""),IF(MID(IFERROR(INDEX(醫師週班表!$C$5:$T$44,$CU14,AV$57),""),2,1)="(",LEFT(IFERROR(INDEX(醫師週班表!$C$5:$T$44,$CU14,AV$57),""),1),IFERROR(INDEX(醫師週班表!$C$5:$T$44,$CU14,AV$57),"")))))))</f>
        <v/>
      </c>
      <c r="AW14" s="72">
        <f>IF(AW$59="X","",IF(AW$59&lt;&gt;"",AW$59,IF(IFERROR(INDEX(醫師週班表!$C$5:$T$44,$CU14,AW$57),"")=0,"",IF(MID(IFERROR(INDEX(醫師週班表!$C$5:$T$44,$CU14,AW$57),""),2,1)="/",MID(IFERROR(INDEX(醫師週班表!$C$5:$T$44,$CU14,AW$57),""),1+AW$58*2,1),IF(MID(IFERROR(INDEX(醫師週班表!$C$5:$T$44,$CU14,AW$57),""),3,1)="隔",IF(AW$58=0,LEFT(IFERROR(INDEX(醫師週班表!$C$5:$T$44,$CU14,AW$57),""),1),""),IF(MID(IFERROR(INDEX(醫師週班表!$C$5:$T$44,$CU14,AW$57),""),2,1)="(",LEFT(IFERROR(INDEX(醫師週班表!$C$5:$T$44,$CU14,AW$57),""),1),IFERROR(INDEX(醫師週班表!$C$5:$T$44,$CU14,AW$57),"")))))))</f>
        <v/>
      </c>
      <c r="AX14" s="71">
        <f>IF(AX$59="X","",IF(AX$59&lt;&gt;"",AX$59,IF(IFERROR(INDEX(醫師週班表!$C$5:$T$44,$CU14,AX$57),"")=0,"",IF(MID(IFERROR(INDEX(醫師週班表!$C$5:$T$44,$CU14,AX$57),""),2,1)="/",MID(IFERROR(INDEX(醫師週班表!$C$5:$T$44,$CU14,AX$57),""),1+AX$58*2,1),IF(MID(IFERROR(INDEX(醫師週班表!$C$5:$T$44,$CU14,AX$57),""),3,1)="隔",IF(AX$58=0,LEFT(IFERROR(INDEX(醫師週班表!$C$5:$T$44,$CU14,AX$57),""),1),""),IF(MID(IFERROR(INDEX(醫師週班表!$C$5:$T$44,$CU14,AX$57),""),2,1)="(",LEFT(IFERROR(INDEX(醫師週班表!$C$5:$T$44,$CU14,AX$57),""),1),IFERROR(INDEX(醫師週班表!$C$5:$T$44,$CU14,AX$57),"")))))))</f>
        <v/>
      </c>
      <c r="AY14" s="72">
        <f>IF(AY$59="X","",IF(AY$59&lt;&gt;"",AY$59,IF(IFERROR(INDEX(醫師週班表!$C$5:$T$44,$CU14,AY$57),"")=0,"",IF(MID(IFERROR(INDEX(醫師週班表!$C$5:$T$44,$CU14,AY$57),""),2,1)="/",MID(IFERROR(INDEX(醫師週班表!$C$5:$T$44,$CU14,AY$57),""),1+AY$58*2,1),IF(MID(IFERROR(INDEX(醫師週班表!$C$5:$T$44,$CU14,AY$57),""),3,1)="隔",IF(AY$58=0,LEFT(IFERROR(INDEX(醫師週班表!$C$5:$T$44,$CU14,AY$57),""),1),""),IF(MID(IFERROR(INDEX(醫師週班表!$C$5:$T$44,$CU14,AY$57),""),2,1)="(",LEFT(IFERROR(INDEX(醫師週班表!$C$5:$T$44,$CU14,AY$57),""),1),IFERROR(INDEX(醫師週班表!$C$5:$T$44,$CU14,AY$57),"")))))))</f>
        <v/>
      </c>
      <c r="AZ14" s="72">
        <f>IF(AZ$59="X","",IF(AZ$59&lt;&gt;"",AZ$59,IF(IFERROR(INDEX(醫師週班表!$C$5:$T$44,$CU14,AZ$57),"")=0,"",IF(MID(IFERROR(INDEX(醫師週班表!$C$5:$T$44,$CU14,AZ$57),""),2,1)="/",MID(IFERROR(INDEX(醫師週班表!$C$5:$T$44,$CU14,AZ$57),""),1+AZ$58*2,1),IF(MID(IFERROR(INDEX(醫師週班表!$C$5:$T$44,$CU14,AZ$57),""),3,1)="隔",IF(AZ$58=0,LEFT(IFERROR(INDEX(醫師週班表!$C$5:$T$44,$CU14,AZ$57),""),1),""),IF(MID(IFERROR(INDEX(醫師週班表!$C$5:$T$44,$CU14,AZ$57),""),2,1)="(",LEFT(IFERROR(INDEX(醫師週班表!$C$5:$T$44,$CU14,AZ$57),""),1),IFERROR(INDEX(醫師週班表!$C$5:$T$44,$CU14,AZ$57),"")))))))</f>
        <v/>
      </c>
      <c r="BA14" s="71">
        <f>IF(BA$59="X","",IF(BA$59&lt;&gt;"",BA$59,IF(IFERROR(INDEX(醫師週班表!$C$5:$T$44,$CU14,BA$57),"")=0,"",IF(MID(IFERROR(INDEX(醫師週班表!$C$5:$T$44,$CU14,BA$57),""),2,1)="/",MID(IFERROR(INDEX(醫師週班表!$C$5:$T$44,$CU14,BA$57),""),1+BA$58*2,1),IF(MID(IFERROR(INDEX(醫師週班表!$C$5:$T$44,$CU14,BA$57),""),3,1)="隔",IF(BA$58=0,LEFT(IFERROR(INDEX(醫師週班表!$C$5:$T$44,$CU14,BA$57),""),1),""),IF(MID(IFERROR(INDEX(醫師週班表!$C$5:$T$44,$CU14,BA$57),""),2,1)="(",LEFT(IFERROR(INDEX(醫師週班表!$C$5:$T$44,$CU14,BA$57),""),1),IFERROR(INDEX(醫師週班表!$C$5:$T$44,$CU14,BA$57),"")))))))</f>
        <v/>
      </c>
      <c r="BB14" s="72">
        <f>IF(BB$59="X","",IF(BB$59&lt;&gt;"",BB$59,IF(IFERROR(INDEX(醫師週班表!$C$5:$T$44,$CU14,BB$57),"")=0,"",IF(MID(IFERROR(INDEX(醫師週班表!$C$5:$T$44,$CU14,BB$57),""),2,1)="/",MID(IFERROR(INDEX(醫師週班表!$C$5:$T$44,$CU14,BB$57),""),1+BB$58*2,1),IF(MID(IFERROR(INDEX(醫師週班表!$C$5:$T$44,$CU14,BB$57),""),3,1)="隔",IF(BB$58=0,LEFT(IFERROR(INDEX(醫師週班表!$C$5:$T$44,$CU14,BB$57),""),1),""),IF(MID(IFERROR(INDEX(醫師週班表!$C$5:$T$44,$CU14,BB$57),""),2,1)="(",LEFT(IFERROR(INDEX(醫師週班表!$C$5:$T$44,$CU14,BB$57),""),1),IFERROR(INDEX(醫師週班表!$C$5:$T$44,$CU14,BB$57),"")))))))</f>
        <v/>
      </c>
      <c r="BC14" s="72">
        <f>IF(BC$59="X","",IF(BC$59&lt;&gt;"",BC$59,IF(IFERROR(INDEX(醫師週班表!$C$5:$T$44,$CU14,BC$57),"")=0,"",IF(MID(IFERROR(INDEX(醫師週班表!$C$5:$T$44,$CU14,BC$57),""),2,1)="/",MID(IFERROR(INDEX(醫師週班表!$C$5:$T$44,$CU14,BC$57),""),1+BC$58*2,1),IF(MID(IFERROR(INDEX(醫師週班表!$C$5:$T$44,$CU14,BC$57),""),3,1)="隔",IF(BC$58=0,LEFT(IFERROR(INDEX(醫師週班表!$C$5:$T$44,$CU14,BC$57),""),1),""),IF(MID(IFERROR(INDEX(醫師週班表!$C$5:$T$44,$CU14,BC$57),""),2,1)="(",LEFT(IFERROR(INDEX(醫師週班表!$C$5:$T$44,$CU14,BC$57),""),1),IFERROR(INDEX(醫師週班表!$C$5:$T$44,$CU14,BC$57),"")))))))</f>
        <v/>
      </c>
      <c r="BD14" s="71">
        <f>IF(BD$59="X","",IF(BD$59&lt;&gt;"",BD$59,IF(IFERROR(INDEX(醫師週班表!$C$5:$T$44,$CU14,BD$57),"")=0,"",IF(MID(IFERROR(INDEX(醫師週班表!$C$5:$T$44,$CU14,BD$57),""),2,1)="/",MID(IFERROR(INDEX(醫師週班表!$C$5:$T$44,$CU14,BD$57),""),1+BD$58*2,1),IF(MID(IFERROR(INDEX(醫師週班表!$C$5:$T$44,$CU14,BD$57),""),3,1)="隔",IF(BD$58=0,LEFT(IFERROR(INDEX(醫師週班表!$C$5:$T$44,$CU14,BD$57),""),1),""),IF(MID(IFERROR(INDEX(醫師週班表!$C$5:$T$44,$CU14,BD$57),""),2,1)="(",LEFT(IFERROR(INDEX(醫師週班表!$C$5:$T$44,$CU14,BD$57),""),1),IFERROR(INDEX(醫師週班表!$C$5:$T$44,$CU14,BD$57),"")))))))</f>
        <v/>
      </c>
      <c r="BE14" s="72">
        <f>IF(BE$59="X","",IF(BE$59&lt;&gt;"",BE$59,IF(IFERROR(INDEX(醫師週班表!$C$5:$T$44,$CU14,BE$57),"")=0,"",IF(MID(IFERROR(INDEX(醫師週班表!$C$5:$T$44,$CU14,BE$57),""),2,1)="/",MID(IFERROR(INDEX(醫師週班表!$C$5:$T$44,$CU14,BE$57),""),1+BE$58*2,1),IF(MID(IFERROR(INDEX(醫師週班表!$C$5:$T$44,$CU14,BE$57),""),3,1)="隔",IF(BE$58=0,LEFT(IFERROR(INDEX(醫師週班表!$C$5:$T$44,$CU14,BE$57),""),1),""),IF(MID(IFERROR(INDEX(醫師週班表!$C$5:$T$44,$CU14,BE$57),""),2,1)="(",LEFT(IFERROR(INDEX(醫師週班表!$C$5:$T$44,$CU14,BE$57),""),1),IFERROR(INDEX(醫師週班表!$C$5:$T$44,$CU14,BE$57),"")))))))</f>
        <v/>
      </c>
      <c r="BF14" s="72">
        <f>IF(BF$59="X","",IF(BF$59&lt;&gt;"",BF$59,IF(IFERROR(INDEX(醫師週班表!$C$5:$T$44,$CU14,BF$57),"")=0,"",IF(MID(IFERROR(INDEX(醫師週班表!$C$5:$T$44,$CU14,BF$57),""),2,1)="/",MID(IFERROR(INDEX(醫師週班表!$C$5:$T$44,$CU14,BF$57),""),1+BF$58*2,1),IF(MID(IFERROR(INDEX(醫師週班表!$C$5:$T$44,$CU14,BF$57),""),3,1)="隔",IF(BF$58=0,LEFT(IFERROR(INDEX(醫師週班表!$C$5:$T$44,$CU14,BF$57),""),1),""),IF(MID(IFERROR(INDEX(醫師週班表!$C$5:$T$44,$CU14,BF$57),""),2,1)="(",LEFT(IFERROR(INDEX(醫師週班表!$C$5:$T$44,$CU14,BF$57),""),1),IFERROR(INDEX(醫師週班表!$C$5:$T$44,$CU14,BF$57),"")))))))</f>
        <v/>
      </c>
      <c r="BG14" s="71">
        <f>IF(BG$59="X","",IF(BG$59&lt;&gt;"",BG$59,IF(IFERROR(INDEX(醫師週班表!$C$5:$T$44,$CU14,BG$57),"")=0,"",IF(MID(IFERROR(INDEX(醫師週班表!$C$5:$T$44,$CU14,BG$57),""),2,1)="/",MID(IFERROR(INDEX(醫師週班表!$C$5:$T$44,$CU14,BG$57),""),1+BG$58*2,1),IF(MID(IFERROR(INDEX(醫師週班表!$C$5:$T$44,$CU14,BG$57),""),3,1)="隔",IF(BG$58=0,LEFT(IFERROR(INDEX(醫師週班表!$C$5:$T$44,$CU14,BG$57),""),1),""),IF(MID(IFERROR(INDEX(醫師週班表!$C$5:$T$44,$CU14,BG$57),""),2,1)="(",LEFT(IFERROR(INDEX(醫師週班表!$C$5:$T$44,$CU14,BG$57),""),1),IFERROR(INDEX(醫師週班表!$C$5:$T$44,$CU14,BG$57),"")))))))</f>
        <v/>
      </c>
      <c r="BH14" s="72">
        <f>IF(BH$59="X","",IF(BH$59&lt;&gt;"",BH$59,IF(IFERROR(INDEX(醫師週班表!$C$5:$T$44,$CU14,BH$57),"")=0,"",IF(MID(IFERROR(INDEX(醫師週班表!$C$5:$T$44,$CU14,BH$57),""),2,1)="/",MID(IFERROR(INDEX(醫師週班表!$C$5:$T$44,$CU14,BH$57),""),1+BH$58*2,1),IF(MID(IFERROR(INDEX(醫師週班表!$C$5:$T$44,$CU14,BH$57),""),3,1)="隔",IF(BH$58=0,LEFT(IFERROR(INDEX(醫師週班表!$C$5:$T$44,$CU14,BH$57),""),1),""),IF(MID(IFERROR(INDEX(醫師週班表!$C$5:$T$44,$CU14,BH$57),""),2,1)="(",LEFT(IFERROR(INDEX(醫師週班表!$C$5:$T$44,$CU14,BH$57),""),1),IFERROR(INDEX(醫師週班表!$C$5:$T$44,$CU14,BH$57),"")))))))</f>
        <v/>
      </c>
      <c r="BI14" s="72">
        <f>IF(BI$59="X","",IF(BI$59&lt;&gt;"",BI$59,IF(IFERROR(INDEX(醫師週班表!$C$5:$T$44,$CU14,BI$57),"")=0,"",IF(MID(IFERROR(INDEX(醫師週班表!$C$5:$T$44,$CU14,BI$57),""),2,1)="/",MID(IFERROR(INDEX(醫師週班表!$C$5:$T$44,$CU14,BI$57),""),1+BI$58*2,1),IF(MID(IFERROR(INDEX(醫師週班表!$C$5:$T$44,$CU14,BI$57),""),3,1)="隔",IF(BI$58=0,LEFT(IFERROR(INDEX(醫師週班表!$C$5:$T$44,$CU14,BI$57),""),1),""),IF(MID(IFERROR(INDEX(醫師週班表!$C$5:$T$44,$CU14,BI$57),""),2,1)="(",LEFT(IFERROR(INDEX(醫師週班表!$C$5:$T$44,$CU14,BI$57),""),1),IFERROR(INDEX(醫師週班表!$C$5:$T$44,$CU14,BI$57),"")))))))</f>
        <v/>
      </c>
      <c r="BJ14" s="71">
        <f>IF(BJ$59="X","",IF(BJ$59&lt;&gt;"",BJ$59,IF(IFERROR(INDEX(醫師週班表!$C$5:$T$44,$CU14,BJ$57),"")=0,"",IF(MID(IFERROR(INDEX(醫師週班表!$C$5:$T$44,$CU14,BJ$57),""),2,1)="/",MID(IFERROR(INDEX(醫師週班表!$C$5:$T$44,$CU14,BJ$57),""),1+BJ$58*2,1),IF(MID(IFERROR(INDEX(醫師週班表!$C$5:$T$44,$CU14,BJ$57),""),3,1)="隔",IF(BJ$58=0,LEFT(IFERROR(INDEX(醫師週班表!$C$5:$T$44,$CU14,BJ$57),""),1),""),IF(MID(IFERROR(INDEX(醫師週班表!$C$5:$T$44,$CU14,BJ$57),""),2,1)="(",LEFT(IFERROR(INDEX(醫師週班表!$C$5:$T$44,$CU14,BJ$57),""),1),IFERROR(INDEX(醫師週班表!$C$5:$T$44,$CU14,BJ$57),"")))))))</f>
        <v/>
      </c>
      <c r="BK14" s="72">
        <f>IF(BK$59="X","",IF(BK$59&lt;&gt;"",BK$59,IF(IFERROR(INDEX(醫師週班表!$C$5:$T$44,$CU14,BK$57),"")=0,"",IF(MID(IFERROR(INDEX(醫師週班表!$C$5:$T$44,$CU14,BK$57),""),2,1)="/",MID(IFERROR(INDEX(醫師週班表!$C$5:$T$44,$CU14,BK$57),""),1+BK$58*2,1),IF(MID(IFERROR(INDEX(醫師週班表!$C$5:$T$44,$CU14,BK$57),""),3,1)="隔",IF(BK$58=0,LEFT(IFERROR(INDEX(醫師週班表!$C$5:$T$44,$CU14,BK$57),""),1),""),IF(MID(IFERROR(INDEX(醫師週班表!$C$5:$T$44,$CU14,BK$57),""),2,1)="(",LEFT(IFERROR(INDEX(醫師週班表!$C$5:$T$44,$CU14,BK$57),""),1),IFERROR(INDEX(醫師週班表!$C$5:$T$44,$CU14,BK$57),"")))))))</f>
        <v/>
      </c>
      <c r="BL14" s="72">
        <f>IF(BL$59="X","",IF(BL$59&lt;&gt;"",BL$59,IF(IFERROR(INDEX(醫師週班表!$C$5:$T$44,$CU14,BL$57),"")=0,"",IF(MID(IFERROR(INDEX(醫師週班表!$C$5:$T$44,$CU14,BL$57),""),2,1)="/",MID(IFERROR(INDEX(醫師週班表!$C$5:$T$44,$CU14,BL$57),""),1+BL$58*2,1),IF(MID(IFERROR(INDEX(醫師週班表!$C$5:$T$44,$CU14,BL$57),""),3,1)="隔",IF(BL$58=0,LEFT(IFERROR(INDEX(醫師週班表!$C$5:$T$44,$CU14,BL$57),""),1),""),IF(MID(IFERROR(INDEX(醫師週班表!$C$5:$T$44,$CU14,BL$57),""),2,1)="(",LEFT(IFERROR(INDEX(醫師週班表!$C$5:$T$44,$CU14,BL$57),""),1),IFERROR(INDEX(醫師週班表!$C$5:$T$44,$CU14,BL$57),"")))))))</f>
        <v/>
      </c>
      <c r="BM14" s="71">
        <f>IF(BM$59="X","",IF(BM$59&lt;&gt;"",BM$59,IF(IFERROR(INDEX(醫師週班表!$C$5:$T$44,$CU14,BM$57),"")=0,"",IF(MID(IFERROR(INDEX(醫師週班表!$C$5:$T$44,$CU14,BM$57),""),2,1)="/",MID(IFERROR(INDEX(醫師週班表!$C$5:$T$44,$CU14,BM$57),""),1+BM$58*2,1),IF(MID(IFERROR(INDEX(醫師週班表!$C$5:$T$44,$CU14,BM$57),""),3,1)="隔",IF(BM$58=0,LEFT(IFERROR(INDEX(醫師週班表!$C$5:$T$44,$CU14,BM$57),""),1),""),IF(MID(IFERROR(INDEX(醫師週班表!$C$5:$T$44,$CU14,BM$57),""),2,1)="(",LEFT(IFERROR(INDEX(醫師週班表!$C$5:$T$44,$CU14,BM$57),""),1),IFERROR(INDEX(醫師週班表!$C$5:$T$44,$CU14,BM$57),"")))))))</f>
        <v/>
      </c>
      <c r="BN14" s="72">
        <f>IF(BN$59="X","",IF(BN$59&lt;&gt;"",BN$59,IF(IFERROR(INDEX(醫師週班表!$C$5:$T$44,$CU14,BN$57),"")=0,"",IF(MID(IFERROR(INDEX(醫師週班表!$C$5:$T$44,$CU14,BN$57),""),2,1)="/",MID(IFERROR(INDEX(醫師週班表!$C$5:$T$44,$CU14,BN$57),""),1+BN$58*2,1),IF(MID(IFERROR(INDEX(醫師週班表!$C$5:$T$44,$CU14,BN$57),""),3,1)="隔",IF(BN$58=0,LEFT(IFERROR(INDEX(醫師週班表!$C$5:$T$44,$CU14,BN$57),""),1),""),IF(MID(IFERROR(INDEX(醫師週班表!$C$5:$T$44,$CU14,BN$57),""),2,1)="(",LEFT(IFERROR(INDEX(醫師週班表!$C$5:$T$44,$CU14,BN$57),""),1),IFERROR(INDEX(醫師週班表!$C$5:$T$44,$CU14,BN$57),"")))))))</f>
        <v/>
      </c>
      <c r="BO14" s="72">
        <f>IF(BO$59="X","",IF(BO$59&lt;&gt;"",BO$59,IF(IFERROR(INDEX(醫師週班表!$C$5:$T$44,$CU14,BO$57),"")=0,"",IF(MID(IFERROR(INDEX(醫師週班表!$C$5:$T$44,$CU14,BO$57),""),2,1)="/",MID(IFERROR(INDEX(醫師週班表!$C$5:$T$44,$CU14,BO$57),""),1+BO$58*2,1),IF(MID(IFERROR(INDEX(醫師週班表!$C$5:$T$44,$CU14,BO$57),""),3,1)="隔",IF(BO$58=0,LEFT(IFERROR(INDEX(醫師週班表!$C$5:$T$44,$CU14,BO$57),""),1),""),IF(MID(IFERROR(INDEX(醫師週班表!$C$5:$T$44,$CU14,BO$57),""),2,1)="(",LEFT(IFERROR(INDEX(醫師週班表!$C$5:$T$44,$CU14,BO$57),""),1),IFERROR(INDEX(醫師週班表!$C$5:$T$44,$CU14,BO$57),"")))))))</f>
        <v/>
      </c>
      <c r="BP14" s="71">
        <f>IF(BP$59="X","",IF(BP$59&lt;&gt;"",BP$59,IF(IFERROR(INDEX(醫師週班表!$C$5:$T$44,$CU14,BP$57),"")=0,"",IF(MID(IFERROR(INDEX(醫師週班表!$C$5:$T$44,$CU14,BP$57),""),2,1)="/",MID(IFERROR(INDEX(醫師週班表!$C$5:$T$44,$CU14,BP$57),""),1+BP$58*2,1),IF(MID(IFERROR(INDEX(醫師週班表!$C$5:$T$44,$CU14,BP$57),""),3,1)="隔",IF(BP$58=0,LEFT(IFERROR(INDEX(醫師週班表!$C$5:$T$44,$CU14,BP$57),""),1),""),IF(MID(IFERROR(INDEX(醫師週班表!$C$5:$T$44,$CU14,BP$57),""),2,1)="(",LEFT(IFERROR(INDEX(醫師週班表!$C$5:$T$44,$CU14,BP$57),""),1),IFERROR(INDEX(醫師週班表!$C$5:$T$44,$CU14,BP$57),"")))))))</f>
        <v/>
      </c>
      <c r="BQ14" s="72">
        <f>IF(BQ$59="X","",IF(BQ$59&lt;&gt;"",BQ$59,IF(IFERROR(INDEX(醫師週班表!$C$5:$T$44,$CU14,BQ$57),"")=0,"",IF(MID(IFERROR(INDEX(醫師週班表!$C$5:$T$44,$CU14,BQ$57),""),2,1)="/",MID(IFERROR(INDEX(醫師週班表!$C$5:$T$44,$CU14,BQ$57),""),1+BQ$58*2,1),IF(MID(IFERROR(INDEX(醫師週班表!$C$5:$T$44,$CU14,BQ$57),""),3,1)="隔",IF(BQ$58=0,LEFT(IFERROR(INDEX(醫師週班表!$C$5:$T$44,$CU14,BQ$57),""),1),""),IF(MID(IFERROR(INDEX(醫師週班表!$C$5:$T$44,$CU14,BQ$57),""),2,1)="(",LEFT(IFERROR(INDEX(醫師週班表!$C$5:$T$44,$CU14,BQ$57),""),1),IFERROR(INDEX(醫師週班表!$C$5:$T$44,$CU14,BQ$57),"")))))))</f>
        <v/>
      </c>
      <c r="BR14" s="72">
        <f>IF(BR$59="X","",IF(BR$59&lt;&gt;"",BR$59,IF(IFERROR(INDEX(醫師週班表!$C$5:$T$44,$CU14,BR$57),"")=0,"",IF(MID(IFERROR(INDEX(醫師週班表!$C$5:$T$44,$CU14,BR$57),""),2,1)="/",MID(IFERROR(INDEX(醫師週班表!$C$5:$T$44,$CU14,BR$57),""),1+BR$58*2,1),IF(MID(IFERROR(INDEX(醫師週班表!$C$5:$T$44,$CU14,BR$57),""),3,1)="隔",IF(BR$58=0,LEFT(IFERROR(INDEX(醫師週班表!$C$5:$T$44,$CU14,BR$57),""),1),""),IF(MID(IFERROR(INDEX(醫師週班表!$C$5:$T$44,$CU14,BR$57),""),2,1)="(",LEFT(IFERROR(INDEX(醫師週班表!$C$5:$T$44,$CU14,BR$57),""),1),IFERROR(INDEX(醫師週班表!$C$5:$T$44,$CU14,BR$57),"")))))))</f>
        <v/>
      </c>
      <c r="BS14" s="71">
        <f>IF(BS$59="X","",IF(BS$59&lt;&gt;"",BS$59,IF(IFERROR(INDEX(醫師週班表!$C$5:$T$44,$CU14,BS$57),"")=0,"",IF(MID(IFERROR(INDEX(醫師週班表!$C$5:$T$44,$CU14,BS$57),""),2,1)="/",MID(IFERROR(INDEX(醫師週班表!$C$5:$T$44,$CU14,BS$57),""),1+BS$58*2,1),IF(MID(IFERROR(INDEX(醫師週班表!$C$5:$T$44,$CU14,BS$57),""),3,1)="隔",IF(BS$58=0,LEFT(IFERROR(INDEX(醫師週班表!$C$5:$T$44,$CU14,BS$57),""),1),""),IF(MID(IFERROR(INDEX(醫師週班表!$C$5:$T$44,$CU14,BS$57),""),2,1)="(",LEFT(IFERROR(INDEX(醫師週班表!$C$5:$T$44,$CU14,BS$57),""),1),IFERROR(INDEX(醫師週班表!$C$5:$T$44,$CU14,BS$57),"")))))))</f>
        <v/>
      </c>
      <c r="BT14" s="72">
        <f>IF(BT$59="X","",IF(BT$59&lt;&gt;"",BT$59,IF(IFERROR(INDEX(醫師週班表!$C$5:$T$44,$CU14,BT$57),"")=0,"",IF(MID(IFERROR(INDEX(醫師週班表!$C$5:$T$44,$CU14,BT$57),""),2,1)="/",MID(IFERROR(INDEX(醫師週班表!$C$5:$T$44,$CU14,BT$57),""),1+BT$58*2,1),IF(MID(IFERROR(INDEX(醫師週班表!$C$5:$T$44,$CU14,BT$57),""),3,1)="隔",IF(BT$58=0,LEFT(IFERROR(INDEX(醫師週班表!$C$5:$T$44,$CU14,BT$57),""),1),""),IF(MID(IFERROR(INDEX(醫師週班表!$C$5:$T$44,$CU14,BT$57),""),2,1)="(",LEFT(IFERROR(INDEX(醫師週班表!$C$5:$T$44,$CU14,BT$57),""),1),IFERROR(INDEX(醫師週班表!$C$5:$T$44,$CU14,BT$57),"")))))))</f>
        <v/>
      </c>
      <c r="BU14" s="72">
        <f>IF(BU$59="X","",IF(BU$59&lt;&gt;"",BU$59,IF(IFERROR(INDEX(醫師週班表!$C$5:$T$44,$CU14,BU$57),"")=0,"",IF(MID(IFERROR(INDEX(醫師週班表!$C$5:$T$44,$CU14,BU$57),""),2,1)="/",MID(IFERROR(INDEX(醫師週班表!$C$5:$T$44,$CU14,BU$57),""),1+BU$58*2,1),IF(MID(IFERROR(INDEX(醫師週班表!$C$5:$T$44,$CU14,BU$57),""),3,1)="隔",IF(BU$58=0,LEFT(IFERROR(INDEX(醫師週班表!$C$5:$T$44,$CU14,BU$57),""),1),""),IF(MID(IFERROR(INDEX(醫師週班表!$C$5:$T$44,$CU14,BU$57),""),2,1)="(",LEFT(IFERROR(INDEX(醫師週班表!$C$5:$T$44,$CU14,BU$57),""),1),IFERROR(INDEX(醫師週班表!$C$5:$T$44,$CU14,BU$57),"")))))))</f>
        <v/>
      </c>
      <c r="BV14" s="71">
        <f>IF(BV$59="X","",IF(BV$59&lt;&gt;"",BV$59,IF(IFERROR(INDEX(醫師週班表!$C$5:$T$44,$CU14,BV$57),"")=0,"",IF(MID(IFERROR(INDEX(醫師週班表!$C$5:$T$44,$CU14,BV$57),""),2,1)="/",MID(IFERROR(INDEX(醫師週班表!$C$5:$T$44,$CU14,BV$57),""),1+BV$58*2,1),IF(MID(IFERROR(INDEX(醫師週班表!$C$5:$T$44,$CU14,BV$57),""),3,1)="隔",IF(BV$58=0,LEFT(IFERROR(INDEX(醫師週班表!$C$5:$T$44,$CU14,BV$57),""),1),""),IF(MID(IFERROR(INDEX(醫師週班表!$C$5:$T$44,$CU14,BV$57),""),2,1)="(",LEFT(IFERROR(INDEX(醫師週班表!$C$5:$T$44,$CU14,BV$57),""),1),IFERROR(INDEX(醫師週班表!$C$5:$T$44,$CU14,BV$57),"")))))))</f>
        <v/>
      </c>
      <c r="BW14" s="72">
        <f>IF(BW$59="X","",IF(BW$59&lt;&gt;"",BW$59,IF(IFERROR(INDEX(醫師週班表!$C$5:$T$44,$CU14,BW$57),"")=0,"",IF(MID(IFERROR(INDEX(醫師週班表!$C$5:$T$44,$CU14,BW$57),""),2,1)="/",MID(IFERROR(INDEX(醫師週班表!$C$5:$T$44,$CU14,BW$57),""),1+BW$58*2,1),IF(MID(IFERROR(INDEX(醫師週班表!$C$5:$T$44,$CU14,BW$57),""),3,1)="隔",IF(BW$58=0,LEFT(IFERROR(INDEX(醫師週班表!$C$5:$T$44,$CU14,BW$57),""),1),""),IF(MID(IFERROR(INDEX(醫師週班表!$C$5:$T$44,$CU14,BW$57),""),2,1)="(",LEFT(IFERROR(INDEX(醫師週班表!$C$5:$T$44,$CU14,BW$57),""),1),IFERROR(INDEX(醫師週班表!$C$5:$T$44,$CU14,BW$57),"")))))))</f>
        <v/>
      </c>
      <c r="BX14" s="72">
        <f>IF(BX$59="X","",IF(BX$59&lt;&gt;"",BX$59,IF(IFERROR(INDEX(醫師週班表!$C$5:$T$44,$CU14,BX$57),"")=0,"",IF(MID(IFERROR(INDEX(醫師週班表!$C$5:$T$44,$CU14,BX$57),""),2,1)="/",MID(IFERROR(INDEX(醫師週班表!$C$5:$T$44,$CU14,BX$57),""),1+BX$58*2,1),IF(MID(IFERROR(INDEX(醫師週班表!$C$5:$T$44,$CU14,BX$57),""),3,1)="隔",IF(BX$58=0,LEFT(IFERROR(INDEX(醫師週班表!$C$5:$T$44,$CU14,BX$57),""),1),""),IF(MID(IFERROR(INDEX(醫師週班表!$C$5:$T$44,$CU14,BX$57),""),2,1)="(",LEFT(IFERROR(INDEX(醫師週班表!$C$5:$T$44,$CU14,BX$57),""),1),IFERROR(INDEX(醫師週班表!$C$5:$T$44,$CU14,BX$57),"")))))))</f>
        <v/>
      </c>
      <c r="BY14" s="71">
        <f>IF(BY$59="X","",IF(BY$59&lt;&gt;"",BY$59,IF(IFERROR(INDEX(醫師週班表!$C$5:$T$44,$CU14,BY$57),"")=0,"",IF(MID(IFERROR(INDEX(醫師週班表!$C$5:$T$44,$CU14,BY$57),""),2,1)="/",MID(IFERROR(INDEX(醫師週班表!$C$5:$T$44,$CU14,BY$57),""),1+BY$58*2,1),IF(MID(IFERROR(INDEX(醫師週班表!$C$5:$T$44,$CU14,BY$57),""),3,1)="隔",IF(BY$58=0,LEFT(IFERROR(INDEX(醫師週班表!$C$5:$T$44,$CU14,BY$57),""),1),""),IF(MID(IFERROR(INDEX(醫師週班表!$C$5:$T$44,$CU14,BY$57),""),2,1)="(",LEFT(IFERROR(INDEX(醫師週班表!$C$5:$T$44,$CU14,BY$57),""),1),IFERROR(INDEX(醫師週班表!$C$5:$T$44,$CU14,BY$57),"")))))))</f>
        <v/>
      </c>
      <c r="BZ14" s="72">
        <f>IF(BZ$59="X","",IF(BZ$59&lt;&gt;"",BZ$59,IF(IFERROR(INDEX(醫師週班表!$C$5:$T$44,$CU14,BZ$57),"")=0,"",IF(MID(IFERROR(INDEX(醫師週班表!$C$5:$T$44,$CU14,BZ$57),""),2,1)="/",MID(IFERROR(INDEX(醫師週班表!$C$5:$T$44,$CU14,BZ$57),""),1+BZ$58*2,1),IF(MID(IFERROR(INDEX(醫師週班表!$C$5:$T$44,$CU14,BZ$57),""),3,1)="隔",IF(BZ$58=0,LEFT(IFERROR(INDEX(醫師週班表!$C$5:$T$44,$CU14,BZ$57),""),1),""),IF(MID(IFERROR(INDEX(醫師週班表!$C$5:$T$44,$CU14,BZ$57),""),2,1)="(",LEFT(IFERROR(INDEX(醫師週班表!$C$5:$T$44,$CU14,BZ$57),""),1),IFERROR(INDEX(醫師週班表!$C$5:$T$44,$CU14,BZ$57),"")))))))</f>
        <v/>
      </c>
      <c r="CA14" s="72">
        <f>IF(CA$59="X","",IF(CA$59&lt;&gt;"",CA$59,IF(IFERROR(INDEX(醫師週班表!$C$5:$T$44,$CU14,CA$57),"")=0,"",IF(MID(IFERROR(INDEX(醫師週班表!$C$5:$T$44,$CU14,CA$57),""),2,1)="/",MID(IFERROR(INDEX(醫師週班表!$C$5:$T$44,$CU14,CA$57),""),1+CA$58*2,1),IF(MID(IFERROR(INDEX(醫師週班表!$C$5:$T$44,$CU14,CA$57),""),3,1)="隔",IF(CA$58=0,LEFT(IFERROR(INDEX(醫師週班表!$C$5:$T$44,$CU14,CA$57),""),1),""),IF(MID(IFERROR(INDEX(醫師週班表!$C$5:$T$44,$CU14,CA$57),""),2,1)="(",LEFT(IFERROR(INDEX(醫師週班表!$C$5:$T$44,$CU14,CA$57),""),1),IFERROR(INDEX(醫師週班表!$C$5:$T$44,$CU14,CA$57),"")))))))</f>
        <v/>
      </c>
      <c r="CB14" s="71">
        <f>IF(CB$59="X","",IF(CB$59&lt;&gt;"",CB$59,IF(IFERROR(INDEX(醫師週班表!$C$5:$T$44,$CU14,CB$57),"")=0,"",IF(MID(IFERROR(INDEX(醫師週班表!$C$5:$T$44,$CU14,CB$57),""),2,1)="/",MID(IFERROR(INDEX(醫師週班表!$C$5:$T$44,$CU14,CB$57),""),1+CB$58*2,1),IF(MID(IFERROR(INDEX(醫師週班表!$C$5:$T$44,$CU14,CB$57),""),3,1)="隔",IF(CB$58=0,LEFT(IFERROR(INDEX(醫師週班表!$C$5:$T$44,$CU14,CB$57),""),1),""),IF(MID(IFERROR(INDEX(醫師週班表!$C$5:$T$44,$CU14,CB$57),""),2,1)="(",LEFT(IFERROR(INDEX(醫師週班表!$C$5:$T$44,$CU14,CB$57),""),1),IFERROR(INDEX(醫師週班表!$C$5:$T$44,$CU14,CB$57),"")))))))</f>
        <v/>
      </c>
      <c r="CC14" s="72">
        <f>IF(CC$59="X","",IF(CC$59&lt;&gt;"",CC$59,IF(IFERROR(INDEX(醫師週班表!$C$5:$T$44,$CU14,CC$57),"")=0,"",IF(MID(IFERROR(INDEX(醫師週班表!$C$5:$T$44,$CU14,CC$57),""),2,1)="/",MID(IFERROR(INDEX(醫師週班表!$C$5:$T$44,$CU14,CC$57),""),1+CC$58*2,1),IF(MID(IFERROR(INDEX(醫師週班表!$C$5:$T$44,$CU14,CC$57),""),3,1)="隔",IF(CC$58=0,LEFT(IFERROR(INDEX(醫師週班表!$C$5:$T$44,$CU14,CC$57),""),1),""),IF(MID(IFERROR(INDEX(醫師週班表!$C$5:$T$44,$CU14,CC$57),""),2,1)="(",LEFT(IFERROR(INDEX(醫師週班表!$C$5:$T$44,$CU14,CC$57),""),1),IFERROR(INDEX(醫師週班表!$C$5:$T$44,$CU14,CC$57),"")))))))</f>
        <v/>
      </c>
      <c r="CD14" s="72">
        <f>IF(CD$59="X","",IF(CD$59&lt;&gt;"",CD$59,IF(IFERROR(INDEX(醫師週班表!$C$5:$T$44,$CU14,CD$57),"")=0,"",IF(MID(IFERROR(INDEX(醫師週班表!$C$5:$T$44,$CU14,CD$57),""),2,1)="/",MID(IFERROR(INDEX(醫師週班表!$C$5:$T$44,$CU14,CD$57),""),1+CD$58*2,1),IF(MID(IFERROR(INDEX(醫師週班表!$C$5:$T$44,$CU14,CD$57),""),3,1)="隔",IF(CD$58=0,LEFT(IFERROR(INDEX(醫師週班表!$C$5:$T$44,$CU14,CD$57),""),1),""),IF(MID(IFERROR(INDEX(醫師週班表!$C$5:$T$44,$CU14,CD$57),""),2,1)="(",LEFT(IFERROR(INDEX(醫師週班表!$C$5:$T$44,$CU14,CD$57),""),1),IFERROR(INDEX(醫師週班表!$C$5:$T$44,$CU14,CD$57),"")))))))</f>
        <v/>
      </c>
      <c r="CE14" s="71">
        <f>IF(CE$59="X","",IF(CE$59&lt;&gt;"",CE$59,IF(IFERROR(INDEX(醫師週班表!$C$5:$T$44,$CU14,CE$57),"")=0,"",IF(MID(IFERROR(INDEX(醫師週班表!$C$5:$T$44,$CU14,CE$57),""),2,1)="/",MID(IFERROR(INDEX(醫師週班表!$C$5:$T$44,$CU14,CE$57),""),1+CE$58*2,1),IF(MID(IFERROR(INDEX(醫師週班表!$C$5:$T$44,$CU14,CE$57),""),3,1)="隔",IF(CE$58=0,LEFT(IFERROR(INDEX(醫師週班表!$C$5:$T$44,$CU14,CE$57),""),1),""),IF(MID(IFERROR(INDEX(醫師週班表!$C$5:$T$44,$CU14,CE$57),""),2,1)="(",LEFT(IFERROR(INDEX(醫師週班表!$C$5:$T$44,$CU14,CE$57),""),1),IFERROR(INDEX(醫師週班表!$C$5:$T$44,$CU14,CE$57),"")))))))</f>
        <v/>
      </c>
      <c r="CF14" s="72">
        <f>IF(CF$59="X","",IF(CF$59&lt;&gt;"",CF$59,IF(IFERROR(INDEX(醫師週班表!$C$5:$T$44,$CU14,CF$57),"")=0,"",IF(MID(IFERROR(INDEX(醫師週班表!$C$5:$T$44,$CU14,CF$57),""),2,1)="/",MID(IFERROR(INDEX(醫師週班表!$C$5:$T$44,$CU14,CF$57),""),1+CF$58*2,1),IF(MID(IFERROR(INDEX(醫師週班表!$C$5:$T$44,$CU14,CF$57),""),3,1)="隔",IF(CF$58=0,LEFT(IFERROR(INDEX(醫師週班表!$C$5:$T$44,$CU14,CF$57),""),1),""),IF(MID(IFERROR(INDEX(醫師週班表!$C$5:$T$44,$CU14,CF$57),""),2,1)="(",LEFT(IFERROR(INDEX(醫師週班表!$C$5:$T$44,$CU14,CF$57),""),1),IFERROR(INDEX(醫師週班表!$C$5:$T$44,$CU14,CF$57),"")))))))</f>
        <v/>
      </c>
      <c r="CG14" s="72">
        <f>IF(CG$59="X","",IF(CG$59&lt;&gt;"",CG$59,IF(IFERROR(INDEX(醫師週班表!$C$5:$T$44,$CU14,CG$57),"")=0,"",IF(MID(IFERROR(INDEX(醫師週班表!$C$5:$T$44,$CU14,CG$57),""),2,1)="/",MID(IFERROR(INDEX(醫師週班表!$C$5:$T$44,$CU14,CG$57),""),1+CG$58*2,1),IF(MID(IFERROR(INDEX(醫師週班表!$C$5:$T$44,$CU14,CG$57),""),3,1)="隔",IF(CG$58=0,LEFT(IFERROR(INDEX(醫師週班表!$C$5:$T$44,$CU14,CG$57),""),1),""),IF(MID(IFERROR(INDEX(醫師週班表!$C$5:$T$44,$CU14,CG$57),""),2,1)="(",LEFT(IFERROR(INDEX(醫師週班表!$C$5:$T$44,$CU14,CG$57),""),1),IFERROR(INDEX(醫師週班表!$C$5:$T$44,$CU14,CG$57),"")))))))</f>
        <v/>
      </c>
      <c r="CH14" s="71">
        <f>IF(CH$59="X","",IF(CH$59&lt;&gt;"",CH$59,IF(IFERROR(INDEX(醫師週班表!$C$5:$T$44,$CU14,CH$57),"")=0,"",IF(MID(IFERROR(INDEX(醫師週班表!$C$5:$T$44,$CU14,CH$57),""),2,1)="/",MID(IFERROR(INDEX(醫師週班表!$C$5:$T$44,$CU14,CH$57),""),1+CH$58*2,1),IF(MID(IFERROR(INDEX(醫師週班表!$C$5:$T$44,$CU14,CH$57),""),3,1)="隔",IF(CH$58=0,LEFT(IFERROR(INDEX(醫師週班表!$C$5:$T$44,$CU14,CH$57),""),1),""),IF(MID(IFERROR(INDEX(醫師週班表!$C$5:$T$44,$CU14,CH$57),""),2,1)="(",LEFT(IFERROR(INDEX(醫師週班表!$C$5:$T$44,$CU14,CH$57),""),1),IFERROR(INDEX(醫師週班表!$C$5:$T$44,$CU14,CH$57),"")))))))</f>
        <v/>
      </c>
      <c r="CI14" s="72">
        <f>IF(CI$59="X","",IF(CI$59&lt;&gt;"",CI$59,IF(IFERROR(INDEX(醫師週班表!$C$5:$T$44,$CU14,CI$57),"")=0,"",IF(MID(IFERROR(INDEX(醫師週班表!$C$5:$T$44,$CU14,CI$57),""),2,1)="/",MID(IFERROR(INDEX(醫師週班表!$C$5:$T$44,$CU14,CI$57),""),1+CI$58*2,1),IF(MID(IFERROR(INDEX(醫師週班表!$C$5:$T$44,$CU14,CI$57),""),3,1)="隔",IF(CI$58=0,LEFT(IFERROR(INDEX(醫師週班表!$C$5:$T$44,$CU14,CI$57),""),1),""),IF(MID(IFERROR(INDEX(醫師週班表!$C$5:$T$44,$CU14,CI$57),""),2,1)="(",LEFT(IFERROR(INDEX(醫師週班表!$C$5:$T$44,$CU14,CI$57),""),1),IFERROR(INDEX(醫師週班表!$C$5:$T$44,$CU14,CI$57),"")))))))</f>
        <v/>
      </c>
      <c r="CJ14" s="72">
        <f>IF(CJ$59="X","",IF(CJ$59&lt;&gt;"",CJ$59,IF(IFERROR(INDEX(醫師週班表!$C$5:$T$44,$CU14,CJ$57),"")=0,"",IF(MID(IFERROR(INDEX(醫師週班表!$C$5:$T$44,$CU14,CJ$57),""),2,1)="/",MID(IFERROR(INDEX(醫師週班表!$C$5:$T$44,$CU14,CJ$57),""),1+CJ$58*2,1),IF(MID(IFERROR(INDEX(醫師週班表!$C$5:$T$44,$CU14,CJ$57),""),3,1)="隔",IF(CJ$58=0,LEFT(IFERROR(INDEX(醫師週班表!$C$5:$T$44,$CU14,CJ$57),""),1),""),IF(MID(IFERROR(INDEX(醫師週班表!$C$5:$T$44,$CU14,CJ$57),""),2,1)="(",LEFT(IFERROR(INDEX(醫師週班表!$C$5:$T$44,$CU14,CJ$57),""),1),IFERROR(INDEX(醫師週班表!$C$5:$T$44,$CU14,CJ$57),"")))))))</f>
        <v/>
      </c>
      <c r="CK14" s="71">
        <f>IF(CK$59="X","",IF(CK$59&lt;&gt;"",CK$59,IF(IFERROR(INDEX(醫師週班表!$C$5:$T$44,$CU14,CK$57),"")=0,"",IF(MID(IFERROR(INDEX(醫師週班表!$C$5:$T$44,$CU14,CK$57),""),2,1)="/",MID(IFERROR(INDEX(醫師週班表!$C$5:$T$44,$CU14,CK$57),""),1+CK$58*2,1),IF(MID(IFERROR(INDEX(醫師週班表!$C$5:$T$44,$CU14,CK$57),""),3,1)="隔",IF(CK$58=0,LEFT(IFERROR(INDEX(醫師週班表!$C$5:$T$44,$CU14,CK$57),""),1),""),IF(MID(IFERROR(INDEX(醫師週班表!$C$5:$T$44,$CU14,CK$57),""),2,1)="(",LEFT(IFERROR(INDEX(醫師週班表!$C$5:$T$44,$CU14,CK$57),""),1),IFERROR(INDEX(醫師週班表!$C$5:$T$44,$CU14,CK$57),"")))))))</f>
        <v/>
      </c>
      <c r="CL14" s="72">
        <f>IF(CL$59="X","",IF(CL$59&lt;&gt;"",CL$59,IF(IFERROR(INDEX(醫師週班表!$C$5:$T$44,$CU14,CL$57),"")=0,"",IF(MID(IFERROR(INDEX(醫師週班表!$C$5:$T$44,$CU14,CL$57),""),2,1)="/",MID(IFERROR(INDEX(醫師週班表!$C$5:$T$44,$CU14,CL$57),""),1+CL$58*2,1),IF(MID(IFERROR(INDEX(醫師週班表!$C$5:$T$44,$CU14,CL$57),""),3,1)="隔",IF(CL$58=0,LEFT(IFERROR(INDEX(醫師週班表!$C$5:$T$44,$CU14,CL$57),""),1),""),IF(MID(IFERROR(INDEX(醫師週班表!$C$5:$T$44,$CU14,CL$57),""),2,1)="(",LEFT(IFERROR(INDEX(醫師週班表!$C$5:$T$44,$CU14,CL$57),""),1),IFERROR(INDEX(醫師週班表!$C$5:$T$44,$CU14,CL$57),"")))))))</f>
        <v/>
      </c>
      <c r="CM14" s="72">
        <f>IF(CM$59="X","",IF(CM$59&lt;&gt;"",CM$59,IF(IFERROR(INDEX(醫師週班表!$C$5:$T$44,$CU14,CM$57),"")=0,"",IF(MID(IFERROR(INDEX(醫師週班表!$C$5:$T$44,$CU14,CM$57),""),2,1)="/",MID(IFERROR(INDEX(醫師週班表!$C$5:$T$44,$CU14,CM$57),""),1+CM$58*2,1),IF(MID(IFERROR(INDEX(醫師週班表!$C$5:$T$44,$CU14,CM$57),""),3,1)="隔",IF(CM$58=0,LEFT(IFERROR(INDEX(醫師週班表!$C$5:$T$44,$CU14,CM$57),""),1),""),IF(MID(IFERROR(INDEX(醫師週班表!$C$5:$T$44,$CU14,CM$57),""),2,1)="(",LEFT(IFERROR(INDEX(醫師週班表!$C$5:$T$44,$CU14,CM$57),""),1),IFERROR(INDEX(醫師週班表!$C$5:$T$44,$CU14,CM$57),"")))))))</f>
        <v/>
      </c>
      <c r="CN14" s="71">
        <f>IF(CN$59="X","",IF(CN$59&lt;&gt;"",CN$59,IF(IFERROR(INDEX(醫師週班表!$C$5:$T$44,$CU14,CN$57),"")=0,"",IF(MID(IFERROR(INDEX(醫師週班表!$C$5:$T$44,$CU14,CN$57),""),2,1)="/",MID(IFERROR(INDEX(醫師週班表!$C$5:$T$44,$CU14,CN$57),""),1+CN$58*2,1),IF(MID(IFERROR(INDEX(醫師週班表!$C$5:$T$44,$CU14,CN$57),""),3,1)="隔",IF(CN$58=0,LEFT(IFERROR(INDEX(醫師週班表!$C$5:$T$44,$CU14,CN$57),""),1),""),IF(MID(IFERROR(INDEX(醫師週班表!$C$5:$T$44,$CU14,CN$57),""),2,1)="(",LEFT(IFERROR(INDEX(醫師週班表!$C$5:$T$44,$CU14,CN$57),""),1),IFERROR(INDEX(醫師週班表!$C$5:$T$44,$CU14,CN$57),"")))))))</f>
        <v/>
      </c>
      <c r="CO14" s="72">
        <f>IF(CO$59="X","",IF(CO$59&lt;&gt;"",CO$59,IF(IFERROR(INDEX(醫師週班表!$C$5:$T$44,$CU14,CO$57),"")=0,"",IF(MID(IFERROR(INDEX(醫師週班表!$C$5:$T$44,$CU14,CO$57),""),2,1)="/",MID(IFERROR(INDEX(醫師週班表!$C$5:$T$44,$CU14,CO$57),""),1+CO$58*2,1),IF(MID(IFERROR(INDEX(醫師週班表!$C$5:$T$44,$CU14,CO$57),""),3,1)="隔",IF(CO$58=0,LEFT(IFERROR(INDEX(醫師週班表!$C$5:$T$44,$CU14,CO$57),""),1),""),IF(MID(IFERROR(INDEX(醫師週班表!$C$5:$T$44,$CU14,CO$57),""),2,1)="(",LEFT(IFERROR(INDEX(醫師週班表!$C$5:$T$44,$CU14,CO$57),""),1),IFERROR(INDEX(醫師週班表!$C$5:$T$44,$CU14,CO$57),"")))))))</f>
        <v/>
      </c>
      <c r="CP14" s="72">
        <f>IF(CP$59="X","",IF(CP$59&lt;&gt;"",CP$59,IF(IFERROR(INDEX(醫師週班表!$C$5:$T$44,$CU14,CP$57),"")=0,"",IF(MID(IFERROR(INDEX(醫師週班表!$C$5:$T$44,$CU14,CP$57),""),2,1)="/",MID(IFERROR(INDEX(醫師週班表!$C$5:$T$44,$CU14,CP$57),""),1+CP$58*2,1),IF(MID(IFERROR(INDEX(醫師週班表!$C$5:$T$44,$CU14,CP$57),""),3,1)="隔",IF(CP$58=0,LEFT(IFERROR(INDEX(醫師週班表!$C$5:$T$44,$CU14,CP$57),""),1),""),IF(MID(IFERROR(INDEX(醫師週班表!$C$5:$T$44,$CU14,CP$57),""),2,1)="(",LEFT(IFERROR(INDEX(醫師週班表!$C$5:$T$44,$CU14,CP$57),""),1),IFERROR(INDEX(醫師週班表!$C$5:$T$44,$CU14,CP$57),"")))))))</f>
        <v/>
      </c>
      <c r="CQ14" s="71">
        <f>IF(CQ$59="X","",IF(CQ$59&lt;&gt;"",CQ$59,IF(IFERROR(INDEX(醫師週班表!$C$5:$T$44,$CU14,CQ$57),"")=0,"",IF(MID(IFERROR(INDEX(醫師週班表!$C$5:$T$44,$CU14,CQ$57),""),2,1)="/",MID(IFERROR(INDEX(醫師週班表!$C$5:$T$44,$CU14,CQ$57),""),1+CQ$58*2,1),IF(MID(IFERROR(INDEX(醫師週班表!$C$5:$T$44,$CU14,CQ$57),""),3,1)="隔",IF(CQ$58=0,LEFT(IFERROR(INDEX(醫師週班表!$C$5:$T$44,$CU14,CQ$57),""),1),""),IF(MID(IFERROR(INDEX(醫師週班表!$C$5:$T$44,$CU14,CQ$57),""),2,1)="(",LEFT(IFERROR(INDEX(醫師週班表!$C$5:$T$44,$CU14,CQ$57),""),1),IFERROR(INDEX(醫師週班表!$C$5:$T$44,$CU14,CQ$57),"")))))))</f>
        <v/>
      </c>
      <c r="CR14" s="72">
        <f>IF(CR$59="X","",IF(CR$59&lt;&gt;"",CR$59,IF(IFERROR(INDEX(醫師週班表!$C$5:$T$44,$CU14,CR$57),"")=0,"",IF(MID(IFERROR(INDEX(醫師週班表!$C$5:$T$44,$CU14,CR$57),""),2,1)="/",MID(IFERROR(INDEX(醫師週班表!$C$5:$T$44,$CU14,CR$57),""),1+CR$58*2,1),IF(MID(IFERROR(INDEX(醫師週班表!$C$5:$T$44,$CU14,CR$57),""),3,1)="隔",IF(CR$58=0,LEFT(IFERROR(INDEX(醫師週班表!$C$5:$T$44,$CU14,CR$57),""),1),""),IF(MID(IFERROR(INDEX(醫師週班表!$C$5:$T$44,$CU14,CR$57),""),2,1)="(",LEFT(IFERROR(INDEX(醫師週班表!$C$5:$T$44,$CU14,CR$57),""),1),IFERROR(INDEX(醫師週班表!$C$5:$T$44,$CU14,CR$57),"")))))))</f>
        <v/>
      </c>
      <c r="CS14" s="72">
        <f>IF(CS$59="X","",IF(CS$59&lt;&gt;"",CS$59,IF(IFERROR(INDEX(醫師週班表!$C$5:$T$44,$CU14,CS$57),"")=0,"",IF(MID(IFERROR(INDEX(醫師週班表!$C$5:$T$44,$CU14,CS$57),""),2,1)="/",MID(IFERROR(INDEX(醫師週班表!$C$5:$T$44,$CU14,CS$57),""),1+CS$58*2,1),IF(MID(IFERROR(INDEX(醫師週班表!$C$5:$T$44,$CU14,CS$57),""),3,1)="隔",IF(CS$58=0,LEFT(IFERROR(INDEX(醫師週班表!$C$5:$T$44,$CU14,CS$57),""),1),""),IF(MID(IFERROR(INDEX(醫師週班表!$C$5:$T$44,$CU14,CS$57),""),2,1)="(",LEFT(IFERROR(INDEX(醫師週班表!$C$5:$T$44,$CU14,CS$57),""),1),IFERROR(INDEX(醫師週班表!$C$5:$T$44,$CU14,CS$57),"")))))))</f>
        <v/>
      </c>
      <c r="CU14" s="73">
        <f>IFERROR(MATCH($A14,醫師週班表!$A$5:$A$44,0),0)</f>
        <v/>
      </c>
    </row>
    <row r="15" ht="17" customHeight="1">
      <c r="A15" s="19" t="inlineStr">
        <is>
          <t>D010</t>
        </is>
      </c>
      <c r="B15" s="16" t="inlineStr">
        <is>
          <t>蔡季軒</t>
        </is>
      </c>
      <c r="C15" s="70" t="inlineStr"/>
      <c r="D15" s="16" t="inlineStr"/>
      <c r="E15" s="71">
        <f>IF(E$59="X","",IF(E$59&lt;&gt;"",E$59,IF(IFERROR(INDEX(醫師週班表!$C$5:$T$44,$CU15,E$57),"")=0,"",IF(MID(IFERROR(INDEX(醫師週班表!$C$5:$T$44,$CU15,E$57),""),2,1)="/",MID(IFERROR(INDEX(醫師週班表!$C$5:$T$44,$CU15,E$57),""),1+E$58*2,1),IF(MID(IFERROR(INDEX(醫師週班表!$C$5:$T$44,$CU15,E$57),""),3,1)="隔",IF(E$58=0,LEFT(IFERROR(INDEX(醫師週班表!$C$5:$T$44,$CU15,E$57),""),1),""),IF(MID(IFERROR(INDEX(醫師週班表!$C$5:$T$44,$CU15,E$57),""),2,1)="(",LEFT(IFERROR(INDEX(醫師週班表!$C$5:$T$44,$CU15,E$57),""),1),IFERROR(INDEX(醫師週班表!$C$5:$T$44,$CU15,E$57),"")))))))</f>
        <v/>
      </c>
      <c r="F15" s="72">
        <f>IF(F$59="X","",IF(F$59&lt;&gt;"",F$59,IF(IFERROR(INDEX(醫師週班表!$C$5:$T$44,$CU15,F$57),"")=0,"",IF(MID(IFERROR(INDEX(醫師週班表!$C$5:$T$44,$CU15,F$57),""),2,1)="/",MID(IFERROR(INDEX(醫師週班表!$C$5:$T$44,$CU15,F$57),""),1+F$58*2,1),IF(MID(IFERROR(INDEX(醫師週班表!$C$5:$T$44,$CU15,F$57),""),3,1)="隔",IF(F$58=0,LEFT(IFERROR(INDEX(醫師週班表!$C$5:$T$44,$CU15,F$57),""),1),""),IF(MID(IFERROR(INDEX(醫師週班表!$C$5:$T$44,$CU15,F$57),""),2,1)="(",LEFT(IFERROR(INDEX(醫師週班表!$C$5:$T$44,$CU15,F$57),""),1),IFERROR(INDEX(醫師週班表!$C$5:$T$44,$CU15,F$57),"")))))))</f>
        <v/>
      </c>
      <c r="G15" s="72">
        <f>IF(G$59="X","",IF(G$59&lt;&gt;"",G$59,IF(IFERROR(INDEX(醫師週班表!$C$5:$T$44,$CU15,G$57),"")=0,"",IF(MID(IFERROR(INDEX(醫師週班表!$C$5:$T$44,$CU15,G$57),""),2,1)="/",MID(IFERROR(INDEX(醫師週班表!$C$5:$T$44,$CU15,G$57),""),1+G$58*2,1),IF(MID(IFERROR(INDEX(醫師週班表!$C$5:$T$44,$CU15,G$57),""),3,1)="隔",IF(G$58=0,LEFT(IFERROR(INDEX(醫師週班表!$C$5:$T$44,$CU15,G$57),""),1),""),IF(MID(IFERROR(INDEX(醫師週班表!$C$5:$T$44,$CU15,G$57),""),2,1)="(",LEFT(IFERROR(INDEX(醫師週班表!$C$5:$T$44,$CU15,G$57),""),1),IFERROR(INDEX(醫師週班表!$C$5:$T$44,$CU15,G$57),"")))))))</f>
        <v/>
      </c>
      <c r="H15" s="71">
        <f>IF(H$59="X","",IF(H$59&lt;&gt;"",H$59,IF(IFERROR(INDEX(醫師週班表!$C$5:$T$44,$CU15,H$57),"")=0,"",IF(MID(IFERROR(INDEX(醫師週班表!$C$5:$T$44,$CU15,H$57),""),2,1)="/",MID(IFERROR(INDEX(醫師週班表!$C$5:$T$44,$CU15,H$57),""),1+H$58*2,1),IF(MID(IFERROR(INDEX(醫師週班表!$C$5:$T$44,$CU15,H$57),""),3,1)="隔",IF(H$58=0,LEFT(IFERROR(INDEX(醫師週班表!$C$5:$T$44,$CU15,H$57),""),1),""),IF(MID(IFERROR(INDEX(醫師週班表!$C$5:$T$44,$CU15,H$57),""),2,1)="(",LEFT(IFERROR(INDEX(醫師週班表!$C$5:$T$44,$CU15,H$57),""),1),IFERROR(INDEX(醫師週班表!$C$5:$T$44,$CU15,H$57),"")))))))</f>
        <v/>
      </c>
      <c r="I15" s="72">
        <f>IF(I$59="X","",IF(I$59&lt;&gt;"",I$59,IF(IFERROR(INDEX(醫師週班表!$C$5:$T$44,$CU15,I$57),"")=0,"",IF(MID(IFERROR(INDEX(醫師週班表!$C$5:$T$44,$CU15,I$57),""),2,1)="/",MID(IFERROR(INDEX(醫師週班表!$C$5:$T$44,$CU15,I$57),""),1+I$58*2,1),IF(MID(IFERROR(INDEX(醫師週班表!$C$5:$T$44,$CU15,I$57),""),3,1)="隔",IF(I$58=0,LEFT(IFERROR(INDEX(醫師週班表!$C$5:$T$44,$CU15,I$57),""),1),""),IF(MID(IFERROR(INDEX(醫師週班表!$C$5:$T$44,$CU15,I$57),""),2,1)="(",LEFT(IFERROR(INDEX(醫師週班表!$C$5:$T$44,$CU15,I$57),""),1),IFERROR(INDEX(醫師週班表!$C$5:$T$44,$CU15,I$57),"")))))))</f>
        <v/>
      </c>
      <c r="J15" s="72">
        <f>IF(J$59="X","",IF(J$59&lt;&gt;"",J$59,IF(IFERROR(INDEX(醫師週班表!$C$5:$T$44,$CU15,J$57),"")=0,"",IF(MID(IFERROR(INDEX(醫師週班表!$C$5:$T$44,$CU15,J$57),""),2,1)="/",MID(IFERROR(INDEX(醫師週班表!$C$5:$T$44,$CU15,J$57),""),1+J$58*2,1),IF(MID(IFERROR(INDEX(醫師週班表!$C$5:$T$44,$CU15,J$57),""),3,1)="隔",IF(J$58=0,LEFT(IFERROR(INDEX(醫師週班表!$C$5:$T$44,$CU15,J$57),""),1),""),IF(MID(IFERROR(INDEX(醫師週班表!$C$5:$T$44,$CU15,J$57),""),2,1)="(",LEFT(IFERROR(INDEX(醫師週班表!$C$5:$T$44,$CU15,J$57),""),1),IFERROR(INDEX(醫師週班表!$C$5:$T$44,$CU15,J$57),"")))))))</f>
        <v/>
      </c>
      <c r="K15" s="71">
        <f>IF(K$59="X","",IF(K$59&lt;&gt;"",K$59,IF(IFERROR(INDEX(醫師週班表!$C$5:$T$44,$CU15,K$57),"")=0,"",IF(MID(IFERROR(INDEX(醫師週班表!$C$5:$T$44,$CU15,K$57),""),2,1)="/",MID(IFERROR(INDEX(醫師週班表!$C$5:$T$44,$CU15,K$57),""),1+K$58*2,1),IF(MID(IFERROR(INDEX(醫師週班表!$C$5:$T$44,$CU15,K$57),""),3,1)="隔",IF(K$58=0,LEFT(IFERROR(INDEX(醫師週班表!$C$5:$T$44,$CU15,K$57),""),1),""),IF(MID(IFERROR(INDEX(醫師週班表!$C$5:$T$44,$CU15,K$57),""),2,1)="(",LEFT(IFERROR(INDEX(醫師週班表!$C$5:$T$44,$CU15,K$57),""),1),IFERROR(INDEX(醫師週班表!$C$5:$T$44,$CU15,K$57),"")))))))</f>
        <v/>
      </c>
      <c r="L15" s="72">
        <f>IF(L$59="X","",IF(L$59&lt;&gt;"",L$59,IF(IFERROR(INDEX(醫師週班表!$C$5:$T$44,$CU15,L$57),"")=0,"",IF(MID(IFERROR(INDEX(醫師週班表!$C$5:$T$44,$CU15,L$57),""),2,1)="/",MID(IFERROR(INDEX(醫師週班表!$C$5:$T$44,$CU15,L$57),""),1+L$58*2,1),IF(MID(IFERROR(INDEX(醫師週班表!$C$5:$T$44,$CU15,L$57),""),3,1)="隔",IF(L$58=0,LEFT(IFERROR(INDEX(醫師週班表!$C$5:$T$44,$CU15,L$57),""),1),""),IF(MID(IFERROR(INDEX(醫師週班表!$C$5:$T$44,$CU15,L$57),""),2,1)="(",LEFT(IFERROR(INDEX(醫師週班表!$C$5:$T$44,$CU15,L$57),""),1),IFERROR(INDEX(醫師週班表!$C$5:$T$44,$CU15,L$57),"")))))))</f>
        <v/>
      </c>
      <c r="M15" s="72">
        <f>IF(M$59="X","",IF(M$59&lt;&gt;"",M$59,IF(IFERROR(INDEX(醫師週班表!$C$5:$T$44,$CU15,M$57),"")=0,"",IF(MID(IFERROR(INDEX(醫師週班表!$C$5:$T$44,$CU15,M$57),""),2,1)="/",MID(IFERROR(INDEX(醫師週班表!$C$5:$T$44,$CU15,M$57),""),1+M$58*2,1),IF(MID(IFERROR(INDEX(醫師週班表!$C$5:$T$44,$CU15,M$57),""),3,1)="隔",IF(M$58=0,LEFT(IFERROR(INDEX(醫師週班表!$C$5:$T$44,$CU15,M$57),""),1),""),IF(MID(IFERROR(INDEX(醫師週班表!$C$5:$T$44,$CU15,M$57),""),2,1)="(",LEFT(IFERROR(INDEX(醫師週班表!$C$5:$T$44,$CU15,M$57),""),1),IFERROR(INDEX(醫師週班表!$C$5:$T$44,$CU15,M$57),"")))))))</f>
        <v/>
      </c>
      <c r="N15" s="71">
        <f>IF(N$59="X","",IF(N$59&lt;&gt;"",N$59,IF(IFERROR(INDEX(醫師週班表!$C$5:$T$44,$CU15,N$57),"")=0,"",IF(MID(IFERROR(INDEX(醫師週班表!$C$5:$T$44,$CU15,N$57),""),2,1)="/",MID(IFERROR(INDEX(醫師週班表!$C$5:$T$44,$CU15,N$57),""),1+N$58*2,1),IF(MID(IFERROR(INDEX(醫師週班表!$C$5:$T$44,$CU15,N$57),""),3,1)="隔",IF(N$58=0,LEFT(IFERROR(INDEX(醫師週班表!$C$5:$T$44,$CU15,N$57),""),1),""),IF(MID(IFERROR(INDEX(醫師週班表!$C$5:$T$44,$CU15,N$57),""),2,1)="(",LEFT(IFERROR(INDEX(醫師週班表!$C$5:$T$44,$CU15,N$57),""),1),IFERROR(INDEX(醫師週班表!$C$5:$T$44,$CU15,N$57),"")))))))</f>
        <v/>
      </c>
      <c r="O15" s="72">
        <f>IF(O$59="X","",IF(O$59&lt;&gt;"",O$59,IF(IFERROR(INDEX(醫師週班表!$C$5:$T$44,$CU15,O$57),"")=0,"",IF(MID(IFERROR(INDEX(醫師週班表!$C$5:$T$44,$CU15,O$57),""),2,1)="/",MID(IFERROR(INDEX(醫師週班表!$C$5:$T$44,$CU15,O$57),""),1+O$58*2,1),IF(MID(IFERROR(INDEX(醫師週班表!$C$5:$T$44,$CU15,O$57),""),3,1)="隔",IF(O$58=0,LEFT(IFERROR(INDEX(醫師週班表!$C$5:$T$44,$CU15,O$57),""),1),""),IF(MID(IFERROR(INDEX(醫師週班表!$C$5:$T$44,$CU15,O$57),""),2,1)="(",LEFT(IFERROR(INDEX(醫師週班表!$C$5:$T$44,$CU15,O$57),""),1),IFERROR(INDEX(醫師週班表!$C$5:$T$44,$CU15,O$57),"")))))))</f>
        <v/>
      </c>
      <c r="P15" s="72">
        <f>IF(P$59="X","",IF(P$59&lt;&gt;"",P$59,IF(IFERROR(INDEX(醫師週班表!$C$5:$T$44,$CU15,P$57),"")=0,"",IF(MID(IFERROR(INDEX(醫師週班表!$C$5:$T$44,$CU15,P$57),""),2,1)="/",MID(IFERROR(INDEX(醫師週班表!$C$5:$T$44,$CU15,P$57),""),1+P$58*2,1),IF(MID(IFERROR(INDEX(醫師週班表!$C$5:$T$44,$CU15,P$57),""),3,1)="隔",IF(P$58=0,LEFT(IFERROR(INDEX(醫師週班表!$C$5:$T$44,$CU15,P$57),""),1),""),IF(MID(IFERROR(INDEX(醫師週班表!$C$5:$T$44,$CU15,P$57),""),2,1)="(",LEFT(IFERROR(INDEX(醫師週班表!$C$5:$T$44,$CU15,P$57),""),1),IFERROR(INDEX(醫師週班表!$C$5:$T$44,$CU15,P$57),"")))))))</f>
        <v/>
      </c>
      <c r="Q15" s="71">
        <f>IF(Q$59="X","",IF(Q$59&lt;&gt;"",Q$59,IF(IFERROR(INDEX(醫師週班表!$C$5:$T$44,$CU15,Q$57),"")=0,"",IF(MID(IFERROR(INDEX(醫師週班表!$C$5:$T$44,$CU15,Q$57),""),2,1)="/",MID(IFERROR(INDEX(醫師週班表!$C$5:$T$44,$CU15,Q$57),""),1+Q$58*2,1),IF(MID(IFERROR(INDEX(醫師週班表!$C$5:$T$44,$CU15,Q$57),""),3,1)="隔",IF(Q$58=0,LEFT(IFERROR(INDEX(醫師週班表!$C$5:$T$44,$CU15,Q$57),""),1),""),IF(MID(IFERROR(INDEX(醫師週班表!$C$5:$T$44,$CU15,Q$57),""),2,1)="(",LEFT(IFERROR(INDEX(醫師週班表!$C$5:$T$44,$CU15,Q$57),""),1),IFERROR(INDEX(醫師週班表!$C$5:$T$44,$CU15,Q$57),"")))))))</f>
        <v/>
      </c>
      <c r="R15" s="72">
        <f>IF(R$59="X","",IF(R$59&lt;&gt;"",R$59,IF(IFERROR(INDEX(醫師週班表!$C$5:$T$44,$CU15,R$57),"")=0,"",IF(MID(IFERROR(INDEX(醫師週班表!$C$5:$T$44,$CU15,R$57),""),2,1)="/",MID(IFERROR(INDEX(醫師週班表!$C$5:$T$44,$CU15,R$57),""),1+R$58*2,1),IF(MID(IFERROR(INDEX(醫師週班表!$C$5:$T$44,$CU15,R$57),""),3,1)="隔",IF(R$58=0,LEFT(IFERROR(INDEX(醫師週班表!$C$5:$T$44,$CU15,R$57),""),1),""),IF(MID(IFERROR(INDEX(醫師週班表!$C$5:$T$44,$CU15,R$57),""),2,1)="(",LEFT(IFERROR(INDEX(醫師週班表!$C$5:$T$44,$CU15,R$57),""),1),IFERROR(INDEX(醫師週班表!$C$5:$T$44,$CU15,R$57),"")))))))</f>
        <v/>
      </c>
      <c r="S15" s="72">
        <f>IF(S$59="X","",IF(S$59&lt;&gt;"",S$59,IF(IFERROR(INDEX(醫師週班表!$C$5:$T$44,$CU15,S$57),"")=0,"",IF(MID(IFERROR(INDEX(醫師週班表!$C$5:$T$44,$CU15,S$57),""),2,1)="/",MID(IFERROR(INDEX(醫師週班表!$C$5:$T$44,$CU15,S$57),""),1+S$58*2,1),IF(MID(IFERROR(INDEX(醫師週班表!$C$5:$T$44,$CU15,S$57),""),3,1)="隔",IF(S$58=0,LEFT(IFERROR(INDEX(醫師週班表!$C$5:$T$44,$CU15,S$57),""),1),""),IF(MID(IFERROR(INDEX(醫師週班表!$C$5:$T$44,$CU15,S$57),""),2,1)="(",LEFT(IFERROR(INDEX(醫師週班表!$C$5:$T$44,$CU15,S$57),""),1),IFERROR(INDEX(醫師週班表!$C$5:$T$44,$CU15,S$57),"")))))))</f>
        <v/>
      </c>
      <c r="T15" s="71">
        <f>IF(T$59="X","",IF(T$59&lt;&gt;"",T$59,IF(IFERROR(INDEX(醫師週班表!$C$5:$T$44,$CU15,T$57),"")=0,"",IF(MID(IFERROR(INDEX(醫師週班表!$C$5:$T$44,$CU15,T$57),""),2,1)="/",MID(IFERROR(INDEX(醫師週班表!$C$5:$T$44,$CU15,T$57),""),1+T$58*2,1),IF(MID(IFERROR(INDEX(醫師週班表!$C$5:$T$44,$CU15,T$57),""),3,1)="隔",IF(T$58=0,LEFT(IFERROR(INDEX(醫師週班表!$C$5:$T$44,$CU15,T$57),""),1),""),IF(MID(IFERROR(INDEX(醫師週班表!$C$5:$T$44,$CU15,T$57),""),2,1)="(",LEFT(IFERROR(INDEX(醫師週班表!$C$5:$T$44,$CU15,T$57),""),1),IFERROR(INDEX(醫師週班表!$C$5:$T$44,$CU15,T$57),"")))))))</f>
        <v/>
      </c>
      <c r="U15" s="72">
        <f>IF(U$59="X","",IF(U$59&lt;&gt;"",U$59,IF(IFERROR(INDEX(醫師週班表!$C$5:$T$44,$CU15,U$57),"")=0,"",IF(MID(IFERROR(INDEX(醫師週班表!$C$5:$T$44,$CU15,U$57),""),2,1)="/",MID(IFERROR(INDEX(醫師週班表!$C$5:$T$44,$CU15,U$57),""),1+U$58*2,1),IF(MID(IFERROR(INDEX(醫師週班表!$C$5:$T$44,$CU15,U$57),""),3,1)="隔",IF(U$58=0,LEFT(IFERROR(INDEX(醫師週班表!$C$5:$T$44,$CU15,U$57),""),1),""),IF(MID(IFERROR(INDEX(醫師週班表!$C$5:$T$44,$CU15,U$57),""),2,1)="(",LEFT(IFERROR(INDEX(醫師週班表!$C$5:$T$44,$CU15,U$57),""),1),IFERROR(INDEX(醫師週班表!$C$5:$T$44,$CU15,U$57),"")))))))</f>
        <v/>
      </c>
      <c r="V15" s="72">
        <f>IF(V$59="X","",IF(V$59&lt;&gt;"",V$59,IF(IFERROR(INDEX(醫師週班表!$C$5:$T$44,$CU15,V$57),"")=0,"",IF(MID(IFERROR(INDEX(醫師週班表!$C$5:$T$44,$CU15,V$57),""),2,1)="/",MID(IFERROR(INDEX(醫師週班表!$C$5:$T$44,$CU15,V$57),""),1+V$58*2,1),IF(MID(IFERROR(INDEX(醫師週班表!$C$5:$T$44,$CU15,V$57),""),3,1)="隔",IF(V$58=0,LEFT(IFERROR(INDEX(醫師週班表!$C$5:$T$44,$CU15,V$57),""),1),""),IF(MID(IFERROR(INDEX(醫師週班表!$C$5:$T$44,$CU15,V$57),""),2,1)="(",LEFT(IFERROR(INDEX(醫師週班表!$C$5:$T$44,$CU15,V$57),""),1),IFERROR(INDEX(醫師週班表!$C$5:$T$44,$CU15,V$57),"")))))))</f>
        <v/>
      </c>
      <c r="W15" s="71">
        <f>IF(W$59="X","",IF(W$59&lt;&gt;"",W$59,IF(IFERROR(INDEX(醫師週班表!$C$5:$T$44,$CU15,W$57),"")=0,"",IF(MID(IFERROR(INDEX(醫師週班表!$C$5:$T$44,$CU15,W$57),""),2,1)="/",MID(IFERROR(INDEX(醫師週班表!$C$5:$T$44,$CU15,W$57),""),1+W$58*2,1),IF(MID(IFERROR(INDEX(醫師週班表!$C$5:$T$44,$CU15,W$57),""),3,1)="隔",IF(W$58=0,LEFT(IFERROR(INDEX(醫師週班表!$C$5:$T$44,$CU15,W$57),""),1),""),IF(MID(IFERROR(INDEX(醫師週班表!$C$5:$T$44,$CU15,W$57),""),2,1)="(",LEFT(IFERROR(INDEX(醫師週班表!$C$5:$T$44,$CU15,W$57),""),1),IFERROR(INDEX(醫師週班表!$C$5:$T$44,$CU15,W$57),"")))))))</f>
        <v/>
      </c>
      <c r="X15" s="72">
        <f>IF(X$59="X","",IF(X$59&lt;&gt;"",X$59,IF(IFERROR(INDEX(醫師週班表!$C$5:$T$44,$CU15,X$57),"")=0,"",IF(MID(IFERROR(INDEX(醫師週班表!$C$5:$T$44,$CU15,X$57),""),2,1)="/",MID(IFERROR(INDEX(醫師週班表!$C$5:$T$44,$CU15,X$57),""),1+X$58*2,1),IF(MID(IFERROR(INDEX(醫師週班表!$C$5:$T$44,$CU15,X$57),""),3,1)="隔",IF(X$58=0,LEFT(IFERROR(INDEX(醫師週班表!$C$5:$T$44,$CU15,X$57),""),1),""),IF(MID(IFERROR(INDEX(醫師週班表!$C$5:$T$44,$CU15,X$57),""),2,1)="(",LEFT(IFERROR(INDEX(醫師週班表!$C$5:$T$44,$CU15,X$57),""),1),IFERROR(INDEX(醫師週班表!$C$5:$T$44,$CU15,X$57),"")))))))</f>
        <v/>
      </c>
      <c r="Y15" s="72">
        <f>IF(Y$59="X","",IF(Y$59&lt;&gt;"",Y$59,IF(IFERROR(INDEX(醫師週班表!$C$5:$T$44,$CU15,Y$57),"")=0,"",IF(MID(IFERROR(INDEX(醫師週班表!$C$5:$T$44,$CU15,Y$57),""),2,1)="/",MID(IFERROR(INDEX(醫師週班表!$C$5:$T$44,$CU15,Y$57),""),1+Y$58*2,1),IF(MID(IFERROR(INDEX(醫師週班表!$C$5:$T$44,$CU15,Y$57),""),3,1)="隔",IF(Y$58=0,LEFT(IFERROR(INDEX(醫師週班表!$C$5:$T$44,$CU15,Y$57),""),1),""),IF(MID(IFERROR(INDEX(醫師週班表!$C$5:$T$44,$CU15,Y$57),""),2,1)="(",LEFT(IFERROR(INDEX(醫師週班表!$C$5:$T$44,$CU15,Y$57),""),1),IFERROR(INDEX(醫師週班表!$C$5:$T$44,$CU15,Y$57),"")))))))</f>
        <v/>
      </c>
      <c r="Z15" s="71">
        <f>IF(Z$59="X","",IF(Z$59&lt;&gt;"",Z$59,IF(IFERROR(INDEX(醫師週班表!$C$5:$T$44,$CU15,Z$57),"")=0,"",IF(MID(IFERROR(INDEX(醫師週班表!$C$5:$T$44,$CU15,Z$57),""),2,1)="/",MID(IFERROR(INDEX(醫師週班表!$C$5:$T$44,$CU15,Z$57),""),1+Z$58*2,1),IF(MID(IFERROR(INDEX(醫師週班表!$C$5:$T$44,$CU15,Z$57),""),3,1)="隔",IF(Z$58=0,LEFT(IFERROR(INDEX(醫師週班表!$C$5:$T$44,$CU15,Z$57),""),1),""),IF(MID(IFERROR(INDEX(醫師週班表!$C$5:$T$44,$CU15,Z$57),""),2,1)="(",LEFT(IFERROR(INDEX(醫師週班表!$C$5:$T$44,$CU15,Z$57),""),1),IFERROR(INDEX(醫師週班表!$C$5:$T$44,$CU15,Z$57),"")))))))</f>
        <v/>
      </c>
      <c r="AA15" s="72">
        <f>IF(AA$59="X","",IF(AA$59&lt;&gt;"",AA$59,IF(IFERROR(INDEX(醫師週班表!$C$5:$T$44,$CU15,AA$57),"")=0,"",IF(MID(IFERROR(INDEX(醫師週班表!$C$5:$T$44,$CU15,AA$57),""),2,1)="/",MID(IFERROR(INDEX(醫師週班表!$C$5:$T$44,$CU15,AA$57),""),1+AA$58*2,1),IF(MID(IFERROR(INDEX(醫師週班表!$C$5:$T$44,$CU15,AA$57),""),3,1)="隔",IF(AA$58=0,LEFT(IFERROR(INDEX(醫師週班表!$C$5:$T$44,$CU15,AA$57),""),1),""),IF(MID(IFERROR(INDEX(醫師週班表!$C$5:$T$44,$CU15,AA$57),""),2,1)="(",LEFT(IFERROR(INDEX(醫師週班表!$C$5:$T$44,$CU15,AA$57),""),1),IFERROR(INDEX(醫師週班表!$C$5:$T$44,$CU15,AA$57),"")))))))</f>
        <v/>
      </c>
      <c r="AB15" s="72">
        <f>IF(AB$59="X","",IF(AB$59&lt;&gt;"",AB$59,IF(IFERROR(INDEX(醫師週班表!$C$5:$T$44,$CU15,AB$57),"")=0,"",IF(MID(IFERROR(INDEX(醫師週班表!$C$5:$T$44,$CU15,AB$57),""),2,1)="/",MID(IFERROR(INDEX(醫師週班表!$C$5:$T$44,$CU15,AB$57),""),1+AB$58*2,1),IF(MID(IFERROR(INDEX(醫師週班表!$C$5:$T$44,$CU15,AB$57),""),3,1)="隔",IF(AB$58=0,LEFT(IFERROR(INDEX(醫師週班表!$C$5:$T$44,$CU15,AB$57),""),1),""),IF(MID(IFERROR(INDEX(醫師週班表!$C$5:$T$44,$CU15,AB$57),""),2,1)="(",LEFT(IFERROR(INDEX(醫師週班表!$C$5:$T$44,$CU15,AB$57),""),1),IFERROR(INDEX(醫師週班表!$C$5:$T$44,$CU15,AB$57),"")))))))</f>
        <v/>
      </c>
      <c r="AC15" s="71">
        <f>IF(AC$59="X","",IF(AC$59&lt;&gt;"",AC$59,IF(IFERROR(INDEX(醫師週班表!$C$5:$T$44,$CU15,AC$57),"")=0,"",IF(MID(IFERROR(INDEX(醫師週班表!$C$5:$T$44,$CU15,AC$57),""),2,1)="/",MID(IFERROR(INDEX(醫師週班表!$C$5:$T$44,$CU15,AC$57),""),1+AC$58*2,1),IF(MID(IFERROR(INDEX(醫師週班表!$C$5:$T$44,$CU15,AC$57),""),3,1)="隔",IF(AC$58=0,LEFT(IFERROR(INDEX(醫師週班表!$C$5:$T$44,$CU15,AC$57),""),1),""),IF(MID(IFERROR(INDEX(醫師週班表!$C$5:$T$44,$CU15,AC$57),""),2,1)="(",LEFT(IFERROR(INDEX(醫師週班表!$C$5:$T$44,$CU15,AC$57),""),1),IFERROR(INDEX(醫師週班表!$C$5:$T$44,$CU15,AC$57),"")))))))</f>
        <v/>
      </c>
      <c r="AD15" s="72">
        <f>IF(AD$59="X","",IF(AD$59&lt;&gt;"",AD$59,IF(IFERROR(INDEX(醫師週班表!$C$5:$T$44,$CU15,AD$57),"")=0,"",IF(MID(IFERROR(INDEX(醫師週班表!$C$5:$T$44,$CU15,AD$57),""),2,1)="/",MID(IFERROR(INDEX(醫師週班表!$C$5:$T$44,$CU15,AD$57),""),1+AD$58*2,1),IF(MID(IFERROR(INDEX(醫師週班表!$C$5:$T$44,$CU15,AD$57),""),3,1)="隔",IF(AD$58=0,LEFT(IFERROR(INDEX(醫師週班表!$C$5:$T$44,$CU15,AD$57),""),1),""),IF(MID(IFERROR(INDEX(醫師週班表!$C$5:$T$44,$CU15,AD$57),""),2,1)="(",LEFT(IFERROR(INDEX(醫師週班表!$C$5:$T$44,$CU15,AD$57),""),1),IFERROR(INDEX(醫師週班表!$C$5:$T$44,$CU15,AD$57),"")))))))</f>
        <v/>
      </c>
      <c r="AE15" s="72">
        <f>IF(AE$59="X","",IF(AE$59&lt;&gt;"",AE$59,IF(IFERROR(INDEX(醫師週班表!$C$5:$T$44,$CU15,AE$57),"")=0,"",IF(MID(IFERROR(INDEX(醫師週班表!$C$5:$T$44,$CU15,AE$57),""),2,1)="/",MID(IFERROR(INDEX(醫師週班表!$C$5:$T$44,$CU15,AE$57),""),1+AE$58*2,1),IF(MID(IFERROR(INDEX(醫師週班表!$C$5:$T$44,$CU15,AE$57),""),3,1)="隔",IF(AE$58=0,LEFT(IFERROR(INDEX(醫師週班表!$C$5:$T$44,$CU15,AE$57),""),1),""),IF(MID(IFERROR(INDEX(醫師週班表!$C$5:$T$44,$CU15,AE$57),""),2,1)="(",LEFT(IFERROR(INDEX(醫師週班表!$C$5:$T$44,$CU15,AE$57),""),1),IFERROR(INDEX(醫師週班表!$C$5:$T$44,$CU15,AE$57),"")))))))</f>
        <v/>
      </c>
      <c r="AF15" s="71">
        <f>IF(AF$59="X","",IF(AF$59&lt;&gt;"",AF$59,IF(IFERROR(INDEX(醫師週班表!$C$5:$T$44,$CU15,AF$57),"")=0,"",IF(MID(IFERROR(INDEX(醫師週班表!$C$5:$T$44,$CU15,AF$57),""),2,1)="/",MID(IFERROR(INDEX(醫師週班表!$C$5:$T$44,$CU15,AF$57),""),1+AF$58*2,1),IF(MID(IFERROR(INDEX(醫師週班表!$C$5:$T$44,$CU15,AF$57),""),3,1)="隔",IF(AF$58=0,LEFT(IFERROR(INDEX(醫師週班表!$C$5:$T$44,$CU15,AF$57),""),1),""),IF(MID(IFERROR(INDEX(醫師週班表!$C$5:$T$44,$CU15,AF$57),""),2,1)="(",LEFT(IFERROR(INDEX(醫師週班表!$C$5:$T$44,$CU15,AF$57),""),1),IFERROR(INDEX(醫師週班表!$C$5:$T$44,$CU15,AF$57),"")))))))</f>
        <v/>
      </c>
      <c r="AG15" s="72">
        <f>IF(AG$59="X","",IF(AG$59&lt;&gt;"",AG$59,IF(IFERROR(INDEX(醫師週班表!$C$5:$T$44,$CU15,AG$57),"")=0,"",IF(MID(IFERROR(INDEX(醫師週班表!$C$5:$T$44,$CU15,AG$57),""),2,1)="/",MID(IFERROR(INDEX(醫師週班表!$C$5:$T$44,$CU15,AG$57),""),1+AG$58*2,1),IF(MID(IFERROR(INDEX(醫師週班表!$C$5:$T$44,$CU15,AG$57),""),3,1)="隔",IF(AG$58=0,LEFT(IFERROR(INDEX(醫師週班表!$C$5:$T$44,$CU15,AG$57),""),1),""),IF(MID(IFERROR(INDEX(醫師週班表!$C$5:$T$44,$CU15,AG$57),""),2,1)="(",LEFT(IFERROR(INDEX(醫師週班表!$C$5:$T$44,$CU15,AG$57),""),1),IFERROR(INDEX(醫師週班表!$C$5:$T$44,$CU15,AG$57),"")))))))</f>
        <v/>
      </c>
      <c r="AH15" s="72">
        <f>IF(AH$59="X","",IF(AH$59&lt;&gt;"",AH$59,IF(IFERROR(INDEX(醫師週班表!$C$5:$T$44,$CU15,AH$57),"")=0,"",IF(MID(IFERROR(INDEX(醫師週班表!$C$5:$T$44,$CU15,AH$57),""),2,1)="/",MID(IFERROR(INDEX(醫師週班表!$C$5:$T$44,$CU15,AH$57),""),1+AH$58*2,1),IF(MID(IFERROR(INDEX(醫師週班表!$C$5:$T$44,$CU15,AH$57),""),3,1)="隔",IF(AH$58=0,LEFT(IFERROR(INDEX(醫師週班表!$C$5:$T$44,$CU15,AH$57),""),1),""),IF(MID(IFERROR(INDEX(醫師週班表!$C$5:$T$44,$CU15,AH$57),""),2,1)="(",LEFT(IFERROR(INDEX(醫師週班表!$C$5:$T$44,$CU15,AH$57),""),1),IFERROR(INDEX(醫師週班表!$C$5:$T$44,$CU15,AH$57),"")))))))</f>
        <v/>
      </c>
      <c r="AI15" s="71">
        <f>IF(AI$59="X","",IF(AI$59&lt;&gt;"",AI$59,IF(IFERROR(INDEX(醫師週班表!$C$5:$T$44,$CU15,AI$57),"")=0,"",IF(MID(IFERROR(INDEX(醫師週班表!$C$5:$T$44,$CU15,AI$57),""),2,1)="/",MID(IFERROR(INDEX(醫師週班表!$C$5:$T$44,$CU15,AI$57),""),1+AI$58*2,1),IF(MID(IFERROR(INDEX(醫師週班表!$C$5:$T$44,$CU15,AI$57),""),3,1)="隔",IF(AI$58=0,LEFT(IFERROR(INDEX(醫師週班表!$C$5:$T$44,$CU15,AI$57),""),1),""),IF(MID(IFERROR(INDEX(醫師週班表!$C$5:$T$44,$CU15,AI$57),""),2,1)="(",LEFT(IFERROR(INDEX(醫師週班表!$C$5:$T$44,$CU15,AI$57),""),1),IFERROR(INDEX(醫師週班表!$C$5:$T$44,$CU15,AI$57),"")))))))</f>
        <v/>
      </c>
      <c r="AJ15" s="72">
        <f>IF(AJ$59="X","",IF(AJ$59&lt;&gt;"",AJ$59,IF(IFERROR(INDEX(醫師週班表!$C$5:$T$44,$CU15,AJ$57),"")=0,"",IF(MID(IFERROR(INDEX(醫師週班表!$C$5:$T$44,$CU15,AJ$57),""),2,1)="/",MID(IFERROR(INDEX(醫師週班表!$C$5:$T$44,$CU15,AJ$57),""),1+AJ$58*2,1),IF(MID(IFERROR(INDEX(醫師週班表!$C$5:$T$44,$CU15,AJ$57),""),3,1)="隔",IF(AJ$58=0,LEFT(IFERROR(INDEX(醫師週班表!$C$5:$T$44,$CU15,AJ$57),""),1),""),IF(MID(IFERROR(INDEX(醫師週班表!$C$5:$T$44,$CU15,AJ$57),""),2,1)="(",LEFT(IFERROR(INDEX(醫師週班表!$C$5:$T$44,$CU15,AJ$57),""),1),IFERROR(INDEX(醫師週班表!$C$5:$T$44,$CU15,AJ$57),"")))))))</f>
        <v/>
      </c>
      <c r="AK15" s="72">
        <f>IF(AK$59="X","",IF(AK$59&lt;&gt;"",AK$59,IF(IFERROR(INDEX(醫師週班表!$C$5:$T$44,$CU15,AK$57),"")=0,"",IF(MID(IFERROR(INDEX(醫師週班表!$C$5:$T$44,$CU15,AK$57),""),2,1)="/",MID(IFERROR(INDEX(醫師週班表!$C$5:$T$44,$CU15,AK$57),""),1+AK$58*2,1),IF(MID(IFERROR(INDEX(醫師週班表!$C$5:$T$44,$CU15,AK$57),""),3,1)="隔",IF(AK$58=0,LEFT(IFERROR(INDEX(醫師週班表!$C$5:$T$44,$CU15,AK$57),""),1),""),IF(MID(IFERROR(INDEX(醫師週班表!$C$5:$T$44,$CU15,AK$57),""),2,1)="(",LEFT(IFERROR(INDEX(醫師週班表!$C$5:$T$44,$CU15,AK$57),""),1),IFERROR(INDEX(醫師週班表!$C$5:$T$44,$CU15,AK$57),"")))))))</f>
        <v/>
      </c>
      <c r="AL15" s="71">
        <f>IF(AL$59="X","",IF(AL$59&lt;&gt;"",AL$59,IF(IFERROR(INDEX(醫師週班表!$C$5:$T$44,$CU15,AL$57),"")=0,"",IF(MID(IFERROR(INDEX(醫師週班表!$C$5:$T$44,$CU15,AL$57),""),2,1)="/",MID(IFERROR(INDEX(醫師週班表!$C$5:$T$44,$CU15,AL$57),""),1+AL$58*2,1),IF(MID(IFERROR(INDEX(醫師週班表!$C$5:$T$44,$CU15,AL$57),""),3,1)="隔",IF(AL$58=0,LEFT(IFERROR(INDEX(醫師週班表!$C$5:$T$44,$CU15,AL$57),""),1),""),IF(MID(IFERROR(INDEX(醫師週班表!$C$5:$T$44,$CU15,AL$57),""),2,1)="(",LEFT(IFERROR(INDEX(醫師週班表!$C$5:$T$44,$CU15,AL$57),""),1),IFERROR(INDEX(醫師週班表!$C$5:$T$44,$CU15,AL$57),"")))))))</f>
        <v/>
      </c>
      <c r="AM15" s="72">
        <f>IF(AM$59="X","",IF(AM$59&lt;&gt;"",AM$59,IF(IFERROR(INDEX(醫師週班表!$C$5:$T$44,$CU15,AM$57),"")=0,"",IF(MID(IFERROR(INDEX(醫師週班表!$C$5:$T$44,$CU15,AM$57),""),2,1)="/",MID(IFERROR(INDEX(醫師週班表!$C$5:$T$44,$CU15,AM$57),""),1+AM$58*2,1),IF(MID(IFERROR(INDEX(醫師週班表!$C$5:$T$44,$CU15,AM$57),""),3,1)="隔",IF(AM$58=0,LEFT(IFERROR(INDEX(醫師週班表!$C$5:$T$44,$CU15,AM$57),""),1),""),IF(MID(IFERROR(INDEX(醫師週班表!$C$5:$T$44,$CU15,AM$57),""),2,1)="(",LEFT(IFERROR(INDEX(醫師週班表!$C$5:$T$44,$CU15,AM$57),""),1),IFERROR(INDEX(醫師週班表!$C$5:$T$44,$CU15,AM$57),"")))))))</f>
        <v/>
      </c>
      <c r="AN15" s="72">
        <f>IF(AN$59="X","",IF(AN$59&lt;&gt;"",AN$59,IF(IFERROR(INDEX(醫師週班表!$C$5:$T$44,$CU15,AN$57),"")=0,"",IF(MID(IFERROR(INDEX(醫師週班表!$C$5:$T$44,$CU15,AN$57),""),2,1)="/",MID(IFERROR(INDEX(醫師週班表!$C$5:$T$44,$CU15,AN$57),""),1+AN$58*2,1),IF(MID(IFERROR(INDEX(醫師週班表!$C$5:$T$44,$CU15,AN$57),""),3,1)="隔",IF(AN$58=0,LEFT(IFERROR(INDEX(醫師週班表!$C$5:$T$44,$CU15,AN$57),""),1),""),IF(MID(IFERROR(INDEX(醫師週班表!$C$5:$T$44,$CU15,AN$57),""),2,1)="(",LEFT(IFERROR(INDEX(醫師週班表!$C$5:$T$44,$CU15,AN$57),""),1),IFERROR(INDEX(醫師週班表!$C$5:$T$44,$CU15,AN$57),"")))))))</f>
        <v/>
      </c>
      <c r="AO15" s="71">
        <f>IF(AO$59="X","",IF(AO$59&lt;&gt;"",AO$59,IF(IFERROR(INDEX(醫師週班表!$C$5:$T$44,$CU15,AO$57),"")=0,"",IF(MID(IFERROR(INDEX(醫師週班表!$C$5:$T$44,$CU15,AO$57),""),2,1)="/",MID(IFERROR(INDEX(醫師週班表!$C$5:$T$44,$CU15,AO$57),""),1+AO$58*2,1),IF(MID(IFERROR(INDEX(醫師週班表!$C$5:$T$44,$CU15,AO$57),""),3,1)="隔",IF(AO$58=0,LEFT(IFERROR(INDEX(醫師週班表!$C$5:$T$44,$CU15,AO$57),""),1),""),IF(MID(IFERROR(INDEX(醫師週班表!$C$5:$T$44,$CU15,AO$57),""),2,1)="(",LEFT(IFERROR(INDEX(醫師週班表!$C$5:$T$44,$CU15,AO$57),""),1),IFERROR(INDEX(醫師週班表!$C$5:$T$44,$CU15,AO$57),"")))))))</f>
        <v/>
      </c>
      <c r="AP15" s="72">
        <f>IF(AP$59="X","",IF(AP$59&lt;&gt;"",AP$59,IF(IFERROR(INDEX(醫師週班表!$C$5:$T$44,$CU15,AP$57),"")=0,"",IF(MID(IFERROR(INDEX(醫師週班表!$C$5:$T$44,$CU15,AP$57),""),2,1)="/",MID(IFERROR(INDEX(醫師週班表!$C$5:$T$44,$CU15,AP$57),""),1+AP$58*2,1),IF(MID(IFERROR(INDEX(醫師週班表!$C$5:$T$44,$CU15,AP$57),""),3,1)="隔",IF(AP$58=0,LEFT(IFERROR(INDEX(醫師週班表!$C$5:$T$44,$CU15,AP$57),""),1),""),IF(MID(IFERROR(INDEX(醫師週班表!$C$5:$T$44,$CU15,AP$57),""),2,1)="(",LEFT(IFERROR(INDEX(醫師週班表!$C$5:$T$44,$CU15,AP$57),""),1),IFERROR(INDEX(醫師週班表!$C$5:$T$44,$CU15,AP$57),"")))))))</f>
        <v/>
      </c>
      <c r="AQ15" s="72">
        <f>IF(AQ$59="X","",IF(AQ$59&lt;&gt;"",AQ$59,IF(IFERROR(INDEX(醫師週班表!$C$5:$T$44,$CU15,AQ$57),"")=0,"",IF(MID(IFERROR(INDEX(醫師週班表!$C$5:$T$44,$CU15,AQ$57),""),2,1)="/",MID(IFERROR(INDEX(醫師週班表!$C$5:$T$44,$CU15,AQ$57),""),1+AQ$58*2,1),IF(MID(IFERROR(INDEX(醫師週班表!$C$5:$T$44,$CU15,AQ$57),""),3,1)="隔",IF(AQ$58=0,LEFT(IFERROR(INDEX(醫師週班表!$C$5:$T$44,$CU15,AQ$57),""),1),""),IF(MID(IFERROR(INDEX(醫師週班表!$C$5:$T$44,$CU15,AQ$57),""),2,1)="(",LEFT(IFERROR(INDEX(醫師週班表!$C$5:$T$44,$CU15,AQ$57),""),1),IFERROR(INDEX(醫師週班表!$C$5:$T$44,$CU15,AQ$57),"")))))))</f>
        <v/>
      </c>
      <c r="AR15" s="71">
        <f>IF(AR$59="X","",IF(AR$59&lt;&gt;"",AR$59,IF(IFERROR(INDEX(醫師週班表!$C$5:$T$44,$CU15,AR$57),"")=0,"",IF(MID(IFERROR(INDEX(醫師週班表!$C$5:$T$44,$CU15,AR$57),""),2,1)="/",MID(IFERROR(INDEX(醫師週班表!$C$5:$T$44,$CU15,AR$57),""),1+AR$58*2,1),IF(MID(IFERROR(INDEX(醫師週班表!$C$5:$T$44,$CU15,AR$57),""),3,1)="隔",IF(AR$58=0,LEFT(IFERROR(INDEX(醫師週班表!$C$5:$T$44,$CU15,AR$57),""),1),""),IF(MID(IFERROR(INDEX(醫師週班表!$C$5:$T$44,$CU15,AR$57),""),2,1)="(",LEFT(IFERROR(INDEX(醫師週班表!$C$5:$T$44,$CU15,AR$57),""),1),IFERROR(INDEX(醫師週班表!$C$5:$T$44,$CU15,AR$57),"")))))))</f>
        <v/>
      </c>
      <c r="AS15" s="72">
        <f>IF(AS$59="X","",IF(AS$59&lt;&gt;"",AS$59,IF(IFERROR(INDEX(醫師週班表!$C$5:$T$44,$CU15,AS$57),"")=0,"",IF(MID(IFERROR(INDEX(醫師週班表!$C$5:$T$44,$CU15,AS$57),""),2,1)="/",MID(IFERROR(INDEX(醫師週班表!$C$5:$T$44,$CU15,AS$57),""),1+AS$58*2,1),IF(MID(IFERROR(INDEX(醫師週班表!$C$5:$T$44,$CU15,AS$57),""),3,1)="隔",IF(AS$58=0,LEFT(IFERROR(INDEX(醫師週班表!$C$5:$T$44,$CU15,AS$57),""),1),""),IF(MID(IFERROR(INDEX(醫師週班表!$C$5:$T$44,$CU15,AS$57),""),2,1)="(",LEFT(IFERROR(INDEX(醫師週班表!$C$5:$T$44,$CU15,AS$57),""),1),IFERROR(INDEX(醫師週班表!$C$5:$T$44,$CU15,AS$57),"")))))))</f>
        <v/>
      </c>
      <c r="AT15" s="72">
        <f>IF(AT$59="X","",IF(AT$59&lt;&gt;"",AT$59,IF(IFERROR(INDEX(醫師週班表!$C$5:$T$44,$CU15,AT$57),"")=0,"",IF(MID(IFERROR(INDEX(醫師週班表!$C$5:$T$44,$CU15,AT$57),""),2,1)="/",MID(IFERROR(INDEX(醫師週班表!$C$5:$T$44,$CU15,AT$57),""),1+AT$58*2,1),IF(MID(IFERROR(INDEX(醫師週班表!$C$5:$T$44,$CU15,AT$57),""),3,1)="隔",IF(AT$58=0,LEFT(IFERROR(INDEX(醫師週班表!$C$5:$T$44,$CU15,AT$57),""),1),""),IF(MID(IFERROR(INDEX(醫師週班表!$C$5:$T$44,$CU15,AT$57),""),2,1)="(",LEFT(IFERROR(INDEX(醫師週班表!$C$5:$T$44,$CU15,AT$57),""),1),IFERROR(INDEX(醫師週班表!$C$5:$T$44,$CU15,AT$57),"")))))))</f>
        <v/>
      </c>
      <c r="AU15" s="71">
        <f>IF(AU$59="X","",IF(AU$59&lt;&gt;"",AU$59,IF(IFERROR(INDEX(醫師週班表!$C$5:$T$44,$CU15,AU$57),"")=0,"",IF(MID(IFERROR(INDEX(醫師週班表!$C$5:$T$44,$CU15,AU$57),""),2,1)="/",MID(IFERROR(INDEX(醫師週班表!$C$5:$T$44,$CU15,AU$57),""),1+AU$58*2,1),IF(MID(IFERROR(INDEX(醫師週班表!$C$5:$T$44,$CU15,AU$57),""),3,1)="隔",IF(AU$58=0,LEFT(IFERROR(INDEX(醫師週班表!$C$5:$T$44,$CU15,AU$57),""),1),""),IF(MID(IFERROR(INDEX(醫師週班表!$C$5:$T$44,$CU15,AU$57),""),2,1)="(",LEFT(IFERROR(INDEX(醫師週班表!$C$5:$T$44,$CU15,AU$57),""),1),IFERROR(INDEX(醫師週班表!$C$5:$T$44,$CU15,AU$57),"")))))))</f>
        <v/>
      </c>
      <c r="AV15" s="72">
        <f>IF(AV$59="X","",IF(AV$59&lt;&gt;"",AV$59,IF(IFERROR(INDEX(醫師週班表!$C$5:$T$44,$CU15,AV$57),"")=0,"",IF(MID(IFERROR(INDEX(醫師週班表!$C$5:$T$44,$CU15,AV$57),""),2,1)="/",MID(IFERROR(INDEX(醫師週班表!$C$5:$T$44,$CU15,AV$57),""),1+AV$58*2,1),IF(MID(IFERROR(INDEX(醫師週班表!$C$5:$T$44,$CU15,AV$57),""),3,1)="隔",IF(AV$58=0,LEFT(IFERROR(INDEX(醫師週班表!$C$5:$T$44,$CU15,AV$57),""),1),""),IF(MID(IFERROR(INDEX(醫師週班表!$C$5:$T$44,$CU15,AV$57),""),2,1)="(",LEFT(IFERROR(INDEX(醫師週班表!$C$5:$T$44,$CU15,AV$57),""),1),IFERROR(INDEX(醫師週班表!$C$5:$T$44,$CU15,AV$57),"")))))))</f>
        <v/>
      </c>
      <c r="AW15" s="72">
        <f>IF(AW$59="X","",IF(AW$59&lt;&gt;"",AW$59,IF(IFERROR(INDEX(醫師週班表!$C$5:$T$44,$CU15,AW$57),"")=0,"",IF(MID(IFERROR(INDEX(醫師週班表!$C$5:$T$44,$CU15,AW$57),""),2,1)="/",MID(IFERROR(INDEX(醫師週班表!$C$5:$T$44,$CU15,AW$57),""),1+AW$58*2,1),IF(MID(IFERROR(INDEX(醫師週班表!$C$5:$T$44,$CU15,AW$57),""),3,1)="隔",IF(AW$58=0,LEFT(IFERROR(INDEX(醫師週班表!$C$5:$T$44,$CU15,AW$57),""),1),""),IF(MID(IFERROR(INDEX(醫師週班表!$C$5:$T$44,$CU15,AW$57),""),2,1)="(",LEFT(IFERROR(INDEX(醫師週班表!$C$5:$T$44,$CU15,AW$57),""),1),IFERROR(INDEX(醫師週班表!$C$5:$T$44,$CU15,AW$57),"")))))))</f>
        <v/>
      </c>
      <c r="AX15" s="71">
        <f>IF(AX$59="X","",IF(AX$59&lt;&gt;"",AX$59,IF(IFERROR(INDEX(醫師週班表!$C$5:$T$44,$CU15,AX$57),"")=0,"",IF(MID(IFERROR(INDEX(醫師週班表!$C$5:$T$44,$CU15,AX$57),""),2,1)="/",MID(IFERROR(INDEX(醫師週班表!$C$5:$T$44,$CU15,AX$57),""),1+AX$58*2,1),IF(MID(IFERROR(INDEX(醫師週班表!$C$5:$T$44,$CU15,AX$57),""),3,1)="隔",IF(AX$58=0,LEFT(IFERROR(INDEX(醫師週班表!$C$5:$T$44,$CU15,AX$57),""),1),""),IF(MID(IFERROR(INDEX(醫師週班表!$C$5:$T$44,$CU15,AX$57),""),2,1)="(",LEFT(IFERROR(INDEX(醫師週班表!$C$5:$T$44,$CU15,AX$57),""),1),IFERROR(INDEX(醫師週班表!$C$5:$T$44,$CU15,AX$57),"")))))))</f>
        <v/>
      </c>
      <c r="AY15" s="72">
        <f>IF(AY$59="X","",IF(AY$59&lt;&gt;"",AY$59,IF(IFERROR(INDEX(醫師週班表!$C$5:$T$44,$CU15,AY$57),"")=0,"",IF(MID(IFERROR(INDEX(醫師週班表!$C$5:$T$44,$CU15,AY$57),""),2,1)="/",MID(IFERROR(INDEX(醫師週班表!$C$5:$T$44,$CU15,AY$57),""),1+AY$58*2,1),IF(MID(IFERROR(INDEX(醫師週班表!$C$5:$T$44,$CU15,AY$57),""),3,1)="隔",IF(AY$58=0,LEFT(IFERROR(INDEX(醫師週班表!$C$5:$T$44,$CU15,AY$57),""),1),""),IF(MID(IFERROR(INDEX(醫師週班表!$C$5:$T$44,$CU15,AY$57),""),2,1)="(",LEFT(IFERROR(INDEX(醫師週班表!$C$5:$T$44,$CU15,AY$57),""),1),IFERROR(INDEX(醫師週班表!$C$5:$T$44,$CU15,AY$57),"")))))))</f>
        <v/>
      </c>
      <c r="AZ15" s="72">
        <f>IF(AZ$59="X","",IF(AZ$59&lt;&gt;"",AZ$59,IF(IFERROR(INDEX(醫師週班表!$C$5:$T$44,$CU15,AZ$57),"")=0,"",IF(MID(IFERROR(INDEX(醫師週班表!$C$5:$T$44,$CU15,AZ$57),""),2,1)="/",MID(IFERROR(INDEX(醫師週班表!$C$5:$T$44,$CU15,AZ$57),""),1+AZ$58*2,1),IF(MID(IFERROR(INDEX(醫師週班表!$C$5:$T$44,$CU15,AZ$57),""),3,1)="隔",IF(AZ$58=0,LEFT(IFERROR(INDEX(醫師週班表!$C$5:$T$44,$CU15,AZ$57),""),1),""),IF(MID(IFERROR(INDEX(醫師週班表!$C$5:$T$44,$CU15,AZ$57),""),2,1)="(",LEFT(IFERROR(INDEX(醫師週班表!$C$5:$T$44,$CU15,AZ$57),""),1),IFERROR(INDEX(醫師週班表!$C$5:$T$44,$CU15,AZ$57),"")))))))</f>
        <v/>
      </c>
      <c r="BA15" s="71">
        <f>IF(BA$59="X","",IF(BA$59&lt;&gt;"",BA$59,IF(IFERROR(INDEX(醫師週班表!$C$5:$T$44,$CU15,BA$57),"")=0,"",IF(MID(IFERROR(INDEX(醫師週班表!$C$5:$T$44,$CU15,BA$57),""),2,1)="/",MID(IFERROR(INDEX(醫師週班表!$C$5:$T$44,$CU15,BA$57),""),1+BA$58*2,1),IF(MID(IFERROR(INDEX(醫師週班表!$C$5:$T$44,$CU15,BA$57),""),3,1)="隔",IF(BA$58=0,LEFT(IFERROR(INDEX(醫師週班表!$C$5:$T$44,$CU15,BA$57),""),1),""),IF(MID(IFERROR(INDEX(醫師週班表!$C$5:$T$44,$CU15,BA$57),""),2,1)="(",LEFT(IFERROR(INDEX(醫師週班表!$C$5:$T$44,$CU15,BA$57),""),1),IFERROR(INDEX(醫師週班表!$C$5:$T$44,$CU15,BA$57),"")))))))</f>
        <v/>
      </c>
      <c r="BB15" s="72">
        <f>IF(BB$59="X","",IF(BB$59&lt;&gt;"",BB$59,IF(IFERROR(INDEX(醫師週班表!$C$5:$T$44,$CU15,BB$57),"")=0,"",IF(MID(IFERROR(INDEX(醫師週班表!$C$5:$T$44,$CU15,BB$57),""),2,1)="/",MID(IFERROR(INDEX(醫師週班表!$C$5:$T$44,$CU15,BB$57),""),1+BB$58*2,1),IF(MID(IFERROR(INDEX(醫師週班表!$C$5:$T$44,$CU15,BB$57),""),3,1)="隔",IF(BB$58=0,LEFT(IFERROR(INDEX(醫師週班表!$C$5:$T$44,$CU15,BB$57),""),1),""),IF(MID(IFERROR(INDEX(醫師週班表!$C$5:$T$44,$CU15,BB$57),""),2,1)="(",LEFT(IFERROR(INDEX(醫師週班表!$C$5:$T$44,$CU15,BB$57),""),1),IFERROR(INDEX(醫師週班表!$C$5:$T$44,$CU15,BB$57),"")))))))</f>
        <v/>
      </c>
      <c r="BC15" s="72">
        <f>IF(BC$59="X","",IF(BC$59&lt;&gt;"",BC$59,IF(IFERROR(INDEX(醫師週班表!$C$5:$T$44,$CU15,BC$57),"")=0,"",IF(MID(IFERROR(INDEX(醫師週班表!$C$5:$T$44,$CU15,BC$57),""),2,1)="/",MID(IFERROR(INDEX(醫師週班表!$C$5:$T$44,$CU15,BC$57),""),1+BC$58*2,1),IF(MID(IFERROR(INDEX(醫師週班表!$C$5:$T$44,$CU15,BC$57),""),3,1)="隔",IF(BC$58=0,LEFT(IFERROR(INDEX(醫師週班表!$C$5:$T$44,$CU15,BC$57),""),1),""),IF(MID(IFERROR(INDEX(醫師週班表!$C$5:$T$44,$CU15,BC$57),""),2,1)="(",LEFT(IFERROR(INDEX(醫師週班表!$C$5:$T$44,$CU15,BC$57),""),1),IFERROR(INDEX(醫師週班表!$C$5:$T$44,$CU15,BC$57),"")))))))</f>
        <v/>
      </c>
      <c r="BD15" s="71">
        <f>IF(BD$59="X","",IF(BD$59&lt;&gt;"",BD$59,IF(IFERROR(INDEX(醫師週班表!$C$5:$T$44,$CU15,BD$57),"")=0,"",IF(MID(IFERROR(INDEX(醫師週班表!$C$5:$T$44,$CU15,BD$57),""),2,1)="/",MID(IFERROR(INDEX(醫師週班表!$C$5:$T$44,$CU15,BD$57),""),1+BD$58*2,1),IF(MID(IFERROR(INDEX(醫師週班表!$C$5:$T$44,$CU15,BD$57),""),3,1)="隔",IF(BD$58=0,LEFT(IFERROR(INDEX(醫師週班表!$C$5:$T$44,$CU15,BD$57),""),1),""),IF(MID(IFERROR(INDEX(醫師週班表!$C$5:$T$44,$CU15,BD$57),""),2,1)="(",LEFT(IFERROR(INDEX(醫師週班表!$C$5:$T$44,$CU15,BD$57),""),1),IFERROR(INDEX(醫師週班表!$C$5:$T$44,$CU15,BD$57),"")))))))</f>
        <v/>
      </c>
      <c r="BE15" s="72">
        <f>IF(BE$59="X","",IF(BE$59&lt;&gt;"",BE$59,IF(IFERROR(INDEX(醫師週班表!$C$5:$T$44,$CU15,BE$57),"")=0,"",IF(MID(IFERROR(INDEX(醫師週班表!$C$5:$T$44,$CU15,BE$57),""),2,1)="/",MID(IFERROR(INDEX(醫師週班表!$C$5:$T$44,$CU15,BE$57),""),1+BE$58*2,1),IF(MID(IFERROR(INDEX(醫師週班表!$C$5:$T$44,$CU15,BE$57),""),3,1)="隔",IF(BE$58=0,LEFT(IFERROR(INDEX(醫師週班表!$C$5:$T$44,$CU15,BE$57),""),1),""),IF(MID(IFERROR(INDEX(醫師週班表!$C$5:$T$44,$CU15,BE$57),""),2,1)="(",LEFT(IFERROR(INDEX(醫師週班表!$C$5:$T$44,$CU15,BE$57),""),1),IFERROR(INDEX(醫師週班表!$C$5:$T$44,$CU15,BE$57),"")))))))</f>
        <v/>
      </c>
      <c r="BF15" s="72">
        <f>IF(BF$59="X","",IF(BF$59&lt;&gt;"",BF$59,IF(IFERROR(INDEX(醫師週班表!$C$5:$T$44,$CU15,BF$57),"")=0,"",IF(MID(IFERROR(INDEX(醫師週班表!$C$5:$T$44,$CU15,BF$57),""),2,1)="/",MID(IFERROR(INDEX(醫師週班表!$C$5:$T$44,$CU15,BF$57),""),1+BF$58*2,1),IF(MID(IFERROR(INDEX(醫師週班表!$C$5:$T$44,$CU15,BF$57),""),3,1)="隔",IF(BF$58=0,LEFT(IFERROR(INDEX(醫師週班表!$C$5:$T$44,$CU15,BF$57),""),1),""),IF(MID(IFERROR(INDEX(醫師週班表!$C$5:$T$44,$CU15,BF$57),""),2,1)="(",LEFT(IFERROR(INDEX(醫師週班表!$C$5:$T$44,$CU15,BF$57),""),1),IFERROR(INDEX(醫師週班表!$C$5:$T$44,$CU15,BF$57),"")))))))</f>
        <v/>
      </c>
      <c r="BG15" s="71">
        <f>IF(BG$59="X","",IF(BG$59&lt;&gt;"",BG$59,IF(IFERROR(INDEX(醫師週班表!$C$5:$T$44,$CU15,BG$57),"")=0,"",IF(MID(IFERROR(INDEX(醫師週班表!$C$5:$T$44,$CU15,BG$57),""),2,1)="/",MID(IFERROR(INDEX(醫師週班表!$C$5:$T$44,$CU15,BG$57),""),1+BG$58*2,1),IF(MID(IFERROR(INDEX(醫師週班表!$C$5:$T$44,$CU15,BG$57),""),3,1)="隔",IF(BG$58=0,LEFT(IFERROR(INDEX(醫師週班表!$C$5:$T$44,$CU15,BG$57),""),1),""),IF(MID(IFERROR(INDEX(醫師週班表!$C$5:$T$44,$CU15,BG$57),""),2,1)="(",LEFT(IFERROR(INDEX(醫師週班表!$C$5:$T$44,$CU15,BG$57),""),1),IFERROR(INDEX(醫師週班表!$C$5:$T$44,$CU15,BG$57),"")))))))</f>
        <v/>
      </c>
      <c r="BH15" s="72">
        <f>IF(BH$59="X","",IF(BH$59&lt;&gt;"",BH$59,IF(IFERROR(INDEX(醫師週班表!$C$5:$T$44,$CU15,BH$57),"")=0,"",IF(MID(IFERROR(INDEX(醫師週班表!$C$5:$T$44,$CU15,BH$57),""),2,1)="/",MID(IFERROR(INDEX(醫師週班表!$C$5:$T$44,$CU15,BH$57),""),1+BH$58*2,1),IF(MID(IFERROR(INDEX(醫師週班表!$C$5:$T$44,$CU15,BH$57),""),3,1)="隔",IF(BH$58=0,LEFT(IFERROR(INDEX(醫師週班表!$C$5:$T$44,$CU15,BH$57),""),1),""),IF(MID(IFERROR(INDEX(醫師週班表!$C$5:$T$44,$CU15,BH$57),""),2,1)="(",LEFT(IFERROR(INDEX(醫師週班表!$C$5:$T$44,$CU15,BH$57),""),1),IFERROR(INDEX(醫師週班表!$C$5:$T$44,$CU15,BH$57),"")))))))</f>
        <v/>
      </c>
      <c r="BI15" s="72">
        <f>IF(BI$59="X","",IF(BI$59&lt;&gt;"",BI$59,IF(IFERROR(INDEX(醫師週班表!$C$5:$T$44,$CU15,BI$57),"")=0,"",IF(MID(IFERROR(INDEX(醫師週班表!$C$5:$T$44,$CU15,BI$57),""),2,1)="/",MID(IFERROR(INDEX(醫師週班表!$C$5:$T$44,$CU15,BI$57),""),1+BI$58*2,1),IF(MID(IFERROR(INDEX(醫師週班表!$C$5:$T$44,$CU15,BI$57),""),3,1)="隔",IF(BI$58=0,LEFT(IFERROR(INDEX(醫師週班表!$C$5:$T$44,$CU15,BI$57),""),1),""),IF(MID(IFERROR(INDEX(醫師週班表!$C$5:$T$44,$CU15,BI$57),""),2,1)="(",LEFT(IFERROR(INDEX(醫師週班表!$C$5:$T$44,$CU15,BI$57),""),1),IFERROR(INDEX(醫師週班表!$C$5:$T$44,$CU15,BI$57),"")))))))</f>
        <v/>
      </c>
      <c r="BJ15" s="71">
        <f>IF(BJ$59="X","",IF(BJ$59&lt;&gt;"",BJ$59,IF(IFERROR(INDEX(醫師週班表!$C$5:$T$44,$CU15,BJ$57),"")=0,"",IF(MID(IFERROR(INDEX(醫師週班表!$C$5:$T$44,$CU15,BJ$57),""),2,1)="/",MID(IFERROR(INDEX(醫師週班表!$C$5:$T$44,$CU15,BJ$57),""),1+BJ$58*2,1),IF(MID(IFERROR(INDEX(醫師週班表!$C$5:$T$44,$CU15,BJ$57),""),3,1)="隔",IF(BJ$58=0,LEFT(IFERROR(INDEX(醫師週班表!$C$5:$T$44,$CU15,BJ$57),""),1),""),IF(MID(IFERROR(INDEX(醫師週班表!$C$5:$T$44,$CU15,BJ$57),""),2,1)="(",LEFT(IFERROR(INDEX(醫師週班表!$C$5:$T$44,$CU15,BJ$57),""),1),IFERROR(INDEX(醫師週班表!$C$5:$T$44,$CU15,BJ$57),"")))))))</f>
        <v/>
      </c>
      <c r="BK15" s="72">
        <f>IF(BK$59="X","",IF(BK$59&lt;&gt;"",BK$59,IF(IFERROR(INDEX(醫師週班表!$C$5:$T$44,$CU15,BK$57),"")=0,"",IF(MID(IFERROR(INDEX(醫師週班表!$C$5:$T$44,$CU15,BK$57),""),2,1)="/",MID(IFERROR(INDEX(醫師週班表!$C$5:$T$44,$CU15,BK$57),""),1+BK$58*2,1),IF(MID(IFERROR(INDEX(醫師週班表!$C$5:$T$44,$CU15,BK$57),""),3,1)="隔",IF(BK$58=0,LEFT(IFERROR(INDEX(醫師週班表!$C$5:$T$44,$CU15,BK$57),""),1),""),IF(MID(IFERROR(INDEX(醫師週班表!$C$5:$T$44,$CU15,BK$57),""),2,1)="(",LEFT(IFERROR(INDEX(醫師週班表!$C$5:$T$44,$CU15,BK$57),""),1),IFERROR(INDEX(醫師週班表!$C$5:$T$44,$CU15,BK$57),"")))))))</f>
        <v/>
      </c>
      <c r="BL15" s="72">
        <f>IF(BL$59="X","",IF(BL$59&lt;&gt;"",BL$59,IF(IFERROR(INDEX(醫師週班表!$C$5:$T$44,$CU15,BL$57),"")=0,"",IF(MID(IFERROR(INDEX(醫師週班表!$C$5:$T$44,$CU15,BL$57),""),2,1)="/",MID(IFERROR(INDEX(醫師週班表!$C$5:$T$44,$CU15,BL$57),""),1+BL$58*2,1),IF(MID(IFERROR(INDEX(醫師週班表!$C$5:$T$44,$CU15,BL$57),""),3,1)="隔",IF(BL$58=0,LEFT(IFERROR(INDEX(醫師週班表!$C$5:$T$44,$CU15,BL$57),""),1),""),IF(MID(IFERROR(INDEX(醫師週班表!$C$5:$T$44,$CU15,BL$57),""),2,1)="(",LEFT(IFERROR(INDEX(醫師週班表!$C$5:$T$44,$CU15,BL$57),""),1),IFERROR(INDEX(醫師週班表!$C$5:$T$44,$CU15,BL$57),"")))))))</f>
        <v/>
      </c>
      <c r="BM15" s="71">
        <f>IF(BM$59="X","",IF(BM$59&lt;&gt;"",BM$59,IF(IFERROR(INDEX(醫師週班表!$C$5:$T$44,$CU15,BM$57),"")=0,"",IF(MID(IFERROR(INDEX(醫師週班表!$C$5:$T$44,$CU15,BM$57),""),2,1)="/",MID(IFERROR(INDEX(醫師週班表!$C$5:$T$44,$CU15,BM$57),""),1+BM$58*2,1),IF(MID(IFERROR(INDEX(醫師週班表!$C$5:$T$44,$CU15,BM$57),""),3,1)="隔",IF(BM$58=0,LEFT(IFERROR(INDEX(醫師週班表!$C$5:$T$44,$CU15,BM$57),""),1),""),IF(MID(IFERROR(INDEX(醫師週班表!$C$5:$T$44,$CU15,BM$57),""),2,1)="(",LEFT(IFERROR(INDEX(醫師週班表!$C$5:$T$44,$CU15,BM$57),""),1),IFERROR(INDEX(醫師週班表!$C$5:$T$44,$CU15,BM$57),"")))))))</f>
        <v/>
      </c>
      <c r="BN15" s="72">
        <f>IF(BN$59="X","",IF(BN$59&lt;&gt;"",BN$59,IF(IFERROR(INDEX(醫師週班表!$C$5:$T$44,$CU15,BN$57),"")=0,"",IF(MID(IFERROR(INDEX(醫師週班表!$C$5:$T$44,$CU15,BN$57),""),2,1)="/",MID(IFERROR(INDEX(醫師週班表!$C$5:$T$44,$CU15,BN$57),""),1+BN$58*2,1),IF(MID(IFERROR(INDEX(醫師週班表!$C$5:$T$44,$CU15,BN$57),""),3,1)="隔",IF(BN$58=0,LEFT(IFERROR(INDEX(醫師週班表!$C$5:$T$44,$CU15,BN$57),""),1),""),IF(MID(IFERROR(INDEX(醫師週班表!$C$5:$T$44,$CU15,BN$57),""),2,1)="(",LEFT(IFERROR(INDEX(醫師週班表!$C$5:$T$44,$CU15,BN$57),""),1),IFERROR(INDEX(醫師週班表!$C$5:$T$44,$CU15,BN$57),"")))))))</f>
        <v/>
      </c>
      <c r="BO15" s="72">
        <f>IF(BO$59="X","",IF(BO$59&lt;&gt;"",BO$59,IF(IFERROR(INDEX(醫師週班表!$C$5:$T$44,$CU15,BO$57),"")=0,"",IF(MID(IFERROR(INDEX(醫師週班表!$C$5:$T$44,$CU15,BO$57),""),2,1)="/",MID(IFERROR(INDEX(醫師週班表!$C$5:$T$44,$CU15,BO$57),""),1+BO$58*2,1),IF(MID(IFERROR(INDEX(醫師週班表!$C$5:$T$44,$CU15,BO$57),""),3,1)="隔",IF(BO$58=0,LEFT(IFERROR(INDEX(醫師週班表!$C$5:$T$44,$CU15,BO$57),""),1),""),IF(MID(IFERROR(INDEX(醫師週班表!$C$5:$T$44,$CU15,BO$57),""),2,1)="(",LEFT(IFERROR(INDEX(醫師週班表!$C$5:$T$44,$CU15,BO$57),""),1),IFERROR(INDEX(醫師週班表!$C$5:$T$44,$CU15,BO$57),"")))))))</f>
        <v/>
      </c>
      <c r="BP15" s="71">
        <f>IF(BP$59="X","",IF(BP$59&lt;&gt;"",BP$59,IF(IFERROR(INDEX(醫師週班表!$C$5:$T$44,$CU15,BP$57),"")=0,"",IF(MID(IFERROR(INDEX(醫師週班表!$C$5:$T$44,$CU15,BP$57),""),2,1)="/",MID(IFERROR(INDEX(醫師週班表!$C$5:$T$44,$CU15,BP$57),""),1+BP$58*2,1),IF(MID(IFERROR(INDEX(醫師週班表!$C$5:$T$44,$CU15,BP$57),""),3,1)="隔",IF(BP$58=0,LEFT(IFERROR(INDEX(醫師週班表!$C$5:$T$44,$CU15,BP$57),""),1),""),IF(MID(IFERROR(INDEX(醫師週班表!$C$5:$T$44,$CU15,BP$57),""),2,1)="(",LEFT(IFERROR(INDEX(醫師週班表!$C$5:$T$44,$CU15,BP$57),""),1),IFERROR(INDEX(醫師週班表!$C$5:$T$44,$CU15,BP$57),"")))))))</f>
        <v/>
      </c>
      <c r="BQ15" s="72">
        <f>IF(BQ$59="X","",IF(BQ$59&lt;&gt;"",BQ$59,IF(IFERROR(INDEX(醫師週班表!$C$5:$T$44,$CU15,BQ$57),"")=0,"",IF(MID(IFERROR(INDEX(醫師週班表!$C$5:$T$44,$CU15,BQ$57),""),2,1)="/",MID(IFERROR(INDEX(醫師週班表!$C$5:$T$44,$CU15,BQ$57),""),1+BQ$58*2,1),IF(MID(IFERROR(INDEX(醫師週班表!$C$5:$T$44,$CU15,BQ$57),""),3,1)="隔",IF(BQ$58=0,LEFT(IFERROR(INDEX(醫師週班表!$C$5:$T$44,$CU15,BQ$57),""),1),""),IF(MID(IFERROR(INDEX(醫師週班表!$C$5:$T$44,$CU15,BQ$57),""),2,1)="(",LEFT(IFERROR(INDEX(醫師週班表!$C$5:$T$44,$CU15,BQ$57),""),1),IFERROR(INDEX(醫師週班表!$C$5:$T$44,$CU15,BQ$57),"")))))))</f>
        <v/>
      </c>
      <c r="BR15" s="72">
        <f>IF(BR$59="X","",IF(BR$59&lt;&gt;"",BR$59,IF(IFERROR(INDEX(醫師週班表!$C$5:$T$44,$CU15,BR$57),"")=0,"",IF(MID(IFERROR(INDEX(醫師週班表!$C$5:$T$44,$CU15,BR$57),""),2,1)="/",MID(IFERROR(INDEX(醫師週班表!$C$5:$T$44,$CU15,BR$57),""),1+BR$58*2,1),IF(MID(IFERROR(INDEX(醫師週班表!$C$5:$T$44,$CU15,BR$57),""),3,1)="隔",IF(BR$58=0,LEFT(IFERROR(INDEX(醫師週班表!$C$5:$T$44,$CU15,BR$57),""),1),""),IF(MID(IFERROR(INDEX(醫師週班表!$C$5:$T$44,$CU15,BR$57),""),2,1)="(",LEFT(IFERROR(INDEX(醫師週班表!$C$5:$T$44,$CU15,BR$57),""),1),IFERROR(INDEX(醫師週班表!$C$5:$T$44,$CU15,BR$57),"")))))))</f>
        <v/>
      </c>
      <c r="BS15" s="71">
        <f>IF(BS$59="X","",IF(BS$59&lt;&gt;"",BS$59,IF(IFERROR(INDEX(醫師週班表!$C$5:$T$44,$CU15,BS$57),"")=0,"",IF(MID(IFERROR(INDEX(醫師週班表!$C$5:$T$44,$CU15,BS$57),""),2,1)="/",MID(IFERROR(INDEX(醫師週班表!$C$5:$T$44,$CU15,BS$57),""),1+BS$58*2,1),IF(MID(IFERROR(INDEX(醫師週班表!$C$5:$T$44,$CU15,BS$57),""),3,1)="隔",IF(BS$58=0,LEFT(IFERROR(INDEX(醫師週班表!$C$5:$T$44,$CU15,BS$57),""),1),""),IF(MID(IFERROR(INDEX(醫師週班表!$C$5:$T$44,$CU15,BS$57),""),2,1)="(",LEFT(IFERROR(INDEX(醫師週班表!$C$5:$T$44,$CU15,BS$57),""),1),IFERROR(INDEX(醫師週班表!$C$5:$T$44,$CU15,BS$57),"")))))))</f>
        <v/>
      </c>
      <c r="BT15" s="72">
        <f>IF(BT$59="X","",IF(BT$59&lt;&gt;"",BT$59,IF(IFERROR(INDEX(醫師週班表!$C$5:$T$44,$CU15,BT$57),"")=0,"",IF(MID(IFERROR(INDEX(醫師週班表!$C$5:$T$44,$CU15,BT$57),""),2,1)="/",MID(IFERROR(INDEX(醫師週班表!$C$5:$T$44,$CU15,BT$57),""),1+BT$58*2,1),IF(MID(IFERROR(INDEX(醫師週班表!$C$5:$T$44,$CU15,BT$57),""),3,1)="隔",IF(BT$58=0,LEFT(IFERROR(INDEX(醫師週班表!$C$5:$T$44,$CU15,BT$57),""),1),""),IF(MID(IFERROR(INDEX(醫師週班表!$C$5:$T$44,$CU15,BT$57),""),2,1)="(",LEFT(IFERROR(INDEX(醫師週班表!$C$5:$T$44,$CU15,BT$57),""),1),IFERROR(INDEX(醫師週班表!$C$5:$T$44,$CU15,BT$57),"")))))))</f>
        <v/>
      </c>
      <c r="BU15" s="72">
        <f>IF(BU$59="X","",IF(BU$59&lt;&gt;"",BU$59,IF(IFERROR(INDEX(醫師週班表!$C$5:$T$44,$CU15,BU$57),"")=0,"",IF(MID(IFERROR(INDEX(醫師週班表!$C$5:$T$44,$CU15,BU$57),""),2,1)="/",MID(IFERROR(INDEX(醫師週班表!$C$5:$T$44,$CU15,BU$57),""),1+BU$58*2,1),IF(MID(IFERROR(INDEX(醫師週班表!$C$5:$T$44,$CU15,BU$57),""),3,1)="隔",IF(BU$58=0,LEFT(IFERROR(INDEX(醫師週班表!$C$5:$T$44,$CU15,BU$57),""),1),""),IF(MID(IFERROR(INDEX(醫師週班表!$C$5:$T$44,$CU15,BU$57),""),2,1)="(",LEFT(IFERROR(INDEX(醫師週班表!$C$5:$T$44,$CU15,BU$57),""),1),IFERROR(INDEX(醫師週班表!$C$5:$T$44,$CU15,BU$57),"")))))))</f>
        <v/>
      </c>
      <c r="BV15" s="71">
        <f>IF(BV$59="X","",IF(BV$59&lt;&gt;"",BV$59,IF(IFERROR(INDEX(醫師週班表!$C$5:$T$44,$CU15,BV$57),"")=0,"",IF(MID(IFERROR(INDEX(醫師週班表!$C$5:$T$44,$CU15,BV$57),""),2,1)="/",MID(IFERROR(INDEX(醫師週班表!$C$5:$T$44,$CU15,BV$57),""),1+BV$58*2,1),IF(MID(IFERROR(INDEX(醫師週班表!$C$5:$T$44,$CU15,BV$57),""),3,1)="隔",IF(BV$58=0,LEFT(IFERROR(INDEX(醫師週班表!$C$5:$T$44,$CU15,BV$57),""),1),""),IF(MID(IFERROR(INDEX(醫師週班表!$C$5:$T$44,$CU15,BV$57),""),2,1)="(",LEFT(IFERROR(INDEX(醫師週班表!$C$5:$T$44,$CU15,BV$57),""),1),IFERROR(INDEX(醫師週班表!$C$5:$T$44,$CU15,BV$57),"")))))))</f>
        <v/>
      </c>
      <c r="BW15" s="72">
        <f>IF(BW$59="X","",IF(BW$59&lt;&gt;"",BW$59,IF(IFERROR(INDEX(醫師週班表!$C$5:$T$44,$CU15,BW$57),"")=0,"",IF(MID(IFERROR(INDEX(醫師週班表!$C$5:$T$44,$CU15,BW$57),""),2,1)="/",MID(IFERROR(INDEX(醫師週班表!$C$5:$T$44,$CU15,BW$57),""),1+BW$58*2,1),IF(MID(IFERROR(INDEX(醫師週班表!$C$5:$T$44,$CU15,BW$57),""),3,1)="隔",IF(BW$58=0,LEFT(IFERROR(INDEX(醫師週班表!$C$5:$T$44,$CU15,BW$57),""),1),""),IF(MID(IFERROR(INDEX(醫師週班表!$C$5:$T$44,$CU15,BW$57),""),2,1)="(",LEFT(IFERROR(INDEX(醫師週班表!$C$5:$T$44,$CU15,BW$57),""),1),IFERROR(INDEX(醫師週班表!$C$5:$T$44,$CU15,BW$57),"")))))))</f>
        <v/>
      </c>
      <c r="BX15" s="72">
        <f>IF(BX$59="X","",IF(BX$59&lt;&gt;"",BX$59,IF(IFERROR(INDEX(醫師週班表!$C$5:$T$44,$CU15,BX$57),"")=0,"",IF(MID(IFERROR(INDEX(醫師週班表!$C$5:$T$44,$CU15,BX$57),""),2,1)="/",MID(IFERROR(INDEX(醫師週班表!$C$5:$T$44,$CU15,BX$57),""),1+BX$58*2,1),IF(MID(IFERROR(INDEX(醫師週班表!$C$5:$T$44,$CU15,BX$57),""),3,1)="隔",IF(BX$58=0,LEFT(IFERROR(INDEX(醫師週班表!$C$5:$T$44,$CU15,BX$57),""),1),""),IF(MID(IFERROR(INDEX(醫師週班表!$C$5:$T$44,$CU15,BX$57),""),2,1)="(",LEFT(IFERROR(INDEX(醫師週班表!$C$5:$T$44,$CU15,BX$57),""),1),IFERROR(INDEX(醫師週班表!$C$5:$T$44,$CU15,BX$57),"")))))))</f>
        <v/>
      </c>
      <c r="BY15" s="71">
        <f>IF(BY$59="X","",IF(BY$59&lt;&gt;"",BY$59,IF(IFERROR(INDEX(醫師週班表!$C$5:$T$44,$CU15,BY$57),"")=0,"",IF(MID(IFERROR(INDEX(醫師週班表!$C$5:$T$44,$CU15,BY$57),""),2,1)="/",MID(IFERROR(INDEX(醫師週班表!$C$5:$T$44,$CU15,BY$57),""),1+BY$58*2,1),IF(MID(IFERROR(INDEX(醫師週班表!$C$5:$T$44,$CU15,BY$57),""),3,1)="隔",IF(BY$58=0,LEFT(IFERROR(INDEX(醫師週班表!$C$5:$T$44,$CU15,BY$57),""),1),""),IF(MID(IFERROR(INDEX(醫師週班表!$C$5:$T$44,$CU15,BY$57),""),2,1)="(",LEFT(IFERROR(INDEX(醫師週班表!$C$5:$T$44,$CU15,BY$57),""),1),IFERROR(INDEX(醫師週班表!$C$5:$T$44,$CU15,BY$57),"")))))))</f>
        <v/>
      </c>
      <c r="BZ15" s="72">
        <f>IF(BZ$59="X","",IF(BZ$59&lt;&gt;"",BZ$59,IF(IFERROR(INDEX(醫師週班表!$C$5:$T$44,$CU15,BZ$57),"")=0,"",IF(MID(IFERROR(INDEX(醫師週班表!$C$5:$T$44,$CU15,BZ$57),""),2,1)="/",MID(IFERROR(INDEX(醫師週班表!$C$5:$T$44,$CU15,BZ$57),""),1+BZ$58*2,1),IF(MID(IFERROR(INDEX(醫師週班表!$C$5:$T$44,$CU15,BZ$57),""),3,1)="隔",IF(BZ$58=0,LEFT(IFERROR(INDEX(醫師週班表!$C$5:$T$44,$CU15,BZ$57),""),1),""),IF(MID(IFERROR(INDEX(醫師週班表!$C$5:$T$44,$CU15,BZ$57),""),2,1)="(",LEFT(IFERROR(INDEX(醫師週班表!$C$5:$T$44,$CU15,BZ$57),""),1),IFERROR(INDEX(醫師週班表!$C$5:$T$44,$CU15,BZ$57),"")))))))</f>
        <v/>
      </c>
      <c r="CA15" s="72">
        <f>IF(CA$59="X","",IF(CA$59&lt;&gt;"",CA$59,IF(IFERROR(INDEX(醫師週班表!$C$5:$T$44,$CU15,CA$57),"")=0,"",IF(MID(IFERROR(INDEX(醫師週班表!$C$5:$T$44,$CU15,CA$57),""),2,1)="/",MID(IFERROR(INDEX(醫師週班表!$C$5:$T$44,$CU15,CA$57),""),1+CA$58*2,1),IF(MID(IFERROR(INDEX(醫師週班表!$C$5:$T$44,$CU15,CA$57),""),3,1)="隔",IF(CA$58=0,LEFT(IFERROR(INDEX(醫師週班表!$C$5:$T$44,$CU15,CA$57),""),1),""),IF(MID(IFERROR(INDEX(醫師週班表!$C$5:$T$44,$CU15,CA$57),""),2,1)="(",LEFT(IFERROR(INDEX(醫師週班表!$C$5:$T$44,$CU15,CA$57),""),1),IFERROR(INDEX(醫師週班表!$C$5:$T$44,$CU15,CA$57),"")))))))</f>
        <v/>
      </c>
      <c r="CB15" s="71">
        <f>IF(CB$59="X","",IF(CB$59&lt;&gt;"",CB$59,IF(IFERROR(INDEX(醫師週班表!$C$5:$T$44,$CU15,CB$57),"")=0,"",IF(MID(IFERROR(INDEX(醫師週班表!$C$5:$T$44,$CU15,CB$57),""),2,1)="/",MID(IFERROR(INDEX(醫師週班表!$C$5:$T$44,$CU15,CB$57),""),1+CB$58*2,1),IF(MID(IFERROR(INDEX(醫師週班表!$C$5:$T$44,$CU15,CB$57),""),3,1)="隔",IF(CB$58=0,LEFT(IFERROR(INDEX(醫師週班表!$C$5:$T$44,$CU15,CB$57),""),1),""),IF(MID(IFERROR(INDEX(醫師週班表!$C$5:$T$44,$CU15,CB$57),""),2,1)="(",LEFT(IFERROR(INDEX(醫師週班表!$C$5:$T$44,$CU15,CB$57),""),1),IFERROR(INDEX(醫師週班表!$C$5:$T$44,$CU15,CB$57),"")))))))</f>
        <v/>
      </c>
      <c r="CC15" s="72">
        <f>IF(CC$59="X","",IF(CC$59&lt;&gt;"",CC$59,IF(IFERROR(INDEX(醫師週班表!$C$5:$T$44,$CU15,CC$57),"")=0,"",IF(MID(IFERROR(INDEX(醫師週班表!$C$5:$T$44,$CU15,CC$57),""),2,1)="/",MID(IFERROR(INDEX(醫師週班表!$C$5:$T$44,$CU15,CC$57),""),1+CC$58*2,1),IF(MID(IFERROR(INDEX(醫師週班表!$C$5:$T$44,$CU15,CC$57),""),3,1)="隔",IF(CC$58=0,LEFT(IFERROR(INDEX(醫師週班表!$C$5:$T$44,$CU15,CC$57),""),1),""),IF(MID(IFERROR(INDEX(醫師週班表!$C$5:$T$44,$CU15,CC$57),""),2,1)="(",LEFT(IFERROR(INDEX(醫師週班表!$C$5:$T$44,$CU15,CC$57),""),1),IFERROR(INDEX(醫師週班表!$C$5:$T$44,$CU15,CC$57),"")))))))</f>
        <v/>
      </c>
      <c r="CD15" s="72">
        <f>IF(CD$59="X","",IF(CD$59&lt;&gt;"",CD$59,IF(IFERROR(INDEX(醫師週班表!$C$5:$T$44,$CU15,CD$57),"")=0,"",IF(MID(IFERROR(INDEX(醫師週班表!$C$5:$T$44,$CU15,CD$57),""),2,1)="/",MID(IFERROR(INDEX(醫師週班表!$C$5:$T$44,$CU15,CD$57),""),1+CD$58*2,1),IF(MID(IFERROR(INDEX(醫師週班表!$C$5:$T$44,$CU15,CD$57),""),3,1)="隔",IF(CD$58=0,LEFT(IFERROR(INDEX(醫師週班表!$C$5:$T$44,$CU15,CD$57),""),1),""),IF(MID(IFERROR(INDEX(醫師週班表!$C$5:$T$44,$CU15,CD$57),""),2,1)="(",LEFT(IFERROR(INDEX(醫師週班表!$C$5:$T$44,$CU15,CD$57),""),1),IFERROR(INDEX(醫師週班表!$C$5:$T$44,$CU15,CD$57),"")))))))</f>
        <v/>
      </c>
      <c r="CE15" s="71">
        <f>IF(CE$59="X","",IF(CE$59&lt;&gt;"",CE$59,IF(IFERROR(INDEX(醫師週班表!$C$5:$T$44,$CU15,CE$57),"")=0,"",IF(MID(IFERROR(INDEX(醫師週班表!$C$5:$T$44,$CU15,CE$57),""),2,1)="/",MID(IFERROR(INDEX(醫師週班表!$C$5:$T$44,$CU15,CE$57),""),1+CE$58*2,1),IF(MID(IFERROR(INDEX(醫師週班表!$C$5:$T$44,$CU15,CE$57),""),3,1)="隔",IF(CE$58=0,LEFT(IFERROR(INDEX(醫師週班表!$C$5:$T$44,$CU15,CE$57),""),1),""),IF(MID(IFERROR(INDEX(醫師週班表!$C$5:$T$44,$CU15,CE$57),""),2,1)="(",LEFT(IFERROR(INDEX(醫師週班表!$C$5:$T$44,$CU15,CE$57),""),1),IFERROR(INDEX(醫師週班表!$C$5:$T$44,$CU15,CE$57),"")))))))</f>
        <v/>
      </c>
      <c r="CF15" s="72">
        <f>IF(CF$59="X","",IF(CF$59&lt;&gt;"",CF$59,IF(IFERROR(INDEX(醫師週班表!$C$5:$T$44,$CU15,CF$57),"")=0,"",IF(MID(IFERROR(INDEX(醫師週班表!$C$5:$T$44,$CU15,CF$57),""),2,1)="/",MID(IFERROR(INDEX(醫師週班表!$C$5:$T$44,$CU15,CF$57),""),1+CF$58*2,1),IF(MID(IFERROR(INDEX(醫師週班表!$C$5:$T$44,$CU15,CF$57),""),3,1)="隔",IF(CF$58=0,LEFT(IFERROR(INDEX(醫師週班表!$C$5:$T$44,$CU15,CF$57),""),1),""),IF(MID(IFERROR(INDEX(醫師週班表!$C$5:$T$44,$CU15,CF$57),""),2,1)="(",LEFT(IFERROR(INDEX(醫師週班表!$C$5:$T$44,$CU15,CF$57),""),1),IFERROR(INDEX(醫師週班表!$C$5:$T$44,$CU15,CF$57),"")))))))</f>
        <v/>
      </c>
      <c r="CG15" s="72">
        <f>IF(CG$59="X","",IF(CG$59&lt;&gt;"",CG$59,IF(IFERROR(INDEX(醫師週班表!$C$5:$T$44,$CU15,CG$57),"")=0,"",IF(MID(IFERROR(INDEX(醫師週班表!$C$5:$T$44,$CU15,CG$57),""),2,1)="/",MID(IFERROR(INDEX(醫師週班表!$C$5:$T$44,$CU15,CG$57),""),1+CG$58*2,1),IF(MID(IFERROR(INDEX(醫師週班表!$C$5:$T$44,$CU15,CG$57),""),3,1)="隔",IF(CG$58=0,LEFT(IFERROR(INDEX(醫師週班表!$C$5:$T$44,$CU15,CG$57),""),1),""),IF(MID(IFERROR(INDEX(醫師週班表!$C$5:$T$44,$CU15,CG$57),""),2,1)="(",LEFT(IFERROR(INDEX(醫師週班表!$C$5:$T$44,$CU15,CG$57),""),1),IFERROR(INDEX(醫師週班表!$C$5:$T$44,$CU15,CG$57),"")))))))</f>
        <v/>
      </c>
      <c r="CH15" s="71">
        <f>IF(CH$59="X","",IF(CH$59&lt;&gt;"",CH$59,IF(IFERROR(INDEX(醫師週班表!$C$5:$T$44,$CU15,CH$57),"")=0,"",IF(MID(IFERROR(INDEX(醫師週班表!$C$5:$T$44,$CU15,CH$57),""),2,1)="/",MID(IFERROR(INDEX(醫師週班表!$C$5:$T$44,$CU15,CH$57),""),1+CH$58*2,1),IF(MID(IFERROR(INDEX(醫師週班表!$C$5:$T$44,$CU15,CH$57),""),3,1)="隔",IF(CH$58=0,LEFT(IFERROR(INDEX(醫師週班表!$C$5:$T$44,$CU15,CH$57),""),1),""),IF(MID(IFERROR(INDEX(醫師週班表!$C$5:$T$44,$CU15,CH$57),""),2,1)="(",LEFT(IFERROR(INDEX(醫師週班表!$C$5:$T$44,$CU15,CH$57),""),1),IFERROR(INDEX(醫師週班表!$C$5:$T$44,$CU15,CH$57),"")))))))</f>
        <v/>
      </c>
      <c r="CI15" s="72">
        <f>IF(CI$59="X","",IF(CI$59&lt;&gt;"",CI$59,IF(IFERROR(INDEX(醫師週班表!$C$5:$T$44,$CU15,CI$57),"")=0,"",IF(MID(IFERROR(INDEX(醫師週班表!$C$5:$T$44,$CU15,CI$57),""),2,1)="/",MID(IFERROR(INDEX(醫師週班表!$C$5:$T$44,$CU15,CI$57),""),1+CI$58*2,1),IF(MID(IFERROR(INDEX(醫師週班表!$C$5:$T$44,$CU15,CI$57),""),3,1)="隔",IF(CI$58=0,LEFT(IFERROR(INDEX(醫師週班表!$C$5:$T$44,$CU15,CI$57),""),1),""),IF(MID(IFERROR(INDEX(醫師週班表!$C$5:$T$44,$CU15,CI$57),""),2,1)="(",LEFT(IFERROR(INDEX(醫師週班表!$C$5:$T$44,$CU15,CI$57),""),1),IFERROR(INDEX(醫師週班表!$C$5:$T$44,$CU15,CI$57),"")))))))</f>
        <v/>
      </c>
      <c r="CJ15" s="72">
        <f>IF(CJ$59="X","",IF(CJ$59&lt;&gt;"",CJ$59,IF(IFERROR(INDEX(醫師週班表!$C$5:$T$44,$CU15,CJ$57),"")=0,"",IF(MID(IFERROR(INDEX(醫師週班表!$C$5:$T$44,$CU15,CJ$57),""),2,1)="/",MID(IFERROR(INDEX(醫師週班表!$C$5:$T$44,$CU15,CJ$57),""),1+CJ$58*2,1),IF(MID(IFERROR(INDEX(醫師週班表!$C$5:$T$44,$CU15,CJ$57),""),3,1)="隔",IF(CJ$58=0,LEFT(IFERROR(INDEX(醫師週班表!$C$5:$T$44,$CU15,CJ$57),""),1),""),IF(MID(IFERROR(INDEX(醫師週班表!$C$5:$T$44,$CU15,CJ$57),""),2,1)="(",LEFT(IFERROR(INDEX(醫師週班表!$C$5:$T$44,$CU15,CJ$57),""),1),IFERROR(INDEX(醫師週班表!$C$5:$T$44,$CU15,CJ$57),"")))))))</f>
        <v/>
      </c>
      <c r="CK15" s="71">
        <f>IF(CK$59="X","",IF(CK$59&lt;&gt;"",CK$59,IF(IFERROR(INDEX(醫師週班表!$C$5:$T$44,$CU15,CK$57),"")=0,"",IF(MID(IFERROR(INDEX(醫師週班表!$C$5:$T$44,$CU15,CK$57),""),2,1)="/",MID(IFERROR(INDEX(醫師週班表!$C$5:$T$44,$CU15,CK$57),""),1+CK$58*2,1),IF(MID(IFERROR(INDEX(醫師週班表!$C$5:$T$44,$CU15,CK$57),""),3,1)="隔",IF(CK$58=0,LEFT(IFERROR(INDEX(醫師週班表!$C$5:$T$44,$CU15,CK$57),""),1),""),IF(MID(IFERROR(INDEX(醫師週班表!$C$5:$T$44,$CU15,CK$57),""),2,1)="(",LEFT(IFERROR(INDEX(醫師週班表!$C$5:$T$44,$CU15,CK$57),""),1),IFERROR(INDEX(醫師週班表!$C$5:$T$44,$CU15,CK$57),"")))))))</f>
        <v/>
      </c>
      <c r="CL15" s="72">
        <f>IF(CL$59="X","",IF(CL$59&lt;&gt;"",CL$59,IF(IFERROR(INDEX(醫師週班表!$C$5:$T$44,$CU15,CL$57),"")=0,"",IF(MID(IFERROR(INDEX(醫師週班表!$C$5:$T$44,$CU15,CL$57),""),2,1)="/",MID(IFERROR(INDEX(醫師週班表!$C$5:$T$44,$CU15,CL$57),""),1+CL$58*2,1),IF(MID(IFERROR(INDEX(醫師週班表!$C$5:$T$44,$CU15,CL$57),""),3,1)="隔",IF(CL$58=0,LEFT(IFERROR(INDEX(醫師週班表!$C$5:$T$44,$CU15,CL$57),""),1),""),IF(MID(IFERROR(INDEX(醫師週班表!$C$5:$T$44,$CU15,CL$57),""),2,1)="(",LEFT(IFERROR(INDEX(醫師週班表!$C$5:$T$44,$CU15,CL$57),""),1),IFERROR(INDEX(醫師週班表!$C$5:$T$44,$CU15,CL$57),"")))))))</f>
        <v/>
      </c>
      <c r="CM15" s="72">
        <f>IF(CM$59="X","",IF(CM$59&lt;&gt;"",CM$59,IF(IFERROR(INDEX(醫師週班表!$C$5:$T$44,$CU15,CM$57),"")=0,"",IF(MID(IFERROR(INDEX(醫師週班表!$C$5:$T$44,$CU15,CM$57),""),2,1)="/",MID(IFERROR(INDEX(醫師週班表!$C$5:$T$44,$CU15,CM$57),""),1+CM$58*2,1),IF(MID(IFERROR(INDEX(醫師週班表!$C$5:$T$44,$CU15,CM$57),""),3,1)="隔",IF(CM$58=0,LEFT(IFERROR(INDEX(醫師週班表!$C$5:$T$44,$CU15,CM$57),""),1),""),IF(MID(IFERROR(INDEX(醫師週班表!$C$5:$T$44,$CU15,CM$57),""),2,1)="(",LEFT(IFERROR(INDEX(醫師週班表!$C$5:$T$44,$CU15,CM$57),""),1),IFERROR(INDEX(醫師週班表!$C$5:$T$44,$CU15,CM$57),"")))))))</f>
        <v/>
      </c>
      <c r="CN15" s="71">
        <f>IF(CN$59="X","",IF(CN$59&lt;&gt;"",CN$59,IF(IFERROR(INDEX(醫師週班表!$C$5:$T$44,$CU15,CN$57),"")=0,"",IF(MID(IFERROR(INDEX(醫師週班表!$C$5:$T$44,$CU15,CN$57),""),2,1)="/",MID(IFERROR(INDEX(醫師週班表!$C$5:$T$44,$CU15,CN$57),""),1+CN$58*2,1),IF(MID(IFERROR(INDEX(醫師週班表!$C$5:$T$44,$CU15,CN$57),""),3,1)="隔",IF(CN$58=0,LEFT(IFERROR(INDEX(醫師週班表!$C$5:$T$44,$CU15,CN$57),""),1),""),IF(MID(IFERROR(INDEX(醫師週班表!$C$5:$T$44,$CU15,CN$57),""),2,1)="(",LEFT(IFERROR(INDEX(醫師週班表!$C$5:$T$44,$CU15,CN$57),""),1),IFERROR(INDEX(醫師週班表!$C$5:$T$44,$CU15,CN$57),"")))))))</f>
        <v/>
      </c>
      <c r="CO15" s="72">
        <f>IF(CO$59="X","",IF(CO$59&lt;&gt;"",CO$59,IF(IFERROR(INDEX(醫師週班表!$C$5:$T$44,$CU15,CO$57),"")=0,"",IF(MID(IFERROR(INDEX(醫師週班表!$C$5:$T$44,$CU15,CO$57),""),2,1)="/",MID(IFERROR(INDEX(醫師週班表!$C$5:$T$44,$CU15,CO$57),""),1+CO$58*2,1),IF(MID(IFERROR(INDEX(醫師週班表!$C$5:$T$44,$CU15,CO$57),""),3,1)="隔",IF(CO$58=0,LEFT(IFERROR(INDEX(醫師週班表!$C$5:$T$44,$CU15,CO$57),""),1),""),IF(MID(IFERROR(INDEX(醫師週班表!$C$5:$T$44,$CU15,CO$57),""),2,1)="(",LEFT(IFERROR(INDEX(醫師週班表!$C$5:$T$44,$CU15,CO$57),""),1),IFERROR(INDEX(醫師週班表!$C$5:$T$44,$CU15,CO$57),"")))))))</f>
        <v/>
      </c>
      <c r="CP15" s="72">
        <f>IF(CP$59="X","",IF(CP$59&lt;&gt;"",CP$59,IF(IFERROR(INDEX(醫師週班表!$C$5:$T$44,$CU15,CP$57),"")=0,"",IF(MID(IFERROR(INDEX(醫師週班表!$C$5:$T$44,$CU15,CP$57),""),2,1)="/",MID(IFERROR(INDEX(醫師週班表!$C$5:$T$44,$CU15,CP$57),""),1+CP$58*2,1),IF(MID(IFERROR(INDEX(醫師週班表!$C$5:$T$44,$CU15,CP$57),""),3,1)="隔",IF(CP$58=0,LEFT(IFERROR(INDEX(醫師週班表!$C$5:$T$44,$CU15,CP$57),""),1),""),IF(MID(IFERROR(INDEX(醫師週班表!$C$5:$T$44,$CU15,CP$57),""),2,1)="(",LEFT(IFERROR(INDEX(醫師週班表!$C$5:$T$44,$CU15,CP$57),""),1),IFERROR(INDEX(醫師週班表!$C$5:$T$44,$CU15,CP$57),"")))))))</f>
        <v/>
      </c>
      <c r="CQ15" s="71">
        <f>IF(CQ$59="X","",IF(CQ$59&lt;&gt;"",CQ$59,IF(IFERROR(INDEX(醫師週班表!$C$5:$T$44,$CU15,CQ$57),"")=0,"",IF(MID(IFERROR(INDEX(醫師週班表!$C$5:$T$44,$CU15,CQ$57),""),2,1)="/",MID(IFERROR(INDEX(醫師週班表!$C$5:$T$44,$CU15,CQ$57),""),1+CQ$58*2,1),IF(MID(IFERROR(INDEX(醫師週班表!$C$5:$T$44,$CU15,CQ$57),""),3,1)="隔",IF(CQ$58=0,LEFT(IFERROR(INDEX(醫師週班表!$C$5:$T$44,$CU15,CQ$57),""),1),""),IF(MID(IFERROR(INDEX(醫師週班表!$C$5:$T$44,$CU15,CQ$57),""),2,1)="(",LEFT(IFERROR(INDEX(醫師週班表!$C$5:$T$44,$CU15,CQ$57),""),1),IFERROR(INDEX(醫師週班表!$C$5:$T$44,$CU15,CQ$57),"")))))))</f>
        <v/>
      </c>
      <c r="CR15" s="72">
        <f>IF(CR$59="X","",IF(CR$59&lt;&gt;"",CR$59,IF(IFERROR(INDEX(醫師週班表!$C$5:$T$44,$CU15,CR$57),"")=0,"",IF(MID(IFERROR(INDEX(醫師週班表!$C$5:$T$44,$CU15,CR$57),""),2,1)="/",MID(IFERROR(INDEX(醫師週班表!$C$5:$T$44,$CU15,CR$57),""),1+CR$58*2,1),IF(MID(IFERROR(INDEX(醫師週班表!$C$5:$T$44,$CU15,CR$57),""),3,1)="隔",IF(CR$58=0,LEFT(IFERROR(INDEX(醫師週班表!$C$5:$T$44,$CU15,CR$57),""),1),""),IF(MID(IFERROR(INDEX(醫師週班表!$C$5:$T$44,$CU15,CR$57),""),2,1)="(",LEFT(IFERROR(INDEX(醫師週班表!$C$5:$T$44,$CU15,CR$57),""),1),IFERROR(INDEX(醫師週班表!$C$5:$T$44,$CU15,CR$57),"")))))))</f>
        <v/>
      </c>
      <c r="CS15" s="72">
        <f>IF(CS$59="X","",IF(CS$59&lt;&gt;"",CS$59,IF(IFERROR(INDEX(醫師週班表!$C$5:$T$44,$CU15,CS$57),"")=0,"",IF(MID(IFERROR(INDEX(醫師週班表!$C$5:$T$44,$CU15,CS$57),""),2,1)="/",MID(IFERROR(INDEX(醫師週班表!$C$5:$T$44,$CU15,CS$57),""),1+CS$58*2,1),IF(MID(IFERROR(INDEX(醫師週班表!$C$5:$T$44,$CU15,CS$57),""),3,1)="隔",IF(CS$58=0,LEFT(IFERROR(INDEX(醫師週班表!$C$5:$T$44,$CU15,CS$57),""),1),""),IF(MID(IFERROR(INDEX(醫師週班表!$C$5:$T$44,$CU15,CS$57),""),2,1)="(",LEFT(IFERROR(INDEX(醫師週班表!$C$5:$T$44,$CU15,CS$57),""),1),IFERROR(INDEX(醫師週班表!$C$5:$T$44,$CU15,CS$57),"")))))))</f>
        <v/>
      </c>
      <c r="CU15" s="73">
        <f>IFERROR(MATCH($A15,醫師週班表!$A$5:$A$44,0),0)</f>
        <v/>
      </c>
    </row>
    <row r="16" ht="17" customHeight="1">
      <c r="A16" s="19" t="inlineStr">
        <is>
          <t>D011</t>
        </is>
      </c>
      <c r="B16" s="16" t="inlineStr">
        <is>
          <t>温健成</t>
        </is>
      </c>
      <c r="C16" s="70" t="inlineStr"/>
      <c r="D16" s="16" t="inlineStr">
        <is>
          <t>晶睿院長</t>
        </is>
      </c>
      <c r="E16" s="71">
        <f>IF(E$59="X","",IF(E$59&lt;&gt;"",E$59,IF(IFERROR(INDEX(醫師週班表!$C$5:$T$44,$CU16,E$57),"")=0,"",IF(MID(IFERROR(INDEX(醫師週班表!$C$5:$T$44,$CU16,E$57),""),2,1)="/",MID(IFERROR(INDEX(醫師週班表!$C$5:$T$44,$CU16,E$57),""),1+E$58*2,1),IF(MID(IFERROR(INDEX(醫師週班表!$C$5:$T$44,$CU16,E$57),""),3,1)="隔",IF(E$58=0,LEFT(IFERROR(INDEX(醫師週班表!$C$5:$T$44,$CU16,E$57),""),1),""),IF(MID(IFERROR(INDEX(醫師週班表!$C$5:$T$44,$CU16,E$57),""),2,1)="(",LEFT(IFERROR(INDEX(醫師週班表!$C$5:$T$44,$CU16,E$57),""),1),IFERROR(INDEX(醫師週班表!$C$5:$T$44,$CU16,E$57),"")))))))</f>
        <v/>
      </c>
      <c r="F16" s="72">
        <f>IF(F$59="X","",IF(F$59&lt;&gt;"",F$59,IF(IFERROR(INDEX(醫師週班表!$C$5:$T$44,$CU16,F$57),"")=0,"",IF(MID(IFERROR(INDEX(醫師週班表!$C$5:$T$44,$CU16,F$57),""),2,1)="/",MID(IFERROR(INDEX(醫師週班表!$C$5:$T$44,$CU16,F$57),""),1+F$58*2,1),IF(MID(IFERROR(INDEX(醫師週班表!$C$5:$T$44,$CU16,F$57),""),3,1)="隔",IF(F$58=0,LEFT(IFERROR(INDEX(醫師週班表!$C$5:$T$44,$CU16,F$57),""),1),""),IF(MID(IFERROR(INDEX(醫師週班表!$C$5:$T$44,$CU16,F$57),""),2,1)="(",LEFT(IFERROR(INDEX(醫師週班表!$C$5:$T$44,$CU16,F$57),""),1),IFERROR(INDEX(醫師週班表!$C$5:$T$44,$CU16,F$57),"")))))))</f>
        <v/>
      </c>
      <c r="G16" s="72">
        <f>IF(G$59="X","",IF(G$59&lt;&gt;"",G$59,IF(IFERROR(INDEX(醫師週班表!$C$5:$T$44,$CU16,G$57),"")=0,"",IF(MID(IFERROR(INDEX(醫師週班表!$C$5:$T$44,$CU16,G$57),""),2,1)="/",MID(IFERROR(INDEX(醫師週班表!$C$5:$T$44,$CU16,G$57),""),1+G$58*2,1),IF(MID(IFERROR(INDEX(醫師週班表!$C$5:$T$44,$CU16,G$57),""),3,1)="隔",IF(G$58=0,LEFT(IFERROR(INDEX(醫師週班表!$C$5:$T$44,$CU16,G$57),""),1),""),IF(MID(IFERROR(INDEX(醫師週班表!$C$5:$T$44,$CU16,G$57),""),2,1)="(",LEFT(IFERROR(INDEX(醫師週班表!$C$5:$T$44,$CU16,G$57),""),1),IFERROR(INDEX(醫師週班表!$C$5:$T$44,$CU16,G$57),"")))))))</f>
        <v/>
      </c>
      <c r="H16" s="71">
        <f>IF(H$59="X","",IF(H$59&lt;&gt;"",H$59,IF(IFERROR(INDEX(醫師週班表!$C$5:$T$44,$CU16,H$57),"")=0,"",IF(MID(IFERROR(INDEX(醫師週班表!$C$5:$T$44,$CU16,H$57),""),2,1)="/",MID(IFERROR(INDEX(醫師週班表!$C$5:$T$44,$CU16,H$57),""),1+H$58*2,1),IF(MID(IFERROR(INDEX(醫師週班表!$C$5:$T$44,$CU16,H$57),""),3,1)="隔",IF(H$58=0,LEFT(IFERROR(INDEX(醫師週班表!$C$5:$T$44,$CU16,H$57),""),1),""),IF(MID(IFERROR(INDEX(醫師週班表!$C$5:$T$44,$CU16,H$57),""),2,1)="(",LEFT(IFERROR(INDEX(醫師週班表!$C$5:$T$44,$CU16,H$57),""),1),IFERROR(INDEX(醫師週班表!$C$5:$T$44,$CU16,H$57),"")))))))</f>
        <v/>
      </c>
      <c r="I16" s="72">
        <f>IF(I$59="X","",IF(I$59&lt;&gt;"",I$59,IF(IFERROR(INDEX(醫師週班表!$C$5:$T$44,$CU16,I$57),"")=0,"",IF(MID(IFERROR(INDEX(醫師週班表!$C$5:$T$44,$CU16,I$57),""),2,1)="/",MID(IFERROR(INDEX(醫師週班表!$C$5:$T$44,$CU16,I$57),""),1+I$58*2,1),IF(MID(IFERROR(INDEX(醫師週班表!$C$5:$T$44,$CU16,I$57),""),3,1)="隔",IF(I$58=0,LEFT(IFERROR(INDEX(醫師週班表!$C$5:$T$44,$CU16,I$57),""),1),""),IF(MID(IFERROR(INDEX(醫師週班表!$C$5:$T$44,$CU16,I$57),""),2,1)="(",LEFT(IFERROR(INDEX(醫師週班表!$C$5:$T$44,$CU16,I$57),""),1),IFERROR(INDEX(醫師週班表!$C$5:$T$44,$CU16,I$57),"")))))))</f>
        <v/>
      </c>
      <c r="J16" s="72">
        <f>IF(J$59="X","",IF(J$59&lt;&gt;"",J$59,IF(IFERROR(INDEX(醫師週班表!$C$5:$T$44,$CU16,J$57),"")=0,"",IF(MID(IFERROR(INDEX(醫師週班表!$C$5:$T$44,$CU16,J$57),""),2,1)="/",MID(IFERROR(INDEX(醫師週班表!$C$5:$T$44,$CU16,J$57),""),1+J$58*2,1),IF(MID(IFERROR(INDEX(醫師週班表!$C$5:$T$44,$CU16,J$57),""),3,1)="隔",IF(J$58=0,LEFT(IFERROR(INDEX(醫師週班表!$C$5:$T$44,$CU16,J$57),""),1),""),IF(MID(IFERROR(INDEX(醫師週班表!$C$5:$T$44,$CU16,J$57),""),2,1)="(",LEFT(IFERROR(INDEX(醫師週班表!$C$5:$T$44,$CU16,J$57),""),1),IFERROR(INDEX(醫師週班表!$C$5:$T$44,$CU16,J$57),"")))))))</f>
        <v/>
      </c>
      <c r="K16" s="71">
        <f>IF(K$59="X","",IF(K$59&lt;&gt;"",K$59,IF(IFERROR(INDEX(醫師週班表!$C$5:$T$44,$CU16,K$57),"")=0,"",IF(MID(IFERROR(INDEX(醫師週班表!$C$5:$T$44,$CU16,K$57),""),2,1)="/",MID(IFERROR(INDEX(醫師週班表!$C$5:$T$44,$CU16,K$57),""),1+K$58*2,1),IF(MID(IFERROR(INDEX(醫師週班表!$C$5:$T$44,$CU16,K$57),""),3,1)="隔",IF(K$58=0,LEFT(IFERROR(INDEX(醫師週班表!$C$5:$T$44,$CU16,K$57),""),1),""),IF(MID(IFERROR(INDEX(醫師週班表!$C$5:$T$44,$CU16,K$57),""),2,1)="(",LEFT(IFERROR(INDEX(醫師週班表!$C$5:$T$44,$CU16,K$57),""),1),IFERROR(INDEX(醫師週班表!$C$5:$T$44,$CU16,K$57),"")))))))</f>
        <v/>
      </c>
      <c r="L16" s="72">
        <f>IF(L$59="X","",IF(L$59&lt;&gt;"",L$59,IF(IFERROR(INDEX(醫師週班表!$C$5:$T$44,$CU16,L$57),"")=0,"",IF(MID(IFERROR(INDEX(醫師週班表!$C$5:$T$44,$CU16,L$57),""),2,1)="/",MID(IFERROR(INDEX(醫師週班表!$C$5:$T$44,$CU16,L$57),""),1+L$58*2,1),IF(MID(IFERROR(INDEX(醫師週班表!$C$5:$T$44,$CU16,L$57),""),3,1)="隔",IF(L$58=0,LEFT(IFERROR(INDEX(醫師週班表!$C$5:$T$44,$CU16,L$57),""),1),""),IF(MID(IFERROR(INDEX(醫師週班表!$C$5:$T$44,$CU16,L$57),""),2,1)="(",LEFT(IFERROR(INDEX(醫師週班表!$C$5:$T$44,$CU16,L$57),""),1),IFERROR(INDEX(醫師週班表!$C$5:$T$44,$CU16,L$57),"")))))))</f>
        <v/>
      </c>
      <c r="M16" s="72">
        <f>IF(M$59="X","",IF(M$59&lt;&gt;"",M$59,IF(IFERROR(INDEX(醫師週班表!$C$5:$T$44,$CU16,M$57),"")=0,"",IF(MID(IFERROR(INDEX(醫師週班表!$C$5:$T$44,$CU16,M$57),""),2,1)="/",MID(IFERROR(INDEX(醫師週班表!$C$5:$T$44,$CU16,M$57),""),1+M$58*2,1),IF(MID(IFERROR(INDEX(醫師週班表!$C$5:$T$44,$CU16,M$57),""),3,1)="隔",IF(M$58=0,LEFT(IFERROR(INDEX(醫師週班表!$C$5:$T$44,$CU16,M$57),""),1),""),IF(MID(IFERROR(INDEX(醫師週班表!$C$5:$T$44,$CU16,M$57),""),2,1)="(",LEFT(IFERROR(INDEX(醫師週班表!$C$5:$T$44,$CU16,M$57),""),1),IFERROR(INDEX(醫師週班表!$C$5:$T$44,$CU16,M$57),"")))))))</f>
        <v/>
      </c>
      <c r="N16" s="71">
        <f>IF(N$59="X","",IF(N$59&lt;&gt;"",N$59,IF(IFERROR(INDEX(醫師週班表!$C$5:$T$44,$CU16,N$57),"")=0,"",IF(MID(IFERROR(INDEX(醫師週班表!$C$5:$T$44,$CU16,N$57),""),2,1)="/",MID(IFERROR(INDEX(醫師週班表!$C$5:$T$44,$CU16,N$57),""),1+N$58*2,1),IF(MID(IFERROR(INDEX(醫師週班表!$C$5:$T$44,$CU16,N$57),""),3,1)="隔",IF(N$58=0,LEFT(IFERROR(INDEX(醫師週班表!$C$5:$T$44,$CU16,N$57),""),1),""),IF(MID(IFERROR(INDEX(醫師週班表!$C$5:$T$44,$CU16,N$57),""),2,1)="(",LEFT(IFERROR(INDEX(醫師週班表!$C$5:$T$44,$CU16,N$57),""),1),IFERROR(INDEX(醫師週班表!$C$5:$T$44,$CU16,N$57),"")))))))</f>
        <v/>
      </c>
      <c r="O16" s="72">
        <f>IF(O$59="X","",IF(O$59&lt;&gt;"",O$59,IF(IFERROR(INDEX(醫師週班表!$C$5:$T$44,$CU16,O$57),"")=0,"",IF(MID(IFERROR(INDEX(醫師週班表!$C$5:$T$44,$CU16,O$57),""),2,1)="/",MID(IFERROR(INDEX(醫師週班表!$C$5:$T$44,$CU16,O$57),""),1+O$58*2,1),IF(MID(IFERROR(INDEX(醫師週班表!$C$5:$T$44,$CU16,O$57),""),3,1)="隔",IF(O$58=0,LEFT(IFERROR(INDEX(醫師週班表!$C$5:$T$44,$CU16,O$57),""),1),""),IF(MID(IFERROR(INDEX(醫師週班表!$C$5:$T$44,$CU16,O$57),""),2,1)="(",LEFT(IFERROR(INDEX(醫師週班表!$C$5:$T$44,$CU16,O$57),""),1),IFERROR(INDEX(醫師週班表!$C$5:$T$44,$CU16,O$57),"")))))))</f>
        <v/>
      </c>
      <c r="P16" s="72">
        <f>IF(P$59="X","",IF(P$59&lt;&gt;"",P$59,IF(IFERROR(INDEX(醫師週班表!$C$5:$T$44,$CU16,P$57),"")=0,"",IF(MID(IFERROR(INDEX(醫師週班表!$C$5:$T$44,$CU16,P$57),""),2,1)="/",MID(IFERROR(INDEX(醫師週班表!$C$5:$T$44,$CU16,P$57),""),1+P$58*2,1),IF(MID(IFERROR(INDEX(醫師週班表!$C$5:$T$44,$CU16,P$57),""),3,1)="隔",IF(P$58=0,LEFT(IFERROR(INDEX(醫師週班表!$C$5:$T$44,$CU16,P$57),""),1),""),IF(MID(IFERROR(INDEX(醫師週班表!$C$5:$T$44,$CU16,P$57),""),2,1)="(",LEFT(IFERROR(INDEX(醫師週班表!$C$5:$T$44,$CU16,P$57),""),1),IFERROR(INDEX(醫師週班表!$C$5:$T$44,$CU16,P$57),"")))))))</f>
        <v/>
      </c>
      <c r="Q16" s="71">
        <f>IF(Q$59="X","",IF(Q$59&lt;&gt;"",Q$59,IF(IFERROR(INDEX(醫師週班表!$C$5:$T$44,$CU16,Q$57),"")=0,"",IF(MID(IFERROR(INDEX(醫師週班表!$C$5:$T$44,$CU16,Q$57),""),2,1)="/",MID(IFERROR(INDEX(醫師週班表!$C$5:$T$44,$CU16,Q$57),""),1+Q$58*2,1),IF(MID(IFERROR(INDEX(醫師週班表!$C$5:$T$44,$CU16,Q$57),""),3,1)="隔",IF(Q$58=0,LEFT(IFERROR(INDEX(醫師週班表!$C$5:$T$44,$CU16,Q$57),""),1),""),IF(MID(IFERROR(INDEX(醫師週班表!$C$5:$T$44,$CU16,Q$57),""),2,1)="(",LEFT(IFERROR(INDEX(醫師週班表!$C$5:$T$44,$CU16,Q$57),""),1),IFERROR(INDEX(醫師週班表!$C$5:$T$44,$CU16,Q$57),"")))))))</f>
        <v/>
      </c>
      <c r="R16" s="72">
        <f>IF(R$59="X","",IF(R$59&lt;&gt;"",R$59,IF(IFERROR(INDEX(醫師週班表!$C$5:$T$44,$CU16,R$57),"")=0,"",IF(MID(IFERROR(INDEX(醫師週班表!$C$5:$T$44,$CU16,R$57),""),2,1)="/",MID(IFERROR(INDEX(醫師週班表!$C$5:$T$44,$CU16,R$57),""),1+R$58*2,1),IF(MID(IFERROR(INDEX(醫師週班表!$C$5:$T$44,$CU16,R$57),""),3,1)="隔",IF(R$58=0,LEFT(IFERROR(INDEX(醫師週班表!$C$5:$T$44,$CU16,R$57),""),1),""),IF(MID(IFERROR(INDEX(醫師週班表!$C$5:$T$44,$CU16,R$57),""),2,1)="(",LEFT(IFERROR(INDEX(醫師週班表!$C$5:$T$44,$CU16,R$57),""),1),IFERROR(INDEX(醫師週班表!$C$5:$T$44,$CU16,R$57),"")))))))</f>
        <v/>
      </c>
      <c r="S16" s="72">
        <f>IF(S$59="X","",IF(S$59&lt;&gt;"",S$59,IF(IFERROR(INDEX(醫師週班表!$C$5:$T$44,$CU16,S$57),"")=0,"",IF(MID(IFERROR(INDEX(醫師週班表!$C$5:$T$44,$CU16,S$57),""),2,1)="/",MID(IFERROR(INDEX(醫師週班表!$C$5:$T$44,$CU16,S$57),""),1+S$58*2,1),IF(MID(IFERROR(INDEX(醫師週班表!$C$5:$T$44,$CU16,S$57),""),3,1)="隔",IF(S$58=0,LEFT(IFERROR(INDEX(醫師週班表!$C$5:$T$44,$CU16,S$57),""),1),""),IF(MID(IFERROR(INDEX(醫師週班表!$C$5:$T$44,$CU16,S$57),""),2,1)="(",LEFT(IFERROR(INDEX(醫師週班表!$C$5:$T$44,$CU16,S$57),""),1),IFERROR(INDEX(醫師週班表!$C$5:$T$44,$CU16,S$57),"")))))))</f>
        <v/>
      </c>
      <c r="T16" s="71">
        <f>IF(T$59="X","",IF(T$59&lt;&gt;"",T$59,IF(IFERROR(INDEX(醫師週班表!$C$5:$T$44,$CU16,T$57),"")=0,"",IF(MID(IFERROR(INDEX(醫師週班表!$C$5:$T$44,$CU16,T$57),""),2,1)="/",MID(IFERROR(INDEX(醫師週班表!$C$5:$T$44,$CU16,T$57),""),1+T$58*2,1),IF(MID(IFERROR(INDEX(醫師週班表!$C$5:$T$44,$CU16,T$57),""),3,1)="隔",IF(T$58=0,LEFT(IFERROR(INDEX(醫師週班表!$C$5:$T$44,$CU16,T$57),""),1),""),IF(MID(IFERROR(INDEX(醫師週班表!$C$5:$T$44,$CU16,T$57),""),2,1)="(",LEFT(IFERROR(INDEX(醫師週班表!$C$5:$T$44,$CU16,T$57),""),1),IFERROR(INDEX(醫師週班表!$C$5:$T$44,$CU16,T$57),"")))))))</f>
        <v/>
      </c>
      <c r="U16" s="72">
        <f>IF(U$59="X","",IF(U$59&lt;&gt;"",U$59,IF(IFERROR(INDEX(醫師週班表!$C$5:$T$44,$CU16,U$57),"")=0,"",IF(MID(IFERROR(INDEX(醫師週班表!$C$5:$T$44,$CU16,U$57),""),2,1)="/",MID(IFERROR(INDEX(醫師週班表!$C$5:$T$44,$CU16,U$57),""),1+U$58*2,1),IF(MID(IFERROR(INDEX(醫師週班表!$C$5:$T$44,$CU16,U$57),""),3,1)="隔",IF(U$58=0,LEFT(IFERROR(INDEX(醫師週班表!$C$5:$T$44,$CU16,U$57),""),1),""),IF(MID(IFERROR(INDEX(醫師週班表!$C$5:$T$44,$CU16,U$57),""),2,1)="(",LEFT(IFERROR(INDEX(醫師週班表!$C$5:$T$44,$CU16,U$57),""),1),IFERROR(INDEX(醫師週班表!$C$5:$T$44,$CU16,U$57),"")))))))</f>
        <v/>
      </c>
      <c r="V16" s="72">
        <f>IF(V$59="X","",IF(V$59&lt;&gt;"",V$59,IF(IFERROR(INDEX(醫師週班表!$C$5:$T$44,$CU16,V$57),"")=0,"",IF(MID(IFERROR(INDEX(醫師週班表!$C$5:$T$44,$CU16,V$57),""),2,1)="/",MID(IFERROR(INDEX(醫師週班表!$C$5:$T$44,$CU16,V$57),""),1+V$58*2,1),IF(MID(IFERROR(INDEX(醫師週班表!$C$5:$T$44,$CU16,V$57),""),3,1)="隔",IF(V$58=0,LEFT(IFERROR(INDEX(醫師週班表!$C$5:$T$44,$CU16,V$57),""),1),""),IF(MID(IFERROR(INDEX(醫師週班表!$C$5:$T$44,$CU16,V$57),""),2,1)="(",LEFT(IFERROR(INDEX(醫師週班表!$C$5:$T$44,$CU16,V$57),""),1),IFERROR(INDEX(醫師週班表!$C$5:$T$44,$CU16,V$57),"")))))))</f>
        <v/>
      </c>
      <c r="W16" s="71">
        <f>IF(W$59="X","",IF(W$59&lt;&gt;"",W$59,IF(IFERROR(INDEX(醫師週班表!$C$5:$T$44,$CU16,W$57),"")=0,"",IF(MID(IFERROR(INDEX(醫師週班表!$C$5:$T$44,$CU16,W$57),""),2,1)="/",MID(IFERROR(INDEX(醫師週班表!$C$5:$T$44,$CU16,W$57),""),1+W$58*2,1),IF(MID(IFERROR(INDEX(醫師週班表!$C$5:$T$44,$CU16,W$57),""),3,1)="隔",IF(W$58=0,LEFT(IFERROR(INDEX(醫師週班表!$C$5:$T$44,$CU16,W$57),""),1),""),IF(MID(IFERROR(INDEX(醫師週班表!$C$5:$T$44,$CU16,W$57),""),2,1)="(",LEFT(IFERROR(INDEX(醫師週班表!$C$5:$T$44,$CU16,W$57),""),1),IFERROR(INDEX(醫師週班表!$C$5:$T$44,$CU16,W$57),"")))))))</f>
        <v/>
      </c>
      <c r="X16" s="72">
        <f>IF(X$59="X","",IF(X$59&lt;&gt;"",X$59,IF(IFERROR(INDEX(醫師週班表!$C$5:$T$44,$CU16,X$57),"")=0,"",IF(MID(IFERROR(INDEX(醫師週班表!$C$5:$T$44,$CU16,X$57),""),2,1)="/",MID(IFERROR(INDEX(醫師週班表!$C$5:$T$44,$CU16,X$57),""),1+X$58*2,1),IF(MID(IFERROR(INDEX(醫師週班表!$C$5:$T$44,$CU16,X$57),""),3,1)="隔",IF(X$58=0,LEFT(IFERROR(INDEX(醫師週班表!$C$5:$T$44,$CU16,X$57),""),1),""),IF(MID(IFERROR(INDEX(醫師週班表!$C$5:$T$44,$CU16,X$57),""),2,1)="(",LEFT(IFERROR(INDEX(醫師週班表!$C$5:$T$44,$CU16,X$57),""),1),IFERROR(INDEX(醫師週班表!$C$5:$T$44,$CU16,X$57),"")))))))</f>
        <v/>
      </c>
      <c r="Y16" s="72">
        <f>IF(Y$59="X","",IF(Y$59&lt;&gt;"",Y$59,IF(IFERROR(INDEX(醫師週班表!$C$5:$T$44,$CU16,Y$57),"")=0,"",IF(MID(IFERROR(INDEX(醫師週班表!$C$5:$T$44,$CU16,Y$57),""),2,1)="/",MID(IFERROR(INDEX(醫師週班表!$C$5:$T$44,$CU16,Y$57),""),1+Y$58*2,1),IF(MID(IFERROR(INDEX(醫師週班表!$C$5:$T$44,$CU16,Y$57),""),3,1)="隔",IF(Y$58=0,LEFT(IFERROR(INDEX(醫師週班表!$C$5:$T$44,$CU16,Y$57),""),1),""),IF(MID(IFERROR(INDEX(醫師週班表!$C$5:$T$44,$CU16,Y$57),""),2,1)="(",LEFT(IFERROR(INDEX(醫師週班表!$C$5:$T$44,$CU16,Y$57),""),1),IFERROR(INDEX(醫師週班表!$C$5:$T$44,$CU16,Y$57),"")))))))</f>
        <v/>
      </c>
      <c r="Z16" s="71">
        <f>IF(Z$59="X","",IF(Z$59&lt;&gt;"",Z$59,IF(IFERROR(INDEX(醫師週班表!$C$5:$T$44,$CU16,Z$57),"")=0,"",IF(MID(IFERROR(INDEX(醫師週班表!$C$5:$T$44,$CU16,Z$57),""),2,1)="/",MID(IFERROR(INDEX(醫師週班表!$C$5:$T$44,$CU16,Z$57),""),1+Z$58*2,1),IF(MID(IFERROR(INDEX(醫師週班表!$C$5:$T$44,$CU16,Z$57),""),3,1)="隔",IF(Z$58=0,LEFT(IFERROR(INDEX(醫師週班表!$C$5:$T$44,$CU16,Z$57),""),1),""),IF(MID(IFERROR(INDEX(醫師週班表!$C$5:$T$44,$CU16,Z$57),""),2,1)="(",LEFT(IFERROR(INDEX(醫師週班表!$C$5:$T$44,$CU16,Z$57),""),1),IFERROR(INDEX(醫師週班表!$C$5:$T$44,$CU16,Z$57),"")))))))</f>
        <v/>
      </c>
      <c r="AA16" s="72">
        <f>IF(AA$59="X","",IF(AA$59&lt;&gt;"",AA$59,IF(IFERROR(INDEX(醫師週班表!$C$5:$T$44,$CU16,AA$57),"")=0,"",IF(MID(IFERROR(INDEX(醫師週班表!$C$5:$T$44,$CU16,AA$57),""),2,1)="/",MID(IFERROR(INDEX(醫師週班表!$C$5:$T$44,$CU16,AA$57),""),1+AA$58*2,1),IF(MID(IFERROR(INDEX(醫師週班表!$C$5:$T$44,$CU16,AA$57),""),3,1)="隔",IF(AA$58=0,LEFT(IFERROR(INDEX(醫師週班表!$C$5:$T$44,$CU16,AA$57),""),1),""),IF(MID(IFERROR(INDEX(醫師週班表!$C$5:$T$44,$CU16,AA$57),""),2,1)="(",LEFT(IFERROR(INDEX(醫師週班表!$C$5:$T$44,$CU16,AA$57),""),1),IFERROR(INDEX(醫師週班表!$C$5:$T$44,$CU16,AA$57),"")))))))</f>
        <v/>
      </c>
      <c r="AB16" s="72">
        <f>IF(AB$59="X","",IF(AB$59&lt;&gt;"",AB$59,IF(IFERROR(INDEX(醫師週班表!$C$5:$T$44,$CU16,AB$57),"")=0,"",IF(MID(IFERROR(INDEX(醫師週班表!$C$5:$T$44,$CU16,AB$57),""),2,1)="/",MID(IFERROR(INDEX(醫師週班表!$C$5:$T$44,$CU16,AB$57),""),1+AB$58*2,1),IF(MID(IFERROR(INDEX(醫師週班表!$C$5:$T$44,$CU16,AB$57),""),3,1)="隔",IF(AB$58=0,LEFT(IFERROR(INDEX(醫師週班表!$C$5:$T$44,$CU16,AB$57),""),1),""),IF(MID(IFERROR(INDEX(醫師週班表!$C$5:$T$44,$CU16,AB$57),""),2,1)="(",LEFT(IFERROR(INDEX(醫師週班表!$C$5:$T$44,$CU16,AB$57),""),1),IFERROR(INDEX(醫師週班表!$C$5:$T$44,$CU16,AB$57),"")))))))</f>
        <v/>
      </c>
      <c r="AC16" s="71">
        <f>IF(AC$59="X","",IF(AC$59&lt;&gt;"",AC$59,IF(IFERROR(INDEX(醫師週班表!$C$5:$T$44,$CU16,AC$57),"")=0,"",IF(MID(IFERROR(INDEX(醫師週班表!$C$5:$T$44,$CU16,AC$57),""),2,1)="/",MID(IFERROR(INDEX(醫師週班表!$C$5:$T$44,$CU16,AC$57),""),1+AC$58*2,1),IF(MID(IFERROR(INDEX(醫師週班表!$C$5:$T$44,$CU16,AC$57),""),3,1)="隔",IF(AC$58=0,LEFT(IFERROR(INDEX(醫師週班表!$C$5:$T$44,$CU16,AC$57),""),1),""),IF(MID(IFERROR(INDEX(醫師週班表!$C$5:$T$44,$CU16,AC$57),""),2,1)="(",LEFT(IFERROR(INDEX(醫師週班表!$C$5:$T$44,$CU16,AC$57),""),1),IFERROR(INDEX(醫師週班表!$C$5:$T$44,$CU16,AC$57),"")))))))</f>
        <v/>
      </c>
      <c r="AD16" s="72">
        <f>IF(AD$59="X","",IF(AD$59&lt;&gt;"",AD$59,IF(IFERROR(INDEX(醫師週班表!$C$5:$T$44,$CU16,AD$57),"")=0,"",IF(MID(IFERROR(INDEX(醫師週班表!$C$5:$T$44,$CU16,AD$57),""),2,1)="/",MID(IFERROR(INDEX(醫師週班表!$C$5:$T$44,$CU16,AD$57),""),1+AD$58*2,1),IF(MID(IFERROR(INDEX(醫師週班表!$C$5:$T$44,$CU16,AD$57),""),3,1)="隔",IF(AD$58=0,LEFT(IFERROR(INDEX(醫師週班表!$C$5:$T$44,$CU16,AD$57),""),1),""),IF(MID(IFERROR(INDEX(醫師週班表!$C$5:$T$44,$CU16,AD$57),""),2,1)="(",LEFT(IFERROR(INDEX(醫師週班表!$C$5:$T$44,$CU16,AD$57),""),1),IFERROR(INDEX(醫師週班表!$C$5:$T$44,$CU16,AD$57),"")))))))</f>
        <v/>
      </c>
      <c r="AE16" s="72">
        <f>IF(AE$59="X","",IF(AE$59&lt;&gt;"",AE$59,IF(IFERROR(INDEX(醫師週班表!$C$5:$T$44,$CU16,AE$57),"")=0,"",IF(MID(IFERROR(INDEX(醫師週班表!$C$5:$T$44,$CU16,AE$57),""),2,1)="/",MID(IFERROR(INDEX(醫師週班表!$C$5:$T$44,$CU16,AE$57),""),1+AE$58*2,1),IF(MID(IFERROR(INDEX(醫師週班表!$C$5:$T$44,$CU16,AE$57),""),3,1)="隔",IF(AE$58=0,LEFT(IFERROR(INDEX(醫師週班表!$C$5:$T$44,$CU16,AE$57),""),1),""),IF(MID(IFERROR(INDEX(醫師週班表!$C$5:$T$44,$CU16,AE$57),""),2,1)="(",LEFT(IFERROR(INDEX(醫師週班表!$C$5:$T$44,$CU16,AE$57),""),1),IFERROR(INDEX(醫師週班表!$C$5:$T$44,$CU16,AE$57),"")))))))</f>
        <v/>
      </c>
      <c r="AF16" s="71">
        <f>IF(AF$59="X","",IF(AF$59&lt;&gt;"",AF$59,IF(IFERROR(INDEX(醫師週班表!$C$5:$T$44,$CU16,AF$57),"")=0,"",IF(MID(IFERROR(INDEX(醫師週班表!$C$5:$T$44,$CU16,AF$57),""),2,1)="/",MID(IFERROR(INDEX(醫師週班表!$C$5:$T$44,$CU16,AF$57),""),1+AF$58*2,1),IF(MID(IFERROR(INDEX(醫師週班表!$C$5:$T$44,$CU16,AF$57),""),3,1)="隔",IF(AF$58=0,LEFT(IFERROR(INDEX(醫師週班表!$C$5:$T$44,$CU16,AF$57),""),1),""),IF(MID(IFERROR(INDEX(醫師週班表!$C$5:$T$44,$CU16,AF$57),""),2,1)="(",LEFT(IFERROR(INDEX(醫師週班表!$C$5:$T$44,$CU16,AF$57),""),1),IFERROR(INDEX(醫師週班表!$C$5:$T$44,$CU16,AF$57),"")))))))</f>
        <v/>
      </c>
      <c r="AG16" s="72">
        <f>IF(AG$59="X","",IF(AG$59&lt;&gt;"",AG$59,IF(IFERROR(INDEX(醫師週班表!$C$5:$T$44,$CU16,AG$57),"")=0,"",IF(MID(IFERROR(INDEX(醫師週班表!$C$5:$T$44,$CU16,AG$57),""),2,1)="/",MID(IFERROR(INDEX(醫師週班表!$C$5:$T$44,$CU16,AG$57),""),1+AG$58*2,1),IF(MID(IFERROR(INDEX(醫師週班表!$C$5:$T$44,$CU16,AG$57),""),3,1)="隔",IF(AG$58=0,LEFT(IFERROR(INDEX(醫師週班表!$C$5:$T$44,$CU16,AG$57),""),1),""),IF(MID(IFERROR(INDEX(醫師週班表!$C$5:$T$44,$CU16,AG$57),""),2,1)="(",LEFT(IFERROR(INDEX(醫師週班表!$C$5:$T$44,$CU16,AG$57),""),1),IFERROR(INDEX(醫師週班表!$C$5:$T$44,$CU16,AG$57),"")))))))</f>
        <v/>
      </c>
      <c r="AH16" s="72">
        <f>IF(AH$59="X","",IF(AH$59&lt;&gt;"",AH$59,IF(IFERROR(INDEX(醫師週班表!$C$5:$T$44,$CU16,AH$57),"")=0,"",IF(MID(IFERROR(INDEX(醫師週班表!$C$5:$T$44,$CU16,AH$57),""),2,1)="/",MID(IFERROR(INDEX(醫師週班表!$C$5:$T$44,$CU16,AH$57),""),1+AH$58*2,1),IF(MID(IFERROR(INDEX(醫師週班表!$C$5:$T$44,$CU16,AH$57),""),3,1)="隔",IF(AH$58=0,LEFT(IFERROR(INDEX(醫師週班表!$C$5:$T$44,$CU16,AH$57),""),1),""),IF(MID(IFERROR(INDEX(醫師週班表!$C$5:$T$44,$CU16,AH$57),""),2,1)="(",LEFT(IFERROR(INDEX(醫師週班表!$C$5:$T$44,$CU16,AH$57),""),1),IFERROR(INDEX(醫師週班表!$C$5:$T$44,$CU16,AH$57),"")))))))</f>
        <v/>
      </c>
      <c r="AI16" s="71">
        <f>IF(AI$59="X","",IF(AI$59&lt;&gt;"",AI$59,IF(IFERROR(INDEX(醫師週班表!$C$5:$T$44,$CU16,AI$57),"")=0,"",IF(MID(IFERROR(INDEX(醫師週班表!$C$5:$T$44,$CU16,AI$57),""),2,1)="/",MID(IFERROR(INDEX(醫師週班表!$C$5:$T$44,$CU16,AI$57),""),1+AI$58*2,1),IF(MID(IFERROR(INDEX(醫師週班表!$C$5:$T$44,$CU16,AI$57),""),3,1)="隔",IF(AI$58=0,LEFT(IFERROR(INDEX(醫師週班表!$C$5:$T$44,$CU16,AI$57),""),1),""),IF(MID(IFERROR(INDEX(醫師週班表!$C$5:$T$44,$CU16,AI$57),""),2,1)="(",LEFT(IFERROR(INDEX(醫師週班表!$C$5:$T$44,$CU16,AI$57),""),1),IFERROR(INDEX(醫師週班表!$C$5:$T$44,$CU16,AI$57),"")))))))</f>
        <v/>
      </c>
      <c r="AJ16" s="72">
        <f>IF(AJ$59="X","",IF(AJ$59&lt;&gt;"",AJ$59,IF(IFERROR(INDEX(醫師週班表!$C$5:$T$44,$CU16,AJ$57),"")=0,"",IF(MID(IFERROR(INDEX(醫師週班表!$C$5:$T$44,$CU16,AJ$57),""),2,1)="/",MID(IFERROR(INDEX(醫師週班表!$C$5:$T$44,$CU16,AJ$57),""),1+AJ$58*2,1),IF(MID(IFERROR(INDEX(醫師週班表!$C$5:$T$44,$CU16,AJ$57),""),3,1)="隔",IF(AJ$58=0,LEFT(IFERROR(INDEX(醫師週班表!$C$5:$T$44,$CU16,AJ$57),""),1),""),IF(MID(IFERROR(INDEX(醫師週班表!$C$5:$T$44,$CU16,AJ$57),""),2,1)="(",LEFT(IFERROR(INDEX(醫師週班表!$C$5:$T$44,$CU16,AJ$57),""),1),IFERROR(INDEX(醫師週班表!$C$5:$T$44,$CU16,AJ$57),"")))))))</f>
        <v/>
      </c>
      <c r="AK16" s="72">
        <f>IF(AK$59="X","",IF(AK$59&lt;&gt;"",AK$59,IF(IFERROR(INDEX(醫師週班表!$C$5:$T$44,$CU16,AK$57),"")=0,"",IF(MID(IFERROR(INDEX(醫師週班表!$C$5:$T$44,$CU16,AK$57),""),2,1)="/",MID(IFERROR(INDEX(醫師週班表!$C$5:$T$44,$CU16,AK$57),""),1+AK$58*2,1),IF(MID(IFERROR(INDEX(醫師週班表!$C$5:$T$44,$CU16,AK$57),""),3,1)="隔",IF(AK$58=0,LEFT(IFERROR(INDEX(醫師週班表!$C$5:$T$44,$CU16,AK$57),""),1),""),IF(MID(IFERROR(INDEX(醫師週班表!$C$5:$T$44,$CU16,AK$57),""),2,1)="(",LEFT(IFERROR(INDEX(醫師週班表!$C$5:$T$44,$CU16,AK$57),""),1),IFERROR(INDEX(醫師週班表!$C$5:$T$44,$CU16,AK$57),"")))))))</f>
        <v/>
      </c>
      <c r="AL16" s="71">
        <f>IF(AL$59="X","",IF(AL$59&lt;&gt;"",AL$59,IF(IFERROR(INDEX(醫師週班表!$C$5:$T$44,$CU16,AL$57),"")=0,"",IF(MID(IFERROR(INDEX(醫師週班表!$C$5:$T$44,$CU16,AL$57),""),2,1)="/",MID(IFERROR(INDEX(醫師週班表!$C$5:$T$44,$CU16,AL$57),""),1+AL$58*2,1),IF(MID(IFERROR(INDEX(醫師週班表!$C$5:$T$44,$CU16,AL$57),""),3,1)="隔",IF(AL$58=0,LEFT(IFERROR(INDEX(醫師週班表!$C$5:$T$44,$CU16,AL$57),""),1),""),IF(MID(IFERROR(INDEX(醫師週班表!$C$5:$T$44,$CU16,AL$57),""),2,1)="(",LEFT(IFERROR(INDEX(醫師週班表!$C$5:$T$44,$CU16,AL$57),""),1),IFERROR(INDEX(醫師週班表!$C$5:$T$44,$CU16,AL$57),"")))))))</f>
        <v/>
      </c>
      <c r="AM16" s="72">
        <f>IF(AM$59="X","",IF(AM$59&lt;&gt;"",AM$59,IF(IFERROR(INDEX(醫師週班表!$C$5:$T$44,$CU16,AM$57),"")=0,"",IF(MID(IFERROR(INDEX(醫師週班表!$C$5:$T$44,$CU16,AM$57),""),2,1)="/",MID(IFERROR(INDEX(醫師週班表!$C$5:$T$44,$CU16,AM$57),""),1+AM$58*2,1),IF(MID(IFERROR(INDEX(醫師週班表!$C$5:$T$44,$CU16,AM$57),""),3,1)="隔",IF(AM$58=0,LEFT(IFERROR(INDEX(醫師週班表!$C$5:$T$44,$CU16,AM$57),""),1),""),IF(MID(IFERROR(INDEX(醫師週班表!$C$5:$T$44,$CU16,AM$57),""),2,1)="(",LEFT(IFERROR(INDEX(醫師週班表!$C$5:$T$44,$CU16,AM$57),""),1),IFERROR(INDEX(醫師週班表!$C$5:$T$44,$CU16,AM$57),"")))))))</f>
        <v/>
      </c>
      <c r="AN16" s="72">
        <f>IF(AN$59="X","",IF(AN$59&lt;&gt;"",AN$59,IF(IFERROR(INDEX(醫師週班表!$C$5:$T$44,$CU16,AN$57),"")=0,"",IF(MID(IFERROR(INDEX(醫師週班表!$C$5:$T$44,$CU16,AN$57),""),2,1)="/",MID(IFERROR(INDEX(醫師週班表!$C$5:$T$44,$CU16,AN$57),""),1+AN$58*2,1),IF(MID(IFERROR(INDEX(醫師週班表!$C$5:$T$44,$CU16,AN$57),""),3,1)="隔",IF(AN$58=0,LEFT(IFERROR(INDEX(醫師週班表!$C$5:$T$44,$CU16,AN$57),""),1),""),IF(MID(IFERROR(INDEX(醫師週班表!$C$5:$T$44,$CU16,AN$57),""),2,1)="(",LEFT(IFERROR(INDEX(醫師週班表!$C$5:$T$44,$CU16,AN$57),""),1),IFERROR(INDEX(醫師週班表!$C$5:$T$44,$CU16,AN$57),"")))))))</f>
        <v/>
      </c>
      <c r="AO16" s="71">
        <f>IF(AO$59="X","",IF(AO$59&lt;&gt;"",AO$59,IF(IFERROR(INDEX(醫師週班表!$C$5:$T$44,$CU16,AO$57),"")=0,"",IF(MID(IFERROR(INDEX(醫師週班表!$C$5:$T$44,$CU16,AO$57),""),2,1)="/",MID(IFERROR(INDEX(醫師週班表!$C$5:$T$44,$CU16,AO$57),""),1+AO$58*2,1),IF(MID(IFERROR(INDEX(醫師週班表!$C$5:$T$44,$CU16,AO$57),""),3,1)="隔",IF(AO$58=0,LEFT(IFERROR(INDEX(醫師週班表!$C$5:$T$44,$CU16,AO$57),""),1),""),IF(MID(IFERROR(INDEX(醫師週班表!$C$5:$T$44,$CU16,AO$57),""),2,1)="(",LEFT(IFERROR(INDEX(醫師週班表!$C$5:$T$44,$CU16,AO$57),""),1),IFERROR(INDEX(醫師週班表!$C$5:$T$44,$CU16,AO$57),"")))))))</f>
        <v/>
      </c>
      <c r="AP16" s="72">
        <f>IF(AP$59="X","",IF(AP$59&lt;&gt;"",AP$59,IF(IFERROR(INDEX(醫師週班表!$C$5:$T$44,$CU16,AP$57),"")=0,"",IF(MID(IFERROR(INDEX(醫師週班表!$C$5:$T$44,$CU16,AP$57),""),2,1)="/",MID(IFERROR(INDEX(醫師週班表!$C$5:$T$44,$CU16,AP$57),""),1+AP$58*2,1),IF(MID(IFERROR(INDEX(醫師週班表!$C$5:$T$44,$CU16,AP$57),""),3,1)="隔",IF(AP$58=0,LEFT(IFERROR(INDEX(醫師週班表!$C$5:$T$44,$CU16,AP$57),""),1),""),IF(MID(IFERROR(INDEX(醫師週班表!$C$5:$T$44,$CU16,AP$57),""),2,1)="(",LEFT(IFERROR(INDEX(醫師週班表!$C$5:$T$44,$CU16,AP$57),""),1),IFERROR(INDEX(醫師週班表!$C$5:$T$44,$CU16,AP$57),"")))))))</f>
        <v/>
      </c>
      <c r="AQ16" s="72">
        <f>IF(AQ$59="X","",IF(AQ$59&lt;&gt;"",AQ$59,IF(IFERROR(INDEX(醫師週班表!$C$5:$T$44,$CU16,AQ$57),"")=0,"",IF(MID(IFERROR(INDEX(醫師週班表!$C$5:$T$44,$CU16,AQ$57),""),2,1)="/",MID(IFERROR(INDEX(醫師週班表!$C$5:$T$44,$CU16,AQ$57),""),1+AQ$58*2,1),IF(MID(IFERROR(INDEX(醫師週班表!$C$5:$T$44,$CU16,AQ$57),""),3,1)="隔",IF(AQ$58=0,LEFT(IFERROR(INDEX(醫師週班表!$C$5:$T$44,$CU16,AQ$57),""),1),""),IF(MID(IFERROR(INDEX(醫師週班表!$C$5:$T$44,$CU16,AQ$57),""),2,1)="(",LEFT(IFERROR(INDEX(醫師週班表!$C$5:$T$44,$CU16,AQ$57),""),1),IFERROR(INDEX(醫師週班表!$C$5:$T$44,$CU16,AQ$57),"")))))))</f>
        <v/>
      </c>
      <c r="AR16" s="71">
        <f>IF(AR$59="X","",IF(AR$59&lt;&gt;"",AR$59,IF(IFERROR(INDEX(醫師週班表!$C$5:$T$44,$CU16,AR$57),"")=0,"",IF(MID(IFERROR(INDEX(醫師週班表!$C$5:$T$44,$CU16,AR$57),""),2,1)="/",MID(IFERROR(INDEX(醫師週班表!$C$5:$T$44,$CU16,AR$57),""),1+AR$58*2,1),IF(MID(IFERROR(INDEX(醫師週班表!$C$5:$T$44,$CU16,AR$57),""),3,1)="隔",IF(AR$58=0,LEFT(IFERROR(INDEX(醫師週班表!$C$5:$T$44,$CU16,AR$57),""),1),""),IF(MID(IFERROR(INDEX(醫師週班表!$C$5:$T$44,$CU16,AR$57),""),2,1)="(",LEFT(IFERROR(INDEX(醫師週班表!$C$5:$T$44,$CU16,AR$57),""),1),IFERROR(INDEX(醫師週班表!$C$5:$T$44,$CU16,AR$57),"")))))))</f>
        <v/>
      </c>
      <c r="AS16" s="72">
        <f>IF(AS$59="X","",IF(AS$59&lt;&gt;"",AS$59,IF(IFERROR(INDEX(醫師週班表!$C$5:$T$44,$CU16,AS$57),"")=0,"",IF(MID(IFERROR(INDEX(醫師週班表!$C$5:$T$44,$CU16,AS$57),""),2,1)="/",MID(IFERROR(INDEX(醫師週班表!$C$5:$T$44,$CU16,AS$57),""),1+AS$58*2,1),IF(MID(IFERROR(INDEX(醫師週班表!$C$5:$T$44,$CU16,AS$57),""),3,1)="隔",IF(AS$58=0,LEFT(IFERROR(INDEX(醫師週班表!$C$5:$T$44,$CU16,AS$57),""),1),""),IF(MID(IFERROR(INDEX(醫師週班表!$C$5:$T$44,$CU16,AS$57),""),2,1)="(",LEFT(IFERROR(INDEX(醫師週班表!$C$5:$T$44,$CU16,AS$57),""),1),IFERROR(INDEX(醫師週班表!$C$5:$T$44,$CU16,AS$57),"")))))))</f>
        <v/>
      </c>
      <c r="AT16" s="72">
        <f>IF(AT$59="X","",IF(AT$59&lt;&gt;"",AT$59,IF(IFERROR(INDEX(醫師週班表!$C$5:$T$44,$CU16,AT$57),"")=0,"",IF(MID(IFERROR(INDEX(醫師週班表!$C$5:$T$44,$CU16,AT$57),""),2,1)="/",MID(IFERROR(INDEX(醫師週班表!$C$5:$T$44,$CU16,AT$57),""),1+AT$58*2,1),IF(MID(IFERROR(INDEX(醫師週班表!$C$5:$T$44,$CU16,AT$57),""),3,1)="隔",IF(AT$58=0,LEFT(IFERROR(INDEX(醫師週班表!$C$5:$T$44,$CU16,AT$57),""),1),""),IF(MID(IFERROR(INDEX(醫師週班表!$C$5:$T$44,$CU16,AT$57),""),2,1)="(",LEFT(IFERROR(INDEX(醫師週班表!$C$5:$T$44,$CU16,AT$57),""),1),IFERROR(INDEX(醫師週班表!$C$5:$T$44,$CU16,AT$57),"")))))))</f>
        <v/>
      </c>
      <c r="AU16" s="71">
        <f>IF(AU$59="X","",IF(AU$59&lt;&gt;"",AU$59,IF(IFERROR(INDEX(醫師週班表!$C$5:$T$44,$CU16,AU$57),"")=0,"",IF(MID(IFERROR(INDEX(醫師週班表!$C$5:$T$44,$CU16,AU$57),""),2,1)="/",MID(IFERROR(INDEX(醫師週班表!$C$5:$T$44,$CU16,AU$57),""),1+AU$58*2,1),IF(MID(IFERROR(INDEX(醫師週班表!$C$5:$T$44,$CU16,AU$57),""),3,1)="隔",IF(AU$58=0,LEFT(IFERROR(INDEX(醫師週班表!$C$5:$T$44,$CU16,AU$57),""),1),""),IF(MID(IFERROR(INDEX(醫師週班表!$C$5:$T$44,$CU16,AU$57),""),2,1)="(",LEFT(IFERROR(INDEX(醫師週班表!$C$5:$T$44,$CU16,AU$57),""),1),IFERROR(INDEX(醫師週班表!$C$5:$T$44,$CU16,AU$57),"")))))))</f>
        <v/>
      </c>
      <c r="AV16" s="72">
        <f>IF(AV$59="X","",IF(AV$59&lt;&gt;"",AV$59,IF(IFERROR(INDEX(醫師週班表!$C$5:$T$44,$CU16,AV$57),"")=0,"",IF(MID(IFERROR(INDEX(醫師週班表!$C$5:$T$44,$CU16,AV$57),""),2,1)="/",MID(IFERROR(INDEX(醫師週班表!$C$5:$T$44,$CU16,AV$57),""),1+AV$58*2,1),IF(MID(IFERROR(INDEX(醫師週班表!$C$5:$T$44,$CU16,AV$57),""),3,1)="隔",IF(AV$58=0,LEFT(IFERROR(INDEX(醫師週班表!$C$5:$T$44,$CU16,AV$57),""),1),""),IF(MID(IFERROR(INDEX(醫師週班表!$C$5:$T$44,$CU16,AV$57),""),2,1)="(",LEFT(IFERROR(INDEX(醫師週班表!$C$5:$T$44,$CU16,AV$57),""),1),IFERROR(INDEX(醫師週班表!$C$5:$T$44,$CU16,AV$57),"")))))))</f>
        <v/>
      </c>
      <c r="AW16" s="72">
        <f>IF(AW$59="X","",IF(AW$59&lt;&gt;"",AW$59,IF(IFERROR(INDEX(醫師週班表!$C$5:$T$44,$CU16,AW$57),"")=0,"",IF(MID(IFERROR(INDEX(醫師週班表!$C$5:$T$44,$CU16,AW$57),""),2,1)="/",MID(IFERROR(INDEX(醫師週班表!$C$5:$T$44,$CU16,AW$57),""),1+AW$58*2,1),IF(MID(IFERROR(INDEX(醫師週班表!$C$5:$T$44,$CU16,AW$57),""),3,1)="隔",IF(AW$58=0,LEFT(IFERROR(INDEX(醫師週班表!$C$5:$T$44,$CU16,AW$57),""),1),""),IF(MID(IFERROR(INDEX(醫師週班表!$C$5:$T$44,$CU16,AW$57),""),2,1)="(",LEFT(IFERROR(INDEX(醫師週班表!$C$5:$T$44,$CU16,AW$57),""),1),IFERROR(INDEX(醫師週班表!$C$5:$T$44,$CU16,AW$57),"")))))))</f>
        <v/>
      </c>
      <c r="AX16" s="71">
        <f>IF(AX$59="X","",IF(AX$59&lt;&gt;"",AX$59,IF(IFERROR(INDEX(醫師週班表!$C$5:$T$44,$CU16,AX$57),"")=0,"",IF(MID(IFERROR(INDEX(醫師週班表!$C$5:$T$44,$CU16,AX$57),""),2,1)="/",MID(IFERROR(INDEX(醫師週班表!$C$5:$T$44,$CU16,AX$57),""),1+AX$58*2,1),IF(MID(IFERROR(INDEX(醫師週班表!$C$5:$T$44,$CU16,AX$57),""),3,1)="隔",IF(AX$58=0,LEFT(IFERROR(INDEX(醫師週班表!$C$5:$T$44,$CU16,AX$57),""),1),""),IF(MID(IFERROR(INDEX(醫師週班表!$C$5:$T$44,$CU16,AX$57),""),2,1)="(",LEFT(IFERROR(INDEX(醫師週班表!$C$5:$T$44,$CU16,AX$57),""),1),IFERROR(INDEX(醫師週班表!$C$5:$T$44,$CU16,AX$57),"")))))))</f>
        <v/>
      </c>
      <c r="AY16" s="72">
        <f>IF(AY$59="X","",IF(AY$59&lt;&gt;"",AY$59,IF(IFERROR(INDEX(醫師週班表!$C$5:$T$44,$CU16,AY$57),"")=0,"",IF(MID(IFERROR(INDEX(醫師週班表!$C$5:$T$44,$CU16,AY$57),""),2,1)="/",MID(IFERROR(INDEX(醫師週班表!$C$5:$T$44,$CU16,AY$57),""),1+AY$58*2,1),IF(MID(IFERROR(INDEX(醫師週班表!$C$5:$T$44,$CU16,AY$57),""),3,1)="隔",IF(AY$58=0,LEFT(IFERROR(INDEX(醫師週班表!$C$5:$T$44,$CU16,AY$57),""),1),""),IF(MID(IFERROR(INDEX(醫師週班表!$C$5:$T$44,$CU16,AY$57),""),2,1)="(",LEFT(IFERROR(INDEX(醫師週班表!$C$5:$T$44,$CU16,AY$57),""),1),IFERROR(INDEX(醫師週班表!$C$5:$T$44,$CU16,AY$57),"")))))))</f>
        <v/>
      </c>
      <c r="AZ16" s="72">
        <f>IF(AZ$59="X","",IF(AZ$59&lt;&gt;"",AZ$59,IF(IFERROR(INDEX(醫師週班表!$C$5:$T$44,$CU16,AZ$57),"")=0,"",IF(MID(IFERROR(INDEX(醫師週班表!$C$5:$T$44,$CU16,AZ$57),""),2,1)="/",MID(IFERROR(INDEX(醫師週班表!$C$5:$T$44,$CU16,AZ$57),""),1+AZ$58*2,1),IF(MID(IFERROR(INDEX(醫師週班表!$C$5:$T$44,$CU16,AZ$57),""),3,1)="隔",IF(AZ$58=0,LEFT(IFERROR(INDEX(醫師週班表!$C$5:$T$44,$CU16,AZ$57),""),1),""),IF(MID(IFERROR(INDEX(醫師週班表!$C$5:$T$44,$CU16,AZ$57),""),2,1)="(",LEFT(IFERROR(INDEX(醫師週班表!$C$5:$T$44,$CU16,AZ$57),""),1),IFERROR(INDEX(醫師週班表!$C$5:$T$44,$CU16,AZ$57),"")))))))</f>
        <v/>
      </c>
      <c r="BA16" s="71">
        <f>IF(BA$59="X","",IF(BA$59&lt;&gt;"",BA$59,IF(IFERROR(INDEX(醫師週班表!$C$5:$T$44,$CU16,BA$57),"")=0,"",IF(MID(IFERROR(INDEX(醫師週班表!$C$5:$T$44,$CU16,BA$57),""),2,1)="/",MID(IFERROR(INDEX(醫師週班表!$C$5:$T$44,$CU16,BA$57),""),1+BA$58*2,1),IF(MID(IFERROR(INDEX(醫師週班表!$C$5:$T$44,$CU16,BA$57),""),3,1)="隔",IF(BA$58=0,LEFT(IFERROR(INDEX(醫師週班表!$C$5:$T$44,$CU16,BA$57),""),1),""),IF(MID(IFERROR(INDEX(醫師週班表!$C$5:$T$44,$CU16,BA$57),""),2,1)="(",LEFT(IFERROR(INDEX(醫師週班表!$C$5:$T$44,$CU16,BA$57),""),1),IFERROR(INDEX(醫師週班表!$C$5:$T$44,$CU16,BA$57),"")))))))</f>
        <v/>
      </c>
      <c r="BB16" s="72">
        <f>IF(BB$59="X","",IF(BB$59&lt;&gt;"",BB$59,IF(IFERROR(INDEX(醫師週班表!$C$5:$T$44,$CU16,BB$57),"")=0,"",IF(MID(IFERROR(INDEX(醫師週班表!$C$5:$T$44,$CU16,BB$57),""),2,1)="/",MID(IFERROR(INDEX(醫師週班表!$C$5:$T$44,$CU16,BB$57),""),1+BB$58*2,1),IF(MID(IFERROR(INDEX(醫師週班表!$C$5:$T$44,$CU16,BB$57),""),3,1)="隔",IF(BB$58=0,LEFT(IFERROR(INDEX(醫師週班表!$C$5:$T$44,$CU16,BB$57),""),1),""),IF(MID(IFERROR(INDEX(醫師週班表!$C$5:$T$44,$CU16,BB$57),""),2,1)="(",LEFT(IFERROR(INDEX(醫師週班表!$C$5:$T$44,$CU16,BB$57),""),1),IFERROR(INDEX(醫師週班表!$C$5:$T$44,$CU16,BB$57),"")))))))</f>
        <v/>
      </c>
      <c r="BC16" s="72">
        <f>IF(BC$59="X","",IF(BC$59&lt;&gt;"",BC$59,IF(IFERROR(INDEX(醫師週班表!$C$5:$T$44,$CU16,BC$57),"")=0,"",IF(MID(IFERROR(INDEX(醫師週班表!$C$5:$T$44,$CU16,BC$57),""),2,1)="/",MID(IFERROR(INDEX(醫師週班表!$C$5:$T$44,$CU16,BC$57),""),1+BC$58*2,1),IF(MID(IFERROR(INDEX(醫師週班表!$C$5:$T$44,$CU16,BC$57),""),3,1)="隔",IF(BC$58=0,LEFT(IFERROR(INDEX(醫師週班表!$C$5:$T$44,$CU16,BC$57),""),1),""),IF(MID(IFERROR(INDEX(醫師週班表!$C$5:$T$44,$CU16,BC$57),""),2,1)="(",LEFT(IFERROR(INDEX(醫師週班表!$C$5:$T$44,$CU16,BC$57),""),1),IFERROR(INDEX(醫師週班表!$C$5:$T$44,$CU16,BC$57),"")))))))</f>
        <v/>
      </c>
      <c r="BD16" s="71">
        <f>IF(BD$59="X","",IF(BD$59&lt;&gt;"",BD$59,IF(IFERROR(INDEX(醫師週班表!$C$5:$T$44,$CU16,BD$57),"")=0,"",IF(MID(IFERROR(INDEX(醫師週班表!$C$5:$T$44,$CU16,BD$57),""),2,1)="/",MID(IFERROR(INDEX(醫師週班表!$C$5:$T$44,$CU16,BD$57),""),1+BD$58*2,1),IF(MID(IFERROR(INDEX(醫師週班表!$C$5:$T$44,$CU16,BD$57),""),3,1)="隔",IF(BD$58=0,LEFT(IFERROR(INDEX(醫師週班表!$C$5:$T$44,$CU16,BD$57),""),1),""),IF(MID(IFERROR(INDEX(醫師週班表!$C$5:$T$44,$CU16,BD$57),""),2,1)="(",LEFT(IFERROR(INDEX(醫師週班表!$C$5:$T$44,$CU16,BD$57),""),1),IFERROR(INDEX(醫師週班表!$C$5:$T$44,$CU16,BD$57),"")))))))</f>
        <v/>
      </c>
      <c r="BE16" s="72">
        <f>IF(BE$59="X","",IF(BE$59&lt;&gt;"",BE$59,IF(IFERROR(INDEX(醫師週班表!$C$5:$T$44,$CU16,BE$57),"")=0,"",IF(MID(IFERROR(INDEX(醫師週班表!$C$5:$T$44,$CU16,BE$57),""),2,1)="/",MID(IFERROR(INDEX(醫師週班表!$C$5:$T$44,$CU16,BE$57),""),1+BE$58*2,1),IF(MID(IFERROR(INDEX(醫師週班表!$C$5:$T$44,$CU16,BE$57),""),3,1)="隔",IF(BE$58=0,LEFT(IFERROR(INDEX(醫師週班表!$C$5:$T$44,$CU16,BE$57),""),1),""),IF(MID(IFERROR(INDEX(醫師週班表!$C$5:$T$44,$CU16,BE$57),""),2,1)="(",LEFT(IFERROR(INDEX(醫師週班表!$C$5:$T$44,$CU16,BE$57),""),1),IFERROR(INDEX(醫師週班表!$C$5:$T$44,$CU16,BE$57),"")))))))</f>
        <v/>
      </c>
      <c r="BF16" s="72">
        <f>IF(BF$59="X","",IF(BF$59&lt;&gt;"",BF$59,IF(IFERROR(INDEX(醫師週班表!$C$5:$T$44,$CU16,BF$57),"")=0,"",IF(MID(IFERROR(INDEX(醫師週班表!$C$5:$T$44,$CU16,BF$57),""),2,1)="/",MID(IFERROR(INDEX(醫師週班表!$C$5:$T$44,$CU16,BF$57),""),1+BF$58*2,1),IF(MID(IFERROR(INDEX(醫師週班表!$C$5:$T$44,$CU16,BF$57),""),3,1)="隔",IF(BF$58=0,LEFT(IFERROR(INDEX(醫師週班表!$C$5:$T$44,$CU16,BF$57),""),1),""),IF(MID(IFERROR(INDEX(醫師週班表!$C$5:$T$44,$CU16,BF$57),""),2,1)="(",LEFT(IFERROR(INDEX(醫師週班表!$C$5:$T$44,$CU16,BF$57),""),1),IFERROR(INDEX(醫師週班表!$C$5:$T$44,$CU16,BF$57),"")))))))</f>
        <v/>
      </c>
      <c r="BG16" s="71">
        <f>IF(BG$59="X","",IF(BG$59&lt;&gt;"",BG$59,IF(IFERROR(INDEX(醫師週班表!$C$5:$T$44,$CU16,BG$57),"")=0,"",IF(MID(IFERROR(INDEX(醫師週班表!$C$5:$T$44,$CU16,BG$57),""),2,1)="/",MID(IFERROR(INDEX(醫師週班表!$C$5:$T$44,$CU16,BG$57),""),1+BG$58*2,1),IF(MID(IFERROR(INDEX(醫師週班表!$C$5:$T$44,$CU16,BG$57),""),3,1)="隔",IF(BG$58=0,LEFT(IFERROR(INDEX(醫師週班表!$C$5:$T$44,$CU16,BG$57),""),1),""),IF(MID(IFERROR(INDEX(醫師週班表!$C$5:$T$44,$CU16,BG$57),""),2,1)="(",LEFT(IFERROR(INDEX(醫師週班表!$C$5:$T$44,$CU16,BG$57),""),1),IFERROR(INDEX(醫師週班表!$C$5:$T$44,$CU16,BG$57),"")))))))</f>
        <v/>
      </c>
      <c r="BH16" s="72">
        <f>IF(BH$59="X","",IF(BH$59&lt;&gt;"",BH$59,IF(IFERROR(INDEX(醫師週班表!$C$5:$T$44,$CU16,BH$57),"")=0,"",IF(MID(IFERROR(INDEX(醫師週班表!$C$5:$T$44,$CU16,BH$57),""),2,1)="/",MID(IFERROR(INDEX(醫師週班表!$C$5:$T$44,$CU16,BH$57),""),1+BH$58*2,1),IF(MID(IFERROR(INDEX(醫師週班表!$C$5:$T$44,$CU16,BH$57),""),3,1)="隔",IF(BH$58=0,LEFT(IFERROR(INDEX(醫師週班表!$C$5:$T$44,$CU16,BH$57),""),1),""),IF(MID(IFERROR(INDEX(醫師週班表!$C$5:$T$44,$CU16,BH$57),""),2,1)="(",LEFT(IFERROR(INDEX(醫師週班表!$C$5:$T$44,$CU16,BH$57),""),1),IFERROR(INDEX(醫師週班表!$C$5:$T$44,$CU16,BH$57),"")))))))</f>
        <v/>
      </c>
      <c r="BI16" s="72">
        <f>IF(BI$59="X","",IF(BI$59&lt;&gt;"",BI$59,IF(IFERROR(INDEX(醫師週班表!$C$5:$T$44,$CU16,BI$57),"")=0,"",IF(MID(IFERROR(INDEX(醫師週班表!$C$5:$T$44,$CU16,BI$57),""),2,1)="/",MID(IFERROR(INDEX(醫師週班表!$C$5:$T$44,$CU16,BI$57),""),1+BI$58*2,1),IF(MID(IFERROR(INDEX(醫師週班表!$C$5:$T$44,$CU16,BI$57),""),3,1)="隔",IF(BI$58=0,LEFT(IFERROR(INDEX(醫師週班表!$C$5:$T$44,$CU16,BI$57),""),1),""),IF(MID(IFERROR(INDEX(醫師週班表!$C$5:$T$44,$CU16,BI$57),""),2,1)="(",LEFT(IFERROR(INDEX(醫師週班表!$C$5:$T$44,$CU16,BI$57),""),1),IFERROR(INDEX(醫師週班表!$C$5:$T$44,$CU16,BI$57),"")))))))</f>
        <v/>
      </c>
      <c r="BJ16" s="71">
        <f>IF(BJ$59="X","",IF(BJ$59&lt;&gt;"",BJ$59,IF(IFERROR(INDEX(醫師週班表!$C$5:$T$44,$CU16,BJ$57),"")=0,"",IF(MID(IFERROR(INDEX(醫師週班表!$C$5:$T$44,$CU16,BJ$57),""),2,1)="/",MID(IFERROR(INDEX(醫師週班表!$C$5:$T$44,$CU16,BJ$57),""),1+BJ$58*2,1),IF(MID(IFERROR(INDEX(醫師週班表!$C$5:$T$44,$CU16,BJ$57),""),3,1)="隔",IF(BJ$58=0,LEFT(IFERROR(INDEX(醫師週班表!$C$5:$T$44,$CU16,BJ$57),""),1),""),IF(MID(IFERROR(INDEX(醫師週班表!$C$5:$T$44,$CU16,BJ$57),""),2,1)="(",LEFT(IFERROR(INDEX(醫師週班表!$C$5:$T$44,$CU16,BJ$57),""),1),IFERROR(INDEX(醫師週班表!$C$5:$T$44,$CU16,BJ$57),"")))))))</f>
        <v/>
      </c>
      <c r="BK16" s="72">
        <f>IF(BK$59="X","",IF(BK$59&lt;&gt;"",BK$59,IF(IFERROR(INDEX(醫師週班表!$C$5:$T$44,$CU16,BK$57),"")=0,"",IF(MID(IFERROR(INDEX(醫師週班表!$C$5:$T$44,$CU16,BK$57),""),2,1)="/",MID(IFERROR(INDEX(醫師週班表!$C$5:$T$44,$CU16,BK$57),""),1+BK$58*2,1),IF(MID(IFERROR(INDEX(醫師週班表!$C$5:$T$44,$CU16,BK$57),""),3,1)="隔",IF(BK$58=0,LEFT(IFERROR(INDEX(醫師週班表!$C$5:$T$44,$CU16,BK$57),""),1),""),IF(MID(IFERROR(INDEX(醫師週班表!$C$5:$T$44,$CU16,BK$57),""),2,1)="(",LEFT(IFERROR(INDEX(醫師週班表!$C$5:$T$44,$CU16,BK$57),""),1),IFERROR(INDEX(醫師週班表!$C$5:$T$44,$CU16,BK$57),"")))))))</f>
        <v/>
      </c>
      <c r="BL16" s="72">
        <f>IF(BL$59="X","",IF(BL$59&lt;&gt;"",BL$59,IF(IFERROR(INDEX(醫師週班表!$C$5:$T$44,$CU16,BL$57),"")=0,"",IF(MID(IFERROR(INDEX(醫師週班表!$C$5:$T$44,$CU16,BL$57),""),2,1)="/",MID(IFERROR(INDEX(醫師週班表!$C$5:$T$44,$CU16,BL$57),""),1+BL$58*2,1),IF(MID(IFERROR(INDEX(醫師週班表!$C$5:$T$44,$CU16,BL$57),""),3,1)="隔",IF(BL$58=0,LEFT(IFERROR(INDEX(醫師週班表!$C$5:$T$44,$CU16,BL$57),""),1),""),IF(MID(IFERROR(INDEX(醫師週班表!$C$5:$T$44,$CU16,BL$57),""),2,1)="(",LEFT(IFERROR(INDEX(醫師週班表!$C$5:$T$44,$CU16,BL$57),""),1),IFERROR(INDEX(醫師週班表!$C$5:$T$44,$CU16,BL$57),"")))))))</f>
        <v/>
      </c>
      <c r="BM16" s="71">
        <f>IF(BM$59="X","",IF(BM$59&lt;&gt;"",BM$59,IF(IFERROR(INDEX(醫師週班表!$C$5:$T$44,$CU16,BM$57),"")=0,"",IF(MID(IFERROR(INDEX(醫師週班表!$C$5:$T$44,$CU16,BM$57),""),2,1)="/",MID(IFERROR(INDEX(醫師週班表!$C$5:$T$44,$CU16,BM$57),""),1+BM$58*2,1),IF(MID(IFERROR(INDEX(醫師週班表!$C$5:$T$44,$CU16,BM$57),""),3,1)="隔",IF(BM$58=0,LEFT(IFERROR(INDEX(醫師週班表!$C$5:$T$44,$CU16,BM$57),""),1),""),IF(MID(IFERROR(INDEX(醫師週班表!$C$5:$T$44,$CU16,BM$57),""),2,1)="(",LEFT(IFERROR(INDEX(醫師週班表!$C$5:$T$44,$CU16,BM$57),""),1),IFERROR(INDEX(醫師週班表!$C$5:$T$44,$CU16,BM$57),"")))))))</f>
        <v/>
      </c>
      <c r="BN16" s="72">
        <f>IF(BN$59="X","",IF(BN$59&lt;&gt;"",BN$59,IF(IFERROR(INDEX(醫師週班表!$C$5:$T$44,$CU16,BN$57),"")=0,"",IF(MID(IFERROR(INDEX(醫師週班表!$C$5:$T$44,$CU16,BN$57),""),2,1)="/",MID(IFERROR(INDEX(醫師週班表!$C$5:$T$44,$CU16,BN$57),""),1+BN$58*2,1),IF(MID(IFERROR(INDEX(醫師週班表!$C$5:$T$44,$CU16,BN$57),""),3,1)="隔",IF(BN$58=0,LEFT(IFERROR(INDEX(醫師週班表!$C$5:$T$44,$CU16,BN$57),""),1),""),IF(MID(IFERROR(INDEX(醫師週班表!$C$5:$T$44,$CU16,BN$57),""),2,1)="(",LEFT(IFERROR(INDEX(醫師週班表!$C$5:$T$44,$CU16,BN$57),""),1),IFERROR(INDEX(醫師週班表!$C$5:$T$44,$CU16,BN$57),"")))))))</f>
        <v/>
      </c>
      <c r="BO16" s="72">
        <f>IF(BO$59="X","",IF(BO$59&lt;&gt;"",BO$59,IF(IFERROR(INDEX(醫師週班表!$C$5:$T$44,$CU16,BO$57),"")=0,"",IF(MID(IFERROR(INDEX(醫師週班表!$C$5:$T$44,$CU16,BO$57),""),2,1)="/",MID(IFERROR(INDEX(醫師週班表!$C$5:$T$44,$CU16,BO$57),""),1+BO$58*2,1),IF(MID(IFERROR(INDEX(醫師週班表!$C$5:$T$44,$CU16,BO$57),""),3,1)="隔",IF(BO$58=0,LEFT(IFERROR(INDEX(醫師週班表!$C$5:$T$44,$CU16,BO$57),""),1),""),IF(MID(IFERROR(INDEX(醫師週班表!$C$5:$T$44,$CU16,BO$57),""),2,1)="(",LEFT(IFERROR(INDEX(醫師週班表!$C$5:$T$44,$CU16,BO$57),""),1),IFERROR(INDEX(醫師週班表!$C$5:$T$44,$CU16,BO$57),"")))))))</f>
        <v/>
      </c>
      <c r="BP16" s="71">
        <f>IF(BP$59="X","",IF(BP$59&lt;&gt;"",BP$59,IF(IFERROR(INDEX(醫師週班表!$C$5:$T$44,$CU16,BP$57),"")=0,"",IF(MID(IFERROR(INDEX(醫師週班表!$C$5:$T$44,$CU16,BP$57),""),2,1)="/",MID(IFERROR(INDEX(醫師週班表!$C$5:$T$44,$CU16,BP$57),""),1+BP$58*2,1),IF(MID(IFERROR(INDEX(醫師週班表!$C$5:$T$44,$CU16,BP$57),""),3,1)="隔",IF(BP$58=0,LEFT(IFERROR(INDEX(醫師週班表!$C$5:$T$44,$CU16,BP$57),""),1),""),IF(MID(IFERROR(INDEX(醫師週班表!$C$5:$T$44,$CU16,BP$57),""),2,1)="(",LEFT(IFERROR(INDEX(醫師週班表!$C$5:$T$44,$CU16,BP$57),""),1),IFERROR(INDEX(醫師週班表!$C$5:$T$44,$CU16,BP$57),"")))))))</f>
        <v/>
      </c>
      <c r="BQ16" s="72">
        <f>IF(BQ$59="X","",IF(BQ$59&lt;&gt;"",BQ$59,IF(IFERROR(INDEX(醫師週班表!$C$5:$T$44,$CU16,BQ$57),"")=0,"",IF(MID(IFERROR(INDEX(醫師週班表!$C$5:$T$44,$CU16,BQ$57),""),2,1)="/",MID(IFERROR(INDEX(醫師週班表!$C$5:$T$44,$CU16,BQ$57),""),1+BQ$58*2,1),IF(MID(IFERROR(INDEX(醫師週班表!$C$5:$T$44,$CU16,BQ$57),""),3,1)="隔",IF(BQ$58=0,LEFT(IFERROR(INDEX(醫師週班表!$C$5:$T$44,$CU16,BQ$57),""),1),""),IF(MID(IFERROR(INDEX(醫師週班表!$C$5:$T$44,$CU16,BQ$57),""),2,1)="(",LEFT(IFERROR(INDEX(醫師週班表!$C$5:$T$44,$CU16,BQ$57),""),1),IFERROR(INDEX(醫師週班表!$C$5:$T$44,$CU16,BQ$57),"")))))))</f>
        <v/>
      </c>
      <c r="BR16" s="72">
        <f>IF(BR$59="X","",IF(BR$59&lt;&gt;"",BR$59,IF(IFERROR(INDEX(醫師週班表!$C$5:$T$44,$CU16,BR$57),"")=0,"",IF(MID(IFERROR(INDEX(醫師週班表!$C$5:$T$44,$CU16,BR$57),""),2,1)="/",MID(IFERROR(INDEX(醫師週班表!$C$5:$T$44,$CU16,BR$57),""),1+BR$58*2,1),IF(MID(IFERROR(INDEX(醫師週班表!$C$5:$T$44,$CU16,BR$57),""),3,1)="隔",IF(BR$58=0,LEFT(IFERROR(INDEX(醫師週班表!$C$5:$T$44,$CU16,BR$57),""),1),""),IF(MID(IFERROR(INDEX(醫師週班表!$C$5:$T$44,$CU16,BR$57),""),2,1)="(",LEFT(IFERROR(INDEX(醫師週班表!$C$5:$T$44,$CU16,BR$57),""),1),IFERROR(INDEX(醫師週班表!$C$5:$T$44,$CU16,BR$57),"")))))))</f>
        <v/>
      </c>
      <c r="BS16" s="71">
        <f>IF(BS$59="X","",IF(BS$59&lt;&gt;"",BS$59,IF(IFERROR(INDEX(醫師週班表!$C$5:$T$44,$CU16,BS$57),"")=0,"",IF(MID(IFERROR(INDEX(醫師週班表!$C$5:$T$44,$CU16,BS$57),""),2,1)="/",MID(IFERROR(INDEX(醫師週班表!$C$5:$T$44,$CU16,BS$57),""),1+BS$58*2,1),IF(MID(IFERROR(INDEX(醫師週班表!$C$5:$T$44,$CU16,BS$57),""),3,1)="隔",IF(BS$58=0,LEFT(IFERROR(INDEX(醫師週班表!$C$5:$T$44,$CU16,BS$57),""),1),""),IF(MID(IFERROR(INDEX(醫師週班表!$C$5:$T$44,$CU16,BS$57),""),2,1)="(",LEFT(IFERROR(INDEX(醫師週班表!$C$5:$T$44,$CU16,BS$57),""),1),IFERROR(INDEX(醫師週班表!$C$5:$T$44,$CU16,BS$57),"")))))))</f>
        <v/>
      </c>
      <c r="BT16" s="72">
        <f>IF(BT$59="X","",IF(BT$59&lt;&gt;"",BT$59,IF(IFERROR(INDEX(醫師週班表!$C$5:$T$44,$CU16,BT$57),"")=0,"",IF(MID(IFERROR(INDEX(醫師週班表!$C$5:$T$44,$CU16,BT$57),""),2,1)="/",MID(IFERROR(INDEX(醫師週班表!$C$5:$T$44,$CU16,BT$57),""),1+BT$58*2,1),IF(MID(IFERROR(INDEX(醫師週班表!$C$5:$T$44,$CU16,BT$57),""),3,1)="隔",IF(BT$58=0,LEFT(IFERROR(INDEX(醫師週班表!$C$5:$T$44,$CU16,BT$57),""),1),""),IF(MID(IFERROR(INDEX(醫師週班表!$C$5:$T$44,$CU16,BT$57),""),2,1)="(",LEFT(IFERROR(INDEX(醫師週班表!$C$5:$T$44,$CU16,BT$57),""),1),IFERROR(INDEX(醫師週班表!$C$5:$T$44,$CU16,BT$57),"")))))))</f>
        <v/>
      </c>
      <c r="BU16" s="72">
        <f>IF(BU$59="X","",IF(BU$59&lt;&gt;"",BU$59,IF(IFERROR(INDEX(醫師週班表!$C$5:$T$44,$CU16,BU$57),"")=0,"",IF(MID(IFERROR(INDEX(醫師週班表!$C$5:$T$44,$CU16,BU$57),""),2,1)="/",MID(IFERROR(INDEX(醫師週班表!$C$5:$T$44,$CU16,BU$57),""),1+BU$58*2,1),IF(MID(IFERROR(INDEX(醫師週班表!$C$5:$T$44,$CU16,BU$57),""),3,1)="隔",IF(BU$58=0,LEFT(IFERROR(INDEX(醫師週班表!$C$5:$T$44,$CU16,BU$57),""),1),""),IF(MID(IFERROR(INDEX(醫師週班表!$C$5:$T$44,$CU16,BU$57),""),2,1)="(",LEFT(IFERROR(INDEX(醫師週班表!$C$5:$T$44,$CU16,BU$57),""),1),IFERROR(INDEX(醫師週班表!$C$5:$T$44,$CU16,BU$57),"")))))))</f>
        <v/>
      </c>
      <c r="BV16" s="71">
        <f>IF(BV$59="X","",IF(BV$59&lt;&gt;"",BV$59,IF(IFERROR(INDEX(醫師週班表!$C$5:$T$44,$CU16,BV$57),"")=0,"",IF(MID(IFERROR(INDEX(醫師週班表!$C$5:$T$44,$CU16,BV$57),""),2,1)="/",MID(IFERROR(INDEX(醫師週班表!$C$5:$T$44,$CU16,BV$57),""),1+BV$58*2,1),IF(MID(IFERROR(INDEX(醫師週班表!$C$5:$T$44,$CU16,BV$57),""),3,1)="隔",IF(BV$58=0,LEFT(IFERROR(INDEX(醫師週班表!$C$5:$T$44,$CU16,BV$57),""),1),""),IF(MID(IFERROR(INDEX(醫師週班表!$C$5:$T$44,$CU16,BV$57),""),2,1)="(",LEFT(IFERROR(INDEX(醫師週班表!$C$5:$T$44,$CU16,BV$57),""),1),IFERROR(INDEX(醫師週班表!$C$5:$T$44,$CU16,BV$57),"")))))))</f>
        <v/>
      </c>
      <c r="BW16" s="72">
        <f>IF(BW$59="X","",IF(BW$59&lt;&gt;"",BW$59,IF(IFERROR(INDEX(醫師週班表!$C$5:$T$44,$CU16,BW$57),"")=0,"",IF(MID(IFERROR(INDEX(醫師週班表!$C$5:$T$44,$CU16,BW$57),""),2,1)="/",MID(IFERROR(INDEX(醫師週班表!$C$5:$T$44,$CU16,BW$57),""),1+BW$58*2,1),IF(MID(IFERROR(INDEX(醫師週班表!$C$5:$T$44,$CU16,BW$57),""),3,1)="隔",IF(BW$58=0,LEFT(IFERROR(INDEX(醫師週班表!$C$5:$T$44,$CU16,BW$57),""),1),""),IF(MID(IFERROR(INDEX(醫師週班表!$C$5:$T$44,$CU16,BW$57),""),2,1)="(",LEFT(IFERROR(INDEX(醫師週班表!$C$5:$T$44,$CU16,BW$57),""),1),IFERROR(INDEX(醫師週班表!$C$5:$T$44,$CU16,BW$57),"")))))))</f>
        <v/>
      </c>
      <c r="BX16" s="72">
        <f>IF(BX$59="X","",IF(BX$59&lt;&gt;"",BX$59,IF(IFERROR(INDEX(醫師週班表!$C$5:$T$44,$CU16,BX$57),"")=0,"",IF(MID(IFERROR(INDEX(醫師週班表!$C$5:$T$44,$CU16,BX$57),""),2,1)="/",MID(IFERROR(INDEX(醫師週班表!$C$5:$T$44,$CU16,BX$57),""),1+BX$58*2,1),IF(MID(IFERROR(INDEX(醫師週班表!$C$5:$T$44,$CU16,BX$57),""),3,1)="隔",IF(BX$58=0,LEFT(IFERROR(INDEX(醫師週班表!$C$5:$T$44,$CU16,BX$57),""),1),""),IF(MID(IFERROR(INDEX(醫師週班表!$C$5:$T$44,$CU16,BX$57),""),2,1)="(",LEFT(IFERROR(INDEX(醫師週班表!$C$5:$T$44,$CU16,BX$57),""),1),IFERROR(INDEX(醫師週班表!$C$5:$T$44,$CU16,BX$57),"")))))))</f>
        <v/>
      </c>
      <c r="BY16" s="71">
        <f>IF(BY$59="X","",IF(BY$59&lt;&gt;"",BY$59,IF(IFERROR(INDEX(醫師週班表!$C$5:$T$44,$CU16,BY$57),"")=0,"",IF(MID(IFERROR(INDEX(醫師週班表!$C$5:$T$44,$CU16,BY$57),""),2,1)="/",MID(IFERROR(INDEX(醫師週班表!$C$5:$T$44,$CU16,BY$57),""),1+BY$58*2,1),IF(MID(IFERROR(INDEX(醫師週班表!$C$5:$T$44,$CU16,BY$57),""),3,1)="隔",IF(BY$58=0,LEFT(IFERROR(INDEX(醫師週班表!$C$5:$T$44,$CU16,BY$57),""),1),""),IF(MID(IFERROR(INDEX(醫師週班表!$C$5:$T$44,$CU16,BY$57),""),2,1)="(",LEFT(IFERROR(INDEX(醫師週班表!$C$5:$T$44,$CU16,BY$57),""),1),IFERROR(INDEX(醫師週班表!$C$5:$T$44,$CU16,BY$57),"")))))))</f>
        <v/>
      </c>
      <c r="BZ16" s="72">
        <f>IF(BZ$59="X","",IF(BZ$59&lt;&gt;"",BZ$59,IF(IFERROR(INDEX(醫師週班表!$C$5:$T$44,$CU16,BZ$57),"")=0,"",IF(MID(IFERROR(INDEX(醫師週班表!$C$5:$T$44,$CU16,BZ$57),""),2,1)="/",MID(IFERROR(INDEX(醫師週班表!$C$5:$T$44,$CU16,BZ$57),""),1+BZ$58*2,1),IF(MID(IFERROR(INDEX(醫師週班表!$C$5:$T$44,$CU16,BZ$57),""),3,1)="隔",IF(BZ$58=0,LEFT(IFERROR(INDEX(醫師週班表!$C$5:$T$44,$CU16,BZ$57),""),1),""),IF(MID(IFERROR(INDEX(醫師週班表!$C$5:$T$44,$CU16,BZ$57),""),2,1)="(",LEFT(IFERROR(INDEX(醫師週班表!$C$5:$T$44,$CU16,BZ$57),""),1),IFERROR(INDEX(醫師週班表!$C$5:$T$44,$CU16,BZ$57),"")))))))</f>
        <v/>
      </c>
      <c r="CA16" s="72">
        <f>IF(CA$59="X","",IF(CA$59&lt;&gt;"",CA$59,IF(IFERROR(INDEX(醫師週班表!$C$5:$T$44,$CU16,CA$57),"")=0,"",IF(MID(IFERROR(INDEX(醫師週班表!$C$5:$T$44,$CU16,CA$57),""),2,1)="/",MID(IFERROR(INDEX(醫師週班表!$C$5:$T$44,$CU16,CA$57),""),1+CA$58*2,1),IF(MID(IFERROR(INDEX(醫師週班表!$C$5:$T$44,$CU16,CA$57),""),3,1)="隔",IF(CA$58=0,LEFT(IFERROR(INDEX(醫師週班表!$C$5:$T$44,$CU16,CA$57),""),1),""),IF(MID(IFERROR(INDEX(醫師週班表!$C$5:$T$44,$CU16,CA$57),""),2,1)="(",LEFT(IFERROR(INDEX(醫師週班表!$C$5:$T$44,$CU16,CA$57),""),1),IFERROR(INDEX(醫師週班表!$C$5:$T$44,$CU16,CA$57),"")))))))</f>
        <v/>
      </c>
      <c r="CB16" s="71">
        <f>IF(CB$59="X","",IF(CB$59&lt;&gt;"",CB$59,IF(IFERROR(INDEX(醫師週班表!$C$5:$T$44,$CU16,CB$57),"")=0,"",IF(MID(IFERROR(INDEX(醫師週班表!$C$5:$T$44,$CU16,CB$57),""),2,1)="/",MID(IFERROR(INDEX(醫師週班表!$C$5:$T$44,$CU16,CB$57),""),1+CB$58*2,1),IF(MID(IFERROR(INDEX(醫師週班表!$C$5:$T$44,$CU16,CB$57),""),3,1)="隔",IF(CB$58=0,LEFT(IFERROR(INDEX(醫師週班表!$C$5:$T$44,$CU16,CB$57),""),1),""),IF(MID(IFERROR(INDEX(醫師週班表!$C$5:$T$44,$CU16,CB$57),""),2,1)="(",LEFT(IFERROR(INDEX(醫師週班表!$C$5:$T$44,$CU16,CB$57),""),1),IFERROR(INDEX(醫師週班表!$C$5:$T$44,$CU16,CB$57),"")))))))</f>
        <v/>
      </c>
      <c r="CC16" s="72">
        <f>IF(CC$59="X","",IF(CC$59&lt;&gt;"",CC$59,IF(IFERROR(INDEX(醫師週班表!$C$5:$T$44,$CU16,CC$57),"")=0,"",IF(MID(IFERROR(INDEX(醫師週班表!$C$5:$T$44,$CU16,CC$57),""),2,1)="/",MID(IFERROR(INDEX(醫師週班表!$C$5:$T$44,$CU16,CC$57),""),1+CC$58*2,1),IF(MID(IFERROR(INDEX(醫師週班表!$C$5:$T$44,$CU16,CC$57),""),3,1)="隔",IF(CC$58=0,LEFT(IFERROR(INDEX(醫師週班表!$C$5:$T$44,$CU16,CC$57),""),1),""),IF(MID(IFERROR(INDEX(醫師週班表!$C$5:$T$44,$CU16,CC$57),""),2,1)="(",LEFT(IFERROR(INDEX(醫師週班表!$C$5:$T$44,$CU16,CC$57),""),1),IFERROR(INDEX(醫師週班表!$C$5:$T$44,$CU16,CC$57),"")))))))</f>
        <v/>
      </c>
      <c r="CD16" s="72">
        <f>IF(CD$59="X","",IF(CD$59&lt;&gt;"",CD$59,IF(IFERROR(INDEX(醫師週班表!$C$5:$T$44,$CU16,CD$57),"")=0,"",IF(MID(IFERROR(INDEX(醫師週班表!$C$5:$T$44,$CU16,CD$57),""),2,1)="/",MID(IFERROR(INDEX(醫師週班表!$C$5:$T$44,$CU16,CD$57),""),1+CD$58*2,1),IF(MID(IFERROR(INDEX(醫師週班表!$C$5:$T$44,$CU16,CD$57),""),3,1)="隔",IF(CD$58=0,LEFT(IFERROR(INDEX(醫師週班表!$C$5:$T$44,$CU16,CD$57),""),1),""),IF(MID(IFERROR(INDEX(醫師週班表!$C$5:$T$44,$CU16,CD$57),""),2,1)="(",LEFT(IFERROR(INDEX(醫師週班表!$C$5:$T$44,$CU16,CD$57),""),1),IFERROR(INDEX(醫師週班表!$C$5:$T$44,$CU16,CD$57),"")))))))</f>
        <v/>
      </c>
      <c r="CE16" s="71">
        <f>IF(CE$59="X","",IF(CE$59&lt;&gt;"",CE$59,IF(IFERROR(INDEX(醫師週班表!$C$5:$T$44,$CU16,CE$57),"")=0,"",IF(MID(IFERROR(INDEX(醫師週班表!$C$5:$T$44,$CU16,CE$57),""),2,1)="/",MID(IFERROR(INDEX(醫師週班表!$C$5:$T$44,$CU16,CE$57),""),1+CE$58*2,1),IF(MID(IFERROR(INDEX(醫師週班表!$C$5:$T$44,$CU16,CE$57),""),3,1)="隔",IF(CE$58=0,LEFT(IFERROR(INDEX(醫師週班表!$C$5:$T$44,$CU16,CE$57),""),1),""),IF(MID(IFERROR(INDEX(醫師週班表!$C$5:$T$44,$CU16,CE$57),""),2,1)="(",LEFT(IFERROR(INDEX(醫師週班表!$C$5:$T$44,$CU16,CE$57),""),1),IFERROR(INDEX(醫師週班表!$C$5:$T$44,$CU16,CE$57),"")))))))</f>
        <v/>
      </c>
      <c r="CF16" s="72">
        <f>IF(CF$59="X","",IF(CF$59&lt;&gt;"",CF$59,IF(IFERROR(INDEX(醫師週班表!$C$5:$T$44,$CU16,CF$57),"")=0,"",IF(MID(IFERROR(INDEX(醫師週班表!$C$5:$T$44,$CU16,CF$57),""),2,1)="/",MID(IFERROR(INDEX(醫師週班表!$C$5:$T$44,$CU16,CF$57),""),1+CF$58*2,1),IF(MID(IFERROR(INDEX(醫師週班表!$C$5:$T$44,$CU16,CF$57),""),3,1)="隔",IF(CF$58=0,LEFT(IFERROR(INDEX(醫師週班表!$C$5:$T$44,$CU16,CF$57),""),1),""),IF(MID(IFERROR(INDEX(醫師週班表!$C$5:$T$44,$CU16,CF$57),""),2,1)="(",LEFT(IFERROR(INDEX(醫師週班表!$C$5:$T$44,$CU16,CF$57),""),1),IFERROR(INDEX(醫師週班表!$C$5:$T$44,$CU16,CF$57),"")))))))</f>
        <v/>
      </c>
      <c r="CG16" s="72">
        <f>IF(CG$59="X","",IF(CG$59&lt;&gt;"",CG$59,IF(IFERROR(INDEX(醫師週班表!$C$5:$T$44,$CU16,CG$57),"")=0,"",IF(MID(IFERROR(INDEX(醫師週班表!$C$5:$T$44,$CU16,CG$57),""),2,1)="/",MID(IFERROR(INDEX(醫師週班表!$C$5:$T$44,$CU16,CG$57),""),1+CG$58*2,1),IF(MID(IFERROR(INDEX(醫師週班表!$C$5:$T$44,$CU16,CG$57),""),3,1)="隔",IF(CG$58=0,LEFT(IFERROR(INDEX(醫師週班表!$C$5:$T$44,$CU16,CG$57),""),1),""),IF(MID(IFERROR(INDEX(醫師週班表!$C$5:$T$44,$CU16,CG$57),""),2,1)="(",LEFT(IFERROR(INDEX(醫師週班表!$C$5:$T$44,$CU16,CG$57),""),1),IFERROR(INDEX(醫師週班表!$C$5:$T$44,$CU16,CG$57),"")))))))</f>
        <v/>
      </c>
      <c r="CH16" s="71">
        <f>IF(CH$59="X","",IF(CH$59&lt;&gt;"",CH$59,IF(IFERROR(INDEX(醫師週班表!$C$5:$T$44,$CU16,CH$57),"")=0,"",IF(MID(IFERROR(INDEX(醫師週班表!$C$5:$T$44,$CU16,CH$57),""),2,1)="/",MID(IFERROR(INDEX(醫師週班表!$C$5:$T$44,$CU16,CH$57),""),1+CH$58*2,1),IF(MID(IFERROR(INDEX(醫師週班表!$C$5:$T$44,$CU16,CH$57),""),3,1)="隔",IF(CH$58=0,LEFT(IFERROR(INDEX(醫師週班表!$C$5:$T$44,$CU16,CH$57),""),1),""),IF(MID(IFERROR(INDEX(醫師週班表!$C$5:$T$44,$CU16,CH$57),""),2,1)="(",LEFT(IFERROR(INDEX(醫師週班表!$C$5:$T$44,$CU16,CH$57),""),1),IFERROR(INDEX(醫師週班表!$C$5:$T$44,$CU16,CH$57),"")))))))</f>
        <v/>
      </c>
      <c r="CI16" s="72">
        <f>IF(CI$59="X","",IF(CI$59&lt;&gt;"",CI$59,IF(IFERROR(INDEX(醫師週班表!$C$5:$T$44,$CU16,CI$57),"")=0,"",IF(MID(IFERROR(INDEX(醫師週班表!$C$5:$T$44,$CU16,CI$57),""),2,1)="/",MID(IFERROR(INDEX(醫師週班表!$C$5:$T$44,$CU16,CI$57),""),1+CI$58*2,1),IF(MID(IFERROR(INDEX(醫師週班表!$C$5:$T$44,$CU16,CI$57),""),3,1)="隔",IF(CI$58=0,LEFT(IFERROR(INDEX(醫師週班表!$C$5:$T$44,$CU16,CI$57),""),1),""),IF(MID(IFERROR(INDEX(醫師週班表!$C$5:$T$44,$CU16,CI$57),""),2,1)="(",LEFT(IFERROR(INDEX(醫師週班表!$C$5:$T$44,$CU16,CI$57),""),1),IFERROR(INDEX(醫師週班表!$C$5:$T$44,$CU16,CI$57),"")))))))</f>
        <v/>
      </c>
      <c r="CJ16" s="72">
        <f>IF(CJ$59="X","",IF(CJ$59&lt;&gt;"",CJ$59,IF(IFERROR(INDEX(醫師週班表!$C$5:$T$44,$CU16,CJ$57),"")=0,"",IF(MID(IFERROR(INDEX(醫師週班表!$C$5:$T$44,$CU16,CJ$57),""),2,1)="/",MID(IFERROR(INDEX(醫師週班表!$C$5:$T$44,$CU16,CJ$57),""),1+CJ$58*2,1),IF(MID(IFERROR(INDEX(醫師週班表!$C$5:$T$44,$CU16,CJ$57),""),3,1)="隔",IF(CJ$58=0,LEFT(IFERROR(INDEX(醫師週班表!$C$5:$T$44,$CU16,CJ$57),""),1),""),IF(MID(IFERROR(INDEX(醫師週班表!$C$5:$T$44,$CU16,CJ$57),""),2,1)="(",LEFT(IFERROR(INDEX(醫師週班表!$C$5:$T$44,$CU16,CJ$57),""),1),IFERROR(INDEX(醫師週班表!$C$5:$T$44,$CU16,CJ$57),"")))))))</f>
        <v/>
      </c>
      <c r="CK16" s="71">
        <f>IF(CK$59="X","",IF(CK$59&lt;&gt;"",CK$59,IF(IFERROR(INDEX(醫師週班表!$C$5:$T$44,$CU16,CK$57),"")=0,"",IF(MID(IFERROR(INDEX(醫師週班表!$C$5:$T$44,$CU16,CK$57),""),2,1)="/",MID(IFERROR(INDEX(醫師週班表!$C$5:$T$44,$CU16,CK$57),""),1+CK$58*2,1),IF(MID(IFERROR(INDEX(醫師週班表!$C$5:$T$44,$CU16,CK$57),""),3,1)="隔",IF(CK$58=0,LEFT(IFERROR(INDEX(醫師週班表!$C$5:$T$44,$CU16,CK$57),""),1),""),IF(MID(IFERROR(INDEX(醫師週班表!$C$5:$T$44,$CU16,CK$57),""),2,1)="(",LEFT(IFERROR(INDEX(醫師週班表!$C$5:$T$44,$CU16,CK$57),""),1),IFERROR(INDEX(醫師週班表!$C$5:$T$44,$CU16,CK$57),"")))))))</f>
        <v/>
      </c>
      <c r="CL16" s="72">
        <f>IF(CL$59="X","",IF(CL$59&lt;&gt;"",CL$59,IF(IFERROR(INDEX(醫師週班表!$C$5:$T$44,$CU16,CL$57),"")=0,"",IF(MID(IFERROR(INDEX(醫師週班表!$C$5:$T$44,$CU16,CL$57),""),2,1)="/",MID(IFERROR(INDEX(醫師週班表!$C$5:$T$44,$CU16,CL$57),""),1+CL$58*2,1),IF(MID(IFERROR(INDEX(醫師週班表!$C$5:$T$44,$CU16,CL$57),""),3,1)="隔",IF(CL$58=0,LEFT(IFERROR(INDEX(醫師週班表!$C$5:$T$44,$CU16,CL$57),""),1),""),IF(MID(IFERROR(INDEX(醫師週班表!$C$5:$T$44,$CU16,CL$57),""),2,1)="(",LEFT(IFERROR(INDEX(醫師週班表!$C$5:$T$44,$CU16,CL$57),""),1),IFERROR(INDEX(醫師週班表!$C$5:$T$44,$CU16,CL$57),"")))))))</f>
        <v/>
      </c>
      <c r="CM16" s="72">
        <f>IF(CM$59="X","",IF(CM$59&lt;&gt;"",CM$59,IF(IFERROR(INDEX(醫師週班表!$C$5:$T$44,$CU16,CM$57),"")=0,"",IF(MID(IFERROR(INDEX(醫師週班表!$C$5:$T$44,$CU16,CM$57),""),2,1)="/",MID(IFERROR(INDEX(醫師週班表!$C$5:$T$44,$CU16,CM$57),""),1+CM$58*2,1),IF(MID(IFERROR(INDEX(醫師週班表!$C$5:$T$44,$CU16,CM$57),""),3,1)="隔",IF(CM$58=0,LEFT(IFERROR(INDEX(醫師週班表!$C$5:$T$44,$CU16,CM$57),""),1),""),IF(MID(IFERROR(INDEX(醫師週班表!$C$5:$T$44,$CU16,CM$57),""),2,1)="(",LEFT(IFERROR(INDEX(醫師週班表!$C$5:$T$44,$CU16,CM$57),""),1),IFERROR(INDEX(醫師週班表!$C$5:$T$44,$CU16,CM$57),"")))))))</f>
        <v/>
      </c>
      <c r="CN16" s="71">
        <f>IF(CN$59="X","",IF(CN$59&lt;&gt;"",CN$59,IF(IFERROR(INDEX(醫師週班表!$C$5:$T$44,$CU16,CN$57),"")=0,"",IF(MID(IFERROR(INDEX(醫師週班表!$C$5:$T$44,$CU16,CN$57),""),2,1)="/",MID(IFERROR(INDEX(醫師週班表!$C$5:$T$44,$CU16,CN$57),""),1+CN$58*2,1),IF(MID(IFERROR(INDEX(醫師週班表!$C$5:$T$44,$CU16,CN$57),""),3,1)="隔",IF(CN$58=0,LEFT(IFERROR(INDEX(醫師週班表!$C$5:$T$44,$CU16,CN$57),""),1),""),IF(MID(IFERROR(INDEX(醫師週班表!$C$5:$T$44,$CU16,CN$57),""),2,1)="(",LEFT(IFERROR(INDEX(醫師週班表!$C$5:$T$44,$CU16,CN$57),""),1),IFERROR(INDEX(醫師週班表!$C$5:$T$44,$CU16,CN$57),"")))))))</f>
        <v/>
      </c>
      <c r="CO16" s="72">
        <f>IF(CO$59="X","",IF(CO$59&lt;&gt;"",CO$59,IF(IFERROR(INDEX(醫師週班表!$C$5:$T$44,$CU16,CO$57),"")=0,"",IF(MID(IFERROR(INDEX(醫師週班表!$C$5:$T$44,$CU16,CO$57),""),2,1)="/",MID(IFERROR(INDEX(醫師週班表!$C$5:$T$44,$CU16,CO$57),""),1+CO$58*2,1),IF(MID(IFERROR(INDEX(醫師週班表!$C$5:$T$44,$CU16,CO$57),""),3,1)="隔",IF(CO$58=0,LEFT(IFERROR(INDEX(醫師週班表!$C$5:$T$44,$CU16,CO$57),""),1),""),IF(MID(IFERROR(INDEX(醫師週班表!$C$5:$T$44,$CU16,CO$57),""),2,1)="(",LEFT(IFERROR(INDEX(醫師週班表!$C$5:$T$44,$CU16,CO$57),""),1),IFERROR(INDEX(醫師週班表!$C$5:$T$44,$CU16,CO$57),"")))))))</f>
        <v/>
      </c>
      <c r="CP16" s="72">
        <f>IF(CP$59="X","",IF(CP$59&lt;&gt;"",CP$59,IF(IFERROR(INDEX(醫師週班表!$C$5:$T$44,$CU16,CP$57),"")=0,"",IF(MID(IFERROR(INDEX(醫師週班表!$C$5:$T$44,$CU16,CP$57),""),2,1)="/",MID(IFERROR(INDEX(醫師週班表!$C$5:$T$44,$CU16,CP$57),""),1+CP$58*2,1),IF(MID(IFERROR(INDEX(醫師週班表!$C$5:$T$44,$CU16,CP$57),""),3,1)="隔",IF(CP$58=0,LEFT(IFERROR(INDEX(醫師週班表!$C$5:$T$44,$CU16,CP$57),""),1),""),IF(MID(IFERROR(INDEX(醫師週班表!$C$5:$T$44,$CU16,CP$57),""),2,1)="(",LEFT(IFERROR(INDEX(醫師週班表!$C$5:$T$44,$CU16,CP$57),""),1),IFERROR(INDEX(醫師週班表!$C$5:$T$44,$CU16,CP$57),"")))))))</f>
        <v/>
      </c>
      <c r="CQ16" s="71">
        <f>IF(CQ$59="X","",IF(CQ$59&lt;&gt;"",CQ$59,IF(IFERROR(INDEX(醫師週班表!$C$5:$T$44,$CU16,CQ$57),"")=0,"",IF(MID(IFERROR(INDEX(醫師週班表!$C$5:$T$44,$CU16,CQ$57),""),2,1)="/",MID(IFERROR(INDEX(醫師週班表!$C$5:$T$44,$CU16,CQ$57),""),1+CQ$58*2,1),IF(MID(IFERROR(INDEX(醫師週班表!$C$5:$T$44,$CU16,CQ$57),""),3,1)="隔",IF(CQ$58=0,LEFT(IFERROR(INDEX(醫師週班表!$C$5:$T$44,$CU16,CQ$57),""),1),""),IF(MID(IFERROR(INDEX(醫師週班表!$C$5:$T$44,$CU16,CQ$57),""),2,1)="(",LEFT(IFERROR(INDEX(醫師週班表!$C$5:$T$44,$CU16,CQ$57),""),1),IFERROR(INDEX(醫師週班表!$C$5:$T$44,$CU16,CQ$57),"")))))))</f>
        <v/>
      </c>
      <c r="CR16" s="72">
        <f>IF(CR$59="X","",IF(CR$59&lt;&gt;"",CR$59,IF(IFERROR(INDEX(醫師週班表!$C$5:$T$44,$CU16,CR$57),"")=0,"",IF(MID(IFERROR(INDEX(醫師週班表!$C$5:$T$44,$CU16,CR$57),""),2,1)="/",MID(IFERROR(INDEX(醫師週班表!$C$5:$T$44,$CU16,CR$57),""),1+CR$58*2,1),IF(MID(IFERROR(INDEX(醫師週班表!$C$5:$T$44,$CU16,CR$57),""),3,1)="隔",IF(CR$58=0,LEFT(IFERROR(INDEX(醫師週班表!$C$5:$T$44,$CU16,CR$57),""),1),""),IF(MID(IFERROR(INDEX(醫師週班表!$C$5:$T$44,$CU16,CR$57),""),2,1)="(",LEFT(IFERROR(INDEX(醫師週班表!$C$5:$T$44,$CU16,CR$57),""),1),IFERROR(INDEX(醫師週班表!$C$5:$T$44,$CU16,CR$57),"")))))))</f>
        <v/>
      </c>
      <c r="CS16" s="72">
        <f>IF(CS$59="X","",IF(CS$59&lt;&gt;"",CS$59,IF(IFERROR(INDEX(醫師週班表!$C$5:$T$44,$CU16,CS$57),"")=0,"",IF(MID(IFERROR(INDEX(醫師週班表!$C$5:$T$44,$CU16,CS$57),""),2,1)="/",MID(IFERROR(INDEX(醫師週班表!$C$5:$T$44,$CU16,CS$57),""),1+CS$58*2,1),IF(MID(IFERROR(INDEX(醫師週班表!$C$5:$T$44,$CU16,CS$57),""),3,1)="隔",IF(CS$58=0,LEFT(IFERROR(INDEX(醫師週班表!$C$5:$T$44,$CU16,CS$57),""),1),""),IF(MID(IFERROR(INDEX(醫師週班表!$C$5:$T$44,$CU16,CS$57),""),2,1)="(",LEFT(IFERROR(INDEX(醫師週班表!$C$5:$T$44,$CU16,CS$57),""),1),IFERROR(INDEX(醫師週班表!$C$5:$T$44,$CU16,CS$57),"")))))))</f>
        <v/>
      </c>
      <c r="CU16" s="73">
        <f>IFERROR(MATCH($A16,醫師週班表!$A$5:$A$44,0),0)</f>
        <v/>
      </c>
    </row>
    <row r="17" ht="17" customHeight="1">
      <c r="A17" s="19" t="inlineStr">
        <is>
          <t>D012</t>
        </is>
      </c>
      <c r="B17" s="16" t="inlineStr">
        <is>
          <t>陳立軒</t>
        </is>
      </c>
      <c r="C17" s="70" t="inlineStr"/>
      <c r="D17" s="16" t="inlineStr"/>
      <c r="E17" s="71">
        <f>IF(E$59="X","",IF(E$59&lt;&gt;"",E$59,IF(IFERROR(INDEX(醫師週班表!$C$5:$T$44,$CU17,E$57),"")=0,"",IF(MID(IFERROR(INDEX(醫師週班表!$C$5:$T$44,$CU17,E$57),""),2,1)="/",MID(IFERROR(INDEX(醫師週班表!$C$5:$T$44,$CU17,E$57),""),1+E$58*2,1),IF(MID(IFERROR(INDEX(醫師週班表!$C$5:$T$44,$CU17,E$57),""),3,1)="隔",IF(E$58=0,LEFT(IFERROR(INDEX(醫師週班表!$C$5:$T$44,$CU17,E$57),""),1),""),IF(MID(IFERROR(INDEX(醫師週班表!$C$5:$T$44,$CU17,E$57),""),2,1)="(",LEFT(IFERROR(INDEX(醫師週班表!$C$5:$T$44,$CU17,E$57),""),1),IFERROR(INDEX(醫師週班表!$C$5:$T$44,$CU17,E$57),"")))))))</f>
        <v/>
      </c>
      <c r="F17" s="72">
        <f>IF(F$59="X","",IF(F$59&lt;&gt;"",F$59,IF(IFERROR(INDEX(醫師週班表!$C$5:$T$44,$CU17,F$57),"")=0,"",IF(MID(IFERROR(INDEX(醫師週班表!$C$5:$T$44,$CU17,F$57),""),2,1)="/",MID(IFERROR(INDEX(醫師週班表!$C$5:$T$44,$CU17,F$57),""),1+F$58*2,1),IF(MID(IFERROR(INDEX(醫師週班表!$C$5:$T$44,$CU17,F$57),""),3,1)="隔",IF(F$58=0,LEFT(IFERROR(INDEX(醫師週班表!$C$5:$T$44,$CU17,F$57),""),1),""),IF(MID(IFERROR(INDEX(醫師週班表!$C$5:$T$44,$CU17,F$57),""),2,1)="(",LEFT(IFERROR(INDEX(醫師週班表!$C$5:$T$44,$CU17,F$57),""),1),IFERROR(INDEX(醫師週班表!$C$5:$T$44,$CU17,F$57),"")))))))</f>
        <v/>
      </c>
      <c r="G17" s="72">
        <f>IF(G$59="X","",IF(G$59&lt;&gt;"",G$59,IF(IFERROR(INDEX(醫師週班表!$C$5:$T$44,$CU17,G$57),"")=0,"",IF(MID(IFERROR(INDEX(醫師週班表!$C$5:$T$44,$CU17,G$57),""),2,1)="/",MID(IFERROR(INDEX(醫師週班表!$C$5:$T$44,$CU17,G$57),""),1+G$58*2,1),IF(MID(IFERROR(INDEX(醫師週班表!$C$5:$T$44,$CU17,G$57),""),3,1)="隔",IF(G$58=0,LEFT(IFERROR(INDEX(醫師週班表!$C$5:$T$44,$CU17,G$57),""),1),""),IF(MID(IFERROR(INDEX(醫師週班表!$C$5:$T$44,$CU17,G$57),""),2,1)="(",LEFT(IFERROR(INDEX(醫師週班表!$C$5:$T$44,$CU17,G$57),""),1),IFERROR(INDEX(醫師週班表!$C$5:$T$44,$CU17,G$57),"")))))))</f>
        <v/>
      </c>
      <c r="H17" s="71">
        <f>IF(H$59="X","",IF(H$59&lt;&gt;"",H$59,IF(IFERROR(INDEX(醫師週班表!$C$5:$T$44,$CU17,H$57),"")=0,"",IF(MID(IFERROR(INDEX(醫師週班表!$C$5:$T$44,$CU17,H$57),""),2,1)="/",MID(IFERROR(INDEX(醫師週班表!$C$5:$T$44,$CU17,H$57),""),1+H$58*2,1),IF(MID(IFERROR(INDEX(醫師週班表!$C$5:$T$44,$CU17,H$57),""),3,1)="隔",IF(H$58=0,LEFT(IFERROR(INDEX(醫師週班表!$C$5:$T$44,$CU17,H$57),""),1),""),IF(MID(IFERROR(INDEX(醫師週班表!$C$5:$T$44,$CU17,H$57),""),2,1)="(",LEFT(IFERROR(INDEX(醫師週班表!$C$5:$T$44,$CU17,H$57),""),1),IFERROR(INDEX(醫師週班表!$C$5:$T$44,$CU17,H$57),"")))))))</f>
        <v/>
      </c>
      <c r="I17" s="72">
        <f>IF(I$59="X","",IF(I$59&lt;&gt;"",I$59,IF(IFERROR(INDEX(醫師週班表!$C$5:$T$44,$CU17,I$57),"")=0,"",IF(MID(IFERROR(INDEX(醫師週班表!$C$5:$T$44,$CU17,I$57),""),2,1)="/",MID(IFERROR(INDEX(醫師週班表!$C$5:$T$44,$CU17,I$57),""),1+I$58*2,1),IF(MID(IFERROR(INDEX(醫師週班表!$C$5:$T$44,$CU17,I$57),""),3,1)="隔",IF(I$58=0,LEFT(IFERROR(INDEX(醫師週班表!$C$5:$T$44,$CU17,I$57),""),1),""),IF(MID(IFERROR(INDEX(醫師週班表!$C$5:$T$44,$CU17,I$57),""),2,1)="(",LEFT(IFERROR(INDEX(醫師週班表!$C$5:$T$44,$CU17,I$57),""),1),IFERROR(INDEX(醫師週班表!$C$5:$T$44,$CU17,I$57),"")))))))</f>
        <v/>
      </c>
      <c r="J17" s="72">
        <f>IF(J$59="X","",IF(J$59&lt;&gt;"",J$59,IF(IFERROR(INDEX(醫師週班表!$C$5:$T$44,$CU17,J$57),"")=0,"",IF(MID(IFERROR(INDEX(醫師週班表!$C$5:$T$44,$CU17,J$57),""),2,1)="/",MID(IFERROR(INDEX(醫師週班表!$C$5:$T$44,$CU17,J$57),""),1+J$58*2,1),IF(MID(IFERROR(INDEX(醫師週班表!$C$5:$T$44,$CU17,J$57),""),3,1)="隔",IF(J$58=0,LEFT(IFERROR(INDEX(醫師週班表!$C$5:$T$44,$CU17,J$57),""),1),""),IF(MID(IFERROR(INDEX(醫師週班表!$C$5:$T$44,$CU17,J$57),""),2,1)="(",LEFT(IFERROR(INDEX(醫師週班表!$C$5:$T$44,$CU17,J$57),""),1),IFERROR(INDEX(醫師週班表!$C$5:$T$44,$CU17,J$57),"")))))))</f>
        <v/>
      </c>
      <c r="K17" s="71">
        <f>IF(K$59="X","",IF(K$59&lt;&gt;"",K$59,IF(IFERROR(INDEX(醫師週班表!$C$5:$T$44,$CU17,K$57),"")=0,"",IF(MID(IFERROR(INDEX(醫師週班表!$C$5:$T$44,$CU17,K$57),""),2,1)="/",MID(IFERROR(INDEX(醫師週班表!$C$5:$T$44,$CU17,K$57),""),1+K$58*2,1),IF(MID(IFERROR(INDEX(醫師週班表!$C$5:$T$44,$CU17,K$57),""),3,1)="隔",IF(K$58=0,LEFT(IFERROR(INDEX(醫師週班表!$C$5:$T$44,$CU17,K$57),""),1),""),IF(MID(IFERROR(INDEX(醫師週班表!$C$5:$T$44,$CU17,K$57),""),2,1)="(",LEFT(IFERROR(INDEX(醫師週班表!$C$5:$T$44,$CU17,K$57),""),1),IFERROR(INDEX(醫師週班表!$C$5:$T$44,$CU17,K$57),"")))))))</f>
        <v/>
      </c>
      <c r="L17" s="72">
        <f>IF(L$59="X","",IF(L$59&lt;&gt;"",L$59,IF(IFERROR(INDEX(醫師週班表!$C$5:$T$44,$CU17,L$57),"")=0,"",IF(MID(IFERROR(INDEX(醫師週班表!$C$5:$T$44,$CU17,L$57),""),2,1)="/",MID(IFERROR(INDEX(醫師週班表!$C$5:$T$44,$CU17,L$57),""),1+L$58*2,1),IF(MID(IFERROR(INDEX(醫師週班表!$C$5:$T$44,$CU17,L$57),""),3,1)="隔",IF(L$58=0,LEFT(IFERROR(INDEX(醫師週班表!$C$5:$T$44,$CU17,L$57),""),1),""),IF(MID(IFERROR(INDEX(醫師週班表!$C$5:$T$44,$CU17,L$57),""),2,1)="(",LEFT(IFERROR(INDEX(醫師週班表!$C$5:$T$44,$CU17,L$57),""),1),IFERROR(INDEX(醫師週班表!$C$5:$T$44,$CU17,L$57),"")))))))</f>
        <v/>
      </c>
      <c r="M17" s="72">
        <f>IF(M$59="X","",IF(M$59&lt;&gt;"",M$59,IF(IFERROR(INDEX(醫師週班表!$C$5:$T$44,$CU17,M$57),"")=0,"",IF(MID(IFERROR(INDEX(醫師週班表!$C$5:$T$44,$CU17,M$57),""),2,1)="/",MID(IFERROR(INDEX(醫師週班表!$C$5:$T$44,$CU17,M$57),""),1+M$58*2,1),IF(MID(IFERROR(INDEX(醫師週班表!$C$5:$T$44,$CU17,M$57),""),3,1)="隔",IF(M$58=0,LEFT(IFERROR(INDEX(醫師週班表!$C$5:$T$44,$CU17,M$57),""),1),""),IF(MID(IFERROR(INDEX(醫師週班表!$C$5:$T$44,$CU17,M$57),""),2,1)="(",LEFT(IFERROR(INDEX(醫師週班表!$C$5:$T$44,$CU17,M$57),""),1),IFERROR(INDEX(醫師週班表!$C$5:$T$44,$CU17,M$57),"")))))))</f>
        <v/>
      </c>
      <c r="N17" s="71">
        <f>IF(N$59="X","",IF(N$59&lt;&gt;"",N$59,IF(IFERROR(INDEX(醫師週班表!$C$5:$T$44,$CU17,N$57),"")=0,"",IF(MID(IFERROR(INDEX(醫師週班表!$C$5:$T$44,$CU17,N$57),""),2,1)="/",MID(IFERROR(INDEX(醫師週班表!$C$5:$T$44,$CU17,N$57),""),1+N$58*2,1),IF(MID(IFERROR(INDEX(醫師週班表!$C$5:$T$44,$CU17,N$57),""),3,1)="隔",IF(N$58=0,LEFT(IFERROR(INDEX(醫師週班表!$C$5:$T$44,$CU17,N$57),""),1),""),IF(MID(IFERROR(INDEX(醫師週班表!$C$5:$T$44,$CU17,N$57),""),2,1)="(",LEFT(IFERROR(INDEX(醫師週班表!$C$5:$T$44,$CU17,N$57),""),1),IFERROR(INDEX(醫師週班表!$C$5:$T$44,$CU17,N$57),"")))))))</f>
        <v/>
      </c>
      <c r="O17" s="72">
        <f>IF(O$59="X","",IF(O$59&lt;&gt;"",O$59,IF(IFERROR(INDEX(醫師週班表!$C$5:$T$44,$CU17,O$57),"")=0,"",IF(MID(IFERROR(INDEX(醫師週班表!$C$5:$T$44,$CU17,O$57),""),2,1)="/",MID(IFERROR(INDEX(醫師週班表!$C$5:$T$44,$CU17,O$57),""),1+O$58*2,1),IF(MID(IFERROR(INDEX(醫師週班表!$C$5:$T$44,$CU17,O$57),""),3,1)="隔",IF(O$58=0,LEFT(IFERROR(INDEX(醫師週班表!$C$5:$T$44,$CU17,O$57),""),1),""),IF(MID(IFERROR(INDEX(醫師週班表!$C$5:$T$44,$CU17,O$57),""),2,1)="(",LEFT(IFERROR(INDEX(醫師週班表!$C$5:$T$44,$CU17,O$57),""),1),IFERROR(INDEX(醫師週班表!$C$5:$T$44,$CU17,O$57),"")))))))</f>
        <v/>
      </c>
      <c r="P17" s="72">
        <f>IF(P$59="X","",IF(P$59&lt;&gt;"",P$59,IF(IFERROR(INDEX(醫師週班表!$C$5:$T$44,$CU17,P$57),"")=0,"",IF(MID(IFERROR(INDEX(醫師週班表!$C$5:$T$44,$CU17,P$57),""),2,1)="/",MID(IFERROR(INDEX(醫師週班表!$C$5:$T$44,$CU17,P$57),""),1+P$58*2,1),IF(MID(IFERROR(INDEX(醫師週班表!$C$5:$T$44,$CU17,P$57),""),3,1)="隔",IF(P$58=0,LEFT(IFERROR(INDEX(醫師週班表!$C$5:$T$44,$CU17,P$57),""),1),""),IF(MID(IFERROR(INDEX(醫師週班表!$C$5:$T$44,$CU17,P$57),""),2,1)="(",LEFT(IFERROR(INDEX(醫師週班表!$C$5:$T$44,$CU17,P$57),""),1),IFERROR(INDEX(醫師週班表!$C$5:$T$44,$CU17,P$57),"")))))))</f>
        <v/>
      </c>
      <c r="Q17" s="71">
        <f>IF(Q$59="X","",IF(Q$59&lt;&gt;"",Q$59,IF(IFERROR(INDEX(醫師週班表!$C$5:$T$44,$CU17,Q$57),"")=0,"",IF(MID(IFERROR(INDEX(醫師週班表!$C$5:$T$44,$CU17,Q$57),""),2,1)="/",MID(IFERROR(INDEX(醫師週班表!$C$5:$T$44,$CU17,Q$57),""),1+Q$58*2,1),IF(MID(IFERROR(INDEX(醫師週班表!$C$5:$T$44,$CU17,Q$57),""),3,1)="隔",IF(Q$58=0,LEFT(IFERROR(INDEX(醫師週班表!$C$5:$T$44,$CU17,Q$57),""),1),""),IF(MID(IFERROR(INDEX(醫師週班表!$C$5:$T$44,$CU17,Q$57),""),2,1)="(",LEFT(IFERROR(INDEX(醫師週班表!$C$5:$T$44,$CU17,Q$57),""),1),IFERROR(INDEX(醫師週班表!$C$5:$T$44,$CU17,Q$57),"")))))))</f>
        <v/>
      </c>
      <c r="R17" s="72">
        <f>IF(R$59="X","",IF(R$59&lt;&gt;"",R$59,IF(IFERROR(INDEX(醫師週班表!$C$5:$T$44,$CU17,R$57),"")=0,"",IF(MID(IFERROR(INDEX(醫師週班表!$C$5:$T$44,$CU17,R$57),""),2,1)="/",MID(IFERROR(INDEX(醫師週班表!$C$5:$T$44,$CU17,R$57),""),1+R$58*2,1),IF(MID(IFERROR(INDEX(醫師週班表!$C$5:$T$44,$CU17,R$57),""),3,1)="隔",IF(R$58=0,LEFT(IFERROR(INDEX(醫師週班表!$C$5:$T$44,$CU17,R$57),""),1),""),IF(MID(IFERROR(INDEX(醫師週班表!$C$5:$T$44,$CU17,R$57),""),2,1)="(",LEFT(IFERROR(INDEX(醫師週班表!$C$5:$T$44,$CU17,R$57),""),1),IFERROR(INDEX(醫師週班表!$C$5:$T$44,$CU17,R$57),"")))))))</f>
        <v/>
      </c>
      <c r="S17" s="72">
        <f>IF(S$59="X","",IF(S$59&lt;&gt;"",S$59,IF(IFERROR(INDEX(醫師週班表!$C$5:$T$44,$CU17,S$57),"")=0,"",IF(MID(IFERROR(INDEX(醫師週班表!$C$5:$T$44,$CU17,S$57),""),2,1)="/",MID(IFERROR(INDEX(醫師週班表!$C$5:$T$44,$CU17,S$57),""),1+S$58*2,1),IF(MID(IFERROR(INDEX(醫師週班表!$C$5:$T$44,$CU17,S$57),""),3,1)="隔",IF(S$58=0,LEFT(IFERROR(INDEX(醫師週班表!$C$5:$T$44,$CU17,S$57),""),1),""),IF(MID(IFERROR(INDEX(醫師週班表!$C$5:$T$44,$CU17,S$57),""),2,1)="(",LEFT(IFERROR(INDEX(醫師週班表!$C$5:$T$44,$CU17,S$57),""),1),IFERROR(INDEX(醫師週班表!$C$5:$T$44,$CU17,S$57),"")))))))</f>
        <v/>
      </c>
      <c r="T17" s="71">
        <f>IF(T$59="X","",IF(T$59&lt;&gt;"",T$59,IF(IFERROR(INDEX(醫師週班表!$C$5:$T$44,$CU17,T$57),"")=0,"",IF(MID(IFERROR(INDEX(醫師週班表!$C$5:$T$44,$CU17,T$57),""),2,1)="/",MID(IFERROR(INDEX(醫師週班表!$C$5:$T$44,$CU17,T$57),""),1+T$58*2,1),IF(MID(IFERROR(INDEX(醫師週班表!$C$5:$T$44,$CU17,T$57),""),3,1)="隔",IF(T$58=0,LEFT(IFERROR(INDEX(醫師週班表!$C$5:$T$44,$CU17,T$57),""),1),""),IF(MID(IFERROR(INDEX(醫師週班表!$C$5:$T$44,$CU17,T$57),""),2,1)="(",LEFT(IFERROR(INDEX(醫師週班表!$C$5:$T$44,$CU17,T$57),""),1),IFERROR(INDEX(醫師週班表!$C$5:$T$44,$CU17,T$57),"")))))))</f>
        <v/>
      </c>
      <c r="U17" s="72">
        <f>IF(U$59="X","",IF(U$59&lt;&gt;"",U$59,IF(IFERROR(INDEX(醫師週班表!$C$5:$T$44,$CU17,U$57),"")=0,"",IF(MID(IFERROR(INDEX(醫師週班表!$C$5:$T$44,$CU17,U$57),""),2,1)="/",MID(IFERROR(INDEX(醫師週班表!$C$5:$T$44,$CU17,U$57),""),1+U$58*2,1),IF(MID(IFERROR(INDEX(醫師週班表!$C$5:$T$44,$CU17,U$57),""),3,1)="隔",IF(U$58=0,LEFT(IFERROR(INDEX(醫師週班表!$C$5:$T$44,$CU17,U$57),""),1),""),IF(MID(IFERROR(INDEX(醫師週班表!$C$5:$T$44,$CU17,U$57),""),2,1)="(",LEFT(IFERROR(INDEX(醫師週班表!$C$5:$T$44,$CU17,U$57),""),1),IFERROR(INDEX(醫師週班表!$C$5:$T$44,$CU17,U$57),"")))))))</f>
        <v/>
      </c>
      <c r="V17" s="72">
        <f>IF(V$59="X","",IF(V$59&lt;&gt;"",V$59,IF(IFERROR(INDEX(醫師週班表!$C$5:$T$44,$CU17,V$57),"")=0,"",IF(MID(IFERROR(INDEX(醫師週班表!$C$5:$T$44,$CU17,V$57),""),2,1)="/",MID(IFERROR(INDEX(醫師週班表!$C$5:$T$44,$CU17,V$57),""),1+V$58*2,1),IF(MID(IFERROR(INDEX(醫師週班表!$C$5:$T$44,$CU17,V$57),""),3,1)="隔",IF(V$58=0,LEFT(IFERROR(INDEX(醫師週班表!$C$5:$T$44,$CU17,V$57),""),1),""),IF(MID(IFERROR(INDEX(醫師週班表!$C$5:$T$44,$CU17,V$57),""),2,1)="(",LEFT(IFERROR(INDEX(醫師週班表!$C$5:$T$44,$CU17,V$57),""),1),IFERROR(INDEX(醫師週班表!$C$5:$T$44,$CU17,V$57),"")))))))</f>
        <v/>
      </c>
      <c r="W17" s="71">
        <f>IF(W$59="X","",IF(W$59&lt;&gt;"",W$59,IF(IFERROR(INDEX(醫師週班表!$C$5:$T$44,$CU17,W$57),"")=0,"",IF(MID(IFERROR(INDEX(醫師週班表!$C$5:$T$44,$CU17,W$57),""),2,1)="/",MID(IFERROR(INDEX(醫師週班表!$C$5:$T$44,$CU17,W$57),""),1+W$58*2,1),IF(MID(IFERROR(INDEX(醫師週班表!$C$5:$T$44,$CU17,W$57),""),3,1)="隔",IF(W$58=0,LEFT(IFERROR(INDEX(醫師週班表!$C$5:$T$44,$CU17,W$57),""),1),""),IF(MID(IFERROR(INDEX(醫師週班表!$C$5:$T$44,$CU17,W$57),""),2,1)="(",LEFT(IFERROR(INDEX(醫師週班表!$C$5:$T$44,$CU17,W$57),""),1),IFERROR(INDEX(醫師週班表!$C$5:$T$44,$CU17,W$57),"")))))))</f>
        <v/>
      </c>
      <c r="X17" s="72">
        <f>IF(X$59="X","",IF(X$59&lt;&gt;"",X$59,IF(IFERROR(INDEX(醫師週班表!$C$5:$T$44,$CU17,X$57),"")=0,"",IF(MID(IFERROR(INDEX(醫師週班表!$C$5:$T$44,$CU17,X$57),""),2,1)="/",MID(IFERROR(INDEX(醫師週班表!$C$5:$T$44,$CU17,X$57),""),1+X$58*2,1),IF(MID(IFERROR(INDEX(醫師週班表!$C$5:$T$44,$CU17,X$57),""),3,1)="隔",IF(X$58=0,LEFT(IFERROR(INDEX(醫師週班表!$C$5:$T$44,$CU17,X$57),""),1),""),IF(MID(IFERROR(INDEX(醫師週班表!$C$5:$T$44,$CU17,X$57),""),2,1)="(",LEFT(IFERROR(INDEX(醫師週班表!$C$5:$T$44,$CU17,X$57),""),1),IFERROR(INDEX(醫師週班表!$C$5:$T$44,$CU17,X$57),"")))))))</f>
        <v/>
      </c>
      <c r="Y17" s="72">
        <f>IF(Y$59="X","",IF(Y$59&lt;&gt;"",Y$59,IF(IFERROR(INDEX(醫師週班表!$C$5:$T$44,$CU17,Y$57),"")=0,"",IF(MID(IFERROR(INDEX(醫師週班表!$C$5:$T$44,$CU17,Y$57),""),2,1)="/",MID(IFERROR(INDEX(醫師週班表!$C$5:$T$44,$CU17,Y$57),""),1+Y$58*2,1),IF(MID(IFERROR(INDEX(醫師週班表!$C$5:$T$44,$CU17,Y$57),""),3,1)="隔",IF(Y$58=0,LEFT(IFERROR(INDEX(醫師週班表!$C$5:$T$44,$CU17,Y$57),""),1),""),IF(MID(IFERROR(INDEX(醫師週班表!$C$5:$T$44,$CU17,Y$57),""),2,1)="(",LEFT(IFERROR(INDEX(醫師週班表!$C$5:$T$44,$CU17,Y$57),""),1),IFERROR(INDEX(醫師週班表!$C$5:$T$44,$CU17,Y$57),"")))))))</f>
        <v/>
      </c>
      <c r="Z17" s="71">
        <f>IF(Z$59="X","",IF(Z$59&lt;&gt;"",Z$59,IF(IFERROR(INDEX(醫師週班表!$C$5:$T$44,$CU17,Z$57),"")=0,"",IF(MID(IFERROR(INDEX(醫師週班表!$C$5:$T$44,$CU17,Z$57),""),2,1)="/",MID(IFERROR(INDEX(醫師週班表!$C$5:$T$44,$CU17,Z$57),""),1+Z$58*2,1),IF(MID(IFERROR(INDEX(醫師週班表!$C$5:$T$44,$CU17,Z$57),""),3,1)="隔",IF(Z$58=0,LEFT(IFERROR(INDEX(醫師週班表!$C$5:$T$44,$CU17,Z$57),""),1),""),IF(MID(IFERROR(INDEX(醫師週班表!$C$5:$T$44,$CU17,Z$57),""),2,1)="(",LEFT(IFERROR(INDEX(醫師週班表!$C$5:$T$44,$CU17,Z$57),""),1),IFERROR(INDEX(醫師週班表!$C$5:$T$44,$CU17,Z$57),"")))))))</f>
        <v/>
      </c>
      <c r="AA17" s="72">
        <f>IF(AA$59="X","",IF(AA$59&lt;&gt;"",AA$59,IF(IFERROR(INDEX(醫師週班表!$C$5:$T$44,$CU17,AA$57),"")=0,"",IF(MID(IFERROR(INDEX(醫師週班表!$C$5:$T$44,$CU17,AA$57),""),2,1)="/",MID(IFERROR(INDEX(醫師週班表!$C$5:$T$44,$CU17,AA$57),""),1+AA$58*2,1),IF(MID(IFERROR(INDEX(醫師週班表!$C$5:$T$44,$CU17,AA$57),""),3,1)="隔",IF(AA$58=0,LEFT(IFERROR(INDEX(醫師週班表!$C$5:$T$44,$CU17,AA$57),""),1),""),IF(MID(IFERROR(INDEX(醫師週班表!$C$5:$T$44,$CU17,AA$57),""),2,1)="(",LEFT(IFERROR(INDEX(醫師週班表!$C$5:$T$44,$CU17,AA$57),""),1),IFERROR(INDEX(醫師週班表!$C$5:$T$44,$CU17,AA$57),"")))))))</f>
        <v/>
      </c>
      <c r="AB17" s="72">
        <f>IF(AB$59="X","",IF(AB$59&lt;&gt;"",AB$59,IF(IFERROR(INDEX(醫師週班表!$C$5:$T$44,$CU17,AB$57),"")=0,"",IF(MID(IFERROR(INDEX(醫師週班表!$C$5:$T$44,$CU17,AB$57),""),2,1)="/",MID(IFERROR(INDEX(醫師週班表!$C$5:$T$44,$CU17,AB$57),""),1+AB$58*2,1),IF(MID(IFERROR(INDEX(醫師週班表!$C$5:$T$44,$CU17,AB$57),""),3,1)="隔",IF(AB$58=0,LEFT(IFERROR(INDEX(醫師週班表!$C$5:$T$44,$CU17,AB$57),""),1),""),IF(MID(IFERROR(INDEX(醫師週班表!$C$5:$T$44,$CU17,AB$57),""),2,1)="(",LEFT(IFERROR(INDEX(醫師週班表!$C$5:$T$44,$CU17,AB$57),""),1),IFERROR(INDEX(醫師週班表!$C$5:$T$44,$CU17,AB$57),"")))))))</f>
        <v/>
      </c>
      <c r="AC17" s="71">
        <f>IF(AC$59="X","",IF(AC$59&lt;&gt;"",AC$59,IF(IFERROR(INDEX(醫師週班表!$C$5:$T$44,$CU17,AC$57),"")=0,"",IF(MID(IFERROR(INDEX(醫師週班表!$C$5:$T$44,$CU17,AC$57),""),2,1)="/",MID(IFERROR(INDEX(醫師週班表!$C$5:$T$44,$CU17,AC$57),""),1+AC$58*2,1),IF(MID(IFERROR(INDEX(醫師週班表!$C$5:$T$44,$CU17,AC$57),""),3,1)="隔",IF(AC$58=0,LEFT(IFERROR(INDEX(醫師週班表!$C$5:$T$44,$CU17,AC$57),""),1),""),IF(MID(IFERROR(INDEX(醫師週班表!$C$5:$T$44,$CU17,AC$57),""),2,1)="(",LEFT(IFERROR(INDEX(醫師週班表!$C$5:$T$44,$CU17,AC$57),""),1),IFERROR(INDEX(醫師週班表!$C$5:$T$44,$CU17,AC$57),"")))))))</f>
        <v/>
      </c>
      <c r="AD17" s="72">
        <f>IF(AD$59="X","",IF(AD$59&lt;&gt;"",AD$59,IF(IFERROR(INDEX(醫師週班表!$C$5:$T$44,$CU17,AD$57),"")=0,"",IF(MID(IFERROR(INDEX(醫師週班表!$C$5:$T$44,$CU17,AD$57),""),2,1)="/",MID(IFERROR(INDEX(醫師週班表!$C$5:$T$44,$CU17,AD$57),""),1+AD$58*2,1),IF(MID(IFERROR(INDEX(醫師週班表!$C$5:$T$44,$CU17,AD$57),""),3,1)="隔",IF(AD$58=0,LEFT(IFERROR(INDEX(醫師週班表!$C$5:$T$44,$CU17,AD$57),""),1),""),IF(MID(IFERROR(INDEX(醫師週班表!$C$5:$T$44,$CU17,AD$57),""),2,1)="(",LEFT(IFERROR(INDEX(醫師週班表!$C$5:$T$44,$CU17,AD$57),""),1),IFERROR(INDEX(醫師週班表!$C$5:$T$44,$CU17,AD$57),"")))))))</f>
        <v/>
      </c>
      <c r="AE17" s="72">
        <f>IF(AE$59="X","",IF(AE$59&lt;&gt;"",AE$59,IF(IFERROR(INDEX(醫師週班表!$C$5:$T$44,$CU17,AE$57),"")=0,"",IF(MID(IFERROR(INDEX(醫師週班表!$C$5:$T$44,$CU17,AE$57),""),2,1)="/",MID(IFERROR(INDEX(醫師週班表!$C$5:$T$44,$CU17,AE$57),""),1+AE$58*2,1),IF(MID(IFERROR(INDEX(醫師週班表!$C$5:$T$44,$CU17,AE$57),""),3,1)="隔",IF(AE$58=0,LEFT(IFERROR(INDEX(醫師週班表!$C$5:$T$44,$CU17,AE$57),""),1),""),IF(MID(IFERROR(INDEX(醫師週班表!$C$5:$T$44,$CU17,AE$57),""),2,1)="(",LEFT(IFERROR(INDEX(醫師週班表!$C$5:$T$44,$CU17,AE$57),""),1),IFERROR(INDEX(醫師週班表!$C$5:$T$44,$CU17,AE$57),"")))))))</f>
        <v/>
      </c>
      <c r="AF17" s="71">
        <f>IF(AF$59="X","",IF(AF$59&lt;&gt;"",AF$59,IF(IFERROR(INDEX(醫師週班表!$C$5:$T$44,$CU17,AF$57),"")=0,"",IF(MID(IFERROR(INDEX(醫師週班表!$C$5:$T$44,$CU17,AF$57),""),2,1)="/",MID(IFERROR(INDEX(醫師週班表!$C$5:$T$44,$CU17,AF$57),""),1+AF$58*2,1),IF(MID(IFERROR(INDEX(醫師週班表!$C$5:$T$44,$CU17,AF$57),""),3,1)="隔",IF(AF$58=0,LEFT(IFERROR(INDEX(醫師週班表!$C$5:$T$44,$CU17,AF$57),""),1),""),IF(MID(IFERROR(INDEX(醫師週班表!$C$5:$T$44,$CU17,AF$57),""),2,1)="(",LEFT(IFERROR(INDEX(醫師週班表!$C$5:$T$44,$CU17,AF$57),""),1),IFERROR(INDEX(醫師週班表!$C$5:$T$44,$CU17,AF$57),"")))))))</f>
        <v/>
      </c>
      <c r="AG17" s="72">
        <f>IF(AG$59="X","",IF(AG$59&lt;&gt;"",AG$59,IF(IFERROR(INDEX(醫師週班表!$C$5:$T$44,$CU17,AG$57),"")=0,"",IF(MID(IFERROR(INDEX(醫師週班表!$C$5:$T$44,$CU17,AG$57),""),2,1)="/",MID(IFERROR(INDEX(醫師週班表!$C$5:$T$44,$CU17,AG$57),""),1+AG$58*2,1),IF(MID(IFERROR(INDEX(醫師週班表!$C$5:$T$44,$CU17,AG$57),""),3,1)="隔",IF(AG$58=0,LEFT(IFERROR(INDEX(醫師週班表!$C$5:$T$44,$CU17,AG$57),""),1),""),IF(MID(IFERROR(INDEX(醫師週班表!$C$5:$T$44,$CU17,AG$57),""),2,1)="(",LEFT(IFERROR(INDEX(醫師週班表!$C$5:$T$44,$CU17,AG$57),""),1),IFERROR(INDEX(醫師週班表!$C$5:$T$44,$CU17,AG$57),"")))))))</f>
        <v/>
      </c>
      <c r="AH17" s="72">
        <f>IF(AH$59="X","",IF(AH$59&lt;&gt;"",AH$59,IF(IFERROR(INDEX(醫師週班表!$C$5:$T$44,$CU17,AH$57),"")=0,"",IF(MID(IFERROR(INDEX(醫師週班表!$C$5:$T$44,$CU17,AH$57),""),2,1)="/",MID(IFERROR(INDEX(醫師週班表!$C$5:$T$44,$CU17,AH$57),""),1+AH$58*2,1),IF(MID(IFERROR(INDEX(醫師週班表!$C$5:$T$44,$CU17,AH$57),""),3,1)="隔",IF(AH$58=0,LEFT(IFERROR(INDEX(醫師週班表!$C$5:$T$44,$CU17,AH$57),""),1),""),IF(MID(IFERROR(INDEX(醫師週班表!$C$5:$T$44,$CU17,AH$57),""),2,1)="(",LEFT(IFERROR(INDEX(醫師週班表!$C$5:$T$44,$CU17,AH$57),""),1),IFERROR(INDEX(醫師週班表!$C$5:$T$44,$CU17,AH$57),"")))))))</f>
        <v/>
      </c>
      <c r="AI17" s="71">
        <f>IF(AI$59="X","",IF(AI$59&lt;&gt;"",AI$59,IF(IFERROR(INDEX(醫師週班表!$C$5:$T$44,$CU17,AI$57),"")=0,"",IF(MID(IFERROR(INDEX(醫師週班表!$C$5:$T$44,$CU17,AI$57),""),2,1)="/",MID(IFERROR(INDEX(醫師週班表!$C$5:$T$44,$CU17,AI$57),""),1+AI$58*2,1),IF(MID(IFERROR(INDEX(醫師週班表!$C$5:$T$44,$CU17,AI$57),""),3,1)="隔",IF(AI$58=0,LEFT(IFERROR(INDEX(醫師週班表!$C$5:$T$44,$CU17,AI$57),""),1),""),IF(MID(IFERROR(INDEX(醫師週班表!$C$5:$T$44,$CU17,AI$57),""),2,1)="(",LEFT(IFERROR(INDEX(醫師週班表!$C$5:$T$44,$CU17,AI$57),""),1),IFERROR(INDEX(醫師週班表!$C$5:$T$44,$CU17,AI$57),"")))))))</f>
        <v/>
      </c>
      <c r="AJ17" s="72">
        <f>IF(AJ$59="X","",IF(AJ$59&lt;&gt;"",AJ$59,IF(IFERROR(INDEX(醫師週班表!$C$5:$T$44,$CU17,AJ$57),"")=0,"",IF(MID(IFERROR(INDEX(醫師週班表!$C$5:$T$44,$CU17,AJ$57),""),2,1)="/",MID(IFERROR(INDEX(醫師週班表!$C$5:$T$44,$CU17,AJ$57),""),1+AJ$58*2,1),IF(MID(IFERROR(INDEX(醫師週班表!$C$5:$T$44,$CU17,AJ$57),""),3,1)="隔",IF(AJ$58=0,LEFT(IFERROR(INDEX(醫師週班表!$C$5:$T$44,$CU17,AJ$57),""),1),""),IF(MID(IFERROR(INDEX(醫師週班表!$C$5:$T$44,$CU17,AJ$57),""),2,1)="(",LEFT(IFERROR(INDEX(醫師週班表!$C$5:$T$44,$CU17,AJ$57),""),1),IFERROR(INDEX(醫師週班表!$C$5:$T$44,$CU17,AJ$57),"")))))))</f>
        <v/>
      </c>
      <c r="AK17" s="72">
        <f>IF(AK$59="X","",IF(AK$59&lt;&gt;"",AK$59,IF(IFERROR(INDEX(醫師週班表!$C$5:$T$44,$CU17,AK$57),"")=0,"",IF(MID(IFERROR(INDEX(醫師週班表!$C$5:$T$44,$CU17,AK$57),""),2,1)="/",MID(IFERROR(INDEX(醫師週班表!$C$5:$T$44,$CU17,AK$57),""),1+AK$58*2,1),IF(MID(IFERROR(INDEX(醫師週班表!$C$5:$T$44,$CU17,AK$57),""),3,1)="隔",IF(AK$58=0,LEFT(IFERROR(INDEX(醫師週班表!$C$5:$T$44,$CU17,AK$57),""),1),""),IF(MID(IFERROR(INDEX(醫師週班表!$C$5:$T$44,$CU17,AK$57),""),2,1)="(",LEFT(IFERROR(INDEX(醫師週班表!$C$5:$T$44,$CU17,AK$57),""),1),IFERROR(INDEX(醫師週班表!$C$5:$T$44,$CU17,AK$57),"")))))))</f>
        <v/>
      </c>
      <c r="AL17" s="71">
        <f>IF(AL$59="X","",IF(AL$59&lt;&gt;"",AL$59,IF(IFERROR(INDEX(醫師週班表!$C$5:$T$44,$CU17,AL$57),"")=0,"",IF(MID(IFERROR(INDEX(醫師週班表!$C$5:$T$44,$CU17,AL$57),""),2,1)="/",MID(IFERROR(INDEX(醫師週班表!$C$5:$T$44,$CU17,AL$57),""),1+AL$58*2,1),IF(MID(IFERROR(INDEX(醫師週班表!$C$5:$T$44,$CU17,AL$57),""),3,1)="隔",IF(AL$58=0,LEFT(IFERROR(INDEX(醫師週班表!$C$5:$T$44,$CU17,AL$57),""),1),""),IF(MID(IFERROR(INDEX(醫師週班表!$C$5:$T$44,$CU17,AL$57),""),2,1)="(",LEFT(IFERROR(INDEX(醫師週班表!$C$5:$T$44,$CU17,AL$57),""),1),IFERROR(INDEX(醫師週班表!$C$5:$T$44,$CU17,AL$57),"")))))))</f>
        <v/>
      </c>
      <c r="AM17" s="72">
        <f>IF(AM$59="X","",IF(AM$59&lt;&gt;"",AM$59,IF(IFERROR(INDEX(醫師週班表!$C$5:$T$44,$CU17,AM$57),"")=0,"",IF(MID(IFERROR(INDEX(醫師週班表!$C$5:$T$44,$CU17,AM$57),""),2,1)="/",MID(IFERROR(INDEX(醫師週班表!$C$5:$T$44,$CU17,AM$57),""),1+AM$58*2,1),IF(MID(IFERROR(INDEX(醫師週班表!$C$5:$T$44,$CU17,AM$57),""),3,1)="隔",IF(AM$58=0,LEFT(IFERROR(INDEX(醫師週班表!$C$5:$T$44,$CU17,AM$57),""),1),""),IF(MID(IFERROR(INDEX(醫師週班表!$C$5:$T$44,$CU17,AM$57),""),2,1)="(",LEFT(IFERROR(INDEX(醫師週班表!$C$5:$T$44,$CU17,AM$57),""),1),IFERROR(INDEX(醫師週班表!$C$5:$T$44,$CU17,AM$57),"")))))))</f>
        <v/>
      </c>
      <c r="AN17" s="72">
        <f>IF(AN$59="X","",IF(AN$59&lt;&gt;"",AN$59,IF(IFERROR(INDEX(醫師週班表!$C$5:$T$44,$CU17,AN$57),"")=0,"",IF(MID(IFERROR(INDEX(醫師週班表!$C$5:$T$44,$CU17,AN$57),""),2,1)="/",MID(IFERROR(INDEX(醫師週班表!$C$5:$T$44,$CU17,AN$57),""),1+AN$58*2,1),IF(MID(IFERROR(INDEX(醫師週班表!$C$5:$T$44,$CU17,AN$57),""),3,1)="隔",IF(AN$58=0,LEFT(IFERROR(INDEX(醫師週班表!$C$5:$T$44,$CU17,AN$57),""),1),""),IF(MID(IFERROR(INDEX(醫師週班表!$C$5:$T$44,$CU17,AN$57),""),2,1)="(",LEFT(IFERROR(INDEX(醫師週班表!$C$5:$T$44,$CU17,AN$57),""),1),IFERROR(INDEX(醫師週班表!$C$5:$T$44,$CU17,AN$57),"")))))))</f>
        <v/>
      </c>
      <c r="AO17" s="71">
        <f>IF(AO$59="X","",IF(AO$59&lt;&gt;"",AO$59,IF(IFERROR(INDEX(醫師週班表!$C$5:$T$44,$CU17,AO$57),"")=0,"",IF(MID(IFERROR(INDEX(醫師週班表!$C$5:$T$44,$CU17,AO$57),""),2,1)="/",MID(IFERROR(INDEX(醫師週班表!$C$5:$T$44,$CU17,AO$57),""),1+AO$58*2,1),IF(MID(IFERROR(INDEX(醫師週班表!$C$5:$T$44,$CU17,AO$57),""),3,1)="隔",IF(AO$58=0,LEFT(IFERROR(INDEX(醫師週班表!$C$5:$T$44,$CU17,AO$57),""),1),""),IF(MID(IFERROR(INDEX(醫師週班表!$C$5:$T$44,$CU17,AO$57),""),2,1)="(",LEFT(IFERROR(INDEX(醫師週班表!$C$5:$T$44,$CU17,AO$57),""),1),IFERROR(INDEX(醫師週班表!$C$5:$T$44,$CU17,AO$57),"")))))))</f>
        <v/>
      </c>
      <c r="AP17" s="72">
        <f>IF(AP$59="X","",IF(AP$59&lt;&gt;"",AP$59,IF(IFERROR(INDEX(醫師週班表!$C$5:$T$44,$CU17,AP$57),"")=0,"",IF(MID(IFERROR(INDEX(醫師週班表!$C$5:$T$44,$CU17,AP$57),""),2,1)="/",MID(IFERROR(INDEX(醫師週班表!$C$5:$T$44,$CU17,AP$57),""),1+AP$58*2,1),IF(MID(IFERROR(INDEX(醫師週班表!$C$5:$T$44,$CU17,AP$57),""),3,1)="隔",IF(AP$58=0,LEFT(IFERROR(INDEX(醫師週班表!$C$5:$T$44,$CU17,AP$57),""),1),""),IF(MID(IFERROR(INDEX(醫師週班表!$C$5:$T$44,$CU17,AP$57),""),2,1)="(",LEFT(IFERROR(INDEX(醫師週班表!$C$5:$T$44,$CU17,AP$57),""),1),IFERROR(INDEX(醫師週班表!$C$5:$T$44,$CU17,AP$57),"")))))))</f>
        <v/>
      </c>
      <c r="AQ17" s="72">
        <f>IF(AQ$59="X","",IF(AQ$59&lt;&gt;"",AQ$59,IF(IFERROR(INDEX(醫師週班表!$C$5:$T$44,$CU17,AQ$57),"")=0,"",IF(MID(IFERROR(INDEX(醫師週班表!$C$5:$T$44,$CU17,AQ$57),""),2,1)="/",MID(IFERROR(INDEX(醫師週班表!$C$5:$T$44,$CU17,AQ$57),""),1+AQ$58*2,1),IF(MID(IFERROR(INDEX(醫師週班表!$C$5:$T$44,$CU17,AQ$57),""),3,1)="隔",IF(AQ$58=0,LEFT(IFERROR(INDEX(醫師週班表!$C$5:$T$44,$CU17,AQ$57),""),1),""),IF(MID(IFERROR(INDEX(醫師週班表!$C$5:$T$44,$CU17,AQ$57),""),2,1)="(",LEFT(IFERROR(INDEX(醫師週班表!$C$5:$T$44,$CU17,AQ$57),""),1),IFERROR(INDEX(醫師週班表!$C$5:$T$44,$CU17,AQ$57),"")))))))</f>
        <v/>
      </c>
      <c r="AR17" s="71">
        <f>IF(AR$59="X","",IF(AR$59&lt;&gt;"",AR$59,IF(IFERROR(INDEX(醫師週班表!$C$5:$T$44,$CU17,AR$57),"")=0,"",IF(MID(IFERROR(INDEX(醫師週班表!$C$5:$T$44,$CU17,AR$57),""),2,1)="/",MID(IFERROR(INDEX(醫師週班表!$C$5:$T$44,$CU17,AR$57),""),1+AR$58*2,1),IF(MID(IFERROR(INDEX(醫師週班表!$C$5:$T$44,$CU17,AR$57),""),3,1)="隔",IF(AR$58=0,LEFT(IFERROR(INDEX(醫師週班表!$C$5:$T$44,$CU17,AR$57),""),1),""),IF(MID(IFERROR(INDEX(醫師週班表!$C$5:$T$44,$CU17,AR$57),""),2,1)="(",LEFT(IFERROR(INDEX(醫師週班表!$C$5:$T$44,$CU17,AR$57),""),1),IFERROR(INDEX(醫師週班表!$C$5:$T$44,$CU17,AR$57),"")))))))</f>
        <v/>
      </c>
      <c r="AS17" s="72">
        <f>IF(AS$59="X","",IF(AS$59&lt;&gt;"",AS$59,IF(IFERROR(INDEX(醫師週班表!$C$5:$T$44,$CU17,AS$57),"")=0,"",IF(MID(IFERROR(INDEX(醫師週班表!$C$5:$T$44,$CU17,AS$57),""),2,1)="/",MID(IFERROR(INDEX(醫師週班表!$C$5:$T$44,$CU17,AS$57),""),1+AS$58*2,1),IF(MID(IFERROR(INDEX(醫師週班表!$C$5:$T$44,$CU17,AS$57),""),3,1)="隔",IF(AS$58=0,LEFT(IFERROR(INDEX(醫師週班表!$C$5:$T$44,$CU17,AS$57),""),1),""),IF(MID(IFERROR(INDEX(醫師週班表!$C$5:$T$44,$CU17,AS$57),""),2,1)="(",LEFT(IFERROR(INDEX(醫師週班表!$C$5:$T$44,$CU17,AS$57),""),1),IFERROR(INDEX(醫師週班表!$C$5:$T$44,$CU17,AS$57),"")))))))</f>
        <v/>
      </c>
      <c r="AT17" s="72">
        <f>IF(AT$59="X","",IF(AT$59&lt;&gt;"",AT$59,IF(IFERROR(INDEX(醫師週班表!$C$5:$T$44,$CU17,AT$57),"")=0,"",IF(MID(IFERROR(INDEX(醫師週班表!$C$5:$T$44,$CU17,AT$57),""),2,1)="/",MID(IFERROR(INDEX(醫師週班表!$C$5:$T$44,$CU17,AT$57),""),1+AT$58*2,1),IF(MID(IFERROR(INDEX(醫師週班表!$C$5:$T$44,$CU17,AT$57),""),3,1)="隔",IF(AT$58=0,LEFT(IFERROR(INDEX(醫師週班表!$C$5:$T$44,$CU17,AT$57),""),1),""),IF(MID(IFERROR(INDEX(醫師週班表!$C$5:$T$44,$CU17,AT$57),""),2,1)="(",LEFT(IFERROR(INDEX(醫師週班表!$C$5:$T$44,$CU17,AT$57),""),1),IFERROR(INDEX(醫師週班表!$C$5:$T$44,$CU17,AT$57),"")))))))</f>
        <v/>
      </c>
      <c r="AU17" s="71">
        <f>IF(AU$59="X","",IF(AU$59&lt;&gt;"",AU$59,IF(IFERROR(INDEX(醫師週班表!$C$5:$T$44,$CU17,AU$57),"")=0,"",IF(MID(IFERROR(INDEX(醫師週班表!$C$5:$T$44,$CU17,AU$57),""),2,1)="/",MID(IFERROR(INDEX(醫師週班表!$C$5:$T$44,$CU17,AU$57),""),1+AU$58*2,1),IF(MID(IFERROR(INDEX(醫師週班表!$C$5:$T$44,$CU17,AU$57),""),3,1)="隔",IF(AU$58=0,LEFT(IFERROR(INDEX(醫師週班表!$C$5:$T$44,$CU17,AU$57),""),1),""),IF(MID(IFERROR(INDEX(醫師週班表!$C$5:$T$44,$CU17,AU$57),""),2,1)="(",LEFT(IFERROR(INDEX(醫師週班表!$C$5:$T$44,$CU17,AU$57),""),1),IFERROR(INDEX(醫師週班表!$C$5:$T$44,$CU17,AU$57),"")))))))</f>
        <v/>
      </c>
      <c r="AV17" s="72">
        <f>IF(AV$59="X","",IF(AV$59&lt;&gt;"",AV$59,IF(IFERROR(INDEX(醫師週班表!$C$5:$T$44,$CU17,AV$57),"")=0,"",IF(MID(IFERROR(INDEX(醫師週班表!$C$5:$T$44,$CU17,AV$57),""),2,1)="/",MID(IFERROR(INDEX(醫師週班表!$C$5:$T$44,$CU17,AV$57),""),1+AV$58*2,1),IF(MID(IFERROR(INDEX(醫師週班表!$C$5:$T$44,$CU17,AV$57),""),3,1)="隔",IF(AV$58=0,LEFT(IFERROR(INDEX(醫師週班表!$C$5:$T$44,$CU17,AV$57),""),1),""),IF(MID(IFERROR(INDEX(醫師週班表!$C$5:$T$44,$CU17,AV$57),""),2,1)="(",LEFT(IFERROR(INDEX(醫師週班表!$C$5:$T$44,$CU17,AV$57),""),1),IFERROR(INDEX(醫師週班表!$C$5:$T$44,$CU17,AV$57),"")))))))</f>
        <v/>
      </c>
      <c r="AW17" s="72">
        <f>IF(AW$59="X","",IF(AW$59&lt;&gt;"",AW$59,IF(IFERROR(INDEX(醫師週班表!$C$5:$T$44,$CU17,AW$57),"")=0,"",IF(MID(IFERROR(INDEX(醫師週班表!$C$5:$T$44,$CU17,AW$57),""),2,1)="/",MID(IFERROR(INDEX(醫師週班表!$C$5:$T$44,$CU17,AW$57),""),1+AW$58*2,1),IF(MID(IFERROR(INDEX(醫師週班表!$C$5:$T$44,$CU17,AW$57),""),3,1)="隔",IF(AW$58=0,LEFT(IFERROR(INDEX(醫師週班表!$C$5:$T$44,$CU17,AW$57),""),1),""),IF(MID(IFERROR(INDEX(醫師週班表!$C$5:$T$44,$CU17,AW$57),""),2,1)="(",LEFT(IFERROR(INDEX(醫師週班表!$C$5:$T$44,$CU17,AW$57),""),1),IFERROR(INDEX(醫師週班表!$C$5:$T$44,$CU17,AW$57),"")))))))</f>
        <v/>
      </c>
      <c r="AX17" s="71">
        <f>IF(AX$59="X","",IF(AX$59&lt;&gt;"",AX$59,IF(IFERROR(INDEX(醫師週班表!$C$5:$T$44,$CU17,AX$57),"")=0,"",IF(MID(IFERROR(INDEX(醫師週班表!$C$5:$T$44,$CU17,AX$57),""),2,1)="/",MID(IFERROR(INDEX(醫師週班表!$C$5:$T$44,$CU17,AX$57),""),1+AX$58*2,1),IF(MID(IFERROR(INDEX(醫師週班表!$C$5:$T$44,$CU17,AX$57),""),3,1)="隔",IF(AX$58=0,LEFT(IFERROR(INDEX(醫師週班表!$C$5:$T$44,$CU17,AX$57),""),1),""),IF(MID(IFERROR(INDEX(醫師週班表!$C$5:$T$44,$CU17,AX$57),""),2,1)="(",LEFT(IFERROR(INDEX(醫師週班表!$C$5:$T$44,$CU17,AX$57),""),1),IFERROR(INDEX(醫師週班表!$C$5:$T$44,$CU17,AX$57),"")))))))</f>
        <v/>
      </c>
      <c r="AY17" s="72">
        <f>IF(AY$59="X","",IF(AY$59&lt;&gt;"",AY$59,IF(IFERROR(INDEX(醫師週班表!$C$5:$T$44,$CU17,AY$57),"")=0,"",IF(MID(IFERROR(INDEX(醫師週班表!$C$5:$T$44,$CU17,AY$57),""),2,1)="/",MID(IFERROR(INDEX(醫師週班表!$C$5:$T$44,$CU17,AY$57),""),1+AY$58*2,1),IF(MID(IFERROR(INDEX(醫師週班表!$C$5:$T$44,$CU17,AY$57),""),3,1)="隔",IF(AY$58=0,LEFT(IFERROR(INDEX(醫師週班表!$C$5:$T$44,$CU17,AY$57),""),1),""),IF(MID(IFERROR(INDEX(醫師週班表!$C$5:$T$44,$CU17,AY$57),""),2,1)="(",LEFT(IFERROR(INDEX(醫師週班表!$C$5:$T$44,$CU17,AY$57),""),1),IFERROR(INDEX(醫師週班表!$C$5:$T$44,$CU17,AY$57),"")))))))</f>
        <v/>
      </c>
      <c r="AZ17" s="72">
        <f>IF(AZ$59="X","",IF(AZ$59&lt;&gt;"",AZ$59,IF(IFERROR(INDEX(醫師週班表!$C$5:$T$44,$CU17,AZ$57),"")=0,"",IF(MID(IFERROR(INDEX(醫師週班表!$C$5:$T$44,$CU17,AZ$57),""),2,1)="/",MID(IFERROR(INDEX(醫師週班表!$C$5:$T$44,$CU17,AZ$57),""),1+AZ$58*2,1),IF(MID(IFERROR(INDEX(醫師週班表!$C$5:$T$44,$CU17,AZ$57),""),3,1)="隔",IF(AZ$58=0,LEFT(IFERROR(INDEX(醫師週班表!$C$5:$T$44,$CU17,AZ$57),""),1),""),IF(MID(IFERROR(INDEX(醫師週班表!$C$5:$T$44,$CU17,AZ$57),""),2,1)="(",LEFT(IFERROR(INDEX(醫師週班表!$C$5:$T$44,$CU17,AZ$57),""),1),IFERROR(INDEX(醫師週班表!$C$5:$T$44,$CU17,AZ$57),"")))))))</f>
        <v/>
      </c>
      <c r="BA17" s="71">
        <f>IF(BA$59="X","",IF(BA$59&lt;&gt;"",BA$59,IF(IFERROR(INDEX(醫師週班表!$C$5:$T$44,$CU17,BA$57),"")=0,"",IF(MID(IFERROR(INDEX(醫師週班表!$C$5:$T$44,$CU17,BA$57),""),2,1)="/",MID(IFERROR(INDEX(醫師週班表!$C$5:$T$44,$CU17,BA$57),""),1+BA$58*2,1),IF(MID(IFERROR(INDEX(醫師週班表!$C$5:$T$44,$CU17,BA$57),""),3,1)="隔",IF(BA$58=0,LEFT(IFERROR(INDEX(醫師週班表!$C$5:$T$44,$CU17,BA$57),""),1),""),IF(MID(IFERROR(INDEX(醫師週班表!$C$5:$T$44,$CU17,BA$57),""),2,1)="(",LEFT(IFERROR(INDEX(醫師週班表!$C$5:$T$44,$CU17,BA$57),""),1),IFERROR(INDEX(醫師週班表!$C$5:$T$44,$CU17,BA$57),"")))))))</f>
        <v/>
      </c>
      <c r="BB17" s="72">
        <f>IF(BB$59="X","",IF(BB$59&lt;&gt;"",BB$59,IF(IFERROR(INDEX(醫師週班表!$C$5:$T$44,$CU17,BB$57),"")=0,"",IF(MID(IFERROR(INDEX(醫師週班表!$C$5:$T$44,$CU17,BB$57),""),2,1)="/",MID(IFERROR(INDEX(醫師週班表!$C$5:$T$44,$CU17,BB$57),""),1+BB$58*2,1),IF(MID(IFERROR(INDEX(醫師週班表!$C$5:$T$44,$CU17,BB$57),""),3,1)="隔",IF(BB$58=0,LEFT(IFERROR(INDEX(醫師週班表!$C$5:$T$44,$CU17,BB$57),""),1),""),IF(MID(IFERROR(INDEX(醫師週班表!$C$5:$T$44,$CU17,BB$57),""),2,1)="(",LEFT(IFERROR(INDEX(醫師週班表!$C$5:$T$44,$CU17,BB$57),""),1),IFERROR(INDEX(醫師週班表!$C$5:$T$44,$CU17,BB$57),"")))))))</f>
        <v/>
      </c>
      <c r="BC17" s="72">
        <f>IF(BC$59="X","",IF(BC$59&lt;&gt;"",BC$59,IF(IFERROR(INDEX(醫師週班表!$C$5:$T$44,$CU17,BC$57),"")=0,"",IF(MID(IFERROR(INDEX(醫師週班表!$C$5:$T$44,$CU17,BC$57),""),2,1)="/",MID(IFERROR(INDEX(醫師週班表!$C$5:$T$44,$CU17,BC$57),""),1+BC$58*2,1),IF(MID(IFERROR(INDEX(醫師週班表!$C$5:$T$44,$CU17,BC$57),""),3,1)="隔",IF(BC$58=0,LEFT(IFERROR(INDEX(醫師週班表!$C$5:$T$44,$CU17,BC$57),""),1),""),IF(MID(IFERROR(INDEX(醫師週班表!$C$5:$T$44,$CU17,BC$57),""),2,1)="(",LEFT(IFERROR(INDEX(醫師週班表!$C$5:$T$44,$CU17,BC$57),""),1),IFERROR(INDEX(醫師週班表!$C$5:$T$44,$CU17,BC$57),"")))))))</f>
        <v/>
      </c>
      <c r="BD17" s="71">
        <f>IF(BD$59="X","",IF(BD$59&lt;&gt;"",BD$59,IF(IFERROR(INDEX(醫師週班表!$C$5:$T$44,$CU17,BD$57),"")=0,"",IF(MID(IFERROR(INDEX(醫師週班表!$C$5:$T$44,$CU17,BD$57),""),2,1)="/",MID(IFERROR(INDEX(醫師週班表!$C$5:$T$44,$CU17,BD$57),""),1+BD$58*2,1),IF(MID(IFERROR(INDEX(醫師週班表!$C$5:$T$44,$CU17,BD$57),""),3,1)="隔",IF(BD$58=0,LEFT(IFERROR(INDEX(醫師週班表!$C$5:$T$44,$CU17,BD$57),""),1),""),IF(MID(IFERROR(INDEX(醫師週班表!$C$5:$T$44,$CU17,BD$57),""),2,1)="(",LEFT(IFERROR(INDEX(醫師週班表!$C$5:$T$44,$CU17,BD$57),""),1),IFERROR(INDEX(醫師週班表!$C$5:$T$44,$CU17,BD$57),"")))))))</f>
        <v/>
      </c>
      <c r="BE17" s="72">
        <f>IF(BE$59="X","",IF(BE$59&lt;&gt;"",BE$59,IF(IFERROR(INDEX(醫師週班表!$C$5:$T$44,$CU17,BE$57),"")=0,"",IF(MID(IFERROR(INDEX(醫師週班表!$C$5:$T$44,$CU17,BE$57),""),2,1)="/",MID(IFERROR(INDEX(醫師週班表!$C$5:$T$44,$CU17,BE$57),""),1+BE$58*2,1),IF(MID(IFERROR(INDEX(醫師週班表!$C$5:$T$44,$CU17,BE$57),""),3,1)="隔",IF(BE$58=0,LEFT(IFERROR(INDEX(醫師週班表!$C$5:$T$44,$CU17,BE$57),""),1),""),IF(MID(IFERROR(INDEX(醫師週班表!$C$5:$T$44,$CU17,BE$57),""),2,1)="(",LEFT(IFERROR(INDEX(醫師週班表!$C$5:$T$44,$CU17,BE$57),""),1),IFERROR(INDEX(醫師週班表!$C$5:$T$44,$CU17,BE$57),"")))))))</f>
        <v/>
      </c>
      <c r="BF17" s="72">
        <f>IF(BF$59="X","",IF(BF$59&lt;&gt;"",BF$59,IF(IFERROR(INDEX(醫師週班表!$C$5:$T$44,$CU17,BF$57),"")=0,"",IF(MID(IFERROR(INDEX(醫師週班表!$C$5:$T$44,$CU17,BF$57),""),2,1)="/",MID(IFERROR(INDEX(醫師週班表!$C$5:$T$44,$CU17,BF$57),""),1+BF$58*2,1),IF(MID(IFERROR(INDEX(醫師週班表!$C$5:$T$44,$CU17,BF$57),""),3,1)="隔",IF(BF$58=0,LEFT(IFERROR(INDEX(醫師週班表!$C$5:$T$44,$CU17,BF$57),""),1),""),IF(MID(IFERROR(INDEX(醫師週班表!$C$5:$T$44,$CU17,BF$57),""),2,1)="(",LEFT(IFERROR(INDEX(醫師週班表!$C$5:$T$44,$CU17,BF$57),""),1),IFERROR(INDEX(醫師週班表!$C$5:$T$44,$CU17,BF$57),"")))))))</f>
        <v/>
      </c>
      <c r="BG17" s="71">
        <f>IF(BG$59="X","",IF(BG$59&lt;&gt;"",BG$59,IF(IFERROR(INDEX(醫師週班表!$C$5:$T$44,$CU17,BG$57),"")=0,"",IF(MID(IFERROR(INDEX(醫師週班表!$C$5:$T$44,$CU17,BG$57),""),2,1)="/",MID(IFERROR(INDEX(醫師週班表!$C$5:$T$44,$CU17,BG$57),""),1+BG$58*2,1),IF(MID(IFERROR(INDEX(醫師週班表!$C$5:$T$44,$CU17,BG$57),""),3,1)="隔",IF(BG$58=0,LEFT(IFERROR(INDEX(醫師週班表!$C$5:$T$44,$CU17,BG$57),""),1),""),IF(MID(IFERROR(INDEX(醫師週班表!$C$5:$T$44,$CU17,BG$57),""),2,1)="(",LEFT(IFERROR(INDEX(醫師週班表!$C$5:$T$44,$CU17,BG$57),""),1),IFERROR(INDEX(醫師週班表!$C$5:$T$44,$CU17,BG$57),"")))))))</f>
        <v/>
      </c>
      <c r="BH17" s="72">
        <f>IF(BH$59="X","",IF(BH$59&lt;&gt;"",BH$59,IF(IFERROR(INDEX(醫師週班表!$C$5:$T$44,$CU17,BH$57),"")=0,"",IF(MID(IFERROR(INDEX(醫師週班表!$C$5:$T$44,$CU17,BH$57),""),2,1)="/",MID(IFERROR(INDEX(醫師週班表!$C$5:$T$44,$CU17,BH$57),""),1+BH$58*2,1),IF(MID(IFERROR(INDEX(醫師週班表!$C$5:$T$44,$CU17,BH$57),""),3,1)="隔",IF(BH$58=0,LEFT(IFERROR(INDEX(醫師週班表!$C$5:$T$44,$CU17,BH$57),""),1),""),IF(MID(IFERROR(INDEX(醫師週班表!$C$5:$T$44,$CU17,BH$57),""),2,1)="(",LEFT(IFERROR(INDEX(醫師週班表!$C$5:$T$44,$CU17,BH$57),""),1),IFERROR(INDEX(醫師週班表!$C$5:$T$44,$CU17,BH$57),"")))))))</f>
        <v/>
      </c>
      <c r="BI17" s="72">
        <f>IF(BI$59="X","",IF(BI$59&lt;&gt;"",BI$59,IF(IFERROR(INDEX(醫師週班表!$C$5:$T$44,$CU17,BI$57),"")=0,"",IF(MID(IFERROR(INDEX(醫師週班表!$C$5:$T$44,$CU17,BI$57),""),2,1)="/",MID(IFERROR(INDEX(醫師週班表!$C$5:$T$44,$CU17,BI$57),""),1+BI$58*2,1),IF(MID(IFERROR(INDEX(醫師週班表!$C$5:$T$44,$CU17,BI$57),""),3,1)="隔",IF(BI$58=0,LEFT(IFERROR(INDEX(醫師週班表!$C$5:$T$44,$CU17,BI$57),""),1),""),IF(MID(IFERROR(INDEX(醫師週班表!$C$5:$T$44,$CU17,BI$57),""),2,1)="(",LEFT(IFERROR(INDEX(醫師週班表!$C$5:$T$44,$CU17,BI$57),""),1),IFERROR(INDEX(醫師週班表!$C$5:$T$44,$CU17,BI$57),"")))))))</f>
        <v/>
      </c>
      <c r="BJ17" s="71">
        <f>IF(BJ$59="X","",IF(BJ$59&lt;&gt;"",BJ$59,IF(IFERROR(INDEX(醫師週班表!$C$5:$T$44,$CU17,BJ$57),"")=0,"",IF(MID(IFERROR(INDEX(醫師週班表!$C$5:$T$44,$CU17,BJ$57),""),2,1)="/",MID(IFERROR(INDEX(醫師週班表!$C$5:$T$44,$CU17,BJ$57),""),1+BJ$58*2,1),IF(MID(IFERROR(INDEX(醫師週班表!$C$5:$T$44,$CU17,BJ$57),""),3,1)="隔",IF(BJ$58=0,LEFT(IFERROR(INDEX(醫師週班表!$C$5:$T$44,$CU17,BJ$57),""),1),""),IF(MID(IFERROR(INDEX(醫師週班表!$C$5:$T$44,$CU17,BJ$57),""),2,1)="(",LEFT(IFERROR(INDEX(醫師週班表!$C$5:$T$44,$CU17,BJ$57),""),1),IFERROR(INDEX(醫師週班表!$C$5:$T$44,$CU17,BJ$57),"")))))))</f>
        <v/>
      </c>
      <c r="BK17" s="72">
        <f>IF(BK$59="X","",IF(BK$59&lt;&gt;"",BK$59,IF(IFERROR(INDEX(醫師週班表!$C$5:$T$44,$CU17,BK$57),"")=0,"",IF(MID(IFERROR(INDEX(醫師週班表!$C$5:$T$44,$CU17,BK$57),""),2,1)="/",MID(IFERROR(INDEX(醫師週班表!$C$5:$T$44,$CU17,BK$57),""),1+BK$58*2,1),IF(MID(IFERROR(INDEX(醫師週班表!$C$5:$T$44,$CU17,BK$57),""),3,1)="隔",IF(BK$58=0,LEFT(IFERROR(INDEX(醫師週班表!$C$5:$T$44,$CU17,BK$57),""),1),""),IF(MID(IFERROR(INDEX(醫師週班表!$C$5:$T$44,$CU17,BK$57),""),2,1)="(",LEFT(IFERROR(INDEX(醫師週班表!$C$5:$T$44,$CU17,BK$57),""),1),IFERROR(INDEX(醫師週班表!$C$5:$T$44,$CU17,BK$57),"")))))))</f>
        <v/>
      </c>
      <c r="BL17" s="72">
        <f>IF(BL$59="X","",IF(BL$59&lt;&gt;"",BL$59,IF(IFERROR(INDEX(醫師週班表!$C$5:$T$44,$CU17,BL$57),"")=0,"",IF(MID(IFERROR(INDEX(醫師週班表!$C$5:$T$44,$CU17,BL$57),""),2,1)="/",MID(IFERROR(INDEX(醫師週班表!$C$5:$T$44,$CU17,BL$57),""),1+BL$58*2,1),IF(MID(IFERROR(INDEX(醫師週班表!$C$5:$T$44,$CU17,BL$57),""),3,1)="隔",IF(BL$58=0,LEFT(IFERROR(INDEX(醫師週班表!$C$5:$T$44,$CU17,BL$57),""),1),""),IF(MID(IFERROR(INDEX(醫師週班表!$C$5:$T$44,$CU17,BL$57),""),2,1)="(",LEFT(IFERROR(INDEX(醫師週班表!$C$5:$T$44,$CU17,BL$57),""),1),IFERROR(INDEX(醫師週班表!$C$5:$T$44,$CU17,BL$57),"")))))))</f>
        <v/>
      </c>
      <c r="BM17" s="71">
        <f>IF(BM$59="X","",IF(BM$59&lt;&gt;"",BM$59,IF(IFERROR(INDEX(醫師週班表!$C$5:$T$44,$CU17,BM$57),"")=0,"",IF(MID(IFERROR(INDEX(醫師週班表!$C$5:$T$44,$CU17,BM$57),""),2,1)="/",MID(IFERROR(INDEX(醫師週班表!$C$5:$T$44,$CU17,BM$57),""),1+BM$58*2,1),IF(MID(IFERROR(INDEX(醫師週班表!$C$5:$T$44,$CU17,BM$57),""),3,1)="隔",IF(BM$58=0,LEFT(IFERROR(INDEX(醫師週班表!$C$5:$T$44,$CU17,BM$57),""),1),""),IF(MID(IFERROR(INDEX(醫師週班表!$C$5:$T$44,$CU17,BM$57),""),2,1)="(",LEFT(IFERROR(INDEX(醫師週班表!$C$5:$T$44,$CU17,BM$57),""),1),IFERROR(INDEX(醫師週班表!$C$5:$T$44,$CU17,BM$57),"")))))))</f>
        <v/>
      </c>
      <c r="BN17" s="72">
        <f>IF(BN$59="X","",IF(BN$59&lt;&gt;"",BN$59,IF(IFERROR(INDEX(醫師週班表!$C$5:$T$44,$CU17,BN$57),"")=0,"",IF(MID(IFERROR(INDEX(醫師週班表!$C$5:$T$44,$CU17,BN$57),""),2,1)="/",MID(IFERROR(INDEX(醫師週班表!$C$5:$T$44,$CU17,BN$57),""),1+BN$58*2,1),IF(MID(IFERROR(INDEX(醫師週班表!$C$5:$T$44,$CU17,BN$57),""),3,1)="隔",IF(BN$58=0,LEFT(IFERROR(INDEX(醫師週班表!$C$5:$T$44,$CU17,BN$57),""),1),""),IF(MID(IFERROR(INDEX(醫師週班表!$C$5:$T$44,$CU17,BN$57),""),2,1)="(",LEFT(IFERROR(INDEX(醫師週班表!$C$5:$T$44,$CU17,BN$57),""),1),IFERROR(INDEX(醫師週班表!$C$5:$T$44,$CU17,BN$57),"")))))))</f>
        <v/>
      </c>
      <c r="BO17" s="72">
        <f>IF(BO$59="X","",IF(BO$59&lt;&gt;"",BO$59,IF(IFERROR(INDEX(醫師週班表!$C$5:$T$44,$CU17,BO$57),"")=0,"",IF(MID(IFERROR(INDEX(醫師週班表!$C$5:$T$44,$CU17,BO$57),""),2,1)="/",MID(IFERROR(INDEX(醫師週班表!$C$5:$T$44,$CU17,BO$57),""),1+BO$58*2,1),IF(MID(IFERROR(INDEX(醫師週班表!$C$5:$T$44,$CU17,BO$57),""),3,1)="隔",IF(BO$58=0,LEFT(IFERROR(INDEX(醫師週班表!$C$5:$T$44,$CU17,BO$57),""),1),""),IF(MID(IFERROR(INDEX(醫師週班表!$C$5:$T$44,$CU17,BO$57),""),2,1)="(",LEFT(IFERROR(INDEX(醫師週班表!$C$5:$T$44,$CU17,BO$57),""),1),IFERROR(INDEX(醫師週班表!$C$5:$T$44,$CU17,BO$57),"")))))))</f>
        <v/>
      </c>
      <c r="BP17" s="71">
        <f>IF(BP$59="X","",IF(BP$59&lt;&gt;"",BP$59,IF(IFERROR(INDEX(醫師週班表!$C$5:$T$44,$CU17,BP$57),"")=0,"",IF(MID(IFERROR(INDEX(醫師週班表!$C$5:$T$44,$CU17,BP$57),""),2,1)="/",MID(IFERROR(INDEX(醫師週班表!$C$5:$T$44,$CU17,BP$57),""),1+BP$58*2,1),IF(MID(IFERROR(INDEX(醫師週班表!$C$5:$T$44,$CU17,BP$57),""),3,1)="隔",IF(BP$58=0,LEFT(IFERROR(INDEX(醫師週班表!$C$5:$T$44,$CU17,BP$57),""),1),""),IF(MID(IFERROR(INDEX(醫師週班表!$C$5:$T$44,$CU17,BP$57),""),2,1)="(",LEFT(IFERROR(INDEX(醫師週班表!$C$5:$T$44,$CU17,BP$57),""),1),IFERROR(INDEX(醫師週班表!$C$5:$T$44,$CU17,BP$57),"")))))))</f>
        <v/>
      </c>
      <c r="BQ17" s="72">
        <f>IF(BQ$59="X","",IF(BQ$59&lt;&gt;"",BQ$59,IF(IFERROR(INDEX(醫師週班表!$C$5:$T$44,$CU17,BQ$57),"")=0,"",IF(MID(IFERROR(INDEX(醫師週班表!$C$5:$T$44,$CU17,BQ$57),""),2,1)="/",MID(IFERROR(INDEX(醫師週班表!$C$5:$T$44,$CU17,BQ$57),""),1+BQ$58*2,1),IF(MID(IFERROR(INDEX(醫師週班表!$C$5:$T$44,$CU17,BQ$57),""),3,1)="隔",IF(BQ$58=0,LEFT(IFERROR(INDEX(醫師週班表!$C$5:$T$44,$CU17,BQ$57),""),1),""),IF(MID(IFERROR(INDEX(醫師週班表!$C$5:$T$44,$CU17,BQ$57),""),2,1)="(",LEFT(IFERROR(INDEX(醫師週班表!$C$5:$T$44,$CU17,BQ$57),""),1),IFERROR(INDEX(醫師週班表!$C$5:$T$44,$CU17,BQ$57),"")))))))</f>
        <v/>
      </c>
      <c r="BR17" s="72">
        <f>IF(BR$59="X","",IF(BR$59&lt;&gt;"",BR$59,IF(IFERROR(INDEX(醫師週班表!$C$5:$T$44,$CU17,BR$57),"")=0,"",IF(MID(IFERROR(INDEX(醫師週班表!$C$5:$T$44,$CU17,BR$57),""),2,1)="/",MID(IFERROR(INDEX(醫師週班表!$C$5:$T$44,$CU17,BR$57),""),1+BR$58*2,1),IF(MID(IFERROR(INDEX(醫師週班表!$C$5:$T$44,$CU17,BR$57),""),3,1)="隔",IF(BR$58=0,LEFT(IFERROR(INDEX(醫師週班表!$C$5:$T$44,$CU17,BR$57),""),1),""),IF(MID(IFERROR(INDEX(醫師週班表!$C$5:$T$44,$CU17,BR$57),""),2,1)="(",LEFT(IFERROR(INDEX(醫師週班表!$C$5:$T$44,$CU17,BR$57),""),1),IFERROR(INDEX(醫師週班表!$C$5:$T$44,$CU17,BR$57),"")))))))</f>
        <v/>
      </c>
      <c r="BS17" s="71">
        <f>IF(BS$59="X","",IF(BS$59&lt;&gt;"",BS$59,IF(IFERROR(INDEX(醫師週班表!$C$5:$T$44,$CU17,BS$57),"")=0,"",IF(MID(IFERROR(INDEX(醫師週班表!$C$5:$T$44,$CU17,BS$57),""),2,1)="/",MID(IFERROR(INDEX(醫師週班表!$C$5:$T$44,$CU17,BS$57),""),1+BS$58*2,1),IF(MID(IFERROR(INDEX(醫師週班表!$C$5:$T$44,$CU17,BS$57),""),3,1)="隔",IF(BS$58=0,LEFT(IFERROR(INDEX(醫師週班表!$C$5:$T$44,$CU17,BS$57),""),1),""),IF(MID(IFERROR(INDEX(醫師週班表!$C$5:$T$44,$CU17,BS$57),""),2,1)="(",LEFT(IFERROR(INDEX(醫師週班表!$C$5:$T$44,$CU17,BS$57),""),1),IFERROR(INDEX(醫師週班表!$C$5:$T$44,$CU17,BS$57),"")))))))</f>
        <v/>
      </c>
      <c r="BT17" s="72">
        <f>IF(BT$59="X","",IF(BT$59&lt;&gt;"",BT$59,IF(IFERROR(INDEX(醫師週班表!$C$5:$T$44,$CU17,BT$57),"")=0,"",IF(MID(IFERROR(INDEX(醫師週班表!$C$5:$T$44,$CU17,BT$57),""),2,1)="/",MID(IFERROR(INDEX(醫師週班表!$C$5:$T$44,$CU17,BT$57),""),1+BT$58*2,1),IF(MID(IFERROR(INDEX(醫師週班表!$C$5:$T$44,$CU17,BT$57),""),3,1)="隔",IF(BT$58=0,LEFT(IFERROR(INDEX(醫師週班表!$C$5:$T$44,$CU17,BT$57),""),1),""),IF(MID(IFERROR(INDEX(醫師週班表!$C$5:$T$44,$CU17,BT$57),""),2,1)="(",LEFT(IFERROR(INDEX(醫師週班表!$C$5:$T$44,$CU17,BT$57),""),1),IFERROR(INDEX(醫師週班表!$C$5:$T$44,$CU17,BT$57),"")))))))</f>
        <v/>
      </c>
      <c r="BU17" s="72">
        <f>IF(BU$59="X","",IF(BU$59&lt;&gt;"",BU$59,IF(IFERROR(INDEX(醫師週班表!$C$5:$T$44,$CU17,BU$57),"")=0,"",IF(MID(IFERROR(INDEX(醫師週班表!$C$5:$T$44,$CU17,BU$57),""),2,1)="/",MID(IFERROR(INDEX(醫師週班表!$C$5:$T$44,$CU17,BU$57),""),1+BU$58*2,1),IF(MID(IFERROR(INDEX(醫師週班表!$C$5:$T$44,$CU17,BU$57),""),3,1)="隔",IF(BU$58=0,LEFT(IFERROR(INDEX(醫師週班表!$C$5:$T$44,$CU17,BU$57),""),1),""),IF(MID(IFERROR(INDEX(醫師週班表!$C$5:$T$44,$CU17,BU$57),""),2,1)="(",LEFT(IFERROR(INDEX(醫師週班表!$C$5:$T$44,$CU17,BU$57),""),1),IFERROR(INDEX(醫師週班表!$C$5:$T$44,$CU17,BU$57),"")))))))</f>
        <v/>
      </c>
      <c r="BV17" s="71">
        <f>IF(BV$59="X","",IF(BV$59&lt;&gt;"",BV$59,IF(IFERROR(INDEX(醫師週班表!$C$5:$T$44,$CU17,BV$57),"")=0,"",IF(MID(IFERROR(INDEX(醫師週班表!$C$5:$T$44,$CU17,BV$57),""),2,1)="/",MID(IFERROR(INDEX(醫師週班表!$C$5:$T$44,$CU17,BV$57),""),1+BV$58*2,1),IF(MID(IFERROR(INDEX(醫師週班表!$C$5:$T$44,$CU17,BV$57),""),3,1)="隔",IF(BV$58=0,LEFT(IFERROR(INDEX(醫師週班表!$C$5:$T$44,$CU17,BV$57),""),1),""),IF(MID(IFERROR(INDEX(醫師週班表!$C$5:$T$44,$CU17,BV$57),""),2,1)="(",LEFT(IFERROR(INDEX(醫師週班表!$C$5:$T$44,$CU17,BV$57),""),1),IFERROR(INDEX(醫師週班表!$C$5:$T$44,$CU17,BV$57),"")))))))</f>
        <v/>
      </c>
      <c r="BW17" s="72">
        <f>IF(BW$59="X","",IF(BW$59&lt;&gt;"",BW$59,IF(IFERROR(INDEX(醫師週班表!$C$5:$T$44,$CU17,BW$57),"")=0,"",IF(MID(IFERROR(INDEX(醫師週班表!$C$5:$T$44,$CU17,BW$57),""),2,1)="/",MID(IFERROR(INDEX(醫師週班表!$C$5:$T$44,$CU17,BW$57),""),1+BW$58*2,1),IF(MID(IFERROR(INDEX(醫師週班表!$C$5:$T$44,$CU17,BW$57),""),3,1)="隔",IF(BW$58=0,LEFT(IFERROR(INDEX(醫師週班表!$C$5:$T$44,$CU17,BW$57),""),1),""),IF(MID(IFERROR(INDEX(醫師週班表!$C$5:$T$44,$CU17,BW$57),""),2,1)="(",LEFT(IFERROR(INDEX(醫師週班表!$C$5:$T$44,$CU17,BW$57),""),1),IFERROR(INDEX(醫師週班表!$C$5:$T$44,$CU17,BW$57),"")))))))</f>
        <v/>
      </c>
      <c r="BX17" s="72">
        <f>IF(BX$59="X","",IF(BX$59&lt;&gt;"",BX$59,IF(IFERROR(INDEX(醫師週班表!$C$5:$T$44,$CU17,BX$57),"")=0,"",IF(MID(IFERROR(INDEX(醫師週班表!$C$5:$T$44,$CU17,BX$57),""),2,1)="/",MID(IFERROR(INDEX(醫師週班表!$C$5:$T$44,$CU17,BX$57),""),1+BX$58*2,1),IF(MID(IFERROR(INDEX(醫師週班表!$C$5:$T$44,$CU17,BX$57),""),3,1)="隔",IF(BX$58=0,LEFT(IFERROR(INDEX(醫師週班表!$C$5:$T$44,$CU17,BX$57),""),1),""),IF(MID(IFERROR(INDEX(醫師週班表!$C$5:$T$44,$CU17,BX$57),""),2,1)="(",LEFT(IFERROR(INDEX(醫師週班表!$C$5:$T$44,$CU17,BX$57),""),1),IFERROR(INDEX(醫師週班表!$C$5:$T$44,$CU17,BX$57),"")))))))</f>
        <v/>
      </c>
      <c r="BY17" s="71">
        <f>IF(BY$59="X","",IF(BY$59&lt;&gt;"",BY$59,IF(IFERROR(INDEX(醫師週班表!$C$5:$T$44,$CU17,BY$57),"")=0,"",IF(MID(IFERROR(INDEX(醫師週班表!$C$5:$T$44,$CU17,BY$57),""),2,1)="/",MID(IFERROR(INDEX(醫師週班表!$C$5:$T$44,$CU17,BY$57),""),1+BY$58*2,1),IF(MID(IFERROR(INDEX(醫師週班表!$C$5:$T$44,$CU17,BY$57),""),3,1)="隔",IF(BY$58=0,LEFT(IFERROR(INDEX(醫師週班表!$C$5:$T$44,$CU17,BY$57),""),1),""),IF(MID(IFERROR(INDEX(醫師週班表!$C$5:$T$44,$CU17,BY$57),""),2,1)="(",LEFT(IFERROR(INDEX(醫師週班表!$C$5:$T$44,$CU17,BY$57),""),1),IFERROR(INDEX(醫師週班表!$C$5:$T$44,$CU17,BY$57),"")))))))</f>
        <v/>
      </c>
      <c r="BZ17" s="72">
        <f>IF(BZ$59="X","",IF(BZ$59&lt;&gt;"",BZ$59,IF(IFERROR(INDEX(醫師週班表!$C$5:$T$44,$CU17,BZ$57),"")=0,"",IF(MID(IFERROR(INDEX(醫師週班表!$C$5:$T$44,$CU17,BZ$57),""),2,1)="/",MID(IFERROR(INDEX(醫師週班表!$C$5:$T$44,$CU17,BZ$57),""),1+BZ$58*2,1),IF(MID(IFERROR(INDEX(醫師週班表!$C$5:$T$44,$CU17,BZ$57),""),3,1)="隔",IF(BZ$58=0,LEFT(IFERROR(INDEX(醫師週班表!$C$5:$T$44,$CU17,BZ$57),""),1),""),IF(MID(IFERROR(INDEX(醫師週班表!$C$5:$T$44,$CU17,BZ$57),""),2,1)="(",LEFT(IFERROR(INDEX(醫師週班表!$C$5:$T$44,$CU17,BZ$57),""),1),IFERROR(INDEX(醫師週班表!$C$5:$T$44,$CU17,BZ$57),"")))))))</f>
        <v/>
      </c>
      <c r="CA17" s="72">
        <f>IF(CA$59="X","",IF(CA$59&lt;&gt;"",CA$59,IF(IFERROR(INDEX(醫師週班表!$C$5:$T$44,$CU17,CA$57),"")=0,"",IF(MID(IFERROR(INDEX(醫師週班表!$C$5:$T$44,$CU17,CA$57),""),2,1)="/",MID(IFERROR(INDEX(醫師週班表!$C$5:$T$44,$CU17,CA$57),""),1+CA$58*2,1),IF(MID(IFERROR(INDEX(醫師週班表!$C$5:$T$44,$CU17,CA$57),""),3,1)="隔",IF(CA$58=0,LEFT(IFERROR(INDEX(醫師週班表!$C$5:$T$44,$CU17,CA$57),""),1),""),IF(MID(IFERROR(INDEX(醫師週班表!$C$5:$T$44,$CU17,CA$57),""),2,1)="(",LEFT(IFERROR(INDEX(醫師週班表!$C$5:$T$44,$CU17,CA$57),""),1),IFERROR(INDEX(醫師週班表!$C$5:$T$44,$CU17,CA$57),"")))))))</f>
        <v/>
      </c>
      <c r="CB17" s="71">
        <f>IF(CB$59="X","",IF(CB$59&lt;&gt;"",CB$59,IF(IFERROR(INDEX(醫師週班表!$C$5:$T$44,$CU17,CB$57),"")=0,"",IF(MID(IFERROR(INDEX(醫師週班表!$C$5:$T$44,$CU17,CB$57),""),2,1)="/",MID(IFERROR(INDEX(醫師週班表!$C$5:$T$44,$CU17,CB$57),""),1+CB$58*2,1),IF(MID(IFERROR(INDEX(醫師週班表!$C$5:$T$44,$CU17,CB$57),""),3,1)="隔",IF(CB$58=0,LEFT(IFERROR(INDEX(醫師週班表!$C$5:$T$44,$CU17,CB$57),""),1),""),IF(MID(IFERROR(INDEX(醫師週班表!$C$5:$T$44,$CU17,CB$57),""),2,1)="(",LEFT(IFERROR(INDEX(醫師週班表!$C$5:$T$44,$CU17,CB$57),""),1),IFERROR(INDEX(醫師週班表!$C$5:$T$44,$CU17,CB$57),"")))))))</f>
        <v/>
      </c>
      <c r="CC17" s="72">
        <f>IF(CC$59="X","",IF(CC$59&lt;&gt;"",CC$59,IF(IFERROR(INDEX(醫師週班表!$C$5:$T$44,$CU17,CC$57),"")=0,"",IF(MID(IFERROR(INDEX(醫師週班表!$C$5:$T$44,$CU17,CC$57),""),2,1)="/",MID(IFERROR(INDEX(醫師週班表!$C$5:$T$44,$CU17,CC$57),""),1+CC$58*2,1),IF(MID(IFERROR(INDEX(醫師週班表!$C$5:$T$44,$CU17,CC$57),""),3,1)="隔",IF(CC$58=0,LEFT(IFERROR(INDEX(醫師週班表!$C$5:$T$44,$CU17,CC$57),""),1),""),IF(MID(IFERROR(INDEX(醫師週班表!$C$5:$T$44,$CU17,CC$57),""),2,1)="(",LEFT(IFERROR(INDEX(醫師週班表!$C$5:$T$44,$CU17,CC$57),""),1),IFERROR(INDEX(醫師週班表!$C$5:$T$44,$CU17,CC$57),"")))))))</f>
        <v/>
      </c>
      <c r="CD17" s="72">
        <f>IF(CD$59="X","",IF(CD$59&lt;&gt;"",CD$59,IF(IFERROR(INDEX(醫師週班表!$C$5:$T$44,$CU17,CD$57),"")=0,"",IF(MID(IFERROR(INDEX(醫師週班表!$C$5:$T$44,$CU17,CD$57),""),2,1)="/",MID(IFERROR(INDEX(醫師週班表!$C$5:$T$44,$CU17,CD$57),""),1+CD$58*2,1),IF(MID(IFERROR(INDEX(醫師週班表!$C$5:$T$44,$CU17,CD$57),""),3,1)="隔",IF(CD$58=0,LEFT(IFERROR(INDEX(醫師週班表!$C$5:$T$44,$CU17,CD$57),""),1),""),IF(MID(IFERROR(INDEX(醫師週班表!$C$5:$T$44,$CU17,CD$57),""),2,1)="(",LEFT(IFERROR(INDEX(醫師週班表!$C$5:$T$44,$CU17,CD$57),""),1),IFERROR(INDEX(醫師週班表!$C$5:$T$44,$CU17,CD$57),"")))))))</f>
        <v/>
      </c>
      <c r="CE17" s="71">
        <f>IF(CE$59="X","",IF(CE$59&lt;&gt;"",CE$59,IF(IFERROR(INDEX(醫師週班表!$C$5:$T$44,$CU17,CE$57),"")=0,"",IF(MID(IFERROR(INDEX(醫師週班表!$C$5:$T$44,$CU17,CE$57),""),2,1)="/",MID(IFERROR(INDEX(醫師週班表!$C$5:$T$44,$CU17,CE$57),""),1+CE$58*2,1),IF(MID(IFERROR(INDEX(醫師週班表!$C$5:$T$44,$CU17,CE$57),""),3,1)="隔",IF(CE$58=0,LEFT(IFERROR(INDEX(醫師週班表!$C$5:$T$44,$CU17,CE$57),""),1),""),IF(MID(IFERROR(INDEX(醫師週班表!$C$5:$T$44,$CU17,CE$57),""),2,1)="(",LEFT(IFERROR(INDEX(醫師週班表!$C$5:$T$44,$CU17,CE$57),""),1),IFERROR(INDEX(醫師週班表!$C$5:$T$44,$CU17,CE$57),"")))))))</f>
        <v/>
      </c>
      <c r="CF17" s="72">
        <f>IF(CF$59="X","",IF(CF$59&lt;&gt;"",CF$59,IF(IFERROR(INDEX(醫師週班表!$C$5:$T$44,$CU17,CF$57),"")=0,"",IF(MID(IFERROR(INDEX(醫師週班表!$C$5:$T$44,$CU17,CF$57),""),2,1)="/",MID(IFERROR(INDEX(醫師週班表!$C$5:$T$44,$CU17,CF$57),""),1+CF$58*2,1),IF(MID(IFERROR(INDEX(醫師週班表!$C$5:$T$44,$CU17,CF$57),""),3,1)="隔",IF(CF$58=0,LEFT(IFERROR(INDEX(醫師週班表!$C$5:$T$44,$CU17,CF$57),""),1),""),IF(MID(IFERROR(INDEX(醫師週班表!$C$5:$T$44,$CU17,CF$57),""),2,1)="(",LEFT(IFERROR(INDEX(醫師週班表!$C$5:$T$44,$CU17,CF$57),""),1),IFERROR(INDEX(醫師週班表!$C$5:$T$44,$CU17,CF$57),"")))))))</f>
        <v/>
      </c>
      <c r="CG17" s="72">
        <f>IF(CG$59="X","",IF(CG$59&lt;&gt;"",CG$59,IF(IFERROR(INDEX(醫師週班表!$C$5:$T$44,$CU17,CG$57),"")=0,"",IF(MID(IFERROR(INDEX(醫師週班表!$C$5:$T$44,$CU17,CG$57),""),2,1)="/",MID(IFERROR(INDEX(醫師週班表!$C$5:$T$44,$CU17,CG$57),""),1+CG$58*2,1),IF(MID(IFERROR(INDEX(醫師週班表!$C$5:$T$44,$CU17,CG$57),""),3,1)="隔",IF(CG$58=0,LEFT(IFERROR(INDEX(醫師週班表!$C$5:$T$44,$CU17,CG$57),""),1),""),IF(MID(IFERROR(INDEX(醫師週班表!$C$5:$T$44,$CU17,CG$57),""),2,1)="(",LEFT(IFERROR(INDEX(醫師週班表!$C$5:$T$44,$CU17,CG$57),""),1),IFERROR(INDEX(醫師週班表!$C$5:$T$44,$CU17,CG$57),"")))))))</f>
        <v/>
      </c>
      <c r="CH17" s="71">
        <f>IF(CH$59="X","",IF(CH$59&lt;&gt;"",CH$59,IF(IFERROR(INDEX(醫師週班表!$C$5:$T$44,$CU17,CH$57),"")=0,"",IF(MID(IFERROR(INDEX(醫師週班表!$C$5:$T$44,$CU17,CH$57),""),2,1)="/",MID(IFERROR(INDEX(醫師週班表!$C$5:$T$44,$CU17,CH$57),""),1+CH$58*2,1),IF(MID(IFERROR(INDEX(醫師週班表!$C$5:$T$44,$CU17,CH$57),""),3,1)="隔",IF(CH$58=0,LEFT(IFERROR(INDEX(醫師週班表!$C$5:$T$44,$CU17,CH$57),""),1),""),IF(MID(IFERROR(INDEX(醫師週班表!$C$5:$T$44,$CU17,CH$57),""),2,1)="(",LEFT(IFERROR(INDEX(醫師週班表!$C$5:$T$44,$CU17,CH$57),""),1),IFERROR(INDEX(醫師週班表!$C$5:$T$44,$CU17,CH$57),"")))))))</f>
        <v/>
      </c>
      <c r="CI17" s="72">
        <f>IF(CI$59="X","",IF(CI$59&lt;&gt;"",CI$59,IF(IFERROR(INDEX(醫師週班表!$C$5:$T$44,$CU17,CI$57),"")=0,"",IF(MID(IFERROR(INDEX(醫師週班表!$C$5:$T$44,$CU17,CI$57),""),2,1)="/",MID(IFERROR(INDEX(醫師週班表!$C$5:$T$44,$CU17,CI$57),""),1+CI$58*2,1),IF(MID(IFERROR(INDEX(醫師週班表!$C$5:$T$44,$CU17,CI$57),""),3,1)="隔",IF(CI$58=0,LEFT(IFERROR(INDEX(醫師週班表!$C$5:$T$44,$CU17,CI$57),""),1),""),IF(MID(IFERROR(INDEX(醫師週班表!$C$5:$T$44,$CU17,CI$57),""),2,1)="(",LEFT(IFERROR(INDEX(醫師週班表!$C$5:$T$44,$CU17,CI$57),""),1),IFERROR(INDEX(醫師週班表!$C$5:$T$44,$CU17,CI$57),"")))))))</f>
        <v/>
      </c>
      <c r="CJ17" s="72">
        <f>IF(CJ$59="X","",IF(CJ$59&lt;&gt;"",CJ$59,IF(IFERROR(INDEX(醫師週班表!$C$5:$T$44,$CU17,CJ$57),"")=0,"",IF(MID(IFERROR(INDEX(醫師週班表!$C$5:$T$44,$CU17,CJ$57),""),2,1)="/",MID(IFERROR(INDEX(醫師週班表!$C$5:$T$44,$CU17,CJ$57),""),1+CJ$58*2,1),IF(MID(IFERROR(INDEX(醫師週班表!$C$5:$T$44,$CU17,CJ$57),""),3,1)="隔",IF(CJ$58=0,LEFT(IFERROR(INDEX(醫師週班表!$C$5:$T$44,$CU17,CJ$57),""),1),""),IF(MID(IFERROR(INDEX(醫師週班表!$C$5:$T$44,$CU17,CJ$57),""),2,1)="(",LEFT(IFERROR(INDEX(醫師週班表!$C$5:$T$44,$CU17,CJ$57),""),1),IFERROR(INDEX(醫師週班表!$C$5:$T$44,$CU17,CJ$57),"")))))))</f>
        <v/>
      </c>
      <c r="CK17" s="71">
        <f>IF(CK$59="X","",IF(CK$59&lt;&gt;"",CK$59,IF(IFERROR(INDEX(醫師週班表!$C$5:$T$44,$CU17,CK$57),"")=0,"",IF(MID(IFERROR(INDEX(醫師週班表!$C$5:$T$44,$CU17,CK$57),""),2,1)="/",MID(IFERROR(INDEX(醫師週班表!$C$5:$T$44,$CU17,CK$57),""),1+CK$58*2,1),IF(MID(IFERROR(INDEX(醫師週班表!$C$5:$T$44,$CU17,CK$57),""),3,1)="隔",IF(CK$58=0,LEFT(IFERROR(INDEX(醫師週班表!$C$5:$T$44,$CU17,CK$57),""),1),""),IF(MID(IFERROR(INDEX(醫師週班表!$C$5:$T$44,$CU17,CK$57),""),2,1)="(",LEFT(IFERROR(INDEX(醫師週班表!$C$5:$T$44,$CU17,CK$57),""),1),IFERROR(INDEX(醫師週班表!$C$5:$T$44,$CU17,CK$57),"")))))))</f>
        <v/>
      </c>
      <c r="CL17" s="72">
        <f>IF(CL$59="X","",IF(CL$59&lt;&gt;"",CL$59,IF(IFERROR(INDEX(醫師週班表!$C$5:$T$44,$CU17,CL$57),"")=0,"",IF(MID(IFERROR(INDEX(醫師週班表!$C$5:$T$44,$CU17,CL$57),""),2,1)="/",MID(IFERROR(INDEX(醫師週班表!$C$5:$T$44,$CU17,CL$57),""),1+CL$58*2,1),IF(MID(IFERROR(INDEX(醫師週班表!$C$5:$T$44,$CU17,CL$57),""),3,1)="隔",IF(CL$58=0,LEFT(IFERROR(INDEX(醫師週班表!$C$5:$T$44,$CU17,CL$57),""),1),""),IF(MID(IFERROR(INDEX(醫師週班表!$C$5:$T$44,$CU17,CL$57),""),2,1)="(",LEFT(IFERROR(INDEX(醫師週班表!$C$5:$T$44,$CU17,CL$57),""),1),IFERROR(INDEX(醫師週班表!$C$5:$T$44,$CU17,CL$57),"")))))))</f>
        <v/>
      </c>
      <c r="CM17" s="72">
        <f>IF(CM$59="X","",IF(CM$59&lt;&gt;"",CM$59,IF(IFERROR(INDEX(醫師週班表!$C$5:$T$44,$CU17,CM$57),"")=0,"",IF(MID(IFERROR(INDEX(醫師週班表!$C$5:$T$44,$CU17,CM$57),""),2,1)="/",MID(IFERROR(INDEX(醫師週班表!$C$5:$T$44,$CU17,CM$57),""),1+CM$58*2,1),IF(MID(IFERROR(INDEX(醫師週班表!$C$5:$T$44,$CU17,CM$57),""),3,1)="隔",IF(CM$58=0,LEFT(IFERROR(INDEX(醫師週班表!$C$5:$T$44,$CU17,CM$57),""),1),""),IF(MID(IFERROR(INDEX(醫師週班表!$C$5:$T$44,$CU17,CM$57),""),2,1)="(",LEFT(IFERROR(INDEX(醫師週班表!$C$5:$T$44,$CU17,CM$57),""),1),IFERROR(INDEX(醫師週班表!$C$5:$T$44,$CU17,CM$57),"")))))))</f>
        <v/>
      </c>
      <c r="CN17" s="71">
        <f>IF(CN$59="X","",IF(CN$59&lt;&gt;"",CN$59,IF(IFERROR(INDEX(醫師週班表!$C$5:$T$44,$CU17,CN$57),"")=0,"",IF(MID(IFERROR(INDEX(醫師週班表!$C$5:$T$44,$CU17,CN$57),""),2,1)="/",MID(IFERROR(INDEX(醫師週班表!$C$5:$T$44,$CU17,CN$57),""),1+CN$58*2,1),IF(MID(IFERROR(INDEX(醫師週班表!$C$5:$T$44,$CU17,CN$57),""),3,1)="隔",IF(CN$58=0,LEFT(IFERROR(INDEX(醫師週班表!$C$5:$T$44,$CU17,CN$57),""),1),""),IF(MID(IFERROR(INDEX(醫師週班表!$C$5:$T$44,$CU17,CN$57),""),2,1)="(",LEFT(IFERROR(INDEX(醫師週班表!$C$5:$T$44,$CU17,CN$57),""),1),IFERROR(INDEX(醫師週班表!$C$5:$T$44,$CU17,CN$57),"")))))))</f>
        <v/>
      </c>
      <c r="CO17" s="72">
        <f>IF(CO$59="X","",IF(CO$59&lt;&gt;"",CO$59,IF(IFERROR(INDEX(醫師週班表!$C$5:$T$44,$CU17,CO$57),"")=0,"",IF(MID(IFERROR(INDEX(醫師週班表!$C$5:$T$44,$CU17,CO$57),""),2,1)="/",MID(IFERROR(INDEX(醫師週班表!$C$5:$T$44,$CU17,CO$57),""),1+CO$58*2,1),IF(MID(IFERROR(INDEX(醫師週班表!$C$5:$T$44,$CU17,CO$57),""),3,1)="隔",IF(CO$58=0,LEFT(IFERROR(INDEX(醫師週班表!$C$5:$T$44,$CU17,CO$57),""),1),""),IF(MID(IFERROR(INDEX(醫師週班表!$C$5:$T$44,$CU17,CO$57),""),2,1)="(",LEFT(IFERROR(INDEX(醫師週班表!$C$5:$T$44,$CU17,CO$57),""),1),IFERROR(INDEX(醫師週班表!$C$5:$T$44,$CU17,CO$57),"")))))))</f>
        <v/>
      </c>
      <c r="CP17" s="72">
        <f>IF(CP$59="X","",IF(CP$59&lt;&gt;"",CP$59,IF(IFERROR(INDEX(醫師週班表!$C$5:$T$44,$CU17,CP$57),"")=0,"",IF(MID(IFERROR(INDEX(醫師週班表!$C$5:$T$44,$CU17,CP$57),""),2,1)="/",MID(IFERROR(INDEX(醫師週班表!$C$5:$T$44,$CU17,CP$57),""),1+CP$58*2,1),IF(MID(IFERROR(INDEX(醫師週班表!$C$5:$T$44,$CU17,CP$57),""),3,1)="隔",IF(CP$58=0,LEFT(IFERROR(INDEX(醫師週班表!$C$5:$T$44,$CU17,CP$57),""),1),""),IF(MID(IFERROR(INDEX(醫師週班表!$C$5:$T$44,$CU17,CP$57),""),2,1)="(",LEFT(IFERROR(INDEX(醫師週班表!$C$5:$T$44,$CU17,CP$57),""),1),IFERROR(INDEX(醫師週班表!$C$5:$T$44,$CU17,CP$57),"")))))))</f>
        <v/>
      </c>
      <c r="CQ17" s="71">
        <f>IF(CQ$59="X","",IF(CQ$59&lt;&gt;"",CQ$59,IF(IFERROR(INDEX(醫師週班表!$C$5:$T$44,$CU17,CQ$57),"")=0,"",IF(MID(IFERROR(INDEX(醫師週班表!$C$5:$T$44,$CU17,CQ$57),""),2,1)="/",MID(IFERROR(INDEX(醫師週班表!$C$5:$T$44,$CU17,CQ$57),""),1+CQ$58*2,1),IF(MID(IFERROR(INDEX(醫師週班表!$C$5:$T$44,$CU17,CQ$57),""),3,1)="隔",IF(CQ$58=0,LEFT(IFERROR(INDEX(醫師週班表!$C$5:$T$44,$CU17,CQ$57),""),1),""),IF(MID(IFERROR(INDEX(醫師週班表!$C$5:$T$44,$CU17,CQ$57),""),2,1)="(",LEFT(IFERROR(INDEX(醫師週班表!$C$5:$T$44,$CU17,CQ$57),""),1),IFERROR(INDEX(醫師週班表!$C$5:$T$44,$CU17,CQ$57),"")))))))</f>
        <v/>
      </c>
      <c r="CR17" s="72">
        <f>IF(CR$59="X","",IF(CR$59&lt;&gt;"",CR$59,IF(IFERROR(INDEX(醫師週班表!$C$5:$T$44,$CU17,CR$57),"")=0,"",IF(MID(IFERROR(INDEX(醫師週班表!$C$5:$T$44,$CU17,CR$57),""),2,1)="/",MID(IFERROR(INDEX(醫師週班表!$C$5:$T$44,$CU17,CR$57),""),1+CR$58*2,1),IF(MID(IFERROR(INDEX(醫師週班表!$C$5:$T$44,$CU17,CR$57),""),3,1)="隔",IF(CR$58=0,LEFT(IFERROR(INDEX(醫師週班表!$C$5:$T$44,$CU17,CR$57),""),1),""),IF(MID(IFERROR(INDEX(醫師週班表!$C$5:$T$44,$CU17,CR$57),""),2,1)="(",LEFT(IFERROR(INDEX(醫師週班表!$C$5:$T$44,$CU17,CR$57),""),1),IFERROR(INDEX(醫師週班表!$C$5:$T$44,$CU17,CR$57),"")))))))</f>
        <v/>
      </c>
      <c r="CS17" s="72">
        <f>IF(CS$59="X","",IF(CS$59&lt;&gt;"",CS$59,IF(IFERROR(INDEX(醫師週班表!$C$5:$T$44,$CU17,CS$57),"")=0,"",IF(MID(IFERROR(INDEX(醫師週班表!$C$5:$T$44,$CU17,CS$57),""),2,1)="/",MID(IFERROR(INDEX(醫師週班表!$C$5:$T$44,$CU17,CS$57),""),1+CS$58*2,1),IF(MID(IFERROR(INDEX(醫師週班表!$C$5:$T$44,$CU17,CS$57),""),3,1)="隔",IF(CS$58=0,LEFT(IFERROR(INDEX(醫師週班表!$C$5:$T$44,$CU17,CS$57),""),1),""),IF(MID(IFERROR(INDEX(醫師週班表!$C$5:$T$44,$CU17,CS$57),""),2,1)="(",LEFT(IFERROR(INDEX(醫師週班表!$C$5:$T$44,$CU17,CS$57),""),1),IFERROR(INDEX(醫師週班表!$C$5:$T$44,$CU17,CS$57),"")))))))</f>
        <v/>
      </c>
      <c r="CU17" s="73">
        <f>IFERROR(MATCH($A17,醫師週班表!$A$5:$A$44,0),0)</f>
        <v/>
      </c>
    </row>
    <row r="18" ht="17" customHeight="1">
      <c r="A18" s="19" t="inlineStr">
        <is>
          <t>D013</t>
        </is>
      </c>
      <c r="B18" s="16" t="inlineStr">
        <is>
          <t>朱柏非</t>
        </is>
      </c>
      <c r="C18" s="70" t="inlineStr"/>
      <c r="D18" s="16" t="inlineStr"/>
      <c r="E18" s="71">
        <f>IF(E$59="X","",IF(E$59&lt;&gt;"",E$59,IF(IFERROR(INDEX(醫師週班表!$C$5:$T$44,$CU18,E$57),"")=0,"",IF(MID(IFERROR(INDEX(醫師週班表!$C$5:$T$44,$CU18,E$57),""),2,1)="/",MID(IFERROR(INDEX(醫師週班表!$C$5:$T$44,$CU18,E$57),""),1+E$58*2,1),IF(MID(IFERROR(INDEX(醫師週班表!$C$5:$T$44,$CU18,E$57),""),3,1)="隔",IF(E$58=0,LEFT(IFERROR(INDEX(醫師週班表!$C$5:$T$44,$CU18,E$57),""),1),""),IF(MID(IFERROR(INDEX(醫師週班表!$C$5:$T$44,$CU18,E$57),""),2,1)="(",LEFT(IFERROR(INDEX(醫師週班表!$C$5:$T$44,$CU18,E$57),""),1),IFERROR(INDEX(醫師週班表!$C$5:$T$44,$CU18,E$57),"")))))))</f>
        <v/>
      </c>
      <c r="F18" s="72">
        <f>IF(F$59="X","",IF(F$59&lt;&gt;"",F$59,IF(IFERROR(INDEX(醫師週班表!$C$5:$T$44,$CU18,F$57),"")=0,"",IF(MID(IFERROR(INDEX(醫師週班表!$C$5:$T$44,$CU18,F$57),""),2,1)="/",MID(IFERROR(INDEX(醫師週班表!$C$5:$T$44,$CU18,F$57),""),1+F$58*2,1),IF(MID(IFERROR(INDEX(醫師週班表!$C$5:$T$44,$CU18,F$57),""),3,1)="隔",IF(F$58=0,LEFT(IFERROR(INDEX(醫師週班表!$C$5:$T$44,$CU18,F$57),""),1),""),IF(MID(IFERROR(INDEX(醫師週班表!$C$5:$T$44,$CU18,F$57),""),2,1)="(",LEFT(IFERROR(INDEX(醫師週班表!$C$5:$T$44,$CU18,F$57),""),1),IFERROR(INDEX(醫師週班表!$C$5:$T$44,$CU18,F$57),"")))))))</f>
        <v/>
      </c>
      <c r="G18" s="72">
        <f>IF(G$59="X","",IF(G$59&lt;&gt;"",G$59,IF(IFERROR(INDEX(醫師週班表!$C$5:$T$44,$CU18,G$57),"")=0,"",IF(MID(IFERROR(INDEX(醫師週班表!$C$5:$T$44,$CU18,G$57),""),2,1)="/",MID(IFERROR(INDEX(醫師週班表!$C$5:$T$44,$CU18,G$57),""),1+G$58*2,1),IF(MID(IFERROR(INDEX(醫師週班表!$C$5:$T$44,$CU18,G$57),""),3,1)="隔",IF(G$58=0,LEFT(IFERROR(INDEX(醫師週班表!$C$5:$T$44,$CU18,G$57),""),1),""),IF(MID(IFERROR(INDEX(醫師週班表!$C$5:$T$44,$CU18,G$57),""),2,1)="(",LEFT(IFERROR(INDEX(醫師週班表!$C$5:$T$44,$CU18,G$57),""),1),IFERROR(INDEX(醫師週班表!$C$5:$T$44,$CU18,G$57),"")))))))</f>
        <v/>
      </c>
      <c r="H18" s="71">
        <f>IF(H$59="X","",IF(H$59&lt;&gt;"",H$59,IF(IFERROR(INDEX(醫師週班表!$C$5:$T$44,$CU18,H$57),"")=0,"",IF(MID(IFERROR(INDEX(醫師週班表!$C$5:$T$44,$CU18,H$57),""),2,1)="/",MID(IFERROR(INDEX(醫師週班表!$C$5:$T$44,$CU18,H$57),""),1+H$58*2,1),IF(MID(IFERROR(INDEX(醫師週班表!$C$5:$T$44,$CU18,H$57),""),3,1)="隔",IF(H$58=0,LEFT(IFERROR(INDEX(醫師週班表!$C$5:$T$44,$CU18,H$57),""),1),""),IF(MID(IFERROR(INDEX(醫師週班表!$C$5:$T$44,$CU18,H$57),""),2,1)="(",LEFT(IFERROR(INDEX(醫師週班表!$C$5:$T$44,$CU18,H$57),""),1),IFERROR(INDEX(醫師週班表!$C$5:$T$44,$CU18,H$57),"")))))))</f>
        <v/>
      </c>
      <c r="I18" s="72">
        <f>IF(I$59="X","",IF(I$59&lt;&gt;"",I$59,IF(IFERROR(INDEX(醫師週班表!$C$5:$T$44,$CU18,I$57),"")=0,"",IF(MID(IFERROR(INDEX(醫師週班表!$C$5:$T$44,$CU18,I$57),""),2,1)="/",MID(IFERROR(INDEX(醫師週班表!$C$5:$T$44,$CU18,I$57),""),1+I$58*2,1),IF(MID(IFERROR(INDEX(醫師週班表!$C$5:$T$44,$CU18,I$57),""),3,1)="隔",IF(I$58=0,LEFT(IFERROR(INDEX(醫師週班表!$C$5:$T$44,$CU18,I$57),""),1),""),IF(MID(IFERROR(INDEX(醫師週班表!$C$5:$T$44,$CU18,I$57),""),2,1)="(",LEFT(IFERROR(INDEX(醫師週班表!$C$5:$T$44,$CU18,I$57),""),1),IFERROR(INDEX(醫師週班表!$C$5:$T$44,$CU18,I$57),"")))))))</f>
        <v/>
      </c>
      <c r="J18" s="72">
        <f>IF(J$59="X","",IF(J$59&lt;&gt;"",J$59,IF(IFERROR(INDEX(醫師週班表!$C$5:$T$44,$CU18,J$57),"")=0,"",IF(MID(IFERROR(INDEX(醫師週班表!$C$5:$T$44,$CU18,J$57),""),2,1)="/",MID(IFERROR(INDEX(醫師週班表!$C$5:$T$44,$CU18,J$57),""),1+J$58*2,1),IF(MID(IFERROR(INDEX(醫師週班表!$C$5:$T$44,$CU18,J$57),""),3,1)="隔",IF(J$58=0,LEFT(IFERROR(INDEX(醫師週班表!$C$5:$T$44,$CU18,J$57),""),1),""),IF(MID(IFERROR(INDEX(醫師週班表!$C$5:$T$44,$CU18,J$57),""),2,1)="(",LEFT(IFERROR(INDEX(醫師週班表!$C$5:$T$44,$CU18,J$57),""),1),IFERROR(INDEX(醫師週班表!$C$5:$T$44,$CU18,J$57),"")))))))</f>
        <v/>
      </c>
      <c r="K18" s="71">
        <f>IF(K$59="X","",IF(K$59&lt;&gt;"",K$59,IF(IFERROR(INDEX(醫師週班表!$C$5:$T$44,$CU18,K$57),"")=0,"",IF(MID(IFERROR(INDEX(醫師週班表!$C$5:$T$44,$CU18,K$57),""),2,1)="/",MID(IFERROR(INDEX(醫師週班表!$C$5:$T$44,$CU18,K$57),""),1+K$58*2,1),IF(MID(IFERROR(INDEX(醫師週班表!$C$5:$T$44,$CU18,K$57),""),3,1)="隔",IF(K$58=0,LEFT(IFERROR(INDEX(醫師週班表!$C$5:$T$44,$CU18,K$57),""),1),""),IF(MID(IFERROR(INDEX(醫師週班表!$C$5:$T$44,$CU18,K$57),""),2,1)="(",LEFT(IFERROR(INDEX(醫師週班表!$C$5:$T$44,$CU18,K$57),""),1),IFERROR(INDEX(醫師週班表!$C$5:$T$44,$CU18,K$57),"")))))))</f>
        <v/>
      </c>
      <c r="L18" s="72">
        <f>IF(L$59="X","",IF(L$59&lt;&gt;"",L$59,IF(IFERROR(INDEX(醫師週班表!$C$5:$T$44,$CU18,L$57),"")=0,"",IF(MID(IFERROR(INDEX(醫師週班表!$C$5:$T$44,$CU18,L$57),""),2,1)="/",MID(IFERROR(INDEX(醫師週班表!$C$5:$T$44,$CU18,L$57),""),1+L$58*2,1),IF(MID(IFERROR(INDEX(醫師週班表!$C$5:$T$44,$CU18,L$57),""),3,1)="隔",IF(L$58=0,LEFT(IFERROR(INDEX(醫師週班表!$C$5:$T$44,$CU18,L$57),""),1),""),IF(MID(IFERROR(INDEX(醫師週班表!$C$5:$T$44,$CU18,L$57),""),2,1)="(",LEFT(IFERROR(INDEX(醫師週班表!$C$5:$T$44,$CU18,L$57),""),1),IFERROR(INDEX(醫師週班表!$C$5:$T$44,$CU18,L$57),"")))))))</f>
        <v/>
      </c>
      <c r="M18" s="72">
        <f>IF(M$59="X","",IF(M$59&lt;&gt;"",M$59,IF(IFERROR(INDEX(醫師週班表!$C$5:$T$44,$CU18,M$57),"")=0,"",IF(MID(IFERROR(INDEX(醫師週班表!$C$5:$T$44,$CU18,M$57),""),2,1)="/",MID(IFERROR(INDEX(醫師週班表!$C$5:$T$44,$CU18,M$57),""),1+M$58*2,1),IF(MID(IFERROR(INDEX(醫師週班表!$C$5:$T$44,$CU18,M$57),""),3,1)="隔",IF(M$58=0,LEFT(IFERROR(INDEX(醫師週班表!$C$5:$T$44,$CU18,M$57),""),1),""),IF(MID(IFERROR(INDEX(醫師週班表!$C$5:$T$44,$CU18,M$57),""),2,1)="(",LEFT(IFERROR(INDEX(醫師週班表!$C$5:$T$44,$CU18,M$57),""),1),IFERROR(INDEX(醫師週班表!$C$5:$T$44,$CU18,M$57),"")))))))</f>
        <v/>
      </c>
      <c r="N18" s="71">
        <f>IF(N$59="X","",IF(N$59&lt;&gt;"",N$59,IF(IFERROR(INDEX(醫師週班表!$C$5:$T$44,$CU18,N$57),"")=0,"",IF(MID(IFERROR(INDEX(醫師週班表!$C$5:$T$44,$CU18,N$57),""),2,1)="/",MID(IFERROR(INDEX(醫師週班表!$C$5:$T$44,$CU18,N$57),""),1+N$58*2,1),IF(MID(IFERROR(INDEX(醫師週班表!$C$5:$T$44,$CU18,N$57),""),3,1)="隔",IF(N$58=0,LEFT(IFERROR(INDEX(醫師週班表!$C$5:$T$44,$CU18,N$57),""),1),""),IF(MID(IFERROR(INDEX(醫師週班表!$C$5:$T$44,$CU18,N$57),""),2,1)="(",LEFT(IFERROR(INDEX(醫師週班表!$C$5:$T$44,$CU18,N$57),""),1),IFERROR(INDEX(醫師週班表!$C$5:$T$44,$CU18,N$57),"")))))))</f>
        <v/>
      </c>
      <c r="O18" s="72">
        <f>IF(O$59="X","",IF(O$59&lt;&gt;"",O$59,IF(IFERROR(INDEX(醫師週班表!$C$5:$T$44,$CU18,O$57),"")=0,"",IF(MID(IFERROR(INDEX(醫師週班表!$C$5:$T$44,$CU18,O$57),""),2,1)="/",MID(IFERROR(INDEX(醫師週班表!$C$5:$T$44,$CU18,O$57),""),1+O$58*2,1),IF(MID(IFERROR(INDEX(醫師週班表!$C$5:$T$44,$CU18,O$57),""),3,1)="隔",IF(O$58=0,LEFT(IFERROR(INDEX(醫師週班表!$C$5:$T$44,$CU18,O$57),""),1),""),IF(MID(IFERROR(INDEX(醫師週班表!$C$5:$T$44,$CU18,O$57),""),2,1)="(",LEFT(IFERROR(INDEX(醫師週班表!$C$5:$T$44,$CU18,O$57),""),1),IFERROR(INDEX(醫師週班表!$C$5:$T$44,$CU18,O$57),"")))))))</f>
        <v/>
      </c>
      <c r="P18" s="72">
        <f>IF(P$59="X","",IF(P$59&lt;&gt;"",P$59,IF(IFERROR(INDEX(醫師週班表!$C$5:$T$44,$CU18,P$57),"")=0,"",IF(MID(IFERROR(INDEX(醫師週班表!$C$5:$T$44,$CU18,P$57),""),2,1)="/",MID(IFERROR(INDEX(醫師週班表!$C$5:$T$44,$CU18,P$57),""),1+P$58*2,1),IF(MID(IFERROR(INDEX(醫師週班表!$C$5:$T$44,$CU18,P$57),""),3,1)="隔",IF(P$58=0,LEFT(IFERROR(INDEX(醫師週班表!$C$5:$T$44,$CU18,P$57),""),1),""),IF(MID(IFERROR(INDEX(醫師週班表!$C$5:$T$44,$CU18,P$57),""),2,1)="(",LEFT(IFERROR(INDEX(醫師週班表!$C$5:$T$44,$CU18,P$57),""),1),IFERROR(INDEX(醫師週班表!$C$5:$T$44,$CU18,P$57),"")))))))</f>
        <v/>
      </c>
      <c r="Q18" s="71">
        <f>IF(Q$59="X","",IF(Q$59&lt;&gt;"",Q$59,IF(IFERROR(INDEX(醫師週班表!$C$5:$T$44,$CU18,Q$57),"")=0,"",IF(MID(IFERROR(INDEX(醫師週班表!$C$5:$T$44,$CU18,Q$57),""),2,1)="/",MID(IFERROR(INDEX(醫師週班表!$C$5:$T$44,$CU18,Q$57),""),1+Q$58*2,1),IF(MID(IFERROR(INDEX(醫師週班表!$C$5:$T$44,$CU18,Q$57),""),3,1)="隔",IF(Q$58=0,LEFT(IFERROR(INDEX(醫師週班表!$C$5:$T$44,$CU18,Q$57),""),1),""),IF(MID(IFERROR(INDEX(醫師週班表!$C$5:$T$44,$CU18,Q$57),""),2,1)="(",LEFT(IFERROR(INDEX(醫師週班表!$C$5:$T$44,$CU18,Q$57),""),1),IFERROR(INDEX(醫師週班表!$C$5:$T$44,$CU18,Q$57),"")))))))</f>
        <v/>
      </c>
      <c r="R18" s="72">
        <f>IF(R$59="X","",IF(R$59&lt;&gt;"",R$59,IF(IFERROR(INDEX(醫師週班表!$C$5:$T$44,$CU18,R$57),"")=0,"",IF(MID(IFERROR(INDEX(醫師週班表!$C$5:$T$44,$CU18,R$57),""),2,1)="/",MID(IFERROR(INDEX(醫師週班表!$C$5:$T$44,$CU18,R$57),""),1+R$58*2,1),IF(MID(IFERROR(INDEX(醫師週班表!$C$5:$T$44,$CU18,R$57),""),3,1)="隔",IF(R$58=0,LEFT(IFERROR(INDEX(醫師週班表!$C$5:$T$44,$CU18,R$57),""),1),""),IF(MID(IFERROR(INDEX(醫師週班表!$C$5:$T$44,$CU18,R$57),""),2,1)="(",LEFT(IFERROR(INDEX(醫師週班表!$C$5:$T$44,$CU18,R$57),""),1),IFERROR(INDEX(醫師週班表!$C$5:$T$44,$CU18,R$57),"")))))))</f>
        <v/>
      </c>
      <c r="S18" s="72">
        <f>IF(S$59="X","",IF(S$59&lt;&gt;"",S$59,IF(IFERROR(INDEX(醫師週班表!$C$5:$T$44,$CU18,S$57),"")=0,"",IF(MID(IFERROR(INDEX(醫師週班表!$C$5:$T$44,$CU18,S$57),""),2,1)="/",MID(IFERROR(INDEX(醫師週班表!$C$5:$T$44,$CU18,S$57),""),1+S$58*2,1),IF(MID(IFERROR(INDEX(醫師週班表!$C$5:$T$44,$CU18,S$57),""),3,1)="隔",IF(S$58=0,LEFT(IFERROR(INDEX(醫師週班表!$C$5:$T$44,$CU18,S$57),""),1),""),IF(MID(IFERROR(INDEX(醫師週班表!$C$5:$T$44,$CU18,S$57),""),2,1)="(",LEFT(IFERROR(INDEX(醫師週班表!$C$5:$T$44,$CU18,S$57),""),1),IFERROR(INDEX(醫師週班表!$C$5:$T$44,$CU18,S$57),"")))))))</f>
        <v/>
      </c>
      <c r="T18" s="71">
        <f>IF(T$59="X","",IF(T$59&lt;&gt;"",T$59,IF(IFERROR(INDEX(醫師週班表!$C$5:$T$44,$CU18,T$57),"")=0,"",IF(MID(IFERROR(INDEX(醫師週班表!$C$5:$T$44,$CU18,T$57),""),2,1)="/",MID(IFERROR(INDEX(醫師週班表!$C$5:$T$44,$CU18,T$57),""),1+T$58*2,1),IF(MID(IFERROR(INDEX(醫師週班表!$C$5:$T$44,$CU18,T$57),""),3,1)="隔",IF(T$58=0,LEFT(IFERROR(INDEX(醫師週班表!$C$5:$T$44,$CU18,T$57),""),1),""),IF(MID(IFERROR(INDEX(醫師週班表!$C$5:$T$44,$CU18,T$57),""),2,1)="(",LEFT(IFERROR(INDEX(醫師週班表!$C$5:$T$44,$CU18,T$57),""),1),IFERROR(INDEX(醫師週班表!$C$5:$T$44,$CU18,T$57),"")))))))</f>
        <v/>
      </c>
      <c r="U18" s="72">
        <f>IF(U$59="X","",IF(U$59&lt;&gt;"",U$59,IF(IFERROR(INDEX(醫師週班表!$C$5:$T$44,$CU18,U$57),"")=0,"",IF(MID(IFERROR(INDEX(醫師週班表!$C$5:$T$44,$CU18,U$57),""),2,1)="/",MID(IFERROR(INDEX(醫師週班表!$C$5:$T$44,$CU18,U$57),""),1+U$58*2,1),IF(MID(IFERROR(INDEX(醫師週班表!$C$5:$T$44,$CU18,U$57),""),3,1)="隔",IF(U$58=0,LEFT(IFERROR(INDEX(醫師週班表!$C$5:$T$44,$CU18,U$57),""),1),""),IF(MID(IFERROR(INDEX(醫師週班表!$C$5:$T$44,$CU18,U$57),""),2,1)="(",LEFT(IFERROR(INDEX(醫師週班表!$C$5:$T$44,$CU18,U$57),""),1),IFERROR(INDEX(醫師週班表!$C$5:$T$44,$CU18,U$57),"")))))))</f>
        <v/>
      </c>
      <c r="V18" s="72">
        <f>IF(V$59="X","",IF(V$59&lt;&gt;"",V$59,IF(IFERROR(INDEX(醫師週班表!$C$5:$T$44,$CU18,V$57),"")=0,"",IF(MID(IFERROR(INDEX(醫師週班表!$C$5:$T$44,$CU18,V$57),""),2,1)="/",MID(IFERROR(INDEX(醫師週班表!$C$5:$T$44,$CU18,V$57),""),1+V$58*2,1),IF(MID(IFERROR(INDEX(醫師週班表!$C$5:$T$44,$CU18,V$57),""),3,1)="隔",IF(V$58=0,LEFT(IFERROR(INDEX(醫師週班表!$C$5:$T$44,$CU18,V$57),""),1),""),IF(MID(IFERROR(INDEX(醫師週班表!$C$5:$T$44,$CU18,V$57),""),2,1)="(",LEFT(IFERROR(INDEX(醫師週班表!$C$5:$T$44,$CU18,V$57),""),1),IFERROR(INDEX(醫師週班表!$C$5:$T$44,$CU18,V$57),"")))))))</f>
        <v/>
      </c>
      <c r="W18" s="71">
        <f>IF(W$59="X","",IF(W$59&lt;&gt;"",W$59,IF(IFERROR(INDEX(醫師週班表!$C$5:$T$44,$CU18,W$57),"")=0,"",IF(MID(IFERROR(INDEX(醫師週班表!$C$5:$T$44,$CU18,W$57),""),2,1)="/",MID(IFERROR(INDEX(醫師週班表!$C$5:$T$44,$CU18,W$57),""),1+W$58*2,1),IF(MID(IFERROR(INDEX(醫師週班表!$C$5:$T$44,$CU18,W$57),""),3,1)="隔",IF(W$58=0,LEFT(IFERROR(INDEX(醫師週班表!$C$5:$T$44,$CU18,W$57),""),1),""),IF(MID(IFERROR(INDEX(醫師週班表!$C$5:$T$44,$CU18,W$57),""),2,1)="(",LEFT(IFERROR(INDEX(醫師週班表!$C$5:$T$44,$CU18,W$57),""),1),IFERROR(INDEX(醫師週班表!$C$5:$T$44,$CU18,W$57),"")))))))</f>
        <v/>
      </c>
      <c r="X18" s="72">
        <f>IF(X$59="X","",IF(X$59&lt;&gt;"",X$59,IF(IFERROR(INDEX(醫師週班表!$C$5:$T$44,$CU18,X$57),"")=0,"",IF(MID(IFERROR(INDEX(醫師週班表!$C$5:$T$44,$CU18,X$57),""),2,1)="/",MID(IFERROR(INDEX(醫師週班表!$C$5:$T$44,$CU18,X$57),""),1+X$58*2,1),IF(MID(IFERROR(INDEX(醫師週班表!$C$5:$T$44,$CU18,X$57),""),3,1)="隔",IF(X$58=0,LEFT(IFERROR(INDEX(醫師週班表!$C$5:$T$44,$CU18,X$57),""),1),""),IF(MID(IFERROR(INDEX(醫師週班表!$C$5:$T$44,$CU18,X$57),""),2,1)="(",LEFT(IFERROR(INDEX(醫師週班表!$C$5:$T$44,$CU18,X$57),""),1),IFERROR(INDEX(醫師週班表!$C$5:$T$44,$CU18,X$57),"")))))))</f>
        <v/>
      </c>
      <c r="Y18" s="72">
        <f>IF(Y$59="X","",IF(Y$59&lt;&gt;"",Y$59,IF(IFERROR(INDEX(醫師週班表!$C$5:$T$44,$CU18,Y$57),"")=0,"",IF(MID(IFERROR(INDEX(醫師週班表!$C$5:$T$44,$CU18,Y$57),""),2,1)="/",MID(IFERROR(INDEX(醫師週班表!$C$5:$T$44,$CU18,Y$57),""),1+Y$58*2,1),IF(MID(IFERROR(INDEX(醫師週班表!$C$5:$T$44,$CU18,Y$57),""),3,1)="隔",IF(Y$58=0,LEFT(IFERROR(INDEX(醫師週班表!$C$5:$T$44,$CU18,Y$57),""),1),""),IF(MID(IFERROR(INDEX(醫師週班表!$C$5:$T$44,$CU18,Y$57),""),2,1)="(",LEFT(IFERROR(INDEX(醫師週班表!$C$5:$T$44,$CU18,Y$57),""),1),IFERROR(INDEX(醫師週班表!$C$5:$T$44,$CU18,Y$57),"")))))))</f>
        <v/>
      </c>
      <c r="Z18" s="71">
        <f>IF(Z$59="X","",IF(Z$59&lt;&gt;"",Z$59,IF(IFERROR(INDEX(醫師週班表!$C$5:$T$44,$CU18,Z$57),"")=0,"",IF(MID(IFERROR(INDEX(醫師週班表!$C$5:$T$44,$CU18,Z$57),""),2,1)="/",MID(IFERROR(INDEX(醫師週班表!$C$5:$T$44,$CU18,Z$57),""),1+Z$58*2,1),IF(MID(IFERROR(INDEX(醫師週班表!$C$5:$T$44,$CU18,Z$57),""),3,1)="隔",IF(Z$58=0,LEFT(IFERROR(INDEX(醫師週班表!$C$5:$T$44,$CU18,Z$57),""),1),""),IF(MID(IFERROR(INDEX(醫師週班表!$C$5:$T$44,$CU18,Z$57),""),2,1)="(",LEFT(IFERROR(INDEX(醫師週班表!$C$5:$T$44,$CU18,Z$57),""),1),IFERROR(INDEX(醫師週班表!$C$5:$T$44,$CU18,Z$57),"")))))))</f>
        <v/>
      </c>
      <c r="AA18" s="72">
        <f>IF(AA$59="X","",IF(AA$59&lt;&gt;"",AA$59,IF(IFERROR(INDEX(醫師週班表!$C$5:$T$44,$CU18,AA$57),"")=0,"",IF(MID(IFERROR(INDEX(醫師週班表!$C$5:$T$44,$CU18,AA$57),""),2,1)="/",MID(IFERROR(INDEX(醫師週班表!$C$5:$T$44,$CU18,AA$57),""),1+AA$58*2,1),IF(MID(IFERROR(INDEX(醫師週班表!$C$5:$T$44,$CU18,AA$57),""),3,1)="隔",IF(AA$58=0,LEFT(IFERROR(INDEX(醫師週班表!$C$5:$T$44,$CU18,AA$57),""),1),""),IF(MID(IFERROR(INDEX(醫師週班表!$C$5:$T$44,$CU18,AA$57),""),2,1)="(",LEFT(IFERROR(INDEX(醫師週班表!$C$5:$T$44,$CU18,AA$57),""),1),IFERROR(INDEX(醫師週班表!$C$5:$T$44,$CU18,AA$57),"")))))))</f>
        <v/>
      </c>
      <c r="AB18" s="72">
        <f>IF(AB$59="X","",IF(AB$59&lt;&gt;"",AB$59,IF(IFERROR(INDEX(醫師週班表!$C$5:$T$44,$CU18,AB$57),"")=0,"",IF(MID(IFERROR(INDEX(醫師週班表!$C$5:$T$44,$CU18,AB$57),""),2,1)="/",MID(IFERROR(INDEX(醫師週班表!$C$5:$T$44,$CU18,AB$57),""),1+AB$58*2,1),IF(MID(IFERROR(INDEX(醫師週班表!$C$5:$T$44,$CU18,AB$57),""),3,1)="隔",IF(AB$58=0,LEFT(IFERROR(INDEX(醫師週班表!$C$5:$T$44,$CU18,AB$57),""),1),""),IF(MID(IFERROR(INDEX(醫師週班表!$C$5:$T$44,$CU18,AB$57),""),2,1)="(",LEFT(IFERROR(INDEX(醫師週班表!$C$5:$T$44,$CU18,AB$57),""),1),IFERROR(INDEX(醫師週班表!$C$5:$T$44,$CU18,AB$57),"")))))))</f>
        <v/>
      </c>
      <c r="AC18" s="71">
        <f>IF(AC$59="X","",IF(AC$59&lt;&gt;"",AC$59,IF(IFERROR(INDEX(醫師週班表!$C$5:$T$44,$CU18,AC$57),"")=0,"",IF(MID(IFERROR(INDEX(醫師週班表!$C$5:$T$44,$CU18,AC$57),""),2,1)="/",MID(IFERROR(INDEX(醫師週班表!$C$5:$T$44,$CU18,AC$57),""),1+AC$58*2,1),IF(MID(IFERROR(INDEX(醫師週班表!$C$5:$T$44,$CU18,AC$57),""),3,1)="隔",IF(AC$58=0,LEFT(IFERROR(INDEX(醫師週班表!$C$5:$T$44,$CU18,AC$57),""),1),""),IF(MID(IFERROR(INDEX(醫師週班表!$C$5:$T$44,$CU18,AC$57),""),2,1)="(",LEFT(IFERROR(INDEX(醫師週班表!$C$5:$T$44,$CU18,AC$57),""),1),IFERROR(INDEX(醫師週班表!$C$5:$T$44,$CU18,AC$57),"")))))))</f>
        <v/>
      </c>
      <c r="AD18" s="72">
        <f>IF(AD$59="X","",IF(AD$59&lt;&gt;"",AD$59,IF(IFERROR(INDEX(醫師週班表!$C$5:$T$44,$CU18,AD$57),"")=0,"",IF(MID(IFERROR(INDEX(醫師週班表!$C$5:$T$44,$CU18,AD$57),""),2,1)="/",MID(IFERROR(INDEX(醫師週班表!$C$5:$T$44,$CU18,AD$57),""),1+AD$58*2,1),IF(MID(IFERROR(INDEX(醫師週班表!$C$5:$T$44,$CU18,AD$57),""),3,1)="隔",IF(AD$58=0,LEFT(IFERROR(INDEX(醫師週班表!$C$5:$T$44,$CU18,AD$57),""),1),""),IF(MID(IFERROR(INDEX(醫師週班表!$C$5:$T$44,$CU18,AD$57),""),2,1)="(",LEFT(IFERROR(INDEX(醫師週班表!$C$5:$T$44,$CU18,AD$57),""),1),IFERROR(INDEX(醫師週班表!$C$5:$T$44,$CU18,AD$57),"")))))))</f>
        <v/>
      </c>
      <c r="AE18" s="72">
        <f>IF(AE$59="X","",IF(AE$59&lt;&gt;"",AE$59,IF(IFERROR(INDEX(醫師週班表!$C$5:$T$44,$CU18,AE$57),"")=0,"",IF(MID(IFERROR(INDEX(醫師週班表!$C$5:$T$44,$CU18,AE$57),""),2,1)="/",MID(IFERROR(INDEX(醫師週班表!$C$5:$T$44,$CU18,AE$57),""),1+AE$58*2,1),IF(MID(IFERROR(INDEX(醫師週班表!$C$5:$T$44,$CU18,AE$57),""),3,1)="隔",IF(AE$58=0,LEFT(IFERROR(INDEX(醫師週班表!$C$5:$T$44,$CU18,AE$57),""),1),""),IF(MID(IFERROR(INDEX(醫師週班表!$C$5:$T$44,$CU18,AE$57),""),2,1)="(",LEFT(IFERROR(INDEX(醫師週班表!$C$5:$T$44,$CU18,AE$57),""),1),IFERROR(INDEX(醫師週班表!$C$5:$T$44,$CU18,AE$57),"")))))))</f>
        <v/>
      </c>
      <c r="AF18" s="71">
        <f>IF(AF$59="X","",IF(AF$59&lt;&gt;"",AF$59,IF(IFERROR(INDEX(醫師週班表!$C$5:$T$44,$CU18,AF$57),"")=0,"",IF(MID(IFERROR(INDEX(醫師週班表!$C$5:$T$44,$CU18,AF$57),""),2,1)="/",MID(IFERROR(INDEX(醫師週班表!$C$5:$T$44,$CU18,AF$57),""),1+AF$58*2,1),IF(MID(IFERROR(INDEX(醫師週班表!$C$5:$T$44,$CU18,AF$57),""),3,1)="隔",IF(AF$58=0,LEFT(IFERROR(INDEX(醫師週班表!$C$5:$T$44,$CU18,AF$57),""),1),""),IF(MID(IFERROR(INDEX(醫師週班表!$C$5:$T$44,$CU18,AF$57),""),2,1)="(",LEFT(IFERROR(INDEX(醫師週班表!$C$5:$T$44,$CU18,AF$57),""),1),IFERROR(INDEX(醫師週班表!$C$5:$T$44,$CU18,AF$57),"")))))))</f>
        <v/>
      </c>
      <c r="AG18" s="72">
        <f>IF(AG$59="X","",IF(AG$59&lt;&gt;"",AG$59,IF(IFERROR(INDEX(醫師週班表!$C$5:$T$44,$CU18,AG$57),"")=0,"",IF(MID(IFERROR(INDEX(醫師週班表!$C$5:$T$44,$CU18,AG$57),""),2,1)="/",MID(IFERROR(INDEX(醫師週班表!$C$5:$T$44,$CU18,AG$57),""),1+AG$58*2,1),IF(MID(IFERROR(INDEX(醫師週班表!$C$5:$T$44,$CU18,AG$57),""),3,1)="隔",IF(AG$58=0,LEFT(IFERROR(INDEX(醫師週班表!$C$5:$T$44,$CU18,AG$57),""),1),""),IF(MID(IFERROR(INDEX(醫師週班表!$C$5:$T$44,$CU18,AG$57),""),2,1)="(",LEFT(IFERROR(INDEX(醫師週班表!$C$5:$T$44,$CU18,AG$57),""),1),IFERROR(INDEX(醫師週班表!$C$5:$T$44,$CU18,AG$57),"")))))))</f>
        <v/>
      </c>
      <c r="AH18" s="72">
        <f>IF(AH$59="X","",IF(AH$59&lt;&gt;"",AH$59,IF(IFERROR(INDEX(醫師週班表!$C$5:$T$44,$CU18,AH$57),"")=0,"",IF(MID(IFERROR(INDEX(醫師週班表!$C$5:$T$44,$CU18,AH$57),""),2,1)="/",MID(IFERROR(INDEX(醫師週班表!$C$5:$T$44,$CU18,AH$57),""),1+AH$58*2,1),IF(MID(IFERROR(INDEX(醫師週班表!$C$5:$T$44,$CU18,AH$57),""),3,1)="隔",IF(AH$58=0,LEFT(IFERROR(INDEX(醫師週班表!$C$5:$T$44,$CU18,AH$57),""),1),""),IF(MID(IFERROR(INDEX(醫師週班表!$C$5:$T$44,$CU18,AH$57),""),2,1)="(",LEFT(IFERROR(INDEX(醫師週班表!$C$5:$T$44,$CU18,AH$57),""),1),IFERROR(INDEX(醫師週班表!$C$5:$T$44,$CU18,AH$57),"")))))))</f>
        <v/>
      </c>
      <c r="AI18" s="71">
        <f>IF(AI$59="X","",IF(AI$59&lt;&gt;"",AI$59,IF(IFERROR(INDEX(醫師週班表!$C$5:$T$44,$CU18,AI$57),"")=0,"",IF(MID(IFERROR(INDEX(醫師週班表!$C$5:$T$44,$CU18,AI$57),""),2,1)="/",MID(IFERROR(INDEX(醫師週班表!$C$5:$T$44,$CU18,AI$57),""),1+AI$58*2,1),IF(MID(IFERROR(INDEX(醫師週班表!$C$5:$T$44,$CU18,AI$57),""),3,1)="隔",IF(AI$58=0,LEFT(IFERROR(INDEX(醫師週班表!$C$5:$T$44,$CU18,AI$57),""),1),""),IF(MID(IFERROR(INDEX(醫師週班表!$C$5:$T$44,$CU18,AI$57),""),2,1)="(",LEFT(IFERROR(INDEX(醫師週班表!$C$5:$T$44,$CU18,AI$57),""),1),IFERROR(INDEX(醫師週班表!$C$5:$T$44,$CU18,AI$57),"")))))))</f>
        <v/>
      </c>
      <c r="AJ18" s="72">
        <f>IF(AJ$59="X","",IF(AJ$59&lt;&gt;"",AJ$59,IF(IFERROR(INDEX(醫師週班表!$C$5:$T$44,$CU18,AJ$57),"")=0,"",IF(MID(IFERROR(INDEX(醫師週班表!$C$5:$T$44,$CU18,AJ$57),""),2,1)="/",MID(IFERROR(INDEX(醫師週班表!$C$5:$T$44,$CU18,AJ$57),""),1+AJ$58*2,1),IF(MID(IFERROR(INDEX(醫師週班表!$C$5:$T$44,$CU18,AJ$57),""),3,1)="隔",IF(AJ$58=0,LEFT(IFERROR(INDEX(醫師週班表!$C$5:$T$44,$CU18,AJ$57),""),1),""),IF(MID(IFERROR(INDEX(醫師週班表!$C$5:$T$44,$CU18,AJ$57),""),2,1)="(",LEFT(IFERROR(INDEX(醫師週班表!$C$5:$T$44,$CU18,AJ$57),""),1),IFERROR(INDEX(醫師週班表!$C$5:$T$44,$CU18,AJ$57),"")))))))</f>
        <v/>
      </c>
      <c r="AK18" s="72">
        <f>IF(AK$59="X","",IF(AK$59&lt;&gt;"",AK$59,IF(IFERROR(INDEX(醫師週班表!$C$5:$T$44,$CU18,AK$57),"")=0,"",IF(MID(IFERROR(INDEX(醫師週班表!$C$5:$T$44,$CU18,AK$57),""),2,1)="/",MID(IFERROR(INDEX(醫師週班表!$C$5:$T$44,$CU18,AK$57),""),1+AK$58*2,1),IF(MID(IFERROR(INDEX(醫師週班表!$C$5:$T$44,$CU18,AK$57),""),3,1)="隔",IF(AK$58=0,LEFT(IFERROR(INDEX(醫師週班表!$C$5:$T$44,$CU18,AK$57),""),1),""),IF(MID(IFERROR(INDEX(醫師週班表!$C$5:$T$44,$CU18,AK$57),""),2,1)="(",LEFT(IFERROR(INDEX(醫師週班表!$C$5:$T$44,$CU18,AK$57),""),1),IFERROR(INDEX(醫師週班表!$C$5:$T$44,$CU18,AK$57),"")))))))</f>
        <v/>
      </c>
      <c r="AL18" s="71">
        <f>IF(AL$59="X","",IF(AL$59&lt;&gt;"",AL$59,IF(IFERROR(INDEX(醫師週班表!$C$5:$T$44,$CU18,AL$57),"")=0,"",IF(MID(IFERROR(INDEX(醫師週班表!$C$5:$T$44,$CU18,AL$57),""),2,1)="/",MID(IFERROR(INDEX(醫師週班表!$C$5:$T$44,$CU18,AL$57),""),1+AL$58*2,1),IF(MID(IFERROR(INDEX(醫師週班表!$C$5:$T$44,$CU18,AL$57),""),3,1)="隔",IF(AL$58=0,LEFT(IFERROR(INDEX(醫師週班表!$C$5:$T$44,$CU18,AL$57),""),1),""),IF(MID(IFERROR(INDEX(醫師週班表!$C$5:$T$44,$CU18,AL$57),""),2,1)="(",LEFT(IFERROR(INDEX(醫師週班表!$C$5:$T$44,$CU18,AL$57),""),1),IFERROR(INDEX(醫師週班表!$C$5:$T$44,$CU18,AL$57),"")))))))</f>
        <v/>
      </c>
      <c r="AM18" s="72">
        <f>IF(AM$59="X","",IF(AM$59&lt;&gt;"",AM$59,IF(IFERROR(INDEX(醫師週班表!$C$5:$T$44,$CU18,AM$57),"")=0,"",IF(MID(IFERROR(INDEX(醫師週班表!$C$5:$T$44,$CU18,AM$57),""),2,1)="/",MID(IFERROR(INDEX(醫師週班表!$C$5:$T$44,$CU18,AM$57),""),1+AM$58*2,1),IF(MID(IFERROR(INDEX(醫師週班表!$C$5:$T$44,$CU18,AM$57),""),3,1)="隔",IF(AM$58=0,LEFT(IFERROR(INDEX(醫師週班表!$C$5:$T$44,$CU18,AM$57),""),1),""),IF(MID(IFERROR(INDEX(醫師週班表!$C$5:$T$44,$CU18,AM$57),""),2,1)="(",LEFT(IFERROR(INDEX(醫師週班表!$C$5:$T$44,$CU18,AM$57),""),1),IFERROR(INDEX(醫師週班表!$C$5:$T$44,$CU18,AM$57),"")))))))</f>
        <v/>
      </c>
      <c r="AN18" s="72">
        <f>IF(AN$59="X","",IF(AN$59&lt;&gt;"",AN$59,IF(IFERROR(INDEX(醫師週班表!$C$5:$T$44,$CU18,AN$57),"")=0,"",IF(MID(IFERROR(INDEX(醫師週班表!$C$5:$T$44,$CU18,AN$57),""),2,1)="/",MID(IFERROR(INDEX(醫師週班表!$C$5:$T$44,$CU18,AN$57),""),1+AN$58*2,1),IF(MID(IFERROR(INDEX(醫師週班表!$C$5:$T$44,$CU18,AN$57),""),3,1)="隔",IF(AN$58=0,LEFT(IFERROR(INDEX(醫師週班表!$C$5:$T$44,$CU18,AN$57),""),1),""),IF(MID(IFERROR(INDEX(醫師週班表!$C$5:$T$44,$CU18,AN$57),""),2,1)="(",LEFT(IFERROR(INDEX(醫師週班表!$C$5:$T$44,$CU18,AN$57),""),1),IFERROR(INDEX(醫師週班表!$C$5:$T$44,$CU18,AN$57),"")))))))</f>
        <v/>
      </c>
      <c r="AO18" s="71">
        <f>IF(AO$59="X","",IF(AO$59&lt;&gt;"",AO$59,IF(IFERROR(INDEX(醫師週班表!$C$5:$T$44,$CU18,AO$57),"")=0,"",IF(MID(IFERROR(INDEX(醫師週班表!$C$5:$T$44,$CU18,AO$57),""),2,1)="/",MID(IFERROR(INDEX(醫師週班表!$C$5:$T$44,$CU18,AO$57),""),1+AO$58*2,1),IF(MID(IFERROR(INDEX(醫師週班表!$C$5:$T$44,$CU18,AO$57),""),3,1)="隔",IF(AO$58=0,LEFT(IFERROR(INDEX(醫師週班表!$C$5:$T$44,$CU18,AO$57),""),1),""),IF(MID(IFERROR(INDEX(醫師週班表!$C$5:$T$44,$CU18,AO$57),""),2,1)="(",LEFT(IFERROR(INDEX(醫師週班表!$C$5:$T$44,$CU18,AO$57),""),1),IFERROR(INDEX(醫師週班表!$C$5:$T$44,$CU18,AO$57),"")))))))</f>
        <v/>
      </c>
      <c r="AP18" s="72">
        <f>IF(AP$59="X","",IF(AP$59&lt;&gt;"",AP$59,IF(IFERROR(INDEX(醫師週班表!$C$5:$T$44,$CU18,AP$57),"")=0,"",IF(MID(IFERROR(INDEX(醫師週班表!$C$5:$T$44,$CU18,AP$57),""),2,1)="/",MID(IFERROR(INDEX(醫師週班表!$C$5:$T$44,$CU18,AP$57),""),1+AP$58*2,1),IF(MID(IFERROR(INDEX(醫師週班表!$C$5:$T$44,$CU18,AP$57),""),3,1)="隔",IF(AP$58=0,LEFT(IFERROR(INDEX(醫師週班表!$C$5:$T$44,$CU18,AP$57),""),1),""),IF(MID(IFERROR(INDEX(醫師週班表!$C$5:$T$44,$CU18,AP$57),""),2,1)="(",LEFT(IFERROR(INDEX(醫師週班表!$C$5:$T$44,$CU18,AP$57),""),1),IFERROR(INDEX(醫師週班表!$C$5:$T$44,$CU18,AP$57),"")))))))</f>
        <v/>
      </c>
      <c r="AQ18" s="72">
        <f>IF(AQ$59="X","",IF(AQ$59&lt;&gt;"",AQ$59,IF(IFERROR(INDEX(醫師週班表!$C$5:$T$44,$CU18,AQ$57),"")=0,"",IF(MID(IFERROR(INDEX(醫師週班表!$C$5:$T$44,$CU18,AQ$57),""),2,1)="/",MID(IFERROR(INDEX(醫師週班表!$C$5:$T$44,$CU18,AQ$57),""),1+AQ$58*2,1),IF(MID(IFERROR(INDEX(醫師週班表!$C$5:$T$44,$CU18,AQ$57),""),3,1)="隔",IF(AQ$58=0,LEFT(IFERROR(INDEX(醫師週班表!$C$5:$T$44,$CU18,AQ$57),""),1),""),IF(MID(IFERROR(INDEX(醫師週班表!$C$5:$T$44,$CU18,AQ$57),""),2,1)="(",LEFT(IFERROR(INDEX(醫師週班表!$C$5:$T$44,$CU18,AQ$57),""),1),IFERROR(INDEX(醫師週班表!$C$5:$T$44,$CU18,AQ$57),"")))))))</f>
        <v/>
      </c>
      <c r="AR18" s="71">
        <f>IF(AR$59="X","",IF(AR$59&lt;&gt;"",AR$59,IF(IFERROR(INDEX(醫師週班表!$C$5:$T$44,$CU18,AR$57),"")=0,"",IF(MID(IFERROR(INDEX(醫師週班表!$C$5:$T$44,$CU18,AR$57),""),2,1)="/",MID(IFERROR(INDEX(醫師週班表!$C$5:$T$44,$CU18,AR$57),""),1+AR$58*2,1),IF(MID(IFERROR(INDEX(醫師週班表!$C$5:$T$44,$CU18,AR$57),""),3,1)="隔",IF(AR$58=0,LEFT(IFERROR(INDEX(醫師週班表!$C$5:$T$44,$CU18,AR$57),""),1),""),IF(MID(IFERROR(INDEX(醫師週班表!$C$5:$T$44,$CU18,AR$57),""),2,1)="(",LEFT(IFERROR(INDEX(醫師週班表!$C$5:$T$44,$CU18,AR$57),""),1),IFERROR(INDEX(醫師週班表!$C$5:$T$44,$CU18,AR$57),"")))))))</f>
        <v/>
      </c>
      <c r="AS18" s="72">
        <f>IF(AS$59="X","",IF(AS$59&lt;&gt;"",AS$59,IF(IFERROR(INDEX(醫師週班表!$C$5:$T$44,$CU18,AS$57),"")=0,"",IF(MID(IFERROR(INDEX(醫師週班表!$C$5:$T$44,$CU18,AS$57),""),2,1)="/",MID(IFERROR(INDEX(醫師週班表!$C$5:$T$44,$CU18,AS$57),""),1+AS$58*2,1),IF(MID(IFERROR(INDEX(醫師週班表!$C$5:$T$44,$CU18,AS$57),""),3,1)="隔",IF(AS$58=0,LEFT(IFERROR(INDEX(醫師週班表!$C$5:$T$44,$CU18,AS$57),""),1),""),IF(MID(IFERROR(INDEX(醫師週班表!$C$5:$T$44,$CU18,AS$57),""),2,1)="(",LEFT(IFERROR(INDEX(醫師週班表!$C$5:$T$44,$CU18,AS$57),""),1),IFERROR(INDEX(醫師週班表!$C$5:$T$44,$CU18,AS$57),"")))))))</f>
        <v/>
      </c>
      <c r="AT18" s="72">
        <f>IF(AT$59="X","",IF(AT$59&lt;&gt;"",AT$59,IF(IFERROR(INDEX(醫師週班表!$C$5:$T$44,$CU18,AT$57),"")=0,"",IF(MID(IFERROR(INDEX(醫師週班表!$C$5:$T$44,$CU18,AT$57),""),2,1)="/",MID(IFERROR(INDEX(醫師週班表!$C$5:$T$44,$CU18,AT$57),""),1+AT$58*2,1),IF(MID(IFERROR(INDEX(醫師週班表!$C$5:$T$44,$CU18,AT$57),""),3,1)="隔",IF(AT$58=0,LEFT(IFERROR(INDEX(醫師週班表!$C$5:$T$44,$CU18,AT$57),""),1),""),IF(MID(IFERROR(INDEX(醫師週班表!$C$5:$T$44,$CU18,AT$57),""),2,1)="(",LEFT(IFERROR(INDEX(醫師週班表!$C$5:$T$44,$CU18,AT$57),""),1),IFERROR(INDEX(醫師週班表!$C$5:$T$44,$CU18,AT$57),"")))))))</f>
        <v/>
      </c>
      <c r="AU18" s="71">
        <f>IF(AU$59="X","",IF(AU$59&lt;&gt;"",AU$59,IF(IFERROR(INDEX(醫師週班表!$C$5:$T$44,$CU18,AU$57),"")=0,"",IF(MID(IFERROR(INDEX(醫師週班表!$C$5:$T$44,$CU18,AU$57),""),2,1)="/",MID(IFERROR(INDEX(醫師週班表!$C$5:$T$44,$CU18,AU$57),""),1+AU$58*2,1),IF(MID(IFERROR(INDEX(醫師週班表!$C$5:$T$44,$CU18,AU$57),""),3,1)="隔",IF(AU$58=0,LEFT(IFERROR(INDEX(醫師週班表!$C$5:$T$44,$CU18,AU$57),""),1),""),IF(MID(IFERROR(INDEX(醫師週班表!$C$5:$T$44,$CU18,AU$57),""),2,1)="(",LEFT(IFERROR(INDEX(醫師週班表!$C$5:$T$44,$CU18,AU$57),""),1),IFERROR(INDEX(醫師週班表!$C$5:$T$44,$CU18,AU$57),"")))))))</f>
        <v/>
      </c>
      <c r="AV18" s="72">
        <f>IF(AV$59="X","",IF(AV$59&lt;&gt;"",AV$59,IF(IFERROR(INDEX(醫師週班表!$C$5:$T$44,$CU18,AV$57),"")=0,"",IF(MID(IFERROR(INDEX(醫師週班表!$C$5:$T$44,$CU18,AV$57),""),2,1)="/",MID(IFERROR(INDEX(醫師週班表!$C$5:$T$44,$CU18,AV$57),""),1+AV$58*2,1),IF(MID(IFERROR(INDEX(醫師週班表!$C$5:$T$44,$CU18,AV$57),""),3,1)="隔",IF(AV$58=0,LEFT(IFERROR(INDEX(醫師週班表!$C$5:$T$44,$CU18,AV$57),""),1),""),IF(MID(IFERROR(INDEX(醫師週班表!$C$5:$T$44,$CU18,AV$57),""),2,1)="(",LEFT(IFERROR(INDEX(醫師週班表!$C$5:$T$44,$CU18,AV$57),""),1),IFERROR(INDEX(醫師週班表!$C$5:$T$44,$CU18,AV$57),"")))))))</f>
        <v/>
      </c>
      <c r="AW18" s="72">
        <f>IF(AW$59="X","",IF(AW$59&lt;&gt;"",AW$59,IF(IFERROR(INDEX(醫師週班表!$C$5:$T$44,$CU18,AW$57),"")=0,"",IF(MID(IFERROR(INDEX(醫師週班表!$C$5:$T$44,$CU18,AW$57),""),2,1)="/",MID(IFERROR(INDEX(醫師週班表!$C$5:$T$44,$CU18,AW$57),""),1+AW$58*2,1),IF(MID(IFERROR(INDEX(醫師週班表!$C$5:$T$44,$CU18,AW$57),""),3,1)="隔",IF(AW$58=0,LEFT(IFERROR(INDEX(醫師週班表!$C$5:$T$44,$CU18,AW$57),""),1),""),IF(MID(IFERROR(INDEX(醫師週班表!$C$5:$T$44,$CU18,AW$57),""),2,1)="(",LEFT(IFERROR(INDEX(醫師週班表!$C$5:$T$44,$CU18,AW$57),""),1),IFERROR(INDEX(醫師週班表!$C$5:$T$44,$CU18,AW$57),"")))))))</f>
        <v/>
      </c>
      <c r="AX18" s="71">
        <f>IF(AX$59="X","",IF(AX$59&lt;&gt;"",AX$59,IF(IFERROR(INDEX(醫師週班表!$C$5:$T$44,$CU18,AX$57),"")=0,"",IF(MID(IFERROR(INDEX(醫師週班表!$C$5:$T$44,$CU18,AX$57),""),2,1)="/",MID(IFERROR(INDEX(醫師週班表!$C$5:$T$44,$CU18,AX$57),""),1+AX$58*2,1),IF(MID(IFERROR(INDEX(醫師週班表!$C$5:$T$44,$CU18,AX$57),""),3,1)="隔",IF(AX$58=0,LEFT(IFERROR(INDEX(醫師週班表!$C$5:$T$44,$CU18,AX$57),""),1),""),IF(MID(IFERROR(INDEX(醫師週班表!$C$5:$T$44,$CU18,AX$57),""),2,1)="(",LEFT(IFERROR(INDEX(醫師週班表!$C$5:$T$44,$CU18,AX$57),""),1),IFERROR(INDEX(醫師週班表!$C$5:$T$44,$CU18,AX$57),"")))))))</f>
        <v/>
      </c>
      <c r="AY18" s="72">
        <f>IF(AY$59="X","",IF(AY$59&lt;&gt;"",AY$59,IF(IFERROR(INDEX(醫師週班表!$C$5:$T$44,$CU18,AY$57),"")=0,"",IF(MID(IFERROR(INDEX(醫師週班表!$C$5:$T$44,$CU18,AY$57),""),2,1)="/",MID(IFERROR(INDEX(醫師週班表!$C$5:$T$44,$CU18,AY$57),""),1+AY$58*2,1),IF(MID(IFERROR(INDEX(醫師週班表!$C$5:$T$44,$CU18,AY$57),""),3,1)="隔",IF(AY$58=0,LEFT(IFERROR(INDEX(醫師週班表!$C$5:$T$44,$CU18,AY$57),""),1),""),IF(MID(IFERROR(INDEX(醫師週班表!$C$5:$T$44,$CU18,AY$57),""),2,1)="(",LEFT(IFERROR(INDEX(醫師週班表!$C$5:$T$44,$CU18,AY$57),""),1),IFERROR(INDEX(醫師週班表!$C$5:$T$44,$CU18,AY$57),"")))))))</f>
        <v/>
      </c>
      <c r="AZ18" s="72">
        <f>IF(AZ$59="X","",IF(AZ$59&lt;&gt;"",AZ$59,IF(IFERROR(INDEX(醫師週班表!$C$5:$T$44,$CU18,AZ$57),"")=0,"",IF(MID(IFERROR(INDEX(醫師週班表!$C$5:$T$44,$CU18,AZ$57),""),2,1)="/",MID(IFERROR(INDEX(醫師週班表!$C$5:$T$44,$CU18,AZ$57),""),1+AZ$58*2,1),IF(MID(IFERROR(INDEX(醫師週班表!$C$5:$T$44,$CU18,AZ$57),""),3,1)="隔",IF(AZ$58=0,LEFT(IFERROR(INDEX(醫師週班表!$C$5:$T$44,$CU18,AZ$57),""),1),""),IF(MID(IFERROR(INDEX(醫師週班表!$C$5:$T$44,$CU18,AZ$57),""),2,1)="(",LEFT(IFERROR(INDEX(醫師週班表!$C$5:$T$44,$CU18,AZ$57),""),1),IFERROR(INDEX(醫師週班表!$C$5:$T$44,$CU18,AZ$57),"")))))))</f>
        <v/>
      </c>
      <c r="BA18" s="71">
        <f>IF(BA$59="X","",IF(BA$59&lt;&gt;"",BA$59,IF(IFERROR(INDEX(醫師週班表!$C$5:$T$44,$CU18,BA$57),"")=0,"",IF(MID(IFERROR(INDEX(醫師週班表!$C$5:$T$44,$CU18,BA$57),""),2,1)="/",MID(IFERROR(INDEX(醫師週班表!$C$5:$T$44,$CU18,BA$57),""),1+BA$58*2,1),IF(MID(IFERROR(INDEX(醫師週班表!$C$5:$T$44,$CU18,BA$57),""),3,1)="隔",IF(BA$58=0,LEFT(IFERROR(INDEX(醫師週班表!$C$5:$T$44,$CU18,BA$57),""),1),""),IF(MID(IFERROR(INDEX(醫師週班表!$C$5:$T$44,$CU18,BA$57),""),2,1)="(",LEFT(IFERROR(INDEX(醫師週班表!$C$5:$T$44,$CU18,BA$57),""),1),IFERROR(INDEX(醫師週班表!$C$5:$T$44,$CU18,BA$57),"")))))))</f>
        <v/>
      </c>
      <c r="BB18" s="72">
        <f>IF(BB$59="X","",IF(BB$59&lt;&gt;"",BB$59,IF(IFERROR(INDEX(醫師週班表!$C$5:$T$44,$CU18,BB$57),"")=0,"",IF(MID(IFERROR(INDEX(醫師週班表!$C$5:$T$44,$CU18,BB$57),""),2,1)="/",MID(IFERROR(INDEX(醫師週班表!$C$5:$T$44,$CU18,BB$57),""),1+BB$58*2,1),IF(MID(IFERROR(INDEX(醫師週班表!$C$5:$T$44,$CU18,BB$57),""),3,1)="隔",IF(BB$58=0,LEFT(IFERROR(INDEX(醫師週班表!$C$5:$T$44,$CU18,BB$57),""),1),""),IF(MID(IFERROR(INDEX(醫師週班表!$C$5:$T$44,$CU18,BB$57),""),2,1)="(",LEFT(IFERROR(INDEX(醫師週班表!$C$5:$T$44,$CU18,BB$57),""),1),IFERROR(INDEX(醫師週班表!$C$5:$T$44,$CU18,BB$57),"")))))))</f>
        <v/>
      </c>
      <c r="BC18" s="72">
        <f>IF(BC$59="X","",IF(BC$59&lt;&gt;"",BC$59,IF(IFERROR(INDEX(醫師週班表!$C$5:$T$44,$CU18,BC$57),"")=0,"",IF(MID(IFERROR(INDEX(醫師週班表!$C$5:$T$44,$CU18,BC$57),""),2,1)="/",MID(IFERROR(INDEX(醫師週班表!$C$5:$T$44,$CU18,BC$57),""),1+BC$58*2,1),IF(MID(IFERROR(INDEX(醫師週班表!$C$5:$T$44,$CU18,BC$57),""),3,1)="隔",IF(BC$58=0,LEFT(IFERROR(INDEX(醫師週班表!$C$5:$T$44,$CU18,BC$57),""),1),""),IF(MID(IFERROR(INDEX(醫師週班表!$C$5:$T$44,$CU18,BC$57),""),2,1)="(",LEFT(IFERROR(INDEX(醫師週班表!$C$5:$T$44,$CU18,BC$57),""),1),IFERROR(INDEX(醫師週班表!$C$5:$T$44,$CU18,BC$57),"")))))))</f>
        <v/>
      </c>
      <c r="BD18" s="71">
        <f>IF(BD$59="X","",IF(BD$59&lt;&gt;"",BD$59,IF(IFERROR(INDEX(醫師週班表!$C$5:$T$44,$CU18,BD$57),"")=0,"",IF(MID(IFERROR(INDEX(醫師週班表!$C$5:$T$44,$CU18,BD$57),""),2,1)="/",MID(IFERROR(INDEX(醫師週班表!$C$5:$T$44,$CU18,BD$57),""),1+BD$58*2,1),IF(MID(IFERROR(INDEX(醫師週班表!$C$5:$T$44,$CU18,BD$57),""),3,1)="隔",IF(BD$58=0,LEFT(IFERROR(INDEX(醫師週班表!$C$5:$T$44,$CU18,BD$57),""),1),""),IF(MID(IFERROR(INDEX(醫師週班表!$C$5:$T$44,$CU18,BD$57),""),2,1)="(",LEFT(IFERROR(INDEX(醫師週班表!$C$5:$T$44,$CU18,BD$57),""),1),IFERROR(INDEX(醫師週班表!$C$5:$T$44,$CU18,BD$57),"")))))))</f>
        <v/>
      </c>
      <c r="BE18" s="72">
        <f>IF(BE$59="X","",IF(BE$59&lt;&gt;"",BE$59,IF(IFERROR(INDEX(醫師週班表!$C$5:$T$44,$CU18,BE$57),"")=0,"",IF(MID(IFERROR(INDEX(醫師週班表!$C$5:$T$44,$CU18,BE$57),""),2,1)="/",MID(IFERROR(INDEX(醫師週班表!$C$5:$T$44,$CU18,BE$57),""),1+BE$58*2,1),IF(MID(IFERROR(INDEX(醫師週班表!$C$5:$T$44,$CU18,BE$57),""),3,1)="隔",IF(BE$58=0,LEFT(IFERROR(INDEX(醫師週班表!$C$5:$T$44,$CU18,BE$57),""),1),""),IF(MID(IFERROR(INDEX(醫師週班表!$C$5:$T$44,$CU18,BE$57),""),2,1)="(",LEFT(IFERROR(INDEX(醫師週班表!$C$5:$T$44,$CU18,BE$57),""),1),IFERROR(INDEX(醫師週班表!$C$5:$T$44,$CU18,BE$57),"")))))))</f>
        <v/>
      </c>
      <c r="BF18" s="72">
        <f>IF(BF$59="X","",IF(BF$59&lt;&gt;"",BF$59,IF(IFERROR(INDEX(醫師週班表!$C$5:$T$44,$CU18,BF$57),"")=0,"",IF(MID(IFERROR(INDEX(醫師週班表!$C$5:$T$44,$CU18,BF$57),""),2,1)="/",MID(IFERROR(INDEX(醫師週班表!$C$5:$T$44,$CU18,BF$57),""),1+BF$58*2,1),IF(MID(IFERROR(INDEX(醫師週班表!$C$5:$T$44,$CU18,BF$57),""),3,1)="隔",IF(BF$58=0,LEFT(IFERROR(INDEX(醫師週班表!$C$5:$T$44,$CU18,BF$57),""),1),""),IF(MID(IFERROR(INDEX(醫師週班表!$C$5:$T$44,$CU18,BF$57),""),2,1)="(",LEFT(IFERROR(INDEX(醫師週班表!$C$5:$T$44,$CU18,BF$57),""),1),IFERROR(INDEX(醫師週班表!$C$5:$T$44,$CU18,BF$57),"")))))))</f>
        <v/>
      </c>
      <c r="BG18" s="71">
        <f>IF(BG$59="X","",IF(BG$59&lt;&gt;"",BG$59,IF(IFERROR(INDEX(醫師週班表!$C$5:$T$44,$CU18,BG$57),"")=0,"",IF(MID(IFERROR(INDEX(醫師週班表!$C$5:$T$44,$CU18,BG$57),""),2,1)="/",MID(IFERROR(INDEX(醫師週班表!$C$5:$T$44,$CU18,BG$57),""),1+BG$58*2,1),IF(MID(IFERROR(INDEX(醫師週班表!$C$5:$T$44,$CU18,BG$57),""),3,1)="隔",IF(BG$58=0,LEFT(IFERROR(INDEX(醫師週班表!$C$5:$T$44,$CU18,BG$57),""),1),""),IF(MID(IFERROR(INDEX(醫師週班表!$C$5:$T$44,$CU18,BG$57),""),2,1)="(",LEFT(IFERROR(INDEX(醫師週班表!$C$5:$T$44,$CU18,BG$57),""),1),IFERROR(INDEX(醫師週班表!$C$5:$T$44,$CU18,BG$57),"")))))))</f>
        <v/>
      </c>
      <c r="BH18" s="72">
        <f>IF(BH$59="X","",IF(BH$59&lt;&gt;"",BH$59,IF(IFERROR(INDEX(醫師週班表!$C$5:$T$44,$CU18,BH$57),"")=0,"",IF(MID(IFERROR(INDEX(醫師週班表!$C$5:$T$44,$CU18,BH$57),""),2,1)="/",MID(IFERROR(INDEX(醫師週班表!$C$5:$T$44,$CU18,BH$57),""),1+BH$58*2,1),IF(MID(IFERROR(INDEX(醫師週班表!$C$5:$T$44,$CU18,BH$57),""),3,1)="隔",IF(BH$58=0,LEFT(IFERROR(INDEX(醫師週班表!$C$5:$T$44,$CU18,BH$57),""),1),""),IF(MID(IFERROR(INDEX(醫師週班表!$C$5:$T$44,$CU18,BH$57),""),2,1)="(",LEFT(IFERROR(INDEX(醫師週班表!$C$5:$T$44,$CU18,BH$57),""),1),IFERROR(INDEX(醫師週班表!$C$5:$T$44,$CU18,BH$57),"")))))))</f>
        <v/>
      </c>
      <c r="BI18" s="72">
        <f>IF(BI$59="X","",IF(BI$59&lt;&gt;"",BI$59,IF(IFERROR(INDEX(醫師週班表!$C$5:$T$44,$CU18,BI$57),"")=0,"",IF(MID(IFERROR(INDEX(醫師週班表!$C$5:$T$44,$CU18,BI$57),""),2,1)="/",MID(IFERROR(INDEX(醫師週班表!$C$5:$T$44,$CU18,BI$57),""),1+BI$58*2,1),IF(MID(IFERROR(INDEX(醫師週班表!$C$5:$T$44,$CU18,BI$57),""),3,1)="隔",IF(BI$58=0,LEFT(IFERROR(INDEX(醫師週班表!$C$5:$T$44,$CU18,BI$57),""),1),""),IF(MID(IFERROR(INDEX(醫師週班表!$C$5:$T$44,$CU18,BI$57),""),2,1)="(",LEFT(IFERROR(INDEX(醫師週班表!$C$5:$T$44,$CU18,BI$57),""),1),IFERROR(INDEX(醫師週班表!$C$5:$T$44,$CU18,BI$57),"")))))))</f>
        <v/>
      </c>
      <c r="BJ18" s="71">
        <f>IF(BJ$59="X","",IF(BJ$59&lt;&gt;"",BJ$59,IF(IFERROR(INDEX(醫師週班表!$C$5:$T$44,$CU18,BJ$57),"")=0,"",IF(MID(IFERROR(INDEX(醫師週班表!$C$5:$T$44,$CU18,BJ$57),""),2,1)="/",MID(IFERROR(INDEX(醫師週班表!$C$5:$T$44,$CU18,BJ$57),""),1+BJ$58*2,1),IF(MID(IFERROR(INDEX(醫師週班表!$C$5:$T$44,$CU18,BJ$57),""),3,1)="隔",IF(BJ$58=0,LEFT(IFERROR(INDEX(醫師週班表!$C$5:$T$44,$CU18,BJ$57),""),1),""),IF(MID(IFERROR(INDEX(醫師週班表!$C$5:$T$44,$CU18,BJ$57),""),2,1)="(",LEFT(IFERROR(INDEX(醫師週班表!$C$5:$T$44,$CU18,BJ$57),""),1),IFERROR(INDEX(醫師週班表!$C$5:$T$44,$CU18,BJ$57),"")))))))</f>
        <v/>
      </c>
      <c r="BK18" s="72">
        <f>IF(BK$59="X","",IF(BK$59&lt;&gt;"",BK$59,IF(IFERROR(INDEX(醫師週班表!$C$5:$T$44,$CU18,BK$57),"")=0,"",IF(MID(IFERROR(INDEX(醫師週班表!$C$5:$T$44,$CU18,BK$57),""),2,1)="/",MID(IFERROR(INDEX(醫師週班表!$C$5:$T$44,$CU18,BK$57),""),1+BK$58*2,1),IF(MID(IFERROR(INDEX(醫師週班表!$C$5:$T$44,$CU18,BK$57),""),3,1)="隔",IF(BK$58=0,LEFT(IFERROR(INDEX(醫師週班表!$C$5:$T$44,$CU18,BK$57),""),1),""),IF(MID(IFERROR(INDEX(醫師週班表!$C$5:$T$44,$CU18,BK$57),""),2,1)="(",LEFT(IFERROR(INDEX(醫師週班表!$C$5:$T$44,$CU18,BK$57),""),1),IFERROR(INDEX(醫師週班表!$C$5:$T$44,$CU18,BK$57),"")))))))</f>
        <v/>
      </c>
      <c r="BL18" s="72">
        <f>IF(BL$59="X","",IF(BL$59&lt;&gt;"",BL$59,IF(IFERROR(INDEX(醫師週班表!$C$5:$T$44,$CU18,BL$57),"")=0,"",IF(MID(IFERROR(INDEX(醫師週班表!$C$5:$T$44,$CU18,BL$57),""),2,1)="/",MID(IFERROR(INDEX(醫師週班表!$C$5:$T$44,$CU18,BL$57),""),1+BL$58*2,1),IF(MID(IFERROR(INDEX(醫師週班表!$C$5:$T$44,$CU18,BL$57),""),3,1)="隔",IF(BL$58=0,LEFT(IFERROR(INDEX(醫師週班表!$C$5:$T$44,$CU18,BL$57),""),1),""),IF(MID(IFERROR(INDEX(醫師週班表!$C$5:$T$44,$CU18,BL$57),""),2,1)="(",LEFT(IFERROR(INDEX(醫師週班表!$C$5:$T$44,$CU18,BL$57),""),1),IFERROR(INDEX(醫師週班表!$C$5:$T$44,$CU18,BL$57),"")))))))</f>
        <v/>
      </c>
      <c r="BM18" s="71">
        <f>IF(BM$59="X","",IF(BM$59&lt;&gt;"",BM$59,IF(IFERROR(INDEX(醫師週班表!$C$5:$T$44,$CU18,BM$57),"")=0,"",IF(MID(IFERROR(INDEX(醫師週班表!$C$5:$T$44,$CU18,BM$57),""),2,1)="/",MID(IFERROR(INDEX(醫師週班表!$C$5:$T$44,$CU18,BM$57),""),1+BM$58*2,1),IF(MID(IFERROR(INDEX(醫師週班表!$C$5:$T$44,$CU18,BM$57),""),3,1)="隔",IF(BM$58=0,LEFT(IFERROR(INDEX(醫師週班表!$C$5:$T$44,$CU18,BM$57),""),1),""),IF(MID(IFERROR(INDEX(醫師週班表!$C$5:$T$44,$CU18,BM$57),""),2,1)="(",LEFT(IFERROR(INDEX(醫師週班表!$C$5:$T$44,$CU18,BM$57),""),1),IFERROR(INDEX(醫師週班表!$C$5:$T$44,$CU18,BM$57),"")))))))</f>
        <v/>
      </c>
      <c r="BN18" s="72">
        <f>IF(BN$59="X","",IF(BN$59&lt;&gt;"",BN$59,IF(IFERROR(INDEX(醫師週班表!$C$5:$T$44,$CU18,BN$57),"")=0,"",IF(MID(IFERROR(INDEX(醫師週班表!$C$5:$T$44,$CU18,BN$57),""),2,1)="/",MID(IFERROR(INDEX(醫師週班表!$C$5:$T$44,$CU18,BN$57),""),1+BN$58*2,1),IF(MID(IFERROR(INDEX(醫師週班表!$C$5:$T$44,$CU18,BN$57),""),3,1)="隔",IF(BN$58=0,LEFT(IFERROR(INDEX(醫師週班表!$C$5:$T$44,$CU18,BN$57),""),1),""),IF(MID(IFERROR(INDEX(醫師週班表!$C$5:$T$44,$CU18,BN$57),""),2,1)="(",LEFT(IFERROR(INDEX(醫師週班表!$C$5:$T$44,$CU18,BN$57),""),1),IFERROR(INDEX(醫師週班表!$C$5:$T$44,$CU18,BN$57),"")))))))</f>
        <v/>
      </c>
      <c r="BO18" s="72">
        <f>IF(BO$59="X","",IF(BO$59&lt;&gt;"",BO$59,IF(IFERROR(INDEX(醫師週班表!$C$5:$T$44,$CU18,BO$57),"")=0,"",IF(MID(IFERROR(INDEX(醫師週班表!$C$5:$T$44,$CU18,BO$57),""),2,1)="/",MID(IFERROR(INDEX(醫師週班表!$C$5:$T$44,$CU18,BO$57),""),1+BO$58*2,1),IF(MID(IFERROR(INDEX(醫師週班表!$C$5:$T$44,$CU18,BO$57),""),3,1)="隔",IF(BO$58=0,LEFT(IFERROR(INDEX(醫師週班表!$C$5:$T$44,$CU18,BO$57),""),1),""),IF(MID(IFERROR(INDEX(醫師週班表!$C$5:$T$44,$CU18,BO$57),""),2,1)="(",LEFT(IFERROR(INDEX(醫師週班表!$C$5:$T$44,$CU18,BO$57),""),1),IFERROR(INDEX(醫師週班表!$C$5:$T$44,$CU18,BO$57),"")))))))</f>
        <v/>
      </c>
      <c r="BP18" s="71">
        <f>IF(BP$59="X","",IF(BP$59&lt;&gt;"",BP$59,IF(IFERROR(INDEX(醫師週班表!$C$5:$T$44,$CU18,BP$57),"")=0,"",IF(MID(IFERROR(INDEX(醫師週班表!$C$5:$T$44,$CU18,BP$57),""),2,1)="/",MID(IFERROR(INDEX(醫師週班表!$C$5:$T$44,$CU18,BP$57),""),1+BP$58*2,1),IF(MID(IFERROR(INDEX(醫師週班表!$C$5:$T$44,$CU18,BP$57),""),3,1)="隔",IF(BP$58=0,LEFT(IFERROR(INDEX(醫師週班表!$C$5:$T$44,$CU18,BP$57),""),1),""),IF(MID(IFERROR(INDEX(醫師週班表!$C$5:$T$44,$CU18,BP$57),""),2,1)="(",LEFT(IFERROR(INDEX(醫師週班表!$C$5:$T$44,$CU18,BP$57),""),1),IFERROR(INDEX(醫師週班表!$C$5:$T$44,$CU18,BP$57),"")))))))</f>
        <v/>
      </c>
      <c r="BQ18" s="72">
        <f>IF(BQ$59="X","",IF(BQ$59&lt;&gt;"",BQ$59,IF(IFERROR(INDEX(醫師週班表!$C$5:$T$44,$CU18,BQ$57),"")=0,"",IF(MID(IFERROR(INDEX(醫師週班表!$C$5:$T$44,$CU18,BQ$57),""),2,1)="/",MID(IFERROR(INDEX(醫師週班表!$C$5:$T$44,$CU18,BQ$57),""),1+BQ$58*2,1),IF(MID(IFERROR(INDEX(醫師週班表!$C$5:$T$44,$CU18,BQ$57),""),3,1)="隔",IF(BQ$58=0,LEFT(IFERROR(INDEX(醫師週班表!$C$5:$T$44,$CU18,BQ$57),""),1),""),IF(MID(IFERROR(INDEX(醫師週班表!$C$5:$T$44,$CU18,BQ$57),""),2,1)="(",LEFT(IFERROR(INDEX(醫師週班表!$C$5:$T$44,$CU18,BQ$57),""),1),IFERROR(INDEX(醫師週班表!$C$5:$T$44,$CU18,BQ$57),"")))))))</f>
        <v/>
      </c>
      <c r="BR18" s="72">
        <f>IF(BR$59="X","",IF(BR$59&lt;&gt;"",BR$59,IF(IFERROR(INDEX(醫師週班表!$C$5:$T$44,$CU18,BR$57),"")=0,"",IF(MID(IFERROR(INDEX(醫師週班表!$C$5:$T$44,$CU18,BR$57),""),2,1)="/",MID(IFERROR(INDEX(醫師週班表!$C$5:$T$44,$CU18,BR$57),""),1+BR$58*2,1),IF(MID(IFERROR(INDEX(醫師週班表!$C$5:$T$44,$CU18,BR$57),""),3,1)="隔",IF(BR$58=0,LEFT(IFERROR(INDEX(醫師週班表!$C$5:$T$44,$CU18,BR$57),""),1),""),IF(MID(IFERROR(INDEX(醫師週班表!$C$5:$T$44,$CU18,BR$57),""),2,1)="(",LEFT(IFERROR(INDEX(醫師週班表!$C$5:$T$44,$CU18,BR$57),""),1),IFERROR(INDEX(醫師週班表!$C$5:$T$44,$CU18,BR$57),"")))))))</f>
        <v/>
      </c>
      <c r="BS18" s="71">
        <f>IF(BS$59="X","",IF(BS$59&lt;&gt;"",BS$59,IF(IFERROR(INDEX(醫師週班表!$C$5:$T$44,$CU18,BS$57),"")=0,"",IF(MID(IFERROR(INDEX(醫師週班表!$C$5:$T$44,$CU18,BS$57),""),2,1)="/",MID(IFERROR(INDEX(醫師週班表!$C$5:$T$44,$CU18,BS$57),""),1+BS$58*2,1),IF(MID(IFERROR(INDEX(醫師週班表!$C$5:$T$44,$CU18,BS$57),""),3,1)="隔",IF(BS$58=0,LEFT(IFERROR(INDEX(醫師週班表!$C$5:$T$44,$CU18,BS$57),""),1),""),IF(MID(IFERROR(INDEX(醫師週班表!$C$5:$T$44,$CU18,BS$57),""),2,1)="(",LEFT(IFERROR(INDEX(醫師週班表!$C$5:$T$44,$CU18,BS$57),""),1),IFERROR(INDEX(醫師週班表!$C$5:$T$44,$CU18,BS$57),"")))))))</f>
        <v/>
      </c>
      <c r="BT18" s="72">
        <f>IF(BT$59="X","",IF(BT$59&lt;&gt;"",BT$59,IF(IFERROR(INDEX(醫師週班表!$C$5:$T$44,$CU18,BT$57),"")=0,"",IF(MID(IFERROR(INDEX(醫師週班表!$C$5:$T$44,$CU18,BT$57),""),2,1)="/",MID(IFERROR(INDEX(醫師週班表!$C$5:$T$44,$CU18,BT$57),""),1+BT$58*2,1),IF(MID(IFERROR(INDEX(醫師週班表!$C$5:$T$44,$CU18,BT$57),""),3,1)="隔",IF(BT$58=0,LEFT(IFERROR(INDEX(醫師週班表!$C$5:$T$44,$CU18,BT$57),""),1),""),IF(MID(IFERROR(INDEX(醫師週班表!$C$5:$T$44,$CU18,BT$57),""),2,1)="(",LEFT(IFERROR(INDEX(醫師週班表!$C$5:$T$44,$CU18,BT$57),""),1),IFERROR(INDEX(醫師週班表!$C$5:$T$44,$CU18,BT$57),"")))))))</f>
        <v/>
      </c>
      <c r="BU18" s="72">
        <f>IF(BU$59="X","",IF(BU$59&lt;&gt;"",BU$59,IF(IFERROR(INDEX(醫師週班表!$C$5:$T$44,$CU18,BU$57),"")=0,"",IF(MID(IFERROR(INDEX(醫師週班表!$C$5:$T$44,$CU18,BU$57),""),2,1)="/",MID(IFERROR(INDEX(醫師週班表!$C$5:$T$44,$CU18,BU$57),""),1+BU$58*2,1),IF(MID(IFERROR(INDEX(醫師週班表!$C$5:$T$44,$CU18,BU$57),""),3,1)="隔",IF(BU$58=0,LEFT(IFERROR(INDEX(醫師週班表!$C$5:$T$44,$CU18,BU$57),""),1),""),IF(MID(IFERROR(INDEX(醫師週班表!$C$5:$T$44,$CU18,BU$57),""),2,1)="(",LEFT(IFERROR(INDEX(醫師週班表!$C$5:$T$44,$CU18,BU$57),""),1),IFERROR(INDEX(醫師週班表!$C$5:$T$44,$CU18,BU$57),"")))))))</f>
        <v/>
      </c>
      <c r="BV18" s="71">
        <f>IF(BV$59="X","",IF(BV$59&lt;&gt;"",BV$59,IF(IFERROR(INDEX(醫師週班表!$C$5:$T$44,$CU18,BV$57),"")=0,"",IF(MID(IFERROR(INDEX(醫師週班表!$C$5:$T$44,$CU18,BV$57),""),2,1)="/",MID(IFERROR(INDEX(醫師週班表!$C$5:$T$44,$CU18,BV$57),""),1+BV$58*2,1),IF(MID(IFERROR(INDEX(醫師週班表!$C$5:$T$44,$CU18,BV$57),""),3,1)="隔",IF(BV$58=0,LEFT(IFERROR(INDEX(醫師週班表!$C$5:$T$44,$CU18,BV$57),""),1),""),IF(MID(IFERROR(INDEX(醫師週班表!$C$5:$T$44,$CU18,BV$57),""),2,1)="(",LEFT(IFERROR(INDEX(醫師週班表!$C$5:$T$44,$CU18,BV$57),""),1),IFERROR(INDEX(醫師週班表!$C$5:$T$44,$CU18,BV$57),"")))))))</f>
        <v/>
      </c>
      <c r="BW18" s="72">
        <f>IF(BW$59="X","",IF(BW$59&lt;&gt;"",BW$59,IF(IFERROR(INDEX(醫師週班表!$C$5:$T$44,$CU18,BW$57),"")=0,"",IF(MID(IFERROR(INDEX(醫師週班表!$C$5:$T$44,$CU18,BW$57),""),2,1)="/",MID(IFERROR(INDEX(醫師週班表!$C$5:$T$44,$CU18,BW$57),""),1+BW$58*2,1),IF(MID(IFERROR(INDEX(醫師週班表!$C$5:$T$44,$CU18,BW$57),""),3,1)="隔",IF(BW$58=0,LEFT(IFERROR(INDEX(醫師週班表!$C$5:$T$44,$CU18,BW$57),""),1),""),IF(MID(IFERROR(INDEX(醫師週班表!$C$5:$T$44,$CU18,BW$57),""),2,1)="(",LEFT(IFERROR(INDEX(醫師週班表!$C$5:$T$44,$CU18,BW$57),""),1),IFERROR(INDEX(醫師週班表!$C$5:$T$44,$CU18,BW$57),"")))))))</f>
        <v/>
      </c>
      <c r="BX18" s="72">
        <f>IF(BX$59="X","",IF(BX$59&lt;&gt;"",BX$59,IF(IFERROR(INDEX(醫師週班表!$C$5:$T$44,$CU18,BX$57),"")=0,"",IF(MID(IFERROR(INDEX(醫師週班表!$C$5:$T$44,$CU18,BX$57),""),2,1)="/",MID(IFERROR(INDEX(醫師週班表!$C$5:$T$44,$CU18,BX$57),""),1+BX$58*2,1),IF(MID(IFERROR(INDEX(醫師週班表!$C$5:$T$44,$CU18,BX$57),""),3,1)="隔",IF(BX$58=0,LEFT(IFERROR(INDEX(醫師週班表!$C$5:$T$44,$CU18,BX$57),""),1),""),IF(MID(IFERROR(INDEX(醫師週班表!$C$5:$T$44,$CU18,BX$57),""),2,1)="(",LEFT(IFERROR(INDEX(醫師週班表!$C$5:$T$44,$CU18,BX$57),""),1),IFERROR(INDEX(醫師週班表!$C$5:$T$44,$CU18,BX$57),"")))))))</f>
        <v/>
      </c>
      <c r="BY18" s="71">
        <f>IF(BY$59="X","",IF(BY$59&lt;&gt;"",BY$59,IF(IFERROR(INDEX(醫師週班表!$C$5:$T$44,$CU18,BY$57),"")=0,"",IF(MID(IFERROR(INDEX(醫師週班表!$C$5:$T$44,$CU18,BY$57),""),2,1)="/",MID(IFERROR(INDEX(醫師週班表!$C$5:$T$44,$CU18,BY$57),""),1+BY$58*2,1),IF(MID(IFERROR(INDEX(醫師週班表!$C$5:$T$44,$CU18,BY$57),""),3,1)="隔",IF(BY$58=0,LEFT(IFERROR(INDEX(醫師週班表!$C$5:$T$44,$CU18,BY$57),""),1),""),IF(MID(IFERROR(INDEX(醫師週班表!$C$5:$T$44,$CU18,BY$57),""),2,1)="(",LEFT(IFERROR(INDEX(醫師週班表!$C$5:$T$44,$CU18,BY$57),""),1),IFERROR(INDEX(醫師週班表!$C$5:$T$44,$CU18,BY$57),"")))))))</f>
        <v/>
      </c>
      <c r="BZ18" s="72">
        <f>IF(BZ$59="X","",IF(BZ$59&lt;&gt;"",BZ$59,IF(IFERROR(INDEX(醫師週班表!$C$5:$T$44,$CU18,BZ$57),"")=0,"",IF(MID(IFERROR(INDEX(醫師週班表!$C$5:$T$44,$CU18,BZ$57),""),2,1)="/",MID(IFERROR(INDEX(醫師週班表!$C$5:$T$44,$CU18,BZ$57),""),1+BZ$58*2,1),IF(MID(IFERROR(INDEX(醫師週班表!$C$5:$T$44,$CU18,BZ$57),""),3,1)="隔",IF(BZ$58=0,LEFT(IFERROR(INDEX(醫師週班表!$C$5:$T$44,$CU18,BZ$57),""),1),""),IF(MID(IFERROR(INDEX(醫師週班表!$C$5:$T$44,$CU18,BZ$57),""),2,1)="(",LEFT(IFERROR(INDEX(醫師週班表!$C$5:$T$44,$CU18,BZ$57),""),1),IFERROR(INDEX(醫師週班表!$C$5:$T$44,$CU18,BZ$57),"")))))))</f>
        <v/>
      </c>
      <c r="CA18" s="72">
        <f>IF(CA$59="X","",IF(CA$59&lt;&gt;"",CA$59,IF(IFERROR(INDEX(醫師週班表!$C$5:$T$44,$CU18,CA$57),"")=0,"",IF(MID(IFERROR(INDEX(醫師週班表!$C$5:$T$44,$CU18,CA$57),""),2,1)="/",MID(IFERROR(INDEX(醫師週班表!$C$5:$T$44,$CU18,CA$57),""),1+CA$58*2,1),IF(MID(IFERROR(INDEX(醫師週班表!$C$5:$T$44,$CU18,CA$57),""),3,1)="隔",IF(CA$58=0,LEFT(IFERROR(INDEX(醫師週班表!$C$5:$T$44,$CU18,CA$57),""),1),""),IF(MID(IFERROR(INDEX(醫師週班表!$C$5:$T$44,$CU18,CA$57),""),2,1)="(",LEFT(IFERROR(INDEX(醫師週班表!$C$5:$T$44,$CU18,CA$57),""),1),IFERROR(INDEX(醫師週班表!$C$5:$T$44,$CU18,CA$57),"")))))))</f>
        <v/>
      </c>
      <c r="CB18" s="71">
        <f>IF(CB$59="X","",IF(CB$59&lt;&gt;"",CB$59,IF(IFERROR(INDEX(醫師週班表!$C$5:$T$44,$CU18,CB$57),"")=0,"",IF(MID(IFERROR(INDEX(醫師週班表!$C$5:$T$44,$CU18,CB$57),""),2,1)="/",MID(IFERROR(INDEX(醫師週班表!$C$5:$T$44,$CU18,CB$57),""),1+CB$58*2,1),IF(MID(IFERROR(INDEX(醫師週班表!$C$5:$T$44,$CU18,CB$57),""),3,1)="隔",IF(CB$58=0,LEFT(IFERROR(INDEX(醫師週班表!$C$5:$T$44,$CU18,CB$57),""),1),""),IF(MID(IFERROR(INDEX(醫師週班表!$C$5:$T$44,$CU18,CB$57),""),2,1)="(",LEFT(IFERROR(INDEX(醫師週班表!$C$5:$T$44,$CU18,CB$57),""),1),IFERROR(INDEX(醫師週班表!$C$5:$T$44,$CU18,CB$57),"")))))))</f>
        <v/>
      </c>
      <c r="CC18" s="72">
        <f>IF(CC$59="X","",IF(CC$59&lt;&gt;"",CC$59,IF(IFERROR(INDEX(醫師週班表!$C$5:$T$44,$CU18,CC$57),"")=0,"",IF(MID(IFERROR(INDEX(醫師週班表!$C$5:$T$44,$CU18,CC$57),""),2,1)="/",MID(IFERROR(INDEX(醫師週班表!$C$5:$T$44,$CU18,CC$57),""),1+CC$58*2,1),IF(MID(IFERROR(INDEX(醫師週班表!$C$5:$T$44,$CU18,CC$57),""),3,1)="隔",IF(CC$58=0,LEFT(IFERROR(INDEX(醫師週班表!$C$5:$T$44,$CU18,CC$57),""),1),""),IF(MID(IFERROR(INDEX(醫師週班表!$C$5:$T$44,$CU18,CC$57),""),2,1)="(",LEFT(IFERROR(INDEX(醫師週班表!$C$5:$T$44,$CU18,CC$57),""),1),IFERROR(INDEX(醫師週班表!$C$5:$T$44,$CU18,CC$57),"")))))))</f>
        <v/>
      </c>
      <c r="CD18" s="72">
        <f>IF(CD$59="X","",IF(CD$59&lt;&gt;"",CD$59,IF(IFERROR(INDEX(醫師週班表!$C$5:$T$44,$CU18,CD$57),"")=0,"",IF(MID(IFERROR(INDEX(醫師週班表!$C$5:$T$44,$CU18,CD$57),""),2,1)="/",MID(IFERROR(INDEX(醫師週班表!$C$5:$T$44,$CU18,CD$57),""),1+CD$58*2,1),IF(MID(IFERROR(INDEX(醫師週班表!$C$5:$T$44,$CU18,CD$57),""),3,1)="隔",IF(CD$58=0,LEFT(IFERROR(INDEX(醫師週班表!$C$5:$T$44,$CU18,CD$57),""),1),""),IF(MID(IFERROR(INDEX(醫師週班表!$C$5:$T$44,$CU18,CD$57),""),2,1)="(",LEFT(IFERROR(INDEX(醫師週班表!$C$5:$T$44,$CU18,CD$57),""),1),IFERROR(INDEX(醫師週班表!$C$5:$T$44,$CU18,CD$57),"")))))))</f>
        <v/>
      </c>
      <c r="CE18" s="71">
        <f>IF(CE$59="X","",IF(CE$59&lt;&gt;"",CE$59,IF(IFERROR(INDEX(醫師週班表!$C$5:$T$44,$CU18,CE$57),"")=0,"",IF(MID(IFERROR(INDEX(醫師週班表!$C$5:$T$44,$CU18,CE$57),""),2,1)="/",MID(IFERROR(INDEX(醫師週班表!$C$5:$T$44,$CU18,CE$57),""),1+CE$58*2,1),IF(MID(IFERROR(INDEX(醫師週班表!$C$5:$T$44,$CU18,CE$57),""),3,1)="隔",IF(CE$58=0,LEFT(IFERROR(INDEX(醫師週班表!$C$5:$T$44,$CU18,CE$57),""),1),""),IF(MID(IFERROR(INDEX(醫師週班表!$C$5:$T$44,$CU18,CE$57),""),2,1)="(",LEFT(IFERROR(INDEX(醫師週班表!$C$5:$T$44,$CU18,CE$57),""),1),IFERROR(INDEX(醫師週班表!$C$5:$T$44,$CU18,CE$57),"")))))))</f>
        <v/>
      </c>
      <c r="CF18" s="72">
        <f>IF(CF$59="X","",IF(CF$59&lt;&gt;"",CF$59,IF(IFERROR(INDEX(醫師週班表!$C$5:$T$44,$CU18,CF$57),"")=0,"",IF(MID(IFERROR(INDEX(醫師週班表!$C$5:$T$44,$CU18,CF$57),""),2,1)="/",MID(IFERROR(INDEX(醫師週班表!$C$5:$T$44,$CU18,CF$57),""),1+CF$58*2,1),IF(MID(IFERROR(INDEX(醫師週班表!$C$5:$T$44,$CU18,CF$57),""),3,1)="隔",IF(CF$58=0,LEFT(IFERROR(INDEX(醫師週班表!$C$5:$T$44,$CU18,CF$57),""),1),""),IF(MID(IFERROR(INDEX(醫師週班表!$C$5:$T$44,$CU18,CF$57),""),2,1)="(",LEFT(IFERROR(INDEX(醫師週班表!$C$5:$T$44,$CU18,CF$57),""),1),IFERROR(INDEX(醫師週班表!$C$5:$T$44,$CU18,CF$57),"")))))))</f>
        <v/>
      </c>
      <c r="CG18" s="72">
        <f>IF(CG$59="X","",IF(CG$59&lt;&gt;"",CG$59,IF(IFERROR(INDEX(醫師週班表!$C$5:$T$44,$CU18,CG$57),"")=0,"",IF(MID(IFERROR(INDEX(醫師週班表!$C$5:$T$44,$CU18,CG$57),""),2,1)="/",MID(IFERROR(INDEX(醫師週班表!$C$5:$T$44,$CU18,CG$57),""),1+CG$58*2,1),IF(MID(IFERROR(INDEX(醫師週班表!$C$5:$T$44,$CU18,CG$57),""),3,1)="隔",IF(CG$58=0,LEFT(IFERROR(INDEX(醫師週班表!$C$5:$T$44,$CU18,CG$57),""),1),""),IF(MID(IFERROR(INDEX(醫師週班表!$C$5:$T$44,$CU18,CG$57),""),2,1)="(",LEFT(IFERROR(INDEX(醫師週班表!$C$5:$T$44,$CU18,CG$57),""),1),IFERROR(INDEX(醫師週班表!$C$5:$T$44,$CU18,CG$57),"")))))))</f>
        <v/>
      </c>
      <c r="CH18" s="71">
        <f>IF(CH$59="X","",IF(CH$59&lt;&gt;"",CH$59,IF(IFERROR(INDEX(醫師週班表!$C$5:$T$44,$CU18,CH$57),"")=0,"",IF(MID(IFERROR(INDEX(醫師週班表!$C$5:$T$44,$CU18,CH$57),""),2,1)="/",MID(IFERROR(INDEX(醫師週班表!$C$5:$T$44,$CU18,CH$57),""),1+CH$58*2,1),IF(MID(IFERROR(INDEX(醫師週班表!$C$5:$T$44,$CU18,CH$57),""),3,1)="隔",IF(CH$58=0,LEFT(IFERROR(INDEX(醫師週班表!$C$5:$T$44,$CU18,CH$57),""),1),""),IF(MID(IFERROR(INDEX(醫師週班表!$C$5:$T$44,$CU18,CH$57),""),2,1)="(",LEFT(IFERROR(INDEX(醫師週班表!$C$5:$T$44,$CU18,CH$57),""),1),IFERROR(INDEX(醫師週班表!$C$5:$T$44,$CU18,CH$57),"")))))))</f>
        <v/>
      </c>
      <c r="CI18" s="72">
        <f>IF(CI$59="X","",IF(CI$59&lt;&gt;"",CI$59,IF(IFERROR(INDEX(醫師週班表!$C$5:$T$44,$CU18,CI$57),"")=0,"",IF(MID(IFERROR(INDEX(醫師週班表!$C$5:$T$44,$CU18,CI$57),""),2,1)="/",MID(IFERROR(INDEX(醫師週班表!$C$5:$T$44,$CU18,CI$57),""),1+CI$58*2,1),IF(MID(IFERROR(INDEX(醫師週班表!$C$5:$T$44,$CU18,CI$57),""),3,1)="隔",IF(CI$58=0,LEFT(IFERROR(INDEX(醫師週班表!$C$5:$T$44,$CU18,CI$57),""),1),""),IF(MID(IFERROR(INDEX(醫師週班表!$C$5:$T$44,$CU18,CI$57),""),2,1)="(",LEFT(IFERROR(INDEX(醫師週班表!$C$5:$T$44,$CU18,CI$57),""),1),IFERROR(INDEX(醫師週班表!$C$5:$T$44,$CU18,CI$57),"")))))))</f>
        <v/>
      </c>
      <c r="CJ18" s="72">
        <f>IF(CJ$59="X","",IF(CJ$59&lt;&gt;"",CJ$59,IF(IFERROR(INDEX(醫師週班表!$C$5:$T$44,$CU18,CJ$57),"")=0,"",IF(MID(IFERROR(INDEX(醫師週班表!$C$5:$T$44,$CU18,CJ$57),""),2,1)="/",MID(IFERROR(INDEX(醫師週班表!$C$5:$T$44,$CU18,CJ$57),""),1+CJ$58*2,1),IF(MID(IFERROR(INDEX(醫師週班表!$C$5:$T$44,$CU18,CJ$57),""),3,1)="隔",IF(CJ$58=0,LEFT(IFERROR(INDEX(醫師週班表!$C$5:$T$44,$CU18,CJ$57),""),1),""),IF(MID(IFERROR(INDEX(醫師週班表!$C$5:$T$44,$CU18,CJ$57),""),2,1)="(",LEFT(IFERROR(INDEX(醫師週班表!$C$5:$T$44,$CU18,CJ$57),""),1),IFERROR(INDEX(醫師週班表!$C$5:$T$44,$CU18,CJ$57),"")))))))</f>
        <v/>
      </c>
      <c r="CK18" s="71">
        <f>IF(CK$59="X","",IF(CK$59&lt;&gt;"",CK$59,IF(IFERROR(INDEX(醫師週班表!$C$5:$T$44,$CU18,CK$57),"")=0,"",IF(MID(IFERROR(INDEX(醫師週班表!$C$5:$T$44,$CU18,CK$57),""),2,1)="/",MID(IFERROR(INDEX(醫師週班表!$C$5:$T$44,$CU18,CK$57),""),1+CK$58*2,1),IF(MID(IFERROR(INDEX(醫師週班表!$C$5:$T$44,$CU18,CK$57),""),3,1)="隔",IF(CK$58=0,LEFT(IFERROR(INDEX(醫師週班表!$C$5:$T$44,$CU18,CK$57),""),1),""),IF(MID(IFERROR(INDEX(醫師週班表!$C$5:$T$44,$CU18,CK$57),""),2,1)="(",LEFT(IFERROR(INDEX(醫師週班表!$C$5:$T$44,$CU18,CK$57),""),1),IFERROR(INDEX(醫師週班表!$C$5:$T$44,$CU18,CK$57),"")))))))</f>
        <v/>
      </c>
      <c r="CL18" s="72">
        <f>IF(CL$59="X","",IF(CL$59&lt;&gt;"",CL$59,IF(IFERROR(INDEX(醫師週班表!$C$5:$T$44,$CU18,CL$57),"")=0,"",IF(MID(IFERROR(INDEX(醫師週班表!$C$5:$T$44,$CU18,CL$57),""),2,1)="/",MID(IFERROR(INDEX(醫師週班表!$C$5:$T$44,$CU18,CL$57),""),1+CL$58*2,1),IF(MID(IFERROR(INDEX(醫師週班表!$C$5:$T$44,$CU18,CL$57),""),3,1)="隔",IF(CL$58=0,LEFT(IFERROR(INDEX(醫師週班表!$C$5:$T$44,$CU18,CL$57),""),1),""),IF(MID(IFERROR(INDEX(醫師週班表!$C$5:$T$44,$CU18,CL$57),""),2,1)="(",LEFT(IFERROR(INDEX(醫師週班表!$C$5:$T$44,$CU18,CL$57),""),1),IFERROR(INDEX(醫師週班表!$C$5:$T$44,$CU18,CL$57),"")))))))</f>
        <v/>
      </c>
      <c r="CM18" s="72">
        <f>IF(CM$59="X","",IF(CM$59&lt;&gt;"",CM$59,IF(IFERROR(INDEX(醫師週班表!$C$5:$T$44,$CU18,CM$57),"")=0,"",IF(MID(IFERROR(INDEX(醫師週班表!$C$5:$T$44,$CU18,CM$57),""),2,1)="/",MID(IFERROR(INDEX(醫師週班表!$C$5:$T$44,$CU18,CM$57),""),1+CM$58*2,1),IF(MID(IFERROR(INDEX(醫師週班表!$C$5:$T$44,$CU18,CM$57),""),3,1)="隔",IF(CM$58=0,LEFT(IFERROR(INDEX(醫師週班表!$C$5:$T$44,$CU18,CM$57),""),1),""),IF(MID(IFERROR(INDEX(醫師週班表!$C$5:$T$44,$CU18,CM$57),""),2,1)="(",LEFT(IFERROR(INDEX(醫師週班表!$C$5:$T$44,$CU18,CM$57),""),1),IFERROR(INDEX(醫師週班表!$C$5:$T$44,$CU18,CM$57),"")))))))</f>
        <v/>
      </c>
      <c r="CN18" s="71">
        <f>IF(CN$59="X","",IF(CN$59&lt;&gt;"",CN$59,IF(IFERROR(INDEX(醫師週班表!$C$5:$T$44,$CU18,CN$57),"")=0,"",IF(MID(IFERROR(INDEX(醫師週班表!$C$5:$T$44,$CU18,CN$57),""),2,1)="/",MID(IFERROR(INDEX(醫師週班表!$C$5:$T$44,$CU18,CN$57),""),1+CN$58*2,1),IF(MID(IFERROR(INDEX(醫師週班表!$C$5:$T$44,$CU18,CN$57),""),3,1)="隔",IF(CN$58=0,LEFT(IFERROR(INDEX(醫師週班表!$C$5:$T$44,$CU18,CN$57),""),1),""),IF(MID(IFERROR(INDEX(醫師週班表!$C$5:$T$44,$CU18,CN$57),""),2,1)="(",LEFT(IFERROR(INDEX(醫師週班表!$C$5:$T$44,$CU18,CN$57),""),1),IFERROR(INDEX(醫師週班表!$C$5:$T$44,$CU18,CN$57),"")))))))</f>
        <v/>
      </c>
      <c r="CO18" s="72">
        <f>IF(CO$59="X","",IF(CO$59&lt;&gt;"",CO$59,IF(IFERROR(INDEX(醫師週班表!$C$5:$T$44,$CU18,CO$57),"")=0,"",IF(MID(IFERROR(INDEX(醫師週班表!$C$5:$T$44,$CU18,CO$57),""),2,1)="/",MID(IFERROR(INDEX(醫師週班表!$C$5:$T$44,$CU18,CO$57),""),1+CO$58*2,1),IF(MID(IFERROR(INDEX(醫師週班表!$C$5:$T$44,$CU18,CO$57),""),3,1)="隔",IF(CO$58=0,LEFT(IFERROR(INDEX(醫師週班表!$C$5:$T$44,$CU18,CO$57),""),1),""),IF(MID(IFERROR(INDEX(醫師週班表!$C$5:$T$44,$CU18,CO$57),""),2,1)="(",LEFT(IFERROR(INDEX(醫師週班表!$C$5:$T$44,$CU18,CO$57),""),1),IFERROR(INDEX(醫師週班表!$C$5:$T$44,$CU18,CO$57),"")))))))</f>
        <v/>
      </c>
      <c r="CP18" s="72">
        <f>IF(CP$59="X","",IF(CP$59&lt;&gt;"",CP$59,IF(IFERROR(INDEX(醫師週班表!$C$5:$T$44,$CU18,CP$57),"")=0,"",IF(MID(IFERROR(INDEX(醫師週班表!$C$5:$T$44,$CU18,CP$57),""),2,1)="/",MID(IFERROR(INDEX(醫師週班表!$C$5:$T$44,$CU18,CP$57),""),1+CP$58*2,1),IF(MID(IFERROR(INDEX(醫師週班表!$C$5:$T$44,$CU18,CP$57),""),3,1)="隔",IF(CP$58=0,LEFT(IFERROR(INDEX(醫師週班表!$C$5:$T$44,$CU18,CP$57),""),1),""),IF(MID(IFERROR(INDEX(醫師週班表!$C$5:$T$44,$CU18,CP$57),""),2,1)="(",LEFT(IFERROR(INDEX(醫師週班表!$C$5:$T$44,$CU18,CP$57),""),1),IFERROR(INDEX(醫師週班表!$C$5:$T$44,$CU18,CP$57),"")))))))</f>
        <v/>
      </c>
      <c r="CQ18" s="71">
        <f>IF(CQ$59="X","",IF(CQ$59&lt;&gt;"",CQ$59,IF(IFERROR(INDEX(醫師週班表!$C$5:$T$44,$CU18,CQ$57),"")=0,"",IF(MID(IFERROR(INDEX(醫師週班表!$C$5:$T$44,$CU18,CQ$57),""),2,1)="/",MID(IFERROR(INDEX(醫師週班表!$C$5:$T$44,$CU18,CQ$57),""),1+CQ$58*2,1),IF(MID(IFERROR(INDEX(醫師週班表!$C$5:$T$44,$CU18,CQ$57),""),3,1)="隔",IF(CQ$58=0,LEFT(IFERROR(INDEX(醫師週班表!$C$5:$T$44,$CU18,CQ$57),""),1),""),IF(MID(IFERROR(INDEX(醫師週班表!$C$5:$T$44,$CU18,CQ$57),""),2,1)="(",LEFT(IFERROR(INDEX(醫師週班表!$C$5:$T$44,$CU18,CQ$57),""),1),IFERROR(INDEX(醫師週班表!$C$5:$T$44,$CU18,CQ$57),"")))))))</f>
        <v/>
      </c>
      <c r="CR18" s="72">
        <f>IF(CR$59="X","",IF(CR$59&lt;&gt;"",CR$59,IF(IFERROR(INDEX(醫師週班表!$C$5:$T$44,$CU18,CR$57),"")=0,"",IF(MID(IFERROR(INDEX(醫師週班表!$C$5:$T$44,$CU18,CR$57),""),2,1)="/",MID(IFERROR(INDEX(醫師週班表!$C$5:$T$44,$CU18,CR$57),""),1+CR$58*2,1),IF(MID(IFERROR(INDEX(醫師週班表!$C$5:$T$44,$CU18,CR$57),""),3,1)="隔",IF(CR$58=0,LEFT(IFERROR(INDEX(醫師週班表!$C$5:$T$44,$CU18,CR$57),""),1),""),IF(MID(IFERROR(INDEX(醫師週班表!$C$5:$T$44,$CU18,CR$57),""),2,1)="(",LEFT(IFERROR(INDEX(醫師週班表!$C$5:$T$44,$CU18,CR$57),""),1),IFERROR(INDEX(醫師週班表!$C$5:$T$44,$CU18,CR$57),"")))))))</f>
        <v/>
      </c>
      <c r="CS18" s="72">
        <f>IF(CS$59="X","",IF(CS$59&lt;&gt;"",CS$59,IF(IFERROR(INDEX(醫師週班表!$C$5:$T$44,$CU18,CS$57),"")=0,"",IF(MID(IFERROR(INDEX(醫師週班表!$C$5:$T$44,$CU18,CS$57),""),2,1)="/",MID(IFERROR(INDEX(醫師週班表!$C$5:$T$44,$CU18,CS$57),""),1+CS$58*2,1),IF(MID(IFERROR(INDEX(醫師週班表!$C$5:$T$44,$CU18,CS$57),""),3,1)="隔",IF(CS$58=0,LEFT(IFERROR(INDEX(醫師週班表!$C$5:$T$44,$CU18,CS$57),""),1),""),IF(MID(IFERROR(INDEX(醫師週班表!$C$5:$T$44,$CU18,CS$57),""),2,1)="(",LEFT(IFERROR(INDEX(醫師週班表!$C$5:$T$44,$CU18,CS$57),""),1),IFERROR(INDEX(醫師週班表!$C$5:$T$44,$CU18,CS$57),"")))))))</f>
        <v/>
      </c>
      <c r="CU18" s="73">
        <f>IFERROR(MATCH($A18,醫師週班表!$A$5:$A$44,0),0)</f>
        <v/>
      </c>
    </row>
    <row r="19" ht="17" customHeight="1">
      <c r="A19" s="19" t="inlineStr">
        <is>
          <t>D014</t>
        </is>
      </c>
      <c r="B19" s="16" t="inlineStr">
        <is>
          <t>鄭漢賢</t>
        </is>
      </c>
      <c r="C19" s="70" t="inlineStr"/>
      <c r="D19" s="16" t="inlineStr"/>
      <c r="E19" s="71">
        <f>IF(E$59="X","",IF(E$59&lt;&gt;"",E$59,IF(IFERROR(INDEX(醫師週班表!$C$5:$T$44,$CU19,E$57),"")=0,"",IF(MID(IFERROR(INDEX(醫師週班表!$C$5:$T$44,$CU19,E$57),""),2,1)="/",MID(IFERROR(INDEX(醫師週班表!$C$5:$T$44,$CU19,E$57),""),1+E$58*2,1),IF(MID(IFERROR(INDEX(醫師週班表!$C$5:$T$44,$CU19,E$57),""),3,1)="隔",IF(E$58=0,LEFT(IFERROR(INDEX(醫師週班表!$C$5:$T$44,$CU19,E$57),""),1),""),IF(MID(IFERROR(INDEX(醫師週班表!$C$5:$T$44,$CU19,E$57),""),2,1)="(",LEFT(IFERROR(INDEX(醫師週班表!$C$5:$T$44,$CU19,E$57),""),1),IFERROR(INDEX(醫師週班表!$C$5:$T$44,$CU19,E$57),"")))))))</f>
        <v/>
      </c>
      <c r="F19" s="72">
        <f>IF(F$59="X","",IF(F$59&lt;&gt;"",F$59,IF(IFERROR(INDEX(醫師週班表!$C$5:$T$44,$CU19,F$57),"")=0,"",IF(MID(IFERROR(INDEX(醫師週班表!$C$5:$T$44,$CU19,F$57),""),2,1)="/",MID(IFERROR(INDEX(醫師週班表!$C$5:$T$44,$CU19,F$57),""),1+F$58*2,1),IF(MID(IFERROR(INDEX(醫師週班表!$C$5:$T$44,$CU19,F$57),""),3,1)="隔",IF(F$58=0,LEFT(IFERROR(INDEX(醫師週班表!$C$5:$T$44,$CU19,F$57),""),1),""),IF(MID(IFERROR(INDEX(醫師週班表!$C$5:$T$44,$CU19,F$57),""),2,1)="(",LEFT(IFERROR(INDEX(醫師週班表!$C$5:$T$44,$CU19,F$57),""),1),IFERROR(INDEX(醫師週班表!$C$5:$T$44,$CU19,F$57),"")))))))</f>
        <v/>
      </c>
      <c r="G19" s="72">
        <f>IF(G$59="X","",IF(G$59&lt;&gt;"",G$59,IF(IFERROR(INDEX(醫師週班表!$C$5:$T$44,$CU19,G$57),"")=0,"",IF(MID(IFERROR(INDEX(醫師週班表!$C$5:$T$44,$CU19,G$57),""),2,1)="/",MID(IFERROR(INDEX(醫師週班表!$C$5:$T$44,$CU19,G$57),""),1+G$58*2,1),IF(MID(IFERROR(INDEX(醫師週班表!$C$5:$T$44,$CU19,G$57),""),3,1)="隔",IF(G$58=0,LEFT(IFERROR(INDEX(醫師週班表!$C$5:$T$44,$CU19,G$57),""),1),""),IF(MID(IFERROR(INDEX(醫師週班表!$C$5:$T$44,$CU19,G$57),""),2,1)="(",LEFT(IFERROR(INDEX(醫師週班表!$C$5:$T$44,$CU19,G$57),""),1),IFERROR(INDEX(醫師週班表!$C$5:$T$44,$CU19,G$57),"")))))))</f>
        <v/>
      </c>
      <c r="H19" s="71">
        <f>IF(H$59="X","",IF(H$59&lt;&gt;"",H$59,IF(IFERROR(INDEX(醫師週班表!$C$5:$T$44,$CU19,H$57),"")=0,"",IF(MID(IFERROR(INDEX(醫師週班表!$C$5:$T$44,$CU19,H$57),""),2,1)="/",MID(IFERROR(INDEX(醫師週班表!$C$5:$T$44,$CU19,H$57),""),1+H$58*2,1),IF(MID(IFERROR(INDEX(醫師週班表!$C$5:$T$44,$CU19,H$57),""),3,1)="隔",IF(H$58=0,LEFT(IFERROR(INDEX(醫師週班表!$C$5:$T$44,$CU19,H$57),""),1),""),IF(MID(IFERROR(INDEX(醫師週班表!$C$5:$T$44,$CU19,H$57),""),2,1)="(",LEFT(IFERROR(INDEX(醫師週班表!$C$5:$T$44,$CU19,H$57),""),1),IFERROR(INDEX(醫師週班表!$C$5:$T$44,$CU19,H$57),"")))))))</f>
        <v/>
      </c>
      <c r="I19" s="72">
        <f>IF(I$59="X","",IF(I$59&lt;&gt;"",I$59,IF(IFERROR(INDEX(醫師週班表!$C$5:$T$44,$CU19,I$57),"")=0,"",IF(MID(IFERROR(INDEX(醫師週班表!$C$5:$T$44,$CU19,I$57),""),2,1)="/",MID(IFERROR(INDEX(醫師週班表!$C$5:$T$44,$CU19,I$57),""),1+I$58*2,1),IF(MID(IFERROR(INDEX(醫師週班表!$C$5:$T$44,$CU19,I$57),""),3,1)="隔",IF(I$58=0,LEFT(IFERROR(INDEX(醫師週班表!$C$5:$T$44,$CU19,I$57),""),1),""),IF(MID(IFERROR(INDEX(醫師週班表!$C$5:$T$44,$CU19,I$57),""),2,1)="(",LEFT(IFERROR(INDEX(醫師週班表!$C$5:$T$44,$CU19,I$57),""),1),IFERROR(INDEX(醫師週班表!$C$5:$T$44,$CU19,I$57),"")))))))</f>
        <v/>
      </c>
      <c r="J19" s="72">
        <f>IF(J$59="X","",IF(J$59&lt;&gt;"",J$59,IF(IFERROR(INDEX(醫師週班表!$C$5:$T$44,$CU19,J$57),"")=0,"",IF(MID(IFERROR(INDEX(醫師週班表!$C$5:$T$44,$CU19,J$57),""),2,1)="/",MID(IFERROR(INDEX(醫師週班表!$C$5:$T$44,$CU19,J$57),""),1+J$58*2,1),IF(MID(IFERROR(INDEX(醫師週班表!$C$5:$T$44,$CU19,J$57),""),3,1)="隔",IF(J$58=0,LEFT(IFERROR(INDEX(醫師週班表!$C$5:$T$44,$CU19,J$57),""),1),""),IF(MID(IFERROR(INDEX(醫師週班表!$C$5:$T$44,$CU19,J$57),""),2,1)="(",LEFT(IFERROR(INDEX(醫師週班表!$C$5:$T$44,$CU19,J$57),""),1),IFERROR(INDEX(醫師週班表!$C$5:$T$44,$CU19,J$57),"")))))))</f>
        <v/>
      </c>
      <c r="K19" s="71">
        <f>IF(K$59="X","",IF(K$59&lt;&gt;"",K$59,IF(IFERROR(INDEX(醫師週班表!$C$5:$T$44,$CU19,K$57),"")=0,"",IF(MID(IFERROR(INDEX(醫師週班表!$C$5:$T$44,$CU19,K$57),""),2,1)="/",MID(IFERROR(INDEX(醫師週班表!$C$5:$T$44,$CU19,K$57),""),1+K$58*2,1),IF(MID(IFERROR(INDEX(醫師週班表!$C$5:$T$44,$CU19,K$57),""),3,1)="隔",IF(K$58=0,LEFT(IFERROR(INDEX(醫師週班表!$C$5:$T$44,$CU19,K$57),""),1),""),IF(MID(IFERROR(INDEX(醫師週班表!$C$5:$T$44,$CU19,K$57),""),2,1)="(",LEFT(IFERROR(INDEX(醫師週班表!$C$5:$T$44,$CU19,K$57),""),1),IFERROR(INDEX(醫師週班表!$C$5:$T$44,$CU19,K$57),"")))))))</f>
        <v/>
      </c>
      <c r="L19" s="72">
        <f>IF(L$59="X","",IF(L$59&lt;&gt;"",L$59,IF(IFERROR(INDEX(醫師週班表!$C$5:$T$44,$CU19,L$57),"")=0,"",IF(MID(IFERROR(INDEX(醫師週班表!$C$5:$T$44,$CU19,L$57),""),2,1)="/",MID(IFERROR(INDEX(醫師週班表!$C$5:$T$44,$CU19,L$57),""),1+L$58*2,1),IF(MID(IFERROR(INDEX(醫師週班表!$C$5:$T$44,$CU19,L$57),""),3,1)="隔",IF(L$58=0,LEFT(IFERROR(INDEX(醫師週班表!$C$5:$T$44,$CU19,L$57),""),1),""),IF(MID(IFERROR(INDEX(醫師週班表!$C$5:$T$44,$CU19,L$57),""),2,1)="(",LEFT(IFERROR(INDEX(醫師週班表!$C$5:$T$44,$CU19,L$57),""),1),IFERROR(INDEX(醫師週班表!$C$5:$T$44,$CU19,L$57),"")))))))</f>
        <v/>
      </c>
      <c r="M19" s="72">
        <f>IF(M$59="X","",IF(M$59&lt;&gt;"",M$59,IF(IFERROR(INDEX(醫師週班表!$C$5:$T$44,$CU19,M$57),"")=0,"",IF(MID(IFERROR(INDEX(醫師週班表!$C$5:$T$44,$CU19,M$57),""),2,1)="/",MID(IFERROR(INDEX(醫師週班表!$C$5:$T$44,$CU19,M$57),""),1+M$58*2,1),IF(MID(IFERROR(INDEX(醫師週班表!$C$5:$T$44,$CU19,M$57),""),3,1)="隔",IF(M$58=0,LEFT(IFERROR(INDEX(醫師週班表!$C$5:$T$44,$CU19,M$57),""),1),""),IF(MID(IFERROR(INDEX(醫師週班表!$C$5:$T$44,$CU19,M$57),""),2,1)="(",LEFT(IFERROR(INDEX(醫師週班表!$C$5:$T$44,$CU19,M$57),""),1),IFERROR(INDEX(醫師週班表!$C$5:$T$44,$CU19,M$57),"")))))))</f>
        <v/>
      </c>
      <c r="N19" s="71">
        <f>IF(N$59="X","",IF(N$59&lt;&gt;"",N$59,IF(IFERROR(INDEX(醫師週班表!$C$5:$T$44,$CU19,N$57),"")=0,"",IF(MID(IFERROR(INDEX(醫師週班表!$C$5:$T$44,$CU19,N$57),""),2,1)="/",MID(IFERROR(INDEX(醫師週班表!$C$5:$T$44,$CU19,N$57),""),1+N$58*2,1),IF(MID(IFERROR(INDEX(醫師週班表!$C$5:$T$44,$CU19,N$57),""),3,1)="隔",IF(N$58=0,LEFT(IFERROR(INDEX(醫師週班表!$C$5:$T$44,$CU19,N$57),""),1),""),IF(MID(IFERROR(INDEX(醫師週班表!$C$5:$T$44,$CU19,N$57),""),2,1)="(",LEFT(IFERROR(INDEX(醫師週班表!$C$5:$T$44,$CU19,N$57),""),1),IFERROR(INDEX(醫師週班表!$C$5:$T$44,$CU19,N$57),"")))))))</f>
        <v/>
      </c>
      <c r="O19" s="72">
        <f>IF(O$59="X","",IF(O$59&lt;&gt;"",O$59,IF(IFERROR(INDEX(醫師週班表!$C$5:$T$44,$CU19,O$57),"")=0,"",IF(MID(IFERROR(INDEX(醫師週班表!$C$5:$T$44,$CU19,O$57),""),2,1)="/",MID(IFERROR(INDEX(醫師週班表!$C$5:$T$44,$CU19,O$57),""),1+O$58*2,1),IF(MID(IFERROR(INDEX(醫師週班表!$C$5:$T$44,$CU19,O$57),""),3,1)="隔",IF(O$58=0,LEFT(IFERROR(INDEX(醫師週班表!$C$5:$T$44,$CU19,O$57),""),1),""),IF(MID(IFERROR(INDEX(醫師週班表!$C$5:$T$44,$CU19,O$57),""),2,1)="(",LEFT(IFERROR(INDEX(醫師週班表!$C$5:$T$44,$CU19,O$57),""),1),IFERROR(INDEX(醫師週班表!$C$5:$T$44,$CU19,O$57),"")))))))</f>
        <v/>
      </c>
      <c r="P19" s="72">
        <f>IF(P$59="X","",IF(P$59&lt;&gt;"",P$59,IF(IFERROR(INDEX(醫師週班表!$C$5:$T$44,$CU19,P$57),"")=0,"",IF(MID(IFERROR(INDEX(醫師週班表!$C$5:$T$44,$CU19,P$57),""),2,1)="/",MID(IFERROR(INDEX(醫師週班表!$C$5:$T$44,$CU19,P$57),""),1+P$58*2,1),IF(MID(IFERROR(INDEX(醫師週班表!$C$5:$T$44,$CU19,P$57),""),3,1)="隔",IF(P$58=0,LEFT(IFERROR(INDEX(醫師週班表!$C$5:$T$44,$CU19,P$57),""),1),""),IF(MID(IFERROR(INDEX(醫師週班表!$C$5:$T$44,$CU19,P$57),""),2,1)="(",LEFT(IFERROR(INDEX(醫師週班表!$C$5:$T$44,$CU19,P$57),""),1),IFERROR(INDEX(醫師週班表!$C$5:$T$44,$CU19,P$57),"")))))))</f>
        <v/>
      </c>
      <c r="Q19" s="71">
        <f>IF(Q$59="X","",IF(Q$59&lt;&gt;"",Q$59,IF(IFERROR(INDEX(醫師週班表!$C$5:$T$44,$CU19,Q$57),"")=0,"",IF(MID(IFERROR(INDEX(醫師週班表!$C$5:$T$44,$CU19,Q$57),""),2,1)="/",MID(IFERROR(INDEX(醫師週班表!$C$5:$T$44,$CU19,Q$57),""),1+Q$58*2,1),IF(MID(IFERROR(INDEX(醫師週班表!$C$5:$T$44,$CU19,Q$57),""),3,1)="隔",IF(Q$58=0,LEFT(IFERROR(INDEX(醫師週班表!$C$5:$T$44,$CU19,Q$57),""),1),""),IF(MID(IFERROR(INDEX(醫師週班表!$C$5:$T$44,$CU19,Q$57),""),2,1)="(",LEFT(IFERROR(INDEX(醫師週班表!$C$5:$T$44,$CU19,Q$57),""),1),IFERROR(INDEX(醫師週班表!$C$5:$T$44,$CU19,Q$57),"")))))))</f>
        <v/>
      </c>
      <c r="R19" s="72">
        <f>IF(R$59="X","",IF(R$59&lt;&gt;"",R$59,IF(IFERROR(INDEX(醫師週班表!$C$5:$T$44,$CU19,R$57),"")=0,"",IF(MID(IFERROR(INDEX(醫師週班表!$C$5:$T$44,$CU19,R$57),""),2,1)="/",MID(IFERROR(INDEX(醫師週班表!$C$5:$T$44,$CU19,R$57),""),1+R$58*2,1),IF(MID(IFERROR(INDEX(醫師週班表!$C$5:$T$44,$CU19,R$57),""),3,1)="隔",IF(R$58=0,LEFT(IFERROR(INDEX(醫師週班表!$C$5:$T$44,$CU19,R$57),""),1),""),IF(MID(IFERROR(INDEX(醫師週班表!$C$5:$T$44,$CU19,R$57),""),2,1)="(",LEFT(IFERROR(INDEX(醫師週班表!$C$5:$T$44,$CU19,R$57),""),1),IFERROR(INDEX(醫師週班表!$C$5:$T$44,$CU19,R$57),"")))))))</f>
        <v/>
      </c>
      <c r="S19" s="72">
        <f>IF(S$59="X","",IF(S$59&lt;&gt;"",S$59,IF(IFERROR(INDEX(醫師週班表!$C$5:$T$44,$CU19,S$57),"")=0,"",IF(MID(IFERROR(INDEX(醫師週班表!$C$5:$T$44,$CU19,S$57),""),2,1)="/",MID(IFERROR(INDEX(醫師週班表!$C$5:$T$44,$CU19,S$57),""),1+S$58*2,1),IF(MID(IFERROR(INDEX(醫師週班表!$C$5:$T$44,$CU19,S$57),""),3,1)="隔",IF(S$58=0,LEFT(IFERROR(INDEX(醫師週班表!$C$5:$T$44,$CU19,S$57),""),1),""),IF(MID(IFERROR(INDEX(醫師週班表!$C$5:$T$44,$CU19,S$57),""),2,1)="(",LEFT(IFERROR(INDEX(醫師週班表!$C$5:$T$44,$CU19,S$57),""),1),IFERROR(INDEX(醫師週班表!$C$5:$T$44,$CU19,S$57),"")))))))</f>
        <v/>
      </c>
      <c r="T19" s="71">
        <f>IF(T$59="X","",IF(T$59&lt;&gt;"",T$59,IF(IFERROR(INDEX(醫師週班表!$C$5:$T$44,$CU19,T$57),"")=0,"",IF(MID(IFERROR(INDEX(醫師週班表!$C$5:$T$44,$CU19,T$57),""),2,1)="/",MID(IFERROR(INDEX(醫師週班表!$C$5:$T$44,$CU19,T$57),""),1+T$58*2,1),IF(MID(IFERROR(INDEX(醫師週班表!$C$5:$T$44,$CU19,T$57),""),3,1)="隔",IF(T$58=0,LEFT(IFERROR(INDEX(醫師週班表!$C$5:$T$44,$CU19,T$57),""),1),""),IF(MID(IFERROR(INDEX(醫師週班表!$C$5:$T$44,$CU19,T$57),""),2,1)="(",LEFT(IFERROR(INDEX(醫師週班表!$C$5:$T$44,$CU19,T$57),""),1),IFERROR(INDEX(醫師週班表!$C$5:$T$44,$CU19,T$57),"")))))))</f>
        <v/>
      </c>
      <c r="U19" s="72">
        <f>IF(U$59="X","",IF(U$59&lt;&gt;"",U$59,IF(IFERROR(INDEX(醫師週班表!$C$5:$T$44,$CU19,U$57),"")=0,"",IF(MID(IFERROR(INDEX(醫師週班表!$C$5:$T$44,$CU19,U$57),""),2,1)="/",MID(IFERROR(INDEX(醫師週班表!$C$5:$T$44,$CU19,U$57),""),1+U$58*2,1),IF(MID(IFERROR(INDEX(醫師週班表!$C$5:$T$44,$CU19,U$57),""),3,1)="隔",IF(U$58=0,LEFT(IFERROR(INDEX(醫師週班表!$C$5:$T$44,$CU19,U$57),""),1),""),IF(MID(IFERROR(INDEX(醫師週班表!$C$5:$T$44,$CU19,U$57),""),2,1)="(",LEFT(IFERROR(INDEX(醫師週班表!$C$5:$T$44,$CU19,U$57),""),1),IFERROR(INDEX(醫師週班表!$C$5:$T$44,$CU19,U$57),"")))))))</f>
        <v/>
      </c>
      <c r="V19" s="72">
        <f>IF(V$59="X","",IF(V$59&lt;&gt;"",V$59,IF(IFERROR(INDEX(醫師週班表!$C$5:$T$44,$CU19,V$57),"")=0,"",IF(MID(IFERROR(INDEX(醫師週班表!$C$5:$T$44,$CU19,V$57),""),2,1)="/",MID(IFERROR(INDEX(醫師週班表!$C$5:$T$44,$CU19,V$57),""),1+V$58*2,1),IF(MID(IFERROR(INDEX(醫師週班表!$C$5:$T$44,$CU19,V$57),""),3,1)="隔",IF(V$58=0,LEFT(IFERROR(INDEX(醫師週班表!$C$5:$T$44,$CU19,V$57),""),1),""),IF(MID(IFERROR(INDEX(醫師週班表!$C$5:$T$44,$CU19,V$57),""),2,1)="(",LEFT(IFERROR(INDEX(醫師週班表!$C$5:$T$44,$CU19,V$57),""),1),IFERROR(INDEX(醫師週班表!$C$5:$T$44,$CU19,V$57),"")))))))</f>
        <v/>
      </c>
      <c r="W19" s="71">
        <f>IF(W$59="X","",IF(W$59&lt;&gt;"",W$59,IF(IFERROR(INDEX(醫師週班表!$C$5:$T$44,$CU19,W$57),"")=0,"",IF(MID(IFERROR(INDEX(醫師週班表!$C$5:$T$44,$CU19,W$57),""),2,1)="/",MID(IFERROR(INDEX(醫師週班表!$C$5:$T$44,$CU19,W$57),""),1+W$58*2,1),IF(MID(IFERROR(INDEX(醫師週班表!$C$5:$T$44,$CU19,W$57),""),3,1)="隔",IF(W$58=0,LEFT(IFERROR(INDEX(醫師週班表!$C$5:$T$44,$CU19,W$57),""),1),""),IF(MID(IFERROR(INDEX(醫師週班表!$C$5:$T$44,$CU19,W$57),""),2,1)="(",LEFT(IFERROR(INDEX(醫師週班表!$C$5:$T$44,$CU19,W$57),""),1),IFERROR(INDEX(醫師週班表!$C$5:$T$44,$CU19,W$57),"")))))))</f>
        <v/>
      </c>
      <c r="X19" s="72">
        <f>IF(X$59="X","",IF(X$59&lt;&gt;"",X$59,IF(IFERROR(INDEX(醫師週班表!$C$5:$T$44,$CU19,X$57),"")=0,"",IF(MID(IFERROR(INDEX(醫師週班表!$C$5:$T$44,$CU19,X$57),""),2,1)="/",MID(IFERROR(INDEX(醫師週班表!$C$5:$T$44,$CU19,X$57),""),1+X$58*2,1),IF(MID(IFERROR(INDEX(醫師週班表!$C$5:$T$44,$CU19,X$57),""),3,1)="隔",IF(X$58=0,LEFT(IFERROR(INDEX(醫師週班表!$C$5:$T$44,$CU19,X$57),""),1),""),IF(MID(IFERROR(INDEX(醫師週班表!$C$5:$T$44,$CU19,X$57),""),2,1)="(",LEFT(IFERROR(INDEX(醫師週班表!$C$5:$T$44,$CU19,X$57),""),1),IFERROR(INDEX(醫師週班表!$C$5:$T$44,$CU19,X$57),"")))))))</f>
        <v/>
      </c>
      <c r="Y19" s="72">
        <f>IF(Y$59="X","",IF(Y$59&lt;&gt;"",Y$59,IF(IFERROR(INDEX(醫師週班表!$C$5:$T$44,$CU19,Y$57),"")=0,"",IF(MID(IFERROR(INDEX(醫師週班表!$C$5:$T$44,$CU19,Y$57),""),2,1)="/",MID(IFERROR(INDEX(醫師週班表!$C$5:$T$44,$CU19,Y$57),""),1+Y$58*2,1),IF(MID(IFERROR(INDEX(醫師週班表!$C$5:$T$44,$CU19,Y$57),""),3,1)="隔",IF(Y$58=0,LEFT(IFERROR(INDEX(醫師週班表!$C$5:$T$44,$CU19,Y$57),""),1),""),IF(MID(IFERROR(INDEX(醫師週班表!$C$5:$T$44,$CU19,Y$57),""),2,1)="(",LEFT(IFERROR(INDEX(醫師週班表!$C$5:$T$44,$CU19,Y$57),""),1),IFERROR(INDEX(醫師週班表!$C$5:$T$44,$CU19,Y$57),"")))))))</f>
        <v/>
      </c>
      <c r="Z19" s="71">
        <f>IF(Z$59="X","",IF(Z$59&lt;&gt;"",Z$59,IF(IFERROR(INDEX(醫師週班表!$C$5:$T$44,$CU19,Z$57),"")=0,"",IF(MID(IFERROR(INDEX(醫師週班表!$C$5:$T$44,$CU19,Z$57),""),2,1)="/",MID(IFERROR(INDEX(醫師週班表!$C$5:$T$44,$CU19,Z$57),""),1+Z$58*2,1),IF(MID(IFERROR(INDEX(醫師週班表!$C$5:$T$44,$CU19,Z$57),""),3,1)="隔",IF(Z$58=0,LEFT(IFERROR(INDEX(醫師週班表!$C$5:$T$44,$CU19,Z$57),""),1),""),IF(MID(IFERROR(INDEX(醫師週班表!$C$5:$T$44,$CU19,Z$57),""),2,1)="(",LEFT(IFERROR(INDEX(醫師週班表!$C$5:$T$44,$CU19,Z$57),""),1),IFERROR(INDEX(醫師週班表!$C$5:$T$44,$CU19,Z$57),"")))))))</f>
        <v/>
      </c>
      <c r="AA19" s="72">
        <f>IF(AA$59="X","",IF(AA$59&lt;&gt;"",AA$59,IF(IFERROR(INDEX(醫師週班表!$C$5:$T$44,$CU19,AA$57),"")=0,"",IF(MID(IFERROR(INDEX(醫師週班表!$C$5:$T$44,$CU19,AA$57),""),2,1)="/",MID(IFERROR(INDEX(醫師週班表!$C$5:$T$44,$CU19,AA$57),""),1+AA$58*2,1),IF(MID(IFERROR(INDEX(醫師週班表!$C$5:$T$44,$CU19,AA$57),""),3,1)="隔",IF(AA$58=0,LEFT(IFERROR(INDEX(醫師週班表!$C$5:$T$44,$CU19,AA$57),""),1),""),IF(MID(IFERROR(INDEX(醫師週班表!$C$5:$T$44,$CU19,AA$57),""),2,1)="(",LEFT(IFERROR(INDEX(醫師週班表!$C$5:$T$44,$CU19,AA$57),""),1),IFERROR(INDEX(醫師週班表!$C$5:$T$44,$CU19,AA$57),"")))))))</f>
        <v/>
      </c>
      <c r="AB19" s="72">
        <f>IF(AB$59="X","",IF(AB$59&lt;&gt;"",AB$59,IF(IFERROR(INDEX(醫師週班表!$C$5:$T$44,$CU19,AB$57),"")=0,"",IF(MID(IFERROR(INDEX(醫師週班表!$C$5:$T$44,$CU19,AB$57),""),2,1)="/",MID(IFERROR(INDEX(醫師週班表!$C$5:$T$44,$CU19,AB$57),""),1+AB$58*2,1),IF(MID(IFERROR(INDEX(醫師週班表!$C$5:$T$44,$CU19,AB$57),""),3,1)="隔",IF(AB$58=0,LEFT(IFERROR(INDEX(醫師週班表!$C$5:$T$44,$CU19,AB$57),""),1),""),IF(MID(IFERROR(INDEX(醫師週班表!$C$5:$T$44,$CU19,AB$57),""),2,1)="(",LEFT(IFERROR(INDEX(醫師週班表!$C$5:$T$44,$CU19,AB$57),""),1),IFERROR(INDEX(醫師週班表!$C$5:$T$44,$CU19,AB$57),"")))))))</f>
        <v/>
      </c>
      <c r="AC19" s="71">
        <f>IF(AC$59="X","",IF(AC$59&lt;&gt;"",AC$59,IF(IFERROR(INDEX(醫師週班表!$C$5:$T$44,$CU19,AC$57),"")=0,"",IF(MID(IFERROR(INDEX(醫師週班表!$C$5:$T$44,$CU19,AC$57),""),2,1)="/",MID(IFERROR(INDEX(醫師週班表!$C$5:$T$44,$CU19,AC$57),""),1+AC$58*2,1),IF(MID(IFERROR(INDEX(醫師週班表!$C$5:$T$44,$CU19,AC$57),""),3,1)="隔",IF(AC$58=0,LEFT(IFERROR(INDEX(醫師週班表!$C$5:$T$44,$CU19,AC$57),""),1),""),IF(MID(IFERROR(INDEX(醫師週班表!$C$5:$T$44,$CU19,AC$57),""),2,1)="(",LEFT(IFERROR(INDEX(醫師週班表!$C$5:$T$44,$CU19,AC$57),""),1),IFERROR(INDEX(醫師週班表!$C$5:$T$44,$CU19,AC$57),"")))))))</f>
        <v/>
      </c>
      <c r="AD19" s="72">
        <f>IF(AD$59="X","",IF(AD$59&lt;&gt;"",AD$59,IF(IFERROR(INDEX(醫師週班表!$C$5:$T$44,$CU19,AD$57),"")=0,"",IF(MID(IFERROR(INDEX(醫師週班表!$C$5:$T$44,$CU19,AD$57),""),2,1)="/",MID(IFERROR(INDEX(醫師週班表!$C$5:$T$44,$CU19,AD$57),""),1+AD$58*2,1),IF(MID(IFERROR(INDEX(醫師週班表!$C$5:$T$44,$CU19,AD$57),""),3,1)="隔",IF(AD$58=0,LEFT(IFERROR(INDEX(醫師週班表!$C$5:$T$44,$CU19,AD$57),""),1),""),IF(MID(IFERROR(INDEX(醫師週班表!$C$5:$T$44,$CU19,AD$57),""),2,1)="(",LEFT(IFERROR(INDEX(醫師週班表!$C$5:$T$44,$CU19,AD$57),""),1),IFERROR(INDEX(醫師週班表!$C$5:$T$44,$CU19,AD$57),"")))))))</f>
        <v/>
      </c>
      <c r="AE19" s="72">
        <f>IF(AE$59="X","",IF(AE$59&lt;&gt;"",AE$59,IF(IFERROR(INDEX(醫師週班表!$C$5:$T$44,$CU19,AE$57),"")=0,"",IF(MID(IFERROR(INDEX(醫師週班表!$C$5:$T$44,$CU19,AE$57),""),2,1)="/",MID(IFERROR(INDEX(醫師週班表!$C$5:$T$44,$CU19,AE$57),""),1+AE$58*2,1),IF(MID(IFERROR(INDEX(醫師週班表!$C$5:$T$44,$CU19,AE$57),""),3,1)="隔",IF(AE$58=0,LEFT(IFERROR(INDEX(醫師週班表!$C$5:$T$44,$CU19,AE$57),""),1),""),IF(MID(IFERROR(INDEX(醫師週班表!$C$5:$T$44,$CU19,AE$57),""),2,1)="(",LEFT(IFERROR(INDEX(醫師週班表!$C$5:$T$44,$CU19,AE$57),""),1),IFERROR(INDEX(醫師週班表!$C$5:$T$44,$CU19,AE$57),"")))))))</f>
        <v/>
      </c>
      <c r="AF19" s="71">
        <f>IF(AF$59="X","",IF(AF$59&lt;&gt;"",AF$59,IF(IFERROR(INDEX(醫師週班表!$C$5:$T$44,$CU19,AF$57),"")=0,"",IF(MID(IFERROR(INDEX(醫師週班表!$C$5:$T$44,$CU19,AF$57),""),2,1)="/",MID(IFERROR(INDEX(醫師週班表!$C$5:$T$44,$CU19,AF$57),""),1+AF$58*2,1),IF(MID(IFERROR(INDEX(醫師週班表!$C$5:$T$44,$CU19,AF$57),""),3,1)="隔",IF(AF$58=0,LEFT(IFERROR(INDEX(醫師週班表!$C$5:$T$44,$CU19,AF$57),""),1),""),IF(MID(IFERROR(INDEX(醫師週班表!$C$5:$T$44,$CU19,AF$57),""),2,1)="(",LEFT(IFERROR(INDEX(醫師週班表!$C$5:$T$44,$CU19,AF$57),""),1),IFERROR(INDEX(醫師週班表!$C$5:$T$44,$CU19,AF$57),"")))))))</f>
        <v/>
      </c>
      <c r="AG19" s="72">
        <f>IF(AG$59="X","",IF(AG$59&lt;&gt;"",AG$59,IF(IFERROR(INDEX(醫師週班表!$C$5:$T$44,$CU19,AG$57),"")=0,"",IF(MID(IFERROR(INDEX(醫師週班表!$C$5:$T$44,$CU19,AG$57),""),2,1)="/",MID(IFERROR(INDEX(醫師週班表!$C$5:$T$44,$CU19,AG$57),""),1+AG$58*2,1),IF(MID(IFERROR(INDEX(醫師週班表!$C$5:$T$44,$CU19,AG$57),""),3,1)="隔",IF(AG$58=0,LEFT(IFERROR(INDEX(醫師週班表!$C$5:$T$44,$CU19,AG$57),""),1),""),IF(MID(IFERROR(INDEX(醫師週班表!$C$5:$T$44,$CU19,AG$57),""),2,1)="(",LEFT(IFERROR(INDEX(醫師週班表!$C$5:$T$44,$CU19,AG$57),""),1),IFERROR(INDEX(醫師週班表!$C$5:$T$44,$CU19,AG$57),"")))))))</f>
        <v/>
      </c>
      <c r="AH19" s="72">
        <f>IF(AH$59="X","",IF(AH$59&lt;&gt;"",AH$59,IF(IFERROR(INDEX(醫師週班表!$C$5:$T$44,$CU19,AH$57),"")=0,"",IF(MID(IFERROR(INDEX(醫師週班表!$C$5:$T$44,$CU19,AH$57),""),2,1)="/",MID(IFERROR(INDEX(醫師週班表!$C$5:$T$44,$CU19,AH$57),""),1+AH$58*2,1),IF(MID(IFERROR(INDEX(醫師週班表!$C$5:$T$44,$CU19,AH$57),""),3,1)="隔",IF(AH$58=0,LEFT(IFERROR(INDEX(醫師週班表!$C$5:$T$44,$CU19,AH$57),""),1),""),IF(MID(IFERROR(INDEX(醫師週班表!$C$5:$T$44,$CU19,AH$57),""),2,1)="(",LEFT(IFERROR(INDEX(醫師週班表!$C$5:$T$44,$CU19,AH$57),""),1),IFERROR(INDEX(醫師週班表!$C$5:$T$44,$CU19,AH$57),"")))))))</f>
        <v/>
      </c>
      <c r="AI19" s="71">
        <f>IF(AI$59="X","",IF(AI$59&lt;&gt;"",AI$59,IF(IFERROR(INDEX(醫師週班表!$C$5:$T$44,$CU19,AI$57),"")=0,"",IF(MID(IFERROR(INDEX(醫師週班表!$C$5:$T$44,$CU19,AI$57),""),2,1)="/",MID(IFERROR(INDEX(醫師週班表!$C$5:$T$44,$CU19,AI$57),""),1+AI$58*2,1),IF(MID(IFERROR(INDEX(醫師週班表!$C$5:$T$44,$CU19,AI$57),""),3,1)="隔",IF(AI$58=0,LEFT(IFERROR(INDEX(醫師週班表!$C$5:$T$44,$CU19,AI$57),""),1),""),IF(MID(IFERROR(INDEX(醫師週班表!$C$5:$T$44,$CU19,AI$57),""),2,1)="(",LEFT(IFERROR(INDEX(醫師週班表!$C$5:$T$44,$CU19,AI$57),""),1),IFERROR(INDEX(醫師週班表!$C$5:$T$44,$CU19,AI$57),"")))))))</f>
        <v/>
      </c>
      <c r="AJ19" s="72">
        <f>IF(AJ$59="X","",IF(AJ$59&lt;&gt;"",AJ$59,IF(IFERROR(INDEX(醫師週班表!$C$5:$T$44,$CU19,AJ$57),"")=0,"",IF(MID(IFERROR(INDEX(醫師週班表!$C$5:$T$44,$CU19,AJ$57),""),2,1)="/",MID(IFERROR(INDEX(醫師週班表!$C$5:$T$44,$CU19,AJ$57),""),1+AJ$58*2,1),IF(MID(IFERROR(INDEX(醫師週班表!$C$5:$T$44,$CU19,AJ$57),""),3,1)="隔",IF(AJ$58=0,LEFT(IFERROR(INDEX(醫師週班表!$C$5:$T$44,$CU19,AJ$57),""),1),""),IF(MID(IFERROR(INDEX(醫師週班表!$C$5:$T$44,$CU19,AJ$57),""),2,1)="(",LEFT(IFERROR(INDEX(醫師週班表!$C$5:$T$44,$CU19,AJ$57),""),1),IFERROR(INDEX(醫師週班表!$C$5:$T$44,$CU19,AJ$57),"")))))))</f>
        <v/>
      </c>
      <c r="AK19" s="72">
        <f>IF(AK$59="X","",IF(AK$59&lt;&gt;"",AK$59,IF(IFERROR(INDEX(醫師週班表!$C$5:$T$44,$CU19,AK$57),"")=0,"",IF(MID(IFERROR(INDEX(醫師週班表!$C$5:$T$44,$CU19,AK$57),""),2,1)="/",MID(IFERROR(INDEX(醫師週班表!$C$5:$T$44,$CU19,AK$57),""),1+AK$58*2,1),IF(MID(IFERROR(INDEX(醫師週班表!$C$5:$T$44,$CU19,AK$57),""),3,1)="隔",IF(AK$58=0,LEFT(IFERROR(INDEX(醫師週班表!$C$5:$T$44,$CU19,AK$57),""),1),""),IF(MID(IFERROR(INDEX(醫師週班表!$C$5:$T$44,$CU19,AK$57),""),2,1)="(",LEFT(IFERROR(INDEX(醫師週班表!$C$5:$T$44,$CU19,AK$57),""),1),IFERROR(INDEX(醫師週班表!$C$5:$T$44,$CU19,AK$57),"")))))))</f>
        <v/>
      </c>
      <c r="AL19" s="71">
        <f>IF(AL$59="X","",IF(AL$59&lt;&gt;"",AL$59,IF(IFERROR(INDEX(醫師週班表!$C$5:$T$44,$CU19,AL$57),"")=0,"",IF(MID(IFERROR(INDEX(醫師週班表!$C$5:$T$44,$CU19,AL$57),""),2,1)="/",MID(IFERROR(INDEX(醫師週班表!$C$5:$T$44,$CU19,AL$57),""),1+AL$58*2,1),IF(MID(IFERROR(INDEX(醫師週班表!$C$5:$T$44,$CU19,AL$57),""),3,1)="隔",IF(AL$58=0,LEFT(IFERROR(INDEX(醫師週班表!$C$5:$T$44,$CU19,AL$57),""),1),""),IF(MID(IFERROR(INDEX(醫師週班表!$C$5:$T$44,$CU19,AL$57),""),2,1)="(",LEFT(IFERROR(INDEX(醫師週班表!$C$5:$T$44,$CU19,AL$57),""),1),IFERROR(INDEX(醫師週班表!$C$5:$T$44,$CU19,AL$57),"")))))))</f>
        <v/>
      </c>
      <c r="AM19" s="72">
        <f>IF(AM$59="X","",IF(AM$59&lt;&gt;"",AM$59,IF(IFERROR(INDEX(醫師週班表!$C$5:$T$44,$CU19,AM$57),"")=0,"",IF(MID(IFERROR(INDEX(醫師週班表!$C$5:$T$44,$CU19,AM$57),""),2,1)="/",MID(IFERROR(INDEX(醫師週班表!$C$5:$T$44,$CU19,AM$57),""),1+AM$58*2,1),IF(MID(IFERROR(INDEX(醫師週班表!$C$5:$T$44,$CU19,AM$57),""),3,1)="隔",IF(AM$58=0,LEFT(IFERROR(INDEX(醫師週班表!$C$5:$T$44,$CU19,AM$57),""),1),""),IF(MID(IFERROR(INDEX(醫師週班表!$C$5:$T$44,$CU19,AM$57),""),2,1)="(",LEFT(IFERROR(INDEX(醫師週班表!$C$5:$T$44,$CU19,AM$57),""),1),IFERROR(INDEX(醫師週班表!$C$5:$T$44,$CU19,AM$57),"")))))))</f>
        <v/>
      </c>
      <c r="AN19" s="72">
        <f>IF(AN$59="X","",IF(AN$59&lt;&gt;"",AN$59,IF(IFERROR(INDEX(醫師週班表!$C$5:$T$44,$CU19,AN$57),"")=0,"",IF(MID(IFERROR(INDEX(醫師週班表!$C$5:$T$44,$CU19,AN$57),""),2,1)="/",MID(IFERROR(INDEX(醫師週班表!$C$5:$T$44,$CU19,AN$57),""),1+AN$58*2,1),IF(MID(IFERROR(INDEX(醫師週班表!$C$5:$T$44,$CU19,AN$57),""),3,1)="隔",IF(AN$58=0,LEFT(IFERROR(INDEX(醫師週班表!$C$5:$T$44,$CU19,AN$57),""),1),""),IF(MID(IFERROR(INDEX(醫師週班表!$C$5:$T$44,$CU19,AN$57),""),2,1)="(",LEFT(IFERROR(INDEX(醫師週班表!$C$5:$T$44,$CU19,AN$57),""),1),IFERROR(INDEX(醫師週班表!$C$5:$T$44,$CU19,AN$57),"")))))))</f>
        <v/>
      </c>
      <c r="AO19" s="71">
        <f>IF(AO$59="X","",IF(AO$59&lt;&gt;"",AO$59,IF(IFERROR(INDEX(醫師週班表!$C$5:$T$44,$CU19,AO$57),"")=0,"",IF(MID(IFERROR(INDEX(醫師週班表!$C$5:$T$44,$CU19,AO$57),""),2,1)="/",MID(IFERROR(INDEX(醫師週班表!$C$5:$T$44,$CU19,AO$57),""),1+AO$58*2,1),IF(MID(IFERROR(INDEX(醫師週班表!$C$5:$T$44,$CU19,AO$57),""),3,1)="隔",IF(AO$58=0,LEFT(IFERROR(INDEX(醫師週班表!$C$5:$T$44,$CU19,AO$57),""),1),""),IF(MID(IFERROR(INDEX(醫師週班表!$C$5:$T$44,$CU19,AO$57),""),2,1)="(",LEFT(IFERROR(INDEX(醫師週班表!$C$5:$T$44,$CU19,AO$57),""),1),IFERROR(INDEX(醫師週班表!$C$5:$T$44,$CU19,AO$57),"")))))))</f>
        <v/>
      </c>
      <c r="AP19" s="72">
        <f>IF(AP$59="X","",IF(AP$59&lt;&gt;"",AP$59,IF(IFERROR(INDEX(醫師週班表!$C$5:$T$44,$CU19,AP$57),"")=0,"",IF(MID(IFERROR(INDEX(醫師週班表!$C$5:$T$44,$CU19,AP$57),""),2,1)="/",MID(IFERROR(INDEX(醫師週班表!$C$5:$T$44,$CU19,AP$57),""),1+AP$58*2,1),IF(MID(IFERROR(INDEX(醫師週班表!$C$5:$T$44,$CU19,AP$57),""),3,1)="隔",IF(AP$58=0,LEFT(IFERROR(INDEX(醫師週班表!$C$5:$T$44,$CU19,AP$57),""),1),""),IF(MID(IFERROR(INDEX(醫師週班表!$C$5:$T$44,$CU19,AP$57),""),2,1)="(",LEFT(IFERROR(INDEX(醫師週班表!$C$5:$T$44,$CU19,AP$57),""),1),IFERROR(INDEX(醫師週班表!$C$5:$T$44,$CU19,AP$57),"")))))))</f>
        <v/>
      </c>
      <c r="AQ19" s="72">
        <f>IF(AQ$59="X","",IF(AQ$59&lt;&gt;"",AQ$59,IF(IFERROR(INDEX(醫師週班表!$C$5:$T$44,$CU19,AQ$57),"")=0,"",IF(MID(IFERROR(INDEX(醫師週班表!$C$5:$T$44,$CU19,AQ$57),""),2,1)="/",MID(IFERROR(INDEX(醫師週班表!$C$5:$T$44,$CU19,AQ$57),""),1+AQ$58*2,1),IF(MID(IFERROR(INDEX(醫師週班表!$C$5:$T$44,$CU19,AQ$57),""),3,1)="隔",IF(AQ$58=0,LEFT(IFERROR(INDEX(醫師週班表!$C$5:$T$44,$CU19,AQ$57),""),1),""),IF(MID(IFERROR(INDEX(醫師週班表!$C$5:$T$44,$CU19,AQ$57),""),2,1)="(",LEFT(IFERROR(INDEX(醫師週班表!$C$5:$T$44,$CU19,AQ$57),""),1),IFERROR(INDEX(醫師週班表!$C$5:$T$44,$CU19,AQ$57),"")))))))</f>
        <v/>
      </c>
      <c r="AR19" s="71">
        <f>IF(AR$59="X","",IF(AR$59&lt;&gt;"",AR$59,IF(IFERROR(INDEX(醫師週班表!$C$5:$T$44,$CU19,AR$57),"")=0,"",IF(MID(IFERROR(INDEX(醫師週班表!$C$5:$T$44,$CU19,AR$57),""),2,1)="/",MID(IFERROR(INDEX(醫師週班表!$C$5:$T$44,$CU19,AR$57),""),1+AR$58*2,1),IF(MID(IFERROR(INDEX(醫師週班表!$C$5:$T$44,$CU19,AR$57),""),3,1)="隔",IF(AR$58=0,LEFT(IFERROR(INDEX(醫師週班表!$C$5:$T$44,$CU19,AR$57),""),1),""),IF(MID(IFERROR(INDEX(醫師週班表!$C$5:$T$44,$CU19,AR$57),""),2,1)="(",LEFT(IFERROR(INDEX(醫師週班表!$C$5:$T$44,$CU19,AR$57),""),1),IFERROR(INDEX(醫師週班表!$C$5:$T$44,$CU19,AR$57),"")))))))</f>
        <v/>
      </c>
      <c r="AS19" s="72">
        <f>IF(AS$59="X","",IF(AS$59&lt;&gt;"",AS$59,IF(IFERROR(INDEX(醫師週班表!$C$5:$T$44,$CU19,AS$57),"")=0,"",IF(MID(IFERROR(INDEX(醫師週班表!$C$5:$T$44,$CU19,AS$57),""),2,1)="/",MID(IFERROR(INDEX(醫師週班表!$C$5:$T$44,$CU19,AS$57),""),1+AS$58*2,1),IF(MID(IFERROR(INDEX(醫師週班表!$C$5:$T$44,$CU19,AS$57),""),3,1)="隔",IF(AS$58=0,LEFT(IFERROR(INDEX(醫師週班表!$C$5:$T$44,$CU19,AS$57),""),1),""),IF(MID(IFERROR(INDEX(醫師週班表!$C$5:$T$44,$CU19,AS$57),""),2,1)="(",LEFT(IFERROR(INDEX(醫師週班表!$C$5:$T$44,$CU19,AS$57),""),1),IFERROR(INDEX(醫師週班表!$C$5:$T$44,$CU19,AS$57),"")))))))</f>
        <v/>
      </c>
      <c r="AT19" s="72">
        <f>IF(AT$59="X","",IF(AT$59&lt;&gt;"",AT$59,IF(IFERROR(INDEX(醫師週班表!$C$5:$T$44,$CU19,AT$57),"")=0,"",IF(MID(IFERROR(INDEX(醫師週班表!$C$5:$T$44,$CU19,AT$57),""),2,1)="/",MID(IFERROR(INDEX(醫師週班表!$C$5:$T$44,$CU19,AT$57),""),1+AT$58*2,1),IF(MID(IFERROR(INDEX(醫師週班表!$C$5:$T$44,$CU19,AT$57),""),3,1)="隔",IF(AT$58=0,LEFT(IFERROR(INDEX(醫師週班表!$C$5:$T$44,$CU19,AT$57),""),1),""),IF(MID(IFERROR(INDEX(醫師週班表!$C$5:$T$44,$CU19,AT$57),""),2,1)="(",LEFT(IFERROR(INDEX(醫師週班表!$C$5:$T$44,$CU19,AT$57),""),1),IFERROR(INDEX(醫師週班表!$C$5:$T$44,$CU19,AT$57),"")))))))</f>
        <v/>
      </c>
      <c r="AU19" s="71">
        <f>IF(AU$59="X","",IF(AU$59&lt;&gt;"",AU$59,IF(IFERROR(INDEX(醫師週班表!$C$5:$T$44,$CU19,AU$57),"")=0,"",IF(MID(IFERROR(INDEX(醫師週班表!$C$5:$T$44,$CU19,AU$57),""),2,1)="/",MID(IFERROR(INDEX(醫師週班表!$C$5:$T$44,$CU19,AU$57),""),1+AU$58*2,1),IF(MID(IFERROR(INDEX(醫師週班表!$C$5:$T$44,$CU19,AU$57),""),3,1)="隔",IF(AU$58=0,LEFT(IFERROR(INDEX(醫師週班表!$C$5:$T$44,$CU19,AU$57),""),1),""),IF(MID(IFERROR(INDEX(醫師週班表!$C$5:$T$44,$CU19,AU$57),""),2,1)="(",LEFT(IFERROR(INDEX(醫師週班表!$C$5:$T$44,$CU19,AU$57),""),1),IFERROR(INDEX(醫師週班表!$C$5:$T$44,$CU19,AU$57),"")))))))</f>
        <v/>
      </c>
      <c r="AV19" s="72">
        <f>IF(AV$59="X","",IF(AV$59&lt;&gt;"",AV$59,IF(IFERROR(INDEX(醫師週班表!$C$5:$T$44,$CU19,AV$57),"")=0,"",IF(MID(IFERROR(INDEX(醫師週班表!$C$5:$T$44,$CU19,AV$57),""),2,1)="/",MID(IFERROR(INDEX(醫師週班表!$C$5:$T$44,$CU19,AV$57),""),1+AV$58*2,1),IF(MID(IFERROR(INDEX(醫師週班表!$C$5:$T$44,$CU19,AV$57),""),3,1)="隔",IF(AV$58=0,LEFT(IFERROR(INDEX(醫師週班表!$C$5:$T$44,$CU19,AV$57),""),1),""),IF(MID(IFERROR(INDEX(醫師週班表!$C$5:$T$44,$CU19,AV$57),""),2,1)="(",LEFT(IFERROR(INDEX(醫師週班表!$C$5:$T$44,$CU19,AV$57),""),1),IFERROR(INDEX(醫師週班表!$C$5:$T$44,$CU19,AV$57),"")))))))</f>
        <v/>
      </c>
      <c r="AW19" s="72">
        <f>IF(AW$59="X","",IF(AW$59&lt;&gt;"",AW$59,IF(IFERROR(INDEX(醫師週班表!$C$5:$T$44,$CU19,AW$57),"")=0,"",IF(MID(IFERROR(INDEX(醫師週班表!$C$5:$T$44,$CU19,AW$57),""),2,1)="/",MID(IFERROR(INDEX(醫師週班表!$C$5:$T$44,$CU19,AW$57),""),1+AW$58*2,1),IF(MID(IFERROR(INDEX(醫師週班表!$C$5:$T$44,$CU19,AW$57),""),3,1)="隔",IF(AW$58=0,LEFT(IFERROR(INDEX(醫師週班表!$C$5:$T$44,$CU19,AW$57),""),1),""),IF(MID(IFERROR(INDEX(醫師週班表!$C$5:$T$44,$CU19,AW$57),""),2,1)="(",LEFT(IFERROR(INDEX(醫師週班表!$C$5:$T$44,$CU19,AW$57),""),1),IFERROR(INDEX(醫師週班表!$C$5:$T$44,$CU19,AW$57),"")))))))</f>
        <v/>
      </c>
      <c r="AX19" s="71">
        <f>IF(AX$59="X","",IF(AX$59&lt;&gt;"",AX$59,IF(IFERROR(INDEX(醫師週班表!$C$5:$T$44,$CU19,AX$57),"")=0,"",IF(MID(IFERROR(INDEX(醫師週班表!$C$5:$T$44,$CU19,AX$57),""),2,1)="/",MID(IFERROR(INDEX(醫師週班表!$C$5:$T$44,$CU19,AX$57),""),1+AX$58*2,1),IF(MID(IFERROR(INDEX(醫師週班表!$C$5:$T$44,$CU19,AX$57),""),3,1)="隔",IF(AX$58=0,LEFT(IFERROR(INDEX(醫師週班表!$C$5:$T$44,$CU19,AX$57),""),1),""),IF(MID(IFERROR(INDEX(醫師週班表!$C$5:$T$44,$CU19,AX$57),""),2,1)="(",LEFT(IFERROR(INDEX(醫師週班表!$C$5:$T$44,$CU19,AX$57),""),1),IFERROR(INDEX(醫師週班表!$C$5:$T$44,$CU19,AX$57),"")))))))</f>
        <v/>
      </c>
      <c r="AY19" s="72">
        <f>IF(AY$59="X","",IF(AY$59&lt;&gt;"",AY$59,IF(IFERROR(INDEX(醫師週班表!$C$5:$T$44,$CU19,AY$57),"")=0,"",IF(MID(IFERROR(INDEX(醫師週班表!$C$5:$T$44,$CU19,AY$57),""),2,1)="/",MID(IFERROR(INDEX(醫師週班表!$C$5:$T$44,$CU19,AY$57),""),1+AY$58*2,1),IF(MID(IFERROR(INDEX(醫師週班表!$C$5:$T$44,$CU19,AY$57),""),3,1)="隔",IF(AY$58=0,LEFT(IFERROR(INDEX(醫師週班表!$C$5:$T$44,$CU19,AY$57),""),1),""),IF(MID(IFERROR(INDEX(醫師週班表!$C$5:$T$44,$CU19,AY$57),""),2,1)="(",LEFT(IFERROR(INDEX(醫師週班表!$C$5:$T$44,$CU19,AY$57),""),1),IFERROR(INDEX(醫師週班表!$C$5:$T$44,$CU19,AY$57),"")))))))</f>
        <v/>
      </c>
      <c r="AZ19" s="72">
        <f>IF(AZ$59="X","",IF(AZ$59&lt;&gt;"",AZ$59,IF(IFERROR(INDEX(醫師週班表!$C$5:$T$44,$CU19,AZ$57),"")=0,"",IF(MID(IFERROR(INDEX(醫師週班表!$C$5:$T$44,$CU19,AZ$57),""),2,1)="/",MID(IFERROR(INDEX(醫師週班表!$C$5:$T$44,$CU19,AZ$57),""),1+AZ$58*2,1),IF(MID(IFERROR(INDEX(醫師週班表!$C$5:$T$44,$CU19,AZ$57),""),3,1)="隔",IF(AZ$58=0,LEFT(IFERROR(INDEX(醫師週班表!$C$5:$T$44,$CU19,AZ$57),""),1),""),IF(MID(IFERROR(INDEX(醫師週班表!$C$5:$T$44,$CU19,AZ$57),""),2,1)="(",LEFT(IFERROR(INDEX(醫師週班表!$C$5:$T$44,$CU19,AZ$57),""),1),IFERROR(INDEX(醫師週班表!$C$5:$T$44,$CU19,AZ$57),"")))))))</f>
        <v/>
      </c>
      <c r="BA19" s="71">
        <f>IF(BA$59="X","",IF(BA$59&lt;&gt;"",BA$59,IF(IFERROR(INDEX(醫師週班表!$C$5:$T$44,$CU19,BA$57),"")=0,"",IF(MID(IFERROR(INDEX(醫師週班表!$C$5:$T$44,$CU19,BA$57),""),2,1)="/",MID(IFERROR(INDEX(醫師週班表!$C$5:$T$44,$CU19,BA$57),""),1+BA$58*2,1),IF(MID(IFERROR(INDEX(醫師週班表!$C$5:$T$44,$CU19,BA$57),""),3,1)="隔",IF(BA$58=0,LEFT(IFERROR(INDEX(醫師週班表!$C$5:$T$44,$CU19,BA$57),""),1),""),IF(MID(IFERROR(INDEX(醫師週班表!$C$5:$T$44,$CU19,BA$57),""),2,1)="(",LEFT(IFERROR(INDEX(醫師週班表!$C$5:$T$44,$CU19,BA$57),""),1),IFERROR(INDEX(醫師週班表!$C$5:$T$44,$CU19,BA$57),"")))))))</f>
        <v/>
      </c>
      <c r="BB19" s="72">
        <f>IF(BB$59="X","",IF(BB$59&lt;&gt;"",BB$59,IF(IFERROR(INDEX(醫師週班表!$C$5:$T$44,$CU19,BB$57),"")=0,"",IF(MID(IFERROR(INDEX(醫師週班表!$C$5:$T$44,$CU19,BB$57),""),2,1)="/",MID(IFERROR(INDEX(醫師週班表!$C$5:$T$44,$CU19,BB$57),""),1+BB$58*2,1),IF(MID(IFERROR(INDEX(醫師週班表!$C$5:$T$44,$CU19,BB$57),""),3,1)="隔",IF(BB$58=0,LEFT(IFERROR(INDEX(醫師週班表!$C$5:$T$44,$CU19,BB$57),""),1),""),IF(MID(IFERROR(INDEX(醫師週班表!$C$5:$T$44,$CU19,BB$57),""),2,1)="(",LEFT(IFERROR(INDEX(醫師週班表!$C$5:$T$44,$CU19,BB$57),""),1),IFERROR(INDEX(醫師週班表!$C$5:$T$44,$CU19,BB$57),"")))))))</f>
        <v/>
      </c>
      <c r="BC19" s="72">
        <f>IF(BC$59="X","",IF(BC$59&lt;&gt;"",BC$59,IF(IFERROR(INDEX(醫師週班表!$C$5:$T$44,$CU19,BC$57),"")=0,"",IF(MID(IFERROR(INDEX(醫師週班表!$C$5:$T$44,$CU19,BC$57),""),2,1)="/",MID(IFERROR(INDEX(醫師週班表!$C$5:$T$44,$CU19,BC$57),""),1+BC$58*2,1),IF(MID(IFERROR(INDEX(醫師週班表!$C$5:$T$44,$CU19,BC$57),""),3,1)="隔",IF(BC$58=0,LEFT(IFERROR(INDEX(醫師週班表!$C$5:$T$44,$CU19,BC$57),""),1),""),IF(MID(IFERROR(INDEX(醫師週班表!$C$5:$T$44,$CU19,BC$57),""),2,1)="(",LEFT(IFERROR(INDEX(醫師週班表!$C$5:$T$44,$CU19,BC$57),""),1),IFERROR(INDEX(醫師週班表!$C$5:$T$44,$CU19,BC$57),"")))))))</f>
        <v/>
      </c>
      <c r="BD19" s="71">
        <f>IF(BD$59="X","",IF(BD$59&lt;&gt;"",BD$59,IF(IFERROR(INDEX(醫師週班表!$C$5:$T$44,$CU19,BD$57),"")=0,"",IF(MID(IFERROR(INDEX(醫師週班表!$C$5:$T$44,$CU19,BD$57),""),2,1)="/",MID(IFERROR(INDEX(醫師週班表!$C$5:$T$44,$CU19,BD$57),""),1+BD$58*2,1),IF(MID(IFERROR(INDEX(醫師週班表!$C$5:$T$44,$CU19,BD$57),""),3,1)="隔",IF(BD$58=0,LEFT(IFERROR(INDEX(醫師週班表!$C$5:$T$44,$CU19,BD$57),""),1),""),IF(MID(IFERROR(INDEX(醫師週班表!$C$5:$T$44,$CU19,BD$57),""),2,1)="(",LEFT(IFERROR(INDEX(醫師週班表!$C$5:$T$44,$CU19,BD$57),""),1),IFERROR(INDEX(醫師週班表!$C$5:$T$44,$CU19,BD$57),"")))))))</f>
        <v/>
      </c>
      <c r="BE19" s="72">
        <f>IF(BE$59="X","",IF(BE$59&lt;&gt;"",BE$59,IF(IFERROR(INDEX(醫師週班表!$C$5:$T$44,$CU19,BE$57),"")=0,"",IF(MID(IFERROR(INDEX(醫師週班表!$C$5:$T$44,$CU19,BE$57),""),2,1)="/",MID(IFERROR(INDEX(醫師週班表!$C$5:$T$44,$CU19,BE$57),""),1+BE$58*2,1),IF(MID(IFERROR(INDEX(醫師週班表!$C$5:$T$44,$CU19,BE$57),""),3,1)="隔",IF(BE$58=0,LEFT(IFERROR(INDEX(醫師週班表!$C$5:$T$44,$CU19,BE$57),""),1),""),IF(MID(IFERROR(INDEX(醫師週班表!$C$5:$T$44,$CU19,BE$57),""),2,1)="(",LEFT(IFERROR(INDEX(醫師週班表!$C$5:$T$44,$CU19,BE$57),""),1),IFERROR(INDEX(醫師週班表!$C$5:$T$44,$CU19,BE$57),"")))))))</f>
        <v/>
      </c>
      <c r="BF19" s="72">
        <f>IF(BF$59="X","",IF(BF$59&lt;&gt;"",BF$59,IF(IFERROR(INDEX(醫師週班表!$C$5:$T$44,$CU19,BF$57),"")=0,"",IF(MID(IFERROR(INDEX(醫師週班表!$C$5:$T$44,$CU19,BF$57),""),2,1)="/",MID(IFERROR(INDEX(醫師週班表!$C$5:$T$44,$CU19,BF$57),""),1+BF$58*2,1),IF(MID(IFERROR(INDEX(醫師週班表!$C$5:$T$44,$CU19,BF$57),""),3,1)="隔",IF(BF$58=0,LEFT(IFERROR(INDEX(醫師週班表!$C$5:$T$44,$CU19,BF$57),""),1),""),IF(MID(IFERROR(INDEX(醫師週班表!$C$5:$T$44,$CU19,BF$57),""),2,1)="(",LEFT(IFERROR(INDEX(醫師週班表!$C$5:$T$44,$CU19,BF$57),""),1),IFERROR(INDEX(醫師週班表!$C$5:$T$44,$CU19,BF$57),"")))))))</f>
        <v/>
      </c>
      <c r="BG19" s="71">
        <f>IF(BG$59="X","",IF(BG$59&lt;&gt;"",BG$59,IF(IFERROR(INDEX(醫師週班表!$C$5:$T$44,$CU19,BG$57),"")=0,"",IF(MID(IFERROR(INDEX(醫師週班表!$C$5:$T$44,$CU19,BG$57),""),2,1)="/",MID(IFERROR(INDEX(醫師週班表!$C$5:$T$44,$CU19,BG$57),""),1+BG$58*2,1),IF(MID(IFERROR(INDEX(醫師週班表!$C$5:$T$44,$CU19,BG$57),""),3,1)="隔",IF(BG$58=0,LEFT(IFERROR(INDEX(醫師週班表!$C$5:$T$44,$CU19,BG$57),""),1),""),IF(MID(IFERROR(INDEX(醫師週班表!$C$5:$T$44,$CU19,BG$57),""),2,1)="(",LEFT(IFERROR(INDEX(醫師週班表!$C$5:$T$44,$CU19,BG$57),""),1),IFERROR(INDEX(醫師週班表!$C$5:$T$44,$CU19,BG$57),"")))))))</f>
        <v/>
      </c>
      <c r="BH19" s="72">
        <f>IF(BH$59="X","",IF(BH$59&lt;&gt;"",BH$59,IF(IFERROR(INDEX(醫師週班表!$C$5:$T$44,$CU19,BH$57),"")=0,"",IF(MID(IFERROR(INDEX(醫師週班表!$C$5:$T$44,$CU19,BH$57),""),2,1)="/",MID(IFERROR(INDEX(醫師週班表!$C$5:$T$44,$CU19,BH$57),""),1+BH$58*2,1),IF(MID(IFERROR(INDEX(醫師週班表!$C$5:$T$44,$CU19,BH$57),""),3,1)="隔",IF(BH$58=0,LEFT(IFERROR(INDEX(醫師週班表!$C$5:$T$44,$CU19,BH$57),""),1),""),IF(MID(IFERROR(INDEX(醫師週班表!$C$5:$T$44,$CU19,BH$57),""),2,1)="(",LEFT(IFERROR(INDEX(醫師週班表!$C$5:$T$44,$CU19,BH$57),""),1),IFERROR(INDEX(醫師週班表!$C$5:$T$44,$CU19,BH$57),"")))))))</f>
        <v/>
      </c>
      <c r="BI19" s="72">
        <f>IF(BI$59="X","",IF(BI$59&lt;&gt;"",BI$59,IF(IFERROR(INDEX(醫師週班表!$C$5:$T$44,$CU19,BI$57),"")=0,"",IF(MID(IFERROR(INDEX(醫師週班表!$C$5:$T$44,$CU19,BI$57),""),2,1)="/",MID(IFERROR(INDEX(醫師週班表!$C$5:$T$44,$CU19,BI$57),""),1+BI$58*2,1),IF(MID(IFERROR(INDEX(醫師週班表!$C$5:$T$44,$CU19,BI$57),""),3,1)="隔",IF(BI$58=0,LEFT(IFERROR(INDEX(醫師週班表!$C$5:$T$44,$CU19,BI$57),""),1),""),IF(MID(IFERROR(INDEX(醫師週班表!$C$5:$T$44,$CU19,BI$57),""),2,1)="(",LEFT(IFERROR(INDEX(醫師週班表!$C$5:$T$44,$CU19,BI$57),""),1),IFERROR(INDEX(醫師週班表!$C$5:$T$44,$CU19,BI$57),"")))))))</f>
        <v/>
      </c>
      <c r="BJ19" s="71">
        <f>IF(BJ$59="X","",IF(BJ$59&lt;&gt;"",BJ$59,IF(IFERROR(INDEX(醫師週班表!$C$5:$T$44,$CU19,BJ$57),"")=0,"",IF(MID(IFERROR(INDEX(醫師週班表!$C$5:$T$44,$CU19,BJ$57),""),2,1)="/",MID(IFERROR(INDEX(醫師週班表!$C$5:$T$44,$CU19,BJ$57),""),1+BJ$58*2,1),IF(MID(IFERROR(INDEX(醫師週班表!$C$5:$T$44,$CU19,BJ$57),""),3,1)="隔",IF(BJ$58=0,LEFT(IFERROR(INDEX(醫師週班表!$C$5:$T$44,$CU19,BJ$57),""),1),""),IF(MID(IFERROR(INDEX(醫師週班表!$C$5:$T$44,$CU19,BJ$57),""),2,1)="(",LEFT(IFERROR(INDEX(醫師週班表!$C$5:$T$44,$CU19,BJ$57),""),1),IFERROR(INDEX(醫師週班表!$C$5:$T$44,$CU19,BJ$57),"")))))))</f>
        <v/>
      </c>
      <c r="BK19" s="72">
        <f>IF(BK$59="X","",IF(BK$59&lt;&gt;"",BK$59,IF(IFERROR(INDEX(醫師週班表!$C$5:$T$44,$CU19,BK$57),"")=0,"",IF(MID(IFERROR(INDEX(醫師週班表!$C$5:$T$44,$CU19,BK$57),""),2,1)="/",MID(IFERROR(INDEX(醫師週班表!$C$5:$T$44,$CU19,BK$57),""),1+BK$58*2,1),IF(MID(IFERROR(INDEX(醫師週班表!$C$5:$T$44,$CU19,BK$57),""),3,1)="隔",IF(BK$58=0,LEFT(IFERROR(INDEX(醫師週班表!$C$5:$T$44,$CU19,BK$57),""),1),""),IF(MID(IFERROR(INDEX(醫師週班表!$C$5:$T$44,$CU19,BK$57),""),2,1)="(",LEFT(IFERROR(INDEX(醫師週班表!$C$5:$T$44,$CU19,BK$57),""),1),IFERROR(INDEX(醫師週班表!$C$5:$T$44,$CU19,BK$57),"")))))))</f>
        <v/>
      </c>
      <c r="BL19" s="72">
        <f>IF(BL$59="X","",IF(BL$59&lt;&gt;"",BL$59,IF(IFERROR(INDEX(醫師週班表!$C$5:$T$44,$CU19,BL$57),"")=0,"",IF(MID(IFERROR(INDEX(醫師週班表!$C$5:$T$44,$CU19,BL$57),""),2,1)="/",MID(IFERROR(INDEX(醫師週班表!$C$5:$T$44,$CU19,BL$57),""),1+BL$58*2,1),IF(MID(IFERROR(INDEX(醫師週班表!$C$5:$T$44,$CU19,BL$57),""),3,1)="隔",IF(BL$58=0,LEFT(IFERROR(INDEX(醫師週班表!$C$5:$T$44,$CU19,BL$57),""),1),""),IF(MID(IFERROR(INDEX(醫師週班表!$C$5:$T$44,$CU19,BL$57),""),2,1)="(",LEFT(IFERROR(INDEX(醫師週班表!$C$5:$T$44,$CU19,BL$57),""),1),IFERROR(INDEX(醫師週班表!$C$5:$T$44,$CU19,BL$57),"")))))))</f>
        <v/>
      </c>
      <c r="BM19" s="71">
        <f>IF(BM$59="X","",IF(BM$59&lt;&gt;"",BM$59,IF(IFERROR(INDEX(醫師週班表!$C$5:$T$44,$CU19,BM$57),"")=0,"",IF(MID(IFERROR(INDEX(醫師週班表!$C$5:$T$44,$CU19,BM$57),""),2,1)="/",MID(IFERROR(INDEX(醫師週班表!$C$5:$T$44,$CU19,BM$57),""),1+BM$58*2,1),IF(MID(IFERROR(INDEX(醫師週班表!$C$5:$T$44,$CU19,BM$57),""),3,1)="隔",IF(BM$58=0,LEFT(IFERROR(INDEX(醫師週班表!$C$5:$T$44,$CU19,BM$57),""),1),""),IF(MID(IFERROR(INDEX(醫師週班表!$C$5:$T$44,$CU19,BM$57),""),2,1)="(",LEFT(IFERROR(INDEX(醫師週班表!$C$5:$T$44,$CU19,BM$57),""),1),IFERROR(INDEX(醫師週班表!$C$5:$T$44,$CU19,BM$57),"")))))))</f>
        <v/>
      </c>
      <c r="BN19" s="72">
        <f>IF(BN$59="X","",IF(BN$59&lt;&gt;"",BN$59,IF(IFERROR(INDEX(醫師週班表!$C$5:$T$44,$CU19,BN$57),"")=0,"",IF(MID(IFERROR(INDEX(醫師週班表!$C$5:$T$44,$CU19,BN$57),""),2,1)="/",MID(IFERROR(INDEX(醫師週班表!$C$5:$T$44,$CU19,BN$57),""),1+BN$58*2,1),IF(MID(IFERROR(INDEX(醫師週班表!$C$5:$T$44,$CU19,BN$57),""),3,1)="隔",IF(BN$58=0,LEFT(IFERROR(INDEX(醫師週班表!$C$5:$T$44,$CU19,BN$57),""),1),""),IF(MID(IFERROR(INDEX(醫師週班表!$C$5:$T$44,$CU19,BN$57),""),2,1)="(",LEFT(IFERROR(INDEX(醫師週班表!$C$5:$T$44,$CU19,BN$57),""),1),IFERROR(INDEX(醫師週班表!$C$5:$T$44,$CU19,BN$57),"")))))))</f>
        <v/>
      </c>
      <c r="BO19" s="72">
        <f>IF(BO$59="X","",IF(BO$59&lt;&gt;"",BO$59,IF(IFERROR(INDEX(醫師週班表!$C$5:$T$44,$CU19,BO$57),"")=0,"",IF(MID(IFERROR(INDEX(醫師週班表!$C$5:$T$44,$CU19,BO$57),""),2,1)="/",MID(IFERROR(INDEX(醫師週班表!$C$5:$T$44,$CU19,BO$57),""),1+BO$58*2,1),IF(MID(IFERROR(INDEX(醫師週班表!$C$5:$T$44,$CU19,BO$57),""),3,1)="隔",IF(BO$58=0,LEFT(IFERROR(INDEX(醫師週班表!$C$5:$T$44,$CU19,BO$57),""),1),""),IF(MID(IFERROR(INDEX(醫師週班表!$C$5:$T$44,$CU19,BO$57),""),2,1)="(",LEFT(IFERROR(INDEX(醫師週班表!$C$5:$T$44,$CU19,BO$57),""),1),IFERROR(INDEX(醫師週班表!$C$5:$T$44,$CU19,BO$57),"")))))))</f>
        <v/>
      </c>
      <c r="BP19" s="71">
        <f>IF(BP$59="X","",IF(BP$59&lt;&gt;"",BP$59,IF(IFERROR(INDEX(醫師週班表!$C$5:$T$44,$CU19,BP$57),"")=0,"",IF(MID(IFERROR(INDEX(醫師週班表!$C$5:$T$44,$CU19,BP$57),""),2,1)="/",MID(IFERROR(INDEX(醫師週班表!$C$5:$T$44,$CU19,BP$57),""),1+BP$58*2,1),IF(MID(IFERROR(INDEX(醫師週班表!$C$5:$T$44,$CU19,BP$57),""),3,1)="隔",IF(BP$58=0,LEFT(IFERROR(INDEX(醫師週班表!$C$5:$T$44,$CU19,BP$57),""),1),""),IF(MID(IFERROR(INDEX(醫師週班表!$C$5:$T$44,$CU19,BP$57),""),2,1)="(",LEFT(IFERROR(INDEX(醫師週班表!$C$5:$T$44,$CU19,BP$57),""),1),IFERROR(INDEX(醫師週班表!$C$5:$T$44,$CU19,BP$57),"")))))))</f>
        <v/>
      </c>
      <c r="BQ19" s="72">
        <f>IF(BQ$59="X","",IF(BQ$59&lt;&gt;"",BQ$59,IF(IFERROR(INDEX(醫師週班表!$C$5:$T$44,$CU19,BQ$57),"")=0,"",IF(MID(IFERROR(INDEX(醫師週班表!$C$5:$T$44,$CU19,BQ$57),""),2,1)="/",MID(IFERROR(INDEX(醫師週班表!$C$5:$T$44,$CU19,BQ$57),""),1+BQ$58*2,1),IF(MID(IFERROR(INDEX(醫師週班表!$C$5:$T$44,$CU19,BQ$57),""),3,1)="隔",IF(BQ$58=0,LEFT(IFERROR(INDEX(醫師週班表!$C$5:$T$44,$CU19,BQ$57),""),1),""),IF(MID(IFERROR(INDEX(醫師週班表!$C$5:$T$44,$CU19,BQ$57),""),2,1)="(",LEFT(IFERROR(INDEX(醫師週班表!$C$5:$T$44,$CU19,BQ$57),""),1),IFERROR(INDEX(醫師週班表!$C$5:$T$44,$CU19,BQ$57),"")))))))</f>
        <v/>
      </c>
      <c r="BR19" s="72">
        <f>IF(BR$59="X","",IF(BR$59&lt;&gt;"",BR$59,IF(IFERROR(INDEX(醫師週班表!$C$5:$T$44,$CU19,BR$57),"")=0,"",IF(MID(IFERROR(INDEX(醫師週班表!$C$5:$T$44,$CU19,BR$57),""),2,1)="/",MID(IFERROR(INDEX(醫師週班表!$C$5:$T$44,$CU19,BR$57),""),1+BR$58*2,1),IF(MID(IFERROR(INDEX(醫師週班表!$C$5:$T$44,$CU19,BR$57),""),3,1)="隔",IF(BR$58=0,LEFT(IFERROR(INDEX(醫師週班表!$C$5:$T$44,$CU19,BR$57),""),1),""),IF(MID(IFERROR(INDEX(醫師週班表!$C$5:$T$44,$CU19,BR$57),""),2,1)="(",LEFT(IFERROR(INDEX(醫師週班表!$C$5:$T$44,$CU19,BR$57),""),1),IFERROR(INDEX(醫師週班表!$C$5:$T$44,$CU19,BR$57),"")))))))</f>
        <v/>
      </c>
      <c r="BS19" s="71">
        <f>IF(BS$59="X","",IF(BS$59&lt;&gt;"",BS$59,IF(IFERROR(INDEX(醫師週班表!$C$5:$T$44,$CU19,BS$57),"")=0,"",IF(MID(IFERROR(INDEX(醫師週班表!$C$5:$T$44,$CU19,BS$57),""),2,1)="/",MID(IFERROR(INDEX(醫師週班表!$C$5:$T$44,$CU19,BS$57),""),1+BS$58*2,1),IF(MID(IFERROR(INDEX(醫師週班表!$C$5:$T$44,$CU19,BS$57),""),3,1)="隔",IF(BS$58=0,LEFT(IFERROR(INDEX(醫師週班表!$C$5:$T$44,$CU19,BS$57),""),1),""),IF(MID(IFERROR(INDEX(醫師週班表!$C$5:$T$44,$CU19,BS$57),""),2,1)="(",LEFT(IFERROR(INDEX(醫師週班表!$C$5:$T$44,$CU19,BS$57),""),1),IFERROR(INDEX(醫師週班表!$C$5:$T$44,$CU19,BS$57),"")))))))</f>
        <v/>
      </c>
      <c r="BT19" s="72">
        <f>IF(BT$59="X","",IF(BT$59&lt;&gt;"",BT$59,IF(IFERROR(INDEX(醫師週班表!$C$5:$T$44,$CU19,BT$57),"")=0,"",IF(MID(IFERROR(INDEX(醫師週班表!$C$5:$T$44,$CU19,BT$57),""),2,1)="/",MID(IFERROR(INDEX(醫師週班表!$C$5:$T$44,$CU19,BT$57),""),1+BT$58*2,1),IF(MID(IFERROR(INDEX(醫師週班表!$C$5:$T$44,$CU19,BT$57),""),3,1)="隔",IF(BT$58=0,LEFT(IFERROR(INDEX(醫師週班表!$C$5:$T$44,$CU19,BT$57),""),1),""),IF(MID(IFERROR(INDEX(醫師週班表!$C$5:$T$44,$CU19,BT$57),""),2,1)="(",LEFT(IFERROR(INDEX(醫師週班表!$C$5:$T$44,$CU19,BT$57),""),1),IFERROR(INDEX(醫師週班表!$C$5:$T$44,$CU19,BT$57),"")))))))</f>
        <v/>
      </c>
      <c r="BU19" s="72">
        <f>IF(BU$59="X","",IF(BU$59&lt;&gt;"",BU$59,IF(IFERROR(INDEX(醫師週班表!$C$5:$T$44,$CU19,BU$57),"")=0,"",IF(MID(IFERROR(INDEX(醫師週班表!$C$5:$T$44,$CU19,BU$57),""),2,1)="/",MID(IFERROR(INDEX(醫師週班表!$C$5:$T$44,$CU19,BU$57),""),1+BU$58*2,1),IF(MID(IFERROR(INDEX(醫師週班表!$C$5:$T$44,$CU19,BU$57),""),3,1)="隔",IF(BU$58=0,LEFT(IFERROR(INDEX(醫師週班表!$C$5:$T$44,$CU19,BU$57),""),1),""),IF(MID(IFERROR(INDEX(醫師週班表!$C$5:$T$44,$CU19,BU$57),""),2,1)="(",LEFT(IFERROR(INDEX(醫師週班表!$C$5:$T$44,$CU19,BU$57),""),1),IFERROR(INDEX(醫師週班表!$C$5:$T$44,$CU19,BU$57),"")))))))</f>
        <v/>
      </c>
      <c r="BV19" s="71">
        <f>IF(BV$59="X","",IF(BV$59&lt;&gt;"",BV$59,IF(IFERROR(INDEX(醫師週班表!$C$5:$T$44,$CU19,BV$57),"")=0,"",IF(MID(IFERROR(INDEX(醫師週班表!$C$5:$T$44,$CU19,BV$57),""),2,1)="/",MID(IFERROR(INDEX(醫師週班表!$C$5:$T$44,$CU19,BV$57),""),1+BV$58*2,1),IF(MID(IFERROR(INDEX(醫師週班表!$C$5:$T$44,$CU19,BV$57),""),3,1)="隔",IF(BV$58=0,LEFT(IFERROR(INDEX(醫師週班表!$C$5:$T$44,$CU19,BV$57),""),1),""),IF(MID(IFERROR(INDEX(醫師週班表!$C$5:$T$44,$CU19,BV$57),""),2,1)="(",LEFT(IFERROR(INDEX(醫師週班表!$C$5:$T$44,$CU19,BV$57),""),1),IFERROR(INDEX(醫師週班表!$C$5:$T$44,$CU19,BV$57),"")))))))</f>
        <v/>
      </c>
      <c r="BW19" s="72">
        <f>IF(BW$59="X","",IF(BW$59&lt;&gt;"",BW$59,IF(IFERROR(INDEX(醫師週班表!$C$5:$T$44,$CU19,BW$57),"")=0,"",IF(MID(IFERROR(INDEX(醫師週班表!$C$5:$T$44,$CU19,BW$57),""),2,1)="/",MID(IFERROR(INDEX(醫師週班表!$C$5:$T$44,$CU19,BW$57),""),1+BW$58*2,1),IF(MID(IFERROR(INDEX(醫師週班表!$C$5:$T$44,$CU19,BW$57),""),3,1)="隔",IF(BW$58=0,LEFT(IFERROR(INDEX(醫師週班表!$C$5:$T$44,$CU19,BW$57),""),1),""),IF(MID(IFERROR(INDEX(醫師週班表!$C$5:$T$44,$CU19,BW$57),""),2,1)="(",LEFT(IFERROR(INDEX(醫師週班表!$C$5:$T$44,$CU19,BW$57),""),1),IFERROR(INDEX(醫師週班表!$C$5:$T$44,$CU19,BW$57),"")))))))</f>
        <v/>
      </c>
      <c r="BX19" s="72">
        <f>IF(BX$59="X","",IF(BX$59&lt;&gt;"",BX$59,IF(IFERROR(INDEX(醫師週班表!$C$5:$T$44,$CU19,BX$57),"")=0,"",IF(MID(IFERROR(INDEX(醫師週班表!$C$5:$T$44,$CU19,BX$57),""),2,1)="/",MID(IFERROR(INDEX(醫師週班表!$C$5:$T$44,$CU19,BX$57),""),1+BX$58*2,1),IF(MID(IFERROR(INDEX(醫師週班表!$C$5:$T$44,$CU19,BX$57),""),3,1)="隔",IF(BX$58=0,LEFT(IFERROR(INDEX(醫師週班表!$C$5:$T$44,$CU19,BX$57),""),1),""),IF(MID(IFERROR(INDEX(醫師週班表!$C$5:$T$44,$CU19,BX$57),""),2,1)="(",LEFT(IFERROR(INDEX(醫師週班表!$C$5:$T$44,$CU19,BX$57),""),1),IFERROR(INDEX(醫師週班表!$C$5:$T$44,$CU19,BX$57),"")))))))</f>
        <v/>
      </c>
      <c r="BY19" s="71">
        <f>IF(BY$59="X","",IF(BY$59&lt;&gt;"",BY$59,IF(IFERROR(INDEX(醫師週班表!$C$5:$T$44,$CU19,BY$57),"")=0,"",IF(MID(IFERROR(INDEX(醫師週班表!$C$5:$T$44,$CU19,BY$57),""),2,1)="/",MID(IFERROR(INDEX(醫師週班表!$C$5:$T$44,$CU19,BY$57),""),1+BY$58*2,1),IF(MID(IFERROR(INDEX(醫師週班表!$C$5:$T$44,$CU19,BY$57),""),3,1)="隔",IF(BY$58=0,LEFT(IFERROR(INDEX(醫師週班表!$C$5:$T$44,$CU19,BY$57),""),1),""),IF(MID(IFERROR(INDEX(醫師週班表!$C$5:$T$44,$CU19,BY$57),""),2,1)="(",LEFT(IFERROR(INDEX(醫師週班表!$C$5:$T$44,$CU19,BY$57),""),1),IFERROR(INDEX(醫師週班表!$C$5:$T$44,$CU19,BY$57),"")))))))</f>
        <v/>
      </c>
      <c r="BZ19" s="72">
        <f>IF(BZ$59="X","",IF(BZ$59&lt;&gt;"",BZ$59,IF(IFERROR(INDEX(醫師週班表!$C$5:$T$44,$CU19,BZ$57),"")=0,"",IF(MID(IFERROR(INDEX(醫師週班表!$C$5:$T$44,$CU19,BZ$57),""),2,1)="/",MID(IFERROR(INDEX(醫師週班表!$C$5:$T$44,$CU19,BZ$57),""),1+BZ$58*2,1),IF(MID(IFERROR(INDEX(醫師週班表!$C$5:$T$44,$CU19,BZ$57),""),3,1)="隔",IF(BZ$58=0,LEFT(IFERROR(INDEX(醫師週班表!$C$5:$T$44,$CU19,BZ$57),""),1),""),IF(MID(IFERROR(INDEX(醫師週班表!$C$5:$T$44,$CU19,BZ$57),""),2,1)="(",LEFT(IFERROR(INDEX(醫師週班表!$C$5:$T$44,$CU19,BZ$57),""),1),IFERROR(INDEX(醫師週班表!$C$5:$T$44,$CU19,BZ$57),"")))))))</f>
        <v/>
      </c>
      <c r="CA19" s="72">
        <f>IF(CA$59="X","",IF(CA$59&lt;&gt;"",CA$59,IF(IFERROR(INDEX(醫師週班表!$C$5:$T$44,$CU19,CA$57),"")=0,"",IF(MID(IFERROR(INDEX(醫師週班表!$C$5:$T$44,$CU19,CA$57),""),2,1)="/",MID(IFERROR(INDEX(醫師週班表!$C$5:$T$44,$CU19,CA$57),""),1+CA$58*2,1),IF(MID(IFERROR(INDEX(醫師週班表!$C$5:$T$44,$CU19,CA$57),""),3,1)="隔",IF(CA$58=0,LEFT(IFERROR(INDEX(醫師週班表!$C$5:$T$44,$CU19,CA$57),""),1),""),IF(MID(IFERROR(INDEX(醫師週班表!$C$5:$T$44,$CU19,CA$57),""),2,1)="(",LEFT(IFERROR(INDEX(醫師週班表!$C$5:$T$44,$CU19,CA$57),""),1),IFERROR(INDEX(醫師週班表!$C$5:$T$44,$CU19,CA$57),"")))))))</f>
        <v/>
      </c>
      <c r="CB19" s="71">
        <f>IF(CB$59="X","",IF(CB$59&lt;&gt;"",CB$59,IF(IFERROR(INDEX(醫師週班表!$C$5:$T$44,$CU19,CB$57),"")=0,"",IF(MID(IFERROR(INDEX(醫師週班表!$C$5:$T$44,$CU19,CB$57),""),2,1)="/",MID(IFERROR(INDEX(醫師週班表!$C$5:$T$44,$CU19,CB$57),""),1+CB$58*2,1),IF(MID(IFERROR(INDEX(醫師週班表!$C$5:$T$44,$CU19,CB$57),""),3,1)="隔",IF(CB$58=0,LEFT(IFERROR(INDEX(醫師週班表!$C$5:$T$44,$CU19,CB$57),""),1),""),IF(MID(IFERROR(INDEX(醫師週班表!$C$5:$T$44,$CU19,CB$57),""),2,1)="(",LEFT(IFERROR(INDEX(醫師週班表!$C$5:$T$44,$CU19,CB$57),""),1),IFERROR(INDEX(醫師週班表!$C$5:$T$44,$CU19,CB$57),"")))))))</f>
        <v/>
      </c>
      <c r="CC19" s="72">
        <f>IF(CC$59="X","",IF(CC$59&lt;&gt;"",CC$59,IF(IFERROR(INDEX(醫師週班表!$C$5:$T$44,$CU19,CC$57),"")=0,"",IF(MID(IFERROR(INDEX(醫師週班表!$C$5:$T$44,$CU19,CC$57),""),2,1)="/",MID(IFERROR(INDEX(醫師週班表!$C$5:$T$44,$CU19,CC$57),""),1+CC$58*2,1),IF(MID(IFERROR(INDEX(醫師週班表!$C$5:$T$44,$CU19,CC$57),""),3,1)="隔",IF(CC$58=0,LEFT(IFERROR(INDEX(醫師週班表!$C$5:$T$44,$CU19,CC$57),""),1),""),IF(MID(IFERROR(INDEX(醫師週班表!$C$5:$T$44,$CU19,CC$57),""),2,1)="(",LEFT(IFERROR(INDEX(醫師週班表!$C$5:$T$44,$CU19,CC$57),""),1),IFERROR(INDEX(醫師週班表!$C$5:$T$44,$CU19,CC$57),"")))))))</f>
        <v/>
      </c>
      <c r="CD19" s="72">
        <f>IF(CD$59="X","",IF(CD$59&lt;&gt;"",CD$59,IF(IFERROR(INDEX(醫師週班表!$C$5:$T$44,$CU19,CD$57),"")=0,"",IF(MID(IFERROR(INDEX(醫師週班表!$C$5:$T$44,$CU19,CD$57),""),2,1)="/",MID(IFERROR(INDEX(醫師週班表!$C$5:$T$44,$CU19,CD$57),""),1+CD$58*2,1),IF(MID(IFERROR(INDEX(醫師週班表!$C$5:$T$44,$CU19,CD$57),""),3,1)="隔",IF(CD$58=0,LEFT(IFERROR(INDEX(醫師週班表!$C$5:$T$44,$CU19,CD$57),""),1),""),IF(MID(IFERROR(INDEX(醫師週班表!$C$5:$T$44,$CU19,CD$57),""),2,1)="(",LEFT(IFERROR(INDEX(醫師週班表!$C$5:$T$44,$CU19,CD$57),""),1),IFERROR(INDEX(醫師週班表!$C$5:$T$44,$CU19,CD$57),"")))))))</f>
        <v/>
      </c>
      <c r="CE19" s="71">
        <f>IF(CE$59="X","",IF(CE$59&lt;&gt;"",CE$59,IF(IFERROR(INDEX(醫師週班表!$C$5:$T$44,$CU19,CE$57),"")=0,"",IF(MID(IFERROR(INDEX(醫師週班表!$C$5:$T$44,$CU19,CE$57),""),2,1)="/",MID(IFERROR(INDEX(醫師週班表!$C$5:$T$44,$CU19,CE$57),""),1+CE$58*2,1),IF(MID(IFERROR(INDEX(醫師週班表!$C$5:$T$44,$CU19,CE$57),""),3,1)="隔",IF(CE$58=0,LEFT(IFERROR(INDEX(醫師週班表!$C$5:$T$44,$CU19,CE$57),""),1),""),IF(MID(IFERROR(INDEX(醫師週班表!$C$5:$T$44,$CU19,CE$57),""),2,1)="(",LEFT(IFERROR(INDEX(醫師週班表!$C$5:$T$44,$CU19,CE$57),""),1),IFERROR(INDEX(醫師週班表!$C$5:$T$44,$CU19,CE$57),"")))))))</f>
        <v/>
      </c>
      <c r="CF19" s="72">
        <f>IF(CF$59="X","",IF(CF$59&lt;&gt;"",CF$59,IF(IFERROR(INDEX(醫師週班表!$C$5:$T$44,$CU19,CF$57),"")=0,"",IF(MID(IFERROR(INDEX(醫師週班表!$C$5:$T$44,$CU19,CF$57),""),2,1)="/",MID(IFERROR(INDEX(醫師週班表!$C$5:$T$44,$CU19,CF$57),""),1+CF$58*2,1),IF(MID(IFERROR(INDEX(醫師週班表!$C$5:$T$44,$CU19,CF$57),""),3,1)="隔",IF(CF$58=0,LEFT(IFERROR(INDEX(醫師週班表!$C$5:$T$44,$CU19,CF$57),""),1),""),IF(MID(IFERROR(INDEX(醫師週班表!$C$5:$T$44,$CU19,CF$57),""),2,1)="(",LEFT(IFERROR(INDEX(醫師週班表!$C$5:$T$44,$CU19,CF$57),""),1),IFERROR(INDEX(醫師週班表!$C$5:$T$44,$CU19,CF$57),"")))))))</f>
        <v/>
      </c>
      <c r="CG19" s="72">
        <f>IF(CG$59="X","",IF(CG$59&lt;&gt;"",CG$59,IF(IFERROR(INDEX(醫師週班表!$C$5:$T$44,$CU19,CG$57),"")=0,"",IF(MID(IFERROR(INDEX(醫師週班表!$C$5:$T$44,$CU19,CG$57),""),2,1)="/",MID(IFERROR(INDEX(醫師週班表!$C$5:$T$44,$CU19,CG$57),""),1+CG$58*2,1),IF(MID(IFERROR(INDEX(醫師週班表!$C$5:$T$44,$CU19,CG$57),""),3,1)="隔",IF(CG$58=0,LEFT(IFERROR(INDEX(醫師週班表!$C$5:$T$44,$CU19,CG$57),""),1),""),IF(MID(IFERROR(INDEX(醫師週班表!$C$5:$T$44,$CU19,CG$57),""),2,1)="(",LEFT(IFERROR(INDEX(醫師週班表!$C$5:$T$44,$CU19,CG$57),""),1),IFERROR(INDEX(醫師週班表!$C$5:$T$44,$CU19,CG$57),"")))))))</f>
        <v/>
      </c>
      <c r="CH19" s="71">
        <f>IF(CH$59="X","",IF(CH$59&lt;&gt;"",CH$59,IF(IFERROR(INDEX(醫師週班表!$C$5:$T$44,$CU19,CH$57),"")=0,"",IF(MID(IFERROR(INDEX(醫師週班表!$C$5:$T$44,$CU19,CH$57),""),2,1)="/",MID(IFERROR(INDEX(醫師週班表!$C$5:$T$44,$CU19,CH$57),""),1+CH$58*2,1),IF(MID(IFERROR(INDEX(醫師週班表!$C$5:$T$44,$CU19,CH$57),""),3,1)="隔",IF(CH$58=0,LEFT(IFERROR(INDEX(醫師週班表!$C$5:$T$44,$CU19,CH$57),""),1),""),IF(MID(IFERROR(INDEX(醫師週班表!$C$5:$T$44,$CU19,CH$57),""),2,1)="(",LEFT(IFERROR(INDEX(醫師週班表!$C$5:$T$44,$CU19,CH$57),""),1),IFERROR(INDEX(醫師週班表!$C$5:$T$44,$CU19,CH$57),"")))))))</f>
        <v/>
      </c>
      <c r="CI19" s="72">
        <f>IF(CI$59="X","",IF(CI$59&lt;&gt;"",CI$59,IF(IFERROR(INDEX(醫師週班表!$C$5:$T$44,$CU19,CI$57),"")=0,"",IF(MID(IFERROR(INDEX(醫師週班表!$C$5:$T$44,$CU19,CI$57),""),2,1)="/",MID(IFERROR(INDEX(醫師週班表!$C$5:$T$44,$CU19,CI$57),""),1+CI$58*2,1),IF(MID(IFERROR(INDEX(醫師週班表!$C$5:$T$44,$CU19,CI$57),""),3,1)="隔",IF(CI$58=0,LEFT(IFERROR(INDEX(醫師週班表!$C$5:$T$44,$CU19,CI$57),""),1),""),IF(MID(IFERROR(INDEX(醫師週班表!$C$5:$T$44,$CU19,CI$57),""),2,1)="(",LEFT(IFERROR(INDEX(醫師週班表!$C$5:$T$44,$CU19,CI$57),""),1),IFERROR(INDEX(醫師週班表!$C$5:$T$44,$CU19,CI$57),"")))))))</f>
        <v/>
      </c>
      <c r="CJ19" s="72">
        <f>IF(CJ$59="X","",IF(CJ$59&lt;&gt;"",CJ$59,IF(IFERROR(INDEX(醫師週班表!$C$5:$T$44,$CU19,CJ$57),"")=0,"",IF(MID(IFERROR(INDEX(醫師週班表!$C$5:$T$44,$CU19,CJ$57),""),2,1)="/",MID(IFERROR(INDEX(醫師週班表!$C$5:$T$44,$CU19,CJ$57),""),1+CJ$58*2,1),IF(MID(IFERROR(INDEX(醫師週班表!$C$5:$T$44,$CU19,CJ$57),""),3,1)="隔",IF(CJ$58=0,LEFT(IFERROR(INDEX(醫師週班表!$C$5:$T$44,$CU19,CJ$57),""),1),""),IF(MID(IFERROR(INDEX(醫師週班表!$C$5:$T$44,$CU19,CJ$57),""),2,1)="(",LEFT(IFERROR(INDEX(醫師週班表!$C$5:$T$44,$CU19,CJ$57),""),1),IFERROR(INDEX(醫師週班表!$C$5:$T$44,$CU19,CJ$57),"")))))))</f>
        <v/>
      </c>
      <c r="CK19" s="71">
        <f>IF(CK$59="X","",IF(CK$59&lt;&gt;"",CK$59,IF(IFERROR(INDEX(醫師週班表!$C$5:$T$44,$CU19,CK$57),"")=0,"",IF(MID(IFERROR(INDEX(醫師週班表!$C$5:$T$44,$CU19,CK$57),""),2,1)="/",MID(IFERROR(INDEX(醫師週班表!$C$5:$T$44,$CU19,CK$57),""),1+CK$58*2,1),IF(MID(IFERROR(INDEX(醫師週班表!$C$5:$T$44,$CU19,CK$57),""),3,1)="隔",IF(CK$58=0,LEFT(IFERROR(INDEX(醫師週班表!$C$5:$T$44,$CU19,CK$57),""),1),""),IF(MID(IFERROR(INDEX(醫師週班表!$C$5:$T$44,$CU19,CK$57),""),2,1)="(",LEFT(IFERROR(INDEX(醫師週班表!$C$5:$T$44,$CU19,CK$57),""),1),IFERROR(INDEX(醫師週班表!$C$5:$T$44,$CU19,CK$57),"")))))))</f>
        <v/>
      </c>
      <c r="CL19" s="72">
        <f>IF(CL$59="X","",IF(CL$59&lt;&gt;"",CL$59,IF(IFERROR(INDEX(醫師週班表!$C$5:$T$44,$CU19,CL$57),"")=0,"",IF(MID(IFERROR(INDEX(醫師週班表!$C$5:$T$44,$CU19,CL$57),""),2,1)="/",MID(IFERROR(INDEX(醫師週班表!$C$5:$T$44,$CU19,CL$57),""),1+CL$58*2,1),IF(MID(IFERROR(INDEX(醫師週班表!$C$5:$T$44,$CU19,CL$57),""),3,1)="隔",IF(CL$58=0,LEFT(IFERROR(INDEX(醫師週班表!$C$5:$T$44,$CU19,CL$57),""),1),""),IF(MID(IFERROR(INDEX(醫師週班表!$C$5:$T$44,$CU19,CL$57),""),2,1)="(",LEFT(IFERROR(INDEX(醫師週班表!$C$5:$T$44,$CU19,CL$57),""),1),IFERROR(INDEX(醫師週班表!$C$5:$T$44,$CU19,CL$57),"")))))))</f>
        <v/>
      </c>
      <c r="CM19" s="72">
        <f>IF(CM$59="X","",IF(CM$59&lt;&gt;"",CM$59,IF(IFERROR(INDEX(醫師週班表!$C$5:$T$44,$CU19,CM$57),"")=0,"",IF(MID(IFERROR(INDEX(醫師週班表!$C$5:$T$44,$CU19,CM$57),""),2,1)="/",MID(IFERROR(INDEX(醫師週班表!$C$5:$T$44,$CU19,CM$57),""),1+CM$58*2,1),IF(MID(IFERROR(INDEX(醫師週班表!$C$5:$T$44,$CU19,CM$57),""),3,1)="隔",IF(CM$58=0,LEFT(IFERROR(INDEX(醫師週班表!$C$5:$T$44,$CU19,CM$57),""),1),""),IF(MID(IFERROR(INDEX(醫師週班表!$C$5:$T$44,$CU19,CM$57),""),2,1)="(",LEFT(IFERROR(INDEX(醫師週班表!$C$5:$T$44,$CU19,CM$57),""),1),IFERROR(INDEX(醫師週班表!$C$5:$T$44,$CU19,CM$57),"")))))))</f>
        <v/>
      </c>
      <c r="CN19" s="71">
        <f>IF(CN$59="X","",IF(CN$59&lt;&gt;"",CN$59,IF(IFERROR(INDEX(醫師週班表!$C$5:$T$44,$CU19,CN$57),"")=0,"",IF(MID(IFERROR(INDEX(醫師週班表!$C$5:$T$44,$CU19,CN$57),""),2,1)="/",MID(IFERROR(INDEX(醫師週班表!$C$5:$T$44,$CU19,CN$57),""),1+CN$58*2,1),IF(MID(IFERROR(INDEX(醫師週班表!$C$5:$T$44,$CU19,CN$57),""),3,1)="隔",IF(CN$58=0,LEFT(IFERROR(INDEX(醫師週班表!$C$5:$T$44,$CU19,CN$57),""),1),""),IF(MID(IFERROR(INDEX(醫師週班表!$C$5:$T$44,$CU19,CN$57),""),2,1)="(",LEFT(IFERROR(INDEX(醫師週班表!$C$5:$T$44,$CU19,CN$57),""),1),IFERROR(INDEX(醫師週班表!$C$5:$T$44,$CU19,CN$57),"")))))))</f>
        <v/>
      </c>
      <c r="CO19" s="72">
        <f>IF(CO$59="X","",IF(CO$59&lt;&gt;"",CO$59,IF(IFERROR(INDEX(醫師週班表!$C$5:$T$44,$CU19,CO$57),"")=0,"",IF(MID(IFERROR(INDEX(醫師週班表!$C$5:$T$44,$CU19,CO$57),""),2,1)="/",MID(IFERROR(INDEX(醫師週班表!$C$5:$T$44,$CU19,CO$57),""),1+CO$58*2,1),IF(MID(IFERROR(INDEX(醫師週班表!$C$5:$T$44,$CU19,CO$57),""),3,1)="隔",IF(CO$58=0,LEFT(IFERROR(INDEX(醫師週班表!$C$5:$T$44,$CU19,CO$57),""),1),""),IF(MID(IFERROR(INDEX(醫師週班表!$C$5:$T$44,$CU19,CO$57),""),2,1)="(",LEFT(IFERROR(INDEX(醫師週班表!$C$5:$T$44,$CU19,CO$57),""),1),IFERROR(INDEX(醫師週班表!$C$5:$T$44,$CU19,CO$57),"")))))))</f>
        <v/>
      </c>
      <c r="CP19" s="72">
        <f>IF(CP$59="X","",IF(CP$59&lt;&gt;"",CP$59,IF(IFERROR(INDEX(醫師週班表!$C$5:$T$44,$CU19,CP$57),"")=0,"",IF(MID(IFERROR(INDEX(醫師週班表!$C$5:$T$44,$CU19,CP$57),""),2,1)="/",MID(IFERROR(INDEX(醫師週班表!$C$5:$T$44,$CU19,CP$57),""),1+CP$58*2,1),IF(MID(IFERROR(INDEX(醫師週班表!$C$5:$T$44,$CU19,CP$57),""),3,1)="隔",IF(CP$58=0,LEFT(IFERROR(INDEX(醫師週班表!$C$5:$T$44,$CU19,CP$57),""),1),""),IF(MID(IFERROR(INDEX(醫師週班表!$C$5:$T$44,$CU19,CP$57),""),2,1)="(",LEFT(IFERROR(INDEX(醫師週班表!$C$5:$T$44,$CU19,CP$57),""),1),IFERROR(INDEX(醫師週班表!$C$5:$T$44,$CU19,CP$57),"")))))))</f>
        <v/>
      </c>
      <c r="CQ19" s="71">
        <f>IF(CQ$59="X","",IF(CQ$59&lt;&gt;"",CQ$59,IF(IFERROR(INDEX(醫師週班表!$C$5:$T$44,$CU19,CQ$57),"")=0,"",IF(MID(IFERROR(INDEX(醫師週班表!$C$5:$T$44,$CU19,CQ$57),""),2,1)="/",MID(IFERROR(INDEX(醫師週班表!$C$5:$T$44,$CU19,CQ$57),""),1+CQ$58*2,1),IF(MID(IFERROR(INDEX(醫師週班表!$C$5:$T$44,$CU19,CQ$57),""),3,1)="隔",IF(CQ$58=0,LEFT(IFERROR(INDEX(醫師週班表!$C$5:$T$44,$CU19,CQ$57),""),1),""),IF(MID(IFERROR(INDEX(醫師週班表!$C$5:$T$44,$CU19,CQ$57),""),2,1)="(",LEFT(IFERROR(INDEX(醫師週班表!$C$5:$T$44,$CU19,CQ$57),""),1),IFERROR(INDEX(醫師週班表!$C$5:$T$44,$CU19,CQ$57),"")))))))</f>
        <v/>
      </c>
      <c r="CR19" s="72">
        <f>IF(CR$59="X","",IF(CR$59&lt;&gt;"",CR$59,IF(IFERROR(INDEX(醫師週班表!$C$5:$T$44,$CU19,CR$57),"")=0,"",IF(MID(IFERROR(INDEX(醫師週班表!$C$5:$T$44,$CU19,CR$57),""),2,1)="/",MID(IFERROR(INDEX(醫師週班表!$C$5:$T$44,$CU19,CR$57),""),1+CR$58*2,1),IF(MID(IFERROR(INDEX(醫師週班表!$C$5:$T$44,$CU19,CR$57),""),3,1)="隔",IF(CR$58=0,LEFT(IFERROR(INDEX(醫師週班表!$C$5:$T$44,$CU19,CR$57),""),1),""),IF(MID(IFERROR(INDEX(醫師週班表!$C$5:$T$44,$CU19,CR$57),""),2,1)="(",LEFT(IFERROR(INDEX(醫師週班表!$C$5:$T$44,$CU19,CR$57),""),1),IFERROR(INDEX(醫師週班表!$C$5:$T$44,$CU19,CR$57),"")))))))</f>
        <v/>
      </c>
      <c r="CS19" s="72">
        <f>IF(CS$59="X","",IF(CS$59&lt;&gt;"",CS$59,IF(IFERROR(INDEX(醫師週班表!$C$5:$T$44,$CU19,CS$57),"")=0,"",IF(MID(IFERROR(INDEX(醫師週班表!$C$5:$T$44,$CU19,CS$57),""),2,1)="/",MID(IFERROR(INDEX(醫師週班表!$C$5:$T$44,$CU19,CS$57),""),1+CS$58*2,1),IF(MID(IFERROR(INDEX(醫師週班表!$C$5:$T$44,$CU19,CS$57),""),3,1)="隔",IF(CS$58=0,LEFT(IFERROR(INDEX(醫師週班表!$C$5:$T$44,$CU19,CS$57),""),1),""),IF(MID(IFERROR(INDEX(醫師週班表!$C$5:$T$44,$CU19,CS$57),""),2,1)="(",LEFT(IFERROR(INDEX(醫師週班表!$C$5:$T$44,$CU19,CS$57),""),1),IFERROR(INDEX(醫師週班表!$C$5:$T$44,$CU19,CS$57),"")))))))</f>
        <v/>
      </c>
      <c r="CU19" s="73">
        <f>IFERROR(MATCH($A19,醫師週班表!$A$5:$A$44,0),0)</f>
        <v/>
      </c>
    </row>
    <row r="20" ht="17" customHeight="1">
      <c r="A20" s="19" t="inlineStr">
        <is>
          <t>D015</t>
        </is>
      </c>
      <c r="B20" s="16" t="inlineStr">
        <is>
          <t>徐平</t>
        </is>
      </c>
      <c r="C20" s="70" t="inlineStr"/>
      <c r="D20" s="16" t="inlineStr"/>
      <c r="E20" s="71">
        <f>IF(E$59="X","",IF(E$59&lt;&gt;"",E$59,IF(IFERROR(INDEX(醫師週班表!$C$5:$T$44,$CU20,E$57),"")=0,"",IF(MID(IFERROR(INDEX(醫師週班表!$C$5:$T$44,$CU20,E$57),""),2,1)="/",MID(IFERROR(INDEX(醫師週班表!$C$5:$T$44,$CU20,E$57),""),1+E$58*2,1),IF(MID(IFERROR(INDEX(醫師週班表!$C$5:$T$44,$CU20,E$57),""),3,1)="隔",IF(E$58=0,LEFT(IFERROR(INDEX(醫師週班表!$C$5:$T$44,$CU20,E$57),""),1),""),IF(MID(IFERROR(INDEX(醫師週班表!$C$5:$T$44,$CU20,E$57),""),2,1)="(",LEFT(IFERROR(INDEX(醫師週班表!$C$5:$T$44,$CU20,E$57),""),1),IFERROR(INDEX(醫師週班表!$C$5:$T$44,$CU20,E$57),"")))))))</f>
        <v/>
      </c>
      <c r="F20" s="72">
        <f>IF(F$59="X","",IF(F$59&lt;&gt;"",F$59,IF(IFERROR(INDEX(醫師週班表!$C$5:$T$44,$CU20,F$57),"")=0,"",IF(MID(IFERROR(INDEX(醫師週班表!$C$5:$T$44,$CU20,F$57),""),2,1)="/",MID(IFERROR(INDEX(醫師週班表!$C$5:$T$44,$CU20,F$57),""),1+F$58*2,1),IF(MID(IFERROR(INDEX(醫師週班表!$C$5:$T$44,$CU20,F$57),""),3,1)="隔",IF(F$58=0,LEFT(IFERROR(INDEX(醫師週班表!$C$5:$T$44,$CU20,F$57),""),1),""),IF(MID(IFERROR(INDEX(醫師週班表!$C$5:$T$44,$CU20,F$57),""),2,1)="(",LEFT(IFERROR(INDEX(醫師週班表!$C$5:$T$44,$CU20,F$57),""),1),IFERROR(INDEX(醫師週班表!$C$5:$T$44,$CU20,F$57),"")))))))</f>
        <v/>
      </c>
      <c r="G20" s="72">
        <f>IF(G$59="X","",IF(G$59&lt;&gt;"",G$59,IF(IFERROR(INDEX(醫師週班表!$C$5:$T$44,$CU20,G$57),"")=0,"",IF(MID(IFERROR(INDEX(醫師週班表!$C$5:$T$44,$CU20,G$57),""),2,1)="/",MID(IFERROR(INDEX(醫師週班表!$C$5:$T$44,$CU20,G$57),""),1+G$58*2,1),IF(MID(IFERROR(INDEX(醫師週班表!$C$5:$T$44,$CU20,G$57),""),3,1)="隔",IF(G$58=0,LEFT(IFERROR(INDEX(醫師週班表!$C$5:$T$44,$CU20,G$57),""),1),""),IF(MID(IFERROR(INDEX(醫師週班表!$C$5:$T$44,$CU20,G$57),""),2,1)="(",LEFT(IFERROR(INDEX(醫師週班表!$C$5:$T$44,$CU20,G$57),""),1),IFERROR(INDEX(醫師週班表!$C$5:$T$44,$CU20,G$57),"")))))))</f>
        <v/>
      </c>
      <c r="H20" s="71">
        <f>IF(H$59="X","",IF(H$59&lt;&gt;"",H$59,IF(IFERROR(INDEX(醫師週班表!$C$5:$T$44,$CU20,H$57),"")=0,"",IF(MID(IFERROR(INDEX(醫師週班表!$C$5:$T$44,$CU20,H$57),""),2,1)="/",MID(IFERROR(INDEX(醫師週班表!$C$5:$T$44,$CU20,H$57),""),1+H$58*2,1),IF(MID(IFERROR(INDEX(醫師週班表!$C$5:$T$44,$CU20,H$57),""),3,1)="隔",IF(H$58=0,LEFT(IFERROR(INDEX(醫師週班表!$C$5:$T$44,$CU20,H$57),""),1),""),IF(MID(IFERROR(INDEX(醫師週班表!$C$5:$T$44,$CU20,H$57),""),2,1)="(",LEFT(IFERROR(INDEX(醫師週班表!$C$5:$T$44,$CU20,H$57),""),1),IFERROR(INDEX(醫師週班表!$C$5:$T$44,$CU20,H$57),"")))))))</f>
        <v/>
      </c>
      <c r="I20" s="72">
        <f>IF(I$59="X","",IF(I$59&lt;&gt;"",I$59,IF(IFERROR(INDEX(醫師週班表!$C$5:$T$44,$CU20,I$57),"")=0,"",IF(MID(IFERROR(INDEX(醫師週班表!$C$5:$T$44,$CU20,I$57),""),2,1)="/",MID(IFERROR(INDEX(醫師週班表!$C$5:$T$44,$CU20,I$57),""),1+I$58*2,1),IF(MID(IFERROR(INDEX(醫師週班表!$C$5:$T$44,$CU20,I$57),""),3,1)="隔",IF(I$58=0,LEFT(IFERROR(INDEX(醫師週班表!$C$5:$T$44,$CU20,I$57),""),1),""),IF(MID(IFERROR(INDEX(醫師週班表!$C$5:$T$44,$CU20,I$57),""),2,1)="(",LEFT(IFERROR(INDEX(醫師週班表!$C$5:$T$44,$CU20,I$57),""),1),IFERROR(INDEX(醫師週班表!$C$5:$T$44,$CU20,I$57),"")))))))</f>
        <v/>
      </c>
      <c r="J20" s="72">
        <f>IF(J$59="X","",IF(J$59&lt;&gt;"",J$59,IF(IFERROR(INDEX(醫師週班表!$C$5:$T$44,$CU20,J$57),"")=0,"",IF(MID(IFERROR(INDEX(醫師週班表!$C$5:$T$44,$CU20,J$57),""),2,1)="/",MID(IFERROR(INDEX(醫師週班表!$C$5:$T$44,$CU20,J$57),""),1+J$58*2,1),IF(MID(IFERROR(INDEX(醫師週班表!$C$5:$T$44,$CU20,J$57),""),3,1)="隔",IF(J$58=0,LEFT(IFERROR(INDEX(醫師週班表!$C$5:$T$44,$CU20,J$57),""),1),""),IF(MID(IFERROR(INDEX(醫師週班表!$C$5:$T$44,$CU20,J$57),""),2,1)="(",LEFT(IFERROR(INDEX(醫師週班表!$C$5:$T$44,$CU20,J$57),""),1),IFERROR(INDEX(醫師週班表!$C$5:$T$44,$CU20,J$57),"")))))))</f>
        <v/>
      </c>
      <c r="K20" s="71">
        <f>IF(K$59="X","",IF(K$59&lt;&gt;"",K$59,IF(IFERROR(INDEX(醫師週班表!$C$5:$T$44,$CU20,K$57),"")=0,"",IF(MID(IFERROR(INDEX(醫師週班表!$C$5:$T$44,$CU20,K$57),""),2,1)="/",MID(IFERROR(INDEX(醫師週班表!$C$5:$T$44,$CU20,K$57),""),1+K$58*2,1),IF(MID(IFERROR(INDEX(醫師週班表!$C$5:$T$44,$CU20,K$57),""),3,1)="隔",IF(K$58=0,LEFT(IFERROR(INDEX(醫師週班表!$C$5:$T$44,$CU20,K$57),""),1),""),IF(MID(IFERROR(INDEX(醫師週班表!$C$5:$T$44,$CU20,K$57),""),2,1)="(",LEFT(IFERROR(INDEX(醫師週班表!$C$5:$T$44,$CU20,K$57),""),1),IFERROR(INDEX(醫師週班表!$C$5:$T$44,$CU20,K$57),"")))))))</f>
        <v/>
      </c>
      <c r="L20" s="72">
        <f>IF(L$59="X","",IF(L$59&lt;&gt;"",L$59,IF(IFERROR(INDEX(醫師週班表!$C$5:$T$44,$CU20,L$57),"")=0,"",IF(MID(IFERROR(INDEX(醫師週班表!$C$5:$T$44,$CU20,L$57),""),2,1)="/",MID(IFERROR(INDEX(醫師週班表!$C$5:$T$44,$CU20,L$57),""),1+L$58*2,1),IF(MID(IFERROR(INDEX(醫師週班表!$C$5:$T$44,$CU20,L$57),""),3,1)="隔",IF(L$58=0,LEFT(IFERROR(INDEX(醫師週班表!$C$5:$T$44,$CU20,L$57),""),1),""),IF(MID(IFERROR(INDEX(醫師週班表!$C$5:$T$44,$CU20,L$57),""),2,1)="(",LEFT(IFERROR(INDEX(醫師週班表!$C$5:$T$44,$CU20,L$57),""),1),IFERROR(INDEX(醫師週班表!$C$5:$T$44,$CU20,L$57),"")))))))</f>
        <v/>
      </c>
      <c r="M20" s="72">
        <f>IF(M$59="X","",IF(M$59&lt;&gt;"",M$59,IF(IFERROR(INDEX(醫師週班表!$C$5:$T$44,$CU20,M$57),"")=0,"",IF(MID(IFERROR(INDEX(醫師週班表!$C$5:$T$44,$CU20,M$57),""),2,1)="/",MID(IFERROR(INDEX(醫師週班表!$C$5:$T$44,$CU20,M$57),""),1+M$58*2,1),IF(MID(IFERROR(INDEX(醫師週班表!$C$5:$T$44,$CU20,M$57),""),3,1)="隔",IF(M$58=0,LEFT(IFERROR(INDEX(醫師週班表!$C$5:$T$44,$CU20,M$57),""),1),""),IF(MID(IFERROR(INDEX(醫師週班表!$C$5:$T$44,$CU20,M$57),""),2,1)="(",LEFT(IFERROR(INDEX(醫師週班表!$C$5:$T$44,$CU20,M$57),""),1),IFERROR(INDEX(醫師週班表!$C$5:$T$44,$CU20,M$57),"")))))))</f>
        <v/>
      </c>
      <c r="N20" s="71">
        <f>IF(N$59="X","",IF(N$59&lt;&gt;"",N$59,IF(IFERROR(INDEX(醫師週班表!$C$5:$T$44,$CU20,N$57),"")=0,"",IF(MID(IFERROR(INDEX(醫師週班表!$C$5:$T$44,$CU20,N$57),""),2,1)="/",MID(IFERROR(INDEX(醫師週班表!$C$5:$T$44,$CU20,N$57),""),1+N$58*2,1),IF(MID(IFERROR(INDEX(醫師週班表!$C$5:$T$44,$CU20,N$57),""),3,1)="隔",IF(N$58=0,LEFT(IFERROR(INDEX(醫師週班表!$C$5:$T$44,$CU20,N$57),""),1),""),IF(MID(IFERROR(INDEX(醫師週班表!$C$5:$T$44,$CU20,N$57),""),2,1)="(",LEFT(IFERROR(INDEX(醫師週班表!$C$5:$T$44,$CU20,N$57),""),1),IFERROR(INDEX(醫師週班表!$C$5:$T$44,$CU20,N$57),"")))))))</f>
        <v/>
      </c>
      <c r="O20" s="72">
        <f>IF(O$59="X","",IF(O$59&lt;&gt;"",O$59,IF(IFERROR(INDEX(醫師週班表!$C$5:$T$44,$CU20,O$57),"")=0,"",IF(MID(IFERROR(INDEX(醫師週班表!$C$5:$T$44,$CU20,O$57),""),2,1)="/",MID(IFERROR(INDEX(醫師週班表!$C$5:$T$44,$CU20,O$57),""),1+O$58*2,1),IF(MID(IFERROR(INDEX(醫師週班表!$C$5:$T$44,$CU20,O$57),""),3,1)="隔",IF(O$58=0,LEFT(IFERROR(INDEX(醫師週班表!$C$5:$T$44,$CU20,O$57),""),1),""),IF(MID(IFERROR(INDEX(醫師週班表!$C$5:$T$44,$CU20,O$57),""),2,1)="(",LEFT(IFERROR(INDEX(醫師週班表!$C$5:$T$44,$CU20,O$57),""),1),IFERROR(INDEX(醫師週班表!$C$5:$T$44,$CU20,O$57),"")))))))</f>
        <v/>
      </c>
      <c r="P20" s="72">
        <f>IF(P$59="X","",IF(P$59&lt;&gt;"",P$59,IF(IFERROR(INDEX(醫師週班表!$C$5:$T$44,$CU20,P$57),"")=0,"",IF(MID(IFERROR(INDEX(醫師週班表!$C$5:$T$44,$CU20,P$57),""),2,1)="/",MID(IFERROR(INDEX(醫師週班表!$C$5:$T$44,$CU20,P$57),""),1+P$58*2,1),IF(MID(IFERROR(INDEX(醫師週班表!$C$5:$T$44,$CU20,P$57),""),3,1)="隔",IF(P$58=0,LEFT(IFERROR(INDEX(醫師週班表!$C$5:$T$44,$CU20,P$57),""),1),""),IF(MID(IFERROR(INDEX(醫師週班表!$C$5:$T$44,$CU20,P$57),""),2,1)="(",LEFT(IFERROR(INDEX(醫師週班表!$C$5:$T$44,$CU20,P$57),""),1),IFERROR(INDEX(醫師週班表!$C$5:$T$44,$CU20,P$57),"")))))))</f>
        <v/>
      </c>
      <c r="Q20" s="71">
        <f>IF(Q$59="X","",IF(Q$59&lt;&gt;"",Q$59,IF(IFERROR(INDEX(醫師週班表!$C$5:$T$44,$CU20,Q$57),"")=0,"",IF(MID(IFERROR(INDEX(醫師週班表!$C$5:$T$44,$CU20,Q$57),""),2,1)="/",MID(IFERROR(INDEX(醫師週班表!$C$5:$T$44,$CU20,Q$57),""),1+Q$58*2,1),IF(MID(IFERROR(INDEX(醫師週班表!$C$5:$T$44,$CU20,Q$57),""),3,1)="隔",IF(Q$58=0,LEFT(IFERROR(INDEX(醫師週班表!$C$5:$T$44,$CU20,Q$57),""),1),""),IF(MID(IFERROR(INDEX(醫師週班表!$C$5:$T$44,$CU20,Q$57),""),2,1)="(",LEFT(IFERROR(INDEX(醫師週班表!$C$5:$T$44,$CU20,Q$57),""),1),IFERROR(INDEX(醫師週班表!$C$5:$T$44,$CU20,Q$57),"")))))))</f>
        <v/>
      </c>
      <c r="R20" s="72">
        <f>IF(R$59="X","",IF(R$59&lt;&gt;"",R$59,IF(IFERROR(INDEX(醫師週班表!$C$5:$T$44,$CU20,R$57),"")=0,"",IF(MID(IFERROR(INDEX(醫師週班表!$C$5:$T$44,$CU20,R$57),""),2,1)="/",MID(IFERROR(INDEX(醫師週班表!$C$5:$T$44,$CU20,R$57),""),1+R$58*2,1),IF(MID(IFERROR(INDEX(醫師週班表!$C$5:$T$44,$CU20,R$57),""),3,1)="隔",IF(R$58=0,LEFT(IFERROR(INDEX(醫師週班表!$C$5:$T$44,$CU20,R$57),""),1),""),IF(MID(IFERROR(INDEX(醫師週班表!$C$5:$T$44,$CU20,R$57),""),2,1)="(",LEFT(IFERROR(INDEX(醫師週班表!$C$5:$T$44,$CU20,R$57),""),1),IFERROR(INDEX(醫師週班表!$C$5:$T$44,$CU20,R$57),"")))))))</f>
        <v/>
      </c>
      <c r="S20" s="72">
        <f>IF(S$59="X","",IF(S$59&lt;&gt;"",S$59,IF(IFERROR(INDEX(醫師週班表!$C$5:$T$44,$CU20,S$57),"")=0,"",IF(MID(IFERROR(INDEX(醫師週班表!$C$5:$T$44,$CU20,S$57),""),2,1)="/",MID(IFERROR(INDEX(醫師週班表!$C$5:$T$44,$CU20,S$57),""),1+S$58*2,1),IF(MID(IFERROR(INDEX(醫師週班表!$C$5:$T$44,$CU20,S$57),""),3,1)="隔",IF(S$58=0,LEFT(IFERROR(INDEX(醫師週班表!$C$5:$T$44,$CU20,S$57),""),1),""),IF(MID(IFERROR(INDEX(醫師週班表!$C$5:$T$44,$CU20,S$57),""),2,1)="(",LEFT(IFERROR(INDEX(醫師週班表!$C$5:$T$44,$CU20,S$57),""),1),IFERROR(INDEX(醫師週班表!$C$5:$T$44,$CU20,S$57),"")))))))</f>
        <v/>
      </c>
      <c r="T20" s="71">
        <f>IF(T$59="X","",IF(T$59&lt;&gt;"",T$59,IF(IFERROR(INDEX(醫師週班表!$C$5:$T$44,$CU20,T$57),"")=0,"",IF(MID(IFERROR(INDEX(醫師週班表!$C$5:$T$44,$CU20,T$57),""),2,1)="/",MID(IFERROR(INDEX(醫師週班表!$C$5:$T$44,$CU20,T$57),""),1+T$58*2,1),IF(MID(IFERROR(INDEX(醫師週班表!$C$5:$T$44,$CU20,T$57),""),3,1)="隔",IF(T$58=0,LEFT(IFERROR(INDEX(醫師週班表!$C$5:$T$44,$CU20,T$57),""),1),""),IF(MID(IFERROR(INDEX(醫師週班表!$C$5:$T$44,$CU20,T$57),""),2,1)="(",LEFT(IFERROR(INDEX(醫師週班表!$C$5:$T$44,$CU20,T$57),""),1),IFERROR(INDEX(醫師週班表!$C$5:$T$44,$CU20,T$57),"")))))))</f>
        <v/>
      </c>
      <c r="U20" s="72">
        <f>IF(U$59="X","",IF(U$59&lt;&gt;"",U$59,IF(IFERROR(INDEX(醫師週班表!$C$5:$T$44,$CU20,U$57),"")=0,"",IF(MID(IFERROR(INDEX(醫師週班表!$C$5:$T$44,$CU20,U$57),""),2,1)="/",MID(IFERROR(INDEX(醫師週班表!$C$5:$T$44,$CU20,U$57),""),1+U$58*2,1),IF(MID(IFERROR(INDEX(醫師週班表!$C$5:$T$44,$CU20,U$57),""),3,1)="隔",IF(U$58=0,LEFT(IFERROR(INDEX(醫師週班表!$C$5:$T$44,$CU20,U$57),""),1),""),IF(MID(IFERROR(INDEX(醫師週班表!$C$5:$T$44,$CU20,U$57),""),2,1)="(",LEFT(IFERROR(INDEX(醫師週班表!$C$5:$T$44,$CU20,U$57),""),1),IFERROR(INDEX(醫師週班表!$C$5:$T$44,$CU20,U$57),"")))))))</f>
        <v/>
      </c>
      <c r="V20" s="72">
        <f>IF(V$59="X","",IF(V$59&lt;&gt;"",V$59,IF(IFERROR(INDEX(醫師週班表!$C$5:$T$44,$CU20,V$57),"")=0,"",IF(MID(IFERROR(INDEX(醫師週班表!$C$5:$T$44,$CU20,V$57),""),2,1)="/",MID(IFERROR(INDEX(醫師週班表!$C$5:$T$44,$CU20,V$57),""),1+V$58*2,1),IF(MID(IFERROR(INDEX(醫師週班表!$C$5:$T$44,$CU20,V$57),""),3,1)="隔",IF(V$58=0,LEFT(IFERROR(INDEX(醫師週班表!$C$5:$T$44,$CU20,V$57),""),1),""),IF(MID(IFERROR(INDEX(醫師週班表!$C$5:$T$44,$CU20,V$57),""),2,1)="(",LEFT(IFERROR(INDEX(醫師週班表!$C$5:$T$44,$CU20,V$57),""),1),IFERROR(INDEX(醫師週班表!$C$5:$T$44,$CU20,V$57),"")))))))</f>
        <v/>
      </c>
      <c r="W20" s="71">
        <f>IF(W$59="X","",IF(W$59&lt;&gt;"",W$59,IF(IFERROR(INDEX(醫師週班表!$C$5:$T$44,$CU20,W$57),"")=0,"",IF(MID(IFERROR(INDEX(醫師週班表!$C$5:$T$44,$CU20,W$57),""),2,1)="/",MID(IFERROR(INDEX(醫師週班表!$C$5:$T$44,$CU20,W$57),""),1+W$58*2,1),IF(MID(IFERROR(INDEX(醫師週班表!$C$5:$T$44,$CU20,W$57),""),3,1)="隔",IF(W$58=0,LEFT(IFERROR(INDEX(醫師週班表!$C$5:$T$44,$CU20,W$57),""),1),""),IF(MID(IFERROR(INDEX(醫師週班表!$C$5:$T$44,$CU20,W$57),""),2,1)="(",LEFT(IFERROR(INDEX(醫師週班表!$C$5:$T$44,$CU20,W$57),""),1),IFERROR(INDEX(醫師週班表!$C$5:$T$44,$CU20,W$57),"")))))))</f>
        <v/>
      </c>
      <c r="X20" s="72">
        <f>IF(X$59="X","",IF(X$59&lt;&gt;"",X$59,IF(IFERROR(INDEX(醫師週班表!$C$5:$T$44,$CU20,X$57),"")=0,"",IF(MID(IFERROR(INDEX(醫師週班表!$C$5:$T$44,$CU20,X$57),""),2,1)="/",MID(IFERROR(INDEX(醫師週班表!$C$5:$T$44,$CU20,X$57),""),1+X$58*2,1),IF(MID(IFERROR(INDEX(醫師週班表!$C$5:$T$44,$CU20,X$57),""),3,1)="隔",IF(X$58=0,LEFT(IFERROR(INDEX(醫師週班表!$C$5:$T$44,$CU20,X$57),""),1),""),IF(MID(IFERROR(INDEX(醫師週班表!$C$5:$T$44,$CU20,X$57),""),2,1)="(",LEFT(IFERROR(INDEX(醫師週班表!$C$5:$T$44,$CU20,X$57),""),1),IFERROR(INDEX(醫師週班表!$C$5:$T$44,$CU20,X$57),"")))))))</f>
        <v/>
      </c>
      <c r="Y20" s="72">
        <f>IF(Y$59="X","",IF(Y$59&lt;&gt;"",Y$59,IF(IFERROR(INDEX(醫師週班表!$C$5:$T$44,$CU20,Y$57),"")=0,"",IF(MID(IFERROR(INDEX(醫師週班表!$C$5:$T$44,$CU20,Y$57),""),2,1)="/",MID(IFERROR(INDEX(醫師週班表!$C$5:$T$44,$CU20,Y$57),""),1+Y$58*2,1),IF(MID(IFERROR(INDEX(醫師週班表!$C$5:$T$44,$CU20,Y$57),""),3,1)="隔",IF(Y$58=0,LEFT(IFERROR(INDEX(醫師週班表!$C$5:$T$44,$CU20,Y$57),""),1),""),IF(MID(IFERROR(INDEX(醫師週班表!$C$5:$T$44,$CU20,Y$57),""),2,1)="(",LEFT(IFERROR(INDEX(醫師週班表!$C$5:$T$44,$CU20,Y$57),""),1),IFERROR(INDEX(醫師週班表!$C$5:$T$44,$CU20,Y$57),"")))))))</f>
        <v/>
      </c>
      <c r="Z20" s="71">
        <f>IF(Z$59="X","",IF(Z$59&lt;&gt;"",Z$59,IF(IFERROR(INDEX(醫師週班表!$C$5:$T$44,$CU20,Z$57),"")=0,"",IF(MID(IFERROR(INDEX(醫師週班表!$C$5:$T$44,$CU20,Z$57),""),2,1)="/",MID(IFERROR(INDEX(醫師週班表!$C$5:$T$44,$CU20,Z$57),""),1+Z$58*2,1),IF(MID(IFERROR(INDEX(醫師週班表!$C$5:$T$44,$CU20,Z$57),""),3,1)="隔",IF(Z$58=0,LEFT(IFERROR(INDEX(醫師週班表!$C$5:$T$44,$CU20,Z$57),""),1),""),IF(MID(IFERROR(INDEX(醫師週班表!$C$5:$T$44,$CU20,Z$57),""),2,1)="(",LEFT(IFERROR(INDEX(醫師週班表!$C$5:$T$44,$CU20,Z$57),""),1),IFERROR(INDEX(醫師週班表!$C$5:$T$44,$CU20,Z$57),"")))))))</f>
        <v/>
      </c>
      <c r="AA20" s="72">
        <f>IF(AA$59="X","",IF(AA$59&lt;&gt;"",AA$59,IF(IFERROR(INDEX(醫師週班表!$C$5:$T$44,$CU20,AA$57),"")=0,"",IF(MID(IFERROR(INDEX(醫師週班表!$C$5:$T$44,$CU20,AA$57),""),2,1)="/",MID(IFERROR(INDEX(醫師週班表!$C$5:$T$44,$CU20,AA$57),""),1+AA$58*2,1),IF(MID(IFERROR(INDEX(醫師週班表!$C$5:$T$44,$CU20,AA$57),""),3,1)="隔",IF(AA$58=0,LEFT(IFERROR(INDEX(醫師週班表!$C$5:$T$44,$CU20,AA$57),""),1),""),IF(MID(IFERROR(INDEX(醫師週班表!$C$5:$T$44,$CU20,AA$57),""),2,1)="(",LEFT(IFERROR(INDEX(醫師週班表!$C$5:$T$44,$CU20,AA$57),""),1),IFERROR(INDEX(醫師週班表!$C$5:$T$44,$CU20,AA$57),"")))))))</f>
        <v/>
      </c>
      <c r="AB20" s="72">
        <f>IF(AB$59="X","",IF(AB$59&lt;&gt;"",AB$59,IF(IFERROR(INDEX(醫師週班表!$C$5:$T$44,$CU20,AB$57),"")=0,"",IF(MID(IFERROR(INDEX(醫師週班表!$C$5:$T$44,$CU20,AB$57),""),2,1)="/",MID(IFERROR(INDEX(醫師週班表!$C$5:$T$44,$CU20,AB$57),""),1+AB$58*2,1),IF(MID(IFERROR(INDEX(醫師週班表!$C$5:$T$44,$CU20,AB$57),""),3,1)="隔",IF(AB$58=0,LEFT(IFERROR(INDEX(醫師週班表!$C$5:$T$44,$CU20,AB$57),""),1),""),IF(MID(IFERROR(INDEX(醫師週班表!$C$5:$T$44,$CU20,AB$57),""),2,1)="(",LEFT(IFERROR(INDEX(醫師週班表!$C$5:$T$44,$CU20,AB$57),""),1),IFERROR(INDEX(醫師週班表!$C$5:$T$44,$CU20,AB$57),"")))))))</f>
        <v/>
      </c>
      <c r="AC20" s="71">
        <f>IF(AC$59="X","",IF(AC$59&lt;&gt;"",AC$59,IF(IFERROR(INDEX(醫師週班表!$C$5:$T$44,$CU20,AC$57),"")=0,"",IF(MID(IFERROR(INDEX(醫師週班表!$C$5:$T$44,$CU20,AC$57),""),2,1)="/",MID(IFERROR(INDEX(醫師週班表!$C$5:$T$44,$CU20,AC$57),""),1+AC$58*2,1),IF(MID(IFERROR(INDEX(醫師週班表!$C$5:$T$44,$CU20,AC$57),""),3,1)="隔",IF(AC$58=0,LEFT(IFERROR(INDEX(醫師週班表!$C$5:$T$44,$CU20,AC$57),""),1),""),IF(MID(IFERROR(INDEX(醫師週班表!$C$5:$T$44,$CU20,AC$57),""),2,1)="(",LEFT(IFERROR(INDEX(醫師週班表!$C$5:$T$44,$CU20,AC$57),""),1),IFERROR(INDEX(醫師週班表!$C$5:$T$44,$CU20,AC$57),"")))))))</f>
        <v/>
      </c>
      <c r="AD20" s="72">
        <f>IF(AD$59="X","",IF(AD$59&lt;&gt;"",AD$59,IF(IFERROR(INDEX(醫師週班表!$C$5:$T$44,$CU20,AD$57),"")=0,"",IF(MID(IFERROR(INDEX(醫師週班表!$C$5:$T$44,$CU20,AD$57),""),2,1)="/",MID(IFERROR(INDEX(醫師週班表!$C$5:$T$44,$CU20,AD$57),""),1+AD$58*2,1),IF(MID(IFERROR(INDEX(醫師週班表!$C$5:$T$44,$CU20,AD$57),""),3,1)="隔",IF(AD$58=0,LEFT(IFERROR(INDEX(醫師週班表!$C$5:$T$44,$CU20,AD$57),""),1),""),IF(MID(IFERROR(INDEX(醫師週班表!$C$5:$T$44,$CU20,AD$57),""),2,1)="(",LEFT(IFERROR(INDEX(醫師週班表!$C$5:$T$44,$CU20,AD$57),""),1),IFERROR(INDEX(醫師週班表!$C$5:$T$44,$CU20,AD$57),"")))))))</f>
        <v/>
      </c>
      <c r="AE20" s="72">
        <f>IF(AE$59="X","",IF(AE$59&lt;&gt;"",AE$59,IF(IFERROR(INDEX(醫師週班表!$C$5:$T$44,$CU20,AE$57),"")=0,"",IF(MID(IFERROR(INDEX(醫師週班表!$C$5:$T$44,$CU20,AE$57),""),2,1)="/",MID(IFERROR(INDEX(醫師週班表!$C$5:$T$44,$CU20,AE$57),""),1+AE$58*2,1),IF(MID(IFERROR(INDEX(醫師週班表!$C$5:$T$44,$CU20,AE$57),""),3,1)="隔",IF(AE$58=0,LEFT(IFERROR(INDEX(醫師週班表!$C$5:$T$44,$CU20,AE$57),""),1),""),IF(MID(IFERROR(INDEX(醫師週班表!$C$5:$T$44,$CU20,AE$57),""),2,1)="(",LEFT(IFERROR(INDEX(醫師週班表!$C$5:$T$44,$CU20,AE$57),""),1),IFERROR(INDEX(醫師週班表!$C$5:$T$44,$CU20,AE$57),"")))))))</f>
        <v/>
      </c>
      <c r="AF20" s="71">
        <f>IF(AF$59="X","",IF(AF$59&lt;&gt;"",AF$59,IF(IFERROR(INDEX(醫師週班表!$C$5:$T$44,$CU20,AF$57),"")=0,"",IF(MID(IFERROR(INDEX(醫師週班表!$C$5:$T$44,$CU20,AF$57),""),2,1)="/",MID(IFERROR(INDEX(醫師週班表!$C$5:$T$44,$CU20,AF$57),""),1+AF$58*2,1),IF(MID(IFERROR(INDEX(醫師週班表!$C$5:$T$44,$CU20,AF$57),""),3,1)="隔",IF(AF$58=0,LEFT(IFERROR(INDEX(醫師週班表!$C$5:$T$44,$CU20,AF$57),""),1),""),IF(MID(IFERROR(INDEX(醫師週班表!$C$5:$T$44,$CU20,AF$57),""),2,1)="(",LEFT(IFERROR(INDEX(醫師週班表!$C$5:$T$44,$CU20,AF$57),""),1),IFERROR(INDEX(醫師週班表!$C$5:$T$44,$CU20,AF$57),"")))))))</f>
        <v/>
      </c>
      <c r="AG20" s="72">
        <f>IF(AG$59="X","",IF(AG$59&lt;&gt;"",AG$59,IF(IFERROR(INDEX(醫師週班表!$C$5:$T$44,$CU20,AG$57),"")=0,"",IF(MID(IFERROR(INDEX(醫師週班表!$C$5:$T$44,$CU20,AG$57),""),2,1)="/",MID(IFERROR(INDEX(醫師週班表!$C$5:$T$44,$CU20,AG$57),""),1+AG$58*2,1),IF(MID(IFERROR(INDEX(醫師週班表!$C$5:$T$44,$CU20,AG$57),""),3,1)="隔",IF(AG$58=0,LEFT(IFERROR(INDEX(醫師週班表!$C$5:$T$44,$CU20,AG$57),""),1),""),IF(MID(IFERROR(INDEX(醫師週班表!$C$5:$T$44,$CU20,AG$57),""),2,1)="(",LEFT(IFERROR(INDEX(醫師週班表!$C$5:$T$44,$CU20,AG$57),""),1),IFERROR(INDEX(醫師週班表!$C$5:$T$44,$CU20,AG$57),"")))))))</f>
        <v/>
      </c>
      <c r="AH20" s="72">
        <f>IF(AH$59="X","",IF(AH$59&lt;&gt;"",AH$59,IF(IFERROR(INDEX(醫師週班表!$C$5:$T$44,$CU20,AH$57),"")=0,"",IF(MID(IFERROR(INDEX(醫師週班表!$C$5:$T$44,$CU20,AH$57),""),2,1)="/",MID(IFERROR(INDEX(醫師週班表!$C$5:$T$44,$CU20,AH$57),""),1+AH$58*2,1),IF(MID(IFERROR(INDEX(醫師週班表!$C$5:$T$44,$CU20,AH$57),""),3,1)="隔",IF(AH$58=0,LEFT(IFERROR(INDEX(醫師週班表!$C$5:$T$44,$CU20,AH$57),""),1),""),IF(MID(IFERROR(INDEX(醫師週班表!$C$5:$T$44,$CU20,AH$57),""),2,1)="(",LEFT(IFERROR(INDEX(醫師週班表!$C$5:$T$44,$CU20,AH$57),""),1),IFERROR(INDEX(醫師週班表!$C$5:$T$44,$CU20,AH$57),"")))))))</f>
        <v/>
      </c>
      <c r="AI20" s="71">
        <f>IF(AI$59="X","",IF(AI$59&lt;&gt;"",AI$59,IF(IFERROR(INDEX(醫師週班表!$C$5:$T$44,$CU20,AI$57),"")=0,"",IF(MID(IFERROR(INDEX(醫師週班表!$C$5:$T$44,$CU20,AI$57),""),2,1)="/",MID(IFERROR(INDEX(醫師週班表!$C$5:$T$44,$CU20,AI$57),""),1+AI$58*2,1),IF(MID(IFERROR(INDEX(醫師週班表!$C$5:$T$44,$CU20,AI$57),""),3,1)="隔",IF(AI$58=0,LEFT(IFERROR(INDEX(醫師週班表!$C$5:$T$44,$CU20,AI$57),""),1),""),IF(MID(IFERROR(INDEX(醫師週班表!$C$5:$T$44,$CU20,AI$57),""),2,1)="(",LEFT(IFERROR(INDEX(醫師週班表!$C$5:$T$44,$CU20,AI$57),""),1),IFERROR(INDEX(醫師週班表!$C$5:$T$44,$CU20,AI$57),"")))))))</f>
        <v/>
      </c>
      <c r="AJ20" s="72">
        <f>IF(AJ$59="X","",IF(AJ$59&lt;&gt;"",AJ$59,IF(IFERROR(INDEX(醫師週班表!$C$5:$T$44,$CU20,AJ$57),"")=0,"",IF(MID(IFERROR(INDEX(醫師週班表!$C$5:$T$44,$CU20,AJ$57),""),2,1)="/",MID(IFERROR(INDEX(醫師週班表!$C$5:$T$44,$CU20,AJ$57),""),1+AJ$58*2,1),IF(MID(IFERROR(INDEX(醫師週班表!$C$5:$T$44,$CU20,AJ$57),""),3,1)="隔",IF(AJ$58=0,LEFT(IFERROR(INDEX(醫師週班表!$C$5:$T$44,$CU20,AJ$57),""),1),""),IF(MID(IFERROR(INDEX(醫師週班表!$C$5:$T$44,$CU20,AJ$57),""),2,1)="(",LEFT(IFERROR(INDEX(醫師週班表!$C$5:$T$44,$CU20,AJ$57),""),1),IFERROR(INDEX(醫師週班表!$C$5:$T$44,$CU20,AJ$57),"")))))))</f>
        <v/>
      </c>
      <c r="AK20" s="72">
        <f>IF(AK$59="X","",IF(AK$59&lt;&gt;"",AK$59,IF(IFERROR(INDEX(醫師週班表!$C$5:$T$44,$CU20,AK$57),"")=0,"",IF(MID(IFERROR(INDEX(醫師週班表!$C$5:$T$44,$CU20,AK$57),""),2,1)="/",MID(IFERROR(INDEX(醫師週班表!$C$5:$T$44,$CU20,AK$57),""),1+AK$58*2,1),IF(MID(IFERROR(INDEX(醫師週班表!$C$5:$T$44,$CU20,AK$57),""),3,1)="隔",IF(AK$58=0,LEFT(IFERROR(INDEX(醫師週班表!$C$5:$T$44,$CU20,AK$57),""),1),""),IF(MID(IFERROR(INDEX(醫師週班表!$C$5:$T$44,$CU20,AK$57),""),2,1)="(",LEFT(IFERROR(INDEX(醫師週班表!$C$5:$T$44,$CU20,AK$57),""),1),IFERROR(INDEX(醫師週班表!$C$5:$T$44,$CU20,AK$57),"")))))))</f>
        <v/>
      </c>
      <c r="AL20" s="71">
        <f>IF(AL$59="X","",IF(AL$59&lt;&gt;"",AL$59,IF(IFERROR(INDEX(醫師週班表!$C$5:$T$44,$CU20,AL$57),"")=0,"",IF(MID(IFERROR(INDEX(醫師週班表!$C$5:$T$44,$CU20,AL$57),""),2,1)="/",MID(IFERROR(INDEX(醫師週班表!$C$5:$T$44,$CU20,AL$57),""),1+AL$58*2,1),IF(MID(IFERROR(INDEX(醫師週班表!$C$5:$T$44,$CU20,AL$57),""),3,1)="隔",IF(AL$58=0,LEFT(IFERROR(INDEX(醫師週班表!$C$5:$T$44,$CU20,AL$57),""),1),""),IF(MID(IFERROR(INDEX(醫師週班表!$C$5:$T$44,$CU20,AL$57),""),2,1)="(",LEFT(IFERROR(INDEX(醫師週班表!$C$5:$T$44,$CU20,AL$57),""),1),IFERROR(INDEX(醫師週班表!$C$5:$T$44,$CU20,AL$57),"")))))))</f>
        <v/>
      </c>
      <c r="AM20" s="72">
        <f>IF(AM$59="X","",IF(AM$59&lt;&gt;"",AM$59,IF(IFERROR(INDEX(醫師週班表!$C$5:$T$44,$CU20,AM$57),"")=0,"",IF(MID(IFERROR(INDEX(醫師週班表!$C$5:$T$44,$CU20,AM$57),""),2,1)="/",MID(IFERROR(INDEX(醫師週班表!$C$5:$T$44,$CU20,AM$57),""),1+AM$58*2,1),IF(MID(IFERROR(INDEX(醫師週班表!$C$5:$T$44,$CU20,AM$57),""),3,1)="隔",IF(AM$58=0,LEFT(IFERROR(INDEX(醫師週班表!$C$5:$T$44,$CU20,AM$57),""),1),""),IF(MID(IFERROR(INDEX(醫師週班表!$C$5:$T$44,$CU20,AM$57),""),2,1)="(",LEFT(IFERROR(INDEX(醫師週班表!$C$5:$T$44,$CU20,AM$57),""),1),IFERROR(INDEX(醫師週班表!$C$5:$T$44,$CU20,AM$57),"")))))))</f>
        <v/>
      </c>
      <c r="AN20" s="72">
        <f>IF(AN$59="X","",IF(AN$59&lt;&gt;"",AN$59,IF(IFERROR(INDEX(醫師週班表!$C$5:$T$44,$CU20,AN$57),"")=0,"",IF(MID(IFERROR(INDEX(醫師週班表!$C$5:$T$44,$CU20,AN$57),""),2,1)="/",MID(IFERROR(INDEX(醫師週班表!$C$5:$T$44,$CU20,AN$57),""),1+AN$58*2,1),IF(MID(IFERROR(INDEX(醫師週班表!$C$5:$T$44,$CU20,AN$57),""),3,1)="隔",IF(AN$58=0,LEFT(IFERROR(INDEX(醫師週班表!$C$5:$T$44,$CU20,AN$57),""),1),""),IF(MID(IFERROR(INDEX(醫師週班表!$C$5:$T$44,$CU20,AN$57),""),2,1)="(",LEFT(IFERROR(INDEX(醫師週班表!$C$5:$T$44,$CU20,AN$57),""),1),IFERROR(INDEX(醫師週班表!$C$5:$T$44,$CU20,AN$57),"")))))))</f>
        <v/>
      </c>
      <c r="AO20" s="71">
        <f>IF(AO$59="X","",IF(AO$59&lt;&gt;"",AO$59,IF(IFERROR(INDEX(醫師週班表!$C$5:$T$44,$CU20,AO$57),"")=0,"",IF(MID(IFERROR(INDEX(醫師週班表!$C$5:$T$44,$CU20,AO$57),""),2,1)="/",MID(IFERROR(INDEX(醫師週班表!$C$5:$T$44,$CU20,AO$57),""),1+AO$58*2,1),IF(MID(IFERROR(INDEX(醫師週班表!$C$5:$T$44,$CU20,AO$57),""),3,1)="隔",IF(AO$58=0,LEFT(IFERROR(INDEX(醫師週班表!$C$5:$T$44,$CU20,AO$57),""),1),""),IF(MID(IFERROR(INDEX(醫師週班表!$C$5:$T$44,$CU20,AO$57),""),2,1)="(",LEFT(IFERROR(INDEX(醫師週班表!$C$5:$T$44,$CU20,AO$57),""),1),IFERROR(INDEX(醫師週班表!$C$5:$T$44,$CU20,AO$57),"")))))))</f>
        <v/>
      </c>
      <c r="AP20" s="72">
        <f>IF(AP$59="X","",IF(AP$59&lt;&gt;"",AP$59,IF(IFERROR(INDEX(醫師週班表!$C$5:$T$44,$CU20,AP$57),"")=0,"",IF(MID(IFERROR(INDEX(醫師週班表!$C$5:$T$44,$CU20,AP$57),""),2,1)="/",MID(IFERROR(INDEX(醫師週班表!$C$5:$T$44,$CU20,AP$57),""),1+AP$58*2,1),IF(MID(IFERROR(INDEX(醫師週班表!$C$5:$T$44,$CU20,AP$57),""),3,1)="隔",IF(AP$58=0,LEFT(IFERROR(INDEX(醫師週班表!$C$5:$T$44,$CU20,AP$57),""),1),""),IF(MID(IFERROR(INDEX(醫師週班表!$C$5:$T$44,$CU20,AP$57),""),2,1)="(",LEFT(IFERROR(INDEX(醫師週班表!$C$5:$T$44,$CU20,AP$57),""),1),IFERROR(INDEX(醫師週班表!$C$5:$T$44,$CU20,AP$57),"")))))))</f>
        <v/>
      </c>
      <c r="AQ20" s="72">
        <f>IF(AQ$59="X","",IF(AQ$59&lt;&gt;"",AQ$59,IF(IFERROR(INDEX(醫師週班表!$C$5:$T$44,$CU20,AQ$57),"")=0,"",IF(MID(IFERROR(INDEX(醫師週班表!$C$5:$T$44,$CU20,AQ$57),""),2,1)="/",MID(IFERROR(INDEX(醫師週班表!$C$5:$T$44,$CU20,AQ$57),""),1+AQ$58*2,1),IF(MID(IFERROR(INDEX(醫師週班表!$C$5:$T$44,$CU20,AQ$57),""),3,1)="隔",IF(AQ$58=0,LEFT(IFERROR(INDEX(醫師週班表!$C$5:$T$44,$CU20,AQ$57),""),1),""),IF(MID(IFERROR(INDEX(醫師週班表!$C$5:$T$44,$CU20,AQ$57),""),2,1)="(",LEFT(IFERROR(INDEX(醫師週班表!$C$5:$T$44,$CU20,AQ$57),""),1),IFERROR(INDEX(醫師週班表!$C$5:$T$44,$CU20,AQ$57),"")))))))</f>
        <v/>
      </c>
      <c r="AR20" s="71">
        <f>IF(AR$59="X","",IF(AR$59&lt;&gt;"",AR$59,IF(IFERROR(INDEX(醫師週班表!$C$5:$T$44,$CU20,AR$57),"")=0,"",IF(MID(IFERROR(INDEX(醫師週班表!$C$5:$T$44,$CU20,AR$57),""),2,1)="/",MID(IFERROR(INDEX(醫師週班表!$C$5:$T$44,$CU20,AR$57),""),1+AR$58*2,1),IF(MID(IFERROR(INDEX(醫師週班表!$C$5:$T$44,$CU20,AR$57),""),3,1)="隔",IF(AR$58=0,LEFT(IFERROR(INDEX(醫師週班表!$C$5:$T$44,$CU20,AR$57),""),1),""),IF(MID(IFERROR(INDEX(醫師週班表!$C$5:$T$44,$CU20,AR$57),""),2,1)="(",LEFT(IFERROR(INDEX(醫師週班表!$C$5:$T$44,$CU20,AR$57),""),1),IFERROR(INDEX(醫師週班表!$C$5:$T$44,$CU20,AR$57),"")))))))</f>
        <v/>
      </c>
      <c r="AS20" s="72">
        <f>IF(AS$59="X","",IF(AS$59&lt;&gt;"",AS$59,IF(IFERROR(INDEX(醫師週班表!$C$5:$T$44,$CU20,AS$57),"")=0,"",IF(MID(IFERROR(INDEX(醫師週班表!$C$5:$T$44,$CU20,AS$57),""),2,1)="/",MID(IFERROR(INDEX(醫師週班表!$C$5:$T$44,$CU20,AS$57),""),1+AS$58*2,1),IF(MID(IFERROR(INDEX(醫師週班表!$C$5:$T$44,$CU20,AS$57),""),3,1)="隔",IF(AS$58=0,LEFT(IFERROR(INDEX(醫師週班表!$C$5:$T$44,$CU20,AS$57),""),1),""),IF(MID(IFERROR(INDEX(醫師週班表!$C$5:$T$44,$CU20,AS$57),""),2,1)="(",LEFT(IFERROR(INDEX(醫師週班表!$C$5:$T$44,$CU20,AS$57),""),1),IFERROR(INDEX(醫師週班表!$C$5:$T$44,$CU20,AS$57),"")))))))</f>
        <v/>
      </c>
      <c r="AT20" s="72">
        <f>IF(AT$59="X","",IF(AT$59&lt;&gt;"",AT$59,IF(IFERROR(INDEX(醫師週班表!$C$5:$T$44,$CU20,AT$57),"")=0,"",IF(MID(IFERROR(INDEX(醫師週班表!$C$5:$T$44,$CU20,AT$57),""),2,1)="/",MID(IFERROR(INDEX(醫師週班表!$C$5:$T$44,$CU20,AT$57),""),1+AT$58*2,1),IF(MID(IFERROR(INDEX(醫師週班表!$C$5:$T$44,$CU20,AT$57),""),3,1)="隔",IF(AT$58=0,LEFT(IFERROR(INDEX(醫師週班表!$C$5:$T$44,$CU20,AT$57),""),1),""),IF(MID(IFERROR(INDEX(醫師週班表!$C$5:$T$44,$CU20,AT$57),""),2,1)="(",LEFT(IFERROR(INDEX(醫師週班表!$C$5:$T$44,$CU20,AT$57),""),1),IFERROR(INDEX(醫師週班表!$C$5:$T$44,$CU20,AT$57),"")))))))</f>
        <v/>
      </c>
      <c r="AU20" s="71">
        <f>IF(AU$59="X","",IF(AU$59&lt;&gt;"",AU$59,IF(IFERROR(INDEX(醫師週班表!$C$5:$T$44,$CU20,AU$57),"")=0,"",IF(MID(IFERROR(INDEX(醫師週班表!$C$5:$T$44,$CU20,AU$57),""),2,1)="/",MID(IFERROR(INDEX(醫師週班表!$C$5:$T$44,$CU20,AU$57),""),1+AU$58*2,1),IF(MID(IFERROR(INDEX(醫師週班表!$C$5:$T$44,$CU20,AU$57),""),3,1)="隔",IF(AU$58=0,LEFT(IFERROR(INDEX(醫師週班表!$C$5:$T$44,$CU20,AU$57),""),1),""),IF(MID(IFERROR(INDEX(醫師週班表!$C$5:$T$44,$CU20,AU$57),""),2,1)="(",LEFT(IFERROR(INDEX(醫師週班表!$C$5:$T$44,$CU20,AU$57),""),1),IFERROR(INDEX(醫師週班表!$C$5:$T$44,$CU20,AU$57),"")))))))</f>
        <v/>
      </c>
      <c r="AV20" s="72">
        <f>IF(AV$59="X","",IF(AV$59&lt;&gt;"",AV$59,IF(IFERROR(INDEX(醫師週班表!$C$5:$T$44,$CU20,AV$57),"")=0,"",IF(MID(IFERROR(INDEX(醫師週班表!$C$5:$T$44,$CU20,AV$57),""),2,1)="/",MID(IFERROR(INDEX(醫師週班表!$C$5:$T$44,$CU20,AV$57),""),1+AV$58*2,1),IF(MID(IFERROR(INDEX(醫師週班表!$C$5:$T$44,$CU20,AV$57),""),3,1)="隔",IF(AV$58=0,LEFT(IFERROR(INDEX(醫師週班表!$C$5:$T$44,$CU20,AV$57),""),1),""),IF(MID(IFERROR(INDEX(醫師週班表!$C$5:$T$44,$CU20,AV$57),""),2,1)="(",LEFT(IFERROR(INDEX(醫師週班表!$C$5:$T$44,$CU20,AV$57),""),1),IFERROR(INDEX(醫師週班表!$C$5:$T$44,$CU20,AV$57),"")))))))</f>
        <v/>
      </c>
      <c r="AW20" s="72">
        <f>IF(AW$59="X","",IF(AW$59&lt;&gt;"",AW$59,IF(IFERROR(INDEX(醫師週班表!$C$5:$T$44,$CU20,AW$57),"")=0,"",IF(MID(IFERROR(INDEX(醫師週班表!$C$5:$T$44,$CU20,AW$57),""),2,1)="/",MID(IFERROR(INDEX(醫師週班表!$C$5:$T$44,$CU20,AW$57),""),1+AW$58*2,1),IF(MID(IFERROR(INDEX(醫師週班表!$C$5:$T$44,$CU20,AW$57),""),3,1)="隔",IF(AW$58=0,LEFT(IFERROR(INDEX(醫師週班表!$C$5:$T$44,$CU20,AW$57),""),1),""),IF(MID(IFERROR(INDEX(醫師週班表!$C$5:$T$44,$CU20,AW$57),""),2,1)="(",LEFT(IFERROR(INDEX(醫師週班表!$C$5:$T$44,$CU20,AW$57),""),1),IFERROR(INDEX(醫師週班表!$C$5:$T$44,$CU20,AW$57),"")))))))</f>
        <v/>
      </c>
      <c r="AX20" s="71">
        <f>IF(AX$59="X","",IF(AX$59&lt;&gt;"",AX$59,IF(IFERROR(INDEX(醫師週班表!$C$5:$T$44,$CU20,AX$57),"")=0,"",IF(MID(IFERROR(INDEX(醫師週班表!$C$5:$T$44,$CU20,AX$57),""),2,1)="/",MID(IFERROR(INDEX(醫師週班表!$C$5:$T$44,$CU20,AX$57),""),1+AX$58*2,1),IF(MID(IFERROR(INDEX(醫師週班表!$C$5:$T$44,$CU20,AX$57),""),3,1)="隔",IF(AX$58=0,LEFT(IFERROR(INDEX(醫師週班表!$C$5:$T$44,$CU20,AX$57),""),1),""),IF(MID(IFERROR(INDEX(醫師週班表!$C$5:$T$44,$CU20,AX$57),""),2,1)="(",LEFT(IFERROR(INDEX(醫師週班表!$C$5:$T$44,$CU20,AX$57),""),1),IFERROR(INDEX(醫師週班表!$C$5:$T$44,$CU20,AX$57),"")))))))</f>
        <v/>
      </c>
      <c r="AY20" s="72">
        <f>IF(AY$59="X","",IF(AY$59&lt;&gt;"",AY$59,IF(IFERROR(INDEX(醫師週班表!$C$5:$T$44,$CU20,AY$57),"")=0,"",IF(MID(IFERROR(INDEX(醫師週班表!$C$5:$T$44,$CU20,AY$57),""),2,1)="/",MID(IFERROR(INDEX(醫師週班表!$C$5:$T$44,$CU20,AY$57),""),1+AY$58*2,1),IF(MID(IFERROR(INDEX(醫師週班表!$C$5:$T$44,$CU20,AY$57),""),3,1)="隔",IF(AY$58=0,LEFT(IFERROR(INDEX(醫師週班表!$C$5:$T$44,$CU20,AY$57),""),1),""),IF(MID(IFERROR(INDEX(醫師週班表!$C$5:$T$44,$CU20,AY$57),""),2,1)="(",LEFT(IFERROR(INDEX(醫師週班表!$C$5:$T$44,$CU20,AY$57),""),1),IFERROR(INDEX(醫師週班表!$C$5:$T$44,$CU20,AY$57),"")))))))</f>
        <v/>
      </c>
      <c r="AZ20" s="72">
        <f>IF(AZ$59="X","",IF(AZ$59&lt;&gt;"",AZ$59,IF(IFERROR(INDEX(醫師週班表!$C$5:$T$44,$CU20,AZ$57),"")=0,"",IF(MID(IFERROR(INDEX(醫師週班表!$C$5:$T$44,$CU20,AZ$57),""),2,1)="/",MID(IFERROR(INDEX(醫師週班表!$C$5:$T$44,$CU20,AZ$57),""),1+AZ$58*2,1),IF(MID(IFERROR(INDEX(醫師週班表!$C$5:$T$44,$CU20,AZ$57),""),3,1)="隔",IF(AZ$58=0,LEFT(IFERROR(INDEX(醫師週班表!$C$5:$T$44,$CU20,AZ$57),""),1),""),IF(MID(IFERROR(INDEX(醫師週班表!$C$5:$T$44,$CU20,AZ$57),""),2,1)="(",LEFT(IFERROR(INDEX(醫師週班表!$C$5:$T$44,$CU20,AZ$57),""),1),IFERROR(INDEX(醫師週班表!$C$5:$T$44,$CU20,AZ$57),"")))))))</f>
        <v/>
      </c>
      <c r="BA20" s="71">
        <f>IF(BA$59="X","",IF(BA$59&lt;&gt;"",BA$59,IF(IFERROR(INDEX(醫師週班表!$C$5:$T$44,$CU20,BA$57),"")=0,"",IF(MID(IFERROR(INDEX(醫師週班表!$C$5:$T$44,$CU20,BA$57),""),2,1)="/",MID(IFERROR(INDEX(醫師週班表!$C$5:$T$44,$CU20,BA$57),""),1+BA$58*2,1),IF(MID(IFERROR(INDEX(醫師週班表!$C$5:$T$44,$CU20,BA$57),""),3,1)="隔",IF(BA$58=0,LEFT(IFERROR(INDEX(醫師週班表!$C$5:$T$44,$CU20,BA$57),""),1),""),IF(MID(IFERROR(INDEX(醫師週班表!$C$5:$T$44,$CU20,BA$57),""),2,1)="(",LEFT(IFERROR(INDEX(醫師週班表!$C$5:$T$44,$CU20,BA$57),""),1),IFERROR(INDEX(醫師週班表!$C$5:$T$44,$CU20,BA$57),"")))))))</f>
        <v/>
      </c>
      <c r="BB20" s="72">
        <f>IF(BB$59="X","",IF(BB$59&lt;&gt;"",BB$59,IF(IFERROR(INDEX(醫師週班表!$C$5:$T$44,$CU20,BB$57),"")=0,"",IF(MID(IFERROR(INDEX(醫師週班表!$C$5:$T$44,$CU20,BB$57),""),2,1)="/",MID(IFERROR(INDEX(醫師週班表!$C$5:$T$44,$CU20,BB$57),""),1+BB$58*2,1),IF(MID(IFERROR(INDEX(醫師週班表!$C$5:$T$44,$CU20,BB$57),""),3,1)="隔",IF(BB$58=0,LEFT(IFERROR(INDEX(醫師週班表!$C$5:$T$44,$CU20,BB$57),""),1),""),IF(MID(IFERROR(INDEX(醫師週班表!$C$5:$T$44,$CU20,BB$57),""),2,1)="(",LEFT(IFERROR(INDEX(醫師週班表!$C$5:$T$44,$CU20,BB$57),""),1),IFERROR(INDEX(醫師週班表!$C$5:$T$44,$CU20,BB$57),"")))))))</f>
        <v/>
      </c>
      <c r="BC20" s="72">
        <f>IF(BC$59="X","",IF(BC$59&lt;&gt;"",BC$59,IF(IFERROR(INDEX(醫師週班表!$C$5:$T$44,$CU20,BC$57),"")=0,"",IF(MID(IFERROR(INDEX(醫師週班表!$C$5:$T$44,$CU20,BC$57),""),2,1)="/",MID(IFERROR(INDEX(醫師週班表!$C$5:$T$44,$CU20,BC$57),""),1+BC$58*2,1),IF(MID(IFERROR(INDEX(醫師週班表!$C$5:$T$44,$CU20,BC$57),""),3,1)="隔",IF(BC$58=0,LEFT(IFERROR(INDEX(醫師週班表!$C$5:$T$44,$CU20,BC$57),""),1),""),IF(MID(IFERROR(INDEX(醫師週班表!$C$5:$T$44,$CU20,BC$57),""),2,1)="(",LEFT(IFERROR(INDEX(醫師週班表!$C$5:$T$44,$CU20,BC$57),""),1),IFERROR(INDEX(醫師週班表!$C$5:$T$44,$CU20,BC$57),"")))))))</f>
        <v/>
      </c>
      <c r="BD20" s="71">
        <f>IF(BD$59="X","",IF(BD$59&lt;&gt;"",BD$59,IF(IFERROR(INDEX(醫師週班表!$C$5:$T$44,$CU20,BD$57),"")=0,"",IF(MID(IFERROR(INDEX(醫師週班表!$C$5:$T$44,$CU20,BD$57),""),2,1)="/",MID(IFERROR(INDEX(醫師週班表!$C$5:$T$44,$CU20,BD$57),""),1+BD$58*2,1),IF(MID(IFERROR(INDEX(醫師週班表!$C$5:$T$44,$CU20,BD$57),""),3,1)="隔",IF(BD$58=0,LEFT(IFERROR(INDEX(醫師週班表!$C$5:$T$44,$CU20,BD$57),""),1),""),IF(MID(IFERROR(INDEX(醫師週班表!$C$5:$T$44,$CU20,BD$57),""),2,1)="(",LEFT(IFERROR(INDEX(醫師週班表!$C$5:$T$44,$CU20,BD$57),""),1),IFERROR(INDEX(醫師週班表!$C$5:$T$44,$CU20,BD$57),"")))))))</f>
        <v/>
      </c>
      <c r="BE20" s="72">
        <f>IF(BE$59="X","",IF(BE$59&lt;&gt;"",BE$59,IF(IFERROR(INDEX(醫師週班表!$C$5:$T$44,$CU20,BE$57),"")=0,"",IF(MID(IFERROR(INDEX(醫師週班表!$C$5:$T$44,$CU20,BE$57),""),2,1)="/",MID(IFERROR(INDEX(醫師週班表!$C$5:$T$44,$CU20,BE$57),""),1+BE$58*2,1),IF(MID(IFERROR(INDEX(醫師週班表!$C$5:$T$44,$CU20,BE$57),""),3,1)="隔",IF(BE$58=0,LEFT(IFERROR(INDEX(醫師週班表!$C$5:$T$44,$CU20,BE$57),""),1),""),IF(MID(IFERROR(INDEX(醫師週班表!$C$5:$T$44,$CU20,BE$57),""),2,1)="(",LEFT(IFERROR(INDEX(醫師週班表!$C$5:$T$44,$CU20,BE$57),""),1),IFERROR(INDEX(醫師週班表!$C$5:$T$44,$CU20,BE$57),"")))))))</f>
        <v/>
      </c>
      <c r="BF20" s="72">
        <f>IF(BF$59="X","",IF(BF$59&lt;&gt;"",BF$59,IF(IFERROR(INDEX(醫師週班表!$C$5:$T$44,$CU20,BF$57),"")=0,"",IF(MID(IFERROR(INDEX(醫師週班表!$C$5:$T$44,$CU20,BF$57),""),2,1)="/",MID(IFERROR(INDEX(醫師週班表!$C$5:$T$44,$CU20,BF$57),""),1+BF$58*2,1),IF(MID(IFERROR(INDEX(醫師週班表!$C$5:$T$44,$CU20,BF$57),""),3,1)="隔",IF(BF$58=0,LEFT(IFERROR(INDEX(醫師週班表!$C$5:$T$44,$CU20,BF$57),""),1),""),IF(MID(IFERROR(INDEX(醫師週班表!$C$5:$T$44,$CU20,BF$57),""),2,1)="(",LEFT(IFERROR(INDEX(醫師週班表!$C$5:$T$44,$CU20,BF$57),""),1),IFERROR(INDEX(醫師週班表!$C$5:$T$44,$CU20,BF$57),"")))))))</f>
        <v/>
      </c>
      <c r="BG20" s="71">
        <f>IF(BG$59="X","",IF(BG$59&lt;&gt;"",BG$59,IF(IFERROR(INDEX(醫師週班表!$C$5:$T$44,$CU20,BG$57),"")=0,"",IF(MID(IFERROR(INDEX(醫師週班表!$C$5:$T$44,$CU20,BG$57),""),2,1)="/",MID(IFERROR(INDEX(醫師週班表!$C$5:$T$44,$CU20,BG$57),""),1+BG$58*2,1),IF(MID(IFERROR(INDEX(醫師週班表!$C$5:$T$44,$CU20,BG$57),""),3,1)="隔",IF(BG$58=0,LEFT(IFERROR(INDEX(醫師週班表!$C$5:$T$44,$CU20,BG$57),""),1),""),IF(MID(IFERROR(INDEX(醫師週班表!$C$5:$T$44,$CU20,BG$57),""),2,1)="(",LEFT(IFERROR(INDEX(醫師週班表!$C$5:$T$44,$CU20,BG$57),""),1),IFERROR(INDEX(醫師週班表!$C$5:$T$44,$CU20,BG$57),"")))))))</f>
        <v/>
      </c>
      <c r="BH20" s="72">
        <f>IF(BH$59="X","",IF(BH$59&lt;&gt;"",BH$59,IF(IFERROR(INDEX(醫師週班表!$C$5:$T$44,$CU20,BH$57),"")=0,"",IF(MID(IFERROR(INDEX(醫師週班表!$C$5:$T$44,$CU20,BH$57),""),2,1)="/",MID(IFERROR(INDEX(醫師週班表!$C$5:$T$44,$CU20,BH$57),""),1+BH$58*2,1),IF(MID(IFERROR(INDEX(醫師週班表!$C$5:$T$44,$CU20,BH$57),""),3,1)="隔",IF(BH$58=0,LEFT(IFERROR(INDEX(醫師週班表!$C$5:$T$44,$CU20,BH$57),""),1),""),IF(MID(IFERROR(INDEX(醫師週班表!$C$5:$T$44,$CU20,BH$57),""),2,1)="(",LEFT(IFERROR(INDEX(醫師週班表!$C$5:$T$44,$CU20,BH$57),""),1),IFERROR(INDEX(醫師週班表!$C$5:$T$44,$CU20,BH$57),"")))))))</f>
        <v/>
      </c>
      <c r="BI20" s="72">
        <f>IF(BI$59="X","",IF(BI$59&lt;&gt;"",BI$59,IF(IFERROR(INDEX(醫師週班表!$C$5:$T$44,$CU20,BI$57),"")=0,"",IF(MID(IFERROR(INDEX(醫師週班表!$C$5:$T$44,$CU20,BI$57),""),2,1)="/",MID(IFERROR(INDEX(醫師週班表!$C$5:$T$44,$CU20,BI$57),""),1+BI$58*2,1),IF(MID(IFERROR(INDEX(醫師週班表!$C$5:$T$44,$CU20,BI$57),""),3,1)="隔",IF(BI$58=0,LEFT(IFERROR(INDEX(醫師週班表!$C$5:$T$44,$CU20,BI$57),""),1),""),IF(MID(IFERROR(INDEX(醫師週班表!$C$5:$T$44,$CU20,BI$57),""),2,1)="(",LEFT(IFERROR(INDEX(醫師週班表!$C$5:$T$44,$CU20,BI$57),""),1),IFERROR(INDEX(醫師週班表!$C$5:$T$44,$CU20,BI$57),"")))))))</f>
        <v/>
      </c>
      <c r="BJ20" s="71">
        <f>IF(BJ$59="X","",IF(BJ$59&lt;&gt;"",BJ$59,IF(IFERROR(INDEX(醫師週班表!$C$5:$T$44,$CU20,BJ$57),"")=0,"",IF(MID(IFERROR(INDEX(醫師週班表!$C$5:$T$44,$CU20,BJ$57),""),2,1)="/",MID(IFERROR(INDEX(醫師週班表!$C$5:$T$44,$CU20,BJ$57),""),1+BJ$58*2,1),IF(MID(IFERROR(INDEX(醫師週班表!$C$5:$T$44,$CU20,BJ$57),""),3,1)="隔",IF(BJ$58=0,LEFT(IFERROR(INDEX(醫師週班表!$C$5:$T$44,$CU20,BJ$57),""),1),""),IF(MID(IFERROR(INDEX(醫師週班表!$C$5:$T$44,$CU20,BJ$57),""),2,1)="(",LEFT(IFERROR(INDEX(醫師週班表!$C$5:$T$44,$CU20,BJ$57),""),1),IFERROR(INDEX(醫師週班表!$C$5:$T$44,$CU20,BJ$57),"")))))))</f>
        <v/>
      </c>
      <c r="BK20" s="72">
        <f>IF(BK$59="X","",IF(BK$59&lt;&gt;"",BK$59,IF(IFERROR(INDEX(醫師週班表!$C$5:$T$44,$CU20,BK$57),"")=0,"",IF(MID(IFERROR(INDEX(醫師週班表!$C$5:$T$44,$CU20,BK$57),""),2,1)="/",MID(IFERROR(INDEX(醫師週班表!$C$5:$T$44,$CU20,BK$57),""),1+BK$58*2,1),IF(MID(IFERROR(INDEX(醫師週班表!$C$5:$T$44,$CU20,BK$57),""),3,1)="隔",IF(BK$58=0,LEFT(IFERROR(INDEX(醫師週班表!$C$5:$T$44,$CU20,BK$57),""),1),""),IF(MID(IFERROR(INDEX(醫師週班表!$C$5:$T$44,$CU20,BK$57),""),2,1)="(",LEFT(IFERROR(INDEX(醫師週班表!$C$5:$T$44,$CU20,BK$57),""),1),IFERROR(INDEX(醫師週班表!$C$5:$T$44,$CU20,BK$57),"")))))))</f>
        <v/>
      </c>
      <c r="BL20" s="72">
        <f>IF(BL$59="X","",IF(BL$59&lt;&gt;"",BL$59,IF(IFERROR(INDEX(醫師週班表!$C$5:$T$44,$CU20,BL$57),"")=0,"",IF(MID(IFERROR(INDEX(醫師週班表!$C$5:$T$44,$CU20,BL$57),""),2,1)="/",MID(IFERROR(INDEX(醫師週班表!$C$5:$T$44,$CU20,BL$57),""),1+BL$58*2,1),IF(MID(IFERROR(INDEX(醫師週班表!$C$5:$T$44,$CU20,BL$57),""),3,1)="隔",IF(BL$58=0,LEFT(IFERROR(INDEX(醫師週班表!$C$5:$T$44,$CU20,BL$57),""),1),""),IF(MID(IFERROR(INDEX(醫師週班表!$C$5:$T$44,$CU20,BL$57),""),2,1)="(",LEFT(IFERROR(INDEX(醫師週班表!$C$5:$T$44,$CU20,BL$57),""),1),IFERROR(INDEX(醫師週班表!$C$5:$T$44,$CU20,BL$57),"")))))))</f>
        <v/>
      </c>
      <c r="BM20" s="71">
        <f>IF(BM$59="X","",IF(BM$59&lt;&gt;"",BM$59,IF(IFERROR(INDEX(醫師週班表!$C$5:$T$44,$CU20,BM$57),"")=0,"",IF(MID(IFERROR(INDEX(醫師週班表!$C$5:$T$44,$CU20,BM$57),""),2,1)="/",MID(IFERROR(INDEX(醫師週班表!$C$5:$T$44,$CU20,BM$57),""),1+BM$58*2,1),IF(MID(IFERROR(INDEX(醫師週班表!$C$5:$T$44,$CU20,BM$57),""),3,1)="隔",IF(BM$58=0,LEFT(IFERROR(INDEX(醫師週班表!$C$5:$T$44,$CU20,BM$57),""),1),""),IF(MID(IFERROR(INDEX(醫師週班表!$C$5:$T$44,$CU20,BM$57),""),2,1)="(",LEFT(IFERROR(INDEX(醫師週班表!$C$5:$T$44,$CU20,BM$57),""),1),IFERROR(INDEX(醫師週班表!$C$5:$T$44,$CU20,BM$57),"")))))))</f>
        <v/>
      </c>
      <c r="BN20" s="72">
        <f>IF(BN$59="X","",IF(BN$59&lt;&gt;"",BN$59,IF(IFERROR(INDEX(醫師週班表!$C$5:$T$44,$CU20,BN$57),"")=0,"",IF(MID(IFERROR(INDEX(醫師週班表!$C$5:$T$44,$CU20,BN$57),""),2,1)="/",MID(IFERROR(INDEX(醫師週班表!$C$5:$T$44,$CU20,BN$57),""),1+BN$58*2,1),IF(MID(IFERROR(INDEX(醫師週班表!$C$5:$T$44,$CU20,BN$57),""),3,1)="隔",IF(BN$58=0,LEFT(IFERROR(INDEX(醫師週班表!$C$5:$T$44,$CU20,BN$57),""),1),""),IF(MID(IFERROR(INDEX(醫師週班表!$C$5:$T$44,$CU20,BN$57),""),2,1)="(",LEFT(IFERROR(INDEX(醫師週班表!$C$5:$T$44,$CU20,BN$57),""),1),IFERROR(INDEX(醫師週班表!$C$5:$T$44,$CU20,BN$57),"")))))))</f>
        <v/>
      </c>
      <c r="BO20" s="72">
        <f>IF(BO$59="X","",IF(BO$59&lt;&gt;"",BO$59,IF(IFERROR(INDEX(醫師週班表!$C$5:$T$44,$CU20,BO$57),"")=0,"",IF(MID(IFERROR(INDEX(醫師週班表!$C$5:$T$44,$CU20,BO$57),""),2,1)="/",MID(IFERROR(INDEX(醫師週班表!$C$5:$T$44,$CU20,BO$57),""),1+BO$58*2,1),IF(MID(IFERROR(INDEX(醫師週班表!$C$5:$T$44,$CU20,BO$57),""),3,1)="隔",IF(BO$58=0,LEFT(IFERROR(INDEX(醫師週班表!$C$5:$T$44,$CU20,BO$57),""),1),""),IF(MID(IFERROR(INDEX(醫師週班表!$C$5:$T$44,$CU20,BO$57),""),2,1)="(",LEFT(IFERROR(INDEX(醫師週班表!$C$5:$T$44,$CU20,BO$57),""),1),IFERROR(INDEX(醫師週班表!$C$5:$T$44,$CU20,BO$57),"")))))))</f>
        <v/>
      </c>
      <c r="BP20" s="71">
        <f>IF(BP$59="X","",IF(BP$59&lt;&gt;"",BP$59,IF(IFERROR(INDEX(醫師週班表!$C$5:$T$44,$CU20,BP$57),"")=0,"",IF(MID(IFERROR(INDEX(醫師週班表!$C$5:$T$44,$CU20,BP$57),""),2,1)="/",MID(IFERROR(INDEX(醫師週班表!$C$5:$T$44,$CU20,BP$57),""),1+BP$58*2,1),IF(MID(IFERROR(INDEX(醫師週班表!$C$5:$T$44,$CU20,BP$57),""),3,1)="隔",IF(BP$58=0,LEFT(IFERROR(INDEX(醫師週班表!$C$5:$T$44,$CU20,BP$57),""),1),""),IF(MID(IFERROR(INDEX(醫師週班表!$C$5:$T$44,$CU20,BP$57),""),2,1)="(",LEFT(IFERROR(INDEX(醫師週班表!$C$5:$T$44,$CU20,BP$57),""),1),IFERROR(INDEX(醫師週班表!$C$5:$T$44,$CU20,BP$57),"")))))))</f>
        <v/>
      </c>
      <c r="BQ20" s="72">
        <f>IF(BQ$59="X","",IF(BQ$59&lt;&gt;"",BQ$59,IF(IFERROR(INDEX(醫師週班表!$C$5:$T$44,$CU20,BQ$57),"")=0,"",IF(MID(IFERROR(INDEX(醫師週班表!$C$5:$T$44,$CU20,BQ$57),""),2,1)="/",MID(IFERROR(INDEX(醫師週班表!$C$5:$T$44,$CU20,BQ$57),""),1+BQ$58*2,1),IF(MID(IFERROR(INDEX(醫師週班表!$C$5:$T$44,$CU20,BQ$57),""),3,1)="隔",IF(BQ$58=0,LEFT(IFERROR(INDEX(醫師週班表!$C$5:$T$44,$CU20,BQ$57),""),1),""),IF(MID(IFERROR(INDEX(醫師週班表!$C$5:$T$44,$CU20,BQ$57),""),2,1)="(",LEFT(IFERROR(INDEX(醫師週班表!$C$5:$T$44,$CU20,BQ$57),""),1),IFERROR(INDEX(醫師週班表!$C$5:$T$44,$CU20,BQ$57),"")))))))</f>
        <v/>
      </c>
      <c r="BR20" s="72">
        <f>IF(BR$59="X","",IF(BR$59&lt;&gt;"",BR$59,IF(IFERROR(INDEX(醫師週班表!$C$5:$T$44,$CU20,BR$57),"")=0,"",IF(MID(IFERROR(INDEX(醫師週班表!$C$5:$T$44,$CU20,BR$57),""),2,1)="/",MID(IFERROR(INDEX(醫師週班表!$C$5:$T$44,$CU20,BR$57),""),1+BR$58*2,1),IF(MID(IFERROR(INDEX(醫師週班表!$C$5:$T$44,$CU20,BR$57),""),3,1)="隔",IF(BR$58=0,LEFT(IFERROR(INDEX(醫師週班表!$C$5:$T$44,$CU20,BR$57),""),1),""),IF(MID(IFERROR(INDEX(醫師週班表!$C$5:$T$44,$CU20,BR$57),""),2,1)="(",LEFT(IFERROR(INDEX(醫師週班表!$C$5:$T$44,$CU20,BR$57),""),1),IFERROR(INDEX(醫師週班表!$C$5:$T$44,$CU20,BR$57),"")))))))</f>
        <v/>
      </c>
      <c r="BS20" s="71">
        <f>IF(BS$59="X","",IF(BS$59&lt;&gt;"",BS$59,IF(IFERROR(INDEX(醫師週班表!$C$5:$T$44,$CU20,BS$57),"")=0,"",IF(MID(IFERROR(INDEX(醫師週班表!$C$5:$T$44,$CU20,BS$57),""),2,1)="/",MID(IFERROR(INDEX(醫師週班表!$C$5:$T$44,$CU20,BS$57),""),1+BS$58*2,1),IF(MID(IFERROR(INDEX(醫師週班表!$C$5:$T$44,$CU20,BS$57),""),3,1)="隔",IF(BS$58=0,LEFT(IFERROR(INDEX(醫師週班表!$C$5:$T$44,$CU20,BS$57),""),1),""),IF(MID(IFERROR(INDEX(醫師週班表!$C$5:$T$44,$CU20,BS$57),""),2,1)="(",LEFT(IFERROR(INDEX(醫師週班表!$C$5:$T$44,$CU20,BS$57),""),1),IFERROR(INDEX(醫師週班表!$C$5:$T$44,$CU20,BS$57),"")))))))</f>
        <v/>
      </c>
      <c r="BT20" s="72">
        <f>IF(BT$59="X","",IF(BT$59&lt;&gt;"",BT$59,IF(IFERROR(INDEX(醫師週班表!$C$5:$T$44,$CU20,BT$57),"")=0,"",IF(MID(IFERROR(INDEX(醫師週班表!$C$5:$T$44,$CU20,BT$57),""),2,1)="/",MID(IFERROR(INDEX(醫師週班表!$C$5:$T$44,$CU20,BT$57),""),1+BT$58*2,1),IF(MID(IFERROR(INDEX(醫師週班表!$C$5:$T$44,$CU20,BT$57),""),3,1)="隔",IF(BT$58=0,LEFT(IFERROR(INDEX(醫師週班表!$C$5:$T$44,$CU20,BT$57),""),1),""),IF(MID(IFERROR(INDEX(醫師週班表!$C$5:$T$44,$CU20,BT$57),""),2,1)="(",LEFT(IFERROR(INDEX(醫師週班表!$C$5:$T$44,$CU20,BT$57),""),1),IFERROR(INDEX(醫師週班表!$C$5:$T$44,$CU20,BT$57),"")))))))</f>
        <v/>
      </c>
      <c r="BU20" s="72">
        <f>IF(BU$59="X","",IF(BU$59&lt;&gt;"",BU$59,IF(IFERROR(INDEX(醫師週班表!$C$5:$T$44,$CU20,BU$57),"")=0,"",IF(MID(IFERROR(INDEX(醫師週班表!$C$5:$T$44,$CU20,BU$57),""),2,1)="/",MID(IFERROR(INDEX(醫師週班表!$C$5:$T$44,$CU20,BU$57),""),1+BU$58*2,1),IF(MID(IFERROR(INDEX(醫師週班表!$C$5:$T$44,$CU20,BU$57),""),3,1)="隔",IF(BU$58=0,LEFT(IFERROR(INDEX(醫師週班表!$C$5:$T$44,$CU20,BU$57),""),1),""),IF(MID(IFERROR(INDEX(醫師週班表!$C$5:$T$44,$CU20,BU$57),""),2,1)="(",LEFT(IFERROR(INDEX(醫師週班表!$C$5:$T$44,$CU20,BU$57),""),1),IFERROR(INDEX(醫師週班表!$C$5:$T$44,$CU20,BU$57),"")))))))</f>
        <v/>
      </c>
      <c r="BV20" s="71">
        <f>IF(BV$59="X","",IF(BV$59&lt;&gt;"",BV$59,IF(IFERROR(INDEX(醫師週班表!$C$5:$T$44,$CU20,BV$57),"")=0,"",IF(MID(IFERROR(INDEX(醫師週班表!$C$5:$T$44,$CU20,BV$57),""),2,1)="/",MID(IFERROR(INDEX(醫師週班表!$C$5:$T$44,$CU20,BV$57),""),1+BV$58*2,1),IF(MID(IFERROR(INDEX(醫師週班表!$C$5:$T$44,$CU20,BV$57),""),3,1)="隔",IF(BV$58=0,LEFT(IFERROR(INDEX(醫師週班表!$C$5:$T$44,$CU20,BV$57),""),1),""),IF(MID(IFERROR(INDEX(醫師週班表!$C$5:$T$44,$CU20,BV$57),""),2,1)="(",LEFT(IFERROR(INDEX(醫師週班表!$C$5:$T$44,$CU20,BV$57),""),1),IFERROR(INDEX(醫師週班表!$C$5:$T$44,$CU20,BV$57),"")))))))</f>
        <v/>
      </c>
      <c r="BW20" s="72">
        <f>IF(BW$59="X","",IF(BW$59&lt;&gt;"",BW$59,IF(IFERROR(INDEX(醫師週班表!$C$5:$T$44,$CU20,BW$57),"")=0,"",IF(MID(IFERROR(INDEX(醫師週班表!$C$5:$T$44,$CU20,BW$57),""),2,1)="/",MID(IFERROR(INDEX(醫師週班表!$C$5:$T$44,$CU20,BW$57),""),1+BW$58*2,1),IF(MID(IFERROR(INDEX(醫師週班表!$C$5:$T$44,$CU20,BW$57),""),3,1)="隔",IF(BW$58=0,LEFT(IFERROR(INDEX(醫師週班表!$C$5:$T$44,$CU20,BW$57),""),1),""),IF(MID(IFERROR(INDEX(醫師週班表!$C$5:$T$44,$CU20,BW$57),""),2,1)="(",LEFT(IFERROR(INDEX(醫師週班表!$C$5:$T$44,$CU20,BW$57),""),1),IFERROR(INDEX(醫師週班表!$C$5:$T$44,$CU20,BW$57),"")))))))</f>
        <v/>
      </c>
      <c r="BX20" s="72">
        <f>IF(BX$59="X","",IF(BX$59&lt;&gt;"",BX$59,IF(IFERROR(INDEX(醫師週班表!$C$5:$T$44,$CU20,BX$57),"")=0,"",IF(MID(IFERROR(INDEX(醫師週班表!$C$5:$T$44,$CU20,BX$57),""),2,1)="/",MID(IFERROR(INDEX(醫師週班表!$C$5:$T$44,$CU20,BX$57),""),1+BX$58*2,1),IF(MID(IFERROR(INDEX(醫師週班表!$C$5:$T$44,$CU20,BX$57),""),3,1)="隔",IF(BX$58=0,LEFT(IFERROR(INDEX(醫師週班表!$C$5:$T$44,$CU20,BX$57),""),1),""),IF(MID(IFERROR(INDEX(醫師週班表!$C$5:$T$44,$CU20,BX$57),""),2,1)="(",LEFT(IFERROR(INDEX(醫師週班表!$C$5:$T$44,$CU20,BX$57),""),1),IFERROR(INDEX(醫師週班表!$C$5:$T$44,$CU20,BX$57),"")))))))</f>
        <v/>
      </c>
      <c r="BY20" s="71">
        <f>IF(BY$59="X","",IF(BY$59&lt;&gt;"",BY$59,IF(IFERROR(INDEX(醫師週班表!$C$5:$T$44,$CU20,BY$57),"")=0,"",IF(MID(IFERROR(INDEX(醫師週班表!$C$5:$T$44,$CU20,BY$57),""),2,1)="/",MID(IFERROR(INDEX(醫師週班表!$C$5:$T$44,$CU20,BY$57),""),1+BY$58*2,1),IF(MID(IFERROR(INDEX(醫師週班表!$C$5:$T$44,$CU20,BY$57),""),3,1)="隔",IF(BY$58=0,LEFT(IFERROR(INDEX(醫師週班表!$C$5:$T$44,$CU20,BY$57),""),1),""),IF(MID(IFERROR(INDEX(醫師週班表!$C$5:$T$44,$CU20,BY$57),""),2,1)="(",LEFT(IFERROR(INDEX(醫師週班表!$C$5:$T$44,$CU20,BY$57),""),1),IFERROR(INDEX(醫師週班表!$C$5:$T$44,$CU20,BY$57),"")))))))</f>
        <v/>
      </c>
      <c r="BZ20" s="72">
        <f>IF(BZ$59="X","",IF(BZ$59&lt;&gt;"",BZ$59,IF(IFERROR(INDEX(醫師週班表!$C$5:$T$44,$CU20,BZ$57),"")=0,"",IF(MID(IFERROR(INDEX(醫師週班表!$C$5:$T$44,$CU20,BZ$57),""),2,1)="/",MID(IFERROR(INDEX(醫師週班表!$C$5:$T$44,$CU20,BZ$57),""),1+BZ$58*2,1),IF(MID(IFERROR(INDEX(醫師週班表!$C$5:$T$44,$CU20,BZ$57),""),3,1)="隔",IF(BZ$58=0,LEFT(IFERROR(INDEX(醫師週班表!$C$5:$T$44,$CU20,BZ$57),""),1),""),IF(MID(IFERROR(INDEX(醫師週班表!$C$5:$T$44,$CU20,BZ$57),""),2,1)="(",LEFT(IFERROR(INDEX(醫師週班表!$C$5:$T$44,$CU20,BZ$57),""),1),IFERROR(INDEX(醫師週班表!$C$5:$T$44,$CU20,BZ$57),"")))))))</f>
        <v/>
      </c>
      <c r="CA20" s="72">
        <f>IF(CA$59="X","",IF(CA$59&lt;&gt;"",CA$59,IF(IFERROR(INDEX(醫師週班表!$C$5:$T$44,$CU20,CA$57),"")=0,"",IF(MID(IFERROR(INDEX(醫師週班表!$C$5:$T$44,$CU20,CA$57),""),2,1)="/",MID(IFERROR(INDEX(醫師週班表!$C$5:$T$44,$CU20,CA$57),""),1+CA$58*2,1),IF(MID(IFERROR(INDEX(醫師週班表!$C$5:$T$44,$CU20,CA$57),""),3,1)="隔",IF(CA$58=0,LEFT(IFERROR(INDEX(醫師週班表!$C$5:$T$44,$CU20,CA$57),""),1),""),IF(MID(IFERROR(INDEX(醫師週班表!$C$5:$T$44,$CU20,CA$57),""),2,1)="(",LEFT(IFERROR(INDEX(醫師週班表!$C$5:$T$44,$CU20,CA$57),""),1),IFERROR(INDEX(醫師週班表!$C$5:$T$44,$CU20,CA$57),"")))))))</f>
        <v/>
      </c>
      <c r="CB20" s="71">
        <f>IF(CB$59="X","",IF(CB$59&lt;&gt;"",CB$59,IF(IFERROR(INDEX(醫師週班表!$C$5:$T$44,$CU20,CB$57),"")=0,"",IF(MID(IFERROR(INDEX(醫師週班表!$C$5:$T$44,$CU20,CB$57),""),2,1)="/",MID(IFERROR(INDEX(醫師週班表!$C$5:$T$44,$CU20,CB$57),""),1+CB$58*2,1),IF(MID(IFERROR(INDEX(醫師週班表!$C$5:$T$44,$CU20,CB$57),""),3,1)="隔",IF(CB$58=0,LEFT(IFERROR(INDEX(醫師週班表!$C$5:$T$44,$CU20,CB$57),""),1),""),IF(MID(IFERROR(INDEX(醫師週班表!$C$5:$T$44,$CU20,CB$57),""),2,1)="(",LEFT(IFERROR(INDEX(醫師週班表!$C$5:$T$44,$CU20,CB$57),""),1),IFERROR(INDEX(醫師週班表!$C$5:$T$44,$CU20,CB$57),"")))))))</f>
        <v/>
      </c>
      <c r="CC20" s="72">
        <f>IF(CC$59="X","",IF(CC$59&lt;&gt;"",CC$59,IF(IFERROR(INDEX(醫師週班表!$C$5:$T$44,$CU20,CC$57),"")=0,"",IF(MID(IFERROR(INDEX(醫師週班表!$C$5:$T$44,$CU20,CC$57),""),2,1)="/",MID(IFERROR(INDEX(醫師週班表!$C$5:$T$44,$CU20,CC$57),""),1+CC$58*2,1),IF(MID(IFERROR(INDEX(醫師週班表!$C$5:$T$44,$CU20,CC$57),""),3,1)="隔",IF(CC$58=0,LEFT(IFERROR(INDEX(醫師週班表!$C$5:$T$44,$CU20,CC$57),""),1),""),IF(MID(IFERROR(INDEX(醫師週班表!$C$5:$T$44,$CU20,CC$57),""),2,1)="(",LEFT(IFERROR(INDEX(醫師週班表!$C$5:$T$44,$CU20,CC$57),""),1),IFERROR(INDEX(醫師週班表!$C$5:$T$44,$CU20,CC$57),"")))))))</f>
        <v/>
      </c>
      <c r="CD20" s="72">
        <f>IF(CD$59="X","",IF(CD$59&lt;&gt;"",CD$59,IF(IFERROR(INDEX(醫師週班表!$C$5:$T$44,$CU20,CD$57),"")=0,"",IF(MID(IFERROR(INDEX(醫師週班表!$C$5:$T$44,$CU20,CD$57),""),2,1)="/",MID(IFERROR(INDEX(醫師週班表!$C$5:$T$44,$CU20,CD$57),""),1+CD$58*2,1),IF(MID(IFERROR(INDEX(醫師週班表!$C$5:$T$44,$CU20,CD$57),""),3,1)="隔",IF(CD$58=0,LEFT(IFERROR(INDEX(醫師週班表!$C$5:$T$44,$CU20,CD$57),""),1),""),IF(MID(IFERROR(INDEX(醫師週班表!$C$5:$T$44,$CU20,CD$57),""),2,1)="(",LEFT(IFERROR(INDEX(醫師週班表!$C$5:$T$44,$CU20,CD$57),""),1),IFERROR(INDEX(醫師週班表!$C$5:$T$44,$CU20,CD$57),"")))))))</f>
        <v/>
      </c>
      <c r="CE20" s="71">
        <f>IF(CE$59="X","",IF(CE$59&lt;&gt;"",CE$59,IF(IFERROR(INDEX(醫師週班表!$C$5:$T$44,$CU20,CE$57),"")=0,"",IF(MID(IFERROR(INDEX(醫師週班表!$C$5:$T$44,$CU20,CE$57),""),2,1)="/",MID(IFERROR(INDEX(醫師週班表!$C$5:$T$44,$CU20,CE$57),""),1+CE$58*2,1),IF(MID(IFERROR(INDEX(醫師週班表!$C$5:$T$44,$CU20,CE$57),""),3,1)="隔",IF(CE$58=0,LEFT(IFERROR(INDEX(醫師週班表!$C$5:$T$44,$CU20,CE$57),""),1),""),IF(MID(IFERROR(INDEX(醫師週班表!$C$5:$T$44,$CU20,CE$57),""),2,1)="(",LEFT(IFERROR(INDEX(醫師週班表!$C$5:$T$44,$CU20,CE$57),""),1),IFERROR(INDEX(醫師週班表!$C$5:$T$44,$CU20,CE$57),"")))))))</f>
        <v/>
      </c>
      <c r="CF20" s="72">
        <f>IF(CF$59="X","",IF(CF$59&lt;&gt;"",CF$59,IF(IFERROR(INDEX(醫師週班表!$C$5:$T$44,$CU20,CF$57),"")=0,"",IF(MID(IFERROR(INDEX(醫師週班表!$C$5:$T$44,$CU20,CF$57),""),2,1)="/",MID(IFERROR(INDEX(醫師週班表!$C$5:$T$44,$CU20,CF$57),""),1+CF$58*2,1),IF(MID(IFERROR(INDEX(醫師週班表!$C$5:$T$44,$CU20,CF$57),""),3,1)="隔",IF(CF$58=0,LEFT(IFERROR(INDEX(醫師週班表!$C$5:$T$44,$CU20,CF$57),""),1),""),IF(MID(IFERROR(INDEX(醫師週班表!$C$5:$T$44,$CU20,CF$57),""),2,1)="(",LEFT(IFERROR(INDEX(醫師週班表!$C$5:$T$44,$CU20,CF$57),""),1),IFERROR(INDEX(醫師週班表!$C$5:$T$44,$CU20,CF$57),"")))))))</f>
        <v/>
      </c>
      <c r="CG20" s="72">
        <f>IF(CG$59="X","",IF(CG$59&lt;&gt;"",CG$59,IF(IFERROR(INDEX(醫師週班表!$C$5:$T$44,$CU20,CG$57),"")=0,"",IF(MID(IFERROR(INDEX(醫師週班表!$C$5:$T$44,$CU20,CG$57),""),2,1)="/",MID(IFERROR(INDEX(醫師週班表!$C$5:$T$44,$CU20,CG$57),""),1+CG$58*2,1),IF(MID(IFERROR(INDEX(醫師週班表!$C$5:$T$44,$CU20,CG$57),""),3,1)="隔",IF(CG$58=0,LEFT(IFERROR(INDEX(醫師週班表!$C$5:$T$44,$CU20,CG$57),""),1),""),IF(MID(IFERROR(INDEX(醫師週班表!$C$5:$T$44,$CU20,CG$57),""),2,1)="(",LEFT(IFERROR(INDEX(醫師週班表!$C$5:$T$44,$CU20,CG$57),""),1),IFERROR(INDEX(醫師週班表!$C$5:$T$44,$CU20,CG$57),"")))))))</f>
        <v/>
      </c>
      <c r="CH20" s="71">
        <f>IF(CH$59="X","",IF(CH$59&lt;&gt;"",CH$59,IF(IFERROR(INDEX(醫師週班表!$C$5:$T$44,$CU20,CH$57),"")=0,"",IF(MID(IFERROR(INDEX(醫師週班表!$C$5:$T$44,$CU20,CH$57),""),2,1)="/",MID(IFERROR(INDEX(醫師週班表!$C$5:$T$44,$CU20,CH$57),""),1+CH$58*2,1),IF(MID(IFERROR(INDEX(醫師週班表!$C$5:$T$44,$CU20,CH$57),""),3,1)="隔",IF(CH$58=0,LEFT(IFERROR(INDEX(醫師週班表!$C$5:$T$44,$CU20,CH$57),""),1),""),IF(MID(IFERROR(INDEX(醫師週班表!$C$5:$T$44,$CU20,CH$57),""),2,1)="(",LEFT(IFERROR(INDEX(醫師週班表!$C$5:$T$44,$CU20,CH$57),""),1),IFERROR(INDEX(醫師週班表!$C$5:$T$44,$CU20,CH$57),"")))))))</f>
        <v/>
      </c>
      <c r="CI20" s="72">
        <f>IF(CI$59="X","",IF(CI$59&lt;&gt;"",CI$59,IF(IFERROR(INDEX(醫師週班表!$C$5:$T$44,$CU20,CI$57),"")=0,"",IF(MID(IFERROR(INDEX(醫師週班表!$C$5:$T$44,$CU20,CI$57),""),2,1)="/",MID(IFERROR(INDEX(醫師週班表!$C$5:$T$44,$CU20,CI$57),""),1+CI$58*2,1),IF(MID(IFERROR(INDEX(醫師週班表!$C$5:$T$44,$CU20,CI$57),""),3,1)="隔",IF(CI$58=0,LEFT(IFERROR(INDEX(醫師週班表!$C$5:$T$44,$CU20,CI$57),""),1),""),IF(MID(IFERROR(INDEX(醫師週班表!$C$5:$T$44,$CU20,CI$57),""),2,1)="(",LEFT(IFERROR(INDEX(醫師週班表!$C$5:$T$44,$CU20,CI$57),""),1),IFERROR(INDEX(醫師週班表!$C$5:$T$44,$CU20,CI$57),"")))))))</f>
        <v/>
      </c>
      <c r="CJ20" s="72">
        <f>IF(CJ$59="X","",IF(CJ$59&lt;&gt;"",CJ$59,IF(IFERROR(INDEX(醫師週班表!$C$5:$T$44,$CU20,CJ$57),"")=0,"",IF(MID(IFERROR(INDEX(醫師週班表!$C$5:$T$44,$CU20,CJ$57),""),2,1)="/",MID(IFERROR(INDEX(醫師週班表!$C$5:$T$44,$CU20,CJ$57),""),1+CJ$58*2,1),IF(MID(IFERROR(INDEX(醫師週班表!$C$5:$T$44,$CU20,CJ$57),""),3,1)="隔",IF(CJ$58=0,LEFT(IFERROR(INDEX(醫師週班表!$C$5:$T$44,$CU20,CJ$57),""),1),""),IF(MID(IFERROR(INDEX(醫師週班表!$C$5:$T$44,$CU20,CJ$57),""),2,1)="(",LEFT(IFERROR(INDEX(醫師週班表!$C$5:$T$44,$CU20,CJ$57),""),1),IFERROR(INDEX(醫師週班表!$C$5:$T$44,$CU20,CJ$57),"")))))))</f>
        <v/>
      </c>
      <c r="CK20" s="71">
        <f>IF(CK$59="X","",IF(CK$59&lt;&gt;"",CK$59,IF(IFERROR(INDEX(醫師週班表!$C$5:$T$44,$CU20,CK$57),"")=0,"",IF(MID(IFERROR(INDEX(醫師週班表!$C$5:$T$44,$CU20,CK$57),""),2,1)="/",MID(IFERROR(INDEX(醫師週班表!$C$5:$T$44,$CU20,CK$57),""),1+CK$58*2,1),IF(MID(IFERROR(INDEX(醫師週班表!$C$5:$T$44,$CU20,CK$57),""),3,1)="隔",IF(CK$58=0,LEFT(IFERROR(INDEX(醫師週班表!$C$5:$T$44,$CU20,CK$57),""),1),""),IF(MID(IFERROR(INDEX(醫師週班表!$C$5:$T$44,$CU20,CK$57),""),2,1)="(",LEFT(IFERROR(INDEX(醫師週班表!$C$5:$T$44,$CU20,CK$57),""),1),IFERROR(INDEX(醫師週班表!$C$5:$T$44,$CU20,CK$57),"")))))))</f>
        <v/>
      </c>
      <c r="CL20" s="72">
        <f>IF(CL$59="X","",IF(CL$59&lt;&gt;"",CL$59,IF(IFERROR(INDEX(醫師週班表!$C$5:$T$44,$CU20,CL$57),"")=0,"",IF(MID(IFERROR(INDEX(醫師週班表!$C$5:$T$44,$CU20,CL$57),""),2,1)="/",MID(IFERROR(INDEX(醫師週班表!$C$5:$T$44,$CU20,CL$57),""),1+CL$58*2,1),IF(MID(IFERROR(INDEX(醫師週班表!$C$5:$T$44,$CU20,CL$57),""),3,1)="隔",IF(CL$58=0,LEFT(IFERROR(INDEX(醫師週班表!$C$5:$T$44,$CU20,CL$57),""),1),""),IF(MID(IFERROR(INDEX(醫師週班表!$C$5:$T$44,$CU20,CL$57),""),2,1)="(",LEFT(IFERROR(INDEX(醫師週班表!$C$5:$T$44,$CU20,CL$57),""),1),IFERROR(INDEX(醫師週班表!$C$5:$T$44,$CU20,CL$57),"")))))))</f>
        <v/>
      </c>
      <c r="CM20" s="72">
        <f>IF(CM$59="X","",IF(CM$59&lt;&gt;"",CM$59,IF(IFERROR(INDEX(醫師週班表!$C$5:$T$44,$CU20,CM$57),"")=0,"",IF(MID(IFERROR(INDEX(醫師週班表!$C$5:$T$44,$CU20,CM$57),""),2,1)="/",MID(IFERROR(INDEX(醫師週班表!$C$5:$T$44,$CU20,CM$57),""),1+CM$58*2,1),IF(MID(IFERROR(INDEX(醫師週班表!$C$5:$T$44,$CU20,CM$57),""),3,1)="隔",IF(CM$58=0,LEFT(IFERROR(INDEX(醫師週班表!$C$5:$T$44,$CU20,CM$57),""),1),""),IF(MID(IFERROR(INDEX(醫師週班表!$C$5:$T$44,$CU20,CM$57),""),2,1)="(",LEFT(IFERROR(INDEX(醫師週班表!$C$5:$T$44,$CU20,CM$57),""),1),IFERROR(INDEX(醫師週班表!$C$5:$T$44,$CU20,CM$57),"")))))))</f>
        <v/>
      </c>
      <c r="CN20" s="71">
        <f>IF(CN$59="X","",IF(CN$59&lt;&gt;"",CN$59,IF(IFERROR(INDEX(醫師週班表!$C$5:$T$44,$CU20,CN$57),"")=0,"",IF(MID(IFERROR(INDEX(醫師週班表!$C$5:$T$44,$CU20,CN$57),""),2,1)="/",MID(IFERROR(INDEX(醫師週班表!$C$5:$T$44,$CU20,CN$57),""),1+CN$58*2,1),IF(MID(IFERROR(INDEX(醫師週班表!$C$5:$T$44,$CU20,CN$57),""),3,1)="隔",IF(CN$58=0,LEFT(IFERROR(INDEX(醫師週班表!$C$5:$T$44,$CU20,CN$57),""),1),""),IF(MID(IFERROR(INDEX(醫師週班表!$C$5:$T$44,$CU20,CN$57),""),2,1)="(",LEFT(IFERROR(INDEX(醫師週班表!$C$5:$T$44,$CU20,CN$57),""),1),IFERROR(INDEX(醫師週班表!$C$5:$T$44,$CU20,CN$57),"")))))))</f>
        <v/>
      </c>
      <c r="CO20" s="72">
        <f>IF(CO$59="X","",IF(CO$59&lt;&gt;"",CO$59,IF(IFERROR(INDEX(醫師週班表!$C$5:$T$44,$CU20,CO$57),"")=0,"",IF(MID(IFERROR(INDEX(醫師週班表!$C$5:$T$44,$CU20,CO$57),""),2,1)="/",MID(IFERROR(INDEX(醫師週班表!$C$5:$T$44,$CU20,CO$57),""),1+CO$58*2,1),IF(MID(IFERROR(INDEX(醫師週班表!$C$5:$T$44,$CU20,CO$57),""),3,1)="隔",IF(CO$58=0,LEFT(IFERROR(INDEX(醫師週班表!$C$5:$T$44,$CU20,CO$57),""),1),""),IF(MID(IFERROR(INDEX(醫師週班表!$C$5:$T$44,$CU20,CO$57),""),2,1)="(",LEFT(IFERROR(INDEX(醫師週班表!$C$5:$T$44,$CU20,CO$57),""),1),IFERROR(INDEX(醫師週班表!$C$5:$T$44,$CU20,CO$57),"")))))))</f>
        <v/>
      </c>
      <c r="CP20" s="72">
        <f>IF(CP$59="X","",IF(CP$59&lt;&gt;"",CP$59,IF(IFERROR(INDEX(醫師週班表!$C$5:$T$44,$CU20,CP$57),"")=0,"",IF(MID(IFERROR(INDEX(醫師週班表!$C$5:$T$44,$CU20,CP$57),""),2,1)="/",MID(IFERROR(INDEX(醫師週班表!$C$5:$T$44,$CU20,CP$57),""),1+CP$58*2,1),IF(MID(IFERROR(INDEX(醫師週班表!$C$5:$T$44,$CU20,CP$57),""),3,1)="隔",IF(CP$58=0,LEFT(IFERROR(INDEX(醫師週班表!$C$5:$T$44,$CU20,CP$57),""),1),""),IF(MID(IFERROR(INDEX(醫師週班表!$C$5:$T$44,$CU20,CP$57),""),2,1)="(",LEFT(IFERROR(INDEX(醫師週班表!$C$5:$T$44,$CU20,CP$57),""),1),IFERROR(INDEX(醫師週班表!$C$5:$T$44,$CU20,CP$57),"")))))))</f>
        <v/>
      </c>
      <c r="CQ20" s="71">
        <f>IF(CQ$59="X","",IF(CQ$59&lt;&gt;"",CQ$59,IF(IFERROR(INDEX(醫師週班表!$C$5:$T$44,$CU20,CQ$57),"")=0,"",IF(MID(IFERROR(INDEX(醫師週班表!$C$5:$T$44,$CU20,CQ$57),""),2,1)="/",MID(IFERROR(INDEX(醫師週班表!$C$5:$T$44,$CU20,CQ$57),""),1+CQ$58*2,1),IF(MID(IFERROR(INDEX(醫師週班表!$C$5:$T$44,$CU20,CQ$57),""),3,1)="隔",IF(CQ$58=0,LEFT(IFERROR(INDEX(醫師週班表!$C$5:$T$44,$CU20,CQ$57),""),1),""),IF(MID(IFERROR(INDEX(醫師週班表!$C$5:$T$44,$CU20,CQ$57),""),2,1)="(",LEFT(IFERROR(INDEX(醫師週班表!$C$5:$T$44,$CU20,CQ$57),""),1),IFERROR(INDEX(醫師週班表!$C$5:$T$44,$CU20,CQ$57),"")))))))</f>
        <v/>
      </c>
      <c r="CR20" s="72">
        <f>IF(CR$59="X","",IF(CR$59&lt;&gt;"",CR$59,IF(IFERROR(INDEX(醫師週班表!$C$5:$T$44,$CU20,CR$57),"")=0,"",IF(MID(IFERROR(INDEX(醫師週班表!$C$5:$T$44,$CU20,CR$57),""),2,1)="/",MID(IFERROR(INDEX(醫師週班表!$C$5:$T$44,$CU20,CR$57),""),1+CR$58*2,1),IF(MID(IFERROR(INDEX(醫師週班表!$C$5:$T$44,$CU20,CR$57),""),3,1)="隔",IF(CR$58=0,LEFT(IFERROR(INDEX(醫師週班表!$C$5:$T$44,$CU20,CR$57),""),1),""),IF(MID(IFERROR(INDEX(醫師週班表!$C$5:$T$44,$CU20,CR$57),""),2,1)="(",LEFT(IFERROR(INDEX(醫師週班表!$C$5:$T$44,$CU20,CR$57),""),1),IFERROR(INDEX(醫師週班表!$C$5:$T$44,$CU20,CR$57),"")))))))</f>
        <v/>
      </c>
      <c r="CS20" s="72">
        <f>IF(CS$59="X","",IF(CS$59&lt;&gt;"",CS$59,IF(IFERROR(INDEX(醫師週班表!$C$5:$T$44,$CU20,CS$57),"")=0,"",IF(MID(IFERROR(INDEX(醫師週班表!$C$5:$T$44,$CU20,CS$57),""),2,1)="/",MID(IFERROR(INDEX(醫師週班表!$C$5:$T$44,$CU20,CS$57),""),1+CS$58*2,1),IF(MID(IFERROR(INDEX(醫師週班表!$C$5:$T$44,$CU20,CS$57),""),3,1)="隔",IF(CS$58=0,LEFT(IFERROR(INDEX(醫師週班表!$C$5:$T$44,$CU20,CS$57),""),1),""),IF(MID(IFERROR(INDEX(醫師週班表!$C$5:$T$44,$CU20,CS$57),""),2,1)="(",LEFT(IFERROR(INDEX(醫師週班表!$C$5:$T$44,$CU20,CS$57),""),1),IFERROR(INDEX(醫師週班表!$C$5:$T$44,$CU20,CS$57),"")))))))</f>
        <v/>
      </c>
      <c r="CU20" s="73">
        <f>IFERROR(MATCH($A20,醫師週班表!$A$5:$A$44,0),0)</f>
        <v/>
      </c>
    </row>
    <row r="21" ht="17" customHeight="1">
      <c r="A21" s="19" t="inlineStr">
        <is>
          <t>D016</t>
        </is>
      </c>
      <c r="B21" s="16" t="inlineStr">
        <is>
          <t>賴敏傑</t>
        </is>
      </c>
      <c r="C21" s="70" t="inlineStr"/>
      <c r="D21" s="16" t="inlineStr"/>
      <c r="E21" s="71">
        <f>IF(E$59="X","",IF(E$59&lt;&gt;"",E$59,IF(IFERROR(INDEX(醫師週班表!$C$5:$T$44,$CU21,E$57),"")=0,"",IF(MID(IFERROR(INDEX(醫師週班表!$C$5:$T$44,$CU21,E$57),""),2,1)="/",MID(IFERROR(INDEX(醫師週班表!$C$5:$T$44,$CU21,E$57),""),1+E$58*2,1),IF(MID(IFERROR(INDEX(醫師週班表!$C$5:$T$44,$CU21,E$57),""),3,1)="隔",IF(E$58=0,LEFT(IFERROR(INDEX(醫師週班表!$C$5:$T$44,$CU21,E$57),""),1),""),IF(MID(IFERROR(INDEX(醫師週班表!$C$5:$T$44,$CU21,E$57),""),2,1)="(",LEFT(IFERROR(INDEX(醫師週班表!$C$5:$T$44,$CU21,E$57),""),1),IFERROR(INDEX(醫師週班表!$C$5:$T$44,$CU21,E$57),"")))))))</f>
        <v/>
      </c>
      <c r="F21" s="72">
        <f>IF(F$59="X","",IF(F$59&lt;&gt;"",F$59,IF(IFERROR(INDEX(醫師週班表!$C$5:$T$44,$CU21,F$57),"")=0,"",IF(MID(IFERROR(INDEX(醫師週班表!$C$5:$T$44,$CU21,F$57),""),2,1)="/",MID(IFERROR(INDEX(醫師週班表!$C$5:$T$44,$CU21,F$57),""),1+F$58*2,1),IF(MID(IFERROR(INDEX(醫師週班表!$C$5:$T$44,$CU21,F$57),""),3,1)="隔",IF(F$58=0,LEFT(IFERROR(INDEX(醫師週班表!$C$5:$T$44,$CU21,F$57),""),1),""),IF(MID(IFERROR(INDEX(醫師週班表!$C$5:$T$44,$CU21,F$57),""),2,1)="(",LEFT(IFERROR(INDEX(醫師週班表!$C$5:$T$44,$CU21,F$57),""),1),IFERROR(INDEX(醫師週班表!$C$5:$T$44,$CU21,F$57),"")))))))</f>
        <v/>
      </c>
      <c r="G21" s="72">
        <f>IF(G$59="X","",IF(G$59&lt;&gt;"",G$59,IF(IFERROR(INDEX(醫師週班表!$C$5:$T$44,$CU21,G$57),"")=0,"",IF(MID(IFERROR(INDEX(醫師週班表!$C$5:$T$44,$CU21,G$57),""),2,1)="/",MID(IFERROR(INDEX(醫師週班表!$C$5:$T$44,$CU21,G$57),""),1+G$58*2,1),IF(MID(IFERROR(INDEX(醫師週班表!$C$5:$T$44,$CU21,G$57),""),3,1)="隔",IF(G$58=0,LEFT(IFERROR(INDEX(醫師週班表!$C$5:$T$44,$CU21,G$57),""),1),""),IF(MID(IFERROR(INDEX(醫師週班表!$C$5:$T$44,$CU21,G$57),""),2,1)="(",LEFT(IFERROR(INDEX(醫師週班表!$C$5:$T$44,$CU21,G$57),""),1),IFERROR(INDEX(醫師週班表!$C$5:$T$44,$CU21,G$57),"")))))))</f>
        <v/>
      </c>
      <c r="H21" s="71">
        <f>IF(H$59="X","",IF(H$59&lt;&gt;"",H$59,IF(IFERROR(INDEX(醫師週班表!$C$5:$T$44,$CU21,H$57),"")=0,"",IF(MID(IFERROR(INDEX(醫師週班表!$C$5:$T$44,$CU21,H$57),""),2,1)="/",MID(IFERROR(INDEX(醫師週班表!$C$5:$T$44,$CU21,H$57),""),1+H$58*2,1),IF(MID(IFERROR(INDEX(醫師週班表!$C$5:$T$44,$CU21,H$57),""),3,1)="隔",IF(H$58=0,LEFT(IFERROR(INDEX(醫師週班表!$C$5:$T$44,$CU21,H$57),""),1),""),IF(MID(IFERROR(INDEX(醫師週班表!$C$5:$T$44,$CU21,H$57),""),2,1)="(",LEFT(IFERROR(INDEX(醫師週班表!$C$5:$T$44,$CU21,H$57),""),1),IFERROR(INDEX(醫師週班表!$C$5:$T$44,$CU21,H$57),"")))))))</f>
        <v/>
      </c>
      <c r="I21" s="72">
        <f>IF(I$59="X","",IF(I$59&lt;&gt;"",I$59,IF(IFERROR(INDEX(醫師週班表!$C$5:$T$44,$CU21,I$57),"")=0,"",IF(MID(IFERROR(INDEX(醫師週班表!$C$5:$T$44,$CU21,I$57),""),2,1)="/",MID(IFERROR(INDEX(醫師週班表!$C$5:$T$44,$CU21,I$57),""),1+I$58*2,1),IF(MID(IFERROR(INDEX(醫師週班表!$C$5:$T$44,$CU21,I$57),""),3,1)="隔",IF(I$58=0,LEFT(IFERROR(INDEX(醫師週班表!$C$5:$T$44,$CU21,I$57),""),1),""),IF(MID(IFERROR(INDEX(醫師週班表!$C$5:$T$44,$CU21,I$57),""),2,1)="(",LEFT(IFERROR(INDEX(醫師週班表!$C$5:$T$44,$CU21,I$57),""),1),IFERROR(INDEX(醫師週班表!$C$5:$T$44,$CU21,I$57),"")))))))</f>
        <v/>
      </c>
      <c r="J21" s="72">
        <f>IF(J$59="X","",IF(J$59&lt;&gt;"",J$59,IF(IFERROR(INDEX(醫師週班表!$C$5:$T$44,$CU21,J$57),"")=0,"",IF(MID(IFERROR(INDEX(醫師週班表!$C$5:$T$44,$CU21,J$57),""),2,1)="/",MID(IFERROR(INDEX(醫師週班表!$C$5:$T$44,$CU21,J$57),""),1+J$58*2,1),IF(MID(IFERROR(INDEX(醫師週班表!$C$5:$T$44,$CU21,J$57),""),3,1)="隔",IF(J$58=0,LEFT(IFERROR(INDEX(醫師週班表!$C$5:$T$44,$CU21,J$57),""),1),""),IF(MID(IFERROR(INDEX(醫師週班表!$C$5:$T$44,$CU21,J$57),""),2,1)="(",LEFT(IFERROR(INDEX(醫師週班表!$C$5:$T$44,$CU21,J$57),""),1),IFERROR(INDEX(醫師週班表!$C$5:$T$44,$CU21,J$57),"")))))))</f>
        <v/>
      </c>
      <c r="K21" s="71">
        <f>IF(K$59="X","",IF(K$59&lt;&gt;"",K$59,IF(IFERROR(INDEX(醫師週班表!$C$5:$T$44,$CU21,K$57),"")=0,"",IF(MID(IFERROR(INDEX(醫師週班表!$C$5:$T$44,$CU21,K$57),""),2,1)="/",MID(IFERROR(INDEX(醫師週班表!$C$5:$T$44,$CU21,K$57),""),1+K$58*2,1),IF(MID(IFERROR(INDEX(醫師週班表!$C$5:$T$44,$CU21,K$57),""),3,1)="隔",IF(K$58=0,LEFT(IFERROR(INDEX(醫師週班表!$C$5:$T$44,$CU21,K$57),""),1),""),IF(MID(IFERROR(INDEX(醫師週班表!$C$5:$T$44,$CU21,K$57),""),2,1)="(",LEFT(IFERROR(INDEX(醫師週班表!$C$5:$T$44,$CU21,K$57),""),1),IFERROR(INDEX(醫師週班表!$C$5:$T$44,$CU21,K$57),"")))))))</f>
        <v/>
      </c>
      <c r="L21" s="72">
        <f>IF(L$59="X","",IF(L$59&lt;&gt;"",L$59,IF(IFERROR(INDEX(醫師週班表!$C$5:$T$44,$CU21,L$57),"")=0,"",IF(MID(IFERROR(INDEX(醫師週班表!$C$5:$T$44,$CU21,L$57),""),2,1)="/",MID(IFERROR(INDEX(醫師週班表!$C$5:$T$44,$CU21,L$57),""),1+L$58*2,1),IF(MID(IFERROR(INDEX(醫師週班表!$C$5:$T$44,$CU21,L$57),""),3,1)="隔",IF(L$58=0,LEFT(IFERROR(INDEX(醫師週班表!$C$5:$T$44,$CU21,L$57),""),1),""),IF(MID(IFERROR(INDEX(醫師週班表!$C$5:$T$44,$CU21,L$57),""),2,1)="(",LEFT(IFERROR(INDEX(醫師週班表!$C$5:$T$44,$CU21,L$57),""),1),IFERROR(INDEX(醫師週班表!$C$5:$T$44,$CU21,L$57),"")))))))</f>
        <v/>
      </c>
      <c r="M21" s="72">
        <f>IF(M$59="X","",IF(M$59&lt;&gt;"",M$59,IF(IFERROR(INDEX(醫師週班表!$C$5:$T$44,$CU21,M$57),"")=0,"",IF(MID(IFERROR(INDEX(醫師週班表!$C$5:$T$44,$CU21,M$57),""),2,1)="/",MID(IFERROR(INDEX(醫師週班表!$C$5:$T$44,$CU21,M$57),""),1+M$58*2,1),IF(MID(IFERROR(INDEX(醫師週班表!$C$5:$T$44,$CU21,M$57),""),3,1)="隔",IF(M$58=0,LEFT(IFERROR(INDEX(醫師週班表!$C$5:$T$44,$CU21,M$57),""),1),""),IF(MID(IFERROR(INDEX(醫師週班表!$C$5:$T$44,$CU21,M$57),""),2,1)="(",LEFT(IFERROR(INDEX(醫師週班表!$C$5:$T$44,$CU21,M$57),""),1),IFERROR(INDEX(醫師週班表!$C$5:$T$44,$CU21,M$57),"")))))))</f>
        <v/>
      </c>
      <c r="N21" s="71">
        <f>IF(N$59="X","",IF(N$59&lt;&gt;"",N$59,IF(IFERROR(INDEX(醫師週班表!$C$5:$T$44,$CU21,N$57),"")=0,"",IF(MID(IFERROR(INDEX(醫師週班表!$C$5:$T$44,$CU21,N$57),""),2,1)="/",MID(IFERROR(INDEX(醫師週班表!$C$5:$T$44,$CU21,N$57),""),1+N$58*2,1),IF(MID(IFERROR(INDEX(醫師週班表!$C$5:$T$44,$CU21,N$57),""),3,1)="隔",IF(N$58=0,LEFT(IFERROR(INDEX(醫師週班表!$C$5:$T$44,$CU21,N$57),""),1),""),IF(MID(IFERROR(INDEX(醫師週班表!$C$5:$T$44,$CU21,N$57),""),2,1)="(",LEFT(IFERROR(INDEX(醫師週班表!$C$5:$T$44,$CU21,N$57),""),1),IFERROR(INDEX(醫師週班表!$C$5:$T$44,$CU21,N$57),"")))))))</f>
        <v/>
      </c>
      <c r="O21" s="72">
        <f>IF(O$59="X","",IF(O$59&lt;&gt;"",O$59,IF(IFERROR(INDEX(醫師週班表!$C$5:$T$44,$CU21,O$57),"")=0,"",IF(MID(IFERROR(INDEX(醫師週班表!$C$5:$T$44,$CU21,O$57),""),2,1)="/",MID(IFERROR(INDEX(醫師週班表!$C$5:$T$44,$CU21,O$57),""),1+O$58*2,1),IF(MID(IFERROR(INDEX(醫師週班表!$C$5:$T$44,$CU21,O$57),""),3,1)="隔",IF(O$58=0,LEFT(IFERROR(INDEX(醫師週班表!$C$5:$T$44,$CU21,O$57),""),1),""),IF(MID(IFERROR(INDEX(醫師週班表!$C$5:$T$44,$CU21,O$57),""),2,1)="(",LEFT(IFERROR(INDEX(醫師週班表!$C$5:$T$44,$CU21,O$57),""),1),IFERROR(INDEX(醫師週班表!$C$5:$T$44,$CU21,O$57),"")))))))</f>
        <v/>
      </c>
      <c r="P21" s="72">
        <f>IF(P$59="X","",IF(P$59&lt;&gt;"",P$59,IF(IFERROR(INDEX(醫師週班表!$C$5:$T$44,$CU21,P$57),"")=0,"",IF(MID(IFERROR(INDEX(醫師週班表!$C$5:$T$44,$CU21,P$57),""),2,1)="/",MID(IFERROR(INDEX(醫師週班表!$C$5:$T$44,$CU21,P$57),""),1+P$58*2,1),IF(MID(IFERROR(INDEX(醫師週班表!$C$5:$T$44,$CU21,P$57),""),3,1)="隔",IF(P$58=0,LEFT(IFERROR(INDEX(醫師週班表!$C$5:$T$44,$CU21,P$57),""),1),""),IF(MID(IFERROR(INDEX(醫師週班表!$C$5:$T$44,$CU21,P$57),""),2,1)="(",LEFT(IFERROR(INDEX(醫師週班表!$C$5:$T$44,$CU21,P$57),""),1),IFERROR(INDEX(醫師週班表!$C$5:$T$44,$CU21,P$57),"")))))))</f>
        <v/>
      </c>
      <c r="Q21" s="71">
        <f>IF(Q$59="X","",IF(Q$59&lt;&gt;"",Q$59,IF(IFERROR(INDEX(醫師週班表!$C$5:$T$44,$CU21,Q$57),"")=0,"",IF(MID(IFERROR(INDEX(醫師週班表!$C$5:$T$44,$CU21,Q$57),""),2,1)="/",MID(IFERROR(INDEX(醫師週班表!$C$5:$T$44,$CU21,Q$57),""),1+Q$58*2,1),IF(MID(IFERROR(INDEX(醫師週班表!$C$5:$T$44,$CU21,Q$57),""),3,1)="隔",IF(Q$58=0,LEFT(IFERROR(INDEX(醫師週班表!$C$5:$T$44,$CU21,Q$57),""),1),""),IF(MID(IFERROR(INDEX(醫師週班表!$C$5:$T$44,$CU21,Q$57),""),2,1)="(",LEFT(IFERROR(INDEX(醫師週班表!$C$5:$T$44,$CU21,Q$57),""),1),IFERROR(INDEX(醫師週班表!$C$5:$T$44,$CU21,Q$57),"")))))))</f>
        <v/>
      </c>
      <c r="R21" s="72">
        <f>IF(R$59="X","",IF(R$59&lt;&gt;"",R$59,IF(IFERROR(INDEX(醫師週班表!$C$5:$T$44,$CU21,R$57),"")=0,"",IF(MID(IFERROR(INDEX(醫師週班表!$C$5:$T$44,$CU21,R$57),""),2,1)="/",MID(IFERROR(INDEX(醫師週班表!$C$5:$T$44,$CU21,R$57),""),1+R$58*2,1),IF(MID(IFERROR(INDEX(醫師週班表!$C$5:$T$44,$CU21,R$57),""),3,1)="隔",IF(R$58=0,LEFT(IFERROR(INDEX(醫師週班表!$C$5:$T$44,$CU21,R$57),""),1),""),IF(MID(IFERROR(INDEX(醫師週班表!$C$5:$T$44,$CU21,R$57),""),2,1)="(",LEFT(IFERROR(INDEX(醫師週班表!$C$5:$T$44,$CU21,R$57),""),1),IFERROR(INDEX(醫師週班表!$C$5:$T$44,$CU21,R$57),"")))))))</f>
        <v/>
      </c>
      <c r="S21" s="72">
        <f>IF(S$59="X","",IF(S$59&lt;&gt;"",S$59,IF(IFERROR(INDEX(醫師週班表!$C$5:$T$44,$CU21,S$57),"")=0,"",IF(MID(IFERROR(INDEX(醫師週班表!$C$5:$T$44,$CU21,S$57),""),2,1)="/",MID(IFERROR(INDEX(醫師週班表!$C$5:$T$44,$CU21,S$57),""),1+S$58*2,1),IF(MID(IFERROR(INDEX(醫師週班表!$C$5:$T$44,$CU21,S$57),""),3,1)="隔",IF(S$58=0,LEFT(IFERROR(INDEX(醫師週班表!$C$5:$T$44,$CU21,S$57),""),1),""),IF(MID(IFERROR(INDEX(醫師週班表!$C$5:$T$44,$CU21,S$57),""),2,1)="(",LEFT(IFERROR(INDEX(醫師週班表!$C$5:$T$44,$CU21,S$57),""),1),IFERROR(INDEX(醫師週班表!$C$5:$T$44,$CU21,S$57),"")))))))</f>
        <v/>
      </c>
      <c r="T21" s="71">
        <f>IF(T$59="X","",IF(T$59&lt;&gt;"",T$59,IF(IFERROR(INDEX(醫師週班表!$C$5:$T$44,$CU21,T$57),"")=0,"",IF(MID(IFERROR(INDEX(醫師週班表!$C$5:$T$44,$CU21,T$57),""),2,1)="/",MID(IFERROR(INDEX(醫師週班表!$C$5:$T$44,$CU21,T$57),""),1+T$58*2,1),IF(MID(IFERROR(INDEX(醫師週班表!$C$5:$T$44,$CU21,T$57),""),3,1)="隔",IF(T$58=0,LEFT(IFERROR(INDEX(醫師週班表!$C$5:$T$44,$CU21,T$57),""),1),""),IF(MID(IFERROR(INDEX(醫師週班表!$C$5:$T$44,$CU21,T$57),""),2,1)="(",LEFT(IFERROR(INDEX(醫師週班表!$C$5:$T$44,$CU21,T$57),""),1),IFERROR(INDEX(醫師週班表!$C$5:$T$44,$CU21,T$57),"")))))))</f>
        <v/>
      </c>
      <c r="U21" s="72">
        <f>IF(U$59="X","",IF(U$59&lt;&gt;"",U$59,IF(IFERROR(INDEX(醫師週班表!$C$5:$T$44,$CU21,U$57),"")=0,"",IF(MID(IFERROR(INDEX(醫師週班表!$C$5:$T$44,$CU21,U$57),""),2,1)="/",MID(IFERROR(INDEX(醫師週班表!$C$5:$T$44,$CU21,U$57),""),1+U$58*2,1),IF(MID(IFERROR(INDEX(醫師週班表!$C$5:$T$44,$CU21,U$57),""),3,1)="隔",IF(U$58=0,LEFT(IFERROR(INDEX(醫師週班表!$C$5:$T$44,$CU21,U$57),""),1),""),IF(MID(IFERROR(INDEX(醫師週班表!$C$5:$T$44,$CU21,U$57),""),2,1)="(",LEFT(IFERROR(INDEX(醫師週班表!$C$5:$T$44,$CU21,U$57),""),1),IFERROR(INDEX(醫師週班表!$C$5:$T$44,$CU21,U$57),"")))))))</f>
        <v/>
      </c>
      <c r="V21" s="72">
        <f>IF(V$59="X","",IF(V$59&lt;&gt;"",V$59,IF(IFERROR(INDEX(醫師週班表!$C$5:$T$44,$CU21,V$57),"")=0,"",IF(MID(IFERROR(INDEX(醫師週班表!$C$5:$T$44,$CU21,V$57),""),2,1)="/",MID(IFERROR(INDEX(醫師週班表!$C$5:$T$44,$CU21,V$57),""),1+V$58*2,1),IF(MID(IFERROR(INDEX(醫師週班表!$C$5:$T$44,$CU21,V$57),""),3,1)="隔",IF(V$58=0,LEFT(IFERROR(INDEX(醫師週班表!$C$5:$T$44,$CU21,V$57),""),1),""),IF(MID(IFERROR(INDEX(醫師週班表!$C$5:$T$44,$CU21,V$57),""),2,1)="(",LEFT(IFERROR(INDEX(醫師週班表!$C$5:$T$44,$CU21,V$57),""),1),IFERROR(INDEX(醫師週班表!$C$5:$T$44,$CU21,V$57),"")))))))</f>
        <v/>
      </c>
      <c r="W21" s="71">
        <f>IF(W$59="X","",IF(W$59&lt;&gt;"",W$59,IF(IFERROR(INDEX(醫師週班表!$C$5:$T$44,$CU21,W$57),"")=0,"",IF(MID(IFERROR(INDEX(醫師週班表!$C$5:$T$44,$CU21,W$57),""),2,1)="/",MID(IFERROR(INDEX(醫師週班表!$C$5:$T$44,$CU21,W$57),""),1+W$58*2,1),IF(MID(IFERROR(INDEX(醫師週班表!$C$5:$T$44,$CU21,W$57),""),3,1)="隔",IF(W$58=0,LEFT(IFERROR(INDEX(醫師週班表!$C$5:$T$44,$CU21,W$57),""),1),""),IF(MID(IFERROR(INDEX(醫師週班表!$C$5:$T$44,$CU21,W$57),""),2,1)="(",LEFT(IFERROR(INDEX(醫師週班表!$C$5:$T$44,$CU21,W$57),""),1),IFERROR(INDEX(醫師週班表!$C$5:$T$44,$CU21,W$57),"")))))))</f>
        <v/>
      </c>
      <c r="X21" s="72">
        <f>IF(X$59="X","",IF(X$59&lt;&gt;"",X$59,IF(IFERROR(INDEX(醫師週班表!$C$5:$T$44,$CU21,X$57),"")=0,"",IF(MID(IFERROR(INDEX(醫師週班表!$C$5:$T$44,$CU21,X$57),""),2,1)="/",MID(IFERROR(INDEX(醫師週班表!$C$5:$T$44,$CU21,X$57),""),1+X$58*2,1),IF(MID(IFERROR(INDEX(醫師週班表!$C$5:$T$44,$CU21,X$57),""),3,1)="隔",IF(X$58=0,LEFT(IFERROR(INDEX(醫師週班表!$C$5:$T$44,$CU21,X$57),""),1),""),IF(MID(IFERROR(INDEX(醫師週班表!$C$5:$T$44,$CU21,X$57),""),2,1)="(",LEFT(IFERROR(INDEX(醫師週班表!$C$5:$T$44,$CU21,X$57),""),1),IFERROR(INDEX(醫師週班表!$C$5:$T$44,$CU21,X$57),"")))))))</f>
        <v/>
      </c>
      <c r="Y21" s="72">
        <f>IF(Y$59="X","",IF(Y$59&lt;&gt;"",Y$59,IF(IFERROR(INDEX(醫師週班表!$C$5:$T$44,$CU21,Y$57),"")=0,"",IF(MID(IFERROR(INDEX(醫師週班表!$C$5:$T$44,$CU21,Y$57),""),2,1)="/",MID(IFERROR(INDEX(醫師週班表!$C$5:$T$44,$CU21,Y$57),""),1+Y$58*2,1),IF(MID(IFERROR(INDEX(醫師週班表!$C$5:$T$44,$CU21,Y$57),""),3,1)="隔",IF(Y$58=0,LEFT(IFERROR(INDEX(醫師週班表!$C$5:$T$44,$CU21,Y$57),""),1),""),IF(MID(IFERROR(INDEX(醫師週班表!$C$5:$T$44,$CU21,Y$57),""),2,1)="(",LEFT(IFERROR(INDEX(醫師週班表!$C$5:$T$44,$CU21,Y$57),""),1),IFERROR(INDEX(醫師週班表!$C$5:$T$44,$CU21,Y$57),"")))))))</f>
        <v/>
      </c>
      <c r="Z21" s="71">
        <f>IF(Z$59="X","",IF(Z$59&lt;&gt;"",Z$59,IF(IFERROR(INDEX(醫師週班表!$C$5:$T$44,$CU21,Z$57),"")=0,"",IF(MID(IFERROR(INDEX(醫師週班表!$C$5:$T$44,$CU21,Z$57),""),2,1)="/",MID(IFERROR(INDEX(醫師週班表!$C$5:$T$44,$CU21,Z$57),""),1+Z$58*2,1),IF(MID(IFERROR(INDEX(醫師週班表!$C$5:$T$44,$CU21,Z$57),""),3,1)="隔",IF(Z$58=0,LEFT(IFERROR(INDEX(醫師週班表!$C$5:$T$44,$CU21,Z$57),""),1),""),IF(MID(IFERROR(INDEX(醫師週班表!$C$5:$T$44,$CU21,Z$57),""),2,1)="(",LEFT(IFERROR(INDEX(醫師週班表!$C$5:$T$44,$CU21,Z$57),""),1),IFERROR(INDEX(醫師週班表!$C$5:$T$44,$CU21,Z$57),"")))))))</f>
        <v/>
      </c>
      <c r="AA21" s="72">
        <f>IF(AA$59="X","",IF(AA$59&lt;&gt;"",AA$59,IF(IFERROR(INDEX(醫師週班表!$C$5:$T$44,$CU21,AA$57),"")=0,"",IF(MID(IFERROR(INDEX(醫師週班表!$C$5:$T$44,$CU21,AA$57),""),2,1)="/",MID(IFERROR(INDEX(醫師週班表!$C$5:$T$44,$CU21,AA$57),""),1+AA$58*2,1),IF(MID(IFERROR(INDEX(醫師週班表!$C$5:$T$44,$CU21,AA$57),""),3,1)="隔",IF(AA$58=0,LEFT(IFERROR(INDEX(醫師週班表!$C$5:$T$44,$CU21,AA$57),""),1),""),IF(MID(IFERROR(INDEX(醫師週班表!$C$5:$T$44,$CU21,AA$57),""),2,1)="(",LEFT(IFERROR(INDEX(醫師週班表!$C$5:$T$44,$CU21,AA$57),""),1),IFERROR(INDEX(醫師週班表!$C$5:$T$44,$CU21,AA$57),"")))))))</f>
        <v/>
      </c>
      <c r="AB21" s="72">
        <f>IF(AB$59="X","",IF(AB$59&lt;&gt;"",AB$59,IF(IFERROR(INDEX(醫師週班表!$C$5:$T$44,$CU21,AB$57),"")=0,"",IF(MID(IFERROR(INDEX(醫師週班表!$C$5:$T$44,$CU21,AB$57),""),2,1)="/",MID(IFERROR(INDEX(醫師週班表!$C$5:$T$44,$CU21,AB$57),""),1+AB$58*2,1),IF(MID(IFERROR(INDEX(醫師週班表!$C$5:$T$44,$CU21,AB$57),""),3,1)="隔",IF(AB$58=0,LEFT(IFERROR(INDEX(醫師週班表!$C$5:$T$44,$CU21,AB$57),""),1),""),IF(MID(IFERROR(INDEX(醫師週班表!$C$5:$T$44,$CU21,AB$57),""),2,1)="(",LEFT(IFERROR(INDEX(醫師週班表!$C$5:$T$44,$CU21,AB$57),""),1),IFERROR(INDEX(醫師週班表!$C$5:$T$44,$CU21,AB$57),"")))))))</f>
        <v/>
      </c>
      <c r="AC21" s="71">
        <f>IF(AC$59="X","",IF(AC$59&lt;&gt;"",AC$59,IF(IFERROR(INDEX(醫師週班表!$C$5:$T$44,$CU21,AC$57),"")=0,"",IF(MID(IFERROR(INDEX(醫師週班表!$C$5:$T$44,$CU21,AC$57),""),2,1)="/",MID(IFERROR(INDEX(醫師週班表!$C$5:$T$44,$CU21,AC$57),""),1+AC$58*2,1),IF(MID(IFERROR(INDEX(醫師週班表!$C$5:$T$44,$CU21,AC$57),""),3,1)="隔",IF(AC$58=0,LEFT(IFERROR(INDEX(醫師週班表!$C$5:$T$44,$CU21,AC$57),""),1),""),IF(MID(IFERROR(INDEX(醫師週班表!$C$5:$T$44,$CU21,AC$57),""),2,1)="(",LEFT(IFERROR(INDEX(醫師週班表!$C$5:$T$44,$CU21,AC$57),""),1),IFERROR(INDEX(醫師週班表!$C$5:$T$44,$CU21,AC$57),"")))))))</f>
        <v/>
      </c>
      <c r="AD21" s="72">
        <f>IF(AD$59="X","",IF(AD$59&lt;&gt;"",AD$59,IF(IFERROR(INDEX(醫師週班表!$C$5:$T$44,$CU21,AD$57),"")=0,"",IF(MID(IFERROR(INDEX(醫師週班表!$C$5:$T$44,$CU21,AD$57),""),2,1)="/",MID(IFERROR(INDEX(醫師週班表!$C$5:$T$44,$CU21,AD$57),""),1+AD$58*2,1),IF(MID(IFERROR(INDEX(醫師週班表!$C$5:$T$44,$CU21,AD$57),""),3,1)="隔",IF(AD$58=0,LEFT(IFERROR(INDEX(醫師週班表!$C$5:$T$44,$CU21,AD$57),""),1),""),IF(MID(IFERROR(INDEX(醫師週班表!$C$5:$T$44,$CU21,AD$57),""),2,1)="(",LEFT(IFERROR(INDEX(醫師週班表!$C$5:$T$44,$CU21,AD$57),""),1),IFERROR(INDEX(醫師週班表!$C$5:$T$44,$CU21,AD$57),"")))))))</f>
        <v/>
      </c>
      <c r="AE21" s="72">
        <f>IF(AE$59="X","",IF(AE$59&lt;&gt;"",AE$59,IF(IFERROR(INDEX(醫師週班表!$C$5:$T$44,$CU21,AE$57),"")=0,"",IF(MID(IFERROR(INDEX(醫師週班表!$C$5:$T$44,$CU21,AE$57),""),2,1)="/",MID(IFERROR(INDEX(醫師週班表!$C$5:$T$44,$CU21,AE$57),""),1+AE$58*2,1),IF(MID(IFERROR(INDEX(醫師週班表!$C$5:$T$44,$CU21,AE$57),""),3,1)="隔",IF(AE$58=0,LEFT(IFERROR(INDEX(醫師週班表!$C$5:$T$44,$CU21,AE$57),""),1),""),IF(MID(IFERROR(INDEX(醫師週班表!$C$5:$T$44,$CU21,AE$57),""),2,1)="(",LEFT(IFERROR(INDEX(醫師週班表!$C$5:$T$44,$CU21,AE$57),""),1),IFERROR(INDEX(醫師週班表!$C$5:$T$44,$CU21,AE$57),"")))))))</f>
        <v/>
      </c>
      <c r="AF21" s="71">
        <f>IF(AF$59="X","",IF(AF$59&lt;&gt;"",AF$59,IF(IFERROR(INDEX(醫師週班表!$C$5:$T$44,$CU21,AF$57),"")=0,"",IF(MID(IFERROR(INDEX(醫師週班表!$C$5:$T$44,$CU21,AF$57),""),2,1)="/",MID(IFERROR(INDEX(醫師週班表!$C$5:$T$44,$CU21,AF$57),""),1+AF$58*2,1),IF(MID(IFERROR(INDEX(醫師週班表!$C$5:$T$44,$CU21,AF$57),""),3,1)="隔",IF(AF$58=0,LEFT(IFERROR(INDEX(醫師週班表!$C$5:$T$44,$CU21,AF$57),""),1),""),IF(MID(IFERROR(INDEX(醫師週班表!$C$5:$T$44,$CU21,AF$57),""),2,1)="(",LEFT(IFERROR(INDEX(醫師週班表!$C$5:$T$44,$CU21,AF$57),""),1),IFERROR(INDEX(醫師週班表!$C$5:$T$44,$CU21,AF$57),"")))))))</f>
        <v/>
      </c>
      <c r="AG21" s="72">
        <f>IF(AG$59="X","",IF(AG$59&lt;&gt;"",AG$59,IF(IFERROR(INDEX(醫師週班表!$C$5:$T$44,$CU21,AG$57),"")=0,"",IF(MID(IFERROR(INDEX(醫師週班表!$C$5:$T$44,$CU21,AG$57),""),2,1)="/",MID(IFERROR(INDEX(醫師週班表!$C$5:$T$44,$CU21,AG$57),""),1+AG$58*2,1),IF(MID(IFERROR(INDEX(醫師週班表!$C$5:$T$44,$CU21,AG$57),""),3,1)="隔",IF(AG$58=0,LEFT(IFERROR(INDEX(醫師週班表!$C$5:$T$44,$CU21,AG$57),""),1),""),IF(MID(IFERROR(INDEX(醫師週班表!$C$5:$T$44,$CU21,AG$57),""),2,1)="(",LEFT(IFERROR(INDEX(醫師週班表!$C$5:$T$44,$CU21,AG$57),""),1),IFERROR(INDEX(醫師週班表!$C$5:$T$44,$CU21,AG$57),"")))))))</f>
        <v/>
      </c>
      <c r="AH21" s="72">
        <f>IF(AH$59="X","",IF(AH$59&lt;&gt;"",AH$59,IF(IFERROR(INDEX(醫師週班表!$C$5:$T$44,$CU21,AH$57),"")=0,"",IF(MID(IFERROR(INDEX(醫師週班表!$C$5:$T$44,$CU21,AH$57),""),2,1)="/",MID(IFERROR(INDEX(醫師週班表!$C$5:$T$44,$CU21,AH$57),""),1+AH$58*2,1),IF(MID(IFERROR(INDEX(醫師週班表!$C$5:$T$44,$CU21,AH$57),""),3,1)="隔",IF(AH$58=0,LEFT(IFERROR(INDEX(醫師週班表!$C$5:$T$44,$CU21,AH$57),""),1),""),IF(MID(IFERROR(INDEX(醫師週班表!$C$5:$T$44,$CU21,AH$57),""),2,1)="(",LEFT(IFERROR(INDEX(醫師週班表!$C$5:$T$44,$CU21,AH$57),""),1),IFERROR(INDEX(醫師週班表!$C$5:$T$44,$CU21,AH$57),"")))))))</f>
        <v/>
      </c>
      <c r="AI21" s="71">
        <f>IF(AI$59="X","",IF(AI$59&lt;&gt;"",AI$59,IF(IFERROR(INDEX(醫師週班表!$C$5:$T$44,$CU21,AI$57),"")=0,"",IF(MID(IFERROR(INDEX(醫師週班表!$C$5:$T$44,$CU21,AI$57),""),2,1)="/",MID(IFERROR(INDEX(醫師週班表!$C$5:$T$44,$CU21,AI$57),""),1+AI$58*2,1),IF(MID(IFERROR(INDEX(醫師週班表!$C$5:$T$44,$CU21,AI$57),""),3,1)="隔",IF(AI$58=0,LEFT(IFERROR(INDEX(醫師週班表!$C$5:$T$44,$CU21,AI$57),""),1),""),IF(MID(IFERROR(INDEX(醫師週班表!$C$5:$T$44,$CU21,AI$57),""),2,1)="(",LEFT(IFERROR(INDEX(醫師週班表!$C$5:$T$44,$CU21,AI$57),""),1),IFERROR(INDEX(醫師週班表!$C$5:$T$44,$CU21,AI$57),"")))))))</f>
        <v/>
      </c>
      <c r="AJ21" s="72">
        <f>IF(AJ$59="X","",IF(AJ$59&lt;&gt;"",AJ$59,IF(IFERROR(INDEX(醫師週班表!$C$5:$T$44,$CU21,AJ$57),"")=0,"",IF(MID(IFERROR(INDEX(醫師週班表!$C$5:$T$44,$CU21,AJ$57),""),2,1)="/",MID(IFERROR(INDEX(醫師週班表!$C$5:$T$44,$CU21,AJ$57),""),1+AJ$58*2,1),IF(MID(IFERROR(INDEX(醫師週班表!$C$5:$T$44,$CU21,AJ$57),""),3,1)="隔",IF(AJ$58=0,LEFT(IFERROR(INDEX(醫師週班表!$C$5:$T$44,$CU21,AJ$57),""),1),""),IF(MID(IFERROR(INDEX(醫師週班表!$C$5:$T$44,$CU21,AJ$57),""),2,1)="(",LEFT(IFERROR(INDEX(醫師週班表!$C$5:$T$44,$CU21,AJ$57),""),1),IFERROR(INDEX(醫師週班表!$C$5:$T$44,$CU21,AJ$57),"")))))))</f>
        <v/>
      </c>
      <c r="AK21" s="72">
        <f>IF(AK$59="X","",IF(AK$59&lt;&gt;"",AK$59,IF(IFERROR(INDEX(醫師週班表!$C$5:$T$44,$CU21,AK$57),"")=0,"",IF(MID(IFERROR(INDEX(醫師週班表!$C$5:$T$44,$CU21,AK$57),""),2,1)="/",MID(IFERROR(INDEX(醫師週班表!$C$5:$T$44,$CU21,AK$57),""),1+AK$58*2,1),IF(MID(IFERROR(INDEX(醫師週班表!$C$5:$T$44,$CU21,AK$57),""),3,1)="隔",IF(AK$58=0,LEFT(IFERROR(INDEX(醫師週班表!$C$5:$T$44,$CU21,AK$57),""),1),""),IF(MID(IFERROR(INDEX(醫師週班表!$C$5:$T$44,$CU21,AK$57),""),2,1)="(",LEFT(IFERROR(INDEX(醫師週班表!$C$5:$T$44,$CU21,AK$57),""),1),IFERROR(INDEX(醫師週班表!$C$5:$T$44,$CU21,AK$57),"")))))))</f>
        <v/>
      </c>
      <c r="AL21" s="71">
        <f>IF(AL$59="X","",IF(AL$59&lt;&gt;"",AL$59,IF(IFERROR(INDEX(醫師週班表!$C$5:$T$44,$CU21,AL$57),"")=0,"",IF(MID(IFERROR(INDEX(醫師週班表!$C$5:$T$44,$CU21,AL$57),""),2,1)="/",MID(IFERROR(INDEX(醫師週班表!$C$5:$T$44,$CU21,AL$57),""),1+AL$58*2,1),IF(MID(IFERROR(INDEX(醫師週班表!$C$5:$T$44,$CU21,AL$57),""),3,1)="隔",IF(AL$58=0,LEFT(IFERROR(INDEX(醫師週班表!$C$5:$T$44,$CU21,AL$57),""),1),""),IF(MID(IFERROR(INDEX(醫師週班表!$C$5:$T$44,$CU21,AL$57),""),2,1)="(",LEFT(IFERROR(INDEX(醫師週班表!$C$5:$T$44,$CU21,AL$57),""),1),IFERROR(INDEX(醫師週班表!$C$5:$T$44,$CU21,AL$57),"")))))))</f>
        <v/>
      </c>
      <c r="AM21" s="72">
        <f>IF(AM$59="X","",IF(AM$59&lt;&gt;"",AM$59,IF(IFERROR(INDEX(醫師週班表!$C$5:$T$44,$CU21,AM$57),"")=0,"",IF(MID(IFERROR(INDEX(醫師週班表!$C$5:$T$44,$CU21,AM$57),""),2,1)="/",MID(IFERROR(INDEX(醫師週班表!$C$5:$T$44,$CU21,AM$57),""),1+AM$58*2,1),IF(MID(IFERROR(INDEX(醫師週班表!$C$5:$T$44,$CU21,AM$57),""),3,1)="隔",IF(AM$58=0,LEFT(IFERROR(INDEX(醫師週班表!$C$5:$T$44,$CU21,AM$57),""),1),""),IF(MID(IFERROR(INDEX(醫師週班表!$C$5:$T$44,$CU21,AM$57),""),2,1)="(",LEFT(IFERROR(INDEX(醫師週班表!$C$5:$T$44,$CU21,AM$57),""),1),IFERROR(INDEX(醫師週班表!$C$5:$T$44,$CU21,AM$57),"")))))))</f>
        <v/>
      </c>
      <c r="AN21" s="72">
        <f>IF(AN$59="X","",IF(AN$59&lt;&gt;"",AN$59,IF(IFERROR(INDEX(醫師週班表!$C$5:$T$44,$CU21,AN$57),"")=0,"",IF(MID(IFERROR(INDEX(醫師週班表!$C$5:$T$44,$CU21,AN$57),""),2,1)="/",MID(IFERROR(INDEX(醫師週班表!$C$5:$T$44,$CU21,AN$57),""),1+AN$58*2,1),IF(MID(IFERROR(INDEX(醫師週班表!$C$5:$T$44,$CU21,AN$57),""),3,1)="隔",IF(AN$58=0,LEFT(IFERROR(INDEX(醫師週班表!$C$5:$T$44,$CU21,AN$57),""),1),""),IF(MID(IFERROR(INDEX(醫師週班表!$C$5:$T$44,$CU21,AN$57),""),2,1)="(",LEFT(IFERROR(INDEX(醫師週班表!$C$5:$T$44,$CU21,AN$57),""),1),IFERROR(INDEX(醫師週班表!$C$5:$T$44,$CU21,AN$57),"")))))))</f>
        <v/>
      </c>
      <c r="AO21" s="71">
        <f>IF(AO$59="X","",IF(AO$59&lt;&gt;"",AO$59,IF(IFERROR(INDEX(醫師週班表!$C$5:$T$44,$CU21,AO$57),"")=0,"",IF(MID(IFERROR(INDEX(醫師週班表!$C$5:$T$44,$CU21,AO$57),""),2,1)="/",MID(IFERROR(INDEX(醫師週班表!$C$5:$T$44,$CU21,AO$57),""),1+AO$58*2,1),IF(MID(IFERROR(INDEX(醫師週班表!$C$5:$T$44,$CU21,AO$57),""),3,1)="隔",IF(AO$58=0,LEFT(IFERROR(INDEX(醫師週班表!$C$5:$T$44,$CU21,AO$57),""),1),""),IF(MID(IFERROR(INDEX(醫師週班表!$C$5:$T$44,$CU21,AO$57),""),2,1)="(",LEFT(IFERROR(INDEX(醫師週班表!$C$5:$T$44,$CU21,AO$57),""),1),IFERROR(INDEX(醫師週班表!$C$5:$T$44,$CU21,AO$57),"")))))))</f>
        <v/>
      </c>
      <c r="AP21" s="72">
        <f>IF(AP$59="X","",IF(AP$59&lt;&gt;"",AP$59,IF(IFERROR(INDEX(醫師週班表!$C$5:$T$44,$CU21,AP$57),"")=0,"",IF(MID(IFERROR(INDEX(醫師週班表!$C$5:$T$44,$CU21,AP$57),""),2,1)="/",MID(IFERROR(INDEX(醫師週班表!$C$5:$T$44,$CU21,AP$57),""),1+AP$58*2,1),IF(MID(IFERROR(INDEX(醫師週班表!$C$5:$T$44,$CU21,AP$57),""),3,1)="隔",IF(AP$58=0,LEFT(IFERROR(INDEX(醫師週班表!$C$5:$T$44,$CU21,AP$57),""),1),""),IF(MID(IFERROR(INDEX(醫師週班表!$C$5:$T$44,$CU21,AP$57),""),2,1)="(",LEFT(IFERROR(INDEX(醫師週班表!$C$5:$T$44,$CU21,AP$57),""),1),IFERROR(INDEX(醫師週班表!$C$5:$T$44,$CU21,AP$57),"")))))))</f>
        <v/>
      </c>
      <c r="AQ21" s="72">
        <f>IF(AQ$59="X","",IF(AQ$59&lt;&gt;"",AQ$59,IF(IFERROR(INDEX(醫師週班表!$C$5:$T$44,$CU21,AQ$57),"")=0,"",IF(MID(IFERROR(INDEX(醫師週班表!$C$5:$T$44,$CU21,AQ$57),""),2,1)="/",MID(IFERROR(INDEX(醫師週班表!$C$5:$T$44,$CU21,AQ$57),""),1+AQ$58*2,1),IF(MID(IFERROR(INDEX(醫師週班表!$C$5:$T$44,$CU21,AQ$57),""),3,1)="隔",IF(AQ$58=0,LEFT(IFERROR(INDEX(醫師週班表!$C$5:$T$44,$CU21,AQ$57),""),1),""),IF(MID(IFERROR(INDEX(醫師週班表!$C$5:$T$44,$CU21,AQ$57),""),2,1)="(",LEFT(IFERROR(INDEX(醫師週班表!$C$5:$T$44,$CU21,AQ$57),""),1),IFERROR(INDEX(醫師週班表!$C$5:$T$44,$CU21,AQ$57),"")))))))</f>
        <v/>
      </c>
      <c r="AR21" s="71">
        <f>IF(AR$59="X","",IF(AR$59&lt;&gt;"",AR$59,IF(IFERROR(INDEX(醫師週班表!$C$5:$T$44,$CU21,AR$57),"")=0,"",IF(MID(IFERROR(INDEX(醫師週班表!$C$5:$T$44,$CU21,AR$57),""),2,1)="/",MID(IFERROR(INDEX(醫師週班表!$C$5:$T$44,$CU21,AR$57),""),1+AR$58*2,1),IF(MID(IFERROR(INDEX(醫師週班表!$C$5:$T$44,$CU21,AR$57),""),3,1)="隔",IF(AR$58=0,LEFT(IFERROR(INDEX(醫師週班表!$C$5:$T$44,$CU21,AR$57),""),1),""),IF(MID(IFERROR(INDEX(醫師週班表!$C$5:$T$44,$CU21,AR$57),""),2,1)="(",LEFT(IFERROR(INDEX(醫師週班表!$C$5:$T$44,$CU21,AR$57),""),1),IFERROR(INDEX(醫師週班表!$C$5:$T$44,$CU21,AR$57),"")))))))</f>
        <v/>
      </c>
      <c r="AS21" s="72">
        <f>IF(AS$59="X","",IF(AS$59&lt;&gt;"",AS$59,IF(IFERROR(INDEX(醫師週班表!$C$5:$T$44,$CU21,AS$57),"")=0,"",IF(MID(IFERROR(INDEX(醫師週班表!$C$5:$T$44,$CU21,AS$57),""),2,1)="/",MID(IFERROR(INDEX(醫師週班表!$C$5:$T$44,$CU21,AS$57),""),1+AS$58*2,1),IF(MID(IFERROR(INDEX(醫師週班表!$C$5:$T$44,$CU21,AS$57),""),3,1)="隔",IF(AS$58=0,LEFT(IFERROR(INDEX(醫師週班表!$C$5:$T$44,$CU21,AS$57),""),1),""),IF(MID(IFERROR(INDEX(醫師週班表!$C$5:$T$44,$CU21,AS$57),""),2,1)="(",LEFT(IFERROR(INDEX(醫師週班表!$C$5:$T$44,$CU21,AS$57),""),1),IFERROR(INDEX(醫師週班表!$C$5:$T$44,$CU21,AS$57),"")))))))</f>
        <v/>
      </c>
      <c r="AT21" s="72">
        <f>IF(AT$59="X","",IF(AT$59&lt;&gt;"",AT$59,IF(IFERROR(INDEX(醫師週班表!$C$5:$T$44,$CU21,AT$57),"")=0,"",IF(MID(IFERROR(INDEX(醫師週班表!$C$5:$T$44,$CU21,AT$57),""),2,1)="/",MID(IFERROR(INDEX(醫師週班表!$C$5:$T$44,$CU21,AT$57),""),1+AT$58*2,1),IF(MID(IFERROR(INDEX(醫師週班表!$C$5:$T$44,$CU21,AT$57),""),3,1)="隔",IF(AT$58=0,LEFT(IFERROR(INDEX(醫師週班表!$C$5:$T$44,$CU21,AT$57),""),1),""),IF(MID(IFERROR(INDEX(醫師週班表!$C$5:$T$44,$CU21,AT$57),""),2,1)="(",LEFT(IFERROR(INDEX(醫師週班表!$C$5:$T$44,$CU21,AT$57),""),1),IFERROR(INDEX(醫師週班表!$C$5:$T$44,$CU21,AT$57),"")))))))</f>
        <v/>
      </c>
      <c r="AU21" s="71">
        <f>IF(AU$59="X","",IF(AU$59&lt;&gt;"",AU$59,IF(IFERROR(INDEX(醫師週班表!$C$5:$T$44,$CU21,AU$57),"")=0,"",IF(MID(IFERROR(INDEX(醫師週班表!$C$5:$T$44,$CU21,AU$57),""),2,1)="/",MID(IFERROR(INDEX(醫師週班表!$C$5:$T$44,$CU21,AU$57),""),1+AU$58*2,1),IF(MID(IFERROR(INDEX(醫師週班表!$C$5:$T$44,$CU21,AU$57),""),3,1)="隔",IF(AU$58=0,LEFT(IFERROR(INDEX(醫師週班表!$C$5:$T$44,$CU21,AU$57),""),1),""),IF(MID(IFERROR(INDEX(醫師週班表!$C$5:$T$44,$CU21,AU$57),""),2,1)="(",LEFT(IFERROR(INDEX(醫師週班表!$C$5:$T$44,$CU21,AU$57),""),1),IFERROR(INDEX(醫師週班表!$C$5:$T$44,$CU21,AU$57),"")))))))</f>
        <v/>
      </c>
      <c r="AV21" s="72">
        <f>IF(AV$59="X","",IF(AV$59&lt;&gt;"",AV$59,IF(IFERROR(INDEX(醫師週班表!$C$5:$T$44,$CU21,AV$57),"")=0,"",IF(MID(IFERROR(INDEX(醫師週班表!$C$5:$T$44,$CU21,AV$57),""),2,1)="/",MID(IFERROR(INDEX(醫師週班表!$C$5:$T$44,$CU21,AV$57),""),1+AV$58*2,1),IF(MID(IFERROR(INDEX(醫師週班表!$C$5:$T$44,$CU21,AV$57),""),3,1)="隔",IF(AV$58=0,LEFT(IFERROR(INDEX(醫師週班表!$C$5:$T$44,$CU21,AV$57),""),1),""),IF(MID(IFERROR(INDEX(醫師週班表!$C$5:$T$44,$CU21,AV$57),""),2,1)="(",LEFT(IFERROR(INDEX(醫師週班表!$C$5:$T$44,$CU21,AV$57),""),1),IFERROR(INDEX(醫師週班表!$C$5:$T$44,$CU21,AV$57),"")))))))</f>
        <v/>
      </c>
      <c r="AW21" s="72">
        <f>IF(AW$59="X","",IF(AW$59&lt;&gt;"",AW$59,IF(IFERROR(INDEX(醫師週班表!$C$5:$T$44,$CU21,AW$57),"")=0,"",IF(MID(IFERROR(INDEX(醫師週班表!$C$5:$T$44,$CU21,AW$57),""),2,1)="/",MID(IFERROR(INDEX(醫師週班表!$C$5:$T$44,$CU21,AW$57),""),1+AW$58*2,1),IF(MID(IFERROR(INDEX(醫師週班表!$C$5:$T$44,$CU21,AW$57),""),3,1)="隔",IF(AW$58=0,LEFT(IFERROR(INDEX(醫師週班表!$C$5:$T$44,$CU21,AW$57),""),1),""),IF(MID(IFERROR(INDEX(醫師週班表!$C$5:$T$44,$CU21,AW$57),""),2,1)="(",LEFT(IFERROR(INDEX(醫師週班表!$C$5:$T$44,$CU21,AW$57),""),1),IFERROR(INDEX(醫師週班表!$C$5:$T$44,$CU21,AW$57),"")))))))</f>
        <v/>
      </c>
      <c r="AX21" s="71">
        <f>IF(AX$59="X","",IF(AX$59&lt;&gt;"",AX$59,IF(IFERROR(INDEX(醫師週班表!$C$5:$T$44,$CU21,AX$57),"")=0,"",IF(MID(IFERROR(INDEX(醫師週班表!$C$5:$T$44,$CU21,AX$57),""),2,1)="/",MID(IFERROR(INDEX(醫師週班表!$C$5:$T$44,$CU21,AX$57),""),1+AX$58*2,1),IF(MID(IFERROR(INDEX(醫師週班表!$C$5:$T$44,$CU21,AX$57),""),3,1)="隔",IF(AX$58=0,LEFT(IFERROR(INDEX(醫師週班表!$C$5:$T$44,$CU21,AX$57),""),1),""),IF(MID(IFERROR(INDEX(醫師週班表!$C$5:$T$44,$CU21,AX$57),""),2,1)="(",LEFT(IFERROR(INDEX(醫師週班表!$C$5:$T$44,$CU21,AX$57),""),1),IFERROR(INDEX(醫師週班表!$C$5:$T$44,$CU21,AX$57),"")))))))</f>
        <v/>
      </c>
      <c r="AY21" s="72">
        <f>IF(AY$59="X","",IF(AY$59&lt;&gt;"",AY$59,IF(IFERROR(INDEX(醫師週班表!$C$5:$T$44,$CU21,AY$57),"")=0,"",IF(MID(IFERROR(INDEX(醫師週班表!$C$5:$T$44,$CU21,AY$57),""),2,1)="/",MID(IFERROR(INDEX(醫師週班表!$C$5:$T$44,$CU21,AY$57),""),1+AY$58*2,1),IF(MID(IFERROR(INDEX(醫師週班表!$C$5:$T$44,$CU21,AY$57),""),3,1)="隔",IF(AY$58=0,LEFT(IFERROR(INDEX(醫師週班表!$C$5:$T$44,$CU21,AY$57),""),1),""),IF(MID(IFERROR(INDEX(醫師週班表!$C$5:$T$44,$CU21,AY$57),""),2,1)="(",LEFT(IFERROR(INDEX(醫師週班表!$C$5:$T$44,$CU21,AY$57),""),1),IFERROR(INDEX(醫師週班表!$C$5:$T$44,$CU21,AY$57),"")))))))</f>
        <v/>
      </c>
      <c r="AZ21" s="72">
        <f>IF(AZ$59="X","",IF(AZ$59&lt;&gt;"",AZ$59,IF(IFERROR(INDEX(醫師週班表!$C$5:$T$44,$CU21,AZ$57),"")=0,"",IF(MID(IFERROR(INDEX(醫師週班表!$C$5:$T$44,$CU21,AZ$57),""),2,1)="/",MID(IFERROR(INDEX(醫師週班表!$C$5:$T$44,$CU21,AZ$57),""),1+AZ$58*2,1),IF(MID(IFERROR(INDEX(醫師週班表!$C$5:$T$44,$CU21,AZ$57),""),3,1)="隔",IF(AZ$58=0,LEFT(IFERROR(INDEX(醫師週班表!$C$5:$T$44,$CU21,AZ$57),""),1),""),IF(MID(IFERROR(INDEX(醫師週班表!$C$5:$T$44,$CU21,AZ$57),""),2,1)="(",LEFT(IFERROR(INDEX(醫師週班表!$C$5:$T$44,$CU21,AZ$57),""),1),IFERROR(INDEX(醫師週班表!$C$5:$T$44,$CU21,AZ$57),"")))))))</f>
        <v/>
      </c>
      <c r="BA21" s="71">
        <f>IF(BA$59="X","",IF(BA$59&lt;&gt;"",BA$59,IF(IFERROR(INDEX(醫師週班表!$C$5:$T$44,$CU21,BA$57),"")=0,"",IF(MID(IFERROR(INDEX(醫師週班表!$C$5:$T$44,$CU21,BA$57),""),2,1)="/",MID(IFERROR(INDEX(醫師週班表!$C$5:$T$44,$CU21,BA$57),""),1+BA$58*2,1),IF(MID(IFERROR(INDEX(醫師週班表!$C$5:$T$44,$CU21,BA$57),""),3,1)="隔",IF(BA$58=0,LEFT(IFERROR(INDEX(醫師週班表!$C$5:$T$44,$CU21,BA$57),""),1),""),IF(MID(IFERROR(INDEX(醫師週班表!$C$5:$T$44,$CU21,BA$57),""),2,1)="(",LEFT(IFERROR(INDEX(醫師週班表!$C$5:$T$44,$CU21,BA$57),""),1),IFERROR(INDEX(醫師週班表!$C$5:$T$44,$CU21,BA$57),"")))))))</f>
        <v/>
      </c>
      <c r="BB21" s="72">
        <f>IF(BB$59="X","",IF(BB$59&lt;&gt;"",BB$59,IF(IFERROR(INDEX(醫師週班表!$C$5:$T$44,$CU21,BB$57),"")=0,"",IF(MID(IFERROR(INDEX(醫師週班表!$C$5:$T$44,$CU21,BB$57),""),2,1)="/",MID(IFERROR(INDEX(醫師週班表!$C$5:$T$44,$CU21,BB$57),""),1+BB$58*2,1),IF(MID(IFERROR(INDEX(醫師週班表!$C$5:$T$44,$CU21,BB$57),""),3,1)="隔",IF(BB$58=0,LEFT(IFERROR(INDEX(醫師週班表!$C$5:$T$44,$CU21,BB$57),""),1),""),IF(MID(IFERROR(INDEX(醫師週班表!$C$5:$T$44,$CU21,BB$57),""),2,1)="(",LEFT(IFERROR(INDEX(醫師週班表!$C$5:$T$44,$CU21,BB$57),""),1),IFERROR(INDEX(醫師週班表!$C$5:$T$44,$CU21,BB$57),"")))))))</f>
        <v/>
      </c>
      <c r="BC21" s="72">
        <f>IF(BC$59="X","",IF(BC$59&lt;&gt;"",BC$59,IF(IFERROR(INDEX(醫師週班表!$C$5:$T$44,$CU21,BC$57),"")=0,"",IF(MID(IFERROR(INDEX(醫師週班表!$C$5:$T$44,$CU21,BC$57),""),2,1)="/",MID(IFERROR(INDEX(醫師週班表!$C$5:$T$44,$CU21,BC$57),""),1+BC$58*2,1),IF(MID(IFERROR(INDEX(醫師週班表!$C$5:$T$44,$CU21,BC$57),""),3,1)="隔",IF(BC$58=0,LEFT(IFERROR(INDEX(醫師週班表!$C$5:$T$44,$CU21,BC$57),""),1),""),IF(MID(IFERROR(INDEX(醫師週班表!$C$5:$T$44,$CU21,BC$57),""),2,1)="(",LEFT(IFERROR(INDEX(醫師週班表!$C$5:$T$44,$CU21,BC$57),""),1),IFERROR(INDEX(醫師週班表!$C$5:$T$44,$CU21,BC$57),"")))))))</f>
        <v/>
      </c>
      <c r="BD21" s="71">
        <f>IF(BD$59="X","",IF(BD$59&lt;&gt;"",BD$59,IF(IFERROR(INDEX(醫師週班表!$C$5:$T$44,$CU21,BD$57),"")=0,"",IF(MID(IFERROR(INDEX(醫師週班表!$C$5:$T$44,$CU21,BD$57),""),2,1)="/",MID(IFERROR(INDEX(醫師週班表!$C$5:$T$44,$CU21,BD$57),""),1+BD$58*2,1),IF(MID(IFERROR(INDEX(醫師週班表!$C$5:$T$44,$CU21,BD$57),""),3,1)="隔",IF(BD$58=0,LEFT(IFERROR(INDEX(醫師週班表!$C$5:$T$44,$CU21,BD$57),""),1),""),IF(MID(IFERROR(INDEX(醫師週班表!$C$5:$T$44,$CU21,BD$57),""),2,1)="(",LEFT(IFERROR(INDEX(醫師週班表!$C$5:$T$44,$CU21,BD$57),""),1),IFERROR(INDEX(醫師週班表!$C$5:$T$44,$CU21,BD$57),"")))))))</f>
        <v/>
      </c>
      <c r="BE21" s="72">
        <f>IF(BE$59="X","",IF(BE$59&lt;&gt;"",BE$59,IF(IFERROR(INDEX(醫師週班表!$C$5:$T$44,$CU21,BE$57),"")=0,"",IF(MID(IFERROR(INDEX(醫師週班表!$C$5:$T$44,$CU21,BE$57),""),2,1)="/",MID(IFERROR(INDEX(醫師週班表!$C$5:$T$44,$CU21,BE$57),""),1+BE$58*2,1),IF(MID(IFERROR(INDEX(醫師週班表!$C$5:$T$44,$CU21,BE$57),""),3,1)="隔",IF(BE$58=0,LEFT(IFERROR(INDEX(醫師週班表!$C$5:$T$44,$CU21,BE$57),""),1),""),IF(MID(IFERROR(INDEX(醫師週班表!$C$5:$T$44,$CU21,BE$57),""),2,1)="(",LEFT(IFERROR(INDEX(醫師週班表!$C$5:$T$44,$CU21,BE$57),""),1),IFERROR(INDEX(醫師週班表!$C$5:$T$44,$CU21,BE$57),"")))))))</f>
        <v/>
      </c>
      <c r="BF21" s="72">
        <f>IF(BF$59="X","",IF(BF$59&lt;&gt;"",BF$59,IF(IFERROR(INDEX(醫師週班表!$C$5:$T$44,$CU21,BF$57),"")=0,"",IF(MID(IFERROR(INDEX(醫師週班表!$C$5:$T$44,$CU21,BF$57),""),2,1)="/",MID(IFERROR(INDEX(醫師週班表!$C$5:$T$44,$CU21,BF$57),""),1+BF$58*2,1),IF(MID(IFERROR(INDEX(醫師週班表!$C$5:$T$44,$CU21,BF$57),""),3,1)="隔",IF(BF$58=0,LEFT(IFERROR(INDEX(醫師週班表!$C$5:$T$44,$CU21,BF$57),""),1),""),IF(MID(IFERROR(INDEX(醫師週班表!$C$5:$T$44,$CU21,BF$57),""),2,1)="(",LEFT(IFERROR(INDEX(醫師週班表!$C$5:$T$44,$CU21,BF$57),""),1),IFERROR(INDEX(醫師週班表!$C$5:$T$44,$CU21,BF$57),"")))))))</f>
        <v/>
      </c>
      <c r="BG21" s="71">
        <f>IF(BG$59="X","",IF(BG$59&lt;&gt;"",BG$59,IF(IFERROR(INDEX(醫師週班表!$C$5:$T$44,$CU21,BG$57),"")=0,"",IF(MID(IFERROR(INDEX(醫師週班表!$C$5:$T$44,$CU21,BG$57),""),2,1)="/",MID(IFERROR(INDEX(醫師週班表!$C$5:$T$44,$CU21,BG$57),""),1+BG$58*2,1),IF(MID(IFERROR(INDEX(醫師週班表!$C$5:$T$44,$CU21,BG$57),""),3,1)="隔",IF(BG$58=0,LEFT(IFERROR(INDEX(醫師週班表!$C$5:$T$44,$CU21,BG$57),""),1),""),IF(MID(IFERROR(INDEX(醫師週班表!$C$5:$T$44,$CU21,BG$57),""),2,1)="(",LEFT(IFERROR(INDEX(醫師週班表!$C$5:$T$44,$CU21,BG$57),""),1),IFERROR(INDEX(醫師週班表!$C$5:$T$44,$CU21,BG$57),"")))))))</f>
        <v/>
      </c>
      <c r="BH21" s="72">
        <f>IF(BH$59="X","",IF(BH$59&lt;&gt;"",BH$59,IF(IFERROR(INDEX(醫師週班表!$C$5:$T$44,$CU21,BH$57),"")=0,"",IF(MID(IFERROR(INDEX(醫師週班表!$C$5:$T$44,$CU21,BH$57),""),2,1)="/",MID(IFERROR(INDEX(醫師週班表!$C$5:$T$44,$CU21,BH$57),""),1+BH$58*2,1),IF(MID(IFERROR(INDEX(醫師週班表!$C$5:$T$44,$CU21,BH$57),""),3,1)="隔",IF(BH$58=0,LEFT(IFERROR(INDEX(醫師週班表!$C$5:$T$44,$CU21,BH$57),""),1),""),IF(MID(IFERROR(INDEX(醫師週班表!$C$5:$T$44,$CU21,BH$57),""),2,1)="(",LEFT(IFERROR(INDEX(醫師週班表!$C$5:$T$44,$CU21,BH$57),""),1),IFERROR(INDEX(醫師週班表!$C$5:$T$44,$CU21,BH$57),"")))))))</f>
        <v/>
      </c>
      <c r="BI21" s="72">
        <f>IF(BI$59="X","",IF(BI$59&lt;&gt;"",BI$59,IF(IFERROR(INDEX(醫師週班表!$C$5:$T$44,$CU21,BI$57),"")=0,"",IF(MID(IFERROR(INDEX(醫師週班表!$C$5:$T$44,$CU21,BI$57),""),2,1)="/",MID(IFERROR(INDEX(醫師週班表!$C$5:$T$44,$CU21,BI$57),""),1+BI$58*2,1),IF(MID(IFERROR(INDEX(醫師週班表!$C$5:$T$44,$CU21,BI$57),""),3,1)="隔",IF(BI$58=0,LEFT(IFERROR(INDEX(醫師週班表!$C$5:$T$44,$CU21,BI$57),""),1),""),IF(MID(IFERROR(INDEX(醫師週班表!$C$5:$T$44,$CU21,BI$57),""),2,1)="(",LEFT(IFERROR(INDEX(醫師週班表!$C$5:$T$44,$CU21,BI$57),""),1),IFERROR(INDEX(醫師週班表!$C$5:$T$44,$CU21,BI$57),"")))))))</f>
        <v/>
      </c>
      <c r="BJ21" s="71">
        <f>IF(BJ$59="X","",IF(BJ$59&lt;&gt;"",BJ$59,IF(IFERROR(INDEX(醫師週班表!$C$5:$T$44,$CU21,BJ$57),"")=0,"",IF(MID(IFERROR(INDEX(醫師週班表!$C$5:$T$44,$CU21,BJ$57),""),2,1)="/",MID(IFERROR(INDEX(醫師週班表!$C$5:$T$44,$CU21,BJ$57),""),1+BJ$58*2,1),IF(MID(IFERROR(INDEX(醫師週班表!$C$5:$T$44,$CU21,BJ$57),""),3,1)="隔",IF(BJ$58=0,LEFT(IFERROR(INDEX(醫師週班表!$C$5:$T$44,$CU21,BJ$57),""),1),""),IF(MID(IFERROR(INDEX(醫師週班表!$C$5:$T$44,$CU21,BJ$57),""),2,1)="(",LEFT(IFERROR(INDEX(醫師週班表!$C$5:$T$44,$CU21,BJ$57),""),1),IFERROR(INDEX(醫師週班表!$C$5:$T$44,$CU21,BJ$57),"")))))))</f>
        <v/>
      </c>
      <c r="BK21" s="72">
        <f>IF(BK$59="X","",IF(BK$59&lt;&gt;"",BK$59,IF(IFERROR(INDEX(醫師週班表!$C$5:$T$44,$CU21,BK$57),"")=0,"",IF(MID(IFERROR(INDEX(醫師週班表!$C$5:$T$44,$CU21,BK$57),""),2,1)="/",MID(IFERROR(INDEX(醫師週班表!$C$5:$T$44,$CU21,BK$57),""),1+BK$58*2,1),IF(MID(IFERROR(INDEX(醫師週班表!$C$5:$T$44,$CU21,BK$57),""),3,1)="隔",IF(BK$58=0,LEFT(IFERROR(INDEX(醫師週班表!$C$5:$T$44,$CU21,BK$57),""),1),""),IF(MID(IFERROR(INDEX(醫師週班表!$C$5:$T$44,$CU21,BK$57),""),2,1)="(",LEFT(IFERROR(INDEX(醫師週班表!$C$5:$T$44,$CU21,BK$57),""),1),IFERROR(INDEX(醫師週班表!$C$5:$T$44,$CU21,BK$57),"")))))))</f>
        <v/>
      </c>
      <c r="BL21" s="72">
        <f>IF(BL$59="X","",IF(BL$59&lt;&gt;"",BL$59,IF(IFERROR(INDEX(醫師週班表!$C$5:$T$44,$CU21,BL$57),"")=0,"",IF(MID(IFERROR(INDEX(醫師週班表!$C$5:$T$44,$CU21,BL$57),""),2,1)="/",MID(IFERROR(INDEX(醫師週班表!$C$5:$T$44,$CU21,BL$57),""),1+BL$58*2,1),IF(MID(IFERROR(INDEX(醫師週班表!$C$5:$T$44,$CU21,BL$57),""),3,1)="隔",IF(BL$58=0,LEFT(IFERROR(INDEX(醫師週班表!$C$5:$T$44,$CU21,BL$57),""),1),""),IF(MID(IFERROR(INDEX(醫師週班表!$C$5:$T$44,$CU21,BL$57),""),2,1)="(",LEFT(IFERROR(INDEX(醫師週班表!$C$5:$T$44,$CU21,BL$57),""),1),IFERROR(INDEX(醫師週班表!$C$5:$T$44,$CU21,BL$57),"")))))))</f>
        <v/>
      </c>
      <c r="BM21" s="71">
        <f>IF(BM$59="X","",IF(BM$59&lt;&gt;"",BM$59,IF(IFERROR(INDEX(醫師週班表!$C$5:$T$44,$CU21,BM$57),"")=0,"",IF(MID(IFERROR(INDEX(醫師週班表!$C$5:$T$44,$CU21,BM$57),""),2,1)="/",MID(IFERROR(INDEX(醫師週班表!$C$5:$T$44,$CU21,BM$57),""),1+BM$58*2,1),IF(MID(IFERROR(INDEX(醫師週班表!$C$5:$T$44,$CU21,BM$57),""),3,1)="隔",IF(BM$58=0,LEFT(IFERROR(INDEX(醫師週班表!$C$5:$T$44,$CU21,BM$57),""),1),""),IF(MID(IFERROR(INDEX(醫師週班表!$C$5:$T$44,$CU21,BM$57),""),2,1)="(",LEFT(IFERROR(INDEX(醫師週班表!$C$5:$T$44,$CU21,BM$57),""),1),IFERROR(INDEX(醫師週班表!$C$5:$T$44,$CU21,BM$57),"")))))))</f>
        <v/>
      </c>
      <c r="BN21" s="72">
        <f>IF(BN$59="X","",IF(BN$59&lt;&gt;"",BN$59,IF(IFERROR(INDEX(醫師週班表!$C$5:$T$44,$CU21,BN$57),"")=0,"",IF(MID(IFERROR(INDEX(醫師週班表!$C$5:$T$44,$CU21,BN$57),""),2,1)="/",MID(IFERROR(INDEX(醫師週班表!$C$5:$T$44,$CU21,BN$57),""),1+BN$58*2,1),IF(MID(IFERROR(INDEX(醫師週班表!$C$5:$T$44,$CU21,BN$57),""),3,1)="隔",IF(BN$58=0,LEFT(IFERROR(INDEX(醫師週班表!$C$5:$T$44,$CU21,BN$57),""),1),""),IF(MID(IFERROR(INDEX(醫師週班表!$C$5:$T$44,$CU21,BN$57),""),2,1)="(",LEFT(IFERROR(INDEX(醫師週班表!$C$5:$T$44,$CU21,BN$57),""),1),IFERROR(INDEX(醫師週班表!$C$5:$T$44,$CU21,BN$57),"")))))))</f>
        <v/>
      </c>
      <c r="BO21" s="72">
        <f>IF(BO$59="X","",IF(BO$59&lt;&gt;"",BO$59,IF(IFERROR(INDEX(醫師週班表!$C$5:$T$44,$CU21,BO$57),"")=0,"",IF(MID(IFERROR(INDEX(醫師週班表!$C$5:$T$44,$CU21,BO$57),""),2,1)="/",MID(IFERROR(INDEX(醫師週班表!$C$5:$T$44,$CU21,BO$57),""),1+BO$58*2,1),IF(MID(IFERROR(INDEX(醫師週班表!$C$5:$T$44,$CU21,BO$57),""),3,1)="隔",IF(BO$58=0,LEFT(IFERROR(INDEX(醫師週班表!$C$5:$T$44,$CU21,BO$57),""),1),""),IF(MID(IFERROR(INDEX(醫師週班表!$C$5:$T$44,$CU21,BO$57),""),2,1)="(",LEFT(IFERROR(INDEX(醫師週班表!$C$5:$T$44,$CU21,BO$57),""),1),IFERROR(INDEX(醫師週班表!$C$5:$T$44,$CU21,BO$57),"")))))))</f>
        <v/>
      </c>
      <c r="BP21" s="71">
        <f>IF(BP$59="X","",IF(BP$59&lt;&gt;"",BP$59,IF(IFERROR(INDEX(醫師週班表!$C$5:$T$44,$CU21,BP$57),"")=0,"",IF(MID(IFERROR(INDEX(醫師週班表!$C$5:$T$44,$CU21,BP$57),""),2,1)="/",MID(IFERROR(INDEX(醫師週班表!$C$5:$T$44,$CU21,BP$57),""),1+BP$58*2,1),IF(MID(IFERROR(INDEX(醫師週班表!$C$5:$T$44,$CU21,BP$57),""),3,1)="隔",IF(BP$58=0,LEFT(IFERROR(INDEX(醫師週班表!$C$5:$T$44,$CU21,BP$57),""),1),""),IF(MID(IFERROR(INDEX(醫師週班表!$C$5:$T$44,$CU21,BP$57),""),2,1)="(",LEFT(IFERROR(INDEX(醫師週班表!$C$5:$T$44,$CU21,BP$57),""),1),IFERROR(INDEX(醫師週班表!$C$5:$T$44,$CU21,BP$57),"")))))))</f>
        <v/>
      </c>
      <c r="BQ21" s="72">
        <f>IF(BQ$59="X","",IF(BQ$59&lt;&gt;"",BQ$59,IF(IFERROR(INDEX(醫師週班表!$C$5:$T$44,$CU21,BQ$57),"")=0,"",IF(MID(IFERROR(INDEX(醫師週班表!$C$5:$T$44,$CU21,BQ$57),""),2,1)="/",MID(IFERROR(INDEX(醫師週班表!$C$5:$T$44,$CU21,BQ$57),""),1+BQ$58*2,1),IF(MID(IFERROR(INDEX(醫師週班表!$C$5:$T$44,$CU21,BQ$57),""),3,1)="隔",IF(BQ$58=0,LEFT(IFERROR(INDEX(醫師週班表!$C$5:$T$44,$CU21,BQ$57),""),1),""),IF(MID(IFERROR(INDEX(醫師週班表!$C$5:$T$44,$CU21,BQ$57),""),2,1)="(",LEFT(IFERROR(INDEX(醫師週班表!$C$5:$T$44,$CU21,BQ$57),""),1),IFERROR(INDEX(醫師週班表!$C$5:$T$44,$CU21,BQ$57),"")))))))</f>
        <v/>
      </c>
      <c r="BR21" s="72">
        <f>IF(BR$59="X","",IF(BR$59&lt;&gt;"",BR$59,IF(IFERROR(INDEX(醫師週班表!$C$5:$T$44,$CU21,BR$57),"")=0,"",IF(MID(IFERROR(INDEX(醫師週班表!$C$5:$T$44,$CU21,BR$57),""),2,1)="/",MID(IFERROR(INDEX(醫師週班表!$C$5:$T$44,$CU21,BR$57),""),1+BR$58*2,1),IF(MID(IFERROR(INDEX(醫師週班表!$C$5:$T$44,$CU21,BR$57),""),3,1)="隔",IF(BR$58=0,LEFT(IFERROR(INDEX(醫師週班表!$C$5:$T$44,$CU21,BR$57),""),1),""),IF(MID(IFERROR(INDEX(醫師週班表!$C$5:$T$44,$CU21,BR$57),""),2,1)="(",LEFT(IFERROR(INDEX(醫師週班表!$C$5:$T$44,$CU21,BR$57),""),1),IFERROR(INDEX(醫師週班表!$C$5:$T$44,$CU21,BR$57),"")))))))</f>
        <v/>
      </c>
      <c r="BS21" s="71">
        <f>IF(BS$59="X","",IF(BS$59&lt;&gt;"",BS$59,IF(IFERROR(INDEX(醫師週班表!$C$5:$T$44,$CU21,BS$57),"")=0,"",IF(MID(IFERROR(INDEX(醫師週班表!$C$5:$T$44,$CU21,BS$57),""),2,1)="/",MID(IFERROR(INDEX(醫師週班表!$C$5:$T$44,$CU21,BS$57),""),1+BS$58*2,1),IF(MID(IFERROR(INDEX(醫師週班表!$C$5:$T$44,$CU21,BS$57),""),3,1)="隔",IF(BS$58=0,LEFT(IFERROR(INDEX(醫師週班表!$C$5:$T$44,$CU21,BS$57),""),1),""),IF(MID(IFERROR(INDEX(醫師週班表!$C$5:$T$44,$CU21,BS$57),""),2,1)="(",LEFT(IFERROR(INDEX(醫師週班表!$C$5:$T$44,$CU21,BS$57),""),1),IFERROR(INDEX(醫師週班表!$C$5:$T$44,$CU21,BS$57),"")))))))</f>
        <v/>
      </c>
      <c r="BT21" s="72">
        <f>IF(BT$59="X","",IF(BT$59&lt;&gt;"",BT$59,IF(IFERROR(INDEX(醫師週班表!$C$5:$T$44,$CU21,BT$57),"")=0,"",IF(MID(IFERROR(INDEX(醫師週班表!$C$5:$T$44,$CU21,BT$57),""),2,1)="/",MID(IFERROR(INDEX(醫師週班表!$C$5:$T$44,$CU21,BT$57),""),1+BT$58*2,1),IF(MID(IFERROR(INDEX(醫師週班表!$C$5:$T$44,$CU21,BT$57),""),3,1)="隔",IF(BT$58=0,LEFT(IFERROR(INDEX(醫師週班表!$C$5:$T$44,$CU21,BT$57),""),1),""),IF(MID(IFERROR(INDEX(醫師週班表!$C$5:$T$44,$CU21,BT$57),""),2,1)="(",LEFT(IFERROR(INDEX(醫師週班表!$C$5:$T$44,$CU21,BT$57),""),1),IFERROR(INDEX(醫師週班表!$C$5:$T$44,$CU21,BT$57),"")))))))</f>
        <v/>
      </c>
      <c r="BU21" s="72">
        <f>IF(BU$59="X","",IF(BU$59&lt;&gt;"",BU$59,IF(IFERROR(INDEX(醫師週班表!$C$5:$T$44,$CU21,BU$57),"")=0,"",IF(MID(IFERROR(INDEX(醫師週班表!$C$5:$T$44,$CU21,BU$57),""),2,1)="/",MID(IFERROR(INDEX(醫師週班表!$C$5:$T$44,$CU21,BU$57),""),1+BU$58*2,1),IF(MID(IFERROR(INDEX(醫師週班表!$C$5:$T$44,$CU21,BU$57),""),3,1)="隔",IF(BU$58=0,LEFT(IFERROR(INDEX(醫師週班表!$C$5:$T$44,$CU21,BU$57),""),1),""),IF(MID(IFERROR(INDEX(醫師週班表!$C$5:$T$44,$CU21,BU$57),""),2,1)="(",LEFT(IFERROR(INDEX(醫師週班表!$C$5:$T$44,$CU21,BU$57),""),1),IFERROR(INDEX(醫師週班表!$C$5:$T$44,$CU21,BU$57),"")))))))</f>
        <v/>
      </c>
      <c r="BV21" s="71">
        <f>IF(BV$59="X","",IF(BV$59&lt;&gt;"",BV$59,IF(IFERROR(INDEX(醫師週班表!$C$5:$T$44,$CU21,BV$57),"")=0,"",IF(MID(IFERROR(INDEX(醫師週班表!$C$5:$T$44,$CU21,BV$57),""),2,1)="/",MID(IFERROR(INDEX(醫師週班表!$C$5:$T$44,$CU21,BV$57),""),1+BV$58*2,1),IF(MID(IFERROR(INDEX(醫師週班表!$C$5:$T$44,$CU21,BV$57),""),3,1)="隔",IF(BV$58=0,LEFT(IFERROR(INDEX(醫師週班表!$C$5:$T$44,$CU21,BV$57),""),1),""),IF(MID(IFERROR(INDEX(醫師週班表!$C$5:$T$44,$CU21,BV$57),""),2,1)="(",LEFT(IFERROR(INDEX(醫師週班表!$C$5:$T$44,$CU21,BV$57),""),1),IFERROR(INDEX(醫師週班表!$C$5:$T$44,$CU21,BV$57),"")))))))</f>
        <v/>
      </c>
      <c r="BW21" s="72">
        <f>IF(BW$59="X","",IF(BW$59&lt;&gt;"",BW$59,IF(IFERROR(INDEX(醫師週班表!$C$5:$T$44,$CU21,BW$57),"")=0,"",IF(MID(IFERROR(INDEX(醫師週班表!$C$5:$T$44,$CU21,BW$57),""),2,1)="/",MID(IFERROR(INDEX(醫師週班表!$C$5:$T$44,$CU21,BW$57),""),1+BW$58*2,1),IF(MID(IFERROR(INDEX(醫師週班表!$C$5:$T$44,$CU21,BW$57),""),3,1)="隔",IF(BW$58=0,LEFT(IFERROR(INDEX(醫師週班表!$C$5:$T$44,$CU21,BW$57),""),1),""),IF(MID(IFERROR(INDEX(醫師週班表!$C$5:$T$44,$CU21,BW$57),""),2,1)="(",LEFT(IFERROR(INDEX(醫師週班表!$C$5:$T$44,$CU21,BW$57),""),1),IFERROR(INDEX(醫師週班表!$C$5:$T$44,$CU21,BW$57),"")))))))</f>
        <v/>
      </c>
      <c r="BX21" s="72">
        <f>IF(BX$59="X","",IF(BX$59&lt;&gt;"",BX$59,IF(IFERROR(INDEX(醫師週班表!$C$5:$T$44,$CU21,BX$57),"")=0,"",IF(MID(IFERROR(INDEX(醫師週班表!$C$5:$T$44,$CU21,BX$57),""),2,1)="/",MID(IFERROR(INDEX(醫師週班表!$C$5:$T$44,$CU21,BX$57),""),1+BX$58*2,1),IF(MID(IFERROR(INDEX(醫師週班表!$C$5:$T$44,$CU21,BX$57),""),3,1)="隔",IF(BX$58=0,LEFT(IFERROR(INDEX(醫師週班表!$C$5:$T$44,$CU21,BX$57),""),1),""),IF(MID(IFERROR(INDEX(醫師週班表!$C$5:$T$44,$CU21,BX$57),""),2,1)="(",LEFT(IFERROR(INDEX(醫師週班表!$C$5:$T$44,$CU21,BX$57),""),1),IFERROR(INDEX(醫師週班表!$C$5:$T$44,$CU21,BX$57),"")))))))</f>
        <v/>
      </c>
      <c r="BY21" s="71">
        <f>IF(BY$59="X","",IF(BY$59&lt;&gt;"",BY$59,IF(IFERROR(INDEX(醫師週班表!$C$5:$T$44,$CU21,BY$57),"")=0,"",IF(MID(IFERROR(INDEX(醫師週班表!$C$5:$T$44,$CU21,BY$57),""),2,1)="/",MID(IFERROR(INDEX(醫師週班表!$C$5:$T$44,$CU21,BY$57),""),1+BY$58*2,1),IF(MID(IFERROR(INDEX(醫師週班表!$C$5:$T$44,$CU21,BY$57),""),3,1)="隔",IF(BY$58=0,LEFT(IFERROR(INDEX(醫師週班表!$C$5:$T$44,$CU21,BY$57),""),1),""),IF(MID(IFERROR(INDEX(醫師週班表!$C$5:$T$44,$CU21,BY$57),""),2,1)="(",LEFT(IFERROR(INDEX(醫師週班表!$C$5:$T$44,$CU21,BY$57),""),1),IFERROR(INDEX(醫師週班表!$C$5:$T$44,$CU21,BY$57),"")))))))</f>
        <v/>
      </c>
      <c r="BZ21" s="72">
        <f>IF(BZ$59="X","",IF(BZ$59&lt;&gt;"",BZ$59,IF(IFERROR(INDEX(醫師週班表!$C$5:$T$44,$CU21,BZ$57),"")=0,"",IF(MID(IFERROR(INDEX(醫師週班表!$C$5:$T$44,$CU21,BZ$57),""),2,1)="/",MID(IFERROR(INDEX(醫師週班表!$C$5:$T$44,$CU21,BZ$57),""),1+BZ$58*2,1),IF(MID(IFERROR(INDEX(醫師週班表!$C$5:$T$44,$CU21,BZ$57),""),3,1)="隔",IF(BZ$58=0,LEFT(IFERROR(INDEX(醫師週班表!$C$5:$T$44,$CU21,BZ$57),""),1),""),IF(MID(IFERROR(INDEX(醫師週班表!$C$5:$T$44,$CU21,BZ$57),""),2,1)="(",LEFT(IFERROR(INDEX(醫師週班表!$C$5:$T$44,$CU21,BZ$57),""),1),IFERROR(INDEX(醫師週班表!$C$5:$T$44,$CU21,BZ$57),"")))))))</f>
        <v/>
      </c>
      <c r="CA21" s="72">
        <f>IF(CA$59="X","",IF(CA$59&lt;&gt;"",CA$59,IF(IFERROR(INDEX(醫師週班表!$C$5:$T$44,$CU21,CA$57),"")=0,"",IF(MID(IFERROR(INDEX(醫師週班表!$C$5:$T$44,$CU21,CA$57),""),2,1)="/",MID(IFERROR(INDEX(醫師週班表!$C$5:$T$44,$CU21,CA$57),""),1+CA$58*2,1),IF(MID(IFERROR(INDEX(醫師週班表!$C$5:$T$44,$CU21,CA$57),""),3,1)="隔",IF(CA$58=0,LEFT(IFERROR(INDEX(醫師週班表!$C$5:$T$44,$CU21,CA$57),""),1),""),IF(MID(IFERROR(INDEX(醫師週班表!$C$5:$T$44,$CU21,CA$57),""),2,1)="(",LEFT(IFERROR(INDEX(醫師週班表!$C$5:$T$44,$CU21,CA$57),""),1),IFERROR(INDEX(醫師週班表!$C$5:$T$44,$CU21,CA$57),"")))))))</f>
        <v/>
      </c>
      <c r="CB21" s="71">
        <f>IF(CB$59="X","",IF(CB$59&lt;&gt;"",CB$59,IF(IFERROR(INDEX(醫師週班表!$C$5:$T$44,$CU21,CB$57),"")=0,"",IF(MID(IFERROR(INDEX(醫師週班表!$C$5:$T$44,$CU21,CB$57),""),2,1)="/",MID(IFERROR(INDEX(醫師週班表!$C$5:$T$44,$CU21,CB$57),""),1+CB$58*2,1),IF(MID(IFERROR(INDEX(醫師週班表!$C$5:$T$44,$CU21,CB$57),""),3,1)="隔",IF(CB$58=0,LEFT(IFERROR(INDEX(醫師週班表!$C$5:$T$44,$CU21,CB$57),""),1),""),IF(MID(IFERROR(INDEX(醫師週班表!$C$5:$T$44,$CU21,CB$57),""),2,1)="(",LEFT(IFERROR(INDEX(醫師週班表!$C$5:$T$44,$CU21,CB$57),""),1),IFERROR(INDEX(醫師週班表!$C$5:$T$44,$CU21,CB$57),"")))))))</f>
        <v/>
      </c>
      <c r="CC21" s="72">
        <f>IF(CC$59="X","",IF(CC$59&lt;&gt;"",CC$59,IF(IFERROR(INDEX(醫師週班表!$C$5:$T$44,$CU21,CC$57),"")=0,"",IF(MID(IFERROR(INDEX(醫師週班表!$C$5:$T$44,$CU21,CC$57),""),2,1)="/",MID(IFERROR(INDEX(醫師週班表!$C$5:$T$44,$CU21,CC$57),""),1+CC$58*2,1),IF(MID(IFERROR(INDEX(醫師週班表!$C$5:$T$44,$CU21,CC$57),""),3,1)="隔",IF(CC$58=0,LEFT(IFERROR(INDEX(醫師週班表!$C$5:$T$44,$CU21,CC$57),""),1),""),IF(MID(IFERROR(INDEX(醫師週班表!$C$5:$T$44,$CU21,CC$57),""),2,1)="(",LEFT(IFERROR(INDEX(醫師週班表!$C$5:$T$44,$CU21,CC$57),""),1),IFERROR(INDEX(醫師週班表!$C$5:$T$44,$CU21,CC$57),"")))))))</f>
        <v/>
      </c>
      <c r="CD21" s="72">
        <f>IF(CD$59="X","",IF(CD$59&lt;&gt;"",CD$59,IF(IFERROR(INDEX(醫師週班表!$C$5:$T$44,$CU21,CD$57),"")=0,"",IF(MID(IFERROR(INDEX(醫師週班表!$C$5:$T$44,$CU21,CD$57),""),2,1)="/",MID(IFERROR(INDEX(醫師週班表!$C$5:$T$44,$CU21,CD$57),""),1+CD$58*2,1),IF(MID(IFERROR(INDEX(醫師週班表!$C$5:$T$44,$CU21,CD$57),""),3,1)="隔",IF(CD$58=0,LEFT(IFERROR(INDEX(醫師週班表!$C$5:$T$44,$CU21,CD$57),""),1),""),IF(MID(IFERROR(INDEX(醫師週班表!$C$5:$T$44,$CU21,CD$57),""),2,1)="(",LEFT(IFERROR(INDEX(醫師週班表!$C$5:$T$44,$CU21,CD$57),""),1),IFERROR(INDEX(醫師週班表!$C$5:$T$44,$CU21,CD$57),"")))))))</f>
        <v/>
      </c>
      <c r="CE21" s="71">
        <f>IF(CE$59="X","",IF(CE$59&lt;&gt;"",CE$59,IF(IFERROR(INDEX(醫師週班表!$C$5:$T$44,$CU21,CE$57),"")=0,"",IF(MID(IFERROR(INDEX(醫師週班表!$C$5:$T$44,$CU21,CE$57),""),2,1)="/",MID(IFERROR(INDEX(醫師週班表!$C$5:$T$44,$CU21,CE$57),""),1+CE$58*2,1),IF(MID(IFERROR(INDEX(醫師週班表!$C$5:$T$44,$CU21,CE$57),""),3,1)="隔",IF(CE$58=0,LEFT(IFERROR(INDEX(醫師週班表!$C$5:$T$44,$CU21,CE$57),""),1),""),IF(MID(IFERROR(INDEX(醫師週班表!$C$5:$T$44,$CU21,CE$57),""),2,1)="(",LEFT(IFERROR(INDEX(醫師週班表!$C$5:$T$44,$CU21,CE$57),""),1),IFERROR(INDEX(醫師週班表!$C$5:$T$44,$CU21,CE$57),"")))))))</f>
        <v/>
      </c>
      <c r="CF21" s="72">
        <f>IF(CF$59="X","",IF(CF$59&lt;&gt;"",CF$59,IF(IFERROR(INDEX(醫師週班表!$C$5:$T$44,$CU21,CF$57),"")=0,"",IF(MID(IFERROR(INDEX(醫師週班表!$C$5:$T$44,$CU21,CF$57),""),2,1)="/",MID(IFERROR(INDEX(醫師週班表!$C$5:$T$44,$CU21,CF$57),""),1+CF$58*2,1),IF(MID(IFERROR(INDEX(醫師週班表!$C$5:$T$44,$CU21,CF$57),""),3,1)="隔",IF(CF$58=0,LEFT(IFERROR(INDEX(醫師週班表!$C$5:$T$44,$CU21,CF$57),""),1),""),IF(MID(IFERROR(INDEX(醫師週班表!$C$5:$T$44,$CU21,CF$57),""),2,1)="(",LEFT(IFERROR(INDEX(醫師週班表!$C$5:$T$44,$CU21,CF$57),""),1),IFERROR(INDEX(醫師週班表!$C$5:$T$44,$CU21,CF$57),"")))))))</f>
        <v/>
      </c>
      <c r="CG21" s="72">
        <f>IF(CG$59="X","",IF(CG$59&lt;&gt;"",CG$59,IF(IFERROR(INDEX(醫師週班表!$C$5:$T$44,$CU21,CG$57),"")=0,"",IF(MID(IFERROR(INDEX(醫師週班表!$C$5:$T$44,$CU21,CG$57),""),2,1)="/",MID(IFERROR(INDEX(醫師週班表!$C$5:$T$44,$CU21,CG$57),""),1+CG$58*2,1),IF(MID(IFERROR(INDEX(醫師週班表!$C$5:$T$44,$CU21,CG$57),""),3,1)="隔",IF(CG$58=0,LEFT(IFERROR(INDEX(醫師週班表!$C$5:$T$44,$CU21,CG$57),""),1),""),IF(MID(IFERROR(INDEX(醫師週班表!$C$5:$T$44,$CU21,CG$57),""),2,1)="(",LEFT(IFERROR(INDEX(醫師週班表!$C$5:$T$44,$CU21,CG$57),""),1),IFERROR(INDEX(醫師週班表!$C$5:$T$44,$CU21,CG$57),"")))))))</f>
        <v/>
      </c>
      <c r="CH21" s="71">
        <f>IF(CH$59="X","",IF(CH$59&lt;&gt;"",CH$59,IF(IFERROR(INDEX(醫師週班表!$C$5:$T$44,$CU21,CH$57),"")=0,"",IF(MID(IFERROR(INDEX(醫師週班表!$C$5:$T$44,$CU21,CH$57),""),2,1)="/",MID(IFERROR(INDEX(醫師週班表!$C$5:$T$44,$CU21,CH$57),""),1+CH$58*2,1),IF(MID(IFERROR(INDEX(醫師週班表!$C$5:$T$44,$CU21,CH$57),""),3,1)="隔",IF(CH$58=0,LEFT(IFERROR(INDEX(醫師週班表!$C$5:$T$44,$CU21,CH$57),""),1),""),IF(MID(IFERROR(INDEX(醫師週班表!$C$5:$T$44,$CU21,CH$57),""),2,1)="(",LEFT(IFERROR(INDEX(醫師週班表!$C$5:$T$44,$CU21,CH$57),""),1),IFERROR(INDEX(醫師週班表!$C$5:$T$44,$CU21,CH$57),"")))))))</f>
        <v/>
      </c>
      <c r="CI21" s="72">
        <f>IF(CI$59="X","",IF(CI$59&lt;&gt;"",CI$59,IF(IFERROR(INDEX(醫師週班表!$C$5:$T$44,$CU21,CI$57),"")=0,"",IF(MID(IFERROR(INDEX(醫師週班表!$C$5:$T$44,$CU21,CI$57),""),2,1)="/",MID(IFERROR(INDEX(醫師週班表!$C$5:$T$44,$CU21,CI$57),""),1+CI$58*2,1),IF(MID(IFERROR(INDEX(醫師週班表!$C$5:$T$44,$CU21,CI$57),""),3,1)="隔",IF(CI$58=0,LEFT(IFERROR(INDEX(醫師週班表!$C$5:$T$44,$CU21,CI$57),""),1),""),IF(MID(IFERROR(INDEX(醫師週班表!$C$5:$T$44,$CU21,CI$57),""),2,1)="(",LEFT(IFERROR(INDEX(醫師週班表!$C$5:$T$44,$CU21,CI$57),""),1),IFERROR(INDEX(醫師週班表!$C$5:$T$44,$CU21,CI$57),"")))))))</f>
        <v/>
      </c>
      <c r="CJ21" s="72">
        <f>IF(CJ$59="X","",IF(CJ$59&lt;&gt;"",CJ$59,IF(IFERROR(INDEX(醫師週班表!$C$5:$T$44,$CU21,CJ$57),"")=0,"",IF(MID(IFERROR(INDEX(醫師週班表!$C$5:$T$44,$CU21,CJ$57),""),2,1)="/",MID(IFERROR(INDEX(醫師週班表!$C$5:$T$44,$CU21,CJ$57),""),1+CJ$58*2,1),IF(MID(IFERROR(INDEX(醫師週班表!$C$5:$T$44,$CU21,CJ$57),""),3,1)="隔",IF(CJ$58=0,LEFT(IFERROR(INDEX(醫師週班表!$C$5:$T$44,$CU21,CJ$57),""),1),""),IF(MID(IFERROR(INDEX(醫師週班表!$C$5:$T$44,$CU21,CJ$57),""),2,1)="(",LEFT(IFERROR(INDEX(醫師週班表!$C$5:$T$44,$CU21,CJ$57),""),1),IFERROR(INDEX(醫師週班表!$C$5:$T$44,$CU21,CJ$57),"")))))))</f>
        <v/>
      </c>
      <c r="CK21" s="71">
        <f>IF(CK$59="X","",IF(CK$59&lt;&gt;"",CK$59,IF(IFERROR(INDEX(醫師週班表!$C$5:$T$44,$CU21,CK$57),"")=0,"",IF(MID(IFERROR(INDEX(醫師週班表!$C$5:$T$44,$CU21,CK$57),""),2,1)="/",MID(IFERROR(INDEX(醫師週班表!$C$5:$T$44,$CU21,CK$57),""),1+CK$58*2,1),IF(MID(IFERROR(INDEX(醫師週班表!$C$5:$T$44,$CU21,CK$57),""),3,1)="隔",IF(CK$58=0,LEFT(IFERROR(INDEX(醫師週班表!$C$5:$T$44,$CU21,CK$57),""),1),""),IF(MID(IFERROR(INDEX(醫師週班表!$C$5:$T$44,$CU21,CK$57),""),2,1)="(",LEFT(IFERROR(INDEX(醫師週班表!$C$5:$T$44,$CU21,CK$57),""),1),IFERROR(INDEX(醫師週班表!$C$5:$T$44,$CU21,CK$57),"")))))))</f>
        <v/>
      </c>
      <c r="CL21" s="72">
        <f>IF(CL$59="X","",IF(CL$59&lt;&gt;"",CL$59,IF(IFERROR(INDEX(醫師週班表!$C$5:$T$44,$CU21,CL$57),"")=0,"",IF(MID(IFERROR(INDEX(醫師週班表!$C$5:$T$44,$CU21,CL$57),""),2,1)="/",MID(IFERROR(INDEX(醫師週班表!$C$5:$T$44,$CU21,CL$57),""),1+CL$58*2,1),IF(MID(IFERROR(INDEX(醫師週班表!$C$5:$T$44,$CU21,CL$57),""),3,1)="隔",IF(CL$58=0,LEFT(IFERROR(INDEX(醫師週班表!$C$5:$T$44,$CU21,CL$57),""),1),""),IF(MID(IFERROR(INDEX(醫師週班表!$C$5:$T$44,$CU21,CL$57),""),2,1)="(",LEFT(IFERROR(INDEX(醫師週班表!$C$5:$T$44,$CU21,CL$57),""),1),IFERROR(INDEX(醫師週班表!$C$5:$T$44,$CU21,CL$57),"")))))))</f>
        <v/>
      </c>
      <c r="CM21" s="72">
        <f>IF(CM$59="X","",IF(CM$59&lt;&gt;"",CM$59,IF(IFERROR(INDEX(醫師週班表!$C$5:$T$44,$CU21,CM$57),"")=0,"",IF(MID(IFERROR(INDEX(醫師週班表!$C$5:$T$44,$CU21,CM$57),""),2,1)="/",MID(IFERROR(INDEX(醫師週班表!$C$5:$T$44,$CU21,CM$57),""),1+CM$58*2,1),IF(MID(IFERROR(INDEX(醫師週班表!$C$5:$T$44,$CU21,CM$57),""),3,1)="隔",IF(CM$58=0,LEFT(IFERROR(INDEX(醫師週班表!$C$5:$T$44,$CU21,CM$57),""),1),""),IF(MID(IFERROR(INDEX(醫師週班表!$C$5:$T$44,$CU21,CM$57),""),2,1)="(",LEFT(IFERROR(INDEX(醫師週班表!$C$5:$T$44,$CU21,CM$57),""),1),IFERROR(INDEX(醫師週班表!$C$5:$T$44,$CU21,CM$57),"")))))))</f>
        <v/>
      </c>
      <c r="CN21" s="71">
        <f>IF(CN$59="X","",IF(CN$59&lt;&gt;"",CN$59,IF(IFERROR(INDEX(醫師週班表!$C$5:$T$44,$CU21,CN$57),"")=0,"",IF(MID(IFERROR(INDEX(醫師週班表!$C$5:$T$44,$CU21,CN$57),""),2,1)="/",MID(IFERROR(INDEX(醫師週班表!$C$5:$T$44,$CU21,CN$57),""),1+CN$58*2,1),IF(MID(IFERROR(INDEX(醫師週班表!$C$5:$T$44,$CU21,CN$57),""),3,1)="隔",IF(CN$58=0,LEFT(IFERROR(INDEX(醫師週班表!$C$5:$T$44,$CU21,CN$57),""),1),""),IF(MID(IFERROR(INDEX(醫師週班表!$C$5:$T$44,$CU21,CN$57),""),2,1)="(",LEFT(IFERROR(INDEX(醫師週班表!$C$5:$T$44,$CU21,CN$57),""),1),IFERROR(INDEX(醫師週班表!$C$5:$T$44,$CU21,CN$57),"")))))))</f>
        <v/>
      </c>
      <c r="CO21" s="72">
        <f>IF(CO$59="X","",IF(CO$59&lt;&gt;"",CO$59,IF(IFERROR(INDEX(醫師週班表!$C$5:$T$44,$CU21,CO$57),"")=0,"",IF(MID(IFERROR(INDEX(醫師週班表!$C$5:$T$44,$CU21,CO$57),""),2,1)="/",MID(IFERROR(INDEX(醫師週班表!$C$5:$T$44,$CU21,CO$57),""),1+CO$58*2,1),IF(MID(IFERROR(INDEX(醫師週班表!$C$5:$T$44,$CU21,CO$57),""),3,1)="隔",IF(CO$58=0,LEFT(IFERROR(INDEX(醫師週班表!$C$5:$T$44,$CU21,CO$57),""),1),""),IF(MID(IFERROR(INDEX(醫師週班表!$C$5:$T$44,$CU21,CO$57),""),2,1)="(",LEFT(IFERROR(INDEX(醫師週班表!$C$5:$T$44,$CU21,CO$57),""),1),IFERROR(INDEX(醫師週班表!$C$5:$T$44,$CU21,CO$57),"")))))))</f>
        <v/>
      </c>
      <c r="CP21" s="72">
        <f>IF(CP$59="X","",IF(CP$59&lt;&gt;"",CP$59,IF(IFERROR(INDEX(醫師週班表!$C$5:$T$44,$CU21,CP$57),"")=0,"",IF(MID(IFERROR(INDEX(醫師週班表!$C$5:$T$44,$CU21,CP$57),""),2,1)="/",MID(IFERROR(INDEX(醫師週班表!$C$5:$T$44,$CU21,CP$57),""),1+CP$58*2,1),IF(MID(IFERROR(INDEX(醫師週班表!$C$5:$T$44,$CU21,CP$57),""),3,1)="隔",IF(CP$58=0,LEFT(IFERROR(INDEX(醫師週班表!$C$5:$T$44,$CU21,CP$57),""),1),""),IF(MID(IFERROR(INDEX(醫師週班表!$C$5:$T$44,$CU21,CP$57),""),2,1)="(",LEFT(IFERROR(INDEX(醫師週班表!$C$5:$T$44,$CU21,CP$57),""),1),IFERROR(INDEX(醫師週班表!$C$5:$T$44,$CU21,CP$57),"")))))))</f>
        <v/>
      </c>
      <c r="CQ21" s="71">
        <f>IF(CQ$59="X","",IF(CQ$59&lt;&gt;"",CQ$59,IF(IFERROR(INDEX(醫師週班表!$C$5:$T$44,$CU21,CQ$57),"")=0,"",IF(MID(IFERROR(INDEX(醫師週班表!$C$5:$T$44,$CU21,CQ$57),""),2,1)="/",MID(IFERROR(INDEX(醫師週班表!$C$5:$T$44,$CU21,CQ$57),""),1+CQ$58*2,1),IF(MID(IFERROR(INDEX(醫師週班表!$C$5:$T$44,$CU21,CQ$57),""),3,1)="隔",IF(CQ$58=0,LEFT(IFERROR(INDEX(醫師週班表!$C$5:$T$44,$CU21,CQ$57),""),1),""),IF(MID(IFERROR(INDEX(醫師週班表!$C$5:$T$44,$CU21,CQ$57),""),2,1)="(",LEFT(IFERROR(INDEX(醫師週班表!$C$5:$T$44,$CU21,CQ$57),""),1),IFERROR(INDEX(醫師週班表!$C$5:$T$44,$CU21,CQ$57),"")))))))</f>
        <v/>
      </c>
      <c r="CR21" s="72">
        <f>IF(CR$59="X","",IF(CR$59&lt;&gt;"",CR$59,IF(IFERROR(INDEX(醫師週班表!$C$5:$T$44,$CU21,CR$57),"")=0,"",IF(MID(IFERROR(INDEX(醫師週班表!$C$5:$T$44,$CU21,CR$57),""),2,1)="/",MID(IFERROR(INDEX(醫師週班表!$C$5:$T$44,$CU21,CR$57),""),1+CR$58*2,1),IF(MID(IFERROR(INDEX(醫師週班表!$C$5:$T$44,$CU21,CR$57),""),3,1)="隔",IF(CR$58=0,LEFT(IFERROR(INDEX(醫師週班表!$C$5:$T$44,$CU21,CR$57),""),1),""),IF(MID(IFERROR(INDEX(醫師週班表!$C$5:$T$44,$CU21,CR$57),""),2,1)="(",LEFT(IFERROR(INDEX(醫師週班表!$C$5:$T$44,$CU21,CR$57),""),1),IFERROR(INDEX(醫師週班表!$C$5:$T$44,$CU21,CR$57),"")))))))</f>
        <v/>
      </c>
      <c r="CS21" s="72">
        <f>IF(CS$59="X","",IF(CS$59&lt;&gt;"",CS$59,IF(IFERROR(INDEX(醫師週班表!$C$5:$T$44,$CU21,CS$57),"")=0,"",IF(MID(IFERROR(INDEX(醫師週班表!$C$5:$T$44,$CU21,CS$57),""),2,1)="/",MID(IFERROR(INDEX(醫師週班表!$C$5:$T$44,$CU21,CS$57),""),1+CS$58*2,1),IF(MID(IFERROR(INDEX(醫師週班表!$C$5:$T$44,$CU21,CS$57),""),3,1)="隔",IF(CS$58=0,LEFT(IFERROR(INDEX(醫師週班表!$C$5:$T$44,$CU21,CS$57),""),1),""),IF(MID(IFERROR(INDEX(醫師週班表!$C$5:$T$44,$CU21,CS$57),""),2,1)="(",LEFT(IFERROR(INDEX(醫師週班表!$C$5:$T$44,$CU21,CS$57),""),1),IFERROR(INDEX(醫師週班表!$C$5:$T$44,$CU21,CS$57),"")))))))</f>
        <v/>
      </c>
      <c r="CU21" s="73">
        <f>IFERROR(MATCH($A21,醫師週班表!$A$5:$A$44,0),0)</f>
        <v/>
      </c>
    </row>
    <row r="22" ht="17" customHeight="1">
      <c r="A22" s="19" t="inlineStr">
        <is>
          <t>D017</t>
        </is>
      </c>
      <c r="B22" s="16" t="inlineStr">
        <is>
          <t>吳柏賢</t>
        </is>
      </c>
      <c r="C22" s="70" t="inlineStr"/>
      <c r="D22" s="16" t="inlineStr"/>
      <c r="E22" s="71">
        <f>IF(E$59="X","",IF(E$59&lt;&gt;"",E$59,IF(IFERROR(INDEX(醫師週班表!$C$5:$T$44,$CU22,E$57),"")=0,"",IF(MID(IFERROR(INDEX(醫師週班表!$C$5:$T$44,$CU22,E$57),""),2,1)="/",MID(IFERROR(INDEX(醫師週班表!$C$5:$T$44,$CU22,E$57),""),1+E$58*2,1),IF(MID(IFERROR(INDEX(醫師週班表!$C$5:$T$44,$CU22,E$57),""),3,1)="隔",IF(E$58=0,LEFT(IFERROR(INDEX(醫師週班表!$C$5:$T$44,$CU22,E$57),""),1),""),IF(MID(IFERROR(INDEX(醫師週班表!$C$5:$T$44,$CU22,E$57),""),2,1)="(",LEFT(IFERROR(INDEX(醫師週班表!$C$5:$T$44,$CU22,E$57),""),1),IFERROR(INDEX(醫師週班表!$C$5:$T$44,$CU22,E$57),"")))))))</f>
        <v/>
      </c>
      <c r="F22" s="72">
        <f>IF(F$59="X","",IF(F$59&lt;&gt;"",F$59,IF(IFERROR(INDEX(醫師週班表!$C$5:$T$44,$CU22,F$57),"")=0,"",IF(MID(IFERROR(INDEX(醫師週班表!$C$5:$T$44,$CU22,F$57),""),2,1)="/",MID(IFERROR(INDEX(醫師週班表!$C$5:$T$44,$CU22,F$57),""),1+F$58*2,1),IF(MID(IFERROR(INDEX(醫師週班表!$C$5:$T$44,$CU22,F$57),""),3,1)="隔",IF(F$58=0,LEFT(IFERROR(INDEX(醫師週班表!$C$5:$T$44,$CU22,F$57),""),1),""),IF(MID(IFERROR(INDEX(醫師週班表!$C$5:$T$44,$CU22,F$57),""),2,1)="(",LEFT(IFERROR(INDEX(醫師週班表!$C$5:$T$44,$CU22,F$57),""),1),IFERROR(INDEX(醫師週班表!$C$5:$T$44,$CU22,F$57),"")))))))</f>
        <v/>
      </c>
      <c r="G22" s="72">
        <f>IF(G$59="X","",IF(G$59&lt;&gt;"",G$59,IF(IFERROR(INDEX(醫師週班表!$C$5:$T$44,$CU22,G$57),"")=0,"",IF(MID(IFERROR(INDEX(醫師週班表!$C$5:$T$44,$CU22,G$57),""),2,1)="/",MID(IFERROR(INDEX(醫師週班表!$C$5:$T$44,$CU22,G$57),""),1+G$58*2,1),IF(MID(IFERROR(INDEX(醫師週班表!$C$5:$T$44,$CU22,G$57),""),3,1)="隔",IF(G$58=0,LEFT(IFERROR(INDEX(醫師週班表!$C$5:$T$44,$CU22,G$57),""),1),""),IF(MID(IFERROR(INDEX(醫師週班表!$C$5:$T$44,$CU22,G$57),""),2,1)="(",LEFT(IFERROR(INDEX(醫師週班表!$C$5:$T$44,$CU22,G$57),""),1),IFERROR(INDEX(醫師週班表!$C$5:$T$44,$CU22,G$57),"")))))))</f>
        <v/>
      </c>
      <c r="H22" s="71">
        <f>IF(H$59="X","",IF(H$59&lt;&gt;"",H$59,IF(IFERROR(INDEX(醫師週班表!$C$5:$T$44,$CU22,H$57),"")=0,"",IF(MID(IFERROR(INDEX(醫師週班表!$C$5:$T$44,$CU22,H$57),""),2,1)="/",MID(IFERROR(INDEX(醫師週班表!$C$5:$T$44,$CU22,H$57),""),1+H$58*2,1),IF(MID(IFERROR(INDEX(醫師週班表!$C$5:$T$44,$CU22,H$57),""),3,1)="隔",IF(H$58=0,LEFT(IFERROR(INDEX(醫師週班表!$C$5:$T$44,$CU22,H$57),""),1),""),IF(MID(IFERROR(INDEX(醫師週班表!$C$5:$T$44,$CU22,H$57),""),2,1)="(",LEFT(IFERROR(INDEX(醫師週班表!$C$5:$T$44,$CU22,H$57),""),1),IFERROR(INDEX(醫師週班表!$C$5:$T$44,$CU22,H$57),"")))))))</f>
        <v/>
      </c>
      <c r="I22" s="72">
        <f>IF(I$59="X","",IF(I$59&lt;&gt;"",I$59,IF(IFERROR(INDEX(醫師週班表!$C$5:$T$44,$CU22,I$57),"")=0,"",IF(MID(IFERROR(INDEX(醫師週班表!$C$5:$T$44,$CU22,I$57),""),2,1)="/",MID(IFERROR(INDEX(醫師週班表!$C$5:$T$44,$CU22,I$57),""),1+I$58*2,1),IF(MID(IFERROR(INDEX(醫師週班表!$C$5:$T$44,$CU22,I$57),""),3,1)="隔",IF(I$58=0,LEFT(IFERROR(INDEX(醫師週班表!$C$5:$T$44,$CU22,I$57),""),1),""),IF(MID(IFERROR(INDEX(醫師週班表!$C$5:$T$44,$CU22,I$57),""),2,1)="(",LEFT(IFERROR(INDEX(醫師週班表!$C$5:$T$44,$CU22,I$57),""),1),IFERROR(INDEX(醫師週班表!$C$5:$T$44,$CU22,I$57),"")))))))</f>
        <v/>
      </c>
      <c r="J22" s="72">
        <f>IF(J$59="X","",IF(J$59&lt;&gt;"",J$59,IF(IFERROR(INDEX(醫師週班表!$C$5:$T$44,$CU22,J$57),"")=0,"",IF(MID(IFERROR(INDEX(醫師週班表!$C$5:$T$44,$CU22,J$57),""),2,1)="/",MID(IFERROR(INDEX(醫師週班表!$C$5:$T$44,$CU22,J$57),""),1+J$58*2,1),IF(MID(IFERROR(INDEX(醫師週班表!$C$5:$T$44,$CU22,J$57),""),3,1)="隔",IF(J$58=0,LEFT(IFERROR(INDEX(醫師週班表!$C$5:$T$44,$CU22,J$57),""),1),""),IF(MID(IFERROR(INDEX(醫師週班表!$C$5:$T$44,$CU22,J$57),""),2,1)="(",LEFT(IFERROR(INDEX(醫師週班表!$C$5:$T$44,$CU22,J$57),""),1),IFERROR(INDEX(醫師週班表!$C$5:$T$44,$CU22,J$57),"")))))))</f>
        <v/>
      </c>
      <c r="K22" s="71">
        <f>IF(K$59="X","",IF(K$59&lt;&gt;"",K$59,IF(IFERROR(INDEX(醫師週班表!$C$5:$T$44,$CU22,K$57),"")=0,"",IF(MID(IFERROR(INDEX(醫師週班表!$C$5:$T$44,$CU22,K$57),""),2,1)="/",MID(IFERROR(INDEX(醫師週班表!$C$5:$T$44,$CU22,K$57),""),1+K$58*2,1),IF(MID(IFERROR(INDEX(醫師週班表!$C$5:$T$44,$CU22,K$57),""),3,1)="隔",IF(K$58=0,LEFT(IFERROR(INDEX(醫師週班表!$C$5:$T$44,$CU22,K$57),""),1),""),IF(MID(IFERROR(INDEX(醫師週班表!$C$5:$T$44,$CU22,K$57),""),2,1)="(",LEFT(IFERROR(INDEX(醫師週班表!$C$5:$T$44,$CU22,K$57),""),1),IFERROR(INDEX(醫師週班表!$C$5:$T$44,$CU22,K$57),"")))))))</f>
        <v/>
      </c>
      <c r="L22" s="72">
        <f>IF(L$59="X","",IF(L$59&lt;&gt;"",L$59,IF(IFERROR(INDEX(醫師週班表!$C$5:$T$44,$CU22,L$57),"")=0,"",IF(MID(IFERROR(INDEX(醫師週班表!$C$5:$T$44,$CU22,L$57),""),2,1)="/",MID(IFERROR(INDEX(醫師週班表!$C$5:$T$44,$CU22,L$57),""),1+L$58*2,1),IF(MID(IFERROR(INDEX(醫師週班表!$C$5:$T$44,$CU22,L$57),""),3,1)="隔",IF(L$58=0,LEFT(IFERROR(INDEX(醫師週班表!$C$5:$T$44,$CU22,L$57),""),1),""),IF(MID(IFERROR(INDEX(醫師週班表!$C$5:$T$44,$CU22,L$57),""),2,1)="(",LEFT(IFERROR(INDEX(醫師週班表!$C$5:$T$44,$CU22,L$57),""),1),IFERROR(INDEX(醫師週班表!$C$5:$T$44,$CU22,L$57),"")))))))</f>
        <v/>
      </c>
      <c r="M22" s="72">
        <f>IF(M$59="X","",IF(M$59&lt;&gt;"",M$59,IF(IFERROR(INDEX(醫師週班表!$C$5:$T$44,$CU22,M$57),"")=0,"",IF(MID(IFERROR(INDEX(醫師週班表!$C$5:$T$44,$CU22,M$57),""),2,1)="/",MID(IFERROR(INDEX(醫師週班表!$C$5:$T$44,$CU22,M$57),""),1+M$58*2,1),IF(MID(IFERROR(INDEX(醫師週班表!$C$5:$T$44,$CU22,M$57),""),3,1)="隔",IF(M$58=0,LEFT(IFERROR(INDEX(醫師週班表!$C$5:$T$44,$CU22,M$57),""),1),""),IF(MID(IFERROR(INDEX(醫師週班表!$C$5:$T$44,$CU22,M$57),""),2,1)="(",LEFT(IFERROR(INDEX(醫師週班表!$C$5:$T$44,$CU22,M$57),""),1),IFERROR(INDEX(醫師週班表!$C$5:$T$44,$CU22,M$57),"")))))))</f>
        <v/>
      </c>
      <c r="N22" s="71">
        <f>IF(N$59="X","",IF(N$59&lt;&gt;"",N$59,IF(IFERROR(INDEX(醫師週班表!$C$5:$T$44,$CU22,N$57),"")=0,"",IF(MID(IFERROR(INDEX(醫師週班表!$C$5:$T$44,$CU22,N$57),""),2,1)="/",MID(IFERROR(INDEX(醫師週班表!$C$5:$T$44,$CU22,N$57),""),1+N$58*2,1),IF(MID(IFERROR(INDEX(醫師週班表!$C$5:$T$44,$CU22,N$57),""),3,1)="隔",IF(N$58=0,LEFT(IFERROR(INDEX(醫師週班表!$C$5:$T$44,$CU22,N$57),""),1),""),IF(MID(IFERROR(INDEX(醫師週班表!$C$5:$T$44,$CU22,N$57),""),2,1)="(",LEFT(IFERROR(INDEX(醫師週班表!$C$5:$T$44,$CU22,N$57),""),1),IFERROR(INDEX(醫師週班表!$C$5:$T$44,$CU22,N$57),"")))))))</f>
        <v/>
      </c>
      <c r="O22" s="72">
        <f>IF(O$59="X","",IF(O$59&lt;&gt;"",O$59,IF(IFERROR(INDEX(醫師週班表!$C$5:$T$44,$CU22,O$57),"")=0,"",IF(MID(IFERROR(INDEX(醫師週班表!$C$5:$T$44,$CU22,O$57),""),2,1)="/",MID(IFERROR(INDEX(醫師週班表!$C$5:$T$44,$CU22,O$57),""),1+O$58*2,1),IF(MID(IFERROR(INDEX(醫師週班表!$C$5:$T$44,$CU22,O$57),""),3,1)="隔",IF(O$58=0,LEFT(IFERROR(INDEX(醫師週班表!$C$5:$T$44,$CU22,O$57),""),1),""),IF(MID(IFERROR(INDEX(醫師週班表!$C$5:$T$44,$CU22,O$57),""),2,1)="(",LEFT(IFERROR(INDEX(醫師週班表!$C$5:$T$44,$CU22,O$57),""),1),IFERROR(INDEX(醫師週班表!$C$5:$T$44,$CU22,O$57),"")))))))</f>
        <v/>
      </c>
      <c r="P22" s="72">
        <f>IF(P$59="X","",IF(P$59&lt;&gt;"",P$59,IF(IFERROR(INDEX(醫師週班表!$C$5:$T$44,$CU22,P$57),"")=0,"",IF(MID(IFERROR(INDEX(醫師週班表!$C$5:$T$44,$CU22,P$57),""),2,1)="/",MID(IFERROR(INDEX(醫師週班表!$C$5:$T$44,$CU22,P$57),""),1+P$58*2,1),IF(MID(IFERROR(INDEX(醫師週班表!$C$5:$T$44,$CU22,P$57),""),3,1)="隔",IF(P$58=0,LEFT(IFERROR(INDEX(醫師週班表!$C$5:$T$44,$CU22,P$57),""),1),""),IF(MID(IFERROR(INDEX(醫師週班表!$C$5:$T$44,$CU22,P$57),""),2,1)="(",LEFT(IFERROR(INDEX(醫師週班表!$C$5:$T$44,$CU22,P$57),""),1),IFERROR(INDEX(醫師週班表!$C$5:$T$44,$CU22,P$57),"")))))))</f>
        <v/>
      </c>
      <c r="Q22" s="71">
        <f>IF(Q$59="X","",IF(Q$59&lt;&gt;"",Q$59,IF(IFERROR(INDEX(醫師週班表!$C$5:$T$44,$CU22,Q$57),"")=0,"",IF(MID(IFERROR(INDEX(醫師週班表!$C$5:$T$44,$CU22,Q$57),""),2,1)="/",MID(IFERROR(INDEX(醫師週班表!$C$5:$T$44,$CU22,Q$57),""),1+Q$58*2,1),IF(MID(IFERROR(INDEX(醫師週班表!$C$5:$T$44,$CU22,Q$57),""),3,1)="隔",IF(Q$58=0,LEFT(IFERROR(INDEX(醫師週班表!$C$5:$T$44,$CU22,Q$57),""),1),""),IF(MID(IFERROR(INDEX(醫師週班表!$C$5:$T$44,$CU22,Q$57),""),2,1)="(",LEFT(IFERROR(INDEX(醫師週班表!$C$5:$T$44,$CU22,Q$57),""),1),IFERROR(INDEX(醫師週班表!$C$5:$T$44,$CU22,Q$57),"")))))))</f>
        <v/>
      </c>
      <c r="R22" s="72">
        <f>IF(R$59="X","",IF(R$59&lt;&gt;"",R$59,IF(IFERROR(INDEX(醫師週班表!$C$5:$T$44,$CU22,R$57),"")=0,"",IF(MID(IFERROR(INDEX(醫師週班表!$C$5:$T$44,$CU22,R$57),""),2,1)="/",MID(IFERROR(INDEX(醫師週班表!$C$5:$T$44,$CU22,R$57),""),1+R$58*2,1),IF(MID(IFERROR(INDEX(醫師週班表!$C$5:$T$44,$CU22,R$57),""),3,1)="隔",IF(R$58=0,LEFT(IFERROR(INDEX(醫師週班表!$C$5:$T$44,$CU22,R$57),""),1),""),IF(MID(IFERROR(INDEX(醫師週班表!$C$5:$T$44,$CU22,R$57),""),2,1)="(",LEFT(IFERROR(INDEX(醫師週班表!$C$5:$T$44,$CU22,R$57),""),1),IFERROR(INDEX(醫師週班表!$C$5:$T$44,$CU22,R$57),"")))))))</f>
        <v/>
      </c>
      <c r="S22" s="72">
        <f>IF(S$59="X","",IF(S$59&lt;&gt;"",S$59,IF(IFERROR(INDEX(醫師週班表!$C$5:$T$44,$CU22,S$57),"")=0,"",IF(MID(IFERROR(INDEX(醫師週班表!$C$5:$T$44,$CU22,S$57),""),2,1)="/",MID(IFERROR(INDEX(醫師週班表!$C$5:$T$44,$CU22,S$57),""),1+S$58*2,1),IF(MID(IFERROR(INDEX(醫師週班表!$C$5:$T$44,$CU22,S$57),""),3,1)="隔",IF(S$58=0,LEFT(IFERROR(INDEX(醫師週班表!$C$5:$T$44,$CU22,S$57),""),1),""),IF(MID(IFERROR(INDEX(醫師週班表!$C$5:$T$44,$CU22,S$57),""),2,1)="(",LEFT(IFERROR(INDEX(醫師週班表!$C$5:$T$44,$CU22,S$57),""),1),IFERROR(INDEX(醫師週班表!$C$5:$T$44,$CU22,S$57),"")))))))</f>
        <v/>
      </c>
      <c r="T22" s="71">
        <f>IF(T$59="X","",IF(T$59&lt;&gt;"",T$59,IF(IFERROR(INDEX(醫師週班表!$C$5:$T$44,$CU22,T$57),"")=0,"",IF(MID(IFERROR(INDEX(醫師週班表!$C$5:$T$44,$CU22,T$57),""),2,1)="/",MID(IFERROR(INDEX(醫師週班表!$C$5:$T$44,$CU22,T$57),""),1+T$58*2,1),IF(MID(IFERROR(INDEX(醫師週班表!$C$5:$T$44,$CU22,T$57),""),3,1)="隔",IF(T$58=0,LEFT(IFERROR(INDEX(醫師週班表!$C$5:$T$44,$CU22,T$57),""),1),""),IF(MID(IFERROR(INDEX(醫師週班表!$C$5:$T$44,$CU22,T$57),""),2,1)="(",LEFT(IFERROR(INDEX(醫師週班表!$C$5:$T$44,$CU22,T$57),""),1),IFERROR(INDEX(醫師週班表!$C$5:$T$44,$CU22,T$57),"")))))))</f>
        <v/>
      </c>
      <c r="U22" s="72">
        <f>IF(U$59="X","",IF(U$59&lt;&gt;"",U$59,IF(IFERROR(INDEX(醫師週班表!$C$5:$T$44,$CU22,U$57),"")=0,"",IF(MID(IFERROR(INDEX(醫師週班表!$C$5:$T$44,$CU22,U$57),""),2,1)="/",MID(IFERROR(INDEX(醫師週班表!$C$5:$T$44,$CU22,U$57),""),1+U$58*2,1),IF(MID(IFERROR(INDEX(醫師週班表!$C$5:$T$44,$CU22,U$57),""),3,1)="隔",IF(U$58=0,LEFT(IFERROR(INDEX(醫師週班表!$C$5:$T$44,$CU22,U$57),""),1),""),IF(MID(IFERROR(INDEX(醫師週班表!$C$5:$T$44,$CU22,U$57),""),2,1)="(",LEFT(IFERROR(INDEX(醫師週班表!$C$5:$T$44,$CU22,U$57),""),1),IFERROR(INDEX(醫師週班表!$C$5:$T$44,$CU22,U$57),"")))))))</f>
        <v/>
      </c>
      <c r="V22" s="72">
        <f>IF(V$59="X","",IF(V$59&lt;&gt;"",V$59,IF(IFERROR(INDEX(醫師週班表!$C$5:$T$44,$CU22,V$57),"")=0,"",IF(MID(IFERROR(INDEX(醫師週班表!$C$5:$T$44,$CU22,V$57),""),2,1)="/",MID(IFERROR(INDEX(醫師週班表!$C$5:$T$44,$CU22,V$57),""),1+V$58*2,1),IF(MID(IFERROR(INDEX(醫師週班表!$C$5:$T$44,$CU22,V$57),""),3,1)="隔",IF(V$58=0,LEFT(IFERROR(INDEX(醫師週班表!$C$5:$T$44,$CU22,V$57),""),1),""),IF(MID(IFERROR(INDEX(醫師週班表!$C$5:$T$44,$CU22,V$57),""),2,1)="(",LEFT(IFERROR(INDEX(醫師週班表!$C$5:$T$44,$CU22,V$57),""),1),IFERROR(INDEX(醫師週班表!$C$5:$T$44,$CU22,V$57),"")))))))</f>
        <v/>
      </c>
      <c r="W22" s="71">
        <f>IF(W$59="X","",IF(W$59&lt;&gt;"",W$59,IF(IFERROR(INDEX(醫師週班表!$C$5:$T$44,$CU22,W$57),"")=0,"",IF(MID(IFERROR(INDEX(醫師週班表!$C$5:$T$44,$CU22,W$57),""),2,1)="/",MID(IFERROR(INDEX(醫師週班表!$C$5:$T$44,$CU22,W$57),""),1+W$58*2,1),IF(MID(IFERROR(INDEX(醫師週班表!$C$5:$T$44,$CU22,W$57),""),3,1)="隔",IF(W$58=0,LEFT(IFERROR(INDEX(醫師週班表!$C$5:$T$44,$CU22,W$57),""),1),""),IF(MID(IFERROR(INDEX(醫師週班表!$C$5:$T$44,$CU22,W$57),""),2,1)="(",LEFT(IFERROR(INDEX(醫師週班表!$C$5:$T$44,$CU22,W$57),""),1),IFERROR(INDEX(醫師週班表!$C$5:$T$44,$CU22,W$57),"")))))))</f>
        <v/>
      </c>
      <c r="X22" s="72">
        <f>IF(X$59="X","",IF(X$59&lt;&gt;"",X$59,IF(IFERROR(INDEX(醫師週班表!$C$5:$T$44,$CU22,X$57),"")=0,"",IF(MID(IFERROR(INDEX(醫師週班表!$C$5:$T$44,$CU22,X$57),""),2,1)="/",MID(IFERROR(INDEX(醫師週班表!$C$5:$T$44,$CU22,X$57),""),1+X$58*2,1),IF(MID(IFERROR(INDEX(醫師週班表!$C$5:$T$44,$CU22,X$57),""),3,1)="隔",IF(X$58=0,LEFT(IFERROR(INDEX(醫師週班表!$C$5:$T$44,$CU22,X$57),""),1),""),IF(MID(IFERROR(INDEX(醫師週班表!$C$5:$T$44,$CU22,X$57),""),2,1)="(",LEFT(IFERROR(INDEX(醫師週班表!$C$5:$T$44,$CU22,X$57),""),1),IFERROR(INDEX(醫師週班表!$C$5:$T$44,$CU22,X$57),"")))))))</f>
        <v/>
      </c>
      <c r="Y22" s="72">
        <f>IF(Y$59="X","",IF(Y$59&lt;&gt;"",Y$59,IF(IFERROR(INDEX(醫師週班表!$C$5:$T$44,$CU22,Y$57),"")=0,"",IF(MID(IFERROR(INDEX(醫師週班表!$C$5:$T$44,$CU22,Y$57),""),2,1)="/",MID(IFERROR(INDEX(醫師週班表!$C$5:$T$44,$CU22,Y$57),""),1+Y$58*2,1),IF(MID(IFERROR(INDEX(醫師週班表!$C$5:$T$44,$CU22,Y$57),""),3,1)="隔",IF(Y$58=0,LEFT(IFERROR(INDEX(醫師週班表!$C$5:$T$44,$CU22,Y$57),""),1),""),IF(MID(IFERROR(INDEX(醫師週班表!$C$5:$T$44,$CU22,Y$57),""),2,1)="(",LEFT(IFERROR(INDEX(醫師週班表!$C$5:$T$44,$CU22,Y$57),""),1),IFERROR(INDEX(醫師週班表!$C$5:$T$44,$CU22,Y$57),"")))))))</f>
        <v/>
      </c>
      <c r="Z22" s="71">
        <f>IF(Z$59="X","",IF(Z$59&lt;&gt;"",Z$59,IF(IFERROR(INDEX(醫師週班表!$C$5:$T$44,$CU22,Z$57),"")=0,"",IF(MID(IFERROR(INDEX(醫師週班表!$C$5:$T$44,$CU22,Z$57),""),2,1)="/",MID(IFERROR(INDEX(醫師週班表!$C$5:$T$44,$CU22,Z$57),""),1+Z$58*2,1),IF(MID(IFERROR(INDEX(醫師週班表!$C$5:$T$44,$CU22,Z$57),""),3,1)="隔",IF(Z$58=0,LEFT(IFERROR(INDEX(醫師週班表!$C$5:$T$44,$CU22,Z$57),""),1),""),IF(MID(IFERROR(INDEX(醫師週班表!$C$5:$T$44,$CU22,Z$57),""),2,1)="(",LEFT(IFERROR(INDEX(醫師週班表!$C$5:$T$44,$CU22,Z$57),""),1),IFERROR(INDEX(醫師週班表!$C$5:$T$44,$CU22,Z$57),"")))))))</f>
        <v/>
      </c>
      <c r="AA22" s="72">
        <f>IF(AA$59="X","",IF(AA$59&lt;&gt;"",AA$59,IF(IFERROR(INDEX(醫師週班表!$C$5:$T$44,$CU22,AA$57),"")=0,"",IF(MID(IFERROR(INDEX(醫師週班表!$C$5:$T$44,$CU22,AA$57),""),2,1)="/",MID(IFERROR(INDEX(醫師週班表!$C$5:$T$44,$CU22,AA$57),""),1+AA$58*2,1),IF(MID(IFERROR(INDEX(醫師週班表!$C$5:$T$44,$CU22,AA$57),""),3,1)="隔",IF(AA$58=0,LEFT(IFERROR(INDEX(醫師週班表!$C$5:$T$44,$CU22,AA$57),""),1),""),IF(MID(IFERROR(INDEX(醫師週班表!$C$5:$T$44,$CU22,AA$57),""),2,1)="(",LEFT(IFERROR(INDEX(醫師週班表!$C$5:$T$44,$CU22,AA$57),""),1),IFERROR(INDEX(醫師週班表!$C$5:$T$44,$CU22,AA$57),"")))))))</f>
        <v/>
      </c>
      <c r="AB22" s="72">
        <f>IF(AB$59="X","",IF(AB$59&lt;&gt;"",AB$59,IF(IFERROR(INDEX(醫師週班表!$C$5:$T$44,$CU22,AB$57),"")=0,"",IF(MID(IFERROR(INDEX(醫師週班表!$C$5:$T$44,$CU22,AB$57),""),2,1)="/",MID(IFERROR(INDEX(醫師週班表!$C$5:$T$44,$CU22,AB$57),""),1+AB$58*2,1),IF(MID(IFERROR(INDEX(醫師週班表!$C$5:$T$44,$CU22,AB$57),""),3,1)="隔",IF(AB$58=0,LEFT(IFERROR(INDEX(醫師週班表!$C$5:$T$44,$CU22,AB$57),""),1),""),IF(MID(IFERROR(INDEX(醫師週班表!$C$5:$T$44,$CU22,AB$57),""),2,1)="(",LEFT(IFERROR(INDEX(醫師週班表!$C$5:$T$44,$CU22,AB$57),""),1),IFERROR(INDEX(醫師週班表!$C$5:$T$44,$CU22,AB$57),"")))))))</f>
        <v/>
      </c>
      <c r="AC22" s="71">
        <f>IF(AC$59="X","",IF(AC$59&lt;&gt;"",AC$59,IF(IFERROR(INDEX(醫師週班表!$C$5:$T$44,$CU22,AC$57),"")=0,"",IF(MID(IFERROR(INDEX(醫師週班表!$C$5:$T$44,$CU22,AC$57),""),2,1)="/",MID(IFERROR(INDEX(醫師週班表!$C$5:$T$44,$CU22,AC$57),""),1+AC$58*2,1),IF(MID(IFERROR(INDEX(醫師週班表!$C$5:$T$44,$CU22,AC$57),""),3,1)="隔",IF(AC$58=0,LEFT(IFERROR(INDEX(醫師週班表!$C$5:$T$44,$CU22,AC$57),""),1),""),IF(MID(IFERROR(INDEX(醫師週班表!$C$5:$T$44,$CU22,AC$57),""),2,1)="(",LEFT(IFERROR(INDEX(醫師週班表!$C$5:$T$44,$CU22,AC$57),""),1),IFERROR(INDEX(醫師週班表!$C$5:$T$44,$CU22,AC$57),"")))))))</f>
        <v/>
      </c>
      <c r="AD22" s="72">
        <f>IF(AD$59="X","",IF(AD$59&lt;&gt;"",AD$59,IF(IFERROR(INDEX(醫師週班表!$C$5:$T$44,$CU22,AD$57),"")=0,"",IF(MID(IFERROR(INDEX(醫師週班表!$C$5:$T$44,$CU22,AD$57),""),2,1)="/",MID(IFERROR(INDEX(醫師週班表!$C$5:$T$44,$CU22,AD$57),""),1+AD$58*2,1),IF(MID(IFERROR(INDEX(醫師週班表!$C$5:$T$44,$CU22,AD$57),""),3,1)="隔",IF(AD$58=0,LEFT(IFERROR(INDEX(醫師週班表!$C$5:$T$44,$CU22,AD$57),""),1),""),IF(MID(IFERROR(INDEX(醫師週班表!$C$5:$T$44,$CU22,AD$57),""),2,1)="(",LEFT(IFERROR(INDEX(醫師週班表!$C$5:$T$44,$CU22,AD$57),""),1),IFERROR(INDEX(醫師週班表!$C$5:$T$44,$CU22,AD$57),"")))))))</f>
        <v/>
      </c>
      <c r="AE22" s="72">
        <f>IF(AE$59="X","",IF(AE$59&lt;&gt;"",AE$59,IF(IFERROR(INDEX(醫師週班表!$C$5:$T$44,$CU22,AE$57),"")=0,"",IF(MID(IFERROR(INDEX(醫師週班表!$C$5:$T$44,$CU22,AE$57),""),2,1)="/",MID(IFERROR(INDEX(醫師週班表!$C$5:$T$44,$CU22,AE$57),""),1+AE$58*2,1),IF(MID(IFERROR(INDEX(醫師週班表!$C$5:$T$44,$CU22,AE$57),""),3,1)="隔",IF(AE$58=0,LEFT(IFERROR(INDEX(醫師週班表!$C$5:$T$44,$CU22,AE$57),""),1),""),IF(MID(IFERROR(INDEX(醫師週班表!$C$5:$T$44,$CU22,AE$57),""),2,1)="(",LEFT(IFERROR(INDEX(醫師週班表!$C$5:$T$44,$CU22,AE$57),""),1),IFERROR(INDEX(醫師週班表!$C$5:$T$44,$CU22,AE$57),"")))))))</f>
        <v/>
      </c>
      <c r="AF22" s="71">
        <f>IF(AF$59="X","",IF(AF$59&lt;&gt;"",AF$59,IF(IFERROR(INDEX(醫師週班表!$C$5:$T$44,$CU22,AF$57),"")=0,"",IF(MID(IFERROR(INDEX(醫師週班表!$C$5:$T$44,$CU22,AF$57),""),2,1)="/",MID(IFERROR(INDEX(醫師週班表!$C$5:$T$44,$CU22,AF$57),""),1+AF$58*2,1),IF(MID(IFERROR(INDEX(醫師週班表!$C$5:$T$44,$CU22,AF$57),""),3,1)="隔",IF(AF$58=0,LEFT(IFERROR(INDEX(醫師週班表!$C$5:$T$44,$CU22,AF$57),""),1),""),IF(MID(IFERROR(INDEX(醫師週班表!$C$5:$T$44,$CU22,AF$57),""),2,1)="(",LEFT(IFERROR(INDEX(醫師週班表!$C$5:$T$44,$CU22,AF$57),""),1),IFERROR(INDEX(醫師週班表!$C$5:$T$44,$CU22,AF$57),"")))))))</f>
        <v/>
      </c>
      <c r="AG22" s="72">
        <f>IF(AG$59="X","",IF(AG$59&lt;&gt;"",AG$59,IF(IFERROR(INDEX(醫師週班表!$C$5:$T$44,$CU22,AG$57),"")=0,"",IF(MID(IFERROR(INDEX(醫師週班表!$C$5:$T$44,$CU22,AG$57),""),2,1)="/",MID(IFERROR(INDEX(醫師週班表!$C$5:$T$44,$CU22,AG$57),""),1+AG$58*2,1),IF(MID(IFERROR(INDEX(醫師週班表!$C$5:$T$44,$CU22,AG$57),""),3,1)="隔",IF(AG$58=0,LEFT(IFERROR(INDEX(醫師週班表!$C$5:$T$44,$CU22,AG$57),""),1),""),IF(MID(IFERROR(INDEX(醫師週班表!$C$5:$T$44,$CU22,AG$57),""),2,1)="(",LEFT(IFERROR(INDEX(醫師週班表!$C$5:$T$44,$CU22,AG$57),""),1),IFERROR(INDEX(醫師週班表!$C$5:$T$44,$CU22,AG$57),"")))))))</f>
        <v/>
      </c>
      <c r="AH22" s="72">
        <f>IF(AH$59="X","",IF(AH$59&lt;&gt;"",AH$59,IF(IFERROR(INDEX(醫師週班表!$C$5:$T$44,$CU22,AH$57),"")=0,"",IF(MID(IFERROR(INDEX(醫師週班表!$C$5:$T$44,$CU22,AH$57),""),2,1)="/",MID(IFERROR(INDEX(醫師週班表!$C$5:$T$44,$CU22,AH$57),""),1+AH$58*2,1),IF(MID(IFERROR(INDEX(醫師週班表!$C$5:$T$44,$CU22,AH$57),""),3,1)="隔",IF(AH$58=0,LEFT(IFERROR(INDEX(醫師週班表!$C$5:$T$44,$CU22,AH$57),""),1),""),IF(MID(IFERROR(INDEX(醫師週班表!$C$5:$T$44,$CU22,AH$57),""),2,1)="(",LEFT(IFERROR(INDEX(醫師週班表!$C$5:$T$44,$CU22,AH$57),""),1),IFERROR(INDEX(醫師週班表!$C$5:$T$44,$CU22,AH$57),"")))))))</f>
        <v/>
      </c>
      <c r="AI22" s="71">
        <f>IF(AI$59="X","",IF(AI$59&lt;&gt;"",AI$59,IF(IFERROR(INDEX(醫師週班表!$C$5:$T$44,$CU22,AI$57),"")=0,"",IF(MID(IFERROR(INDEX(醫師週班表!$C$5:$T$44,$CU22,AI$57),""),2,1)="/",MID(IFERROR(INDEX(醫師週班表!$C$5:$T$44,$CU22,AI$57),""),1+AI$58*2,1),IF(MID(IFERROR(INDEX(醫師週班表!$C$5:$T$44,$CU22,AI$57),""),3,1)="隔",IF(AI$58=0,LEFT(IFERROR(INDEX(醫師週班表!$C$5:$T$44,$CU22,AI$57),""),1),""),IF(MID(IFERROR(INDEX(醫師週班表!$C$5:$T$44,$CU22,AI$57),""),2,1)="(",LEFT(IFERROR(INDEX(醫師週班表!$C$5:$T$44,$CU22,AI$57),""),1),IFERROR(INDEX(醫師週班表!$C$5:$T$44,$CU22,AI$57),"")))))))</f>
        <v/>
      </c>
      <c r="AJ22" s="72">
        <f>IF(AJ$59="X","",IF(AJ$59&lt;&gt;"",AJ$59,IF(IFERROR(INDEX(醫師週班表!$C$5:$T$44,$CU22,AJ$57),"")=0,"",IF(MID(IFERROR(INDEX(醫師週班表!$C$5:$T$44,$CU22,AJ$57),""),2,1)="/",MID(IFERROR(INDEX(醫師週班表!$C$5:$T$44,$CU22,AJ$57),""),1+AJ$58*2,1),IF(MID(IFERROR(INDEX(醫師週班表!$C$5:$T$44,$CU22,AJ$57),""),3,1)="隔",IF(AJ$58=0,LEFT(IFERROR(INDEX(醫師週班表!$C$5:$T$44,$CU22,AJ$57),""),1),""),IF(MID(IFERROR(INDEX(醫師週班表!$C$5:$T$44,$CU22,AJ$57),""),2,1)="(",LEFT(IFERROR(INDEX(醫師週班表!$C$5:$T$44,$CU22,AJ$57),""),1),IFERROR(INDEX(醫師週班表!$C$5:$T$44,$CU22,AJ$57),"")))))))</f>
        <v/>
      </c>
      <c r="AK22" s="72">
        <f>IF(AK$59="X","",IF(AK$59&lt;&gt;"",AK$59,IF(IFERROR(INDEX(醫師週班表!$C$5:$T$44,$CU22,AK$57),"")=0,"",IF(MID(IFERROR(INDEX(醫師週班表!$C$5:$T$44,$CU22,AK$57),""),2,1)="/",MID(IFERROR(INDEX(醫師週班表!$C$5:$T$44,$CU22,AK$57),""),1+AK$58*2,1),IF(MID(IFERROR(INDEX(醫師週班表!$C$5:$T$44,$CU22,AK$57),""),3,1)="隔",IF(AK$58=0,LEFT(IFERROR(INDEX(醫師週班表!$C$5:$T$44,$CU22,AK$57),""),1),""),IF(MID(IFERROR(INDEX(醫師週班表!$C$5:$T$44,$CU22,AK$57),""),2,1)="(",LEFT(IFERROR(INDEX(醫師週班表!$C$5:$T$44,$CU22,AK$57),""),1),IFERROR(INDEX(醫師週班表!$C$5:$T$44,$CU22,AK$57),"")))))))</f>
        <v/>
      </c>
      <c r="AL22" s="71">
        <f>IF(AL$59="X","",IF(AL$59&lt;&gt;"",AL$59,IF(IFERROR(INDEX(醫師週班表!$C$5:$T$44,$CU22,AL$57),"")=0,"",IF(MID(IFERROR(INDEX(醫師週班表!$C$5:$T$44,$CU22,AL$57),""),2,1)="/",MID(IFERROR(INDEX(醫師週班表!$C$5:$T$44,$CU22,AL$57),""),1+AL$58*2,1),IF(MID(IFERROR(INDEX(醫師週班表!$C$5:$T$44,$CU22,AL$57),""),3,1)="隔",IF(AL$58=0,LEFT(IFERROR(INDEX(醫師週班表!$C$5:$T$44,$CU22,AL$57),""),1),""),IF(MID(IFERROR(INDEX(醫師週班表!$C$5:$T$44,$CU22,AL$57),""),2,1)="(",LEFT(IFERROR(INDEX(醫師週班表!$C$5:$T$44,$CU22,AL$57),""),1),IFERROR(INDEX(醫師週班表!$C$5:$T$44,$CU22,AL$57),"")))))))</f>
        <v/>
      </c>
      <c r="AM22" s="72">
        <f>IF(AM$59="X","",IF(AM$59&lt;&gt;"",AM$59,IF(IFERROR(INDEX(醫師週班表!$C$5:$T$44,$CU22,AM$57),"")=0,"",IF(MID(IFERROR(INDEX(醫師週班表!$C$5:$T$44,$CU22,AM$57),""),2,1)="/",MID(IFERROR(INDEX(醫師週班表!$C$5:$T$44,$CU22,AM$57),""),1+AM$58*2,1),IF(MID(IFERROR(INDEX(醫師週班表!$C$5:$T$44,$CU22,AM$57),""),3,1)="隔",IF(AM$58=0,LEFT(IFERROR(INDEX(醫師週班表!$C$5:$T$44,$CU22,AM$57),""),1),""),IF(MID(IFERROR(INDEX(醫師週班表!$C$5:$T$44,$CU22,AM$57),""),2,1)="(",LEFT(IFERROR(INDEX(醫師週班表!$C$5:$T$44,$CU22,AM$57),""),1),IFERROR(INDEX(醫師週班表!$C$5:$T$44,$CU22,AM$57),"")))))))</f>
        <v/>
      </c>
      <c r="AN22" s="72">
        <f>IF(AN$59="X","",IF(AN$59&lt;&gt;"",AN$59,IF(IFERROR(INDEX(醫師週班表!$C$5:$T$44,$CU22,AN$57),"")=0,"",IF(MID(IFERROR(INDEX(醫師週班表!$C$5:$T$44,$CU22,AN$57),""),2,1)="/",MID(IFERROR(INDEX(醫師週班表!$C$5:$T$44,$CU22,AN$57),""),1+AN$58*2,1),IF(MID(IFERROR(INDEX(醫師週班表!$C$5:$T$44,$CU22,AN$57),""),3,1)="隔",IF(AN$58=0,LEFT(IFERROR(INDEX(醫師週班表!$C$5:$T$44,$CU22,AN$57),""),1),""),IF(MID(IFERROR(INDEX(醫師週班表!$C$5:$T$44,$CU22,AN$57),""),2,1)="(",LEFT(IFERROR(INDEX(醫師週班表!$C$5:$T$44,$CU22,AN$57),""),1),IFERROR(INDEX(醫師週班表!$C$5:$T$44,$CU22,AN$57),"")))))))</f>
        <v/>
      </c>
      <c r="AO22" s="71">
        <f>IF(AO$59="X","",IF(AO$59&lt;&gt;"",AO$59,IF(IFERROR(INDEX(醫師週班表!$C$5:$T$44,$CU22,AO$57),"")=0,"",IF(MID(IFERROR(INDEX(醫師週班表!$C$5:$T$44,$CU22,AO$57),""),2,1)="/",MID(IFERROR(INDEX(醫師週班表!$C$5:$T$44,$CU22,AO$57),""),1+AO$58*2,1),IF(MID(IFERROR(INDEX(醫師週班表!$C$5:$T$44,$CU22,AO$57),""),3,1)="隔",IF(AO$58=0,LEFT(IFERROR(INDEX(醫師週班表!$C$5:$T$44,$CU22,AO$57),""),1),""),IF(MID(IFERROR(INDEX(醫師週班表!$C$5:$T$44,$CU22,AO$57),""),2,1)="(",LEFT(IFERROR(INDEX(醫師週班表!$C$5:$T$44,$CU22,AO$57),""),1),IFERROR(INDEX(醫師週班表!$C$5:$T$44,$CU22,AO$57),"")))))))</f>
        <v/>
      </c>
      <c r="AP22" s="72">
        <f>IF(AP$59="X","",IF(AP$59&lt;&gt;"",AP$59,IF(IFERROR(INDEX(醫師週班表!$C$5:$T$44,$CU22,AP$57),"")=0,"",IF(MID(IFERROR(INDEX(醫師週班表!$C$5:$T$44,$CU22,AP$57),""),2,1)="/",MID(IFERROR(INDEX(醫師週班表!$C$5:$T$44,$CU22,AP$57),""),1+AP$58*2,1),IF(MID(IFERROR(INDEX(醫師週班表!$C$5:$T$44,$CU22,AP$57),""),3,1)="隔",IF(AP$58=0,LEFT(IFERROR(INDEX(醫師週班表!$C$5:$T$44,$CU22,AP$57),""),1),""),IF(MID(IFERROR(INDEX(醫師週班表!$C$5:$T$44,$CU22,AP$57),""),2,1)="(",LEFT(IFERROR(INDEX(醫師週班表!$C$5:$T$44,$CU22,AP$57),""),1),IFERROR(INDEX(醫師週班表!$C$5:$T$44,$CU22,AP$57),"")))))))</f>
        <v/>
      </c>
      <c r="AQ22" s="72">
        <f>IF(AQ$59="X","",IF(AQ$59&lt;&gt;"",AQ$59,IF(IFERROR(INDEX(醫師週班表!$C$5:$T$44,$CU22,AQ$57),"")=0,"",IF(MID(IFERROR(INDEX(醫師週班表!$C$5:$T$44,$CU22,AQ$57),""),2,1)="/",MID(IFERROR(INDEX(醫師週班表!$C$5:$T$44,$CU22,AQ$57),""),1+AQ$58*2,1),IF(MID(IFERROR(INDEX(醫師週班表!$C$5:$T$44,$CU22,AQ$57),""),3,1)="隔",IF(AQ$58=0,LEFT(IFERROR(INDEX(醫師週班表!$C$5:$T$44,$CU22,AQ$57),""),1),""),IF(MID(IFERROR(INDEX(醫師週班表!$C$5:$T$44,$CU22,AQ$57),""),2,1)="(",LEFT(IFERROR(INDEX(醫師週班表!$C$5:$T$44,$CU22,AQ$57),""),1),IFERROR(INDEX(醫師週班表!$C$5:$T$44,$CU22,AQ$57),"")))))))</f>
        <v/>
      </c>
      <c r="AR22" s="71">
        <f>IF(AR$59="X","",IF(AR$59&lt;&gt;"",AR$59,IF(IFERROR(INDEX(醫師週班表!$C$5:$T$44,$CU22,AR$57),"")=0,"",IF(MID(IFERROR(INDEX(醫師週班表!$C$5:$T$44,$CU22,AR$57),""),2,1)="/",MID(IFERROR(INDEX(醫師週班表!$C$5:$T$44,$CU22,AR$57),""),1+AR$58*2,1),IF(MID(IFERROR(INDEX(醫師週班表!$C$5:$T$44,$CU22,AR$57),""),3,1)="隔",IF(AR$58=0,LEFT(IFERROR(INDEX(醫師週班表!$C$5:$T$44,$CU22,AR$57),""),1),""),IF(MID(IFERROR(INDEX(醫師週班表!$C$5:$T$44,$CU22,AR$57),""),2,1)="(",LEFT(IFERROR(INDEX(醫師週班表!$C$5:$T$44,$CU22,AR$57),""),1),IFERROR(INDEX(醫師週班表!$C$5:$T$44,$CU22,AR$57),"")))))))</f>
        <v/>
      </c>
      <c r="AS22" s="72">
        <f>IF(AS$59="X","",IF(AS$59&lt;&gt;"",AS$59,IF(IFERROR(INDEX(醫師週班表!$C$5:$T$44,$CU22,AS$57),"")=0,"",IF(MID(IFERROR(INDEX(醫師週班表!$C$5:$T$44,$CU22,AS$57),""),2,1)="/",MID(IFERROR(INDEX(醫師週班表!$C$5:$T$44,$CU22,AS$57),""),1+AS$58*2,1),IF(MID(IFERROR(INDEX(醫師週班表!$C$5:$T$44,$CU22,AS$57),""),3,1)="隔",IF(AS$58=0,LEFT(IFERROR(INDEX(醫師週班表!$C$5:$T$44,$CU22,AS$57),""),1),""),IF(MID(IFERROR(INDEX(醫師週班表!$C$5:$T$44,$CU22,AS$57),""),2,1)="(",LEFT(IFERROR(INDEX(醫師週班表!$C$5:$T$44,$CU22,AS$57),""),1),IFERROR(INDEX(醫師週班表!$C$5:$T$44,$CU22,AS$57),"")))))))</f>
        <v/>
      </c>
      <c r="AT22" s="72">
        <f>IF(AT$59="X","",IF(AT$59&lt;&gt;"",AT$59,IF(IFERROR(INDEX(醫師週班表!$C$5:$T$44,$CU22,AT$57),"")=0,"",IF(MID(IFERROR(INDEX(醫師週班表!$C$5:$T$44,$CU22,AT$57),""),2,1)="/",MID(IFERROR(INDEX(醫師週班表!$C$5:$T$44,$CU22,AT$57),""),1+AT$58*2,1),IF(MID(IFERROR(INDEX(醫師週班表!$C$5:$T$44,$CU22,AT$57),""),3,1)="隔",IF(AT$58=0,LEFT(IFERROR(INDEX(醫師週班表!$C$5:$T$44,$CU22,AT$57),""),1),""),IF(MID(IFERROR(INDEX(醫師週班表!$C$5:$T$44,$CU22,AT$57),""),2,1)="(",LEFT(IFERROR(INDEX(醫師週班表!$C$5:$T$44,$CU22,AT$57),""),1),IFERROR(INDEX(醫師週班表!$C$5:$T$44,$CU22,AT$57),"")))))))</f>
        <v/>
      </c>
      <c r="AU22" s="71">
        <f>IF(AU$59="X","",IF(AU$59&lt;&gt;"",AU$59,IF(IFERROR(INDEX(醫師週班表!$C$5:$T$44,$CU22,AU$57),"")=0,"",IF(MID(IFERROR(INDEX(醫師週班表!$C$5:$T$44,$CU22,AU$57),""),2,1)="/",MID(IFERROR(INDEX(醫師週班表!$C$5:$T$44,$CU22,AU$57),""),1+AU$58*2,1),IF(MID(IFERROR(INDEX(醫師週班表!$C$5:$T$44,$CU22,AU$57),""),3,1)="隔",IF(AU$58=0,LEFT(IFERROR(INDEX(醫師週班表!$C$5:$T$44,$CU22,AU$57),""),1),""),IF(MID(IFERROR(INDEX(醫師週班表!$C$5:$T$44,$CU22,AU$57),""),2,1)="(",LEFT(IFERROR(INDEX(醫師週班表!$C$5:$T$44,$CU22,AU$57),""),1),IFERROR(INDEX(醫師週班表!$C$5:$T$44,$CU22,AU$57),"")))))))</f>
        <v/>
      </c>
      <c r="AV22" s="72">
        <f>IF(AV$59="X","",IF(AV$59&lt;&gt;"",AV$59,IF(IFERROR(INDEX(醫師週班表!$C$5:$T$44,$CU22,AV$57),"")=0,"",IF(MID(IFERROR(INDEX(醫師週班表!$C$5:$T$44,$CU22,AV$57),""),2,1)="/",MID(IFERROR(INDEX(醫師週班表!$C$5:$T$44,$CU22,AV$57),""),1+AV$58*2,1),IF(MID(IFERROR(INDEX(醫師週班表!$C$5:$T$44,$CU22,AV$57),""),3,1)="隔",IF(AV$58=0,LEFT(IFERROR(INDEX(醫師週班表!$C$5:$T$44,$CU22,AV$57),""),1),""),IF(MID(IFERROR(INDEX(醫師週班表!$C$5:$T$44,$CU22,AV$57),""),2,1)="(",LEFT(IFERROR(INDEX(醫師週班表!$C$5:$T$44,$CU22,AV$57),""),1),IFERROR(INDEX(醫師週班表!$C$5:$T$44,$CU22,AV$57),"")))))))</f>
        <v/>
      </c>
      <c r="AW22" s="72">
        <f>IF(AW$59="X","",IF(AW$59&lt;&gt;"",AW$59,IF(IFERROR(INDEX(醫師週班表!$C$5:$T$44,$CU22,AW$57),"")=0,"",IF(MID(IFERROR(INDEX(醫師週班表!$C$5:$T$44,$CU22,AW$57),""),2,1)="/",MID(IFERROR(INDEX(醫師週班表!$C$5:$T$44,$CU22,AW$57),""),1+AW$58*2,1),IF(MID(IFERROR(INDEX(醫師週班表!$C$5:$T$44,$CU22,AW$57),""),3,1)="隔",IF(AW$58=0,LEFT(IFERROR(INDEX(醫師週班表!$C$5:$T$44,$CU22,AW$57),""),1),""),IF(MID(IFERROR(INDEX(醫師週班表!$C$5:$T$44,$CU22,AW$57),""),2,1)="(",LEFT(IFERROR(INDEX(醫師週班表!$C$5:$T$44,$CU22,AW$57),""),1),IFERROR(INDEX(醫師週班表!$C$5:$T$44,$CU22,AW$57),"")))))))</f>
        <v/>
      </c>
      <c r="AX22" s="71">
        <f>IF(AX$59="X","",IF(AX$59&lt;&gt;"",AX$59,IF(IFERROR(INDEX(醫師週班表!$C$5:$T$44,$CU22,AX$57),"")=0,"",IF(MID(IFERROR(INDEX(醫師週班表!$C$5:$T$44,$CU22,AX$57),""),2,1)="/",MID(IFERROR(INDEX(醫師週班表!$C$5:$T$44,$CU22,AX$57),""),1+AX$58*2,1),IF(MID(IFERROR(INDEX(醫師週班表!$C$5:$T$44,$CU22,AX$57),""),3,1)="隔",IF(AX$58=0,LEFT(IFERROR(INDEX(醫師週班表!$C$5:$T$44,$CU22,AX$57),""),1),""),IF(MID(IFERROR(INDEX(醫師週班表!$C$5:$T$44,$CU22,AX$57),""),2,1)="(",LEFT(IFERROR(INDEX(醫師週班表!$C$5:$T$44,$CU22,AX$57),""),1),IFERROR(INDEX(醫師週班表!$C$5:$T$44,$CU22,AX$57),"")))))))</f>
        <v/>
      </c>
      <c r="AY22" s="72">
        <f>IF(AY$59="X","",IF(AY$59&lt;&gt;"",AY$59,IF(IFERROR(INDEX(醫師週班表!$C$5:$T$44,$CU22,AY$57),"")=0,"",IF(MID(IFERROR(INDEX(醫師週班表!$C$5:$T$44,$CU22,AY$57),""),2,1)="/",MID(IFERROR(INDEX(醫師週班表!$C$5:$T$44,$CU22,AY$57),""),1+AY$58*2,1),IF(MID(IFERROR(INDEX(醫師週班表!$C$5:$T$44,$CU22,AY$57),""),3,1)="隔",IF(AY$58=0,LEFT(IFERROR(INDEX(醫師週班表!$C$5:$T$44,$CU22,AY$57),""),1),""),IF(MID(IFERROR(INDEX(醫師週班表!$C$5:$T$44,$CU22,AY$57),""),2,1)="(",LEFT(IFERROR(INDEX(醫師週班表!$C$5:$T$44,$CU22,AY$57),""),1),IFERROR(INDEX(醫師週班表!$C$5:$T$44,$CU22,AY$57),"")))))))</f>
        <v/>
      </c>
      <c r="AZ22" s="72">
        <f>IF(AZ$59="X","",IF(AZ$59&lt;&gt;"",AZ$59,IF(IFERROR(INDEX(醫師週班表!$C$5:$T$44,$CU22,AZ$57),"")=0,"",IF(MID(IFERROR(INDEX(醫師週班表!$C$5:$T$44,$CU22,AZ$57),""),2,1)="/",MID(IFERROR(INDEX(醫師週班表!$C$5:$T$44,$CU22,AZ$57),""),1+AZ$58*2,1),IF(MID(IFERROR(INDEX(醫師週班表!$C$5:$T$44,$CU22,AZ$57),""),3,1)="隔",IF(AZ$58=0,LEFT(IFERROR(INDEX(醫師週班表!$C$5:$T$44,$CU22,AZ$57),""),1),""),IF(MID(IFERROR(INDEX(醫師週班表!$C$5:$T$44,$CU22,AZ$57),""),2,1)="(",LEFT(IFERROR(INDEX(醫師週班表!$C$5:$T$44,$CU22,AZ$57),""),1),IFERROR(INDEX(醫師週班表!$C$5:$T$44,$CU22,AZ$57),"")))))))</f>
        <v/>
      </c>
      <c r="BA22" s="71">
        <f>IF(BA$59="X","",IF(BA$59&lt;&gt;"",BA$59,IF(IFERROR(INDEX(醫師週班表!$C$5:$T$44,$CU22,BA$57),"")=0,"",IF(MID(IFERROR(INDEX(醫師週班表!$C$5:$T$44,$CU22,BA$57),""),2,1)="/",MID(IFERROR(INDEX(醫師週班表!$C$5:$T$44,$CU22,BA$57),""),1+BA$58*2,1),IF(MID(IFERROR(INDEX(醫師週班表!$C$5:$T$44,$CU22,BA$57),""),3,1)="隔",IF(BA$58=0,LEFT(IFERROR(INDEX(醫師週班表!$C$5:$T$44,$CU22,BA$57),""),1),""),IF(MID(IFERROR(INDEX(醫師週班表!$C$5:$T$44,$CU22,BA$57),""),2,1)="(",LEFT(IFERROR(INDEX(醫師週班表!$C$5:$T$44,$CU22,BA$57),""),1),IFERROR(INDEX(醫師週班表!$C$5:$T$44,$CU22,BA$57),"")))))))</f>
        <v/>
      </c>
      <c r="BB22" s="72">
        <f>IF(BB$59="X","",IF(BB$59&lt;&gt;"",BB$59,IF(IFERROR(INDEX(醫師週班表!$C$5:$T$44,$CU22,BB$57),"")=0,"",IF(MID(IFERROR(INDEX(醫師週班表!$C$5:$T$44,$CU22,BB$57),""),2,1)="/",MID(IFERROR(INDEX(醫師週班表!$C$5:$T$44,$CU22,BB$57),""),1+BB$58*2,1),IF(MID(IFERROR(INDEX(醫師週班表!$C$5:$T$44,$CU22,BB$57),""),3,1)="隔",IF(BB$58=0,LEFT(IFERROR(INDEX(醫師週班表!$C$5:$T$44,$CU22,BB$57),""),1),""),IF(MID(IFERROR(INDEX(醫師週班表!$C$5:$T$44,$CU22,BB$57),""),2,1)="(",LEFT(IFERROR(INDEX(醫師週班表!$C$5:$T$44,$CU22,BB$57),""),1),IFERROR(INDEX(醫師週班表!$C$5:$T$44,$CU22,BB$57),"")))))))</f>
        <v/>
      </c>
      <c r="BC22" s="72">
        <f>IF(BC$59="X","",IF(BC$59&lt;&gt;"",BC$59,IF(IFERROR(INDEX(醫師週班表!$C$5:$T$44,$CU22,BC$57),"")=0,"",IF(MID(IFERROR(INDEX(醫師週班表!$C$5:$T$44,$CU22,BC$57),""),2,1)="/",MID(IFERROR(INDEX(醫師週班表!$C$5:$T$44,$CU22,BC$57),""),1+BC$58*2,1),IF(MID(IFERROR(INDEX(醫師週班表!$C$5:$T$44,$CU22,BC$57),""),3,1)="隔",IF(BC$58=0,LEFT(IFERROR(INDEX(醫師週班表!$C$5:$T$44,$CU22,BC$57),""),1),""),IF(MID(IFERROR(INDEX(醫師週班表!$C$5:$T$44,$CU22,BC$57),""),2,1)="(",LEFT(IFERROR(INDEX(醫師週班表!$C$5:$T$44,$CU22,BC$57),""),1),IFERROR(INDEX(醫師週班表!$C$5:$T$44,$CU22,BC$57),"")))))))</f>
        <v/>
      </c>
      <c r="BD22" s="71">
        <f>IF(BD$59="X","",IF(BD$59&lt;&gt;"",BD$59,IF(IFERROR(INDEX(醫師週班表!$C$5:$T$44,$CU22,BD$57),"")=0,"",IF(MID(IFERROR(INDEX(醫師週班表!$C$5:$T$44,$CU22,BD$57),""),2,1)="/",MID(IFERROR(INDEX(醫師週班表!$C$5:$T$44,$CU22,BD$57),""),1+BD$58*2,1),IF(MID(IFERROR(INDEX(醫師週班表!$C$5:$T$44,$CU22,BD$57),""),3,1)="隔",IF(BD$58=0,LEFT(IFERROR(INDEX(醫師週班表!$C$5:$T$44,$CU22,BD$57),""),1),""),IF(MID(IFERROR(INDEX(醫師週班表!$C$5:$T$44,$CU22,BD$57),""),2,1)="(",LEFT(IFERROR(INDEX(醫師週班表!$C$5:$T$44,$CU22,BD$57),""),1),IFERROR(INDEX(醫師週班表!$C$5:$T$44,$CU22,BD$57),"")))))))</f>
        <v/>
      </c>
      <c r="BE22" s="72">
        <f>IF(BE$59="X","",IF(BE$59&lt;&gt;"",BE$59,IF(IFERROR(INDEX(醫師週班表!$C$5:$T$44,$CU22,BE$57),"")=0,"",IF(MID(IFERROR(INDEX(醫師週班表!$C$5:$T$44,$CU22,BE$57),""),2,1)="/",MID(IFERROR(INDEX(醫師週班表!$C$5:$T$44,$CU22,BE$57),""),1+BE$58*2,1),IF(MID(IFERROR(INDEX(醫師週班表!$C$5:$T$44,$CU22,BE$57),""),3,1)="隔",IF(BE$58=0,LEFT(IFERROR(INDEX(醫師週班表!$C$5:$T$44,$CU22,BE$57),""),1),""),IF(MID(IFERROR(INDEX(醫師週班表!$C$5:$T$44,$CU22,BE$57),""),2,1)="(",LEFT(IFERROR(INDEX(醫師週班表!$C$5:$T$44,$CU22,BE$57),""),1),IFERROR(INDEX(醫師週班表!$C$5:$T$44,$CU22,BE$57),"")))))))</f>
        <v/>
      </c>
      <c r="BF22" s="72">
        <f>IF(BF$59="X","",IF(BF$59&lt;&gt;"",BF$59,IF(IFERROR(INDEX(醫師週班表!$C$5:$T$44,$CU22,BF$57),"")=0,"",IF(MID(IFERROR(INDEX(醫師週班表!$C$5:$T$44,$CU22,BF$57),""),2,1)="/",MID(IFERROR(INDEX(醫師週班表!$C$5:$T$44,$CU22,BF$57),""),1+BF$58*2,1),IF(MID(IFERROR(INDEX(醫師週班表!$C$5:$T$44,$CU22,BF$57),""),3,1)="隔",IF(BF$58=0,LEFT(IFERROR(INDEX(醫師週班表!$C$5:$T$44,$CU22,BF$57),""),1),""),IF(MID(IFERROR(INDEX(醫師週班表!$C$5:$T$44,$CU22,BF$57),""),2,1)="(",LEFT(IFERROR(INDEX(醫師週班表!$C$5:$T$44,$CU22,BF$57),""),1),IFERROR(INDEX(醫師週班表!$C$5:$T$44,$CU22,BF$57),"")))))))</f>
        <v/>
      </c>
      <c r="BG22" s="71">
        <f>IF(BG$59="X","",IF(BG$59&lt;&gt;"",BG$59,IF(IFERROR(INDEX(醫師週班表!$C$5:$T$44,$CU22,BG$57),"")=0,"",IF(MID(IFERROR(INDEX(醫師週班表!$C$5:$T$44,$CU22,BG$57),""),2,1)="/",MID(IFERROR(INDEX(醫師週班表!$C$5:$T$44,$CU22,BG$57),""),1+BG$58*2,1),IF(MID(IFERROR(INDEX(醫師週班表!$C$5:$T$44,$CU22,BG$57),""),3,1)="隔",IF(BG$58=0,LEFT(IFERROR(INDEX(醫師週班表!$C$5:$T$44,$CU22,BG$57),""),1),""),IF(MID(IFERROR(INDEX(醫師週班表!$C$5:$T$44,$CU22,BG$57),""),2,1)="(",LEFT(IFERROR(INDEX(醫師週班表!$C$5:$T$44,$CU22,BG$57),""),1),IFERROR(INDEX(醫師週班表!$C$5:$T$44,$CU22,BG$57),"")))))))</f>
        <v/>
      </c>
      <c r="BH22" s="72">
        <f>IF(BH$59="X","",IF(BH$59&lt;&gt;"",BH$59,IF(IFERROR(INDEX(醫師週班表!$C$5:$T$44,$CU22,BH$57),"")=0,"",IF(MID(IFERROR(INDEX(醫師週班表!$C$5:$T$44,$CU22,BH$57),""),2,1)="/",MID(IFERROR(INDEX(醫師週班表!$C$5:$T$44,$CU22,BH$57),""),1+BH$58*2,1),IF(MID(IFERROR(INDEX(醫師週班表!$C$5:$T$44,$CU22,BH$57),""),3,1)="隔",IF(BH$58=0,LEFT(IFERROR(INDEX(醫師週班表!$C$5:$T$44,$CU22,BH$57),""),1),""),IF(MID(IFERROR(INDEX(醫師週班表!$C$5:$T$44,$CU22,BH$57),""),2,1)="(",LEFT(IFERROR(INDEX(醫師週班表!$C$5:$T$44,$CU22,BH$57),""),1),IFERROR(INDEX(醫師週班表!$C$5:$T$44,$CU22,BH$57),"")))))))</f>
        <v/>
      </c>
      <c r="BI22" s="72">
        <f>IF(BI$59="X","",IF(BI$59&lt;&gt;"",BI$59,IF(IFERROR(INDEX(醫師週班表!$C$5:$T$44,$CU22,BI$57),"")=0,"",IF(MID(IFERROR(INDEX(醫師週班表!$C$5:$T$44,$CU22,BI$57),""),2,1)="/",MID(IFERROR(INDEX(醫師週班表!$C$5:$T$44,$CU22,BI$57),""),1+BI$58*2,1),IF(MID(IFERROR(INDEX(醫師週班表!$C$5:$T$44,$CU22,BI$57),""),3,1)="隔",IF(BI$58=0,LEFT(IFERROR(INDEX(醫師週班表!$C$5:$T$44,$CU22,BI$57),""),1),""),IF(MID(IFERROR(INDEX(醫師週班表!$C$5:$T$44,$CU22,BI$57),""),2,1)="(",LEFT(IFERROR(INDEX(醫師週班表!$C$5:$T$44,$CU22,BI$57),""),1),IFERROR(INDEX(醫師週班表!$C$5:$T$44,$CU22,BI$57),"")))))))</f>
        <v/>
      </c>
      <c r="BJ22" s="71">
        <f>IF(BJ$59="X","",IF(BJ$59&lt;&gt;"",BJ$59,IF(IFERROR(INDEX(醫師週班表!$C$5:$T$44,$CU22,BJ$57),"")=0,"",IF(MID(IFERROR(INDEX(醫師週班表!$C$5:$T$44,$CU22,BJ$57),""),2,1)="/",MID(IFERROR(INDEX(醫師週班表!$C$5:$T$44,$CU22,BJ$57),""),1+BJ$58*2,1),IF(MID(IFERROR(INDEX(醫師週班表!$C$5:$T$44,$CU22,BJ$57),""),3,1)="隔",IF(BJ$58=0,LEFT(IFERROR(INDEX(醫師週班表!$C$5:$T$44,$CU22,BJ$57),""),1),""),IF(MID(IFERROR(INDEX(醫師週班表!$C$5:$T$44,$CU22,BJ$57),""),2,1)="(",LEFT(IFERROR(INDEX(醫師週班表!$C$5:$T$44,$CU22,BJ$57),""),1),IFERROR(INDEX(醫師週班表!$C$5:$T$44,$CU22,BJ$57),"")))))))</f>
        <v/>
      </c>
      <c r="BK22" s="72">
        <f>IF(BK$59="X","",IF(BK$59&lt;&gt;"",BK$59,IF(IFERROR(INDEX(醫師週班表!$C$5:$T$44,$CU22,BK$57),"")=0,"",IF(MID(IFERROR(INDEX(醫師週班表!$C$5:$T$44,$CU22,BK$57),""),2,1)="/",MID(IFERROR(INDEX(醫師週班表!$C$5:$T$44,$CU22,BK$57),""),1+BK$58*2,1),IF(MID(IFERROR(INDEX(醫師週班表!$C$5:$T$44,$CU22,BK$57),""),3,1)="隔",IF(BK$58=0,LEFT(IFERROR(INDEX(醫師週班表!$C$5:$T$44,$CU22,BK$57),""),1),""),IF(MID(IFERROR(INDEX(醫師週班表!$C$5:$T$44,$CU22,BK$57),""),2,1)="(",LEFT(IFERROR(INDEX(醫師週班表!$C$5:$T$44,$CU22,BK$57),""),1),IFERROR(INDEX(醫師週班表!$C$5:$T$44,$CU22,BK$57),"")))))))</f>
        <v/>
      </c>
      <c r="BL22" s="72">
        <f>IF(BL$59="X","",IF(BL$59&lt;&gt;"",BL$59,IF(IFERROR(INDEX(醫師週班表!$C$5:$T$44,$CU22,BL$57),"")=0,"",IF(MID(IFERROR(INDEX(醫師週班表!$C$5:$T$44,$CU22,BL$57),""),2,1)="/",MID(IFERROR(INDEX(醫師週班表!$C$5:$T$44,$CU22,BL$57),""),1+BL$58*2,1),IF(MID(IFERROR(INDEX(醫師週班表!$C$5:$T$44,$CU22,BL$57),""),3,1)="隔",IF(BL$58=0,LEFT(IFERROR(INDEX(醫師週班表!$C$5:$T$44,$CU22,BL$57),""),1),""),IF(MID(IFERROR(INDEX(醫師週班表!$C$5:$T$44,$CU22,BL$57),""),2,1)="(",LEFT(IFERROR(INDEX(醫師週班表!$C$5:$T$44,$CU22,BL$57),""),1),IFERROR(INDEX(醫師週班表!$C$5:$T$44,$CU22,BL$57),"")))))))</f>
        <v/>
      </c>
      <c r="BM22" s="71">
        <f>IF(BM$59="X","",IF(BM$59&lt;&gt;"",BM$59,IF(IFERROR(INDEX(醫師週班表!$C$5:$T$44,$CU22,BM$57),"")=0,"",IF(MID(IFERROR(INDEX(醫師週班表!$C$5:$T$44,$CU22,BM$57),""),2,1)="/",MID(IFERROR(INDEX(醫師週班表!$C$5:$T$44,$CU22,BM$57),""),1+BM$58*2,1),IF(MID(IFERROR(INDEX(醫師週班表!$C$5:$T$44,$CU22,BM$57),""),3,1)="隔",IF(BM$58=0,LEFT(IFERROR(INDEX(醫師週班表!$C$5:$T$44,$CU22,BM$57),""),1),""),IF(MID(IFERROR(INDEX(醫師週班表!$C$5:$T$44,$CU22,BM$57),""),2,1)="(",LEFT(IFERROR(INDEX(醫師週班表!$C$5:$T$44,$CU22,BM$57),""),1),IFERROR(INDEX(醫師週班表!$C$5:$T$44,$CU22,BM$57),"")))))))</f>
        <v/>
      </c>
      <c r="BN22" s="72">
        <f>IF(BN$59="X","",IF(BN$59&lt;&gt;"",BN$59,IF(IFERROR(INDEX(醫師週班表!$C$5:$T$44,$CU22,BN$57),"")=0,"",IF(MID(IFERROR(INDEX(醫師週班表!$C$5:$T$44,$CU22,BN$57),""),2,1)="/",MID(IFERROR(INDEX(醫師週班表!$C$5:$T$44,$CU22,BN$57),""),1+BN$58*2,1),IF(MID(IFERROR(INDEX(醫師週班表!$C$5:$T$44,$CU22,BN$57),""),3,1)="隔",IF(BN$58=0,LEFT(IFERROR(INDEX(醫師週班表!$C$5:$T$44,$CU22,BN$57),""),1),""),IF(MID(IFERROR(INDEX(醫師週班表!$C$5:$T$44,$CU22,BN$57),""),2,1)="(",LEFT(IFERROR(INDEX(醫師週班表!$C$5:$T$44,$CU22,BN$57),""),1),IFERROR(INDEX(醫師週班表!$C$5:$T$44,$CU22,BN$57),"")))))))</f>
        <v/>
      </c>
      <c r="BO22" s="72">
        <f>IF(BO$59="X","",IF(BO$59&lt;&gt;"",BO$59,IF(IFERROR(INDEX(醫師週班表!$C$5:$T$44,$CU22,BO$57),"")=0,"",IF(MID(IFERROR(INDEX(醫師週班表!$C$5:$T$44,$CU22,BO$57),""),2,1)="/",MID(IFERROR(INDEX(醫師週班表!$C$5:$T$44,$CU22,BO$57),""),1+BO$58*2,1),IF(MID(IFERROR(INDEX(醫師週班表!$C$5:$T$44,$CU22,BO$57),""),3,1)="隔",IF(BO$58=0,LEFT(IFERROR(INDEX(醫師週班表!$C$5:$T$44,$CU22,BO$57),""),1),""),IF(MID(IFERROR(INDEX(醫師週班表!$C$5:$T$44,$CU22,BO$57),""),2,1)="(",LEFT(IFERROR(INDEX(醫師週班表!$C$5:$T$44,$CU22,BO$57),""),1),IFERROR(INDEX(醫師週班表!$C$5:$T$44,$CU22,BO$57),"")))))))</f>
        <v/>
      </c>
      <c r="BP22" s="71">
        <f>IF(BP$59="X","",IF(BP$59&lt;&gt;"",BP$59,IF(IFERROR(INDEX(醫師週班表!$C$5:$T$44,$CU22,BP$57),"")=0,"",IF(MID(IFERROR(INDEX(醫師週班表!$C$5:$T$44,$CU22,BP$57),""),2,1)="/",MID(IFERROR(INDEX(醫師週班表!$C$5:$T$44,$CU22,BP$57),""),1+BP$58*2,1),IF(MID(IFERROR(INDEX(醫師週班表!$C$5:$T$44,$CU22,BP$57),""),3,1)="隔",IF(BP$58=0,LEFT(IFERROR(INDEX(醫師週班表!$C$5:$T$44,$CU22,BP$57),""),1),""),IF(MID(IFERROR(INDEX(醫師週班表!$C$5:$T$44,$CU22,BP$57),""),2,1)="(",LEFT(IFERROR(INDEX(醫師週班表!$C$5:$T$44,$CU22,BP$57),""),1),IFERROR(INDEX(醫師週班表!$C$5:$T$44,$CU22,BP$57),"")))))))</f>
        <v/>
      </c>
      <c r="BQ22" s="72">
        <f>IF(BQ$59="X","",IF(BQ$59&lt;&gt;"",BQ$59,IF(IFERROR(INDEX(醫師週班表!$C$5:$T$44,$CU22,BQ$57),"")=0,"",IF(MID(IFERROR(INDEX(醫師週班表!$C$5:$T$44,$CU22,BQ$57),""),2,1)="/",MID(IFERROR(INDEX(醫師週班表!$C$5:$T$44,$CU22,BQ$57),""),1+BQ$58*2,1),IF(MID(IFERROR(INDEX(醫師週班表!$C$5:$T$44,$CU22,BQ$57),""),3,1)="隔",IF(BQ$58=0,LEFT(IFERROR(INDEX(醫師週班表!$C$5:$T$44,$CU22,BQ$57),""),1),""),IF(MID(IFERROR(INDEX(醫師週班表!$C$5:$T$44,$CU22,BQ$57),""),2,1)="(",LEFT(IFERROR(INDEX(醫師週班表!$C$5:$T$44,$CU22,BQ$57),""),1),IFERROR(INDEX(醫師週班表!$C$5:$T$44,$CU22,BQ$57),"")))))))</f>
        <v/>
      </c>
      <c r="BR22" s="72">
        <f>IF(BR$59="X","",IF(BR$59&lt;&gt;"",BR$59,IF(IFERROR(INDEX(醫師週班表!$C$5:$T$44,$CU22,BR$57),"")=0,"",IF(MID(IFERROR(INDEX(醫師週班表!$C$5:$T$44,$CU22,BR$57),""),2,1)="/",MID(IFERROR(INDEX(醫師週班表!$C$5:$T$44,$CU22,BR$57),""),1+BR$58*2,1),IF(MID(IFERROR(INDEX(醫師週班表!$C$5:$T$44,$CU22,BR$57),""),3,1)="隔",IF(BR$58=0,LEFT(IFERROR(INDEX(醫師週班表!$C$5:$T$44,$CU22,BR$57),""),1),""),IF(MID(IFERROR(INDEX(醫師週班表!$C$5:$T$44,$CU22,BR$57),""),2,1)="(",LEFT(IFERROR(INDEX(醫師週班表!$C$5:$T$44,$CU22,BR$57),""),1),IFERROR(INDEX(醫師週班表!$C$5:$T$44,$CU22,BR$57),"")))))))</f>
        <v/>
      </c>
      <c r="BS22" s="71">
        <f>IF(BS$59="X","",IF(BS$59&lt;&gt;"",BS$59,IF(IFERROR(INDEX(醫師週班表!$C$5:$T$44,$CU22,BS$57),"")=0,"",IF(MID(IFERROR(INDEX(醫師週班表!$C$5:$T$44,$CU22,BS$57),""),2,1)="/",MID(IFERROR(INDEX(醫師週班表!$C$5:$T$44,$CU22,BS$57),""),1+BS$58*2,1),IF(MID(IFERROR(INDEX(醫師週班表!$C$5:$T$44,$CU22,BS$57),""),3,1)="隔",IF(BS$58=0,LEFT(IFERROR(INDEX(醫師週班表!$C$5:$T$44,$CU22,BS$57),""),1),""),IF(MID(IFERROR(INDEX(醫師週班表!$C$5:$T$44,$CU22,BS$57),""),2,1)="(",LEFT(IFERROR(INDEX(醫師週班表!$C$5:$T$44,$CU22,BS$57),""),1),IFERROR(INDEX(醫師週班表!$C$5:$T$44,$CU22,BS$57),"")))))))</f>
        <v/>
      </c>
      <c r="BT22" s="72">
        <f>IF(BT$59="X","",IF(BT$59&lt;&gt;"",BT$59,IF(IFERROR(INDEX(醫師週班表!$C$5:$T$44,$CU22,BT$57),"")=0,"",IF(MID(IFERROR(INDEX(醫師週班表!$C$5:$T$44,$CU22,BT$57),""),2,1)="/",MID(IFERROR(INDEX(醫師週班表!$C$5:$T$44,$CU22,BT$57),""),1+BT$58*2,1),IF(MID(IFERROR(INDEX(醫師週班表!$C$5:$T$44,$CU22,BT$57),""),3,1)="隔",IF(BT$58=0,LEFT(IFERROR(INDEX(醫師週班表!$C$5:$T$44,$CU22,BT$57),""),1),""),IF(MID(IFERROR(INDEX(醫師週班表!$C$5:$T$44,$CU22,BT$57),""),2,1)="(",LEFT(IFERROR(INDEX(醫師週班表!$C$5:$T$44,$CU22,BT$57),""),1),IFERROR(INDEX(醫師週班表!$C$5:$T$44,$CU22,BT$57),"")))))))</f>
        <v/>
      </c>
      <c r="BU22" s="72">
        <f>IF(BU$59="X","",IF(BU$59&lt;&gt;"",BU$59,IF(IFERROR(INDEX(醫師週班表!$C$5:$T$44,$CU22,BU$57),"")=0,"",IF(MID(IFERROR(INDEX(醫師週班表!$C$5:$T$44,$CU22,BU$57),""),2,1)="/",MID(IFERROR(INDEX(醫師週班表!$C$5:$T$44,$CU22,BU$57),""),1+BU$58*2,1),IF(MID(IFERROR(INDEX(醫師週班表!$C$5:$T$44,$CU22,BU$57),""),3,1)="隔",IF(BU$58=0,LEFT(IFERROR(INDEX(醫師週班表!$C$5:$T$44,$CU22,BU$57),""),1),""),IF(MID(IFERROR(INDEX(醫師週班表!$C$5:$T$44,$CU22,BU$57),""),2,1)="(",LEFT(IFERROR(INDEX(醫師週班表!$C$5:$T$44,$CU22,BU$57),""),1),IFERROR(INDEX(醫師週班表!$C$5:$T$44,$CU22,BU$57),"")))))))</f>
        <v/>
      </c>
      <c r="BV22" s="71">
        <f>IF(BV$59="X","",IF(BV$59&lt;&gt;"",BV$59,IF(IFERROR(INDEX(醫師週班表!$C$5:$T$44,$CU22,BV$57),"")=0,"",IF(MID(IFERROR(INDEX(醫師週班表!$C$5:$T$44,$CU22,BV$57),""),2,1)="/",MID(IFERROR(INDEX(醫師週班表!$C$5:$T$44,$CU22,BV$57),""),1+BV$58*2,1),IF(MID(IFERROR(INDEX(醫師週班表!$C$5:$T$44,$CU22,BV$57),""),3,1)="隔",IF(BV$58=0,LEFT(IFERROR(INDEX(醫師週班表!$C$5:$T$44,$CU22,BV$57),""),1),""),IF(MID(IFERROR(INDEX(醫師週班表!$C$5:$T$44,$CU22,BV$57),""),2,1)="(",LEFT(IFERROR(INDEX(醫師週班表!$C$5:$T$44,$CU22,BV$57),""),1),IFERROR(INDEX(醫師週班表!$C$5:$T$44,$CU22,BV$57),"")))))))</f>
        <v/>
      </c>
      <c r="BW22" s="72">
        <f>IF(BW$59="X","",IF(BW$59&lt;&gt;"",BW$59,IF(IFERROR(INDEX(醫師週班表!$C$5:$T$44,$CU22,BW$57),"")=0,"",IF(MID(IFERROR(INDEX(醫師週班表!$C$5:$T$44,$CU22,BW$57),""),2,1)="/",MID(IFERROR(INDEX(醫師週班表!$C$5:$T$44,$CU22,BW$57),""),1+BW$58*2,1),IF(MID(IFERROR(INDEX(醫師週班表!$C$5:$T$44,$CU22,BW$57),""),3,1)="隔",IF(BW$58=0,LEFT(IFERROR(INDEX(醫師週班表!$C$5:$T$44,$CU22,BW$57),""),1),""),IF(MID(IFERROR(INDEX(醫師週班表!$C$5:$T$44,$CU22,BW$57),""),2,1)="(",LEFT(IFERROR(INDEX(醫師週班表!$C$5:$T$44,$CU22,BW$57),""),1),IFERROR(INDEX(醫師週班表!$C$5:$T$44,$CU22,BW$57),"")))))))</f>
        <v/>
      </c>
      <c r="BX22" s="72">
        <f>IF(BX$59="X","",IF(BX$59&lt;&gt;"",BX$59,IF(IFERROR(INDEX(醫師週班表!$C$5:$T$44,$CU22,BX$57),"")=0,"",IF(MID(IFERROR(INDEX(醫師週班表!$C$5:$T$44,$CU22,BX$57),""),2,1)="/",MID(IFERROR(INDEX(醫師週班表!$C$5:$T$44,$CU22,BX$57),""),1+BX$58*2,1),IF(MID(IFERROR(INDEX(醫師週班表!$C$5:$T$44,$CU22,BX$57),""),3,1)="隔",IF(BX$58=0,LEFT(IFERROR(INDEX(醫師週班表!$C$5:$T$44,$CU22,BX$57),""),1),""),IF(MID(IFERROR(INDEX(醫師週班表!$C$5:$T$44,$CU22,BX$57),""),2,1)="(",LEFT(IFERROR(INDEX(醫師週班表!$C$5:$T$44,$CU22,BX$57),""),1),IFERROR(INDEX(醫師週班表!$C$5:$T$44,$CU22,BX$57),"")))))))</f>
        <v/>
      </c>
      <c r="BY22" s="71">
        <f>IF(BY$59="X","",IF(BY$59&lt;&gt;"",BY$59,IF(IFERROR(INDEX(醫師週班表!$C$5:$T$44,$CU22,BY$57),"")=0,"",IF(MID(IFERROR(INDEX(醫師週班表!$C$5:$T$44,$CU22,BY$57),""),2,1)="/",MID(IFERROR(INDEX(醫師週班表!$C$5:$T$44,$CU22,BY$57),""),1+BY$58*2,1),IF(MID(IFERROR(INDEX(醫師週班表!$C$5:$T$44,$CU22,BY$57),""),3,1)="隔",IF(BY$58=0,LEFT(IFERROR(INDEX(醫師週班表!$C$5:$T$44,$CU22,BY$57),""),1),""),IF(MID(IFERROR(INDEX(醫師週班表!$C$5:$T$44,$CU22,BY$57),""),2,1)="(",LEFT(IFERROR(INDEX(醫師週班表!$C$5:$T$44,$CU22,BY$57),""),1),IFERROR(INDEX(醫師週班表!$C$5:$T$44,$CU22,BY$57),"")))))))</f>
        <v/>
      </c>
      <c r="BZ22" s="72">
        <f>IF(BZ$59="X","",IF(BZ$59&lt;&gt;"",BZ$59,IF(IFERROR(INDEX(醫師週班表!$C$5:$T$44,$CU22,BZ$57),"")=0,"",IF(MID(IFERROR(INDEX(醫師週班表!$C$5:$T$44,$CU22,BZ$57),""),2,1)="/",MID(IFERROR(INDEX(醫師週班表!$C$5:$T$44,$CU22,BZ$57),""),1+BZ$58*2,1),IF(MID(IFERROR(INDEX(醫師週班表!$C$5:$T$44,$CU22,BZ$57),""),3,1)="隔",IF(BZ$58=0,LEFT(IFERROR(INDEX(醫師週班表!$C$5:$T$44,$CU22,BZ$57),""),1),""),IF(MID(IFERROR(INDEX(醫師週班表!$C$5:$T$44,$CU22,BZ$57),""),2,1)="(",LEFT(IFERROR(INDEX(醫師週班表!$C$5:$T$44,$CU22,BZ$57),""),1),IFERROR(INDEX(醫師週班表!$C$5:$T$44,$CU22,BZ$57),"")))))))</f>
        <v/>
      </c>
      <c r="CA22" s="72">
        <f>IF(CA$59="X","",IF(CA$59&lt;&gt;"",CA$59,IF(IFERROR(INDEX(醫師週班表!$C$5:$T$44,$CU22,CA$57),"")=0,"",IF(MID(IFERROR(INDEX(醫師週班表!$C$5:$T$44,$CU22,CA$57),""),2,1)="/",MID(IFERROR(INDEX(醫師週班表!$C$5:$T$44,$CU22,CA$57),""),1+CA$58*2,1),IF(MID(IFERROR(INDEX(醫師週班表!$C$5:$T$44,$CU22,CA$57),""),3,1)="隔",IF(CA$58=0,LEFT(IFERROR(INDEX(醫師週班表!$C$5:$T$44,$CU22,CA$57),""),1),""),IF(MID(IFERROR(INDEX(醫師週班表!$C$5:$T$44,$CU22,CA$57),""),2,1)="(",LEFT(IFERROR(INDEX(醫師週班表!$C$5:$T$44,$CU22,CA$57),""),1),IFERROR(INDEX(醫師週班表!$C$5:$T$44,$CU22,CA$57),"")))))))</f>
        <v/>
      </c>
      <c r="CB22" s="71">
        <f>IF(CB$59="X","",IF(CB$59&lt;&gt;"",CB$59,IF(IFERROR(INDEX(醫師週班表!$C$5:$T$44,$CU22,CB$57),"")=0,"",IF(MID(IFERROR(INDEX(醫師週班表!$C$5:$T$44,$CU22,CB$57),""),2,1)="/",MID(IFERROR(INDEX(醫師週班表!$C$5:$T$44,$CU22,CB$57),""),1+CB$58*2,1),IF(MID(IFERROR(INDEX(醫師週班表!$C$5:$T$44,$CU22,CB$57),""),3,1)="隔",IF(CB$58=0,LEFT(IFERROR(INDEX(醫師週班表!$C$5:$T$44,$CU22,CB$57),""),1),""),IF(MID(IFERROR(INDEX(醫師週班表!$C$5:$T$44,$CU22,CB$57),""),2,1)="(",LEFT(IFERROR(INDEX(醫師週班表!$C$5:$T$44,$CU22,CB$57),""),1),IFERROR(INDEX(醫師週班表!$C$5:$T$44,$CU22,CB$57),"")))))))</f>
        <v/>
      </c>
      <c r="CC22" s="72">
        <f>IF(CC$59="X","",IF(CC$59&lt;&gt;"",CC$59,IF(IFERROR(INDEX(醫師週班表!$C$5:$T$44,$CU22,CC$57),"")=0,"",IF(MID(IFERROR(INDEX(醫師週班表!$C$5:$T$44,$CU22,CC$57),""),2,1)="/",MID(IFERROR(INDEX(醫師週班表!$C$5:$T$44,$CU22,CC$57),""),1+CC$58*2,1),IF(MID(IFERROR(INDEX(醫師週班表!$C$5:$T$44,$CU22,CC$57),""),3,1)="隔",IF(CC$58=0,LEFT(IFERROR(INDEX(醫師週班表!$C$5:$T$44,$CU22,CC$57),""),1),""),IF(MID(IFERROR(INDEX(醫師週班表!$C$5:$T$44,$CU22,CC$57),""),2,1)="(",LEFT(IFERROR(INDEX(醫師週班表!$C$5:$T$44,$CU22,CC$57),""),1),IFERROR(INDEX(醫師週班表!$C$5:$T$44,$CU22,CC$57),"")))))))</f>
        <v/>
      </c>
      <c r="CD22" s="72">
        <f>IF(CD$59="X","",IF(CD$59&lt;&gt;"",CD$59,IF(IFERROR(INDEX(醫師週班表!$C$5:$T$44,$CU22,CD$57),"")=0,"",IF(MID(IFERROR(INDEX(醫師週班表!$C$5:$T$44,$CU22,CD$57),""),2,1)="/",MID(IFERROR(INDEX(醫師週班表!$C$5:$T$44,$CU22,CD$57),""),1+CD$58*2,1),IF(MID(IFERROR(INDEX(醫師週班表!$C$5:$T$44,$CU22,CD$57),""),3,1)="隔",IF(CD$58=0,LEFT(IFERROR(INDEX(醫師週班表!$C$5:$T$44,$CU22,CD$57),""),1),""),IF(MID(IFERROR(INDEX(醫師週班表!$C$5:$T$44,$CU22,CD$57),""),2,1)="(",LEFT(IFERROR(INDEX(醫師週班表!$C$5:$T$44,$CU22,CD$57),""),1),IFERROR(INDEX(醫師週班表!$C$5:$T$44,$CU22,CD$57),"")))))))</f>
        <v/>
      </c>
      <c r="CE22" s="71">
        <f>IF(CE$59="X","",IF(CE$59&lt;&gt;"",CE$59,IF(IFERROR(INDEX(醫師週班表!$C$5:$T$44,$CU22,CE$57),"")=0,"",IF(MID(IFERROR(INDEX(醫師週班表!$C$5:$T$44,$CU22,CE$57),""),2,1)="/",MID(IFERROR(INDEX(醫師週班表!$C$5:$T$44,$CU22,CE$57),""),1+CE$58*2,1),IF(MID(IFERROR(INDEX(醫師週班表!$C$5:$T$44,$CU22,CE$57),""),3,1)="隔",IF(CE$58=0,LEFT(IFERROR(INDEX(醫師週班表!$C$5:$T$44,$CU22,CE$57),""),1),""),IF(MID(IFERROR(INDEX(醫師週班表!$C$5:$T$44,$CU22,CE$57),""),2,1)="(",LEFT(IFERROR(INDEX(醫師週班表!$C$5:$T$44,$CU22,CE$57),""),1),IFERROR(INDEX(醫師週班表!$C$5:$T$44,$CU22,CE$57),"")))))))</f>
        <v/>
      </c>
      <c r="CF22" s="72">
        <f>IF(CF$59="X","",IF(CF$59&lt;&gt;"",CF$59,IF(IFERROR(INDEX(醫師週班表!$C$5:$T$44,$CU22,CF$57),"")=0,"",IF(MID(IFERROR(INDEX(醫師週班表!$C$5:$T$44,$CU22,CF$57),""),2,1)="/",MID(IFERROR(INDEX(醫師週班表!$C$5:$T$44,$CU22,CF$57),""),1+CF$58*2,1),IF(MID(IFERROR(INDEX(醫師週班表!$C$5:$T$44,$CU22,CF$57),""),3,1)="隔",IF(CF$58=0,LEFT(IFERROR(INDEX(醫師週班表!$C$5:$T$44,$CU22,CF$57),""),1),""),IF(MID(IFERROR(INDEX(醫師週班表!$C$5:$T$44,$CU22,CF$57),""),2,1)="(",LEFT(IFERROR(INDEX(醫師週班表!$C$5:$T$44,$CU22,CF$57),""),1),IFERROR(INDEX(醫師週班表!$C$5:$T$44,$CU22,CF$57),"")))))))</f>
        <v/>
      </c>
      <c r="CG22" s="72">
        <f>IF(CG$59="X","",IF(CG$59&lt;&gt;"",CG$59,IF(IFERROR(INDEX(醫師週班表!$C$5:$T$44,$CU22,CG$57),"")=0,"",IF(MID(IFERROR(INDEX(醫師週班表!$C$5:$T$44,$CU22,CG$57),""),2,1)="/",MID(IFERROR(INDEX(醫師週班表!$C$5:$T$44,$CU22,CG$57),""),1+CG$58*2,1),IF(MID(IFERROR(INDEX(醫師週班表!$C$5:$T$44,$CU22,CG$57),""),3,1)="隔",IF(CG$58=0,LEFT(IFERROR(INDEX(醫師週班表!$C$5:$T$44,$CU22,CG$57),""),1),""),IF(MID(IFERROR(INDEX(醫師週班表!$C$5:$T$44,$CU22,CG$57),""),2,1)="(",LEFT(IFERROR(INDEX(醫師週班表!$C$5:$T$44,$CU22,CG$57),""),1),IFERROR(INDEX(醫師週班表!$C$5:$T$44,$CU22,CG$57),"")))))))</f>
        <v/>
      </c>
      <c r="CH22" s="71">
        <f>IF(CH$59="X","",IF(CH$59&lt;&gt;"",CH$59,IF(IFERROR(INDEX(醫師週班表!$C$5:$T$44,$CU22,CH$57),"")=0,"",IF(MID(IFERROR(INDEX(醫師週班表!$C$5:$T$44,$CU22,CH$57),""),2,1)="/",MID(IFERROR(INDEX(醫師週班表!$C$5:$T$44,$CU22,CH$57),""),1+CH$58*2,1),IF(MID(IFERROR(INDEX(醫師週班表!$C$5:$T$44,$CU22,CH$57),""),3,1)="隔",IF(CH$58=0,LEFT(IFERROR(INDEX(醫師週班表!$C$5:$T$44,$CU22,CH$57),""),1),""),IF(MID(IFERROR(INDEX(醫師週班表!$C$5:$T$44,$CU22,CH$57),""),2,1)="(",LEFT(IFERROR(INDEX(醫師週班表!$C$5:$T$44,$CU22,CH$57),""),1),IFERROR(INDEX(醫師週班表!$C$5:$T$44,$CU22,CH$57),"")))))))</f>
        <v/>
      </c>
      <c r="CI22" s="72">
        <f>IF(CI$59="X","",IF(CI$59&lt;&gt;"",CI$59,IF(IFERROR(INDEX(醫師週班表!$C$5:$T$44,$CU22,CI$57),"")=0,"",IF(MID(IFERROR(INDEX(醫師週班表!$C$5:$T$44,$CU22,CI$57),""),2,1)="/",MID(IFERROR(INDEX(醫師週班表!$C$5:$T$44,$CU22,CI$57),""),1+CI$58*2,1),IF(MID(IFERROR(INDEX(醫師週班表!$C$5:$T$44,$CU22,CI$57),""),3,1)="隔",IF(CI$58=0,LEFT(IFERROR(INDEX(醫師週班表!$C$5:$T$44,$CU22,CI$57),""),1),""),IF(MID(IFERROR(INDEX(醫師週班表!$C$5:$T$44,$CU22,CI$57),""),2,1)="(",LEFT(IFERROR(INDEX(醫師週班表!$C$5:$T$44,$CU22,CI$57),""),1),IFERROR(INDEX(醫師週班表!$C$5:$T$44,$CU22,CI$57),"")))))))</f>
        <v/>
      </c>
      <c r="CJ22" s="72">
        <f>IF(CJ$59="X","",IF(CJ$59&lt;&gt;"",CJ$59,IF(IFERROR(INDEX(醫師週班表!$C$5:$T$44,$CU22,CJ$57),"")=0,"",IF(MID(IFERROR(INDEX(醫師週班表!$C$5:$T$44,$CU22,CJ$57),""),2,1)="/",MID(IFERROR(INDEX(醫師週班表!$C$5:$T$44,$CU22,CJ$57),""),1+CJ$58*2,1),IF(MID(IFERROR(INDEX(醫師週班表!$C$5:$T$44,$CU22,CJ$57),""),3,1)="隔",IF(CJ$58=0,LEFT(IFERROR(INDEX(醫師週班表!$C$5:$T$44,$CU22,CJ$57),""),1),""),IF(MID(IFERROR(INDEX(醫師週班表!$C$5:$T$44,$CU22,CJ$57),""),2,1)="(",LEFT(IFERROR(INDEX(醫師週班表!$C$5:$T$44,$CU22,CJ$57),""),1),IFERROR(INDEX(醫師週班表!$C$5:$T$44,$CU22,CJ$57),"")))))))</f>
        <v/>
      </c>
      <c r="CK22" s="71">
        <f>IF(CK$59="X","",IF(CK$59&lt;&gt;"",CK$59,IF(IFERROR(INDEX(醫師週班表!$C$5:$T$44,$CU22,CK$57),"")=0,"",IF(MID(IFERROR(INDEX(醫師週班表!$C$5:$T$44,$CU22,CK$57),""),2,1)="/",MID(IFERROR(INDEX(醫師週班表!$C$5:$T$44,$CU22,CK$57),""),1+CK$58*2,1),IF(MID(IFERROR(INDEX(醫師週班表!$C$5:$T$44,$CU22,CK$57),""),3,1)="隔",IF(CK$58=0,LEFT(IFERROR(INDEX(醫師週班表!$C$5:$T$44,$CU22,CK$57),""),1),""),IF(MID(IFERROR(INDEX(醫師週班表!$C$5:$T$44,$CU22,CK$57),""),2,1)="(",LEFT(IFERROR(INDEX(醫師週班表!$C$5:$T$44,$CU22,CK$57),""),1),IFERROR(INDEX(醫師週班表!$C$5:$T$44,$CU22,CK$57),"")))))))</f>
        <v/>
      </c>
      <c r="CL22" s="72">
        <f>IF(CL$59="X","",IF(CL$59&lt;&gt;"",CL$59,IF(IFERROR(INDEX(醫師週班表!$C$5:$T$44,$CU22,CL$57),"")=0,"",IF(MID(IFERROR(INDEX(醫師週班表!$C$5:$T$44,$CU22,CL$57),""),2,1)="/",MID(IFERROR(INDEX(醫師週班表!$C$5:$T$44,$CU22,CL$57),""),1+CL$58*2,1),IF(MID(IFERROR(INDEX(醫師週班表!$C$5:$T$44,$CU22,CL$57),""),3,1)="隔",IF(CL$58=0,LEFT(IFERROR(INDEX(醫師週班表!$C$5:$T$44,$CU22,CL$57),""),1),""),IF(MID(IFERROR(INDEX(醫師週班表!$C$5:$T$44,$CU22,CL$57),""),2,1)="(",LEFT(IFERROR(INDEX(醫師週班表!$C$5:$T$44,$CU22,CL$57),""),1),IFERROR(INDEX(醫師週班表!$C$5:$T$44,$CU22,CL$57),"")))))))</f>
        <v/>
      </c>
      <c r="CM22" s="72">
        <f>IF(CM$59="X","",IF(CM$59&lt;&gt;"",CM$59,IF(IFERROR(INDEX(醫師週班表!$C$5:$T$44,$CU22,CM$57),"")=0,"",IF(MID(IFERROR(INDEX(醫師週班表!$C$5:$T$44,$CU22,CM$57),""),2,1)="/",MID(IFERROR(INDEX(醫師週班表!$C$5:$T$44,$CU22,CM$57),""),1+CM$58*2,1),IF(MID(IFERROR(INDEX(醫師週班表!$C$5:$T$44,$CU22,CM$57),""),3,1)="隔",IF(CM$58=0,LEFT(IFERROR(INDEX(醫師週班表!$C$5:$T$44,$CU22,CM$57),""),1),""),IF(MID(IFERROR(INDEX(醫師週班表!$C$5:$T$44,$CU22,CM$57),""),2,1)="(",LEFT(IFERROR(INDEX(醫師週班表!$C$5:$T$44,$CU22,CM$57),""),1),IFERROR(INDEX(醫師週班表!$C$5:$T$44,$CU22,CM$57),"")))))))</f>
        <v/>
      </c>
      <c r="CN22" s="71">
        <f>IF(CN$59="X","",IF(CN$59&lt;&gt;"",CN$59,IF(IFERROR(INDEX(醫師週班表!$C$5:$T$44,$CU22,CN$57),"")=0,"",IF(MID(IFERROR(INDEX(醫師週班表!$C$5:$T$44,$CU22,CN$57),""),2,1)="/",MID(IFERROR(INDEX(醫師週班表!$C$5:$T$44,$CU22,CN$57),""),1+CN$58*2,1),IF(MID(IFERROR(INDEX(醫師週班表!$C$5:$T$44,$CU22,CN$57),""),3,1)="隔",IF(CN$58=0,LEFT(IFERROR(INDEX(醫師週班表!$C$5:$T$44,$CU22,CN$57),""),1),""),IF(MID(IFERROR(INDEX(醫師週班表!$C$5:$T$44,$CU22,CN$57),""),2,1)="(",LEFT(IFERROR(INDEX(醫師週班表!$C$5:$T$44,$CU22,CN$57),""),1),IFERROR(INDEX(醫師週班表!$C$5:$T$44,$CU22,CN$57),"")))))))</f>
        <v/>
      </c>
      <c r="CO22" s="72">
        <f>IF(CO$59="X","",IF(CO$59&lt;&gt;"",CO$59,IF(IFERROR(INDEX(醫師週班表!$C$5:$T$44,$CU22,CO$57),"")=0,"",IF(MID(IFERROR(INDEX(醫師週班表!$C$5:$T$44,$CU22,CO$57),""),2,1)="/",MID(IFERROR(INDEX(醫師週班表!$C$5:$T$44,$CU22,CO$57),""),1+CO$58*2,1),IF(MID(IFERROR(INDEX(醫師週班表!$C$5:$T$44,$CU22,CO$57),""),3,1)="隔",IF(CO$58=0,LEFT(IFERROR(INDEX(醫師週班表!$C$5:$T$44,$CU22,CO$57),""),1),""),IF(MID(IFERROR(INDEX(醫師週班表!$C$5:$T$44,$CU22,CO$57),""),2,1)="(",LEFT(IFERROR(INDEX(醫師週班表!$C$5:$T$44,$CU22,CO$57),""),1),IFERROR(INDEX(醫師週班表!$C$5:$T$44,$CU22,CO$57),"")))))))</f>
        <v/>
      </c>
      <c r="CP22" s="72">
        <f>IF(CP$59="X","",IF(CP$59&lt;&gt;"",CP$59,IF(IFERROR(INDEX(醫師週班表!$C$5:$T$44,$CU22,CP$57),"")=0,"",IF(MID(IFERROR(INDEX(醫師週班表!$C$5:$T$44,$CU22,CP$57),""),2,1)="/",MID(IFERROR(INDEX(醫師週班表!$C$5:$T$44,$CU22,CP$57),""),1+CP$58*2,1),IF(MID(IFERROR(INDEX(醫師週班表!$C$5:$T$44,$CU22,CP$57),""),3,1)="隔",IF(CP$58=0,LEFT(IFERROR(INDEX(醫師週班表!$C$5:$T$44,$CU22,CP$57),""),1),""),IF(MID(IFERROR(INDEX(醫師週班表!$C$5:$T$44,$CU22,CP$57),""),2,1)="(",LEFT(IFERROR(INDEX(醫師週班表!$C$5:$T$44,$CU22,CP$57),""),1),IFERROR(INDEX(醫師週班表!$C$5:$T$44,$CU22,CP$57),"")))))))</f>
        <v/>
      </c>
      <c r="CQ22" s="71">
        <f>IF(CQ$59="X","",IF(CQ$59&lt;&gt;"",CQ$59,IF(IFERROR(INDEX(醫師週班表!$C$5:$T$44,$CU22,CQ$57),"")=0,"",IF(MID(IFERROR(INDEX(醫師週班表!$C$5:$T$44,$CU22,CQ$57),""),2,1)="/",MID(IFERROR(INDEX(醫師週班表!$C$5:$T$44,$CU22,CQ$57),""),1+CQ$58*2,1),IF(MID(IFERROR(INDEX(醫師週班表!$C$5:$T$44,$CU22,CQ$57),""),3,1)="隔",IF(CQ$58=0,LEFT(IFERROR(INDEX(醫師週班表!$C$5:$T$44,$CU22,CQ$57),""),1),""),IF(MID(IFERROR(INDEX(醫師週班表!$C$5:$T$44,$CU22,CQ$57),""),2,1)="(",LEFT(IFERROR(INDEX(醫師週班表!$C$5:$T$44,$CU22,CQ$57),""),1),IFERROR(INDEX(醫師週班表!$C$5:$T$44,$CU22,CQ$57),"")))))))</f>
        <v/>
      </c>
      <c r="CR22" s="72">
        <f>IF(CR$59="X","",IF(CR$59&lt;&gt;"",CR$59,IF(IFERROR(INDEX(醫師週班表!$C$5:$T$44,$CU22,CR$57),"")=0,"",IF(MID(IFERROR(INDEX(醫師週班表!$C$5:$T$44,$CU22,CR$57),""),2,1)="/",MID(IFERROR(INDEX(醫師週班表!$C$5:$T$44,$CU22,CR$57),""),1+CR$58*2,1),IF(MID(IFERROR(INDEX(醫師週班表!$C$5:$T$44,$CU22,CR$57),""),3,1)="隔",IF(CR$58=0,LEFT(IFERROR(INDEX(醫師週班表!$C$5:$T$44,$CU22,CR$57),""),1),""),IF(MID(IFERROR(INDEX(醫師週班表!$C$5:$T$44,$CU22,CR$57),""),2,1)="(",LEFT(IFERROR(INDEX(醫師週班表!$C$5:$T$44,$CU22,CR$57),""),1),IFERROR(INDEX(醫師週班表!$C$5:$T$44,$CU22,CR$57),"")))))))</f>
        <v/>
      </c>
      <c r="CS22" s="72">
        <f>IF(CS$59="X","",IF(CS$59&lt;&gt;"",CS$59,IF(IFERROR(INDEX(醫師週班表!$C$5:$T$44,$CU22,CS$57),"")=0,"",IF(MID(IFERROR(INDEX(醫師週班表!$C$5:$T$44,$CU22,CS$57),""),2,1)="/",MID(IFERROR(INDEX(醫師週班表!$C$5:$T$44,$CU22,CS$57),""),1+CS$58*2,1),IF(MID(IFERROR(INDEX(醫師週班表!$C$5:$T$44,$CU22,CS$57),""),3,1)="隔",IF(CS$58=0,LEFT(IFERROR(INDEX(醫師週班表!$C$5:$T$44,$CU22,CS$57),""),1),""),IF(MID(IFERROR(INDEX(醫師週班表!$C$5:$T$44,$CU22,CS$57),""),2,1)="(",LEFT(IFERROR(INDEX(醫師週班表!$C$5:$T$44,$CU22,CS$57),""),1),IFERROR(INDEX(醫師週班表!$C$5:$T$44,$CU22,CS$57),"")))))))</f>
        <v/>
      </c>
      <c r="CU22" s="73">
        <f>IFERROR(MATCH($A22,醫師週班表!$A$5:$A$44,0),0)</f>
        <v/>
      </c>
    </row>
    <row r="23" ht="17" customHeight="1">
      <c r="A23" s="19" t="inlineStr">
        <is>
          <t>D018</t>
        </is>
      </c>
      <c r="B23" s="16" t="inlineStr">
        <is>
          <t>許博諺</t>
        </is>
      </c>
      <c r="C23" s="70" t="inlineStr"/>
      <c r="D23" s="16" t="inlineStr"/>
      <c r="E23" s="71">
        <f>IF(E$59="X","",IF(E$59&lt;&gt;"",E$59,IF(IFERROR(INDEX(醫師週班表!$C$5:$T$44,$CU23,E$57),"")=0,"",IF(MID(IFERROR(INDEX(醫師週班表!$C$5:$T$44,$CU23,E$57),""),2,1)="/",MID(IFERROR(INDEX(醫師週班表!$C$5:$T$44,$CU23,E$57),""),1+E$58*2,1),IF(MID(IFERROR(INDEX(醫師週班表!$C$5:$T$44,$CU23,E$57),""),3,1)="隔",IF(E$58=0,LEFT(IFERROR(INDEX(醫師週班表!$C$5:$T$44,$CU23,E$57),""),1),""),IF(MID(IFERROR(INDEX(醫師週班表!$C$5:$T$44,$CU23,E$57),""),2,1)="(",LEFT(IFERROR(INDEX(醫師週班表!$C$5:$T$44,$CU23,E$57),""),1),IFERROR(INDEX(醫師週班表!$C$5:$T$44,$CU23,E$57),"")))))))</f>
        <v/>
      </c>
      <c r="F23" s="72">
        <f>IF(F$59="X","",IF(F$59&lt;&gt;"",F$59,IF(IFERROR(INDEX(醫師週班表!$C$5:$T$44,$CU23,F$57),"")=0,"",IF(MID(IFERROR(INDEX(醫師週班表!$C$5:$T$44,$CU23,F$57),""),2,1)="/",MID(IFERROR(INDEX(醫師週班表!$C$5:$T$44,$CU23,F$57),""),1+F$58*2,1),IF(MID(IFERROR(INDEX(醫師週班表!$C$5:$T$44,$CU23,F$57),""),3,1)="隔",IF(F$58=0,LEFT(IFERROR(INDEX(醫師週班表!$C$5:$T$44,$CU23,F$57),""),1),""),IF(MID(IFERROR(INDEX(醫師週班表!$C$5:$T$44,$CU23,F$57),""),2,1)="(",LEFT(IFERROR(INDEX(醫師週班表!$C$5:$T$44,$CU23,F$57),""),1),IFERROR(INDEX(醫師週班表!$C$5:$T$44,$CU23,F$57),"")))))))</f>
        <v/>
      </c>
      <c r="G23" s="72">
        <f>IF(G$59="X","",IF(G$59&lt;&gt;"",G$59,IF(IFERROR(INDEX(醫師週班表!$C$5:$T$44,$CU23,G$57),"")=0,"",IF(MID(IFERROR(INDEX(醫師週班表!$C$5:$T$44,$CU23,G$57),""),2,1)="/",MID(IFERROR(INDEX(醫師週班表!$C$5:$T$44,$CU23,G$57),""),1+G$58*2,1),IF(MID(IFERROR(INDEX(醫師週班表!$C$5:$T$44,$CU23,G$57),""),3,1)="隔",IF(G$58=0,LEFT(IFERROR(INDEX(醫師週班表!$C$5:$T$44,$CU23,G$57),""),1),""),IF(MID(IFERROR(INDEX(醫師週班表!$C$5:$T$44,$CU23,G$57),""),2,1)="(",LEFT(IFERROR(INDEX(醫師週班表!$C$5:$T$44,$CU23,G$57),""),1),IFERROR(INDEX(醫師週班表!$C$5:$T$44,$CU23,G$57),"")))))))</f>
        <v/>
      </c>
      <c r="H23" s="71">
        <f>IF(H$59="X","",IF(H$59&lt;&gt;"",H$59,IF(IFERROR(INDEX(醫師週班表!$C$5:$T$44,$CU23,H$57),"")=0,"",IF(MID(IFERROR(INDEX(醫師週班表!$C$5:$T$44,$CU23,H$57),""),2,1)="/",MID(IFERROR(INDEX(醫師週班表!$C$5:$T$44,$CU23,H$57),""),1+H$58*2,1),IF(MID(IFERROR(INDEX(醫師週班表!$C$5:$T$44,$CU23,H$57),""),3,1)="隔",IF(H$58=0,LEFT(IFERROR(INDEX(醫師週班表!$C$5:$T$44,$CU23,H$57),""),1),""),IF(MID(IFERROR(INDEX(醫師週班表!$C$5:$T$44,$CU23,H$57),""),2,1)="(",LEFT(IFERROR(INDEX(醫師週班表!$C$5:$T$44,$CU23,H$57),""),1),IFERROR(INDEX(醫師週班表!$C$5:$T$44,$CU23,H$57),"")))))))</f>
        <v/>
      </c>
      <c r="I23" s="72">
        <f>IF(I$59="X","",IF(I$59&lt;&gt;"",I$59,IF(IFERROR(INDEX(醫師週班表!$C$5:$T$44,$CU23,I$57),"")=0,"",IF(MID(IFERROR(INDEX(醫師週班表!$C$5:$T$44,$CU23,I$57),""),2,1)="/",MID(IFERROR(INDEX(醫師週班表!$C$5:$T$44,$CU23,I$57),""),1+I$58*2,1),IF(MID(IFERROR(INDEX(醫師週班表!$C$5:$T$44,$CU23,I$57),""),3,1)="隔",IF(I$58=0,LEFT(IFERROR(INDEX(醫師週班表!$C$5:$T$44,$CU23,I$57),""),1),""),IF(MID(IFERROR(INDEX(醫師週班表!$C$5:$T$44,$CU23,I$57),""),2,1)="(",LEFT(IFERROR(INDEX(醫師週班表!$C$5:$T$44,$CU23,I$57),""),1),IFERROR(INDEX(醫師週班表!$C$5:$T$44,$CU23,I$57),"")))))))</f>
        <v/>
      </c>
      <c r="J23" s="72">
        <f>IF(J$59="X","",IF(J$59&lt;&gt;"",J$59,IF(IFERROR(INDEX(醫師週班表!$C$5:$T$44,$CU23,J$57),"")=0,"",IF(MID(IFERROR(INDEX(醫師週班表!$C$5:$T$44,$CU23,J$57),""),2,1)="/",MID(IFERROR(INDEX(醫師週班表!$C$5:$T$44,$CU23,J$57),""),1+J$58*2,1),IF(MID(IFERROR(INDEX(醫師週班表!$C$5:$T$44,$CU23,J$57),""),3,1)="隔",IF(J$58=0,LEFT(IFERROR(INDEX(醫師週班表!$C$5:$T$44,$CU23,J$57),""),1),""),IF(MID(IFERROR(INDEX(醫師週班表!$C$5:$T$44,$CU23,J$57),""),2,1)="(",LEFT(IFERROR(INDEX(醫師週班表!$C$5:$T$44,$CU23,J$57),""),1),IFERROR(INDEX(醫師週班表!$C$5:$T$44,$CU23,J$57),"")))))))</f>
        <v/>
      </c>
      <c r="K23" s="71">
        <f>IF(K$59="X","",IF(K$59&lt;&gt;"",K$59,IF(IFERROR(INDEX(醫師週班表!$C$5:$T$44,$CU23,K$57),"")=0,"",IF(MID(IFERROR(INDEX(醫師週班表!$C$5:$T$44,$CU23,K$57),""),2,1)="/",MID(IFERROR(INDEX(醫師週班表!$C$5:$T$44,$CU23,K$57),""),1+K$58*2,1),IF(MID(IFERROR(INDEX(醫師週班表!$C$5:$T$44,$CU23,K$57),""),3,1)="隔",IF(K$58=0,LEFT(IFERROR(INDEX(醫師週班表!$C$5:$T$44,$CU23,K$57),""),1),""),IF(MID(IFERROR(INDEX(醫師週班表!$C$5:$T$44,$CU23,K$57),""),2,1)="(",LEFT(IFERROR(INDEX(醫師週班表!$C$5:$T$44,$CU23,K$57),""),1),IFERROR(INDEX(醫師週班表!$C$5:$T$44,$CU23,K$57),"")))))))</f>
        <v/>
      </c>
      <c r="L23" s="72">
        <f>IF(L$59="X","",IF(L$59&lt;&gt;"",L$59,IF(IFERROR(INDEX(醫師週班表!$C$5:$T$44,$CU23,L$57),"")=0,"",IF(MID(IFERROR(INDEX(醫師週班表!$C$5:$T$44,$CU23,L$57),""),2,1)="/",MID(IFERROR(INDEX(醫師週班表!$C$5:$T$44,$CU23,L$57),""),1+L$58*2,1),IF(MID(IFERROR(INDEX(醫師週班表!$C$5:$T$44,$CU23,L$57),""),3,1)="隔",IF(L$58=0,LEFT(IFERROR(INDEX(醫師週班表!$C$5:$T$44,$CU23,L$57),""),1),""),IF(MID(IFERROR(INDEX(醫師週班表!$C$5:$T$44,$CU23,L$57),""),2,1)="(",LEFT(IFERROR(INDEX(醫師週班表!$C$5:$T$44,$CU23,L$57),""),1),IFERROR(INDEX(醫師週班表!$C$5:$T$44,$CU23,L$57),"")))))))</f>
        <v/>
      </c>
      <c r="M23" s="72">
        <f>IF(M$59="X","",IF(M$59&lt;&gt;"",M$59,IF(IFERROR(INDEX(醫師週班表!$C$5:$T$44,$CU23,M$57),"")=0,"",IF(MID(IFERROR(INDEX(醫師週班表!$C$5:$T$44,$CU23,M$57),""),2,1)="/",MID(IFERROR(INDEX(醫師週班表!$C$5:$T$44,$CU23,M$57),""),1+M$58*2,1),IF(MID(IFERROR(INDEX(醫師週班表!$C$5:$T$44,$CU23,M$57),""),3,1)="隔",IF(M$58=0,LEFT(IFERROR(INDEX(醫師週班表!$C$5:$T$44,$CU23,M$57),""),1),""),IF(MID(IFERROR(INDEX(醫師週班表!$C$5:$T$44,$CU23,M$57),""),2,1)="(",LEFT(IFERROR(INDEX(醫師週班表!$C$5:$T$44,$CU23,M$57),""),1),IFERROR(INDEX(醫師週班表!$C$5:$T$44,$CU23,M$57),"")))))))</f>
        <v/>
      </c>
      <c r="N23" s="71">
        <f>IF(N$59="X","",IF(N$59&lt;&gt;"",N$59,IF(IFERROR(INDEX(醫師週班表!$C$5:$T$44,$CU23,N$57),"")=0,"",IF(MID(IFERROR(INDEX(醫師週班表!$C$5:$T$44,$CU23,N$57),""),2,1)="/",MID(IFERROR(INDEX(醫師週班表!$C$5:$T$44,$CU23,N$57),""),1+N$58*2,1),IF(MID(IFERROR(INDEX(醫師週班表!$C$5:$T$44,$CU23,N$57),""),3,1)="隔",IF(N$58=0,LEFT(IFERROR(INDEX(醫師週班表!$C$5:$T$44,$CU23,N$57),""),1),""),IF(MID(IFERROR(INDEX(醫師週班表!$C$5:$T$44,$CU23,N$57),""),2,1)="(",LEFT(IFERROR(INDEX(醫師週班表!$C$5:$T$44,$CU23,N$57),""),1),IFERROR(INDEX(醫師週班表!$C$5:$T$44,$CU23,N$57),"")))))))</f>
        <v/>
      </c>
      <c r="O23" s="72">
        <f>IF(O$59="X","",IF(O$59&lt;&gt;"",O$59,IF(IFERROR(INDEX(醫師週班表!$C$5:$T$44,$CU23,O$57),"")=0,"",IF(MID(IFERROR(INDEX(醫師週班表!$C$5:$T$44,$CU23,O$57),""),2,1)="/",MID(IFERROR(INDEX(醫師週班表!$C$5:$T$44,$CU23,O$57),""),1+O$58*2,1),IF(MID(IFERROR(INDEX(醫師週班表!$C$5:$T$44,$CU23,O$57),""),3,1)="隔",IF(O$58=0,LEFT(IFERROR(INDEX(醫師週班表!$C$5:$T$44,$CU23,O$57),""),1),""),IF(MID(IFERROR(INDEX(醫師週班表!$C$5:$T$44,$CU23,O$57),""),2,1)="(",LEFT(IFERROR(INDEX(醫師週班表!$C$5:$T$44,$CU23,O$57),""),1),IFERROR(INDEX(醫師週班表!$C$5:$T$44,$CU23,O$57),"")))))))</f>
        <v/>
      </c>
      <c r="P23" s="72">
        <f>IF(P$59="X","",IF(P$59&lt;&gt;"",P$59,IF(IFERROR(INDEX(醫師週班表!$C$5:$T$44,$CU23,P$57),"")=0,"",IF(MID(IFERROR(INDEX(醫師週班表!$C$5:$T$44,$CU23,P$57),""),2,1)="/",MID(IFERROR(INDEX(醫師週班表!$C$5:$T$44,$CU23,P$57),""),1+P$58*2,1),IF(MID(IFERROR(INDEX(醫師週班表!$C$5:$T$44,$CU23,P$57),""),3,1)="隔",IF(P$58=0,LEFT(IFERROR(INDEX(醫師週班表!$C$5:$T$44,$CU23,P$57),""),1),""),IF(MID(IFERROR(INDEX(醫師週班表!$C$5:$T$44,$CU23,P$57),""),2,1)="(",LEFT(IFERROR(INDEX(醫師週班表!$C$5:$T$44,$CU23,P$57),""),1),IFERROR(INDEX(醫師週班表!$C$5:$T$44,$CU23,P$57),"")))))))</f>
        <v/>
      </c>
      <c r="Q23" s="71">
        <f>IF(Q$59="X","",IF(Q$59&lt;&gt;"",Q$59,IF(IFERROR(INDEX(醫師週班表!$C$5:$T$44,$CU23,Q$57),"")=0,"",IF(MID(IFERROR(INDEX(醫師週班表!$C$5:$T$44,$CU23,Q$57),""),2,1)="/",MID(IFERROR(INDEX(醫師週班表!$C$5:$T$44,$CU23,Q$57),""),1+Q$58*2,1),IF(MID(IFERROR(INDEX(醫師週班表!$C$5:$T$44,$CU23,Q$57),""),3,1)="隔",IF(Q$58=0,LEFT(IFERROR(INDEX(醫師週班表!$C$5:$T$44,$CU23,Q$57),""),1),""),IF(MID(IFERROR(INDEX(醫師週班表!$C$5:$T$44,$CU23,Q$57),""),2,1)="(",LEFT(IFERROR(INDEX(醫師週班表!$C$5:$T$44,$CU23,Q$57),""),1),IFERROR(INDEX(醫師週班表!$C$5:$T$44,$CU23,Q$57),"")))))))</f>
        <v/>
      </c>
      <c r="R23" s="72">
        <f>IF(R$59="X","",IF(R$59&lt;&gt;"",R$59,IF(IFERROR(INDEX(醫師週班表!$C$5:$T$44,$CU23,R$57),"")=0,"",IF(MID(IFERROR(INDEX(醫師週班表!$C$5:$T$44,$CU23,R$57),""),2,1)="/",MID(IFERROR(INDEX(醫師週班表!$C$5:$T$44,$CU23,R$57),""),1+R$58*2,1),IF(MID(IFERROR(INDEX(醫師週班表!$C$5:$T$44,$CU23,R$57),""),3,1)="隔",IF(R$58=0,LEFT(IFERROR(INDEX(醫師週班表!$C$5:$T$44,$CU23,R$57),""),1),""),IF(MID(IFERROR(INDEX(醫師週班表!$C$5:$T$44,$CU23,R$57),""),2,1)="(",LEFT(IFERROR(INDEX(醫師週班表!$C$5:$T$44,$CU23,R$57),""),1),IFERROR(INDEX(醫師週班表!$C$5:$T$44,$CU23,R$57),"")))))))</f>
        <v/>
      </c>
      <c r="S23" s="72">
        <f>IF(S$59="X","",IF(S$59&lt;&gt;"",S$59,IF(IFERROR(INDEX(醫師週班表!$C$5:$T$44,$CU23,S$57),"")=0,"",IF(MID(IFERROR(INDEX(醫師週班表!$C$5:$T$44,$CU23,S$57),""),2,1)="/",MID(IFERROR(INDEX(醫師週班表!$C$5:$T$44,$CU23,S$57),""),1+S$58*2,1),IF(MID(IFERROR(INDEX(醫師週班表!$C$5:$T$44,$CU23,S$57),""),3,1)="隔",IF(S$58=0,LEFT(IFERROR(INDEX(醫師週班表!$C$5:$T$44,$CU23,S$57),""),1),""),IF(MID(IFERROR(INDEX(醫師週班表!$C$5:$T$44,$CU23,S$57),""),2,1)="(",LEFT(IFERROR(INDEX(醫師週班表!$C$5:$T$44,$CU23,S$57),""),1),IFERROR(INDEX(醫師週班表!$C$5:$T$44,$CU23,S$57),"")))))))</f>
        <v/>
      </c>
      <c r="T23" s="71">
        <f>IF(T$59="X","",IF(T$59&lt;&gt;"",T$59,IF(IFERROR(INDEX(醫師週班表!$C$5:$T$44,$CU23,T$57),"")=0,"",IF(MID(IFERROR(INDEX(醫師週班表!$C$5:$T$44,$CU23,T$57),""),2,1)="/",MID(IFERROR(INDEX(醫師週班表!$C$5:$T$44,$CU23,T$57),""),1+T$58*2,1),IF(MID(IFERROR(INDEX(醫師週班表!$C$5:$T$44,$CU23,T$57),""),3,1)="隔",IF(T$58=0,LEFT(IFERROR(INDEX(醫師週班表!$C$5:$T$44,$CU23,T$57),""),1),""),IF(MID(IFERROR(INDEX(醫師週班表!$C$5:$T$44,$CU23,T$57),""),2,1)="(",LEFT(IFERROR(INDEX(醫師週班表!$C$5:$T$44,$CU23,T$57),""),1),IFERROR(INDEX(醫師週班表!$C$5:$T$44,$CU23,T$57),"")))))))</f>
        <v/>
      </c>
      <c r="U23" s="72">
        <f>IF(U$59="X","",IF(U$59&lt;&gt;"",U$59,IF(IFERROR(INDEX(醫師週班表!$C$5:$T$44,$CU23,U$57),"")=0,"",IF(MID(IFERROR(INDEX(醫師週班表!$C$5:$T$44,$CU23,U$57),""),2,1)="/",MID(IFERROR(INDEX(醫師週班表!$C$5:$T$44,$CU23,U$57),""),1+U$58*2,1),IF(MID(IFERROR(INDEX(醫師週班表!$C$5:$T$44,$CU23,U$57),""),3,1)="隔",IF(U$58=0,LEFT(IFERROR(INDEX(醫師週班表!$C$5:$T$44,$CU23,U$57),""),1),""),IF(MID(IFERROR(INDEX(醫師週班表!$C$5:$T$44,$CU23,U$57),""),2,1)="(",LEFT(IFERROR(INDEX(醫師週班表!$C$5:$T$44,$CU23,U$57),""),1),IFERROR(INDEX(醫師週班表!$C$5:$T$44,$CU23,U$57),"")))))))</f>
        <v/>
      </c>
      <c r="V23" s="72">
        <f>IF(V$59="X","",IF(V$59&lt;&gt;"",V$59,IF(IFERROR(INDEX(醫師週班表!$C$5:$T$44,$CU23,V$57),"")=0,"",IF(MID(IFERROR(INDEX(醫師週班表!$C$5:$T$44,$CU23,V$57),""),2,1)="/",MID(IFERROR(INDEX(醫師週班表!$C$5:$T$44,$CU23,V$57),""),1+V$58*2,1),IF(MID(IFERROR(INDEX(醫師週班表!$C$5:$T$44,$CU23,V$57),""),3,1)="隔",IF(V$58=0,LEFT(IFERROR(INDEX(醫師週班表!$C$5:$T$44,$CU23,V$57),""),1),""),IF(MID(IFERROR(INDEX(醫師週班表!$C$5:$T$44,$CU23,V$57),""),2,1)="(",LEFT(IFERROR(INDEX(醫師週班表!$C$5:$T$44,$CU23,V$57),""),1),IFERROR(INDEX(醫師週班表!$C$5:$T$44,$CU23,V$57),"")))))))</f>
        <v/>
      </c>
      <c r="W23" s="71">
        <f>IF(W$59="X","",IF(W$59&lt;&gt;"",W$59,IF(IFERROR(INDEX(醫師週班表!$C$5:$T$44,$CU23,W$57),"")=0,"",IF(MID(IFERROR(INDEX(醫師週班表!$C$5:$T$44,$CU23,W$57),""),2,1)="/",MID(IFERROR(INDEX(醫師週班表!$C$5:$T$44,$CU23,W$57),""),1+W$58*2,1),IF(MID(IFERROR(INDEX(醫師週班表!$C$5:$T$44,$CU23,W$57),""),3,1)="隔",IF(W$58=0,LEFT(IFERROR(INDEX(醫師週班表!$C$5:$T$44,$CU23,W$57),""),1),""),IF(MID(IFERROR(INDEX(醫師週班表!$C$5:$T$44,$CU23,W$57),""),2,1)="(",LEFT(IFERROR(INDEX(醫師週班表!$C$5:$T$44,$CU23,W$57),""),1),IFERROR(INDEX(醫師週班表!$C$5:$T$44,$CU23,W$57),"")))))))</f>
        <v/>
      </c>
      <c r="X23" s="72">
        <f>IF(X$59="X","",IF(X$59&lt;&gt;"",X$59,IF(IFERROR(INDEX(醫師週班表!$C$5:$T$44,$CU23,X$57),"")=0,"",IF(MID(IFERROR(INDEX(醫師週班表!$C$5:$T$44,$CU23,X$57),""),2,1)="/",MID(IFERROR(INDEX(醫師週班表!$C$5:$T$44,$CU23,X$57),""),1+X$58*2,1),IF(MID(IFERROR(INDEX(醫師週班表!$C$5:$T$44,$CU23,X$57),""),3,1)="隔",IF(X$58=0,LEFT(IFERROR(INDEX(醫師週班表!$C$5:$T$44,$CU23,X$57),""),1),""),IF(MID(IFERROR(INDEX(醫師週班表!$C$5:$T$44,$CU23,X$57),""),2,1)="(",LEFT(IFERROR(INDEX(醫師週班表!$C$5:$T$44,$CU23,X$57),""),1),IFERROR(INDEX(醫師週班表!$C$5:$T$44,$CU23,X$57),"")))))))</f>
        <v/>
      </c>
      <c r="Y23" s="72">
        <f>IF(Y$59="X","",IF(Y$59&lt;&gt;"",Y$59,IF(IFERROR(INDEX(醫師週班表!$C$5:$T$44,$CU23,Y$57),"")=0,"",IF(MID(IFERROR(INDEX(醫師週班表!$C$5:$T$44,$CU23,Y$57),""),2,1)="/",MID(IFERROR(INDEX(醫師週班表!$C$5:$T$44,$CU23,Y$57),""),1+Y$58*2,1),IF(MID(IFERROR(INDEX(醫師週班表!$C$5:$T$44,$CU23,Y$57),""),3,1)="隔",IF(Y$58=0,LEFT(IFERROR(INDEX(醫師週班表!$C$5:$T$44,$CU23,Y$57),""),1),""),IF(MID(IFERROR(INDEX(醫師週班表!$C$5:$T$44,$CU23,Y$57),""),2,1)="(",LEFT(IFERROR(INDEX(醫師週班表!$C$5:$T$44,$CU23,Y$57),""),1),IFERROR(INDEX(醫師週班表!$C$5:$T$44,$CU23,Y$57),"")))))))</f>
        <v/>
      </c>
      <c r="Z23" s="71">
        <f>IF(Z$59="X","",IF(Z$59&lt;&gt;"",Z$59,IF(IFERROR(INDEX(醫師週班表!$C$5:$T$44,$CU23,Z$57),"")=0,"",IF(MID(IFERROR(INDEX(醫師週班表!$C$5:$T$44,$CU23,Z$57),""),2,1)="/",MID(IFERROR(INDEX(醫師週班表!$C$5:$T$44,$CU23,Z$57),""),1+Z$58*2,1),IF(MID(IFERROR(INDEX(醫師週班表!$C$5:$T$44,$CU23,Z$57),""),3,1)="隔",IF(Z$58=0,LEFT(IFERROR(INDEX(醫師週班表!$C$5:$T$44,$CU23,Z$57),""),1),""),IF(MID(IFERROR(INDEX(醫師週班表!$C$5:$T$44,$CU23,Z$57),""),2,1)="(",LEFT(IFERROR(INDEX(醫師週班表!$C$5:$T$44,$CU23,Z$57),""),1),IFERROR(INDEX(醫師週班表!$C$5:$T$44,$CU23,Z$57),"")))))))</f>
        <v/>
      </c>
      <c r="AA23" s="72">
        <f>IF(AA$59="X","",IF(AA$59&lt;&gt;"",AA$59,IF(IFERROR(INDEX(醫師週班表!$C$5:$T$44,$CU23,AA$57),"")=0,"",IF(MID(IFERROR(INDEX(醫師週班表!$C$5:$T$44,$CU23,AA$57),""),2,1)="/",MID(IFERROR(INDEX(醫師週班表!$C$5:$T$44,$CU23,AA$57),""),1+AA$58*2,1),IF(MID(IFERROR(INDEX(醫師週班表!$C$5:$T$44,$CU23,AA$57),""),3,1)="隔",IF(AA$58=0,LEFT(IFERROR(INDEX(醫師週班表!$C$5:$T$44,$CU23,AA$57),""),1),""),IF(MID(IFERROR(INDEX(醫師週班表!$C$5:$T$44,$CU23,AA$57),""),2,1)="(",LEFT(IFERROR(INDEX(醫師週班表!$C$5:$T$44,$CU23,AA$57),""),1),IFERROR(INDEX(醫師週班表!$C$5:$T$44,$CU23,AA$57),"")))))))</f>
        <v/>
      </c>
      <c r="AB23" s="72">
        <f>IF(AB$59="X","",IF(AB$59&lt;&gt;"",AB$59,IF(IFERROR(INDEX(醫師週班表!$C$5:$T$44,$CU23,AB$57),"")=0,"",IF(MID(IFERROR(INDEX(醫師週班表!$C$5:$T$44,$CU23,AB$57),""),2,1)="/",MID(IFERROR(INDEX(醫師週班表!$C$5:$T$44,$CU23,AB$57),""),1+AB$58*2,1),IF(MID(IFERROR(INDEX(醫師週班表!$C$5:$T$44,$CU23,AB$57),""),3,1)="隔",IF(AB$58=0,LEFT(IFERROR(INDEX(醫師週班表!$C$5:$T$44,$CU23,AB$57),""),1),""),IF(MID(IFERROR(INDEX(醫師週班表!$C$5:$T$44,$CU23,AB$57),""),2,1)="(",LEFT(IFERROR(INDEX(醫師週班表!$C$5:$T$44,$CU23,AB$57),""),1),IFERROR(INDEX(醫師週班表!$C$5:$T$44,$CU23,AB$57),"")))))))</f>
        <v/>
      </c>
      <c r="AC23" s="71">
        <f>IF(AC$59="X","",IF(AC$59&lt;&gt;"",AC$59,IF(IFERROR(INDEX(醫師週班表!$C$5:$T$44,$CU23,AC$57),"")=0,"",IF(MID(IFERROR(INDEX(醫師週班表!$C$5:$T$44,$CU23,AC$57),""),2,1)="/",MID(IFERROR(INDEX(醫師週班表!$C$5:$T$44,$CU23,AC$57),""),1+AC$58*2,1),IF(MID(IFERROR(INDEX(醫師週班表!$C$5:$T$44,$CU23,AC$57),""),3,1)="隔",IF(AC$58=0,LEFT(IFERROR(INDEX(醫師週班表!$C$5:$T$44,$CU23,AC$57),""),1),""),IF(MID(IFERROR(INDEX(醫師週班表!$C$5:$T$44,$CU23,AC$57),""),2,1)="(",LEFT(IFERROR(INDEX(醫師週班表!$C$5:$T$44,$CU23,AC$57),""),1),IFERROR(INDEX(醫師週班表!$C$5:$T$44,$CU23,AC$57),"")))))))</f>
        <v/>
      </c>
      <c r="AD23" s="72">
        <f>IF(AD$59="X","",IF(AD$59&lt;&gt;"",AD$59,IF(IFERROR(INDEX(醫師週班表!$C$5:$T$44,$CU23,AD$57),"")=0,"",IF(MID(IFERROR(INDEX(醫師週班表!$C$5:$T$44,$CU23,AD$57),""),2,1)="/",MID(IFERROR(INDEX(醫師週班表!$C$5:$T$44,$CU23,AD$57),""),1+AD$58*2,1),IF(MID(IFERROR(INDEX(醫師週班表!$C$5:$T$44,$CU23,AD$57),""),3,1)="隔",IF(AD$58=0,LEFT(IFERROR(INDEX(醫師週班表!$C$5:$T$44,$CU23,AD$57),""),1),""),IF(MID(IFERROR(INDEX(醫師週班表!$C$5:$T$44,$CU23,AD$57),""),2,1)="(",LEFT(IFERROR(INDEX(醫師週班表!$C$5:$T$44,$CU23,AD$57),""),1),IFERROR(INDEX(醫師週班表!$C$5:$T$44,$CU23,AD$57),"")))))))</f>
        <v/>
      </c>
      <c r="AE23" s="72">
        <f>IF(AE$59="X","",IF(AE$59&lt;&gt;"",AE$59,IF(IFERROR(INDEX(醫師週班表!$C$5:$T$44,$CU23,AE$57),"")=0,"",IF(MID(IFERROR(INDEX(醫師週班表!$C$5:$T$44,$CU23,AE$57),""),2,1)="/",MID(IFERROR(INDEX(醫師週班表!$C$5:$T$44,$CU23,AE$57),""),1+AE$58*2,1),IF(MID(IFERROR(INDEX(醫師週班表!$C$5:$T$44,$CU23,AE$57),""),3,1)="隔",IF(AE$58=0,LEFT(IFERROR(INDEX(醫師週班表!$C$5:$T$44,$CU23,AE$57),""),1),""),IF(MID(IFERROR(INDEX(醫師週班表!$C$5:$T$44,$CU23,AE$57),""),2,1)="(",LEFT(IFERROR(INDEX(醫師週班表!$C$5:$T$44,$CU23,AE$57),""),1),IFERROR(INDEX(醫師週班表!$C$5:$T$44,$CU23,AE$57),"")))))))</f>
        <v/>
      </c>
      <c r="AF23" s="71">
        <f>IF(AF$59="X","",IF(AF$59&lt;&gt;"",AF$59,IF(IFERROR(INDEX(醫師週班表!$C$5:$T$44,$CU23,AF$57),"")=0,"",IF(MID(IFERROR(INDEX(醫師週班表!$C$5:$T$44,$CU23,AF$57),""),2,1)="/",MID(IFERROR(INDEX(醫師週班表!$C$5:$T$44,$CU23,AF$57),""),1+AF$58*2,1),IF(MID(IFERROR(INDEX(醫師週班表!$C$5:$T$44,$CU23,AF$57),""),3,1)="隔",IF(AF$58=0,LEFT(IFERROR(INDEX(醫師週班表!$C$5:$T$44,$CU23,AF$57),""),1),""),IF(MID(IFERROR(INDEX(醫師週班表!$C$5:$T$44,$CU23,AF$57),""),2,1)="(",LEFT(IFERROR(INDEX(醫師週班表!$C$5:$T$44,$CU23,AF$57),""),1),IFERROR(INDEX(醫師週班表!$C$5:$T$44,$CU23,AF$57),"")))))))</f>
        <v/>
      </c>
      <c r="AG23" s="72">
        <f>IF(AG$59="X","",IF(AG$59&lt;&gt;"",AG$59,IF(IFERROR(INDEX(醫師週班表!$C$5:$T$44,$CU23,AG$57),"")=0,"",IF(MID(IFERROR(INDEX(醫師週班表!$C$5:$T$44,$CU23,AG$57),""),2,1)="/",MID(IFERROR(INDEX(醫師週班表!$C$5:$T$44,$CU23,AG$57),""),1+AG$58*2,1),IF(MID(IFERROR(INDEX(醫師週班表!$C$5:$T$44,$CU23,AG$57),""),3,1)="隔",IF(AG$58=0,LEFT(IFERROR(INDEX(醫師週班表!$C$5:$T$44,$CU23,AG$57),""),1),""),IF(MID(IFERROR(INDEX(醫師週班表!$C$5:$T$44,$CU23,AG$57),""),2,1)="(",LEFT(IFERROR(INDEX(醫師週班表!$C$5:$T$44,$CU23,AG$57),""),1),IFERROR(INDEX(醫師週班表!$C$5:$T$44,$CU23,AG$57),"")))))))</f>
        <v/>
      </c>
      <c r="AH23" s="72">
        <f>IF(AH$59="X","",IF(AH$59&lt;&gt;"",AH$59,IF(IFERROR(INDEX(醫師週班表!$C$5:$T$44,$CU23,AH$57),"")=0,"",IF(MID(IFERROR(INDEX(醫師週班表!$C$5:$T$44,$CU23,AH$57),""),2,1)="/",MID(IFERROR(INDEX(醫師週班表!$C$5:$T$44,$CU23,AH$57),""),1+AH$58*2,1),IF(MID(IFERROR(INDEX(醫師週班表!$C$5:$T$44,$CU23,AH$57),""),3,1)="隔",IF(AH$58=0,LEFT(IFERROR(INDEX(醫師週班表!$C$5:$T$44,$CU23,AH$57),""),1),""),IF(MID(IFERROR(INDEX(醫師週班表!$C$5:$T$44,$CU23,AH$57),""),2,1)="(",LEFT(IFERROR(INDEX(醫師週班表!$C$5:$T$44,$CU23,AH$57),""),1),IFERROR(INDEX(醫師週班表!$C$5:$T$44,$CU23,AH$57),"")))))))</f>
        <v/>
      </c>
      <c r="AI23" s="71">
        <f>IF(AI$59="X","",IF(AI$59&lt;&gt;"",AI$59,IF(IFERROR(INDEX(醫師週班表!$C$5:$T$44,$CU23,AI$57),"")=0,"",IF(MID(IFERROR(INDEX(醫師週班表!$C$5:$T$44,$CU23,AI$57),""),2,1)="/",MID(IFERROR(INDEX(醫師週班表!$C$5:$T$44,$CU23,AI$57),""),1+AI$58*2,1),IF(MID(IFERROR(INDEX(醫師週班表!$C$5:$T$44,$CU23,AI$57),""),3,1)="隔",IF(AI$58=0,LEFT(IFERROR(INDEX(醫師週班表!$C$5:$T$44,$CU23,AI$57),""),1),""),IF(MID(IFERROR(INDEX(醫師週班表!$C$5:$T$44,$CU23,AI$57),""),2,1)="(",LEFT(IFERROR(INDEX(醫師週班表!$C$5:$T$44,$CU23,AI$57),""),1),IFERROR(INDEX(醫師週班表!$C$5:$T$44,$CU23,AI$57),"")))))))</f>
        <v/>
      </c>
      <c r="AJ23" s="72">
        <f>IF(AJ$59="X","",IF(AJ$59&lt;&gt;"",AJ$59,IF(IFERROR(INDEX(醫師週班表!$C$5:$T$44,$CU23,AJ$57),"")=0,"",IF(MID(IFERROR(INDEX(醫師週班表!$C$5:$T$44,$CU23,AJ$57),""),2,1)="/",MID(IFERROR(INDEX(醫師週班表!$C$5:$T$44,$CU23,AJ$57),""),1+AJ$58*2,1),IF(MID(IFERROR(INDEX(醫師週班表!$C$5:$T$44,$CU23,AJ$57),""),3,1)="隔",IF(AJ$58=0,LEFT(IFERROR(INDEX(醫師週班表!$C$5:$T$44,$CU23,AJ$57),""),1),""),IF(MID(IFERROR(INDEX(醫師週班表!$C$5:$T$44,$CU23,AJ$57),""),2,1)="(",LEFT(IFERROR(INDEX(醫師週班表!$C$5:$T$44,$CU23,AJ$57),""),1),IFERROR(INDEX(醫師週班表!$C$5:$T$44,$CU23,AJ$57),"")))))))</f>
        <v/>
      </c>
      <c r="AK23" s="72">
        <f>IF(AK$59="X","",IF(AK$59&lt;&gt;"",AK$59,IF(IFERROR(INDEX(醫師週班表!$C$5:$T$44,$CU23,AK$57),"")=0,"",IF(MID(IFERROR(INDEX(醫師週班表!$C$5:$T$44,$CU23,AK$57),""),2,1)="/",MID(IFERROR(INDEX(醫師週班表!$C$5:$T$44,$CU23,AK$57),""),1+AK$58*2,1),IF(MID(IFERROR(INDEX(醫師週班表!$C$5:$T$44,$CU23,AK$57),""),3,1)="隔",IF(AK$58=0,LEFT(IFERROR(INDEX(醫師週班表!$C$5:$T$44,$CU23,AK$57),""),1),""),IF(MID(IFERROR(INDEX(醫師週班表!$C$5:$T$44,$CU23,AK$57),""),2,1)="(",LEFT(IFERROR(INDEX(醫師週班表!$C$5:$T$44,$CU23,AK$57),""),1),IFERROR(INDEX(醫師週班表!$C$5:$T$44,$CU23,AK$57),"")))))))</f>
        <v/>
      </c>
      <c r="AL23" s="71">
        <f>IF(AL$59="X","",IF(AL$59&lt;&gt;"",AL$59,IF(IFERROR(INDEX(醫師週班表!$C$5:$T$44,$CU23,AL$57),"")=0,"",IF(MID(IFERROR(INDEX(醫師週班表!$C$5:$T$44,$CU23,AL$57),""),2,1)="/",MID(IFERROR(INDEX(醫師週班表!$C$5:$T$44,$CU23,AL$57),""),1+AL$58*2,1),IF(MID(IFERROR(INDEX(醫師週班表!$C$5:$T$44,$CU23,AL$57),""),3,1)="隔",IF(AL$58=0,LEFT(IFERROR(INDEX(醫師週班表!$C$5:$T$44,$CU23,AL$57),""),1),""),IF(MID(IFERROR(INDEX(醫師週班表!$C$5:$T$44,$CU23,AL$57),""),2,1)="(",LEFT(IFERROR(INDEX(醫師週班表!$C$5:$T$44,$CU23,AL$57),""),1),IFERROR(INDEX(醫師週班表!$C$5:$T$44,$CU23,AL$57),"")))))))</f>
        <v/>
      </c>
      <c r="AM23" s="72">
        <f>IF(AM$59="X","",IF(AM$59&lt;&gt;"",AM$59,IF(IFERROR(INDEX(醫師週班表!$C$5:$T$44,$CU23,AM$57),"")=0,"",IF(MID(IFERROR(INDEX(醫師週班表!$C$5:$T$44,$CU23,AM$57),""),2,1)="/",MID(IFERROR(INDEX(醫師週班表!$C$5:$T$44,$CU23,AM$57),""),1+AM$58*2,1),IF(MID(IFERROR(INDEX(醫師週班表!$C$5:$T$44,$CU23,AM$57),""),3,1)="隔",IF(AM$58=0,LEFT(IFERROR(INDEX(醫師週班表!$C$5:$T$44,$CU23,AM$57),""),1),""),IF(MID(IFERROR(INDEX(醫師週班表!$C$5:$T$44,$CU23,AM$57),""),2,1)="(",LEFT(IFERROR(INDEX(醫師週班表!$C$5:$T$44,$CU23,AM$57),""),1),IFERROR(INDEX(醫師週班表!$C$5:$T$44,$CU23,AM$57),"")))))))</f>
        <v/>
      </c>
      <c r="AN23" s="72">
        <f>IF(AN$59="X","",IF(AN$59&lt;&gt;"",AN$59,IF(IFERROR(INDEX(醫師週班表!$C$5:$T$44,$CU23,AN$57),"")=0,"",IF(MID(IFERROR(INDEX(醫師週班表!$C$5:$T$44,$CU23,AN$57),""),2,1)="/",MID(IFERROR(INDEX(醫師週班表!$C$5:$T$44,$CU23,AN$57),""),1+AN$58*2,1),IF(MID(IFERROR(INDEX(醫師週班表!$C$5:$T$44,$CU23,AN$57),""),3,1)="隔",IF(AN$58=0,LEFT(IFERROR(INDEX(醫師週班表!$C$5:$T$44,$CU23,AN$57),""),1),""),IF(MID(IFERROR(INDEX(醫師週班表!$C$5:$T$44,$CU23,AN$57),""),2,1)="(",LEFT(IFERROR(INDEX(醫師週班表!$C$5:$T$44,$CU23,AN$57),""),1),IFERROR(INDEX(醫師週班表!$C$5:$T$44,$CU23,AN$57),"")))))))</f>
        <v/>
      </c>
      <c r="AO23" s="71">
        <f>IF(AO$59="X","",IF(AO$59&lt;&gt;"",AO$59,IF(IFERROR(INDEX(醫師週班表!$C$5:$T$44,$CU23,AO$57),"")=0,"",IF(MID(IFERROR(INDEX(醫師週班表!$C$5:$T$44,$CU23,AO$57),""),2,1)="/",MID(IFERROR(INDEX(醫師週班表!$C$5:$T$44,$CU23,AO$57),""),1+AO$58*2,1),IF(MID(IFERROR(INDEX(醫師週班表!$C$5:$T$44,$CU23,AO$57),""),3,1)="隔",IF(AO$58=0,LEFT(IFERROR(INDEX(醫師週班表!$C$5:$T$44,$CU23,AO$57),""),1),""),IF(MID(IFERROR(INDEX(醫師週班表!$C$5:$T$44,$CU23,AO$57),""),2,1)="(",LEFT(IFERROR(INDEX(醫師週班表!$C$5:$T$44,$CU23,AO$57),""),1),IFERROR(INDEX(醫師週班表!$C$5:$T$44,$CU23,AO$57),"")))))))</f>
        <v/>
      </c>
      <c r="AP23" s="72">
        <f>IF(AP$59="X","",IF(AP$59&lt;&gt;"",AP$59,IF(IFERROR(INDEX(醫師週班表!$C$5:$T$44,$CU23,AP$57),"")=0,"",IF(MID(IFERROR(INDEX(醫師週班表!$C$5:$T$44,$CU23,AP$57),""),2,1)="/",MID(IFERROR(INDEX(醫師週班表!$C$5:$T$44,$CU23,AP$57),""),1+AP$58*2,1),IF(MID(IFERROR(INDEX(醫師週班表!$C$5:$T$44,$CU23,AP$57),""),3,1)="隔",IF(AP$58=0,LEFT(IFERROR(INDEX(醫師週班表!$C$5:$T$44,$CU23,AP$57),""),1),""),IF(MID(IFERROR(INDEX(醫師週班表!$C$5:$T$44,$CU23,AP$57),""),2,1)="(",LEFT(IFERROR(INDEX(醫師週班表!$C$5:$T$44,$CU23,AP$57),""),1),IFERROR(INDEX(醫師週班表!$C$5:$T$44,$CU23,AP$57),"")))))))</f>
        <v/>
      </c>
      <c r="AQ23" s="72">
        <f>IF(AQ$59="X","",IF(AQ$59&lt;&gt;"",AQ$59,IF(IFERROR(INDEX(醫師週班表!$C$5:$T$44,$CU23,AQ$57),"")=0,"",IF(MID(IFERROR(INDEX(醫師週班表!$C$5:$T$44,$CU23,AQ$57),""),2,1)="/",MID(IFERROR(INDEX(醫師週班表!$C$5:$T$44,$CU23,AQ$57),""),1+AQ$58*2,1),IF(MID(IFERROR(INDEX(醫師週班表!$C$5:$T$44,$CU23,AQ$57),""),3,1)="隔",IF(AQ$58=0,LEFT(IFERROR(INDEX(醫師週班表!$C$5:$T$44,$CU23,AQ$57),""),1),""),IF(MID(IFERROR(INDEX(醫師週班表!$C$5:$T$44,$CU23,AQ$57),""),2,1)="(",LEFT(IFERROR(INDEX(醫師週班表!$C$5:$T$44,$CU23,AQ$57),""),1),IFERROR(INDEX(醫師週班表!$C$5:$T$44,$CU23,AQ$57),"")))))))</f>
        <v/>
      </c>
      <c r="AR23" s="71">
        <f>IF(AR$59="X","",IF(AR$59&lt;&gt;"",AR$59,IF(IFERROR(INDEX(醫師週班表!$C$5:$T$44,$CU23,AR$57),"")=0,"",IF(MID(IFERROR(INDEX(醫師週班表!$C$5:$T$44,$CU23,AR$57),""),2,1)="/",MID(IFERROR(INDEX(醫師週班表!$C$5:$T$44,$CU23,AR$57),""),1+AR$58*2,1),IF(MID(IFERROR(INDEX(醫師週班表!$C$5:$T$44,$CU23,AR$57),""),3,1)="隔",IF(AR$58=0,LEFT(IFERROR(INDEX(醫師週班表!$C$5:$T$44,$CU23,AR$57),""),1),""),IF(MID(IFERROR(INDEX(醫師週班表!$C$5:$T$44,$CU23,AR$57),""),2,1)="(",LEFT(IFERROR(INDEX(醫師週班表!$C$5:$T$44,$CU23,AR$57),""),1),IFERROR(INDEX(醫師週班表!$C$5:$T$44,$CU23,AR$57),"")))))))</f>
        <v/>
      </c>
      <c r="AS23" s="72">
        <f>IF(AS$59="X","",IF(AS$59&lt;&gt;"",AS$59,IF(IFERROR(INDEX(醫師週班表!$C$5:$T$44,$CU23,AS$57),"")=0,"",IF(MID(IFERROR(INDEX(醫師週班表!$C$5:$T$44,$CU23,AS$57),""),2,1)="/",MID(IFERROR(INDEX(醫師週班表!$C$5:$T$44,$CU23,AS$57),""),1+AS$58*2,1),IF(MID(IFERROR(INDEX(醫師週班表!$C$5:$T$44,$CU23,AS$57),""),3,1)="隔",IF(AS$58=0,LEFT(IFERROR(INDEX(醫師週班表!$C$5:$T$44,$CU23,AS$57),""),1),""),IF(MID(IFERROR(INDEX(醫師週班表!$C$5:$T$44,$CU23,AS$57),""),2,1)="(",LEFT(IFERROR(INDEX(醫師週班表!$C$5:$T$44,$CU23,AS$57),""),1),IFERROR(INDEX(醫師週班表!$C$5:$T$44,$CU23,AS$57),"")))))))</f>
        <v/>
      </c>
      <c r="AT23" s="72">
        <f>IF(AT$59="X","",IF(AT$59&lt;&gt;"",AT$59,IF(IFERROR(INDEX(醫師週班表!$C$5:$T$44,$CU23,AT$57),"")=0,"",IF(MID(IFERROR(INDEX(醫師週班表!$C$5:$T$44,$CU23,AT$57),""),2,1)="/",MID(IFERROR(INDEX(醫師週班表!$C$5:$T$44,$CU23,AT$57),""),1+AT$58*2,1),IF(MID(IFERROR(INDEX(醫師週班表!$C$5:$T$44,$CU23,AT$57),""),3,1)="隔",IF(AT$58=0,LEFT(IFERROR(INDEX(醫師週班表!$C$5:$T$44,$CU23,AT$57),""),1),""),IF(MID(IFERROR(INDEX(醫師週班表!$C$5:$T$44,$CU23,AT$57),""),2,1)="(",LEFT(IFERROR(INDEX(醫師週班表!$C$5:$T$44,$CU23,AT$57),""),1),IFERROR(INDEX(醫師週班表!$C$5:$T$44,$CU23,AT$57),"")))))))</f>
        <v/>
      </c>
      <c r="AU23" s="71">
        <f>IF(AU$59="X","",IF(AU$59&lt;&gt;"",AU$59,IF(IFERROR(INDEX(醫師週班表!$C$5:$T$44,$CU23,AU$57),"")=0,"",IF(MID(IFERROR(INDEX(醫師週班表!$C$5:$T$44,$CU23,AU$57),""),2,1)="/",MID(IFERROR(INDEX(醫師週班表!$C$5:$T$44,$CU23,AU$57),""),1+AU$58*2,1),IF(MID(IFERROR(INDEX(醫師週班表!$C$5:$T$44,$CU23,AU$57),""),3,1)="隔",IF(AU$58=0,LEFT(IFERROR(INDEX(醫師週班表!$C$5:$T$44,$CU23,AU$57),""),1),""),IF(MID(IFERROR(INDEX(醫師週班表!$C$5:$T$44,$CU23,AU$57),""),2,1)="(",LEFT(IFERROR(INDEX(醫師週班表!$C$5:$T$44,$CU23,AU$57),""),1),IFERROR(INDEX(醫師週班表!$C$5:$T$44,$CU23,AU$57),"")))))))</f>
        <v/>
      </c>
      <c r="AV23" s="72">
        <f>IF(AV$59="X","",IF(AV$59&lt;&gt;"",AV$59,IF(IFERROR(INDEX(醫師週班表!$C$5:$T$44,$CU23,AV$57),"")=0,"",IF(MID(IFERROR(INDEX(醫師週班表!$C$5:$T$44,$CU23,AV$57),""),2,1)="/",MID(IFERROR(INDEX(醫師週班表!$C$5:$T$44,$CU23,AV$57),""),1+AV$58*2,1),IF(MID(IFERROR(INDEX(醫師週班表!$C$5:$T$44,$CU23,AV$57),""),3,1)="隔",IF(AV$58=0,LEFT(IFERROR(INDEX(醫師週班表!$C$5:$T$44,$CU23,AV$57),""),1),""),IF(MID(IFERROR(INDEX(醫師週班表!$C$5:$T$44,$CU23,AV$57),""),2,1)="(",LEFT(IFERROR(INDEX(醫師週班表!$C$5:$T$44,$CU23,AV$57),""),1),IFERROR(INDEX(醫師週班表!$C$5:$T$44,$CU23,AV$57),"")))))))</f>
        <v/>
      </c>
      <c r="AW23" s="72">
        <f>IF(AW$59="X","",IF(AW$59&lt;&gt;"",AW$59,IF(IFERROR(INDEX(醫師週班表!$C$5:$T$44,$CU23,AW$57),"")=0,"",IF(MID(IFERROR(INDEX(醫師週班表!$C$5:$T$44,$CU23,AW$57),""),2,1)="/",MID(IFERROR(INDEX(醫師週班表!$C$5:$T$44,$CU23,AW$57),""),1+AW$58*2,1),IF(MID(IFERROR(INDEX(醫師週班表!$C$5:$T$44,$CU23,AW$57),""),3,1)="隔",IF(AW$58=0,LEFT(IFERROR(INDEX(醫師週班表!$C$5:$T$44,$CU23,AW$57),""),1),""),IF(MID(IFERROR(INDEX(醫師週班表!$C$5:$T$44,$CU23,AW$57),""),2,1)="(",LEFT(IFERROR(INDEX(醫師週班表!$C$5:$T$44,$CU23,AW$57),""),1),IFERROR(INDEX(醫師週班表!$C$5:$T$44,$CU23,AW$57),"")))))))</f>
        <v/>
      </c>
      <c r="AX23" s="71">
        <f>IF(AX$59="X","",IF(AX$59&lt;&gt;"",AX$59,IF(IFERROR(INDEX(醫師週班表!$C$5:$T$44,$CU23,AX$57),"")=0,"",IF(MID(IFERROR(INDEX(醫師週班表!$C$5:$T$44,$CU23,AX$57),""),2,1)="/",MID(IFERROR(INDEX(醫師週班表!$C$5:$T$44,$CU23,AX$57),""),1+AX$58*2,1),IF(MID(IFERROR(INDEX(醫師週班表!$C$5:$T$44,$CU23,AX$57),""),3,1)="隔",IF(AX$58=0,LEFT(IFERROR(INDEX(醫師週班表!$C$5:$T$44,$CU23,AX$57),""),1),""),IF(MID(IFERROR(INDEX(醫師週班表!$C$5:$T$44,$CU23,AX$57),""),2,1)="(",LEFT(IFERROR(INDEX(醫師週班表!$C$5:$T$44,$CU23,AX$57),""),1),IFERROR(INDEX(醫師週班表!$C$5:$T$44,$CU23,AX$57),"")))))))</f>
        <v/>
      </c>
      <c r="AY23" s="72">
        <f>IF(AY$59="X","",IF(AY$59&lt;&gt;"",AY$59,IF(IFERROR(INDEX(醫師週班表!$C$5:$T$44,$CU23,AY$57),"")=0,"",IF(MID(IFERROR(INDEX(醫師週班表!$C$5:$T$44,$CU23,AY$57),""),2,1)="/",MID(IFERROR(INDEX(醫師週班表!$C$5:$T$44,$CU23,AY$57),""),1+AY$58*2,1),IF(MID(IFERROR(INDEX(醫師週班表!$C$5:$T$44,$CU23,AY$57),""),3,1)="隔",IF(AY$58=0,LEFT(IFERROR(INDEX(醫師週班表!$C$5:$T$44,$CU23,AY$57),""),1),""),IF(MID(IFERROR(INDEX(醫師週班表!$C$5:$T$44,$CU23,AY$57),""),2,1)="(",LEFT(IFERROR(INDEX(醫師週班表!$C$5:$T$44,$CU23,AY$57),""),1),IFERROR(INDEX(醫師週班表!$C$5:$T$44,$CU23,AY$57),"")))))))</f>
        <v/>
      </c>
      <c r="AZ23" s="72">
        <f>IF(AZ$59="X","",IF(AZ$59&lt;&gt;"",AZ$59,IF(IFERROR(INDEX(醫師週班表!$C$5:$T$44,$CU23,AZ$57),"")=0,"",IF(MID(IFERROR(INDEX(醫師週班表!$C$5:$T$44,$CU23,AZ$57),""),2,1)="/",MID(IFERROR(INDEX(醫師週班表!$C$5:$T$44,$CU23,AZ$57),""),1+AZ$58*2,1),IF(MID(IFERROR(INDEX(醫師週班表!$C$5:$T$44,$CU23,AZ$57),""),3,1)="隔",IF(AZ$58=0,LEFT(IFERROR(INDEX(醫師週班表!$C$5:$T$44,$CU23,AZ$57),""),1),""),IF(MID(IFERROR(INDEX(醫師週班表!$C$5:$T$44,$CU23,AZ$57),""),2,1)="(",LEFT(IFERROR(INDEX(醫師週班表!$C$5:$T$44,$CU23,AZ$57),""),1),IFERROR(INDEX(醫師週班表!$C$5:$T$44,$CU23,AZ$57),"")))))))</f>
        <v/>
      </c>
      <c r="BA23" s="71">
        <f>IF(BA$59="X","",IF(BA$59&lt;&gt;"",BA$59,IF(IFERROR(INDEX(醫師週班表!$C$5:$T$44,$CU23,BA$57),"")=0,"",IF(MID(IFERROR(INDEX(醫師週班表!$C$5:$T$44,$CU23,BA$57),""),2,1)="/",MID(IFERROR(INDEX(醫師週班表!$C$5:$T$44,$CU23,BA$57),""),1+BA$58*2,1),IF(MID(IFERROR(INDEX(醫師週班表!$C$5:$T$44,$CU23,BA$57),""),3,1)="隔",IF(BA$58=0,LEFT(IFERROR(INDEX(醫師週班表!$C$5:$T$44,$CU23,BA$57),""),1),""),IF(MID(IFERROR(INDEX(醫師週班表!$C$5:$T$44,$CU23,BA$57),""),2,1)="(",LEFT(IFERROR(INDEX(醫師週班表!$C$5:$T$44,$CU23,BA$57),""),1),IFERROR(INDEX(醫師週班表!$C$5:$T$44,$CU23,BA$57),"")))))))</f>
        <v/>
      </c>
      <c r="BB23" s="72">
        <f>IF(BB$59="X","",IF(BB$59&lt;&gt;"",BB$59,IF(IFERROR(INDEX(醫師週班表!$C$5:$T$44,$CU23,BB$57),"")=0,"",IF(MID(IFERROR(INDEX(醫師週班表!$C$5:$T$44,$CU23,BB$57),""),2,1)="/",MID(IFERROR(INDEX(醫師週班表!$C$5:$T$44,$CU23,BB$57),""),1+BB$58*2,1),IF(MID(IFERROR(INDEX(醫師週班表!$C$5:$T$44,$CU23,BB$57),""),3,1)="隔",IF(BB$58=0,LEFT(IFERROR(INDEX(醫師週班表!$C$5:$T$44,$CU23,BB$57),""),1),""),IF(MID(IFERROR(INDEX(醫師週班表!$C$5:$T$44,$CU23,BB$57),""),2,1)="(",LEFT(IFERROR(INDEX(醫師週班表!$C$5:$T$44,$CU23,BB$57),""),1),IFERROR(INDEX(醫師週班表!$C$5:$T$44,$CU23,BB$57),"")))))))</f>
        <v/>
      </c>
      <c r="BC23" s="72">
        <f>IF(BC$59="X","",IF(BC$59&lt;&gt;"",BC$59,IF(IFERROR(INDEX(醫師週班表!$C$5:$T$44,$CU23,BC$57),"")=0,"",IF(MID(IFERROR(INDEX(醫師週班表!$C$5:$T$44,$CU23,BC$57),""),2,1)="/",MID(IFERROR(INDEX(醫師週班表!$C$5:$T$44,$CU23,BC$57),""),1+BC$58*2,1),IF(MID(IFERROR(INDEX(醫師週班表!$C$5:$T$44,$CU23,BC$57),""),3,1)="隔",IF(BC$58=0,LEFT(IFERROR(INDEX(醫師週班表!$C$5:$T$44,$CU23,BC$57),""),1),""),IF(MID(IFERROR(INDEX(醫師週班表!$C$5:$T$44,$CU23,BC$57),""),2,1)="(",LEFT(IFERROR(INDEX(醫師週班表!$C$5:$T$44,$CU23,BC$57),""),1),IFERROR(INDEX(醫師週班表!$C$5:$T$44,$CU23,BC$57),"")))))))</f>
        <v/>
      </c>
      <c r="BD23" s="71">
        <f>IF(BD$59="X","",IF(BD$59&lt;&gt;"",BD$59,IF(IFERROR(INDEX(醫師週班表!$C$5:$T$44,$CU23,BD$57),"")=0,"",IF(MID(IFERROR(INDEX(醫師週班表!$C$5:$T$44,$CU23,BD$57),""),2,1)="/",MID(IFERROR(INDEX(醫師週班表!$C$5:$T$44,$CU23,BD$57),""),1+BD$58*2,1),IF(MID(IFERROR(INDEX(醫師週班表!$C$5:$T$44,$CU23,BD$57),""),3,1)="隔",IF(BD$58=0,LEFT(IFERROR(INDEX(醫師週班表!$C$5:$T$44,$CU23,BD$57),""),1),""),IF(MID(IFERROR(INDEX(醫師週班表!$C$5:$T$44,$CU23,BD$57),""),2,1)="(",LEFT(IFERROR(INDEX(醫師週班表!$C$5:$T$44,$CU23,BD$57),""),1),IFERROR(INDEX(醫師週班表!$C$5:$T$44,$CU23,BD$57),"")))))))</f>
        <v/>
      </c>
      <c r="BE23" s="72">
        <f>IF(BE$59="X","",IF(BE$59&lt;&gt;"",BE$59,IF(IFERROR(INDEX(醫師週班表!$C$5:$T$44,$CU23,BE$57),"")=0,"",IF(MID(IFERROR(INDEX(醫師週班表!$C$5:$T$44,$CU23,BE$57),""),2,1)="/",MID(IFERROR(INDEX(醫師週班表!$C$5:$T$44,$CU23,BE$57),""),1+BE$58*2,1),IF(MID(IFERROR(INDEX(醫師週班表!$C$5:$T$44,$CU23,BE$57),""),3,1)="隔",IF(BE$58=0,LEFT(IFERROR(INDEX(醫師週班表!$C$5:$T$44,$CU23,BE$57),""),1),""),IF(MID(IFERROR(INDEX(醫師週班表!$C$5:$T$44,$CU23,BE$57),""),2,1)="(",LEFT(IFERROR(INDEX(醫師週班表!$C$5:$T$44,$CU23,BE$57),""),1),IFERROR(INDEX(醫師週班表!$C$5:$T$44,$CU23,BE$57),"")))))))</f>
        <v/>
      </c>
      <c r="BF23" s="72">
        <f>IF(BF$59="X","",IF(BF$59&lt;&gt;"",BF$59,IF(IFERROR(INDEX(醫師週班表!$C$5:$T$44,$CU23,BF$57),"")=0,"",IF(MID(IFERROR(INDEX(醫師週班表!$C$5:$T$44,$CU23,BF$57),""),2,1)="/",MID(IFERROR(INDEX(醫師週班表!$C$5:$T$44,$CU23,BF$57),""),1+BF$58*2,1),IF(MID(IFERROR(INDEX(醫師週班表!$C$5:$T$44,$CU23,BF$57),""),3,1)="隔",IF(BF$58=0,LEFT(IFERROR(INDEX(醫師週班表!$C$5:$T$44,$CU23,BF$57),""),1),""),IF(MID(IFERROR(INDEX(醫師週班表!$C$5:$T$44,$CU23,BF$57),""),2,1)="(",LEFT(IFERROR(INDEX(醫師週班表!$C$5:$T$44,$CU23,BF$57),""),1),IFERROR(INDEX(醫師週班表!$C$5:$T$44,$CU23,BF$57),"")))))))</f>
        <v/>
      </c>
      <c r="BG23" s="71">
        <f>IF(BG$59="X","",IF(BG$59&lt;&gt;"",BG$59,IF(IFERROR(INDEX(醫師週班表!$C$5:$T$44,$CU23,BG$57),"")=0,"",IF(MID(IFERROR(INDEX(醫師週班表!$C$5:$T$44,$CU23,BG$57),""),2,1)="/",MID(IFERROR(INDEX(醫師週班表!$C$5:$T$44,$CU23,BG$57),""),1+BG$58*2,1),IF(MID(IFERROR(INDEX(醫師週班表!$C$5:$T$44,$CU23,BG$57),""),3,1)="隔",IF(BG$58=0,LEFT(IFERROR(INDEX(醫師週班表!$C$5:$T$44,$CU23,BG$57),""),1),""),IF(MID(IFERROR(INDEX(醫師週班表!$C$5:$T$44,$CU23,BG$57),""),2,1)="(",LEFT(IFERROR(INDEX(醫師週班表!$C$5:$T$44,$CU23,BG$57),""),1),IFERROR(INDEX(醫師週班表!$C$5:$T$44,$CU23,BG$57),"")))))))</f>
        <v/>
      </c>
      <c r="BH23" s="72">
        <f>IF(BH$59="X","",IF(BH$59&lt;&gt;"",BH$59,IF(IFERROR(INDEX(醫師週班表!$C$5:$T$44,$CU23,BH$57),"")=0,"",IF(MID(IFERROR(INDEX(醫師週班表!$C$5:$T$44,$CU23,BH$57),""),2,1)="/",MID(IFERROR(INDEX(醫師週班表!$C$5:$T$44,$CU23,BH$57),""),1+BH$58*2,1),IF(MID(IFERROR(INDEX(醫師週班表!$C$5:$T$44,$CU23,BH$57),""),3,1)="隔",IF(BH$58=0,LEFT(IFERROR(INDEX(醫師週班表!$C$5:$T$44,$CU23,BH$57),""),1),""),IF(MID(IFERROR(INDEX(醫師週班表!$C$5:$T$44,$CU23,BH$57),""),2,1)="(",LEFT(IFERROR(INDEX(醫師週班表!$C$5:$T$44,$CU23,BH$57),""),1),IFERROR(INDEX(醫師週班表!$C$5:$T$44,$CU23,BH$57),"")))))))</f>
        <v/>
      </c>
      <c r="BI23" s="72">
        <f>IF(BI$59="X","",IF(BI$59&lt;&gt;"",BI$59,IF(IFERROR(INDEX(醫師週班表!$C$5:$T$44,$CU23,BI$57),"")=0,"",IF(MID(IFERROR(INDEX(醫師週班表!$C$5:$T$44,$CU23,BI$57),""),2,1)="/",MID(IFERROR(INDEX(醫師週班表!$C$5:$T$44,$CU23,BI$57),""),1+BI$58*2,1),IF(MID(IFERROR(INDEX(醫師週班表!$C$5:$T$44,$CU23,BI$57),""),3,1)="隔",IF(BI$58=0,LEFT(IFERROR(INDEX(醫師週班表!$C$5:$T$44,$CU23,BI$57),""),1),""),IF(MID(IFERROR(INDEX(醫師週班表!$C$5:$T$44,$CU23,BI$57),""),2,1)="(",LEFT(IFERROR(INDEX(醫師週班表!$C$5:$T$44,$CU23,BI$57),""),1),IFERROR(INDEX(醫師週班表!$C$5:$T$44,$CU23,BI$57),"")))))))</f>
        <v/>
      </c>
      <c r="BJ23" s="71">
        <f>IF(BJ$59="X","",IF(BJ$59&lt;&gt;"",BJ$59,IF(IFERROR(INDEX(醫師週班表!$C$5:$T$44,$CU23,BJ$57),"")=0,"",IF(MID(IFERROR(INDEX(醫師週班表!$C$5:$T$44,$CU23,BJ$57),""),2,1)="/",MID(IFERROR(INDEX(醫師週班表!$C$5:$T$44,$CU23,BJ$57),""),1+BJ$58*2,1),IF(MID(IFERROR(INDEX(醫師週班表!$C$5:$T$44,$CU23,BJ$57),""),3,1)="隔",IF(BJ$58=0,LEFT(IFERROR(INDEX(醫師週班表!$C$5:$T$44,$CU23,BJ$57),""),1),""),IF(MID(IFERROR(INDEX(醫師週班表!$C$5:$T$44,$CU23,BJ$57),""),2,1)="(",LEFT(IFERROR(INDEX(醫師週班表!$C$5:$T$44,$CU23,BJ$57),""),1),IFERROR(INDEX(醫師週班表!$C$5:$T$44,$CU23,BJ$57),"")))))))</f>
        <v/>
      </c>
      <c r="BK23" s="72">
        <f>IF(BK$59="X","",IF(BK$59&lt;&gt;"",BK$59,IF(IFERROR(INDEX(醫師週班表!$C$5:$T$44,$CU23,BK$57),"")=0,"",IF(MID(IFERROR(INDEX(醫師週班表!$C$5:$T$44,$CU23,BK$57),""),2,1)="/",MID(IFERROR(INDEX(醫師週班表!$C$5:$T$44,$CU23,BK$57),""),1+BK$58*2,1),IF(MID(IFERROR(INDEX(醫師週班表!$C$5:$T$44,$CU23,BK$57),""),3,1)="隔",IF(BK$58=0,LEFT(IFERROR(INDEX(醫師週班表!$C$5:$T$44,$CU23,BK$57),""),1),""),IF(MID(IFERROR(INDEX(醫師週班表!$C$5:$T$44,$CU23,BK$57),""),2,1)="(",LEFT(IFERROR(INDEX(醫師週班表!$C$5:$T$44,$CU23,BK$57),""),1),IFERROR(INDEX(醫師週班表!$C$5:$T$44,$CU23,BK$57),"")))))))</f>
        <v/>
      </c>
      <c r="BL23" s="72">
        <f>IF(BL$59="X","",IF(BL$59&lt;&gt;"",BL$59,IF(IFERROR(INDEX(醫師週班表!$C$5:$T$44,$CU23,BL$57),"")=0,"",IF(MID(IFERROR(INDEX(醫師週班表!$C$5:$T$44,$CU23,BL$57),""),2,1)="/",MID(IFERROR(INDEX(醫師週班表!$C$5:$T$44,$CU23,BL$57),""),1+BL$58*2,1),IF(MID(IFERROR(INDEX(醫師週班表!$C$5:$T$44,$CU23,BL$57),""),3,1)="隔",IF(BL$58=0,LEFT(IFERROR(INDEX(醫師週班表!$C$5:$T$44,$CU23,BL$57),""),1),""),IF(MID(IFERROR(INDEX(醫師週班表!$C$5:$T$44,$CU23,BL$57),""),2,1)="(",LEFT(IFERROR(INDEX(醫師週班表!$C$5:$T$44,$CU23,BL$57),""),1),IFERROR(INDEX(醫師週班表!$C$5:$T$44,$CU23,BL$57),"")))))))</f>
        <v/>
      </c>
      <c r="BM23" s="71">
        <f>IF(BM$59="X","",IF(BM$59&lt;&gt;"",BM$59,IF(IFERROR(INDEX(醫師週班表!$C$5:$T$44,$CU23,BM$57),"")=0,"",IF(MID(IFERROR(INDEX(醫師週班表!$C$5:$T$44,$CU23,BM$57),""),2,1)="/",MID(IFERROR(INDEX(醫師週班表!$C$5:$T$44,$CU23,BM$57),""),1+BM$58*2,1),IF(MID(IFERROR(INDEX(醫師週班表!$C$5:$T$44,$CU23,BM$57),""),3,1)="隔",IF(BM$58=0,LEFT(IFERROR(INDEX(醫師週班表!$C$5:$T$44,$CU23,BM$57),""),1),""),IF(MID(IFERROR(INDEX(醫師週班表!$C$5:$T$44,$CU23,BM$57),""),2,1)="(",LEFT(IFERROR(INDEX(醫師週班表!$C$5:$T$44,$CU23,BM$57),""),1),IFERROR(INDEX(醫師週班表!$C$5:$T$44,$CU23,BM$57),"")))))))</f>
        <v/>
      </c>
      <c r="BN23" s="72">
        <f>IF(BN$59="X","",IF(BN$59&lt;&gt;"",BN$59,IF(IFERROR(INDEX(醫師週班表!$C$5:$T$44,$CU23,BN$57),"")=0,"",IF(MID(IFERROR(INDEX(醫師週班表!$C$5:$T$44,$CU23,BN$57),""),2,1)="/",MID(IFERROR(INDEX(醫師週班表!$C$5:$T$44,$CU23,BN$57),""),1+BN$58*2,1),IF(MID(IFERROR(INDEX(醫師週班表!$C$5:$T$44,$CU23,BN$57),""),3,1)="隔",IF(BN$58=0,LEFT(IFERROR(INDEX(醫師週班表!$C$5:$T$44,$CU23,BN$57),""),1),""),IF(MID(IFERROR(INDEX(醫師週班表!$C$5:$T$44,$CU23,BN$57),""),2,1)="(",LEFT(IFERROR(INDEX(醫師週班表!$C$5:$T$44,$CU23,BN$57),""),1),IFERROR(INDEX(醫師週班表!$C$5:$T$44,$CU23,BN$57),"")))))))</f>
        <v/>
      </c>
      <c r="BO23" s="72">
        <f>IF(BO$59="X","",IF(BO$59&lt;&gt;"",BO$59,IF(IFERROR(INDEX(醫師週班表!$C$5:$T$44,$CU23,BO$57),"")=0,"",IF(MID(IFERROR(INDEX(醫師週班表!$C$5:$T$44,$CU23,BO$57),""),2,1)="/",MID(IFERROR(INDEX(醫師週班表!$C$5:$T$44,$CU23,BO$57),""),1+BO$58*2,1),IF(MID(IFERROR(INDEX(醫師週班表!$C$5:$T$44,$CU23,BO$57),""),3,1)="隔",IF(BO$58=0,LEFT(IFERROR(INDEX(醫師週班表!$C$5:$T$44,$CU23,BO$57),""),1),""),IF(MID(IFERROR(INDEX(醫師週班表!$C$5:$T$44,$CU23,BO$57),""),2,1)="(",LEFT(IFERROR(INDEX(醫師週班表!$C$5:$T$44,$CU23,BO$57),""),1),IFERROR(INDEX(醫師週班表!$C$5:$T$44,$CU23,BO$57),"")))))))</f>
        <v/>
      </c>
      <c r="BP23" s="71">
        <f>IF(BP$59="X","",IF(BP$59&lt;&gt;"",BP$59,IF(IFERROR(INDEX(醫師週班表!$C$5:$T$44,$CU23,BP$57),"")=0,"",IF(MID(IFERROR(INDEX(醫師週班表!$C$5:$T$44,$CU23,BP$57),""),2,1)="/",MID(IFERROR(INDEX(醫師週班表!$C$5:$T$44,$CU23,BP$57),""),1+BP$58*2,1),IF(MID(IFERROR(INDEX(醫師週班表!$C$5:$T$44,$CU23,BP$57),""),3,1)="隔",IF(BP$58=0,LEFT(IFERROR(INDEX(醫師週班表!$C$5:$T$44,$CU23,BP$57),""),1),""),IF(MID(IFERROR(INDEX(醫師週班表!$C$5:$T$44,$CU23,BP$57),""),2,1)="(",LEFT(IFERROR(INDEX(醫師週班表!$C$5:$T$44,$CU23,BP$57),""),1),IFERROR(INDEX(醫師週班表!$C$5:$T$44,$CU23,BP$57),"")))))))</f>
        <v/>
      </c>
      <c r="BQ23" s="72">
        <f>IF(BQ$59="X","",IF(BQ$59&lt;&gt;"",BQ$59,IF(IFERROR(INDEX(醫師週班表!$C$5:$T$44,$CU23,BQ$57),"")=0,"",IF(MID(IFERROR(INDEX(醫師週班表!$C$5:$T$44,$CU23,BQ$57),""),2,1)="/",MID(IFERROR(INDEX(醫師週班表!$C$5:$T$44,$CU23,BQ$57),""),1+BQ$58*2,1),IF(MID(IFERROR(INDEX(醫師週班表!$C$5:$T$44,$CU23,BQ$57),""),3,1)="隔",IF(BQ$58=0,LEFT(IFERROR(INDEX(醫師週班表!$C$5:$T$44,$CU23,BQ$57),""),1),""),IF(MID(IFERROR(INDEX(醫師週班表!$C$5:$T$44,$CU23,BQ$57),""),2,1)="(",LEFT(IFERROR(INDEX(醫師週班表!$C$5:$T$44,$CU23,BQ$57),""),1),IFERROR(INDEX(醫師週班表!$C$5:$T$44,$CU23,BQ$57),"")))))))</f>
        <v/>
      </c>
      <c r="BR23" s="72">
        <f>IF(BR$59="X","",IF(BR$59&lt;&gt;"",BR$59,IF(IFERROR(INDEX(醫師週班表!$C$5:$T$44,$CU23,BR$57),"")=0,"",IF(MID(IFERROR(INDEX(醫師週班表!$C$5:$T$44,$CU23,BR$57),""),2,1)="/",MID(IFERROR(INDEX(醫師週班表!$C$5:$T$44,$CU23,BR$57),""),1+BR$58*2,1),IF(MID(IFERROR(INDEX(醫師週班表!$C$5:$T$44,$CU23,BR$57),""),3,1)="隔",IF(BR$58=0,LEFT(IFERROR(INDEX(醫師週班表!$C$5:$T$44,$CU23,BR$57),""),1),""),IF(MID(IFERROR(INDEX(醫師週班表!$C$5:$T$44,$CU23,BR$57),""),2,1)="(",LEFT(IFERROR(INDEX(醫師週班表!$C$5:$T$44,$CU23,BR$57),""),1),IFERROR(INDEX(醫師週班表!$C$5:$T$44,$CU23,BR$57),"")))))))</f>
        <v/>
      </c>
      <c r="BS23" s="71">
        <f>IF(BS$59="X","",IF(BS$59&lt;&gt;"",BS$59,IF(IFERROR(INDEX(醫師週班表!$C$5:$T$44,$CU23,BS$57),"")=0,"",IF(MID(IFERROR(INDEX(醫師週班表!$C$5:$T$44,$CU23,BS$57),""),2,1)="/",MID(IFERROR(INDEX(醫師週班表!$C$5:$T$44,$CU23,BS$57),""),1+BS$58*2,1),IF(MID(IFERROR(INDEX(醫師週班表!$C$5:$T$44,$CU23,BS$57),""),3,1)="隔",IF(BS$58=0,LEFT(IFERROR(INDEX(醫師週班表!$C$5:$T$44,$CU23,BS$57),""),1),""),IF(MID(IFERROR(INDEX(醫師週班表!$C$5:$T$44,$CU23,BS$57),""),2,1)="(",LEFT(IFERROR(INDEX(醫師週班表!$C$5:$T$44,$CU23,BS$57),""),1),IFERROR(INDEX(醫師週班表!$C$5:$T$44,$CU23,BS$57),"")))))))</f>
        <v/>
      </c>
      <c r="BT23" s="72">
        <f>IF(BT$59="X","",IF(BT$59&lt;&gt;"",BT$59,IF(IFERROR(INDEX(醫師週班表!$C$5:$T$44,$CU23,BT$57),"")=0,"",IF(MID(IFERROR(INDEX(醫師週班表!$C$5:$T$44,$CU23,BT$57),""),2,1)="/",MID(IFERROR(INDEX(醫師週班表!$C$5:$T$44,$CU23,BT$57),""),1+BT$58*2,1),IF(MID(IFERROR(INDEX(醫師週班表!$C$5:$T$44,$CU23,BT$57),""),3,1)="隔",IF(BT$58=0,LEFT(IFERROR(INDEX(醫師週班表!$C$5:$T$44,$CU23,BT$57),""),1),""),IF(MID(IFERROR(INDEX(醫師週班表!$C$5:$T$44,$CU23,BT$57),""),2,1)="(",LEFT(IFERROR(INDEX(醫師週班表!$C$5:$T$44,$CU23,BT$57),""),1),IFERROR(INDEX(醫師週班表!$C$5:$T$44,$CU23,BT$57),"")))))))</f>
        <v/>
      </c>
      <c r="BU23" s="72">
        <f>IF(BU$59="X","",IF(BU$59&lt;&gt;"",BU$59,IF(IFERROR(INDEX(醫師週班表!$C$5:$T$44,$CU23,BU$57),"")=0,"",IF(MID(IFERROR(INDEX(醫師週班表!$C$5:$T$44,$CU23,BU$57),""),2,1)="/",MID(IFERROR(INDEX(醫師週班表!$C$5:$T$44,$CU23,BU$57),""),1+BU$58*2,1),IF(MID(IFERROR(INDEX(醫師週班表!$C$5:$T$44,$CU23,BU$57),""),3,1)="隔",IF(BU$58=0,LEFT(IFERROR(INDEX(醫師週班表!$C$5:$T$44,$CU23,BU$57),""),1),""),IF(MID(IFERROR(INDEX(醫師週班表!$C$5:$T$44,$CU23,BU$57),""),2,1)="(",LEFT(IFERROR(INDEX(醫師週班表!$C$5:$T$44,$CU23,BU$57),""),1),IFERROR(INDEX(醫師週班表!$C$5:$T$44,$CU23,BU$57),"")))))))</f>
        <v/>
      </c>
      <c r="BV23" s="71">
        <f>IF(BV$59="X","",IF(BV$59&lt;&gt;"",BV$59,IF(IFERROR(INDEX(醫師週班表!$C$5:$T$44,$CU23,BV$57),"")=0,"",IF(MID(IFERROR(INDEX(醫師週班表!$C$5:$T$44,$CU23,BV$57),""),2,1)="/",MID(IFERROR(INDEX(醫師週班表!$C$5:$T$44,$CU23,BV$57),""),1+BV$58*2,1),IF(MID(IFERROR(INDEX(醫師週班表!$C$5:$T$44,$CU23,BV$57),""),3,1)="隔",IF(BV$58=0,LEFT(IFERROR(INDEX(醫師週班表!$C$5:$T$44,$CU23,BV$57),""),1),""),IF(MID(IFERROR(INDEX(醫師週班表!$C$5:$T$44,$CU23,BV$57),""),2,1)="(",LEFT(IFERROR(INDEX(醫師週班表!$C$5:$T$44,$CU23,BV$57),""),1),IFERROR(INDEX(醫師週班表!$C$5:$T$44,$CU23,BV$57),"")))))))</f>
        <v/>
      </c>
      <c r="BW23" s="72">
        <f>IF(BW$59="X","",IF(BW$59&lt;&gt;"",BW$59,IF(IFERROR(INDEX(醫師週班表!$C$5:$T$44,$CU23,BW$57),"")=0,"",IF(MID(IFERROR(INDEX(醫師週班表!$C$5:$T$44,$CU23,BW$57),""),2,1)="/",MID(IFERROR(INDEX(醫師週班表!$C$5:$T$44,$CU23,BW$57),""),1+BW$58*2,1),IF(MID(IFERROR(INDEX(醫師週班表!$C$5:$T$44,$CU23,BW$57),""),3,1)="隔",IF(BW$58=0,LEFT(IFERROR(INDEX(醫師週班表!$C$5:$T$44,$CU23,BW$57),""),1),""),IF(MID(IFERROR(INDEX(醫師週班表!$C$5:$T$44,$CU23,BW$57),""),2,1)="(",LEFT(IFERROR(INDEX(醫師週班表!$C$5:$T$44,$CU23,BW$57),""),1),IFERROR(INDEX(醫師週班表!$C$5:$T$44,$CU23,BW$57),"")))))))</f>
        <v/>
      </c>
      <c r="BX23" s="72">
        <f>IF(BX$59="X","",IF(BX$59&lt;&gt;"",BX$59,IF(IFERROR(INDEX(醫師週班表!$C$5:$T$44,$CU23,BX$57),"")=0,"",IF(MID(IFERROR(INDEX(醫師週班表!$C$5:$T$44,$CU23,BX$57),""),2,1)="/",MID(IFERROR(INDEX(醫師週班表!$C$5:$T$44,$CU23,BX$57),""),1+BX$58*2,1),IF(MID(IFERROR(INDEX(醫師週班表!$C$5:$T$44,$CU23,BX$57),""),3,1)="隔",IF(BX$58=0,LEFT(IFERROR(INDEX(醫師週班表!$C$5:$T$44,$CU23,BX$57),""),1),""),IF(MID(IFERROR(INDEX(醫師週班表!$C$5:$T$44,$CU23,BX$57),""),2,1)="(",LEFT(IFERROR(INDEX(醫師週班表!$C$5:$T$44,$CU23,BX$57),""),1),IFERROR(INDEX(醫師週班表!$C$5:$T$44,$CU23,BX$57),"")))))))</f>
        <v/>
      </c>
      <c r="BY23" s="71">
        <f>IF(BY$59="X","",IF(BY$59&lt;&gt;"",BY$59,IF(IFERROR(INDEX(醫師週班表!$C$5:$T$44,$CU23,BY$57),"")=0,"",IF(MID(IFERROR(INDEX(醫師週班表!$C$5:$T$44,$CU23,BY$57),""),2,1)="/",MID(IFERROR(INDEX(醫師週班表!$C$5:$T$44,$CU23,BY$57),""),1+BY$58*2,1),IF(MID(IFERROR(INDEX(醫師週班表!$C$5:$T$44,$CU23,BY$57),""),3,1)="隔",IF(BY$58=0,LEFT(IFERROR(INDEX(醫師週班表!$C$5:$T$44,$CU23,BY$57),""),1),""),IF(MID(IFERROR(INDEX(醫師週班表!$C$5:$T$44,$CU23,BY$57),""),2,1)="(",LEFT(IFERROR(INDEX(醫師週班表!$C$5:$T$44,$CU23,BY$57),""),1),IFERROR(INDEX(醫師週班表!$C$5:$T$44,$CU23,BY$57),"")))))))</f>
        <v/>
      </c>
      <c r="BZ23" s="72">
        <f>IF(BZ$59="X","",IF(BZ$59&lt;&gt;"",BZ$59,IF(IFERROR(INDEX(醫師週班表!$C$5:$T$44,$CU23,BZ$57),"")=0,"",IF(MID(IFERROR(INDEX(醫師週班表!$C$5:$T$44,$CU23,BZ$57),""),2,1)="/",MID(IFERROR(INDEX(醫師週班表!$C$5:$T$44,$CU23,BZ$57),""),1+BZ$58*2,1),IF(MID(IFERROR(INDEX(醫師週班表!$C$5:$T$44,$CU23,BZ$57),""),3,1)="隔",IF(BZ$58=0,LEFT(IFERROR(INDEX(醫師週班表!$C$5:$T$44,$CU23,BZ$57),""),1),""),IF(MID(IFERROR(INDEX(醫師週班表!$C$5:$T$44,$CU23,BZ$57),""),2,1)="(",LEFT(IFERROR(INDEX(醫師週班表!$C$5:$T$44,$CU23,BZ$57),""),1),IFERROR(INDEX(醫師週班表!$C$5:$T$44,$CU23,BZ$57),"")))))))</f>
        <v/>
      </c>
      <c r="CA23" s="72">
        <f>IF(CA$59="X","",IF(CA$59&lt;&gt;"",CA$59,IF(IFERROR(INDEX(醫師週班表!$C$5:$T$44,$CU23,CA$57),"")=0,"",IF(MID(IFERROR(INDEX(醫師週班表!$C$5:$T$44,$CU23,CA$57),""),2,1)="/",MID(IFERROR(INDEX(醫師週班表!$C$5:$T$44,$CU23,CA$57),""),1+CA$58*2,1),IF(MID(IFERROR(INDEX(醫師週班表!$C$5:$T$44,$CU23,CA$57),""),3,1)="隔",IF(CA$58=0,LEFT(IFERROR(INDEX(醫師週班表!$C$5:$T$44,$CU23,CA$57),""),1),""),IF(MID(IFERROR(INDEX(醫師週班表!$C$5:$T$44,$CU23,CA$57),""),2,1)="(",LEFT(IFERROR(INDEX(醫師週班表!$C$5:$T$44,$CU23,CA$57),""),1),IFERROR(INDEX(醫師週班表!$C$5:$T$44,$CU23,CA$57),"")))))))</f>
        <v/>
      </c>
      <c r="CB23" s="71">
        <f>IF(CB$59="X","",IF(CB$59&lt;&gt;"",CB$59,IF(IFERROR(INDEX(醫師週班表!$C$5:$T$44,$CU23,CB$57),"")=0,"",IF(MID(IFERROR(INDEX(醫師週班表!$C$5:$T$44,$CU23,CB$57),""),2,1)="/",MID(IFERROR(INDEX(醫師週班表!$C$5:$T$44,$CU23,CB$57),""),1+CB$58*2,1),IF(MID(IFERROR(INDEX(醫師週班表!$C$5:$T$44,$CU23,CB$57),""),3,1)="隔",IF(CB$58=0,LEFT(IFERROR(INDEX(醫師週班表!$C$5:$T$44,$CU23,CB$57),""),1),""),IF(MID(IFERROR(INDEX(醫師週班表!$C$5:$T$44,$CU23,CB$57),""),2,1)="(",LEFT(IFERROR(INDEX(醫師週班表!$C$5:$T$44,$CU23,CB$57),""),1),IFERROR(INDEX(醫師週班表!$C$5:$T$44,$CU23,CB$57),"")))))))</f>
        <v/>
      </c>
      <c r="CC23" s="72">
        <f>IF(CC$59="X","",IF(CC$59&lt;&gt;"",CC$59,IF(IFERROR(INDEX(醫師週班表!$C$5:$T$44,$CU23,CC$57),"")=0,"",IF(MID(IFERROR(INDEX(醫師週班表!$C$5:$T$44,$CU23,CC$57),""),2,1)="/",MID(IFERROR(INDEX(醫師週班表!$C$5:$T$44,$CU23,CC$57),""),1+CC$58*2,1),IF(MID(IFERROR(INDEX(醫師週班表!$C$5:$T$44,$CU23,CC$57),""),3,1)="隔",IF(CC$58=0,LEFT(IFERROR(INDEX(醫師週班表!$C$5:$T$44,$CU23,CC$57),""),1),""),IF(MID(IFERROR(INDEX(醫師週班表!$C$5:$T$44,$CU23,CC$57),""),2,1)="(",LEFT(IFERROR(INDEX(醫師週班表!$C$5:$T$44,$CU23,CC$57),""),1),IFERROR(INDEX(醫師週班表!$C$5:$T$44,$CU23,CC$57),"")))))))</f>
        <v/>
      </c>
      <c r="CD23" s="72">
        <f>IF(CD$59="X","",IF(CD$59&lt;&gt;"",CD$59,IF(IFERROR(INDEX(醫師週班表!$C$5:$T$44,$CU23,CD$57),"")=0,"",IF(MID(IFERROR(INDEX(醫師週班表!$C$5:$T$44,$CU23,CD$57),""),2,1)="/",MID(IFERROR(INDEX(醫師週班表!$C$5:$T$44,$CU23,CD$57),""),1+CD$58*2,1),IF(MID(IFERROR(INDEX(醫師週班表!$C$5:$T$44,$CU23,CD$57),""),3,1)="隔",IF(CD$58=0,LEFT(IFERROR(INDEX(醫師週班表!$C$5:$T$44,$CU23,CD$57),""),1),""),IF(MID(IFERROR(INDEX(醫師週班表!$C$5:$T$44,$CU23,CD$57),""),2,1)="(",LEFT(IFERROR(INDEX(醫師週班表!$C$5:$T$44,$CU23,CD$57),""),1),IFERROR(INDEX(醫師週班表!$C$5:$T$44,$CU23,CD$57),"")))))))</f>
        <v/>
      </c>
      <c r="CE23" s="71">
        <f>IF(CE$59="X","",IF(CE$59&lt;&gt;"",CE$59,IF(IFERROR(INDEX(醫師週班表!$C$5:$T$44,$CU23,CE$57),"")=0,"",IF(MID(IFERROR(INDEX(醫師週班表!$C$5:$T$44,$CU23,CE$57),""),2,1)="/",MID(IFERROR(INDEX(醫師週班表!$C$5:$T$44,$CU23,CE$57),""),1+CE$58*2,1),IF(MID(IFERROR(INDEX(醫師週班表!$C$5:$T$44,$CU23,CE$57),""),3,1)="隔",IF(CE$58=0,LEFT(IFERROR(INDEX(醫師週班表!$C$5:$T$44,$CU23,CE$57),""),1),""),IF(MID(IFERROR(INDEX(醫師週班表!$C$5:$T$44,$CU23,CE$57),""),2,1)="(",LEFT(IFERROR(INDEX(醫師週班表!$C$5:$T$44,$CU23,CE$57),""),1),IFERROR(INDEX(醫師週班表!$C$5:$T$44,$CU23,CE$57),"")))))))</f>
        <v/>
      </c>
      <c r="CF23" s="72">
        <f>IF(CF$59="X","",IF(CF$59&lt;&gt;"",CF$59,IF(IFERROR(INDEX(醫師週班表!$C$5:$T$44,$CU23,CF$57),"")=0,"",IF(MID(IFERROR(INDEX(醫師週班表!$C$5:$T$44,$CU23,CF$57),""),2,1)="/",MID(IFERROR(INDEX(醫師週班表!$C$5:$T$44,$CU23,CF$57),""),1+CF$58*2,1),IF(MID(IFERROR(INDEX(醫師週班表!$C$5:$T$44,$CU23,CF$57),""),3,1)="隔",IF(CF$58=0,LEFT(IFERROR(INDEX(醫師週班表!$C$5:$T$44,$CU23,CF$57),""),1),""),IF(MID(IFERROR(INDEX(醫師週班表!$C$5:$T$44,$CU23,CF$57),""),2,1)="(",LEFT(IFERROR(INDEX(醫師週班表!$C$5:$T$44,$CU23,CF$57),""),1),IFERROR(INDEX(醫師週班表!$C$5:$T$44,$CU23,CF$57),"")))))))</f>
        <v/>
      </c>
      <c r="CG23" s="72">
        <f>IF(CG$59="X","",IF(CG$59&lt;&gt;"",CG$59,IF(IFERROR(INDEX(醫師週班表!$C$5:$T$44,$CU23,CG$57),"")=0,"",IF(MID(IFERROR(INDEX(醫師週班表!$C$5:$T$44,$CU23,CG$57),""),2,1)="/",MID(IFERROR(INDEX(醫師週班表!$C$5:$T$44,$CU23,CG$57),""),1+CG$58*2,1),IF(MID(IFERROR(INDEX(醫師週班表!$C$5:$T$44,$CU23,CG$57),""),3,1)="隔",IF(CG$58=0,LEFT(IFERROR(INDEX(醫師週班表!$C$5:$T$44,$CU23,CG$57),""),1),""),IF(MID(IFERROR(INDEX(醫師週班表!$C$5:$T$44,$CU23,CG$57),""),2,1)="(",LEFT(IFERROR(INDEX(醫師週班表!$C$5:$T$44,$CU23,CG$57),""),1),IFERROR(INDEX(醫師週班表!$C$5:$T$44,$CU23,CG$57),"")))))))</f>
        <v/>
      </c>
      <c r="CH23" s="71">
        <f>IF(CH$59="X","",IF(CH$59&lt;&gt;"",CH$59,IF(IFERROR(INDEX(醫師週班表!$C$5:$T$44,$CU23,CH$57),"")=0,"",IF(MID(IFERROR(INDEX(醫師週班表!$C$5:$T$44,$CU23,CH$57),""),2,1)="/",MID(IFERROR(INDEX(醫師週班表!$C$5:$T$44,$CU23,CH$57),""),1+CH$58*2,1),IF(MID(IFERROR(INDEX(醫師週班表!$C$5:$T$44,$CU23,CH$57),""),3,1)="隔",IF(CH$58=0,LEFT(IFERROR(INDEX(醫師週班表!$C$5:$T$44,$CU23,CH$57),""),1),""),IF(MID(IFERROR(INDEX(醫師週班表!$C$5:$T$44,$CU23,CH$57),""),2,1)="(",LEFT(IFERROR(INDEX(醫師週班表!$C$5:$T$44,$CU23,CH$57),""),1),IFERROR(INDEX(醫師週班表!$C$5:$T$44,$CU23,CH$57),"")))))))</f>
        <v/>
      </c>
      <c r="CI23" s="72">
        <f>IF(CI$59="X","",IF(CI$59&lt;&gt;"",CI$59,IF(IFERROR(INDEX(醫師週班表!$C$5:$T$44,$CU23,CI$57),"")=0,"",IF(MID(IFERROR(INDEX(醫師週班表!$C$5:$T$44,$CU23,CI$57),""),2,1)="/",MID(IFERROR(INDEX(醫師週班表!$C$5:$T$44,$CU23,CI$57),""),1+CI$58*2,1),IF(MID(IFERROR(INDEX(醫師週班表!$C$5:$T$44,$CU23,CI$57),""),3,1)="隔",IF(CI$58=0,LEFT(IFERROR(INDEX(醫師週班表!$C$5:$T$44,$CU23,CI$57),""),1),""),IF(MID(IFERROR(INDEX(醫師週班表!$C$5:$T$44,$CU23,CI$57),""),2,1)="(",LEFT(IFERROR(INDEX(醫師週班表!$C$5:$T$44,$CU23,CI$57),""),1),IFERROR(INDEX(醫師週班表!$C$5:$T$44,$CU23,CI$57),"")))))))</f>
        <v/>
      </c>
      <c r="CJ23" s="72">
        <f>IF(CJ$59="X","",IF(CJ$59&lt;&gt;"",CJ$59,IF(IFERROR(INDEX(醫師週班表!$C$5:$T$44,$CU23,CJ$57),"")=0,"",IF(MID(IFERROR(INDEX(醫師週班表!$C$5:$T$44,$CU23,CJ$57),""),2,1)="/",MID(IFERROR(INDEX(醫師週班表!$C$5:$T$44,$CU23,CJ$57),""),1+CJ$58*2,1),IF(MID(IFERROR(INDEX(醫師週班表!$C$5:$T$44,$CU23,CJ$57),""),3,1)="隔",IF(CJ$58=0,LEFT(IFERROR(INDEX(醫師週班表!$C$5:$T$44,$CU23,CJ$57),""),1),""),IF(MID(IFERROR(INDEX(醫師週班表!$C$5:$T$44,$CU23,CJ$57),""),2,1)="(",LEFT(IFERROR(INDEX(醫師週班表!$C$5:$T$44,$CU23,CJ$57),""),1),IFERROR(INDEX(醫師週班表!$C$5:$T$44,$CU23,CJ$57),"")))))))</f>
        <v/>
      </c>
      <c r="CK23" s="71">
        <f>IF(CK$59="X","",IF(CK$59&lt;&gt;"",CK$59,IF(IFERROR(INDEX(醫師週班表!$C$5:$T$44,$CU23,CK$57),"")=0,"",IF(MID(IFERROR(INDEX(醫師週班表!$C$5:$T$44,$CU23,CK$57),""),2,1)="/",MID(IFERROR(INDEX(醫師週班表!$C$5:$T$44,$CU23,CK$57),""),1+CK$58*2,1),IF(MID(IFERROR(INDEX(醫師週班表!$C$5:$T$44,$CU23,CK$57),""),3,1)="隔",IF(CK$58=0,LEFT(IFERROR(INDEX(醫師週班表!$C$5:$T$44,$CU23,CK$57),""),1),""),IF(MID(IFERROR(INDEX(醫師週班表!$C$5:$T$44,$CU23,CK$57),""),2,1)="(",LEFT(IFERROR(INDEX(醫師週班表!$C$5:$T$44,$CU23,CK$57),""),1),IFERROR(INDEX(醫師週班表!$C$5:$T$44,$CU23,CK$57),"")))))))</f>
        <v/>
      </c>
      <c r="CL23" s="72">
        <f>IF(CL$59="X","",IF(CL$59&lt;&gt;"",CL$59,IF(IFERROR(INDEX(醫師週班表!$C$5:$T$44,$CU23,CL$57),"")=0,"",IF(MID(IFERROR(INDEX(醫師週班表!$C$5:$T$44,$CU23,CL$57),""),2,1)="/",MID(IFERROR(INDEX(醫師週班表!$C$5:$T$44,$CU23,CL$57),""),1+CL$58*2,1),IF(MID(IFERROR(INDEX(醫師週班表!$C$5:$T$44,$CU23,CL$57),""),3,1)="隔",IF(CL$58=0,LEFT(IFERROR(INDEX(醫師週班表!$C$5:$T$44,$CU23,CL$57),""),1),""),IF(MID(IFERROR(INDEX(醫師週班表!$C$5:$T$44,$CU23,CL$57),""),2,1)="(",LEFT(IFERROR(INDEX(醫師週班表!$C$5:$T$44,$CU23,CL$57),""),1),IFERROR(INDEX(醫師週班表!$C$5:$T$44,$CU23,CL$57),"")))))))</f>
        <v/>
      </c>
      <c r="CM23" s="72">
        <f>IF(CM$59="X","",IF(CM$59&lt;&gt;"",CM$59,IF(IFERROR(INDEX(醫師週班表!$C$5:$T$44,$CU23,CM$57),"")=0,"",IF(MID(IFERROR(INDEX(醫師週班表!$C$5:$T$44,$CU23,CM$57),""),2,1)="/",MID(IFERROR(INDEX(醫師週班表!$C$5:$T$44,$CU23,CM$57),""),1+CM$58*2,1),IF(MID(IFERROR(INDEX(醫師週班表!$C$5:$T$44,$CU23,CM$57),""),3,1)="隔",IF(CM$58=0,LEFT(IFERROR(INDEX(醫師週班表!$C$5:$T$44,$CU23,CM$57),""),1),""),IF(MID(IFERROR(INDEX(醫師週班表!$C$5:$T$44,$CU23,CM$57),""),2,1)="(",LEFT(IFERROR(INDEX(醫師週班表!$C$5:$T$44,$CU23,CM$57),""),1),IFERROR(INDEX(醫師週班表!$C$5:$T$44,$CU23,CM$57),"")))))))</f>
        <v/>
      </c>
      <c r="CN23" s="71">
        <f>IF(CN$59="X","",IF(CN$59&lt;&gt;"",CN$59,IF(IFERROR(INDEX(醫師週班表!$C$5:$T$44,$CU23,CN$57),"")=0,"",IF(MID(IFERROR(INDEX(醫師週班表!$C$5:$T$44,$CU23,CN$57),""),2,1)="/",MID(IFERROR(INDEX(醫師週班表!$C$5:$T$44,$CU23,CN$57),""),1+CN$58*2,1),IF(MID(IFERROR(INDEX(醫師週班表!$C$5:$T$44,$CU23,CN$57),""),3,1)="隔",IF(CN$58=0,LEFT(IFERROR(INDEX(醫師週班表!$C$5:$T$44,$CU23,CN$57),""),1),""),IF(MID(IFERROR(INDEX(醫師週班表!$C$5:$T$44,$CU23,CN$57),""),2,1)="(",LEFT(IFERROR(INDEX(醫師週班表!$C$5:$T$44,$CU23,CN$57),""),1),IFERROR(INDEX(醫師週班表!$C$5:$T$44,$CU23,CN$57),"")))))))</f>
        <v/>
      </c>
      <c r="CO23" s="72">
        <f>IF(CO$59="X","",IF(CO$59&lt;&gt;"",CO$59,IF(IFERROR(INDEX(醫師週班表!$C$5:$T$44,$CU23,CO$57),"")=0,"",IF(MID(IFERROR(INDEX(醫師週班表!$C$5:$T$44,$CU23,CO$57),""),2,1)="/",MID(IFERROR(INDEX(醫師週班表!$C$5:$T$44,$CU23,CO$57),""),1+CO$58*2,1),IF(MID(IFERROR(INDEX(醫師週班表!$C$5:$T$44,$CU23,CO$57),""),3,1)="隔",IF(CO$58=0,LEFT(IFERROR(INDEX(醫師週班表!$C$5:$T$44,$CU23,CO$57),""),1),""),IF(MID(IFERROR(INDEX(醫師週班表!$C$5:$T$44,$CU23,CO$57),""),2,1)="(",LEFT(IFERROR(INDEX(醫師週班表!$C$5:$T$44,$CU23,CO$57),""),1),IFERROR(INDEX(醫師週班表!$C$5:$T$44,$CU23,CO$57),"")))))))</f>
        <v/>
      </c>
      <c r="CP23" s="72">
        <f>IF(CP$59="X","",IF(CP$59&lt;&gt;"",CP$59,IF(IFERROR(INDEX(醫師週班表!$C$5:$T$44,$CU23,CP$57),"")=0,"",IF(MID(IFERROR(INDEX(醫師週班表!$C$5:$T$44,$CU23,CP$57),""),2,1)="/",MID(IFERROR(INDEX(醫師週班表!$C$5:$T$44,$CU23,CP$57),""),1+CP$58*2,1),IF(MID(IFERROR(INDEX(醫師週班表!$C$5:$T$44,$CU23,CP$57),""),3,1)="隔",IF(CP$58=0,LEFT(IFERROR(INDEX(醫師週班表!$C$5:$T$44,$CU23,CP$57),""),1),""),IF(MID(IFERROR(INDEX(醫師週班表!$C$5:$T$44,$CU23,CP$57),""),2,1)="(",LEFT(IFERROR(INDEX(醫師週班表!$C$5:$T$44,$CU23,CP$57),""),1),IFERROR(INDEX(醫師週班表!$C$5:$T$44,$CU23,CP$57),"")))))))</f>
        <v/>
      </c>
      <c r="CQ23" s="71">
        <f>IF(CQ$59="X","",IF(CQ$59&lt;&gt;"",CQ$59,IF(IFERROR(INDEX(醫師週班表!$C$5:$T$44,$CU23,CQ$57),"")=0,"",IF(MID(IFERROR(INDEX(醫師週班表!$C$5:$T$44,$CU23,CQ$57),""),2,1)="/",MID(IFERROR(INDEX(醫師週班表!$C$5:$T$44,$CU23,CQ$57),""),1+CQ$58*2,1),IF(MID(IFERROR(INDEX(醫師週班表!$C$5:$T$44,$CU23,CQ$57),""),3,1)="隔",IF(CQ$58=0,LEFT(IFERROR(INDEX(醫師週班表!$C$5:$T$44,$CU23,CQ$57),""),1),""),IF(MID(IFERROR(INDEX(醫師週班表!$C$5:$T$44,$CU23,CQ$57),""),2,1)="(",LEFT(IFERROR(INDEX(醫師週班表!$C$5:$T$44,$CU23,CQ$57),""),1),IFERROR(INDEX(醫師週班表!$C$5:$T$44,$CU23,CQ$57),"")))))))</f>
        <v/>
      </c>
      <c r="CR23" s="72">
        <f>IF(CR$59="X","",IF(CR$59&lt;&gt;"",CR$59,IF(IFERROR(INDEX(醫師週班表!$C$5:$T$44,$CU23,CR$57),"")=0,"",IF(MID(IFERROR(INDEX(醫師週班表!$C$5:$T$44,$CU23,CR$57),""),2,1)="/",MID(IFERROR(INDEX(醫師週班表!$C$5:$T$44,$CU23,CR$57),""),1+CR$58*2,1),IF(MID(IFERROR(INDEX(醫師週班表!$C$5:$T$44,$CU23,CR$57),""),3,1)="隔",IF(CR$58=0,LEFT(IFERROR(INDEX(醫師週班表!$C$5:$T$44,$CU23,CR$57),""),1),""),IF(MID(IFERROR(INDEX(醫師週班表!$C$5:$T$44,$CU23,CR$57),""),2,1)="(",LEFT(IFERROR(INDEX(醫師週班表!$C$5:$T$44,$CU23,CR$57),""),1),IFERROR(INDEX(醫師週班表!$C$5:$T$44,$CU23,CR$57),"")))))))</f>
        <v/>
      </c>
      <c r="CS23" s="72">
        <f>IF(CS$59="X","",IF(CS$59&lt;&gt;"",CS$59,IF(IFERROR(INDEX(醫師週班表!$C$5:$T$44,$CU23,CS$57),"")=0,"",IF(MID(IFERROR(INDEX(醫師週班表!$C$5:$T$44,$CU23,CS$57),""),2,1)="/",MID(IFERROR(INDEX(醫師週班表!$C$5:$T$44,$CU23,CS$57),""),1+CS$58*2,1),IF(MID(IFERROR(INDEX(醫師週班表!$C$5:$T$44,$CU23,CS$57),""),3,1)="隔",IF(CS$58=0,LEFT(IFERROR(INDEX(醫師週班表!$C$5:$T$44,$CU23,CS$57),""),1),""),IF(MID(IFERROR(INDEX(醫師週班表!$C$5:$T$44,$CU23,CS$57),""),2,1)="(",LEFT(IFERROR(INDEX(醫師週班表!$C$5:$T$44,$CU23,CS$57),""),1),IFERROR(INDEX(醫師週班表!$C$5:$T$44,$CU23,CS$57),"")))))))</f>
        <v/>
      </c>
      <c r="CU23" s="73">
        <f>IFERROR(MATCH($A23,醫師週班表!$A$5:$A$44,0),0)</f>
        <v/>
      </c>
    </row>
    <row r="24" ht="17" customHeight="1">
      <c r="A24" s="19" t="inlineStr">
        <is>
          <t>D019</t>
        </is>
      </c>
      <c r="B24" s="16" t="inlineStr">
        <is>
          <t>翁崎紘</t>
        </is>
      </c>
      <c r="C24" s="70" t="inlineStr"/>
      <c r="D24" s="16" t="inlineStr"/>
      <c r="E24" s="71">
        <f>IF(E$59="X","",IF(E$59&lt;&gt;"",E$59,IF(IFERROR(INDEX(醫師週班表!$C$5:$T$44,$CU24,E$57),"")=0,"",IF(MID(IFERROR(INDEX(醫師週班表!$C$5:$T$44,$CU24,E$57),""),2,1)="/",MID(IFERROR(INDEX(醫師週班表!$C$5:$T$44,$CU24,E$57),""),1+E$58*2,1),IF(MID(IFERROR(INDEX(醫師週班表!$C$5:$T$44,$CU24,E$57),""),3,1)="隔",IF(E$58=0,LEFT(IFERROR(INDEX(醫師週班表!$C$5:$T$44,$CU24,E$57),""),1),""),IF(MID(IFERROR(INDEX(醫師週班表!$C$5:$T$44,$CU24,E$57),""),2,1)="(",LEFT(IFERROR(INDEX(醫師週班表!$C$5:$T$44,$CU24,E$57),""),1),IFERROR(INDEX(醫師週班表!$C$5:$T$44,$CU24,E$57),"")))))))</f>
        <v/>
      </c>
      <c r="F24" s="72">
        <f>IF(F$59="X","",IF(F$59&lt;&gt;"",F$59,IF(IFERROR(INDEX(醫師週班表!$C$5:$T$44,$CU24,F$57),"")=0,"",IF(MID(IFERROR(INDEX(醫師週班表!$C$5:$T$44,$CU24,F$57),""),2,1)="/",MID(IFERROR(INDEX(醫師週班表!$C$5:$T$44,$CU24,F$57),""),1+F$58*2,1),IF(MID(IFERROR(INDEX(醫師週班表!$C$5:$T$44,$CU24,F$57),""),3,1)="隔",IF(F$58=0,LEFT(IFERROR(INDEX(醫師週班表!$C$5:$T$44,$CU24,F$57),""),1),""),IF(MID(IFERROR(INDEX(醫師週班表!$C$5:$T$44,$CU24,F$57),""),2,1)="(",LEFT(IFERROR(INDEX(醫師週班表!$C$5:$T$44,$CU24,F$57),""),1),IFERROR(INDEX(醫師週班表!$C$5:$T$44,$CU24,F$57),"")))))))</f>
        <v/>
      </c>
      <c r="G24" s="72">
        <f>IF(G$59="X","",IF(G$59&lt;&gt;"",G$59,IF(IFERROR(INDEX(醫師週班表!$C$5:$T$44,$CU24,G$57),"")=0,"",IF(MID(IFERROR(INDEX(醫師週班表!$C$5:$T$44,$CU24,G$57),""),2,1)="/",MID(IFERROR(INDEX(醫師週班表!$C$5:$T$44,$CU24,G$57),""),1+G$58*2,1),IF(MID(IFERROR(INDEX(醫師週班表!$C$5:$T$44,$CU24,G$57),""),3,1)="隔",IF(G$58=0,LEFT(IFERROR(INDEX(醫師週班表!$C$5:$T$44,$CU24,G$57),""),1),""),IF(MID(IFERROR(INDEX(醫師週班表!$C$5:$T$44,$CU24,G$57),""),2,1)="(",LEFT(IFERROR(INDEX(醫師週班表!$C$5:$T$44,$CU24,G$57),""),1),IFERROR(INDEX(醫師週班表!$C$5:$T$44,$CU24,G$57),"")))))))</f>
        <v/>
      </c>
      <c r="H24" s="71">
        <f>IF(H$59="X","",IF(H$59&lt;&gt;"",H$59,IF(IFERROR(INDEX(醫師週班表!$C$5:$T$44,$CU24,H$57),"")=0,"",IF(MID(IFERROR(INDEX(醫師週班表!$C$5:$T$44,$CU24,H$57),""),2,1)="/",MID(IFERROR(INDEX(醫師週班表!$C$5:$T$44,$CU24,H$57),""),1+H$58*2,1),IF(MID(IFERROR(INDEX(醫師週班表!$C$5:$T$44,$CU24,H$57),""),3,1)="隔",IF(H$58=0,LEFT(IFERROR(INDEX(醫師週班表!$C$5:$T$44,$CU24,H$57),""),1),""),IF(MID(IFERROR(INDEX(醫師週班表!$C$5:$T$44,$CU24,H$57),""),2,1)="(",LEFT(IFERROR(INDEX(醫師週班表!$C$5:$T$44,$CU24,H$57),""),1),IFERROR(INDEX(醫師週班表!$C$5:$T$44,$CU24,H$57),"")))))))</f>
        <v/>
      </c>
      <c r="I24" s="72">
        <f>IF(I$59="X","",IF(I$59&lt;&gt;"",I$59,IF(IFERROR(INDEX(醫師週班表!$C$5:$T$44,$CU24,I$57),"")=0,"",IF(MID(IFERROR(INDEX(醫師週班表!$C$5:$T$44,$CU24,I$57),""),2,1)="/",MID(IFERROR(INDEX(醫師週班表!$C$5:$T$44,$CU24,I$57),""),1+I$58*2,1),IF(MID(IFERROR(INDEX(醫師週班表!$C$5:$T$44,$CU24,I$57),""),3,1)="隔",IF(I$58=0,LEFT(IFERROR(INDEX(醫師週班表!$C$5:$T$44,$CU24,I$57),""),1),""),IF(MID(IFERROR(INDEX(醫師週班表!$C$5:$T$44,$CU24,I$57),""),2,1)="(",LEFT(IFERROR(INDEX(醫師週班表!$C$5:$T$44,$CU24,I$57),""),1),IFERROR(INDEX(醫師週班表!$C$5:$T$44,$CU24,I$57),"")))))))</f>
        <v/>
      </c>
      <c r="J24" s="72">
        <f>IF(J$59="X","",IF(J$59&lt;&gt;"",J$59,IF(IFERROR(INDEX(醫師週班表!$C$5:$T$44,$CU24,J$57),"")=0,"",IF(MID(IFERROR(INDEX(醫師週班表!$C$5:$T$44,$CU24,J$57),""),2,1)="/",MID(IFERROR(INDEX(醫師週班表!$C$5:$T$44,$CU24,J$57),""),1+J$58*2,1),IF(MID(IFERROR(INDEX(醫師週班表!$C$5:$T$44,$CU24,J$57),""),3,1)="隔",IF(J$58=0,LEFT(IFERROR(INDEX(醫師週班表!$C$5:$T$44,$CU24,J$57),""),1),""),IF(MID(IFERROR(INDEX(醫師週班表!$C$5:$T$44,$CU24,J$57),""),2,1)="(",LEFT(IFERROR(INDEX(醫師週班表!$C$5:$T$44,$CU24,J$57),""),1),IFERROR(INDEX(醫師週班表!$C$5:$T$44,$CU24,J$57),"")))))))</f>
        <v/>
      </c>
      <c r="K24" s="71">
        <f>IF(K$59="X","",IF(K$59&lt;&gt;"",K$59,IF(IFERROR(INDEX(醫師週班表!$C$5:$T$44,$CU24,K$57),"")=0,"",IF(MID(IFERROR(INDEX(醫師週班表!$C$5:$T$44,$CU24,K$57),""),2,1)="/",MID(IFERROR(INDEX(醫師週班表!$C$5:$T$44,$CU24,K$57),""),1+K$58*2,1),IF(MID(IFERROR(INDEX(醫師週班表!$C$5:$T$44,$CU24,K$57),""),3,1)="隔",IF(K$58=0,LEFT(IFERROR(INDEX(醫師週班表!$C$5:$T$44,$CU24,K$57),""),1),""),IF(MID(IFERROR(INDEX(醫師週班表!$C$5:$T$44,$CU24,K$57),""),2,1)="(",LEFT(IFERROR(INDEX(醫師週班表!$C$5:$T$44,$CU24,K$57),""),1),IFERROR(INDEX(醫師週班表!$C$5:$T$44,$CU24,K$57),"")))))))</f>
        <v/>
      </c>
      <c r="L24" s="72">
        <f>IF(L$59="X","",IF(L$59&lt;&gt;"",L$59,IF(IFERROR(INDEX(醫師週班表!$C$5:$T$44,$CU24,L$57),"")=0,"",IF(MID(IFERROR(INDEX(醫師週班表!$C$5:$T$44,$CU24,L$57),""),2,1)="/",MID(IFERROR(INDEX(醫師週班表!$C$5:$T$44,$CU24,L$57),""),1+L$58*2,1),IF(MID(IFERROR(INDEX(醫師週班表!$C$5:$T$44,$CU24,L$57),""),3,1)="隔",IF(L$58=0,LEFT(IFERROR(INDEX(醫師週班表!$C$5:$T$44,$CU24,L$57),""),1),""),IF(MID(IFERROR(INDEX(醫師週班表!$C$5:$T$44,$CU24,L$57),""),2,1)="(",LEFT(IFERROR(INDEX(醫師週班表!$C$5:$T$44,$CU24,L$57),""),1),IFERROR(INDEX(醫師週班表!$C$5:$T$44,$CU24,L$57),"")))))))</f>
        <v/>
      </c>
      <c r="M24" s="72">
        <f>IF(M$59="X","",IF(M$59&lt;&gt;"",M$59,IF(IFERROR(INDEX(醫師週班表!$C$5:$T$44,$CU24,M$57),"")=0,"",IF(MID(IFERROR(INDEX(醫師週班表!$C$5:$T$44,$CU24,M$57),""),2,1)="/",MID(IFERROR(INDEX(醫師週班表!$C$5:$T$44,$CU24,M$57),""),1+M$58*2,1),IF(MID(IFERROR(INDEX(醫師週班表!$C$5:$T$44,$CU24,M$57),""),3,1)="隔",IF(M$58=0,LEFT(IFERROR(INDEX(醫師週班表!$C$5:$T$44,$CU24,M$57),""),1),""),IF(MID(IFERROR(INDEX(醫師週班表!$C$5:$T$44,$CU24,M$57),""),2,1)="(",LEFT(IFERROR(INDEX(醫師週班表!$C$5:$T$44,$CU24,M$57),""),1),IFERROR(INDEX(醫師週班表!$C$5:$T$44,$CU24,M$57),"")))))))</f>
        <v/>
      </c>
      <c r="N24" s="71">
        <f>IF(N$59="X","",IF(N$59&lt;&gt;"",N$59,IF(IFERROR(INDEX(醫師週班表!$C$5:$T$44,$CU24,N$57),"")=0,"",IF(MID(IFERROR(INDEX(醫師週班表!$C$5:$T$44,$CU24,N$57),""),2,1)="/",MID(IFERROR(INDEX(醫師週班表!$C$5:$T$44,$CU24,N$57),""),1+N$58*2,1),IF(MID(IFERROR(INDEX(醫師週班表!$C$5:$T$44,$CU24,N$57),""),3,1)="隔",IF(N$58=0,LEFT(IFERROR(INDEX(醫師週班表!$C$5:$T$44,$CU24,N$57),""),1),""),IF(MID(IFERROR(INDEX(醫師週班表!$C$5:$T$44,$CU24,N$57),""),2,1)="(",LEFT(IFERROR(INDEX(醫師週班表!$C$5:$T$44,$CU24,N$57),""),1),IFERROR(INDEX(醫師週班表!$C$5:$T$44,$CU24,N$57),"")))))))</f>
        <v/>
      </c>
      <c r="O24" s="72">
        <f>IF(O$59="X","",IF(O$59&lt;&gt;"",O$59,IF(IFERROR(INDEX(醫師週班表!$C$5:$T$44,$CU24,O$57),"")=0,"",IF(MID(IFERROR(INDEX(醫師週班表!$C$5:$T$44,$CU24,O$57),""),2,1)="/",MID(IFERROR(INDEX(醫師週班表!$C$5:$T$44,$CU24,O$57),""),1+O$58*2,1),IF(MID(IFERROR(INDEX(醫師週班表!$C$5:$T$44,$CU24,O$57),""),3,1)="隔",IF(O$58=0,LEFT(IFERROR(INDEX(醫師週班表!$C$5:$T$44,$CU24,O$57),""),1),""),IF(MID(IFERROR(INDEX(醫師週班表!$C$5:$T$44,$CU24,O$57),""),2,1)="(",LEFT(IFERROR(INDEX(醫師週班表!$C$5:$T$44,$CU24,O$57),""),1),IFERROR(INDEX(醫師週班表!$C$5:$T$44,$CU24,O$57),"")))))))</f>
        <v/>
      </c>
      <c r="P24" s="72">
        <f>IF(P$59="X","",IF(P$59&lt;&gt;"",P$59,IF(IFERROR(INDEX(醫師週班表!$C$5:$T$44,$CU24,P$57),"")=0,"",IF(MID(IFERROR(INDEX(醫師週班表!$C$5:$T$44,$CU24,P$57),""),2,1)="/",MID(IFERROR(INDEX(醫師週班表!$C$5:$T$44,$CU24,P$57),""),1+P$58*2,1),IF(MID(IFERROR(INDEX(醫師週班表!$C$5:$T$44,$CU24,P$57),""),3,1)="隔",IF(P$58=0,LEFT(IFERROR(INDEX(醫師週班表!$C$5:$T$44,$CU24,P$57),""),1),""),IF(MID(IFERROR(INDEX(醫師週班表!$C$5:$T$44,$CU24,P$57),""),2,1)="(",LEFT(IFERROR(INDEX(醫師週班表!$C$5:$T$44,$CU24,P$57),""),1),IFERROR(INDEX(醫師週班表!$C$5:$T$44,$CU24,P$57),"")))))))</f>
        <v/>
      </c>
      <c r="Q24" s="71">
        <f>IF(Q$59="X","",IF(Q$59&lt;&gt;"",Q$59,IF(IFERROR(INDEX(醫師週班表!$C$5:$T$44,$CU24,Q$57),"")=0,"",IF(MID(IFERROR(INDEX(醫師週班表!$C$5:$T$44,$CU24,Q$57),""),2,1)="/",MID(IFERROR(INDEX(醫師週班表!$C$5:$T$44,$CU24,Q$57),""),1+Q$58*2,1),IF(MID(IFERROR(INDEX(醫師週班表!$C$5:$T$44,$CU24,Q$57),""),3,1)="隔",IF(Q$58=0,LEFT(IFERROR(INDEX(醫師週班表!$C$5:$T$44,$CU24,Q$57),""),1),""),IF(MID(IFERROR(INDEX(醫師週班表!$C$5:$T$44,$CU24,Q$57),""),2,1)="(",LEFT(IFERROR(INDEX(醫師週班表!$C$5:$T$44,$CU24,Q$57),""),1),IFERROR(INDEX(醫師週班表!$C$5:$T$44,$CU24,Q$57),"")))))))</f>
        <v/>
      </c>
      <c r="R24" s="72">
        <f>IF(R$59="X","",IF(R$59&lt;&gt;"",R$59,IF(IFERROR(INDEX(醫師週班表!$C$5:$T$44,$CU24,R$57),"")=0,"",IF(MID(IFERROR(INDEX(醫師週班表!$C$5:$T$44,$CU24,R$57),""),2,1)="/",MID(IFERROR(INDEX(醫師週班表!$C$5:$T$44,$CU24,R$57),""),1+R$58*2,1),IF(MID(IFERROR(INDEX(醫師週班表!$C$5:$T$44,$CU24,R$57),""),3,1)="隔",IF(R$58=0,LEFT(IFERROR(INDEX(醫師週班表!$C$5:$T$44,$CU24,R$57),""),1),""),IF(MID(IFERROR(INDEX(醫師週班表!$C$5:$T$44,$CU24,R$57),""),2,1)="(",LEFT(IFERROR(INDEX(醫師週班表!$C$5:$T$44,$CU24,R$57),""),1),IFERROR(INDEX(醫師週班表!$C$5:$T$44,$CU24,R$57),"")))))))</f>
        <v/>
      </c>
      <c r="S24" s="72">
        <f>IF(S$59="X","",IF(S$59&lt;&gt;"",S$59,IF(IFERROR(INDEX(醫師週班表!$C$5:$T$44,$CU24,S$57),"")=0,"",IF(MID(IFERROR(INDEX(醫師週班表!$C$5:$T$44,$CU24,S$57),""),2,1)="/",MID(IFERROR(INDEX(醫師週班表!$C$5:$T$44,$CU24,S$57),""),1+S$58*2,1),IF(MID(IFERROR(INDEX(醫師週班表!$C$5:$T$44,$CU24,S$57),""),3,1)="隔",IF(S$58=0,LEFT(IFERROR(INDEX(醫師週班表!$C$5:$T$44,$CU24,S$57),""),1),""),IF(MID(IFERROR(INDEX(醫師週班表!$C$5:$T$44,$CU24,S$57),""),2,1)="(",LEFT(IFERROR(INDEX(醫師週班表!$C$5:$T$44,$CU24,S$57),""),1),IFERROR(INDEX(醫師週班表!$C$5:$T$44,$CU24,S$57),"")))))))</f>
        <v/>
      </c>
      <c r="T24" s="71">
        <f>IF(T$59="X","",IF(T$59&lt;&gt;"",T$59,IF(IFERROR(INDEX(醫師週班表!$C$5:$T$44,$CU24,T$57),"")=0,"",IF(MID(IFERROR(INDEX(醫師週班表!$C$5:$T$44,$CU24,T$57),""),2,1)="/",MID(IFERROR(INDEX(醫師週班表!$C$5:$T$44,$CU24,T$57),""),1+T$58*2,1),IF(MID(IFERROR(INDEX(醫師週班表!$C$5:$T$44,$CU24,T$57),""),3,1)="隔",IF(T$58=0,LEFT(IFERROR(INDEX(醫師週班表!$C$5:$T$44,$CU24,T$57),""),1),""),IF(MID(IFERROR(INDEX(醫師週班表!$C$5:$T$44,$CU24,T$57),""),2,1)="(",LEFT(IFERROR(INDEX(醫師週班表!$C$5:$T$44,$CU24,T$57),""),1),IFERROR(INDEX(醫師週班表!$C$5:$T$44,$CU24,T$57),"")))))))</f>
        <v/>
      </c>
      <c r="U24" s="72">
        <f>IF(U$59="X","",IF(U$59&lt;&gt;"",U$59,IF(IFERROR(INDEX(醫師週班表!$C$5:$T$44,$CU24,U$57),"")=0,"",IF(MID(IFERROR(INDEX(醫師週班表!$C$5:$T$44,$CU24,U$57),""),2,1)="/",MID(IFERROR(INDEX(醫師週班表!$C$5:$T$44,$CU24,U$57),""),1+U$58*2,1),IF(MID(IFERROR(INDEX(醫師週班表!$C$5:$T$44,$CU24,U$57),""),3,1)="隔",IF(U$58=0,LEFT(IFERROR(INDEX(醫師週班表!$C$5:$T$44,$CU24,U$57),""),1),""),IF(MID(IFERROR(INDEX(醫師週班表!$C$5:$T$44,$CU24,U$57),""),2,1)="(",LEFT(IFERROR(INDEX(醫師週班表!$C$5:$T$44,$CU24,U$57),""),1),IFERROR(INDEX(醫師週班表!$C$5:$T$44,$CU24,U$57),"")))))))</f>
        <v/>
      </c>
      <c r="V24" s="72">
        <f>IF(V$59="X","",IF(V$59&lt;&gt;"",V$59,IF(IFERROR(INDEX(醫師週班表!$C$5:$T$44,$CU24,V$57),"")=0,"",IF(MID(IFERROR(INDEX(醫師週班表!$C$5:$T$44,$CU24,V$57),""),2,1)="/",MID(IFERROR(INDEX(醫師週班表!$C$5:$T$44,$CU24,V$57),""),1+V$58*2,1),IF(MID(IFERROR(INDEX(醫師週班表!$C$5:$T$44,$CU24,V$57),""),3,1)="隔",IF(V$58=0,LEFT(IFERROR(INDEX(醫師週班表!$C$5:$T$44,$CU24,V$57),""),1),""),IF(MID(IFERROR(INDEX(醫師週班表!$C$5:$T$44,$CU24,V$57),""),2,1)="(",LEFT(IFERROR(INDEX(醫師週班表!$C$5:$T$44,$CU24,V$57),""),1),IFERROR(INDEX(醫師週班表!$C$5:$T$44,$CU24,V$57),"")))))))</f>
        <v/>
      </c>
      <c r="W24" s="71">
        <f>IF(W$59="X","",IF(W$59&lt;&gt;"",W$59,IF(IFERROR(INDEX(醫師週班表!$C$5:$T$44,$CU24,W$57),"")=0,"",IF(MID(IFERROR(INDEX(醫師週班表!$C$5:$T$44,$CU24,W$57),""),2,1)="/",MID(IFERROR(INDEX(醫師週班表!$C$5:$T$44,$CU24,W$57),""),1+W$58*2,1),IF(MID(IFERROR(INDEX(醫師週班表!$C$5:$T$44,$CU24,W$57),""),3,1)="隔",IF(W$58=0,LEFT(IFERROR(INDEX(醫師週班表!$C$5:$T$44,$CU24,W$57),""),1),""),IF(MID(IFERROR(INDEX(醫師週班表!$C$5:$T$44,$CU24,W$57),""),2,1)="(",LEFT(IFERROR(INDEX(醫師週班表!$C$5:$T$44,$CU24,W$57),""),1),IFERROR(INDEX(醫師週班表!$C$5:$T$44,$CU24,W$57),"")))))))</f>
        <v/>
      </c>
      <c r="X24" s="72">
        <f>IF(X$59="X","",IF(X$59&lt;&gt;"",X$59,IF(IFERROR(INDEX(醫師週班表!$C$5:$T$44,$CU24,X$57),"")=0,"",IF(MID(IFERROR(INDEX(醫師週班表!$C$5:$T$44,$CU24,X$57),""),2,1)="/",MID(IFERROR(INDEX(醫師週班表!$C$5:$T$44,$CU24,X$57),""),1+X$58*2,1),IF(MID(IFERROR(INDEX(醫師週班表!$C$5:$T$44,$CU24,X$57),""),3,1)="隔",IF(X$58=0,LEFT(IFERROR(INDEX(醫師週班表!$C$5:$T$44,$CU24,X$57),""),1),""),IF(MID(IFERROR(INDEX(醫師週班表!$C$5:$T$44,$CU24,X$57),""),2,1)="(",LEFT(IFERROR(INDEX(醫師週班表!$C$5:$T$44,$CU24,X$57),""),1),IFERROR(INDEX(醫師週班表!$C$5:$T$44,$CU24,X$57),"")))))))</f>
        <v/>
      </c>
      <c r="Y24" s="72">
        <f>IF(Y$59="X","",IF(Y$59&lt;&gt;"",Y$59,IF(IFERROR(INDEX(醫師週班表!$C$5:$T$44,$CU24,Y$57),"")=0,"",IF(MID(IFERROR(INDEX(醫師週班表!$C$5:$T$44,$CU24,Y$57),""),2,1)="/",MID(IFERROR(INDEX(醫師週班表!$C$5:$T$44,$CU24,Y$57),""),1+Y$58*2,1),IF(MID(IFERROR(INDEX(醫師週班表!$C$5:$T$44,$CU24,Y$57),""),3,1)="隔",IF(Y$58=0,LEFT(IFERROR(INDEX(醫師週班表!$C$5:$T$44,$CU24,Y$57),""),1),""),IF(MID(IFERROR(INDEX(醫師週班表!$C$5:$T$44,$CU24,Y$57),""),2,1)="(",LEFT(IFERROR(INDEX(醫師週班表!$C$5:$T$44,$CU24,Y$57),""),1),IFERROR(INDEX(醫師週班表!$C$5:$T$44,$CU24,Y$57),"")))))))</f>
        <v/>
      </c>
      <c r="Z24" s="71">
        <f>IF(Z$59="X","",IF(Z$59&lt;&gt;"",Z$59,IF(IFERROR(INDEX(醫師週班表!$C$5:$T$44,$CU24,Z$57),"")=0,"",IF(MID(IFERROR(INDEX(醫師週班表!$C$5:$T$44,$CU24,Z$57),""),2,1)="/",MID(IFERROR(INDEX(醫師週班表!$C$5:$T$44,$CU24,Z$57),""),1+Z$58*2,1),IF(MID(IFERROR(INDEX(醫師週班表!$C$5:$T$44,$CU24,Z$57),""),3,1)="隔",IF(Z$58=0,LEFT(IFERROR(INDEX(醫師週班表!$C$5:$T$44,$CU24,Z$57),""),1),""),IF(MID(IFERROR(INDEX(醫師週班表!$C$5:$T$44,$CU24,Z$57),""),2,1)="(",LEFT(IFERROR(INDEX(醫師週班表!$C$5:$T$44,$CU24,Z$57),""),1),IFERROR(INDEX(醫師週班表!$C$5:$T$44,$CU24,Z$57),"")))))))</f>
        <v/>
      </c>
      <c r="AA24" s="72">
        <f>IF(AA$59="X","",IF(AA$59&lt;&gt;"",AA$59,IF(IFERROR(INDEX(醫師週班表!$C$5:$T$44,$CU24,AA$57),"")=0,"",IF(MID(IFERROR(INDEX(醫師週班表!$C$5:$T$44,$CU24,AA$57),""),2,1)="/",MID(IFERROR(INDEX(醫師週班表!$C$5:$T$44,$CU24,AA$57),""),1+AA$58*2,1),IF(MID(IFERROR(INDEX(醫師週班表!$C$5:$T$44,$CU24,AA$57),""),3,1)="隔",IF(AA$58=0,LEFT(IFERROR(INDEX(醫師週班表!$C$5:$T$44,$CU24,AA$57),""),1),""),IF(MID(IFERROR(INDEX(醫師週班表!$C$5:$T$44,$CU24,AA$57),""),2,1)="(",LEFT(IFERROR(INDEX(醫師週班表!$C$5:$T$44,$CU24,AA$57),""),1),IFERROR(INDEX(醫師週班表!$C$5:$T$44,$CU24,AA$57),"")))))))</f>
        <v/>
      </c>
      <c r="AB24" s="72">
        <f>IF(AB$59="X","",IF(AB$59&lt;&gt;"",AB$59,IF(IFERROR(INDEX(醫師週班表!$C$5:$T$44,$CU24,AB$57),"")=0,"",IF(MID(IFERROR(INDEX(醫師週班表!$C$5:$T$44,$CU24,AB$57),""),2,1)="/",MID(IFERROR(INDEX(醫師週班表!$C$5:$T$44,$CU24,AB$57),""),1+AB$58*2,1),IF(MID(IFERROR(INDEX(醫師週班表!$C$5:$T$44,$CU24,AB$57),""),3,1)="隔",IF(AB$58=0,LEFT(IFERROR(INDEX(醫師週班表!$C$5:$T$44,$CU24,AB$57),""),1),""),IF(MID(IFERROR(INDEX(醫師週班表!$C$5:$T$44,$CU24,AB$57),""),2,1)="(",LEFT(IFERROR(INDEX(醫師週班表!$C$5:$T$44,$CU24,AB$57),""),1),IFERROR(INDEX(醫師週班表!$C$5:$T$44,$CU24,AB$57),"")))))))</f>
        <v/>
      </c>
      <c r="AC24" s="71">
        <f>IF(AC$59="X","",IF(AC$59&lt;&gt;"",AC$59,IF(IFERROR(INDEX(醫師週班表!$C$5:$T$44,$CU24,AC$57),"")=0,"",IF(MID(IFERROR(INDEX(醫師週班表!$C$5:$T$44,$CU24,AC$57),""),2,1)="/",MID(IFERROR(INDEX(醫師週班表!$C$5:$T$44,$CU24,AC$57),""),1+AC$58*2,1),IF(MID(IFERROR(INDEX(醫師週班表!$C$5:$T$44,$CU24,AC$57),""),3,1)="隔",IF(AC$58=0,LEFT(IFERROR(INDEX(醫師週班表!$C$5:$T$44,$CU24,AC$57),""),1),""),IF(MID(IFERROR(INDEX(醫師週班表!$C$5:$T$44,$CU24,AC$57),""),2,1)="(",LEFT(IFERROR(INDEX(醫師週班表!$C$5:$T$44,$CU24,AC$57),""),1),IFERROR(INDEX(醫師週班表!$C$5:$T$44,$CU24,AC$57),"")))))))</f>
        <v/>
      </c>
      <c r="AD24" s="72">
        <f>IF(AD$59="X","",IF(AD$59&lt;&gt;"",AD$59,IF(IFERROR(INDEX(醫師週班表!$C$5:$T$44,$CU24,AD$57),"")=0,"",IF(MID(IFERROR(INDEX(醫師週班表!$C$5:$T$44,$CU24,AD$57),""),2,1)="/",MID(IFERROR(INDEX(醫師週班表!$C$5:$T$44,$CU24,AD$57),""),1+AD$58*2,1),IF(MID(IFERROR(INDEX(醫師週班表!$C$5:$T$44,$CU24,AD$57),""),3,1)="隔",IF(AD$58=0,LEFT(IFERROR(INDEX(醫師週班表!$C$5:$T$44,$CU24,AD$57),""),1),""),IF(MID(IFERROR(INDEX(醫師週班表!$C$5:$T$44,$CU24,AD$57),""),2,1)="(",LEFT(IFERROR(INDEX(醫師週班表!$C$5:$T$44,$CU24,AD$57),""),1),IFERROR(INDEX(醫師週班表!$C$5:$T$44,$CU24,AD$57),"")))))))</f>
        <v/>
      </c>
      <c r="AE24" s="72">
        <f>IF(AE$59="X","",IF(AE$59&lt;&gt;"",AE$59,IF(IFERROR(INDEX(醫師週班表!$C$5:$T$44,$CU24,AE$57),"")=0,"",IF(MID(IFERROR(INDEX(醫師週班表!$C$5:$T$44,$CU24,AE$57),""),2,1)="/",MID(IFERROR(INDEX(醫師週班表!$C$5:$T$44,$CU24,AE$57),""),1+AE$58*2,1),IF(MID(IFERROR(INDEX(醫師週班表!$C$5:$T$44,$CU24,AE$57),""),3,1)="隔",IF(AE$58=0,LEFT(IFERROR(INDEX(醫師週班表!$C$5:$T$44,$CU24,AE$57),""),1),""),IF(MID(IFERROR(INDEX(醫師週班表!$C$5:$T$44,$CU24,AE$57),""),2,1)="(",LEFT(IFERROR(INDEX(醫師週班表!$C$5:$T$44,$CU24,AE$57),""),1),IFERROR(INDEX(醫師週班表!$C$5:$T$44,$CU24,AE$57),"")))))))</f>
        <v/>
      </c>
      <c r="AF24" s="71">
        <f>IF(AF$59="X","",IF(AF$59&lt;&gt;"",AF$59,IF(IFERROR(INDEX(醫師週班表!$C$5:$T$44,$CU24,AF$57),"")=0,"",IF(MID(IFERROR(INDEX(醫師週班表!$C$5:$T$44,$CU24,AF$57),""),2,1)="/",MID(IFERROR(INDEX(醫師週班表!$C$5:$T$44,$CU24,AF$57),""),1+AF$58*2,1),IF(MID(IFERROR(INDEX(醫師週班表!$C$5:$T$44,$CU24,AF$57),""),3,1)="隔",IF(AF$58=0,LEFT(IFERROR(INDEX(醫師週班表!$C$5:$T$44,$CU24,AF$57),""),1),""),IF(MID(IFERROR(INDEX(醫師週班表!$C$5:$T$44,$CU24,AF$57),""),2,1)="(",LEFT(IFERROR(INDEX(醫師週班表!$C$5:$T$44,$CU24,AF$57),""),1),IFERROR(INDEX(醫師週班表!$C$5:$T$44,$CU24,AF$57),"")))))))</f>
        <v/>
      </c>
      <c r="AG24" s="72">
        <f>IF(AG$59="X","",IF(AG$59&lt;&gt;"",AG$59,IF(IFERROR(INDEX(醫師週班表!$C$5:$T$44,$CU24,AG$57),"")=0,"",IF(MID(IFERROR(INDEX(醫師週班表!$C$5:$T$44,$CU24,AG$57),""),2,1)="/",MID(IFERROR(INDEX(醫師週班表!$C$5:$T$44,$CU24,AG$57),""),1+AG$58*2,1),IF(MID(IFERROR(INDEX(醫師週班表!$C$5:$T$44,$CU24,AG$57),""),3,1)="隔",IF(AG$58=0,LEFT(IFERROR(INDEX(醫師週班表!$C$5:$T$44,$CU24,AG$57),""),1),""),IF(MID(IFERROR(INDEX(醫師週班表!$C$5:$T$44,$CU24,AG$57),""),2,1)="(",LEFT(IFERROR(INDEX(醫師週班表!$C$5:$T$44,$CU24,AG$57),""),1),IFERROR(INDEX(醫師週班表!$C$5:$T$44,$CU24,AG$57),"")))))))</f>
        <v/>
      </c>
      <c r="AH24" s="72">
        <f>IF(AH$59="X","",IF(AH$59&lt;&gt;"",AH$59,IF(IFERROR(INDEX(醫師週班表!$C$5:$T$44,$CU24,AH$57),"")=0,"",IF(MID(IFERROR(INDEX(醫師週班表!$C$5:$T$44,$CU24,AH$57),""),2,1)="/",MID(IFERROR(INDEX(醫師週班表!$C$5:$T$44,$CU24,AH$57),""),1+AH$58*2,1),IF(MID(IFERROR(INDEX(醫師週班表!$C$5:$T$44,$CU24,AH$57),""),3,1)="隔",IF(AH$58=0,LEFT(IFERROR(INDEX(醫師週班表!$C$5:$T$44,$CU24,AH$57),""),1),""),IF(MID(IFERROR(INDEX(醫師週班表!$C$5:$T$44,$CU24,AH$57),""),2,1)="(",LEFT(IFERROR(INDEX(醫師週班表!$C$5:$T$44,$CU24,AH$57),""),1),IFERROR(INDEX(醫師週班表!$C$5:$T$44,$CU24,AH$57),"")))))))</f>
        <v/>
      </c>
      <c r="AI24" s="71">
        <f>IF(AI$59="X","",IF(AI$59&lt;&gt;"",AI$59,IF(IFERROR(INDEX(醫師週班表!$C$5:$T$44,$CU24,AI$57),"")=0,"",IF(MID(IFERROR(INDEX(醫師週班表!$C$5:$T$44,$CU24,AI$57),""),2,1)="/",MID(IFERROR(INDEX(醫師週班表!$C$5:$T$44,$CU24,AI$57),""),1+AI$58*2,1),IF(MID(IFERROR(INDEX(醫師週班表!$C$5:$T$44,$CU24,AI$57),""),3,1)="隔",IF(AI$58=0,LEFT(IFERROR(INDEX(醫師週班表!$C$5:$T$44,$CU24,AI$57),""),1),""),IF(MID(IFERROR(INDEX(醫師週班表!$C$5:$T$44,$CU24,AI$57),""),2,1)="(",LEFT(IFERROR(INDEX(醫師週班表!$C$5:$T$44,$CU24,AI$57),""),1),IFERROR(INDEX(醫師週班表!$C$5:$T$44,$CU24,AI$57),"")))))))</f>
        <v/>
      </c>
      <c r="AJ24" s="72">
        <f>IF(AJ$59="X","",IF(AJ$59&lt;&gt;"",AJ$59,IF(IFERROR(INDEX(醫師週班表!$C$5:$T$44,$CU24,AJ$57),"")=0,"",IF(MID(IFERROR(INDEX(醫師週班表!$C$5:$T$44,$CU24,AJ$57),""),2,1)="/",MID(IFERROR(INDEX(醫師週班表!$C$5:$T$44,$CU24,AJ$57),""),1+AJ$58*2,1),IF(MID(IFERROR(INDEX(醫師週班表!$C$5:$T$44,$CU24,AJ$57),""),3,1)="隔",IF(AJ$58=0,LEFT(IFERROR(INDEX(醫師週班表!$C$5:$T$44,$CU24,AJ$57),""),1),""),IF(MID(IFERROR(INDEX(醫師週班表!$C$5:$T$44,$CU24,AJ$57),""),2,1)="(",LEFT(IFERROR(INDEX(醫師週班表!$C$5:$T$44,$CU24,AJ$57),""),1),IFERROR(INDEX(醫師週班表!$C$5:$T$44,$CU24,AJ$57),"")))))))</f>
        <v/>
      </c>
      <c r="AK24" s="72">
        <f>IF(AK$59="X","",IF(AK$59&lt;&gt;"",AK$59,IF(IFERROR(INDEX(醫師週班表!$C$5:$T$44,$CU24,AK$57),"")=0,"",IF(MID(IFERROR(INDEX(醫師週班表!$C$5:$T$44,$CU24,AK$57),""),2,1)="/",MID(IFERROR(INDEX(醫師週班表!$C$5:$T$44,$CU24,AK$57),""),1+AK$58*2,1),IF(MID(IFERROR(INDEX(醫師週班表!$C$5:$T$44,$CU24,AK$57),""),3,1)="隔",IF(AK$58=0,LEFT(IFERROR(INDEX(醫師週班表!$C$5:$T$44,$CU24,AK$57),""),1),""),IF(MID(IFERROR(INDEX(醫師週班表!$C$5:$T$44,$CU24,AK$57),""),2,1)="(",LEFT(IFERROR(INDEX(醫師週班表!$C$5:$T$44,$CU24,AK$57),""),1),IFERROR(INDEX(醫師週班表!$C$5:$T$44,$CU24,AK$57),"")))))))</f>
        <v/>
      </c>
      <c r="AL24" s="71">
        <f>IF(AL$59="X","",IF(AL$59&lt;&gt;"",AL$59,IF(IFERROR(INDEX(醫師週班表!$C$5:$T$44,$CU24,AL$57),"")=0,"",IF(MID(IFERROR(INDEX(醫師週班表!$C$5:$T$44,$CU24,AL$57),""),2,1)="/",MID(IFERROR(INDEX(醫師週班表!$C$5:$T$44,$CU24,AL$57),""),1+AL$58*2,1),IF(MID(IFERROR(INDEX(醫師週班表!$C$5:$T$44,$CU24,AL$57),""),3,1)="隔",IF(AL$58=0,LEFT(IFERROR(INDEX(醫師週班表!$C$5:$T$44,$CU24,AL$57),""),1),""),IF(MID(IFERROR(INDEX(醫師週班表!$C$5:$T$44,$CU24,AL$57),""),2,1)="(",LEFT(IFERROR(INDEX(醫師週班表!$C$5:$T$44,$CU24,AL$57),""),1),IFERROR(INDEX(醫師週班表!$C$5:$T$44,$CU24,AL$57),"")))))))</f>
        <v/>
      </c>
      <c r="AM24" s="72">
        <f>IF(AM$59="X","",IF(AM$59&lt;&gt;"",AM$59,IF(IFERROR(INDEX(醫師週班表!$C$5:$T$44,$CU24,AM$57),"")=0,"",IF(MID(IFERROR(INDEX(醫師週班表!$C$5:$T$44,$CU24,AM$57),""),2,1)="/",MID(IFERROR(INDEX(醫師週班表!$C$5:$T$44,$CU24,AM$57),""),1+AM$58*2,1),IF(MID(IFERROR(INDEX(醫師週班表!$C$5:$T$44,$CU24,AM$57),""),3,1)="隔",IF(AM$58=0,LEFT(IFERROR(INDEX(醫師週班表!$C$5:$T$44,$CU24,AM$57),""),1),""),IF(MID(IFERROR(INDEX(醫師週班表!$C$5:$T$44,$CU24,AM$57),""),2,1)="(",LEFT(IFERROR(INDEX(醫師週班表!$C$5:$T$44,$CU24,AM$57),""),1),IFERROR(INDEX(醫師週班表!$C$5:$T$44,$CU24,AM$57),"")))))))</f>
        <v/>
      </c>
      <c r="AN24" s="72">
        <f>IF(AN$59="X","",IF(AN$59&lt;&gt;"",AN$59,IF(IFERROR(INDEX(醫師週班表!$C$5:$T$44,$CU24,AN$57),"")=0,"",IF(MID(IFERROR(INDEX(醫師週班表!$C$5:$T$44,$CU24,AN$57),""),2,1)="/",MID(IFERROR(INDEX(醫師週班表!$C$5:$T$44,$CU24,AN$57),""),1+AN$58*2,1),IF(MID(IFERROR(INDEX(醫師週班表!$C$5:$T$44,$CU24,AN$57),""),3,1)="隔",IF(AN$58=0,LEFT(IFERROR(INDEX(醫師週班表!$C$5:$T$44,$CU24,AN$57),""),1),""),IF(MID(IFERROR(INDEX(醫師週班表!$C$5:$T$44,$CU24,AN$57),""),2,1)="(",LEFT(IFERROR(INDEX(醫師週班表!$C$5:$T$44,$CU24,AN$57),""),1),IFERROR(INDEX(醫師週班表!$C$5:$T$44,$CU24,AN$57),"")))))))</f>
        <v/>
      </c>
      <c r="AO24" s="71">
        <f>IF(AO$59="X","",IF(AO$59&lt;&gt;"",AO$59,IF(IFERROR(INDEX(醫師週班表!$C$5:$T$44,$CU24,AO$57),"")=0,"",IF(MID(IFERROR(INDEX(醫師週班表!$C$5:$T$44,$CU24,AO$57),""),2,1)="/",MID(IFERROR(INDEX(醫師週班表!$C$5:$T$44,$CU24,AO$57),""),1+AO$58*2,1),IF(MID(IFERROR(INDEX(醫師週班表!$C$5:$T$44,$CU24,AO$57),""),3,1)="隔",IF(AO$58=0,LEFT(IFERROR(INDEX(醫師週班表!$C$5:$T$44,$CU24,AO$57),""),1),""),IF(MID(IFERROR(INDEX(醫師週班表!$C$5:$T$44,$CU24,AO$57),""),2,1)="(",LEFT(IFERROR(INDEX(醫師週班表!$C$5:$T$44,$CU24,AO$57),""),1),IFERROR(INDEX(醫師週班表!$C$5:$T$44,$CU24,AO$57),"")))))))</f>
        <v/>
      </c>
      <c r="AP24" s="72">
        <f>IF(AP$59="X","",IF(AP$59&lt;&gt;"",AP$59,IF(IFERROR(INDEX(醫師週班表!$C$5:$T$44,$CU24,AP$57),"")=0,"",IF(MID(IFERROR(INDEX(醫師週班表!$C$5:$T$44,$CU24,AP$57),""),2,1)="/",MID(IFERROR(INDEX(醫師週班表!$C$5:$T$44,$CU24,AP$57),""),1+AP$58*2,1),IF(MID(IFERROR(INDEX(醫師週班表!$C$5:$T$44,$CU24,AP$57),""),3,1)="隔",IF(AP$58=0,LEFT(IFERROR(INDEX(醫師週班表!$C$5:$T$44,$CU24,AP$57),""),1),""),IF(MID(IFERROR(INDEX(醫師週班表!$C$5:$T$44,$CU24,AP$57),""),2,1)="(",LEFT(IFERROR(INDEX(醫師週班表!$C$5:$T$44,$CU24,AP$57),""),1),IFERROR(INDEX(醫師週班表!$C$5:$T$44,$CU24,AP$57),"")))))))</f>
        <v/>
      </c>
      <c r="AQ24" s="72">
        <f>IF(AQ$59="X","",IF(AQ$59&lt;&gt;"",AQ$59,IF(IFERROR(INDEX(醫師週班表!$C$5:$T$44,$CU24,AQ$57),"")=0,"",IF(MID(IFERROR(INDEX(醫師週班表!$C$5:$T$44,$CU24,AQ$57),""),2,1)="/",MID(IFERROR(INDEX(醫師週班表!$C$5:$T$44,$CU24,AQ$57),""),1+AQ$58*2,1),IF(MID(IFERROR(INDEX(醫師週班表!$C$5:$T$44,$CU24,AQ$57),""),3,1)="隔",IF(AQ$58=0,LEFT(IFERROR(INDEX(醫師週班表!$C$5:$T$44,$CU24,AQ$57),""),1),""),IF(MID(IFERROR(INDEX(醫師週班表!$C$5:$T$44,$CU24,AQ$57),""),2,1)="(",LEFT(IFERROR(INDEX(醫師週班表!$C$5:$T$44,$CU24,AQ$57),""),1),IFERROR(INDEX(醫師週班表!$C$5:$T$44,$CU24,AQ$57),"")))))))</f>
        <v/>
      </c>
      <c r="AR24" s="71">
        <f>IF(AR$59="X","",IF(AR$59&lt;&gt;"",AR$59,IF(IFERROR(INDEX(醫師週班表!$C$5:$T$44,$CU24,AR$57),"")=0,"",IF(MID(IFERROR(INDEX(醫師週班表!$C$5:$T$44,$CU24,AR$57),""),2,1)="/",MID(IFERROR(INDEX(醫師週班表!$C$5:$T$44,$CU24,AR$57),""),1+AR$58*2,1),IF(MID(IFERROR(INDEX(醫師週班表!$C$5:$T$44,$CU24,AR$57),""),3,1)="隔",IF(AR$58=0,LEFT(IFERROR(INDEX(醫師週班表!$C$5:$T$44,$CU24,AR$57),""),1),""),IF(MID(IFERROR(INDEX(醫師週班表!$C$5:$T$44,$CU24,AR$57),""),2,1)="(",LEFT(IFERROR(INDEX(醫師週班表!$C$5:$T$44,$CU24,AR$57),""),1),IFERROR(INDEX(醫師週班表!$C$5:$T$44,$CU24,AR$57),"")))))))</f>
        <v/>
      </c>
      <c r="AS24" s="72">
        <f>IF(AS$59="X","",IF(AS$59&lt;&gt;"",AS$59,IF(IFERROR(INDEX(醫師週班表!$C$5:$T$44,$CU24,AS$57),"")=0,"",IF(MID(IFERROR(INDEX(醫師週班表!$C$5:$T$44,$CU24,AS$57),""),2,1)="/",MID(IFERROR(INDEX(醫師週班表!$C$5:$T$44,$CU24,AS$57),""),1+AS$58*2,1),IF(MID(IFERROR(INDEX(醫師週班表!$C$5:$T$44,$CU24,AS$57),""),3,1)="隔",IF(AS$58=0,LEFT(IFERROR(INDEX(醫師週班表!$C$5:$T$44,$CU24,AS$57),""),1),""),IF(MID(IFERROR(INDEX(醫師週班表!$C$5:$T$44,$CU24,AS$57),""),2,1)="(",LEFT(IFERROR(INDEX(醫師週班表!$C$5:$T$44,$CU24,AS$57),""),1),IFERROR(INDEX(醫師週班表!$C$5:$T$44,$CU24,AS$57),"")))))))</f>
        <v/>
      </c>
      <c r="AT24" s="72">
        <f>IF(AT$59="X","",IF(AT$59&lt;&gt;"",AT$59,IF(IFERROR(INDEX(醫師週班表!$C$5:$T$44,$CU24,AT$57),"")=0,"",IF(MID(IFERROR(INDEX(醫師週班表!$C$5:$T$44,$CU24,AT$57),""),2,1)="/",MID(IFERROR(INDEX(醫師週班表!$C$5:$T$44,$CU24,AT$57),""),1+AT$58*2,1),IF(MID(IFERROR(INDEX(醫師週班表!$C$5:$T$44,$CU24,AT$57),""),3,1)="隔",IF(AT$58=0,LEFT(IFERROR(INDEX(醫師週班表!$C$5:$T$44,$CU24,AT$57),""),1),""),IF(MID(IFERROR(INDEX(醫師週班表!$C$5:$T$44,$CU24,AT$57),""),2,1)="(",LEFT(IFERROR(INDEX(醫師週班表!$C$5:$T$44,$CU24,AT$57),""),1),IFERROR(INDEX(醫師週班表!$C$5:$T$44,$CU24,AT$57),"")))))))</f>
        <v/>
      </c>
      <c r="AU24" s="71">
        <f>IF(AU$59="X","",IF(AU$59&lt;&gt;"",AU$59,IF(IFERROR(INDEX(醫師週班表!$C$5:$T$44,$CU24,AU$57),"")=0,"",IF(MID(IFERROR(INDEX(醫師週班表!$C$5:$T$44,$CU24,AU$57),""),2,1)="/",MID(IFERROR(INDEX(醫師週班表!$C$5:$T$44,$CU24,AU$57),""),1+AU$58*2,1),IF(MID(IFERROR(INDEX(醫師週班表!$C$5:$T$44,$CU24,AU$57),""),3,1)="隔",IF(AU$58=0,LEFT(IFERROR(INDEX(醫師週班表!$C$5:$T$44,$CU24,AU$57),""),1),""),IF(MID(IFERROR(INDEX(醫師週班表!$C$5:$T$44,$CU24,AU$57),""),2,1)="(",LEFT(IFERROR(INDEX(醫師週班表!$C$5:$T$44,$CU24,AU$57),""),1),IFERROR(INDEX(醫師週班表!$C$5:$T$44,$CU24,AU$57),"")))))))</f>
        <v/>
      </c>
      <c r="AV24" s="72">
        <f>IF(AV$59="X","",IF(AV$59&lt;&gt;"",AV$59,IF(IFERROR(INDEX(醫師週班表!$C$5:$T$44,$CU24,AV$57),"")=0,"",IF(MID(IFERROR(INDEX(醫師週班表!$C$5:$T$44,$CU24,AV$57),""),2,1)="/",MID(IFERROR(INDEX(醫師週班表!$C$5:$T$44,$CU24,AV$57),""),1+AV$58*2,1),IF(MID(IFERROR(INDEX(醫師週班表!$C$5:$T$44,$CU24,AV$57),""),3,1)="隔",IF(AV$58=0,LEFT(IFERROR(INDEX(醫師週班表!$C$5:$T$44,$CU24,AV$57),""),1),""),IF(MID(IFERROR(INDEX(醫師週班表!$C$5:$T$44,$CU24,AV$57),""),2,1)="(",LEFT(IFERROR(INDEX(醫師週班表!$C$5:$T$44,$CU24,AV$57),""),1),IFERROR(INDEX(醫師週班表!$C$5:$T$44,$CU24,AV$57),"")))))))</f>
        <v/>
      </c>
      <c r="AW24" s="72">
        <f>IF(AW$59="X","",IF(AW$59&lt;&gt;"",AW$59,IF(IFERROR(INDEX(醫師週班表!$C$5:$T$44,$CU24,AW$57),"")=0,"",IF(MID(IFERROR(INDEX(醫師週班表!$C$5:$T$44,$CU24,AW$57),""),2,1)="/",MID(IFERROR(INDEX(醫師週班表!$C$5:$T$44,$CU24,AW$57),""),1+AW$58*2,1),IF(MID(IFERROR(INDEX(醫師週班表!$C$5:$T$44,$CU24,AW$57),""),3,1)="隔",IF(AW$58=0,LEFT(IFERROR(INDEX(醫師週班表!$C$5:$T$44,$CU24,AW$57),""),1),""),IF(MID(IFERROR(INDEX(醫師週班表!$C$5:$T$44,$CU24,AW$57),""),2,1)="(",LEFT(IFERROR(INDEX(醫師週班表!$C$5:$T$44,$CU24,AW$57),""),1),IFERROR(INDEX(醫師週班表!$C$5:$T$44,$CU24,AW$57),"")))))))</f>
        <v/>
      </c>
      <c r="AX24" s="71">
        <f>IF(AX$59="X","",IF(AX$59&lt;&gt;"",AX$59,IF(IFERROR(INDEX(醫師週班表!$C$5:$T$44,$CU24,AX$57),"")=0,"",IF(MID(IFERROR(INDEX(醫師週班表!$C$5:$T$44,$CU24,AX$57),""),2,1)="/",MID(IFERROR(INDEX(醫師週班表!$C$5:$T$44,$CU24,AX$57),""),1+AX$58*2,1),IF(MID(IFERROR(INDEX(醫師週班表!$C$5:$T$44,$CU24,AX$57),""),3,1)="隔",IF(AX$58=0,LEFT(IFERROR(INDEX(醫師週班表!$C$5:$T$44,$CU24,AX$57),""),1),""),IF(MID(IFERROR(INDEX(醫師週班表!$C$5:$T$44,$CU24,AX$57),""),2,1)="(",LEFT(IFERROR(INDEX(醫師週班表!$C$5:$T$44,$CU24,AX$57),""),1),IFERROR(INDEX(醫師週班表!$C$5:$T$44,$CU24,AX$57),"")))))))</f>
        <v/>
      </c>
      <c r="AY24" s="72">
        <f>IF(AY$59="X","",IF(AY$59&lt;&gt;"",AY$59,IF(IFERROR(INDEX(醫師週班表!$C$5:$T$44,$CU24,AY$57),"")=0,"",IF(MID(IFERROR(INDEX(醫師週班表!$C$5:$T$44,$CU24,AY$57),""),2,1)="/",MID(IFERROR(INDEX(醫師週班表!$C$5:$T$44,$CU24,AY$57),""),1+AY$58*2,1),IF(MID(IFERROR(INDEX(醫師週班表!$C$5:$T$44,$CU24,AY$57),""),3,1)="隔",IF(AY$58=0,LEFT(IFERROR(INDEX(醫師週班表!$C$5:$T$44,$CU24,AY$57),""),1),""),IF(MID(IFERROR(INDEX(醫師週班表!$C$5:$T$44,$CU24,AY$57),""),2,1)="(",LEFT(IFERROR(INDEX(醫師週班表!$C$5:$T$44,$CU24,AY$57),""),1),IFERROR(INDEX(醫師週班表!$C$5:$T$44,$CU24,AY$57),"")))))))</f>
        <v/>
      </c>
      <c r="AZ24" s="72">
        <f>IF(AZ$59="X","",IF(AZ$59&lt;&gt;"",AZ$59,IF(IFERROR(INDEX(醫師週班表!$C$5:$T$44,$CU24,AZ$57),"")=0,"",IF(MID(IFERROR(INDEX(醫師週班表!$C$5:$T$44,$CU24,AZ$57),""),2,1)="/",MID(IFERROR(INDEX(醫師週班表!$C$5:$T$44,$CU24,AZ$57),""),1+AZ$58*2,1),IF(MID(IFERROR(INDEX(醫師週班表!$C$5:$T$44,$CU24,AZ$57),""),3,1)="隔",IF(AZ$58=0,LEFT(IFERROR(INDEX(醫師週班表!$C$5:$T$44,$CU24,AZ$57),""),1),""),IF(MID(IFERROR(INDEX(醫師週班表!$C$5:$T$44,$CU24,AZ$57),""),2,1)="(",LEFT(IFERROR(INDEX(醫師週班表!$C$5:$T$44,$CU24,AZ$57),""),1),IFERROR(INDEX(醫師週班表!$C$5:$T$44,$CU24,AZ$57),"")))))))</f>
        <v/>
      </c>
      <c r="BA24" s="71">
        <f>IF(BA$59="X","",IF(BA$59&lt;&gt;"",BA$59,IF(IFERROR(INDEX(醫師週班表!$C$5:$T$44,$CU24,BA$57),"")=0,"",IF(MID(IFERROR(INDEX(醫師週班表!$C$5:$T$44,$CU24,BA$57),""),2,1)="/",MID(IFERROR(INDEX(醫師週班表!$C$5:$T$44,$CU24,BA$57),""),1+BA$58*2,1),IF(MID(IFERROR(INDEX(醫師週班表!$C$5:$T$44,$CU24,BA$57),""),3,1)="隔",IF(BA$58=0,LEFT(IFERROR(INDEX(醫師週班表!$C$5:$T$44,$CU24,BA$57),""),1),""),IF(MID(IFERROR(INDEX(醫師週班表!$C$5:$T$44,$CU24,BA$57),""),2,1)="(",LEFT(IFERROR(INDEX(醫師週班表!$C$5:$T$44,$CU24,BA$57),""),1),IFERROR(INDEX(醫師週班表!$C$5:$T$44,$CU24,BA$57),"")))))))</f>
        <v/>
      </c>
      <c r="BB24" s="72">
        <f>IF(BB$59="X","",IF(BB$59&lt;&gt;"",BB$59,IF(IFERROR(INDEX(醫師週班表!$C$5:$T$44,$CU24,BB$57),"")=0,"",IF(MID(IFERROR(INDEX(醫師週班表!$C$5:$T$44,$CU24,BB$57),""),2,1)="/",MID(IFERROR(INDEX(醫師週班表!$C$5:$T$44,$CU24,BB$57),""),1+BB$58*2,1),IF(MID(IFERROR(INDEX(醫師週班表!$C$5:$T$44,$CU24,BB$57),""),3,1)="隔",IF(BB$58=0,LEFT(IFERROR(INDEX(醫師週班表!$C$5:$T$44,$CU24,BB$57),""),1),""),IF(MID(IFERROR(INDEX(醫師週班表!$C$5:$T$44,$CU24,BB$57),""),2,1)="(",LEFT(IFERROR(INDEX(醫師週班表!$C$5:$T$44,$CU24,BB$57),""),1),IFERROR(INDEX(醫師週班表!$C$5:$T$44,$CU24,BB$57),"")))))))</f>
        <v/>
      </c>
      <c r="BC24" s="72">
        <f>IF(BC$59="X","",IF(BC$59&lt;&gt;"",BC$59,IF(IFERROR(INDEX(醫師週班表!$C$5:$T$44,$CU24,BC$57),"")=0,"",IF(MID(IFERROR(INDEX(醫師週班表!$C$5:$T$44,$CU24,BC$57),""),2,1)="/",MID(IFERROR(INDEX(醫師週班表!$C$5:$T$44,$CU24,BC$57),""),1+BC$58*2,1),IF(MID(IFERROR(INDEX(醫師週班表!$C$5:$T$44,$CU24,BC$57),""),3,1)="隔",IF(BC$58=0,LEFT(IFERROR(INDEX(醫師週班表!$C$5:$T$44,$CU24,BC$57),""),1),""),IF(MID(IFERROR(INDEX(醫師週班表!$C$5:$T$44,$CU24,BC$57),""),2,1)="(",LEFT(IFERROR(INDEX(醫師週班表!$C$5:$T$44,$CU24,BC$57),""),1),IFERROR(INDEX(醫師週班表!$C$5:$T$44,$CU24,BC$57),"")))))))</f>
        <v/>
      </c>
      <c r="BD24" s="71">
        <f>IF(BD$59="X","",IF(BD$59&lt;&gt;"",BD$59,IF(IFERROR(INDEX(醫師週班表!$C$5:$T$44,$CU24,BD$57),"")=0,"",IF(MID(IFERROR(INDEX(醫師週班表!$C$5:$T$44,$CU24,BD$57),""),2,1)="/",MID(IFERROR(INDEX(醫師週班表!$C$5:$T$44,$CU24,BD$57),""),1+BD$58*2,1),IF(MID(IFERROR(INDEX(醫師週班表!$C$5:$T$44,$CU24,BD$57),""),3,1)="隔",IF(BD$58=0,LEFT(IFERROR(INDEX(醫師週班表!$C$5:$T$44,$CU24,BD$57),""),1),""),IF(MID(IFERROR(INDEX(醫師週班表!$C$5:$T$44,$CU24,BD$57),""),2,1)="(",LEFT(IFERROR(INDEX(醫師週班表!$C$5:$T$44,$CU24,BD$57),""),1),IFERROR(INDEX(醫師週班表!$C$5:$T$44,$CU24,BD$57),"")))))))</f>
        <v/>
      </c>
      <c r="BE24" s="72">
        <f>IF(BE$59="X","",IF(BE$59&lt;&gt;"",BE$59,IF(IFERROR(INDEX(醫師週班表!$C$5:$T$44,$CU24,BE$57),"")=0,"",IF(MID(IFERROR(INDEX(醫師週班表!$C$5:$T$44,$CU24,BE$57),""),2,1)="/",MID(IFERROR(INDEX(醫師週班表!$C$5:$T$44,$CU24,BE$57),""),1+BE$58*2,1),IF(MID(IFERROR(INDEX(醫師週班表!$C$5:$T$44,$CU24,BE$57),""),3,1)="隔",IF(BE$58=0,LEFT(IFERROR(INDEX(醫師週班表!$C$5:$T$44,$CU24,BE$57),""),1),""),IF(MID(IFERROR(INDEX(醫師週班表!$C$5:$T$44,$CU24,BE$57),""),2,1)="(",LEFT(IFERROR(INDEX(醫師週班表!$C$5:$T$44,$CU24,BE$57),""),1),IFERROR(INDEX(醫師週班表!$C$5:$T$44,$CU24,BE$57),"")))))))</f>
        <v/>
      </c>
      <c r="BF24" s="72">
        <f>IF(BF$59="X","",IF(BF$59&lt;&gt;"",BF$59,IF(IFERROR(INDEX(醫師週班表!$C$5:$T$44,$CU24,BF$57),"")=0,"",IF(MID(IFERROR(INDEX(醫師週班表!$C$5:$T$44,$CU24,BF$57),""),2,1)="/",MID(IFERROR(INDEX(醫師週班表!$C$5:$T$44,$CU24,BF$57),""),1+BF$58*2,1),IF(MID(IFERROR(INDEX(醫師週班表!$C$5:$T$44,$CU24,BF$57),""),3,1)="隔",IF(BF$58=0,LEFT(IFERROR(INDEX(醫師週班表!$C$5:$T$44,$CU24,BF$57),""),1),""),IF(MID(IFERROR(INDEX(醫師週班表!$C$5:$T$44,$CU24,BF$57),""),2,1)="(",LEFT(IFERROR(INDEX(醫師週班表!$C$5:$T$44,$CU24,BF$57),""),1),IFERROR(INDEX(醫師週班表!$C$5:$T$44,$CU24,BF$57),"")))))))</f>
        <v/>
      </c>
      <c r="BG24" s="71">
        <f>IF(BG$59="X","",IF(BG$59&lt;&gt;"",BG$59,IF(IFERROR(INDEX(醫師週班表!$C$5:$T$44,$CU24,BG$57),"")=0,"",IF(MID(IFERROR(INDEX(醫師週班表!$C$5:$T$44,$CU24,BG$57),""),2,1)="/",MID(IFERROR(INDEX(醫師週班表!$C$5:$T$44,$CU24,BG$57),""),1+BG$58*2,1),IF(MID(IFERROR(INDEX(醫師週班表!$C$5:$T$44,$CU24,BG$57),""),3,1)="隔",IF(BG$58=0,LEFT(IFERROR(INDEX(醫師週班表!$C$5:$T$44,$CU24,BG$57),""),1),""),IF(MID(IFERROR(INDEX(醫師週班表!$C$5:$T$44,$CU24,BG$57),""),2,1)="(",LEFT(IFERROR(INDEX(醫師週班表!$C$5:$T$44,$CU24,BG$57),""),1),IFERROR(INDEX(醫師週班表!$C$5:$T$44,$CU24,BG$57),"")))))))</f>
        <v/>
      </c>
      <c r="BH24" s="72">
        <f>IF(BH$59="X","",IF(BH$59&lt;&gt;"",BH$59,IF(IFERROR(INDEX(醫師週班表!$C$5:$T$44,$CU24,BH$57),"")=0,"",IF(MID(IFERROR(INDEX(醫師週班表!$C$5:$T$44,$CU24,BH$57),""),2,1)="/",MID(IFERROR(INDEX(醫師週班表!$C$5:$T$44,$CU24,BH$57),""),1+BH$58*2,1),IF(MID(IFERROR(INDEX(醫師週班表!$C$5:$T$44,$CU24,BH$57),""),3,1)="隔",IF(BH$58=0,LEFT(IFERROR(INDEX(醫師週班表!$C$5:$T$44,$CU24,BH$57),""),1),""),IF(MID(IFERROR(INDEX(醫師週班表!$C$5:$T$44,$CU24,BH$57),""),2,1)="(",LEFT(IFERROR(INDEX(醫師週班表!$C$5:$T$44,$CU24,BH$57),""),1),IFERROR(INDEX(醫師週班表!$C$5:$T$44,$CU24,BH$57),"")))))))</f>
        <v/>
      </c>
      <c r="BI24" s="72">
        <f>IF(BI$59="X","",IF(BI$59&lt;&gt;"",BI$59,IF(IFERROR(INDEX(醫師週班表!$C$5:$T$44,$CU24,BI$57),"")=0,"",IF(MID(IFERROR(INDEX(醫師週班表!$C$5:$T$44,$CU24,BI$57),""),2,1)="/",MID(IFERROR(INDEX(醫師週班表!$C$5:$T$44,$CU24,BI$57),""),1+BI$58*2,1),IF(MID(IFERROR(INDEX(醫師週班表!$C$5:$T$44,$CU24,BI$57),""),3,1)="隔",IF(BI$58=0,LEFT(IFERROR(INDEX(醫師週班表!$C$5:$T$44,$CU24,BI$57),""),1),""),IF(MID(IFERROR(INDEX(醫師週班表!$C$5:$T$44,$CU24,BI$57),""),2,1)="(",LEFT(IFERROR(INDEX(醫師週班表!$C$5:$T$44,$CU24,BI$57),""),1),IFERROR(INDEX(醫師週班表!$C$5:$T$44,$CU24,BI$57),"")))))))</f>
        <v/>
      </c>
      <c r="BJ24" s="71">
        <f>IF(BJ$59="X","",IF(BJ$59&lt;&gt;"",BJ$59,IF(IFERROR(INDEX(醫師週班表!$C$5:$T$44,$CU24,BJ$57),"")=0,"",IF(MID(IFERROR(INDEX(醫師週班表!$C$5:$T$44,$CU24,BJ$57),""),2,1)="/",MID(IFERROR(INDEX(醫師週班表!$C$5:$T$44,$CU24,BJ$57),""),1+BJ$58*2,1),IF(MID(IFERROR(INDEX(醫師週班表!$C$5:$T$44,$CU24,BJ$57),""),3,1)="隔",IF(BJ$58=0,LEFT(IFERROR(INDEX(醫師週班表!$C$5:$T$44,$CU24,BJ$57),""),1),""),IF(MID(IFERROR(INDEX(醫師週班表!$C$5:$T$44,$CU24,BJ$57),""),2,1)="(",LEFT(IFERROR(INDEX(醫師週班表!$C$5:$T$44,$CU24,BJ$57),""),1),IFERROR(INDEX(醫師週班表!$C$5:$T$44,$CU24,BJ$57),"")))))))</f>
        <v/>
      </c>
      <c r="BK24" s="72">
        <f>IF(BK$59="X","",IF(BK$59&lt;&gt;"",BK$59,IF(IFERROR(INDEX(醫師週班表!$C$5:$T$44,$CU24,BK$57),"")=0,"",IF(MID(IFERROR(INDEX(醫師週班表!$C$5:$T$44,$CU24,BK$57),""),2,1)="/",MID(IFERROR(INDEX(醫師週班表!$C$5:$T$44,$CU24,BK$57),""),1+BK$58*2,1),IF(MID(IFERROR(INDEX(醫師週班表!$C$5:$T$44,$CU24,BK$57),""),3,1)="隔",IF(BK$58=0,LEFT(IFERROR(INDEX(醫師週班表!$C$5:$T$44,$CU24,BK$57),""),1),""),IF(MID(IFERROR(INDEX(醫師週班表!$C$5:$T$44,$CU24,BK$57),""),2,1)="(",LEFT(IFERROR(INDEX(醫師週班表!$C$5:$T$44,$CU24,BK$57),""),1),IFERROR(INDEX(醫師週班表!$C$5:$T$44,$CU24,BK$57),"")))))))</f>
        <v/>
      </c>
      <c r="BL24" s="72">
        <f>IF(BL$59="X","",IF(BL$59&lt;&gt;"",BL$59,IF(IFERROR(INDEX(醫師週班表!$C$5:$T$44,$CU24,BL$57),"")=0,"",IF(MID(IFERROR(INDEX(醫師週班表!$C$5:$T$44,$CU24,BL$57),""),2,1)="/",MID(IFERROR(INDEX(醫師週班表!$C$5:$T$44,$CU24,BL$57),""),1+BL$58*2,1),IF(MID(IFERROR(INDEX(醫師週班表!$C$5:$T$44,$CU24,BL$57),""),3,1)="隔",IF(BL$58=0,LEFT(IFERROR(INDEX(醫師週班表!$C$5:$T$44,$CU24,BL$57),""),1),""),IF(MID(IFERROR(INDEX(醫師週班表!$C$5:$T$44,$CU24,BL$57),""),2,1)="(",LEFT(IFERROR(INDEX(醫師週班表!$C$5:$T$44,$CU24,BL$57),""),1),IFERROR(INDEX(醫師週班表!$C$5:$T$44,$CU24,BL$57),"")))))))</f>
        <v/>
      </c>
      <c r="BM24" s="71">
        <f>IF(BM$59="X","",IF(BM$59&lt;&gt;"",BM$59,IF(IFERROR(INDEX(醫師週班表!$C$5:$T$44,$CU24,BM$57),"")=0,"",IF(MID(IFERROR(INDEX(醫師週班表!$C$5:$T$44,$CU24,BM$57),""),2,1)="/",MID(IFERROR(INDEX(醫師週班表!$C$5:$T$44,$CU24,BM$57),""),1+BM$58*2,1),IF(MID(IFERROR(INDEX(醫師週班表!$C$5:$T$44,$CU24,BM$57),""),3,1)="隔",IF(BM$58=0,LEFT(IFERROR(INDEX(醫師週班表!$C$5:$T$44,$CU24,BM$57),""),1),""),IF(MID(IFERROR(INDEX(醫師週班表!$C$5:$T$44,$CU24,BM$57),""),2,1)="(",LEFT(IFERROR(INDEX(醫師週班表!$C$5:$T$44,$CU24,BM$57),""),1),IFERROR(INDEX(醫師週班表!$C$5:$T$44,$CU24,BM$57),"")))))))</f>
        <v/>
      </c>
      <c r="BN24" s="72">
        <f>IF(BN$59="X","",IF(BN$59&lt;&gt;"",BN$59,IF(IFERROR(INDEX(醫師週班表!$C$5:$T$44,$CU24,BN$57),"")=0,"",IF(MID(IFERROR(INDEX(醫師週班表!$C$5:$T$44,$CU24,BN$57),""),2,1)="/",MID(IFERROR(INDEX(醫師週班表!$C$5:$T$44,$CU24,BN$57),""),1+BN$58*2,1),IF(MID(IFERROR(INDEX(醫師週班表!$C$5:$T$44,$CU24,BN$57),""),3,1)="隔",IF(BN$58=0,LEFT(IFERROR(INDEX(醫師週班表!$C$5:$T$44,$CU24,BN$57),""),1),""),IF(MID(IFERROR(INDEX(醫師週班表!$C$5:$T$44,$CU24,BN$57),""),2,1)="(",LEFT(IFERROR(INDEX(醫師週班表!$C$5:$T$44,$CU24,BN$57),""),1),IFERROR(INDEX(醫師週班表!$C$5:$T$44,$CU24,BN$57),"")))))))</f>
        <v/>
      </c>
      <c r="BO24" s="72">
        <f>IF(BO$59="X","",IF(BO$59&lt;&gt;"",BO$59,IF(IFERROR(INDEX(醫師週班表!$C$5:$T$44,$CU24,BO$57),"")=0,"",IF(MID(IFERROR(INDEX(醫師週班表!$C$5:$T$44,$CU24,BO$57),""),2,1)="/",MID(IFERROR(INDEX(醫師週班表!$C$5:$T$44,$CU24,BO$57),""),1+BO$58*2,1),IF(MID(IFERROR(INDEX(醫師週班表!$C$5:$T$44,$CU24,BO$57),""),3,1)="隔",IF(BO$58=0,LEFT(IFERROR(INDEX(醫師週班表!$C$5:$T$44,$CU24,BO$57),""),1),""),IF(MID(IFERROR(INDEX(醫師週班表!$C$5:$T$44,$CU24,BO$57),""),2,1)="(",LEFT(IFERROR(INDEX(醫師週班表!$C$5:$T$44,$CU24,BO$57),""),1),IFERROR(INDEX(醫師週班表!$C$5:$T$44,$CU24,BO$57),"")))))))</f>
        <v/>
      </c>
      <c r="BP24" s="71">
        <f>IF(BP$59="X","",IF(BP$59&lt;&gt;"",BP$59,IF(IFERROR(INDEX(醫師週班表!$C$5:$T$44,$CU24,BP$57),"")=0,"",IF(MID(IFERROR(INDEX(醫師週班表!$C$5:$T$44,$CU24,BP$57),""),2,1)="/",MID(IFERROR(INDEX(醫師週班表!$C$5:$T$44,$CU24,BP$57),""),1+BP$58*2,1),IF(MID(IFERROR(INDEX(醫師週班表!$C$5:$T$44,$CU24,BP$57),""),3,1)="隔",IF(BP$58=0,LEFT(IFERROR(INDEX(醫師週班表!$C$5:$T$44,$CU24,BP$57),""),1),""),IF(MID(IFERROR(INDEX(醫師週班表!$C$5:$T$44,$CU24,BP$57),""),2,1)="(",LEFT(IFERROR(INDEX(醫師週班表!$C$5:$T$44,$CU24,BP$57),""),1),IFERROR(INDEX(醫師週班表!$C$5:$T$44,$CU24,BP$57),"")))))))</f>
        <v/>
      </c>
      <c r="BQ24" s="72">
        <f>IF(BQ$59="X","",IF(BQ$59&lt;&gt;"",BQ$59,IF(IFERROR(INDEX(醫師週班表!$C$5:$T$44,$CU24,BQ$57),"")=0,"",IF(MID(IFERROR(INDEX(醫師週班表!$C$5:$T$44,$CU24,BQ$57),""),2,1)="/",MID(IFERROR(INDEX(醫師週班表!$C$5:$T$44,$CU24,BQ$57),""),1+BQ$58*2,1),IF(MID(IFERROR(INDEX(醫師週班表!$C$5:$T$44,$CU24,BQ$57),""),3,1)="隔",IF(BQ$58=0,LEFT(IFERROR(INDEX(醫師週班表!$C$5:$T$44,$CU24,BQ$57),""),1),""),IF(MID(IFERROR(INDEX(醫師週班表!$C$5:$T$44,$CU24,BQ$57),""),2,1)="(",LEFT(IFERROR(INDEX(醫師週班表!$C$5:$T$44,$CU24,BQ$57),""),1),IFERROR(INDEX(醫師週班表!$C$5:$T$44,$CU24,BQ$57),"")))))))</f>
        <v/>
      </c>
      <c r="BR24" s="72">
        <f>IF(BR$59="X","",IF(BR$59&lt;&gt;"",BR$59,IF(IFERROR(INDEX(醫師週班表!$C$5:$T$44,$CU24,BR$57),"")=0,"",IF(MID(IFERROR(INDEX(醫師週班表!$C$5:$T$44,$CU24,BR$57),""),2,1)="/",MID(IFERROR(INDEX(醫師週班表!$C$5:$T$44,$CU24,BR$57),""),1+BR$58*2,1),IF(MID(IFERROR(INDEX(醫師週班表!$C$5:$T$44,$CU24,BR$57),""),3,1)="隔",IF(BR$58=0,LEFT(IFERROR(INDEX(醫師週班表!$C$5:$T$44,$CU24,BR$57),""),1),""),IF(MID(IFERROR(INDEX(醫師週班表!$C$5:$T$44,$CU24,BR$57),""),2,1)="(",LEFT(IFERROR(INDEX(醫師週班表!$C$5:$T$44,$CU24,BR$57),""),1),IFERROR(INDEX(醫師週班表!$C$5:$T$44,$CU24,BR$57),"")))))))</f>
        <v/>
      </c>
      <c r="BS24" s="71">
        <f>IF(BS$59="X","",IF(BS$59&lt;&gt;"",BS$59,IF(IFERROR(INDEX(醫師週班表!$C$5:$T$44,$CU24,BS$57),"")=0,"",IF(MID(IFERROR(INDEX(醫師週班表!$C$5:$T$44,$CU24,BS$57),""),2,1)="/",MID(IFERROR(INDEX(醫師週班表!$C$5:$T$44,$CU24,BS$57),""),1+BS$58*2,1),IF(MID(IFERROR(INDEX(醫師週班表!$C$5:$T$44,$CU24,BS$57),""),3,1)="隔",IF(BS$58=0,LEFT(IFERROR(INDEX(醫師週班表!$C$5:$T$44,$CU24,BS$57),""),1),""),IF(MID(IFERROR(INDEX(醫師週班表!$C$5:$T$44,$CU24,BS$57),""),2,1)="(",LEFT(IFERROR(INDEX(醫師週班表!$C$5:$T$44,$CU24,BS$57),""),1),IFERROR(INDEX(醫師週班表!$C$5:$T$44,$CU24,BS$57),"")))))))</f>
        <v/>
      </c>
      <c r="BT24" s="72">
        <f>IF(BT$59="X","",IF(BT$59&lt;&gt;"",BT$59,IF(IFERROR(INDEX(醫師週班表!$C$5:$T$44,$CU24,BT$57),"")=0,"",IF(MID(IFERROR(INDEX(醫師週班表!$C$5:$T$44,$CU24,BT$57),""),2,1)="/",MID(IFERROR(INDEX(醫師週班表!$C$5:$T$44,$CU24,BT$57),""),1+BT$58*2,1),IF(MID(IFERROR(INDEX(醫師週班表!$C$5:$T$44,$CU24,BT$57),""),3,1)="隔",IF(BT$58=0,LEFT(IFERROR(INDEX(醫師週班表!$C$5:$T$44,$CU24,BT$57),""),1),""),IF(MID(IFERROR(INDEX(醫師週班表!$C$5:$T$44,$CU24,BT$57),""),2,1)="(",LEFT(IFERROR(INDEX(醫師週班表!$C$5:$T$44,$CU24,BT$57),""),1),IFERROR(INDEX(醫師週班表!$C$5:$T$44,$CU24,BT$57),"")))))))</f>
        <v/>
      </c>
      <c r="BU24" s="72">
        <f>IF(BU$59="X","",IF(BU$59&lt;&gt;"",BU$59,IF(IFERROR(INDEX(醫師週班表!$C$5:$T$44,$CU24,BU$57),"")=0,"",IF(MID(IFERROR(INDEX(醫師週班表!$C$5:$T$44,$CU24,BU$57),""),2,1)="/",MID(IFERROR(INDEX(醫師週班表!$C$5:$T$44,$CU24,BU$57),""),1+BU$58*2,1),IF(MID(IFERROR(INDEX(醫師週班表!$C$5:$T$44,$CU24,BU$57),""),3,1)="隔",IF(BU$58=0,LEFT(IFERROR(INDEX(醫師週班表!$C$5:$T$44,$CU24,BU$57),""),1),""),IF(MID(IFERROR(INDEX(醫師週班表!$C$5:$T$44,$CU24,BU$57),""),2,1)="(",LEFT(IFERROR(INDEX(醫師週班表!$C$5:$T$44,$CU24,BU$57),""),1),IFERROR(INDEX(醫師週班表!$C$5:$T$44,$CU24,BU$57),"")))))))</f>
        <v/>
      </c>
      <c r="BV24" s="71">
        <f>IF(BV$59="X","",IF(BV$59&lt;&gt;"",BV$59,IF(IFERROR(INDEX(醫師週班表!$C$5:$T$44,$CU24,BV$57),"")=0,"",IF(MID(IFERROR(INDEX(醫師週班表!$C$5:$T$44,$CU24,BV$57),""),2,1)="/",MID(IFERROR(INDEX(醫師週班表!$C$5:$T$44,$CU24,BV$57),""),1+BV$58*2,1),IF(MID(IFERROR(INDEX(醫師週班表!$C$5:$T$44,$CU24,BV$57),""),3,1)="隔",IF(BV$58=0,LEFT(IFERROR(INDEX(醫師週班表!$C$5:$T$44,$CU24,BV$57),""),1),""),IF(MID(IFERROR(INDEX(醫師週班表!$C$5:$T$44,$CU24,BV$57),""),2,1)="(",LEFT(IFERROR(INDEX(醫師週班表!$C$5:$T$44,$CU24,BV$57),""),1),IFERROR(INDEX(醫師週班表!$C$5:$T$44,$CU24,BV$57),"")))))))</f>
        <v/>
      </c>
      <c r="BW24" s="72">
        <f>IF(BW$59="X","",IF(BW$59&lt;&gt;"",BW$59,IF(IFERROR(INDEX(醫師週班表!$C$5:$T$44,$CU24,BW$57),"")=0,"",IF(MID(IFERROR(INDEX(醫師週班表!$C$5:$T$44,$CU24,BW$57),""),2,1)="/",MID(IFERROR(INDEX(醫師週班表!$C$5:$T$44,$CU24,BW$57),""),1+BW$58*2,1),IF(MID(IFERROR(INDEX(醫師週班表!$C$5:$T$44,$CU24,BW$57),""),3,1)="隔",IF(BW$58=0,LEFT(IFERROR(INDEX(醫師週班表!$C$5:$T$44,$CU24,BW$57),""),1),""),IF(MID(IFERROR(INDEX(醫師週班表!$C$5:$T$44,$CU24,BW$57),""),2,1)="(",LEFT(IFERROR(INDEX(醫師週班表!$C$5:$T$44,$CU24,BW$57),""),1),IFERROR(INDEX(醫師週班表!$C$5:$T$44,$CU24,BW$57),"")))))))</f>
        <v/>
      </c>
      <c r="BX24" s="72">
        <f>IF(BX$59="X","",IF(BX$59&lt;&gt;"",BX$59,IF(IFERROR(INDEX(醫師週班表!$C$5:$T$44,$CU24,BX$57),"")=0,"",IF(MID(IFERROR(INDEX(醫師週班表!$C$5:$T$44,$CU24,BX$57),""),2,1)="/",MID(IFERROR(INDEX(醫師週班表!$C$5:$T$44,$CU24,BX$57),""),1+BX$58*2,1),IF(MID(IFERROR(INDEX(醫師週班表!$C$5:$T$44,$CU24,BX$57),""),3,1)="隔",IF(BX$58=0,LEFT(IFERROR(INDEX(醫師週班表!$C$5:$T$44,$CU24,BX$57),""),1),""),IF(MID(IFERROR(INDEX(醫師週班表!$C$5:$T$44,$CU24,BX$57),""),2,1)="(",LEFT(IFERROR(INDEX(醫師週班表!$C$5:$T$44,$CU24,BX$57),""),1),IFERROR(INDEX(醫師週班表!$C$5:$T$44,$CU24,BX$57),"")))))))</f>
        <v/>
      </c>
      <c r="BY24" s="71">
        <f>IF(BY$59="X","",IF(BY$59&lt;&gt;"",BY$59,IF(IFERROR(INDEX(醫師週班表!$C$5:$T$44,$CU24,BY$57),"")=0,"",IF(MID(IFERROR(INDEX(醫師週班表!$C$5:$T$44,$CU24,BY$57),""),2,1)="/",MID(IFERROR(INDEX(醫師週班表!$C$5:$T$44,$CU24,BY$57),""),1+BY$58*2,1),IF(MID(IFERROR(INDEX(醫師週班表!$C$5:$T$44,$CU24,BY$57),""),3,1)="隔",IF(BY$58=0,LEFT(IFERROR(INDEX(醫師週班表!$C$5:$T$44,$CU24,BY$57),""),1),""),IF(MID(IFERROR(INDEX(醫師週班表!$C$5:$T$44,$CU24,BY$57),""),2,1)="(",LEFT(IFERROR(INDEX(醫師週班表!$C$5:$T$44,$CU24,BY$57),""),1),IFERROR(INDEX(醫師週班表!$C$5:$T$44,$CU24,BY$57),"")))))))</f>
        <v/>
      </c>
      <c r="BZ24" s="72">
        <f>IF(BZ$59="X","",IF(BZ$59&lt;&gt;"",BZ$59,IF(IFERROR(INDEX(醫師週班表!$C$5:$T$44,$CU24,BZ$57),"")=0,"",IF(MID(IFERROR(INDEX(醫師週班表!$C$5:$T$44,$CU24,BZ$57),""),2,1)="/",MID(IFERROR(INDEX(醫師週班表!$C$5:$T$44,$CU24,BZ$57),""),1+BZ$58*2,1),IF(MID(IFERROR(INDEX(醫師週班表!$C$5:$T$44,$CU24,BZ$57),""),3,1)="隔",IF(BZ$58=0,LEFT(IFERROR(INDEX(醫師週班表!$C$5:$T$44,$CU24,BZ$57),""),1),""),IF(MID(IFERROR(INDEX(醫師週班表!$C$5:$T$44,$CU24,BZ$57),""),2,1)="(",LEFT(IFERROR(INDEX(醫師週班表!$C$5:$T$44,$CU24,BZ$57),""),1),IFERROR(INDEX(醫師週班表!$C$5:$T$44,$CU24,BZ$57),"")))))))</f>
        <v/>
      </c>
      <c r="CA24" s="72">
        <f>IF(CA$59="X","",IF(CA$59&lt;&gt;"",CA$59,IF(IFERROR(INDEX(醫師週班表!$C$5:$T$44,$CU24,CA$57),"")=0,"",IF(MID(IFERROR(INDEX(醫師週班表!$C$5:$T$44,$CU24,CA$57),""),2,1)="/",MID(IFERROR(INDEX(醫師週班表!$C$5:$T$44,$CU24,CA$57),""),1+CA$58*2,1),IF(MID(IFERROR(INDEX(醫師週班表!$C$5:$T$44,$CU24,CA$57),""),3,1)="隔",IF(CA$58=0,LEFT(IFERROR(INDEX(醫師週班表!$C$5:$T$44,$CU24,CA$57),""),1),""),IF(MID(IFERROR(INDEX(醫師週班表!$C$5:$T$44,$CU24,CA$57),""),2,1)="(",LEFT(IFERROR(INDEX(醫師週班表!$C$5:$T$44,$CU24,CA$57),""),1),IFERROR(INDEX(醫師週班表!$C$5:$T$44,$CU24,CA$57),"")))))))</f>
        <v/>
      </c>
      <c r="CB24" s="71">
        <f>IF(CB$59="X","",IF(CB$59&lt;&gt;"",CB$59,IF(IFERROR(INDEX(醫師週班表!$C$5:$T$44,$CU24,CB$57),"")=0,"",IF(MID(IFERROR(INDEX(醫師週班表!$C$5:$T$44,$CU24,CB$57),""),2,1)="/",MID(IFERROR(INDEX(醫師週班表!$C$5:$T$44,$CU24,CB$57),""),1+CB$58*2,1),IF(MID(IFERROR(INDEX(醫師週班表!$C$5:$T$44,$CU24,CB$57),""),3,1)="隔",IF(CB$58=0,LEFT(IFERROR(INDEX(醫師週班表!$C$5:$T$44,$CU24,CB$57),""),1),""),IF(MID(IFERROR(INDEX(醫師週班表!$C$5:$T$44,$CU24,CB$57),""),2,1)="(",LEFT(IFERROR(INDEX(醫師週班表!$C$5:$T$44,$CU24,CB$57),""),1),IFERROR(INDEX(醫師週班表!$C$5:$T$44,$CU24,CB$57),"")))))))</f>
        <v/>
      </c>
      <c r="CC24" s="72">
        <f>IF(CC$59="X","",IF(CC$59&lt;&gt;"",CC$59,IF(IFERROR(INDEX(醫師週班表!$C$5:$T$44,$CU24,CC$57),"")=0,"",IF(MID(IFERROR(INDEX(醫師週班表!$C$5:$T$44,$CU24,CC$57),""),2,1)="/",MID(IFERROR(INDEX(醫師週班表!$C$5:$T$44,$CU24,CC$57),""),1+CC$58*2,1),IF(MID(IFERROR(INDEX(醫師週班表!$C$5:$T$44,$CU24,CC$57),""),3,1)="隔",IF(CC$58=0,LEFT(IFERROR(INDEX(醫師週班表!$C$5:$T$44,$CU24,CC$57),""),1),""),IF(MID(IFERROR(INDEX(醫師週班表!$C$5:$T$44,$CU24,CC$57),""),2,1)="(",LEFT(IFERROR(INDEX(醫師週班表!$C$5:$T$44,$CU24,CC$57),""),1),IFERROR(INDEX(醫師週班表!$C$5:$T$44,$CU24,CC$57),"")))))))</f>
        <v/>
      </c>
      <c r="CD24" s="72">
        <f>IF(CD$59="X","",IF(CD$59&lt;&gt;"",CD$59,IF(IFERROR(INDEX(醫師週班表!$C$5:$T$44,$CU24,CD$57),"")=0,"",IF(MID(IFERROR(INDEX(醫師週班表!$C$5:$T$44,$CU24,CD$57),""),2,1)="/",MID(IFERROR(INDEX(醫師週班表!$C$5:$T$44,$CU24,CD$57),""),1+CD$58*2,1),IF(MID(IFERROR(INDEX(醫師週班表!$C$5:$T$44,$CU24,CD$57),""),3,1)="隔",IF(CD$58=0,LEFT(IFERROR(INDEX(醫師週班表!$C$5:$T$44,$CU24,CD$57),""),1),""),IF(MID(IFERROR(INDEX(醫師週班表!$C$5:$T$44,$CU24,CD$57),""),2,1)="(",LEFT(IFERROR(INDEX(醫師週班表!$C$5:$T$44,$CU24,CD$57),""),1),IFERROR(INDEX(醫師週班表!$C$5:$T$44,$CU24,CD$57),"")))))))</f>
        <v/>
      </c>
      <c r="CE24" s="71">
        <f>IF(CE$59="X","",IF(CE$59&lt;&gt;"",CE$59,IF(IFERROR(INDEX(醫師週班表!$C$5:$T$44,$CU24,CE$57),"")=0,"",IF(MID(IFERROR(INDEX(醫師週班表!$C$5:$T$44,$CU24,CE$57),""),2,1)="/",MID(IFERROR(INDEX(醫師週班表!$C$5:$T$44,$CU24,CE$57),""),1+CE$58*2,1),IF(MID(IFERROR(INDEX(醫師週班表!$C$5:$T$44,$CU24,CE$57),""),3,1)="隔",IF(CE$58=0,LEFT(IFERROR(INDEX(醫師週班表!$C$5:$T$44,$CU24,CE$57),""),1),""),IF(MID(IFERROR(INDEX(醫師週班表!$C$5:$T$44,$CU24,CE$57),""),2,1)="(",LEFT(IFERROR(INDEX(醫師週班表!$C$5:$T$44,$CU24,CE$57),""),1),IFERROR(INDEX(醫師週班表!$C$5:$T$44,$CU24,CE$57),"")))))))</f>
        <v/>
      </c>
      <c r="CF24" s="72">
        <f>IF(CF$59="X","",IF(CF$59&lt;&gt;"",CF$59,IF(IFERROR(INDEX(醫師週班表!$C$5:$T$44,$CU24,CF$57),"")=0,"",IF(MID(IFERROR(INDEX(醫師週班表!$C$5:$T$44,$CU24,CF$57),""),2,1)="/",MID(IFERROR(INDEX(醫師週班表!$C$5:$T$44,$CU24,CF$57),""),1+CF$58*2,1),IF(MID(IFERROR(INDEX(醫師週班表!$C$5:$T$44,$CU24,CF$57),""),3,1)="隔",IF(CF$58=0,LEFT(IFERROR(INDEX(醫師週班表!$C$5:$T$44,$CU24,CF$57),""),1),""),IF(MID(IFERROR(INDEX(醫師週班表!$C$5:$T$44,$CU24,CF$57),""),2,1)="(",LEFT(IFERROR(INDEX(醫師週班表!$C$5:$T$44,$CU24,CF$57),""),1),IFERROR(INDEX(醫師週班表!$C$5:$T$44,$CU24,CF$57),"")))))))</f>
        <v/>
      </c>
      <c r="CG24" s="72">
        <f>IF(CG$59="X","",IF(CG$59&lt;&gt;"",CG$59,IF(IFERROR(INDEX(醫師週班表!$C$5:$T$44,$CU24,CG$57),"")=0,"",IF(MID(IFERROR(INDEX(醫師週班表!$C$5:$T$44,$CU24,CG$57),""),2,1)="/",MID(IFERROR(INDEX(醫師週班表!$C$5:$T$44,$CU24,CG$57),""),1+CG$58*2,1),IF(MID(IFERROR(INDEX(醫師週班表!$C$5:$T$44,$CU24,CG$57),""),3,1)="隔",IF(CG$58=0,LEFT(IFERROR(INDEX(醫師週班表!$C$5:$T$44,$CU24,CG$57),""),1),""),IF(MID(IFERROR(INDEX(醫師週班表!$C$5:$T$44,$CU24,CG$57),""),2,1)="(",LEFT(IFERROR(INDEX(醫師週班表!$C$5:$T$44,$CU24,CG$57),""),1),IFERROR(INDEX(醫師週班表!$C$5:$T$44,$CU24,CG$57),"")))))))</f>
        <v/>
      </c>
      <c r="CH24" s="71">
        <f>IF(CH$59="X","",IF(CH$59&lt;&gt;"",CH$59,IF(IFERROR(INDEX(醫師週班表!$C$5:$T$44,$CU24,CH$57),"")=0,"",IF(MID(IFERROR(INDEX(醫師週班表!$C$5:$T$44,$CU24,CH$57),""),2,1)="/",MID(IFERROR(INDEX(醫師週班表!$C$5:$T$44,$CU24,CH$57),""),1+CH$58*2,1),IF(MID(IFERROR(INDEX(醫師週班表!$C$5:$T$44,$CU24,CH$57),""),3,1)="隔",IF(CH$58=0,LEFT(IFERROR(INDEX(醫師週班表!$C$5:$T$44,$CU24,CH$57),""),1),""),IF(MID(IFERROR(INDEX(醫師週班表!$C$5:$T$44,$CU24,CH$57),""),2,1)="(",LEFT(IFERROR(INDEX(醫師週班表!$C$5:$T$44,$CU24,CH$57),""),1),IFERROR(INDEX(醫師週班表!$C$5:$T$44,$CU24,CH$57),"")))))))</f>
        <v/>
      </c>
      <c r="CI24" s="72">
        <f>IF(CI$59="X","",IF(CI$59&lt;&gt;"",CI$59,IF(IFERROR(INDEX(醫師週班表!$C$5:$T$44,$CU24,CI$57),"")=0,"",IF(MID(IFERROR(INDEX(醫師週班表!$C$5:$T$44,$CU24,CI$57),""),2,1)="/",MID(IFERROR(INDEX(醫師週班表!$C$5:$T$44,$CU24,CI$57),""),1+CI$58*2,1),IF(MID(IFERROR(INDEX(醫師週班表!$C$5:$T$44,$CU24,CI$57),""),3,1)="隔",IF(CI$58=0,LEFT(IFERROR(INDEX(醫師週班表!$C$5:$T$44,$CU24,CI$57),""),1),""),IF(MID(IFERROR(INDEX(醫師週班表!$C$5:$T$44,$CU24,CI$57),""),2,1)="(",LEFT(IFERROR(INDEX(醫師週班表!$C$5:$T$44,$CU24,CI$57),""),1),IFERROR(INDEX(醫師週班表!$C$5:$T$44,$CU24,CI$57),"")))))))</f>
        <v/>
      </c>
      <c r="CJ24" s="72">
        <f>IF(CJ$59="X","",IF(CJ$59&lt;&gt;"",CJ$59,IF(IFERROR(INDEX(醫師週班表!$C$5:$T$44,$CU24,CJ$57),"")=0,"",IF(MID(IFERROR(INDEX(醫師週班表!$C$5:$T$44,$CU24,CJ$57),""),2,1)="/",MID(IFERROR(INDEX(醫師週班表!$C$5:$T$44,$CU24,CJ$57),""),1+CJ$58*2,1),IF(MID(IFERROR(INDEX(醫師週班表!$C$5:$T$44,$CU24,CJ$57),""),3,1)="隔",IF(CJ$58=0,LEFT(IFERROR(INDEX(醫師週班表!$C$5:$T$44,$CU24,CJ$57),""),1),""),IF(MID(IFERROR(INDEX(醫師週班表!$C$5:$T$44,$CU24,CJ$57),""),2,1)="(",LEFT(IFERROR(INDEX(醫師週班表!$C$5:$T$44,$CU24,CJ$57),""),1),IFERROR(INDEX(醫師週班表!$C$5:$T$44,$CU24,CJ$57),"")))))))</f>
        <v/>
      </c>
      <c r="CK24" s="71">
        <f>IF(CK$59="X","",IF(CK$59&lt;&gt;"",CK$59,IF(IFERROR(INDEX(醫師週班表!$C$5:$T$44,$CU24,CK$57),"")=0,"",IF(MID(IFERROR(INDEX(醫師週班表!$C$5:$T$44,$CU24,CK$57),""),2,1)="/",MID(IFERROR(INDEX(醫師週班表!$C$5:$T$44,$CU24,CK$57),""),1+CK$58*2,1),IF(MID(IFERROR(INDEX(醫師週班表!$C$5:$T$44,$CU24,CK$57),""),3,1)="隔",IF(CK$58=0,LEFT(IFERROR(INDEX(醫師週班表!$C$5:$T$44,$CU24,CK$57),""),1),""),IF(MID(IFERROR(INDEX(醫師週班表!$C$5:$T$44,$CU24,CK$57),""),2,1)="(",LEFT(IFERROR(INDEX(醫師週班表!$C$5:$T$44,$CU24,CK$57),""),1),IFERROR(INDEX(醫師週班表!$C$5:$T$44,$CU24,CK$57),"")))))))</f>
        <v/>
      </c>
      <c r="CL24" s="72">
        <f>IF(CL$59="X","",IF(CL$59&lt;&gt;"",CL$59,IF(IFERROR(INDEX(醫師週班表!$C$5:$T$44,$CU24,CL$57),"")=0,"",IF(MID(IFERROR(INDEX(醫師週班表!$C$5:$T$44,$CU24,CL$57),""),2,1)="/",MID(IFERROR(INDEX(醫師週班表!$C$5:$T$44,$CU24,CL$57),""),1+CL$58*2,1),IF(MID(IFERROR(INDEX(醫師週班表!$C$5:$T$44,$CU24,CL$57),""),3,1)="隔",IF(CL$58=0,LEFT(IFERROR(INDEX(醫師週班表!$C$5:$T$44,$CU24,CL$57),""),1),""),IF(MID(IFERROR(INDEX(醫師週班表!$C$5:$T$44,$CU24,CL$57),""),2,1)="(",LEFT(IFERROR(INDEX(醫師週班表!$C$5:$T$44,$CU24,CL$57),""),1),IFERROR(INDEX(醫師週班表!$C$5:$T$44,$CU24,CL$57),"")))))))</f>
        <v/>
      </c>
      <c r="CM24" s="72">
        <f>IF(CM$59="X","",IF(CM$59&lt;&gt;"",CM$59,IF(IFERROR(INDEX(醫師週班表!$C$5:$T$44,$CU24,CM$57),"")=0,"",IF(MID(IFERROR(INDEX(醫師週班表!$C$5:$T$44,$CU24,CM$57),""),2,1)="/",MID(IFERROR(INDEX(醫師週班表!$C$5:$T$44,$CU24,CM$57),""),1+CM$58*2,1),IF(MID(IFERROR(INDEX(醫師週班表!$C$5:$T$44,$CU24,CM$57),""),3,1)="隔",IF(CM$58=0,LEFT(IFERROR(INDEX(醫師週班表!$C$5:$T$44,$CU24,CM$57),""),1),""),IF(MID(IFERROR(INDEX(醫師週班表!$C$5:$T$44,$CU24,CM$57),""),2,1)="(",LEFT(IFERROR(INDEX(醫師週班表!$C$5:$T$44,$CU24,CM$57),""),1),IFERROR(INDEX(醫師週班表!$C$5:$T$44,$CU24,CM$57),"")))))))</f>
        <v/>
      </c>
      <c r="CN24" s="71">
        <f>IF(CN$59="X","",IF(CN$59&lt;&gt;"",CN$59,IF(IFERROR(INDEX(醫師週班表!$C$5:$T$44,$CU24,CN$57),"")=0,"",IF(MID(IFERROR(INDEX(醫師週班表!$C$5:$T$44,$CU24,CN$57),""),2,1)="/",MID(IFERROR(INDEX(醫師週班表!$C$5:$T$44,$CU24,CN$57),""),1+CN$58*2,1),IF(MID(IFERROR(INDEX(醫師週班表!$C$5:$T$44,$CU24,CN$57),""),3,1)="隔",IF(CN$58=0,LEFT(IFERROR(INDEX(醫師週班表!$C$5:$T$44,$CU24,CN$57),""),1),""),IF(MID(IFERROR(INDEX(醫師週班表!$C$5:$T$44,$CU24,CN$57),""),2,1)="(",LEFT(IFERROR(INDEX(醫師週班表!$C$5:$T$44,$CU24,CN$57),""),1),IFERROR(INDEX(醫師週班表!$C$5:$T$44,$CU24,CN$57),"")))))))</f>
        <v/>
      </c>
      <c r="CO24" s="72">
        <f>IF(CO$59="X","",IF(CO$59&lt;&gt;"",CO$59,IF(IFERROR(INDEX(醫師週班表!$C$5:$T$44,$CU24,CO$57),"")=0,"",IF(MID(IFERROR(INDEX(醫師週班表!$C$5:$T$44,$CU24,CO$57),""),2,1)="/",MID(IFERROR(INDEX(醫師週班表!$C$5:$T$44,$CU24,CO$57),""),1+CO$58*2,1),IF(MID(IFERROR(INDEX(醫師週班表!$C$5:$T$44,$CU24,CO$57),""),3,1)="隔",IF(CO$58=0,LEFT(IFERROR(INDEX(醫師週班表!$C$5:$T$44,$CU24,CO$57),""),1),""),IF(MID(IFERROR(INDEX(醫師週班表!$C$5:$T$44,$CU24,CO$57),""),2,1)="(",LEFT(IFERROR(INDEX(醫師週班表!$C$5:$T$44,$CU24,CO$57),""),1),IFERROR(INDEX(醫師週班表!$C$5:$T$44,$CU24,CO$57),"")))))))</f>
        <v/>
      </c>
      <c r="CP24" s="72">
        <f>IF(CP$59="X","",IF(CP$59&lt;&gt;"",CP$59,IF(IFERROR(INDEX(醫師週班表!$C$5:$T$44,$CU24,CP$57),"")=0,"",IF(MID(IFERROR(INDEX(醫師週班表!$C$5:$T$44,$CU24,CP$57),""),2,1)="/",MID(IFERROR(INDEX(醫師週班表!$C$5:$T$44,$CU24,CP$57),""),1+CP$58*2,1),IF(MID(IFERROR(INDEX(醫師週班表!$C$5:$T$44,$CU24,CP$57),""),3,1)="隔",IF(CP$58=0,LEFT(IFERROR(INDEX(醫師週班表!$C$5:$T$44,$CU24,CP$57),""),1),""),IF(MID(IFERROR(INDEX(醫師週班表!$C$5:$T$44,$CU24,CP$57),""),2,1)="(",LEFT(IFERROR(INDEX(醫師週班表!$C$5:$T$44,$CU24,CP$57),""),1),IFERROR(INDEX(醫師週班表!$C$5:$T$44,$CU24,CP$57),"")))))))</f>
        <v/>
      </c>
      <c r="CQ24" s="71">
        <f>IF(CQ$59="X","",IF(CQ$59&lt;&gt;"",CQ$59,IF(IFERROR(INDEX(醫師週班表!$C$5:$T$44,$CU24,CQ$57),"")=0,"",IF(MID(IFERROR(INDEX(醫師週班表!$C$5:$T$44,$CU24,CQ$57),""),2,1)="/",MID(IFERROR(INDEX(醫師週班表!$C$5:$T$44,$CU24,CQ$57),""),1+CQ$58*2,1),IF(MID(IFERROR(INDEX(醫師週班表!$C$5:$T$44,$CU24,CQ$57),""),3,1)="隔",IF(CQ$58=0,LEFT(IFERROR(INDEX(醫師週班表!$C$5:$T$44,$CU24,CQ$57),""),1),""),IF(MID(IFERROR(INDEX(醫師週班表!$C$5:$T$44,$CU24,CQ$57),""),2,1)="(",LEFT(IFERROR(INDEX(醫師週班表!$C$5:$T$44,$CU24,CQ$57),""),1),IFERROR(INDEX(醫師週班表!$C$5:$T$44,$CU24,CQ$57),"")))))))</f>
        <v/>
      </c>
      <c r="CR24" s="72">
        <f>IF(CR$59="X","",IF(CR$59&lt;&gt;"",CR$59,IF(IFERROR(INDEX(醫師週班表!$C$5:$T$44,$CU24,CR$57),"")=0,"",IF(MID(IFERROR(INDEX(醫師週班表!$C$5:$T$44,$CU24,CR$57),""),2,1)="/",MID(IFERROR(INDEX(醫師週班表!$C$5:$T$44,$CU24,CR$57),""),1+CR$58*2,1),IF(MID(IFERROR(INDEX(醫師週班表!$C$5:$T$44,$CU24,CR$57),""),3,1)="隔",IF(CR$58=0,LEFT(IFERROR(INDEX(醫師週班表!$C$5:$T$44,$CU24,CR$57),""),1),""),IF(MID(IFERROR(INDEX(醫師週班表!$C$5:$T$44,$CU24,CR$57),""),2,1)="(",LEFT(IFERROR(INDEX(醫師週班表!$C$5:$T$44,$CU24,CR$57),""),1),IFERROR(INDEX(醫師週班表!$C$5:$T$44,$CU24,CR$57),"")))))))</f>
        <v/>
      </c>
      <c r="CS24" s="72">
        <f>IF(CS$59="X","",IF(CS$59&lt;&gt;"",CS$59,IF(IFERROR(INDEX(醫師週班表!$C$5:$T$44,$CU24,CS$57),"")=0,"",IF(MID(IFERROR(INDEX(醫師週班表!$C$5:$T$44,$CU24,CS$57),""),2,1)="/",MID(IFERROR(INDEX(醫師週班表!$C$5:$T$44,$CU24,CS$57),""),1+CS$58*2,1),IF(MID(IFERROR(INDEX(醫師週班表!$C$5:$T$44,$CU24,CS$57),""),3,1)="隔",IF(CS$58=0,LEFT(IFERROR(INDEX(醫師週班表!$C$5:$T$44,$CU24,CS$57),""),1),""),IF(MID(IFERROR(INDEX(醫師週班表!$C$5:$T$44,$CU24,CS$57),""),2,1)="(",LEFT(IFERROR(INDEX(醫師週班表!$C$5:$T$44,$CU24,CS$57),""),1),IFERROR(INDEX(醫師週班表!$C$5:$T$44,$CU24,CS$57),"")))))))</f>
        <v/>
      </c>
      <c r="CU24" s="73">
        <f>IFERROR(MATCH($A24,醫師週班表!$A$5:$A$44,0),0)</f>
        <v/>
      </c>
    </row>
    <row r="25" ht="17" customHeight="1">
      <c r="A25" s="19" t="inlineStr">
        <is>
          <t>D020</t>
        </is>
      </c>
      <c r="B25" s="16" t="inlineStr">
        <is>
          <t>余柏萱</t>
        </is>
      </c>
      <c r="C25" s="70" t="inlineStr"/>
      <c r="D25" s="16" t="inlineStr"/>
      <c r="E25" s="71">
        <f>IF(E$59="X","",IF(E$59&lt;&gt;"",E$59,IF(IFERROR(INDEX(醫師週班表!$C$5:$T$44,$CU25,E$57),"")=0,"",IF(MID(IFERROR(INDEX(醫師週班表!$C$5:$T$44,$CU25,E$57),""),2,1)="/",MID(IFERROR(INDEX(醫師週班表!$C$5:$T$44,$CU25,E$57),""),1+E$58*2,1),IF(MID(IFERROR(INDEX(醫師週班表!$C$5:$T$44,$CU25,E$57),""),3,1)="隔",IF(E$58=0,LEFT(IFERROR(INDEX(醫師週班表!$C$5:$T$44,$CU25,E$57),""),1),""),IF(MID(IFERROR(INDEX(醫師週班表!$C$5:$T$44,$CU25,E$57),""),2,1)="(",LEFT(IFERROR(INDEX(醫師週班表!$C$5:$T$44,$CU25,E$57),""),1),IFERROR(INDEX(醫師週班表!$C$5:$T$44,$CU25,E$57),"")))))))</f>
        <v/>
      </c>
      <c r="F25" s="72">
        <f>IF(F$59="X","",IF(F$59&lt;&gt;"",F$59,IF(IFERROR(INDEX(醫師週班表!$C$5:$T$44,$CU25,F$57),"")=0,"",IF(MID(IFERROR(INDEX(醫師週班表!$C$5:$T$44,$CU25,F$57),""),2,1)="/",MID(IFERROR(INDEX(醫師週班表!$C$5:$T$44,$CU25,F$57),""),1+F$58*2,1),IF(MID(IFERROR(INDEX(醫師週班表!$C$5:$T$44,$CU25,F$57),""),3,1)="隔",IF(F$58=0,LEFT(IFERROR(INDEX(醫師週班表!$C$5:$T$44,$CU25,F$57),""),1),""),IF(MID(IFERROR(INDEX(醫師週班表!$C$5:$T$44,$CU25,F$57),""),2,1)="(",LEFT(IFERROR(INDEX(醫師週班表!$C$5:$T$44,$CU25,F$57),""),1),IFERROR(INDEX(醫師週班表!$C$5:$T$44,$CU25,F$57),"")))))))</f>
        <v/>
      </c>
      <c r="G25" s="72">
        <f>IF(G$59="X","",IF(G$59&lt;&gt;"",G$59,IF(IFERROR(INDEX(醫師週班表!$C$5:$T$44,$CU25,G$57),"")=0,"",IF(MID(IFERROR(INDEX(醫師週班表!$C$5:$T$44,$CU25,G$57),""),2,1)="/",MID(IFERROR(INDEX(醫師週班表!$C$5:$T$44,$CU25,G$57),""),1+G$58*2,1),IF(MID(IFERROR(INDEX(醫師週班表!$C$5:$T$44,$CU25,G$57),""),3,1)="隔",IF(G$58=0,LEFT(IFERROR(INDEX(醫師週班表!$C$5:$T$44,$CU25,G$57),""),1),""),IF(MID(IFERROR(INDEX(醫師週班表!$C$5:$T$44,$CU25,G$57),""),2,1)="(",LEFT(IFERROR(INDEX(醫師週班表!$C$5:$T$44,$CU25,G$57),""),1),IFERROR(INDEX(醫師週班表!$C$5:$T$44,$CU25,G$57),"")))))))</f>
        <v/>
      </c>
      <c r="H25" s="71">
        <f>IF(H$59="X","",IF(H$59&lt;&gt;"",H$59,IF(IFERROR(INDEX(醫師週班表!$C$5:$T$44,$CU25,H$57),"")=0,"",IF(MID(IFERROR(INDEX(醫師週班表!$C$5:$T$44,$CU25,H$57),""),2,1)="/",MID(IFERROR(INDEX(醫師週班表!$C$5:$T$44,$CU25,H$57),""),1+H$58*2,1),IF(MID(IFERROR(INDEX(醫師週班表!$C$5:$T$44,$CU25,H$57),""),3,1)="隔",IF(H$58=0,LEFT(IFERROR(INDEX(醫師週班表!$C$5:$T$44,$CU25,H$57),""),1),""),IF(MID(IFERROR(INDEX(醫師週班表!$C$5:$T$44,$CU25,H$57),""),2,1)="(",LEFT(IFERROR(INDEX(醫師週班表!$C$5:$T$44,$CU25,H$57),""),1),IFERROR(INDEX(醫師週班表!$C$5:$T$44,$CU25,H$57),"")))))))</f>
        <v/>
      </c>
      <c r="I25" s="72">
        <f>IF(I$59="X","",IF(I$59&lt;&gt;"",I$59,IF(IFERROR(INDEX(醫師週班表!$C$5:$T$44,$CU25,I$57),"")=0,"",IF(MID(IFERROR(INDEX(醫師週班表!$C$5:$T$44,$CU25,I$57),""),2,1)="/",MID(IFERROR(INDEX(醫師週班表!$C$5:$T$44,$CU25,I$57),""),1+I$58*2,1),IF(MID(IFERROR(INDEX(醫師週班表!$C$5:$T$44,$CU25,I$57),""),3,1)="隔",IF(I$58=0,LEFT(IFERROR(INDEX(醫師週班表!$C$5:$T$44,$CU25,I$57),""),1),""),IF(MID(IFERROR(INDEX(醫師週班表!$C$5:$T$44,$CU25,I$57),""),2,1)="(",LEFT(IFERROR(INDEX(醫師週班表!$C$5:$T$44,$CU25,I$57),""),1),IFERROR(INDEX(醫師週班表!$C$5:$T$44,$CU25,I$57),"")))))))</f>
        <v/>
      </c>
      <c r="J25" s="72">
        <f>IF(J$59="X","",IF(J$59&lt;&gt;"",J$59,IF(IFERROR(INDEX(醫師週班表!$C$5:$T$44,$CU25,J$57),"")=0,"",IF(MID(IFERROR(INDEX(醫師週班表!$C$5:$T$44,$CU25,J$57),""),2,1)="/",MID(IFERROR(INDEX(醫師週班表!$C$5:$T$44,$CU25,J$57),""),1+J$58*2,1),IF(MID(IFERROR(INDEX(醫師週班表!$C$5:$T$44,$CU25,J$57),""),3,1)="隔",IF(J$58=0,LEFT(IFERROR(INDEX(醫師週班表!$C$5:$T$44,$CU25,J$57),""),1),""),IF(MID(IFERROR(INDEX(醫師週班表!$C$5:$T$44,$CU25,J$57),""),2,1)="(",LEFT(IFERROR(INDEX(醫師週班表!$C$5:$T$44,$CU25,J$57),""),1),IFERROR(INDEX(醫師週班表!$C$5:$T$44,$CU25,J$57),"")))))))</f>
        <v/>
      </c>
      <c r="K25" s="71">
        <f>IF(K$59="X","",IF(K$59&lt;&gt;"",K$59,IF(IFERROR(INDEX(醫師週班表!$C$5:$T$44,$CU25,K$57),"")=0,"",IF(MID(IFERROR(INDEX(醫師週班表!$C$5:$T$44,$CU25,K$57),""),2,1)="/",MID(IFERROR(INDEX(醫師週班表!$C$5:$T$44,$CU25,K$57),""),1+K$58*2,1),IF(MID(IFERROR(INDEX(醫師週班表!$C$5:$T$44,$CU25,K$57),""),3,1)="隔",IF(K$58=0,LEFT(IFERROR(INDEX(醫師週班表!$C$5:$T$44,$CU25,K$57),""),1),""),IF(MID(IFERROR(INDEX(醫師週班表!$C$5:$T$44,$CU25,K$57),""),2,1)="(",LEFT(IFERROR(INDEX(醫師週班表!$C$5:$T$44,$CU25,K$57),""),1),IFERROR(INDEX(醫師週班表!$C$5:$T$44,$CU25,K$57),"")))))))</f>
        <v/>
      </c>
      <c r="L25" s="72">
        <f>IF(L$59="X","",IF(L$59&lt;&gt;"",L$59,IF(IFERROR(INDEX(醫師週班表!$C$5:$T$44,$CU25,L$57),"")=0,"",IF(MID(IFERROR(INDEX(醫師週班表!$C$5:$T$44,$CU25,L$57),""),2,1)="/",MID(IFERROR(INDEX(醫師週班表!$C$5:$T$44,$CU25,L$57),""),1+L$58*2,1),IF(MID(IFERROR(INDEX(醫師週班表!$C$5:$T$44,$CU25,L$57),""),3,1)="隔",IF(L$58=0,LEFT(IFERROR(INDEX(醫師週班表!$C$5:$T$44,$CU25,L$57),""),1),""),IF(MID(IFERROR(INDEX(醫師週班表!$C$5:$T$44,$CU25,L$57),""),2,1)="(",LEFT(IFERROR(INDEX(醫師週班表!$C$5:$T$44,$CU25,L$57),""),1),IFERROR(INDEX(醫師週班表!$C$5:$T$44,$CU25,L$57),"")))))))</f>
        <v/>
      </c>
      <c r="M25" s="72">
        <f>IF(M$59="X","",IF(M$59&lt;&gt;"",M$59,IF(IFERROR(INDEX(醫師週班表!$C$5:$T$44,$CU25,M$57),"")=0,"",IF(MID(IFERROR(INDEX(醫師週班表!$C$5:$T$44,$CU25,M$57),""),2,1)="/",MID(IFERROR(INDEX(醫師週班表!$C$5:$T$44,$CU25,M$57),""),1+M$58*2,1),IF(MID(IFERROR(INDEX(醫師週班表!$C$5:$T$44,$CU25,M$57),""),3,1)="隔",IF(M$58=0,LEFT(IFERROR(INDEX(醫師週班表!$C$5:$T$44,$CU25,M$57),""),1),""),IF(MID(IFERROR(INDEX(醫師週班表!$C$5:$T$44,$CU25,M$57),""),2,1)="(",LEFT(IFERROR(INDEX(醫師週班表!$C$5:$T$44,$CU25,M$57),""),1),IFERROR(INDEX(醫師週班表!$C$5:$T$44,$CU25,M$57),"")))))))</f>
        <v/>
      </c>
      <c r="N25" s="71">
        <f>IF(N$59="X","",IF(N$59&lt;&gt;"",N$59,IF(IFERROR(INDEX(醫師週班表!$C$5:$T$44,$CU25,N$57),"")=0,"",IF(MID(IFERROR(INDEX(醫師週班表!$C$5:$T$44,$CU25,N$57),""),2,1)="/",MID(IFERROR(INDEX(醫師週班表!$C$5:$T$44,$CU25,N$57),""),1+N$58*2,1),IF(MID(IFERROR(INDEX(醫師週班表!$C$5:$T$44,$CU25,N$57),""),3,1)="隔",IF(N$58=0,LEFT(IFERROR(INDEX(醫師週班表!$C$5:$T$44,$CU25,N$57),""),1),""),IF(MID(IFERROR(INDEX(醫師週班表!$C$5:$T$44,$CU25,N$57),""),2,1)="(",LEFT(IFERROR(INDEX(醫師週班表!$C$5:$T$44,$CU25,N$57),""),1),IFERROR(INDEX(醫師週班表!$C$5:$T$44,$CU25,N$57),"")))))))</f>
        <v/>
      </c>
      <c r="O25" s="72">
        <f>IF(O$59="X","",IF(O$59&lt;&gt;"",O$59,IF(IFERROR(INDEX(醫師週班表!$C$5:$T$44,$CU25,O$57),"")=0,"",IF(MID(IFERROR(INDEX(醫師週班表!$C$5:$T$44,$CU25,O$57),""),2,1)="/",MID(IFERROR(INDEX(醫師週班表!$C$5:$T$44,$CU25,O$57),""),1+O$58*2,1),IF(MID(IFERROR(INDEX(醫師週班表!$C$5:$T$44,$CU25,O$57),""),3,1)="隔",IF(O$58=0,LEFT(IFERROR(INDEX(醫師週班表!$C$5:$T$44,$CU25,O$57),""),1),""),IF(MID(IFERROR(INDEX(醫師週班表!$C$5:$T$44,$CU25,O$57),""),2,1)="(",LEFT(IFERROR(INDEX(醫師週班表!$C$5:$T$44,$CU25,O$57),""),1),IFERROR(INDEX(醫師週班表!$C$5:$T$44,$CU25,O$57),"")))))))</f>
        <v/>
      </c>
      <c r="P25" s="72">
        <f>IF(P$59="X","",IF(P$59&lt;&gt;"",P$59,IF(IFERROR(INDEX(醫師週班表!$C$5:$T$44,$CU25,P$57),"")=0,"",IF(MID(IFERROR(INDEX(醫師週班表!$C$5:$T$44,$CU25,P$57),""),2,1)="/",MID(IFERROR(INDEX(醫師週班表!$C$5:$T$44,$CU25,P$57),""),1+P$58*2,1),IF(MID(IFERROR(INDEX(醫師週班表!$C$5:$T$44,$CU25,P$57),""),3,1)="隔",IF(P$58=0,LEFT(IFERROR(INDEX(醫師週班表!$C$5:$T$44,$CU25,P$57),""),1),""),IF(MID(IFERROR(INDEX(醫師週班表!$C$5:$T$44,$CU25,P$57),""),2,1)="(",LEFT(IFERROR(INDEX(醫師週班表!$C$5:$T$44,$CU25,P$57),""),1),IFERROR(INDEX(醫師週班表!$C$5:$T$44,$CU25,P$57),"")))))))</f>
        <v/>
      </c>
      <c r="Q25" s="71">
        <f>IF(Q$59="X","",IF(Q$59&lt;&gt;"",Q$59,IF(IFERROR(INDEX(醫師週班表!$C$5:$T$44,$CU25,Q$57),"")=0,"",IF(MID(IFERROR(INDEX(醫師週班表!$C$5:$T$44,$CU25,Q$57),""),2,1)="/",MID(IFERROR(INDEX(醫師週班表!$C$5:$T$44,$CU25,Q$57),""),1+Q$58*2,1),IF(MID(IFERROR(INDEX(醫師週班表!$C$5:$T$44,$CU25,Q$57),""),3,1)="隔",IF(Q$58=0,LEFT(IFERROR(INDEX(醫師週班表!$C$5:$T$44,$CU25,Q$57),""),1),""),IF(MID(IFERROR(INDEX(醫師週班表!$C$5:$T$44,$CU25,Q$57),""),2,1)="(",LEFT(IFERROR(INDEX(醫師週班表!$C$5:$T$44,$CU25,Q$57),""),1),IFERROR(INDEX(醫師週班表!$C$5:$T$44,$CU25,Q$57),"")))))))</f>
        <v/>
      </c>
      <c r="R25" s="72">
        <f>IF(R$59="X","",IF(R$59&lt;&gt;"",R$59,IF(IFERROR(INDEX(醫師週班表!$C$5:$T$44,$CU25,R$57),"")=0,"",IF(MID(IFERROR(INDEX(醫師週班表!$C$5:$T$44,$CU25,R$57),""),2,1)="/",MID(IFERROR(INDEX(醫師週班表!$C$5:$T$44,$CU25,R$57),""),1+R$58*2,1),IF(MID(IFERROR(INDEX(醫師週班表!$C$5:$T$44,$CU25,R$57),""),3,1)="隔",IF(R$58=0,LEFT(IFERROR(INDEX(醫師週班表!$C$5:$T$44,$CU25,R$57),""),1),""),IF(MID(IFERROR(INDEX(醫師週班表!$C$5:$T$44,$CU25,R$57),""),2,1)="(",LEFT(IFERROR(INDEX(醫師週班表!$C$5:$T$44,$CU25,R$57),""),1),IFERROR(INDEX(醫師週班表!$C$5:$T$44,$CU25,R$57),"")))))))</f>
        <v/>
      </c>
      <c r="S25" s="72">
        <f>IF(S$59="X","",IF(S$59&lt;&gt;"",S$59,IF(IFERROR(INDEX(醫師週班表!$C$5:$T$44,$CU25,S$57),"")=0,"",IF(MID(IFERROR(INDEX(醫師週班表!$C$5:$T$44,$CU25,S$57),""),2,1)="/",MID(IFERROR(INDEX(醫師週班表!$C$5:$T$44,$CU25,S$57),""),1+S$58*2,1),IF(MID(IFERROR(INDEX(醫師週班表!$C$5:$T$44,$CU25,S$57),""),3,1)="隔",IF(S$58=0,LEFT(IFERROR(INDEX(醫師週班表!$C$5:$T$44,$CU25,S$57),""),1),""),IF(MID(IFERROR(INDEX(醫師週班表!$C$5:$T$44,$CU25,S$57),""),2,1)="(",LEFT(IFERROR(INDEX(醫師週班表!$C$5:$T$44,$CU25,S$57),""),1),IFERROR(INDEX(醫師週班表!$C$5:$T$44,$CU25,S$57),"")))))))</f>
        <v/>
      </c>
      <c r="T25" s="71">
        <f>IF(T$59="X","",IF(T$59&lt;&gt;"",T$59,IF(IFERROR(INDEX(醫師週班表!$C$5:$T$44,$CU25,T$57),"")=0,"",IF(MID(IFERROR(INDEX(醫師週班表!$C$5:$T$44,$CU25,T$57),""),2,1)="/",MID(IFERROR(INDEX(醫師週班表!$C$5:$T$44,$CU25,T$57),""),1+T$58*2,1),IF(MID(IFERROR(INDEX(醫師週班表!$C$5:$T$44,$CU25,T$57),""),3,1)="隔",IF(T$58=0,LEFT(IFERROR(INDEX(醫師週班表!$C$5:$T$44,$CU25,T$57),""),1),""),IF(MID(IFERROR(INDEX(醫師週班表!$C$5:$T$44,$CU25,T$57),""),2,1)="(",LEFT(IFERROR(INDEX(醫師週班表!$C$5:$T$44,$CU25,T$57),""),1),IFERROR(INDEX(醫師週班表!$C$5:$T$44,$CU25,T$57),"")))))))</f>
        <v/>
      </c>
      <c r="U25" s="72">
        <f>IF(U$59="X","",IF(U$59&lt;&gt;"",U$59,IF(IFERROR(INDEX(醫師週班表!$C$5:$T$44,$CU25,U$57),"")=0,"",IF(MID(IFERROR(INDEX(醫師週班表!$C$5:$T$44,$CU25,U$57),""),2,1)="/",MID(IFERROR(INDEX(醫師週班表!$C$5:$T$44,$CU25,U$57),""),1+U$58*2,1),IF(MID(IFERROR(INDEX(醫師週班表!$C$5:$T$44,$CU25,U$57),""),3,1)="隔",IF(U$58=0,LEFT(IFERROR(INDEX(醫師週班表!$C$5:$T$44,$CU25,U$57),""),1),""),IF(MID(IFERROR(INDEX(醫師週班表!$C$5:$T$44,$CU25,U$57),""),2,1)="(",LEFT(IFERROR(INDEX(醫師週班表!$C$5:$T$44,$CU25,U$57),""),1),IFERROR(INDEX(醫師週班表!$C$5:$T$44,$CU25,U$57),"")))))))</f>
        <v/>
      </c>
      <c r="V25" s="72">
        <f>IF(V$59="X","",IF(V$59&lt;&gt;"",V$59,IF(IFERROR(INDEX(醫師週班表!$C$5:$T$44,$CU25,V$57),"")=0,"",IF(MID(IFERROR(INDEX(醫師週班表!$C$5:$T$44,$CU25,V$57),""),2,1)="/",MID(IFERROR(INDEX(醫師週班表!$C$5:$T$44,$CU25,V$57),""),1+V$58*2,1),IF(MID(IFERROR(INDEX(醫師週班表!$C$5:$T$44,$CU25,V$57),""),3,1)="隔",IF(V$58=0,LEFT(IFERROR(INDEX(醫師週班表!$C$5:$T$44,$CU25,V$57),""),1),""),IF(MID(IFERROR(INDEX(醫師週班表!$C$5:$T$44,$CU25,V$57),""),2,1)="(",LEFT(IFERROR(INDEX(醫師週班表!$C$5:$T$44,$CU25,V$57),""),1),IFERROR(INDEX(醫師週班表!$C$5:$T$44,$CU25,V$57),"")))))))</f>
        <v/>
      </c>
      <c r="W25" s="71">
        <f>IF(W$59="X","",IF(W$59&lt;&gt;"",W$59,IF(IFERROR(INDEX(醫師週班表!$C$5:$T$44,$CU25,W$57),"")=0,"",IF(MID(IFERROR(INDEX(醫師週班表!$C$5:$T$44,$CU25,W$57),""),2,1)="/",MID(IFERROR(INDEX(醫師週班表!$C$5:$T$44,$CU25,W$57),""),1+W$58*2,1),IF(MID(IFERROR(INDEX(醫師週班表!$C$5:$T$44,$CU25,W$57),""),3,1)="隔",IF(W$58=0,LEFT(IFERROR(INDEX(醫師週班表!$C$5:$T$44,$CU25,W$57),""),1),""),IF(MID(IFERROR(INDEX(醫師週班表!$C$5:$T$44,$CU25,W$57),""),2,1)="(",LEFT(IFERROR(INDEX(醫師週班表!$C$5:$T$44,$CU25,W$57),""),1),IFERROR(INDEX(醫師週班表!$C$5:$T$44,$CU25,W$57),"")))))))</f>
        <v/>
      </c>
      <c r="X25" s="72">
        <f>IF(X$59="X","",IF(X$59&lt;&gt;"",X$59,IF(IFERROR(INDEX(醫師週班表!$C$5:$T$44,$CU25,X$57),"")=0,"",IF(MID(IFERROR(INDEX(醫師週班表!$C$5:$T$44,$CU25,X$57),""),2,1)="/",MID(IFERROR(INDEX(醫師週班表!$C$5:$T$44,$CU25,X$57),""),1+X$58*2,1),IF(MID(IFERROR(INDEX(醫師週班表!$C$5:$T$44,$CU25,X$57),""),3,1)="隔",IF(X$58=0,LEFT(IFERROR(INDEX(醫師週班表!$C$5:$T$44,$CU25,X$57),""),1),""),IF(MID(IFERROR(INDEX(醫師週班表!$C$5:$T$44,$CU25,X$57),""),2,1)="(",LEFT(IFERROR(INDEX(醫師週班表!$C$5:$T$44,$CU25,X$57),""),1),IFERROR(INDEX(醫師週班表!$C$5:$T$44,$CU25,X$57),"")))))))</f>
        <v/>
      </c>
      <c r="Y25" s="72">
        <f>IF(Y$59="X","",IF(Y$59&lt;&gt;"",Y$59,IF(IFERROR(INDEX(醫師週班表!$C$5:$T$44,$CU25,Y$57),"")=0,"",IF(MID(IFERROR(INDEX(醫師週班表!$C$5:$T$44,$CU25,Y$57),""),2,1)="/",MID(IFERROR(INDEX(醫師週班表!$C$5:$T$44,$CU25,Y$57),""),1+Y$58*2,1),IF(MID(IFERROR(INDEX(醫師週班表!$C$5:$T$44,$CU25,Y$57),""),3,1)="隔",IF(Y$58=0,LEFT(IFERROR(INDEX(醫師週班表!$C$5:$T$44,$CU25,Y$57),""),1),""),IF(MID(IFERROR(INDEX(醫師週班表!$C$5:$T$44,$CU25,Y$57),""),2,1)="(",LEFT(IFERROR(INDEX(醫師週班表!$C$5:$T$44,$CU25,Y$57),""),1),IFERROR(INDEX(醫師週班表!$C$5:$T$44,$CU25,Y$57),"")))))))</f>
        <v/>
      </c>
      <c r="Z25" s="71">
        <f>IF(Z$59="X","",IF(Z$59&lt;&gt;"",Z$59,IF(IFERROR(INDEX(醫師週班表!$C$5:$T$44,$CU25,Z$57),"")=0,"",IF(MID(IFERROR(INDEX(醫師週班表!$C$5:$T$44,$CU25,Z$57),""),2,1)="/",MID(IFERROR(INDEX(醫師週班表!$C$5:$T$44,$CU25,Z$57),""),1+Z$58*2,1),IF(MID(IFERROR(INDEX(醫師週班表!$C$5:$T$44,$CU25,Z$57),""),3,1)="隔",IF(Z$58=0,LEFT(IFERROR(INDEX(醫師週班表!$C$5:$T$44,$CU25,Z$57),""),1),""),IF(MID(IFERROR(INDEX(醫師週班表!$C$5:$T$44,$CU25,Z$57),""),2,1)="(",LEFT(IFERROR(INDEX(醫師週班表!$C$5:$T$44,$CU25,Z$57),""),1),IFERROR(INDEX(醫師週班表!$C$5:$T$44,$CU25,Z$57),"")))))))</f>
        <v/>
      </c>
      <c r="AA25" s="72">
        <f>IF(AA$59="X","",IF(AA$59&lt;&gt;"",AA$59,IF(IFERROR(INDEX(醫師週班表!$C$5:$T$44,$CU25,AA$57),"")=0,"",IF(MID(IFERROR(INDEX(醫師週班表!$C$5:$T$44,$CU25,AA$57),""),2,1)="/",MID(IFERROR(INDEX(醫師週班表!$C$5:$T$44,$CU25,AA$57),""),1+AA$58*2,1),IF(MID(IFERROR(INDEX(醫師週班表!$C$5:$T$44,$CU25,AA$57),""),3,1)="隔",IF(AA$58=0,LEFT(IFERROR(INDEX(醫師週班表!$C$5:$T$44,$CU25,AA$57),""),1),""),IF(MID(IFERROR(INDEX(醫師週班表!$C$5:$T$44,$CU25,AA$57),""),2,1)="(",LEFT(IFERROR(INDEX(醫師週班表!$C$5:$T$44,$CU25,AA$57),""),1),IFERROR(INDEX(醫師週班表!$C$5:$T$44,$CU25,AA$57),"")))))))</f>
        <v/>
      </c>
      <c r="AB25" s="72">
        <f>IF(AB$59="X","",IF(AB$59&lt;&gt;"",AB$59,IF(IFERROR(INDEX(醫師週班表!$C$5:$T$44,$CU25,AB$57),"")=0,"",IF(MID(IFERROR(INDEX(醫師週班表!$C$5:$T$44,$CU25,AB$57),""),2,1)="/",MID(IFERROR(INDEX(醫師週班表!$C$5:$T$44,$CU25,AB$57),""),1+AB$58*2,1),IF(MID(IFERROR(INDEX(醫師週班表!$C$5:$T$44,$CU25,AB$57),""),3,1)="隔",IF(AB$58=0,LEFT(IFERROR(INDEX(醫師週班表!$C$5:$T$44,$CU25,AB$57),""),1),""),IF(MID(IFERROR(INDEX(醫師週班表!$C$5:$T$44,$CU25,AB$57),""),2,1)="(",LEFT(IFERROR(INDEX(醫師週班表!$C$5:$T$44,$CU25,AB$57),""),1),IFERROR(INDEX(醫師週班表!$C$5:$T$44,$CU25,AB$57),"")))))))</f>
        <v/>
      </c>
      <c r="AC25" s="71">
        <f>IF(AC$59="X","",IF(AC$59&lt;&gt;"",AC$59,IF(IFERROR(INDEX(醫師週班表!$C$5:$T$44,$CU25,AC$57),"")=0,"",IF(MID(IFERROR(INDEX(醫師週班表!$C$5:$T$44,$CU25,AC$57),""),2,1)="/",MID(IFERROR(INDEX(醫師週班表!$C$5:$T$44,$CU25,AC$57),""),1+AC$58*2,1),IF(MID(IFERROR(INDEX(醫師週班表!$C$5:$T$44,$CU25,AC$57),""),3,1)="隔",IF(AC$58=0,LEFT(IFERROR(INDEX(醫師週班表!$C$5:$T$44,$CU25,AC$57),""),1),""),IF(MID(IFERROR(INDEX(醫師週班表!$C$5:$T$44,$CU25,AC$57),""),2,1)="(",LEFT(IFERROR(INDEX(醫師週班表!$C$5:$T$44,$CU25,AC$57),""),1),IFERROR(INDEX(醫師週班表!$C$5:$T$44,$CU25,AC$57),"")))))))</f>
        <v/>
      </c>
      <c r="AD25" s="72">
        <f>IF(AD$59="X","",IF(AD$59&lt;&gt;"",AD$59,IF(IFERROR(INDEX(醫師週班表!$C$5:$T$44,$CU25,AD$57),"")=0,"",IF(MID(IFERROR(INDEX(醫師週班表!$C$5:$T$44,$CU25,AD$57),""),2,1)="/",MID(IFERROR(INDEX(醫師週班表!$C$5:$T$44,$CU25,AD$57),""),1+AD$58*2,1),IF(MID(IFERROR(INDEX(醫師週班表!$C$5:$T$44,$CU25,AD$57),""),3,1)="隔",IF(AD$58=0,LEFT(IFERROR(INDEX(醫師週班表!$C$5:$T$44,$CU25,AD$57),""),1),""),IF(MID(IFERROR(INDEX(醫師週班表!$C$5:$T$44,$CU25,AD$57),""),2,1)="(",LEFT(IFERROR(INDEX(醫師週班表!$C$5:$T$44,$CU25,AD$57),""),1),IFERROR(INDEX(醫師週班表!$C$5:$T$44,$CU25,AD$57),"")))))))</f>
        <v/>
      </c>
      <c r="AE25" s="72">
        <f>IF(AE$59="X","",IF(AE$59&lt;&gt;"",AE$59,IF(IFERROR(INDEX(醫師週班表!$C$5:$T$44,$CU25,AE$57),"")=0,"",IF(MID(IFERROR(INDEX(醫師週班表!$C$5:$T$44,$CU25,AE$57),""),2,1)="/",MID(IFERROR(INDEX(醫師週班表!$C$5:$T$44,$CU25,AE$57),""),1+AE$58*2,1),IF(MID(IFERROR(INDEX(醫師週班表!$C$5:$T$44,$CU25,AE$57),""),3,1)="隔",IF(AE$58=0,LEFT(IFERROR(INDEX(醫師週班表!$C$5:$T$44,$CU25,AE$57),""),1),""),IF(MID(IFERROR(INDEX(醫師週班表!$C$5:$T$44,$CU25,AE$57),""),2,1)="(",LEFT(IFERROR(INDEX(醫師週班表!$C$5:$T$44,$CU25,AE$57),""),1),IFERROR(INDEX(醫師週班表!$C$5:$T$44,$CU25,AE$57),"")))))))</f>
        <v/>
      </c>
      <c r="AF25" s="71">
        <f>IF(AF$59="X","",IF(AF$59&lt;&gt;"",AF$59,IF(IFERROR(INDEX(醫師週班表!$C$5:$T$44,$CU25,AF$57),"")=0,"",IF(MID(IFERROR(INDEX(醫師週班表!$C$5:$T$44,$CU25,AF$57),""),2,1)="/",MID(IFERROR(INDEX(醫師週班表!$C$5:$T$44,$CU25,AF$57),""),1+AF$58*2,1),IF(MID(IFERROR(INDEX(醫師週班表!$C$5:$T$44,$CU25,AF$57),""),3,1)="隔",IF(AF$58=0,LEFT(IFERROR(INDEX(醫師週班表!$C$5:$T$44,$CU25,AF$57),""),1),""),IF(MID(IFERROR(INDEX(醫師週班表!$C$5:$T$44,$CU25,AF$57),""),2,1)="(",LEFT(IFERROR(INDEX(醫師週班表!$C$5:$T$44,$CU25,AF$57),""),1),IFERROR(INDEX(醫師週班表!$C$5:$T$44,$CU25,AF$57),"")))))))</f>
        <v/>
      </c>
      <c r="AG25" s="72">
        <f>IF(AG$59="X","",IF(AG$59&lt;&gt;"",AG$59,IF(IFERROR(INDEX(醫師週班表!$C$5:$T$44,$CU25,AG$57),"")=0,"",IF(MID(IFERROR(INDEX(醫師週班表!$C$5:$T$44,$CU25,AG$57),""),2,1)="/",MID(IFERROR(INDEX(醫師週班表!$C$5:$T$44,$CU25,AG$57),""),1+AG$58*2,1),IF(MID(IFERROR(INDEX(醫師週班表!$C$5:$T$44,$CU25,AG$57),""),3,1)="隔",IF(AG$58=0,LEFT(IFERROR(INDEX(醫師週班表!$C$5:$T$44,$CU25,AG$57),""),1),""),IF(MID(IFERROR(INDEX(醫師週班表!$C$5:$T$44,$CU25,AG$57),""),2,1)="(",LEFT(IFERROR(INDEX(醫師週班表!$C$5:$T$44,$CU25,AG$57),""),1),IFERROR(INDEX(醫師週班表!$C$5:$T$44,$CU25,AG$57),"")))))))</f>
        <v/>
      </c>
      <c r="AH25" s="72">
        <f>IF(AH$59="X","",IF(AH$59&lt;&gt;"",AH$59,IF(IFERROR(INDEX(醫師週班表!$C$5:$T$44,$CU25,AH$57),"")=0,"",IF(MID(IFERROR(INDEX(醫師週班表!$C$5:$T$44,$CU25,AH$57),""),2,1)="/",MID(IFERROR(INDEX(醫師週班表!$C$5:$T$44,$CU25,AH$57),""),1+AH$58*2,1),IF(MID(IFERROR(INDEX(醫師週班表!$C$5:$T$44,$CU25,AH$57),""),3,1)="隔",IF(AH$58=0,LEFT(IFERROR(INDEX(醫師週班表!$C$5:$T$44,$CU25,AH$57),""),1),""),IF(MID(IFERROR(INDEX(醫師週班表!$C$5:$T$44,$CU25,AH$57),""),2,1)="(",LEFT(IFERROR(INDEX(醫師週班表!$C$5:$T$44,$CU25,AH$57),""),1),IFERROR(INDEX(醫師週班表!$C$5:$T$44,$CU25,AH$57),"")))))))</f>
        <v/>
      </c>
      <c r="AI25" s="71">
        <f>IF(AI$59="X","",IF(AI$59&lt;&gt;"",AI$59,IF(IFERROR(INDEX(醫師週班表!$C$5:$T$44,$CU25,AI$57),"")=0,"",IF(MID(IFERROR(INDEX(醫師週班表!$C$5:$T$44,$CU25,AI$57),""),2,1)="/",MID(IFERROR(INDEX(醫師週班表!$C$5:$T$44,$CU25,AI$57),""),1+AI$58*2,1),IF(MID(IFERROR(INDEX(醫師週班表!$C$5:$T$44,$CU25,AI$57),""),3,1)="隔",IF(AI$58=0,LEFT(IFERROR(INDEX(醫師週班表!$C$5:$T$44,$CU25,AI$57),""),1),""),IF(MID(IFERROR(INDEX(醫師週班表!$C$5:$T$44,$CU25,AI$57),""),2,1)="(",LEFT(IFERROR(INDEX(醫師週班表!$C$5:$T$44,$CU25,AI$57),""),1),IFERROR(INDEX(醫師週班表!$C$5:$T$44,$CU25,AI$57),"")))))))</f>
        <v/>
      </c>
      <c r="AJ25" s="72">
        <f>IF(AJ$59="X","",IF(AJ$59&lt;&gt;"",AJ$59,IF(IFERROR(INDEX(醫師週班表!$C$5:$T$44,$CU25,AJ$57),"")=0,"",IF(MID(IFERROR(INDEX(醫師週班表!$C$5:$T$44,$CU25,AJ$57),""),2,1)="/",MID(IFERROR(INDEX(醫師週班表!$C$5:$T$44,$CU25,AJ$57),""),1+AJ$58*2,1),IF(MID(IFERROR(INDEX(醫師週班表!$C$5:$T$44,$CU25,AJ$57),""),3,1)="隔",IF(AJ$58=0,LEFT(IFERROR(INDEX(醫師週班表!$C$5:$T$44,$CU25,AJ$57),""),1),""),IF(MID(IFERROR(INDEX(醫師週班表!$C$5:$T$44,$CU25,AJ$57),""),2,1)="(",LEFT(IFERROR(INDEX(醫師週班表!$C$5:$T$44,$CU25,AJ$57),""),1),IFERROR(INDEX(醫師週班表!$C$5:$T$44,$CU25,AJ$57),"")))))))</f>
        <v/>
      </c>
      <c r="AK25" s="72">
        <f>IF(AK$59="X","",IF(AK$59&lt;&gt;"",AK$59,IF(IFERROR(INDEX(醫師週班表!$C$5:$T$44,$CU25,AK$57),"")=0,"",IF(MID(IFERROR(INDEX(醫師週班表!$C$5:$T$44,$CU25,AK$57),""),2,1)="/",MID(IFERROR(INDEX(醫師週班表!$C$5:$T$44,$CU25,AK$57),""),1+AK$58*2,1),IF(MID(IFERROR(INDEX(醫師週班表!$C$5:$T$44,$CU25,AK$57),""),3,1)="隔",IF(AK$58=0,LEFT(IFERROR(INDEX(醫師週班表!$C$5:$T$44,$CU25,AK$57),""),1),""),IF(MID(IFERROR(INDEX(醫師週班表!$C$5:$T$44,$CU25,AK$57),""),2,1)="(",LEFT(IFERROR(INDEX(醫師週班表!$C$5:$T$44,$CU25,AK$57),""),1),IFERROR(INDEX(醫師週班表!$C$5:$T$44,$CU25,AK$57),"")))))))</f>
        <v/>
      </c>
      <c r="AL25" s="71">
        <f>IF(AL$59="X","",IF(AL$59&lt;&gt;"",AL$59,IF(IFERROR(INDEX(醫師週班表!$C$5:$T$44,$CU25,AL$57),"")=0,"",IF(MID(IFERROR(INDEX(醫師週班表!$C$5:$T$44,$CU25,AL$57),""),2,1)="/",MID(IFERROR(INDEX(醫師週班表!$C$5:$T$44,$CU25,AL$57),""),1+AL$58*2,1),IF(MID(IFERROR(INDEX(醫師週班表!$C$5:$T$44,$CU25,AL$57),""),3,1)="隔",IF(AL$58=0,LEFT(IFERROR(INDEX(醫師週班表!$C$5:$T$44,$CU25,AL$57),""),1),""),IF(MID(IFERROR(INDEX(醫師週班表!$C$5:$T$44,$CU25,AL$57),""),2,1)="(",LEFT(IFERROR(INDEX(醫師週班表!$C$5:$T$44,$CU25,AL$57),""),1),IFERROR(INDEX(醫師週班表!$C$5:$T$44,$CU25,AL$57),"")))))))</f>
        <v/>
      </c>
      <c r="AM25" s="72">
        <f>IF(AM$59="X","",IF(AM$59&lt;&gt;"",AM$59,IF(IFERROR(INDEX(醫師週班表!$C$5:$T$44,$CU25,AM$57),"")=0,"",IF(MID(IFERROR(INDEX(醫師週班表!$C$5:$T$44,$CU25,AM$57),""),2,1)="/",MID(IFERROR(INDEX(醫師週班表!$C$5:$T$44,$CU25,AM$57),""),1+AM$58*2,1),IF(MID(IFERROR(INDEX(醫師週班表!$C$5:$T$44,$CU25,AM$57),""),3,1)="隔",IF(AM$58=0,LEFT(IFERROR(INDEX(醫師週班表!$C$5:$T$44,$CU25,AM$57),""),1),""),IF(MID(IFERROR(INDEX(醫師週班表!$C$5:$T$44,$CU25,AM$57),""),2,1)="(",LEFT(IFERROR(INDEX(醫師週班表!$C$5:$T$44,$CU25,AM$57),""),1),IFERROR(INDEX(醫師週班表!$C$5:$T$44,$CU25,AM$57),"")))))))</f>
        <v/>
      </c>
      <c r="AN25" s="72">
        <f>IF(AN$59="X","",IF(AN$59&lt;&gt;"",AN$59,IF(IFERROR(INDEX(醫師週班表!$C$5:$T$44,$CU25,AN$57),"")=0,"",IF(MID(IFERROR(INDEX(醫師週班表!$C$5:$T$44,$CU25,AN$57),""),2,1)="/",MID(IFERROR(INDEX(醫師週班表!$C$5:$T$44,$CU25,AN$57),""),1+AN$58*2,1),IF(MID(IFERROR(INDEX(醫師週班表!$C$5:$T$44,$CU25,AN$57),""),3,1)="隔",IF(AN$58=0,LEFT(IFERROR(INDEX(醫師週班表!$C$5:$T$44,$CU25,AN$57),""),1),""),IF(MID(IFERROR(INDEX(醫師週班表!$C$5:$T$44,$CU25,AN$57),""),2,1)="(",LEFT(IFERROR(INDEX(醫師週班表!$C$5:$T$44,$CU25,AN$57),""),1),IFERROR(INDEX(醫師週班表!$C$5:$T$44,$CU25,AN$57),"")))))))</f>
        <v/>
      </c>
      <c r="AO25" s="71">
        <f>IF(AO$59="X","",IF(AO$59&lt;&gt;"",AO$59,IF(IFERROR(INDEX(醫師週班表!$C$5:$T$44,$CU25,AO$57),"")=0,"",IF(MID(IFERROR(INDEX(醫師週班表!$C$5:$T$44,$CU25,AO$57),""),2,1)="/",MID(IFERROR(INDEX(醫師週班表!$C$5:$T$44,$CU25,AO$57),""),1+AO$58*2,1),IF(MID(IFERROR(INDEX(醫師週班表!$C$5:$T$44,$CU25,AO$57),""),3,1)="隔",IF(AO$58=0,LEFT(IFERROR(INDEX(醫師週班表!$C$5:$T$44,$CU25,AO$57),""),1),""),IF(MID(IFERROR(INDEX(醫師週班表!$C$5:$T$44,$CU25,AO$57),""),2,1)="(",LEFT(IFERROR(INDEX(醫師週班表!$C$5:$T$44,$CU25,AO$57),""),1),IFERROR(INDEX(醫師週班表!$C$5:$T$44,$CU25,AO$57),"")))))))</f>
        <v/>
      </c>
      <c r="AP25" s="72">
        <f>IF(AP$59="X","",IF(AP$59&lt;&gt;"",AP$59,IF(IFERROR(INDEX(醫師週班表!$C$5:$T$44,$CU25,AP$57),"")=0,"",IF(MID(IFERROR(INDEX(醫師週班表!$C$5:$T$44,$CU25,AP$57),""),2,1)="/",MID(IFERROR(INDEX(醫師週班表!$C$5:$T$44,$CU25,AP$57),""),1+AP$58*2,1),IF(MID(IFERROR(INDEX(醫師週班表!$C$5:$T$44,$CU25,AP$57),""),3,1)="隔",IF(AP$58=0,LEFT(IFERROR(INDEX(醫師週班表!$C$5:$T$44,$CU25,AP$57),""),1),""),IF(MID(IFERROR(INDEX(醫師週班表!$C$5:$T$44,$CU25,AP$57),""),2,1)="(",LEFT(IFERROR(INDEX(醫師週班表!$C$5:$T$44,$CU25,AP$57),""),1),IFERROR(INDEX(醫師週班表!$C$5:$T$44,$CU25,AP$57),"")))))))</f>
        <v/>
      </c>
      <c r="AQ25" s="72">
        <f>IF(AQ$59="X","",IF(AQ$59&lt;&gt;"",AQ$59,IF(IFERROR(INDEX(醫師週班表!$C$5:$T$44,$CU25,AQ$57),"")=0,"",IF(MID(IFERROR(INDEX(醫師週班表!$C$5:$T$44,$CU25,AQ$57),""),2,1)="/",MID(IFERROR(INDEX(醫師週班表!$C$5:$T$44,$CU25,AQ$57),""),1+AQ$58*2,1),IF(MID(IFERROR(INDEX(醫師週班表!$C$5:$T$44,$CU25,AQ$57),""),3,1)="隔",IF(AQ$58=0,LEFT(IFERROR(INDEX(醫師週班表!$C$5:$T$44,$CU25,AQ$57),""),1),""),IF(MID(IFERROR(INDEX(醫師週班表!$C$5:$T$44,$CU25,AQ$57),""),2,1)="(",LEFT(IFERROR(INDEX(醫師週班表!$C$5:$T$44,$CU25,AQ$57),""),1),IFERROR(INDEX(醫師週班表!$C$5:$T$44,$CU25,AQ$57),"")))))))</f>
        <v/>
      </c>
      <c r="AR25" s="71">
        <f>IF(AR$59="X","",IF(AR$59&lt;&gt;"",AR$59,IF(IFERROR(INDEX(醫師週班表!$C$5:$T$44,$CU25,AR$57),"")=0,"",IF(MID(IFERROR(INDEX(醫師週班表!$C$5:$T$44,$CU25,AR$57),""),2,1)="/",MID(IFERROR(INDEX(醫師週班表!$C$5:$T$44,$CU25,AR$57),""),1+AR$58*2,1),IF(MID(IFERROR(INDEX(醫師週班表!$C$5:$T$44,$CU25,AR$57),""),3,1)="隔",IF(AR$58=0,LEFT(IFERROR(INDEX(醫師週班表!$C$5:$T$44,$CU25,AR$57),""),1),""),IF(MID(IFERROR(INDEX(醫師週班表!$C$5:$T$44,$CU25,AR$57),""),2,1)="(",LEFT(IFERROR(INDEX(醫師週班表!$C$5:$T$44,$CU25,AR$57),""),1),IFERROR(INDEX(醫師週班表!$C$5:$T$44,$CU25,AR$57),"")))))))</f>
        <v/>
      </c>
      <c r="AS25" s="72">
        <f>IF(AS$59="X","",IF(AS$59&lt;&gt;"",AS$59,IF(IFERROR(INDEX(醫師週班表!$C$5:$T$44,$CU25,AS$57),"")=0,"",IF(MID(IFERROR(INDEX(醫師週班表!$C$5:$T$44,$CU25,AS$57),""),2,1)="/",MID(IFERROR(INDEX(醫師週班表!$C$5:$T$44,$CU25,AS$57),""),1+AS$58*2,1),IF(MID(IFERROR(INDEX(醫師週班表!$C$5:$T$44,$CU25,AS$57),""),3,1)="隔",IF(AS$58=0,LEFT(IFERROR(INDEX(醫師週班表!$C$5:$T$44,$CU25,AS$57),""),1),""),IF(MID(IFERROR(INDEX(醫師週班表!$C$5:$T$44,$CU25,AS$57),""),2,1)="(",LEFT(IFERROR(INDEX(醫師週班表!$C$5:$T$44,$CU25,AS$57),""),1),IFERROR(INDEX(醫師週班表!$C$5:$T$44,$CU25,AS$57),"")))))))</f>
        <v/>
      </c>
      <c r="AT25" s="72">
        <f>IF(AT$59="X","",IF(AT$59&lt;&gt;"",AT$59,IF(IFERROR(INDEX(醫師週班表!$C$5:$T$44,$CU25,AT$57),"")=0,"",IF(MID(IFERROR(INDEX(醫師週班表!$C$5:$T$44,$CU25,AT$57),""),2,1)="/",MID(IFERROR(INDEX(醫師週班表!$C$5:$T$44,$CU25,AT$57),""),1+AT$58*2,1),IF(MID(IFERROR(INDEX(醫師週班表!$C$5:$T$44,$CU25,AT$57),""),3,1)="隔",IF(AT$58=0,LEFT(IFERROR(INDEX(醫師週班表!$C$5:$T$44,$CU25,AT$57),""),1),""),IF(MID(IFERROR(INDEX(醫師週班表!$C$5:$T$44,$CU25,AT$57),""),2,1)="(",LEFT(IFERROR(INDEX(醫師週班表!$C$5:$T$44,$CU25,AT$57),""),1),IFERROR(INDEX(醫師週班表!$C$5:$T$44,$CU25,AT$57),"")))))))</f>
        <v/>
      </c>
      <c r="AU25" s="71">
        <f>IF(AU$59="X","",IF(AU$59&lt;&gt;"",AU$59,IF(IFERROR(INDEX(醫師週班表!$C$5:$T$44,$CU25,AU$57),"")=0,"",IF(MID(IFERROR(INDEX(醫師週班表!$C$5:$T$44,$CU25,AU$57),""),2,1)="/",MID(IFERROR(INDEX(醫師週班表!$C$5:$T$44,$CU25,AU$57),""),1+AU$58*2,1),IF(MID(IFERROR(INDEX(醫師週班表!$C$5:$T$44,$CU25,AU$57),""),3,1)="隔",IF(AU$58=0,LEFT(IFERROR(INDEX(醫師週班表!$C$5:$T$44,$CU25,AU$57),""),1),""),IF(MID(IFERROR(INDEX(醫師週班表!$C$5:$T$44,$CU25,AU$57),""),2,1)="(",LEFT(IFERROR(INDEX(醫師週班表!$C$5:$T$44,$CU25,AU$57),""),1),IFERROR(INDEX(醫師週班表!$C$5:$T$44,$CU25,AU$57),"")))))))</f>
        <v/>
      </c>
      <c r="AV25" s="72">
        <f>IF(AV$59="X","",IF(AV$59&lt;&gt;"",AV$59,IF(IFERROR(INDEX(醫師週班表!$C$5:$T$44,$CU25,AV$57),"")=0,"",IF(MID(IFERROR(INDEX(醫師週班表!$C$5:$T$44,$CU25,AV$57),""),2,1)="/",MID(IFERROR(INDEX(醫師週班表!$C$5:$T$44,$CU25,AV$57),""),1+AV$58*2,1),IF(MID(IFERROR(INDEX(醫師週班表!$C$5:$T$44,$CU25,AV$57),""),3,1)="隔",IF(AV$58=0,LEFT(IFERROR(INDEX(醫師週班表!$C$5:$T$44,$CU25,AV$57),""),1),""),IF(MID(IFERROR(INDEX(醫師週班表!$C$5:$T$44,$CU25,AV$57),""),2,1)="(",LEFT(IFERROR(INDEX(醫師週班表!$C$5:$T$44,$CU25,AV$57),""),1),IFERROR(INDEX(醫師週班表!$C$5:$T$44,$CU25,AV$57),"")))))))</f>
        <v/>
      </c>
      <c r="AW25" s="72">
        <f>IF(AW$59="X","",IF(AW$59&lt;&gt;"",AW$59,IF(IFERROR(INDEX(醫師週班表!$C$5:$T$44,$CU25,AW$57),"")=0,"",IF(MID(IFERROR(INDEX(醫師週班表!$C$5:$T$44,$CU25,AW$57),""),2,1)="/",MID(IFERROR(INDEX(醫師週班表!$C$5:$T$44,$CU25,AW$57),""),1+AW$58*2,1),IF(MID(IFERROR(INDEX(醫師週班表!$C$5:$T$44,$CU25,AW$57),""),3,1)="隔",IF(AW$58=0,LEFT(IFERROR(INDEX(醫師週班表!$C$5:$T$44,$CU25,AW$57),""),1),""),IF(MID(IFERROR(INDEX(醫師週班表!$C$5:$T$44,$CU25,AW$57),""),2,1)="(",LEFT(IFERROR(INDEX(醫師週班表!$C$5:$T$44,$CU25,AW$57),""),1),IFERROR(INDEX(醫師週班表!$C$5:$T$44,$CU25,AW$57),"")))))))</f>
        <v/>
      </c>
      <c r="AX25" s="71">
        <f>IF(AX$59="X","",IF(AX$59&lt;&gt;"",AX$59,IF(IFERROR(INDEX(醫師週班表!$C$5:$T$44,$CU25,AX$57),"")=0,"",IF(MID(IFERROR(INDEX(醫師週班表!$C$5:$T$44,$CU25,AX$57),""),2,1)="/",MID(IFERROR(INDEX(醫師週班表!$C$5:$T$44,$CU25,AX$57),""),1+AX$58*2,1),IF(MID(IFERROR(INDEX(醫師週班表!$C$5:$T$44,$CU25,AX$57),""),3,1)="隔",IF(AX$58=0,LEFT(IFERROR(INDEX(醫師週班表!$C$5:$T$44,$CU25,AX$57),""),1),""),IF(MID(IFERROR(INDEX(醫師週班表!$C$5:$T$44,$CU25,AX$57),""),2,1)="(",LEFT(IFERROR(INDEX(醫師週班表!$C$5:$T$44,$CU25,AX$57),""),1),IFERROR(INDEX(醫師週班表!$C$5:$T$44,$CU25,AX$57),"")))))))</f>
        <v/>
      </c>
      <c r="AY25" s="72">
        <f>IF(AY$59="X","",IF(AY$59&lt;&gt;"",AY$59,IF(IFERROR(INDEX(醫師週班表!$C$5:$T$44,$CU25,AY$57),"")=0,"",IF(MID(IFERROR(INDEX(醫師週班表!$C$5:$T$44,$CU25,AY$57),""),2,1)="/",MID(IFERROR(INDEX(醫師週班表!$C$5:$T$44,$CU25,AY$57),""),1+AY$58*2,1),IF(MID(IFERROR(INDEX(醫師週班表!$C$5:$T$44,$CU25,AY$57),""),3,1)="隔",IF(AY$58=0,LEFT(IFERROR(INDEX(醫師週班表!$C$5:$T$44,$CU25,AY$57),""),1),""),IF(MID(IFERROR(INDEX(醫師週班表!$C$5:$T$44,$CU25,AY$57),""),2,1)="(",LEFT(IFERROR(INDEX(醫師週班表!$C$5:$T$44,$CU25,AY$57),""),1),IFERROR(INDEX(醫師週班表!$C$5:$T$44,$CU25,AY$57),"")))))))</f>
        <v/>
      </c>
      <c r="AZ25" s="72">
        <f>IF(AZ$59="X","",IF(AZ$59&lt;&gt;"",AZ$59,IF(IFERROR(INDEX(醫師週班表!$C$5:$T$44,$CU25,AZ$57),"")=0,"",IF(MID(IFERROR(INDEX(醫師週班表!$C$5:$T$44,$CU25,AZ$57),""),2,1)="/",MID(IFERROR(INDEX(醫師週班表!$C$5:$T$44,$CU25,AZ$57),""),1+AZ$58*2,1),IF(MID(IFERROR(INDEX(醫師週班表!$C$5:$T$44,$CU25,AZ$57),""),3,1)="隔",IF(AZ$58=0,LEFT(IFERROR(INDEX(醫師週班表!$C$5:$T$44,$CU25,AZ$57),""),1),""),IF(MID(IFERROR(INDEX(醫師週班表!$C$5:$T$44,$CU25,AZ$57),""),2,1)="(",LEFT(IFERROR(INDEX(醫師週班表!$C$5:$T$44,$CU25,AZ$57),""),1),IFERROR(INDEX(醫師週班表!$C$5:$T$44,$CU25,AZ$57),"")))))))</f>
        <v/>
      </c>
      <c r="BA25" s="71">
        <f>IF(BA$59="X","",IF(BA$59&lt;&gt;"",BA$59,IF(IFERROR(INDEX(醫師週班表!$C$5:$T$44,$CU25,BA$57),"")=0,"",IF(MID(IFERROR(INDEX(醫師週班表!$C$5:$T$44,$CU25,BA$57),""),2,1)="/",MID(IFERROR(INDEX(醫師週班表!$C$5:$T$44,$CU25,BA$57),""),1+BA$58*2,1),IF(MID(IFERROR(INDEX(醫師週班表!$C$5:$T$44,$CU25,BA$57),""),3,1)="隔",IF(BA$58=0,LEFT(IFERROR(INDEX(醫師週班表!$C$5:$T$44,$CU25,BA$57),""),1),""),IF(MID(IFERROR(INDEX(醫師週班表!$C$5:$T$44,$CU25,BA$57),""),2,1)="(",LEFT(IFERROR(INDEX(醫師週班表!$C$5:$T$44,$CU25,BA$57),""),1),IFERROR(INDEX(醫師週班表!$C$5:$T$44,$CU25,BA$57),"")))))))</f>
        <v/>
      </c>
      <c r="BB25" s="72">
        <f>IF(BB$59="X","",IF(BB$59&lt;&gt;"",BB$59,IF(IFERROR(INDEX(醫師週班表!$C$5:$T$44,$CU25,BB$57),"")=0,"",IF(MID(IFERROR(INDEX(醫師週班表!$C$5:$T$44,$CU25,BB$57),""),2,1)="/",MID(IFERROR(INDEX(醫師週班表!$C$5:$T$44,$CU25,BB$57),""),1+BB$58*2,1),IF(MID(IFERROR(INDEX(醫師週班表!$C$5:$T$44,$CU25,BB$57),""),3,1)="隔",IF(BB$58=0,LEFT(IFERROR(INDEX(醫師週班表!$C$5:$T$44,$CU25,BB$57),""),1),""),IF(MID(IFERROR(INDEX(醫師週班表!$C$5:$T$44,$CU25,BB$57),""),2,1)="(",LEFT(IFERROR(INDEX(醫師週班表!$C$5:$T$44,$CU25,BB$57),""),1),IFERROR(INDEX(醫師週班表!$C$5:$T$44,$CU25,BB$57),"")))))))</f>
        <v/>
      </c>
      <c r="BC25" s="72">
        <f>IF(BC$59="X","",IF(BC$59&lt;&gt;"",BC$59,IF(IFERROR(INDEX(醫師週班表!$C$5:$T$44,$CU25,BC$57),"")=0,"",IF(MID(IFERROR(INDEX(醫師週班表!$C$5:$T$44,$CU25,BC$57),""),2,1)="/",MID(IFERROR(INDEX(醫師週班表!$C$5:$T$44,$CU25,BC$57),""),1+BC$58*2,1),IF(MID(IFERROR(INDEX(醫師週班表!$C$5:$T$44,$CU25,BC$57),""),3,1)="隔",IF(BC$58=0,LEFT(IFERROR(INDEX(醫師週班表!$C$5:$T$44,$CU25,BC$57),""),1),""),IF(MID(IFERROR(INDEX(醫師週班表!$C$5:$T$44,$CU25,BC$57),""),2,1)="(",LEFT(IFERROR(INDEX(醫師週班表!$C$5:$T$44,$CU25,BC$57),""),1),IFERROR(INDEX(醫師週班表!$C$5:$T$44,$CU25,BC$57),"")))))))</f>
        <v/>
      </c>
      <c r="BD25" s="71">
        <f>IF(BD$59="X","",IF(BD$59&lt;&gt;"",BD$59,IF(IFERROR(INDEX(醫師週班表!$C$5:$T$44,$CU25,BD$57),"")=0,"",IF(MID(IFERROR(INDEX(醫師週班表!$C$5:$T$44,$CU25,BD$57),""),2,1)="/",MID(IFERROR(INDEX(醫師週班表!$C$5:$T$44,$CU25,BD$57),""),1+BD$58*2,1),IF(MID(IFERROR(INDEX(醫師週班表!$C$5:$T$44,$CU25,BD$57),""),3,1)="隔",IF(BD$58=0,LEFT(IFERROR(INDEX(醫師週班表!$C$5:$T$44,$CU25,BD$57),""),1),""),IF(MID(IFERROR(INDEX(醫師週班表!$C$5:$T$44,$CU25,BD$57),""),2,1)="(",LEFT(IFERROR(INDEX(醫師週班表!$C$5:$T$44,$CU25,BD$57),""),1),IFERROR(INDEX(醫師週班表!$C$5:$T$44,$CU25,BD$57),"")))))))</f>
        <v/>
      </c>
      <c r="BE25" s="72">
        <f>IF(BE$59="X","",IF(BE$59&lt;&gt;"",BE$59,IF(IFERROR(INDEX(醫師週班表!$C$5:$T$44,$CU25,BE$57),"")=0,"",IF(MID(IFERROR(INDEX(醫師週班表!$C$5:$T$44,$CU25,BE$57),""),2,1)="/",MID(IFERROR(INDEX(醫師週班表!$C$5:$T$44,$CU25,BE$57),""),1+BE$58*2,1),IF(MID(IFERROR(INDEX(醫師週班表!$C$5:$T$44,$CU25,BE$57),""),3,1)="隔",IF(BE$58=0,LEFT(IFERROR(INDEX(醫師週班表!$C$5:$T$44,$CU25,BE$57),""),1),""),IF(MID(IFERROR(INDEX(醫師週班表!$C$5:$T$44,$CU25,BE$57),""),2,1)="(",LEFT(IFERROR(INDEX(醫師週班表!$C$5:$T$44,$CU25,BE$57),""),1),IFERROR(INDEX(醫師週班表!$C$5:$T$44,$CU25,BE$57),"")))))))</f>
        <v/>
      </c>
      <c r="BF25" s="72">
        <f>IF(BF$59="X","",IF(BF$59&lt;&gt;"",BF$59,IF(IFERROR(INDEX(醫師週班表!$C$5:$T$44,$CU25,BF$57),"")=0,"",IF(MID(IFERROR(INDEX(醫師週班表!$C$5:$T$44,$CU25,BF$57),""),2,1)="/",MID(IFERROR(INDEX(醫師週班表!$C$5:$T$44,$CU25,BF$57),""),1+BF$58*2,1),IF(MID(IFERROR(INDEX(醫師週班表!$C$5:$T$44,$CU25,BF$57),""),3,1)="隔",IF(BF$58=0,LEFT(IFERROR(INDEX(醫師週班表!$C$5:$T$44,$CU25,BF$57),""),1),""),IF(MID(IFERROR(INDEX(醫師週班表!$C$5:$T$44,$CU25,BF$57),""),2,1)="(",LEFT(IFERROR(INDEX(醫師週班表!$C$5:$T$44,$CU25,BF$57),""),1),IFERROR(INDEX(醫師週班表!$C$5:$T$44,$CU25,BF$57),"")))))))</f>
        <v/>
      </c>
      <c r="BG25" s="71">
        <f>IF(BG$59="X","",IF(BG$59&lt;&gt;"",BG$59,IF(IFERROR(INDEX(醫師週班表!$C$5:$T$44,$CU25,BG$57),"")=0,"",IF(MID(IFERROR(INDEX(醫師週班表!$C$5:$T$44,$CU25,BG$57),""),2,1)="/",MID(IFERROR(INDEX(醫師週班表!$C$5:$T$44,$CU25,BG$57),""),1+BG$58*2,1),IF(MID(IFERROR(INDEX(醫師週班表!$C$5:$T$44,$CU25,BG$57),""),3,1)="隔",IF(BG$58=0,LEFT(IFERROR(INDEX(醫師週班表!$C$5:$T$44,$CU25,BG$57),""),1),""),IF(MID(IFERROR(INDEX(醫師週班表!$C$5:$T$44,$CU25,BG$57),""),2,1)="(",LEFT(IFERROR(INDEX(醫師週班表!$C$5:$T$44,$CU25,BG$57),""),1),IFERROR(INDEX(醫師週班表!$C$5:$T$44,$CU25,BG$57),"")))))))</f>
        <v/>
      </c>
      <c r="BH25" s="72">
        <f>IF(BH$59="X","",IF(BH$59&lt;&gt;"",BH$59,IF(IFERROR(INDEX(醫師週班表!$C$5:$T$44,$CU25,BH$57),"")=0,"",IF(MID(IFERROR(INDEX(醫師週班表!$C$5:$T$44,$CU25,BH$57),""),2,1)="/",MID(IFERROR(INDEX(醫師週班表!$C$5:$T$44,$CU25,BH$57),""),1+BH$58*2,1),IF(MID(IFERROR(INDEX(醫師週班表!$C$5:$T$44,$CU25,BH$57),""),3,1)="隔",IF(BH$58=0,LEFT(IFERROR(INDEX(醫師週班表!$C$5:$T$44,$CU25,BH$57),""),1),""),IF(MID(IFERROR(INDEX(醫師週班表!$C$5:$T$44,$CU25,BH$57),""),2,1)="(",LEFT(IFERROR(INDEX(醫師週班表!$C$5:$T$44,$CU25,BH$57),""),1),IFERROR(INDEX(醫師週班表!$C$5:$T$44,$CU25,BH$57),"")))))))</f>
        <v/>
      </c>
      <c r="BI25" s="72">
        <f>IF(BI$59="X","",IF(BI$59&lt;&gt;"",BI$59,IF(IFERROR(INDEX(醫師週班表!$C$5:$T$44,$CU25,BI$57),"")=0,"",IF(MID(IFERROR(INDEX(醫師週班表!$C$5:$T$44,$CU25,BI$57),""),2,1)="/",MID(IFERROR(INDEX(醫師週班表!$C$5:$T$44,$CU25,BI$57),""),1+BI$58*2,1),IF(MID(IFERROR(INDEX(醫師週班表!$C$5:$T$44,$CU25,BI$57),""),3,1)="隔",IF(BI$58=0,LEFT(IFERROR(INDEX(醫師週班表!$C$5:$T$44,$CU25,BI$57),""),1),""),IF(MID(IFERROR(INDEX(醫師週班表!$C$5:$T$44,$CU25,BI$57),""),2,1)="(",LEFT(IFERROR(INDEX(醫師週班表!$C$5:$T$44,$CU25,BI$57),""),1),IFERROR(INDEX(醫師週班表!$C$5:$T$44,$CU25,BI$57),"")))))))</f>
        <v/>
      </c>
      <c r="BJ25" s="71">
        <f>IF(BJ$59="X","",IF(BJ$59&lt;&gt;"",BJ$59,IF(IFERROR(INDEX(醫師週班表!$C$5:$T$44,$CU25,BJ$57),"")=0,"",IF(MID(IFERROR(INDEX(醫師週班表!$C$5:$T$44,$CU25,BJ$57),""),2,1)="/",MID(IFERROR(INDEX(醫師週班表!$C$5:$T$44,$CU25,BJ$57),""),1+BJ$58*2,1),IF(MID(IFERROR(INDEX(醫師週班表!$C$5:$T$44,$CU25,BJ$57),""),3,1)="隔",IF(BJ$58=0,LEFT(IFERROR(INDEX(醫師週班表!$C$5:$T$44,$CU25,BJ$57),""),1),""),IF(MID(IFERROR(INDEX(醫師週班表!$C$5:$T$44,$CU25,BJ$57),""),2,1)="(",LEFT(IFERROR(INDEX(醫師週班表!$C$5:$T$44,$CU25,BJ$57),""),1),IFERROR(INDEX(醫師週班表!$C$5:$T$44,$CU25,BJ$57),"")))))))</f>
        <v/>
      </c>
      <c r="BK25" s="72">
        <f>IF(BK$59="X","",IF(BK$59&lt;&gt;"",BK$59,IF(IFERROR(INDEX(醫師週班表!$C$5:$T$44,$CU25,BK$57),"")=0,"",IF(MID(IFERROR(INDEX(醫師週班表!$C$5:$T$44,$CU25,BK$57),""),2,1)="/",MID(IFERROR(INDEX(醫師週班表!$C$5:$T$44,$CU25,BK$57),""),1+BK$58*2,1),IF(MID(IFERROR(INDEX(醫師週班表!$C$5:$T$44,$CU25,BK$57),""),3,1)="隔",IF(BK$58=0,LEFT(IFERROR(INDEX(醫師週班表!$C$5:$T$44,$CU25,BK$57),""),1),""),IF(MID(IFERROR(INDEX(醫師週班表!$C$5:$T$44,$CU25,BK$57),""),2,1)="(",LEFT(IFERROR(INDEX(醫師週班表!$C$5:$T$44,$CU25,BK$57),""),1),IFERROR(INDEX(醫師週班表!$C$5:$T$44,$CU25,BK$57),"")))))))</f>
        <v/>
      </c>
      <c r="BL25" s="72">
        <f>IF(BL$59="X","",IF(BL$59&lt;&gt;"",BL$59,IF(IFERROR(INDEX(醫師週班表!$C$5:$T$44,$CU25,BL$57),"")=0,"",IF(MID(IFERROR(INDEX(醫師週班表!$C$5:$T$44,$CU25,BL$57),""),2,1)="/",MID(IFERROR(INDEX(醫師週班表!$C$5:$T$44,$CU25,BL$57),""),1+BL$58*2,1),IF(MID(IFERROR(INDEX(醫師週班表!$C$5:$T$44,$CU25,BL$57),""),3,1)="隔",IF(BL$58=0,LEFT(IFERROR(INDEX(醫師週班表!$C$5:$T$44,$CU25,BL$57),""),1),""),IF(MID(IFERROR(INDEX(醫師週班表!$C$5:$T$44,$CU25,BL$57),""),2,1)="(",LEFT(IFERROR(INDEX(醫師週班表!$C$5:$T$44,$CU25,BL$57),""),1),IFERROR(INDEX(醫師週班表!$C$5:$T$44,$CU25,BL$57),"")))))))</f>
        <v/>
      </c>
      <c r="BM25" s="71">
        <f>IF(BM$59="X","",IF(BM$59&lt;&gt;"",BM$59,IF(IFERROR(INDEX(醫師週班表!$C$5:$T$44,$CU25,BM$57),"")=0,"",IF(MID(IFERROR(INDEX(醫師週班表!$C$5:$T$44,$CU25,BM$57),""),2,1)="/",MID(IFERROR(INDEX(醫師週班表!$C$5:$T$44,$CU25,BM$57),""),1+BM$58*2,1),IF(MID(IFERROR(INDEX(醫師週班表!$C$5:$T$44,$CU25,BM$57),""),3,1)="隔",IF(BM$58=0,LEFT(IFERROR(INDEX(醫師週班表!$C$5:$T$44,$CU25,BM$57),""),1),""),IF(MID(IFERROR(INDEX(醫師週班表!$C$5:$T$44,$CU25,BM$57),""),2,1)="(",LEFT(IFERROR(INDEX(醫師週班表!$C$5:$T$44,$CU25,BM$57),""),1),IFERROR(INDEX(醫師週班表!$C$5:$T$44,$CU25,BM$57),"")))))))</f>
        <v/>
      </c>
      <c r="BN25" s="72">
        <f>IF(BN$59="X","",IF(BN$59&lt;&gt;"",BN$59,IF(IFERROR(INDEX(醫師週班表!$C$5:$T$44,$CU25,BN$57),"")=0,"",IF(MID(IFERROR(INDEX(醫師週班表!$C$5:$T$44,$CU25,BN$57),""),2,1)="/",MID(IFERROR(INDEX(醫師週班表!$C$5:$T$44,$CU25,BN$57),""),1+BN$58*2,1),IF(MID(IFERROR(INDEX(醫師週班表!$C$5:$T$44,$CU25,BN$57),""),3,1)="隔",IF(BN$58=0,LEFT(IFERROR(INDEX(醫師週班表!$C$5:$T$44,$CU25,BN$57),""),1),""),IF(MID(IFERROR(INDEX(醫師週班表!$C$5:$T$44,$CU25,BN$57),""),2,1)="(",LEFT(IFERROR(INDEX(醫師週班表!$C$5:$T$44,$CU25,BN$57),""),1),IFERROR(INDEX(醫師週班表!$C$5:$T$44,$CU25,BN$57),"")))))))</f>
        <v/>
      </c>
      <c r="BO25" s="72">
        <f>IF(BO$59="X","",IF(BO$59&lt;&gt;"",BO$59,IF(IFERROR(INDEX(醫師週班表!$C$5:$T$44,$CU25,BO$57),"")=0,"",IF(MID(IFERROR(INDEX(醫師週班表!$C$5:$T$44,$CU25,BO$57),""),2,1)="/",MID(IFERROR(INDEX(醫師週班表!$C$5:$T$44,$CU25,BO$57),""),1+BO$58*2,1),IF(MID(IFERROR(INDEX(醫師週班表!$C$5:$T$44,$CU25,BO$57),""),3,1)="隔",IF(BO$58=0,LEFT(IFERROR(INDEX(醫師週班表!$C$5:$T$44,$CU25,BO$57),""),1),""),IF(MID(IFERROR(INDEX(醫師週班表!$C$5:$T$44,$CU25,BO$57),""),2,1)="(",LEFT(IFERROR(INDEX(醫師週班表!$C$5:$T$44,$CU25,BO$57),""),1),IFERROR(INDEX(醫師週班表!$C$5:$T$44,$CU25,BO$57),"")))))))</f>
        <v/>
      </c>
      <c r="BP25" s="71">
        <f>IF(BP$59="X","",IF(BP$59&lt;&gt;"",BP$59,IF(IFERROR(INDEX(醫師週班表!$C$5:$T$44,$CU25,BP$57),"")=0,"",IF(MID(IFERROR(INDEX(醫師週班表!$C$5:$T$44,$CU25,BP$57),""),2,1)="/",MID(IFERROR(INDEX(醫師週班表!$C$5:$T$44,$CU25,BP$57),""),1+BP$58*2,1),IF(MID(IFERROR(INDEX(醫師週班表!$C$5:$T$44,$CU25,BP$57),""),3,1)="隔",IF(BP$58=0,LEFT(IFERROR(INDEX(醫師週班表!$C$5:$T$44,$CU25,BP$57),""),1),""),IF(MID(IFERROR(INDEX(醫師週班表!$C$5:$T$44,$CU25,BP$57),""),2,1)="(",LEFT(IFERROR(INDEX(醫師週班表!$C$5:$T$44,$CU25,BP$57),""),1),IFERROR(INDEX(醫師週班表!$C$5:$T$44,$CU25,BP$57),"")))))))</f>
        <v/>
      </c>
      <c r="BQ25" s="72">
        <f>IF(BQ$59="X","",IF(BQ$59&lt;&gt;"",BQ$59,IF(IFERROR(INDEX(醫師週班表!$C$5:$T$44,$CU25,BQ$57),"")=0,"",IF(MID(IFERROR(INDEX(醫師週班表!$C$5:$T$44,$CU25,BQ$57),""),2,1)="/",MID(IFERROR(INDEX(醫師週班表!$C$5:$T$44,$CU25,BQ$57),""),1+BQ$58*2,1),IF(MID(IFERROR(INDEX(醫師週班表!$C$5:$T$44,$CU25,BQ$57),""),3,1)="隔",IF(BQ$58=0,LEFT(IFERROR(INDEX(醫師週班表!$C$5:$T$44,$CU25,BQ$57),""),1),""),IF(MID(IFERROR(INDEX(醫師週班表!$C$5:$T$44,$CU25,BQ$57),""),2,1)="(",LEFT(IFERROR(INDEX(醫師週班表!$C$5:$T$44,$CU25,BQ$57),""),1),IFERROR(INDEX(醫師週班表!$C$5:$T$44,$CU25,BQ$57),"")))))))</f>
        <v/>
      </c>
      <c r="BR25" s="72">
        <f>IF(BR$59="X","",IF(BR$59&lt;&gt;"",BR$59,IF(IFERROR(INDEX(醫師週班表!$C$5:$T$44,$CU25,BR$57),"")=0,"",IF(MID(IFERROR(INDEX(醫師週班表!$C$5:$T$44,$CU25,BR$57),""),2,1)="/",MID(IFERROR(INDEX(醫師週班表!$C$5:$T$44,$CU25,BR$57),""),1+BR$58*2,1),IF(MID(IFERROR(INDEX(醫師週班表!$C$5:$T$44,$CU25,BR$57),""),3,1)="隔",IF(BR$58=0,LEFT(IFERROR(INDEX(醫師週班表!$C$5:$T$44,$CU25,BR$57),""),1),""),IF(MID(IFERROR(INDEX(醫師週班表!$C$5:$T$44,$CU25,BR$57),""),2,1)="(",LEFT(IFERROR(INDEX(醫師週班表!$C$5:$T$44,$CU25,BR$57),""),1),IFERROR(INDEX(醫師週班表!$C$5:$T$44,$CU25,BR$57),"")))))))</f>
        <v/>
      </c>
      <c r="BS25" s="71">
        <f>IF(BS$59="X","",IF(BS$59&lt;&gt;"",BS$59,IF(IFERROR(INDEX(醫師週班表!$C$5:$T$44,$CU25,BS$57),"")=0,"",IF(MID(IFERROR(INDEX(醫師週班表!$C$5:$T$44,$CU25,BS$57),""),2,1)="/",MID(IFERROR(INDEX(醫師週班表!$C$5:$T$44,$CU25,BS$57),""),1+BS$58*2,1),IF(MID(IFERROR(INDEX(醫師週班表!$C$5:$T$44,$CU25,BS$57),""),3,1)="隔",IF(BS$58=0,LEFT(IFERROR(INDEX(醫師週班表!$C$5:$T$44,$CU25,BS$57),""),1),""),IF(MID(IFERROR(INDEX(醫師週班表!$C$5:$T$44,$CU25,BS$57),""),2,1)="(",LEFT(IFERROR(INDEX(醫師週班表!$C$5:$T$44,$CU25,BS$57),""),1),IFERROR(INDEX(醫師週班表!$C$5:$T$44,$CU25,BS$57),"")))))))</f>
        <v/>
      </c>
      <c r="BT25" s="72">
        <f>IF(BT$59="X","",IF(BT$59&lt;&gt;"",BT$59,IF(IFERROR(INDEX(醫師週班表!$C$5:$T$44,$CU25,BT$57),"")=0,"",IF(MID(IFERROR(INDEX(醫師週班表!$C$5:$T$44,$CU25,BT$57),""),2,1)="/",MID(IFERROR(INDEX(醫師週班表!$C$5:$T$44,$CU25,BT$57),""),1+BT$58*2,1),IF(MID(IFERROR(INDEX(醫師週班表!$C$5:$T$44,$CU25,BT$57),""),3,1)="隔",IF(BT$58=0,LEFT(IFERROR(INDEX(醫師週班表!$C$5:$T$44,$CU25,BT$57),""),1),""),IF(MID(IFERROR(INDEX(醫師週班表!$C$5:$T$44,$CU25,BT$57),""),2,1)="(",LEFT(IFERROR(INDEX(醫師週班表!$C$5:$T$44,$CU25,BT$57),""),1),IFERROR(INDEX(醫師週班表!$C$5:$T$44,$CU25,BT$57),"")))))))</f>
        <v/>
      </c>
      <c r="BU25" s="72">
        <f>IF(BU$59="X","",IF(BU$59&lt;&gt;"",BU$59,IF(IFERROR(INDEX(醫師週班表!$C$5:$T$44,$CU25,BU$57),"")=0,"",IF(MID(IFERROR(INDEX(醫師週班表!$C$5:$T$44,$CU25,BU$57),""),2,1)="/",MID(IFERROR(INDEX(醫師週班表!$C$5:$T$44,$CU25,BU$57),""),1+BU$58*2,1),IF(MID(IFERROR(INDEX(醫師週班表!$C$5:$T$44,$CU25,BU$57),""),3,1)="隔",IF(BU$58=0,LEFT(IFERROR(INDEX(醫師週班表!$C$5:$T$44,$CU25,BU$57),""),1),""),IF(MID(IFERROR(INDEX(醫師週班表!$C$5:$T$44,$CU25,BU$57),""),2,1)="(",LEFT(IFERROR(INDEX(醫師週班表!$C$5:$T$44,$CU25,BU$57),""),1),IFERROR(INDEX(醫師週班表!$C$5:$T$44,$CU25,BU$57),"")))))))</f>
        <v/>
      </c>
      <c r="BV25" s="71">
        <f>IF(BV$59="X","",IF(BV$59&lt;&gt;"",BV$59,IF(IFERROR(INDEX(醫師週班表!$C$5:$T$44,$CU25,BV$57),"")=0,"",IF(MID(IFERROR(INDEX(醫師週班表!$C$5:$T$44,$CU25,BV$57),""),2,1)="/",MID(IFERROR(INDEX(醫師週班表!$C$5:$T$44,$CU25,BV$57),""),1+BV$58*2,1),IF(MID(IFERROR(INDEX(醫師週班表!$C$5:$T$44,$CU25,BV$57),""),3,1)="隔",IF(BV$58=0,LEFT(IFERROR(INDEX(醫師週班表!$C$5:$T$44,$CU25,BV$57),""),1),""),IF(MID(IFERROR(INDEX(醫師週班表!$C$5:$T$44,$CU25,BV$57),""),2,1)="(",LEFT(IFERROR(INDEX(醫師週班表!$C$5:$T$44,$CU25,BV$57),""),1),IFERROR(INDEX(醫師週班表!$C$5:$T$44,$CU25,BV$57),"")))))))</f>
        <v/>
      </c>
      <c r="BW25" s="72">
        <f>IF(BW$59="X","",IF(BW$59&lt;&gt;"",BW$59,IF(IFERROR(INDEX(醫師週班表!$C$5:$T$44,$CU25,BW$57),"")=0,"",IF(MID(IFERROR(INDEX(醫師週班表!$C$5:$T$44,$CU25,BW$57),""),2,1)="/",MID(IFERROR(INDEX(醫師週班表!$C$5:$T$44,$CU25,BW$57),""),1+BW$58*2,1),IF(MID(IFERROR(INDEX(醫師週班表!$C$5:$T$44,$CU25,BW$57),""),3,1)="隔",IF(BW$58=0,LEFT(IFERROR(INDEX(醫師週班表!$C$5:$T$44,$CU25,BW$57),""),1),""),IF(MID(IFERROR(INDEX(醫師週班表!$C$5:$T$44,$CU25,BW$57),""),2,1)="(",LEFT(IFERROR(INDEX(醫師週班表!$C$5:$T$44,$CU25,BW$57),""),1),IFERROR(INDEX(醫師週班表!$C$5:$T$44,$CU25,BW$57),"")))))))</f>
        <v/>
      </c>
      <c r="BX25" s="72">
        <f>IF(BX$59="X","",IF(BX$59&lt;&gt;"",BX$59,IF(IFERROR(INDEX(醫師週班表!$C$5:$T$44,$CU25,BX$57),"")=0,"",IF(MID(IFERROR(INDEX(醫師週班表!$C$5:$T$44,$CU25,BX$57),""),2,1)="/",MID(IFERROR(INDEX(醫師週班表!$C$5:$T$44,$CU25,BX$57),""),1+BX$58*2,1),IF(MID(IFERROR(INDEX(醫師週班表!$C$5:$T$44,$CU25,BX$57),""),3,1)="隔",IF(BX$58=0,LEFT(IFERROR(INDEX(醫師週班表!$C$5:$T$44,$CU25,BX$57),""),1),""),IF(MID(IFERROR(INDEX(醫師週班表!$C$5:$T$44,$CU25,BX$57),""),2,1)="(",LEFT(IFERROR(INDEX(醫師週班表!$C$5:$T$44,$CU25,BX$57),""),1),IFERROR(INDEX(醫師週班表!$C$5:$T$44,$CU25,BX$57),"")))))))</f>
        <v/>
      </c>
      <c r="BY25" s="71">
        <f>IF(BY$59="X","",IF(BY$59&lt;&gt;"",BY$59,IF(IFERROR(INDEX(醫師週班表!$C$5:$T$44,$CU25,BY$57),"")=0,"",IF(MID(IFERROR(INDEX(醫師週班表!$C$5:$T$44,$CU25,BY$57),""),2,1)="/",MID(IFERROR(INDEX(醫師週班表!$C$5:$T$44,$CU25,BY$57),""),1+BY$58*2,1),IF(MID(IFERROR(INDEX(醫師週班表!$C$5:$T$44,$CU25,BY$57),""),3,1)="隔",IF(BY$58=0,LEFT(IFERROR(INDEX(醫師週班表!$C$5:$T$44,$CU25,BY$57),""),1),""),IF(MID(IFERROR(INDEX(醫師週班表!$C$5:$T$44,$CU25,BY$57),""),2,1)="(",LEFT(IFERROR(INDEX(醫師週班表!$C$5:$T$44,$CU25,BY$57),""),1),IFERROR(INDEX(醫師週班表!$C$5:$T$44,$CU25,BY$57),"")))))))</f>
        <v/>
      </c>
      <c r="BZ25" s="72">
        <f>IF(BZ$59="X","",IF(BZ$59&lt;&gt;"",BZ$59,IF(IFERROR(INDEX(醫師週班表!$C$5:$T$44,$CU25,BZ$57),"")=0,"",IF(MID(IFERROR(INDEX(醫師週班表!$C$5:$T$44,$CU25,BZ$57),""),2,1)="/",MID(IFERROR(INDEX(醫師週班表!$C$5:$T$44,$CU25,BZ$57),""),1+BZ$58*2,1),IF(MID(IFERROR(INDEX(醫師週班表!$C$5:$T$44,$CU25,BZ$57),""),3,1)="隔",IF(BZ$58=0,LEFT(IFERROR(INDEX(醫師週班表!$C$5:$T$44,$CU25,BZ$57),""),1),""),IF(MID(IFERROR(INDEX(醫師週班表!$C$5:$T$44,$CU25,BZ$57),""),2,1)="(",LEFT(IFERROR(INDEX(醫師週班表!$C$5:$T$44,$CU25,BZ$57),""),1),IFERROR(INDEX(醫師週班表!$C$5:$T$44,$CU25,BZ$57),"")))))))</f>
        <v/>
      </c>
      <c r="CA25" s="72">
        <f>IF(CA$59="X","",IF(CA$59&lt;&gt;"",CA$59,IF(IFERROR(INDEX(醫師週班表!$C$5:$T$44,$CU25,CA$57),"")=0,"",IF(MID(IFERROR(INDEX(醫師週班表!$C$5:$T$44,$CU25,CA$57),""),2,1)="/",MID(IFERROR(INDEX(醫師週班表!$C$5:$T$44,$CU25,CA$57),""),1+CA$58*2,1),IF(MID(IFERROR(INDEX(醫師週班表!$C$5:$T$44,$CU25,CA$57),""),3,1)="隔",IF(CA$58=0,LEFT(IFERROR(INDEX(醫師週班表!$C$5:$T$44,$CU25,CA$57),""),1),""),IF(MID(IFERROR(INDEX(醫師週班表!$C$5:$T$44,$CU25,CA$57),""),2,1)="(",LEFT(IFERROR(INDEX(醫師週班表!$C$5:$T$44,$CU25,CA$57),""),1),IFERROR(INDEX(醫師週班表!$C$5:$T$44,$CU25,CA$57),"")))))))</f>
        <v/>
      </c>
      <c r="CB25" s="71">
        <f>IF(CB$59="X","",IF(CB$59&lt;&gt;"",CB$59,IF(IFERROR(INDEX(醫師週班表!$C$5:$T$44,$CU25,CB$57),"")=0,"",IF(MID(IFERROR(INDEX(醫師週班表!$C$5:$T$44,$CU25,CB$57),""),2,1)="/",MID(IFERROR(INDEX(醫師週班表!$C$5:$T$44,$CU25,CB$57),""),1+CB$58*2,1),IF(MID(IFERROR(INDEX(醫師週班表!$C$5:$T$44,$CU25,CB$57),""),3,1)="隔",IF(CB$58=0,LEFT(IFERROR(INDEX(醫師週班表!$C$5:$T$44,$CU25,CB$57),""),1),""),IF(MID(IFERROR(INDEX(醫師週班表!$C$5:$T$44,$CU25,CB$57),""),2,1)="(",LEFT(IFERROR(INDEX(醫師週班表!$C$5:$T$44,$CU25,CB$57),""),1),IFERROR(INDEX(醫師週班表!$C$5:$T$44,$CU25,CB$57),"")))))))</f>
        <v/>
      </c>
      <c r="CC25" s="72">
        <f>IF(CC$59="X","",IF(CC$59&lt;&gt;"",CC$59,IF(IFERROR(INDEX(醫師週班表!$C$5:$T$44,$CU25,CC$57),"")=0,"",IF(MID(IFERROR(INDEX(醫師週班表!$C$5:$T$44,$CU25,CC$57),""),2,1)="/",MID(IFERROR(INDEX(醫師週班表!$C$5:$T$44,$CU25,CC$57),""),1+CC$58*2,1),IF(MID(IFERROR(INDEX(醫師週班表!$C$5:$T$44,$CU25,CC$57),""),3,1)="隔",IF(CC$58=0,LEFT(IFERROR(INDEX(醫師週班表!$C$5:$T$44,$CU25,CC$57),""),1),""),IF(MID(IFERROR(INDEX(醫師週班表!$C$5:$T$44,$CU25,CC$57),""),2,1)="(",LEFT(IFERROR(INDEX(醫師週班表!$C$5:$T$44,$CU25,CC$57),""),1),IFERROR(INDEX(醫師週班表!$C$5:$T$44,$CU25,CC$57),"")))))))</f>
        <v/>
      </c>
      <c r="CD25" s="72">
        <f>IF(CD$59="X","",IF(CD$59&lt;&gt;"",CD$59,IF(IFERROR(INDEX(醫師週班表!$C$5:$T$44,$CU25,CD$57),"")=0,"",IF(MID(IFERROR(INDEX(醫師週班表!$C$5:$T$44,$CU25,CD$57),""),2,1)="/",MID(IFERROR(INDEX(醫師週班表!$C$5:$T$44,$CU25,CD$57),""),1+CD$58*2,1),IF(MID(IFERROR(INDEX(醫師週班表!$C$5:$T$44,$CU25,CD$57),""),3,1)="隔",IF(CD$58=0,LEFT(IFERROR(INDEX(醫師週班表!$C$5:$T$44,$CU25,CD$57),""),1),""),IF(MID(IFERROR(INDEX(醫師週班表!$C$5:$T$44,$CU25,CD$57),""),2,1)="(",LEFT(IFERROR(INDEX(醫師週班表!$C$5:$T$44,$CU25,CD$57),""),1),IFERROR(INDEX(醫師週班表!$C$5:$T$44,$CU25,CD$57),"")))))))</f>
        <v/>
      </c>
      <c r="CE25" s="71">
        <f>IF(CE$59="X","",IF(CE$59&lt;&gt;"",CE$59,IF(IFERROR(INDEX(醫師週班表!$C$5:$T$44,$CU25,CE$57),"")=0,"",IF(MID(IFERROR(INDEX(醫師週班表!$C$5:$T$44,$CU25,CE$57),""),2,1)="/",MID(IFERROR(INDEX(醫師週班表!$C$5:$T$44,$CU25,CE$57),""),1+CE$58*2,1),IF(MID(IFERROR(INDEX(醫師週班表!$C$5:$T$44,$CU25,CE$57),""),3,1)="隔",IF(CE$58=0,LEFT(IFERROR(INDEX(醫師週班表!$C$5:$T$44,$CU25,CE$57),""),1),""),IF(MID(IFERROR(INDEX(醫師週班表!$C$5:$T$44,$CU25,CE$57),""),2,1)="(",LEFT(IFERROR(INDEX(醫師週班表!$C$5:$T$44,$CU25,CE$57),""),1),IFERROR(INDEX(醫師週班表!$C$5:$T$44,$CU25,CE$57),"")))))))</f>
        <v/>
      </c>
      <c r="CF25" s="72">
        <f>IF(CF$59="X","",IF(CF$59&lt;&gt;"",CF$59,IF(IFERROR(INDEX(醫師週班表!$C$5:$T$44,$CU25,CF$57),"")=0,"",IF(MID(IFERROR(INDEX(醫師週班表!$C$5:$T$44,$CU25,CF$57),""),2,1)="/",MID(IFERROR(INDEX(醫師週班表!$C$5:$T$44,$CU25,CF$57),""),1+CF$58*2,1),IF(MID(IFERROR(INDEX(醫師週班表!$C$5:$T$44,$CU25,CF$57),""),3,1)="隔",IF(CF$58=0,LEFT(IFERROR(INDEX(醫師週班表!$C$5:$T$44,$CU25,CF$57),""),1),""),IF(MID(IFERROR(INDEX(醫師週班表!$C$5:$T$44,$CU25,CF$57),""),2,1)="(",LEFT(IFERROR(INDEX(醫師週班表!$C$5:$T$44,$CU25,CF$57),""),1),IFERROR(INDEX(醫師週班表!$C$5:$T$44,$CU25,CF$57),"")))))))</f>
        <v/>
      </c>
      <c r="CG25" s="72">
        <f>IF(CG$59="X","",IF(CG$59&lt;&gt;"",CG$59,IF(IFERROR(INDEX(醫師週班表!$C$5:$T$44,$CU25,CG$57),"")=0,"",IF(MID(IFERROR(INDEX(醫師週班表!$C$5:$T$44,$CU25,CG$57),""),2,1)="/",MID(IFERROR(INDEX(醫師週班表!$C$5:$T$44,$CU25,CG$57),""),1+CG$58*2,1),IF(MID(IFERROR(INDEX(醫師週班表!$C$5:$T$44,$CU25,CG$57),""),3,1)="隔",IF(CG$58=0,LEFT(IFERROR(INDEX(醫師週班表!$C$5:$T$44,$CU25,CG$57),""),1),""),IF(MID(IFERROR(INDEX(醫師週班表!$C$5:$T$44,$CU25,CG$57),""),2,1)="(",LEFT(IFERROR(INDEX(醫師週班表!$C$5:$T$44,$CU25,CG$57),""),1),IFERROR(INDEX(醫師週班表!$C$5:$T$44,$CU25,CG$57),"")))))))</f>
        <v/>
      </c>
      <c r="CH25" s="71">
        <f>IF(CH$59="X","",IF(CH$59&lt;&gt;"",CH$59,IF(IFERROR(INDEX(醫師週班表!$C$5:$T$44,$CU25,CH$57),"")=0,"",IF(MID(IFERROR(INDEX(醫師週班表!$C$5:$T$44,$CU25,CH$57),""),2,1)="/",MID(IFERROR(INDEX(醫師週班表!$C$5:$T$44,$CU25,CH$57),""),1+CH$58*2,1),IF(MID(IFERROR(INDEX(醫師週班表!$C$5:$T$44,$CU25,CH$57),""),3,1)="隔",IF(CH$58=0,LEFT(IFERROR(INDEX(醫師週班表!$C$5:$T$44,$CU25,CH$57),""),1),""),IF(MID(IFERROR(INDEX(醫師週班表!$C$5:$T$44,$CU25,CH$57),""),2,1)="(",LEFT(IFERROR(INDEX(醫師週班表!$C$5:$T$44,$CU25,CH$57),""),1),IFERROR(INDEX(醫師週班表!$C$5:$T$44,$CU25,CH$57),"")))))))</f>
        <v/>
      </c>
      <c r="CI25" s="72">
        <f>IF(CI$59="X","",IF(CI$59&lt;&gt;"",CI$59,IF(IFERROR(INDEX(醫師週班表!$C$5:$T$44,$CU25,CI$57),"")=0,"",IF(MID(IFERROR(INDEX(醫師週班表!$C$5:$T$44,$CU25,CI$57),""),2,1)="/",MID(IFERROR(INDEX(醫師週班表!$C$5:$T$44,$CU25,CI$57),""),1+CI$58*2,1),IF(MID(IFERROR(INDEX(醫師週班表!$C$5:$T$44,$CU25,CI$57),""),3,1)="隔",IF(CI$58=0,LEFT(IFERROR(INDEX(醫師週班表!$C$5:$T$44,$CU25,CI$57),""),1),""),IF(MID(IFERROR(INDEX(醫師週班表!$C$5:$T$44,$CU25,CI$57),""),2,1)="(",LEFT(IFERROR(INDEX(醫師週班表!$C$5:$T$44,$CU25,CI$57),""),1),IFERROR(INDEX(醫師週班表!$C$5:$T$44,$CU25,CI$57),"")))))))</f>
        <v/>
      </c>
      <c r="CJ25" s="72">
        <f>IF(CJ$59="X","",IF(CJ$59&lt;&gt;"",CJ$59,IF(IFERROR(INDEX(醫師週班表!$C$5:$T$44,$CU25,CJ$57),"")=0,"",IF(MID(IFERROR(INDEX(醫師週班表!$C$5:$T$44,$CU25,CJ$57),""),2,1)="/",MID(IFERROR(INDEX(醫師週班表!$C$5:$T$44,$CU25,CJ$57),""),1+CJ$58*2,1),IF(MID(IFERROR(INDEX(醫師週班表!$C$5:$T$44,$CU25,CJ$57),""),3,1)="隔",IF(CJ$58=0,LEFT(IFERROR(INDEX(醫師週班表!$C$5:$T$44,$CU25,CJ$57),""),1),""),IF(MID(IFERROR(INDEX(醫師週班表!$C$5:$T$44,$CU25,CJ$57),""),2,1)="(",LEFT(IFERROR(INDEX(醫師週班表!$C$5:$T$44,$CU25,CJ$57),""),1),IFERROR(INDEX(醫師週班表!$C$5:$T$44,$CU25,CJ$57),"")))))))</f>
        <v/>
      </c>
      <c r="CK25" s="71">
        <f>IF(CK$59="X","",IF(CK$59&lt;&gt;"",CK$59,IF(IFERROR(INDEX(醫師週班表!$C$5:$T$44,$CU25,CK$57),"")=0,"",IF(MID(IFERROR(INDEX(醫師週班表!$C$5:$T$44,$CU25,CK$57),""),2,1)="/",MID(IFERROR(INDEX(醫師週班表!$C$5:$T$44,$CU25,CK$57),""),1+CK$58*2,1),IF(MID(IFERROR(INDEX(醫師週班表!$C$5:$T$44,$CU25,CK$57),""),3,1)="隔",IF(CK$58=0,LEFT(IFERROR(INDEX(醫師週班表!$C$5:$T$44,$CU25,CK$57),""),1),""),IF(MID(IFERROR(INDEX(醫師週班表!$C$5:$T$44,$CU25,CK$57),""),2,1)="(",LEFT(IFERROR(INDEX(醫師週班表!$C$5:$T$44,$CU25,CK$57),""),1),IFERROR(INDEX(醫師週班表!$C$5:$T$44,$CU25,CK$57),"")))))))</f>
        <v/>
      </c>
      <c r="CL25" s="72">
        <f>IF(CL$59="X","",IF(CL$59&lt;&gt;"",CL$59,IF(IFERROR(INDEX(醫師週班表!$C$5:$T$44,$CU25,CL$57),"")=0,"",IF(MID(IFERROR(INDEX(醫師週班表!$C$5:$T$44,$CU25,CL$57),""),2,1)="/",MID(IFERROR(INDEX(醫師週班表!$C$5:$T$44,$CU25,CL$57),""),1+CL$58*2,1),IF(MID(IFERROR(INDEX(醫師週班表!$C$5:$T$44,$CU25,CL$57),""),3,1)="隔",IF(CL$58=0,LEFT(IFERROR(INDEX(醫師週班表!$C$5:$T$44,$CU25,CL$57),""),1),""),IF(MID(IFERROR(INDEX(醫師週班表!$C$5:$T$44,$CU25,CL$57),""),2,1)="(",LEFT(IFERROR(INDEX(醫師週班表!$C$5:$T$44,$CU25,CL$57),""),1),IFERROR(INDEX(醫師週班表!$C$5:$T$44,$CU25,CL$57),"")))))))</f>
        <v/>
      </c>
      <c r="CM25" s="72">
        <f>IF(CM$59="X","",IF(CM$59&lt;&gt;"",CM$59,IF(IFERROR(INDEX(醫師週班表!$C$5:$T$44,$CU25,CM$57),"")=0,"",IF(MID(IFERROR(INDEX(醫師週班表!$C$5:$T$44,$CU25,CM$57),""),2,1)="/",MID(IFERROR(INDEX(醫師週班表!$C$5:$T$44,$CU25,CM$57),""),1+CM$58*2,1),IF(MID(IFERROR(INDEX(醫師週班表!$C$5:$T$44,$CU25,CM$57),""),3,1)="隔",IF(CM$58=0,LEFT(IFERROR(INDEX(醫師週班表!$C$5:$T$44,$CU25,CM$57),""),1),""),IF(MID(IFERROR(INDEX(醫師週班表!$C$5:$T$44,$CU25,CM$57),""),2,1)="(",LEFT(IFERROR(INDEX(醫師週班表!$C$5:$T$44,$CU25,CM$57),""),1),IFERROR(INDEX(醫師週班表!$C$5:$T$44,$CU25,CM$57),"")))))))</f>
        <v/>
      </c>
      <c r="CN25" s="71">
        <f>IF(CN$59="X","",IF(CN$59&lt;&gt;"",CN$59,IF(IFERROR(INDEX(醫師週班表!$C$5:$T$44,$CU25,CN$57),"")=0,"",IF(MID(IFERROR(INDEX(醫師週班表!$C$5:$T$44,$CU25,CN$57),""),2,1)="/",MID(IFERROR(INDEX(醫師週班表!$C$5:$T$44,$CU25,CN$57),""),1+CN$58*2,1),IF(MID(IFERROR(INDEX(醫師週班表!$C$5:$T$44,$CU25,CN$57),""),3,1)="隔",IF(CN$58=0,LEFT(IFERROR(INDEX(醫師週班表!$C$5:$T$44,$CU25,CN$57),""),1),""),IF(MID(IFERROR(INDEX(醫師週班表!$C$5:$T$44,$CU25,CN$57),""),2,1)="(",LEFT(IFERROR(INDEX(醫師週班表!$C$5:$T$44,$CU25,CN$57),""),1),IFERROR(INDEX(醫師週班表!$C$5:$T$44,$CU25,CN$57),"")))))))</f>
        <v/>
      </c>
      <c r="CO25" s="72">
        <f>IF(CO$59="X","",IF(CO$59&lt;&gt;"",CO$59,IF(IFERROR(INDEX(醫師週班表!$C$5:$T$44,$CU25,CO$57),"")=0,"",IF(MID(IFERROR(INDEX(醫師週班表!$C$5:$T$44,$CU25,CO$57),""),2,1)="/",MID(IFERROR(INDEX(醫師週班表!$C$5:$T$44,$CU25,CO$57),""),1+CO$58*2,1),IF(MID(IFERROR(INDEX(醫師週班表!$C$5:$T$44,$CU25,CO$57),""),3,1)="隔",IF(CO$58=0,LEFT(IFERROR(INDEX(醫師週班表!$C$5:$T$44,$CU25,CO$57),""),1),""),IF(MID(IFERROR(INDEX(醫師週班表!$C$5:$T$44,$CU25,CO$57),""),2,1)="(",LEFT(IFERROR(INDEX(醫師週班表!$C$5:$T$44,$CU25,CO$57),""),1),IFERROR(INDEX(醫師週班表!$C$5:$T$44,$CU25,CO$57),"")))))))</f>
        <v/>
      </c>
      <c r="CP25" s="72">
        <f>IF(CP$59="X","",IF(CP$59&lt;&gt;"",CP$59,IF(IFERROR(INDEX(醫師週班表!$C$5:$T$44,$CU25,CP$57),"")=0,"",IF(MID(IFERROR(INDEX(醫師週班表!$C$5:$T$44,$CU25,CP$57),""),2,1)="/",MID(IFERROR(INDEX(醫師週班表!$C$5:$T$44,$CU25,CP$57),""),1+CP$58*2,1),IF(MID(IFERROR(INDEX(醫師週班表!$C$5:$T$44,$CU25,CP$57),""),3,1)="隔",IF(CP$58=0,LEFT(IFERROR(INDEX(醫師週班表!$C$5:$T$44,$CU25,CP$57),""),1),""),IF(MID(IFERROR(INDEX(醫師週班表!$C$5:$T$44,$CU25,CP$57),""),2,1)="(",LEFT(IFERROR(INDEX(醫師週班表!$C$5:$T$44,$CU25,CP$57),""),1),IFERROR(INDEX(醫師週班表!$C$5:$T$44,$CU25,CP$57),"")))))))</f>
        <v/>
      </c>
      <c r="CQ25" s="71">
        <f>IF(CQ$59="X","",IF(CQ$59&lt;&gt;"",CQ$59,IF(IFERROR(INDEX(醫師週班表!$C$5:$T$44,$CU25,CQ$57),"")=0,"",IF(MID(IFERROR(INDEX(醫師週班表!$C$5:$T$44,$CU25,CQ$57),""),2,1)="/",MID(IFERROR(INDEX(醫師週班表!$C$5:$T$44,$CU25,CQ$57),""),1+CQ$58*2,1),IF(MID(IFERROR(INDEX(醫師週班表!$C$5:$T$44,$CU25,CQ$57),""),3,1)="隔",IF(CQ$58=0,LEFT(IFERROR(INDEX(醫師週班表!$C$5:$T$44,$CU25,CQ$57),""),1),""),IF(MID(IFERROR(INDEX(醫師週班表!$C$5:$T$44,$CU25,CQ$57),""),2,1)="(",LEFT(IFERROR(INDEX(醫師週班表!$C$5:$T$44,$CU25,CQ$57),""),1),IFERROR(INDEX(醫師週班表!$C$5:$T$44,$CU25,CQ$57),"")))))))</f>
        <v/>
      </c>
      <c r="CR25" s="72">
        <f>IF(CR$59="X","",IF(CR$59&lt;&gt;"",CR$59,IF(IFERROR(INDEX(醫師週班表!$C$5:$T$44,$CU25,CR$57),"")=0,"",IF(MID(IFERROR(INDEX(醫師週班表!$C$5:$T$44,$CU25,CR$57),""),2,1)="/",MID(IFERROR(INDEX(醫師週班表!$C$5:$T$44,$CU25,CR$57),""),1+CR$58*2,1),IF(MID(IFERROR(INDEX(醫師週班表!$C$5:$T$44,$CU25,CR$57),""),3,1)="隔",IF(CR$58=0,LEFT(IFERROR(INDEX(醫師週班表!$C$5:$T$44,$CU25,CR$57),""),1),""),IF(MID(IFERROR(INDEX(醫師週班表!$C$5:$T$44,$CU25,CR$57),""),2,1)="(",LEFT(IFERROR(INDEX(醫師週班表!$C$5:$T$44,$CU25,CR$57),""),1),IFERROR(INDEX(醫師週班表!$C$5:$T$44,$CU25,CR$57),"")))))))</f>
        <v/>
      </c>
      <c r="CS25" s="72">
        <f>IF(CS$59="X","",IF(CS$59&lt;&gt;"",CS$59,IF(IFERROR(INDEX(醫師週班表!$C$5:$T$44,$CU25,CS$57),"")=0,"",IF(MID(IFERROR(INDEX(醫師週班表!$C$5:$T$44,$CU25,CS$57),""),2,1)="/",MID(IFERROR(INDEX(醫師週班表!$C$5:$T$44,$CU25,CS$57),""),1+CS$58*2,1),IF(MID(IFERROR(INDEX(醫師週班表!$C$5:$T$44,$CU25,CS$57),""),3,1)="隔",IF(CS$58=0,LEFT(IFERROR(INDEX(醫師週班表!$C$5:$T$44,$CU25,CS$57),""),1),""),IF(MID(IFERROR(INDEX(醫師週班表!$C$5:$T$44,$CU25,CS$57),""),2,1)="(",LEFT(IFERROR(INDEX(醫師週班表!$C$5:$T$44,$CU25,CS$57),""),1),IFERROR(INDEX(醫師週班表!$C$5:$T$44,$CU25,CS$57),"")))))))</f>
        <v/>
      </c>
      <c r="CU25" s="73">
        <f>IFERROR(MATCH($A25,醫師週班表!$A$5:$A$44,0),0)</f>
        <v/>
      </c>
    </row>
    <row r="26" ht="17" customHeight="1">
      <c r="A26" s="19" t="inlineStr">
        <is>
          <t>D021</t>
        </is>
      </c>
      <c r="B26" s="16" t="inlineStr">
        <is>
          <t>鄭博文</t>
        </is>
      </c>
      <c r="C26" s="70" t="inlineStr"/>
      <c r="D26" s="16" t="inlineStr"/>
      <c r="E26" s="71">
        <f>IF(E$59="X","",IF(E$59&lt;&gt;"",E$59,IF(IFERROR(INDEX(醫師週班表!$C$5:$T$44,$CU26,E$57),"")=0,"",IF(MID(IFERROR(INDEX(醫師週班表!$C$5:$T$44,$CU26,E$57),""),2,1)="/",MID(IFERROR(INDEX(醫師週班表!$C$5:$T$44,$CU26,E$57),""),1+E$58*2,1),IF(MID(IFERROR(INDEX(醫師週班表!$C$5:$T$44,$CU26,E$57),""),3,1)="隔",IF(E$58=0,LEFT(IFERROR(INDEX(醫師週班表!$C$5:$T$44,$CU26,E$57),""),1),""),IF(MID(IFERROR(INDEX(醫師週班表!$C$5:$T$44,$CU26,E$57),""),2,1)="(",LEFT(IFERROR(INDEX(醫師週班表!$C$5:$T$44,$CU26,E$57),""),1),IFERROR(INDEX(醫師週班表!$C$5:$T$44,$CU26,E$57),"")))))))</f>
        <v/>
      </c>
      <c r="F26" s="72">
        <f>IF(F$59="X","",IF(F$59&lt;&gt;"",F$59,IF(IFERROR(INDEX(醫師週班表!$C$5:$T$44,$CU26,F$57),"")=0,"",IF(MID(IFERROR(INDEX(醫師週班表!$C$5:$T$44,$CU26,F$57),""),2,1)="/",MID(IFERROR(INDEX(醫師週班表!$C$5:$T$44,$CU26,F$57),""),1+F$58*2,1),IF(MID(IFERROR(INDEX(醫師週班表!$C$5:$T$44,$CU26,F$57),""),3,1)="隔",IF(F$58=0,LEFT(IFERROR(INDEX(醫師週班表!$C$5:$T$44,$CU26,F$57),""),1),""),IF(MID(IFERROR(INDEX(醫師週班表!$C$5:$T$44,$CU26,F$57),""),2,1)="(",LEFT(IFERROR(INDEX(醫師週班表!$C$5:$T$44,$CU26,F$57),""),1),IFERROR(INDEX(醫師週班表!$C$5:$T$44,$CU26,F$57),"")))))))</f>
        <v/>
      </c>
      <c r="G26" s="72">
        <f>IF(G$59="X","",IF(G$59&lt;&gt;"",G$59,IF(IFERROR(INDEX(醫師週班表!$C$5:$T$44,$CU26,G$57),"")=0,"",IF(MID(IFERROR(INDEX(醫師週班表!$C$5:$T$44,$CU26,G$57),""),2,1)="/",MID(IFERROR(INDEX(醫師週班表!$C$5:$T$44,$CU26,G$57),""),1+G$58*2,1),IF(MID(IFERROR(INDEX(醫師週班表!$C$5:$T$44,$CU26,G$57),""),3,1)="隔",IF(G$58=0,LEFT(IFERROR(INDEX(醫師週班表!$C$5:$T$44,$CU26,G$57),""),1),""),IF(MID(IFERROR(INDEX(醫師週班表!$C$5:$T$44,$CU26,G$57),""),2,1)="(",LEFT(IFERROR(INDEX(醫師週班表!$C$5:$T$44,$CU26,G$57),""),1),IFERROR(INDEX(醫師週班表!$C$5:$T$44,$CU26,G$57),"")))))))</f>
        <v/>
      </c>
      <c r="H26" s="71">
        <f>IF(H$59="X","",IF(H$59&lt;&gt;"",H$59,IF(IFERROR(INDEX(醫師週班表!$C$5:$T$44,$CU26,H$57),"")=0,"",IF(MID(IFERROR(INDEX(醫師週班表!$C$5:$T$44,$CU26,H$57),""),2,1)="/",MID(IFERROR(INDEX(醫師週班表!$C$5:$T$44,$CU26,H$57),""),1+H$58*2,1),IF(MID(IFERROR(INDEX(醫師週班表!$C$5:$T$44,$CU26,H$57),""),3,1)="隔",IF(H$58=0,LEFT(IFERROR(INDEX(醫師週班表!$C$5:$T$44,$CU26,H$57),""),1),""),IF(MID(IFERROR(INDEX(醫師週班表!$C$5:$T$44,$CU26,H$57),""),2,1)="(",LEFT(IFERROR(INDEX(醫師週班表!$C$5:$T$44,$CU26,H$57),""),1),IFERROR(INDEX(醫師週班表!$C$5:$T$44,$CU26,H$57),"")))))))</f>
        <v/>
      </c>
      <c r="I26" s="72">
        <f>IF(I$59="X","",IF(I$59&lt;&gt;"",I$59,IF(IFERROR(INDEX(醫師週班表!$C$5:$T$44,$CU26,I$57),"")=0,"",IF(MID(IFERROR(INDEX(醫師週班表!$C$5:$T$44,$CU26,I$57),""),2,1)="/",MID(IFERROR(INDEX(醫師週班表!$C$5:$T$44,$CU26,I$57),""),1+I$58*2,1),IF(MID(IFERROR(INDEX(醫師週班表!$C$5:$T$44,$CU26,I$57),""),3,1)="隔",IF(I$58=0,LEFT(IFERROR(INDEX(醫師週班表!$C$5:$T$44,$CU26,I$57),""),1),""),IF(MID(IFERROR(INDEX(醫師週班表!$C$5:$T$44,$CU26,I$57),""),2,1)="(",LEFT(IFERROR(INDEX(醫師週班表!$C$5:$T$44,$CU26,I$57),""),1),IFERROR(INDEX(醫師週班表!$C$5:$T$44,$CU26,I$57),"")))))))</f>
        <v/>
      </c>
      <c r="J26" s="72">
        <f>IF(J$59="X","",IF(J$59&lt;&gt;"",J$59,IF(IFERROR(INDEX(醫師週班表!$C$5:$T$44,$CU26,J$57),"")=0,"",IF(MID(IFERROR(INDEX(醫師週班表!$C$5:$T$44,$CU26,J$57),""),2,1)="/",MID(IFERROR(INDEX(醫師週班表!$C$5:$T$44,$CU26,J$57),""),1+J$58*2,1),IF(MID(IFERROR(INDEX(醫師週班表!$C$5:$T$44,$CU26,J$57),""),3,1)="隔",IF(J$58=0,LEFT(IFERROR(INDEX(醫師週班表!$C$5:$T$44,$CU26,J$57),""),1),""),IF(MID(IFERROR(INDEX(醫師週班表!$C$5:$T$44,$CU26,J$57),""),2,1)="(",LEFT(IFERROR(INDEX(醫師週班表!$C$5:$T$44,$CU26,J$57),""),1),IFERROR(INDEX(醫師週班表!$C$5:$T$44,$CU26,J$57),"")))))))</f>
        <v/>
      </c>
      <c r="K26" s="71">
        <f>IF(K$59="X","",IF(K$59&lt;&gt;"",K$59,IF(IFERROR(INDEX(醫師週班表!$C$5:$T$44,$CU26,K$57),"")=0,"",IF(MID(IFERROR(INDEX(醫師週班表!$C$5:$T$44,$CU26,K$57),""),2,1)="/",MID(IFERROR(INDEX(醫師週班表!$C$5:$T$44,$CU26,K$57),""),1+K$58*2,1),IF(MID(IFERROR(INDEX(醫師週班表!$C$5:$T$44,$CU26,K$57),""),3,1)="隔",IF(K$58=0,LEFT(IFERROR(INDEX(醫師週班表!$C$5:$T$44,$CU26,K$57),""),1),""),IF(MID(IFERROR(INDEX(醫師週班表!$C$5:$T$44,$CU26,K$57),""),2,1)="(",LEFT(IFERROR(INDEX(醫師週班表!$C$5:$T$44,$CU26,K$57),""),1),IFERROR(INDEX(醫師週班表!$C$5:$T$44,$CU26,K$57),"")))))))</f>
        <v/>
      </c>
      <c r="L26" s="72">
        <f>IF(L$59="X","",IF(L$59&lt;&gt;"",L$59,IF(IFERROR(INDEX(醫師週班表!$C$5:$T$44,$CU26,L$57),"")=0,"",IF(MID(IFERROR(INDEX(醫師週班表!$C$5:$T$44,$CU26,L$57),""),2,1)="/",MID(IFERROR(INDEX(醫師週班表!$C$5:$T$44,$CU26,L$57),""),1+L$58*2,1),IF(MID(IFERROR(INDEX(醫師週班表!$C$5:$T$44,$CU26,L$57),""),3,1)="隔",IF(L$58=0,LEFT(IFERROR(INDEX(醫師週班表!$C$5:$T$44,$CU26,L$57),""),1),""),IF(MID(IFERROR(INDEX(醫師週班表!$C$5:$T$44,$CU26,L$57),""),2,1)="(",LEFT(IFERROR(INDEX(醫師週班表!$C$5:$T$44,$CU26,L$57),""),1),IFERROR(INDEX(醫師週班表!$C$5:$T$44,$CU26,L$57),"")))))))</f>
        <v/>
      </c>
      <c r="M26" s="72">
        <f>IF(M$59="X","",IF(M$59&lt;&gt;"",M$59,IF(IFERROR(INDEX(醫師週班表!$C$5:$T$44,$CU26,M$57),"")=0,"",IF(MID(IFERROR(INDEX(醫師週班表!$C$5:$T$44,$CU26,M$57),""),2,1)="/",MID(IFERROR(INDEX(醫師週班表!$C$5:$T$44,$CU26,M$57),""),1+M$58*2,1),IF(MID(IFERROR(INDEX(醫師週班表!$C$5:$T$44,$CU26,M$57),""),3,1)="隔",IF(M$58=0,LEFT(IFERROR(INDEX(醫師週班表!$C$5:$T$44,$CU26,M$57),""),1),""),IF(MID(IFERROR(INDEX(醫師週班表!$C$5:$T$44,$CU26,M$57),""),2,1)="(",LEFT(IFERROR(INDEX(醫師週班表!$C$5:$T$44,$CU26,M$57),""),1),IFERROR(INDEX(醫師週班表!$C$5:$T$44,$CU26,M$57),"")))))))</f>
        <v/>
      </c>
      <c r="N26" s="71">
        <f>IF(N$59="X","",IF(N$59&lt;&gt;"",N$59,IF(IFERROR(INDEX(醫師週班表!$C$5:$T$44,$CU26,N$57),"")=0,"",IF(MID(IFERROR(INDEX(醫師週班表!$C$5:$T$44,$CU26,N$57),""),2,1)="/",MID(IFERROR(INDEX(醫師週班表!$C$5:$T$44,$CU26,N$57),""),1+N$58*2,1),IF(MID(IFERROR(INDEX(醫師週班表!$C$5:$T$44,$CU26,N$57),""),3,1)="隔",IF(N$58=0,LEFT(IFERROR(INDEX(醫師週班表!$C$5:$T$44,$CU26,N$57),""),1),""),IF(MID(IFERROR(INDEX(醫師週班表!$C$5:$T$44,$CU26,N$57),""),2,1)="(",LEFT(IFERROR(INDEX(醫師週班表!$C$5:$T$44,$CU26,N$57),""),1),IFERROR(INDEX(醫師週班表!$C$5:$T$44,$CU26,N$57),"")))))))</f>
        <v/>
      </c>
      <c r="O26" s="72">
        <f>IF(O$59="X","",IF(O$59&lt;&gt;"",O$59,IF(IFERROR(INDEX(醫師週班表!$C$5:$T$44,$CU26,O$57),"")=0,"",IF(MID(IFERROR(INDEX(醫師週班表!$C$5:$T$44,$CU26,O$57),""),2,1)="/",MID(IFERROR(INDEX(醫師週班表!$C$5:$T$44,$CU26,O$57),""),1+O$58*2,1),IF(MID(IFERROR(INDEX(醫師週班表!$C$5:$T$44,$CU26,O$57),""),3,1)="隔",IF(O$58=0,LEFT(IFERROR(INDEX(醫師週班表!$C$5:$T$44,$CU26,O$57),""),1),""),IF(MID(IFERROR(INDEX(醫師週班表!$C$5:$T$44,$CU26,O$57),""),2,1)="(",LEFT(IFERROR(INDEX(醫師週班表!$C$5:$T$44,$CU26,O$57),""),1),IFERROR(INDEX(醫師週班表!$C$5:$T$44,$CU26,O$57),"")))))))</f>
        <v/>
      </c>
      <c r="P26" s="72">
        <f>IF(P$59="X","",IF(P$59&lt;&gt;"",P$59,IF(IFERROR(INDEX(醫師週班表!$C$5:$T$44,$CU26,P$57),"")=0,"",IF(MID(IFERROR(INDEX(醫師週班表!$C$5:$T$44,$CU26,P$57),""),2,1)="/",MID(IFERROR(INDEX(醫師週班表!$C$5:$T$44,$CU26,P$57),""),1+P$58*2,1),IF(MID(IFERROR(INDEX(醫師週班表!$C$5:$T$44,$CU26,P$57),""),3,1)="隔",IF(P$58=0,LEFT(IFERROR(INDEX(醫師週班表!$C$5:$T$44,$CU26,P$57),""),1),""),IF(MID(IFERROR(INDEX(醫師週班表!$C$5:$T$44,$CU26,P$57),""),2,1)="(",LEFT(IFERROR(INDEX(醫師週班表!$C$5:$T$44,$CU26,P$57),""),1),IFERROR(INDEX(醫師週班表!$C$5:$T$44,$CU26,P$57),"")))))))</f>
        <v/>
      </c>
      <c r="Q26" s="71">
        <f>IF(Q$59="X","",IF(Q$59&lt;&gt;"",Q$59,IF(IFERROR(INDEX(醫師週班表!$C$5:$T$44,$CU26,Q$57),"")=0,"",IF(MID(IFERROR(INDEX(醫師週班表!$C$5:$T$44,$CU26,Q$57),""),2,1)="/",MID(IFERROR(INDEX(醫師週班表!$C$5:$T$44,$CU26,Q$57),""),1+Q$58*2,1),IF(MID(IFERROR(INDEX(醫師週班表!$C$5:$T$44,$CU26,Q$57),""),3,1)="隔",IF(Q$58=0,LEFT(IFERROR(INDEX(醫師週班表!$C$5:$T$44,$CU26,Q$57),""),1),""),IF(MID(IFERROR(INDEX(醫師週班表!$C$5:$T$44,$CU26,Q$57),""),2,1)="(",LEFT(IFERROR(INDEX(醫師週班表!$C$5:$T$44,$CU26,Q$57),""),1),IFERROR(INDEX(醫師週班表!$C$5:$T$44,$CU26,Q$57),"")))))))</f>
        <v/>
      </c>
      <c r="R26" s="72">
        <f>IF(R$59="X","",IF(R$59&lt;&gt;"",R$59,IF(IFERROR(INDEX(醫師週班表!$C$5:$T$44,$CU26,R$57),"")=0,"",IF(MID(IFERROR(INDEX(醫師週班表!$C$5:$T$44,$CU26,R$57),""),2,1)="/",MID(IFERROR(INDEX(醫師週班表!$C$5:$T$44,$CU26,R$57),""),1+R$58*2,1),IF(MID(IFERROR(INDEX(醫師週班表!$C$5:$T$44,$CU26,R$57),""),3,1)="隔",IF(R$58=0,LEFT(IFERROR(INDEX(醫師週班表!$C$5:$T$44,$CU26,R$57),""),1),""),IF(MID(IFERROR(INDEX(醫師週班表!$C$5:$T$44,$CU26,R$57),""),2,1)="(",LEFT(IFERROR(INDEX(醫師週班表!$C$5:$T$44,$CU26,R$57),""),1),IFERROR(INDEX(醫師週班表!$C$5:$T$44,$CU26,R$57),"")))))))</f>
        <v/>
      </c>
      <c r="S26" s="72">
        <f>IF(S$59="X","",IF(S$59&lt;&gt;"",S$59,IF(IFERROR(INDEX(醫師週班表!$C$5:$T$44,$CU26,S$57),"")=0,"",IF(MID(IFERROR(INDEX(醫師週班表!$C$5:$T$44,$CU26,S$57),""),2,1)="/",MID(IFERROR(INDEX(醫師週班表!$C$5:$T$44,$CU26,S$57),""),1+S$58*2,1),IF(MID(IFERROR(INDEX(醫師週班表!$C$5:$T$44,$CU26,S$57),""),3,1)="隔",IF(S$58=0,LEFT(IFERROR(INDEX(醫師週班表!$C$5:$T$44,$CU26,S$57),""),1),""),IF(MID(IFERROR(INDEX(醫師週班表!$C$5:$T$44,$CU26,S$57),""),2,1)="(",LEFT(IFERROR(INDEX(醫師週班表!$C$5:$T$44,$CU26,S$57),""),1),IFERROR(INDEX(醫師週班表!$C$5:$T$44,$CU26,S$57),"")))))))</f>
        <v/>
      </c>
      <c r="T26" s="71">
        <f>IF(T$59="X","",IF(T$59&lt;&gt;"",T$59,IF(IFERROR(INDEX(醫師週班表!$C$5:$T$44,$CU26,T$57),"")=0,"",IF(MID(IFERROR(INDEX(醫師週班表!$C$5:$T$44,$CU26,T$57),""),2,1)="/",MID(IFERROR(INDEX(醫師週班表!$C$5:$T$44,$CU26,T$57),""),1+T$58*2,1),IF(MID(IFERROR(INDEX(醫師週班表!$C$5:$T$44,$CU26,T$57),""),3,1)="隔",IF(T$58=0,LEFT(IFERROR(INDEX(醫師週班表!$C$5:$T$44,$CU26,T$57),""),1),""),IF(MID(IFERROR(INDEX(醫師週班表!$C$5:$T$44,$CU26,T$57),""),2,1)="(",LEFT(IFERROR(INDEX(醫師週班表!$C$5:$T$44,$CU26,T$57),""),1),IFERROR(INDEX(醫師週班表!$C$5:$T$44,$CU26,T$57),"")))))))</f>
        <v/>
      </c>
      <c r="U26" s="72">
        <f>IF(U$59="X","",IF(U$59&lt;&gt;"",U$59,IF(IFERROR(INDEX(醫師週班表!$C$5:$T$44,$CU26,U$57),"")=0,"",IF(MID(IFERROR(INDEX(醫師週班表!$C$5:$T$44,$CU26,U$57),""),2,1)="/",MID(IFERROR(INDEX(醫師週班表!$C$5:$T$44,$CU26,U$57),""),1+U$58*2,1),IF(MID(IFERROR(INDEX(醫師週班表!$C$5:$T$44,$CU26,U$57),""),3,1)="隔",IF(U$58=0,LEFT(IFERROR(INDEX(醫師週班表!$C$5:$T$44,$CU26,U$57),""),1),""),IF(MID(IFERROR(INDEX(醫師週班表!$C$5:$T$44,$CU26,U$57),""),2,1)="(",LEFT(IFERROR(INDEX(醫師週班表!$C$5:$T$44,$CU26,U$57),""),1),IFERROR(INDEX(醫師週班表!$C$5:$T$44,$CU26,U$57),"")))))))</f>
        <v/>
      </c>
      <c r="V26" s="72">
        <f>IF(V$59="X","",IF(V$59&lt;&gt;"",V$59,IF(IFERROR(INDEX(醫師週班表!$C$5:$T$44,$CU26,V$57),"")=0,"",IF(MID(IFERROR(INDEX(醫師週班表!$C$5:$T$44,$CU26,V$57),""),2,1)="/",MID(IFERROR(INDEX(醫師週班表!$C$5:$T$44,$CU26,V$57),""),1+V$58*2,1),IF(MID(IFERROR(INDEX(醫師週班表!$C$5:$T$44,$CU26,V$57),""),3,1)="隔",IF(V$58=0,LEFT(IFERROR(INDEX(醫師週班表!$C$5:$T$44,$CU26,V$57),""),1),""),IF(MID(IFERROR(INDEX(醫師週班表!$C$5:$T$44,$CU26,V$57),""),2,1)="(",LEFT(IFERROR(INDEX(醫師週班表!$C$5:$T$44,$CU26,V$57),""),1),IFERROR(INDEX(醫師週班表!$C$5:$T$44,$CU26,V$57),"")))))))</f>
        <v/>
      </c>
      <c r="W26" s="71">
        <f>IF(W$59="X","",IF(W$59&lt;&gt;"",W$59,IF(IFERROR(INDEX(醫師週班表!$C$5:$T$44,$CU26,W$57),"")=0,"",IF(MID(IFERROR(INDEX(醫師週班表!$C$5:$T$44,$CU26,W$57),""),2,1)="/",MID(IFERROR(INDEX(醫師週班表!$C$5:$T$44,$CU26,W$57),""),1+W$58*2,1),IF(MID(IFERROR(INDEX(醫師週班表!$C$5:$T$44,$CU26,W$57),""),3,1)="隔",IF(W$58=0,LEFT(IFERROR(INDEX(醫師週班表!$C$5:$T$44,$CU26,W$57),""),1),""),IF(MID(IFERROR(INDEX(醫師週班表!$C$5:$T$44,$CU26,W$57),""),2,1)="(",LEFT(IFERROR(INDEX(醫師週班表!$C$5:$T$44,$CU26,W$57),""),1),IFERROR(INDEX(醫師週班表!$C$5:$T$44,$CU26,W$57),"")))))))</f>
        <v/>
      </c>
      <c r="X26" s="72">
        <f>IF(X$59="X","",IF(X$59&lt;&gt;"",X$59,IF(IFERROR(INDEX(醫師週班表!$C$5:$T$44,$CU26,X$57),"")=0,"",IF(MID(IFERROR(INDEX(醫師週班表!$C$5:$T$44,$CU26,X$57),""),2,1)="/",MID(IFERROR(INDEX(醫師週班表!$C$5:$T$44,$CU26,X$57),""),1+X$58*2,1),IF(MID(IFERROR(INDEX(醫師週班表!$C$5:$T$44,$CU26,X$57),""),3,1)="隔",IF(X$58=0,LEFT(IFERROR(INDEX(醫師週班表!$C$5:$T$44,$CU26,X$57),""),1),""),IF(MID(IFERROR(INDEX(醫師週班表!$C$5:$T$44,$CU26,X$57),""),2,1)="(",LEFT(IFERROR(INDEX(醫師週班表!$C$5:$T$44,$CU26,X$57),""),1),IFERROR(INDEX(醫師週班表!$C$5:$T$44,$CU26,X$57),"")))))))</f>
        <v/>
      </c>
      <c r="Y26" s="72">
        <f>IF(Y$59="X","",IF(Y$59&lt;&gt;"",Y$59,IF(IFERROR(INDEX(醫師週班表!$C$5:$T$44,$CU26,Y$57),"")=0,"",IF(MID(IFERROR(INDEX(醫師週班表!$C$5:$T$44,$CU26,Y$57),""),2,1)="/",MID(IFERROR(INDEX(醫師週班表!$C$5:$T$44,$CU26,Y$57),""),1+Y$58*2,1),IF(MID(IFERROR(INDEX(醫師週班表!$C$5:$T$44,$CU26,Y$57),""),3,1)="隔",IF(Y$58=0,LEFT(IFERROR(INDEX(醫師週班表!$C$5:$T$44,$CU26,Y$57),""),1),""),IF(MID(IFERROR(INDEX(醫師週班表!$C$5:$T$44,$CU26,Y$57),""),2,1)="(",LEFT(IFERROR(INDEX(醫師週班表!$C$5:$T$44,$CU26,Y$57),""),1),IFERROR(INDEX(醫師週班表!$C$5:$T$44,$CU26,Y$57),"")))))))</f>
        <v/>
      </c>
      <c r="Z26" s="71">
        <f>IF(Z$59="X","",IF(Z$59&lt;&gt;"",Z$59,IF(IFERROR(INDEX(醫師週班表!$C$5:$T$44,$CU26,Z$57),"")=0,"",IF(MID(IFERROR(INDEX(醫師週班表!$C$5:$T$44,$CU26,Z$57),""),2,1)="/",MID(IFERROR(INDEX(醫師週班表!$C$5:$T$44,$CU26,Z$57),""),1+Z$58*2,1),IF(MID(IFERROR(INDEX(醫師週班表!$C$5:$T$44,$CU26,Z$57),""),3,1)="隔",IF(Z$58=0,LEFT(IFERROR(INDEX(醫師週班表!$C$5:$T$44,$CU26,Z$57),""),1),""),IF(MID(IFERROR(INDEX(醫師週班表!$C$5:$T$44,$CU26,Z$57),""),2,1)="(",LEFT(IFERROR(INDEX(醫師週班表!$C$5:$T$44,$CU26,Z$57),""),1),IFERROR(INDEX(醫師週班表!$C$5:$T$44,$CU26,Z$57),"")))))))</f>
        <v/>
      </c>
      <c r="AA26" s="72">
        <f>IF(AA$59="X","",IF(AA$59&lt;&gt;"",AA$59,IF(IFERROR(INDEX(醫師週班表!$C$5:$T$44,$CU26,AA$57),"")=0,"",IF(MID(IFERROR(INDEX(醫師週班表!$C$5:$T$44,$CU26,AA$57),""),2,1)="/",MID(IFERROR(INDEX(醫師週班表!$C$5:$T$44,$CU26,AA$57),""),1+AA$58*2,1),IF(MID(IFERROR(INDEX(醫師週班表!$C$5:$T$44,$CU26,AA$57),""),3,1)="隔",IF(AA$58=0,LEFT(IFERROR(INDEX(醫師週班表!$C$5:$T$44,$CU26,AA$57),""),1),""),IF(MID(IFERROR(INDEX(醫師週班表!$C$5:$T$44,$CU26,AA$57),""),2,1)="(",LEFT(IFERROR(INDEX(醫師週班表!$C$5:$T$44,$CU26,AA$57),""),1),IFERROR(INDEX(醫師週班表!$C$5:$T$44,$CU26,AA$57),"")))))))</f>
        <v/>
      </c>
      <c r="AB26" s="72">
        <f>IF(AB$59="X","",IF(AB$59&lt;&gt;"",AB$59,IF(IFERROR(INDEX(醫師週班表!$C$5:$T$44,$CU26,AB$57),"")=0,"",IF(MID(IFERROR(INDEX(醫師週班表!$C$5:$T$44,$CU26,AB$57),""),2,1)="/",MID(IFERROR(INDEX(醫師週班表!$C$5:$T$44,$CU26,AB$57),""),1+AB$58*2,1),IF(MID(IFERROR(INDEX(醫師週班表!$C$5:$T$44,$CU26,AB$57),""),3,1)="隔",IF(AB$58=0,LEFT(IFERROR(INDEX(醫師週班表!$C$5:$T$44,$CU26,AB$57),""),1),""),IF(MID(IFERROR(INDEX(醫師週班表!$C$5:$T$44,$CU26,AB$57),""),2,1)="(",LEFT(IFERROR(INDEX(醫師週班表!$C$5:$T$44,$CU26,AB$57),""),1),IFERROR(INDEX(醫師週班表!$C$5:$T$44,$CU26,AB$57),"")))))))</f>
        <v/>
      </c>
      <c r="AC26" s="71">
        <f>IF(AC$59="X","",IF(AC$59&lt;&gt;"",AC$59,IF(IFERROR(INDEX(醫師週班表!$C$5:$T$44,$CU26,AC$57),"")=0,"",IF(MID(IFERROR(INDEX(醫師週班表!$C$5:$T$44,$CU26,AC$57),""),2,1)="/",MID(IFERROR(INDEX(醫師週班表!$C$5:$T$44,$CU26,AC$57),""),1+AC$58*2,1),IF(MID(IFERROR(INDEX(醫師週班表!$C$5:$T$44,$CU26,AC$57),""),3,1)="隔",IF(AC$58=0,LEFT(IFERROR(INDEX(醫師週班表!$C$5:$T$44,$CU26,AC$57),""),1),""),IF(MID(IFERROR(INDEX(醫師週班表!$C$5:$T$44,$CU26,AC$57),""),2,1)="(",LEFT(IFERROR(INDEX(醫師週班表!$C$5:$T$44,$CU26,AC$57),""),1),IFERROR(INDEX(醫師週班表!$C$5:$T$44,$CU26,AC$57),"")))))))</f>
        <v/>
      </c>
      <c r="AD26" s="72">
        <f>IF(AD$59="X","",IF(AD$59&lt;&gt;"",AD$59,IF(IFERROR(INDEX(醫師週班表!$C$5:$T$44,$CU26,AD$57),"")=0,"",IF(MID(IFERROR(INDEX(醫師週班表!$C$5:$T$44,$CU26,AD$57),""),2,1)="/",MID(IFERROR(INDEX(醫師週班表!$C$5:$T$44,$CU26,AD$57),""),1+AD$58*2,1),IF(MID(IFERROR(INDEX(醫師週班表!$C$5:$T$44,$CU26,AD$57),""),3,1)="隔",IF(AD$58=0,LEFT(IFERROR(INDEX(醫師週班表!$C$5:$T$44,$CU26,AD$57),""),1),""),IF(MID(IFERROR(INDEX(醫師週班表!$C$5:$T$44,$CU26,AD$57),""),2,1)="(",LEFT(IFERROR(INDEX(醫師週班表!$C$5:$T$44,$CU26,AD$57),""),1),IFERROR(INDEX(醫師週班表!$C$5:$T$44,$CU26,AD$57),"")))))))</f>
        <v/>
      </c>
      <c r="AE26" s="72">
        <f>IF(AE$59="X","",IF(AE$59&lt;&gt;"",AE$59,IF(IFERROR(INDEX(醫師週班表!$C$5:$T$44,$CU26,AE$57),"")=0,"",IF(MID(IFERROR(INDEX(醫師週班表!$C$5:$T$44,$CU26,AE$57),""),2,1)="/",MID(IFERROR(INDEX(醫師週班表!$C$5:$T$44,$CU26,AE$57),""),1+AE$58*2,1),IF(MID(IFERROR(INDEX(醫師週班表!$C$5:$T$44,$CU26,AE$57),""),3,1)="隔",IF(AE$58=0,LEFT(IFERROR(INDEX(醫師週班表!$C$5:$T$44,$CU26,AE$57),""),1),""),IF(MID(IFERROR(INDEX(醫師週班表!$C$5:$T$44,$CU26,AE$57),""),2,1)="(",LEFT(IFERROR(INDEX(醫師週班表!$C$5:$T$44,$CU26,AE$57),""),1),IFERROR(INDEX(醫師週班表!$C$5:$T$44,$CU26,AE$57),"")))))))</f>
        <v/>
      </c>
      <c r="AF26" s="71">
        <f>IF(AF$59="X","",IF(AF$59&lt;&gt;"",AF$59,IF(IFERROR(INDEX(醫師週班表!$C$5:$T$44,$CU26,AF$57),"")=0,"",IF(MID(IFERROR(INDEX(醫師週班表!$C$5:$T$44,$CU26,AF$57),""),2,1)="/",MID(IFERROR(INDEX(醫師週班表!$C$5:$T$44,$CU26,AF$57),""),1+AF$58*2,1),IF(MID(IFERROR(INDEX(醫師週班表!$C$5:$T$44,$CU26,AF$57),""),3,1)="隔",IF(AF$58=0,LEFT(IFERROR(INDEX(醫師週班表!$C$5:$T$44,$CU26,AF$57),""),1),""),IF(MID(IFERROR(INDEX(醫師週班表!$C$5:$T$44,$CU26,AF$57),""),2,1)="(",LEFT(IFERROR(INDEX(醫師週班表!$C$5:$T$44,$CU26,AF$57),""),1),IFERROR(INDEX(醫師週班表!$C$5:$T$44,$CU26,AF$57),"")))))))</f>
        <v/>
      </c>
      <c r="AG26" s="72">
        <f>IF(AG$59="X","",IF(AG$59&lt;&gt;"",AG$59,IF(IFERROR(INDEX(醫師週班表!$C$5:$T$44,$CU26,AG$57),"")=0,"",IF(MID(IFERROR(INDEX(醫師週班表!$C$5:$T$44,$CU26,AG$57),""),2,1)="/",MID(IFERROR(INDEX(醫師週班表!$C$5:$T$44,$CU26,AG$57),""),1+AG$58*2,1),IF(MID(IFERROR(INDEX(醫師週班表!$C$5:$T$44,$CU26,AG$57),""),3,1)="隔",IF(AG$58=0,LEFT(IFERROR(INDEX(醫師週班表!$C$5:$T$44,$CU26,AG$57),""),1),""),IF(MID(IFERROR(INDEX(醫師週班表!$C$5:$T$44,$CU26,AG$57),""),2,1)="(",LEFT(IFERROR(INDEX(醫師週班表!$C$5:$T$44,$CU26,AG$57),""),1),IFERROR(INDEX(醫師週班表!$C$5:$T$44,$CU26,AG$57),"")))))))</f>
        <v/>
      </c>
      <c r="AH26" s="72">
        <f>IF(AH$59="X","",IF(AH$59&lt;&gt;"",AH$59,IF(IFERROR(INDEX(醫師週班表!$C$5:$T$44,$CU26,AH$57),"")=0,"",IF(MID(IFERROR(INDEX(醫師週班表!$C$5:$T$44,$CU26,AH$57),""),2,1)="/",MID(IFERROR(INDEX(醫師週班表!$C$5:$T$44,$CU26,AH$57),""),1+AH$58*2,1),IF(MID(IFERROR(INDEX(醫師週班表!$C$5:$T$44,$CU26,AH$57),""),3,1)="隔",IF(AH$58=0,LEFT(IFERROR(INDEX(醫師週班表!$C$5:$T$44,$CU26,AH$57),""),1),""),IF(MID(IFERROR(INDEX(醫師週班表!$C$5:$T$44,$CU26,AH$57),""),2,1)="(",LEFT(IFERROR(INDEX(醫師週班表!$C$5:$T$44,$CU26,AH$57),""),1),IFERROR(INDEX(醫師週班表!$C$5:$T$44,$CU26,AH$57),"")))))))</f>
        <v/>
      </c>
      <c r="AI26" s="71">
        <f>IF(AI$59="X","",IF(AI$59&lt;&gt;"",AI$59,IF(IFERROR(INDEX(醫師週班表!$C$5:$T$44,$CU26,AI$57),"")=0,"",IF(MID(IFERROR(INDEX(醫師週班表!$C$5:$T$44,$CU26,AI$57),""),2,1)="/",MID(IFERROR(INDEX(醫師週班表!$C$5:$T$44,$CU26,AI$57),""),1+AI$58*2,1),IF(MID(IFERROR(INDEX(醫師週班表!$C$5:$T$44,$CU26,AI$57),""),3,1)="隔",IF(AI$58=0,LEFT(IFERROR(INDEX(醫師週班表!$C$5:$T$44,$CU26,AI$57),""),1),""),IF(MID(IFERROR(INDEX(醫師週班表!$C$5:$T$44,$CU26,AI$57),""),2,1)="(",LEFT(IFERROR(INDEX(醫師週班表!$C$5:$T$44,$CU26,AI$57),""),1),IFERROR(INDEX(醫師週班表!$C$5:$T$44,$CU26,AI$57),"")))))))</f>
        <v/>
      </c>
      <c r="AJ26" s="72">
        <f>IF(AJ$59="X","",IF(AJ$59&lt;&gt;"",AJ$59,IF(IFERROR(INDEX(醫師週班表!$C$5:$T$44,$CU26,AJ$57),"")=0,"",IF(MID(IFERROR(INDEX(醫師週班表!$C$5:$T$44,$CU26,AJ$57),""),2,1)="/",MID(IFERROR(INDEX(醫師週班表!$C$5:$T$44,$CU26,AJ$57),""),1+AJ$58*2,1),IF(MID(IFERROR(INDEX(醫師週班表!$C$5:$T$44,$CU26,AJ$57),""),3,1)="隔",IF(AJ$58=0,LEFT(IFERROR(INDEX(醫師週班表!$C$5:$T$44,$CU26,AJ$57),""),1),""),IF(MID(IFERROR(INDEX(醫師週班表!$C$5:$T$44,$CU26,AJ$57),""),2,1)="(",LEFT(IFERROR(INDEX(醫師週班表!$C$5:$T$44,$CU26,AJ$57),""),1),IFERROR(INDEX(醫師週班表!$C$5:$T$44,$CU26,AJ$57),"")))))))</f>
        <v/>
      </c>
      <c r="AK26" s="72">
        <f>IF(AK$59="X","",IF(AK$59&lt;&gt;"",AK$59,IF(IFERROR(INDEX(醫師週班表!$C$5:$T$44,$CU26,AK$57),"")=0,"",IF(MID(IFERROR(INDEX(醫師週班表!$C$5:$T$44,$CU26,AK$57),""),2,1)="/",MID(IFERROR(INDEX(醫師週班表!$C$5:$T$44,$CU26,AK$57),""),1+AK$58*2,1),IF(MID(IFERROR(INDEX(醫師週班表!$C$5:$T$44,$CU26,AK$57),""),3,1)="隔",IF(AK$58=0,LEFT(IFERROR(INDEX(醫師週班表!$C$5:$T$44,$CU26,AK$57),""),1),""),IF(MID(IFERROR(INDEX(醫師週班表!$C$5:$T$44,$CU26,AK$57),""),2,1)="(",LEFT(IFERROR(INDEX(醫師週班表!$C$5:$T$44,$CU26,AK$57),""),1),IFERROR(INDEX(醫師週班表!$C$5:$T$44,$CU26,AK$57),"")))))))</f>
        <v/>
      </c>
      <c r="AL26" s="71">
        <f>IF(AL$59="X","",IF(AL$59&lt;&gt;"",AL$59,IF(IFERROR(INDEX(醫師週班表!$C$5:$T$44,$CU26,AL$57),"")=0,"",IF(MID(IFERROR(INDEX(醫師週班表!$C$5:$T$44,$CU26,AL$57),""),2,1)="/",MID(IFERROR(INDEX(醫師週班表!$C$5:$T$44,$CU26,AL$57),""),1+AL$58*2,1),IF(MID(IFERROR(INDEX(醫師週班表!$C$5:$T$44,$CU26,AL$57),""),3,1)="隔",IF(AL$58=0,LEFT(IFERROR(INDEX(醫師週班表!$C$5:$T$44,$CU26,AL$57),""),1),""),IF(MID(IFERROR(INDEX(醫師週班表!$C$5:$T$44,$CU26,AL$57),""),2,1)="(",LEFT(IFERROR(INDEX(醫師週班表!$C$5:$T$44,$CU26,AL$57),""),1),IFERROR(INDEX(醫師週班表!$C$5:$T$44,$CU26,AL$57),"")))))))</f>
        <v/>
      </c>
      <c r="AM26" s="72">
        <f>IF(AM$59="X","",IF(AM$59&lt;&gt;"",AM$59,IF(IFERROR(INDEX(醫師週班表!$C$5:$T$44,$CU26,AM$57),"")=0,"",IF(MID(IFERROR(INDEX(醫師週班表!$C$5:$T$44,$CU26,AM$57),""),2,1)="/",MID(IFERROR(INDEX(醫師週班表!$C$5:$T$44,$CU26,AM$57),""),1+AM$58*2,1),IF(MID(IFERROR(INDEX(醫師週班表!$C$5:$T$44,$CU26,AM$57),""),3,1)="隔",IF(AM$58=0,LEFT(IFERROR(INDEX(醫師週班表!$C$5:$T$44,$CU26,AM$57),""),1),""),IF(MID(IFERROR(INDEX(醫師週班表!$C$5:$T$44,$CU26,AM$57),""),2,1)="(",LEFT(IFERROR(INDEX(醫師週班表!$C$5:$T$44,$CU26,AM$57),""),1),IFERROR(INDEX(醫師週班表!$C$5:$T$44,$CU26,AM$57),"")))))))</f>
        <v/>
      </c>
      <c r="AN26" s="72">
        <f>IF(AN$59="X","",IF(AN$59&lt;&gt;"",AN$59,IF(IFERROR(INDEX(醫師週班表!$C$5:$T$44,$CU26,AN$57),"")=0,"",IF(MID(IFERROR(INDEX(醫師週班表!$C$5:$T$44,$CU26,AN$57),""),2,1)="/",MID(IFERROR(INDEX(醫師週班表!$C$5:$T$44,$CU26,AN$57),""),1+AN$58*2,1),IF(MID(IFERROR(INDEX(醫師週班表!$C$5:$T$44,$CU26,AN$57),""),3,1)="隔",IF(AN$58=0,LEFT(IFERROR(INDEX(醫師週班表!$C$5:$T$44,$CU26,AN$57),""),1),""),IF(MID(IFERROR(INDEX(醫師週班表!$C$5:$T$44,$CU26,AN$57),""),2,1)="(",LEFT(IFERROR(INDEX(醫師週班表!$C$5:$T$44,$CU26,AN$57),""),1),IFERROR(INDEX(醫師週班表!$C$5:$T$44,$CU26,AN$57),"")))))))</f>
        <v/>
      </c>
      <c r="AO26" s="71">
        <f>IF(AO$59="X","",IF(AO$59&lt;&gt;"",AO$59,IF(IFERROR(INDEX(醫師週班表!$C$5:$T$44,$CU26,AO$57),"")=0,"",IF(MID(IFERROR(INDEX(醫師週班表!$C$5:$T$44,$CU26,AO$57),""),2,1)="/",MID(IFERROR(INDEX(醫師週班表!$C$5:$T$44,$CU26,AO$57),""),1+AO$58*2,1),IF(MID(IFERROR(INDEX(醫師週班表!$C$5:$T$44,$CU26,AO$57),""),3,1)="隔",IF(AO$58=0,LEFT(IFERROR(INDEX(醫師週班表!$C$5:$T$44,$CU26,AO$57),""),1),""),IF(MID(IFERROR(INDEX(醫師週班表!$C$5:$T$44,$CU26,AO$57),""),2,1)="(",LEFT(IFERROR(INDEX(醫師週班表!$C$5:$T$44,$CU26,AO$57),""),1),IFERROR(INDEX(醫師週班表!$C$5:$T$44,$CU26,AO$57),"")))))))</f>
        <v/>
      </c>
      <c r="AP26" s="72">
        <f>IF(AP$59="X","",IF(AP$59&lt;&gt;"",AP$59,IF(IFERROR(INDEX(醫師週班表!$C$5:$T$44,$CU26,AP$57),"")=0,"",IF(MID(IFERROR(INDEX(醫師週班表!$C$5:$T$44,$CU26,AP$57),""),2,1)="/",MID(IFERROR(INDEX(醫師週班表!$C$5:$T$44,$CU26,AP$57),""),1+AP$58*2,1),IF(MID(IFERROR(INDEX(醫師週班表!$C$5:$T$44,$CU26,AP$57),""),3,1)="隔",IF(AP$58=0,LEFT(IFERROR(INDEX(醫師週班表!$C$5:$T$44,$CU26,AP$57),""),1),""),IF(MID(IFERROR(INDEX(醫師週班表!$C$5:$T$44,$CU26,AP$57),""),2,1)="(",LEFT(IFERROR(INDEX(醫師週班表!$C$5:$T$44,$CU26,AP$57),""),1),IFERROR(INDEX(醫師週班表!$C$5:$T$44,$CU26,AP$57),"")))))))</f>
        <v/>
      </c>
      <c r="AQ26" s="72">
        <f>IF(AQ$59="X","",IF(AQ$59&lt;&gt;"",AQ$59,IF(IFERROR(INDEX(醫師週班表!$C$5:$T$44,$CU26,AQ$57),"")=0,"",IF(MID(IFERROR(INDEX(醫師週班表!$C$5:$T$44,$CU26,AQ$57),""),2,1)="/",MID(IFERROR(INDEX(醫師週班表!$C$5:$T$44,$CU26,AQ$57),""),1+AQ$58*2,1),IF(MID(IFERROR(INDEX(醫師週班表!$C$5:$T$44,$CU26,AQ$57),""),3,1)="隔",IF(AQ$58=0,LEFT(IFERROR(INDEX(醫師週班表!$C$5:$T$44,$CU26,AQ$57),""),1),""),IF(MID(IFERROR(INDEX(醫師週班表!$C$5:$T$44,$CU26,AQ$57),""),2,1)="(",LEFT(IFERROR(INDEX(醫師週班表!$C$5:$T$44,$CU26,AQ$57),""),1),IFERROR(INDEX(醫師週班表!$C$5:$T$44,$CU26,AQ$57),"")))))))</f>
        <v/>
      </c>
      <c r="AR26" s="71">
        <f>IF(AR$59="X","",IF(AR$59&lt;&gt;"",AR$59,IF(IFERROR(INDEX(醫師週班表!$C$5:$T$44,$CU26,AR$57),"")=0,"",IF(MID(IFERROR(INDEX(醫師週班表!$C$5:$T$44,$CU26,AR$57),""),2,1)="/",MID(IFERROR(INDEX(醫師週班表!$C$5:$T$44,$CU26,AR$57),""),1+AR$58*2,1),IF(MID(IFERROR(INDEX(醫師週班表!$C$5:$T$44,$CU26,AR$57),""),3,1)="隔",IF(AR$58=0,LEFT(IFERROR(INDEX(醫師週班表!$C$5:$T$44,$CU26,AR$57),""),1),""),IF(MID(IFERROR(INDEX(醫師週班表!$C$5:$T$44,$CU26,AR$57),""),2,1)="(",LEFT(IFERROR(INDEX(醫師週班表!$C$5:$T$44,$CU26,AR$57),""),1),IFERROR(INDEX(醫師週班表!$C$5:$T$44,$CU26,AR$57),"")))))))</f>
        <v/>
      </c>
      <c r="AS26" s="72">
        <f>IF(AS$59="X","",IF(AS$59&lt;&gt;"",AS$59,IF(IFERROR(INDEX(醫師週班表!$C$5:$T$44,$CU26,AS$57),"")=0,"",IF(MID(IFERROR(INDEX(醫師週班表!$C$5:$T$44,$CU26,AS$57),""),2,1)="/",MID(IFERROR(INDEX(醫師週班表!$C$5:$T$44,$CU26,AS$57),""),1+AS$58*2,1),IF(MID(IFERROR(INDEX(醫師週班表!$C$5:$T$44,$CU26,AS$57),""),3,1)="隔",IF(AS$58=0,LEFT(IFERROR(INDEX(醫師週班表!$C$5:$T$44,$CU26,AS$57),""),1),""),IF(MID(IFERROR(INDEX(醫師週班表!$C$5:$T$44,$CU26,AS$57),""),2,1)="(",LEFT(IFERROR(INDEX(醫師週班表!$C$5:$T$44,$CU26,AS$57),""),1),IFERROR(INDEX(醫師週班表!$C$5:$T$44,$CU26,AS$57),"")))))))</f>
        <v/>
      </c>
      <c r="AT26" s="72">
        <f>IF(AT$59="X","",IF(AT$59&lt;&gt;"",AT$59,IF(IFERROR(INDEX(醫師週班表!$C$5:$T$44,$CU26,AT$57),"")=0,"",IF(MID(IFERROR(INDEX(醫師週班表!$C$5:$T$44,$CU26,AT$57),""),2,1)="/",MID(IFERROR(INDEX(醫師週班表!$C$5:$T$44,$CU26,AT$57),""),1+AT$58*2,1),IF(MID(IFERROR(INDEX(醫師週班表!$C$5:$T$44,$CU26,AT$57),""),3,1)="隔",IF(AT$58=0,LEFT(IFERROR(INDEX(醫師週班表!$C$5:$T$44,$CU26,AT$57),""),1),""),IF(MID(IFERROR(INDEX(醫師週班表!$C$5:$T$44,$CU26,AT$57),""),2,1)="(",LEFT(IFERROR(INDEX(醫師週班表!$C$5:$T$44,$CU26,AT$57),""),1),IFERROR(INDEX(醫師週班表!$C$5:$T$44,$CU26,AT$57),"")))))))</f>
        <v/>
      </c>
      <c r="AU26" s="71">
        <f>IF(AU$59="X","",IF(AU$59&lt;&gt;"",AU$59,IF(IFERROR(INDEX(醫師週班表!$C$5:$T$44,$CU26,AU$57),"")=0,"",IF(MID(IFERROR(INDEX(醫師週班表!$C$5:$T$44,$CU26,AU$57),""),2,1)="/",MID(IFERROR(INDEX(醫師週班表!$C$5:$T$44,$CU26,AU$57),""),1+AU$58*2,1),IF(MID(IFERROR(INDEX(醫師週班表!$C$5:$T$44,$CU26,AU$57),""),3,1)="隔",IF(AU$58=0,LEFT(IFERROR(INDEX(醫師週班表!$C$5:$T$44,$CU26,AU$57),""),1),""),IF(MID(IFERROR(INDEX(醫師週班表!$C$5:$T$44,$CU26,AU$57),""),2,1)="(",LEFT(IFERROR(INDEX(醫師週班表!$C$5:$T$44,$CU26,AU$57),""),1),IFERROR(INDEX(醫師週班表!$C$5:$T$44,$CU26,AU$57),"")))))))</f>
        <v/>
      </c>
      <c r="AV26" s="72">
        <f>IF(AV$59="X","",IF(AV$59&lt;&gt;"",AV$59,IF(IFERROR(INDEX(醫師週班表!$C$5:$T$44,$CU26,AV$57),"")=0,"",IF(MID(IFERROR(INDEX(醫師週班表!$C$5:$T$44,$CU26,AV$57),""),2,1)="/",MID(IFERROR(INDEX(醫師週班表!$C$5:$T$44,$CU26,AV$57),""),1+AV$58*2,1),IF(MID(IFERROR(INDEX(醫師週班表!$C$5:$T$44,$CU26,AV$57),""),3,1)="隔",IF(AV$58=0,LEFT(IFERROR(INDEX(醫師週班表!$C$5:$T$44,$CU26,AV$57),""),1),""),IF(MID(IFERROR(INDEX(醫師週班表!$C$5:$T$44,$CU26,AV$57),""),2,1)="(",LEFT(IFERROR(INDEX(醫師週班表!$C$5:$T$44,$CU26,AV$57),""),1),IFERROR(INDEX(醫師週班表!$C$5:$T$44,$CU26,AV$57),"")))))))</f>
        <v/>
      </c>
      <c r="AW26" s="72">
        <f>IF(AW$59="X","",IF(AW$59&lt;&gt;"",AW$59,IF(IFERROR(INDEX(醫師週班表!$C$5:$T$44,$CU26,AW$57),"")=0,"",IF(MID(IFERROR(INDEX(醫師週班表!$C$5:$T$44,$CU26,AW$57),""),2,1)="/",MID(IFERROR(INDEX(醫師週班表!$C$5:$T$44,$CU26,AW$57),""),1+AW$58*2,1),IF(MID(IFERROR(INDEX(醫師週班表!$C$5:$T$44,$CU26,AW$57),""),3,1)="隔",IF(AW$58=0,LEFT(IFERROR(INDEX(醫師週班表!$C$5:$T$44,$CU26,AW$57),""),1),""),IF(MID(IFERROR(INDEX(醫師週班表!$C$5:$T$44,$CU26,AW$57),""),2,1)="(",LEFT(IFERROR(INDEX(醫師週班表!$C$5:$T$44,$CU26,AW$57),""),1),IFERROR(INDEX(醫師週班表!$C$5:$T$44,$CU26,AW$57),"")))))))</f>
        <v/>
      </c>
      <c r="AX26" s="71">
        <f>IF(AX$59="X","",IF(AX$59&lt;&gt;"",AX$59,IF(IFERROR(INDEX(醫師週班表!$C$5:$T$44,$CU26,AX$57),"")=0,"",IF(MID(IFERROR(INDEX(醫師週班表!$C$5:$T$44,$CU26,AX$57),""),2,1)="/",MID(IFERROR(INDEX(醫師週班表!$C$5:$T$44,$CU26,AX$57),""),1+AX$58*2,1),IF(MID(IFERROR(INDEX(醫師週班表!$C$5:$T$44,$CU26,AX$57),""),3,1)="隔",IF(AX$58=0,LEFT(IFERROR(INDEX(醫師週班表!$C$5:$T$44,$CU26,AX$57),""),1),""),IF(MID(IFERROR(INDEX(醫師週班表!$C$5:$T$44,$CU26,AX$57),""),2,1)="(",LEFT(IFERROR(INDEX(醫師週班表!$C$5:$T$44,$CU26,AX$57),""),1),IFERROR(INDEX(醫師週班表!$C$5:$T$44,$CU26,AX$57),"")))))))</f>
        <v/>
      </c>
      <c r="AY26" s="72">
        <f>IF(AY$59="X","",IF(AY$59&lt;&gt;"",AY$59,IF(IFERROR(INDEX(醫師週班表!$C$5:$T$44,$CU26,AY$57),"")=0,"",IF(MID(IFERROR(INDEX(醫師週班表!$C$5:$T$44,$CU26,AY$57),""),2,1)="/",MID(IFERROR(INDEX(醫師週班表!$C$5:$T$44,$CU26,AY$57),""),1+AY$58*2,1),IF(MID(IFERROR(INDEX(醫師週班表!$C$5:$T$44,$CU26,AY$57),""),3,1)="隔",IF(AY$58=0,LEFT(IFERROR(INDEX(醫師週班表!$C$5:$T$44,$CU26,AY$57),""),1),""),IF(MID(IFERROR(INDEX(醫師週班表!$C$5:$T$44,$CU26,AY$57),""),2,1)="(",LEFT(IFERROR(INDEX(醫師週班表!$C$5:$T$44,$CU26,AY$57),""),1),IFERROR(INDEX(醫師週班表!$C$5:$T$44,$CU26,AY$57),"")))))))</f>
        <v/>
      </c>
      <c r="AZ26" s="72">
        <f>IF(AZ$59="X","",IF(AZ$59&lt;&gt;"",AZ$59,IF(IFERROR(INDEX(醫師週班表!$C$5:$T$44,$CU26,AZ$57),"")=0,"",IF(MID(IFERROR(INDEX(醫師週班表!$C$5:$T$44,$CU26,AZ$57),""),2,1)="/",MID(IFERROR(INDEX(醫師週班表!$C$5:$T$44,$CU26,AZ$57),""),1+AZ$58*2,1),IF(MID(IFERROR(INDEX(醫師週班表!$C$5:$T$44,$CU26,AZ$57),""),3,1)="隔",IF(AZ$58=0,LEFT(IFERROR(INDEX(醫師週班表!$C$5:$T$44,$CU26,AZ$57),""),1),""),IF(MID(IFERROR(INDEX(醫師週班表!$C$5:$T$44,$CU26,AZ$57),""),2,1)="(",LEFT(IFERROR(INDEX(醫師週班表!$C$5:$T$44,$CU26,AZ$57),""),1),IFERROR(INDEX(醫師週班表!$C$5:$T$44,$CU26,AZ$57),"")))))))</f>
        <v/>
      </c>
      <c r="BA26" s="71">
        <f>IF(BA$59="X","",IF(BA$59&lt;&gt;"",BA$59,IF(IFERROR(INDEX(醫師週班表!$C$5:$T$44,$CU26,BA$57),"")=0,"",IF(MID(IFERROR(INDEX(醫師週班表!$C$5:$T$44,$CU26,BA$57),""),2,1)="/",MID(IFERROR(INDEX(醫師週班表!$C$5:$T$44,$CU26,BA$57),""),1+BA$58*2,1),IF(MID(IFERROR(INDEX(醫師週班表!$C$5:$T$44,$CU26,BA$57),""),3,1)="隔",IF(BA$58=0,LEFT(IFERROR(INDEX(醫師週班表!$C$5:$T$44,$CU26,BA$57),""),1),""),IF(MID(IFERROR(INDEX(醫師週班表!$C$5:$T$44,$CU26,BA$57),""),2,1)="(",LEFT(IFERROR(INDEX(醫師週班表!$C$5:$T$44,$CU26,BA$57),""),1),IFERROR(INDEX(醫師週班表!$C$5:$T$44,$CU26,BA$57),"")))))))</f>
        <v/>
      </c>
      <c r="BB26" s="72">
        <f>IF(BB$59="X","",IF(BB$59&lt;&gt;"",BB$59,IF(IFERROR(INDEX(醫師週班表!$C$5:$T$44,$CU26,BB$57),"")=0,"",IF(MID(IFERROR(INDEX(醫師週班表!$C$5:$T$44,$CU26,BB$57),""),2,1)="/",MID(IFERROR(INDEX(醫師週班表!$C$5:$T$44,$CU26,BB$57),""),1+BB$58*2,1),IF(MID(IFERROR(INDEX(醫師週班表!$C$5:$T$44,$CU26,BB$57),""),3,1)="隔",IF(BB$58=0,LEFT(IFERROR(INDEX(醫師週班表!$C$5:$T$44,$CU26,BB$57),""),1),""),IF(MID(IFERROR(INDEX(醫師週班表!$C$5:$T$44,$CU26,BB$57),""),2,1)="(",LEFT(IFERROR(INDEX(醫師週班表!$C$5:$T$44,$CU26,BB$57),""),1),IFERROR(INDEX(醫師週班表!$C$5:$T$44,$CU26,BB$57),"")))))))</f>
        <v/>
      </c>
      <c r="BC26" s="72">
        <f>IF(BC$59="X","",IF(BC$59&lt;&gt;"",BC$59,IF(IFERROR(INDEX(醫師週班表!$C$5:$T$44,$CU26,BC$57),"")=0,"",IF(MID(IFERROR(INDEX(醫師週班表!$C$5:$T$44,$CU26,BC$57),""),2,1)="/",MID(IFERROR(INDEX(醫師週班表!$C$5:$T$44,$CU26,BC$57),""),1+BC$58*2,1),IF(MID(IFERROR(INDEX(醫師週班表!$C$5:$T$44,$CU26,BC$57),""),3,1)="隔",IF(BC$58=0,LEFT(IFERROR(INDEX(醫師週班表!$C$5:$T$44,$CU26,BC$57),""),1),""),IF(MID(IFERROR(INDEX(醫師週班表!$C$5:$T$44,$CU26,BC$57),""),2,1)="(",LEFT(IFERROR(INDEX(醫師週班表!$C$5:$T$44,$CU26,BC$57),""),1),IFERROR(INDEX(醫師週班表!$C$5:$T$44,$CU26,BC$57),"")))))))</f>
        <v/>
      </c>
      <c r="BD26" s="71">
        <f>IF(BD$59="X","",IF(BD$59&lt;&gt;"",BD$59,IF(IFERROR(INDEX(醫師週班表!$C$5:$T$44,$CU26,BD$57),"")=0,"",IF(MID(IFERROR(INDEX(醫師週班表!$C$5:$T$44,$CU26,BD$57),""),2,1)="/",MID(IFERROR(INDEX(醫師週班表!$C$5:$T$44,$CU26,BD$57),""),1+BD$58*2,1),IF(MID(IFERROR(INDEX(醫師週班表!$C$5:$T$44,$CU26,BD$57),""),3,1)="隔",IF(BD$58=0,LEFT(IFERROR(INDEX(醫師週班表!$C$5:$T$44,$CU26,BD$57),""),1),""),IF(MID(IFERROR(INDEX(醫師週班表!$C$5:$T$44,$CU26,BD$57),""),2,1)="(",LEFT(IFERROR(INDEX(醫師週班表!$C$5:$T$44,$CU26,BD$57),""),1),IFERROR(INDEX(醫師週班表!$C$5:$T$44,$CU26,BD$57),"")))))))</f>
        <v/>
      </c>
      <c r="BE26" s="72">
        <f>IF(BE$59="X","",IF(BE$59&lt;&gt;"",BE$59,IF(IFERROR(INDEX(醫師週班表!$C$5:$T$44,$CU26,BE$57),"")=0,"",IF(MID(IFERROR(INDEX(醫師週班表!$C$5:$T$44,$CU26,BE$57),""),2,1)="/",MID(IFERROR(INDEX(醫師週班表!$C$5:$T$44,$CU26,BE$57),""),1+BE$58*2,1),IF(MID(IFERROR(INDEX(醫師週班表!$C$5:$T$44,$CU26,BE$57),""),3,1)="隔",IF(BE$58=0,LEFT(IFERROR(INDEX(醫師週班表!$C$5:$T$44,$CU26,BE$57),""),1),""),IF(MID(IFERROR(INDEX(醫師週班表!$C$5:$T$44,$CU26,BE$57),""),2,1)="(",LEFT(IFERROR(INDEX(醫師週班表!$C$5:$T$44,$CU26,BE$57),""),1),IFERROR(INDEX(醫師週班表!$C$5:$T$44,$CU26,BE$57),"")))))))</f>
        <v/>
      </c>
      <c r="BF26" s="72">
        <f>IF(BF$59="X","",IF(BF$59&lt;&gt;"",BF$59,IF(IFERROR(INDEX(醫師週班表!$C$5:$T$44,$CU26,BF$57),"")=0,"",IF(MID(IFERROR(INDEX(醫師週班表!$C$5:$T$44,$CU26,BF$57),""),2,1)="/",MID(IFERROR(INDEX(醫師週班表!$C$5:$T$44,$CU26,BF$57),""),1+BF$58*2,1),IF(MID(IFERROR(INDEX(醫師週班表!$C$5:$T$44,$CU26,BF$57),""),3,1)="隔",IF(BF$58=0,LEFT(IFERROR(INDEX(醫師週班表!$C$5:$T$44,$CU26,BF$57),""),1),""),IF(MID(IFERROR(INDEX(醫師週班表!$C$5:$T$44,$CU26,BF$57),""),2,1)="(",LEFT(IFERROR(INDEX(醫師週班表!$C$5:$T$44,$CU26,BF$57),""),1),IFERROR(INDEX(醫師週班表!$C$5:$T$44,$CU26,BF$57),"")))))))</f>
        <v/>
      </c>
      <c r="BG26" s="71">
        <f>IF(BG$59="X","",IF(BG$59&lt;&gt;"",BG$59,IF(IFERROR(INDEX(醫師週班表!$C$5:$T$44,$CU26,BG$57),"")=0,"",IF(MID(IFERROR(INDEX(醫師週班表!$C$5:$T$44,$CU26,BG$57),""),2,1)="/",MID(IFERROR(INDEX(醫師週班表!$C$5:$T$44,$CU26,BG$57),""),1+BG$58*2,1),IF(MID(IFERROR(INDEX(醫師週班表!$C$5:$T$44,$CU26,BG$57),""),3,1)="隔",IF(BG$58=0,LEFT(IFERROR(INDEX(醫師週班表!$C$5:$T$44,$CU26,BG$57),""),1),""),IF(MID(IFERROR(INDEX(醫師週班表!$C$5:$T$44,$CU26,BG$57),""),2,1)="(",LEFT(IFERROR(INDEX(醫師週班表!$C$5:$T$44,$CU26,BG$57),""),1),IFERROR(INDEX(醫師週班表!$C$5:$T$44,$CU26,BG$57),"")))))))</f>
        <v/>
      </c>
      <c r="BH26" s="72">
        <f>IF(BH$59="X","",IF(BH$59&lt;&gt;"",BH$59,IF(IFERROR(INDEX(醫師週班表!$C$5:$T$44,$CU26,BH$57),"")=0,"",IF(MID(IFERROR(INDEX(醫師週班表!$C$5:$T$44,$CU26,BH$57),""),2,1)="/",MID(IFERROR(INDEX(醫師週班表!$C$5:$T$44,$CU26,BH$57),""),1+BH$58*2,1),IF(MID(IFERROR(INDEX(醫師週班表!$C$5:$T$44,$CU26,BH$57),""),3,1)="隔",IF(BH$58=0,LEFT(IFERROR(INDEX(醫師週班表!$C$5:$T$44,$CU26,BH$57),""),1),""),IF(MID(IFERROR(INDEX(醫師週班表!$C$5:$T$44,$CU26,BH$57),""),2,1)="(",LEFT(IFERROR(INDEX(醫師週班表!$C$5:$T$44,$CU26,BH$57),""),1),IFERROR(INDEX(醫師週班表!$C$5:$T$44,$CU26,BH$57),"")))))))</f>
        <v/>
      </c>
      <c r="BI26" s="72">
        <f>IF(BI$59="X","",IF(BI$59&lt;&gt;"",BI$59,IF(IFERROR(INDEX(醫師週班表!$C$5:$T$44,$CU26,BI$57),"")=0,"",IF(MID(IFERROR(INDEX(醫師週班表!$C$5:$T$44,$CU26,BI$57),""),2,1)="/",MID(IFERROR(INDEX(醫師週班表!$C$5:$T$44,$CU26,BI$57),""),1+BI$58*2,1),IF(MID(IFERROR(INDEX(醫師週班表!$C$5:$T$44,$CU26,BI$57),""),3,1)="隔",IF(BI$58=0,LEFT(IFERROR(INDEX(醫師週班表!$C$5:$T$44,$CU26,BI$57),""),1),""),IF(MID(IFERROR(INDEX(醫師週班表!$C$5:$T$44,$CU26,BI$57),""),2,1)="(",LEFT(IFERROR(INDEX(醫師週班表!$C$5:$T$44,$CU26,BI$57),""),1),IFERROR(INDEX(醫師週班表!$C$5:$T$44,$CU26,BI$57),"")))))))</f>
        <v/>
      </c>
      <c r="BJ26" s="71">
        <f>IF(BJ$59="X","",IF(BJ$59&lt;&gt;"",BJ$59,IF(IFERROR(INDEX(醫師週班表!$C$5:$T$44,$CU26,BJ$57),"")=0,"",IF(MID(IFERROR(INDEX(醫師週班表!$C$5:$T$44,$CU26,BJ$57),""),2,1)="/",MID(IFERROR(INDEX(醫師週班表!$C$5:$T$44,$CU26,BJ$57),""),1+BJ$58*2,1),IF(MID(IFERROR(INDEX(醫師週班表!$C$5:$T$44,$CU26,BJ$57),""),3,1)="隔",IF(BJ$58=0,LEFT(IFERROR(INDEX(醫師週班表!$C$5:$T$44,$CU26,BJ$57),""),1),""),IF(MID(IFERROR(INDEX(醫師週班表!$C$5:$T$44,$CU26,BJ$57),""),2,1)="(",LEFT(IFERROR(INDEX(醫師週班表!$C$5:$T$44,$CU26,BJ$57),""),1),IFERROR(INDEX(醫師週班表!$C$5:$T$44,$CU26,BJ$57),"")))))))</f>
        <v/>
      </c>
      <c r="BK26" s="72">
        <f>IF(BK$59="X","",IF(BK$59&lt;&gt;"",BK$59,IF(IFERROR(INDEX(醫師週班表!$C$5:$T$44,$CU26,BK$57),"")=0,"",IF(MID(IFERROR(INDEX(醫師週班表!$C$5:$T$44,$CU26,BK$57),""),2,1)="/",MID(IFERROR(INDEX(醫師週班表!$C$5:$T$44,$CU26,BK$57),""),1+BK$58*2,1),IF(MID(IFERROR(INDEX(醫師週班表!$C$5:$T$44,$CU26,BK$57),""),3,1)="隔",IF(BK$58=0,LEFT(IFERROR(INDEX(醫師週班表!$C$5:$T$44,$CU26,BK$57),""),1),""),IF(MID(IFERROR(INDEX(醫師週班表!$C$5:$T$44,$CU26,BK$57),""),2,1)="(",LEFT(IFERROR(INDEX(醫師週班表!$C$5:$T$44,$CU26,BK$57),""),1),IFERROR(INDEX(醫師週班表!$C$5:$T$44,$CU26,BK$57),"")))))))</f>
        <v/>
      </c>
      <c r="BL26" s="72">
        <f>IF(BL$59="X","",IF(BL$59&lt;&gt;"",BL$59,IF(IFERROR(INDEX(醫師週班表!$C$5:$T$44,$CU26,BL$57),"")=0,"",IF(MID(IFERROR(INDEX(醫師週班表!$C$5:$T$44,$CU26,BL$57),""),2,1)="/",MID(IFERROR(INDEX(醫師週班表!$C$5:$T$44,$CU26,BL$57),""),1+BL$58*2,1),IF(MID(IFERROR(INDEX(醫師週班表!$C$5:$T$44,$CU26,BL$57),""),3,1)="隔",IF(BL$58=0,LEFT(IFERROR(INDEX(醫師週班表!$C$5:$T$44,$CU26,BL$57),""),1),""),IF(MID(IFERROR(INDEX(醫師週班表!$C$5:$T$44,$CU26,BL$57),""),2,1)="(",LEFT(IFERROR(INDEX(醫師週班表!$C$5:$T$44,$CU26,BL$57),""),1),IFERROR(INDEX(醫師週班表!$C$5:$T$44,$CU26,BL$57),"")))))))</f>
        <v/>
      </c>
      <c r="BM26" s="71">
        <f>IF(BM$59="X","",IF(BM$59&lt;&gt;"",BM$59,IF(IFERROR(INDEX(醫師週班表!$C$5:$T$44,$CU26,BM$57),"")=0,"",IF(MID(IFERROR(INDEX(醫師週班表!$C$5:$T$44,$CU26,BM$57),""),2,1)="/",MID(IFERROR(INDEX(醫師週班表!$C$5:$T$44,$CU26,BM$57),""),1+BM$58*2,1),IF(MID(IFERROR(INDEX(醫師週班表!$C$5:$T$44,$CU26,BM$57),""),3,1)="隔",IF(BM$58=0,LEFT(IFERROR(INDEX(醫師週班表!$C$5:$T$44,$CU26,BM$57),""),1),""),IF(MID(IFERROR(INDEX(醫師週班表!$C$5:$T$44,$CU26,BM$57),""),2,1)="(",LEFT(IFERROR(INDEX(醫師週班表!$C$5:$T$44,$CU26,BM$57),""),1),IFERROR(INDEX(醫師週班表!$C$5:$T$44,$CU26,BM$57),"")))))))</f>
        <v/>
      </c>
      <c r="BN26" s="72">
        <f>IF(BN$59="X","",IF(BN$59&lt;&gt;"",BN$59,IF(IFERROR(INDEX(醫師週班表!$C$5:$T$44,$CU26,BN$57),"")=0,"",IF(MID(IFERROR(INDEX(醫師週班表!$C$5:$T$44,$CU26,BN$57),""),2,1)="/",MID(IFERROR(INDEX(醫師週班表!$C$5:$T$44,$CU26,BN$57),""),1+BN$58*2,1),IF(MID(IFERROR(INDEX(醫師週班表!$C$5:$T$44,$CU26,BN$57),""),3,1)="隔",IF(BN$58=0,LEFT(IFERROR(INDEX(醫師週班表!$C$5:$T$44,$CU26,BN$57),""),1),""),IF(MID(IFERROR(INDEX(醫師週班表!$C$5:$T$44,$CU26,BN$57),""),2,1)="(",LEFT(IFERROR(INDEX(醫師週班表!$C$5:$T$44,$CU26,BN$57),""),1),IFERROR(INDEX(醫師週班表!$C$5:$T$44,$CU26,BN$57),"")))))))</f>
        <v/>
      </c>
      <c r="BO26" s="72">
        <f>IF(BO$59="X","",IF(BO$59&lt;&gt;"",BO$59,IF(IFERROR(INDEX(醫師週班表!$C$5:$T$44,$CU26,BO$57),"")=0,"",IF(MID(IFERROR(INDEX(醫師週班表!$C$5:$T$44,$CU26,BO$57),""),2,1)="/",MID(IFERROR(INDEX(醫師週班表!$C$5:$T$44,$CU26,BO$57),""),1+BO$58*2,1),IF(MID(IFERROR(INDEX(醫師週班表!$C$5:$T$44,$CU26,BO$57),""),3,1)="隔",IF(BO$58=0,LEFT(IFERROR(INDEX(醫師週班表!$C$5:$T$44,$CU26,BO$57),""),1),""),IF(MID(IFERROR(INDEX(醫師週班表!$C$5:$T$44,$CU26,BO$57),""),2,1)="(",LEFT(IFERROR(INDEX(醫師週班表!$C$5:$T$44,$CU26,BO$57),""),1),IFERROR(INDEX(醫師週班表!$C$5:$T$44,$CU26,BO$57),"")))))))</f>
        <v/>
      </c>
      <c r="BP26" s="71">
        <f>IF(BP$59="X","",IF(BP$59&lt;&gt;"",BP$59,IF(IFERROR(INDEX(醫師週班表!$C$5:$T$44,$CU26,BP$57),"")=0,"",IF(MID(IFERROR(INDEX(醫師週班表!$C$5:$T$44,$CU26,BP$57),""),2,1)="/",MID(IFERROR(INDEX(醫師週班表!$C$5:$T$44,$CU26,BP$57),""),1+BP$58*2,1),IF(MID(IFERROR(INDEX(醫師週班表!$C$5:$T$44,$CU26,BP$57),""),3,1)="隔",IF(BP$58=0,LEFT(IFERROR(INDEX(醫師週班表!$C$5:$T$44,$CU26,BP$57),""),1),""),IF(MID(IFERROR(INDEX(醫師週班表!$C$5:$T$44,$CU26,BP$57),""),2,1)="(",LEFT(IFERROR(INDEX(醫師週班表!$C$5:$T$44,$CU26,BP$57),""),1),IFERROR(INDEX(醫師週班表!$C$5:$T$44,$CU26,BP$57),"")))))))</f>
        <v/>
      </c>
      <c r="BQ26" s="72">
        <f>IF(BQ$59="X","",IF(BQ$59&lt;&gt;"",BQ$59,IF(IFERROR(INDEX(醫師週班表!$C$5:$T$44,$CU26,BQ$57),"")=0,"",IF(MID(IFERROR(INDEX(醫師週班表!$C$5:$T$44,$CU26,BQ$57),""),2,1)="/",MID(IFERROR(INDEX(醫師週班表!$C$5:$T$44,$CU26,BQ$57),""),1+BQ$58*2,1),IF(MID(IFERROR(INDEX(醫師週班表!$C$5:$T$44,$CU26,BQ$57),""),3,1)="隔",IF(BQ$58=0,LEFT(IFERROR(INDEX(醫師週班表!$C$5:$T$44,$CU26,BQ$57),""),1),""),IF(MID(IFERROR(INDEX(醫師週班表!$C$5:$T$44,$CU26,BQ$57),""),2,1)="(",LEFT(IFERROR(INDEX(醫師週班表!$C$5:$T$44,$CU26,BQ$57),""),1),IFERROR(INDEX(醫師週班表!$C$5:$T$44,$CU26,BQ$57),"")))))))</f>
        <v/>
      </c>
      <c r="BR26" s="72">
        <f>IF(BR$59="X","",IF(BR$59&lt;&gt;"",BR$59,IF(IFERROR(INDEX(醫師週班表!$C$5:$T$44,$CU26,BR$57),"")=0,"",IF(MID(IFERROR(INDEX(醫師週班表!$C$5:$T$44,$CU26,BR$57),""),2,1)="/",MID(IFERROR(INDEX(醫師週班表!$C$5:$T$44,$CU26,BR$57),""),1+BR$58*2,1),IF(MID(IFERROR(INDEX(醫師週班表!$C$5:$T$44,$CU26,BR$57),""),3,1)="隔",IF(BR$58=0,LEFT(IFERROR(INDEX(醫師週班表!$C$5:$T$44,$CU26,BR$57),""),1),""),IF(MID(IFERROR(INDEX(醫師週班表!$C$5:$T$44,$CU26,BR$57),""),2,1)="(",LEFT(IFERROR(INDEX(醫師週班表!$C$5:$T$44,$CU26,BR$57),""),1),IFERROR(INDEX(醫師週班表!$C$5:$T$44,$CU26,BR$57),"")))))))</f>
        <v/>
      </c>
      <c r="BS26" s="71">
        <f>IF(BS$59="X","",IF(BS$59&lt;&gt;"",BS$59,IF(IFERROR(INDEX(醫師週班表!$C$5:$T$44,$CU26,BS$57),"")=0,"",IF(MID(IFERROR(INDEX(醫師週班表!$C$5:$T$44,$CU26,BS$57),""),2,1)="/",MID(IFERROR(INDEX(醫師週班表!$C$5:$T$44,$CU26,BS$57),""),1+BS$58*2,1),IF(MID(IFERROR(INDEX(醫師週班表!$C$5:$T$44,$CU26,BS$57),""),3,1)="隔",IF(BS$58=0,LEFT(IFERROR(INDEX(醫師週班表!$C$5:$T$44,$CU26,BS$57),""),1),""),IF(MID(IFERROR(INDEX(醫師週班表!$C$5:$T$44,$CU26,BS$57),""),2,1)="(",LEFT(IFERROR(INDEX(醫師週班表!$C$5:$T$44,$CU26,BS$57),""),1),IFERROR(INDEX(醫師週班表!$C$5:$T$44,$CU26,BS$57),"")))))))</f>
        <v/>
      </c>
      <c r="BT26" s="72">
        <f>IF(BT$59="X","",IF(BT$59&lt;&gt;"",BT$59,IF(IFERROR(INDEX(醫師週班表!$C$5:$T$44,$CU26,BT$57),"")=0,"",IF(MID(IFERROR(INDEX(醫師週班表!$C$5:$T$44,$CU26,BT$57),""),2,1)="/",MID(IFERROR(INDEX(醫師週班表!$C$5:$T$44,$CU26,BT$57),""),1+BT$58*2,1),IF(MID(IFERROR(INDEX(醫師週班表!$C$5:$T$44,$CU26,BT$57),""),3,1)="隔",IF(BT$58=0,LEFT(IFERROR(INDEX(醫師週班表!$C$5:$T$44,$CU26,BT$57),""),1),""),IF(MID(IFERROR(INDEX(醫師週班表!$C$5:$T$44,$CU26,BT$57),""),2,1)="(",LEFT(IFERROR(INDEX(醫師週班表!$C$5:$T$44,$CU26,BT$57),""),1),IFERROR(INDEX(醫師週班表!$C$5:$T$44,$CU26,BT$57),"")))))))</f>
        <v/>
      </c>
      <c r="BU26" s="72">
        <f>IF(BU$59="X","",IF(BU$59&lt;&gt;"",BU$59,IF(IFERROR(INDEX(醫師週班表!$C$5:$T$44,$CU26,BU$57),"")=0,"",IF(MID(IFERROR(INDEX(醫師週班表!$C$5:$T$44,$CU26,BU$57),""),2,1)="/",MID(IFERROR(INDEX(醫師週班表!$C$5:$T$44,$CU26,BU$57),""),1+BU$58*2,1),IF(MID(IFERROR(INDEX(醫師週班表!$C$5:$T$44,$CU26,BU$57),""),3,1)="隔",IF(BU$58=0,LEFT(IFERROR(INDEX(醫師週班表!$C$5:$T$44,$CU26,BU$57),""),1),""),IF(MID(IFERROR(INDEX(醫師週班表!$C$5:$T$44,$CU26,BU$57),""),2,1)="(",LEFT(IFERROR(INDEX(醫師週班表!$C$5:$T$44,$CU26,BU$57),""),1),IFERROR(INDEX(醫師週班表!$C$5:$T$44,$CU26,BU$57),"")))))))</f>
        <v/>
      </c>
      <c r="BV26" s="71">
        <f>IF(BV$59="X","",IF(BV$59&lt;&gt;"",BV$59,IF(IFERROR(INDEX(醫師週班表!$C$5:$T$44,$CU26,BV$57),"")=0,"",IF(MID(IFERROR(INDEX(醫師週班表!$C$5:$T$44,$CU26,BV$57),""),2,1)="/",MID(IFERROR(INDEX(醫師週班表!$C$5:$T$44,$CU26,BV$57),""),1+BV$58*2,1),IF(MID(IFERROR(INDEX(醫師週班表!$C$5:$T$44,$CU26,BV$57),""),3,1)="隔",IF(BV$58=0,LEFT(IFERROR(INDEX(醫師週班表!$C$5:$T$44,$CU26,BV$57),""),1),""),IF(MID(IFERROR(INDEX(醫師週班表!$C$5:$T$44,$CU26,BV$57),""),2,1)="(",LEFT(IFERROR(INDEX(醫師週班表!$C$5:$T$44,$CU26,BV$57),""),1),IFERROR(INDEX(醫師週班表!$C$5:$T$44,$CU26,BV$57),"")))))))</f>
        <v/>
      </c>
      <c r="BW26" s="72">
        <f>IF(BW$59="X","",IF(BW$59&lt;&gt;"",BW$59,IF(IFERROR(INDEX(醫師週班表!$C$5:$T$44,$CU26,BW$57),"")=0,"",IF(MID(IFERROR(INDEX(醫師週班表!$C$5:$T$44,$CU26,BW$57),""),2,1)="/",MID(IFERROR(INDEX(醫師週班表!$C$5:$T$44,$CU26,BW$57),""),1+BW$58*2,1),IF(MID(IFERROR(INDEX(醫師週班表!$C$5:$T$44,$CU26,BW$57),""),3,1)="隔",IF(BW$58=0,LEFT(IFERROR(INDEX(醫師週班表!$C$5:$T$44,$CU26,BW$57),""),1),""),IF(MID(IFERROR(INDEX(醫師週班表!$C$5:$T$44,$CU26,BW$57),""),2,1)="(",LEFT(IFERROR(INDEX(醫師週班表!$C$5:$T$44,$CU26,BW$57),""),1),IFERROR(INDEX(醫師週班表!$C$5:$T$44,$CU26,BW$57),"")))))))</f>
        <v/>
      </c>
      <c r="BX26" s="72">
        <f>IF(BX$59="X","",IF(BX$59&lt;&gt;"",BX$59,IF(IFERROR(INDEX(醫師週班表!$C$5:$T$44,$CU26,BX$57),"")=0,"",IF(MID(IFERROR(INDEX(醫師週班表!$C$5:$T$44,$CU26,BX$57),""),2,1)="/",MID(IFERROR(INDEX(醫師週班表!$C$5:$T$44,$CU26,BX$57),""),1+BX$58*2,1),IF(MID(IFERROR(INDEX(醫師週班表!$C$5:$T$44,$CU26,BX$57),""),3,1)="隔",IF(BX$58=0,LEFT(IFERROR(INDEX(醫師週班表!$C$5:$T$44,$CU26,BX$57),""),1),""),IF(MID(IFERROR(INDEX(醫師週班表!$C$5:$T$44,$CU26,BX$57),""),2,1)="(",LEFT(IFERROR(INDEX(醫師週班表!$C$5:$T$44,$CU26,BX$57),""),1),IFERROR(INDEX(醫師週班表!$C$5:$T$44,$CU26,BX$57),"")))))))</f>
        <v/>
      </c>
      <c r="BY26" s="71">
        <f>IF(BY$59="X","",IF(BY$59&lt;&gt;"",BY$59,IF(IFERROR(INDEX(醫師週班表!$C$5:$T$44,$CU26,BY$57),"")=0,"",IF(MID(IFERROR(INDEX(醫師週班表!$C$5:$T$44,$CU26,BY$57),""),2,1)="/",MID(IFERROR(INDEX(醫師週班表!$C$5:$T$44,$CU26,BY$57),""),1+BY$58*2,1),IF(MID(IFERROR(INDEX(醫師週班表!$C$5:$T$44,$CU26,BY$57),""),3,1)="隔",IF(BY$58=0,LEFT(IFERROR(INDEX(醫師週班表!$C$5:$T$44,$CU26,BY$57),""),1),""),IF(MID(IFERROR(INDEX(醫師週班表!$C$5:$T$44,$CU26,BY$57),""),2,1)="(",LEFT(IFERROR(INDEX(醫師週班表!$C$5:$T$44,$CU26,BY$57),""),1),IFERROR(INDEX(醫師週班表!$C$5:$T$44,$CU26,BY$57),"")))))))</f>
        <v/>
      </c>
      <c r="BZ26" s="72">
        <f>IF(BZ$59="X","",IF(BZ$59&lt;&gt;"",BZ$59,IF(IFERROR(INDEX(醫師週班表!$C$5:$T$44,$CU26,BZ$57),"")=0,"",IF(MID(IFERROR(INDEX(醫師週班表!$C$5:$T$44,$CU26,BZ$57),""),2,1)="/",MID(IFERROR(INDEX(醫師週班表!$C$5:$T$44,$CU26,BZ$57),""),1+BZ$58*2,1),IF(MID(IFERROR(INDEX(醫師週班表!$C$5:$T$44,$CU26,BZ$57),""),3,1)="隔",IF(BZ$58=0,LEFT(IFERROR(INDEX(醫師週班表!$C$5:$T$44,$CU26,BZ$57),""),1),""),IF(MID(IFERROR(INDEX(醫師週班表!$C$5:$T$44,$CU26,BZ$57),""),2,1)="(",LEFT(IFERROR(INDEX(醫師週班表!$C$5:$T$44,$CU26,BZ$57),""),1),IFERROR(INDEX(醫師週班表!$C$5:$T$44,$CU26,BZ$57),"")))))))</f>
        <v/>
      </c>
      <c r="CA26" s="72">
        <f>IF(CA$59="X","",IF(CA$59&lt;&gt;"",CA$59,IF(IFERROR(INDEX(醫師週班表!$C$5:$T$44,$CU26,CA$57),"")=0,"",IF(MID(IFERROR(INDEX(醫師週班表!$C$5:$T$44,$CU26,CA$57),""),2,1)="/",MID(IFERROR(INDEX(醫師週班表!$C$5:$T$44,$CU26,CA$57),""),1+CA$58*2,1),IF(MID(IFERROR(INDEX(醫師週班表!$C$5:$T$44,$CU26,CA$57),""),3,1)="隔",IF(CA$58=0,LEFT(IFERROR(INDEX(醫師週班表!$C$5:$T$44,$CU26,CA$57),""),1),""),IF(MID(IFERROR(INDEX(醫師週班表!$C$5:$T$44,$CU26,CA$57),""),2,1)="(",LEFT(IFERROR(INDEX(醫師週班表!$C$5:$T$44,$CU26,CA$57),""),1),IFERROR(INDEX(醫師週班表!$C$5:$T$44,$CU26,CA$57),"")))))))</f>
        <v/>
      </c>
      <c r="CB26" s="71">
        <f>IF(CB$59="X","",IF(CB$59&lt;&gt;"",CB$59,IF(IFERROR(INDEX(醫師週班表!$C$5:$T$44,$CU26,CB$57),"")=0,"",IF(MID(IFERROR(INDEX(醫師週班表!$C$5:$T$44,$CU26,CB$57),""),2,1)="/",MID(IFERROR(INDEX(醫師週班表!$C$5:$T$44,$CU26,CB$57),""),1+CB$58*2,1),IF(MID(IFERROR(INDEX(醫師週班表!$C$5:$T$44,$CU26,CB$57),""),3,1)="隔",IF(CB$58=0,LEFT(IFERROR(INDEX(醫師週班表!$C$5:$T$44,$CU26,CB$57),""),1),""),IF(MID(IFERROR(INDEX(醫師週班表!$C$5:$T$44,$CU26,CB$57),""),2,1)="(",LEFT(IFERROR(INDEX(醫師週班表!$C$5:$T$44,$CU26,CB$57),""),1),IFERROR(INDEX(醫師週班表!$C$5:$T$44,$CU26,CB$57),"")))))))</f>
        <v/>
      </c>
      <c r="CC26" s="72">
        <f>IF(CC$59="X","",IF(CC$59&lt;&gt;"",CC$59,IF(IFERROR(INDEX(醫師週班表!$C$5:$T$44,$CU26,CC$57),"")=0,"",IF(MID(IFERROR(INDEX(醫師週班表!$C$5:$T$44,$CU26,CC$57),""),2,1)="/",MID(IFERROR(INDEX(醫師週班表!$C$5:$T$44,$CU26,CC$57),""),1+CC$58*2,1),IF(MID(IFERROR(INDEX(醫師週班表!$C$5:$T$44,$CU26,CC$57),""),3,1)="隔",IF(CC$58=0,LEFT(IFERROR(INDEX(醫師週班表!$C$5:$T$44,$CU26,CC$57),""),1),""),IF(MID(IFERROR(INDEX(醫師週班表!$C$5:$T$44,$CU26,CC$57),""),2,1)="(",LEFT(IFERROR(INDEX(醫師週班表!$C$5:$T$44,$CU26,CC$57),""),1),IFERROR(INDEX(醫師週班表!$C$5:$T$44,$CU26,CC$57),"")))))))</f>
        <v/>
      </c>
      <c r="CD26" s="72">
        <f>IF(CD$59="X","",IF(CD$59&lt;&gt;"",CD$59,IF(IFERROR(INDEX(醫師週班表!$C$5:$T$44,$CU26,CD$57),"")=0,"",IF(MID(IFERROR(INDEX(醫師週班表!$C$5:$T$44,$CU26,CD$57),""),2,1)="/",MID(IFERROR(INDEX(醫師週班表!$C$5:$T$44,$CU26,CD$57),""),1+CD$58*2,1),IF(MID(IFERROR(INDEX(醫師週班表!$C$5:$T$44,$CU26,CD$57),""),3,1)="隔",IF(CD$58=0,LEFT(IFERROR(INDEX(醫師週班表!$C$5:$T$44,$CU26,CD$57),""),1),""),IF(MID(IFERROR(INDEX(醫師週班表!$C$5:$T$44,$CU26,CD$57),""),2,1)="(",LEFT(IFERROR(INDEX(醫師週班表!$C$5:$T$44,$CU26,CD$57),""),1),IFERROR(INDEX(醫師週班表!$C$5:$T$44,$CU26,CD$57),"")))))))</f>
        <v/>
      </c>
      <c r="CE26" s="71">
        <f>IF(CE$59="X","",IF(CE$59&lt;&gt;"",CE$59,IF(IFERROR(INDEX(醫師週班表!$C$5:$T$44,$CU26,CE$57),"")=0,"",IF(MID(IFERROR(INDEX(醫師週班表!$C$5:$T$44,$CU26,CE$57),""),2,1)="/",MID(IFERROR(INDEX(醫師週班表!$C$5:$T$44,$CU26,CE$57),""),1+CE$58*2,1),IF(MID(IFERROR(INDEX(醫師週班表!$C$5:$T$44,$CU26,CE$57),""),3,1)="隔",IF(CE$58=0,LEFT(IFERROR(INDEX(醫師週班表!$C$5:$T$44,$CU26,CE$57),""),1),""),IF(MID(IFERROR(INDEX(醫師週班表!$C$5:$T$44,$CU26,CE$57),""),2,1)="(",LEFT(IFERROR(INDEX(醫師週班表!$C$5:$T$44,$CU26,CE$57),""),1),IFERROR(INDEX(醫師週班表!$C$5:$T$44,$CU26,CE$57),"")))))))</f>
        <v/>
      </c>
      <c r="CF26" s="72">
        <f>IF(CF$59="X","",IF(CF$59&lt;&gt;"",CF$59,IF(IFERROR(INDEX(醫師週班表!$C$5:$T$44,$CU26,CF$57),"")=0,"",IF(MID(IFERROR(INDEX(醫師週班表!$C$5:$T$44,$CU26,CF$57),""),2,1)="/",MID(IFERROR(INDEX(醫師週班表!$C$5:$T$44,$CU26,CF$57),""),1+CF$58*2,1),IF(MID(IFERROR(INDEX(醫師週班表!$C$5:$T$44,$CU26,CF$57),""),3,1)="隔",IF(CF$58=0,LEFT(IFERROR(INDEX(醫師週班表!$C$5:$T$44,$CU26,CF$57),""),1),""),IF(MID(IFERROR(INDEX(醫師週班表!$C$5:$T$44,$CU26,CF$57),""),2,1)="(",LEFT(IFERROR(INDEX(醫師週班表!$C$5:$T$44,$CU26,CF$57),""),1),IFERROR(INDEX(醫師週班表!$C$5:$T$44,$CU26,CF$57),"")))))))</f>
        <v/>
      </c>
      <c r="CG26" s="72">
        <f>IF(CG$59="X","",IF(CG$59&lt;&gt;"",CG$59,IF(IFERROR(INDEX(醫師週班表!$C$5:$T$44,$CU26,CG$57),"")=0,"",IF(MID(IFERROR(INDEX(醫師週班表!$C$5:$T$44,$CU26,CG$57),""),2,1)="/",MID(IFERROR(INDEX(醫師週班表!$C$5:$T$44,$CU26,CG$57),""),1+CG$58*2,1),IF(MID(IFERROR(INDEX(醫師週班表!$C$5:$T$44,$CU26,CG$57),""),3,1)="隔",IF(CG$58=0,LEFT(IFERROR(INDEX(醫師週班表!$C$5:$T$44,$CU26,CG$57),""),1),""),IF(MID(IFERROR(INDEX(醫師週班表!$C$5:$T$44,$CU26,CG$57),""),2,1)="(",LEFT(IFERROR(INDEX(醫師週班表!$C$5:$T$44,$CU26,CG$57),""),1),IFERROR(INDEX(醫師週班表!$C$5:$T$44,$CU26,CG$57),"")))))))</f>
        <v/>
      </c>
      <c r="CH26" s="71">
        <f>IF(CH$59="X","",IF(CH$59&lt;&gt;"",CH$59,IF(IFERROR(INDEX(醫師週班表!$C$5:$T$44,$CU26,CH$57),"")=0,"",IF(MID(IFERROR(INDEX(醫師週班表!$C$5:$T$44,$CU26,CH$57),""),2,1)="/",MID(IFERROR(INDEX(醫師週班表!$C$5:$T$44,$CU26,CH$57),""),1+CH$58*2,1),IF(MID(IFERROR(INDEX(醫師週班表!$C$5:$T$44,$CU26,CH$57),""),3,1)="隔",IF(CH$58=0,LEFT(IFERROR(INDEX(醫師週班表!$C$5:$T$44,$CU26,CH$57),""),1),""),IF(MID(IFERROR(INDEX(醫師週班表!$C$5:$T$44,$CU26,CH$57),""),2,1)="(",LEFT(IFERROR(INDEX(醫師週班表!$C$5:$T$44,$CU26,CH$57),""),1),IFERROR(INDEX(醫師週班表!$C$5:$T$44,$CU26,CH$57),"")))))))</f>
        <v/>
      </c>
      <c r="CI26" s="72">
        <f>IF(CI$59="X","",IF(CI$59&lt;&gt;"",CI$59,IF(IFERROR(INDEX(醫師週班表!$C$5:$T$44,$CU26,CI$57),"")=0,"",IF(MID(IFERROR(INDEX(醫師週班表!$C$5:$T$44,$CU26,CI$57),""),2,1)="/",MID(IFERROR(INDEX(醫師週班表!$C$5:$T$44,$CU26,CI$57),""),1+CI$58*2,1),IF(MID(IFERROR(INDEX(醫師週班表!$C$5:$T$44,$CU26,CI$57),""),3,1)="隔",IF(CI$58=0,LEFT(IFERROR(INDEX(醫師週班表!$C$5:$T$44,$CU26,CI$57),""),1),""),IF(MID(IFERROR(INDEX(醫師週班表!$C$5:$T$44,$CU26,CI$57),""),2,1)="(",LEFT(IFERROR(INDEX(醫師週班表!$C$5:$T$44,$CU26,CI$57),""),1),IFERROR(INDEX(醫師週班表!$C$5:$T$44,$CU26,CI$57),"")))))))</f>
        <v/>
      </c>
      <c r="CJ26" s="72">
        <f>IF(CJ$59="X","",IF(CJ$59&lt;&gt;"",CJ$59,IF(IFERROR(INDEX(醫師週班表!$C$5:$T$44,$CU26,CJ$57),"")=0,"",IF(MID(IFERROR(INDEX(醫師週班表!$C$5:$T$44,$CU26,CJ$57),""),2,1)="/",MID(IFERROR(INDEX(醫師週班表!$C$5:$T$44,$CU26,CJ$57),""),1+CJ$58*2,1),IF(MID(IFERROR(INDEX(醫師週班表!$C$5:$T$44,$CU26,CJ$57),""),3,1)="隔",IF(CJ$58=0,LEFT(IFERROR(INDEX(醫師週班表!$C$5:$T$44,$CU26,CJ$57),""),1),""),IF(MID(IFERROR(INDEX(醫師週班表!$C$5:$T$44,$CU26,CJ$57),""),2,1)="(",LEFT(IFERROR(INDEX(醫師週班表!$C$5:$T$44,$CU26,CJ$57),""),1),IFERROR(INDEX(醫師週班表!$C$5:$T$44,$CU26,CJ$57),"")))))))</f>
        <v/>
      </c>
      <c r="CK26" s="71">
        <f>IF(CK$59="X","",IF(CK$59&lt;&gt;"",CK$59,IF(IFERROR(INDEX(醫師週班表!$C$5:$T$44,$CU26,CK$57),"")=0,"",IF(MID(IFERROR(INDEX(醫師週班表!$C$5:$T$44,$CU26,CK$57),""),2,1)="/",MID(IFERROR(INDEX(醫師週班表!$C$5:$T$44,$CU26,CK$57),""),1+CK$58*2,1),IF(MID(IFERROR(INDEX(醫師週班表!$C$5:$T$44,$CU26,CK$57),""),3,1)="隔",IF(CK$58=0,LEFT(IFERROR(INDEX(醫師週班表!$C$5:$T$44,$CU26,CK$57),""),1),""),IF(MID(IFERROR(INDEX(醫師週班表!$C$5:$T$44,$CU26,CK$57),""),2,1)="(",LEFT(IFERROR(INDEX(醫師週班表!$C$5:$T$44,$CU26,CK$57),""),1),IFERROR(INDEX(醫師週班表!$C$5:$T$44,$CU26,CK$57),"")))))))</f>
        <v/>
      </c>
      <c r="CL26" s="72">
        <f>IF(CL$59="X","",IF(CL$59&lt;&gt;"",CL$59,IF(IFERROR(INDEX(醫師週班表!$C$5:$T$44,$CU26,CL$57),"")=0,"",IF(MID(IFERROR(INDEX(醫師週班表!$C$5:$T$44,$CU26,CL$57),""),2,1)="/",MID(IFERROR(INDEX(醫師週班表!$C$5:$T$44,$CU26,CL$57),""),1+CL$58*2,1),IF(MID(IFERROR(INDEX(醫師週班表!$C$5:$T$44,$CU26,CL$57),""),3,1)="隔",IF(CL$58=0,LEFT(IFERROR(INDEX(醫師週班表!$C$5:$T$44,$CU26,CL$57),""),1),""),IF(MID(IFERROR(INDEX(醫師週班表!$C$5:$T$44,$CU26,CL$57),""),2,1)="(",LEFT(IFERROR(INDEX(醫師週班表!$C$5:$T$44,$CU26,CL$57),""),1),IFERROR(INDEX(醫師週班表!$C$5:$T$44,$CU26,CL$57),"")))))))</f>
        <v/>
      </c>
      <c r="CM26" s="72">
        <f>IF(CM$59="X","",IF(CM$59&lt;&gt;"",CM$59,IF(IFERROR(INDEX(醫師週班表!$C$5:$T$44,$CU26,CM$57),"")=0,"",IF(MID(IFERROR(INDEX(醫師週班表!$C$5:$T$44,$CU26,CM$57),""),2,1)="/",MID(IFERROR(INDEX(醫師週班表!$C$5:$T$44,$CU26,CM$57),""),1+CM$58*2,1),IF(MID(IFERROR(INDEX(醫師週班表!$C$5:$T$44,$CU26,CM$57),""),3,1)="隔",IF(CM$58=0,LEFT(IFERROR(INDEX(醫師週班表!$C$5:$T$44,$CU26,CM$57),""),1),""),IF(MID(IFERROR(INDEX(醫師週班表!$C$5:$T$44,$CU26,CM$57),""),2,1)="(",LEFT(IFERROR(INDEX(醫師週班表!$C$5:$T$44,$CU26,CM$57),""),1),IFERROR(INDEX(醫師週班表!$C$5:$T$44,$CU26,CM$57),"")))))))</f>
        <v/>
      </c>
      <c r="CN26" s="71">
        <f>IF(CN$59="X","",IF(CN$59&lt;&gt;"",CN$59,IF(IFERROR(INDEX(醫師週班表!$C$5:$T$44,$CU26,CN$57),"")=0,"",IF(MID(IFERROR(INDEX(醫師週班表!$C$5:$T$44,$CU26,CN$57),""),2,1)="/",MID(IFERROR(INDEX(醫師週班表!$C$5:$T$44,$CU26,CN$57),""),1+CN$58*2,1),IF(MID(IFERROR(INDEX(醫師週班表!$C$5:$T$44,$CU26,CN$57),""),3,1)="隔",IF(CN$58=0,LEFT(IFERROR(INDEX(醫師週班表!$C$5:$T$44,$CU26,CN$57),""),1),""),IF(MID(IFERROR(INDEX(醫師週班表!$C$5:$T$44,$CU26,CN$57),""),2,1)="(",LEFT(IFERROR(INDEX(醫師週班表!$C$5:$T$44,$CU26,CN$57),""),1),IFERROR(INDEX(醫師週班表!$C$5:$T$44,$CU26,CN$57),"")))))))</f>
        <v/>
      </c>
      <c r="CO26" s="72">
        <f>IF(CO$59="X","",IF(CO$59&lt;&gt;"",CO$59,IF(IFERROR(INDEX(醫師週班表!$C$5:$T$44,$CU26,CO$57),"")=0,"",IF(MID(IFERROR(INDEX(醫師週班表!$C$5:$T$44,$CU26,CO$57),""),2,1)="/",MID(IFERROR(INDEX(醫師週班表!$C$5:$T$44,$CU26,CO$57),""),1+CO$58*2,1),IF(MID(IFERROR(INDEX(醫師週班表!$C$5:$T$44,$CU26,CO$57),""),3,1)="隔",IF(CO$58=0,LEFT(IFERROR(INDEX(醫師週班表!$C$5:$T$44,$CU26,CO$57),""),1),""),IF(MID(IFERROR(INDEX(醫師週班表!$C$5:$T$44,$CU26,CO$57),""),2,1)="(",LEFT(IFERROR(INDEX(醫師週班表!$C$5:$T$44,$CU26,CO$57),""),1),IFERROR(INDEX(醫師週班表!$C$5:$T$44,$CU26,CO$57),"")))))))</f>
        <v/>
      </c>
      <c r="CP26" s="72">
        <f>IF(CP$59="X","",IF(CP$59&lt;&gt;"",CP$59,IF(IFERROR(INDEX(醫師週班表!$C$5:$T$44,$CU26,CP$57),"")=0,"",IF(MID(IFERROR(INDEX(醫師週班表!$C$5:$T$44,$CU26,CP$57),""),2,1)="/",MID(IFERROR(INDEX(醫師週班表!$C$5:$T$44,$CU26,CP$57),""),1+CP$58*2,1),IF(MID(IFERROR(INDEX(醫師週班表!$C$5:$T$44,$CU26,CP$57),""),3,1)="隔",IF(CP$58=0,LEFT(IFERROR(INDEX(醫師週班表!$C$5:$T$44,$CU26,CP$57),""),1),""),IF(MID(IFERROR(INDEX(醫師週班表!$C$5:$T$44,$CU26,CP$57),""),2,1)="(",LEFT(IFERROR(INDEX(醫師週班表!$C$5:$T$44,$CU26,CP$57),""),1),IFERROR(INDEX(醫師週班表!$C$5:$T$44,$CU26,CP$57),"")))))))</f>
        <v/>
      </c>
      <c r="CQ26" s="71">
        <f>IF(CQ$59="X","",IF(CQ$59&lt;&gt;"",CQ$59,IF(IFERROR(INDEX(醫師週班表!$C$5:$T$44,$CU26,CQ$57),"")=0,"",IF(MID(IFERROR(INDEX(醫師週班表!$C$5:$T$44,$CU26,CQ$57),""),2,1)="/",MID(IFERROR(INDEX(醫師週班表!$C$5:$T$44,$CU26,CQ$57),""),1+CQ$58*2,1),IF(MID(IFERROR(INDEX(醫師週班表!$C$5:$T$44,$CU26,CQ$57),""),3,1)="隔",IF(CQ$58=0,LEFT(IFERROR(INDEX(醫師週班表!$C$5:$T$44,$CU26,CQ$57),""),1),""),IF(MID(IFERROR(INDEX(醫師週班表!$C$5:$T$44,$CU26,CQ$57),""),2,1)="(",LEFT(IFERROR(INDEX(醫師週班表!$C$5:$T$44,$CU26,CQ$57),""),1),IFERROR(INDEX(醫師週班表!$C$5:$T$44,$CU26,CQ$57),"")))))))</f>
        <v/>
      </c>
      <c r="CR26" s="72">
        <f>IF(CR$59="X","",IF(CR$59&lt;&gt;"",CR$59,IF(IFERROR(INDEX(醫師週班表!$C$5:$T$44,$CU26,CR$57),"")=0,"",IF(MID(IFERROR(INDEX(醫師週班表!$C$5:$T$44,$CU26,CR$57),""),2,1)="/",MID(IFERROR(INDEX(醫師週班表!$C$5:$T$44,$CU26,CR$57),""),1+CR$58*2,1),IF(MID(IFERROR(INDEX(醫師週班表!$C$5:$T$44,$CU26,CR$57),""),3,1)="隔",IF(CR$58=0,LEFT(IFERROR(INDEX(醫師週班表!$C$5:$T$44,$CU26,CR$57),""),1),""),IF(MID(IFERROR(INDEX(醫師週班表!$C$5:$T$44,$CU26,CR$57),""),2,1)="(",LEFT(IFERROR(INDEX(醫師週班表!$C$5:$T$44,$CU26,CR$57),""),1),IFERROR(INDEX(醫師週班表!$C$5:$T$44,$CU26,CR$57),"")))))))</f>
        <v/>
      </c>
      <c r="CS26" s="72">
        <f>IF(CS$59="X","",IF(CS$59&lt;&gt;"",CS$59,IF(IFERROR(INDEX(醫師週班表!$C$5:$T$44,$CU26,CS$57),"")=0,"",IF(MID(IFERROR(INDEX(醫師週班表!$C$5:$T$44,$CU26,CS$57),""),2,1)="/",MID(IFERROR(INDEX(醫師週班表!$C$5:$T$44,$CU26,CS$57),""),1+CS$58*2,1),IF(MID(IFERROR(INDEX(醫師週班表!$C$5:$T$44,$CU26,CS$57),""),3,1)="隔",IF(CS$58=0,LEFT(IFERROR(INDEX(醫師週班表!$C$5:$T$44,$CU26,CS$57),""),1),""),IF(MID(IFERROR(INDEX(醫師週班表!$C$5:$T$44,$CU26,CS$57),""),2,1)="(",LEFT(IFERROR(INDEX(醫師週班表!$C$5:$T$44,$CU26,CS$57),""),1),IFERROR(INDEX(醫師週班表!$C$5:$T$44,$CU26,CS$57),"")))))))</f>
        <v/>
      </c>
      <c r="CU26" s="73">
        <f>IFERROR(MATCH($A26,醫師週班表!$A$5:$A$44,0),0)</f>
        <v/>
      </c>
    </row>
    <row r="27" ht="17" customHeight="1">
      <c r="A27" s="19" t="inlineStr">
        <is>
          <t>D022</t>
        </is>
      </c>
      <c r="B27" s="16" t="inlineStr">
        <is>
          <t>黃育亭</t>
        </is>
      </c>
      <c r="C27" s="70" t="inlineStr">
        <is>
          <t>兒童</t>
        </is>
      </c>
      <c r="D27" s="16" t="inlineStr">
        <is>
          <t>寶貝牙院長</t>
        </is>
      </c>
      <c r="E27" s="71">
        <f>IF(E$59="X","",IF(E$59&lt;&gt;"",E$59,IF(IFERROR(INDEX(醫師週班表!$C$5:$T$44,$CU27,E$57),"")=0,"",IF(MID(IFERROR(INDEX(醫師週班表!$C$5:$T$44,$CU27,E$57),""),2,1)="/",MID(IFERROR(INDEX(醫師週班表!$C$5:$T$44,$CU27,E$57),""),1+E$58*2,1),IF(MID(IFERROR(INDEX(醫師週班表!$C$5:$T$44,$CU27,E$57),""),3,1)="隔",IF(E$58=0,LEFT(IFERROR(INDEX(醫師週班表!$C$5:$T$44,$CU27,E$57),""),1),""),IF(MID(IFERROR(INDEX(醫師週班表!$C$5:$T$44,$CU27,E$57),""),2,1)="(",LEFT(IFERROR(INDEX(醫師週班表!$C$5:$T$44,$CU27,E$57),""),1),IFERROR(INDEX(醫師週班表!$C$5:$T$44,$CU27,E$57),"")))))))</f>
        <v/>
      </c>
      <c r="F27" s="72">
        <f>IF(F$59="X","",IF(F$59&lt;&gt;"",F$59,IF(IFERROR(INDEX(醫師週班表!$C$5:$T$44,$CU27,F$57),"")=0,"",IF(MID(IFERROR(INDEX(醫師週班表!$C$5:$T$44,$CU27,F$57),""),2,1)="/",MID(IFERROR(INDEX(醫師週班表!$C$5:$T$44,$CU27,F$57),""),1+F$58*2,1),IF(MID(IFERROR(INDEX(醫師週班表!$C$5:$T$44,$CU27,F$57),""),3,1)="隔",IF(F$58=0,LEFT(IFERROR(INDEX(醫師週班表!$C$5:$T$44,$CU27,F$57),""),1),""),IF(MID(IFERROR(INDEX(醫師週班表!$C$5:$T$44,$CU27,F$57),""),2,1)="(",LEFT(IFERROR(INDEX(醫師週班表!$C$5:$T$44,$CU27,F$57),""),1),IFERROR(INDEX(醫師週班表!$C$5:$T$44,$CU27,F$57),"")))))))</f>
        <v/>
      </c>
      <c r="G27" s="72">
        <f>IF(G$59="X","",IF(G$59&lt;&gt;"",G$59,IF(IFERROR(INDEX(醫師週班表!$C$5:$T$44,$CU27,G$57),"")=0,"",IF(MID(IFERROR(INDEX(醫師週班表!$C$5:$T$44,$CU27,G$57),""),2,1)="/",MID(IFERROR(INDEX(醫師週班表!$C$5:$T$44,$CU27,G$57),""),1+G$58*2,1),IF(MID(IFERROR(INDEX(醫師週班表!$C$5:$T$44,$CU27,G$57),""),3,1)="隔",IF(G$58=0,LEFT(IFERROR(INDEX(醫師週班表!$C$5:$T$44,$CU27,G$57),""),1),""),IF(MID(IFERROR(INDEX(醫師週班表!$C$5:$T$44,$CU27,G$57),""),2,1)="(",LEFT(IFERROR(INDEX(醫師週班表!$C$5:$T$44,$CU27,G$57),""),1),IFERROR(INDEX(醫師週班表!$C$5:$T$44,$CU27,G$57),"")))))))</f>
        <v/>
      </c>
      <c r="H27" s="71">
        <f>IF(H$59="X","",IF(H$59&lt;&gt;"",H$59,IF(IFERROR(INDEX(醫師週班表!$C$5:$T$44,$CU27,H$57),"")=0,"",IF(MID(IFERROR(INDEX(醫師週班表!$C$5:$T$44,$CU27,H$57),""),2,1)="/",MID(IFERROR(INDEX(醫師週班表!$C$5:$T$44,$CU27,H$57),""),1+H$58*2,1),IF(MID(IFERROR(INDEX(醫師週班表!$C$5:$T$44,$CU27,H$57),""),3,1)="隔",IF(H$58=0,LEFT(IFERROR(INDEX(醫師週班表!$C$5:$T$44,$CU27,H$57),""),1),""),IF(MID(IFERROR(INDEX(醫師週班表!$C$5:$T$44,$CU27,H$57),""),2,1)="(",LEFT(IFERROR(INDEX(醫師週班表!$C$5:$T$44,$CU27,H$57),""),1),IFERROR(INDEX(醫師週班表!$C$5:$T$44,$CU27,H$57),"")))))))</f>
        <v/>
      </c>
      <c r="I27" s="72">
        <f>IF(I$59="X","",IF(I$59&lt;&gt;"",I$59,IF(IFERROR(INDEX(醫師週班表!$C$5:$T$44,$CU27,I$57),"")=0,"",IF(MID(IFERROR(INDEX(醫師週班表!$C$5:$T$44,$CU27,I$57),""),2,1)="/",MID(IFERROR(INDEX(醫師週班表!$C$5:$T$44,$CU27,I$57),""),1+I$58*2,1),IF(MID(IFERROR(INDEX(醫師週班表!$C$5:$T$44,$CU27,I$57),""),3,1)="隔",IF(I$58=0,LEFT(IFERROR(INDEX(醫師週班表!$C$5:$T$44,$CU27,I$57),""),1),""),IF(MID(IFERROR(INDEX(醫師週班表!$C$5:$T$44,$CU27,I$57),""),2,1)="(",LEFT(IFERROR(INDEX(醫師週班表!$C$5:$T$44,$CU27,I$57),""),1),IFERROR(INDEX(醫師週班表!$C$5:$T$44,$CU27,I$57),"")))))))</f>
        <v/>
      </c>
      <c r="J27" s="72">
        <f>IF(J$59="X","",IF(J$59&lt;&gt;"",J$59,IF(IFERROR(INDEX(醫師週班表!$C$5:$T$44,$CU27,J$57),"")=0,"",IF(MID(IFERROR(INDEX(醫師週班表!$C$5:$T$44,$CU27,J$57),""),2,1)="/",MID(IFERROR(INDEX(醫師週班表!$C$5:$T$44,$CU27,J$57),""),1+J$58*2,1),IF(MID(IFERROR(INDEX(醫師週班表!$C$5:$T$44,$CU27,J$57),""),3,1)="隔",IF(J$58=0,LEFT(IFERROR(INDEX(醫師週班表!$C$5:$T$44,$CU27,J$57),""),1),""),IF(MID(IFERROR(INDEX(醫師週班表!$C$5:$T$44,$CU27,J$57),""),2,1)="(",LEFT(IFERROR(INDEX(醫師週班表!$C$5:$T$44,$CU27,J$57),""),1),IFERROR(INDEX(醫師週班表!$C$5:$T$44,$CU27,J$57),"")))))))</f>
        <v/>
      </c>
      <c r="K27" s="71">
        <f>IF(K$59="X","",IF(K$59&lt;&gt;"",K$59,IF(IFERROR(INDEX(醫師週班表!$C$5:$T$44,$CU27,K$57),"")=0,"",IF(MID(IFERROR(INDEX(醫師週班表!$C$5:$T$44,$CU27,K$57),""),2,1)="/",MID(IFERROR(INDEX(醫師週班表!$C$5:$T$44,$CU27,K$57),""),1+K$58*2,1),IF(MID(IFERROR(INDEX(醫師週班表!$C$5:$T$44,$CU27,K$57),""),3,1)="隔",IF(K$58=0,LEFT(IFERROR(INDEX(醫師週班表!$C$5:$T$44,$CU27,K$57),""),1),""),IF(MID(IFERROR(INDEX(醫師週班表!$C$5:$T$44,$CU27,K$57),""),2,1)="(",LEFT(IFERROR(INDEX(醫師週班表!$C$5:$T$44,$CU27,K$57),""),1),IFERROR(INDEX(醫師週班表!$C$5:$T$44,$CU27,K$57),"")))))))</f>
        <v/>
      </c>
      <c r="L27" s="72">
        <f>IF(L$59="X","",IF(L$59&lt;&gt;"",L$59,IF(IFERROR(INDEX(醫師週班表!$C$5:$T$44,$CU27,L$57),"")=0,"",IF(MID(IFERROR(INDEX(醫師週班表!$C$5:$T$44,$CU27,L$57),""),2,1)="/",MID(IFERROR(INDEX(醫師週班表!$C$5:$T$44,$CU27,L$57),""),1+L$58*2,1),IF(MID(IFERROR(INDEX(醫師週班表!$C$5:$T$44,$CU27,L$57),""),3,1)="隔",IF(L$58=0,LEFT(IFERROR(INDEX(醫師週班表!$C$5:$T$44,$CU27,L$57),""),1),""),IF(MID(IFERROR(INDEX(醫師週班表!$C$5:$T$44,$CU27,L$57),""),2,1)="(",LEFT(IFERROR(INDEX(醫師週班表!$C$5:$T$44,$CU27,L$57),""),1),IFERROR(INDEX(醫師週班表!$C$5:$T$44,$CU27,L$57),"")))))))</f>
        <v/>
      </c>
      <c r="M27" s="72">
        <f>IF(M$59="X","",IF(M$59&lt;&gt;"",M$59,IF(IFERROR(INDEX(醫師週班表!$C$5:$T$44,$CU27,M$57),"")=0,"",IF(MID(IFERROR(INDEX(醫師週班表!$C$5:$T$44,$CU27,M$57),""),2,1)="/",MID(IFERROR(INDEX(醫師週班表!$C$5:$T$44,$CU27,M$57),""),1+M$58*2,1),IF(MID(IFERROR(INDEX(醫師週班表!$C$5:$T$44,$CU27,M$57),""),3,1)="隔",IF(M$58=0,LEFT(IFERROR(INDEX(醫師週班表!$C$5:$T$44,$CU27,M$57),""),1),""),IF(MID(IFERROR(INDEX(醫師週班表!$C$5:$T$44,$CU27,M$57),""),2,1)="(",LEFT(IFERROR(INDEX(醫師週班表!$C$5:$T$44,$CU27,M$57),""),1),IFERROR(INDEX(醫師週班表!$C$5:$T$44,$CU27,M$57),"")))))))</f>
        <v/>
      </c>
      <c r="N27" s="71">
        <f>IF(N$59="X","",IF(N$59&lt;&gt;"",N$59,IF(IFERROR(INDEX(醫師週班表!$C$5:$T$44,$CU27,N$57),"")=0,"",IF(MID(IFERROR(INDEX(醫師週班表!$C$5:$T$44,$CU27,N$57),""),2,1)="/",MID(IFERROR(INDEX(醫師週班表!$C$5:$T$44,$CU27,N$57),""),1+N$58*2,1),IF(MID(IFERROR(INDEX(醫師週班表!$C$5:$T$44,$CU27,N$57),""),3,1)="隔",IF(N$58=0,LEFT(IFERROR(INDEX(醫師週班表!$C$5:$T$44,$CU27,N$57),""),1),""),IF(MID(IFERROR(INDEX(醫師週班表!$C$5:$T$44,$CU27,N$57),""),2,1)="(",LEFT(IFERROR(INDEX(醫師週班表!$C$5:$T$44,$CU27,N$57),""),1),IFERROR(INDEX(醫師週班表!$C$5:$T$44,$CU27,N$57),"")))))))</f>
        <v/>
      </c>
      <c r="O27" s="72">
        <f>IF(O$59="X","",IF(O$59&lt;&gt;"",O$59,IF(IFERROR(INDEX(醫師週班表!$C$5:$T$44,$CU27,O$57),"")=0,"",IF(MID(IFERROR(INDEX(醫師週班表!$C$5:$T$44,$CU27,O$57),""),2,1)="/",MID(IFERROR(INDEX(醫師週班表!$C$5:$T$44,$CU27,O$57),""),1+O$58*2,1),IF(MID(IFERROR(INDEX(醫師週班表!$C$5:$T$44,$CU27,O$57),""),3,1)="隔",IF(O$58=0,LEFT(IFERROR(INDEX(醫師週班表!$C$5:$T$44,$CU27,O$57),""),1),""),IF(MID(IFERROR(INDEX(醫師週班表!$C$5:$T$44,$CU27,O$57),""),2,1)="(",LEFT(IFERROR(INDEX(醫師週班表!$C$5:$T$44,$CU27,O$57),""),1),IFERROR(INDEX(醫師週班表!$C$5:$T$44,$CU27,O$57),"")))))))</f>
        <v/>
      </c>
      <c r="P27" s="72">
        <f>IF(P$59="X","",IF(P$59&lt;&gt;"",P$59,IF(IFERROR(INDEX(醫師週班表!$C$5:$T$44,$CU27,P$57),"")=0,"",IF(MID(IFERROR(INDEX(醫師週班表!$C$5:$T$44,$CU27,P$57),""),2,1)="/",MID(IFERROR(INDEX(醫師週班表!$C$5:$T$44,$CU27,P$57),""),1+P$58*2,1),IF(MID(IFERROR(INDEX(醫師週班表!$C$5:$T$44,$CU27,P$57),""),3,1)="隔",IF(P$58=0,LEFT(IFERROR(INDEX(醫師週班表!$C$5:$T$44,$CU27,P$57),""),1),""),IF(MID(IFERROR(INDEX(醫師週班表!$C$5:$T$44,$CU27,P$57),""),2,1)="(",LEFT(IFERROR(INDEX(醫師週班表!$C$5:$T$44,$CU27,P$57),""),1),IFERROR(INDEX(醫師週班表!$C$5:$T$44,$CU27,P$57),"")))))))</f>
        <v/>
      </c>
      <c r="Q27" s="71">
        <f>IF(Q$59="X","",IF(Q$59&lt;&gt;"",Q$59,IF(IFERROR(INDEX(醫師週班表!$C$5:$T$44,$CU27,Q$57),"")=0,"",IF(MID(IFERROR(INDEX(醫師週班表!$C$5:$T$44,$CU27,Q$57),""),2,1)="/",MID(IFERROR(INDEX(醫師週班表!$C$5:$T$44,$CU27,Q$57),""),1+Q$58*2,1),IF(MID(IFERROR(INDEX(醫師週班表!$C$5:$T$44,$CU27,Q$57),""),3,1)="隔",IF(Q$58=0,LEFT(IFERROR(INDEX(醫師週班表!$C$5:$T$44,$CU27,Q$57),""),1),""),IF(MID(IFERROR(INDEX(醫師週班表!$C$5:$T$44,$CU27,Q$57),""),2,1)="(",LEFT(IFERROR(INDEX(醫師週班表!$C$5:$T$44,$CU27,Q$57),""),1),IFERROR(INDEX(醫師週班表!$C$5:$T$44,$CU27,Q$57),"")))))))</f>
        <v/>
      </c>
      <c r="R27" s="72">
        <f>IF(R$59="X","",IF(R$59&lt;&gt;"",R$59,IF(IFERROR(INDEX(醫師週班表!$C$5:$T$44,$CU27,R$57),"")=0,"",IF(MID(IFERROR(INDEX(醫師週班表!$C$5:$T$44,$CU27,R$57),""),2,1)="/",MID(IFERROR(INDEX(醫師週班表!$C$5:$T$44,$CU27,R$57),""),1+R$58*2,1),IF(MID(IFERROR(INDEX(醫師週班表!$C$5:$T$44,$CU27,R$57),""),3,1)="隔",IF(R$58=0,LEFT(IFERROR(INDEX(醫師週班表!$C$5:$T$44,$CU27,R$57),""),1),""),IF(MID(IFERROR(INDEX(醫師週班表!$C$5:$T$44,$CU27,R$57),""),2,1)="(",LEFT(IFERROR(INDEX(醫師週班表!$C$5:$T$44,$CU27,R$57),""),1),IFERROR(INDEX(醫師週班表!$C$5:$T$44,$CU27,R$57),"")))))))</f>
        <v/>
      </c>
      <c r="S27" s="72">
        <f>IF(S$59="X","",IF(S$59&lt;&gt;"",S$59,IF(IFERROR(INDEX(醫師週班表!$C$5:$T$44,$CU27,S$57),"")=0,"",IF(MID(IFERROR(INDEX(醫師週班表!$C$5:$T$44,$CU27,S$57),""),2,1)="/",MID(IFERROR(INDEX(醫師週班表!$C$5:$T$44,$CU27,S$57),""),1+S$58*2,1),IF(MID(IFERROR(INDEX(醫師週班表!$C$5:$T$44,$CU27,S$57),""),3,1)="隔",IF(S$58=0,LEFT(IFERROR(INDEX(醫師週班表!$C$5:$T$44,$CU27,S$57),""),1),""),IF(MID(IFERROR(INDEX(醫師週班表!$C$5:$T$44,$CU27,S$57),""),2,1)="(",LEFT(IFERROR(INDEX(醫師週班表!$C$5:$T$44,$CU27,S$57),""),1),IFERROR(INDEX(醫師週班表!$C$5:$T$44,$CU27,S$57),"")))))))</f>
        <v/>
      </c>
      <c r="T27" s="71">
        <f>IF(T$59="X","",IF(T$59&lt;&gt;"",T$59,IF(IFERROR(INDEX(醫師週班表!$C$5:$T$44,$CU27,T$57),"")=0,"",IF(MID(IFERROR(INDEX(醫師週班表!$C$5:$T$44,$CU27,T$57),""),2,1)="/",MID(IFERROR(INDEX(醫師週班表!$C$5:$T$44,$CU27,T$57),""),1+T$58*2,1),IF(MID(IFERROR(INDEX(醫師週班表!$C$5:$T$44,$CU27,T$57),""),3,1)="隔",IF(T$58=0,LEFT(IFERROR(INDEX(醫師週班表!$C$5:$T$44,$CU27,T$57),""),1),""),IF(MID(IFERROR(INDEX(醫師週班表!$C$5:$T$44,$CU27,T$57),""),2,1)="(",LEFT(IFERROR(INDEX(醫師週班表!$C$5:$T$44,$CU27,T$57),""),1),IFERROR(INDEX(醫師週班表!$C$5:$T$44,$CU27,T$57),"")))))))</f>
        <v/>
      </c>
      <c r="U27" s="72">
        <f>IF(U$59="X","",IF(U$59&lt;&gt;"",U$59,IF(IFERROR(INDEX(醫師週班表!$C$5:$T$44,$CU27,U$57),"")=0,"",IF(MID(IFERROR(INDEX(醫師週班表!$C$5:$T$44,$CU27,U$57),""),2,1)="/",MID(IFERROR(INDEX(醫師週班表!$C$5:$T$44,$CU27,U$57),""),1+U$58*2,1),IF(MID(IFERROR(INDEX(醫師週班表!$C$5:$T$44,$CU27,U$57),""),3,1)="隔",IF(U$58=0,LEFT(IFERROR(INDEX(醫師週班表!$C$5:$T$44,$CU27,U$57),""),1),""),IF(MID(IFERROR(INDEX(醫師週班表!$C$5:$T$44,$CU27,U$57),""),2,1)="(",LEFT(IFERROR(INDEX(醫師週班表!$C$5:$T$44,$CU27,U$57),""),1),IFERROR(INDEX(醫師週班表!$C$5:$T$44,$CU27,U$57),"")))))))</f>
        <v/>
      </c>
      <c r="V27" s="72">
        <f>IF(V$59="X","",IF(V$59&lt;&gt;"",V$59,IF(IFERROR(INDEX(醫師週班表!$C$5:$T$44,$CU27,V$57),"")=0,"",IF(MID(IFERROR(INDEX(醫師週班表!$C$5:$T$44,$CU27,V$57),""),2,1)="/",MID(IFERROR(INDEX(醫師週班表!$C$5:$T$44,$CU27,V$57),""),1+V$58*2,1),IF(MID(IFERROR(INDEX(醫師週班表!$C$5:$T$44,$CU27,V$57),""),3,1)="隔",IF(V$58=0,LEFT(IFERROR(INDEX(醫師週班表!$C$5:$T$44,$CU27,V$57),""),1),""),IF(MID(IFERROR(INDEX(醫師週班表!$C$5:$T$44,$CU27,V$57),""),2,1)="(",LEFT(IFERROR(INDEX(醫師週班表!$C$5:$T$44,$CU27,V$57),""),1),IFERROR(INDEX(醫師週班表!$C$5:$T$44,$CU27,V$57),"")))))))</f>
        <v/>
      </c>
      <c r="W27" s="71">
        <f>IF(W$59="X","",IF(W$59&lt;&gt;"",W$59,IF(IFERROR(INDEX(醫師週班表!$C$5:$T$44,$CU27,W$57),"")=0,"",IF(MID(IFERROR(INDEX(醫師週班表!$C$5:$T$44,$CU27,W$57),""),2,1)="/",MID(IFERROR(INDEX(醫師週班表!$C$5:$T$44,$CU27,W$57),""),1+W$58*2,1),IF(MID(IFERROR(INDEX(醫師週班表!$C$5:$T$44,$CU27,W$57),""),3,1)="隔",IF(W$58=0,LEFT(IFERROR(INDEX(醫師週班表!$C$5:$T$44,$CU27,W$57),""),1),""),IF(MID(IFERROR(INDEX(醫師週班表!$C$5:$T$44,$CU27,W$57),""),2,1)="(",LEFT(IFERROR(INDEX(醫師週班表!$C$5:$T$44,$CU27,W$57),""),1),IFERROR(INDEX(醫師週班表!$C$5:$T$44,$CU27,W$57),"")))))))</f>
        <v/>
      </c>
      <c r="X27" s="72">
        <f>IF(X$59="X","",IF(X$59&lt;&gt;"",X$59,IF(IFERROR(INDEX(醫師週班表!$C$5:$T$44,$CU27,X$57),"")=0,"",IF(MID(IFERROR(INDEX(醫師週班表!$C$5:$T$44,$CU27,X$57),""),2,1)="/",MID(IFERROR(INDEX(醫師週班表!$C$5:$T$44,$CU27,X$57),""),1+X$58*2,1),IF(MID(IFERROR(INDEX(醫師週班表!$C$5:$T$44,$CU27,X$57),""),3,1)="隔",IF(X$58=0,LEFT(IFERROR(INDEX(醫師週班表!$C$5:$T$44,$CU27,X$57),""),1),""),IF(MID(IFERROR(INDEX(醫師週班表!$C$5:$T$44,$CU27,X$57),""),2,1)="(",LEFT(IFERROR(INDEX(醫師週班表!$C$5:$T$44,$CU27,X$57),""),1),IFERROR(INDEX(醫師週班表!$C$5:$T$44,$CU27,X$57),"")))))))</f>
        <v/>
      </c>
      <c r="Y27" s="72">
        <f>IF(Y$59="X","",IF(Y$59&lt;&gt;"",Y$59,IF(IFERROR(INDEX(醫師週班表!$C$5:$T$44,$CU27,Y$57),"")=0,"",IF(MID(IFERROR(INDEX(醫師週班表!$C$5:$T$44,$CU27,Y$57),""),2,1)="/",MID(IFERROR(INDEX(醫師週班表!$C$5:$T$44,$CU27,Y$57),""),1+Y$58*2,1),IF(MID(IFERROR(INDEX(醫師週班表!$C$5:$T$44,$CU27,Y$57),""),3,1)="隔",IF(Y$58=0,LEFT(IFERROR(INDEX(醫師週班表!$C$5:$T$44,$CU27,Y$57),""),1),""),IF(MID(IFERROR(INDEX(醫師週班表!$C$5:$T$44,$CU27,Y$57),""),2,1)="(",LEFT(IFERROR(INDEX(醫師週班表!$C$5:$T$44,$CU27,Y$57),""),1),IFERROR(INDEX(醫師週班表!$C$5:$T$44,$CU27,Y$57),"")))))))</f>
        <v/>
      </c>
      <c r="Z27" s="71">
        <f>IF(Z$59="X","",IF(Z$59&lt;&gt;"",Z$59,IF(IFERROR(INDEX(醫師週班表!$C$5:$T$44,$CU27,Z$57),"")=0,"",IF(MID(IFERROR(INDEX(醫師週班表!$C$5:$T$44,$CU27,Z$57),""),2,1)="/",MID(IFERROR(INDEX(醫師週班表!$C$5:$T$44,$CU27,Z$57),""),1+Z$58*2,1),IF(MID(IFERROR(INDEX(醫師週班表!$C$5:$T$44,$CU27,Z$57),""),3,1)="隔",IF(Z$58=0,LEFT(IFERROR(INDEX(醫師週班表!$C$5:$T$44,$CU27,Z$57),""),1),""),IF(MID(IFERROR(INDEX(醫師週班表!$C$5:$T$44,$CU27,Z$57),""),2,1)="(",LEFT(IFERROR(INDEX(醫師週班表!$C$5:$T$44,$CU27,Z$57),""),1),IFERROR(INDEX(醫師週班表!$C$5:$T$44,$CU27,Z$57),"")))))))</f>
        <v/>
      </c>
      <c r="AA27" s="72">
        <f>IF(AA$59="X","",IF(AA$59&lt;&gt;"",AA$59,IF(IFERROR(INDEX(醫師週班表!$C$5:$T$44,$CU27,AA$57),"")=0,"",IF(MID(IFERROR(INDEX(醫師週班表!$C$5:$T$44,$CU27,AA$57),""),2,1)="/",MID(IFERROR(INDEX(醫師週班表!$C$5:$T$44,$CU27,AA$57),""),1+AA$58*2,1),IF(MID(IFERROR(INDEX(醫師週班表!$C$5:$T$44,$CU27,AA$57),""),3,1)="隔",IF(AA$58=0,LEFT(IFERROR(INDEX(醫師週班表!$C$5:$T$44,$CU27,AA$57),""),1),""),IF(MID(IFERROR(INDEX(醫師週班表!$C$5:$T$44,$CU27,AA$57),""),2,1)="(",LEFT(IFERROR(INDEX(醫師週班表!$C$5:$T$44,$CU27,AA$57),""),1),IFERROR(INDEX(醫師週班表!$C$5:$T$44,$CU27,AA$57),"")))))))</f>
        <v/>
      </c>
      <c r="AB27" s="72">
        <f>IF(AB$59="X","",IF(AB$59&lt;&gt;"",AB$59,IF(IFERROR(INDEX(醫師週班表!$C$5:$T$44,$CU27,AB$57),"")=0,"",IF(MID(IFERROR(INDEX(醫師週班表!$C$5:$T$44,$CU27,AB$57),""),2,1)="/",MID(IFERROR(INDEX(醫師週班表!$C$5:$T$44,$CU27,AB$57),""),1+AB$58*2,1),IF(MID(IFERROR(INDEX(醫師週班表!$C$5:$T$44,$CU27,AB$57),""),3,1)="隔",IF(AB$58=0,LEFT(IFERROR(INDEX(醫師週班表!$C$5:$T$44,$CU27,AB$57),""),1),""),IF(MID(IFERROR(INDEX(醫師週班表!$C$5:$T$44,$CU27,AB$57),""),2,1)="(",LEFT(IFERROR(INDEX(醫師週班表!$C$5:$T$44,$CU27,AB$57),""),1),IFERROR(INDEX(醫師週班表!$C$5:$T$44,$CU27,AB$57),"")))))))</f>
        <v/>
      </c>
      <c r="AC27" s="71">
        <f>IF(AC$59="X","",IF(AC$59&lt;&gt;"",AC$59,IF(IFERROR(INDEX(醫師週班表!$C$5:$T$44,$CU27,AC$57),"")=0,"",IF(MID(IFERROR(INDEX(醫師週班表!$C$5:$T$44,$CU27,AC$57),""),2,1)="/",MID(IFERROR(INDEX(醫師週班表!$C$5:$T$44,$CU27,AC$57),""),1+AC$58*2,1),IF(MID(IFERROR(INDEX(醫師週班表!$C$5:$T$44,$CU27,AC$57),""),3,1)="隔",IF(AC$58=0,LEFT(IFERROR(INDEX(醫師週班表!$C$5:$T$44,$CU27,AC$57),""),1),""),IF(MID(IFERROR(INDEX(醫師週班表!$C$5:$T$44,$CU27,AC$57),""),2,1)="(",LEFT(IFERROR(INDEX(醫師週班表!$C$5:$T$44,$CU27,AC$57),""),1),IFERROR(INDEX(醫師週班表!$C$5:$T$44,$CU27,AC$57),"")))))))</f>
        <v/>
      </c>
      <c r="AD27" s="72">
        <f>IF(AD$59="X","",IF(AD$59&lt;&gt;"",AD$59,IF(IFERROR(INDEX(醫師週班表!$C$5:$T$44,$CU27,AD$57),"")=0,"",IF(MID(IFERROR(INDEX(醫師週班表!$C$5:$T$44,$CU27,AD$57),""),2,1)="/",MID(IFERROR(INDEX(醫師週班表!$C$5:$T$44,$CU27,AD$57),""),1+AD$58*2,1),IF(MID(IFERROR(INDEX(醫師週班表!$C$5:$T$44,$CU27,AD$57),""),3,1)="隔",IF(AD$58=0,LEFT(IFERROR(INDEX(醫師週班表!$C$5:$T$44,$CU27,AD$57),""),1),""),IF(MID(IFERROR(INDEX(醫師週班表!$C$5:$T$44,$CU27,AD$57),""),2,1)="(",LEFT(IFERROR(INDEX(醫師週班表!$C$5:$T$44,$CU27,AD$57),""),1),IFERROR(INDEX(醫師週班表!$C$5:$T$44,$CU27,AD$57),"")))))))</f>
        <v/>
      </c>
      <c r="AE27" s="72">
        <f>IF(AE$59="X","",IF(AE$59&lt;&gt;"",AE$59,IF(IFERROR(INDEX(醫師週班表!$C$5:$T$44,$CU27,AE$57),"")=0,"",IF(MID(IFERROR(INDEX(醫師週班表!$C$5:$T$44,$CU27,AE$57),""),2,1)="/",MID(IFERROR(INDEX(醫師週班表!$C$5:$T$44,$CU27,AE$57),""),1+AE$58*2,1),IF(MID(IFERROR(INDEX(醫師週班表!$C$5:$T$44,$CU27,AE$57),""),3,1)="隔",IF(AE$58=0,LEFT(IFERROR(INDEX(醫師週班表!$C$5:$T$44,$CU27,AE$57),""),1),""),IF(MID(IFERROR(INDEX(醫師週班表!$C$5:$T$44,$CU27,AE$57),""),2,1)="(",LEFT(IFERROR(INDEX(醫師週班表!$C$5:$T$44,$CU27,AE$57),""),1),IFERROR(INDEX(醫師週班表!$C$5:$T$44,$CU27,AE$57),"")))))))</f>
        <v/>
      </c>
      <c r="AF27" s="71">
        <f>IF(AF$59="X","",IF(AF$59&lt;&gt;"",AF$59,IF(IFERROR(INDEX(醫師週班表!$C$5:$T$44,$CU27,AF$57),"")=0,"",IF(MID(IFERROR(INDEX(醫師週班表!$C$5:$T$44,$CU27,AF$57),""),2,1)="/",MID(IFERROR(INDEX(醫師週班表!$C$5:$T$44,$CU27,AF$57),""),1+AF$58*2,1),IF(MID(IFERROR(INDEX(醫師週班表!$C$5:$T$44,$CU27,AF$57),""),3,1)="隔",IF(AF$58=0,LEFT(IFERROR(INDEX(醫師週班表!$C$5:$T$44,$CU27,AF$57),""),1),""),IF(MID(IFERROR(INDEX(醫師週班表!$C$5:$T$44,$CU27,AF$57),""),2,1)="(",LEFT(IFERROR(INDEX(醫師週班表!$C$5:$T$44,$CU27,AF$57),""),1),IFERROR(INDEX(醫師週班表!$C$5:$T$44,$CU27,AF$57),"")))))))</f>
        <v/>
      </c>
      <c r="AG27" s="72">
        <f>IF(AG$59="X","",IF(AG$59&lt;&gt;"",AG$59,IF(IFERROR(INDEX(醫師週班表!$C$5:$T$44,$CU27,AG$57),"")=0,"",IF(MID(IFERROR(INDEX(醫師週班表!$C$5:$T$44,$CU27,AG$57),""),2,1)="/",MID(IFERROR(INDEX(醫師週班表!$C$5:$T$44,$CU27,AG$57),""),1+AG$58*2,1),IF(MID(IFERROR(INDEX(醫師週班表!$C$5:$T$44,$CU27,AG$57),""),3,1)="隔",IF(AG$58=0,LEFT(IFERROR(INDEX(醫師週班表!$C$5:$T$44,$CU27,AG$57),""),1),""),IF(MID(IFERROR(INDEX(醫師週班表!$C$5:$T$44,$CU27,AG$57),""),2,1)="(",LEFT(IFERROR(INDEX(醫師週班表!$C$5:$T$44,$CU27,AG$57),""),1),IFERROR(INDEX(醫師週班表!$C$5:$T$44,$CU27,AG$57),"")))))))</f>
        <v/>
      </c>
      <c r="AH27" s="72">
        <f>IF(AH$59="X","",IF(AH$59&lt;&gt;"",AH$59,IF(IFERROR(INDEX(醫師週班表!$C$5:$T$44,$CU27,AH$57),"")=0,"",IF(MID(IFERROR(INDEX(醫師週班表!$C$5:$T$44,$CU27,AH$57),""),2,1)="/",MID(IFERROR(INDEX(醫師週班表!$C$5:$T$44,$CU27,AH$57),""),1+AH$58*2,1),IF(MID(IFERROR(INDEX(醫師週班表!$C$5:$T$44,$CU27,AH$57),""),3,1)="隔",IF(AH$58=0,LEFT(IFERROR(INDEX(醫師週班表!$C$5:$T$44,$CU27,AH$57),""),1),""),IF(MID(IFERROR(INDEX(醫師週班表!$C$5:$T$44,$CU27,AH$57),""),2,1)="(",LEFT(IFERROR(INDEX(醫師週班表!$C$5:$T$44,$CU27,AH$57),""),1),IFERROR(INDEX(醫師週班表!$C$5:$T$44,$CU27,AH$57),"")))))))</f>
        <v/>
      </c>
      <c r="AI27" s="71">
        <f>IF(AI$59="X","",IF(AI$59&lt;&gt;"",AI$59,IF(IFERROR(INDEX(醫師週班表!$C$5:$T$44,$CU27,AI$57),"")=0,"",IF(MID(IFERROR(INDEX(醫師週班表!$C$5:$T$44,$CU27,AI$57),""),2,1)="/",MID(IFERROR(INDEX(醫師週班表!$C$5:$T$44,$CU27,AI$57),""),1+AI$58*2,1),IF(MID(IFERROR(INDEX(醫師週班表!$C$5:$T$44,$CU27,AI$57),""),3,1)="隔",IF(AI$58=0,LEFT(IFERROR(INDEX(醫師週班表!$C$5:$T$44,$CU27,AI$57),""),1),""),IF(MID(IFERROR(INDEX(醫師週班表!$C$5:$T$44,$CU27,AI$57),""),2,1)="(",LEFT(IFERROR(INDEX(醫師週班表!$C$5:$T$44,$CU27,AI$57),""),1),IFERROR(INDEX(醫師週班表!$C$5:$T$44,$CU27,AI$57),"")))))))</f>
        <v/>
      </c>
      <c r="AJ27" s="72">
        <f>IF(AJ$59="X","",IF(AJ$59&lt;&gt;"",AJ$59,IF(IFERROR(INDEX(醫師週班表!$C$5:$T$44,$CU27,AJ$57),"")=0,"",IF(MID(IFERROR(INDEX(醫師週班表!$C$5:$T$44,$CU27,AJ$57),""),2,1)="/",MID(IFERROR(INDEX(醫師週班表!$C$5:$T$44,$CU27,AJ$57),""),1+AJ$58*2,1),IF(MID(IFERROR(INDEX(醫師週班表!$C$5:$T$44,$CU27,AJ$57),""),3,1)="隔",IF(AJ$58=0,LEFT(IFERROR(INDEX(醫師週班表!$C$5:$T$44,$CU27,AJ$57),""),1),""),IF(MID(IFERROR(INDEX(醫師週班表!$C$5:$T$44,$CU27,AJ$57),""),2,1)="(",LEFT(IFERROR(INDEX(醫師週班表!$C$5:$T$44,$CU27,AJ$57),""),1),IFERROR(INDEX(醫師週班表!$C$5:$T$44,$CU27,AJ$57),"")))))))</f>
        <v/>
      </c>
      <c r="AK27" s="72">
        <f>IF(AK$59="X","",IF(AK$59&lt;&gt;"",AK$59,IF(IFERROR(INDEX(醫師週班表!$C$5:$T$44,$CU27,AK$57),"")=0,"",IF(MID(IFERROR(INDEX(醫師週班表!$C$5:$T$44,$CU27,AK$57),""),2,1)="/",MID(IFERROR(INDEX(醫師週班表!$C$5:$T$44,$CU27,AK$57),""),1+AK$58*2,1),IF(MID(IFERROR(INDEX(醫師週班表!$C$5:$T$44,$CU27,AK$57),""),3,1)="隔",IF(AK$58=0,LEFT(IFERROR(INDEX(醫師週班表!$C$5:$T$44,$CU27,AK$57),""),1),""),IF(MID(IFERROR(INDEX(醫師週班表!$C$5:$T$44,$CU27,AK$57),""),2,1)="(",LEFT(IFERROR(INDEX(醫師週班表!$C$5:$T$44,$CU27,AK$57),""),1),IFERROR(INDEX(醫師週班表!$C$5:$T$44,$CU27,AK$57),"")))))))</f>
        <v/>
      </c>
      <c r="AL27" s="71">
        <f>IF(AL$59="X","",IF(AL$59&lt;&gt;"",AL$59,IF(IFERROR(INDEX(醫師週班表!$C$5:$T$44,$CU27,AL$57),"")=0,"",IF(MID(IFERROR(INDEX(醫師週班表!$C$5:$T$44,$CU27,AL$57),""),2,1)="/",MID(IFERROR(INDEX(醫師週班表!$C$5:$T$44,$CU27,AL$57),""),1+AL$58*2,1),IF(MID(IFERROR(INDEX(醫師週班表!$C$5:$T$44,$CU27,AL$57),""),3,1)="隔",IF(AL$58=0,LEFT(IFERROR(INDEX(醫師週班表!$C$5:$T$44,$CU27,AL$57),""),1),""),IF(MID(IFERROR(INDEX(醫師週班表!$C$5:$T$44,$CU27,AL$57),""),2,1)="(",LEFT(IFERROR(INDEX(醫師週班表!$C$5:$T$44,$CU27,AL$57),""),1),IFERROR(INDEX(醫師週班表!$C$5:$T$44,$CU27,AL$57),"")))))))</f>
        <v/>
      </c>
      <c r="AM27" s="72">
        <f>IF(AM$59="X","",IF(AM$59&lt;&gt;"",AM$59,IF(IFERROR(INDEX(醫師週班表!$C$5:$T$44,$CU27,AM$57),"")=0,"",IF(MID(IFERROR(INDEX(醫師週班表!$C$5:$T$44,$CU27,AM$57),""),2,1)="/",MID(IFERROR(INDEX(醫師週班表!$C$5:$T$44,$CU27,AM$57),""),1+AM$58*2,1),IF(MID(IFERROR(INDEX(醫師週班表!$C$5:$T$44,$CU27,AM$57),""),3,1)="隔",IF(AM$58=0,LEFT(IFERROR(INDEX(醫師週班表!$C$5:$T$44,$CU27,AM$57),""),1),""),IF(MID(IFERROR(INDEX(醫師週班表!$C$5:$T$44,$CU27,AM$57),""),2,1)="(",LEFT(IFERROR(INDEX(醫師週班表!$C$5:$T$44,$CU27,AM$57),""),1),IFERROR(INDEX(醫師週班表!$C$5:$T$44,$CU27,AM$57),"")))))))</f>
        <v/>
      </c>
      <c r="AN27" s="72">
        <f>IF(AN$59="X","",IF(AN$59&lt;&gt;"",AN$59,IF(IFERROR(INDEX(醫師週班表!$C$5:$T$44,$CU27,AN$57),"")=0,"",IF(MID(IFERROR(INDEX(醫師週班表!$C$5:$T$44,$CU27,AN$57),""),2,1)="/",MID(IFERROR(INDEX(醫師週班表!$C$5:$T$44,$CU27,AN$57),""),1+AN$58*2,1),IF(MID(IFERROR(INDEX(醫師週班表!$C$5:$T$44,$CU27,AN$57),""),3,1)="隔",IF(AN$58=0,LEFT(IFERROR(INDEX(醫師週班表!$C$5:$T$44,$CU27,AN$57),""),1),""),IF(MID(IFERROR(INDEX(醫師週班表!$C$5:$T$44,$CU27,AN$57),""),2,1)="(",LEFT(IFERROR(INDEX(醫師週班表!$C$5:$T$44,$CU27,AN$57),""),1),IFERROR(INDEX(醫師週班表!$C$5:$T$44,$CU27,AN$57),"")))))))</f>
        <v/>
      </c>
      <c r="AO27" s="71">
        <f>IF(AO$59="X","",IF(AO$59&lt;&gt;"",AO$59,IF(IFERROR(INDEX(醫師週班表!$C$5:$T$44,$CU27,AO$57),"")=0,"",IF(MID(IFERROR(INDEX(醫師週班表!$C$5:$T$44,$CU27,AO$57),""),2,1)="/",MID(IFERROR(INDEX(醫師週班表!$C$5:$T$44,$CU27,AO$57),""),1+AO$58*2,1),IF(MID(IFERROR(INDEX(醫師週班表!$C$5:$T$44,$CU27,AO$57),""),3,1)="隔",IF(AO$58=0,LEFT(IFERROR(INDEX(醫師週班表!$C$5:$T$44,$CU27,AO$57),""),1),""),IF(MID(IFERROR(INDEX(醫師週班表!$C$5:$T$44,$CU27,AO$57),""),2,1)="(",LEFT(IFERROR(INDEX(醫師週班表!$C$5:$T$44,$CU27,AO$57),""),1),IFERROR(INDEX(醫師週班表!$C$5:$T$44,$CU27,AO$57),"")))))))</f>
        <v/>
      </c>
      <c r="AP27" s="72">
        <f>IF(AP$59="X","",IF(AP$59&lt;&gt;"",AP$59,IF(IFERROR(INDEX(醫師週班表!$C$5:$T$44,$CU27,AP$57),"")=0,"",IF(MID(IFERROR(INDEX(醫師週班表!$C$5:$T$44,$CU27,AP$57),""),2,1)="/",MID(IFERROR(INDEX(醫師週班表!$C$5:$T$44,$CU27,AP$57),""),1+AP$58*2,1),IF(MID(IFERROR(INDEX(醫師週班表!$C$5:$T$44,$CU27,AP$57),""),3,1)="隔",IF(AP$58=0,LEFT(IFERROR(INDEX(醫師週班表!$C$5:$T$44,$CU27,AP$57),""),1),""),IF(MID(IFERROR(INDEX(醫師週班表!$C$5:$T$44,$CU27,AP$57),""),2,1)="(",LEFT(IFERROR(INDEX(醫師週班表!$C$5:$T$44,$CU27,AP$57),""),1),IFERROR(INDEX(醫師週班表!$C$5:$T$44,$CU27,AP$57),"")))))))</f>
        <v/>
      </c>
      <c r="AQ27" s="72">
        <f>IF(AQ$59="X","",IF(AQ$59&lt;&gt;"",AQ$59,IF(IFERROR(INDEX(醫師週班表!$C$5:$T$44,$CU27,AQ$57),"")=0,"",IF(MID(IFERROR(INDEX(醫師週班表!$C$5:$T$44,$CU27,AQ$57),""),2,1)="/",MID(IFERROR(INDEX(醫師週班表!$C$5:$T$44,$CU27,AQ$57),""),1+AQ$58*2,1),IF(MID(IFERROR(INDEX(醫師週班表!$C$5:$T$44,$CU27,AQ$57),""),3,1)="隔",IF(AQ$58=0,LEFT(IFERROR(INDEX(醫師週班表!$C$5:$T$44,$CU27,AQ$57),""),1),""),IF(MID(IFERROR(INDEX(醫師週班表!$C$5:$T$44,$CU27,AQ$57),""),2,1)="(",LEFT(IFERROR(INDEX(醫師週班表!$C$5:$T$44,$CU27,AQ$57),""),1),IFERROR(INDEX(醫師週班表!$C$5:$T$44,$CU27,AQ$57),"")))))))</f>
        <v/>
      </c>
      <c r="AR27" s="71">
        <f>IF(AR$59="X","",IF(AR$59&lt;&gt;"",AR$59,IF(IFERROR(INDEX(醫師週班表!$C$5:$T$44,$CU27,AR$57),"")=0,"",IF(MID(IFERROR(INDEX(醫師週班表!$C$5:$T$44,$CU27,AR$57),""),2,1)="/",MID(IFERROR(INDEX(醫師週班表!$C$5:$T$44,$CU27,AR$57),""),1+AR$58*2,1),IF(MID(IFERROR(INDEX(醫師週班表!$C$5:$T$44,$CU27,AR$57),""),3,1)="隔",IF(AR$58=0,LEFT(IFERROR(INDEX(醫師週班表!$C$5:$T$44,$CU27,AR$57),""),1),""),IF(MID(IFERROR(INDEX(醫師週班表!$C$5:$T$44,$CU27,AR$57),""),2,1)="(",LEFT(IFERROR(INDEX(醫師週班表!$C$5:$T$44,$CU27,AR$57),""),1),IFERROR(INDEX(醫師週班表!$C$5:$T$44,$CU27,AR$57),"")))))))</f>
        <v/>
      </c>
      <c r="AS27" s="72">
        <f>IF(AS$59="X","",IF(AS$59&lt;&gt;"",AS$59,IF(IFERROR(INDEX(醫師週班表!$C$5:$T$44,$CU27,AS$57),"")=0,"",IF(MID(IFERROR(INDEX(醫師週班表!$C$5:$T$44,$CU27,AS$57),""),2,1)="/",MID(IFERROR(INDEX(醫師週班表!$C$5:$T$44,$CU27,AS$57),""),1+AS$58*2,1),IF(MID(IFERROR(INDEX(醫師週班表!$C$5:$T$44,$CU27,AS$57),""),3,1)="隔",IF(AS$58=0,LEFT(IFERROR(INDEX(醫師週班表!$C$5:$T$44,$CU27,AS$57),""),1),""),IF(MID(IFERROR(INDEX(醫師週班表!$C$5:$T$44,$CU27,AS$57),""),2,1)="(",LEFT(IFERROR(INDEX(醫師週班表!$C$5:$T$44,$CU27,AS$57),""),1),IFERROR(INDEX(醫師週班表!$C$5:$T$44,$CU27,AS$57),"")))))))</f>
        <v/>
      </c>
      <c r="AT27" s="72">
        <f>IF(AT$59="X","",IF(AT$59&lt;&gt;"",AT$59,IF(IFERROR(INDEX(醫師週班表!$C$5:$T$44,$CU27,AT$57),"")=0,"",IF(MID(IFERROR(INDEX(醫師週班表!$C$5:$T$44,$CU27,AT$57),""),2,1)="/",MID(IFERROR(INDEX(醫師週班表!$C$5:$T$44,$CU27,AT$57),""),1+AT$58*2,1),IF(MID(IFERROR(INDEX(醫師週班表!$C$5:$T$44,$CU27,AT$57),""),3,1)="隔",IF(AT$58=0,LEFT(IFERROR(INDEX(醫師週班表!$C$5:$T$44,$CU27,AT$57),""),1),""),IF(MID(IFERROR(INDEX(醫師週班表!$C$5:$T$44,$CU27,AT$57),""),2,1)="(",LEFT(IFERROR(INDEX(醫師週班表!$C$5:$T$44,$CU27,AT$57),""),1),IFERROR(INDEX(醫師週班表!$C$5:$T$44,$CU27,AT$57),"")))))))</f>
        <v/>
      </c>
      <c r="AU27" s="71">
        <f>IF(AU$59="X","",IF(AU$59&lt;&gt;"",AU$59,IF(IFERROR(INDEX(醫師週班表!$C$5:$T$44,$CU27,AU$57),"")=0,"",IF(MID(IFERROR(INDEX(醫師週班表!$C$5:$T$44,$CU27,AU$57),""),2,1)="/",MID(IFERROR(INDEX(醫師週班表!$C$5:$T$44,$CU27,AU$57),""),1+AU$58*2,1),IF(MID(IFERROR(INDEX(醫師週班表!$C$5:$T$44,$CU27,AU$57),""),3,1)="隔",IF(AU$58=0,LEFT(IFERROR(INDEX(醫師週班表!$C$5:$T$44,$CU27,AU$57),""),1),""),IF(MID(IFERROR(INDEX(醫師週班表!$C$5:$T$44,$CU27,AU$57),""),2,1)="(",LEFT(IFERROR(INDEX(醫師週班表!$C$5:$T$44,$CU27,AU$57),""),1),IFERROR(INDEX(醫師週班表!$C$5:$T$44,$CU27,AU$57),"")))))))</f>
        <v/>
      </c>
      <c r="AV27" s="72">
        <f>IF(AV$59="X","",IF(AV$59&lt;&gt;"",AV$59,IF(IFERROR(INDEX(醫師週班表!$C$5:$T$44,$CU27,AV$57),"")=0,"",IF(MID(IFERROR(INDEX(醫師週班表!$C$5:$T$44,$CU27,AV$57),""),2,1)="/",MID(IFERROR(INDEX(醫師週班表!$C$5:$T$44,$CU27,AV$57),""),1+AV$58*2,1),IF(MID(IFERROR(INDEX(醫師週班表!$C$5:$T$44,$CU27,AV$57),""),3,1)="隔",IF(AV$58=0,LEFT(IFERROR(INDEX(醫師週班表!$C$5:$T$44,$CU27,AV$57),""),1),""),IF(MID(IFERROR(INDEX(醫師週班表!$C$5:$T$44,$CU27,AV$57),""),2,1)="(",LEFT(IFERROR(INDEX(醫師週班表!$C$5:$T$44,$CU27,AV$57),""),1),IFERROR(INDEX(醫師週班表!$C$5:$T$44,$CU27,AV$57),"")))))))</f>
        <v/>
      </c>
      <c r="AW27" s="72">
        <f>IF(AW$59="X","",IF(AW$59&lt;&gt;"",AW$59,IF(IFERROR(INDEX(醫師週班表!$C$5:$T$44,$CU27,AW$57),"")=0,"",IF(MID(IFERROR(INDEX(醫師週班表!$C$5:$T$44,$CU27,AW$57),""),2,1)="/",MID(IFERROR(INDEX(醫師週班表!$C$5:$T$44,$CU27,AW$57),""),1+AW$58*2,1),IF(MID(IFERROR(INDEX(醫師週班表!$C$5:$T$44,$CU27,AW$57),""),3,1)="隔",IF(AW$58=0,LEFT(IFERROR(INDEX(醫師週班表!$C$5:$T$44,$CU27,AW$57),""),1),""),IF(MID(IFERROR(INDEX(醫師週班表!$C$5:$T$44,$CU27,AW$57),""),2,1)="(",LEFT(IFERROR(INDEX(醫師週班表!$C$5:$T$44,$CU27,AW$57),""),1),IFERROR(INDEX(醫師週班表!$C$5:$T$44,$CU27,AW$57),"")))))))</f>
        <v/>
      </c>
      <c r="AX27" s="71">
        <f>IF(AX$59="X","",IF(AX$59&lt;&gt;"",AX$59,IF(IFERROR(INDEX(醫師週班表!$C$5:$T$44,$CU27,AX$57),"")=0,"",IF(MID(IFERROR(INDEX(醫師週班表!$C$5:$T$44,$CU27,AX$57),""),2,1)="/",MID(IFERROR(INDEX(醫師週班表!$C$5:$T$44,$CU27,AX$57),""),1+AX$58*2,1),IF(MID(IFERROR(INDEX(醫師週班表!$C$5:$T$44,$CU27,AX$57),""),3,1)="隔",IF(AX$58=0,LEFT(IFERROR(INDEX(醫師週班表!$C$5:$T$44,$CU27,AX$57),""),1),""),IF(MID(IFERROR(INDEX(醫師週班表!$C$5:$T$44,$CU27,AX$57),""),2,1)="(",LEFT(IFERROR(INDEX(醫師週班表!$C$5:$T$44,$CU27,AX$57),""),1),IFERROR(INDEX(醫師週班表!$C$5:$T$44,$CU27,AX$57),"")))))))</f>
        <v/>
      </c>
      <c r="AY27" s="72">
        <f>IF(AY$59="X","",IF(AY$59&lt;&gt;"",AY$59,IF(IFERROR(INDEX(醫師週班表!$C$5:$T$44,$CU27,AY$57),"")=0,"",IF(MID(IFERROR(INDEX(醫師週班表!$C$5:$T$44,$CU27,AY$57),""),2,1)="/",MID(IFERROR(INDEX(醫師週班表!$C$5:$T$44,$CU27,AY$57),""),1+AY$58*2,1),IF(MID(IFERROR(INDEX(醫師週班表!$C$5:$T$44,$CU27,AY$57),""),3,1)="隔",IF(AY$58=0,LEFT(IFERROR(INDEX(醫師週班表!$C$5:$T$44,$CU27,AY$57),""),1),""),IF(MID(IFERROR(INDEX(醫師週班表!$C$5:$T$44,$CU27,AY$57),""),2,1)="(",LEFT(IFERROR(INDEX(醫師週班表!$C$5:$T$44,$CU27,AY$57),""),1),IFERROR(INDEX(醫師週班表!$C$5:$T$44,$CU27,AY$57),"")))))))</f>
        <v/>
      </c>
      <c r="AZ27" s="72">
        <f>IF(AZ$59="X","",IF(AZ$59&lt;&gt;"",AZ$59,IF(IFERROR(INDEX(醫師週班表!$C$5:$T$44,$CU27,AZ$57),"")=0,"",IF(MID(IFERROR(INDEX(醫師週班表!$C$5:$T$44,$CU27,AZ$57),""),2,1)="/",MID(IFERROR(INDEX(醫師週班表!$C$5:$T$44,$CU27,AZ$57),""),1+AZ$58*2,1),IF(MID(IFERROR(INDEX(醫師週班表!$C$5:$T$44,$CU27,AZ$57),""),3,1)="隔",IF(AZ$58=0,LEFT(IFERROR(INDEX(醫師週班表!$C$5:$T$44,$CU27,AZ$57),""),1),""),IF(MID(IFERROR(INDEX(醫師週班表!$C$5:$T$44,$CU27,AZ$57),""),2,1)="(",LEFT(IFERROR(INDEX(醫師週班表!$C$5:$T$44,$CU27,AZ$57),""),1),IFERROR(INDEX(醫師週班表!$C$5:$T$44,$CU27,AZ$57),"")))))))</f>
        <v/>
      </c>
      <c r="BA27" s="71">
        <f>IF(BA$59="X","",IF(BA$59&lt;&gt;"",BA$59,IF(IFERROR(INDEX(醫師週班表!$C$5:$T$44,$CU27,BA$57),"")=0,"",IF(MID(IFERROR(INDEX(醫師週班表!$C$5:$T$44,$CU27,BA$57),""),2,1)="/",MID(IFERROR(INDEX(醫師週班表!$C$5:$T$44,$CU27,BA$57),""),1+BA$58*2,1),IF(MID(IFERROR(INDEX(醫師週班表!$C$5:$T$44,$CU27,BA$57),""),3,1)="隔",IF(BA$58=0,LEFT(IFERROR(INDEX(醫師週班表!$C$5:$T$44,$CU27,BA$57),""),1),""),IF(MID(IFERROR(INDEX(醫師週班表!$C$5:$T$44,$CU27,BA$57),""),2,1)="(",LEFT(IFERROR(INDEX(醫師週班表!$C$5:$T$44,$CU27,BA$57),""),1),IFERROR(INDEX(醫師週班表!$C$5:$T$44,$CU27,BA$57),"")))))))</f>
        <v/>
      </c>
      <c r="BB27" s="72">
        <f>IF(BB$59="X","",IF(BB$59&lt;&gt;"",BB$59,IF(IFERROR(INDEX(醫師週班表!$C$5:$T$44,$CU27,BB$57),"")=0,"",IF(MID(IFERROR(INDEX(醫師週班表!$C$5:$T$44,$CU27,BB$57),""),2,1)="/",MID(IFERROR(INDEX(醫師週班表!$C$5:$T$44,$CU27,BB$57),""),1+BB$58*2,1),IF(MID(IFERROR(INDEX(醫師週班表!$C$5:$T$44,$CU27,BB$57),""),3,1)="隔",IF(BB$58=0,LEFT(IFERROR(INDEX(醫師週班表!$C$5:$T$44,$CU27,BB$57),""),1),""),IF(MID(IFERROR(INDEX(醫師週班表!$C$5:$T$44,$CU27,BB$57),""),2,1)="(",LEFT(IFERROR(INDEX(醫師週班表!$C$5:$T$44,$CU27,BB$57),""),1),IFERROR(INDEX(醫師週班表!$C$5:$T$44,$CU27,BB$57),"")))))))</f>
        <v/>
      </c>
      <c r="BC27" s="72">
        <f>IF(BC$59="X","",IF(BC$59&lt;&gt;"",BC$59,IF(IFERROR(INDEX(醫師週班表!$C$5:$T$44,$CU27,BC$57),"")=0,"",IF(MID(IFERROR(INDEX(醫師週班表!$C$5:$T$44,$CU27,BC$57),""),2,1)="/",MID(IFERROR(INDEX(醫師週班表!$C$5:$T$44,$CU27,BC$57),""),1+BC$58*2,1),IF(MID(IFERROR(INDEX(醫師週班表!$C$5:$T$44,$CU27,BC$57),""),3,1)="隔",IF(BC$58=0,LEFT(IFERROR(INDEX(醫師週班表!$C$5:$T$44,$CU27,BC$57),""),1),""),IF(MID(IFERROR(INDEX(醫師週班表!$C$5:$T$44,$CU27,BC$57),""),2,1)="(",LEFT(IFERROR(INDEX(醫師週班表!$C$5:$T$44,$CU27,BC$57),""),1),IFERROR(INDEX(醫師週班表!$C$5:$T$44,$CU27,BC$57),"")))))))</f>
        <v/>
      </c>
      <c r="BD27" s="71">
        <f>IF(BD$59="X","",IF(BD$59&lt;&gt;"",BD$59,IF(IFERROR(INDEX(醫師週班表!$C$5:$T$44,$CU27,BD$57),"")=0,"",IF(MID(IFERROR(INDEX(醫師週班表!$C$5:$T$44,$CU27,BD$57),""),2,1)="/",MID(IFERROR(INDEX(醫師週班表!$C$5:$T$44,$CU27,BD$57),""),1+BD$58*2,1),IF(MID(IFERROR(INDEX(醫師週班表!$C$5:$T$44,$CU27,BD$57),""),3,1)="隔",IF(BD$58=0,LEFT(IFERROR(INDEX(醫師週班表!$C$5:$T$44,$CU27,BD$57),""),1),""),IF(MID(IFERROR(INDEX(醫師週班表!$C$5:$T$44,$CU27,BD$57),""),2,1)="(",LEFT(IFERROR(INDEX(醫師週班表!$C$5:$T$44,$CU27,BD$57),""),1),IFERROR(INDEX(醫師週班表!$C$5:$T$44,$CU27,BD$57),"")))))))</f>
        <v/>
      </c>
      <c r="BE27" s="72">
        <f>IF(BE$59="X","",IF(BE$59&lt;&gt;"",BE$59,IF(IFERROR(INDEX(醫師週班表!$C$5:$T$44,$CU27,BE$57),"")=0,"",IF(MID(IFERROR(INDEX(醫師週班表!$C$5:$T$44,$CU27,BE$57),""),2,1)="/",MID(IFERROR(INDEX(醫師週班表!$C$5:$T$44,$CU27,BE$57),""),1+BE$58*2,1),IF(MID(IFERROR(INDEX(醫師週班表!$C$5:$T$44,$CU27,BE$57),""),3,1)="隔",IF(BE$58=0,LEFT(IFERROR(INDEX(醫師週班表!$C$5:$T$44,$CU27,BE$57),""),1),""),IF(MID(IFERROR(INDEX(醫師週班表!$C$5:$T$44,$CU27,BE$57),""),2,1)="(",LEFT(IFERROR(INDEX(醫師週班表!$C$5:$T$44,$CU27,BE$57),""),1),IFERROR(INDEX(醫師週班表!$C$5:$T$44,$CU27,BE$57),"")))))))</f>
        <v/>
      </c>
      <c r="BF27" s="72">
        <f>IF(BF$59="X","",IF(BF$59&lt;&gt;"",BF$59,IF(IFERROR(INDEX(醫師週班表!$C$5:$T$44,$CU27,BF$57),"")=0,"",IF(MID(IFERROR(INDEX(醫師週班表!$C$5:$T$44,$CU27,BF$57),""),2,1)="/",MID(IFERROR(INDEX(醫師週班表!$C$5:$T$44,$CU27,BF$57),""),1+BF$58*2,1),IF(MID(IFERROR(INDEX(醫師週班表!$C$5:$T$44,$CU27,BF$57),""),3,1)="隔",IF(BF$58=0,LEFT(IFERROR(INDEX(醫師週班表!$C$5:$T$44,$CU27,BF$57),""),1),""),IF(MID(IFERROR(INDEX(醫師週班表!$C$5:$T$44,$CU27,BF$57),""),2,1)="(",LEFT(IFERROR(INDEX(醫師週班表!$C$5:$T$44,$CU27,BF$57),""),1),IFERROR(INDEX(醫師週班表!$C$5:$T$44,$CU27,BF$57),"")))))))</f>
        <v/>
      </c>
      <c r="BG27" s="71">
        <f>IF(BG$59="X","",IF(BG$59&lt;&gt;"",BG$59,IF(IFERROR(INDEX(醫師週班表!$C$5:$T$44,$CU27,BG$57),"")=0,"",IF(MID(IFERROR(INDEX(醫師週班表!$C$5:$T$44,$CU27,BG$57),""),2,1)="/",MID(IFERROR(INDEX(醫師週班表!$C$5:$T$44,$CU27,BG$57),""),1+BG$58*2,1),IF(MID(IFERROR(INDEX(醫師週班表!$C$5:$T$44,$CU27,BG$57),""),3,1)="隔",IF(BG$58=0,LEFT(IFERROR(INDEX(醫師週班表!$C$5:$T$44,$CU27,BG$57),""),1),""),IF(MID(IFERROR(INDEX(醫師週班表!$C$5:$T$44,$CU27,BG$57),""),2,1)="(",LEFT(IFERROR(INDEX(醫師週班表!$C$5:$T$44,$CU27,BG$57),""),1),IFERROR(INDEX(醫師週班表!$C$5:$T$44,$CU27,BG$57),"")))))))</f>
        <v/>
      </c>
      <c r="BH27" s="72">
        <f>IF(BH$59="X","",IF(BH$59&lt;&gt;"",BH$59,IF(IFERROR(INDEX(醫師週班表!$C$5:$T$44,$CU27,BH$57),"")=0,"",IF(MID(IFERROR(INDEX(醫師週班表!$C$5:$T$44,$CU27,BH$57),""),2,1)="/",MID(IFERROR(INDEX(醫師週班表!$C$5:$T$44,$CU27,BH$57),""),1+BH$58*2,1),IF(MID(IFERROR(INDEX(醫師週班表!$C$5:$T$44,$CU27,BH$57),""),3,1)="隔",IF(BH$58=0,LEFT(IFERROR(INDEX(醫師週班表!$C$5:$T$44,$CU27,BH$57),""),1),""),IF(MID(IFERROR(INDEX(醫師週班表!$C$5:$T$44,$CU27,BH$57),""),2,1)="(",LEFT(IFERROR(INDEX(醫師週班表!$C$5:$T$44,$CU27,BH$57),""),1),IFERROR(INDEX(醫師週班表!$C$5:$T$44,$CU27,BH$57),"")))))))</f>
        <v/>
      </c>
      <c r="BI27" s="72">
        <f>IF(BI$59="X","",IF(BI$59&lt;&gt;"",BI$59,IF(IFERROR(INDEX(醫師週班表!$C$5:$T$44,$CU27,BI$57),"")=0,"",IF(MID(IFERROR(INDEX(醫師週班表!$C$5:$T$44,$CU27,BI$57),""),2,1)="/",MID(IFERROR(INDEX(醫師週班表!$C$5:$T$44,$CU27,BI$57),""),1+BI$58*2,1),IF(MID(IFERROR(INDEX(醫師週班表!$C$5:$T$44,$CU27,BI$57),""),3,1)="隔",IF(BI$58=0,LEFT(IFERROR(INDEX(醫師週班表!$C$5:$T$44,$CU27,BI$57),""),1),""),IF(MID(IFERROR(INDEX(醫師週班表!$C$5:$T$44,$CU27,BI$57),""),2,1)="(",LEFT(IFERROR(INDEX(醫師週班表!$C$5:$T$44,$CU27,BI$57),""),1),IFERROR(INDEX(醫師週班表!$C$5:$T$44,$CU27,BI$57),"")))))))</f>
        <v/>
      </c>
      <c r="BJ27" s="71">
        <f>IF(BJ$59="X","",IF(BJ$59&lt;&gt;"",BJ$59,IF(IFERROR(INDEX(醫師週班表!$C$5:$T$44,$CU27,BJ$57),"")=0,"",IF(MID(IFERROR(INDEX(醫師週班表!$C$5:$T$44,$CU27,BJ$57),""),2,1)="/",MID(IFERROR(INDEX(醫師週班表!$C$5:$T$44,$CU27,BJ$57),""),1+BJ$58*2,1),IF(MID(IFERROR(INDEX(醫師週班表!$C$5:$T$44,$CU27,BJ$57),""),3,1)="隔",IF(BJ$58=0,LEFT(IFERROR(INDEX(醫師週班表!$C$5:$T$44,$CU27,BJ$57),""),1),""),IF(MID(IFERROR(INDEX(醫師週班表!$C$5:$T$44,$CU27,BJ$57),""),2,1)="(",LEFT(IFERROR(INDEX(醫師週班表!$C$5:$T$44,$CU27,BJ$57),""),1),IFERROR(INDEX(醫師週班表!$C$5:$T$44,$CU27,BJ$57),"")))))))</f>
        <v/>
      </c>
      <c r="BK27" s="72">
        <f>IF(BK$59="X","",IF(BK$59&lt;&gt;"",BK$59,IF(IFERROR(INDEX(醫師週班表!$C$5:$T$44,$CU27,BK$57),"")=0,"",IF(MID(IFERROR(INDEX(醫師週班表!$C$5:$T$44,$CU27,BK$57),""),2,1)="/",MID(IFERROR(INDEX(醫師週班表!$C$5:$T$44,$CU27,BK$57),""),1+BK$58*2,1),IF(MID(IFERROR(INDEX(醫師週班表!$C$5:$T$44,$CU27,BK$57),""),3,1)="隔",IF(BK$58=0,LEFT(IFERROR(INDEX(醫師週班表!$C$5:$T$44,$CU27,BK$57),""),1),""),IF(MID(IFERROR(INDEX(醫師週班表!$C$5:$T$44,$CU27,BK$57),""),2,1)="(",LEFT(IFERROR(INDEX(醫師週班表!$C$5:$T$44,$CU27,BK$57),""),1),IFERROR(INDEX(醫師週班表!$C$5:$T$44,$CU27,BK$57),"")))))))</f>
        <v/>
      </c>
      <c r="BL27" s="72">
        <f>IF(BL$59="X","",IF(BL$59&lt;&gt;"",BL$59,IF(IFERROR(INDEX(醫師週班表!$C$5:$T$44,$CU27,BL$57),"")=0,"",IF(MID(IFERROR(INDEX(醫師週班表!$C$5:$T$44,$CU27,BL$57),""),2,1)="/",MID(IFERROR(INDEX(醫師週班表!$C$5:$T$44,$CU27,BL$57),""),1+BL$58*2,1),IF(MID(IFERROR(INDEX(醫師週班表!$C$5:$T$44,$CU27,BL$57),""),3,1)="隔",IF(BL$58=0,LEFT(IFERROR(INDEX(醫師週班表!$C$5:$T$44,$CU27,BL$57),""),1),""),IF(MID(IFERROR(INDEX(醫師週班表!$C$5:$T$44,$CU27,BL$57),""),2,1)="(",LEFT(IFERROR(INDEX(醫師週班表!$C$5:$T$44,$CU27,BL$57),""),1),IFERROR(INDEX(醫師週班表!$C$5:$T$44,$CU27,BL$57),"")))))))</f>
        <v/>
      </c>
      <c r="BM27" s="71">
        <f>IF(BM$59="X","",IF(BM$59&lt;&gt;"",BM$59,IF(IFERROR(INDEX(醫師週班表!$C$5:$T$44,$CU27,BM$57),"")=0,"",IF(MID(IFERROR(INDEX(醫師週班表!$C$5:$T$44,$CU27,BM$57),""),2,1)="/",MID(IFERROR(INDEX(醫師週班表!$C$5:$T$44,$CU27,BM$57),""),1+BM$58*2,1),IF(MID(IFERROR(INDEX(醫師週班表!$C$5:$T$44,$CU27,BM$57),""),3,1)="隔",IF(BM$58=0,LEFT(IFERROR(INDEX(醫師週班表!$C$5:$T$44,$CU27,BM$57),""),1),""),IF(MID(IFERROR(INDEX(醫師週班表!$C$5:$T$44,$CU27,BM$57),""),2,1)="(",LEFT(IFERROR(INDEX(醫師週班表!$C$5:$T$44,$CU27,BM$57),""),1),IFERROR(INDEX(醫師週班表!$C$5:$T$44,$CU27,BM$57),"")))))))</f>
        <v/>
      </c>
      <c r="BN27" s="72">
        <f>IF(BN$59="X","",IF(BN$59&lt;&gt;"",BN$59,IF(IFERROR(INDEX(醫師週班表!$C$5:$T$44,$CU27,BN$57),"")=0,"",IF(MID(IFERROR(INDEX(醫師週班表!$C$5:$T$44,$CU27,BN$57),""),2,1)="/",MID(IFERROR(INDEX(醫師週班表!$C$5:$T$44,$CU27,BN$57),""),1+BN$58*2,1),IF(MID(IFERROR(INDEX(醫師週班表!$C$5:$T$44,$CU27,BN$57),""),3,1)="隔",IF(BN$58=0,LEFT(IFERROR(INDEX(醫師週班表!$C$5:$T$44,$CU27,BN$57),""),1),""),IF(MID(IFERROR(INDEX(醫師週班表!$C$5:$T$44,$CU27,BN$57),""),2,1)="(",LEFT(IFERROR(INDEX(醫師週班表!$C$5:$T$44,$CU27,BN$57),""),1),IFERROR(INDEX(醫師週班表!$C$5:$T$44,$CU27,BN$57),"")))))))</f>
        <v/>
      </c>
      <c r="BO27" s="72">
        <f>IF(BO$59="X","",IF(BO$59&lt;&gt;"",BO$59,IF(IFERROR(INDEX(醫師週班表!$C$5:$T$44,$CU27,BO$57),"")=0,"",IF(MID(IFERROR(INDEX(醫師週班表!$C$5:$T$44,$CU27,BO$57),""),2,1)="/",MID(IFERROR(INDEX(醫師週班表!$C$5:$T$44,$CU27,BO$57),""),1+BO$58*2,1),IF(MID(IFERROR(INDEX(醫師週班表!$C$5:$T$44,$CU27,BO$57),""),3,1)="隔",IF(BO$58=0,LEFT(IFERROR(INDEX(醫師週班表!$C$5:$T$44,$CU27,BO$57),""),1),""),IF(MID(IFERROR(INDEX(醫師週班表!$C$5:$T$44,$CU27,BO$57),""),2,1)="(",LEFT(IFERROR(INDEX(醫師週班表!$C$5:$T$44,$CU27,BO$57),""),1),IFERROR(INDEX(醫師週班表!$C$5:$T$44,$CU27,BO$57),"")))))))</f>
        <v/>
      </c>
      <c r="BP27" s="71">
        <f>IF(BP$59="X","",IF(BP$59&lt;&gt;"",BP$59,IF(IFERROR(INDEX(醫師週班表!$C$5:$T$44,$CU27,BP$57),"")=0,"",IF(MID(IFERROR(INDEX(醫師週班表!$C$5:$T$44,$CU27,BP$57),""),2,1)="/",MID(IFERROR(INDEX(醫師週班表!$C$5:$T$44,$CU27,BP$57),""),1+BP$58*2,1),IF(MID(IFERROR(INDEX(醫師週班表!$C$5:$T$44,$CU27,BP$57),""),3,1)="隔",IF(BP$58=0,LEFT(IFERROR(INDEX(醫師週班表!$C$5:$T$44,$CU27,BP$57),""),1),""),IF(MID(IFERROR(INDEX(醫師週班表!$C$5:$T$44,$CU27,BP$57),""),2,1)="(",LEFT(IFERROR(INDEX(醫師週班表!$C$5:$T$44,$CU27,BP$57),""),1),IFERROR(INDEX(醫師週班表!$C$5:$T$44,$CU27,BP$57),"")))))))</f>
        <v/>
      </c>
      <c r="BQ27" s="72">
        <f>IF(BQ$59="X","",IF(BQ$59&lt;&gt;"",BQ$59,IF(IFERROR(INDEX(醫師週班表!$C$5:$T$44,$CU27,BQ$57),"")=0,"",IF(MID(IFERROR(INDEX(醫師週班表!$C$5:$T$44,$CU27,BQ$57),""),2,1)="/",MID(IFERROR(INDEX(醫師週班表!$C$5:$T$44,$CU27,BQ$57),""),1+BQ$58*2,1),IF(MID(IFERROR(INDEX(醫師週班表!$C$5:$T$44,$CU27,BQ$57),""),3,1)="隔",IF(BQ$58=0,LEFT(IFERROR(INDEX(醫師週班表!$C$5:$T$44,$CU27,BQ$57),""),1),""),IF(MID(IFERROR(INDEX(醫師週班表!$C$5:$T$44,$CU27,BQ$57),""),2,1)="(",LEFT(IFERROR(INDEX(醫師週班表!$C$5:$T$44,$CU27,BQ$57),""),1),IFERROR(INDEX(醫師週班表!$C$5:$T$44,$CU27,BQ$57),"")))))))</f>
        <v/>
      </c>
      <c r="BR27" s="72">
        <f>IF(BR$59="X","",IF(BR$59&lt;&gt;"",BR$59,IF(IFERROR(INDEX(醫師週班表!$C$5:$T$44,$CU27,BR$57),"")=0,"",IF(MID(IFERROR(INDEX(醫師週班表!$C$5:$T$44,$CU27,BR$57),""),2,1)="/",MID(IFERROR(INDEX(醫師週班表!$C$5:$T$44,$CU27,BR$57),""),1+BR$58*2,1),IF(MID(IFERROR(INDEX(醫師週班表!$C$5:$T$44,$CU27,BR$57),""),3,1)="隔",IF(BR$58=0,LEFT(IFERROR(INDEX(醫師週班表!$C$5:$T$44,$CU27,BR$57),""),1),""),IF(MID(IFERROR(INDEX(醫師週班表!$C$5:$T$44,$CU27,BR$57),""),2,1)="(",LEFT(IFERROR(INDEX(醫師週班表!$C$5:$T$44,$CU27,BR$57),""),1),IFERROR(INDEX(醫師週班表!$C$5:$T$44,$CU27,BR$57),"")))))))</f>
        <v/>
      </c>
      <c r="BS27" s="71">
        <f>IF(BS$59="X","",IF(BS$59&lt;&gt;"",BS$59,IF(IFERROR(INDEX(醫師週班表!$C$5:$T$44,$CU27,BS$57),"")=0,"",IF(MID(IFERROR(INDEX(醫師週班表!$C$5:$T$44,$CU27,BS$57),""),2,1)="/",MID(IFERROR(INDEX(醫師週班表!$C$5:$T$44,$CU27,BS$57),""),1+BS$58*2,1),IF(MID(IFERROR(INDEX(醫師週班表!$C$5:$T$44,$CU27,BS$57),""),3,1)="隔",IF(BS$58=0,LEFT(IFERROR(INDEX(醫師週班表!$C$5:$T$44,$CU27,BS$57),""),1),""),IF(MID(IFERROR(INDEX(醫師週班表!$C$5:$T$44,$CU27,BS$57),""),2,1)="(",LEFT(IFERROR(INDEX(醫師週班表!$C$5:$T$44,$CU27,BS$57),""),1),IFERROR(INDEX(醫師週班表!$C$5:$T$44,$CU27,BS$57),"")))))))</f>
        <v/>
      </c>
      <c r="BT27" s="72">
        <f>IF(BT$59="X","",IF(BT$59&lt;&gt;"",BT$59,IF(IFERROR(INDEX(醫師週班表!$C$5:$T$44,$CU27,BT$57),"")=0,"",IF(MID(IFERROR(INDEX(醫師週班表!$C$5:$T$44,$CU27,BT$57),""),2,1)="/",MID(IFERROR(INDEX(醫師週班表!$C$5:$T$44,$CU27,BT$57),""),1+BT$58*2,1),IF(MID(IFERROR(INDEX(醫師週班表!$C$5:$T$44,$CU27,BT$57),""),3,1)="隔",IF(BT$58=0,LEFT(IFERROR(INDEX(醫師週班表!$C$5:$T$44,$CU27,BT$57),""),1),""),IF(MID(IFERROR(INDEX(醫師週班表!$C$5:$T$44,$CU27,BT$57),""),2,1)="(",LEFT(IFERROR(INDEX(醫師週班表!$C$5:$T$44,$CU27,BT$57),""),1),IFERROR(INDEX(醫師週班表!$C$5:$T$44,$CU27,BT$57),"")))))))</f>
        <v/>
      </c>
      <c r="BU27" s="72">
        <f>IF(BU$59="X","",IF(BU$59&lt;&gt;"",BU$59,IF(IFERROR(INDEX(醫師週班表!$C$5:$T$44,$CU27,BU$57),"")=0,"",IF(MID(IFERROR(INDEX(醫師週班表!$C$5:$T$44,$CU27,BU$57),""),2,1)="/",MID(IFERROR(INDEX(醫師週班表!$C$5:$T$44,$CU27,BU$57),""),1+BU$58*2,1),IF(MID(IFERROR(INDEX(醫師週班表!$C$5:$T$44,$CU27,BU$57),""),3,1)="隔",IF(BU$58=0,LEFT(IFERROR(INDEX(醫師週班表!$C$5:$T$44,$CU27,BU$57),""),1),""),IF(MID(IFERROR(INDEX(醫師週班表!$C$5:$T$44,$CU27,BU$57),""),2,1)="(",LEFT(IFERROR(INDEX(醫師週班表!$C$5:$T$44,$CU27,BU$57),""),1),IFERROR(INDEX(醫師週班表!$C$5:$T$44,$CU27,BU$57),"")))))))</f>
        <v/>
      </c>
      <c r="BV27" s="71">
        <f>IF(BV$59="X","",IF(BV$59&lt;&gt;"",BV$59,IF(IFERROR(INDEX(醫師週班表!$C$5:$T$44,$CU27,BV$57),"")=0,"",IF(MID(IFERROR(INDEX(醫師週班表!$C$5:$T$44,$CU27,BV$57),""),2,1)="/",MID(IFERROR(INDEX(醫師週班表!$C$5:$T$44,$CU27,BV$57),""),1+BV$58*2,1),IF(MID(IFERROR(INDEX(醫師週班表!$C$5:$T$44,$CU27,BV$57),""),3,1)="隔",IF(BV$58=0,LEFT(IFERROR(INDEX(醫師週班表!$C$5:$T$44,$CU27,BV$57),""),1),""),IF(MID(IFERROR(INDEX(醫師週班表!$C$5:$T$44,$CU27,BV$57),""),2,1)="(",LEFT(IFERROR(INDEX(醫師週班表!$C$5:$T$44,$CU27,BV$57),""),1),IFERROR(INDEX(醫師週班表!$C$5:$T$44,$CU27,BV$57),"")))))))</f>
        <v/>
      </c>
      <c r="BW27" s="72">
        <f>IF(BW$59="X","",IF(BW$59&lt;&gt;"",BW$59,IF(IFERROR(INDEX(醫師週班表!$C$5:$T$44,$CU27,BW$57),"")=0,"",IF(MID(IFERROR(INDEX(醫師週班表!$C$5:$T$44,$CU27,BW$57),""),2,1)="/",MID(IFERROR(INDEX(醫師週班表!$C$5:$T$44,$CU27,BW$57),""),1+BW$58*2,1),IF(MID(IFERROR(INDEX(醫師週班表!$C$5:$T$44,$CU27,BW$57),""),3,1)="隔",IF(BW$58=0,LEFT(IFERROR(INDEX(醫師週班表!$C$5:$T$44,$CU27,BW$57),""),1),""),IF(MID(IFERROR(INDEX(醫師週班表!$C$5:$T$44,$CU27,BW$57),""),2,1)="(",LEFT(IFERROR(INDEX(醫師週班表!$C$5:$T$44,$CU27,BW$57),""),1),IFERROR(INDEX(醫師週班表!$C$5:$T$44,$CU27,BW$57),"")))))))</f>
        <v/>
      </c>
      <c r="BX27" s="72">
        <f>IF(BX$59="X","",IF(BX$59&lt;&gt;"",BX$59,IF(IFERROR(INDEX(醫師週班表!$C$5:$T$44,$CU27,BX$57),"")=0,"",IF(MID(IFERROR(INDEX(醫師週班表!$C$5:$T$44,$CU27,BX$57),""),2,1)="/",MID(IFERROR(INDEX(醫師週班表!$C$5:$T$44,$CU27,BX$57),""),1+BX$58*2,1),IF(MID(IFERROR(INDEX(醫師週班表!$C$5:$T$44,$CU27,BX$57),""),3,1)="隔",IF(BX$58=0,LEFT(IFERROR(INDEX(醫師週班表!$C$5:$T$44,$CU27,BX$57),""),1),""),IF(MID(IFERROR(INDEX(醫師週班表!$C$5:$T$44,$CU27,BX$57),""),2,1)="(",LEFT(IFERROR(INDEX(醫師週班表!$C$5:$T$44,$CU27,BX$57),""),1),IFERROR(INDEX(醫師週班表!$C$5:$T$44,$CU27,BX$57),"")))))))</f>
        <v/>
      </c>
      <c r="BY27" s="71">
        <f>IF(BY$59="X","",IF(BY$59&lt;&gt;"",BY$59,IF(IFERROR(INDEX(醫師週班表!$C$5:$T$44,$CU27,BY$57),"")=0,"",IF(MID(IFERROR(INDEX(醫師週班表!$C$5:$T$44,$CU27,BY$57),""),2,1)="/",MID(IFERROR(INDEX(醫師週班表!$C$5:$T$44,$CU27,BY$57),""),1+BY$58*2,1),IF(MID(IFERROR(INDEX(醫師週班表!$C$5:$T$44,$CU27,BY$57),""),3,1)="隔",IF(BY$58=0,LEFT(IFERROR(INDEX(醫師週班表!$C$5:$T$44,$CU27,BY$57),""),1),""),IF(MID(IFERROR(INDEX(醫師週班表!$C$5:$T$44,$CU27,BY$57),""),2,1)="(",LEFT(IFERROR(INDEX(醫師週班表!$C$5:$T$44,$CU27,BY$57),""),1),IFERROR(INDEX(醫師週班表!$C$5:$T$44,$CU27,BY$57),"")))))))</f>
        <v/>
      </c>
      <c r="BZ27" s="72">
        <f>IF(BZ$59="X","",IF(BZ$59&lt;&gt;"",BZ$59,IF(IFERROR(INDEX(醫師週班表!$C$5:$T$44,$CU27,BZ$57),"")=0,"",IF(MID(IFERROR(INDEX(醫師週班表!$C$5:$T$44,$CU27,BZ$57),""),2,1)="/",MID(IFERROR(INDEX(醫師週班表!$C$5:$T$44,$CU27,BZ$57),""),1+BZ$58*2,1),IF(MID(IFERROR(INDEX(醫師週班表!$C$5:$T$44,$CU27,BZ$57),""),3,1)="隔",IF(BZ$58=0,LEFT(IFERROR(INDEX(醫師週班表!$C$5:$T$44,$CU27,BZ$57),""),1),""),IF(MID(IFERROR(INDEX(醫師週班表!$C$5:$T$44,$CU27,BZ$57),""),2,1)="(",LEFT(IFERROR(INDEX(醫師週班表!$C$5:$T$44,$CU27,BZ$57),""),1),IFERROR(INDEX(醫師週班表!$C$5:$T$44,$CU27,BZ$57),"")))))))</f>
        <v/>
      </c>
      <c r="CA27" s="72">
        <f>IF(CA$59="X","",IF(CA$59&lt;&gt;"",CA$59,IF(IFERROR(INDEX(醫師週班表!$C$5:$T$44,$CU27,CA$57),"")=0,"",IF(MID(IFERROR(INDEX(醫師週班表!$C$5:$T$44,$CU27,CA$57),""),2,1)="/",MID(IFERROR(INDEX(醫師週班表!$C$5:$T$44,$CU27,CA$57),""),1+CA$58*2,1),IF(MID(IFERROR(INDEX(醫師週班表!$C$5:$T$44,$CU27,CA$57),""),3,1)="隔",IF(CA$58=0,LEFT(IFERROR(INDEX(醫師週班表!$C$5:$T$44,$CU27,CA$57),""),1),""),IF(MID(IFERROR(INDEX(醫師週班表!$C$5:$T$44,$CU27,CA$57),""),2,1)="(",LEFT(IFERROR(INDEX(醫師週班表!$C$5:$T$44,$CU27,CA$57),""),1),IFERROR(INDEX(醫師週班表!$C$5:$T$44,$CU27,CA$57),"")))))))</f>
        <v/>
      </c>
      <c r="CB27" s="71">
        <f>IF(CB$59="X","",IF(CB$59&lt;&gt;"",CB$59,IF(IFERROR(INDEX(醫師週班表!$C$5:$T$44,$CU27,CB$57),"")=0,"",IF(MID(IFERROR(INDEX(醫師週班表!$C$5:$T$44,$CU27,CB$57),""),2,1)="/",MID(IFERROR(INDEX(醫師週班表!$C$5:$T$44,$CU27,CB$57),""),1+CB$58*2,1),IF(MID(IFERROR(INDEX(醫師週班表!$C$5:$T$44,$CU27,CB$57),""),3,1)="隔",IF(CB$58=0,LEFT(IFERROR(INDEX(醫師週班表!$C$5:$T$44,$CU27,CB$57),""),1),""),IF(MID(IFERROR(INDEX(醫師週班表!$C$5:$T$44,$CU27,CB$57),""),2,1)="(",LEFT(IFERROR(INDEX(醫師週班表!$C$5:$T$44,$CU27,CB$57),""),1),IFERROR(INDEX(醫師週班表!$C$5:$T$44,$CU27,CB$57),"")))))))</f>
        <v/>
      </c>
      <c r="CC27" s="72">
        <f>IF(CC$59="X","",IF(CC$59&lt;&gt;"",CC$59,IF(IFERROR(INDEX(醫師週班表!$C$5:$T$44,$CU27,CC$57),"")=0,"",IF(MID(IFERROR(INDEX(醫師週班表!$C$5:$T$44,$CU27,CC$57),""),2,1)="/",MID(IFERROR(INDEX(醫師週班表!$C$5:$T$44,$CU27,CC$57),""),1+CC$58*2,1),IF(MID(IFERROR(INDEX(醫師週班表!$C$5:$T$44,$CU27,CC$57),""),3,1)="隔",IF(CC$58=0,LEFT(IFERROR(INDEX(醫師週班表!$C$5:$T$44,$CU27,CC$57),""),1),""),IF(MID(IFERROR(INDEX(醫師週班表!$C$5:$T$44,$CU27,CC$57),""),2,1)="(",LEFT(IFERROR(INDEX(醫師週班表!$C$5:$T$44,$CU27,CC$57),""),1),IFERROR(INDEX(醫師週班表!$C$5:$T$44,$CU27,CC$57),"")))))))</f>
        <v/>
      </c>
      <c r="CD27" s="72">
        <f>IF(CD$59="X","",IF(CD$59&lt;&gt;"",CD$59,IF(IFERROR(INDEX(醫師週班表!$C$5:$T$44,$CU27,CD$57),"")=0,"",IF(MID(IFERROR(INDEX(醫師週班表!$C$5:$T$44,$CU27,CD$57),""),2,1)="/",MID(IFERROR(INDEX(醫師週班表!$C$5:$T$44,$CU27,CD$57),""),1+CD$58*2,1),IF(MID(IFERROR(INDEX(醫師週班表!$C$5:$T$44,$CU27,CD$57),""),3,1)="隔",IF(CD$58=0,LEFT(IFERROR(INDEX(醫師週班表!$C$5:$T$44,$CU27,CD$57),""),1),""),IF(MID(IFERROR(INDEX(醫師週班表!$C$5:$T$44,$CU27,CD$57),""),2,1)="(",LEFT(IFERROR(INDEX(醫師週班表!$C$5:$T$44,$CU27,CD$57),""),1),IFERROR(INDEX(醫師週班表!$C$5:$T$44,$CU27,CD$57),"")))))))</f>
        <v/>
      </c>
      <c r="CE27" s="71">
        <f>IF(CE$59="X","",IF(CE$59&lt;&gt;"",CE$59,IF(IFERROR(INDEX(醫師週班表!$C$5:$T$44,$CU27,CE$57),"")=0,"",IF(MID(IFERROR(INDEX(醫師週班表!$C$5:$T$44,$CU27,CE$57),""),2,1)="/",MID(IFERROR(INDEX(醫師週班表!$C$5:$T$44,$CU27,CE$57),""),1+CE$58*2,1),IF(MID(IFERROR(INDEX(醫師週班表!$C$5:$T$44,$CU27,CE$57),""),3,1)="隔",IF(CE$58=0,LEFT(IFERROR(INDEX(醫師週班表!$C$5:$T$44,$CU27,CE$57),""),1),""),IF(MID(IFERROR(INDEX(醫師週班表!$C$5:$T$44,$CU27,CE$57),""),2,1)="(",LEFT(IFERROR(INDEX(醫師週班表!$C$5:$T$44,$CU27,CE$57),""),1),IFERROR(INDEX(醫師週班表!$C$5:$T$44,$CU27,CE$57),"")))))))</f>
        <v/>
      </c>
      <c r="CF27" s="72">
        <f>IF(CF$59="X","",IF(CF$59&lt;&gt;"",CF$59,IF(IFERROR(INDEX(醫師週班表!$C$5:$T$44,$CU27,CF$57),"")=0,"",IF(MID(IFERROR(INDEX(醫師週班表!$C$5:$T$44,$CU27,CF$57),""),2,1)="/",MID(IFERROR(INDEX(醫師週班表!$C$5:$T$44,$CU27,CF$57),""),1+CF$58*2,1),IF(MID(IFERROR(INDEX(醫師週班表!$C$5:$T$44,$CU27,CF$57),""),3,1)="隔",IF(CF$58=0,LEFT(IFERROR(INDEX(醫師週班表!$C$5:$T$44,$CU27,CF$57),""),1),""),IF(MID(IFERROR(INDEX(醫師週班表!$C$5:$T$44,$CU27,CF$57),""),2,1)="(",LEFT(IFERROR(INDEX(醫師週班表!$C$5:$T$44,$CU27,CF$57),""),1),IFERROR(INDEX(醫師週班表!$C$5:$T$44,$CU27,CF$57),"")))))))</f>
        <v/>
      </c>
      <c r="CG27" s="72">
        <f>IF(CG$59="X","",IF(CG$59&lt;&gt;"",CG$59,IF(IFERROR(INDEX(醫師週班表!$C$5:$T$44,$CU27,CG$57),"")=0,"",IF(MID(IFERROR(INDEX(醫師週班表!$C$5:$T$44,$CU27,CG$57),""),2,1)="/",MID(IFERROR(INDEX(醫師週班表!$C$5:$T$44,$CU27,CG$57),""),1+CG$58*2,1),IF(MID(IFERROR(INDEX(醫師週班表!$C$5:$T$44,$CU27,CG$57),""),3,1)="隔",IF(CG$58=0,LEFT(IFERROR(INDEX(醫師週班表!$C$5:$T$44,$CU27,CG$57),""),1),""),IF(MID(IFERROR(INDEX(醫師週班表!$C$5:$T$44,$CU27,CG$57),""),2,1)="(",LEFT(IFERROR(INDEX(醫師週班表!$C$5:$T$44,$CU27,CG$57),""),1),IFERROR(INDEX(醫師週班表!$C$5:$T$44,$CU27,CG$57),"")))))))</f>
        <v/>
      </c>
      <c r="CH27" s="71">
        <f>IF(CH$59="X","",IF(CH$59&lt;&gt;"",CH$59,IF(IFERROR(INDEX(醫師週班表!$C$5:$T$44,$CU27,CH$57),"")=0,"",IF(MID(IFERROR(INDEX(醫師週班表!$C$5:$T$44,$CU27,CH$57),""),2,1)="/",MID(IFERROR(INDEX(醫師週班表!$C$5:$T$44,$CU27,CH$57),""),1+CH$58*2,1),IF(MID(IFERROR(INDEX(醫師週班表!$C$5:$T$44,$CU27,CH$57),""),3,1)="隔",IF(CH$58=0,LEFT(IFERROR(INDEX(醫師週班表!$C$5:$T$44,$CU27,CH$57),""),1),""),IF(MID(IFERROR(INDEX(醫師週班表!$C$5:$T$44,$CU27,CH$57),""),2,1)="(",LEFT(IFERROR(INDEX(醫師週班表!$C$5:$T$44,$CU27,CH$57),""),1),IFERROR(INDEX(醫師週班表!$C$5:$T$44,$CU27,CH$57),"")))))))</f>
        <v/>
      </c>
      <c r="CI27" s="72">
        <f>IF(CI$59="X","",IF(CI$59&lt;&gt;"",CI$59,IF(IFERROR(INDEX(醫師週班表!$C$5:$T$44,$CU27,CI$57),"")=0,"",IF(MID(IFERROR(INDEX(醫師週班表!$C$5:$T$44,$CU27,CI$57),""),2,1)="/",MID(IFERROR(INDEX(醫師週班表!$C$5:$T$44,$CU27,CI$57),""),1+CI$58*2,1),IF(MID(IFERROR(INDEX(醫師週班表!$C$5:$T$44,$CU27,CI$57),""),3,1)="隔",IF(CI$58=0,LEFT(IFERROR(INDEX(醫師週班表!$C$5:$T$44,$CU27,CI$57),""),1),""),IF(MID(IFERROR(INDEX(醫師週班表!$C$5:$T$44,$CU27,CI$57),""),2,1)="(",LEFT(IFERROR(INDEX(醫師週班表!$C$5:$T$44,$CU27,CI$57),""),1),IFERROR(INDEX(醫師週班表!$C$5:$T$44,$CU27,CI$57),"")))))))</f>
        <v/>
      </c>
      <c r="CJ27" s="72">
        <f>IF(CJ$59="X","",IF(CJ$59&lt;&gt;"",CJ$59,IF(IFERROR(INDEX(醫師週班表!$C$5:$T$44,$CU27,CJ$57),"")=0,"",IF(MID(IFERROR(INDEX(醫師週班表!$C$5:$T$44,$CU27,CJ$57),""),2,1)="/",MID(IFERROR(INDEX(醫師週班表!$C$5:$T$44,$CU27,CJ$57),""),1+CJ$58*2,1),IF(MID(IFERROR(INDEX(醫師週班表!$C$5:$T$44,$CU27,CJ$57),""),3,1)="隔",IF(CJ$58=0,LEFT(IFERROR(INDEX(醫師週班表!$C$5:$T$44,$CU27,CJ$57),""),1),""),IF(MID(IFERROR(INDEX(醫師週班表!$C$5:$T$44,$CU27,CJ$57),""),2,1)="(",LEFT(IFERROR(INDEX(醫師週班表!$C$5:$T$44,$CU27,CJ$57),""),1),IFERROR(INDEX(醫師週班表!$C$5:$T$44,$CU27,CJ$57),"")))))))</f>
        <v/>
      </c>
      <c r="CK27" s="71">
        <f>IF(CK$59="X","",IF(CK$59&lt;&gt;"",CK$59,IF(IFERROR(INDEX(醫師週班表!$C$5:$T$44,$CU27,CK$57),"")=0,"",IF(MID(IFERROR(INDEX(醫師週班表!$C$5:$T$44,$CU27,CK$57),""),2,1)="/",MID(IFERROR(INDEX(醫師週班表!$C$5:$T$44,$CU27,CK$57),""),1+CK$58*2,1),IF(MID(IFERROR(INDEX(醫師週班表!$C$5:$T$44,$CU27,CK$57),""),3,1)="隔",IF(CK$58=0,LEFT(IFERROR(INDEX(醫師週班表!$C$5:$T$44,$CU27,CK$57),""),1),""),IF(MID(IFERROR(INDEX(醫師週班表!$C$5:$T$44,$CU27,CK$57),""),2,1)="(",LEFT(IFERROR(INDEX(醫師週班表!$C$5:$T$44,$CU27,CK$57),""),1),IFERROR(INDEX(醫師週班表!$C$5:$T$44,$CU27,CK$57),"")))))))</f>
        <v/>
      </c>
      <c r="CL27" s="72">
        <f>IF(CL$59="X","",IF(CL$59&lt;&gt;"",CL$59,IF(IFERROR(INDEX(醫師週班表!$C$5:$T$44,$CU27,CL$57),"")=0,"",IF(MID(IFERROR(INDEX(醫師週班表!$C$5:$T$44,$CU27,CL$57),""),2,1)="/",MID(IFERROR(INDEX(醫師週班表!$C$5:$T$44,$CU27,CL$57),""),1+CL$58*2,1),IF(MID(IFERROR(INDEX(醫師週班表!$C$5:$T$44,$CU27,CL$57),""),3,1)="隔",IF(CL$58=0,LEFT(IFERROR(INDEX(醫師週班表!$C$5:$T$44,$CU27,CL$57),""),1),""),IF(MID(IFERROR(INDEX(醫師週班表!$C$5:$T$44,$CU27,CL$57),""),2,1)="(",LEFT(IFERROR(INDEX(醫師週班表!$C$5:$T$44,$CU27,CL$57),""),1),IFERROR(INDEX(醫師週班表!$C$5:$T$44,$CU27,CL$57),"")))))))</f>
        <v/>
      </c>
      <c r="CM27" s="72">
        <f>IF(CM$59="X","",IF(CM$59&lt;&gt;"",CM$59,IF(IFERROR(INDEX(醫師週班表!$C$5:$T$44,$CU27,CM$57),"")=0,"",IF(MID(IFERROR(INDEX(醫師週班表!$C$5:$T$44,$CU27,CM$57),""),2,1)="/",MID(IFERROR(INDEX(醫師週班表!$C$5:$T$44,$CU27,CM$57),""),1+CM$58*2,1),IF(MID(IFERROR(INDEX(醫師週班表!$C$5:$T$44,$CU27,CM$57),""),3,1)="隔",IF(CM$58=0,LEFT(IFERROR(INDEX(醫師週班表!$C$5:$T$44,$CU27,CM$57),""),1),""),IF(MID(IFERROR(INDEX(醫師週班表!$C$5:$T$44,$CU27,CM$57),""),2,1)="(",LEFT(IFERROR(INDEX(醫師週班表!$C$5:$T$44,$CU27,CM$57),""),1),IFERROR(INDEX(醫師週班表!$C$5:$T$44,$CU27,CM$57),"")))))))</f>
        <v/>
      </c>
      <c r="CN27" s="71">
        <f>IF(CN$59="X","",IF(CN$59&lt;&gt;"",CN$59,IF(IFERROR(INDEX(醫師週班表!$C$5:$T$44,$CU27,CN$57),"")=0,"",IF(MID(IFERROR(INDEX(醫師週班表!$C$5:$T$44,$CU27,CN$57),""),2,1)="/",MID(IFERROR(INDEX(醫師週班表!$C$5:$T$44,$CU27,CN$57),""),1+CN$58*2,1),IF(MID(IFERROR(INDEX(醫師週班表!$C$5:$T$44,$CU27,CN$57),""),3,1)="隔",IF(CN$58=0,LEFT(IFERROR(INDEX(醫師週班表!$C$5:$T$44,$CU27,CN$57),""),1),""),IF(MID(IFERROR(INDEX(醫師週班表!$C$5:$T$44,$CU27,CN$57),""),2,1)="(",LEFT(IFERROR(INDEX(醫師週班表!$C$5:$T$44,$CU27,CN$57),""),1),IFERROR(INDEX(醫師週班表!$C$5:$T$44,$CU27,CN$57),"")))))))</f>
        <v/>
      </c>
      <c r="CO27" s="72">
        <f>IF(CO$59="X","",IF(CO$59&lt;&gt;"",CO$59,IF(IFERROR(INDEX(醫師週班表!$C$5:$T$44,$CU27,CO$57),"")=0,"",IF(MID(IFERROR(INDEX(醫師週班表!$C$5:$T$44,$CU27,CO$57),""),2,1)="/",MID(IFERROR(INDEX(醫師週班表!$C$5:$T$44,$CU27,CO$57),""),1+CO$58*2,1),IF(MID(IFERROR(INDEX(醫師週班表!$C$5:$T$44,$CU27,CO$57),""),3,1)="隔",IF(CO$58=0,LEFT(IFERROR(INDEX(醫師週班表!$C$5:$T$44,$CU27,CO$57),""),1),""),IF(MID(IFERROR(INDEX(醫師週班表!$C$5:$T$44,$CU27,CO$57),""),2,1)="(",LEFT(IFERROR(INDEX(醫師週班表!$C$5:$T$44,$CU27,CO$57),""),1),IFERROR(INDEX(醫師週班表!$C$5:$T$44,$CU27,CO$57),"")))))))</f>
        <v/>
      </c>
      <c r="CP27" s="72">
        <f>IF(CP$59="X","",IF(CP$59&lt;&gt;"",CP$59,IF(IFERROR(INDEX(醫師週班表!$C$5:$T$44,$CU27,CP$57),"")=0,"",IF(MID(IFERROR(INDEX(醫師週班表!$C$5:$T$44,$CU27,CP$57),""),2,1)="/",MID(IFERROR(INDEX(醫師週班表!$C$5:$T$44,$CU27,CP$57),""),1+CP$58*2,1),IF(MID(IFERROR(INDEX(醫師週班表!$C$5:$T$44,$CU27,CP$57),""),3,1)="隔",IF(CP$58=0,LEFT(IFERROR(INDEX(醫師週班表!$C$5:$T$44,$CU27,CP$57),""),1),""),IF(MID(IFERROR(INDEX(醫師週班表!$C$5:$T$44,$CU27,CP$57),""),2,1)="(",LEFT(IFERROR(INDEX(醫師週班表!$C$5:$T$44,$CU27,CP$57),""),1),IFERROR(INDEX(醫師週班表!$C$5:$T$44,$CU27,CP$57),"")))))))</f>
        <v/>
      </c>
      <c r="CQ27" s="71">
        <f>IF(CQ$59="X","",IF(CQ$59&lt;&gt;"",CQ$59,IF(IFERROR(INDEX(醫師週班表!$C$5:$T$44,$CU27,CQ$57),"")=0,"",IF(MID(IFERROR(INDEX(醫師週班表!$C$5:$T$44,$CU27,CQ$57),""),2,1)="/",MID(IFERROR(INDEX(醫師週班表!$C$5:$T$44,$CU27,CQ$57),""),1+CQ$58*2,1),IF(MID(IFERROR(INDEX(醫師週班表!$C$5:$T$44,$CU27,CQ$57),""),3,1)="隔",IF(CQ$58=0,LEFT(IFERROR(INDEX(醫師週班表!$C$5:$T$44,$CU27,CQ$57),""),1),""),IF(MID(IFERROR(INDEX(醫師週班表!$C$5:$T$44,$CU27,CQ$57),""),2,1)="(",LEFT(IFERROR(INDEX(醫師週班表!$C$5:$T$44,$CU27,CQ$57),""),1),IFERROR(INDEX(醫師週班表!$C$5:$T$44,$CU27,CQ$57),"")))))))</f>
        <v/>
      </c>
      <c r="CR27" s="72">
        <f>IF(CR$59="X","",IF(CR$59&lt;&gt;"",CR$59,IF(IFERROR(INDEX(醫師週班表!$C$5:$T$44,$CU27,CR$57),"")=0,"",IF(MID(IFERROR(INDEX(醫師週班表!$C$5:$T$44,$CU27,CR$57),""),2,1)="/",MID(IFERROR(INDEX(醫師週班表!$C$5:$T$44,$CU27,CR$57),""),1+CR$58*2,1),IF(MID(IFERROR(INDEX(醫師週班表!$C$5:$T$44,$CU27,CR$57),""),3,1)="隔",IF(CR$58=0,LEFT(IFERROR(INDEX(醫師週班表!$C$5:$T$44,$CU27,CR$57),""),1),""),IF(MID(IFERROR(INDEX(醫師週班表!$C$5:$T$44,$CU27,CR$57),""),2,1)="(",LEFT(IFERROR(INDEX(醫師週班表!$C$5:$T$44,$CU27,CR$57),""),1),IFERROR(INDEX(醫師週班表!$C$5:$T$44,$CU27,CR$57),"")))))))</f>
        <v/>
      </c>
      <c r="CS27" s="72">
        <f>IF(CS$59="X","",IF(CS$59&lt;&gt;"",CS$59,IF(IFERROR(INDEX(醫師週班表!$C$5:$T$44,$CU27,CS$57),"")=0,"",IF(MID(IFERROR(INDEX(醫師週班表!$C$5:$T$44,$CU27,CS$57),""),2,1)="/",MID(IFERROR(INDEX(醫師週班表!$C$5:$T$44,$CU27,CS$57),""),1+CS$58*2,1),IF(MID(IFERROR(INDEX(醫師週班表!$C$5:$T$44,$CU27,CS$57),""),3,1)="隔",IF(CS$58=0,LEFT(IFERROR(INDEX(醫師週班表!$C$5:$T$44,$CU27,CS$57),""),1),""),IF(MID(IFERROR(INDEX(醫師週班表!$C$5:$T$44,$CU27,CS$57),""),2,1)="(",LEFT(IFERROR(INDEX(醫師週班表!$C$5:$T$44,$CU27,CS$57),""),1),IFERROR(INDEX(醫師週班表!$C$5:$T$44,$CU27,CS$57),"")))))))</f>
        <v/>
      </c>
      <c r="CU27" s="73">
        <f>IFERROR(MATCH($A27,醫師週班表!$A$5:$A$44,0),0)</f>
        <v/>
      </c>
    </row>
    <row r="28" ht="17" customHeight="1">
      <c r="A28" s="19" t="inlineStr">
        <is>
          <t>D023</t>
        </is>
      </c>
      <c r="B28" s="16" t="inlineStr">
        <is>
          <t>黃婷愉</t>
        </is>
      </c>
      <c r="C28" s="70" t="inlineStr">
        <is>
          <t>口外</t>
        </is>
      </c>
      <c r="D28" s="16" t="inlineStr"/>
      <c r="E28" s="71">
        <f>IF(E$59="X","",IF(E$59&lt;&gt;"",E$59,IF(IFERROR(INDEX(醫師週班表!$C$5:$T$44,$CU28,E$57),"")=0,"",IF(MID(IFERROR(INDEX(醫師週班表!$C$5:$T$44,$CU28,E$57),""),2,1)="/",MID(IFERROR(INDEX(醫師週班表!$C$5:$T$44,$CU28,E$57),""),1+E$58*2,1),IF(MID(IFERROR(INDEX(醫師週班表!$C$5:$T$44,$CU28,E$57),""),3,1)="隔",IF(E$58=0,LEFT(IFERROR(INDEX(醫師週班表!$C$5:$T$44,$CU28,E$57),""),1),""),IF(MID(IFERROR(INDEX(醫師週班表!$C$5:$T$44,$CU28,E$57),""),2,1)="(",LEFT(IFERROR(INDEX(醫師週班表!$C$5:$T$44,$CU28,E$57),""),1),IFERROR(INDEX(醫師週班表!$C$5:$T$44,$CU28,E$57),"")))))))</f>
        <v/>
      </c>
      <c r="F28" s="72">
        <f>IF(F$59="X","",IF(F$59&lt;&gt;"",F$59,IF(IFERROR(INDEX(醫師週班表!$C$5:$T$44,$CU28,F$57),"")=0,"",IF(MID(IFERROR(INDEX(醫師週班表!$C$5:$T$44,$CU28,F$57),""),2,1)="/",MID(IFERROR(INDEX(醫師週班表!$C$5:$T$44,$CU28,F$57),""),1+F$58*2,1),IF(MID(IFERROR(INDEX(醫師週班表!$C$5:$T$44,$CU28,F$57),""),3,1)="隔",IF(F$58=0,LEFT(IFERROR(INDEX(醫師週班表!$C$5:$T$44,$CU28,F$57),""),1),""),IF(MID(IFERROR(INDEX(醫師週班表!$C$5:$T$44,$CU28,F$57),""),2,1)="(",LEFT(IFERROR(INDEX(醫師週班表!$C$5:$T$44,$CU28,F$57),""),1),IFERROR(INDEX(醫師週班表!$C$5:$T$44,$CU28,F$57),"")))))))</f>
        <v/>
      </c>
      <c r="G28" s="72">
        <f>IF(G$59="X","",IF(G$59&lt;&gt;"",G$59,IF(IFERROR(INDEX(醫師週班表!$C$5:$T$44,$CU28,G$57),"")=0,"",IF(MID(IFERROR(INDEX(醫師週班表!$C$5:$T$44,$CU28,G$57),""),2,1)="/",MID(IFERROR(INDEX(醫師週班表!$C$5:$T$44,$CU28,G$57),""),1+G$58*2,1),IF(MID(IFERROR(INDEX(醫師週班表!$C$5:$T$44,$CU28,G$57),""),3,1)="隔",IF(G$58=0,LEFT(IFERROR(INDEX(醫師週班表!$C$5:$T$44,$CU28,G$57),""),1),""),IF(MID(IFERROR(INDEX(醫師週班表!$C$5:$T$44,$CU28,G$57),""),2,1)="(",LEFT(IFERROR(INDEX(醫師週班表!$C$5:$T$44,$CU28,G$57),""),1),IFERROR(INDEX(醫師週班表!$C$5:$T$44,$CU28,G$57),"")))))))</f>
        <v/>
      </c>
      <c r="H28" s="71">
        <f>IF(H$59="X","",IF(H$59&lt;&gt;"",H$59,IF(IFERROR(INDEX(醫師週班表!$C$5:$T$44,$CU28,H$57),"")=0,"",IF(MID(IFERROR(INDEX(醫師週班表!$C$5:$T$44,$CU28,H$57),""),2,1)="/",MID(IFERROR(INDEX(醫師週班表!$C$5:$T$44,$CU28,H$57),""),1+H$58*2,1),IF(MID(IFERROR(INDEX(醫師週班表!$C$5:$T$44,$CU28,H$57),""),3,1)="隔",IF(H$58=0,LEFT(IFERROR(INDEX(醫師週班表!$C$5:$T$44,$CU28,H$57),""),1),""),IF(MID(IFERROR(INDEX(醫師週班表!$C$5:$T$44,$CU28,H$57),""),2,1)="(",LEFT(IFERROR(INDEX(醫師週班表!$C$5:$T$44,$CU28,H$57),""),1),IFERROR(INDEX(醫師週班表!$C$5:$T$44,$CU28,H$57),"")))))))</f>
        <v/>
      </c>
      <c r="I28" s="72">
        <f>IF(I$59="X","",IF(I$59&lt;&gt;"",I$59,IF(IFERROR(INDEX(醫師週班表!$C$5:$T$44,$CU28,I$57),"")=0,"",IF(MID(IFERROR(INDEX(醫師週班表!$C$5:$T$44,$CU28,I$57),""),2,1)="/",MID(IFERROR(INDEX(醫師週班表!$C$5:$T$44,$CU28,I$57),""),1+I$58*2,1),IF(MID(IFERROR(INDEX(醫師週班表!$C$5:$T$44,$CU28,I$57),""),3,1)="隔",IF(I$58=0,LEFT(IFERROR(INDEX(醫師週班表!$C$5:$T$44,$CU28,I$57),""),1),""),IF(MID(IFERROR(INDEX(醫師週班表!$C$5:$T$44,$CU28,I$57),""),2,1)="(",LEFT(IFERROR(INDEX(醫師週班表!$C$5:$T$44,$CU28,I$57),""),1),IFERROR(INDEX(醫師週班表!$C$5:$T$44,$CU28,I$57),"")))))))</f>
        <v/>
      </c>
      <c r="J28" s="72">
        <f>IF(J$59="X","",IF(J$59&lt;&gt;"",J$59,IF(IFERROR(INDEX(醫師週班表!$C$5:$T$44,$CU28,J$57),"")=0,"",IF(MID(IFERROR(INDEX(醫師週班表!$C$5:$T$44,$CU28,J$57),""),2,1)="/",MID(IFERROR(INDEX(醫師週班表!$C$5:$T$44,$CU28,J$57),""),1+J$58*2,1),IF(MID(IFERROR(INDEX(醫師週班表!$C$5:$T$44,$CU28,J$57),""),3,1)="隔",IF(J$58=0,LEFT(IFERROR(INDEX(醫師週班表!$C$5:$T$44,$CU28,J$57),""),1),""),IF(MID(IFERROR(INDEX(醫師週班表!$C$5:$T$44,$CU28,J$57),""),2,1)="(",LEFT(IFERROR(INDEX(醫師週班表!$C$5:$T$44,$CU28,J$57),""),1),IFERROR(INDEX(醫師週班表!$C$5:$T$44,$CU28,J$57),"")))))))</f>
        <v/>
      </c>
      <c r="K28" s="71">
        <f>IF(K$59="X","",IF(K$59&lt;&gt;"",K$59,IF(IFERROR(INDEX(醫師週班表!$C$5:$T$44,$CU28,K$57),"")=0,"",IF(MID(IFERROR(INDEX(醫師週班表!$C$5:$T$44,$CU28,K$57),""),2,1)="/",MID(IFERROR(INDEX(醫師週班表!$C$5:$T$44,$CU28,K$57),""),1+K$58*2,1),IF(MID(IFERROR(INDEX(醫師週班表!$C$5:$T$44,$CU28,K$57),""),3,1)="隔",IF(K$58=0,LEFT(IFERROR(INDEX(醫師週班表!$C$5:$T$44,$CU28,K$57),""),1),""),IF(MID(IFERROR(INDEX(醫師週班表!$C$5:$T$44,$CU28,K$57),""),2,1)="(",LEFT(IFERROR(INDEX(醫師週班表!$C$5:$T$44,$CU28,K$57),""),1),IFERROR(INDEX(醫師週班表!$C$5:$T$44,$CU28,K$57),"")))))))</f>
        <v/>
      </c>
      <c r="L28" s="72">
        <f>IF(L$59="X","",IF(L$59&lt;&gt;"",L$59,IF(IFERROR(INDEX(醫師週班表!$C$5:$T$44,$CU28,L$57),"")=0,"",IF(MID(IFERROR(INDEX(醫師週班表!$C$5:$T$44,$CU28,L$57),""),2,1)="/",MID(IFERROR(INDEX(醫師週班表!$C$5:$T$44,$CU28,L$57),""),1+L$58*2,1),IF(MID(IFERROR(INDEX(醫師週班表!$C$5:$T$44,$CU28,L$57),""),3,1)="隔",IF(L$58=0,LEFT(IFERROR(INDEX(醫師週班表!$C$5:$T$44,$CU28,L$57),""),1),""),IF(MID(IFERROR(INDEX(醫師週班表!$C$5:$T$44,$CU28,L$57),""),2,1)="(",LEFT(IFERROR(INDEX(醫師週班表!$C$5:$T$44,$CU28,L$57),""),1),IFERROR(INDEX(醫師週班表!$C$5:$T$44,$CU28,L$57),"")))))))</f>
        <v/>
      </c>
      <c r="M28" s="72">
        <f>IF(M$59="X","",IF(M$59&lt;&gt;"",M$59,IF(IFERROR(INDEX(醫師週班表!$C$5:$T$44,$CU28,M$57),"")=0,"",IF(MID(IFERROR(INDEX(醫師週班表!$C$5:$T$44,$CU28,M$57),""),2,1)="/",MID(IFERROR(INDEX(醫師週班表!$C$5:$T$44,$CU28,M$57),""),1+M$58*2,1),IF(MID(IFERROR(INDEX(醫師週班表!$C$5:$T$44,$CU28,M$57),""),3,1)="隔",IF(M$58=0,LEFT(IFERROR(INDEX(醫師週班表!$C$5:$T$44,$CU28,M$57),""),1),""),IF(MID(IFERROR(INDEX(醫師週班表!$C$5:$T$44,$CU28,M$57),""),2,1)="(",LEFT(IFERROR(INDEX(醫師週班表!$C$5:$T$44,$CU28,M$57),""),1),IFERROR(INDEX(醫師週班表!$C$5:$T$44,$CU28,M$57),"")))))))</f>
        <v/>
      </c>
      <c r="N28" s="71">
        <f>IF(N$59="X","",IF(N$59&lt;&gt;"",N$59,IF(IFERROR(INDEX(醫師週班表!$C$5:$T$44,$CU28,N$57),"")=0,"",IF(MID(IFERROR(INDEX(醫師週班表!$C$5:$T$44,$CU28,N$57),""),2,1)="/",MID(IFERROR(INDEX(醫師週班表!$C$5:$T$44,$CU28,N$57),""),1+N$58*2,1),IF(MID(IFERROR(INDEX(醫師週班表!$C$5:$T$44,$CU28,N$57),""),3,1)="隔",IF(N$58=0,LEFT(IFERROR(INDEX(醫師週班表!$C$5:$T$44,$CU28,N$57),""),1),""),IF(MID(IFERROR(INDEX(醫師週班表!$C$5:$T$44,$CU28,N$57),""),2,1)="(",LEFT(IFERROR(INDEX(醫師週班表!$C$5:$T$44,$CU28,N$57),""),1),IFERROR(INDEX(醫師週班表!$C$5:$T$44,$CU28,N$57),"")))))))</f>
        <v/>
      </c>
      <c r="O28" s="72">
        <f>IF(O$59="X","",IF(O$59&lt;&gt;"",O$59,IF(IFERROR(INDEX(醫師週班表!$C$5:$T$44,$CU28,O$57),"")=0,"",IF(MID(IFERROR(INDEX(醫師週班表!$C$5:$T$44,$CU28,O$57),""),2,1)="/",MID(IFERROR(INDEX(醫師週班表!$C$5:$T$44,$CU28,O$57),""),1+O$58*2,1),IF(MID(IFERROR(INDEX(醫師週班表!$C$5:$T$44,$CU28,O$57),""),3,1)="隔",IF(O$58=0,LEFT(IFERROR(INDEX(醫師週班表!$C$5:$T$44,$CU28,O$57),""),1),""),IF(MID(IFERROR(INDEX(醫師週班表!$C$5:$T$44,$CU28,O$57),""),2,1)="(",LEFT(IFERROR(INDEX(醫師週班表!$C$5:$T$44,$CU28,O$57),""),1),IFERROR(INDEX(醫師週班表!$C$5:$T$44,$CU28,O$57),"")))))))</f>
        <v/>
      </c>
      <c r="P28" s="72">
        <f>IF(P$59="X","",IF(P$59&lt;&gt;"",P$59,IF(IFERROR(INDEX(醫師週班表!$C$5:$T$44,$CU28,P$57),"")=0,"",IF(MID(IFERROR(INDEX(醫師週班表!$C$5:$T$44,$CU28,P$57),""),2,1)="/",MID(IFERROR(INDEX(醫師週班表!$C$5:$T$44,$CU28,P$57),""),1+P$58*2,1),IF(MID(IFERROR(INDEX(醫師週班表!$C$5:$T$44,$CU28,P$57),""),3,1)="隔",IF(P$58=0,LEFT(IFERROR(INDEX(醫師週班表!$C$5:$T$44,$CU28,P$57),""),1),""),IF(MID(IFERROR(INDEX(醫師週班表!$C$5:$T$44,$CU28,P$57),""),2,1)="(",LEFT(IFERROR(INDEX(醫師週班表!$C$5:$T$44,$CU28,P$57),""),1),IFERROR(INDEX(醫師週班表!$C$5:$T$44,$CU28,P$57),"")))))))</f>
        <v/>
      </c>
      <c r="Q28" s="71">
        <f>IF(Q$59="X","",IF(Q$59&lt;&gt;"",Q$59,IF(IFERROR(INDEX(醫師週班表!$C$5:$T$44,$CU28,Q$57),"")=0,"",IF(MID(IFERROR(INDEX(醫師週班表!$C$5:$T$44,$CU28,Q$57),""),2,1)="/",MID(IFERROR(INDEX(醫師週班表!$C$5:$T$44,$CU28,Q$57),""),1+Q$58*2,1),IF(MID(IFERROR(INDEX(醫師週班表!$C$5:$T$44,$CU28,Q$57),""),3,1)="隔",IF(Q$58=0,LEFT(IFERROR(INDEX(醫師週班表!$C$5:$T$44,$CU28,Q$57),""),1),""),IF(MID(IFERROR(INDEX(醫師週班表!$C$5:$T$44,$CU28,Q$57),""),2,1)="(",LEFT(IFERROR(INDEX(醫師週班表!$C$5:$T$44,$CU28,Q$57),""),1),IFERROR(INDEX(醫師週班表!$C$5:$T$44,$CU28,Q$57),"")))))))</f>
        <v/>
      </c>
      <c r="R28" s="72">
        <f>IF(R$59="X","",IF(R$59&lt;&gt;"",R$59,IF(IFERROR(INDEX(醫師週班表!$C$5:$T$44,$CU28,R$57),"")=0,"",IF(MID(IFERROR(INDEX(醫師週班表!$C$5:$T$44,$CU28,R$57),""),2,1)="/",MID(IFERROR(INDEX(醫師週班表!$C$5:$T$44,$CU28,R$57),""),1+R$58*2,1),IF(MID(IFERROR(INDEX(醫師週班表!$C$5:$T$44,$CU28,R$57),""),3,1)="隔",IF(R$58=0,LEFT(IFERROR(INDEX(醫師週班表!$C$5:$T$44,$CU28,R$57),""),1),""),IF(MID(IFERROR(INDEX(醫師週班表!$C$5:$T$44,$CU28,R$57),""),2,1)="(",LEFT(IFERROR(INDEX(醫師週班表!$C$5:$T$44,$CU28,R$57),""),1),IFERROR(INDEX(醫師週班表!$C$5:$T$44,$CU28,R$57),"")))))))</f>
        <v/>
      </c>
      <c r="S28" s="72">
        <f>IF(S$59="X","",IF(S$59&lt;&gt;"",S$59,IF(IFERROR(INDEX(醫師週班表!$C$5:$T$44,$CU28,S$57),"")=0,"",IF(MID(IFERROR(INDEX(醫師週班表!$C$5:$T$44,$CU28,S$57),""),2,1)="/",MID(IFERROR(INDEX(醫師週班表!$C$5:$T$44,$CU28,S$57),""),1+S$58*2,1),IF(MID(IFERROR(INDEX(醫師週班表!$C$5:$T$44,$CU28,S$57),""),3,1)="隔",IF(S$58=0,LEFT(IFERROR(INDEX(醫師週班表!$C$5:$T$44,$CU28,S$57),""),1),""),IF(MID(IFERROR(INDEX(醫師週班表!$C$5:$T$44,$CU28,S$57),""),2,1)="(",LEFT(IFERROR(INDEX(醫師週班表!$C$5:$T$44,$CU28,S$57),""),1),IFERROR(INDEX(醫師週班表!$C$5:$T$44,$CU28,S$57),"")))))))</f>
        <v/>
      </c>
      <c r="T28" s="71">
        <f>IF(T$59="X","",IF(T$59&lt;&gt;"",T$59,IF(IFERROR(INDEX(醫師週班表!$C$5:$T$44,$CU28,T$57),"")=0,"",IF(MID(IFERROR(INDEX(醫師週班表!$C$5:$T$44,$CU28,T$57),""),2,1)="/",MID(IFERROR(INDEX(醫師週班表!$C$5:$T$44,$CU28,T$57),""),1+T$58*2,1),IF(MID(IFERROR(INDEX(醫師週班表!$C$5:$T$44,$CU28,T$57),""),3,1)="隔",IF(T$58=0,LEFT(IFERROR(INDEX(醫師週班表!$C$5:$T$44,$CU28,T$57),""),1),""),IF(MID(IFERROR(INDEX(醫師週班表!$C$5:$T$44,$CU28,T$57),""),2,1)="(",LEFT(IFERROR(INDEX(醫師週班表!$C$5:$T$44,$CU28,T$57),""),1),IFERROR(INDEX(醫師週班表!$C$5:$T$44,$CU28,T$57),"")))))))</f>
        <v/>
      </c>
      <c r="U28" s="72">
        <f>IF(U$59="X","",IF(U$59&lt;&gt;"",U$59,IF(IFERROR(INDEX(醫師週班表!$C$5:$T$44,$CU28,U$57),"")=0,"",IF(MID(IFERROR(INDEX(醫師週班表!$C$5:$T$44,$CU28,U$57),""),2,1)="/",MID(IFERROR(INDEX(醫師週班表!$C$5:$T$44,$CU28,U$57),""),1+U$58*2,1),IF(MID(IFERROR(INDEX(醫師週班表!$C$5:$T$44,$CU28,U$57),""),3,1)="隔",IF(U$58=0,LEFT(IFERROR(INDEX(醫師週班表!$C$5:$T$44,$CU28,U$57),""),1),""),IF(MID(IFERROR(INDEX(醫師週班表!$C$5:$T$44,$CU28,U$57),""),2,1)="(",LEFT(IFERROR(INDEX(醫師週班表!$C$5:$T$44,$CU28,U$57),""),1),IFERROR(INDEX(醫師週班表!$C$5:$T$44,$CU28,U$57),"")))))))</f>
        <v/>
      </c>
      <c r="V28" s="72">
        <f>IF(V$59="X","",IF(V$59&lt;&gt;"",V$59,IF(IFERROR(INDEX(醫師週班表!$C$5:$T$44,$CU28,V$57),"")=0,"",IF(MID(IFERROR(INDEX(醫師週班表!$C$5:$T$44,$CU28,V$57),""),2,1)="/",MID(IFERROR(INDEX(醫師週班表!$C$5:$T$44,$CU28,V$57),""),1+V$58*2,1),IF(MID(IFERROR(INDEX(醫師週班表!$C$5:$T$44,$CU28,V$57),""),3,1)="隔",IF(V$58=0,LEFT(IFERROR(INDEX(醫師週班表!$C$5:$T$44,$CU28,V$57),""),1),""),IF(MID(IFERROR(INDEX(醫師週班表!$C$5:$T$44,$CU28,V$57),""),2,1)="(",LEFT(IFERROR(INDEX(醫師週班表!$C$5:$T$44,$CU28,V$57),""),1),IFERROR(INDEX(醫師週班表!$C$5:$T$44,$CU28,V$57),"")))))))</f>
        <v/>
      </c>
      <c r="W28" s="71">
        <f>IF(W$59="X","",IF(W$59&lt;&gt;"",W$59,IF(IFERROR(INDEX(醫師週班表!$C$5:$T$44,$CU28,W$57),"")=0,"",IF(MID(IFERROR(INDEX(醫師週班表!$C$5:$T$44,$CU28,W$57),""),2,1)="/",MID(IFERROR(INDEX(醫師週班表!$C$5:$T$44,$CU28,W$57),""),1+W$58*2,1),IF(MID(IFERROR(INDEX(醫師週班表!$C$5:$T$44,$CU28,W$57),""),3,1)="隔",IF(W$58=0,LEFT(IFERROR(INDEX(醫師週班表!$C$5:$T$44,$CU28,W$57),""),1),""),IF(MID(IFERROR(INDEX(醫師週班表!$C$5:$T$44,$CU28,W$57),""),2,1)="(",LEFT(IFERROR(INDEX(醫師週班表!$C$5:$T$44,$CU28,W$57),""),1),IFERROR(INDEX(醫師週班表!$C$5:$T$44,$CU28,W$57),"")))))))</f>
        <v/>
      </c>
      <c r="X28" s="72">
        <f>IF(X$59="X","",IF(X$59&lt;&gt;"",X$59,IF(IFERROR(INDEX(醫師週班表!$C$5:$T$44,$CU28,X$57),"")=0,"",IF(MID(IFERROR(INDEX(醫師週班表!$C$5:$T$44,$CU28,X$57),""),2,1)="/",MID(IFERROR(INDEX(醫師週班表!$C$5:$T$44,$CU28,X$57),""),1+X$58*2,1),IF(MID(IFERROR(INDEX(醫師週班表!$C$5:$T$44,$CU28,X$57),""),3,1)="隔",IF(X$58=0,LEFT(IFERROR(INDEX(醫師週班表!$C$5:$T$44,$CU28,X$57),""),1),""),IF(MID(IFERROR(INDEX(醫師週班表!$C$5:$T$44,$CU28,X$57),""),2,1)="(",LEFT(IFERROR(INDEX(醫師週班表!$C$5:$T$44,$CU28,X$57),""),1),IFERROR(INDEX(醫師週班表!$C$5:$T$44,$CU28,X$57),"")))))))</f>
        <v/>
      </c>
      <c r="Y28" s="72">
        <f>IF(Y$59="X","",IF(Y$59&lt;&gt;"",Y$59,IF(IFERROR(INDEX(醫師週班表!$C$5:$T$44,$CU28,Y$57),"")=0,"",IF(MID(IFERROR(INDEX(醫師週班表!$C$5:$T$44,$CU28,Y$57),""),2,1)="/",MID(IFERROR(INDEX(醫師週班表!$C$5:$T$44,$CU28,Y$57),""),1+Y$58*2,1),IF(MID(IFERROR(INDEX(醫師週班表!$C$5:$T$44,$CU28,Y$57),""),3,1)="隔",IF(Y$58=0,LEFT(IFERROR(INDEX(醫師週班表!$C$5:$T$44,$CU28,Y$57),""),1),""),IF(MID(IFERROR(INDEX(醫師週班表!$C$5:$T$44,$CU28,Y$57),""),2,1)="(",LEFT(IFERROR(INDEX(醫師週班表!$C$5:$T$44,$CU28,Y$57),""),1),IFERROR(INDEX(醫師週班表!$C$5:$T$44,$CU28,Y$57),"")))))))</f>
        <v/>
      </c>
      <c r="Z28" s="71">
        <f>IF(Z$59="X","",IF(Z$59&lt;&gt;"",Z$59,IF(IFERROR(INDEX(醫師週班表!$C$5:$T$44,$CU28,Z$57),"")=0,"",IF(MID(IFERROR(INDEX(醫師週班表!$C$5:$T$44,$CU28,Z$57),""),2,1)="/",MID(IFERROR(INDEX(醫師週班表!$C$5:$T$44,$CU28,Z$57),""),1+Z$58*2,1),IF(MID(IFERROR(INDEX(醫師週班表!$C$5:$T$44,$CU28,Z$57),""),3,1)="隔",IF(Z$58=0,LEFT(IFERROR(INDEX(醫師週班表!$C$5:$T$44,$CU28,Z$57),""),1),""),IF(MID(IFERROR(INDEX(醫師週班表!$C$5:$T$44,$CU28,Z$57),""),2,1)="(",LEFT(IFERROR(INDEX(醫師週班表!$C$5:$T$44,$CU28,Z$57),""),1),IFERROR(INDEX(醫師週班表!$C$5:$T$44,$CU28,Z$57),"")))))))</f>
        <v/>
      </c>
      <c r="AA28" s="72">
        <f>IF(AA$59="X","",IF(AA$59&lt;&gt;"",AA$59,IF(IFERROR(INDEX(醫師週班表!$C$5:$T$44,$CU28,AA$57),"")=0,"",IF(MID(IFERROR(INDEX(醫師週班表!$C$5:$T$44,$CU28,AA$57),""),2,1)="/",MID(IFERROR(INDEX(醫師週班表!$C$5:$T$44,$CU28,AA$57),""),1+AA$58*2,1),IF(MID(IFERROR(INDEX(醫師週班表!$C$5:$T$44,$CU28,AA$57),""),3,1)="隔",IF(AA$58=0,LEFT(IFERROR(INDEX(醫師週班表!$C$5:$T$44,$CU28,AA$57),""),1),""),IF(MID(IFERROR(INDEX(醫師週班表!$C$5:$T$44,$CU28,AA$57),""),2,1)="(",LEFT(IFERROR(INDEX(醫師週班表!$C$5:$T$44,$CU28,AA$57),""),1),IFERROR(INDEX(醫師週班表!$C$5:$T$44,$CU28,AA$57),"")))))))</f>
        <v/>
      </c>
      <c r="AB28" s="72">
        <f>IF(AB$59="X","",IF(AB$59&lt;&gt;"",AB$59,IF(IFERROR(INDEX(醫師週班表!$C$5:$T$44,$CU28,AB$57),"")=0,"",IF(MID(IFERROR(INDEX(醫師週班表!$C$5:$T$44,$CU28,AB$57),""),2,1)="/",MID(IFERROR(INDEX(醫師週班表!$C$5:$T$44,$CU28,AB$57),""),1+AB$58*2,1),IF(MID(IFERROR(INDEX(醫師週班表!$C$5:$T$44,$CU28,AB$57),""),3,1)="隔",IF(AB$58=0,LEFT(IFERROR(INDEX(醫師週班表!$C$5:$T$44,$CU28,AB$57),""),1),""),IF(MID(IFERROR(INDEX(醫師週班表!$C$5:$T$44,$CU28,AB$57),""),2,1)="(",LEFT(IFERROR(INDEX(醫師週班表!$C$5:$T$44,$CU28,AB$57),""),1),IFERROR(INDEX(醫師週班表!$C$5:$T$44,$CU28,AB$57),"")))))))</f>
        <v/>
      </c>
      <c r="AC28" s="71">
        <f>IF(AC$59="X","",IF(AC$59&lt;&gt;"",AC$59,IF(IFERROR(INDEX(醫師週班表!$C$5:$T$44,$CU28,AC$57),"")=0,"",IF(MID(IFERROR(INDEX(醫師週班表!$C$5:$T$44,$CU28,AC$57),""),2,1)="/",MID(IFERROR(INDEX(醫師週班表!$C$5:$T$44,$CU28,AC$57),""),1+AC$58*2,1),IF(MID(IFERROR(INDEX(醫師週班表!$C$5:$T$44,$CU28,AC$57),""),3,1)="隔",IF(AC$58=0,LEFT(IFERROR(INDEX(醫師週班表!$C$5:$T$44,$CU28,AC$57),""),1),""),IF(MID(IFERROR(INDEX(醫師週班表!$C$5:$T$44,$CU28,AC$57),""),2,1)="(",LEFT(IFERROR(INDEX(醫師週班表!$C$5:$T$44,$CU28,AC$57),""),1),IFERROR(INDEX(醫師週班表!$C$5:$T$44,$CU28,AC$57),"")))))))</f>
        <v/>
      </c>
      <c r="AD28" s="72">
        <f>IF(AD$59="X","",IF(AD$59&lt;&gt;"",AD$59,IF(IFERROR(INDEX(醫師週班表!$C$5:$T$44,$CU28,AD$57),"")=0,"",IF(MID(IFERROR(INDEX(醫師週班表!$C$5:$T$44,$CU28,AD$57),""),2,1)="/",MID(IFERROR(INDEX(醫師週班表!$C$5:$T$44,$CU28,AD$57),""),1+AD$58*2,1),IF(MID(IFERROR(INDEX(醫師週班表!$C$5:$T$44,$CU28,AD$57),""),3,1)="隔",IF(AD$58=0,LEFT(IFERROR(INDEX(醫師週班表!$C$5:$T$44,$CU28,AD$57),""),1),""),IF(MID(IFERROR(INDEX(醫師週班表!$C$5:$T$44,$CU28,AD$57),""),2,1)="(",LEFT(IFERROR(INDEX(醫師週班表!$C$5:$T$44,$CU28,AD$57),""),1),IFERROR(INDEX(醫師週班表!$C$5:$T$44,$CU28,AD$57),"")))))))</f>
        <v/>
      </c>
      <c r="AE28" s="72">
        <f>IF(AE$59="X","",IF(AE$59&lt;&gt;"",AE$59,IF(IFERROR(INDEX(醫師週班表!$C$5:$T$44,$CU28,AE$57),"")=0,"",IF(MID(IFERROR(INDEX(醫師週班表!$C$5:$T$44,$CU28,AE$57),""),2,1)="/",MID(IFERROR(INDEX(醫師週班表!$C$5:$T$44,$CU28,AE$57),""),1+AE$58*2,1),IF(MID(IFERROR(INDEX(醫師週班表!$C$5:$T$44,$CU28,AE$57),""),3,1)="隔",IF(AE$58=0,LEFT(IFERROR(INDEX(醫師週班表!$C$5:$T$44,$CU28,AE$57),""),1),""),IF(MID(IFERROR(INDEX(醫師週班表!$C$5:$T$44,$CU28,AE$57),""),2,1)="(",LEFT(IFERROR(INDEX(醫師週班表!$C$5:$T$44,$CU28,AE$57),""),1),IFERROR(INDEX(醫師週班表!$C$5:$T$44,$CU28,AE$57),"")))))))</f>
        <v/>
      </c>
      <c r="AF28" s="71">
        <f>IF(AF$59="X","",IF(AF$59&lt;&gt;"",AF$59,IF(IFERROR(INDEX(醫師週班表!$C$5:$T$44,$CU28,AF$57),"")=0,"",IF(MID(IFERROR(INDEX(醫師週班表!$C$5:$T$44,$CU28,AF$57),""),2,1)="/",MID(IFERROR(INDEX(醫師週班表!$C$5:$T$44,$CU28,AF$57),""),1+AF$58*2,1),IF(MID(IFERROR(INDEX(醫師週班表!$C$5:$T$44,$CU28,AF$57),""),3,1)="隔",IF(AF$58=0,LEFT(IFERROR(INDEX(醫師週班表!$C$5:$T$44,$CU28,AF$57),""),1),""),IF(MID(IFERROR(INDEX(醫師週班表!$C$5:$T$44,$CU28,AF$57),""),2,1)="(",LEFT(IFERROR(INDEX(醫師週班表!$C$5:$T$44,$CU28,AF$57),""),1),IFERROR(INDEX(醫師週班表!$C$5:$T$44,$CU28,AF$57),"")))))))</f>
        <v/>
      </c>
      <c r="AG28" s="72">
        <f>IF(AG$59="X","",IF(AG$59&lt;&gt;"",AG$59,IF(IFERROR(INDEX(醫師週班表!$C$5:$T$44,$CU28,AG$57),"")=0,"",IF(MID(IFERROR(INDEX(醫師週班表!$C$5:$T$44,$CU28,AG$57),""),2,1)="/",MID(IFERROR(INDEX(醫師週班表!$C$5:$T$44,$CU28,AG$57),""),1+AG$58*2,1),IF(MID(IFERROR(INDEX(醫師週班表!$C$5:$T$44,$CU28,AG$57),""),3,1)="隔",IF(AG$58=0,LEFT(IFERROR(INDEX(醫師週班表!$C$5:$T$44,$CU28,AG$57),""),1),""),IF(MID(IFERROR(INDEX(醫師週班表!$C$5:$T$44,$CU28,AG$57),""),2,1)="(",LEFT(IFERROR(INDEX(醫師週班表!$C$5:$T$44,$CU28,AG$57),""),1),IFERROR(INDEX(醫師週班表!$C$5:$T$44,$CU28,AG$57),"")))))))</f>
        <v/>
      </c>
      <c r="AH28" s="72">
        <f>IF(AH$59="X","",IF(AH$59&lt;&gt;"",AH$59,IF(IFERROR(INDEX(醫師週班表!$C$5:$T$44,$CU28,AH$57),"")=0,"",IF(MID(IFERROR(INDEX(醫師週班表!$C$5:$T$44,$CU28,AH$57),""),2,1)="/",MID(IFERROR(INDEX(醫師週班表!$C$5:$T$44,$CU28,AH$57),""),1+AH$58*2,1),IF(MID(IFERROR(INDEX(醫師週班表!$C$5:$T$44,$CU28,AH$57),""),3,1)="隔",IF(AH$58=0,LEFT(IFERROR(INDEX(醫師週班表!$C$5:$T$44,$CU28,AH$57),""),1),""),IF(MID(IFERROR(INDEX(醫師週班表!$C$5:$T$44,$CU28,AH$57),""),2,1)="(",LEFT(IFERROR(INDEX(醫師週班表!$C$5:$T$44,$CU28,AH$57),""),1),IFERROR(INDEX(醫師週班表!$C$5:$T$44,$CU28,AH$57),"")))))))</f>
        <v/>
      </c>
      <c r="AI28" s="71">
        <f>IF(AI$59="X","",IF(AI$59&lt;&gt;"",AI$59,IF(IFERROR(INDEX(醫師週班表!$C$5:$T$44,$CU28,AI$57),"")=0,"",IF(MID(IFERROR(INDEX(醫師週班表!$C$5:$T$44,$CU28,AI$57),""),2,1)="/",MID(IFERROR(INDEX(醫師週班表!$C$5:$T$44,$CU28,AI$57),""),1+AI$58*2,1),IF(MID(IFERROR(INDEX(醫師週班表!$C$5:$T$44,$CU28,AI$57),""),3,1)="隔",IF(AI$58=0,LEFT(IFERROR(INDEX(醫師週班表!$C$5:$T$44,$CU28,AI$57),""),1),""),IF(MID(IFERROR(INDEX(醫師週班表!$C$5:$T$44,$CU28,AI$57),""),2,1)="(",LEFT(IFERROR(INDEX(醫師週班表!$C$5:$T$44,$CU28,AI$57),""),1),IFERROR(INDEX(醫師週班表!$C$5:$T$44,$CU28,AI$57),"")))))))</f>
        <v/>
      </c>
      <c r="AJ28" s="72">
        <f>IF(AJ$59="X","",IF(AJ$59&lt;&gt;"",AJ$59,IF(IFERROR(INDEX(醫師週班表!$C$5:$T$44,$CU28,AJ$57),"")=0,"",IF(MID(IFERROR(INDEX(醫師週班表!$C$5:$T$44,$CU28,AJ$57),""),2,1)="/",MID(IFERROR(INDEX(醫師週班表!$C$5:$T$44,$CU28,AJ$57),""),1+AJ$58*2,1),IF(MID(IFERROR(INDEX(醫師週班表!$C$5:$T$44,$CU28,AJ$57),""),3,1)="隔",IF(AJ$58=0,LEFT(IFERROR(INDEX(醫師週班表!$C$5:$T$44,$CU28,AJ$57),""),1),""),IF(MID(IFERROR(INDEX(醫師週班表!$C$5:$T$44,$CU28,AJ$57),""),2,1)="(",LEFT(IFERROR(INDEX(醫師週班表!$C$5:$T$44,$CU28,AJ$57),""),1),IFERROR(INDEX(醫師週班表!$C$5:$T$44,$CU28,AJ$57),"")))))))</f>
        <v/>
      </c>
      <c r="AK28" s="72">
        <f>IF(AK$59="X","",IF(AK$59&lt;&gt;"",AK$59,IF(IFERROR(INDEX(醫師週班表!$C$5:$T$44,$CU28,AK$57),"")=0,"",IF(MID(IFERROR(INDEX(醫師週班表!$C$5:$T$44,$CU28,AK$57),""),2,1)="/",MID(IFERROR(INDEX(醫師週班表!$C$5:$T$44,$CU28,AK$57),""),1+AK$58*2,1),IF(MID(IFERROR(INDEX(醫師週班表!$C$5:$T$44,$CU28,AK$57),""),3,1)="隔",IF(AK$58=0,LEFT(IFERROR(INDEX(醫師週班表!$C$5:$T$44,$CU28,AK$57),""),1),""),IF(MID(IFERROR(INDEX(醫師週班表!$C$5:$T$44,$CU28,AK$57),""),2,1)="(",LEFT(IFERROR(INDEX(醫師週班表!$C$5:$T$44,$CU28,AK$57),""),1),IFERROR(INDEX(醫師週班表!$C$5:$T$44,$CU28,AK$57),"")))))))</f>
        <v/>
      </c>
      <c r="AL28" s="71">
        <f>IF(AL$59="X","",IF(AL$59&lt;&gt;"",AL$59,IF(IFERROR(INDEX(醫師週班表!$C$5:$T$44,$CU28,AL$57),"")=0,"",IF(MID(IFERROR(INDEX(醫師週班表!$C$5:$T$44,$CU28,AL$57),""),2,1)="/",MID(IFERROR(INDEX(醫師週班表!$C$5:$T$44,$CU28,AL$57),""),1+AL$58*2,1),IF(MID(IFERROR(INDEX(醫師週班表!$C$5:$T$44,$CU28,AL$57),""),3,1)="隔",IF(AL$58=0,LEFT(IFERROR(INDEX(醫師週班表!$C$5:$T$44,$CU28,AL$57),""),1),""),IF(MID(IFERROR(INDEX(醫師週班表!$C$5:$T$44,$CU28,AL$57),""),2,1)="(",LEFT(IFERROR(INDEX(醫師週班表!$C$5:$T$44,$CU28,AL$57),""),1),IFERROR(INDEX(醫師週班表!$C$5:$T$44,$CU28,AL$57),"")))))))</f>
        <v/>
      </c>
      <c r="AM28" s="72">
        <f>IF(AM$59="X","",IF(AM$59&lt;&gt;"",AM$59,IF(IFERROR(INDEX(醫師週班表!$C$5:$T$44,$CU28,AM$57),"")=0,"",IF(MID(IFERROR(INDEX(醫師週班表!$C$5:$T$44,$CU28,AM$57),""),2,1)="/",MID(IFERROR(INDEX(醫師週班表!$C$5:$T$44,$CU28,AM$57),""),1+AM$58*2,1),IF(MID(IFERROR(INDEX(醫師週班表!$C$5:$T$44,$CU28,AM$57),""),3,1)="隔",IF(AM$58=0,LEFT(IFERROR(INDEX(醫師週班表!$C$5:$T$44,$CU28,AM$57),""),1),""),IF(MID(IFERROR(INDEX(醫師週班表!$C$5:$T$44,$CU28,AM$57),""),2,1)="(",LEFT(IFERROR(INDEX(醫師週班表!$C$5:$T$44,$CU28,AM$57),""),1),IFERROR(INDEX(醫師週班表!$C$5:$T$44,$CU28,AM$57),"")))))))</f>
        <v/>
      </c>
      <c r="AN28" s="72">
        <f>IF(AN$59="X","",IF(AN$59&lt;&gt;"",AN$59,IF(IFERROR(INDEX(醫師週班表!$C$5:$T$44,$CU28,AN$57),"")=0,"",IF(MID(IFERROR(INDEX(醫師週班表!$C$5:$T$44,$CU28,AN$57),""),2,1)="/",MID(IFERROR(INDEX(醫師週班表!$C$5:$T$44,$CU28,AN$57),""),1+AN$58*2,1),IF(MID(IFERROR(INDEX(醫師週班表!$C$5:$T$44,$CU28,AN$57),""),3,1)="隔",IF(AN$58=0,LEFT(IFERROR(INDEX(醫師週班表!$C$5:$T$44,$CU28,AN$57),""),1),""),IF(MID(IFERROR(INDEX(醫師週班表!$C$5:$T$44,$CU28,AN$57),""),2,1)="(",LEFT(IFERROR(INDEX(醫師週班表!$C$5:$T$44,$CU28,AN$57),""),1),IFERROR(INDEX(醫師週班表!$C$5:$T$44,$CU28,AN$57),"")))))))</f>
        <v/>
      </c>
      <c r="AO28" s="71">
        <f>IF(AO$59="X","",IF(AO$59&lt;&gt;"",AO$59,IF(IFERROR(INDEX(醫師週班表!$C$5:$T$44,$CU28,AO$57),"")=0,"",IF(MID(IFERROR(INDEX(醫師週班表!$C$5:$T$44,$CU28,AO$57),""),2,1)="/",MID(IFERROR(INDEX(醫師週班表!$C$5:$T$44,$CU28,AO$57),""),1+AO$58*2,1),IF(MID(IFERROR(INDEX(醫師週班表!$C$5:$T$44,$CU28,AO$57),""),3,1)="隔",IF(AO$58=0,LEFT(IFERROR(INDEX(醫師週班表!$C$5:$T$44,$CU28,AO$57),""),1),""),IF(MID(IFERROR(INDEX(醫師週班表!$C$5:$T$44,$CU28,AO$57),""),2,1)="(",LEFT(IFERROR(INDEX(醫師週班表!$C$5:$T$44,$CU28,AO$57),""),1),IFERROR(INDEX(醫師週班表!$C$5:$T$44,$CU28,AO$57),"")))))))</f>
        <v/>
      </c>
      <c r="AP28" s="72">
        <f>IF(AP$59="X","",IF(AP$59&lt;&gt;"",AP$59,IF(IFERROR(INDEX(醫師週班表!$C$5:$T$44,$CU28,AP$57),"")=0,"",IF(MID(IFERROR(INDEX(醫師週班表!$C$5:$T$44,$CU28,AP$57),""),2,1)="/",MID(IFERROR(INDEX(醫師週班表!$C$5:$T$44,$CU28,AP$57),""),1+AP$58*2,1),IF(MID(IFERROR(INDEX(醫師週班表!$C$5:$T$44,$CU28,AP$57),""),3,1)="隔",IF(AP$58=0,LEFT(IFERROR(INDEX(醫師週班表!$C$5:$T$44,$CU28,AP$57),""),1),""),IF(MID(IFERROR(INDEX(醫師週班表!$C$5:$T$44,$CU28,AP$57),""),2,1)="(",LEFT(IFERROR(INDEX(醫師週班表!$C$5:$T$44,$CU28,AP$57),""),1),IFERROR(INDEX(醫師週班表!$C$5:$T$44,$CU28,AP$57),"")))))))</f>
        <v/>
      </c>
      <c r="AQ28" s="72">
        <f>IF(AQ$59="X","",IF(AQ$59&lt;&gt;"",AQ$59,IF(IFERROR(INDEX(醫師週班表!$C$5:$T$44,$CU28,AQ$57),"")=0,"",IF(MID(IFERROR(INDEX(醫師週班表!$C$5:$T$44,$CU28,AQ$57),""),2,1)="/",MID(IFERROR(INDEX(醫師週班表!$C$5:$T$44,$CU28,AQ$57),""),1+AQ$58*2,1),IF(MID(IFERROR(INDEX(醫師週班表!$C$5:$T$44,$CU28,AQ$57),""),3,1)="隔",IF(AQ$58=0,LEFT(IFERROR(INDEX(醫師週班表!$C$5:$T$44,$CU28,AQ$57),""),1),""),IF(MID(IFERROR(INDEX(醫師週班表!$C$5:$T$44,$CU28,AQ$57),""),2,1)="(",LEFT(IFERROR(INDEX(醫師週班表!$C$5:$T$44,$CU28,AQ$57),""),1),IFERROR(INDEX(醫師週班表!$C$5:$T$44,$CU28,AQ$57),"")))))))</f>
        <v/>
      </c>
      <c r="AR28" s="71">
        <f>IF(AR$59="X","",IF(AR$59&lt;&gt;"",AR$59,IF(IFERROR(INDEX(醫師週班表!$C$5:$T$44,$CU28,AR$57),"")=0,"",IF(MID(IFERROR(INDEX(醫師週班表!$C$5:$T$44,$CU28,AR$57),""),2,1)="/",MID(IFERROR(INDEX(醫師週班表!$C$5:$T$44,$CU28,AR$57),""),1+AR$58*2,1),IF(MID(IFERROR(INDEX(醫師週班表!$C$5:$T$44,$CU28,AR$57),""),3,1)="隔",IF(AR$58=0,LEFT(IFERROR(INDEX(醫師週班表!$C$5:$T$44,$CU28,AR$57),""),1),""),IF(MID(IFERROR(INDEX(醫師週班表!$C$5:$T$44,$CU28,AR$57),""),2,1)="(",LEFT(IFERROR(INDEX(醫師週班表!$C$5:$T$44,$CU28,AR$57),""),1),IFERROR(INDEX(醫師週班表!$C$5:$T$44,$CU28,AR$57),"")))))))</f>
        <v/>
      </c>
      <c r="AS28" s="72">
        <f>IF(AS$59="X","",IF(AS$59&lt;&gt;"",AS$59,IF(IFERROR(INDEX(醫師週班表!$C$5:$T$44,$CU28,AS$57),"")=0,"",IF(MID(IFERROR(INDEX(醫師週班表!$C$5:$T$44,$CU28,AS$57),""),2,1)="/",MID(IFERROR(INDEX(醫師週班表!$C$5:$T$44,$CU28,AS$57),""),1+AS$58*2,1),IF(MID(IFERROR(INDEX(醫師週班表!$C$5:$T$44,$CU28,AS$57),""),3,1)="隔",IF(AS$58=0,LEFT(IFERROR(INDEX(醫師週班表!$C$5:$T$44,$CU28,AS$57),""),1),""),IF(MID(IFERROR(INDEX(醫師週班表!$C$5:$T$44,$CU28,AS$57),""),2,1)="(",LEFT(IFERROR(INDEX(醫師週班表!$C$5:$T$44,$CU28,AS$57),""),1),IFERROR(INDEX(醫師週班表!$C$5:$T$44,$CU28,AS$57),"")))))))</f>
        <v/>
      </c>
      <c r="AT28" s="72">
        <f>IF(AT$59="X","",IF(AT$59&lt;&gt;"",AT$59,IF(IFERROR(INDEX(醫師週班表!$C$5:$T$44,$CU28,AT$57),"")=0,"",IF(MID(IFERROR(INDEX(醫師週班表!$C$5:$T$44,$CU28,AT$57),""),2,1)="/",MID(IFERROR(INDEX(醫師週班表!$C$5:$T$44,$CU28,AT$57),""),1+AT$58*2,1),IF(MID(IFERROR(INDEX(醫師週班表!$C$5:$T$44,$CU28,AT$57),""),3,1)="隔",IF(AT$58=0,LEFT(IFERROR(INDEX(醫師週班表!$C$5:$T$44,$CU28,AT$57),""),1),""),IF(MID(IFERROR(INDEX(醫師週班表!$C$5:$T$44,$CU28,AT$57),""),2,1)="(",LEFT(IFERROR(INDEX(醫師週班表!$C$5:$T$44,$CU28,AT$57),""),1),IFERROR(INDEX(醫師週班表!$C$5:$T$44,$CU28,AT$57),"")))))))</f>
        <v/>
      </c>
      <c r="AU28" s="71">
        <f>IF(AU$59="X","",IF(AU$59&lt;&gt;"",AU$59,IF(IFERROR(INDEX(醫師週班表!$C$5:$T$44,$CU28,AU$57),"")=0,"",IF(MID(IFERROR(INDEX(醫師週班表!$C$5:$T$44,$CU28,AU$57),""),2,1)="/",MID(IFERROR(INDEX(醫師週班表!$C$5:$T$44,$CU28,AU$57),""),1+AU$58*2,1),IF(MID(IFERROR(INDEX(醫師週班表!$C$5:$T$44,$CU28,AU$57),""),3,1)="隔",IF(AU$58=0,LEFT(IFERROR(INDEX(醫師週班表!$C$5:$T$44,$CU28,AU$57),""),1),""),IF(MID(IFERROR(INDEX(醫師週班表!$C$5:$T$44,$CU28,AU$57),""),2,1)="(",LEFT(IFERROR(INDEX(醫師週班表!$C$5:$T$44,$CU28,AU$57),""),1),IFERROR(INDEX(醫師週班表!$C$5:$T$44,$CU28,AU$57),"")))))))</f>
        <v/>
      </c>
      <c r="AV28" s="72">
        <f>IF(AV$59="X","",IF(AV$59&lt;&gt;"",AV$59,IF(IFERROR(INDEX(醫師週班表!$C$5:$T$44,$CU28,AV$57),"")=0,"",IF(MID(IFERROR(INDEX(醫師週班表!$C$5:$T$44,$CU28,AV$57),""),2,1)="/",MID(IFERROR(INDEX(醫師週班表!$C$5:$T$44,$CU28,AV$57),""),1+AV$58*2,1),IF(MID(IFERROR(INDEX(醫師週班表!$C$5:$T$44,$CU28,AV$57),""),3,1)="隔",IF(AV$58=0,LEFT(IFERROR(INDEX(醫師週班表!$C$5:$T$44,$CU28,AV$57),""),1),""),IF(MID(IFERROR(INDEX(醫師週班表!$C$5:$T$44,$CU28,AV$57),""),2,1)="(",LEFT(IFERROR(INDEX(醫師週班表!$C$5:$T$44,$CU28,AV$57),""),1),IFERROR(INDEX(醫師週班表!$C$5:$T$44,$CU28,AV$57),"")))))))</f>
        <v/>
      </c>
      <c r="AW28" s="72">
        <f>IF(AW$59="X","",IF(AW$59&lt;&gt;"",AW$59,IF(IFERROR(INDEX(醫師週班表!$C$5:$T$44,$CU28,AW$57),"")=0,"",IF(MID(IFERROR(INDEX(醫師週班表!$C$5:$T$44,$CU28,AW$57),""),2,1)="/",MID(IFERROR(INDEX(醫師週班表!$C$5:$T$44,$CU28,AW$57),""),1+AW$58*2,1),IF(MID(IFERROR(INDEX(醫師週班表!$C$5:$T$44,$CU28,AW$57),""),3,1)="隔",IF(AW$58=0,LEFT(IFERROR(INDEX(醫師週班表!$C$5:$T$44,$CU28,AW$57),""),1),""),IF(MID(IFERROR(INDEX(醫師週班表!$C$5:$T$44,$CU28,AW$57),""),2,1)="(",LEFT(IFERROR(INDEX(醫師週班表!$C$5:$T$44,$CU28,AW$57),""),1),IFERROR(INDEX(醫師週班表!$C$5:$T$44,$CU28,AW$57),"")))))))</f>
        <v/>
      </c>
      <c r="AX28" s="71">
        <f>IF(AX$59="X","",IF(AX$59&lt;&gt;"",AX$59,IF(IFERROR(INDEX(醫師週班表!$C$5:$T$44,$CU28,AX$57),"")=0,"",IF(MID(IFERROR(INDEX(醫師週班表!$C$5:$T$44,$CU28,AX$57),""),2,1)="/",MID(IFERROR(INDEX(醫師週班表!$C$5:$T$44,$CU28,AX$57),""),1+AX$58*2,1),IF(MID(IFERROR(INDEX(醫師週班表!$C$5:$T$44,$CU28,AX$57),""),3,1)="隔",IF(AX$58=0,LEFT(IFERROR(INDEX(醫師週班表!$C$5:$T$44,$CU28,AX$57),""),1),""),IF(MID(IFERROR(INDEX(醫師週班表!$C$5:$T$44,$CU28,AX$57),""),2,1)="(",LEFT(IFERROR(INDEX(醫師週班表!$C$5:$T$44,$CU28,AX$57),""),1),IFERROR(INDEX(醫師週班表!$C$5:$T$44,$CU28,AX$57),"")))))))</f>
        <v/>
      </c>
      <c r="AY28" s="72">
        <f>IF(AY$59="X","",IF(AY$59&lt;&gt;"",AY$59,IF(IFERROR(INDEX(醫師週班表!$C$5:$T$44,$CU28,AY$57),"")=0,"",IF(MID(IFERROR(INDEX(醫師週班表!$C$5:$T$44,$CU28,AY$57),""),2,1)="/",MID(IFERROR(INDEX(醫師週班表!$C$5:$T$44,$CU28,AY$57),""),1+AY$58*2,1),IF(MID(IFERROR(INDEX(醫師週班表!$C$5:$T$44,$CU28,AY$57),""),3,1)="隔",IF(AY$58=0,LEFT(IFERROR(INDEX(醫師週班表!$C$5:$T$44,$CU28,AY$57),""),1),""),IF(MID(IFERROR(INDEX(醫師週班表!$C$5:$T$44,$CU28,AY$57),""),2,1)="(",LEFT(IFERROR(INDEX(醫師週班表!$C$5:$T$44,$CU28,AY$57),""),1),IFERROR(INDEX(醫師週班表!$C$5:$T$44,$CU28,AY$57),"")))))))</f>
        <v/>
      </c>
      <c r="AZ28" s="72">
        <f>IF(AZ$59="X","",IF(AZ$59&lt;&gt;"",AZ$59,IF(IFERROR(INDEX(醫師週班表!$C$5:$T$44,$CU28,AZ$57),"")=0,"",IF(MID(IFERROR(INDEX(醫師週班表!$C$5:$T$44,$CU28,AZ$57),""),2,1)="/",MID(IFERROR(INDEX(醫師週班表!$C$5:$T$44,$CU28,AZ$57),""),1+AZ$58*2,1),IF(MID(IFERROR(INDEX(醫師週班表!$C$5:$T$44,$CU28,AZ$57),""),3,1)="隔",IF(AZ$58=0,LEFT(IFERROR(INDEX(醫師週班表!$C$5:$T$44,$CU28,AZ$57),""),1),""),IF(MID(IFERROR(INDEX(醫師週班表!$C$5:$T$44,$CU28,AZ$57),""),2,1)="(",LEFT(IFERROR(INDEX(醫師週班表!$C$5:$T$44,$CU28,AZ$57),""),1),IFERROR(INDEX(醫師週班表!$C$5:$T$44,$CU28,AZ$57),"")))))))</f>
        <v/>
      </c>
      <c r="BA28" s="71">
        <f>IF(BA$59="X","",IF(BA$59&lt;&gt;"",BA$59,IF(IFERROR(INDEX(醫師週班表!$C$5:$T$44,$CU28,BA$57),"")=0,"",IF(MID(IFERROR(INDEX(醫師週班表!$C$5:$T$44,$CU28,BA$57),""),2,1)="/",MID(IFERROR(INDEX(醫師週班表!$C$5:$T$44,$CU28,BA$57),""),1+BA$58*2,1),IF(MID(IFERROR(INDEX(醫師週班表!$C$5:$T$44,$CU28,BA$57),""),3,1)="隔",IF(BA$58=0,LEFT(IFERROR(INDEX(醫師週班表!$C$5:$T$44,$CU28,BA$57),""),1),""),IF(MID(IFERROR(INDEX(醫師週班表!$C$5:$T$44,$CU28,BA$57),""),2,1)="(",LEFT(IFERROR(INDEX(醫師週班表!$C$5:$T$44,$CU28,BA$57),""),1),IFERROR(INDEX(醫師週班表!$C$5:$T$44,$CU28,BA$57),"")))))))</f>
        <v/>
      </c>
      <c r="BB28" s="72">
        <f>IF(BB$59="X","",IF(BB$59&lt;&gt;"",BB$59,IF(IFERROR(INDEX(醫師週班表!$C$5:$T$44,$CU28,BB$57),"")=0,"",IF(MID(IFERROR(INDEX(醫師週班表!$C$5:$T$44,$CU28,BB$57),""),2,1)="/",MID(IFERROR(INDEX(醫師週班表!$C$5:$T$44,$CU28,BB$57),""),1+BB$58*2,1),IF(MID(IFERROR(INDEX(醫師週班表!$C$5:$T$44,$CU28,BB$57),""),3,1)="隔",IF(BB$58=0,LEFT(IFERROR(INDEX(醫師週班表!$C$5:$T$44,$CU28,BB$57),""),1),""),IF(MID(IFERROR(INDEX(醫師週班表!$C$5:$T$44,$CU28,BB$57),""),2,1)="(",LEFT(IFERROR(INDEX(醫師週班表!$C$5:$T$44,$CU28,BB$57),""),1),IFERROR(INDEX(醫師週班表!$C$5:$T$44,$CU28,BB$57),"")))))))</f>
        <v/>
      </c>
      <c r="BC28" s="72">
        <f>IF(BC$59="X","",IF(BC$59&lt;&gt;"",BC$59,IF(IFERROR(INDEX(醫師週班表!$C$5:$T$44,$CU28,BC$57),"")=0,"",IF(MID(IFERROR(INDEX(醫師週班表!$C$5:$T$44,$CU28,BC$57),""),2,1)="/",MID(IFERROR(INDEX(醫師週班表!$C$5:$T$44,$CU28,BC$57),""),1+BC$58*2,1),IF(MID(IFERROR(INDEX(醫師週班表!$C$5:$T$44,$CU28,BC$57),""),3,1)="隔",IF(BC$58=0,LEFT(IFERROR(INDEX(醫師週班表!$C$5:$T$44,$CU28,BC$57),""),1),""),IF(MID(IFERROR(INDEX(醫師週班表!$C$5:$T$44,$CU28,BC$57),""),2,1)="(",LEFT(IFERROR(INDEX(醫師週班表!$C$5:$T$44,$CU28,BC$57),""),1),IFERROR(INDEX(醫師週班表!$C$5:$T$44,$CU28,BC$57),"")))))))</f>
        <v/>
      </c>
      <c r="BD28" s="71">
        <f>IF(BD$59="X","",IF(BD$59&lt;&gt;"",BD$59,IF(IFERROR(INDEX(醫師週班表!$C$5:$T$44,$CU28,BD$57),"")=0,"",IF(MID(IFERROR(INDEX(醫師週班表!$C$5:$T$44,$CU28,BD$57),""),2,1)="/",MID(IFERROR(INDEX(醫師週班表!$C$5:$T$44,$CU28,BD$57),""),1+BD$58*2,1),IF(MID(IFERROR(INDEX(醫師週班表!$C$5:$T$44,$CU28,BD$57),""),3,1)="隔",IF(BD$58=0,LEFT(IFERROR(INDEX(醫師週班表!$C$5:$T$44,$CU28,BD$57),""),1),""),IF(MID(IFERROR(INDEX(醫師週班表!$C$5:$T$44,$CU28,BD$57),""),2,1)="(",LEFT(IFERROR(INDEX(醫師週班表!$C$5:$T$44,$CU28,BD$57),""),1),IFERROR(INDEX(醫師週班表!$C$5:$T$44,$CU28,BD$57),"")))))))</f>
        <v/>
      </c>
      <c r="BE28" s="72">
        <f>IF(BE$59="X","",IF(BE$59&lt;&gt;"",BE$59,IF(IFERROR(INDEX(醫師週班表!$C$5:$T$44,$CU28,BE$57),"")=0,"",IF(MID(IFERROR(INDEX(醫師週班表!$C$5:$T$44,$CU28,BE$57),""),2,1)="/",MID(IFERROR(INDEX(醫師週班表!$C$5:$T$44,$CU28,BE$57),""),1+BE$58*2,1),IF(MID(IFERROR(INDEX(醫師週班表!$C$5:$T$44,$CU28,BE$57),""),3,1)="隔",IF(BE$58=0,LEFT(IFERROR(INDEX(醫師週班表!$C$5:$T$44,$CU28,BE$57),""),1),""),IF(MID(IFERROR(INDEX(醫師週班表!$C$5:$T$44,$CU28,BE$57),""),2,1)="(",LEFT(IFERROR(INDEX(醫師週班表!$C$5:$T$44,$CU28,BE$57),""),1),IFERROR(INDEX(醫師週班表!$C$5:$T$44,$CU28,BE$57),"")))))))</f>
        <v/>
      </c>
      <c r="BF28" s="72">
        <f>IF(BF$59="X","",IF(BF$59&lt;&gt;"",BF$59,IF(IFERROR(INDEX(醫師週班表!$C$5:$T$44,$CU28,BF$57),"")=0,"",IF(MID(IFERROR(INDEX(醫師週班表!$C$5:$T$44,$CU28,BF$57),""),2,1)="/",MID(IFERROR(INDEX(醫師週班表!$C$5:$T$44,$CU28,BF$57),""),1+BF$58*2,1),IF(MID(IFERROR(INDEX(醫師週班表!$C$5:$T$44,$CU28,BF$57),""),3,1)="隔",IF(BF$58=0,LEFT(IFERROR(INDEX(醫師週班表!$C$5:$T$44,$CU28,BF$57),""),1),""),IF(MID(IFERROR(INDEX(醫師週班表!$C$5:$T$44,$CU28,BF$57),""),2,1)="(",LEFT(IFERROR(INDEX(醫師週班表!$C$5:$T$44,$CU28,BF$57),""),1),IFERROR(INDEX(醫師週班表!$C$5:$T$44,$CU28,BF$57),"")))))))</f>
        <v/>
      </c>
      <c r="BG28" s="71">
        <f>IF(BG$59="X","",IF(BG$59&lt;&gt;"",BG$59,IF(IFERROR(INDEX(醫師週班表!$C$5:$T$44,$CU28,BG$57),"")=0,"",IF(MID(IFERROR(INDEX(醫師週班表!$C$5:$T$44,$CU28,BG$57),""),2,1)="/",MID(IFERROR(INDEX(醫師週班表!$C$5:$T$44,$CU28,BG$57),""),1+BG$58*2,1),IF(MID(IFERROR(INDEX(醫師週班表!$C$5:$T$44,$CU28,BG$57),""),3,1)="隔",IF(BG$58=0,LEFT(IFERROR(INDEX(醫師週班表!$C$5:$T$44,$CU28,BG$57),""),1),""),IF(MID(IFERROR(INDEX(醫師週班表!$C$5:$T$44,$CU28,BG$57),""),2,1)="(",LEFT(IFERROR(INDEX(醫師週班表!$C$5:$T$44,$CU28,BG$57),""),1),IFERROR(INDEX(醫師週班表!$C$5:$T$44,$CU28,BG$57),"")))))))</f>
        <v/>
      </c>
      <c r="BH28" s="72">
        <f>IF(BH$59="X","",IF(BH$59&lt;&gt;"",BH$59,IF(IFERROR(INDEX(醫師週班表!$C$5:$T$44,$CU28,BH$57),"")=0,"",IF(MID(IFERROR(INDEX(醫師週班表!$C$5:$T$44,$CU28,BH$57),""),2,1)="/",MID(IFERROR(INDEX(醫師週班表!$C$5:$T$44,$CU28,BH$57),""),1+BH$58*2,1),IF(MID(IFERROR(INDEX(醫師週班表!$C$5:$T$44,$CU28,BH$57),""),3,1)="隔",IF(BH$58=0,LEFT(IFERROR(INDEX(醫師週班表!$C$5:$T$44,$CU28,BH$57),""),1),""),IF(MID(IFERROR(INDEX(醫師週班表!$C$5:$T$44,$CU28,BH$57),""),2,1)="(",LEFT(IFERROR(INDEX(醫師週班表!$C$5:$T$44,$CU28,BH$57),""),1),IFERROR(INDEX(醫師週班表!$C$5:$T$44,$CU28,BH$57),"")))))))</f>
        <v/>
      </c>
      <c r="BI28" s="72">
        <f>IF(BI$59="X","",IF(BI$59&lt;&gt;"",BI$59,IF(IFERROR(INDEX(醫師週班表!$C$5:$T$44,$CU28,BI$57),"")=0,"",IF(MID(IFERROR(INDEX(醫師週班表!$C$5:$T$44,$CU28,BI$57),""),2,1)="/",MID(IFERROR(INDEX(醫師週班表!$C$5:$T$44,$CU28,BI$57),""),1+BI$58*2,1),IF(MID(IFERROR(INDEX(醫師週班表!$C$5:$T$44,$CU28,BI$57),""),3,1)="隔",IF(BI$58=0,LEFT(IFERROR(INDEX(醫師週班表!$C$5:$T$44,$CU28,BI$57),""),1),""),IF(MID(IFERROR(INDEX(醫師週班表!$C$5:$T$44,$CU28,BI$57),""),2,1)="(",LEFT(IFERROR(INDEX(醫師週班表!$C$5:$T$44,$CU28,BI$57),""),1),IFERROR(INDEX(醫師週班表!$C$5:$T$44,$CU28,BI$57),"")))))))</f>
        <v/>
      </c>
      <c r="BJ28" s="71">
        <f>IF(BJ$59="X","",IF(BJ$59&lt;&gt;"",BJ$59,IF(IFERROR(INDEX(醫師週班表!$C$5:$T$44,$CU28,BJ$57),"")=0,"",IF(MID(IFERROR(INDEX(醫師週班表!$C$5:$T$44,$CU28,BJ$57),""),2,1)="/",MID(IFERROR(INDEX(醫師週班表!$C$5:$T$44,$CU28,BJ$57),""),1+BJ$58*2,1),IF(MID(IFERROR(INDEX(醫師週班表!$C$5:$T$44,$CU28,BJ$57),""),3,1)="隔",IF(BJ$58=0,LEFT(IFERROR(INDEX(醫師週班表!$C$5:$T$44,$CU28,BJ$57),""),1),""),IF(MID(IFERROR(INDEX(醫師週班表!$C$5:$T$44,$CU28,BJ$57),""),2,1)="(",LEFT(IFERROR(INDEX(醫師週班表!$C$5:$T$44,$CU28,BJ$57),""),1),IFERROR(INDEX(醫師週班表!$C$5:$T$44,$CU28,BJ$57),"")))))))</f>
        <v/>
      </c>
      <c r="BK28" s="72">
        <f>IF(BK$59="X","",IF(BK$59&lt;&gt;"",BK$59,IF(IFERROR(INDEX(醫師週班表!$C$5:$T$44,$CU28,BK$57),"")=0,"",IF(MID(IFERROR(INDEX(醫師週班表!$C$5:$T$44,$CU28,BK$57),""),2,1)="/",MID(IFERROR(INDEX(醫師週班表!$C$5:$T$44,$CU28,BK$57),""),1+BK$58*2,1),IF(MID(IFERROR(INDEX(醫師週班表!$C$5:$T$44,$CU28,BK$57),""),3,1)="隔",IF(BK$58=0,LEFT(IFERROR(INDEX(醫師週班表!$C$5:$T$44,$CU28,BK$57),""),1),""),IF(MID(IFERROR(INDEX(醫師週班表!$C$5:$T$44,$CU28,BK$57),""),2,1)="(",LEFT(IFERROR(INDEX(醫師週班表!$C$5:$T$44,$CU28,BK$57),""),1),IFERROR(INDEX(醫師週班表!$C$5:$T$44,$CU28,BK$57),"")))))))</f>
        <v/>
      </c>
      <c r="BL28" s="72">
        <f>IF(BL$59="X","",IF(BL$59&lt;&gt;"",BL$59,IF(IFERROR(INDEX(醫師週班表!$C$5:$T$44,$CU28,BL$57),"")=0,"",IF(MID(IFERROR(INDEX(醫師週班表!$C$5:$T$44,$CU28,BL$57),""),2,1)="/",MID(IFERROR(INDEX(醫師週班表!$C$5:$T$44,$CU28,BL$57),""),1+BL$58*2,1),IF(MID(IFERROR(INDEX(醫師週班表!$C$5:$T$44,$CU28,BL$57),""),3,1)="隔",IF(BL$58=0,LEFT(IFERROR(INDEX(醫師週班表!$C$5:$T$44,$CU28,BL$57),""),1),""),IF(MID(IFERROR(INDEX(醫師週班表!$C$5:$T$44,$CU28,BL$57),""),2,1)="(",LEFT(IFERROR(INDEX(醫師週班表!$C$5:$T$44,$CU28,BL$57),""),1),IFERROR(INDEX(醫師週班表!$C$5:$T$44,$CU28,BL$57),"")))))))</f>
        <v/>
      </c>
      <c r="BM28" s="71">
        <f>IF(BM$59="X","",IF(BM$59&lt;&gt;"",BM$59,IF(IFERROR(INDEX(醫師週班表!$C$5:$T$44,$CU28,BM$57),"")=0,"",IF(MID(IFERROR(INDEX(醫師週班表!$C$5:$T$44,$CU28,BM$57),""),2,1)="/",MID(IFERROR(INDEX(醫師週班表!$C$5:$T$44,$CU28,BM$57),""),1+BM$58*2,1),IF(MID(IFERROR(INDEX(醫師週班表!$C$5:$T$44,$CU28,BM$57),""),3,1)="隔",IF(BM$58=0,LEFT(IFERROR(INDEX(醫師週班表!$C$5:$T$44,$CU28,BM$57),""),1),""),IF(MID(IFERROR(INDEX(醫師週班表!$C$5:$T$44,$CU28,BM$57),""),2,1)="(",LEFT(IFERROR(INDEX(醫師週班表!$C$5:$T$44,$CU28,BM$57),""),1),IFERROR(INDEX(醫師週班表!$C$5:$T$44,$CU28,BM$57),"")))))))</f>
        <v/>
      </c>
      <c r="BN28" s="72">
        <f>IF(BN$59="X","",IF(BN$59&lt;&gt;"",BN$59,IF(IFERROR(INDEX(醫師週班表!$C$5:$T$44,$CU28,BN$57),"")=0,"",IF(MID(IFERROR(INDEX(醫師週班表!$C$5:$T$44,$CU28,BN$57),""),2,1)="/",MID(IFERROR(INDEX(醫師週班表!$C$5:$T$44,$CU28,BN$57),""),1+BN$58*2,1),IF(MID(IFERROR(INDEX(醫師週班表!$C$5:$T$44,$CU28,BN$57),""),3,1)="隔",IF(BN$58=0,LEFT(IFERROR(INDEX(醫師週班表!$C$5:$T$44,$CU28,BN$57),""),1),""),IF(MID(IFERROR(INDEX(醫師週班表!$C$5:$T$44,$CU28,BN$57),""),2,1)="(",LEFT(IFERROR(INDEX(醫師週班表!$C$5:$T$44,$CU28,BN$57),""),1),IFERROR(INDEX(醫師週班表!$C$5:$T$44,$CU28,BN$57),"")))))))</f>
        <v/>
      </c>
      <c r="BO28" s="72">
        <f>IF(BO$59="X","",IF(BO$59&lt;&gt;"",BO$59,IF(IFERROR(INDEX(醫師週班表!$C$5:$T$44,$CU28,BO$57),"")=0,"",IF(MID(IFERROR(INDEX(醫師週班表!$C$5:$T$44,$CU28,BO$57),""),2,1)="/",MID(IFERROR(INDEX(醫師週班表!$C$5:$T$44,$CU28,BO$57),""),1+BO$58*2,1),IF(MID(IFERROR(INDEX(醫師週班表!$C$5:$T$44,$CU28,BO$57),""),3,1)="隔",IF(BO$58=0,LEFT(IFERROR(INDEX(醫師週班表!$C$5:$T$44,$CU28,BO$57),""),1),""),IF(MID(IFERROR(INDEX(醫師週班表!$C$5:$T$44,$CU28,BO$57),""),2,1)="(",LEFT(IFERROR(INDEX(醫師週班表!$C$5:$T$44,$CU28,BO$57),""),1),IFERROR(INDEX(醫師週班表!$C$5:$T$44,$CU28,BO$57),"")))))))</f>
        <v/>
      </c>
      <c r="BP28" s="71">
        <f>IF(BP$59="X","",IF(BP$59&lt;&gt;"",BP$59,IF(IFERROR(INDEX(醫師週班表!$C$5:$T$44,$CU28,BP$57),"")=0,"",IF(MID(IFERROR(INDEX(醫師週班表!$C$5:$T$44,$CU28,BP$57),""),2,1)="/",MID(IFERROR(INDEX(醫師週班表!$C$5:$T$44,$CU28,BP$57),""),1+BP$58*2,1),IF(MID(IFERROR(INDEX(醫師週班表!$C$5:$T$44,$CU28,BP$57),""),3,1)="隔",IF(BP$58=0,LEFT(IFERROR(INDEX(醫師週班表!$C$5:$T$44,$CU28,BP$57),""),1),""),IF(MID(IFERROR(INDEX(醫師週班表!$C$5:$T$44,$CU28,BP$57),""),2,1)="(",LEFT(IFERROR(INDEX(醫師週班表!$C$5:$T$44,$CU28,BP$57),""),1),IFERROR(INDEX(醫師週班表!$C$5:$T$44,$CU28,BP$57),"")))))))</f>
        <v/>
      </c>
      <c r="BQ28" s="72">
        <f>IF(BQ$59="X","",IF(BQ$59&lt;&gt;"",BQ$59,IF(IFERROR(INDEX(醫師週班表!$C$5:$T$44,$CU28,BQ$57),"")=0,"",IF(MID(IFERROR(INDEX(醫師週班表!$C$5:$T$44,$CU28,BQ$57),""),2,1)="/",MID(IFERROR(INDEX(醫師週班表!$C$5:$T$44,$CU28,BQ$57),""),1+BQ$58*2,1),IF(MID(IFERROR(INDEX(醫師週班表!$C$5:$T$44,$CU28,BQ$57),""),3,1)="隔",IF(BQ$58=0,LEFT(IFERROR(INDEX(醫師週班表!$C$5:$T$44,$CU28,BQ$57),""),1),""),IF(MID(IFERROR(INDEX(醫師週班表!$C$5:$T$44,$CU28,BQ$57),""),2,1)="(",LEFT(IFERROR(INDEX(醫師週班表!$C$5:$T$44,$CU28,BQ$57),""),1),IFERROR(INDEX(醫師週班表!$C$5:$T$44,$CU28,BQ$57),"")))))))</f>
        <v/>
      </c>
      <c r="BR28" s="72">
        <f>IF(BR$59="X","",IF(BR$59&lt;&gt;"",BR$59,IF(IFERROR(INDEX(醫師週班表!$C$5:$T$44,$CU28,BR$57),"")=0,"",IF(MID(IFERROR(INDEX(醫師週班表!$C$5:$T$44,$CU28,BR$57),""),2,1)="/",MID(IFERROR(INDEX(醫師週班表!$C$5:$T$44,$CU28,BR$57),""),1+BR$58*2,1),IF(MID(IFERROR(INDEX(醫師週班表!$C$5:$T$44,$CU28,BR$57),""),3,1)="隔",IF(BR$58=0,LEFT(IFERROR(INDEX(醫師週班表!$C$5:$T$44,$CU28,BR$57),""),1),""),IF(MID(IFERROR(INDEX(醫師週班表!$C$5:$T$44,$CU28,BR$57),""),2,1)="(",LEFT(IFERROR(INDEX(醫師週班表!$C$5:$T$44,$CU28,BR$57),""),1),IFERROR(INDEX(醫師週班表!$C$5:$T$44,$CU28,BR$57),"")))))))</f>
        <v/>
      </c>
      <c r="BS28" s="71">
        <f>IF(BS$59="X","",IF(BS$59&lt;&gt;"",BS$59,IF(IFERROR(INDEX(醫師週班表!$C$5:$T$44,$CU28,BS$57),"")=0,"",IF(MID(IFERROR(INDEX(醫師週班表!$C$5:$T$44,$CU28,BS$57),""),2,1)="/",MID(IFERROR(INDEX(醫師週班表!$C$5:$T$44,$CU28,BS$57),""),1+BS$58*2,1),IF(MID(IFERROR(INDEX(醫師週班表!$C$5:$T$44,$CU28,BS$57),""),3,1)="隔",IF(BS$58=0,LEFT(IFERROR(INDEX(醫師週班表!$C$5:$T$44,$CU28,BS$57),""),1),""),IF(MID(IFERROR(INDEX(醫師週班表!$C$5:$T$44,$CU28,BS$57),""),2,1)="(",LEFT(IFERROR(INDEX(醫師週班表!$C$5:$T$44,$CU28,BS$57),""),1),IFERROR(INDEX(醫師週班表!$C$5:$T$44,$CU28,BS$57),"")))))))</f>
        <v/>
      </c>
      <c r="BT28" s="72">
        <f>IF(BT$59="X","",IF(BT$59&lt;&gt;"",BT$59,IF(IFERROR(INDEX(醫師週班表!$C$5:$T$44,$CU28,BT$57),"")=0,"",IF(MID(IFERROR(INDEX(醫師週班表!$C$5:$T$44,$CU28,BT$57),""),2,1)="/",MID(IFERROR(INDEX(醫師週班表!$C$5:$T$44,$CU28,BT$57),""),1+BT$58*2,1),IF(MID(IFERROR(INDEX(醫師週班表!$C$5:$T$44,$CU28,BT$57),""),3,1)="隔",IF(BT$58=0,LEFT(IFERROR(INDEX(醫師週班表!$C$5:$T$44,$CU28,BT$57),""),1),""),IF(MID(IFERROR(INDEX(醫師週班表!$C$5:$T$44,$CU28,BT$57),""),2,1)="(",LEFT(IFERROR(INDEX(醫師週班表!$C$5:$T$44,$CU28,BT$57),""),1),IFERROR(INDEX(醫師週班表!$C$5:$T$44,$CU28,BT$57),"")))))))</f>
        <v/>
      </c>
      <c r="BU28" s="72">
        <f>IF(BU$59="X","",IF(BU$59&lt;&gt;"",BU$59,IF(IFERROR(INDEX(醫師週班表!$C$5:$T$44,$CU28,BU$57),"")=0,"",IF(MID(IFERROR(INDEX(醫師週班表!$C$5:$T$44,$CU28,BU$57),""),2,1)="/",MID(IFERROR(INDEX(醫師週班表!$C$5:$T$44,$CU28,BU$57),""),1+BU$58*2,1),IF(MID(IFERROR(INDEX(醫師週班表!$C$5:$T$44,$CU28,BU$57),""),3,1)="隔",IF(BU$58=0,LEFT(IFERROR(INDEX(醫師週班表!$C$5:$T$44,$CU28,BU$57),""),1),""),IF(MID(IFERROR(INDEX(醫師週班表!$C$5:$T$44,$CU28,BU$57),""),2,1)="(",LEFT(IFERROR(INDEX(醫師週班表!$C$5:$T$44,$CU28,BU$57),""),1),IFERROR(INDEX(醫師週班表!$C$5:$T$44,$CU28,BU$57),"")))))))</f>
        <v/>
      </c>
      <c r="BV28" s="71">
        <f>IF(BV$59="X","",IF(BV$59&lt;&gt;"",BV$59,IF(IFERROR(INDEX(醫師週班表!$C$5:$T$44,$CU28,BV$57),"")=0,"",IF(MID(IFERROR(INDEX(醫師週班表!$C$5:$T$44,$CU28,BV$57),""),2,1)="/",MID(IFERROR(INDEX(醫師週班表!$C$5:$T$44,$CU28,BV$57),""),1+BV$58*2,1),IF(MID(IFERROR(INDEX(醫師週班表!$C$5:$T$44,$CU28,BV$57),""),3,1)="隔",IF(BV$58=0,LEFT(IFERROR(INDEX(醫師週班表!$C$5:$T$44,$CU28,BV$57),""),1),""),IF(MID(IFERROR(INDEX(醫師週班表!$C$5:$T$44,$CU28,BV$57),""),2,1)="(",LEFT(IFERROR(INDEX(醫師週班表!$C$5:$T$44,$CU28,BV$57),""),1),IFERROR(INDEX(醫師週班表!$C$5:$T$44,$CU28,BV$57),"")))))))</f>
        <v/>
      </c>
      <c r="BW28" s="72">
        <f>IF(BW$59="X","",IF(BW$59&lt;&gt;"",BW$59,IF(IFERROR(INDEX(醫師週班表!$C$5:$T$44,$CU28,BW$57),"")=0,"",IF(MID(IFERROR(INDEX(醫師週班表!$C$5:$T$44,$CU28,BW$57),""),2,1)="/",MID(IFERROR(INDEX(醫師週班表!$C$5:$T$44,$CU28,BW$57),""),1+BW$58*2,1),IF(MID(IFERROR(INDEX(醫師週班表!$C$5:$T$44,$CU28,BW$57),""),3,1)="隔",IF(BW$58=0,LEFT(IFERROR(INDEX(醫師週班表!$C$5:$T$44,$CU28,BW$57),""),1),""),IF(MID(IFERROR(INDEX(醫師週班表!$C$5:$T$44,$CU28,BW$57),""),2,1)="(",LEFT(IFERROR(INDEX(醫師週班表!$C$5:$T$44,$CU28,BW$57),""),1),IFERROR(INDEX(醫師週班表!$C$5:$T$44,$CU28,BW$57),"")))))))</f>
        <v/>
      </c>
      <c r="BX28" s="72">
        <f>IF(BX$59="X","",IF(BX$59&lt;&gt;"",BX$59,IF(IFERROR(INDEX(醫師週班表!$C$5:$T$44,$CU28,BX$57),"")=0,"",IF(MID(IFERROR(INDEX(醫師週班表!$C$5:$T$44,$CU28,BX$57),""),2,1)="/",MID(IFERROR(INDEX(醫師週班表!$C$5:$T$44,$CU28,BX$57),""),1+BX$58*2,1),IF(MID(IFERROR(INDEX(醫師週班表!$C$5:$T$44,$CU28,BX$57),""),3,1)="隔",IF(BX$58=0,LEFT(IFERROR(INDEX(醫師週班表!$C$5:$T$44,$CU28,BX$57),""),1),""),IF(MID(IFERROR(INDEX(醫師週班表!$C$5:$T$44,$CU28,BX$57),""),2,1)="(",LEFT(IFERROR(INDEX(醫師週班表!$C$5:$T$44,$CU28,BX$57),""),1),IFERROR(INDEX(醫師週班表!$C$5:$T$44,$CU28,BX$57),"")))))))</f>
        <v/>
      </c>
      <c r="BY28" s="71">
        <f>IF(BY$59="X","",IF(BY$59&lt;&gt;"",BY$59,IF(IFERROR(INDEX(醫師週班表!$C$5:$T$44,$CU28,BY$57),"")=0,"",IF(MID(IFERROR(INDEX(醫師週班表!$C$5:$T$44,$CU28,BY$57),""),2,1)="/",MID(IFERROR(INDEX(醫師週班表!$C$5:$T$44,$CU28,BY$57),""),1+BY$58*2,1),IF(MID(IFERROR(INDEX(醫師週班表!$C$5:$T$44,$CU28,BY$57),""),3,1)="隔",IF(BY$58=0,LEFT(IFERROR(INDEX(醫師週班表!$C$5:$T$44,$CU28,BY$57),""),1),""),IF(MID(IFERROR(INDEX(醫師週班表!$C$5:$T$44,$CU28,BY$57),""),2,1)="(",LEFT(IFERROR(INDEX(醫師週班表!$C$5:$T$44,$CU28,BY$57),""),1),IFERROR(INDEX(醫師週班表!$C$5:$T$44,$CU28,BY$57),"")))))))</f>
        <v/>
      </c>
      <c r="BZ28" s="72">
        <f>IF(BZ$59="X","",IF(BZ$59&lt;&gt;"",BZ$59,IF(IFERROR(INDEX(醫師週班表!$C$5:$T$44,$CU28,BZ$57),"")=0,"",IF(MID(IFERROR(INDEX(醫師週班表!$C$5:$T$44,$CU28,BZ$57),""),2,1)="/",MID(IFERROR(INDEX(醫師週班表!$C$5:$T$44,$CU28,BZ$57),""),1+BZ$58*2,1),IF(MID(IFERROR(INDEX(醫師週班表!$C$5:$T$44,$CU28,BZ$57),""),3,1)="隔",IF(BZ$58=0,LEFT(IFERROR(INDEX(醫師週班表!$C$5:$T$44,$CU28,BZ$57),""),1),""),IF(MID(IFERROR(INDEX(醫師週班表!$C$5:$T$44,$CU28,BZ$57),""),2,1)="(",LEFT(IFERROR(INDEX(醫師週班表!$C$5:$T$44,$CU28,BZ$57),""),1),IFERROR(INDEX(醫師週班表!$C$5:$T$44,$CU28,BZ$57),"")))))))</f>
        <v/>
      </c>
      <c r="CA28" s="72">
        <f>IF(CA$59="X","",IF(CA$59&lt;&gt;"",CA$59,IF(IFERROR(INDEX(醫師週班表!$C$5:$T$44,$CU28,CA$57),"")=0,"",IF(MID(IFERROR(INDEX(醫師週班表!$C$5:$T$44,$CU28,CA$57),""),2,1)="/",MID(IFERROR(INDEX(醫師週班表!$C$5:$T$44,$CU28,CA$57),""),1+CA$58*2,1),IF(MID(IFERROR(INDEX(醫師週班表!$C$5:$T$44,$CU28,CA$57),""),3,1)="隔",IF(CA$58=0,LEFT(IFERROR(INDEX(醫師週班表!$C$5:$T$44,$CU28,CA$57),""),1),""),IF(MID(IFERROR(INDEX(醫師週班表!$C$5:$T$44,$CU28,CA$57),""),2,1)="(",LEFT(IFERROR(INDEX(醫師週班表!$C$5:$T$44,$CU28,CA$57),""),1),IFERROR(INDEX(醫師週班表!$C$5:$T$44,$CU28,CA$57),"")))))))</f>
        <v/>
      </c>
      <c r="CB28" s="71">
        <f>IF(CB$59="X","",IF(CB$59&lt;&gt;"",CB$59,IF(IFERROR(INDEX(醫師週班表!$C$5:$T$44,$CU28,CB$57),"")=0,"",IF(MID(IFERROR(INDEX(醫師週班表!$C$5:$T$44,$CU28,CB$57),""),2,1)="/",MID(IFERROR(INDEX(醫師週班表!$C$5:$T$44,$CU28,CB$57),""),1+CB$58*2,1),IF(MID(IFERROR(INDEX(醫師週班表!$C$5:$T$44,$CU28,CB$57),""),3,1)="隔",IF(CB$58=0,LEFT(IFERROR(INDEX(醫師週班表!$C$5:$T$44,$CU28,CB$57),""),1),""),IF(MID(IFERROR(INDEX(醫師週班表!$C$5:$T$44,$CU28,CB$57),""),2,1)="(",LEFT(IFERROR(INDEX(醫師週班表!$C$5:$T$44,$CU28,CB$57),""),1),IFERROR(INDEX(醫師週班表!$C$5:$T$44,$CU28,CB$57),"")))))))</f>
        <v/>
      </c>
      <c r="CC28" s="72">
        <f>IF(CC$59="X","",IF(CC$59&lt;&gt;"",CC$59,IF(IFERROR(INDEX(醫師週班表!$C$5:$T$44,$CU28,CC$57),"")=0,"",IF(MID(IFERROR(INDEX(醫師週班表!$C$5:$T$44,$CU28,CC$57),""),2,1)="/",MID(IFERROR(INDEX(醫師週班表!$C$5:$T$44,$CU28,CC$57),""),1+CC$58*2,1),IF(MID(IFERROR(INDEX(醫師週班表!$C$5:$T$44,$CU28,CC$57),""),3,1)="隔",IF(CC$58=0,LEFT(IFERROR(INDEX(醫師週班表!$C$5:$T$44,$CU28,CC$57),""),1),""),IF(MID(IFERROR(INDEX(醫師週班表!$C$5:$T$44,$CU28,CC$57),""),2,1)="(",LEFT(IFERROR(INDEX(醫師週班表!$C$5:$T$44,$CU28,CC$57),""),1),IFERROR(INDEX(醫師週班表!$C$5:$T$44,$CU28,CC$57),"")))))))</f>
        <v/>
      </c>
      <c r="CD28" s="72">
        <f>IF(CD$59="X","",IF(CD$59&lt;&gt;"",CD$59,IF(IFERROR(INDEX(醫師週班表!$C$5:$T$44,$CU28,CD$57),"")=0,"",IF(MID(IFERROR(INDEX(醫師週班表!$C$5:$T$44,$CU28,CD$57),""),2,1)="/",MID(IFERROR(INDEX(醫師週班表!$C$5:$T$44,$CU28,CD$57),""),1+CD$58*2,1),IF(MID(IFERROR(INDEX(醫師週班表!$C$5:$T$44,$CU28,CD$57),""),3,1)="隔",IF(CD$58=0,LEFT(IFERROR(INDEX(醫師週班表!$C$5:$T$44,$CU28,CD$57),""),1),""),IF(MID(IFERROR(INDEX(醫師週班表!$C$5:$T$44,$CU28,CD$57),""),2,1)="(",LEFT(IFERROR(INDEX(醫師週班表!$C$5:$T$44,$CU28,CD$57),""),1),IFERROR(INDEX(醫師週班表!$C$5:$T$44,$CU28,CD$57),"")))))))</f>
        <v/>
      </c>
      <c r="CE28" s="71">
        <f>IF(CE$59="X","",IF(CE$59&lt;&gt;"",CE$59,IF(IFERROR(INDEX(醫師週班表!$C$5:$T$44,$CU28,CE$57),"")=0,"",IF(MID(IFERROR(INDEX(醫師週班表!$C$5:$T$44,$CU28,CE$57),""),2,1)="/",MID(IFERROR(INDEX(醫師週班表!$C$5:$T$44,$CU28,CE$57),""),1+CE$58*2,1),IF(MID(IFERROR(INDEX(醫師週班表!$C$5:$T$44,$CU28,CE$57),""),3,1)="隔",IF(CE$58=0,LEFT(IFERROR(INDEX(醫師週班表!$C$5:$T$44,$CU28,CE$57),""),1),""),IF(MID(IFERROR(INDEX(醫師週班表!$C$5:$T$44,$CU28,CE$57),""),2,1)="(",LEFT(IFERROR(INDEX(醫師週班表!$C$5:$T$44,$CU28,CE$57),""),1),IFERROR(INDEX(醫師週班表!$C$5:$T$44,$CU28,CE$57),"")))))))</f>
        <v/>
      </c>
      <c r="CF28" s="72">
        <f>IF(CF$59="X","",IF(CF$59&lt;&gt;"",CF$59,IF(IFERROR(INDEX(醫師週班表!$C$5:$T$44,$CU28,CF$57),"")=0,"",IF(MID(IFERROR(INDEX(醫師週班表!$C$5:$T$44,$CU28,CF$57),""),2,1)="/",MID(IFERROR(INDEX(醫師週班表!$C$5:$T$44,$CU28,CF$57),""),1+CF$58*2,1),IF(MID(IFERROR(INDEX(醫師週班表!$C$5:$T$44,$CU28,CF$57),""),3,1)="隔",IF(CF$58=0,LEFT(IFERROR(INDEX(醫師週班表!$C$5:$T$44,$CU28,CF$57),""),1),""),IF(MID(IFERROR(INDEX(醫師週班表!$C$5:$T$44,$CU28,CF$57),""),2,1)="(",LEFT(IFERROR(INDEX(醫師週班表!$C$5:$T$44,$CU28,CF$57),""),1),IFERROR(INDEX(醫師週班表!$C$5:$T$44,$CU28,CF$57),"")))))))</f>
        <v/>
      </c>
      <c r="CG28" s="72">
        <f>IF(CG$59="X","",IF(CG$59&lt;&gt;"",CG$59,IF(IFERROR(INDEX(醫師週班表!$C$5:$T$44,$CU28,CG$57),"")=0,"",IF(MID(IFERROR(INDEX(醫師週班表!$C$5:$T$44,$CU28,CG$57),""),2,1)="/",MID(IFERROR(INDEX(醫師週班表!$C$5:$T$44,$CU28,CG$57),""),1+CG$58*2,1),IF(MID(IFERROR(INDEX(醫師週班表!$C$5:$T$44,$CU28,CG$57),""),3,1)="隔",IF(CG$58=0,LEFT(IFERROR(INDEX(醫師週班表!$C$5:$T$44,$CU28,CG$57),""),1),""),IF(MID(IFERROR(INDEX(醫師週班表!$C$5:$T$44,$CU28,CG$57),""),2,1)="(",LEFT(IFERROR(INDEX(醫師週班表!$C$5:$T$44,$CU28,CG$57),""),1),IFERROR(INDEX(醫師週班表!$C$5:$T$44,$CU28,CG$57),"")))))))</f>
        <v/>
      </c>
      <c r="CH28" s="71">
        <f>IF(CH$59="X","",IF(CH$59&lt;&gt;"",CH$59,IF(IFERROR(INDEX(醫師週班表!$C$5:$T$44,$CU28,CH$57),"")=0,"",IF(MID(IFERROR(INDEX(醫師週班表!$C$5:$T$44,$CU28,CH$57),""),2,1)="/",MID(IFERROR(INDEX(醫師週班表!$C$5:$T$44,$CU28,CH$57),""),1+CH$58*2,1),IF(MID(IFERROR(INDEX(醫師週班表!$C$5:$T$44,$CU28,CH$57),""),3,1)="隔",IF(CH$58=0,LEFT(IFERROR(INDEX(醫師週班表!$C$5:$T$44,$CU28,CH$57),""),1),""),IF(MID(IFERROR(INDEX(醫師週班表!$C$5:$T$44,$CU28,CH$57),""),2,1)="(",LEFT(IFERROR(INDEX(醫師週班表!$C$5:$T$44,$CU28,CH$57),""),1),IFERROR(INDEX(醫師週班表!$C$5:$T$44,$CU28,CH$57),"")))))))</f>
        <v/>
      </c>
      <c r="CI28" s="72">
        <f>IF(CI$59="X","",IF(CI$59&lt;&gt;"",CI$59,IF(IFERROR(INDEX(醫師週班表!$C$5:$T$44,$CU28,CI$57),"")=0,"",IF(MID(IFERROR(INDEX(醫師週班表!$C$5:$T$44,$CU28,CI$57),""),2,1)="/",MID(IFERROR(INDEX(醫師週班表!$C$5:$T$44,$CU28,CI$57),""),1+CI$58*2,1),IF(MID(IFERROR(INDEX(醫師週班表!$C$5:$T$44,$CU28,CI$57),""),3,1)="隔",IF(CI$58=0,LEFT(IFERROR(INDEX(醫師週班表!$C$5:$T$44,$CU28,CI$57),""),1),""),IF(MID(IFERROR(INDEX(醫師週班表!$C$5:$T$44,$CU28,CI$57),""),2,1)="(",LEFT(IFERROR(INDEX(醫師週班表!$C$5:$T$44,$CU28,CI$57),""),1),IFERROR(INDEX(醫師週班表!$C$5:$T$44,$CU28,CI$57),"")))))))</f>
        <v/>
      </c>
      <c r="CJ28" s="72">
        <f>IF(CJ$59="X","",IF(CJ$59&lt;&gt;"",CJ$59,IF(IFERROR(INDEX(醫師週班表!$C$5:$T$44,$CU28,CJ$57),"")=0,"",IF(MID(IFERROR(INDEX(醫師週班表!$C$5:$T$44,$CU28,CJ$57),""),2,1)="/",MID(IFERROR(INDEX(醫師週班表!$C$5:$T$44,$CU28,CJ$57),""),1+CJ$58*2,1),IF(MID(IFERROR(INDEX(醫師週班表!$C$5:$T$44,$CU28,CJ$57),""),3,1)="隔",IF(CJ$58=0,LEFT(IFERROR(INDEX(醫師週班表!$C$5:$T$44,$CU28,CJ$57),""),1),""),IF(MID(IFERROR(INDEX(醫師週班表!$C$5:$T$44,$CU28,CJ$57),""),2,1)="(",LEFT(IFERROR(INDEX(醫師週班表!$C$5:$T$44,$CU28,CJ$57),""),1),IFERROR(INDEX(醫師週班表!$C$5:$T$44,$CU28,CJ$57),"")))))))</f>
        <v/>
      </c>
      <c r="CK28" s="71">
        <f>IF(CK$59="X","",IF(CK$59&lt;&gt;"",CK$59,IF(IFERROR(INDEX(醫師週班表!$C$5:$T$44,$CU28,CK$57),"")=0,"",IF(MID(IFERROR(INDEX(醫師週班表!$C$5:$T$44,$CU28,CK$57),""),2,1)="/",MID(IFERROR(INDEX(醫師週班表!$C$5:$T$44,$CU28,CK$57),""),1+CK$58*2,1),IF(MID(IFERROR(INDEX(醫師週班表!$C$5:$T$44,$CU28,CK$57),""),3,1)="隔",IF(CK$58=0,LEFT(IFERROR(INDEX(醫師週班表!$C$5:$T$44,$CU28,CK$57),""),1),""),IF(MID(IFERROR(INDEX(醫師週班表!$C$5:$T$44,$CU28,CK$57),""),2,1)="(",LEFT(IFERROR(INDEX(醫師週班表!$C$5:$T$44,$CU28,CK$57),""),1),IFERROR(INDEX(醫師週班表!$C$5:$T$44,$CU28,CK$57),"")))))))</f>
        <v/>
      </c>
      <c r="CL28" s="72">
        <f>IF(CL$59="X","",IF(CL$59&lt;&gt;"",CL$59,IF(IFERROR(INDEX(醫師週班表!$C$5:$T$44,$CU28,CL$57),"")=0,"",IF(MID(IFERROR(INDEX(醫師週班表!$C$5:$T$44,$CU28,CL$57),""),2,1)="/",MID(IFERROR(INDEX(醫師週班表!$C$5:$T$44,$CU28,CL$57),""),1+CL$58*2,1),IF(MID(IFERROR(INDEX(醫師週班表!$C$5:$T$44,$CU28,CL$57),""),3,1)="隔",IF(CL$58=0,LEFT(IFERROR(INDEX(醫師週班表!$C$5:$T$44,$CU28,CL$57),""),1),""),IF(MID(IFERROR(INDEX(醫師週班表!$C$5:$T$44,$CU28,CL$57),""),2,1)="(",LEFT(IFERROR(INDEX(醫師週班表!$C$5:$T$44,$CU28,CL$57),""),1),IFERROR(INDEX(醫師週班表!$C$5:$T$44,$CU28,CL$57),"")))))))</f>
        <v/>
      </c>
      <c r="CM28" s="72">
        <f>IF(CM$59="X","",IF(CM$59&lt;&gt;"",CM$59,IF(IFERROR(INDEX(醫師週班表!$C$5:$T$44,$CU28,CM$57),"")=0,"",IF(MID(IFERROR(INDEX(醫師週班表!$C$5:$T$44,$CU28,CM$57),""),2,1)="/",MID(IFERROR(INDEX(醫師週班表!$C$5:$T$44,$CU28,CM$57),""),1+CM$58*2,1),IF(MID(IFERROR(INDEX(醫師週班表!$C$5:$T$44,$CU28,CM$57),""),3,1)="隔",IF(CM$58=0,LEFT(IFERROR(INDEX(醫師週班表!$C$5:$T$44,$CU28,CM$57),""),1),""),IF(MID(IFERROR(INDEX(醫師週班表!$C$5:$T$44,$CU28,CM$57),""),2,1)="(",LEFT(IFERROR(INDEX(醫師週班表!$C$5:$T$44,$CU28,CM$57),""),1),IFERROR(INDEX(醫師週班表!$C$5:$T$44,$CU28,CM$57),"")))))))</f>
        <v/>
      </c>
      <c r="CN28" s="71">
        <f>IF(CN$59="X","",IF(CN$59&lt;&gt;"",CN$59,IF(IFERROR(INDEX(醫師週班表!$C$5:$T$44,$CU28,CN$57),"")=0,"",IF(MID(IFERROR(INDEX(醫師週班表!$C$5:$T$44,$CU28,CN$57),""),2,1)="/",MID(IFERROR(INDEX(醫師週班表!$C$5:$T$44,$CU28,CN$57),""),1+CN$58*2,1),IF(MID(IFERROR(INDEX(醫師週班表!$C$5:$T$44,$CU28,CN$57),""),3,1)="隔",IF(CN$58=0,LEFT(IFERROR(INDEX(醫師週班表!$C$5:$T$44,$CU28,CN$57),""),1),""),IF(MID(IFERROR(INDEX(醫師週班表!$C$5:$T$44,$CU28,CN$57),""),2,1)="(",LEFT(IFERROR(INDEX(醫師週班表!$C$5:$T$44,$CU28,CN$57),""),1),IFERROR(INDEX(醫師週班表!$C$5:$T$44,$CU28,CN$57),"")))))))</f>
        <v/>
      </c>
      <c r="CO28" s="72">
        <f>IF(CO$59="X","",IF(CO$59&lt;&gt;"",CO$59,IF(IFERROR(INDEX(醫師週班表!$C$5:$T$44,$CU28,CO$57),"")=0,"",IF(MID(IFERROR(INDEX(醫師週班表!$C$5:$T$44,$CU28,CO$57),""),2,1)="/",MID(IFERROR(INDEX(醫師週班表!$C$5:$T$44,$CU28,CO$57),""),1+CO$58*2,1),IF(MID(IFERROR(INDEX(醫師週班表!$C$5:$T$44,$CU28,CO$57),""),3,1)="隔",IF(CO$58=0,LEFT(IFERROR(INDEX(醫師週班表!$C$5:$T$44,$CU28,CO$57),""),1),""),IF(MID(IFERROR(INDEX(醫師週班表!$C$5:$T$44,$CU28,CO$57),""),2,1)="(",LEFT(IFERROR(INDEX(醫師週班表!$C$5:$T$44,$CU28,CO$57),""),1),IFERROR(INDEX(醫師週班表!$C$5:$T$44,$CU28,CO$57),"")))))))</f>
        <v/>
      </c>
      <c r="CP28" s="72">
        <f>IF(CP$59="X","",IF(CP$59&lt;&gt;"",CP$59,IF(IFERROR(INDEX(醫師週班表!$C$5:$T$44,$CU28,CP$57),"")=0,"",IF(MID(IFERROR(INDEX(醫師週班表!$C$5:$T$44,$CU28,CP$57),""),2,1)="/",MID(IFERROR(INDEX(醫師週班表!$C$5:$T$44,$CU28,CP$57),""),1+CP$58*2,1),IF(MID(IFERROR(INDEX(醫師週班表!$C$5:$T$44,$CU28,CP$57),""),3,1)="隔",IF(CP$58=0,LEFT(IFERROR(INDEX(醫師週班表!$C$5:$T$44,$CU28,CP$57),""),1),""),IF(MID(IFERROR(INDEX(醫師週班表!$C$5:$T$44,$CU28,CP$57),""),2,1)="(",LEFT(IFERROR(INDEX(醫師週班表!$C$5:$T$44,$CU28,CP$57),""),1),IFERROR(INDEX(醫師週班表!$C$5:$T$44,$CU28,CP$57),"")))))))</f>
        <v/>
      </c>
      <c r="CQ28" s="71">
        <f>IF(CQ$59="X","",IF(CQ$59&lt;&gt;"",CQ$59,IF(IFERROR(INDEX(醫師週班表!$C$5:$T$44,$CU28,CQ$57),"")=0,"",IF(MID(IFERROR(INDEX(醫師週班表!$C$5:$T$44,$CU28,CQ$57),""),2,1)="/",MID(IFERROR(INDEX(醫師週班表!$C$5:$T$44,$CU28,CQ$57),""),1+CQ$58*2,1),IF(MID(IFERROR(INDEX(醫師週班表!$C$5:$T$44,$CU28,CQ$57),""),3,1)="隔",IF(CQ$58=0,LEFT(IFERROR(INDEX(醫師週班表!$C$5:$T$44,$CU28,CQ$57),""),1),""),IF(MID(IFERROR(INDEX(醫師週班表!$C$5:$T$44,$CU28,CQ$57),""),2,1)="(",LEFT(IFERROR(INDEX(醫師週班表!$C$5:$T$44,$CU28,CQ$57),""),1),IFERROR(INDEX(醫師週班表!$C$5:$T$44,$CU28,CQ$57),"")))))))</f>
        <v/>
      </c>
      <c r="CR28" s="72">
        <f>IF(CR$59="X","",IF(CR$59&lt;&gt;"",CR$59,IF(IFERROR(INDEX(醫師週班表!$C$5:$T$44,$CU28,CR$57),"")=0,"",IF(MID(IFERROR(INDEX(醫師週班表!$C$5:$T$44,$CU28,CR$57),""),2,1)="/",MID(IFERROR(INDEX(醫師週班表!$C$5:$T$44,$CU28,CR$57),""),1+CR$58*2,1),IF(MID(IFERROR(INDEX(醫師週班表!$C$5:$T$44,$CU28,CR$57),""),3,1)="隔",IF(CR$58=0,LEFT(IFERROR(INDEX(醫師週班表!$C$5:$T$44,$CU28,CR$57),""),1),""),IF(MID(IFERROR(INDEX(醫師週班表!$C$5:$T$44,$CU28,CR$57),""),2,1)="(",LEFT(IFERROR(INDEX(醫師週班表!$C$5:$T$44,$CU28,CR$57),""),1),IFERROR(INDEX(醫師週班表!$C$5:$T$44,$CU28,CR$57),"")))))))</f>
        <v/>
      </c>
      <c r="CS28" s="72">
        <f>IF(CS$59="X","",IF(CS$59&lt;&gt;"",CS$59,IF(IFERROR(INDEX(醫師週班表!$C$5:$T$44,$CU28,CS$57),"")=0,"",IF(MID(IFERROR(INDEX(醫師週班表!$C$5:$T$44,$CU28,CS$57),""),2,1)="/",MID(IFERROR(INDEX(醫師週班表!$C$5:$T$44,$CU28,CS$57),""),1+CS$58*2,1),IF(MID(IFERROR(INDEX(醫師週班表!$C$5:$T$44,$CU28,CS$57),""),3,1)="隔",IF(CS$58=0,LEFT(IFERROR(INDEX(醫師週班表!$C$5:$T$44,$CU28,CS$57),""),1),""),IF(MID(IFERROR(INDEX(醫師週班表!$C$5:$T$44,$CU28,CS$57),""),2,1)="(",LEFT(IFERROR(INDEX(醫師週班表!$C$5:$T$44,$CU28,CS$57),""),1),IFERROR(INDEX(醫師週班表!$C$5:$T$44,$CU28,CS$57),"")))))))</f>
        <v/>
      </c>
      <c r="CU28" s="73">
        <f>IFERROR(MATCH($A28,醫師週班表!$A$5:$A$44,0),0)</f>
        <v/>
      </c>
    </row>
    <row r="29" ht="17" customHeight="1">
      <c r="A29" s="19" t="inlineStr">
        <is>
          <t>D024</t>
        </is>
      </c>
      <c r="B29" s="16" t="inlineStr">
        <is>
          <t>林紓安</t>
        </is>
      </c>
      <c r="C29" s="70" t="inlineStr">
        <is>
          <t>兒童</t>
        </is>
      </c>
      <c r="D29" s="16" t="inlineStr"/>
      <c r="E29" s="71">
        <f>IF(E$59="X","",IF(E$59&lt;&gt;"",E$59,IF(IFERROR(INDEX(醫師週班表!$C$5:$T$44,$CU29,E$57),"")=0,"",IF(MID(IFERROR(INDEX(醫師週班表!$C$5:$T$44,$CU29,E$57),""),2,1)="/",MID(IFERROR(INDEX(醫師週班表!$C$5:$T$44,$CU29,E$57),""),1+E$58*2,1),IF(MID(IFERROR(INDEX(醫師週班表!$C$5:$T$44,$CU29,E$57),""),3,1)="隔",IF(E$58=0,LEFT(IFERROR(INDEX(醫師週班表!$C$5:$T$44,$CU29,E$57),""),1),""),IF(MID(IFERROR(INDEX(醫師週班表!$C$5:$T$44,$CU29,E$57),""),2,1)="(",LEFT(IFERROR(INDEX(醫師週班表!$C$5:$T$44,$CU29,E$57),""),1),IFERROR(INDEX(醫師週班表!$C$5:$T$44,$CU29,E$57),"")))))))</f>
        <v/>
      </c>
      <c r="F29" s="72">
        <f>IF(F$59="X","",IF(F$59&lt;&gt;"",F$59,IF(IFERROR(INDEX(醫師週班表!$C$5:$T$44,$CU29,F$57),"")=0,"",IF(MID(IFERROR(INDEX(醫師週班表!$C$5:$T$44,$CU29,F$57),""),2,1)="/",MID(IFERROR(INDEX(醫師週班表!$C$5:$T$44,$CU29,F$57),""),1+F$58*2,1),IF(MID(IFERROR(INDEX(醫師週班表!$C$5:$T$44,$CU29,F$57),""),3,1)="隔",IF(F$58=0,LEFT(IFERROR(INDEX(醫師週班表!$C$5:$T$44,$CU29,F$57),""),1),""),IF(MID(IFERROR(INDEX(醫師週班表!$C$5:$T$44,$CU29,F$57),""),2,1)="(",LEFT(IFERROR(INDEX(醫師週班表!$C$5:$T$44,$CU29,F$57),""),1),IFERROR(INDEX(醫師週班表!$C$5:$T$44,$CU29,F$57),"")))))))</f>
        <v/>
      </c>
      <c r="G29" s="72">
        <f>IF(G$59="X","",IF(G$59&lt;&gt;"",G$59,IF(IFERROR(INDEX(醫師週班表!$C$5:$T$44,$CU29,G$57),"")=0,"",IF(MID(IFERROR(INDEX(醫師週班表!$C$5:$T$44,$CU29,G$57),""),2,1)="/",MID(IFERROR(INDEX(醫師週班表!$C$5:$T$44,$CU29,G$57),""),1+G$58*2,1),IF(MID(IFERROR(INDEX(醫師週班表!$C$5:$T$44,$CU29,G$57),""),3,1)="隔",IF(G$58=0,LEFT(IFERROR(INDEX(醫師週班表!$C$5:$T$44,$CU29,G$57),""),1),""),IF(MID(IFERROR(INDEX(醫師週班表!$C$5:$T$44,$CU29,G$57),""),2,1)="(",LEFT(IFERROR(INDEX(醫師週班表!$C$5:$T$44,$CU29,G$57),""),1),IFERROR(INDEX(醫師週班表!$C$5:$T$44,$CU29,G$57),"")))))))</f>
        <v/>
      </c>
      <c r="H29" s="71">
        <f>IF(H$59="X","",IF(H$59&lt;&gt;"",H$59,IF(IFERROR(INDEX(醫師週班表!$C$5:$T$44,$CU29,H$57),"")=0,"",IF(MID(IFERROR(INDEX(醫師週班表!$C$5:$T$44,$CU29,H$57),""),2,1)="/",MID(IFERROR(INDEX(醫師週班表!$C$5:$T$44,$CU29,H$57),""),1+H$58*2,1),IF(MID(IFERROR(INDEX(醫師週班表!$C$5:$T$44,$CU29,H$57),""),3,1)="隔",IF(H$58=0,LEFT(IFERROR(INDEX(醫師週班表!$C$5:$T$44,$CU29,H$57),""),1),""),IF(MID(IFERROR(INDEX(醫師週班表!$C$5:$T$44,$CU29,H$57),""),2,1)="(",LEFT(IFERROR(INDEX(醫師週班表!$C$5:$T$44,$CU29,H$57),""),1),IFERROR(INDEX(醫師週班表!$C$5:$T$44,$CU29,H$57),"")))))))</f>
        <v/>
      </c>
      <c r="I29" s="72">
        <f>IF(I$59="X","",IF(I$59&lt;&gt;"",I$59,IF(IFERROR(INDEX(醫師週班表!$C$5:$T$44,$CU29,I$57),"")=0,"",IF(MID(IFERROR(INDEX(醫師週班表!$C$5:$T$44,$CU29,I$57),""),2,1)="/",MID(IFERROR(INDEX(醫師週班表!$C$5:$T$44,$CU29,I$57),""),1+I$58*2,1),IF(MID(IFERROR(INDEX(醫師週班表!$C$5:$T$44,$CU29,I$57),""),3,1)="隔",IF(I$58=0,LEFT(IFERROR(INDEX(醫師週班表!$C$5:$T$44,$CU29,I$57),""),1),""),IF(MID(IFERROR(INDEX(醫師週班表!$C$5:$T$44,$CU29,I$57),""),2,1)="(",LEFT(IFERROR(INDEX(醫師週班表!$C$5:$T$44,$CU29,I$57),""),1),IFERROR(INDEX(醫師週班表!$C$5:$T$44,$CU29,I$57),"")))))))</f>
        <v/>
      </c>
      <c r="J29" s="72">
        <f>IF(J$59="X","",IF(J$59&lt;&gt;"",J$59,IF(IFERROR(INDEX(醫師週班表!$C$5:$T$44,$CU29,J$57),"")=0,"",IF(MID(IFERROR(INDEX(醫師週班表!$C$5:$T$44,$CU29,J$57),""),2,1)="/",MID(IFERROR(INDEX(醫師週班表!$C$5:$T$44,$CU29,J$57),""),1+J$58*2,1),IF(MID(IFERROR(INDEX(醫師週班表!$C$5:$T$44,$CU29,J$57),""),3,1)="隔",IF(J$58=0,LEFT(IFERROR(INDEX(醫師週班表!$C$5:$T$44,$CU29,J$57),""),1),""),IF(MID(IFERROR(INDEX(醫師週班表!$C$5:$T$44,$CU29,J$57),""),2,1)="(",LEFT(IFERROR(INDEX(醫師週班表!$C$5:$T$44,$CU29,J$57),""),1),IFERROR(INDEX(醫師週班表!$C$5:$T$44,$CU29,J$57),"")))))))</f>
        <v/>
      </c>
      <c r="K29" s="71">
        <f>IF(K$59="X","",IF(K$59&lt;&gt;"",K$59,IF(IFERROR(INDEX(醫師週班表!$C$5:$T$44,$CU29,K$57),"")=0,"",IF(MID(IFERROR(INDEX(醫師週班表!$C$5:$T$44,$CU29,K$57),""),2,1)="/",MID(IFERROR(INDEX(醫師週班表!$C$5:$T$44,$CU29,K$57),""),1+K$58*2,1),IF(MID(IFERROR(INDEX(醫師週班表!$C$5:$T$44,$CU29,K$57),""),3,1)="隔",IF(K$58=0,LEFT(IFERROR(INDEX(醫師週班表!$C$5:$T$44,$CU29,K$57),""),1),""),IF(MID(IFERROR(INDEX(醫師週班表!$C$5:$T$44,$CU29,K$57),""),2,1)="(",LEFT(IFERROR(INDEX(醫師週班表!$C$5:$T$44,$CU29,K$57),""),1),IFERROR(INDEX(醫師週班表!$C$5:$T$44,$CU29,K$57),"")))))))</f>
        <v/>
      </c>
      <c r="L29" s="72">
        <f>IF(L$59="X","",IF(L$59&lt;&gt;"",L$59,IF(IFERROR(INDEX(醫師週班表!$C$5:$T$44,$CU29,L$57),"")=0,"",IF(MID(IFERROR(INDEX(醫師週班表!$C$5:$T$44,$CU29,L$57),""),2,1)="/",MID(IFERROR(INDEX(醫師週班表!$C$5:$T$44,$CU29,L$57),""),1+L$58*2,1),IF(MID(IFERROR(INDEX(醫師週班表!$C$5:$T$44,$CU29,L$57),""),3,1)="隔",IF(L$58=0,LEFT(IFERROR(INDEX(醫師週班表!$C$5:$T$44,$CU29,L$57),""),1),""),IF(MID(IFERROR(INDEX(醫師週班表!$C$5:$T$44,$CU29,L$57),""),2,1)="(",LEFT(IFERROR(INDEX(醫師週班表!$C$5:$T$44,$CU29,L$57),""),1),IFERROR(INDEX(醫師週班表!$C$5:$T$44,$CU29,L$57),"")))))))</f>
        <v/>
      </c>
      <c r="M29" s="72">
        <f>IF(M$59="X","",IF(M$59&lt;&gt;"",M$59,IF(IFERROR(INDEX(醫師週班表!$C$5:$T$44,$CU29,M$57),"")=0,"",IF(MID(IFERROR(INDEX(醫師週班表!$C$5:$T$44,$CU29,M$57),""),2,1)="/",MID(IFERROR(INDEX(醫師週班表!$C$5:$T$44,$CU29,M$57),""),1+M$58*2,1),IF(MID(IFERROR(INDEX(醫師週班表!$C$5:$T$44,$CU29,M$57),""),3,1)="隔",IF(M$58=0,LEFT(IFERROR(INDEX(醫師週班表!$C$5:$T$44,$CU29,M$57),""),1),""),IF(MID(IFERROR(INDEX(醫師週班表!$C$5:$T$44,$CU29,M$57),""),2,1)="(",LEFT(IFERROR(INDEX(醫師週班表!$C$5:$T$44,$CU29,M$57),""),1),IFERROR(INDEX(醫師週班表!$C$5:$T$44,$CU29,M$57),"")))))))</f>
        <v/>
      </c>
      <c r="N29" s="71">
        <f>IF(N$59="X","",IF(N$59&lt;&gt;"",N$59,IF(IFERROR(INDEX(醫師週班表!$C$5:$T$44,$CU29,N$57),"")=0,"",IF(MID(IFERROR(INDEX(醫師週班表!$C$5:$T$44,$CU29,N$57),""),2,1)="/",MID(IFERROR(INDEX(醫師週班表!$C$5:$T$44,$CU29,N$57),""),1+N$58*2,1),IF(MID(IFERROR(INDEX(醫師週班表!$C$5:$T$44,$CU29,N$57),""),3,1)="隔",IF(N$58=0,LEFT(IFERROR(INDEX(醫師週班表!$C$5:$T$44,$CU29,N$57),""),1),""),IF(MID(IFERROR(INDEX(醫師週班表!$C$5:$T$44,$CU29,N$57),""),2,1)="(",LEFT(IFERROR(INDEX(醫師週班表!$C$5:$T$44,$CU29,N$57),""),1),IFERROR(INDEX(醫師週班表!$C$5:$T$44,$CU29,N$57),"")))))))</f>
        <v/>
      </c>
      <c r="O29" s="72">
        <f>IF(O$59="X","",IF(O$59&lt;&gt;"",O$59,IF(IFERROR(INDEX(醫師週班表!$C$5:$T$44,$CU29,O$57),"")=0,"",IF(MID(IFERROR(INDEX(醫師週班表!$C$5:$T$44,$CU29,O$57),""),2,1)="/",MID(IFERROR(INDEX(醫師週班表!$C$5:$T$44,$CU29,O$57),""),1+O$58*2,1),IF(MID(IFERROR(INDEX(醫師週班表!$C$5:$T$44,$CU29,O$57),""),3,1)="隔",IF(O$58=0,LEFT(IFERROR(INDEX(醫師週班表!$C$5:$T$44,$CU29,O$57),""),1),""),IF(MID(IFERROR(INDEX(醫師週班表!$C$5:$T$44,$CU29,O$57),""),2,1)="(",LEFT(IFERROR(INDEX(醫師週班表!$C$5:$T$44,$CU29,O$57),""),1),IFERROR(INDEX(醫師週班表!$C$5:$T$44,$CU29,O$57),"")))))))</f>
        <v/>
      </c>
      <c r="P29" s="72">
        <f>IF(P$59="X","",IF(P$59&lt;&gt;"",P$59,IF(IFERROR(INDEX(醫師週班表!$C$5:$T$44,$CU29,P$57),"")=0,"",IF(MID(IFERROR(INDEX(醫師週班表!$C$5:$T$44,$CU29,P$57),""),2,1)="/",MID(IFERROR(INDEX(醫師週班表!$C$5:$T$44,$CU29,P$57),""),1+P$58*2,1),IF(MID(IFERROR(INDEX(醫師週班表!$C$5:$T$44,$CU29,P$57),""),3,1)="隔",IF(P$58=0,LEFT(IFERROR(INDEX(醫師週班表!$C$5:$T$44,$CU29,P$57),""),1),""),IF(MID(IFERROR(INDEX(醫師週班表!$C$5:$T$44,$CU29,P$57),""),2,1)="(",LEFT(IFERROR(INDEX(醫師週班表!$C$5:$T$44,$CU29,P$57),""),1),IFERROR(INDEX(醫師週班表!$C$5:$T$44,$CU29,P$57),"")))))))</f>
        <v/>
      </c>
      <c r="Q29" s="71">
        <f>IF(Q$59="X","",IF(Q$59&lt;&gt;"",Q$59,IF(IFERROR(INDEX(醫師週班表!$C$5:$T$44,$CU29,Q$57),"")=0,"",IF(MID(IFERROR(INDEX(醫師週班表!$C$5:$T$44,$CU29,Q$57),""),2,1)="/",MID(IFERROR(INDEX(醫師週班表!$C$5:$T$44,$CU29,Q$57),""),1+Q$58*2,1),IF(MID(IFERROR(INDEX(醫師週班表!$C$5:$T$44,$CU29,Q$57),""),3,1)="隔",IF(Q$58=0,LEFT(IFERROR(INDEX(醫師週班表!$C$5:$T$44,$CU29,Q$57),""),1),""),IF(MID(IFERROR(INDEX(醫師週班表!$C$5:$T$44,$CU29,Q$57),""),2,1)="(",LEFT(IFERROR(INDEX(醫師週班表!$C$5:$T$44,$CU29,Q$57),""),1),IFERROR(INDEX(醫師週班表!$C$5:$T$44,$CU29,Q$57),"")))))))</f>
        <v/>
      </c>
      <c r="R29" s="72">
        <f>IF(R$59="X","",IF(R$59&lt;&gt;"",R$59,IF(IFERROR(INDEX(醫師週班表!$C$5:$T$44,$CU29,R$57),"")=0,"",IF(MID(IFERROR(INDEX(醫師週班表!$C$5:$T$44,$CU29,R$57),""),2,1)="/",MID(IFERROR(INDEX(醫師週班表!$C$5:$T$44,$CU29,R$57),""),1+R$58*2,1),IF(MID(IFERROR(INDEX(醫師週班表!$C$5:$T$44,$CU29,R$57),""),3,1)="隔",IF(R$58=0,LEFT(IFERROR(INDEX(醫師週班表!$C$5:$T$44,$CU29,R$57),""),1),""),IF(MID(IFERROR(INDEX(醫師週班表!$C$5:$T$44,$CU29,R$57),""),2,1)="(",LEFT(IFERROR(INDEX(醫師週班表!$C$5:$T$44,$CU29,R$57),""),1),IFERROR(INDEX(醫師週班表!$C$5:$T$44,$CU29,R$57),"")))))))</f>
        <v/>
      </c>
      <c r="S29" s="72">
        <f>IF(S$59="X","",IF(S$59&lt;&gt;"",S$59,IF(IFERROR(INDEX(醫師週班表!$C$5:$T$44,$CU29,S$57),"")=0,"",IF(MID(IFERROR(INDEX(醫師週班表!$C$5:$T$44,$CU29,S$57),""),2,1)="/",MID(IFERROR(INDEX(醫師週班表!$C$5:$T$44,$CU29,S$57),""),1+S$58*2,1),IF(MID(IFERROR(INDEX(醫師週班表!$C$5:$T$44,$CU29,S$57),""),3,1)="隔",IF(S$58=0,LEFT(IFERROR(INDEX(醫師週班表!$C$5:$T$44,$CU29,S$57),""),1),""),IF(MID(IFERROR(INDEX(醫師週班表!$C$5:$T$44,$CU29,S$57),""),2,1)="(",LEFT(IFERROR(INDEX(醫師週班表!$C$5:$T$44,$CU29,S$57),""),1),IFERROR(INDEX(醫師週班表!$C$5:$T$44,$CU29,S$57),"")))))))</f>
        <v/>
      </c>
      <c r="T29" s="71">
        <f>IF(T$59="X","",IF(T$59&lt;&gt;"",T$59,IF(IFERROR(INDEX(醫師週班表!$C$5:$T$44,$CU29,T$57),"")=0,"",IF(MID(IFERROR(INDEX(醫師週班表!$C$5:$T$44,$CU29,T$57),""),2,1)="/",MID(IFERROR(INDEX(醫師週班表!$C$5:$T$44,$CU29,T$57),""),1+T$58*2,1),IF(MID(IFERROR(INDEX(醫師週班表!$C$5:$T$44,$CU29,T$57),""),3,1)="隔",IF(T$58=0,LEFT(IFERROR(INDEX(醫師週班表!$C$5:$T$44,$CU29,T$57),""),1),""),IF(MID(IFERROR(INDEX(醫師週班表!$C$5:$T$44,$CU29,T$57),""),2,1)="(",LEFT(IFERROR(INDEX(醫師週班表!$C$5:$T$44,$CU29,T$57),""),1),IFERROR(INDEX(醫師週班表!$C$5:$T$44,$CU29,T$57),"")))))))</f>
        <v/>
      </c>
      <c r="U29" s="72">
        <f>IF(U$59="X","",IF(U$59&lt;&gt;"",U$59,IF(IFERROR(INDEX(醫師週班表!$C$5:$T$44,$CU29,U$57),"")=0,"",IF(MID(IFERROR(INDEX(醫師週班表!$C$5:$T$44,$CU29,U$57),""),2,1)="/",MID(IFERROR(INDEX(醫師週班表!$C$5:$T$44,$CU29,U$57),""),1+U$58*2,1),IF(MID(IFERROR(INDEX(醫師週班表!$C$5:$T$44,$CU29,U$57),""),3,1)="隔",IF(U$58=0,LEFT(IFERROR(INDEX(醫師週班表!$C$5:$T$44,$CU29,U$57),""),1),""),IF(MID(IFERROR(INDEX(醫師週班表!$C$5:$T$44,$CU29,U$57),""),2,1)="(",LEFT(IFERROR(INDEX(醫師週班表!$C$5:$T$44,$CU29,U$57),""),1),IFERROR(INDEX(醫師週班表!$C$5:$T$44,$CU29,U$57),"")))))))</f>
        <v/>
      </c>
      <c r="V29" s="72">
        <f>IF(V$59="X","",IF(V$59&lt;&gt;"",V$59,IF(IFERROR(INDEX(醫師週班表!$C$5:$T$44,$CU29,V$57),"")=0,"",IF(MID(IFERROR(INDEX(醫師週班表!$C$5:$T$44,$CU29,V$57),""),2,1)="/",MID(IFERROR(INDEX(醫師週班表!$C$5:$T$44,$CU29,V$57),""),1+V$58*2,1),IF(MID(IFERROR(INDEX(醫師週班表!$C$5:$T$44,$CU29,V$57),""),3,1)="隔",IF(V$58=0,LEFT(IFERROR(INDEX(醫師週班表!$C$5:$T$44,$CU29,V$57),""),1),""),IF(MID(IFERROR(INDEX(醫師週班表!$C$5:$T$44,$CU29,V$57),""),2,1)="(",LEFT(IFERROR(INDEX(醫師週班表!$C$5:$T$44,$CU29,V$57),""),1),IFERROR(INDEX(醫師週班表!$C$5:$T$44,$CU29,V$57),"")))))))</f>
        <v/>
      </c>
      <c r="W29" s="71">
        <f>IF(W$59="X","",IF(W$59&lt;&gt;"",W$59,IF(IFERROR(INDEX(醫師週班表!$C$5:$T$44,$CU29,W$57),"")=0,"",IF(MID(IFERROR(INDEX(醫師週班表!$C$5:$T$44,$CU29,W$57),""),2,1)="/",MID(IFERROR(INDEX(醫師週班表!$C$5:$T$44,$CU29,W$57),""),1+W$58*2,1),IF(MID(IFERROR(INDEX(醫師週班表!$C$5:$T$44,$CU29,W$57),""),3,1)="隔",IF(W$58=0,LEFT(IFERROR(INDEX(醫師週班表!$C$5:$T$44,$CU29,W$57),""),1),""),IF(MID(IFERROR(INDEX(醫師週班表!$C$5:$T$44,$CU29,W$57),""),2,1)="(",LEFT(IFERROR(INDEX(醫師週班表!$C$5:$T$44,$CU29,W$57),""),1),IFERROR(INDEX(醫師週班表!$C$5:$T$44,$CU29,W$57),"")))))))</f>
        <v/>
      </c>
      <c r="X29" s="72">
        <f>IF(X$59="X","",IF(X$59&lt;&gt;"",X$59,IF(IFERROR(INDEX(醫師週班表!$C$5:$T$44,$CU29,X$57),"")=0,"",IF(MID(IFERROR(INDEX(醫師週班表!$C$5:$T$44,$CU29,X$57),""),2,1)="/",MID(IFERROR(INDEX(醫師週班表!$C$5:$T$44,$CU29,X$57),""),1+X$58*2,1),IF(MID(IFERROR(INDEX(醫師週班表!$C$5:$T$44,$CU29,X$57),""),3,1)="隔",IF(X$58=0,LEFT(IFERROR(INDEX(醫師週班表!$C$5:$T$44,$CU29,X$57),""),1),""),IF(MID(IFERROR(INDEX(醫師週班表!$C$5:$T$44,$CU29,X$57),""),2,1)="(",LEFT(IFERROR(INDEX(醫師週班表!$C$5:$T$44,$CU29,X$57),""),1),IFERROR(INDEX(醫師週班表!$C$5:$T$44,$CU29,X$57),"")))))))</f>
        <v/>
      </c>
      <c r="Y29" s="72">
        <f>IF(Y$59="X","",IF(Y$59&lt;&gt;"",Y$59,IF(IFERROR(INDEX(醫師週班表!$C$5:$T$44,$CU29,Y$57),"")=0,"",IF(MID(IFERROR(INDEX(醫師週班表!$C$5:$T$44,$CU29,Y$57),""),2,1)="/",MID(IFERROR(INDEX(醫師週班表!$C$5:$T$44,$CU29,Y$57),""),1+Y$58*2,1),IF(MID(IFERROR(INDEX(醫師週班表!$C$5:$T$44,$CU29,Y$57),""),3,1)="隔",IF(Y$58=0,LEFT(IFERROR(INDEX(醫師週班表!$C$5:$T$44,$CU29,Y$57),""),1),""),IF(MID(IFERROR(INDEX(醫師週班表!$C$5:$T$44,$CU29,Y$57),""),2,1)="(",LEFT(IFERROR(INDEX(醫師週班表!$C$5:$T$44,$CU29,Y$57),""),1),IFERROR(INDEX(醫師週班表!$C$5:$T$44,$CU29,Y$57),"")))))))</f>
        <v/>
      </c>
      <c r="Z29" s="71">
        <f>IF(Z$59="X","",IF(Z$59&lt;&gt;"",Z$59,IF(IFERROR(INDEX(醫師週班表!$C$5:$T$44,$CU29,Z$57),"")=0,"",IF(MID(IFERROR(INDEX(醫師週班表!$C$5:$T$44,$CU29,Z$57),""),2,1)="/",MID(IFERROR(INDEX(醫師週班表!$C$5:$T$44,$CU29,Z$57),""),1+Z$58*2,1),IF(MID(IFERROR(INDEX(醫師週班表!$C$5:$T$44,$CU29,Z$57),""),3,1)="隔",IF(Z$58=0,LEFT(IFERROR(INDEX(醫師週班表!$C$5:$T$44,$CU29,Z$57),""),1),""),IF(MID(IFERROR(INDEX(醫師週班表!$C$5:$T$44,$CU29,Z$57),""),2,1)="(",LEFT(IFERROR(INDEX(醫師週班表!$C$5:$T$44,$CU29,Z$57),""),1),IFERROR(INDEX(醫師週班表!$C$5:$T$44,$CU29,Z$57),"")))))))</f>
        <v/>
      </c>
      <c r="AA29" s="72">
        <f>IF(AA$59="X","",IF(AA$59&lt;&gt;"",AA$59,IF(IFERROR(INDEX(醫師週班表!$C$5:$T$44,$CU29,AA$57),"")=0,"",IF(MID(IFERROR(INDEX(醫師週班表!$C$5:$T$44,$CU29,AA$57),""),2,1)="/",MID(IFERROR(INDEX(醫師週班表!$C$5:$T$44,$CU29,AA$57),""),1+AA$58*2,1),IF(MID(IFERROR(INDEX(醫師週班表!$C$5:$T$44,$CU29,AA$57),""),3,1)="隔",IF(AA$58=0,LEFT(IFERROR(INDEX(醫師週班表!$C$5:$T$44,$CU29,AA$57),""),1),""),IF(MID(IFERROR(INDEX(醫師週班表!$C$5:$T$44,$CU29,AA$57),""),2,1)="(",LEFT(IFERROR(INDEX(醫師週班表!$C$5:$T$44,$CU29,AA$57),""),1),IFERROR(INDEX(醫師週班表!$C$5:$T$44,$CU29,AA$57),"")))))))</f>
        <v/>
      </c>
      <c r="AB29" s="72">
        <f>IF(AB$59="X","",IF(AB$59&lt;&gt;"",AB$59,IF(IFERROR(INDEX(醫師週班表!$C$5:$T$44,$CU29,AB$57),"")=0,"",IF(MID(IFERROR(INDEX(醫師週班表!$C$5:$T$44,$CU29,AB$57),""),2,1)="/",MID(IFERROR(INDEX(醫師週班表!$C$5:$T$44,$CU29,AB$57),""),1+AB$58*2,1),IF(MID(IFERROR(INDEX(醫師週班表!$C$5:$T$44,$CU29,AB$57),""),3,1)="隔",IF(AB$58=0,LEFT(IFERROR(INDEX(醫師週班表!$C$5:$T$44,$CU29,AB$57),""),1),""),IF(MID(IFERROR(INDEX(醫師週班表!$C$5:$T$44,$CU29,AB$57),""),2,1)="(",LEFT(IFERROR(INDEX(醫師週班表!$C$5:$T$44,$CU29,AB$57),""),1),IFERROR(INDEX(醫師週班表!$C$5:$T$44,$CU29,AB$57),"")))))))</f>
        <v/>
      </c>
      <c r="AC29" s="71">
        <f>IF(AC$59="X","",IF(AC$59&lt;&gt;"",AC$59,IF(IFERROR(INDEX(醫師週班表!$C$5:$T$44,$CU29,AC$57),"")=0,"",IF(MID(IFERROR(INDEX(醫師週班表!$C$5:$T$44,$CU29,AC$57),""),2,1)="/",MID(IFERROR(INDEX(醫師週班表!$C$5:$T$44,$CU29,AC$57),""),1+AC$58*2,1),IF(MID(IFERROR(INDEX(醫師週班表!$C$5:$T$44,$CU29,AC$57),""),3,1)="隔",IF(AC$58=0,LEFT(IFERROR(INDEX(醫師週班表!$C$5:$T$44,$CU29,AC$57),""),1),""),IF(MID(IFERROR(INDEX(醫師週班表!$C$5:$T$44,$CU29,AC$57),""),2,1)="(",LEFT(IFERROR(INDEX(醫師週班表!$C$5:$T$44,$CU29,AC$57),""),1),IFERROR(INDEX(醫師週班表!$C$5:$T$44,$CU29,AC$57),"")))))))</f>
        <v/>
      </c>
      <c r="AD29" s="72">
        <f>IF(AD$59="X","",IF(AD$59&lt;&gt;"",AD$59,IF(IFERROR(INDEX(醫師週班表!$C$5:$T$44,$CU29,AD$57),"")=0,"",IF(MID(IFERROR(INDEX(醫師週班表!$C$5:$T$44,$CU29,AD$57),""),2,1)="/",MID(IFERROR(INDEX(醫師週班表!$C$5:$T$44,$CU29,AD$57),""),1+AD$58*2,1),IF(MID(IFERROR(INDEX(醫師週班表!$C$5:$T$44,$CU29,AD$57),""),3,1)="隔",IF(AD$58=0,LEFT(IFERROR(INDEX(醫師週班表!$C$5:$T$44,$CU29,AD$57),""),1),""),IF(MID(IFERROR(INDEX(醫師週班表!$C$5:$T$44,$CU29,AD$57),""),2,1)="(",LEFT(IFERROR(INDEX(醫師週班表!$C$5:$T$44,$CU29,AD$57),""),1),IFERROR(INDEX(醫師週班表!$C$5:$T$44,$CU29,AD$57),"")))))))</f>
        <v/>
      </c>
      <c r="AE29" s="72">
        <f>IF(AE$59="X","",IF(AE$59&lt;&gt;"",AE$59,IF(IFERROR(INDEX(醫師週班表!$C$5:$T$44,$CU29,AE$57),"")=0,"",IF(MID(IFERROR(INDEX(醫師週班表!$C$5:$T$44,$CU29,AE$57),""),2,1)="/",MID(IFERROR(INDEX(醫師週班表!$C$5:$T$44,$CU29,AE$57),""),1+AE$58*2,1),IF(MID(IFERROR(INDEX(醫師週班表!$C$5:$T$44,$CU29,AE$57),""),3,1)="隔",IF(AE$58=0,LEFT(IFERROR(INDEX(醫師週班表!$C$5:$T$44,$CU29,AE$57),""),1),""),IF(MID(IFERROR(INDEX(醫師週班表!$C$5:$T$44,$CU29,AE$57),""),2,1)="(",LEFT(IFERROR(INDEX(醫師週班表!$C$5:$T$44,$CU29,AE$57),""),1),IFERROR(INDEX(醫師週班表!$C$5:$T$44,$CU29,AE$57),"")))))))</f>
        <v/>
      </c>
      <c r="AF29" s="71">
        <f>IF(AF$59="X","",IF(AF$59&lt;&gt;"",AF$59,IF(IFERROR(INDEX(醫師週班表!$C$5:$T$44,$CU29,AF$57),"")=0,"",IF(MID(IFERROR(INDEX(醫師週班表!$C$5:$T$44,$CU29,AF$57),""),2,1)="/",MID(IFERROR(INDEX(醫師週班表!$C$5:$T$44,$CU29,AF$57),""),1+AF$58*2,1),IF(MID(IFERROR(INDEX(醫師週班表!$C$5:$T$44,$CU29,AF$57),""),3,1)="隔",IF(AF$58=0,LEFT(IFERROR(INDEX(醫師週班表!$C$5:$T$44,$CU29,AF$57),""),1),""),IF(MID(IFERROR(INDEX(醫師週班表!$C$5:$T$44,$CU29,AF$57),""),2,1)="(",LEFT(IFERROR(INDEX(醫師週班表!$C$5:$T$44,$CU29,AF$57),""),1),IFERROR(INDEX(醫師週班表!$C$5:$T$44,$CU29,AF$57),"")))))))</f>
        <v/>
      </c>
      <c r="AG29" s="72">
        <f>IF(AG$59="X","",IF(AG$59&lt;&gt;"",AG$59,IF(IFERROR(INDEX(醫師週班表!$C$5:$T$44,$CU29,AG$57),"")=0,"",IF(MID(IFERROR(INDEX(醫師週班表!$C$5:$T$44,$CU29,AG$57),""),2,1)="/",MID(IFERROR(INDEX(醫師週班表!$C$5:$T$44,$CU29,AG$57),""),1+AG$58*2,1),IF(MID(IFERROR(INDEX(醫師週班表!$C$5:$T$44,$CU29,AG$57),""),3,1)="隔",IF(AG$58=0,LEFT(IFERROR(INDEX(醫師週班表!$C$5:$T$44,$CU29,AG$57),""),1),""),IF(MID(IFERROR(INDEX(醫師週班表!$C$5:$T$44,$CU29,AG$57),""),2,1)="(",LEFT(IFERROR(INDEX(醫師週班表!$C$5:$T$44,$CU29,AG$57),""),1),IFERROR(INDEX(醫師週班表!$C$5:$T$44,$CU29,AG$57),"")))))))</f>
        <v/>
      </c>
      <c r="AH29" s="72">
        <f>IF(AH$59="X","",IF(AH$59&lt;&gt;"",AH$59,IF(IFERROR(INDEX(醫師週班表!$C$5:$T$44,$CU29,AH$57),"")=0,"",IF(MID(IFERROR(INDEX(醫師週班表!$C$5:$T$44,$CU29,AH$57),""),2,1)="/",MID(IFERROR(INDEX(醫師週班表!$C$5:$T$44,$CU29,AH$57),""),1+AH$58*2,1),IF(MID(IFERROR(INDEX(醫師週班表!$C$5:$T$44,$CU29,AH$57),""),3,1)="隔",IF(AH$58=0,LEFT(IFERROR(INDEX(醫師週班表!$C$5:$T$44,$CU29,AH$57),""),1),""),IF(MID(IFERROR(INDEX(醫師週班表!$C$5:$T$44,$CU29,AH$57),""),2,1)="(",LEFT(IFERROR(INDEX(醫師週班表!$C$5:$T$44,$CU29,AH$57),""),1),IFERROR(INDEX(醫師週班表!$C$5:$T$44,$CU29,AH$57),"")))))))</f>
        <v/>
      </c>
      <c r="AI29" s="71">
        <f>IF(AI$59="X","",IF(AI$59&lt;&gt;"",AI$59,IF(IFERROR(INDEX(醫師週班表!$C$5:$T$44,$CU29,AI$57),"")=0,"",IF(MID(IFERROR(INDEX(醫師週班表!$C$5:$T$44,$CU29,AI$57),""),2,1)="/",MID(IFERROR(INDEX(醫師週班表!$C$5:$T$44,$CU29,AI$57),""),1+AI$58*2,1),IF(MID(IFERROR(INDEX(醫師週班表!$C$5:$T$44,$CU29,AI$57),""),3,1)="隔",IF(AI$58=0,LEFT(IFERROR(INDEX(醫師週班表!$C$5:$T$44,$CU29,AI$57),""),1),""),IF(MID(IFERROR(INDEX(醫師週班表!$C$5:$T$44,$CU29,AI$57),""),2,1)="(",LEFT(IFERROR(INDEX(醫師週班表!$C$5:$T$44,$CU29,AI$57),""),1),IFERROR(INDEX(醫師週班表!$C$5:$T$44,$CU29,AI$57),"")))))))</f>
        <v/>
      </c>
      <c r="AJ29" s="72">
        <f>IF(AJ$59="X","",IF(AJ$59&lt;&gt;"",AJ$59,IF(IFERROR(INDEX(醫師週班表!$C$5:$T$44,$CU29,AJ$57),"")=0,"",IF(MID(IFERROR(INDEX(醫師週班表!$C$5:$T$44,$CU29,AJ$57),""),2,1)="/",MID(IFERROR(INDEX(醫師週班表!$C$5:$T$44,$CU29,AJ$57),""),1+AJ$58*2,1),IF(MID(IFERROR(INDEX(醫師週班表!$C$5:$T$44,$CU29,AJ$57),""),3,1)="隔",IF(AJ$58=0,LEFT(IFERROR(INDEX(醫師週班表!$C$5:$T$44,$CU29,AJ$57),""),1),""),IF(MID(IFERROR(INDEX(醫師週班表!$C$5:$T$44,$CU29,AJ$57),""),2,1)="(",LEFT(IFERROR(INDEX(醫師週班表!$C$5:$T$44,$CU29,AJ$57),""),1),IFERROR(INDEX(醫師週班表!$C$5:$T$44,$CU29,AJ$57),"")))))))</f>
        <v/>
      </c>
      <c r="AK29" s="72">
        <f>IF(AK$59="X","",IF(AK$59&lt;&gt;"",AK$59,IF(IFERROR(INDEX(醫師週班表!$C$5:$T$44,$CU29,AK$57),"")=0,"",IF(MID(IFERROR(INDEX(醫師週班表!$C$5:$T$44,$CU29,AK$57),""),2,1)="/",MID(IFERROR(INDEX(醫師週班表!$C$5:$T$44,$CU29,AK$57),""),1+AK$58*2,1),IF(MID(IFERROR(INDEX(醫師週班表!$C$5:$T$44,$CU29,AK$57),""),3,1)="隔",IF(AK$58=0,LEFT(IFERROR(INDEX(醫師週班表!$C$5:$T$44,$CU29,AK$57),""),1),""),IF(MID(IFERROR(INDEX(醫師週班表!$C$5:$T$44,$CU29,AK$57),""),2,1)="(",LEFT(IFERROR(INDEX(醫師週班表!$C$5:$T$44,$CU29,AK$57),""),1),IFERROR(INDEX(醫師週班表!$C$5:$T$44,$CU29,AK$57),"")))))))</f>
        <v/>
      </c>
      <c r="AL29" s="71">
        <f>IF(AL$59="X","",IF(AL$59&lt;&gt;"",AL$59,IF(IFERROR(INDEX(醫師週班表!$C$5:$T$44,$CU29,AL$57),"")=0,"",IF(MID(IFERROR(INDEX(醫師週班表!$C$5:$T$44,$CU29,AL$57),""),2,1)="/",MID(IFERROR(INDEX(醫師週班表!$C$5:$T$44,$CU29,AL$57),""),1+AL$58*2,1),IF(MID(IFERROR(INDEX(醫師週班表!$C$5:$T$44,$CU29,AL$57),""),3,1)="隔",IF(AL$58=0,LEFT(IFERROR(INDEX(醫師週班表!$C$5:$T$44,$CU29,AL$57),""),1),""),IF(MID(IFERROR(INDEX(醫師週班表!$C$5:$T$44,$CU29,AL$57),""),2,1)="(",LEFT(IFERROR(INDEX(醫師週班表!$C$5:$T$44,$CU29,AL$57),""),1),IFERROR(INDEX(醫師週班表!$C$5:$T$44,$CU29,AL$57),"")))))))</f>
        <v/>
      </c>
      <c r="AM29" s="72">
        <f>IF(AM$59="X","",IF(AM$59&lt;&gt;"",AM$59,IF(IFERROR(INDEX(醫師週班表!$C$5:$T$44,$CU29,AM$57),"")=0,"",IF(MID(IFERROR(INDEX(醫師週班表!$C$5:$T$44,$CU29,AM$57),""),2,1)="/",MID(IFERROR(INDEX(醫師週班表!$C$5:$T$44,$CU29,AM$57),""),1+AM$58*2,1),IF(MID(IFERROR(INDEX(醫師週班表!$C$5:$T$44,$CU29,AM$57),""),3,1)="隔",IF(AM$58=0,LEFT(IFERROR(INDEX(醫師週班表!$C$5:$T$44,$CU29,AM$57),""),1),""),IF(MID(IFERROR(INDEX(醫師週班表!$C$5:$T$44,$CU29,AM$57),""),2,1)="(",LEFT(IFERROR(INDEX(醫師週班表!$C$5:$T$44,$CU29,AM$57),""),1),IFERROR(INDEX(醫師週班表!$C$5:$T$44,$CU29,AM$57),"")))))))</f>
        <v/>
      </c>
      <c r="AN29" s="72">
        <f>IF(AN$59="X","",IF(AN$59&lt;&gt;"",AN$59,IF(IFERROR(INDEX(醫師週班表!$C$5:$T$44,$CU29,AN$57),"")=0,"",IF(MID(IFERROR(INDEX(醫師週班表!$C$5:$T$44,$CU29,AN$57),""),2,1)="/",MID(IFERROR(INDEX(醫師週班表!$C$5:$T$44,$CU29,AN$57),""),1+AN$58*2,1),IF(MID(IFERROR(INDEX(醫師週班表!$C$5:$T$44,$CU29,AN$57),""),3,1)="隔",IF(AN$58=0,LEFT(IFERROR(INDEX(醫師週班表!$C$5:$T$44,$CU29,AN$57),""),1),""),IF(MID(IFERROR(INDEX(醫師週班表!$C$5:$T$44,$CU29,AN$57),""),2,1)="(",LEFT(IFERROR(INDEX(醫師週班表!$C$5:$T$44,$CU29,AN$57),""),1),IFERROR(INDEX(醫師週班表!$C$5:$T$44,$CU29,AN$57),"")))))))</f>
        <v/>
      </c>
      <c r="AO29" s="71">
        <f>IF(AO$59="X","",IF(AO$59&lt;&gt;"",AO$59,IF(IFERROR(INDEX(醫師週班表!$C$5:$T$44,$CU29,AO$57),"")=0,"",IF(MID(IFERROR(INDEX(醫師週班表!$C$5:$T$44,$CU29,AO$57),""),2,1)="/",MID(IFERROR(INDEX(醫師週班表!$C$5:$T$44,$CU29,AO$57),""),1+AO$58*2,1),IF(MID(IFERROR(INDEX(醫師週班表!$C$5:$T$44,$CU29,AO$57),""),3,1)="隔",IF(AO$58=0,LEFT(IFERROR(INDEX(醫師週班表!$C$5:$T$44,$CU29,AO$57),""),1),""),IF(MID(IFERROR(INDEX(醫師週班表!$C$5:$T$44,$CU29,AO$57),""),2,1)="(",LEFT(IFERROR(INDEX(醫師週班表!$C$5:$T$44,$CU29,AO$57),""),1),IFERROR(INDEX(醫師週班表!$C$5:$T$44,$CU29,AO$57),"")))))))</f>
        <v/>
      </c>
      <c r="AP29" s="72">
        <f>IF(AP$59="X","",IF(AP$59&lt;&gt;"",AP$59,IF(IFERROR(INDEX(醫師週班表!$C$5:$T$44,$CU29,AP$57),"")=0,"",IF(MID(IFERROR(INDEX(醫師週班表!$C$5:$T$44,$CU29,AP$57),""),2,1)="/",MID(IFERROR(INDEX(醫師週班表!$C$5:$T$44,$CU29,AP$57),""),1+AP$58*2,1),IF(MID(IFERROR(INDEX(醫師週班表!$C$5:$T$44,$CU29,AP$57),""),3,1)="隔",IF(AP$58=0,LEFT(IFERROR(INDEX(醫師週班表!$C$5:$T$44,$CU29,AP$57),""),1),""),IF(MID(IFERROR(INDEX(醫師週班表!$C$5:$T$44,$CU29,AP$57),""),2,1)="(",LEFT(IFERROR(INDEX(醫師週班表!$C$5:$T$44,$CU29,AP$57),""),1),IFERROR(INDEX(醫師週班表!$C$5:$T$44,$CU29,AP$57),"")))))))</f>
        <v/>
      </c>
      <c r="AQ29" s="72">
        <f>IF(AQ$59="X","",IF(AQ$59&lt;&gt;"",AQ$59,IF(IFERROR(INDEX(醫師週班表!$C$5:$T$44,$CU29,AQ$57),"")=0,"",IF(MID(IFERROR(INDEX(醫師週班表!$C$5:$T$44,$CU29,AQ$57),""),2,1)="/",MID(IFERROR(INDEX(醫師週班表!$C$5:$T$44,$CU29,AQ$57),""),1+AQ$58*2,1),IF(MID(IFERROR(INDEX(醫師週班表!$C$5:$T$44,$CU29,AQ$57),""),3,1)="隔",IF(AQ$58=0,LEFT(IFERROR(INDEX(醫師週班表!$C$5:$T$44,$CU29,AQ$57),""),1),""),IF(MID(IFERROR(INDEX(醫師週班表!$C$5:$T$44,$CU29,AQ$57),""),2,1)="(",LEFT(IFERROR(INDEX(醫師週班表!$C$5:$T$44,$CU29,AQ$57),""),1),IFERROR(INDEX(醫師週班表!$C$5:$T$44,$CU29,AQ$57),"")))))))</f>
        <v/>
      </c>
      <c r="AR29" s="71">
        <f>IF(AR$59="X","",IF(AR$59&lt;&gt;"",AR$59,IF(IFERROR(INDEX(醫師週班表!$C$5:$T$44,$CU29,AR$57),"")=0,"",IF(MID(IFERROR(INDEX(醫師週班表!$C$5:$T$44,$CU29,AR$57),""),2,1)="/",MID(IFERROR(INDEX(醫師週班表!$C$5:$T$44,$CU29,AR$57),""),1+AR$58*2,1),IF(MID(IFERROR(INDEX(醫師週班表!$C$5:$T$44,$CU29,AR$57),""),3,1)="隔",IF(AR$58=0,LEFT(IFERROR(INDEX(醫師週班表!$C$5:$T$44,$CU29,AR$57),""),1),""),IF(MID(IFERROR(INDEX(醫師週班表!$C$5:$T$44,$CU29,AR$57),""),2,1)="(",LEFT(IFERROR(INDEX(醫師週班表!$C$5:$T$44,$CU29,AR$57),""),1),IFERROR(INDEX(醫師週班表!$C$5:$T$44,$CU29,AR$57),"")))))))</f>
        <v/>
      </c>
      <c r="AS29" s="72">
        <f>IF(AS$59="X","",IF(AS$59&lt;&gt;"",AS$59,IF(IFERROR(INDEX(醫師週班表!$C$5:$T$44,$CU29,AS$57),"")=0,"",IF(MID(IFERROR(INDEX(醫師週班表!$C$5:$T$44,$CU29,AS$57),""),2,1)="/",MID(IFERROR(INDEX(醫師週班表!$C$5:$T$44,$CU29,AS$57),""),1+AS$58*2,1),IF(MID(IFERROR(INDEX(醫師週班表!$C$5:$T$44,$CU29,AS$57),""),3,1)="隔",IF(AS$58=0,LEFT(IFERROR(INDEX(醫師週班表!$C$5:$T$44,$CU29,AS$57),""),1),""),IF(MID(IFERROR(INDEX(醫師週班表!$C$5:$T$44,$CU29,AS$57),""),2,1)="(",LEFT(IFERROR(INDEX(醫師週班表!$C$5:$T$44,$CU29,AS$57),""),1),IFERROR(INDEX(醫師週班表!$C$5:$T$44,$CU29,AS$57),"")))))))</f>
        <v/>
      </c>
      <c r="AT29" s="72">
        <f>IF(AT$59="X","",IF(AT$59&lt;&gt;"",AT$59,IF(IFERROR(INDEX(醫師週班表!$C$5:$T$44,$CU29,AT$57),"")=0,"",IF(MID(IFERROR(INDEX(醫師週班表!$C$5:$T$44,$CU29,AT$57),""),2,1)="/",MID(IFERROR(INDEX(醫師週班表!$C$5:$T$44,$CU29,AT$57),""),1+AT$58*2,1),IF(MID(IFERROR(INDEX(醫師週班表!$C$5:$T$44,$CU29,AT$57),""),3,1)="隔",IF(AT$58=0,LEFT(IFERROR(INDEX(醫師週班表!$C$5:$T$44,$CU29,AT$57),""),1),""),IF(MID(IFERROR(INDEX(醫師週班表!$C$5:$T$44,$CU29,AT$57),""),2,1)="(",LEFT(IFERROR(INDEX(醫師週班表!$C$5:$T$44,$CU29,AT$57),""),1),IFERROR(INDEX(醫師週班表!$C$5:$T$44,$CU29,AT$57),"")))))))</f>
        <v/>
      </c>
      <c r="AU29" s="71">
        <f>IF(AU$59="X","",IF(AU$59&lt;&gt;"",AU$59,IF(IFERROR(INDEX(醫師週班表!$C$5:$T$44,$CU29,AU$57),"")=0,"",IF(MID(IFERROR(INDEX(醫師週班表!$C$5:$T$44,$CU29,AU$57),""),2,1)="/",MID(IFERROR(INDEX(醫師週班表!$C$5:$T$44,$CU29,AU$57),""),1+AU$58*2,1),IF(MID(IFERROR(INDEX(醫師週班表!$C$5:$T$44,$CU29,AU$57),""),3,1)="隔",IF(AU$58=0,LEFT(IFERROR(INDEX(醫師週班表!$C$5:$T$44,$CU29,AU$57),""),1),""),IF(MID(IFERROR(INDEX(醫師週班表!$C$5:$T$44,$CU29,AU$57),""),2,1)="(",LEFT(IFERROR(INDEX(醫師週班表!$C$5:$T$44,$CU29,AU$57),""),1),IFERROR(INDEX(醫師週班表!$C$5:$T$44,$CU29,AU$57),"")))))))</f>
        <v/>
      </c>
      <c r="AV29" s="72">
        <f>IF(AV$59="X","",IF(AV$59&lt;&gt;"",AV$59,IF(IFERROR(INDEX(醫師週班表!$C$5:$T$44,$CU29,AV$57),"")=0,"",IF(MID(IFERROR(INDEX(醫師週班表!$C$5:$T$44,$CU29,AV$57),""),2,1)="/",MID(IFERROR(INDEX(醫師週班表!$C$5:$T$44,$CU29,AV$57),""),1+AV$58*2,1),IF(MID(IFERROR(INDEX(醫師週班表!$C$5:$T$44,$CU29,AV$57),""),3,1)="隔",IF(AV$58=0,LEFT(IFERROR(INDEX(醫師週班表!$C$5:$T$44,$CU29,AV$57),""),1),""),IF(MID(IFERROR(INDEX(醫師週班表!$C$5:$T$44,$CU29,AV$57),""),2,1)="(",LEFT(IFERROR(INDEX(醫師週班表!$C$5:$T$44,$CU29,AV$57),""),1),IFERROR(INDEX(醫師週班表!$C$5:$T$44,$CU29,AV$57),"")))))))</f>
        <v/>
      </c>
      <c r="AW29" s="72">
        <f>IF(AW$59="X","",IF(AW$59&lt;&gt;"",AW$59,IF(IFERROR(INDEX(醫師週班表!$C$5:$T$44,$CU29,AW$57),"")=0,"",IF(MID(IFERROR(INDEX(醫師週班表!$C$5:$T$44,$CU29,AW$57),""),2,1)="/",MID(IFERROR(INDEX(醫師週班表!$C$5:$T$44,$CU29,AW$57),""),1+AW$58*2,1),IF(MID(IFERROR(INDEX(醫師週班表!$C$5:$T$44,$CU29,AW$57),""),3,1)="隔",IF(AW$58=0,LEFT(IFERROR(INDEX(醫師週班表!$C$5:$T$44,$CU29,AW$57),""),1),""),IF(MID(IFERROR(INDEX(醫師週班表!$C$5:$T$44,$CU29,AW$57),""),2,1)="(",LEFT(IFERROR(INDEX(醫師週班表!$C$5:$T$44,$CU29,AW$57),""),1),IFERROR(INDEX(醫師週班表!$C$5:$T$44,$CU29,AW$57),"")))))))</f>
        <v/>
      </c>
      <c r="AX29" s="71">
        <f>IF(AX$59="X","",IF(AX$59&lt;&gt;"",AX$59,IF(IFERROR(INDEX(醫師週班表!$C$5:$T$44,$CU29,AX$57),"")=0,"",IF(MID(IFERROR(INDEX(醫師週班表!$C$5:$T$44,$CU29,AX$57),""),2,1)="/",MID(IFERROR(INDEX(醫師週班表!$C$5:$T$44,$CU29,AX$57),""),1+AX$58*2,1),IF(MID(IFERROR(INDEX(醫師週班表!$C$5:$T$44,$CU29,AX$57),""),3,1)="隔",IF(AX$58=0,LEFT(IFERROR(INDEX(醫師週班表!$C$5:$T$44,$CU29,AX$57),""),1),""),IF(MID(IFERROR(INDEX(醫師週班表!$C$5:$T$44,$CU29,AX$57),""),2,1)="(",LEFT(IFERROR(INDEX(醫師週班表!$C$5:$T$44,$CU29,AX$57),""),1),IFERROR(INDEX(醫師週班表!$C$5:$T$44,$CU29,AX$57),"")))))))</f>
        <v/>
      </c>
      <c r="AY29" s="72">
        <f>IF(AY$59="X","",IF(AY$59&lt;&gt;"",AY$59,IF(IFERROR(INDEX(醫師週班表!$C$5:$T$44,$CU29,AY$57),"")=0,"",IF(MID(IFERROR(INDEX(醫師週班表!$C$5:$T$44,$CU29,AY$57),""),2,1)="/",MID(IFERROR(INDEX(醫師週班表!$C$5:$T$44,$CU29,AY$57),""),1+AY$58*2,1),IF(MID(IFERROR(INDEX(醫師週班表!$C$5:$T$44,$CU29,AY$57),""),3,1)="隔",IF(AY$58=0,LEFT(IFERROR(INDEX(醫師週班表!$C$5:$T$44,$CU29,AY$57),""),1),""),IF(MID(IFERROR(INDEX(醫師週班表!$C$5:$T$44,$CU29,AY$57),""),2,1)="(",LEFT(IFERROR(INDEX(醫師週班表!$C$5:$T$44,$CU29,AY$57),""),1),IFERROR(INDEX(醫師週班表!$C$5:$T$44,$CU29,AY$57),"")))))))</f>
        <v/>
      </c>
      <c r="AZ29" s="72">
        <f>IF(AZ$59="X","",IF(AZ$59&lt;&gt;"",AZ$59,IF(IFERROR(INDEX(醫師週班表!$C$5:$T$44,$CU29,AZ$57),"")=0,"",IF(MID(IFERROR(INDEX(醫師週班表!$C$5:$T$44,$CU29,AZ$57),""),2,1)="/",MID(IFERROR(INDEX(醫師週班表!$C$5:$T$44,$CU29,AZ$57),""),1+AZ$58*2,1),IF(MID(IFERROR(INDEX(醫師週班表!$C$5:$T$44,$CU29,AZ$57),""),3,1)="隔",IF(AZ$58=0,LEFT(IFERROR(INDEX(醫師週班表!$C$5:$T$44,$CU29,AZ$57),""),1),""),IF(MID(IFERROR(INDEX(醫師週班表!$C$5:$T$44,$CU29,AZ$57),""),2,1)="(",LEFT(IFERROR(INDEX(醫師週班表!$C$5:$T$44,$CU29,AZ$57),""),1),IFERROR(INDEX(醫師週班表!$C$5:$T$44,$CU29,AZ$57),"")))))))</f>
        <v/>
      </c>
      <c r="BA29" s="71">
        <f>IF(BA$59="X","",IF(BA$59&lt;&gt;"",BA$59,IF(IFERROR(INDEX(醫師週班表!$C$5:$T$44,$CU29,BA$57),"")=0,"",IF(MID(IFERROR(INDEX(醫師週班表!$C$5:$T$44,$CU29,BA$57),""),2,1)="/",MID(IFERROR(INDEX(醫師週班表!$C$5:$T$44,$CU29,BA$57),""),1+BA$58*2,1),IF(MID(IFERROR(INDEX(醫師週班表!$C$5:$T$44,$CU29,BA$57),""),3,1)="隔",IF(BA$58=0,LEFT(IFERROR(INDEX(醫師週班表!$C$5:$T$44,$CU29,BA$57),""),1),""),IF(MID(IFERROR(INDEX(醫師週班表!$C$5:$T$44,$CU29,BA$57),""),2,1)="(",LEFT(IFERROR(INDEX(醫師週班表!$C$5:$T$44,$CU29,BA$57),""),1),IFERROR(INDEX(醫師週班表!$C$5:$T$44,$CU29,BA$57),"")))))))</f>
        <v/>
      </c>
      <c r="BB29" s="72">
        <f>IF(BB$59="X","",IF(BB$59&lt;&gt;"",BB$59,IF(IFERROR(INDEX(醫師週班表!$C$5:$T$44,$CU29,BB$57),"")=0,"",IF(MID(IFERROR(INDEX(醫師週班表!$C$5:$T$44,$CU29,BB$57),""),2,1)="/",MID(IFERROR(INDEX(醫師週班表!$C$5:$T$44,$CU29,BB$57),""),1+BB$58*2,1),IF(MID(IFERROR(INDEX(醫師週班表!$C$5:$T$44,$CU29,BB$57),""),3,1)="隔",IF(BB$58=0,LEFT(IFERROR(INDEX(醫師週班表!$C$5:$T$44,$CU29,BB$57),""),1),""),IF(MID(IFERROR(INDEX(醫師週班表!$C$5:$T$44,$CU29,BB$57),""),2,1)="(",LEFT(IFERROR(INDEX(醫師週班表!$C$5:$T$44,$CU29,BB$57),""),1),IFERROR(INDEX(醫師週班表!$C$5:$T$44,$CU29,BB$57),"")))))))</f>
        <v/>
      </c>
      <c r="BC29" s="72">
        <f>IF(BC$59="X","",IF(BC$59&lt;&gt;"",BC$59,IF(IFERROR(INDEX(醫師週班表!$C$5:$T$44,$CU29,BC$57),"")=0,"",IF(MID(IFERROR(INDEX(醫師週班表!$C$5:$T$44,$CU29,BC$57),""),2,1)="/",MID(IFERROR(INDEX(醫師週班表!$C$5:$T$44,$CU29,BC$57),""),1+BC$58*2,1),IF(MID(IFERROR(INDEX(醫師週班表!$C$5:$T$44,$CU29,BC$57),""),3,1)="隔",IF(BC$58=0,LEFT(IFERROR(INDEX(醫師週班表!$C$5:$T$44,$CU29,BC$57),""),1),""),IF(MID(IFERROR(INDEX(醫師週班表!$C$5:$T$44,$CU29,BC$57),""),2,1)="(",LEFT(IFERROR(INDEX(醫師週班表!$C$5:$T$44,$CU29,BC$57),""),1),IFERROR(INDEX(醫師週班表!$C$5:$T$44,$CU29,BC$57),"")))))))</f>
        <v/>
      </c>
      <c r="BD29" s="71">
        <f>IF(BD$59="X","",IF(BD$59&lt;&gt;"",BD$59,IF(IFERROR(INDEX(醫師週班表!$C$5:$T$44,$CU29,BD$57),"")=0,"",IF(MID(IFERROR(INDEX(醫師週班表!$C$5:$T$44,$CU29,BD$57),""),2,1)="/",MID(IFERROR(INDEX(醫師週班表!$C$5:$T$44,$CU29,BD$57),""),1+BD$58*2,1),IF(MID(IFERROR(INDEX(醫師週班表!$C$5:$T$44,$CU29,BD$57),""),3,1)="隔",IF(BD$58=0,LEFT(IFERROR(INDEX(醫師週班表!$C$5:$T$44,$CU29,BD$57),""),1),""),IF(MID(IFERROR(INDEX(醫師週班表!$C$5:$T$44,$CU29,BD$57),""),2,1)="(",LEFT(IFERROR(INDEX(醫師週班表!$C$5:$T$44,$CU29,BD$57),""),1),IFERROR(INDEX(醫師週班表!$C$5:$T$44,$CU29,BD$57),"")))))))</f>
        <v/>
      </c>
      <c r="BE29" s="72">
        <f>IF(BE$59="X","",IF(BE$59&lt;&gt;"",BE$59,IF(IFERROR(INDEX(醫師週班表!$C$5:$T$44,$CU29,BE$57),"")=0,"",IF(MID(IFERROR(INDEX(醫師週班表!$C$5:$T$44,$CU29,BE$57),""),2,1)="/",MID(IFERROR(INDEX(醫師週班表!$C$5:$T$44,$CU29,BE$57),""),1+BE$58*2,1),IF(MID(IFERROR(INDEX(醫師週班表!$C$5:$T$44,$CU29,BE$57),""),3,1)="隔",IF(BE$58=0,LEFT(IFERROR(INDEX(醫師週班表!$C$5:$T$44,$CU29,BE$57),""),1),""),IF(MID(IFERROR(INDEX(醫師週班表!$C$5:$T$44,$CU29,BE$57),""),2,1)="(",LEFT(IFERROR(INDEX(醫師週班表!$C$5:$T$44,$CU29,BE$57),""),1),IFERROR(INDEX(醫師週班表!$C$5:$T$44,$CU29,BE$57),"")))))))</f>
        <v/>
      </c>
      <c r="BF29" s="72">
        <f>IF(BF$59="X","",IF(BF$59&lt;&gt;"",BF$59,IF(IFERROR(INDEX(醫師週班表!$C$5:$T$44,$CU29,BF$57),"")=0,"",IF(MID(IFERROR(INDEX(醫師週班表!$C$5:$T$44,$CU29,BF$57),""),2,1)="/",MID(IFERROR(INDEX(醫師週班表!$C$5:$T$44,$CU29,BF$57),""),1+BF$58*2,1),IF(MID(IFERROR(INDEX(醫師週班表!$C$5:$T$44,$CU29,BF$57),""),3,1)="隔",IF(BF$58=0,LEFT(IFERROR(INDEX(醫師週班表!$C$5:$T$44,$CU29,BF$57),""),1),""),IF(MID(IFERROR(INDEX(醫師週班表!$C$5:$T$44,$CU29,BF$57),""),2,1)="(",LEFT(IFERROR(INDEX(醫師週班表!$C$5:$T$44,$CU29,BF$57),""),1),IFERROR(INDEX(醫師週班表!$C$5:$T$44,$CU29,BF$57),"")))))))</f>
        <v/>
      </c>
      <c r="BG29" s="71">
        <f>IF(BG$59="X","",IF(BG$59&lt;&gt;"",BG$59,IF(IFERROR(INDEX(醫師週班表!$C$5:$T$44,$CU29,BG$57),"")=0,"",IF(MID(IFERROR(INDEX(醫師週班表!$C$5:$T$44,$CU29,BG$57),""),2,1)="/",MID(IFERROR(INDEX(醫師週班表!$C$5:$T$44,$CU29,BG$57),""),1+BG$58*2,1),IF(MID(IFERROR(INDEX(醫師週班表!$C$5:$T$44,$CU29,BG$57),""),3,1)="隔",IF(BG$58=0,LEFT(IFERROR(INDEX(醫師週班表!$C$5:$T$44,$CU29,BG$57),""),1),""),IF(MID(IFERROR(INDEX(醫師週班表!$C$5:$T$44,$CU29,BG$57),""),2,1)="(",LEFT(IFERROR(INDEX(醫師週班表!$C$5:$T$44,$CU29,BG$57),""),1),IFERROR(INDEX(醫師週班表!$C$5:$T$44,$CU29,BG$57),"")))))))</f>
        <v/>
      </c>
      <c r="BH29" s="72">
        <f>IF(BH$59="X","",IF(BH$59&lt;&gt;"",BH$59,IF(IFERROR(INDEX(醫師週班表!$C$5:$T$44,$CU29,BH$57),"")=0,"",IF(MID(IFERROR(INDEX(醫師週班表!$C$5:$T$44,$CU29,BH$57),""),2,1)="/",MID(IFERROR(INDEX(醫師週班表!$C$5:$T$44,$CU29,BH$57),""),1+BH$58*2,1),IF(MID(IFERROR(INDEX(醫師週班表!$C$5:$T$44,$CU29,BH$57),""),3,1)="隔",IF(BH$58=0,LEFT(IFERROR(INDEX(醫師週班表!$C$5:$T$44,$CU29,BH$57),""),1),""),IF(MID(IFERROR(INDEX(醫師週班表!$C$5:$T$44,$CU29,BH$57),""),2,1)="(",LEFT(IFERROR(INDEX(醫師週班表!$C$5:$T$44,$CU29,BH$57),""),1),IFERROR(INDEX(醫師週班表!$C$5:$T$44,$CU29,BH$57),"")))))))</f>
        <v/>
      </c>
      <c r="BI29" s="72">
        <f>IF(BI$59="X","",IF(BI$59&lt;&gt;"",BI$59,IF(IFERROR(INDEX(醫師週班表!$C$5:$T$44,$CU29,BI$57),"")=0,"",IF(MID(IFERROR(INDEX(醫師週班表!$C$5:$T$44,$CU29,BI$57),""),2,1)="/",MID(IFERROR(INDEX(醫師週班表!$C$5:$T$44,$CU29,BI$57),""),1+BI$58*2,1),IF(MID(IFERROR(INDEX(醫師週班表!$C$5:$T$44,$CU29,BI$57),""),3,1)="隔",IF(BI$58=0,LEFT(IFERROR(INDEX(醫師週班表!$C$5:$T$44,$CU29,BI$57),""),1),""),IF(MID(IFERROR(INDEX(醫師週班表!$C$5:$T$44,$CU29,BI$57),""),2,1)="(",LEFT(IFERROR(INDEX(醫師週班表!$C$5:$T$44,$CU29,BI$57),""),1),IFERROR(INDEX(醫師週班表!$C$5:$T$44,$CU29,BI$57),"")))))))</f>
        <v/>
      </c>
      <c r="BJ29" s="71">
        <f>IF(BJ$59="X","",IF(BJ$59&lt;&gt;"",BJ$59,IF(IFERROR(INDEX(醫師週班表!$C$5:$T$44,$CU29,BJ$57),"")=0,"",IF(MID(IFERROR(INDEX(醫師週班表!$C$5:$T$44,$CU29,BJ$57),""),2,1)="/",MID(IFERROR(INDEX(醫師週班表!$C$5:$T$44,$CU29,BJ$57),""),1+BJ$58*2,1),IF(MID(IFERROR(INDEX(醫師週班表!$C$5:$T$44,$CU29,BJ$57),""),3,1)="隔",IF(BJ$58=0,LEFT(IFERROR(INDEX(醫師週班表!$C$5:$T$44,$CU29,BJ$57),""),1),""),IF(MID(IFERROR(INDEX(醫師週班表!$C$5:$T$44,$CU29,BJ$57),""),2,1)="(",LEFT(IFERROR(INDEX(醫師週班表!$C$5:$T$44,$CU29,BJ$57),""),1),IFERROR(INDEX(醫師週班表!$C$5:$T$44,$CU29,BJ$57),"")))))))</f>
        <v/>
      </c>
      <c r="BK29" s="72">
        <f>IF(BK$59="X","",IF(BK$59&lt;&gt;"",BK$59,IF(IFERROR(INDEX(醫師週班表!$C$5:$T$44,$CU29,BK$57),"")=0,"",IF(MID(IFERROR(INDEX(醫師週班表!$C$5:$T$44,$CU29,BK$57),""),2,1)="/",MID(IFERROR(INDEX(醫師週班表!$C$5:$T$44,$CU29,BK$57),""),1+BK$58*2,1),IF(MID(IFERROR(INDEX(醫師週班表!$C$5:$T$44,$CU29,BK$57),""),3,1)="隔",IF(BK$58=0,LEFT(IFERROR(INDEX(醫師週班表!$C$5:$T$44,$CU29,BK$57),""),1),""),IF(MID(IFERROR(INDEX(醫師週班表!$C$5:$T$44,$CU29,BK$57),""),2,1)="(",LEFT(IFERROR(INDEX(醫師週班表!$C$5:$T$44,$CU29,BK$57),""),1),IFERROR(INDEX(醫師週班表!$C$5:$T$44,$CU29,BK$57),"")))))))</f>
        <v/>
      </c>
      <c r="BL29" s="72">
        <f>IF(BL$59="X","",IF(BL$59&lt;&gt;"",BL$59,IF(IFERROR(INDEX(醫師週班表!$C$5:$T$44,$CU29,BL$57),"")=0,"",IF(MID(IFERROR(INDEX(醫師週班表!$C$5:$T$44,$CU29,BL$57),""),2,1)="/",MID(IFERROR(INDEX(醫師週班表!$C$5:$T$44,$CU29,BL$57),""),1+BL$58*2,1),IF(MID(IFERROR(INDEX(醫師週班表!$C$5:$T$44,$CU29,BL$57),""),3,1)="隔",IF(BL$58=0,LEFT(IFERROR(INDEX(醫師週班表!$C$5:$T$44,$CU29,BL$57),""),1),""),IF(MID(IFERROR(INDEX(醫師週班表!$C$5:$T$44,$CU29,BL$57),""),2,1)="(",LEFT(IFERROR(INDEX(醫師週班表!$C$5:$T$44,$CU29,BL$57),""),1),IFERROR(INDEX(醫師週班表!$C$5:$T$44,$CU29,BL$57),"")))))))</f>
        <v/>
      </c>
      <c r="BM29" s="71">
        <f>IF(BM$59="X","",IF(BM$59&lt;&gt;"",BM$59,IF(IFERROR(INDEX(醫師週班表!$C$5:$T$44,$CU29,BM$57),"")=0,"",IF(MID(IFERROR(INDEX(醫師週班表!$C$5:$T$44,$CU29,BM$57),""),2,1)="/",MID(IFERROR(INDEX(醫師週班表!$C$5:$T$44,$CU29,BM$57),""),1+BM$58*2,1),IF(MID(IFERROR(INDEX(醫師週班表!$C$5:$T$44,$CU29,BM$57),""),3,1)="隔",IF(BM$58=0,LEFT(IFERROR(INDEX(醫師週班表!$C$5:$T$44,$CU29,BM$57),""),1),""),IF(MID(IFERROR(INDEX(醫師週班表!$C$5:$T$44,$CU29,BM$57),""),2,1)="(",LEFT(IFERROR(INDEX(醫師週班表!$C$5:$T$44,$CU29,BM$57),""),1),IFERROR(INDEX(醫師週班表!$C$5:$T$44,$CU29,BM$57),"")))))))</f>
        <v/>
      </c>
      <c r="BN29" s="72">
        <f>IF(BN$59="X","",IF(BN$59&lt;&gt;"",BN$59,IF(IFERROR(INDEX(醫師週班表!$C$5:$T$44,$CU29,BN$57),"")=0,"",IF(MID(IFERROR(INDEX(醫師週班表!$C$5:$T$44,$CU29,BN$57),""),2,1)="/",MID(IFERROR(INDEX(醫師週班表!$C$5:$T$44,$CU29,BN$57),""),1+BN$58*2,1),IF(MID(IFERROR(INDEX(醫師週班表!$C$5:$T$44,$CU29,BN$57),""),3,1)="隔",IF(BN$58=0,LEFT(IFERROR(INDEX(醫師週班表!$C$5:$T$44,$CU29,BN$57),""),1),""),IF(MID(IFERROR(INDEX(醫師週班表!$C$5:$T$44,$CU29,BN$57),""),2,1)="(",LEFT(IFERROR(INDEX(醫師週班表!$C$5:$T$44,$CU29,BN$57),""),1),IFERROR(INDEX(醫師週班表!$C$5:$T$44,$CU29,BN$57),"")))))))</f>
        <v/>
      </c>
      <c r="BO29" s="72">
        <f>IF(BO$59="X","",IF(BO$59&lt;&gt;"",BO$59,IF(IFERROR(INDEX(醫師週班表!$C$5:$T$44,$CU29,BO$57),"")=0,"",IF(MID(IFERROR(INDEX(醫師週班表!$C$5:$T$44,$CU29,BO$57),""),2,1)="/",MID(IFERROR(INDEX(醫師週班表!$C$5:$T$44,$CU29,BO$57),""),1+BO$58*2,1),IF(MID(IFERROR(INDEX(醫師週班表!$C$5:$T$44,$CU29,BO$57),""),3,1)="隔",IF(BO$58=0,LEFT(IFERROR(INDEX(醫師週班表!$C$5:$T$44,$CU29,BO$57),""),1),""),IF(MID(IFERROR(INDEX(醫師週班表!$C$5:$T$44,$CU29,BO$57),""),2,1)="(",LEFT(IFERROR(INDEX(醫師週班表!$C$5:$T$44,$CU29,BO$57),""),1),IFERROR(INDEX(醫師週班表!$C$5:$T$44,$CU29,BO$57),"")))))))</f>
        <v/>
      </c>
      <c r="BP29" s="71">
        <f>IF(BP$59="X","",IF(BP$59&lt;&gt;"",BP$59,IF(IFERROR(INDEX(醫師週班表!$C$5:$T$44,$CU29,BP$57),"")=0,"",IF(MID(IFERROR(INDEX(醫師週班表!$C$5:$T$44,$CU29,BP$57),""),2,1)="/",MID(IFERROR(INDEX(醫師週班表!$C$5:$T$44,$CU29,BP$57),""),1+BP$58*2,1),IF(MID(IFERROR(INDEX(醫師週班表!$C$5:$T$44,$CU29,BP$57),""),3,1)="隔",IF(BP$58=0,LEFT(IFERROR(INDEX(醫師週班表!$C$5:$T$44,$CU29,BP$57),""),1),""),IF(MID(IFERROR(INDEX(醫師週班表!$C$5:$T$44,$CU29,BP$57),""),2,1)="(",LEFT(IFERROR(INDEX(醫師週班表!$C$5:$T$44,$CU29,BP$57),""),1),IFERROR(INDEX(醫師週班表!$C$5:$T$44,$CU29,BP$57),"")))))))</f>
        <v/>
      </c>
      <c r="BQ29" s="72">
        <f>IF(BQ$59="X","",IF(BQ$59&lt;&gt;"",BQ$59,IF(IFERROR(INDEX(醫師週班表!$C$5:$T$44,$CU29,BQ$57),"")=0,"",IF(MID(IFERROR(INDEX(醫師週班表!$C$5:$T$44,$CU29,BQ$57),""),2,1)="/",MID(IFERROR(INDEX(醫師週班表!$C$5:$T$44,$CU29,BQ$57),""),1+BQ$58*2,1),IF(MID(IFERROR(INDEX(醫師週班表!$C$5:$T$44,$CU29,BQ$57),""),3,1)="隔",IF(BQ$58=0,LEFT(IFERROR(INDEX(醫師週班表!$C$5:$T$44,$CU29,BQ$57),""),1),""),IF(MID(IFERROR(INDEX(醫師週班表!$C$5:$T$44,$CU29,BQ$57),""),2,1)="(",LEFT(IFERROR(INDEX(醫師週班表!$C$5:$T$44,$CU29,BQ$57),""),1),IFERROR(INDEX(醫師週班表!$C$5:$T$44,$CU29,BQ$57),"")))))))</f>
        <v/>
      </c>
      <c r="BR29" s="72">
        <f>IF(BR$59="X","",IF(BR$59&lt;&gt;"",BR$59,IF(IFERROR(INDEX(醫師週班表!$C$5:$T$44,$CU29,BR$57),"")=0,"",IF(MID(IFERROR(INDEX(醫師週班表!$C$5:$T$44,$CU29,BR$57),""),2,1)="/",MID(IFERROR(INDEX(醫師週班表!$C$5:$T$44,$CU29,BR$57),""),1+BR$58*2,1),IF(MID(IFERROR(INDEX(醫師週班表!$C$5:$T$44,$CU29,BR$57),""),3,1)="隔",IF(BR$58=0,LEFT(IFERROR(INDEX(醫師週班表!$C$5:$T$44,$CU29,BR$57),""),1),""),IF(MID(IFERROR(INDEX(醫師週班表!$C$5:$T$44,$CU29,BR$57),""),2,1)="(",LEFT(IFERROR(INDEX(醫師週班表!$C$5:$T$44,$CU29,BR$57),""),1),IFERROR(INDEX(醫師週班表!$C$5:$T$44,$CU29,BR$57),"")))))))</f>
        <v/>
      </c>
      <c r="BS29" s="71">
        <f>IF(BS$59="X","",IF(BS$59&lt;&gt;"",BS$59,IF(IFERROR(INDEX(醫師週班表!$C$5:$T$44,$CU29,BS$57),"")=0,"",IF(MID(IFERROR(INDEX(醫師週班表!$C$5:$T$44,$CU29,BS$57),""),2,1)="/",MID(IFERROR(INDEX(醫師週班表!$C$5:$T$44,$CU29,BS$57),""),1+BS$58*2,1),IF(MID(IFERROR(INDEX(醫師週班表!$C$5:$T$44,$CU29,BS$57),""),3,1)="隔",IF(BS$58=0,LEFT(IFERROR(INDEX(醫師週班表!$C$5:$T$44,$CU29,BS$57),""),1),""),IF(MID(IFERROR(INDEX(醫師週班表!$C$5:$T$44,$CU29,BS$57),""),2,1)="(",LEFT(IFERROR(INDEX(醫師週班表!$C$5:$T$44,$CU29,BS$57),""),1),IFERROR(INDEX(醫師週班表!$C$5:$T$44,$CU29,BS$57),"")))))))</f>
        <v/>
      </c>
      <c r="BT29" s="72">
        <f>IF(BT$59="X","",IF(BT$59&lt;&gt;"",BT$59,IF(IFERROR(INDEX(醫師週班表!$C$5:$T$44,$CU29,BT$57),"")=0,"",IF(MID(IFERROR(INDEX(醫師週班表!$C$5:$T$44,$CU29,BT$57),""),2,1)="/",MID(IFERROR(INDEX(醫師週班表!$C$5:$T$44,$CU29,BT$57),""),1+BT$58*2,1),IF(MID(IFERROR(INDEX(醫師週班表!$C$5:$T$44,$CU29,BT$57),""),3,1)="隔",IF(BT$58=0,LEFT(IFERROR(INDEX(醫師週班表!$C$5:$T$44,$CU29,BT$57),""),1),""),IF(MID(IFERROR(INDEX(醫師週班表!$C$5:$T$44,$CU29,BT$57),""),2,1)="(",LEFT(IFERROR(INDEX(醫師週班表!$C$5:$T$44,$CU29,BT$57),""),1),IFERROR(INDEX(醫師週班表!$C$5:$T$44,$CU29,BT$57),"")))))))</f>
        <v/>
      </c>
      <c r="BU29" s="72">
        <f>IF(BU$59="X","",IF(BU$59&lt;&gt;"",BU$59,IF(IFERROR(INDEX(醫師週班表!$C$5:$T$44,$CU29,BU$57),"")=0,"",IF(MID(IFERROR(INDEX(醫師週班表!$C$5:$T$44,$CU29,BU$57),""),2,1)="/",MID(IFERROR(INDEX(醫師週班表!$C$5:$T$44,$CU29,BU$57),""),1+BU$58*2,1),IF(MID(IFERROR(INDEX(醫師週班表!$C$5:$T$44,$CU29,BU$57),""),3,1)="隔",IF(BU$58=0,LEFT(IFERROR(INDEX(醫師週班表!$C$5:$T$44,$CU29,BU$57),""),1),""),IF(MID(IFERROR(INDEX(醫師週班表!$C$5:$T$44,$CU29,BU$57),""),2,1)="(",LEFT(IFERROR(INDEX(醫師週班表!$C$5:$T$44,$CU29,BU$57),""),1),IFERROR(INDEX(醫師週班表!$C$5:$T$44,$CU29,BU$57),"")))))))</f>
        <v/>
      </c>
      <c r="BV29" s="71">
        <f>IF(BV$59="X","",IF(BV$59&lt;&gt;"",BV$59,IF(IFERROR(INDEX(醫師週班表!$C$5:$T$44,$CU29,BV$57),"")=0,"",IF(MID(IFERROR(INDEX(醫師週班表!$C$5:$T$44,$CU29,BV$57),""),2,1)="/",MID(IFERROR(INDEX(醫師週班表!$C$5:$T$44,$CU29,BV$57),""),1+BV$58*2,1),IF(MID(IFERROR(INDEX(醫師週班表!$C$5:$T$44,$CU29,BV$57),""),3,1)="隔",IF(BV$58=0,LEFT(IFERROR(INDEX(醫師週班表!$C$5:$T$44,$CU29,BV$57),""),1),""),IF(MID(IFERROR(INDEX(醫師週班表!$C$5:$T$44,$CU29,BV$57),""),2,1)="(",LEFT(IFERROR(INDEX(醫師週班表!$C$5:$T$44,$CU29,BV$57),""),1),IFERROR(INDEX(醫師週班表!$C$5:$T$44,$CU29,BV$57),"")))))))</f>
        <v/>
      </c>
      <c r="BW29" s="72">
        <f>IF(BW$59="X","",IF(BW$59&lt;&gt;"",BW$59,IF(IFERROR(INDEX(醫師週班表!$C$5:$T$44,$CU29,BW$57),"")=0,"",IF(MID(IFERROR(INDEX(醫師週班表!$C$5:$T$44,$CU29,BW$57),""),2,1)="/",MID(IFERROR(INDEX(醫師週班表!$C$5:$T$44,$CU29,BW$57),""),1+BW$58*2,1),IF(MID(IFERROR(INDEX(醫師週班表!$C$5:$T$44,$CU29,BW$57),""),3,1)="隔",IF(BW$58=0,LEFT(IFERROR(INDEX(醫師週班表!$C$5:$T$44,$CU29,BW$57),""),1),""),IF(MID(IFERROR(INDEX(醫師週班表!$C$5:$T$44,$CU29,BW$57),""),2,1)="(",LEFT(IFERROR(INDEX(醫師週班表!$C$5:$T$44,$CU29,BW$57),""),1),IFERROR(INDEX(醫師週班表!$C$5:$T$44,$CU29,BW$57),"")))))))</f>
        <v/>
      </c>
      <c r="BX29" s="72">
        <f>IF(BX$59="X","",IF(BX$59&lt;&gt;"",BX$59,IF(IFERROR(INDEX(醫師週班表!$C$5:$T$44,$CU29,BX$57),"")=0,"",IF(MID(IFERROR(INDEX(醫師週班表!$C$5:$T$44,$CU29,BX$57),""),2,1)="/",MID(IFERROR(INDEX(醫師週班表!$C$5:$T$44,$CU29,BX$57),""),1+BX$58*2,1),IF(MID(IFERROR(INDEX(醫師週班表!$C$5:$T$44,$CU29,BX$57),""),3,1)="隔",IF(BX$58=0,LEFT(IFERROR(INDEX(醫師週班表!$C$5:$T$44,$CU29,BX$57),""),1),""),IF(MID(IFERROR(INDEX(醫師週班表!$C$5:$T$44,$CU29,BX$57),""),2,1)="(",LEFT(IFERROR(INDEX(醫師週班表!$C$5:$T$44,$CU29,BX$57),""),1),IFERROR(INDEX(醫師週班表!$C$5:$T$44,$CU29,BX$57),"")))))))</f>
        <v/>
      </c>
      <c r="BY29" s="71">
        <f>IF(BY$59="X","",IF(BY$59&lt;&gt;"",BY$59,IF(IFERROR(INDEX(醫師週班表!$C$5:$T$44,$CU29,BY$57),"")=0,"",IF(MID(IFERROR(INDEX(醫師週班表!$C$5:$T$44,$CU29,BY$57),""),2,1)="/",MID(IFERROR(INDEX(醫師週班表!$C$5:$T$44,$CU29,BY$57),""),1+BY$58*2,1),IF(MID(IFERROR(INDEX(醫師週班表!$C$5:$T$44,$CU29,BY$57),""),3,1)="隔",IF(BY$58=0,LEFT(IFERROR(INDEX(醫師週班表!$C$5:$T$44,$CU29,BY$57),""),1),""),IF(MID(IFERROR(INDEX(醫師週班表!$C$5:$T$44,$CU29,BY$57),""),2,1)="(",LEFT(IFERROR(INDEX(醫師週班表!$C$5:$T$44,$CU29,BY$57),""),1),IFERROR(INDEX(醫師週班表!$C$5:$T$44,$CU29,BY$57),"")))))))</f>
        <v/>
      </c>
      <c r="BZ29" s="72">
        <f>IF(BZ$59="X","",IF(BZ$59&lt;&gt;"",BZ$59,IF(IFERROR(INDEX(醫師週班表!$C$5:$T$44,$CU29,BZ$57),"")=0,"",IF(MID(IFERROR(INDEX(醫師週班表!$C$5:$T$44,$CU29,BZ$57),""),2,1)="/",MID(IFERROR(INDEX(醫師週班表!$C$5:$T$44,$CU29,BZ$57),""),1+BZ$58*2,1),IF(MID(IFERROR(INDEX(醫師週班表!$C$5:$T$44,$CU29,BZ$57),""),3,1)="隔",IF(BZ$58=0,LEFT(IFERROR(INDEX(醫師週班表!$C$5:$T$44,$CU29,BZ$57),""),1),""),IF(MID(IFERROR(INDEX(醫師週班表!$C$5:$T$44,$CU29,BZ$57),""),2,1)="(",LEFT(IFERROR(INDEX(醫師週班表!$C$5:$T$44,$CU29,BZ$57),""),1),IFERROR(INDEX(醫師週班表!$C$5:$T$44,$CU29,BZ$57),"")))))))</f>
        <v/>
      </c>
      <c r="CA29" s="72">
        <f>IF(CA$59="X","",IF(CA$59&lt;&gt;"",CA$59,IF(IFERROR(INDEX(醫師週班表!$C$5:$T$44,$CU29,CA$57),"")=0,"",IF(MID(IFERROR(INDEX(醫師週班表!$C$5:$T$44,$CU29,CA$57),""),2,1)="/",MID(IFERROR(INDEX(醫師週班表!$C$5:$T$44,$CU29,CA$57),""),1+CA$58*2,1),IF(MID(IFERROR(INDEX(醫師週班表!$C$5:$T$44,$CU29,CA$57),""),3,1)="隔",IF(CA$58=0,LEFT(IFERROR(INDEX(醫師週班表!$C$5:$T$44,$CU29,CA$57),""),1),""),IF(MID(IFERROR(INDEX(醫師週班表!$C$5:$T$44,$CU29,CA$57),""),2,1)="(",LEFT(IFERROR(INDEX(醫師週班表!$C$5:$T$44,$CU29,CA$57),""),1),IFERROR(INDEX(醫師週班表!$C$5:$T$44,$CU29,CA$57),"")))))))</f>
        <v/>
      </c>
      <c r="CB29" s="71">
        <f>IF(CB$59="X","",IF(CB$59&lt;&gt;"",CB$59,IF(IFERROR(INDEX(醫師週班表!$C$5:$T$44,$CU29,CB$57),"")=0,"",IF(MID(IFERROR(INDEX(醫師週班表!$C$5:$T$44,$CU29,CB$57),""),2,1)="/",MID(IFERROR(INDEX(醫師週班表!$C$5:$T$44,$CU29,CB$57),""),1+CB$58*2,1),IF(MID(IFERROR(INDEX(醫師週班表!$C$5:$T$44,$CU29,CB$57),""),3,1)="隔",IF(CB$58=0,LEFT(IFERROR(INDEX(醫師週班表!$C$5:$T$44,$CU29,CB$57),""),1),""),IF(MID(IFERROR(INDEX(醫師週班表!$C$5:$T$44,$CU29,CB$57),""),2,1)="(",LEFT(IFERROR(INDEX(醫師週班表!$C$5:$T$44,$CU29,CB$57),""),1),IFERROR(INDEX(醫師週班表!$C$5:$T$44,$CU29,CB$57),"")))))))</f>
        <v/>
      </c>
      <c r="CC29" s="72">
        <f>IF(CC$59="X","",IF(CC$59&lt;&gt;"",CC$59,IF(IFERROR(INDEX(醫師週班表!$C$5:$T$44,$CU29,CC$57),"")=0,"",IF(MID(IFERROR(INDEX(醫師週班表!$C$5:$T$44,$CU29,CC$57),""),2,1)="/",MID(IFERROR(INDEX(醫師週班表!$C$5:$T$44,$CU29,CC$57),""),1+CC$58*2,1),IF(MID(IFERROR(INDEX(醫師週班表!$C$5:$T$44,$CU29,CC$57),""),3,1)="隔",IF(CC$58=0,LEFT(IFERROR(INDEX(醫師週班表!$C$5:$T$44,$CU29,CC$57),""),1),""),IF(MID(IFERROR(INDEX(醫師週班表!$C$5:$T$44,$CU29,CC$57),""),2,1)="(",LEFT(IFERROR(INDEX(醫師週班表!$C$5:$T$44,$CU29,CC$57),""),1),IFERROR(INDEX(醫師週班表!$C$5:$T$44,$CU29,CC$57),"")))))))</f>
        <v/>
      </c>
      <c r="CD29" s="72">
        <f>IF(CD$59="X","",IF(CD$59&lt;&gt;"",CD$59,IF(IFERROR(INDEX(醫師週班表!$C$5:$T$44,$CU29,CD$57),"")=0,"",IF(MID(IFERROR(INDEX(醫師週班表!$C$5:$T$44,$CU29,CD$57),""),2,1)="/",MID(IFERROR(INDEX(醫師週班表!$C$5:$T$44,$CU29,CD$57),""),1+CD$58*2,1),IF(MID(IFERROR(INDEX(醫師週班表!$C$5:$T$44,$CU29,CD$57),""),3,1)="隔",IF(CD$58=0,LEFT(IFERROR(INDEX(醫師週班表!$C$5:$T$44,$CU29,CD$57),""),1),""),IF(MID(IFERROR(INDEX(醫師週班表!$C$5:$T$44,$CU29,CD$57),""),2,1)="(",LEFT(IFERROR(INDEX(醫師週班表!$C$5:$T$44,$CU29,CD$57),""),1),IFERROR(INDEX(醫師週班表!$C$5:$T$44,$CU29,CD$57),"")))))))</f>
        <v/>
      </c>
      <c r="CE29" s="71">
        <f>IF(CE$59="X","",IF(CE$59&lt;&gt;"",CE$59,IF(IFERROR(INDEX(醫師週班表!$C$5:$T$44,$CU29,CE$57),"")=0,"",IF(MID(IFERROR(INDEX(醫師週班表!$C$5:$T$44,$CU29,CE$57),""),2,1)="/",MID(IFERROR(INDEX(醫師週班表!$C$5:$T$44,$CU29,CE$57),""),1+CE$58*2,1),IF(MID(IFERROR(INDEX(醫師週班表!$C$5:$T$44,$CU29,CE$57),""),3,1)="隔",IF(CE$58=0,LEFT(IFERROR(INDEX(醫師週班表!$C$5:$T$44,$CU29,CE$57),""),1),""),IF(MID(IFERROR(INDEX(醫師週班表!$C$5:$T$44,$CU29,CE$57),""),2,1)="(",LEFT(IFERROR(INDEX(醫師週班表!$C$5:$T$44,$CU29,CE$57),""),1),IFERROR(INDEX(醫師週班表!$C$5:$T$44,$CU29,CE$57),"")))))))</f>
        <v/>
      </c>
      <c r="CF29" s="72">
        <f>IF(CF$59="X","",IF(CF$59&lt;&gt;"",CF$59,IF(IFERROR(INDEX(醫師週班表!$C$5:$T$44,$CU29,CF$57),"")=0,"",IF(MID(IFERROR(INDEX(醫師週班表!$C$5:$T$44,$CU29,CF$57),""),2,1)="/",MID(IFERROR(INDEX(醫師週班表!$C$5:$T$44,$CU29,CF$57),""),1+CF$58*2,1),IF(MID(IFERROR(INDEX(醫師週班表!$C$5:$T$44,$CU29,CF$57),""),3,1)="隔",IF(CF$58=0,LEFT(IFERROR(INDEX(醫師週班表!$C$5:$T$44,$CU29,CF$57),""),1),""),IF(MID(IFERROR(INDEX(醫師週班表!$C$5:$T$44,$CU29,CF$57),""),2,1)="(",LEFT(IFERROR(INDEX(醫師週班表!$C$5:$T$44,$CU29,CF$57),""),1),IFERROR(INDEX(醫師週班表!$C$5:$T$44,$CU29,CF$57),"")))))))</f>
        <v/>
      </c>
      <c r="CG29" s="72">
        <f>IF(CG$59="X","",IF(CG$59&lt;&gt;"",CG$59,IF(IFERROR(INDEX(醫師週班表!$C$5:$T$44,$CU29,CG$57),"")=0,"",IF(MID(IFERROR(INDEX(醫師週班表!$C$5:$T$44,$CU29,CG$57),""),2,1)="/",MID(IFERROR(INDEX(醫師週班表!$C$5:$T$44,$CU29,CG$57),""),1+CG$58*2,1),IF(MID(IFERROR(INDEX(醫師週班表!$C$5:$T$44,$CU29,CG$57),""),3,1)="隔",IF(CG$58=0,LEFT(IFERROR(INDEX(醫師週班表!$C$5:$T$44,$CU29,CG$57),""),1),""),IF(MID(IFERROR(INDEX(醫師週班表!$C$5:$T$44,$CU29,CG$57),""),2,1)="(",LEFT(IFERROR(INDEX(醫師週班表!$C$5:$T$44,$CU29,CG$57),""),1),IFERROR(INDEX(醫師週班表!$C$5:$T$44,$CU29,CG$57),"")))))))</f>
        <v/>
      </c>
      <c r="CH29" s="71">
        <f>IF(CH$59="X","",IF(CH$59&lt;&gt;"",CH$59,IF(IFERROR(INDEX(醫師週班表!$C$5:$T$44,$CU29,CH$57),"")=0,"",IF(MID(IFERROR(INDEX(醫師週班表!$C$5:$T$44,$CU29,CH$57),""),2,1)="/",MID(IFERROR(INDEX(醫師週班表!$C$5:$T$44,$CU29,CH$57),""),1+CH$58*2,1),IF(MID(IFERROR(INDEX(醫師週班表!$C$5:$T$44,$CU29,CH$57),""),3,1)="隔",IF(CH$58=0,LEFT(IFERROR(INDEX(醫師週班表!$C$5:$T$44,$CU29,CH$57),""),1),""),IF(MID(IFERROR(INDEX(醫師週班表!$C$5:$T$44,$CU29,CH$57),""),2,1)="(",LEFT(IFERROR(INDEX(醫師週班表!$C$5:$T$44,$CU29,CH$57),""),1),IFERROR(INDEX(醫師週班表!$C$5:$T$44,$CU29,CH$57),"")))))))</f>
        <v/>
      </c>
      <c r="CI29" s="72">
        <f>IF(CI$59="X","",IF(CI$59&lt;&gt;"",CI$59,IF(IFERROR(INDEX(醫師週班表!$C$5:$T$44,$CU29,CI$57),"")=0,"",IF(MID(IFERROR(INDEX(醫師週班表!$C$5:$T$44,$CU29,CI$57),""),2,1)="/",MID(IFERROR(INDEX(醫師週班表!$C$5:$T$44,$CU29,CI$57),""),1+CI$58*2,1),IF(MID(IFERROR(INDEX(醫師週班表!$C$5:$T$44,$CU29,CI$57),""),3,1)="隔",IF(CI$58=0,LEFT(IFERROR(INDEX(醫師週班表!$C$5:$T$44,$CU29,CI$57),""),1),""),IF(MID(IFERROR(INDEX(醫師週班表!$C$5:$T$44,$CU29,CI$57),""),2,1)="(",LEFT(IFERROR(INDEX(醫師週班表!$C$5:$T$44,$CU29,CI$57),""),1),IFERROR(INDEX(醫師週班表!$C$5:$T$44,$CU29,CI$57),"")))))))</f>
        <v/>
      </c>
      <c r="CJ29" s="72">
        <f>IF(CJ$59="X","",IF(CJ$59&lt;&gt;"",CJ$59,IF(IFERROR(INDEX(醫師週班表!$C$5:$T$44,$CU29,CJ$57),"")=0,"",IF(MID(IFERROR(INDEX(醫師週班表!$C$5:$T$44,$CU29,CJ$57),""),2,1)="/",MID(IFERROR(INDEX(醫師週班表!$C$5:$T$44,$CU29,CJ$57),""),1+CJ$58*2,1),IF(MID(IFERROR(INDEX(醫師週班表!$C$5:$T$44,$CU29,CJ$57),""),3,1)="隔",IF(CJ$58=0,LEFT(IFERROR(INDEX(醫師週班表!$C$5:$T$44,$CU29,CJ$57),""),1),""),IF(MID(IFERROR(INDEX(醫師週班表!$C$5:$T$44,$CU29,CJ$57),""),2,1)="(",LEFT(IFERROR(INDEX(醫師週班表!$C$5:$T$44,$CU29,CJ$57),""),1),IFERROR(INDEX(醫師週班表!$C$5:$T$44,$CU29,CJ$57),"")))))))</f>
        <v/>
      </c>
      <c r="CK29" s="71">
        <f>IF(CK$59="X","",IF(CK$59&lt;&gt;"",CK$59,IF(IFERROR(INDEX(醫師週班表!$C$5:$T$44,$CU29,CK$57),"")=0,"",IF(MID(IFERROR(INDEX(醫師週班表!$C$5:$T$44,$CU29,CK$57),""),2,1)="/",MID(IFERROR(INDEX(醫師週班表!$C$5:$T$44,$CU29,CK$57),""),1+CK$58*2,1),IF(MID(IFERROR(INDEX(醫師週班表!$C$5:$T$44,$CU29,CK$57),""),3,1)="隔",IF(CK$58=0,LEFT(IFERROR(INDEX(醫師週班表!$C$5:$T$44,$CU29,CK$57),""),1),""),IF(MID(IFERROR(INDEX(醫師週班表!$C$5:$T$44,$CU29,CK$57),""),2,1)="(",LEFT(IFERROR(INDEX(醫師週班表!$C$5:$T$44,$CU29,CK$57),""),1),IFERROR(INDEX(醫師週班表!$C$5:$T$44,$CU29,CK$57),"")))))))</f>
        <v/>
      </c>
      <c r="CL29" s="72">
        <f>IF(CL$59="X","",IF(CL$59&lt;&gt;"",CL$59,IF(IFERROR(INDEX(醫師週班表!$C$5:$T$44,$CU29,CL$57),"")=0,"",IF(MID(IFERROR(INDEX(醫師週班表!$C$5:$T$44,$CU29,CL$57),""),2,1)="/",MID(IFERROR(INDEX(醫師週班表!$C$5:$T$44,$CU29,CL$57),""),1+CL$58*2,1),IF(MID(IFERROR(INDEX(醫師週班表!$C$5:$T$44,$CU29,CL$57),""),3,1)="隔",IF(CL$58=0,LEFT(IFERROR(INDEX(醫師週班表!$C$5:$T$44,$CU29,CL$57),""),1),""),IF(MID(IFERROR(INDEX(醫師週班表!$C$5:$T$44,$CU29,CL$57),""),2,1)="(",LEFT(IFERROR(INDEX(醫師週班表!$C$5:$T$44,$CU29,CL$57),""),1),IFERROR(INDEX(醫師週班表!$C$5:$T$44,$CU29,CL$57),"")))))))</f>
        <v/>
      </c>
      <c r="CM29" s="72">
        <f>IF(CM$59="X","",IF(CM$59&lt;&gt;"",CM$59,IF(IFERROR(INDEX(醫師週班表!$C$5:$T$44,$CU29,CM$57),"")=0,"",IF(MID(IFERROR(INDEX(醫師週班表!$C$5:$T$44,$CU29,CM$57),""),2,1)="/",MID(IFERROR(INDEX(醫師週班表!$C$5:$T$44,$CU29,CM$57),""),1+CM$58*2,1),IF(MID(IFERROR(INDEX(醫師週班表!$C$5:$T$44,$CU29,CM$57),""),3,1)="隔",IF(CM$58=0,LEFT(IFERROR(INDEX(醫師週班表!$C$5:$T$44,$CU29,CM$57),""),1),""),IF(MID(IFERROR(INDEX(醫師週班表!$C$5:$T$44,$CU29,CM$57),""),2,1)="(",LEFT(IFERROR(INDEX(醫師週班表!$C$5:$T$44,$CU29,CM$57),""),1),IFERROR(INDEX(醫師週班表!$C$5:$T$44,$CU29,CM$57),"")))))))</f>
        <v/>
      </c>
      <c r="CN29" s="71">
        <f>IF(CN$59="X","",IF(CN$59&lt;&gt;"",CN$59,IF(IFERROR(INDEX(醫師週班表!$C$5:$T$44,$CU29,CN$57),"")=0,"",IF(MID(IFERROR(INDEX(醫師週班表!$C$5:$T$44,$CU29,CN$57),""),2,1)="/",MID(IFERROR(INDEX(醫師週班表!$C$5:$T$44,$CU29,CN$57),""),1+CN$58*2,1),IF(MID(IFERROR(INDEX(醫師週班表!$C$5:$T$44,$CU29,CN$57),""),3,1)="隔",IF(CN$58=0,LEFT(IFERROR(INDEX(醫師週班表!$C$5:$T$44,$CU29,CN$57),""),1),""),IF(MID(IFERROR(INDEX(醫師週班表!$C$5:$T$44,$CU29,CN$57),""),2,1)="(",LEFT(IFERROR(INDEX(醫師週班表!$C$5:$T$44,$CU29,CN$57),""),1),IFERROR(INDEX(醫師週班表!$C$5:$T$44,$CU29,CN$57),"")))))))</f>
        <v/>
      </c>
      <c r="CO29" s="72">
        <f>IF(CO$59="X","",IF(CO$59&lt;&gt;"",CO$59,IF(IFERROR(INDEX(醫師週班表!$C$5:$T$44,$CU29,CO$57),"")=0,"",IF(MID(IFERROR(INDEX(醫師週班表!$C$5:$T$44,$CU29,CO$57),""),2,1)="/",MID(IFERROR(INDEX(醫師週班表!$C$5:$T$44,$CU29,CO$57),""),1+CO$58*2,1),IF(MID(IFERROR(INDEX(醫師週班表!$C$5:$T$44,$CU29,CO$57),""),3,1)="隔",IF(CO$58=0,LEFT(IFERROR(INDEX(醫師週班表!$C$5:$T$44,$CU29,CO$57),""),1),""),IF(MID(IFERROR(INDEX(醫師週班表!$C$5:$T$44,$CU29,CO$57),""),2,1)="(",LEFT(IFERROR(INDEX(醫師週班表!$C$5:$T$44,$CU29,CO$57),""),1),IFERROR(INDEX(醫師週班表!$C$5:$T$44,$CU29,CO$57),"")))))))</f>
        <v/>
      </c>
      <c r="CP29" s="72">
        <f>IF(CP$59="X","",IF(CP$59&lt;&gt;"",CP$59,IF(IFERROR(INDEX(醫師週班表!$C$5:$T$44,$CU29,CP$57),"")=0,"",IF(MID(IFERROR(INDEX(醫師週班表!$C$5:$T$44,$CU29,CP$57),""),2,1)="/",MID(IFERROR(INDEX(醫師週班表!$C$5:$T$44,$CU29,CP$57),""),1+CP$58*2,1),IF(MID(IFERROR(INDEX(醫師週班表!$C$5:$T$44,$CU29,CP$57),""),3,1)="隔",IF(CP$58=0,LEFT(IFERROR(INDEX(醫師週班表!$C$5:$T$44,$CU29,CP$57),""),1),""),IF(MID(IFERROR(INDEX(醫師週班表!$C$5:$T$44,$CU29,CP$57),""),2,1)="(",LEFT(IFERROR(INDEX(醫師週班表!$C$5:$T$44,$CU29,CP$57),""),1),IFERROR(INDEX(醫師週班表!$C$5:$T$44,$CU29,CP$57),"")))))))</f>
        <v/>
      </c>
      <c r="CQ29" s="71">
        <f>IF(CQ$59="X","",IF(CQ$59&lt;&gt;"",CQ$59,IF(IFERROR(INDEX(醫師週班表!$C$5:$T$44,$CU29,CQ$57),"")=0,"",IF(MID(IFERROR(INDEX(醫師週班表!$C$5:$T$44,$CU29,CQ$57),""),2,1)="/",MID(IFERROR(INDEX(醫師週班表!$C$5:$T$44,$CU29,CQ$57),""),1+CQ$58*2,1),IF(MID(IFERROR(INDEX(醫師週班表!$C$5:$T$44,$CU29,CQ$57),""),3,1)="隔",IF(CQ$58=0,LEFT(IFERROR(INDEX(醫師週班表!$C$5:$T$44,$CU29,CQ$57),""),1),""),IF(MID(IFERROR(INDEX(醫師週班表!$C$5:$T$44,$CU29,CQ$57),""),2,1)="(",LEFT(IFERROR(INDEX(醫師週班表!$C$5:$T$44,$CU29,CQ$57),""),1),IFERROR(INDEX(醫師週班表!$C$5:$T$44,$CU29,CQ$57),"")))))))</f>
        <v/>
      </c>
      <c r="CR29" s="72">
        <f>IF(CR$59="X","",IF(CR$59&lt;&gt;"",CR$59,IF(IFERROR(INDEX(醫師週班表!$C$5:$T$44,$CU29,CR$57),"")=0,"",IF(MID(IFERROR(INDEX(醫師週班表!$C$5:$T$44,$CU29,CR$57),""),2,1)="/",MID(IFERROR(INDEX(醫師週班表!$C$5:$T$44,$CU29,CR$57),""),1+CR$58*2,1),IF(MID(IFERROR(INDEX(醫師週班表!$C$5:$T$44,$CU29,CR$57),""),3,1)="隔",IF(CR$58=0,LEFT(IFERROR(INDEX(醫師週班表!$C$5:$T$44,$CU29,CR$57),""),1),""),IF(MID(IFERROR(INDEX(醫師週班表!$C$5:$T$44,$CU29,CR$57),""),2,1)="(",LEFT(IFERROR(INDEX(醫師週班表!$C$5:$T$44,$CU29,CR$57),""),1),IFERROR(INDEX(醫師週班表!$C$5:$T$44,$CU29,CR$57),"")))))))</f>
        <v/>
      </c>
      <c r="CS29" s="72">
        <f>IF(CS$59="X","",IF(CS$59&lt;&gt;"",CS$59,IF(IFERROR(INDEX(醫師週班表!$C$5:$T$44,$CU29,CS$57),"")=0,"",IF(MID(IFERROR(INDEX(醫師週班表!$C$5:$T$44,$CU29,CS$57),""),2,1)="/",MID(IFERROR(INDEX(醫師週班表!$C$5:$T$44,$CU29,CS$57),""),1+CS$58*2,1),IF(MID(IFERROR(INDEX(醫師週班表!$C$5:$T$44,$CU29,CS$57),""),3,1)="隔",IF(CS$58=0,LEFT(IFERROR(INDEX(醫師週班表!$C$5:$T$44,$CU29,CS$57),""),1),""),IF(MID(IFERROR(INDEX(醫師週班表!$C$5:$T$44,$CU29,CS$57),""),2,1)="(",LEFT(IFERROR(INDEX(醫師週班表!$C$5:$T$44,$CU29,CS$57),""),1),IFERROR(INDEX(醫師週班表!$C$5:$T$44,$CU29,CS$57),"")))))))</f>
        <v/>
      </c>
      <c r="CU29" s="73">
        <f>IFERROR(MATCH($A29,醫師週班表!$A$5:$A$44,0),0)</f>
        <v/>
      </c>
    </row>
    <row r="30" ht="17" customHeight="1">
      <c r="A30" s="19" t="inlineStr">
        <is>
          <t>D025</t>
        </is>
      </c>
      <c r="B30" s="16" t="inlineStr">
        <is>
          <t>陳爵安</t>
        </is>
      </c>
      <c r="C30" s="70" t="inlineStr"/>
      <c r="D30" s="16" t="inlineStr"/>
      <c r="E30" s="71">
        <f>IF(E$59="X","",IF(E$59&lt;&gt;"",E$59,IF(IFERROR(INDEX(醫師週班表!$C$5:$T$44,$CU30,E$57),"")=0,"",IF(MID(IFERROR(INDEX(醫師週班表!$C$5:$T$44,$CU30,E$57),""),2,1)="/",MID(IFERROR(INDEX(醫師週班表!$C$5:$T$44,$CU30,E$57),""),1+E$58*2,1),IF(MID(IFERROR(INDEX(醫師週班表!$C$5:$T$44,$CU30,E$57),""),3,1)="隔",IF(E$58=0,LEFT(IFERROR(INDEX(醫師週班表!$C$5:$T$44,$CU30,E$57),""),1),""),IF(MID(IFERROR(INDEX(醫師週班表!$C$5:$T$44,$CU30,E$57),""),2,1)="(",LEFT(IFERROR(INDEX(醫師週班表!$C$5:$T$44,$CU30,E$57),""),1),IFERROR(INDEX(醫師週班表!$C$5:$T$44,$CU30,E$57),"")))))))</f>
        <v/>
      </c>
      <c r="F30" s="72">
        <f>IF(F$59="X","",IF(F$59&lt;&gt;"",F$59,IF(IFERROR(INDEX(醫師週班表!$C$5:$T$44,$CU30,F$57),"")=0,"",IF(MID(IFERROR(INDEX(醫師週班表!$C$5:$T$44,$CU30,F$57),""),2,1)="/",MID(IFERROR(INDEX(醫師週班表!$C$5:$T$44,$CU30,F$57),""),1+F$58*2,1),IF(MID(IFERROR(INDEX(醫師週班表!$C$5:$T$44,$CU30,F$57),""),3,1)="隔",IF(F$58=0,LEFT(IFERROR(INDEX(醫師週班表!$C$5:$T$44,$CU30,F$57),""),1),""),IF(MID(IFERROR(INDEX(醫師週班表!$C$5:$T$44,$CU30,F$57),""),2,1)="(",LEFT(IFERROR(INDEX(醫師週班表!$C$5:$T$44,$CU30,F$57),""),1),IFERROR(INDEX(醫師週班表!$C$5:$T$44,$CU30,F$57),"")))))))</f>
        <v/>
      </c>
      <c r="G30" s="72">
        <f>IF(G$59="X","",IF(G$59&lt;&gt;"",G$59,IF(IFERROR(INDEX(醫師週班表!$C$5:$T$44,$CU30,G$57),"")=0,"",IF(MID(IFERROR(INDEX(醫師週班表!$C$5:$T$44,$CU30,G$57),""),2,1)="/",MID(IFERROR(INDEX(醫師週班表!$C$5:$T$44,$CU30,G$57),""),1+G$58*2,1),IF(MID(IFERROR(INDEX(醫師週班表!$C$5:$T$44,$CU30,G$57),""),3,1)="隔",IF(G$58=0,LEFT(IFERROR(INDEX(醫師週班表!$C$5:$T$44,$CU30,G$57),""),1),""),IF(MID(IFERROR(INDEX(醫師週班表!$C$5:$T$44,$CU30,G$57),""),2,1)="(",LEFT(IFERROR(INDEX(醫師週班表!$C$5:$T$44,$CU30,G$57),""),1),IFERROR(INDEX(醫師週班表!$C$5:$T$44,$CU30,G$57),"")))))))</f>
        <v/>
      </c>
      <c r="H30" s="71">
        <f>IF(H$59="X","",IF(H$59&lt;&gt;"",H$59,IF(IFERROR(INDEX(醫師週班表!$C$5:$T$44,$CU30,H$57),"")=0,"",IF(MID(IFERROR(INDEX(醫師週班表!$C$5:$T$44,$CU30,H$57),""),2,1)="/",MID(IFERROR(INDEX(醫師週班表!$C$5:$T$44,$CU30,H$57),""),1+H$58*2,1),IF(MID(IFERROR(INDEX(醫師週班表!$C$5:$T$44,$CU30,H$57),""),3,1)="隔",IF(H$58=0,LEFT(IFERROR(INDEX(醫師週班表!$C$5:$T$44,$CU30,H$57),""),1),""),IF(MID(IFERROR(INDEX(醫師週班表!$C$5:$T$44,$CU30,H$57),""),2,1)="(",LEFT(IFERROR(INDEX(醫師週班表!$C$5:$T$44,$CU30,H$57),""),1),IFERROR(INDEX(醫師週班表!$C$5:$T$44,$CU30,H$57),"")))))))</f>
        <v/>
      </c>
      <c r="I30" s="72">
        <f>IF(I$59="X","",IF(I$59&lt;&gt;"",I$59,IF(IFERROR(INDEX(醫師週班表!$C$5:$T$44,$CU30,I$57),"")=0,"",IF(MID(IFERROR(INDEX(醫師週班表!$C$5:$T$44,$CU30,I$57),""),2,1)="/",MID(IFERROR(INDEX(醫師週班表!$C$5:$T$44,$CU30,I$57),""),1+I$58*2,1),IF(MID(IFERROR(INDEX(醫師週班表!$C$5:$T$44,$CU30,I$57),""),3,1)="隔",IF(I$58=0,LEFT(IFERROR(INDEX(醫師週班表!$C$5:$T$44,$CU30,I$57),""),1),""),IF(MID(IFERROR(INDEX(醫師週班表!$C$5:$T$44,$CU30,I$57),""),2,1)="(",LEFT(IFERROR(INDEX(醫師週班表!$C$5:$T$44,$CU30,I$57),""),1),IFERROR(INDEX(醫師週班表!$C$5:$T$44,$CU30,I$57),"")))))))</f>
        <v/>
      </c>
      <c r="J30" s="72">
        <f>IF(J$59="X","",IF(J$59&lt;&gt;"",J$59,IF(IFERROR(INDEX(醫師週班表!$C$5:$T$44,$CU30,J$57),"")=0,"",IF(MID(IFERROR(INDEX(醫師週班表!$C$5:$T$44,$CU30,J$57),""),2,1)="/",MID(IFERROR(INDEX(醫師週班表!$C$5:$T$44,$CU30,J$57),""),1+J$58*2,1),IF(MID(IFERROR(INDEX(醫師週班表!$C$5:$T$44,$CU30,J$57),""),3,1)="隔",IF(J$58=0,LEFT(IFERROR(INDEX(醫師週班表!$C$5:$T$44,$CU30,J$57),""),1),""),IF(MID(IFERROR(INDEX(醫師週班表!$C$5:$T$44,$CU30,J$57),""),2,1)="(",LEFT(IFERROR(INDEX(醫師週班表!$C$5:$T$44,$CU30,J$57),""),1),IFERROR(INDEX(醫師週班表!$C$5:$T$44,$CU30,J$57),"")))))))</f>
        <v/>
      </c>
      <c r="K30" s="71">
        <f>IF(K$59="X","",IF(K$59&lt;&gt;"",K$59,IF(IFERROR(INDEX(醫師週班表!$C$5:$T$44,$CU30,K$57),"")=0,"",IF(MID(IFERROR(INDEX(醫師週班表!$C$5:$T$44,$CU30,K$57),""),2,1)="/",MID(IFERROR(INDEX(醫師週班表!$C$5:$T$44,$CU30,K$57),""),1+K$58*2,1),IF(MID(IFERROR(INDEX(醫師週班表!$C$5:$T$44,$CU30,K$57),""),3,1)="隔",IF(K$58=0,LEFT(IFERROR(INDEX(醫師週班表!$C$5:$T$44,$CU30,K$57),""),1),""),IF(MID(IFERROR(INDEX(醫師週班表!$C$5:$T$44,$CU30,K$57),""),2,1)="(",LEFT(IFERROR(INDEX(醫師週班表!$C$5:$T$44,$CU30,K$57),""),1),IFERROR(INDEX(醫師週班表!$C$5:$T$44,$CU30,K$57),"")))))))</f>
        <v/>
      </c>
      <c r="L30" s="72">
        <f>IF(L$59="X","",IF(L$59&lt;&gt;"",L$59,IF(IFERROR(INDEX(醫師週班表!$C$5:$T$44,$CU30,L$57),"")=0,"",IF(MID(IFERROR(INDEX(醫師週班表!$C$5:$T$44,$CU30,L$57),""),2,1)="/",MID(IFERROR(INDEX(醫師週班表!$C$5:$T$44,$CU30,L$57),""),1+L$58*2,1),IF(MID(IFERROR(INDEX(醫師週班表!$C$5:$T$44,$CU30,L$57),""),3,1)="隔",IF(L$58=0,LEFT(IFERROR(INDEX(醫師週班表!$C$5:$T$44,$CU30,L$57),""),1),""),IF(MID(IFERROR(INDEX(醫師週班表!$C$5:$T$44,$CU30,L$57),""),2,1)="(",LEFT(IFERROR(INDEX(醫師週班表!$C$5:$T$44,$CU30,L$57),""),1),IFERROR(INDEX(醫師週班表!$C$5:$T$44,$CU30,L$57),"")))))))</f>
        <v/>
      </c>
      <c r="M30" s="72">
        <f>IF(M$59="X","",IF(M$59&lt;&gt;"",M$59,IF(IFERROR(INDEX(醫師週班表!$C$5:$T$44,$CU30,M$57),"")=0,"",IF(MID(IFERROR(INDEX(醫師週班表!$C$5:$T$44,$CU30,M$57),""),2,1)="/",MID(IFERROR(INDEX(醫師週班表!$C$5:$T$44,$CU30,M$57),""),1+M$58*2,1),IF(MID(IFERROR(INDEX(醫師週班表!$C$5:$T$44,$CU30,M$57),""),3,1)="隔",IF(M$58=0,LEFT(IFERROR(INDEX(醫師週班表!$C$5:$T$44,$CU30,M$57),""),1),""),IF(MID(IFERROR(INDEX(醫師週班表!$C$5:$T$44,$CU30,M$57),""),2,1)="(",LEFT(IFERROR(INDEX(醫師週班表!$C$5:$T$44,$CU30,M$57),""),1),IFERROR(INDEX(醫師週班表!$C$5:$T$44,$CU30,M$57),"")))))))</f>
        <v/>
      </c>
      <c r="N30" s="71">
        <f>IF(N$59="X","",IF(N$59&lt;&gt;"",N$59,IF(IFERROR(INDEX(醫師週班表!$C$5:$T$44,$CU30,N$57),"")=0,"",IF(MID(IFERROR(INDEX(醫師週班表!$C$5:$T$44,$CU30,N$57),""),2,1)="/",MID(IFERROR(INDEX(醫師週班表!$C$5:$T$44,$CU30,N$57),""),1+N$58*2,1),IF(MID(IFERROR(INDEX(醫師週班表!$C$5:$T$44,$CU30,N$57),""),3,1)="隔",IF(N$58=0,LEFT(IFERROR(INDEX(醫師週班表!$C$5:$T$44,$CU30,N$57),""),1),""),IF(MID(IFERROR(INDEX(醫師週班表!$C$5:$T$44,$CU30,N$57),""),2,1)="(",LEFT(IFERROR(INDEX(醫師週班表!$C$5:$T$44,$CU30,N$57),""),1),IFERROR(INDEX(醫師週班表!$C$5:$T$44,$CU30,N$57),"")))))))</f>
        <v/>
      </c>
      <c r="O30" s="72">
        <f>IF(O$59="X","",IF(O$59&lt;&gt;"",O$59,IF(IFERROR(INDEX(醫師週班表!$C$5:$T$44,$CU30,O$57),"")=0,"",IF(MID(IFERROR(INDEX(醫師週班表!$C$5:$T$44,$CU30,O$57),""),2,1)="/",MID(IFERROR(INDEX(醫師週班表!$C$5:$T$44,$CU30,O$57),""),1+O$58*2,1),IF(MID(IFERROR(INDEX(醫師週班表!$C$5:$T$44,$CU30,O$57),""),3,1)="隔",IF(O$58=0,LEFT(IFERROR(INDEX(醫師週班表!$C$5:$T$44,$CU30,O$57),""),1),""),IF(MID(IFERROR(INDEX(醫師週班表!$C$5:$T$44,$CU30,O$57),""),2,1)="(",LEFT(IFERROR(INDEX(醫師週班表!$C$5:$T$44,$CU30,O$57),""),1),IFERROR(INDEX(醫師週班表!$C$5:$T$44,$CU30,O$57),"")))))))</f>
        <v/>
      </c>
      <c r="P30" s="72">
        <f>IF(P$59="X","",IF(P$59&lt;&gt;"",P$59,IF(IFERROR(INDEX(醫師週班表!$C$5:$T$44,$CU30,P$57),"")=0,"",IF(MID(IFERROR(INDEX(醫師週班表!$C$5:$T$44,$CU30,P$57),""),2,1)="/",MID(IFERROR(INDEX(醫師週班表!$C$5:$T$44,$CU30,P$57),""),1+P$58*2,1),IF(MID(IFERROR(INDEX(醫師週班表!$C$5:$T$44,$CU30,P$57),""),3,1)="隔",IF(P$58=0,LEFT(IFERROR(INDEX(醫師週班表!$C$5:$T$44,$CU30,P$57),""),1),""),IF(MID(IFERROR(INDEX(醫師週班表!$C$5:$T$44,$CU30,P$57),""),2,1)="(",LEFT(IFERROR(INDEX(醫師週班表!$C$5:$T$44,$CU30,P$57),""),1),IFERROR(INDEX(醫師週班表!$C$5:$T$44,$CU30,P$57),"")))))))</f>
        <v/>
      </c>
      <c r="Q30" s="71">
        <f>IF(Q$59="X","",IF(Q$59&lt;&gt;"",Q$59,IF(IFERROR(INDEX(醫師週班表!$C$5:$T$44,$CU30,Q$57),"")=0,"",IF(MID(IFERROR(INDEX(醫師週班表!$C$5:$T$44,$CU30,Q$57),""),2,1)="/",MID(IFERROR(INDEX(醫師週班表!$C$5:$T$44,$CU30,Q$57),""),1+Q$58*2,1),IF(MID(IFERROR(INDEX(醫師週班表!$C$5:$T$44,$CU30,Q$57),""),3,1)="隔",IF(Q$58=0,LEFT(IFERROR(INDEX(醫師週班表!$C$5:$T$44,$CU30,Q$57),""),1),""),IF(MID(IFERROR(INDEX(醫師週班表!$C$5:$T$44,$CU30,Q$57),""),2,1)="(",LEFT(IFERROR(INDEX(醫師週班表!$C$5:$T$44,$CU30,Q$57),""),1),IFERROR(INDEX(醫師週班表!$C$5:$T$44,$CU30,Q$57),"")))))))</f>
        <v/>
      </c>
      <c r="R30" s="72">
        <f>IF(R$59="X","",IF(R$59&lt;&gt;"",R$59,IF(IFERROR(INDEX(醫師週班表!$C$5:$T$44,$CU30,R$57),"")=0,"",IF(MID(IFERROR(INDEX(醫師週班表!$C$5:$T$44,$CU30,R$57),""),2,1)="/",MID(IFERROR(INDEX(醫師週班表!$C$5:$T$44,$CU30,R$57),""),1+R$58*2,1),IF(MID(IFERROR(INDEX(醫師週班表!$C$5:$T$44,$CU30,R$57),""),3,1)="隔",IF(R$58=0,LEFT(IFERROR(INDEX(醫師週班表!$C$5:$T$44,$CU30,R$57),""),1),""),IF(MID(IFERROR(INDEX(醫師週班表!$C$5:$T$44,$CU30,R$57),""),2,1)="(",LEFT(IFERROR(INDEX(醫師週班表!$C$5:$T$44,$CU30,R$57),""),1),IFERROR(INDEX(醫師週班表!$C$5:$T$44,$CU30,R$57),"")))))))</f>
        <v/>
      </c>
      <c r="S30" s="72">
        <f>IF(S$59="X","",IF(S$59&lt;&gt;"",S$59,IF(IFERROR(INDEX(醫師週班表!$C$5:$T$44,$CU30,S$57),"")=0,"",IF(MID(IFERROR(INDEX(醫師週班表!$C$5:$T$44,$CU30,S$57),""),2,1)="/",MID(IFERROR(INDEX(醫師週班表!$C$5:$T$44,$CU30,S$57),""),1+S$58*2,1),IF(MID(IFERROR(INDEX(醫師週班表!$C$5:$T$44,$CU30,S$57),""),3,1)="隔",IF(S$58=0,LEFT(IFERROR(INDEX(醫師週班表!$C$5:$T$44,$CU30,S$57),""),1),""),IF(MID(IFERROR(INDEX(醫師週班表!$C$5:$T$44,$CU30,S$57),""),2,1)="(",LEFT(IFERROR(INDEX(醫師週班表!$C$5:$T$44,$CU30,S$57),""),1),IFERROR(INDEX(醫師週班表!$C$5:$T$44,$CU30,S$57),"")))))))</f>
        <v/>
      </c>
      <c r="T30" s="71">
        <f>IF(T$59="X","",IF(T$59&lt;&gt;"",T$59,IF(IFERROR(INDEX(醫師週班表!$C$5:$T$44,$CU30,T$57),"")=0,"",IF(MID(IFERROR(INDEX(醫師週班表!$C$5:$T$44,$CU30,T$57),""),2,1)="/",MID(IFERROR(INDEX(醫師週班表!$C$5:$T$44,$CU30,T$57),""),1+T$58*2,1),IF(MID(IFERROR(INDEX(醫師週班表!$C$5:$T$44,$CU30,T$57),""),3,1)="隔",IF(T$58=0,LEFT(IFERROR(INDEX(醫師週班表!$C$5:$T$44,$CU30,T$57),""),1),""),IF(MID(IFERROR(INDEX(醫師週班表!$C$5:$T$44,$CU30,T$57),""),2,1)="(",LEFT(IFERROR(INDEX(醫師週班表!$C$5:$T$44,$CU30,T$57),""),1),IFERROR(INDEX(醫師週班表!$C$5:$T$44,$CU30,T$57),"")))))))</f>
        <v/>
      </c>
      <c r="U30" s="72">
        <f>IF(U$59="X","",IF(U$59&lt;&gt;"",U$59,IF(IFERROR(INDEX(醫師週班表!$C$5:$T$44,$CU30,U$57),"")=0,"",IF(MID(IFERROR(INDEX(醫師週班表!$C$5:$T$44,$CU30,U$57),""),2,1)="/",MID(IFERROR(INDEX(醫師週班表!$C$5:$T$44,$CU30,U$57),""),1+U$58*2,1),IF(MID(IFERROR(INDEX(醫師週班表!$C$5:$T$44,$CU30,U$57),""),3,1)="隔",IF(U$58=0,LEFT(IFERROR(INDEX(醫師週班表!$C$5:$T$44,$CU30,U$57),""),1),""),IF(MID(IFERROR(INDEX(醫師週班表!$C$5:$T$44,$CU30,U$57),""),2,1)="(",LEFT(IFERROR(INDEX(醫師週班表!$C$5:$T$44,$CU30,U$57),""),1),IFERROR(INDEX(醫師週班表!$C$5:$T$44,$CU30,U$57),"")))))))</f>
        <v/>
      </c>
      <c r="V30" s="72">
        <f>IF(V$59="X","",IF(V$59&lt;&gt;"",V$59,IF(IFERROR(INDEX(醫師週班表!$C$5:$T$44,$CU30,V$57),"")=0,"",IF(MID(IFERROR(INDEX(醫師週班表!$C$5:$T$44,$CU30,V$57),""),2,1)="/",MID(IFERROR(INDEX(醫師週班表!$C$5:$T$44,$CU30,V$57),""),1+V$58*2,1),IF(MID(IFERROR(INDEX(醫師週班表!$C$5:$T$44,$CU30,V$57),""),3,1)="隔",IF(V$58=0,LEFT(IFERROR(INDEX(醫師週班表!$C$5:$T$44,$CU30,V$57),""),1),""),IF(MID(IFERROR(INDEX(醫師週班表!$C$5:$T$44,$CU30,V$57),""),2,1)="(",LEFT(IFERROR(INDEX(醫師週班表!$C$5:$T$44,$CU30,V$57),""),1),IFERROR(INDEX(醫師週班表!$C$5:$T$44,$CU30,V$57),"")))))))</f>
        <v/>
      </c>
      <c r="W30" s="71">
        <f>IF(W$59="X","",IF(W$59&lt;&gt;"",W$59,IF(IFERROR(INDEX(醫師週班表!$C$5:$T$44,$CU30,W$57),"")=0,"",IF(MID(IFERROR(INDEX(醫師週班表!$C$5:$T$44,$CU30,W$57),""),2,1)="/",MID(IFERROR(INDEX(醫師週班表!$C$5:$T$44,$CU30,W$57),""),1+W$58*2,1),IF(MID(IFERROR(INDEX(醫師週班表!$C$5:$T$44,$CU30,W$57),""),3,1)="隔",IF(W$58=0,LEFT(IFERROR(INDEX(醫師週班表!$C$5:$T$44,$CU30,W$57),""),1),""),IF(MID(IFERROR(INDEX(醫師週班表!$C$5:$T$44,$CU30,W$57),""),2,1)="(",LEFT(IFERROR(INDEX(醫師週班表!$C$5:$T$44,$CU30,W$57),""),1),IFERROR(INDEX(醫師週班表!$C$5:$T$44,$CU30,W$57),"")))))))</f>
        <v/>
      </c>
      <c r="X30" s="72">
        <f>IF(X$59="X","",IF(X$59&lt;&gt;"",X$59,IF(IFERROR(INDEX(醫師週班表!$C$5:$T$44,$CU30,X$57),"")=0,"",IF(MID(IFERROR(INDEX(醫師週班表!$C$5:$T$44,$CU30,X$57),""),2,1)="/",MID(IFERROR(INDEX(醫師週班表!$C$5:$T$44,$CU30,X$57),""),1+X$58*2,1),IF(MID(IFERROR(INDEX(醫師週班表!$C$5:$T$44,$CU30,X$57),""),3,1)="隔",IF(X$58=0,LEFT(IFERROR(INDEX(醫師週班表!$C$5:$T$44,$CU30,X$57),""),1),""),IF(MID(IFERROR(INDEX(醫師週班表!$C$5:$T$44,$CU30,X$57),""),2,1)="(",LEFT(IFERROR(INDEX(醫師週班表!$C$5:$T$44,$CU30,X$57),""),1),IFERROR(INDEX(醫師週班表!$C$5:$T$44,$CU30,X$57),"")))))))</f>
        <v/>
      </c>
      <c r="Y30" s="72">
        <f>IF(Y$59="X","",IF(Y$59&lt;&gt;"",Y$59,IF(IFERROR(INDEX(醫師週班表!$C$5:$T$44,$CU30,Y$57),"")=0,"",IF(MID(IFERROR(INDEX(醫師週班表!$C$5:$T$44,$CU30,Y$57),""),2,1)="/",MID(IFERROR(INDEX(醫師週班表!$C$5:$T$44,$CU30,Y$57),""),1+Y$58*2,1),IF(MID(IFERROR(INDEX(醫師週班表!$C$5:$T$44,$CU30,Y$57),""),3,1)="隔",IF(Y$58=0,LEFT(IFERROR(INDEX(醫師週班表!$C$5:$T$44,$CU30,Y$57),""),1),""),IF(MID(IFERROR(INDEX(醫師週班表!$C$5:$T$44,$CU30,Y$57),""),2,1)="(",LEFT(IFERROR(INDEX(醫師週班表!$C$5:$T$44,$CU30,Y$57),""),1),IFERROR(INDEX(醫師週班表!$C$5:$T$44,$CU30,Y$57),"")))))))</f>
        <v/>
      </c>
      <c r="Z30" s="71">
        <f>IF(Z$59="X","",IF(Z$59&lt;&gt;"",Z$59,IF(IFERROR(INDEX(醫師週班表!$C$5:$T$44,$CU30,Z$57),"")=0,"",IF(MID(IFERROR(INDEX(醫師週班表!$C$5:$T$44,$CU30,Z$57),""),2,1)="/",MID(IFERROR(INDEX(醫師週班表!$C$5:$T$44,$CU30,Z$57),""),1+Z$58*2,1),IF(MID(IFERROR(INDEX(醫師週班表!$C$5:$T$44,$CU30,Z$57),""),3,1)="隔",IF(Z$58=0,LEFT(IFERROR(INDEX(醫師週班表!$C$5:$T$44,$CU30,Z$57),""),1),""),IF(MID(IFERROR(INDEX(醫師週班表!$C$5:$T$44,$CU30,Z$57),""),2,1)="(",LEFT(IFERROR(INDEX(醫師週班表!$C$5:$T$44,$CU30,Z$57),""),1),IFERROR(INDEX(醫師週班表!$C$5:$T$44,$CU30,Z$57),"")))))))</f>
        <v/>
      </c>
      <c r="AA30" s="72">
        <f>IF(AA$59="X","",IF(AA$59&lt;&gt;"",AA$59,IF(IFERROR(INDEX(醫師週班表!$C$5:$T$44,$CU30,AA$57),"")=0,"",IF(MID(IFERROR(INDEX(醫師週班表!$C$5:$T$44,$CU30,AA$57),""),2,1)="/",MID(IFERROR(INDEX(醫師週班表!$C$5:$T$44,$CU30,AA$57),""),1+AA$58*2,1),IF(MID(IFERROR(INDEX(醫師週班表!$C$5:$T$44,$CU30,AA$57),""),3,1)="隔",IF(AA$58=0,LEFT(IFERROR(INDEX(醫師週班表!$C$5:$T$44,$CU30,AA$57),""),1),""),IF(MID(IFERROR(INDEX(醫師週班表!$C$5:$T$44,$CU30,AA$57),""),2,1)="(",LEFT(IFERROR(INDEX(醫師週班表!$C$5:$T$44,$CU30,AA$57),""),1),IFERROR(INDEX(醫師週班表!$C$5:$T$44,$CU30,AA$57),"")))))))</f>
        <v/>
      </c>
      <c r="AB30" s="72">
        <f>IF(AB$59="X","",IF(AB$59&lt;&gt;"",AB$59,IF(IFERROR(INDEX(醫師週班表!$C$5:$T$44,$CU30,AB$57),"")=0,"",IF(MID(IFERROR(INDEX(醫師週班表!$C$5:$T$44,$CU30,AB$57),""),2,1)="/",MID(IFERROR(INDEX(醫師週班表!$C$5:$T$44,$CU30,AB$57),""),1+AB$58*2,1),IF(MID(IFERROR(INDEX(醫師週班表!$C$5:$T$44,$CU30,AB$57),""),3,1)="隔",IF(AB$58=0,LEFT(IFERROR(INDEX(醫師週班表!$C$5:$T$44,$CU30,AB$57),""),1),""),IF(MID(IFERROR(INDEX(醫師週班表!$C$5:$T$44,$CU30,AB$57),""),2,1)="(",LEFT(IFERROR(INDEX(醫師週班表!$C$5:$T$44,$CU30,AB$57),""),1),IFERROR(INDEX(醫師週班表!$C$5:$T$44,$CU30,AB$57),"")))))))</f>
        <v/>
      </c>
      <c r="AC30" s="71">
        <f>IF(AC$59="X","",IF(AC$59&lt;&gt;"",AC$59,IF(IFERROR(INDEX(醫師週班表!$C$5:$T$44,$CU30,AC$57),"")=0,"",IF(MID(IFERROR(INDEX(醫師週班表!$C$5:$T$44,$CU30,AC$57),""),2,1)="/",MID(IFERROR(INDEX(醫師週班表!$C$5:$T$44,$CU30,AC$57),""),1+AC$58*2,1),IF(MID(IFERROR(INDEX(醫師週班表!$C$5:$T$44,$CU30,AC$57),""),3,1)="隔",IF(AC$58=0,LEFT(IFERROR(INDEX(醫師週班表!$C$5:$T$44,$CU30,AC$57),""),1),""),IF(MID(IFERROR(INDEX(醫師週班表!$C$5:$T$44,$CU30,AC$57),""),2,1)="(",LEFT(IFERROR(INDEX(醫師週班表!$C$5:$T$44,$CU30,AC$57),""),1),IFERROR(INDEX(醫師週班表!$C$5:$T$44,$CU30,AC$57),"")))))))</f>
        <v/>
      </c>
      <c r="AD30" s="72">
        <f>IF(AD$59="X","",IF(AD$59&lt;&gt;"",AD$59,IF(IFERROR(INDEX(醫師週班表!$C$5:$T$44,$CU30,AD$57),"")=0,"",IF(MID(IFERROR(INDEX(醫師週班表!$C$5:$T$44,$CU30,AD$57),""),2,1)="/",MID(IFERROR(INDEX(醫師週班表!$C$5:$T$44,$CU30,AD$57),""),1+AD$58*2,1),IF(MID(IFERROR(INDEX(醫師週班表!$C$5:$T$44,$CU30,AD$57),""),3,1)="隔",IF(AD$58=0,LEFT(IFERROR(INDEX(醫師週班表!$C$5:$T$44,$CU30,AD$57),""),1),""),IF(MID(IFERROR(INDEX(醫師週班表!$C$5:$T$44,$CU30,AD$57),""),2,1)="(",LEFT(IFERROR(INDEX(醫師週班表!$C$5:$T$44,$CU30,AD$57),""),1),IFERROR(INDEX(醫師週班表!$C$5:$T$44,$CU30,AD$57),"")))))))</f>
        <v/>
      </c>
      <c r="AE30" s="72">
        <f>IF(AE$59="X","",IF(AE$59&lt;&gt;"",AE$59,IF(IFERROR(INDEX(醫師週班表!$C$5:$T$44,$CU30,AE$57),"")=0,"",IF(MID(IFERROR(INDEX(醫師週班表!$C$5:$T$44,$CU30,AE$57),""),2,1)="/",MID(IFERROR(INDEX(醫師週班表!$C$5:$T$44,$CU30,AE$57),""),1+AE$58*2,1),IF(MID(IFERROR(INDEX(醫師週班表!$C$5:$T$44,$CU30,AE$57),""),3,1)="隔",IF(AE$58=0,LEFT(IFERROR(INDEX(醫師週班表!$C$5:$T$44,$CU30,AE$57),""),1),""),IF(MID(IFERROR(INDEX(醫師週班表!$C$5:$T$44,$CU30,AE$57),""),2,1)="(",LEFT(IFERROR(INDEX(醫師週班表!$C$5:$T$44,$CU30,AE$57),""),1),IFERROR(INDEX(醫師週班表!$C$5:$T$44,$CU30,AE$57),"")))))))</f>
        <v/>
      </c>
      <c r="AF30" s="71">
        <f>IF(AF$59="X","",IF(AF$59&lt;&gt;"",AF$59,IF(IFERROR(INDEX(醫師週班表!$C$5:$T$44,$CU30,AF$57),"")=0,"",IF(MID(IFERROR(INDEX(醫師週班表!$C$5:$T$44,$CU30,AF$57),""),2,1)="/",MID(IFERROR(INDEX(醫師週班表!$C$5:$T$44,$CU30,AF$57),""),1+AF$58*2,1),IF(MID(IFERROR(INDEX(醫師週班表!$C$5:$T$44,$CU30,AF$57),""),3,1)="隔",IF(AF$58=0,LEFT(IFERROR(INDEX(醫師週班表!$C$5:$T$44,$CU30,AF$57),""),1),""),IF(MID(IFERROR(INDEX(醫師週班表!$C$5:$T$44,$CU30,AF$57),""),2,1)="(",LEFT(IFERROR(INDEX(醫師週班表!$C$5:$T$44,$CU30,AF$57),""),1),IFERROR(INDEX(醫師週班表!$C$5:$T$44,$CU30,AF$57),"")))))))</f>
        <v/>
      </c>
      <c r="AG30" s="72">
        <f>IF(AG$59="X","",IF(AG$59&lt;&gt;"",AG$59,IF(IFERROR(INDEX(醫師週班表!$C$5:$T$44,$CU30,AG$57),"")=0,"",IF(MID(IFERROR(INDEX(醫師週班表!$C$5:$T$44,$CU30,AG$57),""),2,1)="/",MID(IFERROR(INDEX(醫師週班表!$C$5:$T$44,$CU30,AG$57),""),1+AG$58*2,1),IF(MID(IFERROR(INDEX(醫師週班表!$C$5:$T$44,$CU30,AG$57),""),3,1)="隔",IF(AG$58=0,LEFT(IFERROR(INDEX(醫師週班表!$C$5:$T$44,$CU30,AG$57),""),1),""),IF(MID(IFERROR(INDEX(醫師週班表!$C$5:$T$44,$CU30,AG$57),""),2,1)="(",LEFT(IFERROR(INDEX(醫師週班表!$C$5:$T$44,$CU30,AG$57),""),1),IFERROR(INDEX(醫師週班表!$C$5:$T$44,$CU30,AG$57),"")))))))</f>
        <v/>
      </c>
      <c r="AH30" s="72">
        <f>IF(AH$59="X","",IF(AH$59&lt;&gt;"",AH$59,IF(IFERROR(INDEX(醫師週班表!$C$5:$T$44,$CU30,AH$57),"")=0,"",IF(MID(IFERROR(INDEX(醫師週班表!$C$5:$T$44,$CU30,AH$57),""),2,1)="/",MID(IFERROR(INDEX(醫師週班表!$C$5:$T$44,$CU30,AH$57),""),1+AH$58*2,1),IF(MID(IFERROR(INDEX(醫師週班表!$C$5:$T$44,$CU30,AH$57),""),3,1)="隔",IF(AH$58=0,LEFT(IFERROR(INDEX(醫師週班表!$C$5:$T$44,$CU30,AH$57),""),1),""),IF(MID(IFERROR(INDEX(醫師週班表!$C$5:$T$44,$CU30,AH$57),""),2,1)="(",LEFT(IFERROR(INDEX(醫師週班表!$C$5:$T$44,$CU30,AH$57),""),1),IFERROR(INDEX(醫師週班表!$C$5:$T$44,$CU30,AH$57),"")))))))</f>
        <v/>
      </c>
      <c r="AI30" s="71">
        <f>IF(AI$59="X","",IF(AI$59&lt;&gt;"",AI$59,IF(IFERROR(INDEX(醫師週班表!$C$5:$T$44,$CU30,AI$57),"")=0,"",IF(MID(IFERROR(INDEX(醫師週班表!$C$5:$T$44,$CU30,AI$57),""),2,1)="/",MID(IFERROR(INDEX(醫師週班表!$C$5:$T$44,$CU30,AI$57),""),1+AI$58*2,1),IF(MID(IFERROR(INDEX(醫師週班表!$C$5:$T$44,$CU30,AI$57),""),3,1)="隔",IF(AI$58=0,LEFT(IFERROR(INDEX(醫師週班表!$C$5:$T$44,$CU30,AI$57),""),1),""),IF(MID(IFERROR(INDEX(醫師週班表!$C$5:$T$44,$CU30,AI$57),""),2,1)="(",LEFT(IFERROR(INDEX(醫師週班表!$C$5:$T$44,$CU30,AI$57),""),1),IFERROR(INDEX(醫師週班表!$C$5:$T$44,$CU30,AI$57),"")))))))</f>
        <v/>
      </c>
      <c r="AJ30" s="72">
        <f>IF(AJ$59="X","",IF(AJ$59&lt;&gt;"",AJ$59,IF(IFERROR(INDEX(醫師週班表!$C$5:$T$44,$CU30,AJ$57),"")=0,"",IF(MID(IFERROR(INDEX(醫師週班表!$C$5:$T$44,$CU30,AJ$57),""),2,1)="/",MID(IFERROR(INDEX(醫師週班表!$C$5:$T$44,$CU30,AJ$57),""),1+AJ$58*2,1),IF(MID(IFERROR(INDEX(醫師週班表!$C$5:$T$44,$CU30,AJ$57),""),3,1)="隔",IF(AJ$58=0,LEFT(IFERROR(INDEX(醫師週班表!$C$5:$T$44,$CU30,AJ$57),""),1),""),IF(MID(IFERROR(INDEX(醫師週班表!$C$5:$T$44,$CU30,AJ$57),""),2,1)="(",LEFT(IFERROR(INDEX(醫師週班表!$C$5:$T$44,$CU30,AJ$57),""),1),IFERROR(INDEX(醫師週班表!$C$5:$T$44,$CU30,AJ$57),"")))))))</f>
        <v/>
      </c>
      <c r="AK30" s="72">
        <f>IF(AK$59="X","",IF(AK$59&lt;&gt;"",AK$59,IF(IFERROR(INDEX(醫師週班表!$C$5:$T$44,$CU30,AK$57),"")=0,"",IF(MID(IFERROR(INDEX(醫師週班表!$C$5:$T$44,$CU30,AK$57),""),2,1)="/",MID(IFERROR(INDEX(醫師週班表!$C$5:$T$44,$CU30,AK$57),""),1+AK$58*2,1),IF(MID(IFERROR(INDEX(醫師週班表!$C$5:$T$44,$CU30,AK$57),""),3,1)="隔",IF(AK$58=0,LEFT(IFERROR(INDEX(醫師週班表!$C$5:$T$44,$CU30,AK$57),""),1),""),IF(MID(IFERROR(INDEX(醫師週班表!$C$5:$T$44,$CU30,AK$57),""),2,1)="(",LEFT(IFERROR(INDEX(醫師週班表!$C$5:$T$44,$CU30,AK$57),""),1),IFERROR(INDEX(醫師週班表!$C$5:$T$44,$CU30,AK$57),"")))))))</f>
        <v/>
      </c>
      <c r="AL30" s="71">
        <f>IF(AL$59="X","",IF(AL$59&lt;&gt;"",AL$59,IF(IFERROR(INDEX(醫師週班表!$C$5:$T$44,$CU30,AL$57),"")=0,"",IF(MID(IFERROR(INDEX(醫師週班表!$C$5:$T$44,$CU30,AL$57),""),2,1)="/",MID(IFERROR(INDEX(醫師週班表!$C$5:$T$44,$CU30,AL$57),""),1+AL$58*2,1),IF(MID(IFERROR(INDEX(醫師週班表!$C$5:$T$44,$CU30,AL$57),""),3,1)="隔",IF(AL$58=0,LEFT(IFERROR(INDEX(醫師週班表!$C$5:$T$44,$CU30,AL$57),""),1),""),IF(MID(IFERROR(INDEX(醫師週班表!$C$5:$T$44,$CU30,AL$57),""),2,1)="(",LEFT(IFERROR(INDEX(醫師週班表!$C$5:$T$44,$CU30,AL$57),""),1),IFERROR(INDEX(醫師週班表!$C$5:$T$44,$CU30,AL$57),"")))))))</f>
        <v/>
      </c>
      <c r="AM30" s="72">
        <f>IF(AM$59="X","",IF(AM$59&lt;&gt;"",AM$59,IF(IFERROR(INDEX(醫師週班表!$C$5:$T$44,$CU30,AM$57),"")=0,"",IF(MID(IFERROR(INDEX(醫師週班表!$C$5:$T$44,$CU30,AM$57),""),2,1)="/",MID(IFERROR(INDEX(醫師週班表!$C$5:$T$44,$CU30,AM$57),""),1+AM$58*2,1),IF(MID(IFERROR(INDEX(醫師週班表!$C$5:$T$44,$CU30,AM$57),""),3,1)="隔",IF(AM$58=0,LEFT(IFERROR(INDEX(醫師週班表!$C$5:$T$44,$CU30,AM$57),""),1),""),IF(MID(IFERROR(INDEX(醫師週班表!$C$5:$T$44,$CU30,AM$57),""),2,1)="(",LEFT(IFERROR(INDEX(醫師週班表!$C$5:$T$44,$CU30,AM$57),""),1),IFERROR(INDEX(醫師週班表!$C$5:$T$44,$CU30,AM$57),"")))))))</f>
        <v/>
      </c>
      <c r="AN30" s="72">
        <f>IF(AN$59="X","",IF(AN$59&lt;&gt;"",AN$59,IF(IFERROR(INDEX(醫師週班表!$C$5:$T$44,$CU30,AN$57),"")=0,"",IF(MID(IFERROR(INDEX(醫師週班表!$C$5:$T$44,$CU30,AN$57),""),2,1)="/",MID(IFERROR(INDEX(醫師週班表!$C$5:$T$44,$CU30,AN$57),""),1+AN$58*2,1),IF(MID(IFERROR(INDEX(醫師週班表!$C$5:$T$44,$CU30,AN$57),""),3,1)="隔",IF(AN$58=0,LEFT(IFERROR(INDEX(醫師週班表!$C$5:$T$44,$CU30,AN$57),""),1),""),IF(MID(IFERROR(INDEX(醫師週班表!$C$5:$T$44,$CU30,AN$57),""),2,1)="(",LEFT(IFERROR(INDEX(醫師週班表!$C$5:$T$44,$CU30,AN$57),""),1),IFERROR(INDEX(醫師週班表!$C$5:$T$44,$CU30,AN$57),"")))))))</f>
        <v/>
      </c>
      <c r="AO30" s="71">
        <f>IF(AO$59="X","",IF(AO$59&lt;&gt;"",AO$59,IF(IFERROR(INDEX(醫師週班表!$C$5:$T$44,$CU30,AO$57),"")=0,"",IF(MID(IFERROR(INDEX(醫師週班表!$C$5:$T$44,$CU30,AO$57),""),2,1)="/",MID(IFERROR(INDEX(醫師週班表!$C$5:$T$44,$CU30,AO$57),""),1+AO$58*2,1),IF(MID(IFERROR(INDEX(醫師週班表!$C$5:$T$44,$CU30,AO$57),""),3,1)="隔",IF(AO$58=0,LEFT(IFERROR(INDEX(醫師週班表!$C$5:$T$44,$CU30,AO$57),""),1),""),IF(MID(IFERROR(INDEX(醫師週班表!$C$5:$T$44,$CU30,AO$57),""),2,1)="(",LEFT(IFERROR(INDEX(醫師週班表!$C$5:$T$44,$CU30,AO$57),""),1),IFERROR(INDEX(醫師週班表!$C$5:$T$44,$CU30,AO$57),"")))))))</f>
        <v/>
      </c>
      <c r="AP30" s="72">
        <f>IF(AP$59="X","",IF(AP$59&lt;&gt;"",AP$59,IF(IFERROR(INDEX(醫師週班表!$C$5:$T$44,$CU30,AP$57),"")=0,"",IF(MID(IFERROR(INDEX(醫師週班表!$C$5:$T$44,$CU30,AP$57),""),2,1)="/",MID(IFERROR(INDEX(醫師週班表!$C$5:$T$44,$CU30,AP$57),""),1+AP$58*2,1),IF(MID(IFERROR(INDEX(醫師週班表!$C$5:$T$44,$CU30,AP$57),""),3,1)="隔",IF(AP$58=0,LEFT(IFERROR(INDEX(醫師週班表!$C$5:$T$44,$CU30,AP$57),""),1),""),IF(MID(IFERROR(INDEX(醫師週班表!$C$5:$T$44,$CU30,AP$57),""),2,1)="(",LEFT(IFERROR(INDEX(醫師週班表!$C$5:$T$44,$CU30,AP$57),""),1),IFERROR(INDEX(醫師週班表!$C$5:$T$44,$CU30,AP$57),"")))))))</f>
        <v/>
      </c>
      <c r="AQ30" s="72">
        <f>IF(AQ$59="X","",IF(AQ$59&lt;&gt;"",AQ$59,IF(IFERROR(INDEX(醫師週班表!$C$5:$T$44,$CU30,AQ$57),"")=0,"",IF(MID(IFERROR(INDEX(醫師週班表!$C$5:$T$44,$CU30,AQ$57),""),2,1)="/",MID(IFERROR(INDEX(醫師週班表!$C$5:$T$44,$CU30,AQ$57),""),1+AQ$58*2,1),IF(MID(IFERROR(INDEX(醫師週班表!$C$5:$T$44,$CU30,AQ$57),""),3,1)="隔",IF(AQ$58=0,LEFT(IFERROR(INDEX(醫師週班表!$C$5:$T$44,$CU30,AQ$57),""),1),""),IF(MID(IFERROR(INDEX(醫師週班表!$C$5:$T$44,$CU30,AQ$57),""),2,1)="(",LEFT(IFERROR(INDEX(醫師週班表!$C$5:$T$44,$CU30,AQ$57),""),1),IFERROR(INDEX(醫師週班表!$C$5:$T$44,$CU30,AQ$57),"")))))))</f>
        <v/>
      </c>
      <c r="AR30" s="71">
        <f>IF(AR$59="X","",IF(AR$59&lt;&gt;"",AR$59,IF(IFERROR(INDEX(醫師週班表!$C$5:$T$44,$CU30,AR$57),"")=0,"",IF(MID(IFERROR(INDEX(醫師週班表!$C$5:$T$44,$CU30,AR$57),""),2,1)="/",MID(IFERROR(INDEX(醫師週班表!$C$5:$T$44,$CU30,AR$57),""),1+AR$58*2,1),IF(MID(IFERROR(INDEX(醫師週班表!$C$5:$T$44,$CU30,AR$57),""),3,1)="隔",IF(AR$58=0,LEFT(IFERROR(INDEX(醫師週班表!$C$5:$T$44,$CU30,AR$57),""),1),""),IF(MID(IFERROR(INDEX(醫師週班表!$C$5:$T$44,$CU30,AR$57),""),2,1)="(",LEFT(IFERROR(INDEX(醫師週班表!$C$5:$T$44,$CU30,AR$57),""),1),IFERROR(INDEX(醫師週班表!$C$5:$T$44,$CU30,AR$57),"")))))))</f>
        <v/>
      </c>
      <c r="AS30" s="72">
        <f>IF(AS$59="X","",IF(AS$59&lt;&gt;"",AS$59,IF(IFERROR(INDEX(醫師週班表!$C$5:$T$44,$CU30,AS$57),"")=0,"",IF(MID(IFERROR(INDEX(醫師週班表!$C$5:$T$44,$CU30,AS$57),""),2,1)="/",MID(IFERROR(INDEX(醫師週班表!$C$5:$T$44,$CU30,AS$57),""),1+AS$58*2,1),IF(MID(IFERROR(INDEX(醫師週班表!$C$5:$T$44,$CU30,AS$57),""),3,1)="隔",IF(AS$58=0,LEFT(IFERROR(INDEX(醫師週班表!$C$5:$T$44,$CU30,AS$57),""),1),""),IF(MID(IFERROR(INDEX(醫師週班表!$C$5:$T$44,$CU30,AS$57),""),2,1)="(",LEFT(IFERROR(INDEX(醫師週班表!$C$5:$T$44,$CU30,AS$57),""),1),IFERROR(INDEX(醫師週班表!$C$5:$T$44,$CU30,AS$57),"")))))))</f>
        <v/>
      </c>
      <c r="AT30" s="72">
        <f>IF(AT$59="X","",IF(AT$59&lt;&gt;"",AT$59,IF(IFERROR(INDEX(醫師週班表!$C$5:$T$44,$CU30,AT$57),"")=0,"",IF(MID(IFERROR(INDEX(醫師週班表!$C$5:$T$44,$CU30,AT$57),""),2,1)="/",MID(IFERROR(INDEX(醫師週班表!$C$5:$T$44,$CU30,AT$57),""),1+AT$58*2,1),IF(MID(IFERROR(INDEX(醫師週班表!$C$5:$T$44,$CU30,AT$57),""),3,1)="隔",IF(AT$58=0,LEFT(IFERROR(INDEX(醫師週班表!$C$5:$T$44,$CU30,AT$57),""),1),""),IF(MID(IFERROR(INDEX(醫師週班表!$C$5:$T$44,$CU30,AT$57),""),2,1)="(",LEFT(IFERROR(INDEX(醫師週班表!$C$5:$T$44,$CU30,AT$57),""),1),IFERROR(INDEX(醫師週班表!$C$5:$T$44,$CU30,AT$57),"")))))))</f>
        <v/>
      </c>
      <c r="AU30" s="71">
        <f>IF(AU$59="X","",IF(AU$59&lt;&gt;"",AU$59,IF(IFERROR(INDEX(醫師週班表!$C$5:$T$44,$CU30,AU$57),"")=0,"",IF(MID(IFERROR(INDEX(醫師週班表!$C$5:$T$44,$CU30,AU$57),""),2,1)="/",MID(IFERROR(INDEX(醫師週班表!$C$5:$T$44,$CU30,AU$57),""),1+AU$58*2,1),IF(MID(IFERROR(INDEX(醫師週班表!$C$5:$T$44,$CU30,AU$57),""),3,1)="隔",IF(AU$58=0,LEFT(IFERROR(INDEX(醫師週班表!$C$5:$T$44,$CU30,AU$57),""),1),""),IF(MID(IFERROR(INDEX(醫師週班表!$C$5:$T$44,$CU30,AU$57),""),2,1)="(",LEFT(IFERROR(INDEX(醫師週班表!$C$5:$T$44,$CU30,AU$57),""),1),IFERROR(INDEX(醫師週班表!$C$5:$T$44,$CU30,AU$57),"")))))))</f>
        <v/>
      </c>
      <c r="AV30" s="72">
        <f>IF(AV$59="X","",IF(AV$59&lt;&gt;"",AV$59,IF(IFERROR(INDEX(醫師週班表!$C$5:$T$44,$CU30,AV$57),"")=0,"",IF(MID(IFERROR(INDEX(醫師週班表!$C$5:$T$44,$CU30,AV$57),""),2,1)="/",MID(IFERROR(INDEX(醫師週班表!$C$5:$T$44,$CU30,AV$57),""),1+AV$58*2,1),IF(MID(IFERROR(INDEX(醫師週班表!$C$5:$T$44,$CU30,AV$57),""),3,1)="隔",IF(AV$58=0,LEFT(IFERROR(INDEX(醫師週班表!$C$5:$T$44,$CU30,AV$57),""),1),""),IF(MID(IFERROR(INDEX(醫師週班表!$C$5:$T$44,$CU30,AV$57),""),2,1)="(",LEFT(IFERROR(INDEX(醫師週班表!$C$5:$T$44,$CU30,AV$57),""),1),IFERROR(INDEX(醫師週班表!$C$5:$T$44,$CU30,AV$57),"")))))))</f>
        <v/>
      </c>
      <c r="AW30" s="72">
        <f>IF(AW$59="X","",IF(AW$59&lt;&gt;"",AW$59,IF(IFERROR(INDEX(醫師週班表!$C$5:$T$44,$CU30,AW$57),"")=0,"",IF(MID(IFERROR(INDEX(醫師週班表!$C$5:$T$44,$CU30,AW$57),""),2,1)="/",MID(IFERROR(INDEX(醫師週班表!$C$5:$T$44,$CU30,AW$57),""),1+AW$58*2,1),IF(MID(IFERROR(INDEX(醫師週班表!$C$5:$T$44,$CU30,AW$57),""),3,1)="隔",IF(AW$58=0,LEFT(IFERROR(INDEX(醫師週班表!$C$5:$T$44,$CU30,AW$57),""),1),""),IF(MID(IFERROR(INDEX(醫師週班表!$C$5:$T$44,$CU30,AW$57),""),2,1)="(",LEFT(IFERROR(INDEX(醫師週班表!$C$5:$T$44,$CU30,AW$57),""),1),IFERROR(INDEX(醫師週班表!$C$5:$T$44,$CU30,AW$57),"")))))))</f>
        <v/>
      </c>
      <c r="AX30" s="71">
        <f>IF(AX$59="X","",IF(AX$59&lt;&gt;"",AX$59,IF(IFERROR(INDEX(醫師週班表!$C$5:$T$44,$CU30,AX$57),"")=0,"",IF(MID(IFERROR(INDEX(醫師週班表!$C$5:$T$44,$CU30,AX$57),""),2,1)="/",MID(IFERROR(INDEX(醫師週班表!$C$5:$T$44,$CU30,AX$57),""),1+AX$58*2,1),IF(MID(IFERROR(INDEX(醫師週班表!$C$5:$T$44,$CU30,AX$57),""),3,1)="隔",IF(AX$58=0,LEFT(IFERROR(INDEX(醫師週班表!$C$5:$T$44,$CU30,AX$57),""),1),""),IF(MID(IFERROR(INDEX(醫師週班表!$C$5:$T$44,$CU30,AX$57),""),2,1)="(",LEFT(IFERROR(INDEX(醫師週班表!$C$5:$T$44,$CU30,AX$57),""),1),IFERROR(INDEX(醫師週班表!$C$5:$T$44,$CU30,AX$57),"")))))))</f>
        <v/>
      </c>
      <c r="AY30" s="72">
        <f>IF(AY$59="X","",IF(AY$59&lt;&gt;"",AY$59,IF(IFERROR(INDEX(醫師週班表!$C$5:$T$44,$CU30,AY$57),"")=0,"",IF(MID(IFERROR(INDEX(醫師週班表!$C$5:$T$44,$CU30,AY$57),""),2,1)="/",MID(IFERROR(INDEX(醫師週班表!$C$5:$T$44,$CU30,AY$57),""),1+AY$58*2,1),IF(MID(IFERROR(INDEX(醫師週班表!$C$5:$T$44,$CU30,AY$57),""),3,1)="隔",IF(AY$58=0,LEFT(IFERROR(INDEX(醫師週班表!$C$5:$T$44,$CU30,AY$57),""),1),""),IF(MID(IFERROR(INDEX(醫師週班表!$C$5:$T$44,$CU30,AY$57),""),2,1)="(",LEFT(IFERROR(INDEX(醫師週班表!$C$5:$T$44,$CU30,AY$57),""),1),IFERROR(INDEX(醫師週班表!$C$5:$T$44,$CU30,AY$57),"")))))))</f>
        <v/>
      </c>
      <c r="AZ30" s="72">
        <f>IF(AZ$59="X","",IF(AZ$59&lt;&gt;"",AZ$59,IF(IFERROR(INDEX(醫師週班表!$C$5:$T$44,$CU30,AZ$57),"")=0,"",IF(MID(IFERROR(INDEX(醫師週班表!$C$5:$T$44,$CU30,AZ$57),""),2,1)="/",MID(IFERROR(INDEX(醫師週班表!$C$5:$T$44,$CU30,AZ$57),""),1+AZ$58*2,1),IF(MID(IFERROR(INDEX(醫師週班表!$C$5:$T$44,$CU30,AZ$57),""),3,1)="隔",IF(AZ$58=0,LEFT(IFERROR(INDEX(醫師週班表!$C$5:$T$44,$CU30,AZ$57),""),1),""),IF(MID(IFERROR(INDEX(醫師週班表!$C$5:$T$44,$CU30,AZ$57),""),2,1)="(",LEFT(IFERROR(INDEX(醫師週班表!$C$5:$T$44,$CU30,AZ$57),""),1),IFERROR(INDEX(醫師週班表!$C$5:$T$44,$CU30,AZ$57),"")))))))</f>
        <v/>
      </c>
      <c r="BA30" s="71">
        <f>IF(BA$59="X","",IF(BA$59&lt;&gt;"",BA$59,IF(IFERROR(INDEX(醫師週班表!$C$5:$T$44,$CU30,BA$57),"")=0,"",IF(MID(IFERROR(INDEX(醫師週班表!$C$5:$T$44,$CU30,BA$57),""),2,1)="/",MID(IFERROR(INDEX(醫師週班表!$C$5:$T$44,$CU30,BA$57),""),1+BA$58*2,1),IF(MID(IFERROR(INDEX(醫師週班表!$C$5:$T$44,$CU30,BA$57),""),3,1)="隔",IF(BA$58=0,LEFT(IFERROR(INDEX(醫師週班表!$C$5:$T$44,$CU30,BA$57),""),1),""),IF(MID(IFERROR(INDEX(醫師週班表!$C$5:$T$44,$CU30,BA$57),""),2,1)="(",LEFT(IFERROR(INDEX(醫師週班表!$C$5:$T$44,$CU30,BA$57),""),1),IFERROR(INDEX(醫師週班表!$C$5:$T$44,$CU30,BA$57),"")))))))</f>
        <v/>
      </c>
      <c r="BB30" s="72">
        <f>IF(BB$59="X","",IF(BB$59&lt;&gt;"",BB$59,IF(IFERROR(INDEX(醫師週班表!$C$5:$T$44,$CU30,BB$57),"")=0,"",IF(MID(IFERROR(INDEX(醫師週班表!$C$5:$T$44,$CU30,BB$57),""),2,1)="/",MID(IFERROR(INDEX(醫師週班表!$C$5:$T$44,$CU30,BB$57),""),1+BB$58*2,1),IF(MID(IFERROR(INDEX(醫師週班表!$C$5:$T$44,$CU30,BB$57),""),3,1)="隔",IF(BB$58=0,LEFT(IFERROR(INDEX(醫師週班表!$C$5:$T$44,$CU30,BB$57),""),1),""),IF(MID(IFERROR(INDEX(醫師週班表!$C$5:$T$44,$CU30,BB$57),""),2,1)="(",LEFT(IFERROR(INDEX(醫師週班表!$C$5:$T$44,$CU30,BB$57),""),1),IFERROR(INDEX(醫師週班表!$C$5:$T$44,$CU30,BB$57),"")))))))</f>
        <v/>
      </c>
      <c r="BC30" s="72">
        <f>IF(BC$59="X","",IF(BC$59&lt;&gt;"",BC$59,IF(IFERROR(INDEX(醫師週班表!$C$5:$T$44,$CU30,BC$57),"")=0,"",IF(MID(IFERROR(INDEX(醫師週班表!$C$5:$T$44,$CU30,BC$57),""),2,1)="/",MID(IFERROR(INDEX(醫師週班表!$C$5:$T$44,$CU30,BC$57),""),1+BC$58*2,1),IF(MID(IFERROR(INDEX(醫師週班表!$C$5:$T$44,$CU30,BC$57),""),3,1)="隔",IF(BC$58=0,LEFT(IFERROR(INDEX(醫師週班表!$C$5:$T$44,$CU30,BC$57),""),1),""),IF(MID(IFERROR(INDEX(醫師週班表!$C$5:$T$44,$CU30,BC$57),""),2,1)="(",LEFT(IFERROR(INDEX(醫師週班表!$C$5:$T$44,$CU30,BC$57),""),1),IFERROR(INDEX(醫師週班表!$C$5:$T$44,$CU30,BC$57),"")))))))</f>
        <v/>
      </c>
      <c r="BD30" s="71">
        <f>IF(BD$59="X","",IF(BD$59&lt;&gt;"",BD$59,IF(IFERROR(INDEX(醫師週班表!$C$5:$T$44,$CU30,BD$57),"")=0,"",IF(MID(IFERROR(INDEX(醫師週班表!$C$5:$T$44,$CU30,BD$57),""),2,1)="/",MID(IFERROR(INDEX(醫師週班表!$C$5:$T$44,$CU30,BD$57),""),1+BD$58*2,1),IF(MID(IFERROR(INDEX(醫師週班表!$C$5:$T$44,$CU30,BD$57),""),3,1)="隔",IF(BD$58=0,LEFT(IFERROR(INDEX(醫師週班表!$C$5:$T$44,$CU30,BD$57),""),1),""),IF(MID(IFERROR(INDEX(醫師週班表!$C$5:$T$44,$CU30,BD$57),""),2,1)="(",LEFT(IFERROR(INDEX(醫師週班表!$C$5:$T$44,$CU30,BD$57),""),1),IFERROR(INDEX(醫師週班表!$C$5:$T$44,$CU30,BD$57),"")))))))</f>
        <v/>
      </c>
      <c r="BE30" s="72">
        <f>IF(BE$59="X","",IF(BE$59&lt;&gt;"",BE$59,IF(IFERROR(INDEX(醫師週班表!$C$5:$T$44,$CU30,BE$57),"")=0,"",IF(MID(IFERROR(INDEX(醫師週班表!$C$5:$T$44,$CU30,BE$57),""),2,1)="/",MID(IFERROR(INDEX(醫師週班表!$C$5:$T$44,$CU30,BE$57),""),1+BE$58*2,1),IF(MID(IFERROR(INDEX(醫師週班表!$C$5:$T$44,$CU30,BE$57),""),3,1)="隔",IF(BE$58=0,LEFT(IFERROR(INDEX(醫師週班表!$C$5:$T$44,$CU30,BE$57),""),1),""),IF(MID(IFERROR(INDEX(醫師週班表!$C$5:$T$44,$CU30,BE$57),""),2,1)="(",LEFT(IFERROR(INDEX(醫師週班表!$C$5:$T$44,$CU30,BE$57),""),1),IFERROR(INDEX(醫師週班表!$C$5:$T$44,$CU30,BE$57),"")))))))</f>
        <v/>
      </c>
      <c r="BF30" s="72">
        <f>IF(BF$59="X","",IF(BF$59&lt;&gt;"",BF$59,IF(IFERROR(INDEX(醫師週班表!$C$5:$T$44,$CU30,BF$57),"")=0,"",IF(MID(IFERROR(INDEX(醫師週班表!$C$5:$T$44,$CU30,BF$57),""),2,1)="/",MID(IFERROR(INDEX(醫師週班表!$C$5:$T$44,$CU30,BF$57),""),1+BF$58*2,1),IF(MID(IFERROR(INDEX(醫師週班表!$C$5:$T$44,$CU30,BF$57),""),3,1)="隔",IF(BF$58=0,LEFT(IFERROR(INDEX(醫師週班表!$C$5:$T$44,$CU30,BF$57),""),1),""),IF(MID(IFERROR(INDEX(醫師週班表!$C$5:$T$44,$CU30,BF$57),""),2,1)="(",LEFT(IFERROR(INDEX(醫師週班表!$C$5:$T$44,$CU30,BF$57),""),1),IFERROR(INDEX(醫師週班表!$C$5:$T$44,$CU30,BF$57),"")))))))</f>
        <v/>
      </c>
      <c r="BG30" s="71">
        <f>IF(BG$59="X","",IF(BG$59&lt;&gt;"",BG$59,IF(IFERROR(INDEX(醫師週班表!$C$5:$T$44,$CU30,BG$57),"")=0,"",IF(MID(IFERROR(INDEX(醫師週班表!$C$5:$T$44,$CU30,BG$57),""),2,1)="/",MID(IFERROR(INDEX(醫師週班表!$C$5:$T$44,$CU30,BG$57),""),1+BG$58*2,1),IF(MID(IFERROR(INDEX(醫師週班表!$C$5:$T$44,$CU30,BG$57),""),3,1)="隔",IF(BG$58=0,LEFT(IFERROR(INDEX(醫師週班表!$C$5:$T$44,$CU30,BG$57),""),1),""),IF(MID(IFERROR(INDEX(醫師週班表!$C$5:$T$44,$CU30,BG$57),""),2,1)="(",LEFT(IFERROR(INDEX(醫師週班表!$C$5:$T$44,$CU30,BG$57),""),1),IFERROR(INDEX(醫師週班表!$C$5:$T$44,$CU30,BG$57),"")))))))</f>
        <v/>
      </c>
      <c r="BH30" s="72">
        <f>IF(BH$59="X","",IF(BH$59&lt;&gt;"",BH$59,IF(IFERROR(INDEX(醫師週班表!$C$5:$T$44,$CU30,BH$57),"")=0,"",IF(MID(IFERROR(INDEX(醫師週班表!$C$5:$T$44,$CU30,BH$57),""),2,1)="/",MID(IFERROR(INDEX(醫師週班表!$C$5:$T$44,$CU30,BH$57),""),1+BH$58*2,1),IF(MID(IFERROR(INDEX(醫師週班表!$C$5:$T$44,$CU30,BH$57),""),3,1)="隔",IF(BH$58=0,LEFT(IFERROR(INDEX(醫師週班表!$C$5:$T$44,$CU30,BH$57),""),1),""),IF(MID(IFERROR(INDEX(醫師週班表!$C$5:$T$44,$CU30,BH$57),""),2,1)="(",LEFT(IFERROR(INDEX(醫師週班表!$C$5:$T$44,$CU30,BH$57),""),1),IFERROR(INDEX(醫師週班表!$C$5:$T$44,$CU30,BH$57),"")))))))</f>
        <v/>
      </c>
      <c r="BI30" s="72">
        <f>IF(BI$59="X","",IF(BI$59&lt;&gt;"",BI$59,IF(IFERROR(INDEX(醫師週班表!$C$5:$T$44,$CU30,BI$57),"")=0,"",IF(MID(IFERROR(INDEX(醫師週班表!$C$5:$T$44,$CU30,BI$57),""),2,1)="/",MID(IFERROR(INDEX(醫師週班表!$C$5:$T$44,$CU30,BI$57),""),1+BI$58*2,1),IF(MID(IFERROR(INDEX(醫師週班表!$C$5:$T$44,$CU30,BI$57),""),3,1)="隔",IF(BI$58=0,LEFT(IFERROR(INDEX(醫師週班表!$C$5:$T$44,$CU30,BI$57),""),1),""),IF(MID(IFERROR(INDEX(醫師週班表!$C$5:$T$44,$CU30,BI$57),""),2,1)="(",LEFT(IFERROR(INDEX(醫師週班表!$C$5:$T$44,$CU30,BI$57),""),1),IFERROR(INDEX(醫師週班表!$C$5:$T$44,$CU30,BI$57),"")))))))</f>
        <v/>
      </c>
      <c r="BJ30" s="71">
        <f>IF(BJ$59="X","",IF(BJ$59&lt;&gt;"",BJ$59,IF(IFERROR(INDEX(醫師週班表!$C$5:$T$44,$CU30,BJ$57),"")=0,"",IF(MID(IFERROR(INDEX(醫師週班表!$C$5:$T$44,$CU30,BJ$57),""),2,1)="/",MID(IFERROR(INDEX(醫師週班表!$C$5:$T$44,$CU30,BJ$57),""),1+BJ$58*2,1),IF(MID(IFERROR(INDEX(醫師週班表!$C$5:$T$44,$CU30,BJ$57),""),3,1)="隔",IF(BJ$58=0,LEFT(IFERROR(INDEX(醫師週班表!$C$5:$T$44,$CU30,BJ$57),""),1),""),IF(MID(IFERROR(INDEX(醫師週班表!$C$5:$T$44,$CU30,BJ$57),""),2,1)="(",LEFT(IFERROR(INDEX(醫師週班表!$C$5:$T$44,$CU30,BJ$57),""),1),IFERROR(INDEX(醫師週班表!$C$5:$T$44,$CU30,BJ$57),"")))))))</f>
        <v/>
      </c>
      <c r="BK30" s="72">
        <f>IF(BK$59="X","",IF(BK$59&lt;&gt;"",BK$59,IF(IFERROR(INDEX(醫師週班表!$C$5:$T$44,$CU30,BK$57),"")=0,"",IF(MID(IFERROR(INDEX(醫師週班表!$C$5:$T$44,$CU30,BK$57),""),2,1)="/",MID(IFERROR(INDEX(醫師週班表!$C$5:$T$44,$CU30,BK$57),""),1+BK$58*2,1),IF(MID(IFERROR(INDEX(醫師週班表!$C$5:$T$44,$CU30,BK$57),""),3,1)="隔",IF(BK$58=0,LEFT(IFERROR(INDEX(醫師週班表!$C$5:$T$44,$CU30,BK$57),""),1),""),IF(MID(IFERROR(INDEX(醫師週班表!$C$5:$T$44,$CU30,BK$57),""),2,1)="(",LEFT(IFERROR(INDEX(醫師週班表!$C$5:$T$44,$CU30,BK$57),""),1),IFERROR(INDEX(醫師週班表!$C$5:$T$44,$CU30,BK$57),"")))))))</f>
        <v/>
      </c>
      <c r="BL30" s="72">
        <f>IF(BL$59="X","",IF(BL$59&lt;&gt;"",BL$59,IF(IFERROR(INDEX(醫師週班表!$C$5:$T$44,$CU30,BL$57),"")=0,"",IF(MID(IFERROR(INDEX(醫師週班表!$C$5:$T$44,$CU30,BL$57),""),2,1)="/",MID(IFERROR(INDEX(醫師週班表!$C$5:$T$44,$CU30,BL$57),""),1+BL$58*2,1),IF(MID(IFERROR(INDEX(醫師週班表!$C$5:$T$44,$CU30,BL$57),""),3,1)="隔",IF(BL$58=0,LEFT(IFERROR(INDEX(醫師週班表!$C$5:$T$44,$CU30,BL$57),""),1),""),IF(MID(IFERROR(INDEX(醫師週班表!$C$5:$T$44,$CU30,BL$57),""),2,1)="(",LEFT(IFERROR(INDEX(醫師週班表!$C$5:$T$44,$CU30,BL$57),""),1),IFERROR(INDEX(醫師週班表!$C$5:$T$44,$CU30,BL$57),"")))))))</f>
        <v/>
      </c>
      <c r="BM30" s="71">
        <f>IF(BM$59="X","",IF(BM$59&lt;&gt;"",BM$59,IF(IFERROR(INDEX(醫師週班表!$C$5:$T$44,$CU30,BM$57),"")=0,"",IF(MID(IFERROR(INDEX(醫師週班表!$C$5:$T$44,$CU30,BM$57),""),2,1)="/",MID(IFERROR(INDEX(醫師週班表!$C$5:$T$44,$CU30,BM$57),""),1+BM$58*2,1),IF(MID(IFERROR(INDEX(醫師週班表!$C$5:$T$44,$CU30,BM$57),""),3,1)="隔",IF(BM$58=0,LEFT(IFERROR(INDEX(醫師週班表!$C$5:$T$44,$CU30,BM$57),""),1),""),IF(MID(IFERROR(INDEX(醫師週班表!$C$5:$T$44,$CU30,BM$57),""),2,1)="(",LEFT(IFERROR(INDEX(醫師週班表!$C$5:$T$44,$CU30,BM$57),""),1),IFERROR(INDEX(醫師週班表!$C$5:$T$44,$CU30,BM$57),"")))))))</f>
        <v/>
      </c>
      <c r="BN30" s="72">
        <f>IF(BN$59="X","",IF(BN$59&lt;&gt;"",BN$59,IF(IFERROR(INDEX(醫師週班表!$C$5:$T$44,$CU30,BN$57),"")=0,"",IF(MID(IFERROR(INDEX(醫師週班表!$C$5:$T$44,$CU30,BN$57),""),2,1)="/",MID(IFERROR(INDEX(醫師週班表!$C$5:$T$44,$CU30,BN$57),""),1+BN$58*2,1),IF(MID(IFERROR(INDEX(醫師週班表!$C$5:$T$44,$CU30,BN$57),""),3,1)="隔",IF(BN$58=0,LEFT(IFERROR(INDEX(醫師週班表!$C$5:$T$44,$CU30,BN$57),""),1),""),IF(MID(IFERROR(INDEX(醫師週班表!$C$5:$T$44,$CU30,BN$57),""),2,1)="(",LEFT(IFERROR(INDEX(醫師週班表!$C$5:$T$44,$CU30,BN$57),""),1),IFERROR(INDEX(醫師週班表!$C$5:$T$44,$CU30,BN$57),"")))))))</f>
        <v/>
      </c>
      <c r="BO30" s="72">
        <f>IF(BO$59="X","",IF(BO$59&lt;&gt;"",BO$59,IF(IFERROR(INDEX(醫師週班表!$C$5:$T$44,$CU30,BO$57),"")=0,"",IF(MID(IFERROR(INDEX(醫師週班表!$C$5:$T$44,$CU30,BO$57),""),2,1)="/",MID(IFERROR(INDEX(醫師週班表!$C$5:$T$44,$CU30,BO$57),""),1+BO$58*2,1),IF(MID(IFERROR(INDEX(醫師週班表!$C$5:$T$44,$CU30,BO$57),""),3,1)="隔",IF(BO$58=0,LEFT(IFERROR(INDEX(醫師週班表!$C$5:$T$44,$CU30,BO$57),""),1),""),IF(MID(IFERROR(INDEX(醫師週班表!$C$5:$T$44,$CU30,BO$57),""),2,1)="(",LEFT(IFERROR(INDEX(醫師週班表!$C$5:$T$44,$CU30,BO$57),""),1),IFERROR(INDEX(醫師週班表!$C$5:$T$44,$CU30,BO$57),"")))))))</f>
        <v/>
      </c>
      <c r="BP30" s="71">
        <f>IF(BP$59="X","",IF(BP$59&lt;&gt;"",BP$59,IF(IFERROR(INDEX(醫師週班表!$C$5:$T$44,$CU30,BP$57),"")=0,"",IF(MID(IFERROR(INDEX(醫師週班表!$C$5:$T$44,$CU30,BP$57),""),2,1)="/",MID(IFERROR(INDEX(醫師週班表!$C$5:$T$44,$CU30,BP$57),""),1+BP$58*2,1),IF(MID(IFERROR(INDEX(醫師週班表!$C$5:$T$44,$CU30,BP$57),""),3,1)="隔",IF(BP$58=0,LEFT(IFERROR(INDEX(醫師週班表!$C$5:$T$44,$CU30,BP$57),""),1),""),IF(MID(IFERROR(INDEX(醫師週班表!$C$5:$T$44,$CU30,BP$57),""),2,1)="(",LEFT(IFERROR(INDEX(醫師週班表!$C$5:$T$44,$CU30,BP$57),""),1),IFERROR(INDEX(醫師週班表!$C$5:$T$44,$CU30,BP$57),"")))))))</f>
        <v/>
      </c>
      <c r="BQ30" s="72">
        <f>IF(BQ$59="X","",IF(BQ$59&lt;&gt;"",BQ$59,IF(IFERROR(INDEX(醫師週班表!$C$5:$T$44,$CU30,BQ$57),"")=0,"",IF(MID(IFERROR(INDEX(醫師週班表!$C$5:$T$44,$CU30,BQ$57),""),2,1)="/",MID(IFERROR(INDEX(醫師週班表!$C$5:$T$44,$CU30,BQ$57),""),1+BQ$58*2,1),IF(MID(IFERROR(INDEX(醫師週班表!$C$5:$T$44,$CU30,BQ$57),""),3,1)="隔",IF(BQ$58=0,LEFT(IFERROR(INDEX(醫師週班表!$C$5:$T$44,$CU30,BQ$57),""),1),""),IF(MID(IFERROR(INDEX(醫師週班表!$C$5:$T$44,$CU30,BQ$57),""),2,1)="(",LEFT(IFERROR(INDEX(醫師週班表!$C$5:$T$44,$CU30,BQ$57),""),1),IFERROR(INDEX(醫師週班表!$C$5:$T$44,$CU30,BQ$57),"")))))))</f>
        <v/>
      </c>
      <c r="BR30" s="72">
        <f>IF(BR$59="X","",IF(BR$59&lt;&gt;"",BR$59,IF(IFERROR(INDEX(醫師週班表!$C$5:$T$44,$CU30,BR$57),"")=0,"",IF(MID(IFERROR(INDEX(醫師週班表!$C$5:$T$44,$CU30,BR$57),""),2,1)="/",MID(IFERROR(INDEX(醫師週班表!$C$5:$T$44,$CU30,BR$57),""),1+BR$58*2,1),IF(MID(IFERROR(INDEX(醫師週班表!$C$5:$T$44,$CU30,BR$57),""),3,1)="隔",IF(BR$58=0,LEFT(IFERROR(INDEX(醫師週班表!$C$5:$T$44,$CU30,BR$57),""),1),""),IF(MID(IFERROR(INDEX(醫師週班表!$C$5:$T$44,$CU30,BR$57),""),2,1)="(",LEFT(IFERROR(INDEX(醫師週班表!$C$5:$T$44,$CU30,BR$57),""),1),IFERROR(INDEX(醫師週班表!$C$5:$T$44,$CU30,BR$57),"")))))))</f>
        <v/>
      </c>
      <c r="BS30" s="71">
        <f>IF(BS$59="X","",IF(BS$59&lt;&gt;"",BS$59,IF(IFERROR(INDEX(醫師週班表!$C$5:$T$44,$CU30,BS$57),"")=0,"",IF(MID(IFERROR(INDEX(醫師週班表!$C$5:$T$44,$CU30,BS$57),""),2,1)="/",MID(IFERROR(INDEX(醫師週班表!$C$5:$T$44,$CU30,BS$57),""),1+BS$58*2,1),IF(MID(IFERROR(INDEX(醫師週班表!$C$5:$T$44,$CU30,BS$57),""),3,1)="隔",IF(BS$58=0,LEFT(IFERROR(INDEX(醫師週班表!$C$5:$T$44,$CU30,BS$57),""),1),""),IF(MID(IFERROR(INDEX(醫師週班表!$C$5:$T$44,$CU30,BS$57),""),2,1)="(",LEFT(IFERROR(INDEX(醫師週班表!$C$5:$T$44,$CU30,BS$57),""),1),IFERROR(INDEX(醫師週班表!$C$5:$T$44,$CU30,BS$57),"")))))))</f>
        <v/>
      </c>
      <c r="BT30" s="72">
        <f>IF(BT$59="X","",IF(BT$59&lt;&gt;"",BT$59,IF(IFERROR(INDEX(醫師週班表!$C$5:$T$44,$CU30,BT$57),"")=0,"",IF(MID(IFERROR(INDEX(醫師週班表!$C$5:$T$44,$CU30,BT$57),""),2,1)="/",MID(IFERROR(INDEX(醫師週班表!$C$5:$T$44,$CU30,BT$57),""),1+BT$58*2,1),IF(MID(IFERROR(INDEX(醫師週班表!$C$5:$T$44,$CU30,BT$57),""),3,1)="隔",IF(BT$58=0,LEFT(IFERROR(INDEX(醫師週班表!$C$5:$T$44,$CU30,BT$57),""),1),""),IF(MID(IFERROR(INDEX(醫師週班表!$C$5:$T$44,$CU30,BT$57),""),2,1)="(",LEFT(IFERROR(INDEX(醫師週班表!$C$5:$T$44,$CU30,BT$57),""),1),IFERROR(INDEX(醫師週班表!$C$5:$T$44,$CU30,BT$57),"")))))))</f>
        <v/>
      </c>
      <c r="BU30" s="72">
        <f>IF(BU$59="X","",IF(BU$59&lt;&gt;"",BU$59,IF(IFERROR(INDEX(醫師週班表!$C$5:$T$44,$CU30,BU$57),"")=0,"",IF(MID(IFERROR(INDEX(醫師週班表!$C$5:$T$44,$CU30,BU$57),""),2,1)="/",MID(IFERROR(INDEX(醫師週班表!$C$5:$T$44,$CU30,BU$57),""),1+BU$58*2,1),IF(MID(IFERROR(INDEX(醫師週班表!$C$5:$T$44,$CU30,BU$57),""),3,1)="隔",IF(BU$58=0,LEFT(IFERROR(INDEX(醫師週班表!$C$5:$T$44,$CU30,BU$57),""),1),""),IF(MID(IFERROR(INDEX(醫師週班表!$C$5:$T$44,$CU30,BU$57),""),2,1)="(",LEFT(IFERROR(INDEX(醫師週班表!$C$5:$T$44,$CU30,BU$57),""),1),IFERROR(INDEX(醫師週班表!$C$5:$T$44,$CU30,BU$57),"")))))))</f>
        <v/>
      </c>
      <c r="BV30" s="71">
        <f>IF(BV$59="X","",IF(BV$59&lt;&gt;"",BV$59,IF(IFERROR(INDEX(醫師週班表!$C$5:$T$44,$CU30,BV$57),"")=0,"",IF(MID(IFERROR(INDEX(醫師週班表!$C$5:$T$44,$CU30,BV$57),""),2,1)="/",MID(IFERROR(INDEX(醫師週班表!$C$5:$T$44,$CU30,BV$57),""),1+BV$58*2,1),IF(MID(IFERROR(INDEX(醫師週班表!$C$5:$T$44,$CU30,BV$57),""),3,1)="隔",IF(BV$58=0,LEFT(IFERROR(INDEX(醫師週班表!$C$5:$T$44,$CU30,BV$57),""),1),""),IF(MID(IFERROR(INDEX(醫師週班表!$C$5:$T$44,$CU30,BV$57),""),2,1)="(",LEFT(IFERROR(INDEX(醫師週班表!$C$5:$T$44,$CU30,BV$57),""),1),IFERROR(INDEX(醫師週班表!$C$5:$T$44,$CU30,BV$57),"")))))))</f>
        <v/>
      </c>
      <c r="BW30" s="72">
        <f>IF(BW$59="X","",IF(BW$59&lt;&gt;"",BW$59,IF(IFERROR(INDEX(醫師週班表!$C$5:$T$44,$CU30,BW$57),"")=0,"",IF(MID(IFERROR(INDEX(醫師週班表!$C$5:$T$44,$CU30,BW$57),""),2,1)="/",MID(IFERROR(INDEX(醫師週班表!$C$5:$T$44,$CU30,BW$57),""),1+BW$58*2,1),IF(MID(IFERROR(INDEX(醫師週班表!$C$5:$T$44,$CU30,BW$57),""),3,1)="隔",IF(BW$58=0,LEFT(IFERROR(INDEX(醫師週班表!$C$5:$T$44,$CU30,BW$57),""),1),""),IF(MID(IFERROR(INDEX(醫師週班表!$C$5:$T$44,$CU30,BW$57),""),2,1)="(",LEFT(IFERROR(INDEX(醫師週班表!$C$5:$T$44,$CU30,BW$57),""),1),IFERROR(INDEX(醫師週班表!$C$5:$T$44,$CU30,BW$57),"")))))))</f>
        <v/>
      </c>
      <c r="BX30" s="72">
        <f>IF(BX$59="X","",IF(BX$59&lt;&gt;"",BX$59,IF(IFERROR(INDEX(醫師週班表!$C$5:$T$44,$CU30,BX$57),"")=0,"",IF(MID(IFERROR(INDEX(醫師週班表!$C$5:$T$44,$CU30,BX$57),""),2,1)="/",MID(IFERROR(INDEX(醫師週班表!$C$5:$T$44,$CU30,BX$57),""),1+BX$58*2,1),IF(MID(IFERROR(INDEX(醫師週班表!$C$5:$T$44,$CU30,BX$57),""),3,1)="隔",IF(BX$58=0,LEFT(IFERROR(INDEX(醫師週班表!$C$5:$T$44,$CU30,BX$57),""),1),""),IF(MID(IFERROR(INDEX(醫師週班表!$C$5:$T$44,$CU30,BX$57),""),2,1)="(",LEFT(IFERROR(INDEX(醫師週班表!$C$5:$T$44,$CU30,BX$57),""),1),IFERROR(INDEX(醫師週班表!$C$5:$T$44,$CU30,BX$57),"")))))))</f>
        <v/>
      </c>
      <c r="BY30" s="71">
        <f>IF(BY$59="X","",IF(BY$59&lt;&gt;"",BY$59,IF(IFERROR(INDEX(醫師週班表!$C$5:$T$44,$CU30,BY$57),"")=0,"",IF(MID(IFERROR(INDEX(醫師週班表!$C$5:$T$44,$CU30,BY$57),""),2,1)="/",MID(IFERROR(INDEX(醫師週班表!$C$5:$T$44,$CU30,BY$57),""),1+BY$58*2,1),IF(MID(IFERROR(INDEX(醫師週班表!$C$5:$T$44,$CU30,BY$57),""),3,1)="隔",IF(BY$58=0,LEFT(IFERROR(INDEX(醫師週班表!$C$5:$T$44,$CU30,BY$57),""),1),""),IF(MID(IFERROR(INDEX(醫師週班表!$C$5:$T$44,$CU30,BY$57),""),2,1)="(",LEFT(IFERROR(INDEX(醫師週班表!$C$5:$T$44,$CU30,BY$57),""),1),IFERROR(INDEX(醫師週班表!$C$5:$T$44,$CU30,BY$57),"")))))))</f>
        <v/>
      </c>
      <c r="BZ30" s="72">
        <f>IF(BZ$59="X","",IF(BZ$59&lt;&gt;"",BZ$59,IF(IFERROR(INDEX(醫師週班表!$C$5:$T$44,$CU30,BZ$57),"")=0,"",IF(MID(IFERROR(INDEX(醫師週班表!$C$5:$T$44,$CU30,BZ$57),""),2,1)="/",MID(IFERROR(INDEX(醫師週班表!$C$5:$T$44,$CU30,BZ$57),""),1+BZ$58*2,1),IF(MID(IFERROR(INDEX(醫師週班表!$C$5:$T$44,$CU30,BZ$57),""),3,1)="隔",IF(BZ$58=0,LEFT(IFERROR(INDEX(醫師週班表!$C$5:$T$44,$CU30,BZ$57),""),1),""),IF(MID(IFERROR(INDEX(醫師週班表!$C$5:$T$44,$CU30,BZ$57),""),2,1)="(",LEFT(IFERROR(INDEX(醫師週班表!$C$5:$T$44,$CU30,BZ$57),""),1),IFERROR(INDEX(醫師週班表!$C$5:$T$44,$CU30,BZ$57),"")))))))</f>
        <v/>
      </c>
      <c r="CA30" s="72">
        <f>IF(CA$59="X","",IF(CA$59&lt;&gt;"",CA$59,IF(IFERROR(INDEX(醫師週班表!$C$5:$T$44,$CU30,CA$57),"")=0,"",IF(MID(IFERROR(INDEX(醫師週班表!$C$5:$T$44,$CU30,CA$57),""),2,1)="/",MID(IFERROR(INDEX(醫師週班表!$C$5:$T$44,$CU30,CA$57),""),1+CA$58*2,1),IF(MID(IFERROR(INDEX(醫師週班表!$C$5:$T$44,$CU30,CA$57),""),3,1)="隔",IF(CA$58=0,LEFT(IFERROR(INDEX(醫師週班表!$C$5:$T$44,$CU30,CA$57),""),1),""),IF(MID(IFERROR(INDEX(醫師週班表!$C$5:$T$44,$CU30,CA$57),""),2,1)="(",LEFT(IFERROR(INDEX(醫師週班表!$C$5:$T$44,$CU30,CA$57),""),1),IFERROR(INDEX(醫師週班表!$C$5:$T$44,$CU30,CA$57),"")))))))</f>
        <v/>
      </c>
      <c r="CB30" s="71">
        <f>IF(CB$59="X","",IF(CB$59&lt;&gt;"",CB$59,IF(IFERROR(INDEX(醫師週班表!$C$5:$T$44,$CU30,CB$57),"")=0,"",IF(MID(IFERROR(INDEX(醫師週班表!$C$5:$T$44,$CU30,CB$57),""),2,1)="/",MID(IFERROR(INDEX(醫師週班表!$C$5:$T$44,$CU30,CB$57),""),1+CB$58*2,1),IF(MID(IFERROR(INDEX(醫師週班表!$C$5:$T$44,$CU30,CB$57),""),3,1)="隔",IF(CB$58=0,LEFT(IFERROR(INDEX(醫師週班表!$C$5:$T$44,$CU30,CB$57),""),1),""),IF(MID(IFERROR(INDEX(醫師週班表!$C$5:$T$44,$CU30,CB$57),""),2,1)="(",LEFT(IFERROR(INDEX(醫師週班表!$C$5:$T$44,$CU30,CB$57),""),1),IFERROR(INDEX(醫師週班表!$C$5:$T$44,$CU30,CB$57),"")))))))</f>
        <v/>
      </c>
      <c r="CC30" s="72">
        <f>IF(CC$59="X","",IF(CC$59&lt;&gt;"",CC$59,IF(IFERROR(INDEX(醫師週班表!$C$5:$T$44,$CU30,CC$57),"")=0,"",IF(MID(IFERROR(INDEX(醫師週班表!$C$5:$T$44,$CU30,CC$57),""),2,1)="/",MID(IFERROR(INDEX(醫師週班表!$C$5:$T$44,$CU30,CC$57),""),1+CC$58*2,1),IF(MID(IFERROR(INDEX(醫師週班表!$C$5:$T$44,$CU30,CC$57),""),3,1)="隔",IF(CC$58=0,LEFT(IFERROR(INDEX(醫師週班表!$C$5:$T$44,$CU30,CC$57),""),1),""),IF(MID(IFERROR(INDEX(醫師週班表!$C$5:$T$44,$CU30,CC$57),""),2,1)="(",LEFT(IFERROR(INDEX(醫師週班表!$C$5:$T$44,$CU30,CC$57),""),1),IFERROR(INDEX(醫師週班表!$C$5:$T$44,$CU30,CC$57),"")))))))</f>
        <v/>
      </c>
      <c r="CD30" s="72">
        <f>IF(CD$59="X","",IF(CD$59&lt;&gt;"",CD$59,IF(IFERROR(INDEX(醫師週班表!$C$5:$T$44,$CU30,CD$57),"")=0,"",IF(MID(IFERROR(INDEX(醫師週班表!$C$5:$T$44,$CU30,CD$57),""),2,1)="/",MID(IFERROR(INDEX(醫師週班表!$C$5:$T$44,$CU30,CD$57),""),1+CD$58*2,1),IF(MID(IFERROR(INDEX(醫師週班表!$C$5:$T$44,$CU30,CD$57),""),3,1)="隔",IF(CD$58=0,LEFT(IFERROR(INDEX(醫師週班表!$C$5:$T$44,$CU30,CD$57),""),1),""),IF(MID(IFERROR(INDEX(醫師週班表!$C$5:$T$44,$CU30,CD$57),""),2,1)="(",LEFT(IFERROR(INDEX(醫師週班表!$C$5:$T$44,$CU30,CD$57),""),1),IFERROR(INDEX(醫師週班表!$C$5:$T$44,$CU30,CD$57),"")))))))</f>
        <v/>
      </c>
      <c r="CE30" s="71">
        <f>IF(CE$59="X","",IF(CE$59&lt;&gt;"",CE$59,IF(IFERROR(INDEX(醫師週班表!$C$5:$T$44,$CU30,CE$57),"")=0,"",IF(MID(IFERROR(INDEX(醫師週班表!$C$5:$T$44,$CU30,CE$57),""),2,1)="/",MID(IFERROR(INDEX(醫師週班表!$C$5:$T$44,$CU30,CE$57),""),1+CE$58*2,1),IF(MID(IFERROR(INDEX(醫師週班表!$C$5:$T$44,$CU30,CE$57),""),3,1)="隔",IF(CE$58=0,LEFT(IFERROR(INDEX(醫師週班表!$C$5:$T$44,$CU30,CE$57),""),1),""),IF(MID(IFERROR(INDEX(醫師週班表!$C$5:$T$44,$CU30,CE$57),""),2,1)="(",LEFT(IFERROR(INDEX(醫師週班表!$C$5:$T$44,$CU30,CE$57),""),1),IFERROR(INDEX(醫師週班表!$C$5:$T$44,$CU30,CE$57),"")))))))</f>
        <v/>
      </c>
      <c r="CF30" s="72">
        <f>IF(CF$59="X","",IF(CF$59&lt;&gt;"",CF$59,IF(IFERROR(INDEX(醫師週班表!$C$5:$T$44,$CU30,CF$57),"")=0,"",IF(MID(IFERROR(INDEX(醫師週班表!$C$5:$T$44,$CU30,CF$57),""),2,1)="/",MID(IFERROR(INDEX(醫師週班表!$C$5:$T$44,$CU30,CF$57),""),1+CF$58*2,1),IF(MID(IFERROR(INDEX(醫師週班表!$C$5:$T$44,$CU30,CF$57),""),3,1)="隔",IF(CF$58=0,LEFT(IFERROR(INDEX(醫師週班表!$C$5:$T$44,$CU30,CF$57),""),1),""),IF(MID(IFERROR(INDEX(醫師週班表!$C$5:$T$44,$CU30,CF$57),""),2,1)="(",LEFT(IFERROR(INDEX(醫師週班表!$C$5:$T$44,$CU30,CF$57),""),1),IFERROR(INDEX(醫師週班表!$C$5:$T$44,$CU30,CF$57),"")))))))</f>
        <v/>
      </c>
      <c r="CG30" s="72">
        <f>IF(CG$59="X","",IF(CG$59&lt;&gt;"",CG$59,IF(IFERROR(INDEX(醫師週班表!$C$5:$T$44,$CU30,CG$57),"")=0,"",IF(MID(IFERROR(INDEX(醫師週班表!$C$5:$T$44,$CU30,CG$57),""),2,1)="/",MID(IFERROR(INDEX(醫師週班表!$C$5:$T$44,$CU30,CG$57),""),1+CG$58*2,1),IF(MID(IFERROR(INDEX(醫師週班表!$C$5:$T$44,$CU30,CG$57),""),3,1)="隔",IF(CG$58=0,LEFT(IFERROR(INDEX(醫師週班表!$C$5:$T$44,$CU30,CG$57),""),1),""),IF(MID(IFERROR(INDEX(醫師週班表!$C$5:$T$44,$CU30,CG$57),""),2,1)="(",LEFT(IFERROR(INDEX(醫師週班表!$C$5:$T$44,$CU30,CG$57),""),1),IFERROR(INDEX(醫師週班表!$C$5:$T$44,$CU30,CG$57),"")))))))</f>
        <v/>
      </c>
      <c r="CH30" s="71">
        <f>IF(CH$59="X","",IF(CH$59&lt;&gt;"",CH$59,IF(IFERROR(INDEX(醫師週班表!$C$5:$T$44,$CU30,CH$57),"")=0,"",IF(MID(IFERROR(INDEX(醫師週班表!$C$5:$T$44,$CU30,CH$57),""),2,1)="/",MID(IFERROR(INDEX(醫師週班表!$C$5:$T$44,$CU30,CH$57),""),1+CH$58*2,1),IF(MID(IFERROR(INDEX(醫師週班表!$C$5:$T$44,$CU30,CH$57),""),3,1)="隔",IF(CH$58=0,LEFT(IFERROR(INDEX(醫師週班表!$C$5:$T$44,$CU30,CH$57),""),1),""),IF(MID(IFERROR(INDEX(醫師週班表!$C$5:$T$44,$CU30,CH$57),""),2,1)="(",LEFT(IFERROR(INDEX(醫師週班表!$C$5:$T$44,$CU30,CH$57),""),1),IFERROR(INDEX(醫師週班表!$C$5:$T$44,$CU30,CH$57),"")))))))</f>
        <v/>
      </c>
      <c r="CI30" s="72">
        <f>IF(CI$59="X","",IF(CI$59&lt;&gt;"",CI$59,IF(IFERROR(INDEX(醫師週班表!$C$5:$T$44,$CU30,CI$57),"")=0,"",IF(MID(IFERROR(INDEX(醫師週班表!$C$5:$T$44,$CU30,CI$57),""),2,1)="/",MID(IFERROR(INDEX(醫師週班表!$C$5:$T$44,$CU30,CI$57),""),1+CI$58*2,1),IF(MID(IFERROR(INDEX(醫師週班表!$C$5:$T$44,$CU30,CI$57),""),3,1)="隔",IF(CI$58=0,LEFT(IFERROR(INDEX(醫師週班表!$C$5:$T$44,$CU30,CI$57),""),1),""),IF(MID(IFERROR(INDEX(醫師週班表!$C$5:$T$44,$CU30,CI$57),""),2,1)="(",LEFT(IFERROR(INDEX(醫師週班表!$C$5:$T$44,$CU30,CI$57),""),1),IFERROR(INDEX(醫師週班表!$C$5:$T$44,$CU30,CI$57),"")))))))</f>
        <v/>
      </c>
      <c r="CJ30" s="72">
        <f>IF(CJ$59="X","",IF(CJ$59&lt;&gt;"",CJ$59,IF(IFERROR(INDEX(醫師週班表!$C$5:$T$44,$CU30,CJ$57),"")=0,"",IF(MID(IFERROR(INDEX(醫師週班表!$C$5:$T$44,$CU30,CJ$57),""),2,1)="/",MID(IFERROR(INDEX(醫師週班表!$C$5:$T$44,$CU30,CJ$57),""),1+CJ$58*2,1),IF(MID(IFERROR(INDEX(醫師週班表!$C$5:$T$44,$CU30,CJ$57),""),3,1)="隔",IF(CJ$58=0,LEFT(IFERROR(INDEX(醫師週班表!$C$5:$T$44,$CU30,CJ$57),""),1),""),IF(MID(IFERROR(INDEX(醫師週班表!$C$5:$T$44,$CU30,CJ$57),""),2,1)="(",LEFT(IFERROR(INDEX(醫師週班表!$C$5:$T$44,$CU30,CJ$57),""),1),IFERROR(INDEX(醫師週班表!$C$5:$T$44,$CU30,CJ$57),"")))))))</f>
        <v/>
      </c>
      <c r="CK30" s="71">
        <f>IF(CK$59="X","",IF(CK$59&lt;&gt;"",CK$59,IF(IFERROR(INDEX(醫師週班表!$C$5:$T$44,$CU30,CK$57),"")=0,"",IF(MID(IFERROR(INDEX(醫師週班表!$C$5:$T$44,$CU30,CK$57),""),2,1)="/",MID(IFERROR(INDEX(醫師週班表!$C$5:$T$44,$CU30,CK$57),""),1+CK$58*2,1),IF(MID(IFERROR(INDEX(醫師週班表!$C$5:$T$44,$CU30,CK$57),""),3,1)="隔",IF(CK$58=0,LEFT(IFERROR(INDEX(醫師週班表!$C$5:$T$44,$CU30,CK$57),""),1),""),IF(MID(IFERROR(INDEX(醫師週班表!$C$5:$T$44,$CU30,CK$57),""),2,1)="(",LEFT(IFERROR(INDEX(醫師週班表!$C$5:$T$44,$CU30,CK$57),""),1),IFERROR(INDEX(醫師週班表!$C$5:$T$44,$CU30,CK$57),"")))))))</f>
        <v/>
      </c>
      <c r="CL30" s="72">
        <f>IF(CL$59="X","",IF(CL$59&lt;&gt;"",CL$59,IF(IFERROR(INDEX(醫師週班表!$C$5:$T$44,$CU30,CL$57),"")=0,"",IF(MID(IFERROR(INDEX(醫師週班表!$C$5:$T$44,$CU30,CL$57),""),2,1)="/",MID(IFERROR(INDEX(醫師週班表!$C$5:$T$44,$CU30,CL$57),""),1+CL$58*2,1),IF(MID(IFERROR(INDEX(醫師週班表!$C$5:$T$44,$CU30,CL$57),""),3,1)="隔",IF(CL$58=0,LEFT(IFERROR(INDEX(醫師週班表!$C$5:$T$44,$CU30,CL$57),""),1),""),IF(MID(IFERROR(INDEX(醫師週班表!$C$5:$T$44,$CU30,CL$57),""),2,1)="(",LEFT(IFERROR(INDEX(醫師週班表!$C$5:$T$44,$CU30,CL$57),""),1),IFERROR(INDEX(醫師週班表!$C$5:$T$44,$CU30,CL$57),"")))))))</f>
        <v/>
      </c>
      <c r="CM30" s="72">
        <f>IF(CM$59="X","",IF(CM$59&lt;&gt;"",CM$59,IF(IFERROR(INDEX(醫師週班表!$C$5:$T$44,$CU30,CM$57),"")=0,"",IF(MID(IFERROR(INDEX(醫師週班表!$C$5:$T$44,$CU30,CM$57),""),2,1)="/",MID(IFERROR(INDEX(醫師週班表!$C$5:$T$44,$CU30,CM$57),""),1+CM$58*2,1),IF(MID(IFERROR(INDEX(醫師週班表!$C$5:$T$44,$CU30,CM$57),""),3,1)="隔",IF(CM$58=0,LEFT(IFERROR(INDEX(醫師週班表!$C$5:$T$44,$CU30,CM$57),""),1),""),IF(MID(IFERROR(INDEX(醫師週班表!$C$5:$T$44,$CU30,CM$57),""),2,1)="(",LEFT(IFERROR(INDEX(醫師週班表!$C$5:$T$44,$CU30,CM$57),""),1),IFERROR(INDEX(醫師週班表!$C$5:$T$44,$CU30,CM$57),"")))))))</f>
        <v/>
      </c>
      <c r="CN30" s="71">
        <f>IF(CN$59="X","",IF(CN$59&lt;&gt;"",CN$59,IF(IFERROR(INDEX(醫師週班表!$C$5:$T$44,$CU30,CN$57),"")=0,"",IF(MID(IFERROR(INDEX(醫師週班表!$C$5:$T$44,$CU30,CN$57),""),2,1)="/",MID(IFERROR(INDEX(醫師週班表!$C$5:$T$44,$CU30,CN$57),""),1+CN$58*2,1),IF(MID(IFERROR(INDEX(醫師週班表!$C$5:$T$44,$CU30,CN$57),""),3,1)="隔",IF(CN$58=0,LEFT(IFERROR(INDEX(醫師週班表!$C$5:$T$44,$CU30,CN$57),""),1),""),IF(MID(IFERROR(INDEX(醫師週班表!$C$5:$T$44,$CU30,CN$57),""),2,1)="(",LEFT(IFERROR(INDEX(醫師週班表!$C$5:$T$44,$CU30,CN$57),""),1),IFERROR(INDEX(醫師週班表!$C$5:$T$44,$CU30,CN$57),"")))))))</f>
        <v/>
      </c>
      <c r="CO30" s="72">
        <f>IF(CO$59="X","",IF(CO$59&lt;&gt;"",CO$59,IF(IFERROR(INDEX(醫師週班表!$C$5:$T$44,$CU30,CO$57),"")=0,"",IF(MID(IFERROR(INDEX(醫師週班表!$C$5:$T$44,$CU30,CO$57),""),2,1)="/",MID(IFERROR(INDEX(醫師週班表!$C$5:$T$44,$CU30,CO$57),""),1+CO$58*2,1),IF(MID(IFERROR(INDEX(醫師週班表!$C$5:$T$44,$CU30,CO$57),""),3,1)="隔",IF(CO$58=0,LEFT(IFERROR(INDEX(醫師週班表!$C$5:$T$44,$CU30,CO$57),""),1),""),IF(MID(IFERROR(INDEX(醫師週班表!$C$5:$T$44,$CU30,CO$57),""),2,1)="(",LEFT(IFERROR(INDEX(醫師週班表!$C$5:$T$44,$CU30,CO$57),""),1),IFERROR(INDEX(醫師週班表!$C$5:$T$44,$CU30,CO$57),"")))))))</f>
        <v/>
      </c>
      <c r="CP30" s="72">
        <f>IF(CP$59="X","",IF(CP$59&lt;&gt;"",CP$59,IF(IFERROR(INDEX(醫師週班表!$C$5:$T$44,$CU30,CP$57),"")=0,"",IF(MID(IFERROR(INDEX(醫師週班表!$C$5:$T$44,$CU30,CP$57),""),2,1)="/",MID(IFERROR(INDEX(醫師週班表!$C$5:$T$44,$CU30,CP$57),""),1+CP$58*2,1),IF(MID(IFERROR(INDEX(醫師週班表!$C$5:$T$44,$CU30,CP$57),""),3,1)="隔",IF(CP$58=0,LEFT(IFERROR(INDEX(醫師週班表!$C$5:$T$44,$CU30,CP$57),""),1),""),IF(MID(IFERROR(INDEX(醫師週班表!$C$5:$T$44,$CU30,CP$57),""),2,1)="(",LEFT(IFERROR(INDEX(醫師週班表!$C$5:$T$44,$CU30,CP$57),""),1),IFERROR(INDEX(醫師週班表!$C$5:$T$44,$CU30,CP$57),"")))))))</f>
        <v/>
      </c>
      <c r="CQ30" s="71">
        <f>IF(CQ$59="X","",IF(CQ$59&lt;&gt;"",CQ$59,IF(IFERROR(INDEX(醫師週班表!$C$5:$T$44,$CU30,CQ$57),"")=0,"",IF(MID(IFERROR(INDEX(醫師週班表!$C$5:$T$44,$CU30,CQ$57),""),2,1)="/",MID(IFERROR(INDEX(醫師週班表!$C$5:$T$44,$CU30,CQ$57),""),1+CQ$58*2,1),IF(MID(IFERROR(INDEX(醫師週班表!$C$5:$T$44,$CU30,CQ$57),""),3,1)="隔",IF(CQ$58=0,LEFT(IFERROR(INDEX(醫師週班表!$C$5:$T$44,$CU30,CQ$57),""),1),""),IF(MID(IFERROR(INDEX(醫師週班表!$C$5:$T$44,$CU30,CQ$57),""),2,1)="(",LEFT(IFERROR(INDEX(醫師週班表!$C$5:$T$44,$CU30,CQ$57),""),1),IFERROR(INDEX(醫師週班表!$C$5:$T$44,$CU30,CQ$57),"")))))))</f>
        <v/>
      </c>
      <c r="CR30" s="72">
        <f>IF(CR$59="X","",IF(CR$59&lt;&gt;"",CR$59,IF(IFERROR(INDEX(醫師週班表!$C$5:$T$44,$CU30,CR$57),"")=0,"",IF(MID(IFERROR(INDEX(醫師週班表!$C$5:$T$44,$CU30,CR$57),""),2,1)="/",MID(IFERROR(INDEX(醫師週班表!$C$5:$T$44,$CU30,CR$57),""),1+CR$58*2,1),IF(MID(IFERROR(INDEX(醫師週班表!$C$5:$T$44,$CU30,CR$57),""),3,1)="隔",IF(CR$58=0,LEFT(IFERROR(INDEX(醫師週班表!$C$5:$T$44,$CU30,CR$57),""),1),""),IF(MID(IFERROR(INDEX(醫師週班表!$C$5:$T$44,$CU30,CR$57),""),2,1)="(",LEFT(IFERROR(INDEX(醫師週班表!$C$5:$T$44,$CU30,CR$57),""),1),IFERROR(INDEX(醫師週班表!$C$5:$T$44,$CU30,CR$57),"")))))))</f>
        <v/>
      </c>
      <c r="CS30" s="72">
        <f>IF(CS$59="X","",IF(CS$59&lt;&gt;"",CS$59,IF(IFERROR(INDEX(醫師週班表!$C$5:$T$44,$CU30,CS$57),"")=0,"",IF(MID(IFERROR(INDEX(醫師週班表!$C$5:$T$44,$CU30,CS$57),""),2,1)="/",MID(IFERROR(INDEX(醫師週班表!$C$5:$T$44,$CU30,CS$57),""),1+CS$58*2,1),IF(MID(IFERROR(INDEX(醫師週班表!$C$5:$T$44,$CU30,CS$57),""),3,1)="隔",IF(CS$58=0,LEFT(IFERROR(INDEX(醫師週班表!$C$5:$T$44,$CU30,CS$57),""),1),""),IF(MID(IFERROR(INDEX(醫師週班表!$C$5:$T$44,$CU30,CS$57),""),2,1)="(",LEFT(IFERROR(INDEX(醫師週班表!$C$5:$T$44,$CU30,CS$57),""),1),IFERROR(INDEX(醫師週班表!$C$5:$T$44,$CU30,CS$57),"")))))))</f>
        <v/>
      </c>
      <c r="CU30" s="73">
        <f>IFERROR(MATCH($A30,醫師週班表!$A$5:$A$44,0),0)</f>
        <v/>
      </c>
    </row>
    <row r="31" ht="17" customHeight="1">
      <c r="A31" s="19" t="inlineStr">
        <is>
          <t>D026</t>
        </is>
      </c>
      <c r="B31" s="16" t="inlineStr">
        <is>
          <t>吳冠廷</t>
        </is>
      </c>
      <c r="C31" s="70" t="inlineStr"/>
      <c r="D31" s="16" t="inlineStr"/>
      <c r="E31" s="71">
        <f>IF(E$59="X","",IF(E$59&lt;&gt;"",E$59,IF(IFERROR(INDEX(醫師週班表!$C$5:$T$44,$CU31,E$57),"")=0,"",IF(MID(IFERROR(INDEX(醫師週班表!$C$5:$T$44,$CU31,E$57),""),2,1)="/",MID(IFERROR(INDEX(醫師週班表!$C$5:$T$44,$CU31,E$57),""),1+E$58*2,1),IF(MID(IFERROR(INDEX(醫師週班表!$C$5:$T$44,$CU31,E$57),""),3,1)="隔",IF(E$58=0,LEFT(IFERROR(INDEX(醫師週班表!$C$5:$T$44,$CU31,E$57),""),1),""),IF(MID(IFERROR(INDEX(醫師週班表!$C$5:$T$44,$CU31,E$57),""),2,1)="(",LEFT(IFERROR(INDEX(醫師週班表!$C$5:$T$44,$CU31,E$57),""),1),IFERROR(INDEX(醫師週班表!$C$5:$T$44,$CU31,E$57),"")))))))</f>
        <v/>
      </c>
      <c r="F31" s="72">
        <f>IF(F$59="X","",IF(F$59&lt;&gt;"",F$59,IF(IFERROR(INDEX(醫師週班表!$C$5:$T$44,$CU31,F$57),"")=0,"",IF(MID(IFERROR(INDEX(醫師週班表!$C$5:$T$44,$CU31,F$57),""),2,1)="/",MID(IFERROR(INDEX(醫師週班表!$C$5:$T$44,$CU31,F$57),""),1+F$58*2,1),IF(MID(IFERROR(INDEX(醫師週班表!$C$5:$T$44,$CU31,F$57),""),3,1)="隔",IF(F$58=0,LEFT(IFERROR(INDEX(醫師週班表!$C$5:$T$44,$CU31,F$57),""),1),""),IF(MID(IFERROR(INDEX(醫師週班表!$C$5:$T$44,$CU31,F$57),""),2,1)="(",LEFT(IFERROR(INDEX(醫師週班表!$C$5:$T$44,$CU31,F$57),""),1),IFERROR(INDEX(醫師週班表!$C$5:$T$44,$CU31,F$57),"")))))))</f>
        <v/>
      </c>
      <c r="G31" s="72">
        <f>IF(G$59="X","",IF(G$59&lt;&gt;"",G$59,IF(IFERROR(INDEX(醫師週班表!$C$5:$T$44,$CU31,G$57),"")=0,"",IF(MID(IFERROR(INDEX(醫師週班表!$C$5:$T$44,$CU31,G$57),""),2,1)="/",MID(IFERROR(INDEX(醫師週班表!$C$5:$T$44,$CU31,G$57),""),1+G$58*2,1),IF(MID(IFERROR(INDEX(醫師週班表!$C$5:$T$44,$CU31,G$57),""),3,1)="隔",IF(G$58=0,LEFT(IFERROR(INDEX(醫師週班表!$C$5:$T$44,$CU31,G$57),""),1),""),IF(MID(IFERROR(INDEX(醫師週班表!$C$5:$T$44,$CU31,G$57),""),2,1)="(",LEFT(IFERROR(INDEX(醫師週班表!$C$5:$T$44,$CU31,G$57),""),1),IFERROR(INDEX(醫師週班表!$C$5:$T$44,$CU31,G$57),"")))))))</f>
        <v/>
      </c>
      <c r="H31" s="71">
        <f>IF(H$59="X","",IF(H$59&lt;&gt;"",H$59,IF(IFERROR(INDEX(醫師週班表!$C$5:$T$44,$CU31,H$57),"")=0,"",IF(MID(IFERROR(INDEX(醫師週班表!$C$5:$T$44,$CU31,H$57),""),2,1)="/",MID(IFERROR(INDEX(醫師週班表!$C$5:$T$44,$CU31,H$57),""),1+H$58*2,1),IF(MID(IFERROR(INDEX(醫師週班表!$C$5:$T$44,$CU31,H$57),""),3,1)="隔",IF(H$58=0,LEFT(IFERROR(INDEX(醫師週班表!$C$5:$T$44,$CU31,H$57),""),1),""),IF(MID(IFERROR(INDEX(醫師週班表!$C$5:$T$44,$CU31,H$57),""),2,1)="(",LEFT(IFERROR(INDEX(醫師週班表!$C$5:$T$44,$CU31,H$57),""),1),IFERROR(INDEX(醫師週班表!$C$5:$T$44,$CU31,H$57),"")))))))</f>
        <v/>
      </c>
      <c r="I31" s="72">
        <f>IF(I$59="X","",IF(I$59&lt;&gt;"",I$59,IF(IFERROR(INDEX(醫師週班表!$C$5:$T$44,$CU31,I$57),"")=0,"",IF(MID(IFERROR(INDEX(醫師週班表!$C$5:$T$44,$CU31,I$57),""),2,1)="/",MID(IFERROR(INDEX(醫師週班表!$C$5:$T$44,$CU31,I$57),""),1+I$58*2,1),IF(MID(IFERROR(INDEX(醫師週班表!$C$5:$T$44,$CU31,I$57),""),3,1)="隔",IF(I$58=0,LEFT(IFERROR(INDEX(醫師週班表!$C$5:$T$44,$CU31,I$57),""),1),""),IF(MID(IFERROR(INDEX(醫師週班表!$C$5:$T$44,$CU31,I$57),""),2,1)="(",LEFT(IFERROR(INDEX(醫師週班表!$C$5:$T$44,$CU31,I$57),""),1),IFERROR(INDEX(醫師週班表!$C$5:$T$44,$CU31,I$57),"")))))))</f>
        <v/>
      </c>
      <c r="J31" s="72">
        <f>IF(J$59="X","",IF(J$59&lt;&gt;"",J$59,IF(IFERROR(INDEX(醫師週班表!$C$5:$T$44,$CU31,J$57),"")=0,"",IF(MID(IFERROR(INDEX(醫師週班表!$C$5:$T$44,$CU31,J$57),""),2,1)="/",MID(IFERROR(INDEX(醫師週班表!$C$5:$T$44,$CU31,J$57),""),1+J$58*2,1),IF(MID(IFERROR(INDEX(醫師週班表!$C$5:$T$44,$CU31,J$57),""),3,1)="隔",IF(J$58=0,LEFT(IFERROR(INDEX(醫師週班表!$C$5:$T$44,$CU31,J$57),""),1),""),IF(MID(IFERROR(INDEX(醫師週班表!$C$5:$T$44,$CU31,J$57),""),2,1)="(",LEFT(IFERROR(INDEX(醫師週班表!$C$5:$T$44,$CU31,J$57),""),1),IFERROR(INDEX(醫師週班表!$C$5:$T$44,$CU31,J$57),"")))))))</f>
        <v/>
      </c>
      <c r="K31" s="71">
        <f>IF(K$59="X","",IF(K$59&lt;&gt;"",K$59,IF(IFERROR(INDEX(醫師週班表!$C$5:$T$44,$CU31,K$57),"")=0,"",IF(MID(IFERROR(INDEX(醫師週班表!$C$5:$T$44,$CU31,K$57),""),2,1)="/",MID(IFERROR(INDEX(醫師週班表!$C$5:$T$44,$CU31,K$57),""),1+K$58*2,1),IF(MID(IFERROR(INDEX(醫師週班表!$C$5:$T$44,$CU31,K$57),""),3,1)="隔",IF(K$58=0,LEFT(IFERROR(INDEX(醫師週班表!$C$5:$T$44,$CU31,K$57),""),1),""),IF(MID(IFERROR(INDEX(醫師週班表!$C$5:$T$44,$CU31,K$57),""),2,1)="(",LEFT(IFERROR(INDEX(醫師週班表!$C$5:$T$44,$CU31,K$57),""),1),IFERROR(INDEX(醫師週班表!$C$5:$T$44,$CU31,K$57),"")))))))</f>
        <v/>
      </c>
      <c r="L31" s="72">
        <f>IF(L$59="X","",IF(L$59&lt;&gt;"",L$59,IF(IFERROR(INDEX(醫師週班表!$C$5:$T$44,$CU31,L$57),"")=0,"",IF(MID(IFERROR(INDEX(醫師週班表!$C$5:$T$44,$CU31,L$57),""),2,1)="/",MID(IFERROR(INDEX(醫師週班表!$C$5:$T$44,$CU31,L$57),""),1+L$58*2,1),IF(MID(IFERROR(INDEX(醫師週班表!$C$5:$T$44,$CU31,L$57),""),3,1)="隔",IF(L$58=0,LEFT(IFERROR(INDEX(醫師週班表!$C$5:$T$44,$CU31,L$57),""),1),""),IF(MID(IFERROR(INDEX(醫師週班表!$C$5:$T$44,$CU31,L$57),""),2,1)="(",LEFT(IFERROR(INDEX(醫師週班表!$C$5:$T$44,$CU31,L$57),""),1),IFERROR(INDEX(醫師週班表!$C$5:$T$44,$CU31,L$57),"")))))))</f>
        <v/>
      </c>
      <c r="M31" s="72">
        <f>IF(M$59="X","",IF(M$59&lt;&gt;"",M$59,IF(IFERROR(INDEX(醫師週班表!$C$5:$T$44,$CU31,M$57),"")=0,"",IF(MID(IFERROR(INDEX(醫師週班表!$C$5:$T$44,$CU31,M$57),""),2,1)="/",MID(IFERROR(INDEX(醫師週班表!$C$5:$T$44,$CU31,M$57),""),1+M$58*2,1),IF(MID(IFERROR(INDEX(醫師週班表!$C$5:$T$44,$CU31,M$57),""),3,1)="隔",IF(M$58=0,LEFT(IFERROR(INDEX(醫師週班表!$C$5:$T$44,$CU31,M$57),""),1),""),IF(MID(IFERROR(INDEX(醫師週班表!$C$5:$T$44,$CU31,M$57),""),2,1)="(",LEFT(IFERROR(INDEX(醫師週班表!$C$5:$T$44,$CU31,M$57),""),1),IFERROR(INDEX(醫師週班表!$C$5:$T$44,$CU31,M$57),"")))))))</f>
        <v/>
      </c>
      <c r="N31" s="71">
        <f>IF(N$59="X","",IF(N$59&lt;&gt;"",N$59,IF(IFERROR(INDEX(醫師週班表!$C$5:$T$44,$CU31,N$57),"")=0,"",IF(MID(IFERROR(INDEX(醫師週班表!$C$5:$T$44,$CU31,N$57),""),2,1)="/",MID(IFERROR(INDEX(醫師週班表!$C$5:$T$44,$CU31,N$57),""),1+N$58*2,1),IF(MID(IFERROR(INDEX(醫師週班表!$C$5:$T$44,$CU31,N$57),""),3,1)="隔",IF(N$58=0,LEFT(IFERROR(INDEX(醫師週班表!$C$5:$T$44,$CU31,N$57),""),1),""),IF(MID(IFERROR(INDEX(醫師週班表!$C$5:$T$44,$CU31,N$57),""),2,1)="(",LEFT(IFERROR(INDEX(醫師週班表!$C$5:$T$44,$CU31,N$57),""),1),IFERROR(INDEX(醫師週班表!$C$5:$T$44,$CU31,N$57),"")))))))</f>
        <v/>
      </c>
      <c r="O31" s="72">
        <f>IF(O$59="X","",IF(O$59&lt;&gt;"",O$59,IF(IFERROR(INDEX(醫師週班表!$C$5:$T$44,$CU31,O$57),"")=0,"",IF(MID(IFERROR(INDEX(醫師週班表!$C$5:$T$44,$CU31,O$57),""),2,1)="/",MID(IFERROR(INDEX(醫師週班表!$C$5:$T$44,$CU31,O$57),""),1+O$58*2,1),IF(MID(IFERROR(INDEX(醫師週班表!$C$5:$T$44,$CU31,O$57),""),3,1)="隔",IF(O$58=0,LEFT(IFERROR(INDEX(醫師週班表!$C$5:$T$44,$CU31,O$57),""),1),""),IF(MID(IFERROR(INDEX(醫師週班表!$C$5:$T$44,$CU31,O$57),""),2,1)="(",LEFT(IFERROR(INDEX(醫師週班表!$C$5:$T$44,$CU31,O$57),""),1),IFERROR(INDEX(醫師週班表!$C$5:$T$44,$CU31,O$57),"")))))))</f>
        <v/>
      </c>
      <c r="P31" s="72">
        <f>IF(P$59="X","",IF(P$59&lt;&gt;"",P$59,IF(IFERROR(INDEX(醫師週班表!$C$5:$T$44,$CU31,P$57),"")=0,"",IF(MID(IFERROR(INDEX(醫師週班表!$C$5:$T$44,$CU31,P$57),""),2,1)="/",MID(IFERROR(INDEX(醫師週班表!$C$5:$T$44,$CU31,P$57),""),1+P$58*2,1),IF(MID(IFERROR(INDEX(醫師週班表!$C$5:$T$44,$CU31,P$57),""),3,1)="隔",IF(P$58=0,LEFT(IFERROR(INDEX(醫師週班表!$C$5:$T$44,$CU31,P$57),""),1),""),IF(MID(IFERROR(INDEX(醫師週班表!$C$5:$T$44,$CU31,P$57),""),2,1)="(",LEFT(IFERROR(INDEX(醫師週班表!$C$5:$T$44,$CU31,P$57),""),1),IFERROR(INDEX(醫師週班表!$C$5:$T$44,$CU31,P$57),"")))))))</f>
        <v/>
      </c>
      <c r="Q31" s="71">
        <f>IF(Q$59="X","",IF(Q$59&lt;&gt;"",Q$59,IF(IFERROR(INDEX(醫師週班表!$C$5:$T$44,$CU31,Q$57),"")=0,"",IF(MID(IFERROR(INDEX(醫師週班表!$C$5:$T$44,$CU31,Q$57),""),2,1)="/",MID(IFERROR(INDEX(醫師週班表!$C$5:$T$44,$CU31,Q$57),""),1+Q$58*2,1),IF(MID(IFERROR(INDEX(醫師週班表!$C$5:$T$44,$CU31,Q$57),""),3,1)="隔",IF(Q$58=0,LEFT(IFERROR(INDEX(醫師週班表!$C$5:$T$44,$CU31,Q$57),""),1),""),IF(MID(IFERROR(INDEX(醫師週班表!$C$5:$T$44,$CU31,Q$57),""),2,1)="(",LEFT(IFERROR(INDEX(醫師週班表!$C$5:$T$44,$CU31,Q$57),""),1),IFERROR(INDEX(醫師週班表!$C$5:$T$44,$CU31,Q$57),"")))))))</f>
        <v/>
      </c>
      <c r="R31" s="72">
        <f>IF(R$59="X","",IF(R$59&lt;&gt;"",R$59,IF(IFERROR(INDEX(醫師週班表!$C$5:$T$44,$CU31,R$57),"")=0,"",IF(MID(IFERROR(INDEX(醫師週班表!$C$5:$T$44,$CU31,R$57),""),2,1)="/",MID(IFERROR(INDEX(醫師週班表!$C$5:$T$44,$CU31,R$57),""),1+R$58*2,1),IF(MID(IFERROR(INDEX(醫師週班表!$C$5:$T$44,$CU31,R$57),""),3,1)="隔",IF(R$58=0,LEFT(IFERROR(INDEX(醫師週班表!$C$5:$T$44,$CU31,R$57),""),1),""),IF(MID(IFERROR(INDEX(醫師週班表!$C$5:$T$44,$CU31,R$57),""),2,1)="(",LEFT(IFERROR(INDEX(醫師週班表!$C$5:$T$44,$CU31,R$57),""),1),IFERROR(INDEX(醫師週班表!$C$5:$T$44,$CU31,R$57),"")))))))</f>
        <v/>
      </c>
      <c r="S31" s="72">
        <f>IF(S$59="X","",IF(S$59&lt;&gt;"",S$59,IF(IFERROR(INDEX(醫師週班表!$C$5:$T$44,$CU31,S$57),"")=0,"",IF(MID(IFERROR(INDEX(醫師週班表!$C$5:$T$44,$CU31,S$57),""),2,1)="/",MID(IFERROR(INDEX(醫師週班表!$C$5:$T$44,$CU31,S$57),""),1+S$58*2,1),IF(MID(IFERROR(INDEX(醫師週班表!$C$5:$T$44,$CU31,S$57),""),3,1)="隔",IF(S$58=0,LEFT(IFERROR(INDEX(醫師週班表!$C$5:$T$44,$CU31,S$57),""),1),""),IF(MID(IFERROR(INDEX(醫師週班表!$C$5:$T$44,$CU31,S$57),""),2,1)="(",LEFT(IFERROR(INDEX(醫師週班表!$C$5:$T$44,$CU31,S$57),""),1),IFERROR(INDEX(醫師週班表!$C$5:$T$44,$CU31,S$57),"")))))))</f>
        <v/>
      </c>
      <c r="T31" s="71">
        <f>IF(T$59="X","",IF(T$59&lt;&gt;"",T$59,IF(IFERROR(INDEX(醫師週班表!$C$5:$T$44,$CU31,T$57),"")=0,"",IF(MID(IFERROR(INDEX(醫師週班表!$C$5:$T$44,$CU31,T$57),""),2,1)="/",MID(IFERROR(INDEX(醫師週班表!$C$5:$T$44,$CU31,T$57),""),1+T$58*2,1),IF(MID(IFERROR(INDEX(醫師週班表!$C$5:$T$44,$CU31,T$57),""),3,1)="隔",IF(T$58=0,LEFT(IFERROR(INDEX(醫師週班表!$C$5:$T$44,$CU31,T$57),""),1),""),IF(MID(IFERROR(INDEX(醫師週班表!$C$5:$T$44,$CU31,T$57),""),2,1)="(",LEFT(IFERROR(INDEX(醫師週班表!$C$5:$T$44,$CU31,T$57),""),1),IFERROR(INDEX(醫師週班表!$C$5:$T$44,$CU31,T$57),"")))))))</f>
        <v/>
      </c>
      <c r="U31" s="72">
        <f>IF(U$59="X","",IF(U$59&lt;&gt;"",U$59,IF(IFERROR(INDEX(醫師週班表!$C$5:$T$44,$CU31,U$57),"")=0,"",IF(MID(IFERROR(INDEX(醫師週班表!$C$5:$T$44,$CU31,U$57),""),2,1)="/",MID(IFERROR(INDEX(醫師週班表!$C$5:$T$44,$CU31,U$57),""),1+U$58*2,1),IF(MID(IFERROR(INDEX(醫師週班表!$C$5:$T$44,$CU31,U$57),""),3,1)="隔",IF(U$58=0,LEFT(IFERROR(INDEX(醫師週班表!$C$5:$T$44,$CU31,U$57),""),1),""),IF(MID(IFERROR(INDEX(醫師週班表!$C$5:$T$44,$CU31,U$57),""),2,1)="(",LEFT(IFERROR(INDEX(醫師週班表!$C$5:$T$44,$CU31,U$57),""),1),IFERROR(INDEX(醫師週班表!$C$5:$T$44,$CU31,U$57),"")))))))</f>
        <v/>
      </c>
      <c r="V31" s="72">
        <f>IF(V$59="X","",IF(V$59&lt;&gt;"",V$59,IF(IFERROR(INDEX(醫師週班表!$C$5:$T$44,$CU31,V$57),"")=0,"",IF(MID(IFERROR(INDEX(醫師週班表!$C$5:$T$44,$CU31,V$57),""),2,1)="/",MID(IFERROR(INDEX(醫師週班表!$C$5:$T$44,$CU31,V$57),""),1+V$58*2,1),IF(MID(IFERROR(INDEX(醫師週班表!$C$5:$T$44,$CU31,V$57),""),3,1)="隔",IF(V$58=0,LEFT(IFERROR(INDEX(醫師週班表!$C$5:$T$44,$CU31,V$57),""),1),""),IF(MID(IFERROR(INDEX(醫師週班表!$C$5:$T$44,$CU31,V$57),""),2,1)="(",LEFT(IFERROR(INDEX(醫師週班表!$C$5:$T$44,$CU31,V$57),""),1),IFERROR(INDEX(醫師週班表!$C$5:$T$44,$CU31,V$57),"")))))))</f>
        <v/>
      </c>
      <c r="W31" s="71">
        <f>IF(W$59="X","",IF(W$59&lt;&gt;"",W$59,IF(IFERROR(INDEX(醫師週班表!$C$5:$T$44,$CU31,W$57),"")=0,"",IF(MID(IFERROR(INDEX(醫師週班表!$C$5:$T$44,$CU31,W$57),""),2,1)="/",MID(IFERROR(INDEX(醫師週班表!$C$5:$T$44,$CU31,W$57),""),1+W$58*2,1),IF(MID(IFERROR(INDEX(醫師週班表!$C$5:$T$44,$CU31,W$57),""),3,1)="隔",IF(W$58=0,LEFT(IFERROR(INDEX(醫師週班表!$C$5:$T$44,$CU31,W$57),""),1),""),IF(MID(IFERROR(INDEX(醫師週班表!$C$5:$T$44,$CU31,W$57),""),2,1)="(",LEFT(IFERROR(INDEX(醫師週班表!$C$5:$T$44,$CU31,W$57),""),1),IFERROR(INDEX(醫師週班表!$C$5:$T$44,$CU31,W$57),"")))))))</f>
        <v/>
      </c>
      <c r="X31" s="72">
        <f>IF(X$59="X","",IF(X$59&lt;&gt;"",X$59,IF(IFERROR(INDEX(醫師週班表!$C$5:$T$44,$CU31,X$57),"")=0,"",IF(MID(IFERROR(INDEX(醫師週班表!$C$5:$T$44,$CU31,X$57),""),2,1)="/",MID(IFERROR(INDEX(醫師週班表!$C$5:$T$44,$CU31,X$57),""),1+X$58*2,1),IF(MID(IFERROR(INDEX(醫師週班表!$C$5:$T$44,$CU31,X$57),""),3,1)="隔",IF(X$58=0,LEFT(IFERROR(INDEX(醫師週班表!$C$5:$T$44,$CU31,X$57),""),1),""),IF(MID(IFERROR(INDEX(醫師週班表!$C$5:$T$44,$CU31,X$57),""),2,1)="(",LEFT(IFERROR(INDEX(醫師週班表!$C$5:$T$44,$CU31,X$57),""),1),IFERROR(INDEX(醫師週班表!$C$5:$T$44,$CU31,X$57),"")))))))</f>
        <v/>
      </c>
      <c r="Y31" s="72">
        <f>IF(Y$59="X","",IF(Y$59&lt;&gt;"",Y$59,IF(IFERROR(INDEX(醫師週班表!$C$5:$T$44,$CU31,Y$57),"")=0,"",IF(MID(IFERROR(INDEX(醫師週班表!$C$5:$T$44,$CU31,Y$57),""),2,1)="/",MID(IFERROR(INDEX(醫師週班表!$C$5:$T$44,$CU31,Y$57),""),1+Y$58*2,1),IF(MID(IFERROR(INDEX(醫師週班表!$C$5:$T$44,$CU31,Y$57),""),3,1)="隔",IF(Y$58=0,LEFT(IFERROR(INDEX(醫師週班表!$C$5:$T$44,$CU31,Y$57),""),1),""),IF(MID(IFERROR(INDEX(醫師週班表!$C$5:$T$44,$CU31,Y$57),""),2,1)="(",LEFT(IFERROR(INDEX(醫師週班表!$C$5:$T$44,$CU31,Y$57),""),1),IFERROR(INDEX(醫師週班表!$C$5:$T$44,$CU31,Y$57),"")))))))</f>
        <v/>
      </c>
      <c r="Z31" s="71">
        <f>IF(Z$59="X","",IF(Z$59&lt;&gt;"",Z$59,IF(IFERROR(INDEX(醫師週班表!$C$5:$T$44,$CU31,Z$57),"")=0,"",IF(MID(IFERROR(INDEX(醫師週班表!$C$5:$T$44,$CU31,Z$57),""),2,1)="/",MID(IFERROR(INDEX(醫師週班表!$C$5:$T$44,$CU31,Z$57),""),1+Z$58*2,1),IF(MID(IFERROR(INDEX(醫師週班表!$C$5:$T$44,$CU31,Z$57),""),3,1)="隔",IF(Z$58=0,LEFT(IFERROR(INDEX(醫師週班表!$C$5:$T$44,$CU31,Z$57),""),1),""),IF(MID(IFERROR(INDEX(醫師週班表!$C$5:$T$44,$CU31,Z$57),""),2,1)="(",LEFT(IFERROR(INDEX(醫師週班表!$C$5:$T$44,$CU31,Z$57),""),1),IFERROR(INDEX(醫師週班表!$C$5:$T$44,$CU31,Z$57),"")))))))</f>
        <v/>
      </c>
      <c r="AA31" s="72">
        <f>IF(AA$59="X","",IF(AA$59&lt;&gt;"",AA$59,IF(IFERROR(INDEX(醫師週班表!$C$5:$T$44,$CU31,AA$57),"")=0,"",IF(MID(IFERROR(INDEX(醫師週班表!$C$5:$T$44,$CU31,AA$57),""),2,1)="/",MID(IFERROR(INDEX(醫師週班表!$C$5:$T$44,$CU31,AA$57),""),1+AA$58*2,1),IF(MID(IFERROR(INDEX(醫師週班表!$C$5:$T$44,$CU31,AA$57),""),3,1)="隔",IF(AA$58=0,LEFT(IFERROR(INDEX(醫師週班表!$C$5:$T$44,$CU31,AA$57),""),1),""),IF(MID(IFERROR(INDEX(醫師週班表!$C$5:$T$44,$CU31,AA$57),""),2,1)="(",LEFT(IFERROR(INDEX(醫師週班表!$C$5:$T$44,$CU31,AA$57),""),1),IFERROR(INDEX(醫師週班表!$C$5:$T$44,$CU31,AA$57),"")))))))</f>
        <v/>
      </c>
      <c r="AB31" s="72">
        <f>IF(AB$59="X","",IF(AB$59&lt;&gt;"",AB$59,IF(IFERROR(INDEX(醫師週班表!$C$5:$T$44,$CU31,AB$57),"")=0,"",IF(MID(IFERROR(INDEX(醫師週班表!$C$5:$T$44,$CU31,AB$57),""),2,1)="/",MID(IFERROR(INDEX(醫師週班表!$C$5:$T$44,$CU31,AB$57),""),1+AB$58*2,1),IF(MID(IFERROR(INDEX(醫師週班表!$C$5:$T$44,$CU31,AB$57),""),3,1)="隔",IF(AB$58=0,LEFT(IFERROR(INDEX(醫師週班表!$C$5:$T$44,$CU31,AB$57),""),1),""),IF(MID(IFERROR(INDEX(醫師週班表!$C$5:$T$44,$CU31,AB$57),""),2,1)="(",LEFT(IFERROR(INDEX(醫師週班表!$C$5:$T$44,$CU31,AB$57),""),1),IFERROR(INDEX(醫師週班表!$C$5:$T$44,$CU31,AB$57),"")))))))</f>
        <v/>
      </c>
      <c r="AC31" s="71">
        <f>IF(AC$59="X","",IF(AC$59&lt;&gt;"",AC$59,IF(IFERROR(INDEX(醫師週班表!$C$5:$T$44,$CU31,AC$57),"")=0,"",IF(MID(IFERROR(INDEX(醫師週班表!$C$5:$T$44,$CU31,AC$57),""),2,1)="/",MID(IFERROR(INDEX(醫師週班表!$C$5:$T$44,$CU31,AC$57),""),1+AC$58*2,1),IF(MID(IFERROR(INDEX(醫師週班表!$C$5:$T$44,$CU31,AC$57),""),3,1)="隔",IF(AC$58=0,LEFT(IFERROR(INDEX(醫師週班表!$C$5:$T$44,$CU31,AC$57),""),1),""),IF(MID(IFERROR(INDEX(醫師週班表!$C$5:$T$44,$CU31,AC$57),""),2,1)="(",LEFT(IFERROR(INDEX(醫師週班表!$C$5:$T$44,$CU31,AC$57),""),1),IFERROR(INDEX(醫師週班表!$C$5:$T$44,$CU31,AC$57),"")))))))</f>
        <v/>
      </c>
      <c r="AD31" s="72">
        <f>IF(AD$59="X","",IF(AD$59&lt;&gt;"",AD$59,IF(IFERROR(INDEX(醫師週班表!$C$5:$T$44,$CU31,AD$57),"")=0,"",IF(MID(IFERROR(INDEX(醫師週班表!$C$5:$T$44,$CU31,AD$57),""),2,1)="/",MID(IFERROR(INDEX(醫師週班表!$C$5:$T$44,$CU31,AD$57),""),1+AD$58*2,1),IF(MID(IFERROR(INDEX(醫師週班表!$C$5:$T$44,$CU31,AD$57),""),3,1)="隔",IF(AD$58=0,LEFT(IFERROR(INDEX(醫師週班表!$C$5:$T$44,$CU31,AD$57),""),1),""),IF(MID(IFERROR(INDEX(醫師週班表!$C$5:$T$44,$CU31,AD$57),""),2,1)="(",LEFT(IFERROR(INDEX(醫師週班表!$C$5:$T$44,$CU31,AD$57),""),1),IFERROR(INDEX(醫師週班表!$C$5:$T$44,$CU31,AD$57),"")))))))</f>
        <v/>
      </c>
      <c r="AE31" s="72">
        <f>IF(AE$59="X","",IF(AE$59&lt;&gt;"",AE$59,IF(IFERROR(INDEX(醫師週班表!$C$5:$T$44,$CU31,AE$57),"")=0,"",IF(MID(IFERROR(INDEX(醫師週班表!$C$5:$T$44,$CU31,AE$57),""),2,1)="/",MID(IFERROR(INDEX(醫師週班表!$C$5:$T$44,$CU31,AE$57),""),1+AE$58*2,1),IF(MID(IFERROR(INDEX(醫師週班表!$C$5:$T$44,$CU31,AE$57),""),3,1)="隔",IF(AE$58=0,LEFT(IFERROR(INDEX(醫師週班表!$C$5:$T$44,$CU31,AE$57),""),1),""),IF(MID(IFERROR(INDEX(醫師週班表!$C$5:$T$44,$CU31,AE$57),""),2,1)="(",LEFT(IFERROR(INDEX(醫師週班表!$C$5:$T$44,$CU31,AE$57),""),1),IFERROR(INDEX(醫師週班表!$C$5:$T$44,$CU31,AE$57),"")))))))</f>
        <v/>
      </c>
      <c r="AF31" s="71">
        <f>IF(AF$59="X","",IF(AF$59&lt;&gt;"",AF$59,IF(IFERROR(INDEX(醫師週班表!$C$5:$T$44,$CU31,AF$57),"")=0,"",IF(MID(IFERROR(INDEX(醫師週班表!$C$5:$T$44,$CU31,AF$57),""),2,1)="/",MID(IFERROR(INDEX(醫師週班表!$C$5:$T$44,$CU31,AF$57),""),1+AF$58*2,1),IF(MID(IFERROR(INDEX(醫師週班表!$C$5:$T$44,$CU31,AF$57),""),3,1)="隔",IF(AF$58=0,LEFT(IFERROR(INDEX(醫師週班表!$C$5:$T$44,$CU31,AF$57),""),1),""),IF(MID(IFERROR(INDEX(醫師週班表!$C$5:$T$44,$CU31,AF$57),""),2,1)="(",LEFT(IFERROR(INDEX(醫師週班表!$C$5:$T$44,$CU31,AF$57),""),1),IFERROR(INDEX(醫師週班表!$C$5:$T$44,$CU31,AF$57),"")))))))</f>
        <v/>
      </c>
      <c r="AG31" s="72">
        <f>IF(AG$59="X","",IF(AG$59&lt;&gt;"",AG$59,IF(IFERROR(INDEX(醫師週班表!$C$5:$T$44,$CU31,AG$57),"")=0,"",IF(MID(IFERROR(INDEX(醫師週班表!$C$5:$T$44,$CU31,AG$57),""),2,1)="/",MID(IFERROR(INDEX(醫師週班表!$C$5:$T$44,$CU31,AG$57),""),1+AG$58*2,1),IF(MID(IFERROR(INDEX(醫師週班表!$C$5:$T$44,$CU31,AG$57),""),3,1)="隔",IF(AG$58=0,LEFT(IFERROR(INDEX(醫師週班表!$C$5:$T$44,$CU31,AG$57),""),1),""),IF(MID(IFERROR(INDEX(醫師週班表!$C$5:$T$44,$CU31,AG$57),""),2,1)="(",LEFT(IFERROR(INDEX(醫師週班表!$C$5:$T$44,$CU31,AG$57),""),1),IFERROR(INDEX(醫師週班表!$C$5:$T$44,$CU31,AG$57),"")))))))</f>
        <v/>
      </c>
      <c r="AH31" s="72">
        <f>IF(AH$59="X","",IF(AH$59&lt;&gt;"",AH$59,IF(IFERROR(INDEX(醫師週班表!$C$5:$T$44,$CU31,AH$57),"")=0,"",IF(MID(IFERROR(INDEX(醫師週班表!$C$5:$T$44,$CU31,AH$57),""),2,1)="/",MID(IFERROR(INDEX(醫師週班表!$C$5:$T$44,$CU31,AH$57),""),1+AH$58*2,1),IF(MID(IFERROR(INDEX(醫師週班表!$C$5:$T$44,$CU31,AH$57),""),3,1)="隔",IF(AH$58=0,LEFT(IFERROR(INDEX(醫師週班表!$C$5:$T$44,$CU31,AH$57),""),1),""),IF(MID(IFERROR(INDEX(醫師週班表!$C$5:$T$44,$CU31,AH$57),""),2,1)="(",LEFT(IFERROR(INDEX(醫師週班表!$C$5:$T$44,$CU31,AH$57),""),1),IFERROR(INDEX(醫師週班表!$C$5:$T$44,$CU31,AH$57),"")))))))</f>
        <v/>
      </c>
      <c r="AI31" s="71">
        <f>IF(AI$59="X","",IF(AI$59&lt;&gt;"",AI$59,IF(IFERROR(INDEX(醫師週班表!$C$5:$T$44,$CU31,AI$57),"")=0,"",IF(MID(IFERROR(INDEX(醫師週班表!$C$5:$T$44,$CU31,AI$57),""),2,1)="/",MID(IFERROR(INDEX(醫師週班表!$C$5:$T$44,$CU31,AI$57),""),1+AI$58*2,1),IF(MID(IFERROR(INDEX(醫師週班表!$C$5:$T$44,$CU31,AI$57),""),3,1)="隔",IF(AI$58=0,LEFT(IFERROR(INDEX(醫師週班表!$C$5:$T$44,$CU31,AI$57),""),1),""),IF(MID(IFERROR(INDEX(醫師週班表!$C$5:$T$44,$CU31,AI$57),""),2,1)="(",LEFT(IFERROR(INDEX(醫師週班表!$C$5:$T$44,$CU31,AI$57),""),1),IFERROR(INDEX(醫師週班表!$C$5:$T$44,$CU31,AI$57),"")))))))</f>
        <v/>
      </c>
      <c r="AJ31" s="72">
        <f>IF(AJ$59="X","",IF(AJ$59&lt;&gt;"",AJ$59,IF(IFERROR(INDEX(醫師週班表!$C$5:$T$44,$CU31,AJ$57),"")=0,"",IF(MID(IFERROR(INDEX(醫師週班表!$C$5:$T$44,$CU31,AJ$57),""),2,1)="/",MID(IFERROR(INDEX(醫師週班表!$C$5:$T$44,$CU31,AJ$57),""),1+AJ$58*2,1),IF(MID(IFERROR(INDEX(醫師週班表!$C$5:$T$44,$CU31,AJ$57),""),3,1)="隔",IF(AJ$58=0,LEFT(IFERROR(INDEX(醫師週班表!$C$5:$T$44,$CU31,AJ$57),""),1),""),IF(MID(IFERROR(INDEX(醫師週班表!$C$5:$T$44,$CU31,AJ$57),""),2,1)="(",LEFT(IFERROR(INDEX(醫師週班表!$C$5:$T$44,$CU31,AJ$57),""),1),IFERROR(INDEX(醫師週班表!$C$5:$T$44,$CU31,AJ$57),"")))))))</f>
        <v/>
      </c>
      <c r="AK31" s="72">
        <f>IF(AK$59="X","",IF(AK$59&lt;&gt;"",AK$59,IF(IFERROR(INDEX(醫師週班表!$C$5:$T$44,$CU31,AK$57),"")=0,"",IF(MID(IFERROR(INDEX(醫師週班表!$C$5:$T$44,$CU31,AK$57),""),2,1)="/",MID(IFERROR(INDEX(醫師週班表!$C$5:$T$44,$CU31,AK$57),""),1+AK$58*2,1),IF(MID(IFERROR(INDEX(醫師週班表!$C$5:$T$44,$CU31,AK$57),""),3,1)="隔",IF(AK$58=0,LEFT(IFERROR(INDEX(醫師週班表!$C$5:$T$44,$CU31,AK$57),""),1),""),IF(MID(IFERROR(INDEX(醫師週班表!$C$5:$T$44,$CU31,AK$57),""),2,1)="(",LEFT(IFERROR(INDEX(醫師週班表!$C$5:$T$44,$CU31,AK$57),""),1),IFERROR(INDEX(醫師週班表!$C$5:$T$44,$CU31,AK$57),"")))))))</f>
        <v/>
      </c>
      <c r="AL31" s="71">
        <f>IF(AL$59="X","",IF(AL$59&lt;&gt;"",AL$59,IF(IFERROR(INDEX(醫師週班表!$C$5:$T$44,$CU31,AL$57),"")=0,"",IF(MID(IFERROR(INDEX(醫師週班表!$C$5:$T$44,$CU31,AL$57),""),2,1)="/",MID(IFERROR(INDEX(醫師週班表!$C$5:$T$44,$CU31,AL$57),""),1+AL$58*2,1),IF(MID(IFERROR(INDEX(醫師週班表!$C$5:$T$44,$CU31,AL$57),""),3,1)="隔",IF(AL$58=0,LEFT(IFERROR(INDEX(醫師週班表!$C$5:$T$44,$CU31,AL$57),""),1),""),IF(MID(IFERROR(INDEX(醫師週班表!$C$5:$T$44,$CU31,AL$57),""),2,1)="(",LEFT(IFERROR(INDEX(醫師週班表!$C$5:$T$44,$CU31,AL$57),""),1),IFERROR(INDEX(醫師週班表!$C$5:$T$44,$CU31,AL$57),"")))))))</f>
        <v/>
      </c>
      <c r="AM31" s="72">
        <f>IF(AM$59="X","",IF(AM$59&lt;&gt;"",AM$59,IF(IFERROR(INDEX(醫師週班表!$C$5:$T$44,$CU31,AM$57),"")=0,"",IF(MID(IFERROR(INDEX(醫師週班表!$C$5:$T$44,$CU31,AM$57),""),2,1)="/",MID(IFERROR(INDEX(醫師週班表!$C$5:$T$44,$CU31,AM$57),""),1+AM$58*2,1),IF(MID(IFERROR(INDEX(醫師週班表!$C$5:$T$44,$CU31,AM$57),""),3,1)="隔",IF(AM$58=0,LEFT(IFERROR(INDEX(醫師週班表!$C$5:$T$44,$CU31,AM$57),""),1),""),IF(MID(IFERROR(INDEX(醫師週班表!$C$5:$T$44,$CU31,AM$57),""),2,1)="(",LEFT(IFERROR(INDEX(醫師週班表!$C$5:$T$44,$CU31,AM$57),""),1),IFERROR(INDEX(醫師週班表!$C$5:$T$44,$CU31,AM$57),"")))))))</f>
        <v/>
      </c>
      <c r="AN31" s="72">
        <f>IF(AN$59="X","",IF(AN$59&lt;&gt;"",AN$59,IF(IFERROR(INDEX(醫師週班表!$C$5:$T$44,$CU31,AN$57),"")=0,"",IF(MID(IFERROR(INDEX(醫師週班表!$C$5:$T$44,$CU31,AN$57),""),2,1)="/",MID(IFERROR(INDEX(醫師週班表!$C$5:$T$44,$CU31,AN$57),""),1+AN$58*2,1),IF(MID(IFERROR(INDEX(醫師週班表!$C$5:$T$44,$CU31,AN$57),""),3,1)="隔",IF(AN$58=0,LEFT(IFERROR(INDEX(醫師週班表!$C$5:$T$44,$CU31,AN$57),""),1),""),IF(MID(IFERROR(INDEX(醫師週班表!$C$5:$T$44,$CU31,AN$57),""),2,1)="(",LEFT(IFERROR(INDEX(醫師週班表!$C$5:$T$44,$CU31,AN$57),""),1),IFERROR(INDEX(醫師週班表!$C$5:$T$44,$CU31,AN$57),"")))))))</f>
        <v/>
      </c>
      <c r="AO31" s="71">
        <f>IF(AO$59="X","",IF(AO$59&lt;&gt;"",AO$59,IF(IFERROR(INDEX(醫師週班表!$C$5:$T$44,$CU31,AO$57),"")=0,"",IF(MID(IFERROR(INDEX(醫師週班表!$C$5:$T$44,$CU31,AO$57),""),2,1)="/",MID(IFERROR(INDEX(醫師週班表!$C$5:$T$44,$CU31,AO$57),""),1+AO$58*2,1),IF(MID(IFERROR(INDEX(醫師週班表!$C$5:$T$44,$CU31,AO$57),""),3,1)="隔",IF(AO$58=0,LEFT(IFERROR(INDEX(醫師週班表!$C$5:$T$44,$CU31,AO$57),""),1),""),IF(MID(IFERROR(INDEX(醫師週班表!$C$5:$T$44,$CU31,AO$57),""),2,1)="(",LEFT(IFERROR(INDEX(醫師週班表!$C$5:$T$44,$CU31,AO$57),""),1),IFERROR(INDEX(醫師週班表!$C$5:$T$44,$CU31,AO$57),"")))))))</f>
        <v/>
      </c>
      <c r="AP31" s="72">
        <f>IF(AP$59="X","",IF(AP$59&lt;&gt;"",AP$59,IF(IFERROR(INDEX(醫師週班表!$C$5:$T$44,$CU31,AP$57),"")=0,"",IF(MID(IFERROR(INDEX(醫師週班表!$C$5:$T$44,$CU31,AP$57),""),2,1)="/",MID(IFERROR(INDEX(醫師週班表!$C$5:$T$44,$CU31,AP$57),""),1+AP$58*2,1),IF(MID(IFERROR(INDEX(醫師週班表!$C$5:$T$44,$CU31,AP$57),""),3,1)="隔",IF(AP$58=0,LEFT(IFERROR(INDEX(醫師週班表!$C$5:$T$44,$CU31,AP$57),""),1),""),IF(MID(IFERROR(INDEX(醫師週班表!$C$5:$T$44,$CU31,AP$57),""),2,1)="(",LEFT(IFERROR(INDEX(醫師週班表!$C$5:$T$44,$CU31,AP$57),""),1),IFERROR(INDEX(醫師週班表!$C$5:$T$44,$CU31,AP$57),"")))))))</f>
        <v/>
      </c>
      <c r="AQ31" s="72">
        <f>IF(AQ$59="X","",IF(AQ$59&lt;&gt;"",AQ$59,IF(IFERROR(INDEX(醫師週班表!$C$5:$T$44,$CU31,AQ$57),"")=0,"",IF(MID(IFERROR(INDEX(醫師週班表!$C$5:$T$44,$CU31,AQ$57),""),2,1)="/",MID(IFERROR(INDEX(醫師週班表!$C$5:$T$44,$CU31,AQ$57),""),1+AQ$58*2,1),IF(MID(IFERROR(INDEX(醫師週班表!$C$5:$T$44,$CU31,AQ$57),""),3,1)="隔",IF(AQ$58=0,LEFT(IFERROR(INDEX(醫師週班表!$C$5:$T$44,$CU31,AQ$57),""),1),""),IF(MID(IFERROR(INDEX(醫師週班表!$C$5:$T$44,$CU31,AQ$57),""),2,1)="(",LEFT(IFERROR(INDEX(醫師週班表!$C$5:$T$44,$CU31,AQ$57),""),1),IFERROR(INDEX(醫師週班表!$C$5:$T$44,$CU31,AQ$57),"")))))))</f>
        <v/>
      </c>
      <c r="AR31" s="71">
        <f>IF(AR$59="X","",IF(AR$59&lt;&gt;"",AR$59,IF(IFERROR(INDEX(醫師週班表!$C$5:$T$44,$CU31,AR$57),"")=0,"",IF(MID(IFERROR(INDEX(醫師週班表!$C$5:$T$44,$CU31,AR$57),""),2,1)="/",MID(IFERROR(INDEX(醫師週班表!$C$5:$T$44,$CU31,AR$57),""),1+AR$58*2,1),IF(MID(IFERROR(INDEX(醫師週班表!$C$5:$T$44,$CU31,AR$57),""),3,1)="隔",IF(AR$58=0,LEFT(IFERROR(INDEX(醫師週班表!$C$5:$T$44,$CU31,AR$57),""),1),""),IF(MID(IFERROR(INDEX(醫師週班表!$C$5:$T$44,$CU31,AR$57),""),2,1)="(",LEFT(IFERROR(INDEX(醫師週班表!$C$5:$T$44,$CU31,AR$57),""),1),IFERROR(INDEX(醫師週班表!$C$5:$T$44,$CU31,AR$57),"")))))))</f>
        <v/>
      </c>
      <c r="AS31" s="72">
        <f>IF(AS$59="X","",IF(AS$59&lt;&gt;"",AS$59,IF(IFERROR(INDEX(醫師週班表!$C$5:$T$44,$CU31,AS$57),"")=0,"",IF(MID(IFERROR(INDEX(醫師週班表!$C$5:$T$44,$CU31,AS$57),""),2,1)="/",MID(IFERROR(INDEX(醫師週班表!$C$5:$T$44,$CU31,AS$57),""),1+AS$58*2,1),IF(MID(IFERROR(INDEX(醫師週班表!$C$5:$T$44,$CU31,AS$57),""),3,1)="隔",IF(AS$58=0,LEFT(IFERROR(INDEX(醫師週班表!$C$5:$T$44,$CU31,AS$57),""),1),""),IF(MID(IFERROR(INDEX(醫師週班表!$C$5:$T$44,$CU31,AS$57),""),2,1)="(",LEFT(IFERROR(INDEX(醫師週班表!$C$5:$T$44,$CU31,AS$57),""),1),IFERROR(INDEX(醫師週班表!$C$5:$T$44,$CU31,AS$57),"")))))))</f>
        <v/>
      </c>
      <c r="AT31" s="72">
        <f>IF(AT$59="X","",IF(AT$59&lt;&gt;"",AT$59,IF(IFERROR(INDEX(醫師週班表!$C$5:$T$44,$CU31,AT$57),"")=0,"",IF(MID(IFERROR(INDEX(醫師週班表!$C$5:$T$44,$CU31,AT$57),""),2,1)="/",MID(IFERROR(INDEX(醫師週班表!$C$5:$T$44,$CU31,AT$57),""),1+AT$58*2,1),IF(MID(IFERROR(INDEX(醫師週班表!$C$5:$T$44,$CU31,AT$57),""),3,1)="隔",IF(AT$58=0,LEFT(IFERROR(INDEX(醫師週班表!$C$5:$T$44,$CU31,AT$57),""),1),""),IF(MID(IFERROR(INDEX(醫師週班表!$C$5:$T$44,$CU31,AT$57),""),2,1)="(",LEFT(IFERROR(INDEX(醫師週班表!$C$5:$T$44,$CU31,AT$57),""),1),IFERROR(INDEX(醫師週班表!$C$5:$T$44,$CU31,AT$57),"")))))))</f>
        <v/>
      </c>
      <c r="AU31" s="71">
        <f>IF(AU$59="X","",IF(AU$59&lt;&gt;"",AU$59,IF(IFERROR(INDEX(醫師週班表!$C$5:$T$44,$CU31,AU$57),"")=0,"",IF(MID(IFERROR(INDEX(醫師週班表!$C$5:$T$44,$CU31,AU$57),""),2,1)="/",MID(IFERROR(INDEX(醫師週班表!$C$5:$T$44,$CU31,AU$57),""),1+AU$58*2,1),IF(MID(IFERROR(INDEX(醫師週班表!$C$5:$T$44,$CU31,AU$57),""),3,1)="隔",IF(AU$58=0,LEFT(IFERROR(INDEX(醫師週班表!$C$5:$T$44,$CU31,AU$57),""),1),""),IF(MID(IFERROR(INDEX(醫師週班表!$C$5:$T$44,$CU31,AU$57),""),2,1)="(",LEFT(IFERROR(INDEX(醫師週班表!$C$5:$T$44,$CU31,AU$57),""),1),IFERROR(INDEX(醫師週班表!$C$5:$T$44,$CU31,AU$57),"")))))))</f>
        <v/>
      </c>
      <c r="AV31" s="72">
        <f>IF(AV$59="X","",IF(AV$59&lt;&gt;"",AV$59,IF(IFERROR(INDEX(醫師週班表!$C$5:$T$44,$CU31,AV$57),"")=0,"",IF(MID(IFERROR(INDEX(醫師週班表!$C$5:$T$44,$CU31,AV$57),""),2,1)="/",MID(IFERROR(INDEX(醫師週班表!$C$5:$T$44,$CU31,AV$57),""),1+AV$58*2,1),IF(MID(IFERROR(INDEX(醫師週班表!$C$5:$T$44,$CU31,AV$57),""),3,1)="隔",IF(AV$58=0,LEFT(IFERROR(INDEX(醫師週班表!$C$5:$T$44,$CU31,AV$57),""),1),""),IF(MID(IFERROR(INDEX(醫師週班表!$C$5:$T$44,$CU31,AV$57),""),2,1)="(",LEFT(IFERROR(INDEX(醫師週班表!$C$5:$T$44,$CU31,AV$57),""),1),IFERROR(INDEX(醫師週班表!$C$5:$T$44,$CU31,AV$57),"")))))))</f>
        <v/>
      </c>
      <c r="AW31" s="72">
        <f>IF(AW$59="X","",IF(AW$59&lt;&gt;"",AW$59,IF(IFERROR(INDEX(醫師週班表!$C$5:$T$44,$CU31,AW$57),"")=0,"",IF(MID(IFERROR(INDEX(醫師週班表!$C$5:$T$44,$CU31,AW$57),""),2,1)="/",MID(IFERROR(INDEX(醫師週班表!$C$5:$T$44,$CU31,AW$57),""),1+AW$58*2,1),IF(MID(IFERROR(INDEX(醫師週班表!$C$5:$T$44,$CU31,AW$57),""),3,1)="隔",IF(AW$58=0,LEFT(IFERROR(INDEX(醫師週班表!$C$5:$T$44,$CU31,AW$57),""),1),""),IF(MID(IFERROR(INDEX(醫師週班表!$C$5:$T$44,$CU31,AW$57),""),2,1)="(",LEFT(IFERROR(INDEX(醫師週班表!$C$5:$T$44,$CU31,AW$57),""),1),IFERROR(INDEX(醫師週班表!$C$5:$T$44,$CU31,AW$57),"")))))))</f>
        <v/>
      </c>
      <c r="AX31" s="71">
        <f>IF(AX$59="X","",IF(AX$59&lt;&gt;"",AX$59,IF(IFERROR(INDEX(醫師週班表!$C$5:$T$44,$CU31,AX$57),"")=0,"",IF(MID(IFERROR(INDEX(醫師週班表!$C$5:$T$44,$CU31,AX$57),""),2,1)="/",MID(IFERROR(INDEX(醫師週班表!$C$5:$T$44,$CU31,AX$57),""),1+AX$58*2,1),IF(MID(IFERROR(INDEX(醫師週班表!$C$5:$T$44,$CU31,AX$57),""),3,1)="隔",IF(AX$58=0,LEFT(IFERROR(INDEX(醫師週班表!$C$5:$T$44,$CU31,AX$57),""),1),""),IF(MID(IFERROR(INDEX(醫師週班表!$C$5:$T$44,$CU31,AX$57),""),2,1)="(",LEFT(IFERROR(INDEX(醫師週班表!$C$5:$T$44,$CU31,AX$57),""),1),IFERROR(INDEX(醫師週班表!$C$5:$T$44,$CU31,AX$57),"")))))))</f>
        <v/>
      </c>
      <c r="AY31" s="72">
        <f>IF(AY$59="X","",IF(AY$59&lt;&gt;"",AY$59,IF(IFERROR(INDEX(醫師週班表!$C$5:$T$44,$CU31,AY$57),"")=0,"",IF(MID(IFERROR(INDEX(醫師週班表!$C$5:$T$44,$CU31,AY$57),""),2,1)="/",MID(IFERROR(INDEX(醫師週班表!$C$5:$T$44,$CU31,AY$57),""),1+AY$58*2,1),IF(MID(IFERROR(INDEX(醫師週班表!$C$5:$T$44,$CU31,AY$57),""),3,1)="隔",IF(AY$58=0,LEFT(IFERROR(INDEX(醫師週班表!$C$5:$T$44,$CU31,AY$57),""),1),""),IF(MID(IFERROR(INDEX(醫師週班表!$C$5:$T$44,$CU31,AY$57),""),2,1)="(",LEFT(IFERROR(INDEX(醫師週班表!$C$5:$T$44,$CU31,AY$57),""),1),IFERROR(INDEX(醫師週班表!$C$5:$T$44,$CU31,AY$57),"")))))))</f>
        <v/>
      </c>
      <c r="AZ31" s="72">
        <f>IF(AZ$59="X","",IF(AZ$59&lt;&gt;"",AZ$59,IF(IFERROR(INDEX(醫師週班表!$C$5:$T$44,$CU31,AZ$57),"")=0,"",IF(MID(IFERROR(INDEX(醫師週班表!$C$5:$T$44,$CU31,AZ$57),""),2,1)="/",MID(IFERROR(INDEX(醫師週班表!$C$5:$T$44,$CU31,AZ$57),""),1+AZ$58*2,1),IF(MID(IFERROR(INDEX(醫師週班表!$C$5:$T$44,$CU31,AZ$57),""),3,1)="隔",IF(AZ$58=0,LEFT(IFERROR(INDEX(醫師週班表!$C$5:$T$44,$CU31,AZ$57),""),1),""),IF(MID(IFERROR(INDEX(醫師週班表!$C$5:$T$44,$CU31,AZ$57),""),2,1)="(",LEFT(IFERROR(INDEX(醫師週班表!$C$5:$T$44,$CU31,AZ$57),""),1),IFERROR(INDEX(醫師週班表!$C$5:$T$44,$CU31,AZ$57),"")))))))</f>
        <v/>
      </c>
      <c r="BA31" s="71">
        <f>IF(BA$59="X","",IF(BA$59&lt;&gt;"",BA$59,IF(IFERROR(INDEX(醫師週班表!$C$5:$T$44,$CU31,BA$57),"")=0,"",IF(MID(IFERROR(INDEX(醫師週班表!$C$5:$T$44,$CU31,BA$57),""),2,1)="/",MID(IFERROR(INDEX(醫師週班表!$C$5:$T$44,$CU31,BA$57),""),1+BA$58*2,1),IF(MID(IFERROR(INDEX(醫師週班表!$C$5:$T$44,$CU31,BA$57),""),3,1)="隔",IF(BA$58=0,LEFT(IFERROR(INDEX(醫師週班表!$C$5:$T$44,$CU31,BA$57),""),1),""),IF(MID(IFERROR(INDEX(醫師週班表!$C$5:$T$44,$CU31,BA$57),""),2,1)="(",LEFT(IFERROR(INDEX(醫師週班表!$C$5:$T$44,$CU31,BA$57),""),1),IFERROR(INDEX(醫師週班表!$C$5:$T$44,$CU31,BA$57),"")))))))</f>
        <v/>
      </c>
      <c r="BB31" s="72">
        <f>IF(BB$59="X","",IF(BB$59&lt;&gt;"",BB$59,IF(IFERROR(INDEX(醫師週班表!$C$5:$T$44,$CU31,BB$57),"")=0,"",IF(MID(IFERROR(INDEX(醫師週班表!$C$5:$T$44,$CU31,BB$57),""),2,1)="/",MID(IFERROR(INDEX(醫師週班表!$C$5:$T$44,$CU31,BB$57),""),1+BB$58*2,1),IF(MID(IFERROR(INDEX(醫師週班表!$C$5:$T$44,$CU31,BB$57),""),3,1)="隔",IF(BB$58=0,LEFT(IFERROR(INDEX(醫師週班表!$C$5:$T$44,$CU31,BB$57),""),1),""),IF(MID(IFERROR(INDEX(醫師週班表!$C$5:$T$44,$CU31,BB$57),""),2,1)="(",LEFT(IFERROR(INDEX(醫師週班表!$C$5:$T$44,$CU31,BB$57),""),1),IFERROR(INDEX(醫師週班表!$C$5:$T$44,$CU31,BB$57),"")))))))</f>
        <v/>
      </c>
      <c r="BC31" s="72">
        <f>IF(BC$59="X","",IF(BC$59&lt;&gt;"",BC$59,IF(IFERROR(INDEX(醫師週班表!$C$5:$T$44,$CU31,BC$57),"")=0,"",IF(MID(IFERROR(INDEX(醫師週班表!$C$5:$T$44,$CU31,BC$57),""),2,1)="/",MID(IFERROR(INDEX(醫師週班表!$C$5:$T$44,$CU31,BC$57),""),1+BC$58*2,1),IF(MID(IFERROR(INDEX(醫師週班表!$C$5:$T$44,$CU31,BC$57),""),3,1)="隔",IF(BC$58=0,LEFT(IFERROR(INDEX(醫師週班表!$C$5:$T$44,$CU31,BC$57),""),1),""),IF(MID(IFERROR(INDEX(醫師週班表!$C$5:$T$44,$CU31,BC$57),""),2,1)="(",LEFT(IFERROR(INDEX(醫師週班表!$C$5:$T$44,$CU31,BC$57),""),1),IFERROR(INDEX(醫師週班表!$C$5:$T$44,$CU31,BC$57),"")))))))</f>
        <v/>
      </c>
      <c r="BD31" s="71">
        <f>IF(BD$59="X","",IF(BD$59&lt;&gt;"",BD$59,IF(IFERROR(INDEX(醫師週班表!$C$5:$T$44,$CU31,BD$57),"")=0,"",IF(MID(IFERROR(INDEX(醫師週班表!$C$5:$T$44,$CU31,BD$57),""),2,1)="/",MID(IFERROR(INDEX(醫師週班表!$C$5:$T$44,$CU31,BD$57),""),1+BD$58*2,1),IF(MID(IFERROR(INDEX(醫師週班表!$C$5:$T$44,$CU31,BD$57),""),3,1)="隔",IF(BD$58=0,LEFT(IFERROR(INDEX(醫師週班表!$C$5:$T$44,$CU31,BD$57),""),1),""),IF(MID(IFERROR(INDEX(醫師週班表!$C$5:$T$44,$CU31,BD$57),""),2,1)="(",LEFT(IFERROR(INDEX(醫師週班表!$C$5:$T$44,$CU31,BD$57),""),1),IFERROR(INDEX(醫師週班表!$C$5:$T$44,$CU31,BD$57),"")))))))</f>
        <v/>
      </c>
      <c r="BE31" s="72">
        <f>IF(BE$59="X","",IF(BE$59&lt;&gt;"",BE$59,IF(IFERROR(INDEX(醫師週班表!$C$5:$T$44,$CU31,BE$57),"")=0,"",IF(MID(IFERROR(INDEX(醫師週班表!$C$5:$T$44,$CU31,BE$57),""),2,1)="/",MID(IFERROR(INDEX(醫師週班表!$C$5:$T$44,$CU31,BE$57),""),1+BE$58*2,1),IF(MID(IFERROR(INDEX(醫師週班表!$C$5:$T$44,$CU31,BE$57),""),3,1)="隔",IF(BE$58=0,LEFT(IFERROR(INDEX(醫師週班表!$C$5:$T$44,$CU31,BE$57),""),1),""),IF(MID(IFERROR(INDEX(醫師週班表!$C$5:$T$44,$CU31,BE$57),""),2,1)="(",LEFT(IFERROR(INDEX(醫師週班表!$C$5:$T$44,$CU31,BE$57),""),1),IFERROR(INDEX(醫師週班表!$C$5:$T$44,$CU31,BE$57),"")))))))</f>
        <v/>
      </c>
      <c r="BF31" s="72">
        <f>IF(BF$59="X","",IF(BF$59&lt;&gt;"",BF$59,IF(IFERROR(INDEX(醫師週班表!$C$5:$T$44,$CU31,BF$57),"")=0,"",IF(MID(IFERROR(INDEX(醫師週班表!$C$5:$T$44,$CU31,BF$57),""),2,1)="/",MID(IFERROR(INDEX(醫師週班表!$C$5:$T$44,$CU31,BF$57),""),1+BF$58*2,1),IF(MID(IFERROR(INDEX(醫師週班表!$C$5:$T$44,$CU31,BF$57),""),3,1)="隔",IF(BF$58=0,LEFT(IFERROR(INDEX(醫師週班表!$C$5:$T$44,$CU31,BF$57),""),1),""),IF(MID(IFERROR(INDEX(醫師週班表!$C$5:$T$44,$CU31,BF$57),""),2,1)="(",LEFT(IFERROR(INDEX(醫師週班表!$C$5:$T$44,$CU31,BF$57),""),1),IFERROR(INDEX(醫師週班表!$C$5:$T$44,$CU31,BF$57),"")))))))</f>
        <v/>
      </c>
      <c r="BG31" s="71">
        <f>IF(BG$59="X","",IF(BG$59&lt;&gt;"",BG$59,IF(IFERROR(INDEX(醫師週班表!$C$5:$T$44,$CU31,BG$57),"")=0,"",IF(MID(IFERROR(INDEX(醫師週班表!$C$5:$T$44,$CU31,BG$57),""),2,1)="/",MID(IFERROR(INDEX(醫師週班表!$C$5:$T$44,$CU31,BG$57),""),1+BG$58*2,1),IF(MID(IFERROR(INDEX(醫師週班表!$C$5:$T$44,$CU31,BG$57),""),3,1)="隔",IF(BG$58=0,LEFT(IFERROR(INDEX(醫師週班表!$C$5:$T$44,$CU31,BG$57),""),1),""),IF(MID(IFERROR(INDEX(醫師週班表!$C$5:$T$44,$CU31,BG$57),""),2,1)="(",LEFT(IFERROR(INDEX(醫師週班表!$C$5:$T$44,$CU31,BG$57),""),1),IFERROR(INDEX(醫師週班表!$C$5:$T$44,$CU31,BG$57),"")))))))</f>
        <v/>
      </c>
      <c r="BH31" s="72">
        <f>IF(BH$59="X","",IF(BH$59&lt;&gt;"",BH$59,IF(IFERROR(INDEX(醫師週班表!$C$5:$T$44,$CU31,BH$57),"")=0,"",IF(MID(IFERROR(INDEX(醫師週班表!$C$5:$T$44,$CU31,BH$57),""),2,1)="/",MID(IFERROR(INDEX(醫師週班表!$C$5:$T$44,$CU31,BH$57),""),1+BH$58*2,1),IF(MID(IFERROR(INDEX(醫師週班表!$C$5:$T$44,$CU31,BH$57),""),3,1)="隔",IF(BH$58=0,LEFT(IFERROR(INDEX(醫師週班表!$C$5:$T$44,$CU31,BH$57),""),1),""),IF(MID(IFERROR(INDEX(醫師週班表!$C$5:$T$44,$CU31,BH$57),""),2,1)="(",LEFT(IFERROR(INDEX(醫師週班表!$C$5:$T$44,$CU31,BH$57),""),1),IFERROR(INDEX(醫師週班表!$C$5:$T$44,$CU31,BH$57),"")))))))</f>
        <v/>
      </c>
      <c r="BI31" s="72">
        <f>IF(BI$59="X","",IF(BI$59&lt;&gt;"",BI$59,IF(IFERROR(INDEX(醫師週班表!$C$5:$T$44,$CU31,BI$57),"")=0,"",IF(MID(IFERROR(INDEX(醫師週班表!$C$5:$T$44,$CU31,BI$57),""),2,1)="/",MID(IFERROR(INDEX(醫師週班表!$C$5:$T$44,$CU31,BI$57),""),1+BI$58*2,1),IF(MID(IFERROR(INDEX(醫師週班表!$C$5:$T$44,$CU31,BI$57),""),3,1)="隔",IF(BI$58=0,LEFT(IFERROR(INDEX(醫師週班表!$C$5:$T$44,$CU31,BI$57),""),1),""),IF(MID(IFERROR(INDEX(醫師週班表!$C$5:$T$44,$CU31,BI$57),""),2,1)="(",LEFT(IFERROR(INDEX(醫師週班表!$C$5:$T$44,$CU31,BI$57),""),1),IFERROR(INDEX(醫師週班表!$C$5:$T$44,$CU31,BI$57),"")))))))</f>
        <v/>
      </c>
      <c r="BJ31" s="71">
        <f>IF(BJ$59="X","",IF(BJ$59&lt;&gt;"",BJ$59,IF(IFERROR(INDEX(醫師週班表!$C$5:$T$44,$CU31,BJ$57),"")=0,"",IF(MID(IFERROR(INDEX(醫師週班表!$C$5:$T$44,$CU31,BJ$57),""),2,1)="/",MID(IFERROR(INDEX(醫師週班表!$C$5:$T$44,$CU31,BJ$57),""),1+BJ$58*2,1),IF(MID(IFERROR(INDEX(醫師週班表!$C$5:$T$44,$CU31,BJ$57),""),3,1)="隔",IF(BJ$58=0,LEFT(IFERROR(INDEX(醫師週班表!$C$5:$T$44,$CU31,BJ$57),""),1),""),IF(MID(IFERROR(INDEX(醫師週班表!$C$5:$T$44,$CU31,BJ$57),""),2,1)="(",LEFT(IFERROR(INDEX(醫師週班表!$C$5:$T$44,$CU31,BJ$57),""),1),IFERROR(INDEX(醫師週班表!$C$5:$T$44,$CU31,BJ$57),"")))))))</f>
        <v/>
      </c>
      <c r="BK31" s="72">
        <f>IF(BK$59="X","",IF(BK$59&lt;&gt;"",BK$59,IF(IFERROR(INDEX(醫師週班表!$C$5:$T$44,$CU31,BK$57),"")=0,"",IF(MID(IFERROR(INDEX(醫師週班表!$C$5:$T$44,$CU31,BK$57),""),2,1)="/",MID(IFERROR(INDEX(醫師週班表!$C$5:$T$44,$CU31,BK$57),""),1+BK$58*2,1),IF(MID(IFERROR(INDEX(醫師週班表!$C$5:$T$44,$CU31,BK$57),""),3,1)="隔",IF(BK$58=0,LEFT(IFERROR(INDEX(醫師週班表!$C$5:$T$44,$CU31,BK$57),""),1),""),IF(MID(IFERROR(INDEX(醫師週班表!$C$5:$T$44,$CU31,BK$57),""),2,1)="(",LEFT(IFERROR(INDEX(醫師週班表!$C$5:$T$44,$CU31,BK$57),""),1),IFERROR(INDEX(醫師週班表!$C$5:$T$44,$CU31,BK$57),"")))))))</f>
        <v/>
      </c>
      <c r="BL31" s="72">
        <f>IF(BL$59="X","",IF(BL$59&lt;&gt;"",BL$59,IF(IFERROR(INDEX(醫師週班表!$C$5:$T$44,$CU31,BL$57),"")=0,"",IF(MID(IFERROR(INDEX(醫師週班表!$C$5:$T$44,$CU31,BL$57),""),2,1)="/",MID(IFERROR(INDEX(醫師週班表!$C$5:$T$44,$CU31,BL$57),""),1+BL$58*2,1),IF(MID(IFERROR(INDEX(醫師週班表!$C$5:$T$44,$CU31,BL$57),""),3,1)="隔",IF(BL$58=0,LEFT(IFERROR(INDEX(醫師週班表!$C$5:$T$44,$CU31,BL$57),""),1),""),IF(MID(IFERROR(INDEX(醫師週班表!$C$5:$T$44,$CU31,BL$57),""),2,1)="(",LEFT(IFERROR(INDEX(醫師週班表!$C$5:$T$44,$CU31,BL$57),""),1),IFERROR(INDEX(醫師週班表!$C$5:$T$44,$CU31,BL$57),"")))))))</f>
        <v/>
      </c>
      <c r="BM31" s="71">
        <f>IF(BM$59="X","",IF(BM$59&lt;&gt;"",BM$59,IF(IFERROR(INDEX(醫師週班表!$C$5:$T$44,$CU31,BM$57),"")=0,"",IF(MID(IFERROR(INDEX(醫師週班表!$C$5:$T$44,$CU31,BM$57),""),2,1)="/",MID(IFERROR(INDEX(醫師週班表!$C$5:$T$44,$CU31,BM$57),""),1+BM$58*2,1),IF(MID(IFERROR(INDEX(醫師週班表!$C$5:$T$44,$CU31,BM$57),""),3,1)="隔",IF(BM$58=0,LEFT(IFERROR(INDEX(醫師週班表!$C$5:$T$44,$CU31,BM$57),""),1),""),IF(MID(IFERROR(INDEX(醫師週班表!$C$5:$T$44,$CU31,BM$57),""),2,1)="(",LEFT(IFERROR(INDEX(醫師週班表!$C$5:$T$44,$CU31,BM$57),""),1),IFERROR(INDEX(醫師週班表!$C$5:$T$44,$CU31,BM$57),"")))))))</f>
        <v/>
      </c>
      <c r="BN31" s="72">
        <f>IF(BN$59="X","",IF(BN$59&lt;&gt;"",BN$59,IF(IFERROR(INDEX(醫師週班表!$C$5:$T$44,$CU31,BN$57),"")=0,"",IF(MID(IFERROR(INDEX(醫師週班表!$C$5:$T$44,$CU31,BN$57),""),2,1)="/",MID(IFERROR(INDEX(醫師週班表!$C$5:$T$44,$CU31,BN$57),""),1+BN$58*2,1),IF(MID(IFERROR(INDEX(醫師週班表!$C$5:$T$44,$CU31,BN$57),""),3,1)="隔",IF(BN$58=0,LEFT(IFERROR(INDEX(醫師週班表!$C$5:$T$44,$CU31,BN$57),""),1),""),IF(MID(IFERROR(INDEX(醫師週班表!$C$5:$T$44,$CU31,BN$57),""),2,1)="(",LEFT(IFERROR(INDEX(醫師週班表!$C$5:$T$44,$CU31,BN$57),""),1),IFERROR(INDEX(醫師週班表!$C$5:$T$44,$CU31,BN$57),"")))))))</f>
        <v/>
      </c>
      <c r="BO31" s="72">
        <f>IF(BO$59="X","",IF(BO$59&lt;&gt;"",BO$59,IF(IFERROR(INDEX(醫師週班表!$C$5:$T$44,$CU31,BO$57),"")=0,"",IF(MID(IFERROR(INDEX(醫師週班表!$C$5:$T$44,$CU31,BO$57),""),2,1)="/",MID(IFERROR(INDEX(醫師週班表!$C$5:$T$44,$CU31,BO$57),""),1+BO$58*2,1),IF(MID(IFERROR(INDEX(醫師週班表!$C$5:$T$44,$CU31,BO$57),""),3,1)="隔",IF(BO$58=0,LEFT(IFERROR(INDEX(醫師週班表!$C$5:$T$44,$CU31,BO$57),""),1),""),IF(MID(IFERROR(INDEX(醫師週班表!$C$5:$T$44,$CU31,BO$57),""),2,1)="(",LEFT(IFERROR(INDEX(醫師週班表!$C$5:$T$44,$CU31,BO$57),""),1),IFERROR(INDEX(醫師週班表!$C$5:$T$44,$CU31,BO$57),"")))))))</f>
        <v/>
      </c>
      <c r="BP31" s="71">
        <f>IF(BP$59="X","",IF(BP$59&lt;&gt;"",BP$59,IF(IFERROR(INDEX(醫師週班表!$C$5:$T$44,$CU31,BP$57),"")=0,"",IF(MID(IFERROR(INDEX(醫師週班表!$C$5:$T$44,$CU31,BP$57),""),2,1)="/",MID(IFERROR(INDEX(醫師週班表!$C$5:$T$44,$CU31,BP$57),""),1+BP$58*2,1),IF(MID(IFERROR(INDEX(醫師週班表!$C$5:$T$44,$CU31,BP$57),""),3,1)="隔",IF(BP$58=0,LEFT(IFERROR(INDEX(醫師週班表!$C$5:$T$44,$CU31,BP$57),""),1),""),IF(MID(IFERROR(INDEX(醫師週班表!$C$5:$T$44,$CU31,BP$57),""),2,1)="(",LEFT(IFERROR(INDEX(醫師週班表!$C$5:$T$44,$CU31,BP$57),""),1),IFERROR(INDEX(醫師週班表!$C$5:$T$44,$CU31,BP$57),"")))))))</f>
        <v/>
      </c>
      <c r="BQ31" s="72">
        <f>IF(BQ$59="X","",IF(BQ$59&lt;&gt;"",BQ$59,IF(IFERROR(INDEX(醫師週班表!$C$5:$T$44,$CU31,BQ$57),"")=0,"",IF(MID(IFERROR(INDEX(醫師週班表!$C$5:$T$44,$CU31,BQ$57),""),2,1)="/",MID(IFERROR(INDEX(醫師週班表!$C$5:$T$44,$CU31,BQ$57),""),1+BQ$58*2,1),IF(MID(IFERROR(INDEX(醫師週班表!$C$5:$T$44,$CU31,BQ$57),""),3,1)="隔",IF(BQ$58=0,LEFT(IFERROR(INDEX(醫師週班表!$C$5:$T$44,$CU31,BQ$57),""),1),""),IF(MID(IFERROR(INDEX(醫師週班表!$C$5:$T$44,$CU31,BQ$57),""),2,1)="(",LEFT(IFERROR(INDEX(醫師週班表!$C$5:$T$44,$CU31,BQ$57),""),1),IFERROR(INDEX(醫師週班表!$C$5:$T$44,$CU31,BQ$57),"")))))))</f>
        <v/>
      </c>
      <c r="BR31" s="72">
        <f>IF(BR$59="X","",IF(BR$59&lt;&gt;"",BR$59,IF(IFERROR(INDEX(醫師週班表!$C$5:$T$44,$CU31,BR$57),"")=0,"",IF(MID(IFERROR(INDEX(醫師週班表!$C$5:$T$44,$CU31,BR$57),""),2,1)="/",MID(IFERROR(INDEX(醫師週班表!$C$5:$T$44,$CU31,BR$57),""),1+BR$58*2,1),IF(MID(IFERROR(INDEX(醫師週班表!$C$5:$T$44,$CU31,BR$57),""),3,1)="隔",IF(BR$58=0,LEFT(IFERROR(INDEX(醫師週班表!$C$5:$T$44,$CU31,BR$57),""),1),""),IF(MID(IFERROR(INDEX(醫師週班表!$C$5:$T$44,$CU31,BR$57),""),2,1)="(",LEFT(IFERROR(INDEX(醫師週班表!$C$5:$T$44,$CU31,BR$57),""),1),IFERROR(INDEX(醫師週班表!$C$5:$T$44,$CU31,BR$57),"")))))))</f>
        <v/>
      </c>
      <c r="BS31" s="71">
        <f>IF(BS$59="X","",IF(BS$59&lt;&gt;"",BS$59,IF(IFERROR(INDEX(醫師週班表!$C$5:$T$44,$CU31,BS$57),"")=0,"",IF(MID(IFERROR(INDEX(醫師週班表!$C$5:$T$44,$CU31,BS$57),""),2,1)="/",MID(IFERROR(INDEX(醫師週班表!$C$5:$T$44,$CU31,BS$57),""),1+BS$58*2,1),IF(MID(IFERROR(INDEX(醫師週班表!$C$5:$T$44,$CU31,BS$57),""),3,1)="隔",IF(BS$58=0,LEFT(IFERROR(INDEX(醫師週班表!$C$5:$T$44,$CU31,BS$57),""),1),""),IF(MID(IFERROR(INDEX(醫師週班表!$C$5:$T$44,$CU31,BS$57),""),2,1)="(",LEFT(IFERROR(INDEX(醫師週班表!$C$5:$T$44,$CU31,BS$57),""),1),IFERROR(INDEX(醫師週班表!$C$5:$T$44,$CU31,BS$57),"")))))))</f>
        <v/>
      </c>
      <c r="BT31" s="72">
        <f>IF(BT$59="X","",IF(BT$59&lt;&gt;"",BT$59,IF(IFERROR(INDEX(醫師週班表!$C$5:$T$44,$CU31,BT$57),"")=0,"",IF(MID(IFERROR(INDEX(醫師週班表!$C$5:$T$44,$CU31,BT$57),""),2,1)="/",MID(IFERROR(INDEX(醫師週班表!$C$5:$T$44,$CU31,BT$57),""),1+BT$58*2,1),IF(MID(IFERROR(INDEX(醫師週班表!$C$5:$T$44,$CU31,BT$57),""),3,1)="隔",IF(BT$58=0,LEFT(IFERROR(INDEX(醫師週班表!$C$5:$T$44,$CU31,BT$57),""),1),""),IF(MID(IFERROR(INDEX(醫師週班表!$C$5:$T$44,$CU31,BT$57),""),2,1)="(",LEFT(IFERROR(INDEX(醫師週班表!$C$5:$T$44,$CU31,BT$57),""),1),IFERROR(INDEX(醫師週班表!$C$5:$T$44,$CU31,BT$57),"")))))))</f>
        <v/>
      </c>
      <c r="BU31" s="72">
        <f>IF(BU$59="X","",IF(BU$59&lt;&gt;"",BU$59,IF(IFERROR(INDEX(醫師週班表!$C$5:$T$44,$CU31,BU$57),"")=0,"",IF(MID(IFERROR(INDEX(醫師週班表!$C$5:$T$44,$CU31,BU$57),""),2,1)="/",MID(IFERROR(INDEX(醫師週班表!$C$5:$T$44,$CU31,BU$57),""),1+BU$58*2,1),IF(MID(IFERROR(INDEX(醫師週班表!$C$5:$T$44,$CU31,BU$57),""),3,1)="隔",IF(BU$58=0,LEFT(IFERROR(INDEX(醫師週班表!$C$5:$T$44,$CU31,BU$57),""),1),""),IF(MID(IFERROR(INDEX(醫師週班表!$C$5:$T$44,$CU31,BU$57),""),2,1)="(",LEFT(IFERROR(INDEX(醫師週班表!$C$5:$T$44,$CU31,BU$57),""),1),IFERROR(INDEX(醫師週班表!$C$5:$T$44,$CU31,BU$57),"")))))))</f>
        <v/>
      </c>
      <c r="BV31" s="71">
        <f>IF(BV$59="X","",IF(BV$59&lt;&gt;"",BV$59,IF(IFERROR(INDEX(醫師週班表!$C$5:$T$44,$CU31,BV$57),"")=0,"",IF(MID(IFERROR(INDEX(醫師週班表!$C$5:$T$44,$CU31,BV$57),""),2,1)="/",MID(IFERROR(INDEX(醫師週班表!$C$5:$T$44,$CU31,BV$57),""),1+BV$58*2,1),IF(MID(IFERROR(INDEX(醫師週班表!$C$5:$T$44,$CU31,BV$57),""),3,1)="隔",IF(BV$58=0,LEFT(IFERROR(INDEX(醫師週班表!$C$5:$T$44,$CU31,BV$57),""),1),""),IF(MID(IFERROR(INDEX(醫師週班表!$C$5:$T$44,$CU31,BV$57),""),2,1)="(",LEFT(IFERROR(INDEX(醫師週班表!$C$5:$T$44,$CU31,BV$57),""),1),IFERROR(INDEX(醫師週班表!$C$5:$T$44,$CU31,BV$57),"")))))))</f>
        <v/>
      </c>
      <c r="BW31" s="72">
        <f>IF(BW$59="X","",IF(BW$59&lt;&gt;"",BW$59,IF(IFERROR(INDEX(醫師週班表!$C$5:$T$44,$CU31,BW$57),"")=0,"",IF(MID(IFERROR(INDEX(醫師週班表!$C$5:$T$44,$CU31,BW$57),""),2,1)="/",MID(IFERROR(INDEX(醫師週班表!$C$5:$T$44,$CU31,BW$57),""),1+BW$58*2,1),IF(MID(IFERROR(INDEX(醫師週班表!$C$5:$T$44,$CU31,BW$57),""),3,1)="隔",IF(BW$58=0,LEFT(IFERROR(INDEX(醫師週班表!$C$5:$T$44,$CU31,BW$57),""),1),""),IF(MID(IFERROR(INDEX(醫師週班表!$C$5:$T$44,$CU31,BW$57),""),2,1)="(",LEFT(IFERROR(INDEX(醫師週班表!$C$5:$T$44,$CU31,BW$57),""),1),IFERROR(INDEX(醫師週班表!$C$5:$T$44,$CU31,BW$57),"")))))))</f>
        <v/>
      </c>
      <c r="BX31" s="72">
        <f>IF(BX$59="X","",IF(BX$59&lt;&gt;"",BX$59,IF(IFERROR(INDEX(醫師週班表!$C$5:$T$44,$CU31,BX$57),"")=0,"",IF(MID(IFERROR(INDEX(醫師週班表!$C$5:$T$44,$CU31,BX$57),""),2,1)="/",MID(IFERROR(INDEX(醫師週班表!$C$5:$T$44,$CU31,BX$57),""),1+BX$58*2,1),IF(MID(IFERROR(INDEX(醫師週班表!$C$5:$T$44,$CU31,BX$57),""),3,1)="隔",IF(BX$58=0,LEFT(IFERROR(INDEX(醫師週班表!$C$5:$T$44,$CU31,BX$57),""),1),""),IF(MID(IFERROR(INDEX(醫師週班表!$C$5:$T$44,$CU31,BX$57),""),2,1)="(",LEFT(IFERROR(INDEX(醫師週班表!$C$5:$T$44,$CU31,BX$57),""),1),IFERROR(INDEX(醫師週班表!$C$5:$T$44,$CU31,BX$57),"")))))))</f>
        <v/>
      </c>
      <c r="BY31" s="71">
        <f>IF(BY$59="X","",IF(BY$59&lt;&gt;"",BY$59,IF(IFERROR(INDEX(醫師週班表!$C$5:$T$44,$CU31,BY$57),"")=0,"",IF(MID(IFERROR(INDEX(醫師週班表!$C$5:$T$44,$CU31,BY$57),""),2,1)="/",MID(IFERROR(INDEX(醫師週班表!$C$5:$T$44,$CU31,BY$57),""),1+BY$58*2,1),IF(MID(IFERROR(INDEX(醫師週班表!$C$5:$T$44,$CU31,BY$57),""),3,1)="隔",IF(BY$58=0,LEFT(IFERROR(INDEX(醫師週班表!$C$5:$T$44,$CU31,BY$57),""),1),""),IF(MID(IFERROR(INDEX(醫師週班表!$C$5:$T$44,$CU31,BY$57),""),2,1)="(",LEFT(IFERROR(INDEX(醫師週班表!$C$5:$T$44,$CU31,BY$57),""),1),IFERROR(INDEX(醫師週班表!$C$5:$T$44,$CU31,BY$57),"")))))))</f>
        <v/>
      </c>
      <c r="BZ31" s="72">
        <f>IF(BZ$59="X","",IF(BZ$59&lt;&gt;"",BZ$59,IF(IFERROR(INDEX(醫師週班表!$C$5:$T$44,$CU31,BZ$57),"")=0,"",IF(MID(IFERROR(INDEX(醫師週班表!$C$5:$T$44,$CU31,BZ$57),""),2,1)="/",MID(IFERROR(INDEX(醫師週班表!$C$5:$T$44,$CU31,BZ$57),""),1+BZ$58*2,1),IF(MID(IFERROR(INDEX(醫師週班表!$C$5:$T$44,$CU31,BZ$57),""),3,1)="隔",IF(BZ$58=0,LEFT(IFERROR(INDEX(醫師週班表!$C$5:$T$44,$CU31,BZ$57),""),1),""),IF(MID(IFERROR(INDEX(醫師週班表!$C$5:$T$44,$CU31,BZ$57),""),2,1)="(",LEFT(IFERROR(INDEX(醫師週班表!$C$5:$T$44,$CU31,BZ$57),""),1),IFERROR(INDEX(醫師週班表!$C$5:$T$44,$CU31,BZ$57),"")))))))</f>
        <v/>
      </c>
      <c r="CA31" s="72">
        <f>IF(CA$59="X","",IF(CA$59&lt;&gt;"",CA$59,IF(IFERROR(INDEX(醫師週班表!$C$5:$T$44,$CU31,CA$57),"")=0,"",IF(MID(IFERROR(INDEX(醫師週班表!$C$5:$T$44,$CU31,CA$57),""),2,1)="/",MID(IFERROR(INDEX(醫師週班表!$C$5:$T$44,$CU31,CA$57),""),1+CA$58*2,1),IF(MID(IFERROR(INDEX(醫師週班表!$C$5:$T$44,$CU31,CA$57),""),3,1)="隔",IF(CA$58=0,LEFT(IFERROR(INDEX(醫師週班表!$C$5:$T$44,$CU31,CA$57),""),1),""),IF(MID(IFERROR(INDEX(醫師週班表!$C$5:$T$44,$CU31,CA$57),""),2,1)="(",LEFT(IFERROR(INDEX(醫師週班表!$C$5:$T$44,$CU31,CA$57),""),1),IFERROR(INDEX(醫師週班表!$C$5:$T$44,$CU31,CA$57),"")))))))</f>
        <v/>
      </c>
      <c r="CB31" s="71">
        <f>IF(CB$59="X","",IF(CB$59&lt;&gt;"",CB$59,IF(IFERROR(INDEX(醫師週班表!$C$5:$T$44,$CU31,CB$57),"")=0,"",IF(MID(IFERROR(INDEX(醫師週班表!$C$5:$T$44,$CU31,CB$57),""),2,1)="/",MID(IFERROR(INDEX(醫師週班表!$C$5:$T$44,$CU31,CB$57),""),1+CB$58*2,1),IF(MID(IFERROR(INDEX(醫師週班表!$C$5:$T$44,$CU31,CB$57),""),3,1)="隔",IF(CB$58=0,LEFT(IFERROR(INDEX(醫師週班表!$C$5:$T$44,$CU31,CB$57),""),1),""),IF(MID(IFERROR(INDEX(醫師週班表!$C$5:$T$44,$CU31,CB$57),""),2,1)="(",LEFT(IFERROR(INDEX(醫師週班表!$C$5:$T$44,$CU31,CB$57),""),1),IFERROR(INDEX(醫師週班表!$C$5:$T$44,$CU31,CB$57),"")))))))</f>
        <v/>
      </c>
      <c r="CC31" s="72">
        <f>IF(CC$59="X","",IF(CC$59&lt;&gt;"",CC$59,IF(IFERROR(INDEX(醫師週班表!$C$5:$T$44,$CU31,CC$57),"")=0,"",IF(MID(IFERROR(INDEX(醫師週班表!$C$5:$T$44,$CU31,CC$57),""),2,1)="/",MID(IFERROR(INDEX(醫師週班表!$C$5:$T$44,$CU31,CC$57),""),1+CC$58*2,1),IF(MID(IFERROR(INDEX(醫師週班表!$C$5:$T$44,$CU31,CC$57),""),3,1)="隔",IF(CC$58=0,LEFT(IFERROR(INDEX(醫師週班表!$C$5:$T$44,$CU31,CC$57),""),1),""),IF(MID(IFERROR(INDEX(醫師週班表!$C$5:$T$44,$CU31,CC$57),""),2,1)="(",LEFT(IFERROR(INDEX(醫師週班表!$C$5:$T$44,$CU31,CC$57),""),1),IFERROR(INDEX(醫師週班表!$C$5:$T$44,$CU31,CC$57),"")))))))</f>
        <v/>
      </c>
      <c r="CD31" s="72">
        <f>IF(CD$59="X","",IF(CD$59&lt;&gt;"",CD$59,IF(IFERROR(INDEX(醫師週班表!$C$5:$T$44,$CU31,CD$57),"")=0,"",IF(MID(IFERROR(INDEX(醫師週班表!$C$5:$T$44,$CU31,CD$57),""),2,1)="/",MID(IFERROR(INDEX(醫師週班表!$C$5:$T$44,$CU31,CD$57),""),1+CD$58*2,1),IF(MID(IFERROR(INDEX(醫師週班表!$C$5:$T$44,$CU31,CD$57),""),3,1)="隔",IF(CD$58=0,LEFT(IFERROR(INDEX(醫師週班表!$C$5:$T$44,$CU31,CD$57),""),1),""),IF(MID(IFERROR(INDEX(醫師週班表!$C$5:$T$44,$CU31,CD$57),""),2,1)="(",LEFT(IFERROR(INDEX(醫師週班表!$C$5:$T$44,$CU31,CD$57),""),1),IFERROR(INDEX(醫師週班表!$C$5:$T$44,$CU31,CD$57),"")))))))</f>
        <v/>
      </c>
      <c r="CE31" s="71">
        <f>IF(CE$59="X","",IF(CE$59&lt;&gt;"",CE$59,IF(IFERROR(INDEX(醫師週班表!$C$5:$T$44,$CU31,CE$57),"")=0,"",IF(MID(IFERROR(INDEX(醫師週班表!$C$5:$T$44,$CU31,CE$57),""),2,1)="/",MID(IFERROR(INDEX(醫師週班表!$C$5:$T$44,$CU31,CE$57),""),1+CE$58*2,1),IF(MID(IFERROR(INDEX(醫師週班表!$C$5:$T$44,$CU31,CE$57),""),3,1)="隔",IF(CE$58=0,LEFT(IFERROR(INDEX(醫師週班表!$C$5:$T$44,$CU31,CE$57),""),1),""),IF(MID(IFERROR(INDEX(醫師週班表!$C$5:$T$44,$CU31,CE$57),""),2,1)="(",LEFT(IFERROR(INDEX(醫師週班表!$C$5:$T$44,$CU31,CE$57),""),1),IFERROR(INDEX(醫師週班表!$C$5:$T$44,$CU31,CE$57),"")))))))</f>
        <v/>
      </c>
      <c r="CF31" s="72">
        <f>IF(CF$59="X","",IF(CF$59&lt;&gt;"",CF$59,IF(IFERROR(INDEX(醫師週班表!$C$5:$T$44,$CU31,CF$57),"")=0,"",IF(MID(IFERROR(INDEX(醫師週班表!$C$5:$T$44,$CU31,CF$57),""),2,1)="/",MID(IFERROR(INDEX(醫師週班表!$C$5:$T$44,$CU31,CF$57),""),1+CF$58*2,1),IF(MID(IFERROR(INDEX(醫師週班表!$C$5:$T$44,$CU31,CF$57),""),3,1)="隔",IF(CF$58=0,LEFT(IFERROR(INDEX(醫師週班表!$C$5:$T$44,$CU31,CF$57),""),1),""),IF(MID(IFERROR(INDEX(醫師週班表!$C$5:$T$44,$CU31,CF$57),""),2,1)="(",LEFT(IFERROR(INDEX(醫師週班表!$C$5:$T$44,$CU31,CF$57),""),1),IFERROR(INDEX(醫師週班表!$C$5:$T$44,$CU31,CF$57),"")))))))</f>
        <v/>
      </c>
      <c r="CG31" s="72">
        <f>IF(CG$59="X","",IF(CG$59&lt;&gt;"",CG$59,IF(IFERROR(INDEX(醫師週班表!$C$5:$T$44,$CU31,CG$57),"")=0,"",IF(MID(IFERROR(INDEX(醫師週班表!$C$5:$T$44,$CU31,CG$57),""),2,1)="/",MID(IFERROR(INDEX(醫師週班表!$C$5:$T$44,$CU31,CG$57),""),1+CG$58*2,1),IF(MID(IFERROR(INDEX(醫師週班表!$C$5:$T$44,$CU31,CG$57),""),3,1)="隔",IF(CG$58=0,LEFT(IFERROR(INDEX(醫師週班表!$C$5:$T$44,$CU31,CG$57),""),1),""),IF(MID(IFERROR(INDEX(醫師週班表!$C$5:$T$44,$CU31,CG$57),""),2,1)="(",LEFT(IFERROR(INDEX(醫師週班表!$C$5:$T$44,$CU31,CG$57),""),1),IFERROR(INDEX(醫師週班表!$C$5:$T$44,$CU31,CG$57),"")))))))</f>
        <v/>
      </c>
      <c r="CH31" s="71">
        <f>IF(CH$59="X","",IF(CH$59&lt;&gt;"",CH$59,IF(IFERROR(INDEX(醫師週班表!$C$5:$T$44,$CU31,CH$57),"")=0,"",IF(MID(IFERROR(INDEX(醫師週班表!$C$5:$T$44,$CU31,CH$57),""),2,1)="/",MID(IFERROR(INDEX(醫師週班表!$C$5:$T$44,$CU31,CH$57),""),1+CH$58*2,1),IF(MID(IFERROR(INDEX(醫師週班表!$C$5:$T$44,$CU31,CH$57),""),3,1)="隔",IF(CH$58=0,LEFT(IFERROR(INDEX(醫師週班表!$C$5:$T$44,$CU31,CH$57),""),1),""),IF(MID(IFERROR(INDEX(醫師週班表!$C$5:$T$44,$CU31,CH$57),""),2,1)="(",LEFT(IFERROR(INDEX(醫師週班表!$C$5:$T$44,$CU31,CH$57),""),1),IFERROR(INDEX(醫師週班表!$C$5:$T$44,$CU31,CH$57),"")))))))</f>
        <v/>
      </c>
      <c r="CI31" s="72">
        <f>IF(CI$59="X","",IF(CI$59&lt;&gt;"",CI$59,IF(IFERROR(INDEX(醫師週班表!$C$5:$T$44,$CU31,CI$57),"")=0,"",IF(MID(IFERROR(INDEX(醫師週班表!$C$5:$T$44,$CU31,CI$57),""),2,1)="/",MID(IFERROR(INDEX(醫師週班表!$C$5:$T$44,$CU31,CI$57),""),1+CI$58*2,1),IF(MID(IFERROR(INDEX(醫師週班表!$C$5:$T$44,$CU31,CI$57),""),3,1)="隔",IF(CI$58=0,LEFT(IFERROR(INDEX(醫師週班表!$C$5:$T$44,$CU31,CI$57),""),1),""),IF(MID(IFERROR(INDEX(醫師週班表!$C$5:$T$44,$CU31,CI$57),""),2,1)="(",LEFT(IFERROR(INDEX(醫師週班表!$C$5:$T$44,$CU31,CI$57),""),1),IFERROR(INDEX(醫師週班表!$C$5:$T$44,$CU31,CI$57),"")))))))</f>
        <v/>
      </c>
      <c r="CJ31" s="72">
        <f>IF(CJ$59="X","",IF(CJ$59&lt;&gt;"",CJ$59,IF(IFERROR(INDEX(醫師週班表!$C$5:$T$44,$CU31,CJ$57),"")=0,"",IF(MID(IFERROR(INDEX(醫師週班表!$C$5:$T$44,$CU31,CJ$57),""),2,1)="/",MID(IFERROR(INDEX(醫師週班表!$C$5:$T$44,$CU31,CJ$57),""),1+CJ$58*2,1),IF(MID(IFERROR(INDEX(醫師週班表!$C$5:$T$44,$CU31,CJ$57),""),3,1)="隔",IF(CJ$58=0,LEFT(IFERROR(INDEX(醫師週班表!$C$5:$T$44,$CU31,CJ$57),""),1),""),IF(MID(IFERROR(INDEX(醫師週班表!$C$5:$T$44,$CU31,CJ$57),""),2,1)="(",LEFT(IFERROR(INDEX(醫師週班表!$C$5:$T$44,$CU31,CJ$57),""),1),IFERROR(INDEX(醫師週班表!$C$5:$T$44,$CU31,CJ$57),"")))))))</f>
        <v/>
      </c>
      <c r="CK31" s="71">
        <f>IF(CK$59="X","",IF(CK$59&lt;&gt;"",CK$59,IF(IFERROR(INDEX(醫師週班表!$C$5:$T$44,$CU31,CK$57),"")=0,"",IF(MID(IFERROR(INDEX(醫師週班表!$C$5:$T$44,$CU31,CK$57),""),2,1)="/",MID(IFERROR(INDEX(醫師週班表!$C$5:$T$44,$CU31,CK$57),""),1+CK$58*2,1),IF(MID(IFERROR(INDEX(醫師週班表!$C$5:$T$44,$CU31,CK$57),""),3,1)="隔",IF(CK$58=0,LEFT(IFERROR(INDEX(醫師週班表!$C$5:$T$44,$CU31,CK$57),""),1),""),IF(MID(IFERROR(INDEX(醫師週班表!$C$5:$T$44,$CU31,CK$57),""),2,1)="(",LEFT(IFERROR(INDEX(醫師週班表!$C$5:$T$44,$CU31,CK$57),""),1),IFERROR(INDEX(醫師週班表!$C$5:$T$44,$CU31,CK$57),"")))))))</f>
        <v/>
      </c>
      <c r="CL31" s="72">
        <f>IF(CL$59="X","",IF(CL$59&lt;&gt;"",CL$59,IF(IFERROR(INDEX(醫師週班表!$C$5:$T$44,$CU31,CL$57),"")=0,"",IF(MID(IFERROR(INDEX(醫師週班表!$C$5:$T$44,$CU31,CL$57),""),2,1)="/",MID(IFERROR(INDEX(醫師週班表!$C$5:$T$44,$CU31,CL$57),""),1+CL$58*2,1),IF(MID(IFERROR(INDEX(醫師週班表!$C$5:$T$44,$CU31,CL$57),""),3,1)="隔",IF(CL$58=0,LEFT(IFERROR(INDEX(醫師週班表!$C$5:$T$44,$CU31,CL$57),""),1),""),IF(MID(IFERROR(INDEX(醫師週班表!$C$5:$T$44,$CU31,CL$57),""),2,1)="(",LEFT(IFERROR(INDEX(醫師週班表!$C$5:$T$44,$CU31,CL$57),""),1),IFERROR(INDEX(醫師週班表!$C$5:$T$44,$CU31,CL$57),"")))))))</f>
        <v/>
      </c>
      <c r="CM31" s="72">
        <f>IF(CM$59="X","",IF(CM$59&lt;&gt;"",CM$59,IF(IFERROR(INDEX(醫師週班表!$C$5:$T$44,$CU31,CM$57),"")=0,"",IF(MID(IFERROR(INDEX(醫師週班表!$C$5:$T$44,$CU31,CM$57),""),2,1)="/",MID(IFERROR(INDEX(醫師週班表!$C$5:$T$44,$CU31,CM$57),""),1+CM$58*2,1),IF(MID(IFERROR(INDEX(醫師週班表!$C$5:$T$44,$CU31,CM$57),""),3,1)="隔",IF(CM$58=0,LEFT(IFERROR(INDEX(醫師週班表!$C$5:$T$44,$CU31,CM$57),""),1),""),IF(MID(IFERROR(INDEX(醫師週班表!$C$5:$T$44,$CU31,CM$57),""),2,1)="(",LEFT(IFERROR(INDEX(醫師週班表!$C$5:$T$44,$CU31,CM$57),""),1),IFERROR(INDEX(醫師週班表!$C$5:$T$44,$CU31,CM$57),"")))))))</f>
        <v/>
      </c>
      <c r="CN31" s="71">
        <f>IF(CN$59="X","",IF(CN$59&lt;&gt;"",CN$59,IF(IFERROR(INDEX(醫師週班表!$C$5:$T$44,$CU31,CN$57),"")=0,"",IF(MID(IFERROR(INDEX(醫師週班表!$C$5:$T$44,$CU31,CN$57),""),2,1)="/",MID(IFERROR(INDEX(醫師週班表!$C$5:$T$44,$CU31,CN$57),""),1+CN$58*2,1),IF(MID(IFERROR(INDEX(醫師週班表!$C$5:$T$44,$CU31,CN$57),""),3,1)="隔",IF(CN$58=0,LEFT(IFERROR(INDEX(醫師週班表!$C$5:$T$44,$CU31,CN$57),""),1),""),IF(MID(IFERROR(INDEX(醫師週班表!$C$5:$T$44,$CU31,CN$57),""),2,1)="(",LEFT(IFERROR(INDEX(醫師週班表!$C$5:$T$44,$CU31,CN$57),""),1),IFERROR(INDEX(醫師週班表!$C$5:$T$44,$CU31,CN$57),"")))))))</f>
        <v/>
      </c>
      <c r="CO31" s="72">
        <f>IF(CO$59="X","",IF(CO$59&lt;&gt;"",CO$59,IF(IFERROR(INDEX(醫師週班表!$C$5:$T$44,$CU31,CO$57),"")=0,"",IF(MID(IFERROR(INDEX(醫師週班表!$C$5:$T$44,$CU31,CO$57),""),2,1)="/",MID(IFERROR(INDEX(醫師週班表!$C$5:$T$44,$CU31,CO$57),""),1+CO$58*2,1),IF(MID(IFERROR(INDEX(醫師週班表!$C$5:$T$44,$CU31,CO$57),""),3,1)="隔",IF(CO$58=0,LEFT(IFERROR(INDEX(醫師週班表!$C$5:$T$44,$CU31,CO$57),""),1),""),IF(MID(IFERROR(INDEX(醫師週班表!$C$5:$T$44,$CU31,CO$57),""),2,1)="(",LEFT(IFERROR(INDEX(醫師週班表!$C$5:$T$44,$CU31,CO$57),""),1),IFERROR(INDEX(醫師週班表!$C$5:$T$44,$CU31,CO$57),"")))))))</f>
        <v/>
      </c>
      <c r="CP31" s="72">
        <f>IF(CP$59="X","",IF(CP$59&lt;&gt;"",CP$59,IF(IFERROR(INDEX(醫師週班表!$C$5:$T$44,$CU31,CP$57),"")=0,"",IF(MID(IFERROR(INDEX(醫師週班表!$C$5:$T$44,$CU31,CP$57),""),2,1)="/",MID(IFERROR(INDEX(醫師週班表!$C$5:$T$44,$CU31,CP$57),""),1+CP$58*2,1),IF(MID(IFERROR(INDEX(醫師週班表!$C$5:$T$44,$CU31,CP$57),""),3,1)="隔",IF(CP$58=0,LEFT(IFERROR(INDEX(醫師週班表!$C$5:$T$44,$CU31,CP$57),""),1),""),IF(MID(IFERROR(INDEX(醫師週班表!$C$5:$T$44,$CU31,CP$57),""),2,1)="(",LEFT(IFERROR(INDEX(醫師週班表!$C$5:$T$44,$CU31,CP$57),""),1),IFERROR(INDEX(醫師週班表!$C$5:$T$44,$CU31,CP$57),"")))))))</f>
        <v/>
      </c>
      <c r="CQ31" s="71">
        <f>IF(CQ$59="X","",IF(CQ$59&lt;&gt;"",CQ$59,IF(IFERROR(INDEX(醫師週班表!$C$5:$T$44,$CU31,CQ$57),"")=0,"",IF(MID(IFERROR(INDEX(醫師週班表!$C$5:$T$44,$CU31,CQ$57),""),2,1)="/",MID(IFERROR(INDEX(醫師週班表!$C$5:$T$44,$CU31,CQ$57),""),1+CQ$58*2,1),IF(MID(IFERROR(INDEX(醫師週班表!$C$5:$T$44,$CU31,CQ$57),""),3,1)="隔",IF(CQ$58=0,LEFT(IFERROR(INDEX(醫師週班表!$C$5:$T$44,$CU31,CQ$57),""),1),""),IF(MID(IFERROR(INDEX(醫師週班表!$C$5:$T$44,$CU31,CQ$57),""),2,1)="(",LEFT(IFERROR(INDEX(醫師週班表!$C$5:$T$44,$CU31,CQ$57),""),1),IFERROR(INDEX(醫師週班表!$C$5:$T$44,$CU31,CQ$57),"")))))))</f>
        <v/>
      </c>
      <c r="CR31" s="72">
        <f>IF(CR$59="X","",IF(CR$59&lt;&gt;"",CR$59,IF(IFERROR(INDEX(醫師週班表!$C$5:$T$44,$CU31,CR$57),"")=0,"",IF(MID(IFERROR(INDEX(醫師週班表!$C$5:$T$44,$CU31,CR$57),""),2,1)="/",MID(IFERROR(INDEX(醫師週班表!$C$5:$T$44,$CU31,CR$57),""),1+CR$58*2,1),IF(MID(IFERROR(INDEX(醫師週班表!$C$5:$T$44,$CU31,CR$57),""),3,1)="隔",IF(CR$58=0,LEFT(IFERROR(INDEX(醫師週班表!$C$5:$T$44,$CU31,CR$57),""),1),""),IF(MID(IFERROR(INDEX(醫師週班表!$C$5:$T$44,$CU31,CR$57),""),2,1)="(",LEFT(IFERROR(INDEX(醫師週班表!$C$5:$T$44,$CU31,CR$57),""),1),IFERROR(INDEX(醫師週班表!$C$5:$T$44,$CU31,CR$57),"")))))))</f>
        <v/>
      </c>
      <c r="CS31" s="72">
        <f>IF(CS$59="X","",IF(CS$59&lt;&gt;"",CS$59,IF(IFERROR(INDEX(醫師週班表!$C$5:$T$44,$CU31,CS$57),"")=0,"",IF(MID(IFERROR(INDEX(醫師週班表!$C$5:$T$44,$CU31,CS$57),""),2,1)="/",MID(IFERROR(INDEX(醫師週班表!$C$5:$T$44,$CU31,CS$57),""),1+CS$58*2,1),IF(MID(IFERROR(INDEX(醫師週班表!$C$5:$T$44,$CU31,CS$57),""),3,1)="隔",IF(CS$58=0,LEFT(IFERROR(INDEX(醫師週班表!$C$5:$T$44,$CU31,CS$57),""),1),""),IF(MID(IFERROR(INDEX(醫師週班表!$C$5:$T$44,$CU31,CS$57),""),2,1)="(",LEFT(IFERROR(INDEX(醫師週班表!$C$5:$T$44,$CU31,CS$57),""),1),IFERROR(INDEX(醫師週班表!$C$5:$T$44,$CU31,CS$57),"")))))))</f>
        <v/>
      </c>
      <c r="CU31" s="73">
        <f>IFERROR(MATCH($A31,醫師週班表!$A$5:$A$44,0),0)</f>
        <v/>
      </c>
    </row>
    <row r="32" ht="17" customHeight="1">
      <c r="A32" s="19" t="inlineStr">
        <is>
          <t>D027</t>
        </is>
      </c>
      <c r="B32" s="16" t="inlineStr">
        <is>
          <t>楊孟庭</t>
        </is>
      </c>
      <c r="C32" s="70" t="inlineStr"/>
      <c r="D32" s="16" t="inlineStr"/>
      <c r="E32" s="71">
        <f>IF(E$59="X","",IF(E$59&lt;&gt;"",E$59,IF(IFERROR(INDEX(醫師週班表!$C$5:$T$44,$CU32,E$57),"")=0,"",IF(MID(IFERROR(INDEX(醫師週班表!$C$5:$T$44,$CU32,E$57),""),2,1)="/",MID(IFERROR(INDEX(醫師週班表!$C$5:$T$44,$CU32,E$57),""),1+E$58*2,1),IF(MID(IFERROR(INDEX(醫師週班表!$C$5:$T$44,$CU32,E$57),""),3,1)="隔",IF(E$58=0,LEFT(IFERROR(INDEX(醫師週班表!$C$5:$T$44,$CU32,E$57),""),1),""),IF(MID(IFERROR(INDEX(醫師週班表!$C$5:$T$44,$CU32,E$57),""),2,1)="(",LEFT(IFERROR(INDEX(醫師週班表!$C$5:$T$44,$CU32,E$57),""),1),IFERROR(INDEX(醫師週班表!$C$5:$T$44,$CU32,E$57),"")))))))</f>
        <v/>
      </c>
      <c r="F32" s="72">
        <f>IF(F$59="X","",IF(F$59&lt;&gt;"",F$59,IF(IFERROR(INDEX(醫師週班表!$C$5:$T$44,$CU32,F$57),"")=0,"",IF(MID(IFERROR(INDEX(醫師週班表!$C$5:$T$44,$CU32,F$57),""),2,1)="/",MID(IFERROR(INDEX(醫師週班表!$C$5:$T$44,$CU32,F$57),""),1+F$58*2,1),IF(MID(IFERROR(INDEX(醫師週班表!$C$5:$T$44,$CU32,F$57),""),3,1)="隔",IF(F$58=0,LEFT(IFERROR(INDEX(醫師週班表!$C$5:$T$44,$CU32,F$57),""),1),""),IF(MID(IFERROR(INDEX(醫師週班表!$C$5:$T$44,$CU32,F$57),""),2,1)="(",LEFT(IFERROR(INDEX(醫師週班表!$C$5:$T$44,$CU32,F$57),""),1),IFERROR(INDEX(醫師週班表!$C$5:$T$44,$CU32,F$57),"")))))))</f>
        <v/>
      </c>
      <c r="G32" s="72">
        <f>IF(G$59="X","",IF(G$59&lt;&gt;"",G$59,IF(IFERROR(INDEX(醫師週班表!$C$5:$T$44,$CU32,G$57),"")=0,"",IF(MID(IFERROR(INDEX(醫師週班表!$C$5:$T$44,$CU32,G$57),""),2,1)="/",MID(IFERROR(INDEX(醫師週班表!$C$5:$T$44,$CU32,G$57),""),1+G$58*2,1),IF(MID(IFERROR(INDEX(醫師週班表!$C$5:$T$44,$CU32,G$57),""),3,1)="隔",IF(G$58=0,LEFT(IFERROR(INDEX(醫師週班表!$C$5:$T$44,$CU32,G$57),""),1),""),IF(MID(IFERROR(INDEX(醫師週班表!$C$5:$T$44,$CU32,G$57),""),2,1)="(",LEFT(IFERROR(INDEX(醫師週班表!$C$5:$T$44,$CU32,G$57),""),1),IFERROR(INDEX(醫師週班表!$C$5:$T$44,$CU32,G$57),"")))))))</f>
        <v/>
      </c>
      <c r="H32" s="71">
        <f>IF(H$59="X","",IF(H$59&lt;&gt;"",H$59,IF(IFERROR(INDEX(醫師週班表!$C$5:$T$44,$CU32,H$57),"")=0,"",IF(MID(IFERROR(INDEX(醫師週班表!$C$5:$T$44,$CU32,H$57),""),2,1)="/",MID(IFERROR(INDEX(醫師週班表!$C$5:$T$44,$CU32,H$57),""),1+H$58*2,1),IF(MID(IFERROR(INDEX(醫師週班表!$C$5:$T$44,$CU32,H$57),""),3,1)="隔",IF(H$58=0,LEFT(IFERROR(INDEX(醫師週班表!$C$5:$T$44,$CU32,H$57),""),1),""),IF(MID(IFERROR(INDEX(醫師週班表!$C$5:$T$44,$CU32,H$57),""),2,1)="(",LEFT(IFERROR(INDEX(醫師週班表!$C$5:$T$44,$CU32,H$57),""),1),IFERROR(INDEX(醫師週班表!$C$5:$T$44,$CU32,H$57),"")))))))</f>
        <v/>
      </c>
      <c r="I32" s="72">
        <f>IF(I$59="X","",IF(I$59&lt;&gt;"",I$59,IF(IFERROR(INDEX(醫師週班表!$C$5:$T$44,$CU32,I$57),"")=0,"",IF(MID(IFERROR(INDEX(醫師週班表!$C$5:$T$44,$CU32,I$57),""),2,1)="/",MID(IFERROR(INDEX(醫師週班表!$C$5:$T$44,$CU32,I$57),""),1+I$58*2,1),IF(MID(IFERROR(INDEX(醫師週班表!$C$5:$T$44,$CU32,I$57),""),3,1)="隔",IF(I$58=0,LEFT(IFERROR(INDEX(醫師週班表!$C$5:$T$44,$CU32,I$57),""),1),""),IF(MID(IFERROR(INDEX(醫師週班表!$C$5:$T$44,$CU32,I$57),""),2,1)="(",LEFT(IFERROR(INDEX(醫師週班表!$C$5:$T$44,$CU32,I$57),""),1),IFERROR(INDEX(醫師週班表!$C$5:$T$44,$CU32,I$57),"")))))))</f>
        <v/>
      </c>
      <c r="J32" s="72">
        <f>IF(J$59="X","",IF(J$59&lt;&gt;"",J$59,IF(IFERROR(INDEX(醫師週班表!$C$5:$T$44,$CU32,J$57),"")=0,"",IF(MID(IFERROR(INDEX(醫師週班表!$C$5:$T$44,$CU32,J$57),""),2,1)="/",MID(IFERROR(INDEX(醫師週班表!$C$5:$T$44,$CU32,J$57),""),1+J$58*2,1),IF(MID(IFERROR(INDEX(醫師週班表!$C$5:$T$44,$CU32,J$57),""),3,1)="隔",IF(J$58=0,LEFT(IFERROR(INDEX(醫師週班表!$C$5:$T$44,$CU32,J$57),""),1),""),IF(MID(IFERROR(INDEX(醫師週班表!$C$5:$T$44,$CU32,J$57),""),2,1)="(",LEFT(IFERROR(INDEX(醫師週班表!$C$5:$T$44,$CU32,J$57),""),1),IFERROR(INDEX(醫師週班表!$C$5:$T$44,$CU32,J$57),"")))))))</f>
        <v/>
      </c>
      <c r="K32" s="71">
        <f>IF(K$59="X","",IF(K$59&lt;&gt;"",K$59,IF(IFERROR(INDEX(醫師週班表!$C$5:$T$44,$CU32,K$57),"")=0,"",IF(MID(IFERROR(INDEX(醫師週班表!$C$5:$T$44,$CU32,K$57),""),2,1)="/",MID(IFERROR(INDEX(醫師週班表!$C$5:$T$44,$CU32,K$57),""),1+K$58*2,1),IF(MID(IFERROR(INDEX(醫師週班表!$C$5:$T$44,$CU32,K$57),""),3,1)="隔",IF(K$58=0,LEFT(IFERROR(INDEX(醫師週班表!$C$5:$T$44,$CU32,K$57),""),1),""),IF(MID(IFERROR(INDEX(醫師週班表!$C$5:$T$44,$CU32,K$57),""),2,1)="(",LEFT(IFERROR(INDEX(醫師週班表!$C$5:$T$44,$CU32,K$57),""),1),IFERROR(INDEX(醫師週班表!$C$5:$T$44,$CU32,K$57),"")))))))</f>
        <v/>
      </c>
      <c r="L32" s="72">
        <f>IF(L$59="X","",IF(L$59&lt;&gt;"",L$59,IF(IFERROR(INDEX(醫師週班表!$C$5:$T$44,$CU32,L$57),"")=0,"",IF(MID(IFERROR(INDEX(醫師週班表!$C$5:$T$44,$CU32,L$57),""),2,1)="/",MID(IFERROR(INDEX(醫師週班表!$C$5:$T$44,$CU32,L$57),""),1+L$58*2,1),IF(MID(IFERROR(INDEX(醫師週班表!$C$5:$T$44,$CU32,L$57),""),3,1)="隔",IF(L$58=0,LEFT(IFERROR(INDEX(醫師週班表!$C$5:$T$44,$CU32,L$57),""),1),""),IF(MID(IFERROR(INDEX(醫師週班表!$C$5:$T$44,$CU32,L$57),""),2,1)="(",LEFT(IFERROR(INDEX(醫師週班表!$C$5:$T$44,$CU32,L$57),""),1),IFERROR(INDEX(醫師週班表!$C$5:$T$44,$CU32,L$57),"")))))))</f>
        <v/>
      </c>
      <c r="M32" s="72">
        <f>IF(M$59="X","",IF(M$59&lt;&gt;"",M$59,IF(IFERROR(INDEX(醫師週班表!$C$5:$T$44,$CU32,M$57),"")=0,"",IF(MID(IFERROR(INDEX(醫師週班表!$C$5:$T$44,$CU32,M$57),""),2,1)="/",MID(IFERROR(INDEX(醫師週班表!$C$5:$T$44,$CU32,M$57),""),1+M$58*2,1),IF(MID(IFERROR(INDEX(醫師週班表!$C$5:$T$44,$CU32,M$57),""),3,1)="隔",IF(M$58=0,LEFT(IFERROR(INDEX(醫師週班表!$C$5:$T$44,$CU32,M$57),""),1),""),IF(MID(IFERROR(INDEX(醫師週班表!$C$5:$T$44,$CU32,M$57),""),2,1)="(",LEFT(IFERROR(INDEX(醫師週班表!$C$5:$T$44,$CU32,M$57),""),1),IFERROR(INDEX(醫師週班表!$C$5:$T$44,$CU32,M$57),"")))))))</f>
        <v/>
      </c>
      <c r="N32" s="71">
        <f>IF(N$59="X","",IF(N$59&lt;&gt;"",N$59,IF(IFERROR(INDEX(醫師週班表!$C$5:$T$44,$CU32,N$57),"")=0,"",IF(MID(IFERROR(INDEX(醫師週班表!$C$5:$T$44,$CU32,N$57),""),2,1)="/",MID(IFERROR(INDEX(醫師週班表!$C$5:$T$44,$CU32,N$57),""),1+N$58*2,1),IF(MID(IFERROR(INDEX(醫師週班表!$C$5:$T$44,$CU32,N$57),""),3,1)="隔",IF(N$58=0,LEFT(IFERROR(INDEX(醫師週班表!$C$5:$T$44,$CU32,N$57),""),1),""),IF(MID(IFERROR(INDEX(醫師週班表!$C$5:$T$44,$CU32,N$57),""),2,1)="(",LEFT(IFERROR(INDEX(醫師週班表!$C$5:$T$44,$CU32,N$57),""),1),IFERROR(INDEX(醫師週班表!$C$5:$T$44,$CU32,N$57),"")))))))</f>
        <v/>
      </c>
      <c r="O32" s="72">
        <f>IF(O$59="X","",IF(O$59&lt;&gt;"",O$59,IF(IFERROR(INDEX(醫師週班表!$C$5:$T$44,$CU32,O$57),"")=0,"",IF(MID(IFERROR(INDEX(醫師週班表!$C$5:$T$44,$CU32,O$57),""),2,1)="/",MID(IFERROR(INDEX(醫師週班表!$C$5:$T$44,$CU32,O$57),""),1+O$58*2,1),IF(MID(IFERROR(INDEX(醫師週班表!$C$5:$T$44,$CU32,O$57),""),3,1)="隔",IF(O$58=0,LEFT(IFERROR(INDEX(醫師週班表!$C$5:$T$44,$CU32,O$57),""),1),""),IF(MID(IFERROR(INDEX(醫師週班表!$C$5:$T$44,$CU32,O$57),""),2,1)="(",LEFT(IFERROR(INDEX(醫師週班表!$C$5:$T$44,$CU32,O$57),""),1),IFERROR(INDEX(醫師週班表!$C$5:$T$44,$CU32,O$57),"")))))))</f>
        <v/>
      </c>
      <c r="P32" s="72">
        <f>IF(P$59="X","",IF(P$59&lt;&gt;"",P$59,IF(IFERROR(INDEX(醫師週班表!$C$5:$T$44,$CU32,P$57),"")=0,"",IF(MID(IFERROR(INDEX(醫師週班表!$C$5:$T$44,$CU32,P$57),""),2,1)="/",MID(IFERROR(INDEX(醫師週班表!$C$5:$T$44,$CU32,P$57),""),1+P$58*2,1),IF(MID(IFERROR(INDEX(醫師週班表!$C$5:$T$44,$CU32,P$57),""),3,1)="隔",IF(P$58=0,LEFT(IFERROR(INDEX(醫師週班表!$C$5:$T$44,$CU32,P$57),""),1),""),IF(MID(IFERROR(INDEX(醫師週班表!$C$5:$T$44,$CU32,P$57),""),2,1)="(",LEFT(IFERROR(INDEX(醫師週班表!$C$5:$T$44,$CU32,P$57),""),1),IFERROR(INDEX(醫師週班表!$C$5:$T$44,$CU32,P$57),"")))))))</f>
        <v/>
      </c>
      <c r="Q32" s="71">
        <f>IF(Q$59="X","",IF(Q$59&lt;&gt;"",Q$59,IF(IFERROR(INDEX(醫師週班表!$C$5:$T$44,$CU32,Q$57),"")=0,"",IF(MID(IFERROR(INDEX(醫師週班表!$C$5:$T$44,$CU32,Q$57),""),2,1)="/",MID(IFERROR(INDEX(醫師週班表!$C$5:$T$44,$CU32,Q$57),""),1+Q$58*2,1),IF(MID(IFERROR(INDEX(醫師週班表!$C$5:$T$44,$CU32,Q$57),""),3,1)="隔",IF(Q$58=0,LEFT(IFERROR(INDEX(醫師週班表!$C$5:$T$44,$CU32,Q$57),""),1),""),IF(MID(IFERROR(INDEX(醫師週班表!$C$5:$T$44,$CU32,Q$57),""),2,1)="(",LEFT(IFERROR(INDEX(醫師週班表!$C$5:$T$44,$CU32,Q$57),""),1),IFERROR(INDEX(醫師週班表!$C$5:$T$44,$CU32,Q$57),"")))))))</f>
        <v/>
      </c>
      <c r="R32" s="72">
        <f>IF(R$59="X","",IF(R$59&lt;&gt;"",R$59,IF(IFERROR(INDEX(醫師週班表!$C$5:$T$44,$CU32,R$57),"")=0,"",IF(MID(IFERROR(INDEX(醫師週班表!$C$5:$T$44,$CU32,R$57),""),2,1)="/",MID(IFERROR(INDEX(醫師週班表!$C$5:$T$44,$CU32,R$57),""),1+R$58*2,1),IF(MID(IFERROR(INDEX(醫師週班表!$C$5:$T$44,$CU32,R$57),""),3,1)="隔",IF(R$58=0,LEFT(IFERROR(INDEX(醫師週班表!$C$5:$T$44,$CU32,R$57),""),1),""),IF(MID(IFERROR(INDEX(醫師週班表!$C$5:$T$44,$CU32,R$57),""),2,1)="(",LEFT(IFERROR(INDEX(醫師週班表!$C$5:$T$44,$CU32,R$57),""),1),IFERROR(INDEX(醫師週班表!$C$5:$T$44,$CU32,R$57),"")))))))</f>
        <v/>
      </c>
      <c r="S32" s="72">
        <f>IF(S$59="X","",IF(S$59&lt;&gt;"",S$59,IF(IFERROR(INDEX(醫師週班表!$C$5:$T$44,$CU32,S$57),"")=0,"",IF(MID(IFERROR(INDEX(醫師週班表!$C$5:$T$44,$CU32,S$57),""),2,1)="/",MID(IFERROR(INDEX(醫師週班表!$C$5:$T$44,$CU32,S$57),""),1+S$58*2,1),IF(MID(IFERROR(INDEX(醫師週班表!$C$5:$T$44,$CU32,S$57),""),3,1)="隔",IF(S$58=0,LEFT(IFERROR(INDEX(醫師週班表!$C$5:$T$44,$CU32,S$57),""),1),""),IF(MID(IFERROR(INDEX(醫師週班表!$C$5:$T$44,$CU32,S$57),""),2,1)="(",LEFT(IFERROR(INDEX(醫師週班表!$C$5:$T$44,$CU32,S$57),""),1),IFERROR(INDEX(醫師週班表!$C$5:$T$44,$CU32,S$57),"")))))))</f>
        <v/>
      </c>
      <c r="T32" s="71">
        <f>IF(T$59="X","",IF(T$59&lt;&gt;"",T$59,IF(IFERROR(INDEX(醫師週班表!$C$5:$T$44,$CU32,T$57),"")=0,"",IF(MID(IFERROR(INDEX(醫師週班表!$C$5:$T$44,$CU32,T$57),""),2,1)="/",MID(IFERROR(INDEX(醫師週班表!$C$5:$T$44,$CU32,T$57),""),1+T$58*2,1),IF(MID(IFERROR(INDEX(醫師週班表!$C$5:$T$44,$CU32,T$57),""),3,1)="隔",IF(T$58=0,LEFT(IFERROR(INDEX(醫師週班表!$C$5:$T$44,$CU32,T$57),""),1),""),IF(MID(IFERROR(INDEX(醫師週班表!$C$5:$T$44,$CU32,T$57),""),2,1)="(",LEFT(IFERROR(INDEX(醫師週班表!$C$5:$T$44,$CU32,T$57),""),1),IFERROR(INDEX(醫師週班表!$C$5:$T$44,$CU32,T$57),"")))))))</f>
        <v/>
      </c>
      <c r="U32" s="72">
        <f>IF(U$59="X","",IF(U$59&lt;&gt;"",U$59,IF(IFERROR(INDEX(醫師週班表!$C$5:$T$44,$CU32,U$57),"")=0,"",IF(MID(IFERROR(INDEX(醫師週班表!$C$5:$T$44,$CU32,U$57),""),2,1)="/",MID(IFERROR(INDEX(醫師週班表!$C$5:$T$44,$CU32,U$57),""),1+U$58*2,1),IF(MID(IFERROR(INDEX(醫師週班表!$C$5:$T$44,$CU32,U$57),""),3,1)="隔",IF(U$58=0,LEFT(IFERROR(INDEX(醫師週班表!$C$5:$T$44,$CU32,U$57),""),1),""),IF(MID(IFERROR(INDEX(醫師週班表!$C$5:$T$44,$CU32,U$57),""),2,1)="(",LEFT(IFERROR(INDEX(醫師週班表!$C$5:$T$44,$CU32,U$57),""),1),IFERROR(INDEX(醫師週班表!$C$5:$T$44,$CU32,U$57),"")))))))</f>
        <v/>
      </c>
      <c r="V32" s="72">
        <f>IF(V$59="X","",IF(V$59&lt;&gt;"",V$59,IF(IFERROR(INDEX(醫師週班表!$C$5:$T$44,$CU32,V$57),"")=0,"",IF(MID(IFERROR(INDEX(醫師週班表!$C$5:$T$44,$CU32,V$57),""),2,1)="/",MID(IFERROR(INDEX(醫師週班表!$C$5:$T$44,$CU32,V$57),""),1+V$58*2,1),IF(MID(IFERROR(INDEX(醫師週班表!$C$5:$T$44,$CU32,V$57),""),3,1)="隔",IF(V$58=0,LEFT(IFERROR(INDEX(醫師週班表!$C$5:$T$44,$CU32,V$57),""),1),""),IF(MID(IFERROR(INDEX(醫師週班表!$C$5:$T$44,$CU32,V$57),""),2,1)="(",LEFT(IFERROR(INDEX(醫師週班表!$C$5:$T$44,$CU32,V$57),""),1),IFERROR(INDEX(醫師週班表!$C$5:$T$44,$CU32,V$57),"")))))))</f>
        <v/>
      </c>
      <c r="W32" s="71">
        <f>IF(W$59="X","",IF(W$59&lt;&gt;"",W$59,IF(IFERROR(INDEX(醫師週班表!$C$5:$T$44,$CU32,W$57),"")=0,"",IF(MID(IFERROR(INDEX(醫師週班表!$C$5:$T$44,$CU32,W$57),""),2,1)="/",MID(IFERROR(INDEX(醫師週班表!$C$5:$T$44,$CU32,W$57),""),1+W$58*2,1),IF(MID(IFERROR(INDEX(醫師週班表!$C$5:$T$44,$CU32,W$57),""),3,1)="隔",IF(W$58=0,LEFT(IFERROR(INDEX(醫師週班表!$C$5:$T$44,$CU32,W$57),""),1),""),IF(MID(IFERROR(INDEX(醫師週班表!$C$5:$T$44,$CU32,W$57),""),2,1)="(",LEFT(IFERROR(INDEX(醫師週班表!$C$5:$T$44,$CU32,W$57),""),1),IFERROR(INDEX(醫師週班表!$C$5:$T$44,$CU32,W$57),"")))))))</f>
        <v/>
      </c>
      <c r="X32" s="72">
        <f>IF(X$59="X","",IF(X$59&lt;&gt;"",X$59,IF(IFERROR(INDEX(醫師週班表!$C$5:$T$44,$CU32,X$57),"")=0,"",IF(MID(IFERROR(INDEX(醫師週班表!$C$5:$T$44,$CU32,X$57),""),2,1)="/",MID(IFERROR(INDEX(醫師週班表!$C$5:$T$44,$CU32,X$57),""),1+X$58*2,1),IF(MID(IFERROR(INDEX(醫師週班表!$C$5:$T$44,$CU32,X$57),""),3,1)="隔",IF(X$58=0,LEFT(IFERROR(INDEX(醫師週班表!$C$5:$T$44,$CU32,X$57),""),1),""),IF(MID(IFERROR(INDEX(醫師週班表!$C$5:$T$44,$CU32,X$57),""),2,1)="(",LEFT(IFERROR(INDEX(醫師週班表!$C$5:$T$44,$CU32,X$57),""),1),IFERROR(INDEX(醫師週班表!$C$5:$T$44,$CU32,X$57),"")))))))</f>
        <v/>
      </c>
      <c r="Y32" s="72">
        <f>IF(Y$59="X","",IF(Y$59&lt;&gt;"",Y$59,IF(IFERROR(INDEX(醫師週班表!$C$5:$T$44,$CU32,Y$57),"")=0,"",IF(MID(IFERROR(INDEX(醫師週班表!$C$5:$T$44,$CU32,Y$57),""),2,1)="/",MID(IFERROR(INDEX(醫師週班表!$C$5:$T$44,$CU32,Y$57),""),1+Y$58*2,1),IF(MID(IFERROR(INDEX(醫師週班表!$C$5:$T$44,$CU32,Y$57),""),3,1)="隔",IF(Y$58=0,LEFT(IFERROR(INDEX(醫師週班表!$C$5:$T$44,$CU32,Y$57),""),1),""),IF(MID(IFERROR(INDEX(醫師週班表!$C$5:$T$44,$CU32,Y$57),""),2,1)="(",LEFT(IFERROR(INDEX(醫師週班表!$C$5:$T$44,$CU32,Y$57),""),1),IFERROR(INDEX(醫師週班表!$C$5:$T$44,$CU32,Y$57),"")))))))</f>
        <v/>
      </c>
      <c r="Z32" s="71">
        <f>IF(Z$59="X","",IF(Z$59&lt;&gt;"",Z$59,IF(IFERROR(INDEX(醫師週班表!$C$5:$T$44,$CU32,Z$57),"")=0,"",IF(MID(IFERROR(INDEX(醫師週班表!$C$5:$T$44,$CU32,Z$57),""),2,1)="/",MID(IFERROR(INDEX(醫師週班表!$C$5:$T$44,$CU32,Z$57),""),1+Z$58*2,1),IF(MID(IFERROR(INDEX(醫師週班表!$C$5:$T$44,$CU32,Z$57),""),3,1)="隔",IF(Z$58=0,LEFT(IFERROR(INDEX(醫師週班表!$C$5:$T$44,$CU32,Z$57),""),1),""),IF(MID(IFERROR(INDEX(醫師週班表!$C$5:$T$44,$CU32,Z$57),""),2,1)="(",LEFT(IFERROR(INDEX(醫師週班表!$C$5:$T$44,$CU32,Z$57),""),1),IFERROR(INDEX(醫師週班表!$C$5:$T$44,$CU32,Z$57),"")))))))</f>
        <v/>
      </c>
      <c r="AA32" s="72">
        <f>IF(AA$59="X","",IF(AA$59&lt;&gt;"",AA$59,IF(IFERROR(INDEX(醫師週班表!$C$5:$T$44,$CU32,AA$57),"")=0,"",IF(MID(IFERROR(INDEX(醫師週班表!$C$5:$T$44,$CU32,AA$57),""),2,1)="/",MID(IFERROR(INDEX(醫師週班表!$C$5:$T$44,$CU32,AA$57),""),1+AA$58*2,1),IF(MID(IFERROR(INDEX(醫師週班表!$C$5:$T$44,$CU32,AA$57),""),3,1)="隔",IF(AA$58=0,LEFT(IFERROR(INDEX(醫師週班表!$C$5:$T$44,$CU32,AA$57),""),1),""),IF(MID(IFERROR(INDEX(醫師週班表!$C$5:$T$44,$CU32,AA$57),""),2,1)="(",LEFT(IFERROR(INDEX(醫師週班表!$C$5:$T$44,$CU32,AA$57),""),1),IFERROR(INDEX(醫師週班表!$C$5:$T$44,$CU32,AA$57),"")))))))</f>
        <v/>
      </c>
      <c r="AB32" s="72">
        <f>IF(AB$59="X","",IF(AB$59&lt;&gt;"",AB$59,IF(IFERROR(INDEX(醫師週班表!$C$5:$T$44,$CU32,AB$57),"")=0,"",IF(MID(IFERROR(INDEX(醫師週班表!$C$5:$T$44,$CU32,AB$57),""),2,1)="/",MID(IFERROR(INDEX(醫師週班表!$C$5:$T$44,$CU32,AB$57),""),1+AB$58*2,1),IF(MID(IFERROR(INDEX(醫師週班表!$C$5:$T$44,$CU32,AB$57),""),3,1)="隔",IF(AB$58=0,LEFT(IFERROR(INDEX(醫師週班表!$C$5:$T$44,$CU32,AB$57),""),1),""),IF(MID(IFERROR(INDEX(醫師週班表!$C$5:$T$44,$CU32,AB$57),""),2,1)="(",LEFT(IFERROR(INDEX(醫師週班表!$C$5:$T$44,$CU32,AB$57),""),1),IFERROR(INDEX(醫師週班表!$C$5:$T$44,$CU32,AB$57),"")))))))</f>
        <v/>
      </c>
      <c r="AC32" s="71">
        <f>IF(AC$59="X","",IF(AC$59&lt;&gt;"",AC$59,IF(IFERROR(INDEX(醫師週班表!$C$5:$T$44,$CU32,AC$57),"")=0,"",IF(MID(IFERROR(INDEX(醫師週班表!$C$5:$T$44,$CU32,AC$57),""),2,1)="/",MID(IFERROR(INDEX(醫師週班表!$C$5:$T$44,$CU32,AC$57),""),1+AC$58*2,1),IF(MID(IFERROR(INDEX(醫師週班表!$C$5:$T$44,$CU32,AC$57),""),3,1)="隔",IF(AC$58=0,LEFT(IFERROR(INDEX(醫師週班表!$C$5:$T$44,$CU32,AC$57),""),1),""),IF(MID(IFERROR(INDEX(醫師週班表!$C$5:$T$44,$CU32,AC$57),""),2,1)="(",LEFT(IFERROR(INDEX(醫師週班表!$C$5:$T$44,$CU32,AC$57),""),1),IFERROR(INDEX(醫師週班表!$C$5:$T$44,$CU32,AC$57),"")))))))</f>
        <v/>
      </c>
      <c r="AD32" s="72">
        <f>IF(AD$59="X","",IF(AD$59&lt;&gt;"",AD$59,IF(IFERROR(INDEX(醫師週班表!$C$5:$T$44,$CU32,AD$57),"")=0,"",IF(MID(IFERROR(INDEX(醫師週班表!$C$5:$T$44,$CU32,AD$57),""),2,1)="/",MID(IFERROR(INDEX(醫師週班表!$C$5:$T$44,$CU32,AD$57),""),1+AD$58*2,1),IF(MID(IFERROR(INDEX(醫師週班表!$C$5:$T$44,$CU32,AD$57),""),3,1)="隔",IF(AD$58=0,LEFT(IFERROR(INDEX(醫師週班表!$C$5:$T$44,$CU32,AD$57),""),1),""),IF(MID(IFERROR(INDEX(醫師週班表!$C$5:$T$44,$CU32,AD$57),""),2,1)="(",LEFT(IFERROR(INDEX(醫師週班表!$C$5:$T$44,$CU32,AD$57),""),1),IFERROR(INDEX(醫師週班表!$C$5:$T$44,$CU32,AD$57),"")))))))</f>
        <v/>
      </c>
      <c r="AE32" s="72">
        <f>IF(AE$59="X","",IF(AE$59&lt;&gt;"",AE$59,IF(IFERROR(INDEX(醫師週班表!$C$5:$T$44,$CU32,AE$57),"")=0,"",IF(MID(IFERROR(INDEX(醫師週班表!$C$5:$T$44,$CU32,AE$57),""),2,1)="/",MID(IFERROR(INDEX(醫師週班表!$C$5:$T$44,$CU32,AE$57),""),1+AE$58*2,1),IF(MID(IFERROR(INDEX(醫師週班表!$C$5:$T$44,$CU32,AE$57),""),3,1)="隔",IF(AE$58=0,LEFT(IFERROR(INDEX(醫師週班表!$C$5:$T$44,$CU32,AE$57),""),1),""),IF(MID(IFERROR(INDEX(醫師週班表!$C$5:$T$44,$CU32,AE$57),""),2,1)="(",LEFT(IFERROR(INDEX(醫師週班表!$C$5:$T$44,$CU32,AE$57),""),1),IFERROR(INDEX(醫師週班表!$C$5:$T$44,$CU32,AE$57),"")))))))</f>
        <v/>
      </c>
      <c r="AF32" s="71">
        <f>IF(AF$59="X","",IF(AF$59&lt;&gt;"",AF$59,IF(IFERROR(INDEX(醫師週班表!$C$5:$T$44,$CU32,AF$57),"")=0,"",IF(MID(IFERROR(INDEX(醫師週班表!$C$5:$T$44,$CU32,AF$57),""),2,1)="/",MID(IFERROR(INDEX(醫師週班表!$C$5:$T$44,$CU32,AF$57),""),1+AF$58*2,1),IF(MID(IFERROR(INDEX(醫師週班表!$C$5:$T$44,$CU32,AF$57),""),3,1)="隔",IF(AF$58=0,LEFT(IFERROR(INDEX(醫師週班表!$C$5:$T$44,$CU32,AF$57),""),1),""),IF(MID(IFERROR(INDEX(醫師週班表!$C$5:$T$44,$CU32,AF$57),""),2,1)="(",LEFT(IFERROR(INDEX(醫師週班表!$C$5:$T$44,$CU32,AF$57),""),1),IFERROR(INDEX(醫師週班表!$C$5:$T$44,$CU32,AF$57),"")))))))</f>
        <v/>
      </c>
      <c r="AG32" s="72">
        <f>IF(AG$59="X","",IF(AG$59&lt;&gt;"",AG$59,IF(IFERROR(INDEX(醫師週班表!$C$5:$T$44,$CU32,AG$57),"")=0,"",IF(MID(IFERROR(INDEX(醫師週班表!$C$5:$T$44,$CU32,AG$57),""),2,1)="/",MID(IFERROR(INDEX(醫師週班表!$C$5:$T$44,$CU32,AG$57),""),1+AG$58*2,1),IF(MID(IFERROR(INDEX(醫師週班表!$C$5:$T$44,$CU32,AG$57),""),3,1)="隔",IF(AG$58=0,LEFT(IFERROR(INDEX(醫師週班表!$C$5:$T$44,$CU32,AG$57),""),1),""),IF(MID(IFERROR(INDEX(醫師週班表!$C$5:$T$44,$CU32,AG$57),""),2,1)="(",LEFT(IFERROR(INDEX(醫師週班表!$C$5:$T$44,$CU32,AG$57),""),1),IFERROR(INDEX(醫師週班表!$C$5:$T$44,$CU32,AG$57),"")))))))</f>
        <v/>
      </c>
      <c r="AH32" s="72">
        <f>IF(AH$59="X","",IF(AH$59&lt;&gt;"",AH$59,IF(IFERROR(INDEX(醫師週班表!$C$5:$T$44,$CU32,AH$57),"")=0,"",IF(MID(IFERROR(INDEX(醫師週班表!$C$5:$T$44,$CU32,AH$57),""),2,1)="/",MID(IFERROR(INDEX(醫師週班表!$C$5:$T$44,$CU32,AH$57),""),1+AH$58*2,1),IF(MID(IFERROR(INDEX(醫師週班表!$C$5:$T$44,$CU32,AH$57),""),3,1)="隔",IF(AH$58=0,LEFT(IFERROR(INDEX(醫師週班表!$C$5:$T$44,$CU32,AH$57),""),1),""),IF(MID(IFERROR(INDEX(醫師週班表!$C$5:$T$44,$CU32,AH$57),""),2,1)="(",LEFT(IFERROR(INDEX(醫師週班表!$C$5:$T$44,$CU32,AH$57),""),1),IFERROR(INDEX(醫師週班表!$C$5:$T$44,$CU32,AH$57),"")))))))</f>
        <v/>
      </c>
      <c r="AI32" s="71">
        <f>IF(AI$59="X","",IF(AI$59&lt;&gt;"",AI$59,IF(IFERROR(INDEX(醫師週班表!$C$5:$T$44,$CU32,AI$57),"")=0,"",IF(MID(IFERROR(INDEX(醫師週班表!$C$5:$T$44,$CU32,AI$57),""),2,1)="/",MID(IFERROR(INDEX(醫師週班表!$C$5:$T$44,$CU32,AI$57),""),1+AI$58*2,1),IF(MID(IFERROR(INDEX(醫師週班表!$C$5:$T$44,$CU32,AI$57),""),3,1)="隔",IF(AI$58=0,LEFT(IFERROR(INDEX(醫師週班表!$C$5:$T$44,$CU32,AI$57),""),1),""),IF(MID(IFERROR(INDEX(醫師週班表!$C$5:$T$44,$CU32,AI$57),""),2,1)="(",LEFT(IFERROR(INDEX(醫師週班表!$C$5:$T$44,$CU32,AI$57),""),1),IFERROR(INDEX(醫師週班表!$C$5:$T$44,$CU32,AI$57),"")))))))</f>
        <v/>
      </c>
      <c r="AJ32" s="72">
        <f>IF(AJ$59="X","",IF(AJ$59&lt;&gt;"",AJ$59,IF(IFERROR(INDEX(醫師週班表!$C$5:$T$44,$CU32,AJ$57),"")=0,"",IF(MID(IFERROR(INDEX(醫師週班表!$C$5:$T$44,$CU32,AJ$57),""),2,1)="/",MID(IFERROR(INDEX(醫師週班表!$C$5:$T$44,$CU32,AJ$57),""),1+AJ$58*2,1),IF(MID(IFERROR(INDEX(醫師週班表!$C$5:$T$44,$CU32,AJ$57),""),3,1)="隔",IF(AJ$58=0,LEFT(IFERROR(INDEX(醫師週班表!$C$5:$T$44,$CU32,AJ$57),""),1),""),IF(MID(IFERROR(INDEX(醫師週班表!$C$5:$T$44,$CU32,AJ$57),""),2,1)="(",LEFT(IFERROR(INDEX(醫師週班表!$C$5:$T$44,$CU32,AJ$57),""),1),IFERROR(INDEX(醫師週班表!$C$5:$T$44,$CU32,AJ$57),"")))))))</f>
        <v/>
      </c>
      <c r="AK32" s="72">
        <f>IF(AK$59="X","",IF(AK$59&lt;&gt;"",AK$59,IF(IFERROR(INDEX(醫師週班表!$C$5:$T$44,$CU32,AK$57),"")=0,"",IF(MID(IFERROR(INDEX(醫師週班表!$C$5:$T$44,$CU32,AK$57),""),2,1)="/",MID(IFERROR(INDEX(醫師週班表!$C$5:$T$44,$CU32,AK$57),""),1+AK$58*2,1),IF(MID(IFERROR(INDEX(醫師週班表!$C$5:$T$44,$CU32,AK$57),""),3,1)="隔",IF(AK$58=0,LEFT(IFERROR(INDEX(醫師週班表!$C$5:$T$44,$CU32,AK$57),""),1),""),IF(MID(IFERROR(INDEX(醫師週班表!$C$5:$T$44,$CU32,AK$57),""),2,1)="(",LEFT(IFERROR(INDEX(醫師週班表!$C$5:$T$44,$CU32,AK$57),""),1),IFERROR(INDEX(醫師週班表!$C$5:$T$44,$CU32,AK$57),"")))))))</f>
        <v/>
      </c>
      <c r="AL32" s="71">
        <f>IF(AL$59="X","",IF(AL$59&lt;&gt;"",AL$59,IF(IFERROR(INDEX(醫師週班表!$C$5:$T$44,$CU32,AL$57),"")=0,"",IF(MID(IFERROR(INDEX(醫師週班表!$C$5:$T$44,$CU32,AL$57),""),2,1)="/",MID(IFERROR(INDEX(醫師週班表!$C$5:$T$44,$CU32,AL$57),""),1+AL$58*2,1),IF(MID(IFERROR(INDEX(醫師週班表!$C$5:$T$44,$CU32,AL$57),""),3,1)="隔",IF(AL$58=0,LEFT(IFERROR(INDEX(醫師週班表!$C$5:$T$44,$CU32,AL$57),""),1),""),IF(MID(IFERROR(INDEX(醫師週班表!$C$5:$T$44,$CU32,AL$57),""),2,1)="(",LEFT(IFERROR(INDEX(醫師週班表!$C$5:$T$44,$CU32,AL$57),""),1),IFERROR(INDEX(醫師週班表!$C$5:$T$44,$CU32,AL$57),"")))))))</f>
        <v/>
      </c>
      <c r="AM32" s="72">
        <f>IF(AM$59="X","",IF(AM$59&lt;&gt;"",AM$59,IF(IFERROR(INDEX(醫師週班表!$C$5:$T$44,$CU32,AM$57),"")=0,"",IF(MID(IFERROR(INDEX(醫師週班表!$C$5:$T$44,$CU32,AM$57),""),2,1)="/",MID(IFERROR(INDEX(醫師週班表!$C$5:$T$44,$CU32,AM$57),""),1+AM$58*2,1),IF(MID(IFERROR(INDEX(醫師週班表!$C$5:$T$44,$CU32,AM$57),""),3,1)="隔",IF(AM$58=0,LEFT(IFERROR(INDEX(醫師週班表!$C$5:$T$44,$CU32,AM$57),""),1),""),IF(MID(IFERROR(INDEX(醫師週班表!$C$5:$T$44,$CU32,AM$57),""),2,1)="(",LEFT(IFERROR(INDEX(醫師週班表!$C$5:$T$44,$CU32,AM$57),""),1),IFERROR(INDEX(醫師週班表!$C$5:$T$44,$CU32,AM$57),"")))))))</f>
        <v/>
      </c>
      <c r="AN32" s="72">
        <f>IF(AN$59="X","",IF(AN$59&lt;&gt;"",AN$59,IF(IFERROR(INDEX(醫師週班表!$C$5:$T$44,$CU32,AN$57),"")=0,"",IF(MID(IFERROR(INDEX(醫師週班表!$C$5:$T$44,$CU32,AN$57),""),2,1)="/",MID(IFERROR(INDEX(醫師週班表!$C$5:$T$44,$CU32,AN$57),""),1+AN$58*2,1),IF(MID(IFERROR(INDEX(醫師週班表!$C$5:$T$44,$CU32,AN$57),""),3,1)="隔",IF(AN$58=0,LEFT(IFERROR(INDEX(醫師週班表!$C$5:$T$44,$CU32,AN$57),""),1),""),IF(MID(IFERROR(INDEX(醫師週班表!$C$5:$T$44,$CU32,AN$57),""),2,1)="(",LEFT(IFERROR(INDEX(醫師週班表!$C$5:$T$44,$CU32,AN$57),""),1),IFERROR(INDEX(醫師週班表!$C$5:$T$44,$CU32,AN$57),"")))))))</f>
        <v/>
      </c>
      <c r="AO32" s="71">
        <f>IF(AO$59="X","",IF(AO$59&lt;&gt;"",AO$59,IF(IFERROR(INDEX(醫師週班表!$C$5:$T$44,$CU32,AO$57),"")=0,"",IF(MID(IFERROR(INDEX(醫師週班表!$C$5:$T$44,$CU32,AO$57),""),2,1)="/",MID(IFERROR(INDEX(醫師週班表!$C$5:$T$44,$CU32,AO$57),""),1+AO$58*2,1),IF(MID(IFERROR(INDEX(醫師週班表!$C$5:$T$44,$CU32,AO$57),""),3,1)="隔",IF(AO$58=0,LEFT(IFERROR(INDEX(醫師週班表!$C$5:$T$44,$CU32,AO$57),""),1),""),IF(MID(IFERROR(INDEX(醫師週班表!$C$5:$T$44,$CU32,AO$57),""),2,1)="(",LEFT(IFERROR(INDEX(醫師週班表!$C$5:$T$44,$CU32,AO$57),""),1),IFERROR(INDEX(醫師週班表!$C$5:$T$44,$CU32,AO$57),"")))))))</f>
        <v/>
      </c>
      <c r="AP32" s="72">
        <f>IF(AP$59="X","",IF(AP$59&lt;&gt;"",AP$59,IF(IFERROR(INDEX(醫師週班表!$C$5:$T$44,$CU32,AP$57),"")=0,"",IF(MID(IFERROR(INDEX(醫師週班表!$C$5:$T$44,$CU32,AP$57),""),2,1)="/",MID(IFERROR(INDEX(醫師週班表!$C$5:$T$44,$CU32,AP$57),""),1+AP$58*2,1),IF(MID(IFERROR(INDEX(醫師週班表!$C$5:$T$44,$CU32,AP$57),""),3,1)="隔",IF(AP$58=0,LEFT(IFERROR(INDEX(醫師週班表!$C$5:$T$44,$CU32,AP$57),""),1),""),IF(MID(IFERROR(INDEX(醫師週班表!$C$5:$T$44,$CU32,AP$57),""),2,1)="(",LEFT(IFERROR(INDEX(醫師週班表!$C$5:$T$44,$CU32,AP$57),""),1),IFERROR(INDEX(醫師週班表!$C$5:$T$44,$CU32,AP$57),"")))))))</f>
        <v/>
      </c>
      <c r="AQ32" s="72">
        <f>IF(AQ$59="X","",IF(AQ$59&lt;&gt;"",AQ$59,IF(IFERROR(INDEX(醫師週班表!$C$5:$T$44,$CU32,AQ$57),"")=0,"",IF(MID(IFERROR(INDEX(醫師週班表!$C$5:$T$44,$CU32,AQ$57),""),2,1)="/",MID(IFERROR(INDEX(醫師週班表!$C$5:$T$44,$CU32,AQ$57),""),1+AQ$58*2,1),IF(MID(IFERROR(INDEX(醫師週班表!$C$5:$T$44,$CU32,AQ$57),""),3,1)="隔",IF(AQ$58=0,LEFT(IFERROR(INDEX(醫師週班表!$C$5:$T$44,$CU32,AQ$57),""),1),""),IF(MID(IFERROR(INDEX(醫師週班表!$C$5:$T$44,$CU32,AQ$57),""),2,1)="(",LEFT(IFERROR(INDEX(醫師週班表!$C$5:$T$44,$CU32,AQ$57),""),1),IFERROR(INDEX(醫師週班表!$C$5:$T$44,$CU32,AQ$57),"")))))))</f>
        <v/>
      </c>
      <c r="AR32" s="71">
        <f>IF(AR$59="X","",IF(AR$59&lt;&gt;"",AR$59,IF(IFERROR(INDEX(醫師週班表!$C$5:$T$44,$CU32,AR$57),"")=0,"",IF(MID(IFERROR(INDEX(醫師週班表!$C$5:$T$44,$CU32,AR$57),""),2,1)="/",MID(IFERROR(INDEX(醫師週班表!$C$5:$T$44,$CU32,AR$57),""),1+AR$58*2,1),IF(MID(IFERROR(INDEX(醫師週班表!$C$5:$T$44,$CU32,AR$57),""),3,1)="隔",IF(AR$58=0,LEFT(IFERROR(INDEX(醫師週班表!$C$5:$T$44,$CU32,AR$57),""),1),""),IF(MID(IFERROR(INDEX(醫師週班表!$C$5:$T$44,$CU32,AR$57),""),2,1)="(",LEFT(IFERROR(INDEX(醫師週班表!$C$5:$T$44,$CU32,AR$57),""),1),IFERROR(INDEX(醫師週班表!$C$5:$T$44,$CU32,AR$57),"")))))))</f>
        <v/>
      </c>
      <c r="AS32" s="72">
        <f>IF(AS$59="X","",IF(AS$59&lt;&gt;"",AS$59,IF(IFERROR(INDEX(醫師週班表!$C$5:$T$44,$CU32,AS$57),"")=0,"",IF(MID(IFERROR(INDEX(醫師週班表!$C$5:$T$44,$CU32,AS$57),""),2,1)="/",MID(IFERROR(INDEX(醫師週班表!$C$5:$T$44,$CU32,AS$57),""),1+AS$58*2,1),IF(MID(IFERROR(INDEX(醫師週班表!$C$5:$T$44,$CU32,AS$57),""),3,1)="隔",IF(AS$58=0,LEFT(IFERROR(INDEX(醫師週班表!$C$5:$T$44,$CU32,AS$57),""),1),""),IF(MID(IFERROR(INDEX(醫師週班表!$C$5:$T$44,$CU32,AS$57),""),2,1)="(",LEFT(IFERROR(INDEX(醫師週班表!$C$5:$T$44,$CU32,AS$57),""),1),IFERROR(INDEX(醫師週班表!$C$5:$T$44,$CU32,AS$57),"")))))))</f>
        <v/>
      </c>
      <c r="AT32" s="72">
        <f>IF(AT$59="X","",IF(AT$59&lt;&gt;"",AT$59,IF(IFERROR(INDEX(醫師週班表!$C$5:$T$44,$CU32,AT$57),"")=0,"",IF(MID(IFERROR(INDEX(醫師週班表!$C$5:$T$44,$CU32,AT$57),""),2,1)="/",MID(IFERROR(INDEX(醫師週班表!$C$5:$T$44,$CU32,AT$57),""),1+AT$58*2,1),IF(MID(IFERROR(INDEX(醫師週班表!$C$5:$T$44,$CU32,AT$57),""),3,1)="隔",IF(AT$58=0,LEFT(IFERROR(INDEX(醫師週班表!$C$5:$T$44,$CU32,AT$57),""),1),""),IF(MID(IFERROR(INDEX(醫師週班表!$C$5:$T$44,$CU32,AT$57),""),2,1)="(",LEFT(IFERROR(INDEX(醫師週班表!$C$5:$T$44,$CU32,AT$57),""),1),IFERROR(INDEX(醫師週班表!$C$5:$T$44,$CU32,AT$57),"")))))))</f>
        <v/>
      </c>
      <c r="AU32" s="71">
        <f>IF(AU$59="X","",IF(AU$59&lt;&gt;"",AU$59,IF(IFERROR(INDEX(醫師週班表!$C$5:$T$44,$CU32,AU$57),"")=0,"",IF(MID(IFERROR(INDEX(醫師週班表!$C$5:$T$44,$CU32,AU$57),""),2,1)="/",MID(IFERROR(INDEX(醫師週班表!$C$5:$T$44,$CU32,AU$57),""),1+AU$58*2,1),IF(MID(IFERROR(INDEX(醫師週班表!$C$5:$T$44,$CU32,AU$57),""),3,1)="隔",IF(AU$58=0,LEFT(IFERROR(INDEX(醫師週班表!$C$5:$T$44,$CU32,AU$57),""),1),""),IF(MID(IFERROR(INDEX(醫師週班表!$C$5:$T$44,$CU32,AU$57),""),2,1)="(",LEFT(IFERROR(INDEX(醫師週班表!$C$5:$T$44,$CU32,AU$57),""),1),IFERROR(INDEX(醫師週班表!$C$5:$T$44,$CU32,AU$57),"")))))))</f>
        <v/>
      </c>
      <c r="AV32" s="72">
        <f>IF(AV$59="X","",IF(AV$59&lt;&gt;"",AV$59,IF(IFERROR(INDEX(醫師週班表!$C$5:$T$44,$CU32,AV$57),"")=0,"",IF(MID(IFERROR(INDEX(醫師週班表!$C$5:$T$44,$CU32,AV$57),""),2,1)="/",MID(IFERROR(INDEX(醫師週班表!$C$5:$T$44,$CU32,AV$57),""),1+AV$58*2,1),IF(MID(IFERROR(INDEX(醫師週班表!$C$5:$T$44,$CU32,AV$57),""),3,1)="隔",IF(AV$58=0,LEFT(IFERROR(INDEX(醫師週班表!$C$5:$T$44,$CU32,AV$57),""),1),""),IF(MID(IFERROR(INDEX(醫師週班表!$C$5:$T$44,$CU32,AV$57),""),2,1)="(",LEFT(IFERROR(INDEX(醫師週班表!$C$5:$T$44,$CU32,AV$57),""),1),IFERROR(INDEX(醫師週班表!$C$5:$T$44,$CU32,AV$57),"")))))))</f>
        <v/>
      </c>
      <c r="AW32" s="72">
        <f>IF(AW$59="X","",IF(AW$59&lt;&gt;"",AW$59,IF(IFERROR(INDEX(醫師週班表!$C$5:$T$44,$CU32,AW$57),"")=0,"",IF(MID(IFERROR(INDEX(醫師週班表!$C$5:$T$44,$CU32,AW$57),""),2,1)="/",MID(IFERROR(INDEX(醫師週班表!$C$5:$T$44,$CU32,AW$57),""),1+AW$58*2,1),IF(MID(IFERROR(INDEX(醫師週班表!$C$5:$T$44,$CU32,AW$57),""),3,1)="隔",IF(AW$58=0,LEFT(IFERROR(INDEX(醫師週班表!$C$5:$T$44,$CU32,AW$57),""),1),""),IF(MID(IFERROR(INDEX(醫師週班表!$C$5:$T$44,$CU32,AW$57),""),2,1)="(",LEFT(IFERROR(INDEX(醫師週班表!$C$5:$T$44,$CU32,AW$57),""),1),IFERROR(INDEX(醫師週班表!$C$5:$T$44,$CU32,AW$57),"")))))))</f>
        <v/>
      </c>
      <c r="AX32" s="71">
        <f>IF(AX$59="X","",IF(AX$59&lt;&gt;"",AX$59,IF(IFERROR(INDEX(醫師週班表!$C$5:$T$44,$CU32,AX$57),"")=0,"",IF(MID(IFERROR(INDEX(醫師週班表!$C$5:$T$44,$CU32,AX$57),""),2,1)="/",MID(IFERROR(INDEX(醫師週班表!$C$5:$T$44,$CU32,AX$57),""),1+AX$58*2,1),IF(MID(IFERROR(INDEX(醫師週班表!$C$5:$T$44,$CU32,AX$57),""),3,1)="隔",IF(AX$58=0,LEFT(IFERROR(INDEX(醫師週班表!$C$5:$T$44,$CU32,AX$57),""),1),""),IF(MID(IFERROR(INDEX(醫師週班表!$C$5:$T$44,$CU32,AX$57),""),2,1)="(",LEFT(IFERROR(INDEX(醫師週班表!$C$5:$T$44,$CU32,AX$57),""),1),IFERROR(INDEX(醫師週班表!$C$5:$T$44,$CU32,AX$57),"")))))))</f>
        <v/>
      </c>
      <c r="AY32" s="72">
        <f>IF(AY$59="X","",IF(AY$59&lt;&gt;"",AY$59,IF(IFERROR(INDEX(醫師週班表!$C$5:$T$44,$CU32,AY$57),"")=0,"",IF(MID(IFERROR(INDEX(醫師週班表!$C$5:$T$44,$CU32,AY$57),""),2,1)="/",MID(IFERROR(INDEX(醫師週班表!$C$5:$T$44,$CU32,AY$57),""),1+AY$58*2,1),IF(MID(IFERROR(INDEX(醫師週班表!$C$5:$T$44,$CU32,AY$57),""),3,1)="隔",IF(AY$58=0,LEFT(IFERROR(INDEX(醫師週班表!$C$5:$T$44,$CU32,AY$57),""),1),""),IF(MID(IFERROR(INDEX(醫師週班表!$C$5:$T$44,$CU32,AY$57),""),2,1)="(",LEFT(IFERROR(INDEX(醫師週班表!$C$5:$T$44,$CU32,AY$57),""),1),IFERROR(INDEX(醫師週班表!$C$5:$T$44,$CU32,AY$57),"")))))))</f>
        <v/>
      </c>
      <c r="AZ32" s="72">
        <f>IF(AZ$59="X","",IF(AZ$59&lt;&gt;"",AZ$59,IF(IFERROR(INDEX(醫師週班表!$C$5:$T$44,$CU32,AZ$57),"")=0,"",IF(MID(IFERROR(INDEX(醫師週班表!$C$5:$T$44,$CU32,AZ$57),""),2,1)="/",MID(IFERROR(INDEX(醫師週班表!$C$5:$T$44,$CU32,AZ$57),""),1+AZ$58*2,1),IF(MID(IFERROR(INDEX(醫師週班表!$C$5:$T$44,$CU32,AZ$57),""),3,1)="隔",IF(AZ$58=0,LEFT(IFERROR(INDEX(醫師週班表!$C$5:$T$44,$CU32,AZ$57),""),1),""),IF(MID(IFERROR(INDEX(醫師週班表!$C$5:$T$44,$CU32,AZ$57),""),2,1)="(",LEFT(IFERROR(INDEX(醫師週班表!$C$5:$T$44,$CU32,AZ$57),""),1),IFERROR(INDEX(醫師週班表!$C$5:$T$44,$CU32,AZ$57),"")))))))</f>
        <v/>
      </c>
      <c r="BA32" s="71">
        <f>IF(BA$59="X","",IF(BA$59&lt;&gt;"",BA$59,IF(IFERROR(INDEX(醫師週班表!$C$5:$T$44,$CU32,BA$57),"")=0,"",IF(MID(IFERROR(INDEX(醫師週班表!$C$5:$T$44,$CU32,BA$57),""),2,1)="/",MID(IFERROR(INDEX(醫師週班表!$C$5:$T$44,$CU32,BA$57),""),1+BA$58*2,1),IF(MID(IFERROR(INDEX(醫師週班表!$C$5:$T$44,$CU32,BA$57),""),3,1)="隔",IF(BA$58=0,LEFT(IFERROR(INDEX(醫師週班表!$C$5:$T$44,$CU32,BA$57),""),1),""),IF(MID(IFERROR(INDEX(醫師週班表!$C$5:$T$44,$CU32,BA$57),""),2,1)="(",LEFT(IFERROR(INDEX(醫師週班表!$C$5:$T$44,$CU32,BA$57),""),1),IFERROR(INDEX(醫師週班表!$C$5:$T$44,$CU32,BA$57),"")))))))</f>
        <v/>
      </c>
      <c r="BB32" s="72">
        <f>IF(BB$59="X","",IF(BB$59&lt;&gt;"",BB$59,IF(IFERROR(INDEX(醫師週班表!$C$5:$T$44,$CU32,BB$57),"")=0,"",IF(MID(IFERROR(INDEX(醫師週班表!$C$5:$T$44,$CU32,BB$57),""),2,1)="/",MID(IFERROR(INDEX(醫師週班表!$C$5:$T$44,$CU32,BB$57),""),1+BB$58*2,1),IF(MID(IFERROR(INDEX(醫師週班表!$C$5:$T$44,$CU32,BB$57),""),3,1)="隔",IF(BB$58=0,LEFT(IFERROR(INDEX(醫師週班表!$C$5:$T$44,$CU32,BB$57),""),1),""),IF(MID(IFERROR(INDEX(醫師週班表!$C$5:$T$44,$CU32,BB$57),""),2,1)="(",LEFT(IFERROR(INDEX(醫師週班表!$C$5:$T$44,$CU32,BB$57),""),1),IFERROR(INDEX(醫師週班表!$C$5:$T$44,$CU32,BB$57),"")))))))</f>
        <v/>
      </c>
      <c r="BC32" s="72">
        <f>IF(BC$59="X","",IF(BC$59&lt;&gt;"",BC$59,IF(IFERROR(INDEX(醫師週班表!$C$5:$T$44,$CU32,BC$57),"")=0,"",IF(MID(IFERROR(INDEX(醫師週班表!$C$5:$T$44,$CU32,BC$57),""),2,1)="/",MID(IFERROR(INDEX(醫師週班表!$C$5:$T$44,$CU32,BC$57),""),1+BC$58*2,1),IF(MID(IFERROR(INDEX(醫師週班表!$C$5:$T$44,$CU32,BC$57),""),3,1)="隔",IF(BC$58=0,LEFT(IFERROR(INDEX(醫師週班表!$C$5:$T$44,$CU32,BC$57),""),1),""),IF(MID(IFERROR(INDEX(醫師週班表!$C$5:$T$44,$CU32,BC$57),""),2,1)="(",LEFT(IFERROR(INDEX(醫師週班表!$C$5:$T$44,$CU32,BC$57),""),1),IFERROR(INDEX(醫師週班表!$C$5:$T$44,$CU32,BC$57),"")))))))</f>
        <v/>
      </c>
      <c r="BD32" s="71">
        <f>IF(BD$59="X","",IF(BD$59&lt;&gt;"",BD$59,IF(IFERROR(INDEX(醫師週班表!$C$5:$T$44,$CU32,BD$57),"")=0,"",IF(MID(IFERROR(INDEX(醫師週班表!$C$5:$T$44,$CU32,BD$57),""),2,1)="/",MID(IFERROR(INDEX(醫師週班表!$C$5:$T$44,$CU32,BD$57),""),1+BD$58*2,1),IF(MID(IFERROR(INDEX(醫師週班表!$C$5:$T$44,$CU32,BD$57),""),3,1)="隔",IF(BD$58=0,LEFT(IFERROR(INDEX(醫師週班表!$C$5:$T$44,$CU32,BD$57),""),1),""),IF(MID(IFERROR(INDEX(醫師週班表!$C$5:$T$44,$CU32,BD$57),""),2,1)="(",LEFT(IFERROR(INDEX(醫師週班表!$C$5:$T$44,$CU32,BD$57),""),1),IFERROR(INDEX(醫師週班表!$C$5:$T$44,$CU32,BD$57),"")))))))</f>
        <v/>
      </c>
      <c r="BE32" s="72">
        <f>IF(BE$59="X","",IF(BE$59&lt;&gt;"",BE$59,IF(IFERROR(INDEX(醫師週班表!$C$5:$T$44,$CU32,BE$57),"")=0,"",IF(MID(IFERROR(INDEX(醫師週班表!$C$5:$T$44,$CU32,BE$57),""),2,1)="/",MID(IFERROR(INDEX(醫師週班表!$C$5:$T$44,$CU32,BE$57),""),1+BE$58*2,1),IF(MID(IFERROR(INDEX(醫師週班表!$C$5:$T$44,$CU32,BE$57),""),3,1)="隔",IF(BE$58=0,LEFT(IFERROR(INDEX(醫師週班表!$C$5:$T$44,$CU32,BE$57),""),1),""),IF(MID(IFERROR(INDEX(醫師週班表!$C$5:$T$44,$CU32,BE$57),""),2,1)="(",LEFT(IFERROR(INDEX(醫師週班表!$C$5:$T$44,$CU32,BE$57),""),1),IFERROR(INDEX(醫師週班表!$C$5:$T$44,$CU32,BE$57),"")))))))</f>
        <v/>
      </c>
      <c r="BF32" s="72">
        <f>IF(BF$59="X","",IF(BF$59&lt;&gt;"",BF$59,IF(IFERROR(INDEX(醫師週班表!$C$5:$T$44,$CU32,BF$57),"")=0,"",IF(MID(IFERROR(INDEX(醫師週班表!$C$5:$T$44,$CU32,BF$57),""),2,1)="/",MID(IFERROR(INDEX(醫師週班表!$C$5:$T$44,$CU32,BF$57),""),1+BF$58*2,1),IF(MID(IFERROR(INDEX(醫師週班表!$C$5:$T$44,$CU32,BF$57),""),3,1)="隔",IF(BF$58=0,LEFT(IFERROR(INDEX(醫師週班表!$C$5:$T$44,$CU32,BF$57),""),1),""),IF(MID(IFERROR(INDEX(醫師週班表!$C$5:$T$44,$CU32,BF$57),""),2,1)="(",LEFT(IFERROR(INDEX(醫師週班表!$C$5:$T$44,$CU32,BF$57),""),1),IFERROR(INDEX(醫師週班表!$C$5:$T$44,$CU32,BF$57),"")))))))</f>
        <v/>
      </c>
      <c r="BG32" s="71">
        <f>IF(BG$59="X","",IF(BG$59&lt;&gt;"",BG$59,IF(IFERROR(INDEX(醫師週班表!$C$5:$T$44,$CU32,BG$57),"")=0,"",IF(MID(IFERROR(INDEX(醫師週班表!$C$5:$T$44,$CU32,BG$57),""),2,1)="/",MID(IFERROR(INDEX(醫師週班表!$C$5:$T$44,$CU32,BG$57),""),1+BG$58*2,1),IF(MID(IFERROR(INDEX(醫師週班表!$C$5:$T$44,$CU32,BG$57),""),3,1)="隔",IF(BG$58=0,LEFT(IFERROR(INDEX(醫師週班表!$C$5:$T$44,$CU32,BG$57),""),1),""),IF(MID(IFERROR(INDEX(醫師週班表!$C$5:$T$44,$CU32,BG$57),""),2,1)="(",LEFT(IFERROR(INDEX(醫師週班表!$C$5:$T$44,$CU32,BG$57),""),1),IFERROR(INDEX(醫師週班表!$C$5:$T$44,$CU32,BG$57),"")))))))</f>
        <v/>
      </c>
      <c r="BH32" s="72">
        <f>IF(BH$59="X","",IF(BH$59&lt;&gt;"",BH$59,IF(IFERROR(INDEX(醫師週班表!$C$5:$T$44,$CU32,BH$57),"")=0,"",IF(MID(IFERROR(INDEX(醫師週班表!$C$5:$T$44,$CU32,BH$57),""),2,1)="/",MID(IFERROR(INDEX(醫師週班表!$C$5:$T$44,$CU32,BH$57),""),1+BH$58*2,1),IF(MID(IFERROR(INDEX(醫師週班表!$C$5:$T$44,$CU32,BH$57),""),3,1)="隔",IF(BH$58=0,LEFT(IFERROR(INDEX(醫師週班表!$C$5:$T$44,$CU32,BH$57),""),1),""),IF(MID(IFERROR(INDEX(醫師週班表!$C$5:$T$44,$CU32,BH$57),""),2,1)="(",LEFT(IFERROR(INDEX(醫師週班表!$C$5:$T$44,$CU32,BH$57),""),1),IFERROR(INDEX(醫師週班表!$C$5:$T$44,$CU32,BH$57),"")))))))</f>
        <v/>
      </c>
      <c r="BI32" s="72">
        <f>IF(BI$59="X","",IF(BI$59&lt;&gt;"",BI$59,IF(IFERROR(INDEX(醫師週班表!$C$5:$T$44,$CU32,BI$57),"")=0,"",IF(MID(IFERROR(INDEX(醫師週班表!$C$5:$T$44,$CU32,BI$57),""),2,1)="/",MID(IFERROR(INDEX(醫師週班表!$C$5:$T$44,$CU32,BI$57),""),1+BI$58*2,1),IF(MID(IFERROR(INDEX(醫師週班表!$C$5:$T$44,$CU32,BI$57),""),3,1)="隔",IF(BI$58=0,LEFT(IFERROR(INDEX(醫師週班表!$C$5:$T$44,$CU32,BI$57),""),1),""),IF(MID(IFERROR(INDEX(醫師週班表!$C$5:$T$44,$CU32,BI$57),""),2,1)="(",LEFT(IFERROR(INDEX(醫師週班表!$C$5:$T$44,$CU32,BI$57),""),1),IFERROR(INDEX(醫師週班表!$C$5:$T$44,$CU32,BI$57),"")))))))</f>
        <v/>
      </c>
      <c r="BJ32" s="71">
        <f>IF(BJ$59="X","",IF(BJ$59&lt;&gt;"",BJ$59,IF(IFERROR(INDEX(醫師週班表!$C$5:$T$44,$CU32,BJ$57),"")=0,"",IF(MID(IFERROR(INDEX(醫師週班表!$C$5:$T$44,$CU32,BJ$57),""),2,1)="/",MID(IFERROR(INDEX(醫師週班表!$C$5:$T$44,$CU32,BJ$57),""),1+BJ$58*2,1),IF(MID(IFERROR(INDEX(醫師週班表!$C$5:$T$44,$CU32,BJ$57),""),3,1)="隔",IF(BJ$58=0,LEFT(IFERROR(INDEX(醫師週班表!$C$5:$T$44,$CU32,BJ$57),""),1),""),IF(MID(IFERROR(INDEX(醫師週班表!$C$5:$T$44,$CU32,BJ$57),""),2,1)="(",LEFT(IFERROR(INDEX(醫師週班表!$C$5:$T$44,$CU32,BJ$57),""),1),IFERROR(INDEX(醫師週班表!$C$5:$T$44,$CU32,BJ$57),"")))))))</f>
        <v/>
      </c>
      <c r="BK32" s="72">
        <f>IF(BK$59="X","",IF(BK$59&lt;&gt;"",BK$59,IF(IFERROR(INDEX(醫師週班表!$C$5:$T$44,$CU32,BK$57),"")=0,"",IF(MID(IFERROR(INDEX(醫師週班表!$C$5:$T$44,$CU32,BK$57),""),2,1)="/",MID(IFERROR(INDEX(醫師週班表!$C$5:$T$44,$CU32,BK$57),""),1+BK$58*2,1),IF(MID(IFERROR(INDEX(醫師週班表!$C$5:$T$44,$CU32,BK$57),""),3,1)="隔",IF(BK$58=0,LEFT(IFERROR(INDEX(醫師週班表!$C$5:$T$44,$CU32,BK$57),""),1),""),IF(MID(IFERROR(INDEX(醫師週班表!$C$5:$T$44,$CU32,BK$57),""),2,1)="(",LEFT(IFERROR(INDEX(醫師週班表!$C$5:$T$44,$CU32,BK$57),""),1),IFERROR(INDEX(醫師週班表!$C$5:$T$44,$CU32,BK$57),"")))))))</f>
        <v/>
      </c>
      <c r="BL32" s="72">
        <f>IF(BL$59="X","",IF(BL$59&lt;&gt;"",BL$59,IF(IFERROR(INDEX(醫師週班表!$C$5:$T$44,$CU32,BL$57),"")=0,"",IF(MID(IFERROR(INDEX(醫師週班表!$C$5:$T$44,$CU32,BL$57),""),2,1)="/",MID(IFERROR(INDEX(醫師週班表!$C$5:$T$44,$CU32,BL$57),""),1+BL$58*2,1),IF(MID(IFERROR(INDEX(醫師週班表!$C$5:$T$44,$CU32,BL$57),""),3,1)="隔",IF(BL$58=0,LEFT(IFERROR(INDEX(醫師週班表!$C$5:$T$44,$CU32,BL$57),""),1),""),IF(MID(IFERROR(INDEX(醫師週班表!$C$5:$T$44,$CU32,BL$57),""),2,1)="(",LEFT(IFERROR(INDEX(醫師週班表!$C$5:$T$44,$CU32,BL$57),""),1),IFERROR(INDEX(醫師週班表!$C$5:$T$44,$CU32,BL$57),"")))))))</f>
        <v/>
      </c>
      <c r="BM32" s="71">
        <f>IF(BM$59="X","",IF(BM$59&lt;&gt;"",BM$59,IF(IFERROR(INDEX(醫師週班表!$C$5:$T$44,$CU32,BM$57),"")=0,"",IF(MID(IFERROR(INDEX(醫師週班表!$C$5:$T$44,$CU32,BM$57),""),2,1)="/",MID(IFERROR(INDEX(醫師週班表!$C$5:$T$44,$CU32,BM$57),""),1+BM$58*2,1),IF(MID(IFERROR(INDEX(醫師週班表!$C$5:$T$44,$CU32,BM$57),""),3,1)="隔",IF(BM$58=0,LEFT(IFERROR(INDEX(醫師週班表!$C$5:$T$44,$CU32,BM$57),""),1),""),IF(MID(IFERROR(INDEX(醫師週班表!$C$5:$T$44,$CU32,BM$57),""),2,1)="(",LEFT(IFERROR(INDEX(醫師週班表!$C$5:$T$44,$CU32,BM$57),""),1),IFERROR(INDEX(醫師週班表!$C$5:$T$44,$CU32,BM$57),"")))))))</f>
        <v/>
      </c>
      <c r="BN32" s="72">
        <f>IF(BN$59="X","",IF(BN$59&lt;&gt;"",BN$59,IF(IFERROR(INDEX(醫師週班表!$C$5:$T$44,$CU32,BN$57),"")=0,"",IF(MID(IFERROR(INDEX(醫師週班表!$C$5:$T$44,$CU32,BN$57),""),2,1)="/",MID(IFERROR(INDEX(醫師週班表!$C$5:$T$44,$CU32,BN$57),""),1+BN$58*2,1),IF(MID(IFERROR(INDEX(醫師週班表!$C$5:$T$44,$CU32,BN$57),""),3,1)="隔",IF(BN$58=0,LEFT(IFERROR(INDEX(醫師週班表!$C$5:$T$44,$CU32,BN$57),""),1),""),IF(MID(IFERROR(INDEX(醫師週班表!$C$5:$T$44,$CU32,BN$57),""),2,1)="(",LEFT(IFERROR(INDEX(醫師週班表!$C$5:$T$44,$CU32,BN$57),""),1),IFERROR(INDEX(醫師週班表!$C$5:$T$44,$CU32,BN$57),"")))))))</f>
        <v/>
      </c>
      <c r="BO32" s="72">
        <f>IF(BO$59="X","",IF(BO$59&lt;&gt;"",BO$59,IF(IFERROR(INDEX(醫師週班表!$C$5:$T$44,$CU32,BO$57),"")=0,"",IF(MID(IFERROR(INDEX(醫師週班表!$C$5:$T$44,$CU32,BO$57),""),2,1)="/",MID(IFERROR(INDEX(醫師週班表!$C$5:$T$44,$CU32,BO$57),""),1+BO$58*2,1),IF(MID(IFERROR(INDEX(醫師週班表!$C$5:$T$44,$CU32,BO$57),""),3,1)="隔",IF(BO$58=0,LEFT(IFERROR(INDEX(醫師週班表!$C$5:$T$44,$CU32,BO$57),""),1),""),IF(MID(IFERROR(INDEX(醫師週班表!$C$5:$T$44,$CU32,BO$57),""),2,1)="(",LEFT(IFERROR(INDEX(醫師週班表!$C$5:$T$44,$CU32,BO$57),""),1),IFERROR(INDEX(醫師週班表!$C$5:$T$44,$CU32,BO$57),"")))))))</f>
        <v/>
      </c>
      <c r="BP32" s="71">
        <f>IF(BP$59="X","",IF(BP$59&lt;&gt;"",BP$59,IF(IFERROR(INDEX(醫師週班表!$C$5:$T$44,$CU32,BP$57),"")=0,"",IF(MID(IFERROR(INDEX(醫師週班表!$C$5:$T$44,$CU32,BP$57),""),2,1)="/",MID(IFERROR(INDEX(醫師週班表!$C$5:$T$44,$CU32,BP$57),""),1+BP$58*2,1),IF(MID(IFERROR(INDEX(醫師週班表!$C$5:$T$44,$CU32,BP$57),""),3,1)="隔",IF(BP$58=0,LEFT(IFERROR(INDEX(醫師週班表!$C$5:$T$44,$CU32,BP$57),""),1),""),IF(MID(IFERROR(INDEX(醫師週班表!$C$5:$T$44,$CU32,BP$57),""),2,1)="(",LEFT(IFERROR(INDEX(醫師週班表!$C$5:$T$44,$CU32,BP$57),""),1),IFERROR(INDEX(醫師週班表!$C$5:$T$44,$CU32,BP$57),"")))))))</f>
        <v/>
      </c>
      <c r="BQ32" s="72">
        <f>IF(BQ$59="X","",IF(BQ$59&lt;&gt;"",BQ$59,IF(IFERROR(INDEX(醫師週班表!$C$5:$T$44,$CU32,BQ$57),"")=0,"",IF(MID(IFERROR(INDEX(醫師週班表!$C$5:$T$44,$CU32,BQ$57),""),2,1)="/",MID(IFERROR(INDEX(醫師週班表!$C$5:$T$44,$CU32,BQ$57),""),1+BQ$58*2,1),IF(MID(IFERROR(INDEX(醫師週班表!$C$5:$T$44,$CU32,BQ$57),""),3,1)="隔",IF(BQ$58=0,LEFT(IFERROR(INDEX(醫師週班表!$C$5:$T$44,$CU32,BQ$57),""),1),""),IF(MID(IFERROR(INDEX(醫師週班表!$C$5:$T$44,$CU32,BQ$57),""),2,1)="(",LEFT(IFERROR(INDEX(醫師週班表!$C$5:$T$44,$CU32,BQ$57),""),1),IFERROR(INDEX(醫師週班表!$C$5:$T$44,$CU32,BQ$57),"")))))))</f>
        <v/>
      </c>
      <c r="BR32" s="72">
        <f>IF(BR$59="X","",IF(BR$59&lt;&gt;"",BR$59,IF(IFERROR(INDEX(醫師週班表!$C$5:$T$44,$CU32,BR$57),"")=0,"",IF(MID(IFERROR(INDEX(醫師週班表!$C$5:$T$44,$CU32,BR$57),""),2,1)="/",MID(IFERROR(INDEX(醫師週班表!$C$5:$T$44,$CU32,BR$57),""),1+BR$58*2,1),IF(MID(IFERROR(INDEX(醫師週班表!$C$5:$T$44,$CU32,BR$57),""),3,1)="隔",IF(BR$58=0,LEFT(IFERROR(INDEX(醫師週班表!$C$5:$T$44,$CU32,BR$57),""),1),""),IF(MID(IFERROR(INDEX(醫師週班表!$C$5:$T$44,$CU32,BR$57),""),2,1)="(",LEFT(IFERROR(INDEX(醫師週班表!$C$5:$T$44,$CU32,BR$57),""),1),IFERROR(INDEX(醫師週班表!$C$5:$T$44,$CU32,BR$57),"")))))))</f>
        <v/>
      </c>
      <c r="BS32" s="71">
        <f>IF(BS$59="X","",IF(BS$59&lt;&gt;"",BS$59,IF(IFERROR(INDEX(醫師週班表!$C$5:$T$44,$CU32,BS$57),"")=0,"",IF(MID(IFERROR(INDEX(醫師週班表!$C$5:$T$44,$CU32,BS$57),""),2,1)="/",MID(IFERROR(INDEX(醫師週班表!$C$5:$T$44,$CU32,BS$57),""),1+BS$58*2,1),IF(MID(IFERROR(INDEX(醫師週班表!$C$5:$T$44,$CU32,BS$57),""),3,1)="隔",IF(BS$58=0,LEFT(IFERROR(INDEX(醫師週班表!$C$5:$T$44,$CU32,BS$57),""),1),""),IF(MID(IFERROR(INDEX(醫師週班表!$C$5:$T$44,$CU32,BS$57),""),2,1)="(",LEFT(IFERROR(INDEX(醫師週班表!$C$5:$T$44,$CU32,BS$57),""),1),IFERROR(INDEX(醫師週班表!$C$5:$T$44,$CU32,BS$57),"")))))))</f>
        <v/>
      </c>
      <c r="BT32" s="72">
        <f>IF(BT$59="X","",IF(BT$59&lt;&gt;"",BT$59,IF(IFERROR(INDEX(醫師週班表!$C$5:$T$44,$CU32,BT$57),"")=0,"",IF(MID(IFERROR(INDEX(醫師週班表!$C$5:$T$44,$CU32,BT$57),""),2,1)="/",MID(IFERROR(INDEX(醫師週班表!$C$5:$T$44,$CU32,BT$57),""),1+BT$58*2,1),IF(MID(IFERROR(INDEX(醫師週班表!$C$5:$T$44,$CU32,BT$57),""),3,1)="隔",IF(BT$58=0,LEFT(IFERROR(INDEX(醫師週班表!$C$5:$T$44,$CU32,BT$57),""),1),""),IF(MID(IFERROR(INDEX(醫師週班表!$C$5:$T$44,$CU32,BT$57),""),2,1)="(",LEFT(IFERROR(INDEX(醫師週班表!$C$5:$T$44,$CU32,BT$57),""),1),IFERROR(INDEX(醫師週班表!$C$5:$T$44,$CU32,BT$57),"")))))))</f>
        <v/>
      </c>
      <c r="BU32" s="72">
        <f>IF(BU$59="X","",IF(BU$59&lt;&gt;"",BU$59,IF(IFERROR(INDEX(醫師週班表!$C$5:$T$44,$CU32,BU$57),"")=0,"",IF(MID(IFERROR(INDEX(醫師週班表!$C$5:$T$44,$CU32,BU$57),""),2,1)="/",MID(IFERROR(INDEX(醫師週班表!$C$5:$T$44,$CU32,BU$57),""),1+BU$58*2,1),IF(MID(IFERROR(INDEX(醫師週班表!$C$5:$T$44,$CU32,BU$57),""),3,1)="隔",IF(BU$58=0,LEFT(IFERROR(INDEX(醫師週班表!$C$5:$T$44,$CU32,BU$57),""),1),""),IF(MID(IFERROR(INDEX(醫師週班表!$C$5:$T$44,$CU32,BU$57),""),2,1)="(",LEFT(IFERROR(INDEX(醫師週班表!$C$5:$T$44,$CU32,BU$57),""),1),IFERROR(INDEX(醫師週班表!$C$5:$T$44,$CU32,BU$57),"")))))))</f>
        <v/>
      </c>
      <c r="BV32" s="71">
        <f>IF(BV$59="X","",IF(BV$59&lt;&gt;"",BV$59,IF(IFERROR(INDEX(醫師週班表!$C$5:$T$44,$CU32,BV$57),"")=0,"",IF(MID(IFERROR(INDEX(醫師週班表!$C$5:$T$44,$CU32,BV$57),""),2,1)="/",MID(IFERROR(INDEX(醫師週班表!$C$5:$T$44,$CU32,BV$57),""),1+BV$58*2,1),IF(MID(IFERROR(INDEX(醫師週班表!$C$5:$T$44,$CU32,BV$57),""),3,1)="隔",IF(BV$58=0,LEFT(IFERROR(INDEX(醫師週班表!$C$5:$T$44,$CU32,BV$57),""),1),""),IF(MID(IFERROR(INDEX(醫師週班表!$C$5:$T$44,$CU32,BV$57),""),2,1)="(",LEFT(IFERROR(INDEX(醫師週班表!$C$5:$T$44,$CU32,BV$57),""),1),IFERROR(INDEX(醫師週班表!$C$5:$T$44,$CU32,BV$57),"")))))))</f>
        <v/>
      </c>
      <c r="BW32" s="72">
        <f>IF(BW$59="X","",IF(BW$59&lt;&gt;"",BW$59,IF(IFERROR(INDEX(醫師週班表!$C$5:$T$44,$CU32,BW$57),"")=0,"",IF(MID(IFERROR(INDEX(醫師週班表!$C$5:$T$44,$CU32,BW$57),""),2,1)="/",MID(IFERROR(INDEX(醫師週班表!$C$5:$T$44,$CU32,BW$57),""),1+BW$58*2,1),IF(MID(IFERROR(INDEX(醫師週班表!$C$5:$T$44,$CU32,BW$57),""),3,1)="隔",IF(BW$58=0,LEFT(IFERROR(INDEX(醫師週班表!$C$5:$T$44,$CU32,BW$57),""),1),""),IF(MID(IFERROR(INDEX(醫師週班表!$C$5:$T$44,$CU32,BW$57),""),2,1)="(",LEFT(IFERROR(INDEX(醫師週班表!$C$5:$T$44,$CU32,BW$57),""),1),IFERROR(INDEX(醫師週班表!$C$5:$T$44,$CU32,BW$57),"")))))))</f>
        <v/>
      </c>
      <c r="BX32" s="72">
        <f>IF(BX$59="X","",IF(BX$59&lt;&gt;"",BX$59,IF(IFERROR(INDEX(醫師週班表!$C$5:$T$44,$CU32,BX$57),"")=0,"",IF(MID(IFERROR(INDEX(醫師週班表!$C$5:$T$44,$CU32,BX$57),""),2,1)="/",MID(IFERROR(INDEX(醫師週班表!$C$5:$T$44,$CU32,BX$57),""),1+BX$58*2,1),IF(MID(IFERROR(INDEX(醫師週班表!$C$5:$T$44,$CU32,BX$57),""),3,1)="隔",IF(BX$58=0,LEFT(IFERROR(INDEX(醫師週班表!$C$5:$T$44,$CU32,BX$57),""),1),""),IF(MID(IFERROR(INDEX(醫師週班表!$C$5:$T$44,$CU32,BX$57),""),2,1)="(",LEFT(IFERROR(INDEX(醫師週班表!$C$5:$T$44,$CU32,BX$57),""),1),IFERROR(INDEX(醫師週班表!$C$5:$T$44,$CU32,BX$57),"")))))))</f>
        <v/>
      </c>
      <c r="BY32" s="71">
        <f>IF(BY$59="X","",IF(BY$59&lt;&gt;"",BY$59,IF(IFERROR(INDEX(醫師週班表!$C$5:$T$44,$CU32,BY$57),"")=0,"",IF(MID(IFERROR(INDEX(醫師週班表!$C$5:$T$44,$CU32,BY$57),""),2,1)="/",MID(IFERROR(INDEX(醫師週班表!$C$5:$T$44,$CU32,BY$57),""),1+BY$58*2,1),IF(MID(IFERROR(INDEX(醫師週班表!$C$5:$T$44,$CU32,BY$57),""),3,1)="隔",IF(BY$58=0,LEFT(IFERROR(INDEX(醫師週班表!$C$5:$T$44,$CU32,BY$57),""),1),""),IF(MID(IFERROR(INDEX(醫師週班表!$C$5:$T$44,$CU32,BY$57),""),2,1)="(",LEFT(IFERROR(INDEX(醫師週班表!$C$5:$T$44,$CU32,BY$57),""),1),IFERROR(INDEX(醫師週班表!$C$5:$T$44,$CU32,BY$57),"")))))))</f>
        <v/>
      </c>
      <c r="BZ32" s="72">
        <f>IF(BZ$59="X","",IF(BZ$59&lt;&gt;"",BZ$59,IF(IFERROR(INDEX(醫師週班表!$C$5:$T$44,$CU32,BZ$57),"")=0,"",IF(MID(IFERROR(INDEX(醫師週班表!$C$5:$T$44,$CU32,BZ$57),""),2,1)="/",MID(IFERROR(INDEX(醫師週班表!$C$5:$T$44,$CU32,BZ$57),""),1+BZ$58*2,1),IF(MID(IFERROR(INDEX(醫師週班表!$C$5:$T$44,$CU32,BZ$57),""),3,1)="隔",IF(BZ$58=0,LEFT(IFERROR(INDEX(醫師週班表!$C$5:$T$44,$CU32,BZ$57),""),1),""),IF(MID(IFERROR(INDEX(醫師週班表!$C$5:$T$44,$CU32,BZ$57),""),2,1)="(",LEFT(IFERROR(INDEX(醫師週班表!$C$5:$T$44,$CU32,BZ$57),""),1),IFERROR(INDEX(醫師週班表!$C$5:$T$44,$CU32,BZ$57),"")))))))</f>
        <v/>
      </c>
      <c r="CA32" s="72">
        <f>IF(CA$59="X","",IF(CA$59&lt;&gt;"",CA$59,IF(IFERROR(INDEX(醫師週班表!$C$5:$T$44,$CU32,CA$57),"")=0,"",IF(MID(IFERROR(INDEX(醫師週班表!$C$5:$T$44,$CU32,CA$57),""),2,1)="/",MID(IFERROR(INDEX(醫師週班表!$C$5:$T$44,$CU32,CA$57),""),1+CA$58*2,1),IF(MID(IFERROR(INDEX(醫師週班表!$C$5:$T$44,$CU32,CA$57),""),3,1)="隔",IF(CA$58=0,LEFT(IFERROR(INDEX(醫師週班表!$C$5:$T$44,$CU32,CA$57),""),1),""),IF(MID(IFERROR(INDEX(醫師週班表!$C$5:$T$44,$CU32,CA$57),""),2,1)="(",LEFT(IFERROR(INDEX(醫師週班表!$C$5:$T$44,$CU32,CA$57),""),1),IFERROR(INDEX(醫師週班表!$C$5:$T$44,$CU32,CA$57),"")))))))</f>
        <v/>
      </c>
      <c r="CB32" s="71">
        <f>IF(CB$59="X","",IF(CB$59&lt;&gt;"",CB$59,IF(IFERROR(INDEX(醫師週班表!$C$5:$T$44,$CU32,CB$57),"")=0,"",IF(MID(IFERROR(INDEX(醫師週班表!$C$5:$T$44,$CU32,CB$57),""),2,1)="/",MID(IFERROR(INDEX(醫師週班表!$C$5:$T$44,$CU32,CB$57),""),1+CB$58*2,1),IF(MID(IFERROR(INDEX(醫師週班表!$C$5:$T$44,$CU32,CB$57),""),3,1)="隔",IF(CB$58=0,LEFT(IFERROR(INDEX(醫師週班表!$C$5:$T$44,$CU32,CB$57),""),1),""),IF(MID(IFERROR(INDEX(醫師週班表!$C$5:$T$44,$CU32,CB$57),""),2,1)="(",LEFT(IFERROR(INDEX(醫師週班表!$C$5:$T$44,$CU32,CB$57),""),1),IFERROR(INDEX(醫師週班表!$C$5:$T$44,$CU32,CB$57),"")))))))</f>
        <v/>
      </c>
      <c r="CC32" s="72">
        <f>IF(CC$59="X","",IF(CC$59&lt;&gt;"",CC$59,IF(IFERROR(INDEX(醫師週班表!$C$5:$T$44,$CU32,CC$57),"")=0,"",IF(MID(IFERROR(INDEX(醫師週班表!$C$5:$T$44,$CU32,CC$57),""),2,1)="/",MID(IFERROR(INDEX(醫師週班表!$C$5:$T$44,$CU32,CC$57),""),1+CC$58*2,1),IF(MID(IFERROR(INDEX(醫師週班表!$C$5:$T$44,$CU32,CC$57),""),3,1)="隔",IF(CC$58=0,LEFT(IFERROR(INDEX(醫師週班表!$C$5:$T$44,$CU32,CC$57),""),1),""),IF(MID(IFERROR(INDEX(醫師週班表!$C$5:$T$44,$CU32,CC$57),""),2,1)="(",LEFT(IFERROR(INDEX(醫師週班表!$C$5:$T$44,$CU32,CC$57),""),1),IFERROR(INDEX(醫師週班表!$C$5:$T$44,$CU32,CC$57),"")))))))</f>
        <v/>
      </c>
      <c r="CD32" s="72">
        <f>IF(CD$59="X","",IF(CD$59&lt;&gt;"",CD$59,IF(IFERROR(INDEX(醫師週班表!$C$5:$T$44,$CU32,CD$57),"")=0,"",IF(MID(IFERROR(INDEX(醫師週班表!$C$5:$T$44,$CU32,CD$57),""),2,1)="/",MID(IFERROR(INDEX(醫師週班表!$C$5:$T$44,$CU32,CD$57),""),1+CD$58*2,1),IF(MID(IFERROR(INDEX(醫師週班表!$C$5:$T$44,$CU32,CD$57),""),3,1)="隔",IF(CD$58=0,LEFT(IFERROR(INDEX(醫師週班表!$C$5:$T$44,$CU32,CD$57),""),1),""),IF(MID(IFERROR(INDEX(醫師週班表!$C$5:$T$44,$CU32,CD$57),""),2,1)="(",LEFT(IFERROR(INDEX(醫師週班表!$C$5:$T$44,$CU32,CD$57),""),1),IFERROR(INDEX(醫師週班表!$C$5:$T$44,$CU32,CD$57),"")))))))</f>
        <v/>
      </c>
      <c r="CE32" s="71">
        <f>IF(CE$59="X","",IF(CE$59&lt;&gt;"",CE$59,IF(IFERROR(INDEX(醫師週班表!$C$5:$T$44,$CU32,CE$57),"")=0,"",IF(MID(IFERROR(INDEX(醫師週班表!$C$5:$T$44,$CU32,CE$57),""),2,1)="/",MID(IFERROR(INDEX(醫師週班表!$C$5:$T$44,$CU32,CE$57),""),1+CE$58*2,1),IF(MID(IFERROR(INDEX(醫師週班表!$C$5:$T$44,$CU32,CE$57),""),3,1)="隔",IF(CE$58=0,LEFT(IFERROR(INDEX(醫師週班表!$C$5:$T$44,$CU32,CE$57),""),1),""),IF(MID(IFERROR(INDEX(醫師週班表!$C$5:$T$44,$CU32,CE$57),""),2,1)="(",LEFT(IFERROR(INDEX(醫師週班表!$C$5:$T$44,$CU32,CE$57),""),1),IFERROR(INDEX(醫師週班表!$C$5:$T$44,$CU32,CE$57),"")))))))</f>
        <v/>
      </c>
      <c r="CF32" s="72">
        <f>IF(CF$59="X","",IF(CF$59&lt;&gt;"",CF$59,IF(IFERROR(INDEX(醫師週班表!$C$5:$T$44,$CU32,CF$57),"")=0,"",IF(MID(IFERROR(INDEX(醫師週班表!$C$5:$T$44,$CU32,CF$57),""),2,1)="/",MID(IFERROR(INDEX(醫師週班表!$C$5:$T$44,$CU32,CF$57),""),1+CF$58*2,1),IF(MID(IFERROR(INDEX(醫師週班表!$C$5:$T$44,$CU32,CF$57),""),3,1)="隔",IF(CF$58=0,LEFT(IFERROR(INDEX(醫師週班表!$C$5:$T$44,$CU32,CF$57),""),1),""),IF(MID(IFERROR(INDEX(醫師週班表!$C$5:$T$44,$CU32,CF$57),""),2,1)="(",LEFT(IFERROR(INDEX(醫師週班表!$C$5:$T$44,$CU32,CF$57),""),1),IFERROR(INDEX(醫師週班表!$C$5:$T$44,$CU32,CF$57),"")))))))</f>
        <v/>
      </c>
      <c r="CG32" s="72">
        <f>IF(CG$59="X","",IF(CG$59&lt;&gt;"",CG$59,IF(IFERROR(INDEX(醫師週班表!$C$5:$T$44,$CU32,CG$57),"")=0,"",IF(MID(IFERROR(INDEX(醫師週班表!$C$5:$T$44,$CU32,CG$57),""),2,1)="/",MID(IFERROR(INDEX(醫師週班表!$C$5:$T$44,$CU32,CG$57),""),1+CG$58*2,1),IF(MID(IFERROR(INDEX(醫師週班表!$C$5:$T$44,$CU32,CG$57),""),3,1)="隔",IF(CG$58=0,LEFT(IFERROR(INDEX(醫師週班表!$C$5:$T$44,$CU32,CG$57),""),1),""),IF(MID(IFERROR(INDEX(醫師週班表!$C$5:$T$44,$CU32,CG$57),""),2,1)="(",LEFT(IFERROR(INDEX(醫師週班表!$C$5:$T$44,$CU32,CG$57),""),1),IFERROR(INDEX(醫師週班表!$C$5:$T$44,$CU32,CG$57),"")))))))</f>
        <v/>
      </c>
      <c r="CH32" s="71">
        <f>IF(CH$59="X","",IF(CH$59&lt;&gt;"",CH$59,IF(IFERROR(INDEX(醫師週班表!$C$5:$T$44,$CU32,CH$57),"")=0,"",IF(MID(IFERROR(INDEX(醫師週班表!$C$5:$T$44,$CU32,CH$57),""),2,1)="/",MID(IFERROR(INDEX(醫師週班表!$C$5:$T$44,$CU32,CH$57),""),1+CH$58*2,1),IF(MID(IFERROR(INDEX(醫師週班表!$C$5:$T$44,$CU32,CH$57),""),3,1)="隔",IF(CH$58=0,LEFT(IFERROR(INDEX(醫師週班表!$C$5:$T$44,$CU32,CH$57),""),1),""),IF(MID(IFERROR(INDEX(醫師週班表!$C$5:$T$44,$CU32,CH$57),""),2,1)="(",LEFT(IFERROR(INDEX(醫師週班表!$C$5:$T$44,$CU32,CH$57),""),1),IFERROR(INDEX(醫師週班表!$C$5:$T$44,$CU32,CH$57),"")))))))</f>
        <v/>
      </c>
      <c r="CI32" s="72">
        <f>IF(CI$59="X","",IF(CI$59&lt;&gt;"",CI$59,IF(IFERROR(INDEX(醫師週班表!$C$5:$T$44,$CU32,CI$57),"")=0,"",IF(MID(IFERROR(INDEX(醫師週班表!$C$5:$T$44,$CU32,CI$57),""),2,1)="/",MID(IFERROR(INDEX(醫師週班表!$C$5:$T$44,$CU32,CI$57),""),1+CI$58*2,1),IF(MID(IFERROR(INDEX(醫師週班表!$C$5:$T$44,$CU32,CI$57),""),3,1)="隔",IF(CI$58=0,LEFT(IFERROR(INDEX(醫師週班表!$C$5:$T$44,$CU32,CI$57),""),1),""),IF(MID(IFERROR(INDEX(醫師週班表!$C$5:$T$44,$CU32,CI$57),""),2,1)="(",LEFT(IFERROR(INDEX(醫師週班表!$C$5:$T$44,$CU32,CI$57),""),1),IFERROR(INDEX(醫師週班表!$C$5:$T$44,$CU32,CI$57),"")))))))</f>
        <v/>
      </c>
      <c r="CJ32" s="72">
        <f>IF(CJ$59="X","",IF(CJ$59&lt;&gt;"",CJ$59,IF(IFERROR(INDEX(醫師週班表!$C$5:$T$44,$CU32,CJ$57),"")=0,"",IF(MID(IFERROR(INDEX(醫師週班表!$C$5:$T$44,$CU32,CJ$57),""),2,1)="/",MID(IFERROR(INDEX(醫師週班表!$C$5:$T$44,$CU32,CJ$57),""),1+CJ$58*2,1),IF(MID(IFERROR(INDEX(醫師週班表!$C$5:$T$44,$CU32,CJ$57),""),3,1)="隔",IF(CJ$58=0,LEFT(IFERROR(INDEX(醫師週班表!$C$5:$T$44,$CU32,CJ$57),""),1),""),IF(MID(IFERROR(INDEX(醫師週班表!$C$5:$T$44,$CU32,CJ$57),""),2,1)="(",LEFT(IFERROR(INDEX(醫師週班表!$C$5:$T$44,$CU32,CJ$57),""),1),IFERROR(INDEX(醫師週班表!$C$5:$T$44,$CU32,CJ$57),"")))))))</f>
        <v/>
      </c>
      <c r="CK32" s="71">
        <f>IF(CK$59="X","",IF(CK$59&lt;&gt;"",CK$59,IF(IFERROR(INDEX(醫師週班表!$C$5:$T$44,$CU32,CK$57),"")=0,"",IF(MID(IFERROR(INDEX(醫師週班表!$C$5:$T$44,$CU32,CK$57),""),2,1)="/",MID(IFERROR(INDEX(醫師週班表!$C$5:$T$44,$CU32,CK$57),""),1+CK$58*2,1),IF(MID(IFERROR(INDEX(醫師週班表!$C$5:$T$44,$CU32,CK$57),""),3,1)="隔",IF(CK$58=0,LEFT(IFERROR(INDEX(醫師週班表!$C$5:$T$44,$CU32,CK$57),""),1),""),IF(MID(IFERROR(INDEX(醫師週班表!$C$5:$T$44,$CU32,CK$57),""),2,1)="(",LEFT(IFERROR(INDEX(醫師週班表!$C$5:$T$44,$CU32,CK$57),""),1),IFERROR(INDEX(醫師週班表!$C$5:$T$44,$CU32,CK$57),"")))))))</f>
        <v/>
      </c>
      <c r="CL32" s="72">
        <f>IF(CL$59="X","",IF(CL$59&lt;&gt;"",CL$59,IF(IFERROR(INDEX(醫師週班表!$C$5:$T$44,$CU32,CL$57),"")=0,"",IF(MID(IFERROR(INDEX(醫師週班表!$C$5:$T$44,$CU32,CL$57),""),2,1)="/",MID(IFERROR(INDEX(醫師週班表!$C$5:$T$44,$CU32,CL$57),""),1+CL$58*2,1),IF(MID(IFERROR(INDEX(醫師週班表!$C$5:$T$44,$CU32,CL$57),""),3,1)="隔",IF(CL$58=0,LEFT(IFERROR(INDEX(醫師週班表!$C$5:$T$44,$CU32,CL$57),""),1),""),IF(MID(IFERROR(INDEX(醫師週班表!$C$5:$T$44,$CU32,CL$57),""),2,1)="(",LEFT(IFERROR(INDEX(醫師週班表!$C$5:$T$44,$CU32,CL$57),""),1),IFERROR(INDEX(醫師週班表!$C$5:$T$44,$CU32,CL$57),"")))))))</f>
        <v/>
      </c>
      <c r="CM32" s="72">
        <f>IF(CM$59="X","",IF(CM$59&lt;&gt;"",CM$59,IF(IFERROR(INDEX(醫師週班表!$C$5:$T$44,$CU32,CM$57),"")=0,"",IF(MID(IFERROR(INDEX(醫師週班表!$C$5:$T$44,$CU32,CM$57),""),2,1)="/",MID(IFERROR(INDEX(醫師週班表!$C$5:$T$44,$CU32,CM$57),""),1+CM$58*2,1),IF(MID(IFERROR(INDEX(醫師週班表!$C$5:$T$44,$CU32,CM$57),""),3,1)="隔",IF(CM$58=0,LEFT(IFERROR(INDEX(醫師週班表!$C$5:$T$44,$CU32,CM$57),""),1),""),IF(MID(IFERROR(INDEX(醫師週班表!$C$5:$T$44,$CU32,CM$57),""),2,1)="(",LEFT(IFERROR(INDEX(醫師週班表!$C$5:$T$44,$CU32,CM$57),""),1),IFERROR(INDEX(醫師週班表!$C$5:$T$44,$CU32,CM$57),"")))))))</f>
        <v/>
      </c>
      <c r="CN32" s="71">
        <f>IF(CN$59="X","",IF(CN$59&lt;&gt;"",CN$59,IF(IFERROR(INDEX(醫師週班表!$C$5:$T$44,$CU32,CN$57),"")=0,"",IF(MID(IFERROR(INDEX(醫師週班表!$C$5:$T$44,$CU32,CN$57),""),2,1)="/",MID(IFERROR(INDEX(醫師週班表!$C$5:$T$44,$CU32,CN$57),""),1+CN$58*2,1),IF(MID(IFERROR(INDEX(醫師週班表!$C$5:$T$44,$CU32,CN$57),""),3,1)="隔",IF(CN$58=0,LEFT(IFERROR(INDEX(醫師週班表!$C$5:$T$44,$CU32,CN$57),""),1),""),IF(MID(IFERROR(INDEX(醫師週班表!$C$5:$T$44,$CU32,CN$57),""),2,1)="(",LEFT(IFERROR(INDEX(醫師週班表!$C$5:$T$44,$CU32,CN$57),""),1),IFERROR(INDEX(醫師週班表!$C$5:$T$44,$CU32,CN$57),"")))))))</f>
        <v/>
      </c>
      <c r="CO32" s="72">
        <f>IF(CO$59="X","",IF(CO$59&lt;&gt;"",CO$59,IF(IFERROR(INDEX(醫師週班表!$C$5:$T$44,$CU32,CO$57),"")=0,"",IF(MID(IFERROR(INDEX(醫師週班表!$C$5:$T$44,$CU32,CO$57),""),2,1)="/",MID(IFERROR(INDEX(醫師週班表!$C$5:$T$44,$CU32,CO$57),""),1+CO$58*2,1),IF(MID(IFERROR(INDEX(醫師週班表!$C$5:$T$44,$CU32,CO$57),""),3,1)="隔",IF(CO$58=0,LEFT(IFERROR(INDEX(醫師週班表!$C$5:$T$44,$CU32,CO$57),""),1),""),IF(MID(IFERROR(INDEX(醫師週班表!$C$5:$T$44,$CU32,CO$57),""),2,1)="(",LEFT(IFERROR(INDEX(醫師週班表!$C$5:$T$44,$CU32,CO$57),""),1),IFERROR(INDEX(醫師週班表!$C$5:$T$44,$CU32,CO$57),"")))))))</f>
        <v/>
      </c>
      <c r="CP32" s="72">
        <f>IF(CP$59="X","",IF(CP$59&lt;&gt;"",CP$59,IF(IFERROR(INDEX(醫師週班表!$C$5:$T$44,$CU32,CP$57),"")=0,"",IF(MID(IFERROR(INDEX(醫師週班表!$C$5:$T$44,$CU32,CP$57),""),2,1)="/",MID(IFERROR(INDEX(醫師週班表!$C$5:$T$44,$CU32,CP$57),""),1+CP$58*2,1),IF(MID(IFERROR(INDEX(醫師週班表!$C$5:$T$44,$CU32,CP$57),""),3,1)="隔",IF(CP$58=0,LEFT(IFERROR(INDEX(醫師週班表!$C$5:$T$44,$CU32,CP$57),""),1),""),IF(MID(IFERROR(INDEX(醫師週班表!$C$5:$T$44,$CU32,CP$57),""),2,1)="(",LEFT(IFERROR(INDEX(醫師週班表!$C$5:$T$44,$CU32,CP$57),""),1),IFERROR(INDEX(醫師週班表!$C$5:$T$44,$CU32,CP$57),"")))))))</f>
        <v/>
      </c>
      <c r="CQ32" s="71">
        <f>IF(CQ$59="X","",IF(CQ$59&lt;&gt;"",CQ$59,IF(IFERROR(INDEX(醫師週班表!$C$5:$T$44,$CU32,CQ$57),"")=0,"",IF(MID(IFERROR(INDEX(醫師週班表!$C$5:$T$44,$CU32,CQ$57),""),2,1)="/",MID(IFERROR(INDEX(醫師週班表!$C$5:$T$44,$CU32,CQ$57),""),1+CQ$58*2,1),IF(MID(IFERROR(INDEX(醫師週班表!$C$5:$T$44,$CU32,CQ$57),""),3,1)="隔",IF(CQ$58=0,LEFT(IFERROR(INDEX(醫師週班表!$C$5:$T$44,$CU32,CQ$57),""),1),""),IF(MID(IFERROR(INDEX(醫師週班表!$C$5:$T$44,$CU32,CQ$57),""),2,1)="(",LEFT(IFERROR(INDEX(醫師週班表!$C$5:$T$44,$CU32,CQ$57),""),1),IFERROR(INDEX(醫師週班表!$C$5:$T$44,$CU32,CQ$57),"")))))))</f>
        <v/>
      </c>
      <c r="CR32" s="72">
        <f>IF(CR$59="X","",IF(CR$59&lt;&gt;"",CR$59,IF(IFERROR(INDEX(醫師週班表!$C$5:$T$44,$CU32,CR$57),"")=0,"",IF(MID(IFERROR(INDEX(醫師週班表!$C$5:$T$44,$CU32,CR$57),""),2,1)="/",MID(IFERROR(INDEX(醫師週班表!$C$5:$T$44,$CU32,CR$57),""),1+CR$58*2,1),IF(MID(IFERROR(INDEX(醫師週班表!$C$5:$T$44,$CU32,CR$57),""),3,1)="隔",IF(CR$58=0,LEFT(IFERROR(INDEX(醫師週班表!$C$5:$T$44,$CU32,CR$57),""),1),""),IF(MID(IFERROR(INDEX(醫師週班表!$C$5:$T$44,$CU32,CR$57),""),2,1)="(",LEFT(IFERROR(INDEX(醫師週班表!$C$5:$T$44,$CU32,CR$57),""),1),IFERROR(INDEX(醫師週班表!$C$5:$T$44,$CU32,CR$57),"")))))))</f>
        <v/>
      </c>
      <c r="CS32" s="72">
        <f>IF(CS$59="X","",IF(CS$59&lt;&gt;"",CS$59,IF(IFERROR(INDEX(醫師週班表!$C$5:$T$44,$CU32,CS$57),"")=0,"",IF(MID(IFERROR(INDEX(醫師週班表!$C$5:$T$44,$CU32,CS$57),""),2,1)="/",MID(IFERROR(INDEX(醫師週班表!$C$5:$T$44,$CU32,CS$57),""),1+CS$58*2,1),IF(MID(IFERROR(INDEX(醫師週班表!$C$5:$T$44,$CU32,CS$57),""),3,1)="隔",IF(CS$58=0,LEFT(IFERROR(INDEX(醫師週班表!$C$5:$T$44,$CU32,CS$57),""),1),""),IF(MID(IFERROR(INDEX(醫師週班表!$C$5:$T$44,$CU32,CS$57),""),2,1)="(",LEFT(IFERROR(INDEX(醫師週班表!$C$5:$T$44,$CU32,CS$57),""),1),IFERROR(INDEX(醫師週班表!$C$5:$T$44,$CU32,CS$57),"")))))))</f>
        <v/>
      </c>
      <c r="CU32" s="73">
        <f>IFERROR(MATCH($A32,醫師週班表!$A$5:$A$44,0),0)</f>
        <v/>
      </c>
    </row>
    <row r="33" ht="17" customHeight="1">
      <c r="A33" s="19" t="n"/>
      <c r="B33" s="16">
        <f>IFERROR(INDEX(設定!$C$64:$C$203,MATCH($A33,設定!$B$64:$B$203,0)),"")</f>
        <v/>
      </c>
      <c r="C33" s="70">
        <f>IFERROR(INDEX(設定!$E$64:$E$203,MATCH($A33,設定!$B$64:$B$203,0)),"")</f>
        <v/>
      </c>
      <c r="D33" s="16">
        <f>IFERROR(INDEX(設定!$F$64:$F$203,MATCH($A33,設定!$B$64:$B$203,0)),"")</f>
        <v/>
      </c>
      <c r="E33" s="71">
        <f>IF(E$59="X","",IF(E$59&lt;&gt;"",E$59,IF(IFERROR(INDEX(醫師週班表!$C$5:$T$44,$CU33,E$57),"")=0,"",IF(MID(IFERROR(INDEX(醫師週班表!$C$5:$T$44,$CU33,E$57),""),2,1)="/",MID(IFERROR(INDEX(醫師週班表!$C$5:$T$44,$CU33,E$57),""),1+E$58*2,1),IF(MID(IFERROR(INDEX(醫師週班表!$C$5:$T$44,$CU33,E$57),""),3,1)="隔",IF(E$58=0,LEFT(IFERROR(INDEX(醫師週班表!$C$5:$T$44,$CU33,E$57),""),1),""),IF(MID(IFERROR(INDEX(醫師週班表!$C$5:$T$44,$CU33,E$57),""),2,1)="(",LEFT(IFERROR(INDEX(醫師週班表!$C$5:$T$44,$CU33,E$57),""),1),IFERROR(INDEX(醫師週班表!$C$5:$T$44,$CU33,E$57),"")))))))</f>
        <v/>
      </c>
      <c r="F33" s="72">
        <f>IF(F$59="X","",IF(F$59&lt;&gt;"",F$59,IF(IFERROR(INDEX(醫師週班表!$C$5:$T$44,$CU33,F$57),"")=0,"",IF(MID(IFERROR(INDEX(醫師週班表!$C$5:$T$44,$CU33,F$57),""),2,1)="/",MID(IFERROR(INDEX(醫師週班表!$C$5:$T$44,$CU33,F$57),""),1+F$58*2,1),IF(MID(IFERROR(INDEX(醫師週班表!$C$5:$T$44,$CU33,F$57),""),3,1)="隔",IF(F$58=0,LEFT(IFERROR(INDEX(醫師週班表!$C$5:$T$44,$CU33,F$57),""),1),""),IF(MID(IFERROR(INDEX(醫師週班表!$C$5:$T$44,$CU33,F$57),""),2,1)="(",LEFT(IFERROR(INDEX(醫師週班表!$C$5:$T$44,$CU33,F$57),""),1),IFERROR(INDEX(醫師週班表!$C$5:$T$44,$CU33,F$57),"")))))))</f>
        <v/>
      </c>
      <c r="G33" s="72">
        <f>IF(G$59="X","",IF(G$59&lt;&gt;"",G$59,IF(IFERROR(INDEX(醫師週班表!$C$5:$T$44,$CU33,G$57),"")=0,"",IF(MID(IFERROR(INDEX(醫師週班表!$C$5:$T$44,$CU33,G$57),""),2,1)="/",MID(IFERROR(INDEX(醫師週班表!$C$5:$T$44,$CU33,G$57),""),1+G$58*2,1),IF(MID(IFERROR(INDEX(醫師週班表!$C$5:$T$44,$CU33,G$57),""),3,1)="隔",IF(G$58=0,LEFT(IFERROR(INDEX(醫師週班表!$C$5:$T$44,$CU33,G$57),""),1),""),IF(MID(IFERROR(INDEX(醫師週班表!$C$5:$T$44,$CU33,G$57),""),2,1)="(",LEFT(IFERROR(INDEX(醫師週班表!$C$5:$T$44,$CU33,G$57),""),1),IFERROR(INDEX(醫師週班表!$C$5:$T$44,$CU33,G$57),"")))))))</f>
        <v/>
      </c>
      <c r="H33" s="71">
        <f>IF(H$59="X","",IF(H$59&lt;&gt;"",H$59,IF(IFERROR(INDEX(醫師週班表!$C$5:$T$44,$CU33,H$57),"")=0,"",IF(MID(IFERROR(INDEX(醫師週班表!$C$5:$T$44,$CU33,H$57),""),2,1)="/",MID(IFERROR(INDEX(醫師週班表!$C$5:$T$44,$CU33,H$57),""),1+H$58*2,1),IF(MID(IFERROR(INDEX(醫師週班表!$C$5:$T$44,$CU33,H$57),""),3,1)="隔",IF(H$58=0,LEFT(IFERROR(INDEX(醫師週班表!$C$5:$T$44,$CU33,H$57),""),1),""),IF(MID(IFERROR(INDEX(醫師週班表!$C$5:$T$44,$CU33,H$57),""),2,1)="(",LEFT(IFERROR(INDEX(醫師週班表!$C$5:$T$44,$CU33,H$57),""),1),IFERROR(INDEX(醫師週班表!$C$5:$T$44,$CU33,H$57),"")))))))</f>
        <v/>
      </c>
      <c r="I33" s="72">
        <f>IF(I$59="X","",IF(I$59&lt;&gt;"",I$59,IF(IFERROR(INDEX(醫師週班表!$C$5:$T$44,$CU33,I$57),"")=0,"",IF(MID(IFERROR(INDEX(醫師週班表!$C$5:$T$44,$CU33,I$57),""),2,1)="/",MID(IFERROR(INDEX(醫師週班表!$C$5:$T$44,$CU33,I$57),""),1+I$58*2,1),IF(MID(IFERROR(INDEX(醫師週班表!$C$5:$T$44,$CU33,I$57),""),3,1)="隔",IF(I$58=0,LEFT(IFERROR(INDEX(醫師週班表!$C$5:$T$44,$CU33,I$57),""),1),""),IF(MID(IFERROR(INDEX(醫師週班表!$C$5:$T$44,$CU33,I$57),""),2,1)="(",LEFT(IFERROR(INDEX(醫師週班表!$C$5:$T$44,$CU33,I$57),""),1),IFERROR(INDEX(醫師週班表!$C$5:$T$44,$CU33,I$57),"")))))))</f>
        <v/>
      </c>
      <c r="J33" s="72">
        <f>IF(J$59="X","",IF(J$59&lt;&gt;"",J$59,IF(IFERROR(INDEX(醫師週班表!$C$5:$T$44,$CU33,J$57),"")=0,"",IF(MID(IFERROR(INDEX(醫師週班表!$C$5:$T$44,$CU33,J$57),""),2,1)="/",MID(IFERROR(INDEX(醫師週班表!$C$5:$T$44,$CU33,J$57),""),1+J$58*2,1),IF(MID(IFERROR(INDEX(醫師週班表!$C$5:$T$44,$CU33,J$57),""),3,1)="隔",IF(J$58=0,LEFT(IFERROR(INDEX(醫師週班表!$C$5:$T$44,$CU33,J$57),""),1),""),IF(MID(IFERROR(INDEX(醫師週班表!$C$5:$T$44,$CU33,J$57),""),2,1)="(",LEFT(IFERROR(INDEX(醫師週班表!$C$5:$T$44,$CU33,J$57),""),1),IFERROR(INDEX(醫師週班表!$C$5:$T$44,$CU33,J$57),"")))))))</f>
        <v/>
      </c>
      <c r="K33" s="71">
        <f>IF(K$59="X","",IF(K$59&lt;&gt;"",K$59,IF(IFERROR(INDEX(醫師週班表!$C$5:$T$44,$CU33,K$57),"")=0,"",IF(MID(IFERROR(INDEX(醫師週班表!$C$5:$T$44,$CU33,K$57),""),2,1)="/",MID(IFERROR(INDEX(醫師週班表!$C$5:$T$44,$CU33,K$57),""),1+K$58*2,1),IF(MID(IFERROR(INDEX(醫師週班表!$C$5:$T$44,$CU33,K$57),""),3,1)="隔",IF(K$58=0,LEFT(IFERROR(INDEX(醫師週班表!$C$5:$T$44,$CU33,K$57),""),1),""),IF(MID(IFERROR(INDEX(醫師週班表!$C$5:$T$44,$CU33,K$57),""),2,1)="(",LEFT(IFERROR(INDEX(醫師週班表!$C$5:$T$44,$CU33,K$57),""),1),IFERROR(INDEX(醫師週班表!$C$5:$T$44,$CU33,K$57),"")))))))</f>
        <v/>
      </c>
      <c r="L33" s="72">
        <f>IF(L$59="X","",IF(L$59&lt;&gt;"",L$59,IF(IFERROR(INDEX(醫師週班表!$C$5:$T$44,$CU33,L$57),"")=0,"",IF(MID(IFERROR(INDEX(醫師週班表!$C$5:$T$44,$CU33,L$57),""),2,1)="/",MID(IFERROR(INDEX(醫師週班表!$C$5:$T$44,$CU33,L$57),""),1+L$58*2,1),IF(MID(IFERROR(INDEX(醫師週班表!$C$5:$T$44,$CU33,L$57),""),3,1)="隔",IF(L$58=0,LEFT(IFERROR(INDEX(醫師週班表!$C$5:$T$44,$CU33,L$57),""),1),""),IF(MID(IFERROR(INDEX(醫師週班表!$C$5:$T$44,$CU33,L$57),""),2,1)="(",LEFT(IFERROR(INDEX(醫師週班表!$C$5:$T$44,$CU33,L$57),""),1),IFERROR(INDEX(醫師週班表!$C$5:$T$44,$CU33,L$57),"")))))))</f>
        <v/>
      </c>
      <c r="M33" s="72">
        <f>IF(M$59="X","",IF(M$59&lt;&gt;"",M$59,IF(IFERROR(INDEX(醫師週班表!$C$5:$T$44,$CU33,M$57),"")=0,"",IF(MID(IFERROR(INDEX(醫師週班表!$C$5:$T$44,$CU33,M$57),""),2,1)="/",MID(IFERROR(INDEX(醫師週班表!$C$5:$T$44,$CU33,M$57),""),1+M$58*2,1),IF(MID(IFERROR(INDEX(醫師週班表!$C$5:$T$44,$CU33,M$57),""),3,1)="隔",IF(M$58=0,LEFT(IFERROR(INDEX(醫師週班表!$C$5:$T$44,$CU33,M$57),""),1),""),IF(MID(IFERROR(INDEX(醫師週班表!$C$5:$T$44,$CU33,M$57),""),2,1)="(",LEFT(IFERROR(INDEX(醫師週班表!$C$5:$T$44,$CU33,M$57),""),1),IFERROR(INDEX(醫師週班表!$C$5:$T$44,$CU33,M$57),"")))))))</f>
        <v/>
      </c>
      <c r="N33" s="71">
        <f>IF(N$59="X","",IF(N$59&lt;&gt;"",N$59,IF(IFERROR(INDEX(醫師週班表!$C$5:$T$44,$CU33,N$57),"")=0,"",IF(MID(IFERROR(INDEX(醫師週班表!$C$5:$T$44,$CU33,N$57),""),2,1)="/",MID(IFERROR(INDEX(醫師週班表!$C$5:$T$44,$CU33,N$57),""),1+N$58*2,1),IF(MID(IFERROR(INDEX(醫師週班表!$C$5:$T$44,$CU33,N$57),""),3,1)="隔",IF(N$58=0,LEFT(IFERROR(INDEX(醫師週班表!$C$5:$T$44,$CU33,N$57),""),1),""),IF(MID(IFERROR(INDEX(醫師週班表!$C$5:$T$44,$CU33,N$57),""),2,1)="(",LEFT(IFERROR(INDEX(醫師週班表!$C$5:$T$44,$CU33,N$57),""),1),IFERROR(INDEX(醫師週班表!$C$5:$T$44,$CU33,N$57),"")))))))</f>
        <v/>
      </c>
      <c r="O33" s="72">
        <f>IF(O$59="X","",IF(O$59&lt;&gt;"",O$59,IF(IFERROR(INDEX(醫師週班表!$C$5:$T$44,$CU33,O$57),"")=0,"",IF(MID(IFERROR(INDEX(醫師週班表!$C$5:$T$44,$CU33,O$57),""),2,1)="/",MID(IFERROR(INDEX(醫師週班表!$C$5:$T$44,$CU33,O$57),""),1+O$58*2,1),IF(MID(IFERROR(INDEX(醫師週班表!$C$5:$T$44,$CU33,O$57),""),3,1)="隔",IF(O$58=0,LEFT(IFERROR(INDEX(醫師週班表!$C$5:$T$44,$CU33,O$57),""),1),""),IF(MID(IFERROR(INDEX(醫師週班表!$C$5:$T$44,$CU33,O$57),""),2,1)="(",LEFT(IFERROR(INDEX(醫師週班表!$C$5:$T$44,$CU33,O$57),""),1),IFERROR(INDEX(醫師週班表!$C$5:$T$44,$CU33,O$57),"")))))))</f>
        <v/>
      </c>
      <c r="P33" s="72">
        <f>IF(P$59="X","",IF(P$59&lt;&gt;"",P$59,IF(IFERROR(INDEX(醫師週班表!$C$5:$T$44,$CU33,P$57),"")=0,"",IF(MID(IFERROR(INDEX(醫師週班表!$C$5:$T$44,$CU33,P$57),""),2,1)="/",MID(IFERROR(INDEX(醫師週班表!$C$5:$T$44,$CU33,P$57),""),1+P$58*2,1),IF(MID(IFERROR(INDEX(醫師週班表!$C$5:$T$44,$CU33,P$57),""),3,1)="隔",IF(P$58=0,LEFT(IFERROR(INDEX(醫師週班表!$C$5:$T$44,$CU33,P$57),""),1),""),IF(MID(IFERROR(INDEX(醫師週班表!$C$5:$T$44,$CU33,P$57),""),2,1)="(",LEFT(IFERROR(INDEX(醫師週班表!$C$5:$T$44,$CU33,P$57),""),1),IFERROR(INDEX(醫師週班表!$C$5:$T$44,$CU33,P$57),"")))))))</f>
        <v/>
      </c>
      <c r="Q33" s="71">
        <f>IF(Q$59="X","",IF(Q$59&lt;&gt;"",Q$59,IF(IFERROR(INDEX(醫師週班表!$C$5:$T$44,$CU33,Q$57),"")=0,"",IF(MID(IFERROR(INDEX(醫師週班表!$C$5:$T$44,$CU33,Q$57),""),2,1)="/",MID(IFERROR(INDEX(醫師週班表!$C$5:$T$44,$CU33,Q$57),""),1+Q$58*2,1),IF(MID(IFERROR(INDEX(醫師週班表!$C$5:$T$44,$CU33,Q$57),""),3,1)="隔",IF(Q$58=0,LEFT(IFERROR(INDEX(醫師週班表!$C$5:$T$44,$CU33,Q$57),""),1),""),IF(MID(IFERROR(INDEX(醫師週班表!$C$5:$T$44,$CU33,Q$57),""),2,1)="(",LEFT(IFERROR(INDEX(醫師週班表!$C$5:$T$44,$CU33,Q$57),""),1),IFERROR(INDEX(醫師週班表!$C$5:$T$44,$CU33,Q$57),"")))))))</f>
        <v/>
      </c>
      <c r="R33" s="72">
        <f>IF(R$59="X","",IF(R$59&lt;&gt;"",R$59,IF(IFERROR(INDEX(醫師週班表!$C$5:$T$44,$CU33,R$57),"")=0,"",IF(MID(IFERROR(INDEX(醫師週班表!$C$5:$T$44,$CU33,R$57),""),2,1)="/",MID(IFERROR(INDEX(醫師週班表!$C$5:$T$44,$CU33,R$57),""),1+R$58*2,1),IF(MID(IFERROR(INDEX(醫師週班表!$C$5:$T$44,$CU33,R$57),""),3,1)="隔",IF(R$58=0,LEFT(IFERROR(INDEX(醫師週班表!$C$5:$T$44,$CU33,R$57),""),1),""),IF(MID(IFERROR(INDEX(醫師週班表!$C$5:$T$44,$CU33,R$57),""),2,1)="(",LEFT(IFERROR(INDEX(醫師週班表!$C$5:$T$44,$CU33,R$57),""),1),IFERROR(INDEX(醫師週班表!$C$5:$T$44,$CU33,R$57),"")))))))</f>
        <v/>
      </c>
      <c r="S33" s="72">
        <f>IF(S$59="X","",IF(S$59&lt;&gt;"",S$59,IF(IFERROR(INDEX(醫師週班表!$C$5:$T$44,$CU33,S$57),"")=0,"",IF(MID(IFERROR(INDEX(醫師週班表!$C$5:$T$44,$CU33,S$57),""),2,1)="/",MID(IFERROR(INDEX(醫師週班表!$C$5:$T$44,$CU33,S$57),""),1+S$58*2,1),IF(MID(IFERROR(INDEX(醫師週班表!$C$5:$T$44,$CU33,S$57),""),3,1)="隔",IF(S$58=0,LEFT(IFERROR(INDEX(醫師週班表!$C$5:$T$44,$CU33,S$57),""),1),""),IF(MID(IFERROR(INDEX(醫師週班表!$C$5:$T$44,$CU33,S$57),""),2,1)="(",LEFT(IFERROR(INDEX(醫師週班表!$C$5:$T$44,$CU33,S$57),""),1),IFERROR(INDEX(醫師週班表!$C$5:$T$44,$CU33,S$57),"")))))))</f>
        <v/>
      </c>
      <c r="T33" s="71">
        <f>IF(T$59="X","",IF(T$59&lt;&gt;"",T$59,IF(IFERROR(INDEX(醫師週班表!$C$5:$T$44,$CU33,T$57),"")=0,"",IF(MID(IFERROR(INDEX(醫師週班表!$C$5:$T$44,$CU33,T$57),""),2,1)="/",MID(IFERROR(INDEX(醫師週班表!$C$5:$T$44,$CU33,T$57),""),1+T$58*2,1),IF(MID(IFERROR(INDEX(醫師週班表!$C$5:$T$44,$CU33,T$57),""),3,1)="隔",IF(T$58=0,LEFT(IFERROR(INDEX(醫師週班表!$C$5:$T$44,$CU33,T$57),""),1),""),IF(MID(IFERROR(INDEX(醫師週班表!$C$5:$T$44,$CU33,T$57),""),2,1)="(",LEFT(IFERROR(INDEX(醫師週班表!$C$5:$T$44,$CU33,T$57),""),1),IFERROR(INDEX(醫師週班表!$C$5:$T$44,$CU33,T$57),"")))))))</f>
        <v/>
      </c>
      <c r="U33" s="72">
        <f>IF(U$59="X","",IF(U$59&lt;&gt;"",U$59,IF(IFERROR(INDEX(醫師週班表!$C$5:$T$44,$CU33,U$57),"")=0,"",IF(MID(IFERROR(INDEX(醫師週班表!$C$5:$T$44,$CU33,U$57),""),2,1)="/",MID(IFERROR(INDEX(醫師週班表!$C$5:$T$44,$CU33,U$57),""),1+U$58*2,1),IF(MID(IFERROR(INDEX(醫師週班表!$C$5:$T$44,$CU33,U$57),""),3,1)="隔",IF(U$58=0,LEFT(IFERROR(INDEX(醫師週班表!$C$5:$T$44,$CU33,U$57),""),1),""),IF(MID(IFERROR(INDEX(醫師週班表!$C$5:$T$44,$CU33,U$57),""),2,1)="(",LEFT(IFERROR(INDEX(醫師週班表!$C$5:$T$44,$CU33,U$57),""),1),IFERROR(INDEX(醫師週班表!$C$5:$T$44,$CU33,U$57),"")))))))</f>
        <v/>
      </c>
      <c r="V33" s="72">
        <f>IF(V$59="X","",IF(V$59&lt;&gt;"",V$59,IF(IFERROR(INDEX(醫師週班表!$C$5:$T$44,$CU33,V$57),"")=0,"",IF(MID(IFERROR(INDEX(醫師週班表!$C$5:$T$44,$CU33,V$57),""),2,1)="/",MID(IFERROR(INDEX(醫師週班表!$C$5:$T$44,$CU33,V$57),""),1+V$58*2,1),IF(MID(IFERROR(INDEX(醫師週班表!$C$5:$T$44,$CU33,V$57),""),3,1)="隔",IF(V$58=0,LEFT(IFERROR(INDEX(醫師週班表!$C$5:$T$44,$CU33,V$57),""),1),""),IF(MID(IFERROR(INDEX(醫師週班表!$C$5:$T$44,$CU33,V$57),""),2,1)="(",LEFT(IFERROR(INDEX(醫師週班表!$C$5:$T$44,$CU33,V$57),""),1),IFERROR(INDEX(醫師週班表!$C$5:$T$44,$CU33,V$57),"")))))))</f>
        <v/>
      </c>
      <c r="W33" s="71">
        <f>IF(W$59="X","",IF(W$59&lt;&gt;"",W$59,IF(IFERROR(INDEX(醫師週班表!$C$5:$T$44,$CU33,W$57),"")=0,"",IF(MID(IFERROR(INDEX(醫師週班表!$C$5:$T$44,$CU33,W$57),""),2,1)="/",MID(IFERROR(INDEX(醫師週班表!$C$5:$T$44,$CU33,W$57),""),1+W$58*2,1),IF(MID(IFERROR(INDEX(醫師週班表!$C$5:$T$44,$CU33,W$57),""),3,1)="隔",IF(W$58=0,LEFT(IFERROR(INDEX(醫師週班表!$C$5:$T$44,$CU33,W$57),""),1),""),IF(MID(IFERROR(INDEX(醫師週班表!$C$5:$T$44,$CU33,W$57),""),2,1)="(",LEFT(IFERROR(INDEX(醫師週班表!$C$5:$T$44,$CU33,W$57),""),1),IFERROR(INDEX(醫師週班表!$C$5:$T$44,$CU33,W$57),"")))))))</f>
        <v/>
      </c>
      <c r="X33" s="72">
        <f>IF(X$59="X","",IF(X$59&lt;&gt;"",X$59,IF(IFERROR(INDEX(醫師週班表!$C$5:$T$44,$CU33,X$57),"")=0,"",IF(MID(IFERROR(INDEX(醫師週班表!$C$5:$T$44,$CU33,X$57),""),2,1)="/",MID(IFERROR(INDEX(醫師週班表!$C$5:$T$44,$CU33,X$57),""),1+X$58*2,1),IF(MID(IFERROR(INDEX(醫師週班表!$C$5:$T$44,$CU33,X$57),""),3,1)="隔",IF(X$58=0,LEFT(IFERROR(INDEX(醫師週班表!$C$5:$T$44,$CU33,X$57),""),1),""),IF(MID(IFERROR(INDEX(醫師週班表!$C$5:$T$44,$CU33,X$57),""),2,1)="(",LEFT(IFERROR(INDEX(醫師週班表!$C$5:$T$44,$CU33,X$57),""),1),IFERROR(INDEX(醫師週班表!$C$5:$T$44,$CU33,X$57),"")))))))</f>
        <v/>
      </c>
      <c r="Y33" s="72">
        <f>IF(Y$59="X","",IF(Y$59&lt;&gt;"",Y$59,IF(IFERROR(INDEX(醫師週班表!$C$5:$T$44,$CU33,Y$57),"")=0,"",IF(MID(IFERROR(INDEX(醫師週班表!$C$5:$T$44,$CU33,Y$57),""),2,1)="/",MID(IFERROR(INDEX(醫師週班表!$C$5:$T$44,$CU33,Y$57),""),1+Y$58*2,1),IF(MID(IFERROR(INDEX(醫師週班表!$C$5:$T$44,$CU33,Y$57),""),3,1)="隔",IF(Y$58=0,LEFT(IFERROR(INDEX(醫師週班表!$C$5:$T$44,$CU33,Y$57),""),1),""),IF(MID(IFERROR(INDEX(醫師週班表!$C$5:$T$44,$CU33,Y$57),""),2,1)="(",LEFT(IFERROR(INDEX(醫師週班表!$C$5:$T$44,$CU33,Y$57),""),1),IFERROR(INDEX(醫師週班表!$C$5:$T$44,$CU33,Y$57),"")))))))</f>
        <v/>
      </c>
      <c r="Z33" s="71">
        <f>IF(Z$59="X","",IF(Z$59&lt;&gt;"",Z$59,IF(IFERROR(INDEX(醫師週班表!$C$5:$T$44,$CU33,Z$57),"")=0,"",IF(MID(IFERROR(INDEX(醫師週班表!$C$5:$T$44,$CU33,Z$57),""),2,1)="/",MID(IFERROR(INDEX(醫師週班表!$C$5:$T$44,$CU33,Z$57),""),1+Z$58*2,1),IF(MID(IFERROR(INDEX(醫師週班表!$C$5:$T$44,$CU33,Z$57),""),3,1)="隔",IF(Z$58=0,LEFT(IFERROR(INDEX(醫師週班表!$C$5:$T$44,$CU33,Z$57),""),1),""),IF(MID(IFERROR(INDEX(醫師週班表!$C$5:$T$44,$CU33,Z$57),""),2,1)="(",LEFT(IFERROR(INDEX(醫師週班表!$C$5:$T$44,$CU33,Z$57),""),1),IFERROR(INDEX(醫師週班表!$C$5:$T$44,$CU33,Z$57),"")))))))</f>
        <v/>
      </c>
      <c r="AA33" s="72">
        <f>IF(AA$59="X","",IF(AA$59&lt;&gt;"",AA$59,IF(IFERROR(INDEX(醫師週班表!$C$5:$T$44,$CU33,AA$57),"")=0,"",IF(MID(IFERROR(INDEX(醫師週班表!$C$5:$T$44,$CU33,AA$57),""),2,1)="/",MID(IFERROR(INDEX(醫師週班表!$C$5:$T$44,$CU33,AA$57),""),1+AA$58*2,1),IF(MID(IFERROR(INDEX(醫師週班表!$C$5:$T$44,$CU33,AA$57),""),3,1)="隔",IF(AA$58=0,LEFT(IFERROR(INDEX(醫師週班表!$C$5:$T$44,$CU33,AA$57),""),1),""),IF(MID(IFERROR(INDEX(醫師週班表!$C$5:$T$44,$CU33,AA$57),""),2,1)="(",LEFT(IFERROR(INDEX(醫師週班表!$C$5:$T$44,$CU33,AA$57),""),1),IFERROR(INDEX(醫師週班表!$C$5:$T$44,$CU33,AA$57),"")))))))</f>
        <v/>
      </c>
      <c r="AB33" s="72">
        <f>IF(AB$59="X","",IF(AB$59&lt;&gt;"",AB$59,IF(IFERROR(INDEX(醫師週班表!$C$5:$T$44,$CU33,AB$57),"")=0,"",IF(MID(IFERROR(INDEX(醫師週班表!$C$5:$T$44,$CU33,AB$57),""),2,1)="/",MID(IFERROR(INDEX(醫師週班表!$C$5:$T$44,$CU33,AB$57),""),1+AB$58*2,1),IF(MID(IFERROR(INDEX(醫師週班表!$C$5:$T$44,$CU33,AB$57),""),3,1)="隔",IF(AB$58=0,LEFT(IFERROR(INDEX(醫師週班表!$C$5:$T$44,$CU33,AB$57),""),1),""),IF(MID(IFERROR(INDEX(醫師週班表!$C$5:$T$44,$CU33,AB$57),""),2,1)="(",LEFT(IFERROR(INDEX(醫師週班表!$C$5:$T$44,$CU33,AB$57),""),1),IFERROR(INDEX(醫師週班表!$C$5:$T$44,$CU33,AB$57),"")))))))</f>
        <v/>
      </c>
      <c r="AC33" s="71">
        <f>IF(AC$59="X","",IF(AC$59&lt;&gt;"",AC$59,IF(IFERROR(INDEX(醫師週班表!$C$5:$T$44,$CU33,AC$57),"")=0,"",IF(MID(IFERROR(INDEX(醫師週班表!$C$5:$T$44,$CU33,AC$57),""),2,1)="/",MID(IFERROR(INDEX(醫師週班表!$C$5:$T$44,$CU33,AC$57),""),1+AC$58*2,1),IF(MID(IFERROR(INDEX(醫師週班表!$C$5:$T$44,$CU33,AC$57),""),3,1)="隔",IF(AC$58=0,LEFT(IFERROR(INDEX(醫師週班表!$C$5:$T$44,$CU33,AC$57),""),1),""),IF(MID(IFERROR(INDEX(醫師週班表!$C$5:$T$44,$CU33,AC$57),""),2,1)="(",LEFT(IFERROR(INDEX(醫師週班表!$C$5:$T$44,$CU33,AC$57),""),1),IFERROR(INDEX(醫師週班表!$C$5:$T$44,$CU33,AC$57),"")))))))</f>
        <v/>
      </c>
      <c r="AD33" s="72">
        <f>IF(AD$59="X","",IF(AD$59&lt;&gt;"",AD$59,IF(IFERROR(INDEX(醫師週班表!$C$5:$T$44,$CU33,AD$57),"")=0,"",IF(MID(IFERROR(INDEX(醫師週班表!$C$5:$T$44,$CU33,AD$57),""),2,1)="/",MID(IFERROR(INDEX(醫師週班表!$C$5:$T$44,$CU33,AD$57),""),1+AD$58*2,1),IF(MID(IFERROR(INDEX(醫師週班表!$C$5:$T$44,$CU33,AD$57),""),3,1)="隔",IF(AD$58=0,LEFT(IFERROR(INDEX(醫師週班表!$C$5:$T$44,$CU33,AD$57),""),1),""),IF(MID(IFERROR(INDEX(醫師週班表!$C$5:$T$44,$CU33,AD$57),""),2,1)="(",LEFT(IFERROR(INDEX(醫師週班表!$C$5:$T$44,$CU33,AD$57),""),1),IFERROR(INDEX(醫師週班表!$C$5:$T$44,$CU33,AD$57),"")))))))</f>
        <v/>
      </c>
      <c r="AE33" s="72">
        <f>IF(AE$59="X","",IF(AE$59&lt;&gt;"",AE$59,IF(IFERROR(INDEX(醫師週班表!$C$5:$T$44,$CU33,AE$57),"")=0,"",IF(MID(IFERROR(INDEX(醫師週班表!$C$5:$T$44,$CU33,AE$57),""),2,1)="/",MID(IFERROR(INDEX(醫師週班表!$C$5:$T$44,$CU33,AE$57),""),1+AE$58*2,1),IF(MID(IFERROR(INDEX(醫師週班表!$C$5:$T$44,$CU33,AE$57),""),3,1)="隔",IF(AE$58=0,LEFT(IFERROR(INDEX(醫師週班表!$C$5:$T$44,$CU33,AE$57),""),1),""),IF(MID(IFERROR(INDEX(醫師週班表!$C$5:$T$44,$CU33,AE$57),""),2,1)="(",LEFT(IFERROR(INDEX(醫師週班表!$C$5:$T$44,$CU33,AE$57),""),1),IFERROR(INDEX(醫師週班表!$C$5:$T$44,$CU33,AE$57),"")))))))</f>
        <v/>
      </c>
      <c r="AF33" s="71">
        <f>IF(AF$59="X","",IF(AF$59&lt;&gt;"",AF$59,IF(IFERROR(INDEX(醫師週班表!$C$5:$T$44,$CU33,AF$57),"")=0,"",IF(MID(IFERROR(INDEX(醫師週班表!$C$5:$T$44,$CU33,AF$57),""),2,1)="/",MID(IFERROR(INDEX(醫師週班表!$C$5:$T$44,$CU33,AF$57),""),1+AF$58*2,1),IF(MID(IFERROR(INDEX(醫師週班表!$C$5:$T$44,$CU33,AF$57),""),3,1)="隔",IF(AF$58=0,LEFT(IFERROR(INDEX(醫師週班表!$C$5:$T$44,$CU33,AF$57),""),1),""),IF(MID(IFERROR(INDEX(醫師週班表!$C$5:$T$44,$CU33,AF$57),""),2,1)="(",LEFT(IFERROR(INDEX(醫師週班表!$C$5:$T$44,$CU33,AF$57),""),1),IFERROR(INDEX(醫師週班表!$C$5:$T$44,$CU33,AF$57),"")))))))</f>
        <v/>
      </c>
      <c r="AG33" s="72">
        <f>IF(AG$59="X","",IF(AG$59&lt;&gt;"",AG$59,IF(IFERROR(INDEX(醫師週班表!$C$5:$T$44,$CU33,AG$57),"")=0,"",IF(MID(IFERROR(INDEX(醫師週班表!$C$5:$T$44,$CU33,AG$57),""),2,1)="/",MID(IFERROR(INDEX(醫師週班表!$C$5:$T$44,$CU33,AG$57),""),1+AG$58*2,1),IF(MID(IFERROR(INDEX(醫師週班表!$C$5:$T$44,$CU33,AG$57),""),3,1)="隔",IF(AG$58=0,LEFT(IFERROR(INDEX(醫師週班表!$C$5:$T$44,$CU33,AG$57),""),1),""),IF(MID(IFERROR(INDEX(醫師週班表!$C$5:$T$44,$CU33,AG$57),""),2,1)="(",LEFT(IFERROR(INDEX(醫師週班表!$C$5:$T$44,$CU33,AG$57),""),1),IFERROR(INDEX(醫師週班表!$C$5:$T$44,$CU33,AG$57),"")))))))</f>
        <v/>
      </c>
      <c r="AH33" s="72">
        <f>IF(AH$59="X","",IF(AH$59&lt;&gt;"",AH$59,IF(IFERROR(INDEX(醫師週班表!$C$5:$T$44,$CU33,AH$57),"")=0,"",IF(MID(IFERROR(INDEX(醫師週班表!$C$5:$T$44,$CU33,AH$57),""),2,1)="/",MID(IFERROR(INDEX(醫師週班表!$C$5:$T$44,$CU33,AH$57),""),1+AH$58*2,1),IF(MID(IFERROR(INDEX(醫師週班表!$C$5:$T$44,$CU33,AH$57),""),3,1)="隔",IF(AH$58=0,LEFT(IFERROR(INDEX(醫師週班表!$C$5:$T$44,$CU33,AH$57),""),1),""),IF(MID(IFERROR(INDEX(醫師週班表!$C$5:$T$44,$CU33,AH$57),""),2,1)="(",LEFT(IFERROR(INDEX(醫師週班表!$C$5:$T$44,$CU33,AH$57),""),1),IFERROR(INDEX(醫師週班表!$C$5:$T$44,$CU33,AH$57),"")))))))</f>
        <v/>
      </c>
      <c r="AI33" s="71">
        <f>IF(AI$59="X","",IF(AI$59&lt;&gt;"",AI$59,IF(IFERROR(INDEX(醫師週班表!$C$5:$T$44,$CU33,AI$57),"")=0,"",IF(MID(IFERROR(INDEX(醫師週班表!$C$5:$T$44,$CU33,AI$57),""),2,1)="/",MID(IFERROR(INDEX(醫師週班表!$C$5:$T$44,$CU33,AI$57),""),1+AI$58*2,1),IF(MID(IFERROR(INDEX(醫師週班表!$C$5:$T$44,$CU33,AI$57),""),3,1)="隔",IF(AI$58=0,LEFT(IFERROR(INDEX(醫師週班表!$C$5:$T$44,$CU33,AI$57),""),1),""),IF(MID(IFERROR(INDEX(醫師週班表!$C$5:$T$44,$CU33,AI$57),""),2,1)="(",LEFT(IFERROR(INDEX(醫師週班表!$C$5:$T$44,$CU33,AI$57),""),1),IFERROR(INDEX(醫師週班表!$C$5:$T$44,$CU33,AI$57),"")))))))</f>
        <v/>
      </c>
      <c r="AJ33" s="72">
        <f>IF(AJ$59="X","",IF(AJ$59&lt;&gt;"",AJ$59,IF(IFERROR(INDEX(醫師週班表!$C$5:$T$44,$CU33,AJ$57),"")=0,"",IF(MID(IFERROR(INDEX(醫師週班表!$C$5:$T$44,$CU33,AJ$57),""),2,1)="/",MID(IFERROR(INDEX(醫師週班表!$C$5:$T$44,$CU33,AJ$57),""),1+AJ$58*2,1),IF(MID(IFERROR(INDEX(醫師週班表!$C$5:$T$44,$CU33,AJ$57),""),3,1)="隔",IF(AJ$58=0,LEFT(IFERROR(INDEX(醫師週班表!$C$5:$T$44,$CU33,AJ$57),""),1),""),IF(MID(IFERROR(INDEX(醫師週班表!$C$5:$T$44,$CU33,AJ$57),""),2,1)="(",LEFT(IFERROR(INDEX(醫師週班表!$C$5:$T$44,$CU33,AJ$57),""),1),IFERROR(INDEX(醫師週班表!$C$5:$T$44,$CU33,AJ$57),"")))))))</f>
        <v/>
      </c>
      <c r="AK33" s="72">
        <f>IF(AK$59="X","",IF(AK$59&lt;&gt;"",AK$59,IF(IFERROR(INDEX(醫師週班表!$C$5:$T$44,$CU33,AK$57),"")=0,"",IF(MID(IFERROR(INDEX(醫師週班表!$C$5:$T$44,$CU33,AK$57),""),2,1)="/",MID(IFERROR(INDEX(醫師週班表!$C$5:$T$44,$CU33,AK$57),""),1+AK$58*2,1),IF(MID(IFERROR(INDEX(醫師週班表!$C$5:$T$44,$CU33,AK$57),""),3,1)="隔",IF(AK$58=0,LEFT(IFERROR(INDEX(醫師週班表!$C$5:$T$44,$CU33,AK$57),""),1),""),IF(MID(IFERROR(INDEX(醫師週班表!$C$5:$T$44,$CU33,AK$57),""),2,1)="(",LEFT(IFERROR(INDEX(醫師週班表!$C$5:$T$44,$CU33,AK$57),""),1),IFERROR(INDEX(醫師週班表!$C$5:$T$44,$CU33,AK$57),"")))))))</f>
        <v/>
      </c>
      <c r="AL33" s="71">
        <f>IF(AL$59="X","",IF(AL$59&lt;&gt;"",AL$59,IF(IFERROR(INDEX(醫師週班表!$C$5:$T$44,$CU33,AL$57),"")=0,"",IF(MID(IFERROR(INDEX(醫師週班表!$C$5:$T$44,$CU33,AL$57),""),2,1)="/",MID(IFERROR(INDEX(醫師週班表!$C$5:$T$44,$CU33,AL$57),""),1+AL$58*2,1),IF(MID(IFERROR(INDEX(醫師週班表!$C$5:$T$44,$CU33,AL$57),""),3,1)="隔",IF(AL$58=0,LEFT(IFERROR(INDEX(醫師週班表!$C$5:$T$44,$CU33,AL$57),""),1),""),IF(MID(IFERROR(INDEX(醫師週班表!$C$5:$T$44,$CU33,AL$57),""),2,1)="(",LEFT(IFERROR(INDEX(醫師週班表!$C$5:$T$44,$CU33,AL$57),""),1),IFERROR(INDEX(醫師週班表!$C$5:$T$44,$CU33,AL$57),"")))))))</f>
        <v/>
      </c>
      <c r="AM33" s="72">
        <f>IF(AM$59="X","",IF(AM$59&lt;&gt;"",AM$59,IF(IFERROR(INDEX(醫師週班表!$C$5:$T$44,$CU33,AM$57),"")=0,"",IF(MID(IFERROR(INDEX(醫師週班表!$C$5:$T$44,$CU33,AM$57),""),2,1)="/",MID(IFERROR(INDEX(醫師週班表!$C$5:$T$44,$CU33,AM$57),""),1+AM$58*2,1),IF(MID(IFERROR(INDEX(醫師週班表!$C$5:$T$44,$CU33,AM$57),""),3,1)="隔",IF(AM$58=0,LEFT(IFERROR(INDEX(醫師週班表!$C$5:$T$44,$CU33,AM$57),""),1),""),IF(MID(IFERROR(INDEX(醫師週班表!$C$5:$T$44,$CU33,AM$57),""),2,1)="(",LEFT(IFERROR(INDEX(醫師週班表!$C$5:$T$44,$CU33,AM$57),""),1),IFERROR(INDEX(醫師週班表!$C$5:$T$44,$CU33,AM$57),"")))))))</f>
        <v/>
      </c>
      <c r="AN33" s="72">
        <f>IF(AN$59="X","",IF(AN$59&lt;&gt;"",AN$59,IF(IFERROR(INDEX(醫師週班表!$C$5:$T$44,$CU33,AN$57),"")=0,"",IF(MID(IFERROR(INDEX(醫師週班表!$C$5:$T$44,$CU33,AN$57),""),2,1)="/",MID(IFERROR(INDEX(醫師週班表!$C$5:$T$44,$CU33,AN$57),""),1+AN$58*2,1),IF(MID(IFERROR(INDEX(醫師週班表!$C$5:$T$44,$CU33,AN$57),""),3,1)="隔",IF(AN$58=0,LEFT(IFERROR(INDEX(醫師週班表!$C$5:$T$44,$CU33,AN$57),""),1),""),IF(MID(IFERROR(INDEX(醫師週班表!$C$5:$T$44,$CU33,AN$57),""),2,1)="(",LEFT(IFERROR(INDEX(醫師週班表!$C$5:$T$44,$CU33,AN$57),""),1),IFERROR(INDEX(醫師週班表!$C$5:$T$44,$CU33,AN$57),"")))))))</f>
        <v/>
      </c>
      <c r="AO33" s="71">
        <f>IF(AO$59="X","",IF(AO$59&lt;&gt;"",AO$59,IF(IFERROR(INDEX(醫師週班表!$C$5:$T$44,$CU33,AO$57),"")=0,"",IF(MID(IFERROR(INDEX(醫師週班表!$C$5:$T$44,$CU33,AO$57),""),2,1)="/",MID(IFERROR(INDEX(醫師週班表!$C$5:$T$44,$CU33,AO$57),""),1+AO$58*2,1),IF(MID(IFERROR(INDEX(醫師週班表!$C$5:$T$44,$CU33,AO$57),""),3,1)="隔",IF(AO$58=0,LEFT(IFERROR(INDEX(醫師週班表!$C$5:$T$44,$CU33,AO$57),""),1),""),IF(MID(IFERROR(INDEX(醫師週班表!$C$5:$T$44,$CU33,AO$57),""),2,1)="(",LEFT(IFERROR(INDEX(醫師週班表!$C$5:$T$44,$CU33,AO$57),""),1),IFERROR(INDEX(醫師週班表!$C$5:$T$44,$CU33,AO$57),"")))))))</f>
        <v/>
      </c>
      <c r="AP33" s="72">
        <f>IF(AP$59="X","",IF(AP$59&lt;&gt;"",AP$59,IF(IFERROR(INDEX(醫師週班表!$C$5:$T$44,$CU33,AP$57),"")=0,"",IF(MID(IFERROR(INDEX(醫師週班表!$C$5:$T$44,$CU33,AP$57),""),2,1)="/",MID(IFERROR(INDEX(醫師週班表!$C$5:$T$44,$CU33,AP$57),""),1+AP$58*2,1),IF(MID(IFERROR(INDEX(醫師週班表!$C$5:$T$44,$CU33,AP$57),""),3,1)="隔",IF(AP$58=0,LEFT(IFERROR(INDEX(醫師週班表!$C$5:$T$44,$CU33,AP$57),""),1),""),IF(MID(IFERROR(INDEX(醫師週班表!$C$5:$T$44,$CU33,AP$57),""),2,1)="(",LEFT(IFERROR(INDEX(醫師週班表!$C$5:$T$44,$CU33,AP$57),""),1),IFERROR(INDEX(醫師週班表!$C$5:$T$44,$CU33,AP$57),"")))))))</f>
        <v/>
      </c>
      <c r="AQ33" s="72">
        <f>IF(AQ$59="X","",IF(AQ$59&lt;&gt;"",AQ$59,IF(IFERROR(INDEX(醫師週班表!$C$5:$T$44,$CU33,AQ$57),"")=0,"",IF(MID(IFERROR(INDEX(醫師週班表!$C$5:$T$44,$CU33,AQ$57),""),2,1)="/",MID(IFERROR(INDEX(醫師週班表!$C$5:$T$44,$CU33,AQ$57),""),1+AQ$58*2,1),IF(MID(IFERROR(INDEX(醫師週班表!$C$5:$T$44,$CU33,AQ$57),""),3,1)="隔",IF(AQ$58=0,LEFT(IFERROR(INDEX(醫師週班表!$C$5:$T$44,$CU33,AQ$57),""),1),""),IF(MID(IFERROR(INDEX(醫師週班表!$C$5:$T$44,$CU33,AQ$57),""),2,1)="(",LEFT(IFERROR(INDEX(醫師週班表!$C$5:$T$44,$CU33,AQ$57),""),1),IFERROR(INDEX(醫師週班表!$C$5:$T$44,$CU33,AQ$57),"")))))))</f>
        <v/>
      </c>
      <c r="AR33" s="71">
        <f>IF(AR$59="X","",IF(AR$59&lt;&gt;"",AR$59,IF(IFERROR(INDEX(醫師週班表!$C$5:$T$44,$CU33,AR$57),"")=0,"",IF(MID(IFERROR(INDEX(醫師週班表!$C$5:$T$44,$CU33,AR$57),""),2,1)="/",MID(IFERROR(INDEX(醫師週班表!$C$5:$T$44,$CU33,AR$57),""),1+AR$58*2,1),IF(MID(IFERROR(INDEX(醫師週班表!$C$5:$T$44,$CU33,AR$57),""),3,1)="隔",IF(AR$58=0,LEFT(IFERROR(INDEX(醫師週班表!$C$5:$T$44,$CU33,AR$57),""),1),""),IF(MID(IFERROR(INDEX(醫師週班表!$C$5:$T$44,$CU33,AR$57),""),2,1)="(",LEFT(IFERROR(INDEX(醫師週班表!$C$5:$T$44,$CU33,AR$57),""),1),IFERROR(INDEX(醫師週班表!$C$5:$T$44,$CU33,AR$57),"")))))))</f>
        <v/>
      </c>
      <c r="AS33" s="72">
        <f>IF(AS$59="X","",IF(AS$59&lt;&gt;"",AS$59,IF(IFERROR(INDEX(醫師週班表!$C$5:$T$44,$CU33,AS$57),"")=0,"",IF(MID(IFERROR(INDEX(醫師週班表!$C$5:$T$44,$CU33,AS$57),""),2,1)="/",MID(IFERROR(INDEX(醫師週班表!$C$5:$T$44,$CU33,AS$57),""),1+AS$58*2,1),IF(MID(IFERROR(INDEX(醫師週班表!$C$5:$T$44,$CU33,AS$57),""),3,1)="隔",IF(AS$58=0,LEFT(IFERROR(INDEX(醫師週班表!$C$5:$T$44,$CU33,AS$57),""),1),""),IF(MID(IFERROR(INDEX(醫師週班表!$C$5:$T$44,$CU33,AS$57),""),2,1)="(",LEFT(IFERROR(INDEX(醫師週班表!$C$5:$T$44,$CU33,AS$57),""),1),IFERROR(INDEX(醫師週班表!$C$5:$T$44,$CU33,AS$57),"")))))))</f>
        <v/>
      </c>
      <c r="AT33" s="72">
        <f>IF(AT$59="X","",IF(AT$59&lt;&gt;"",AT$59,IF(IFERROR(INDEX(醫師週班表!$C$5:$T$44,$CU33,AT$57),"")=0,"",IF(MID(IFERROR(INDEX(醫師週班表!$C$5:$T$44,$CU33,AT$57),""),2,1)="/",MID(IFERROR(INDEX(醫師週班表!$C$5:$T$44,$CU33,AT$57),""),1+AT$58*2,1),IF(MID(IFERROR(INDEX(醫師週班表!$C$5:$T$44,$CU33,AT$57),""),3,1)="隔",IF(AT$58=0,LEFT(IFERROR(INDEX(醫師週班表!$C$5:$T$44,$CU33,AT$57),""),1),""),IF(MID(IFERROR(INDEX(醫師週班表!$C$5:$T$44,$CU33,AT$57),""),2,1)="(",LEFT(IFERROR(INDEX(醫師週班表!$C$5:$T$44,$CU33,AT$57),""),1),IFERROR(INDEX(醫師週班表!$C$5:$T$44,$CU33,AT$57),"")))))))</f>
        <v/>
      </c>
      <c r="AU33" s="71">
        <f>IF(AU$59="X","",IF(AU$59&lt;&gt;"",AU$59,IF(IFERROR(INDEX(醫師週班表!$C$5:$T$44,$CU33,AU$57),"")=0,"",IF(MID(IFERROR(INDEX(醫師週班表!$C$5:$T$44,$CU33,AU$57),""),2,1)="/",MID(IFERROR(INDEX(醫師週班表!$C$5:$T$44,$CU33,AU$57),""),1+AU$58*2,1),IF(MID(IFERROR(INDEX(醫師週班表!$C$5:$T$44,$CU33,AU$57),""),3,1)="隔",IF(AU$58=0,LEFT(IFERROR(INDEX(醫師週班表!$C$5:$T$44,$CU33,AU$57),""),1),""),IF(MID(IFERROR(INDEX(醫師週班表!$C$5:$T$44,$CU33,AU$57),""),2,1)="(",LEFT(IFERROR(INDEX(醫師週班表!$C$5:$T$44,$CU33,AU$57),""),1),IFERROR(INDEX(醫師週班表!$C$5:$T$44,$CU33,AU$57),"")))))))</f>
        <v/>
      </c>
      <c r="AV33" s="72">
        <f>IF(AV$59="X","",IF(AV$59&lt;&gt;"",AV$59,IF(IFERROR(INDEX(醫師週班表!$C$5:$T$44,$CU33,AV$57),"")=0,"",IF(MID(IFERROR(INDEX(醫師週班表!$C$5:$T$44,$CU33,AV$57),""),2,1)="/",MID(IFERROR(INDEX(醫師週班表!$C$5:$T$44,$CU33,AV$57),""),1+AV$58*2,1),IF(MID(IFERROR(INDEX(醫師週班表!$C$5:$T$44,$CU33,AV$57),""),3,1)="隔",IF(AV$58=0,LEFT(IFERROR(INDEX(醫師週班表!$C$5:$T$44,$CU33,AV$57),""),1),""),IF(MID(IFERROR(INDEX(醫師週班表!$C$5:$T$44,$CU33,AV$57),""),2,1)="(",LEFT(IFERROR(INDEX(醫師週班表!$C$5:$T$44,$CU33,AV$57),""),1),IFERROR(INDEX(醫師週班表!$C$5:$T$44,$CU33,AV$57),"")))))))</f>
        <v/>
      </c>
      <c r="AW33" s="72">
        <f>IF(AW$59="X","",IF(AW$59&lt;&gt;"",AW$59,IF(IFERROR(INDEX(醫師週班表!$C$5:$T$44,$CU33,AW$57),"")=0,"",IF(MID(IFERROR(INDEX(醫師週班表!$C$5:$T$44,$CU33,AW$57),""),2,1)="/",MID(IFERROR(INDEX(醫師週班表!$C$5:$T$44,$CU33,AW$57),""),1+AW$58*2,1),IF(MID(IFERROR(INDEX(醫師週班表!$C$5:$T$44,$CU33,AW$57),""),3,1)="隔",IF(AW$58=0,LEFT(IFERROR(INDEX(醫師週班表!$C$5:$T$44,$CU33,AW$57),""),1),""),IF(MID(IFERROR(INDEX(醫師週班表!$C$5:$T$44,$CU33,AW$57),""),2,1)="(",LEFT(IFERROR(INDEX(醫師週班表!$C$5:$T$44,$CU33,AW$57),""),1),IFERROR(INDEX(醫師週班表!$C$5:$T$44,$CU33,AW$57),"")))))))</f>
        <v/>
      </c>
      <c r="AX33" s="71">
        <f>IF(AX$59="X","",IF(AX$59&lt;&gt;"",AX$59,IF(IFERROR(INDEX(醫師週班表!$C$5:$T$44,$CU33,AX$57),"")=0,"",IF(MID(IFERROR(INDEX(醫師週班表!$C$5:$T$44,$CU33,AX$57),""),2,1)="/",MID(IFERROR(INDEX(醫師週班表!$C$5:$T$44,$CU33,AX$57),""),1+AX$58*2,1),IF(MID(IFERROR(INDEX(醫師週班表!$C$5:$T$44,$CU33,AX$57),""),3,1)="隔",IF(AX$58=0,LEFT(IFERROR(INDEX(醫師週班表!$C$5:$T$44,$CU33,AX$57),""),1),""),IF(MID(IFERROR(INDEX(醫師週班表!$C$5:$T$44,$CU33,AX$57),""),2,1)="(",LEFT(IFERROR(INDEX(醫師週班表!$C$5:$T$44,$CU33,AX$57),""),1),IFERROR(INDEX(醫師週班表!$C$5:$T$44,$CU33,AX$57),"")))))))</f>
        <v/>
      </c>
      <c r="AY33" s="72">
        <f>IF(AY$59="X","",IF(AY$59&lt;&gt;"",AY$59,IF(IFERROR(INDEX(醫師週班表!$C$5:$T$44,$CU33,AY$57),"")=0,"",IF(MID(IFERROR(INDEX(醫師週班表!$C$5:$T$44,$CU33,AY$57),""),2,1)="/",MID(IFERROR(INDEX(醫師週班表!$C$5:$T$44,$CU33,AY$57),""),1+AY$58*2,1),IF(MID(IFERROR(INDEX(醫師週班表!$C$5:$T$44,$CU33,AY$57),""),3,1)="隔",IF(AY$58=0,LEFT(IFERROR(INDEX(醫師週班表!$C$5:$T$44,$CU33,AY$57),""),1),""),IF(MID(IFERROR(INDEX(醫師週班表!$C$5:$T$44,$CU33,AY$57),""),2,1)="(",LEFT(IFERROR(INDEX(醫師週班表!$C$5:$T$44,$CU33,AY$57),""),1),IFERROR(INDEX(醫師週班表!$C$5:$T$44,$CU33,AY$57),"")))))))</f>
        <v/>
      </c>
      <c r="AZ33" s="72">
        <f>IF(AZ$59="X","",IF(AZ$59&lt;&gt;"",AZ$59,IF(IFERROR(INDEX(醫師週班表!$C$5:$T$44,$CU33,AZ$57),"")=0,"",IF(MID(IFERROR(INDEX(醫師週班表!$C$5:$T$44,$CU33,AZ$57),""),2,1)="/",MID(IFERROR(INDEX(醫師週班表!$C$5:$T$44,$CU33,AZ$57),""),1+AZ$58*2,1),IF(MID(IFERROR(INDEX(醫師週班表!$C$5:$T$44,$CU33,AZ$57),""),3,1)="隔",IF(AZ$58=0,LEFT(IFERROR(INDEX(醫師週班表!$C$5:$T$44,$CU33,AZ$57),""),1),""),IF(MID(IFERROR(INDEX(醫師週班表!$C$5:$T$44,$CU33,AZ$57),""),2,1)="(",LEFT(IFERROR(INDEX(醫師週班表!$C$5:$T$44,$CU33,AZ$57),""),1),IFERROR(INDEX(醫師週班表!$C$5:$T$44,$CU33,AZ$57),"")))))))</f>
        <v/>
      </c>
      <c r="BA33" s="71">
        <f>IF(BA$59="X","",IF(BA$59&lt;&gt;"",BA$59,IF(IFERROR(INDEX(醫師週班表!$C$5:$T$44,$CU33,BA$57),"")=0,"",IF(MID(IFERROR(INDEX(醫師週班表!$C$5:$T$44,$CU33,BA$57),""),2,1)="/",MID(IFERROR(INDEX(醫師週班表!$C$5:$T$44,$CU33,BA$57),""),1+BA$58*2,1),IF(MID(IFERROR(INDEX(醫師週班表!$C$5:$T$44,$CU33,BA$57),""),3,1)="隔",IF(BA$58=0,LEFT(IFERROR(INDEX(醫師週班表!$C$5:$T$44,$CU33,BA$57),""),1),""),IF(MID(IFERROR(INDEX(醫師週班表!$C$5:$T$44,$CU33,BA$57),""),2,1)="(",LEFT(IFERROR(INDEX(醫師週班表!$C$5:$T$44,$CU33,BA$57),""),1),IFERROR(INDEX(醫師週班表!$C$5:$T$44,$CU33,BA$57),"")))))))</f>
        <v/>
      </c>
      <c r="BB33" s="72">
        <f>IF(BB$59="X","",IF(BB$59&lt;&gt;"",BB$59,IF(IFERROR(INDEX(醫師週班表!$C$5:$T$44,$CU33,BB$57),"")=0,"",IF(MID(IFERROR(INDEX(醫師週班表!$C$5:$T$44,$CU33,BB$57),""),2,1)="/",MID(IFERROR(INDEX(醫師週班表!$C$5:$T$44,$CU33,BB$57),""),1+BB$58*2,1),IF(MID(IFERROR(INDEX(醫師週班表!$C$5:$T$44,$CU33,BB$57),""),3,1)="隔",IF(BB$58=0,LEFT(IFERROR(INDEX(醫師週班表!$C$5:$T$44,$CU33,BB$57),""),1),""),IF(MID(IFERROR(INDEX(醫師週班表!$C$5:$T$44,$CU33,BB$57),""),2,1)="(",LEFT(IFERROR(INDEX(醫師週班表!$C$5:$T$44,$CU33,BB$57),""),1),IFERROR(INDEX(醫師週班表!$C$5:$T$44,$CU33,BB$57),"")))))))</f>
        <v/>
      </c>
      <c r="BC33" s="72">
        <f>IF(BC$59="X","",IF(BC$59&lt;&gt;"",BC$59,IF(IFERROR(INDEX(醫師週班表!$C$5:$T$44,$CU33,BC$57),"")=0,"",IF(MID(IFERROR(INDEX(醫師週班表!$C$5:$T$44,$CU33,BC$57),""),2,1)="/",MID(IFERROR(INDEX(醫師週班表!$C$5:$T$44,$CU33,BC$57),""),1+BC$58*2,1),IF(MID(IFERROR(INDEX(醫師週班表!$C$5:$T$44,$CU33,BC$57),""),3,1)="隔",IF(BC$58=0,LEFT(IFERROR(INDEX(醫師週班表!$C$5:$T$44,$CU33,BC$57),""),1),""),IF(MID(IFERROR(INDEX(醫師週班表!$C$5:$T$44,$CU33,BC$57),""),2,1)="(",LEFT(IFERROR(INDEX(醫師週班表!$C$5:$T$44,$CU33,BC$57),""),1),IFERROR(INDEX(醫師週班表!$C$5:$T$44,$CU33,BC$57),"")))))))</f>
        <v/>
      </c>
      <c r="BD33" s="71">
        <f>IF(BD$59="X","",IF(BD$59&lt;&gt;"",BD$59,IF(IFERROR(INDEX(醫師週班表!$C$5:$T$44,$CU33,BD$57),"")=0,"",IF(MID(IFERROR(INDEX(醫師週班表!$C$5:$T$44,$CU33,BD$57),""),2,1)="/",MID(IFERROR(INDEX(醫師週班表!$C$5:$T$44,$CU33,BD$57),""),1+BD$58*2,1),IF(MID(IFERROR(INDEX(醫師週班表!$C$5:$T$44,$CU33,BD$57),""),3,1)="隔",IF(BD$58=0,LEFT(IFERROR(INDEX(醫師週班表!$C$5:$T$44,$CU33,BD$57),""),1),""),IF(MID(IFERROR(INDEX(醫師週班表!$C$5:$T$44,$CU33,BD$57),""),2,1)="(",LEFT(IFERROR(INDEX(醫師週班表!$C$5:$T$44,$CU33,BD$57),""),1),IFERROR(INDEX(醫師週班表!$C$5:$T$44,$CU33,BD$57),"")))))))</f>
        <v/>
      </c>
      <c r="BE33" s="72">
        <f>IF(BE$59="X","",IF(BE$59&lt;&gt;"",BE$59,IF(IFERROR(INDEX(醫師週班表!$C$5:$T$44,$CU33,BE$57),"")=0,"",IF(MID(IFERROR(INDEX(醫師週班表!$C$5:$T$44,$CU33,BE$57),""),2,1)="/",MID(IFERROR(INDEX(醫師週班表!$C$5:$T$44,$CU33,BE$57),""),1+BE$58*2,1),IF(MID(IFERROR(INDEX(醫師週班表!$C$5:$T$44,$CU33,BE$57),""),3,1)="隔",IF(BE$58=0,LEFT(IFERROR(INDEX(醫師週班表!$C$5:$T$44,$CU33,BE$57),""),1),""),IF(MID(IFERROR(INDEX(醫師週班表!$C$5:$T$44,$CU33,BE$57),""),2,1)="(",LEFT(IFERROR(INDEX(醫師週班表!$C$5:$T$44,$CU33,BE$57),""),1),IFERROR(INDEX(醫師週班表!$C$5:$T$44,$CU33,BE$57),"")))))))</f>
        <v/>
      </c>
      <c r="BF33" s="72">
        <f>IF(BF$59="X","",IF(BF$59&lt;&gt;"",BF$59,IF(IFERROR(INDEX(醫師週班表!$C$5:$T$44,$CU33,BF$57),"")=0,"",IF(MID(IFERROR(INDEX(醫師週班表!$C$5:$T$44,$CU33,BF$57),""),2,1)="/",MID(IFERROR(INDEX(醫師週班表!$C$5:$T$44,$CU33,BF$57),""),1+BF$58*2,1),IF(MID(IFERROR(INDEX(醫師週班表!$C$5:$T$44,$CU33,BF$57),""),3,1)="隔",IF(BF$58=0,LEFT(IFERROR(INDEX(醫師週班表!$C$5:$T$44,$CU33,BF$57),""),1),""),IF(MID(IFERROR(INDEX(醫師週班表!$C$5:$T$44,$CU33,BF$57),""),2,1)="(",LEFT(IFERROR(INDEX(醫師週班表!$C$5:$T$44,$CU33,BF$57),""),1),IFERROR(INDEX(醫師週班表!$C$5:$T$44,$CU33,BF$57),"")))))))</f>
        <v/>
      </c>
      <c r="BG33" s="71">
        <f>IF(BG$59="X","",IF(BG$59&lt;&gt;"",BG$59,IF(IFERROR(INDEX(醫師週班表!$C$5:$T$44,$CU33,BG$57),"")=0,"",IF(MID(IFERROR(INDEX(醫師週班表!$C$5:$T$44,$CU33,BG$57),""),2,1)="/",MID(IFERROR(INDEX(醫師週班表!$C$5:$T$44,$CU33,BG$57),""),1+BG$58*2,1),IF(MID(IFERROR(INDEX(醫師週班表!$C$5:$T$44,$CU33,BG$57),""),3,1)="隔",IF(BG$58=0,LEFT(IFERROR(INDEX(醫師週班表!$C$5:$T$44,$CU33,BG$57),""),1),""),IF(MID(IFERROR(INDEX(醫師週班表!$C$5:$T$44,$CU33,BG$57),""),2,1)="(",LEFT(IFERROR(INDEX(醫師週班表!$C$5:$T$44,$CU33,BG$57),""),1),IFERROR(INDEX(醫師週班表!$C$5:$T$44,$CU33,BG$57),"")))))))</f>
        <v/>
      </c>
      <c r="BH33" s="72">
        <f>IF(BH$59="X","",IF(BH$59&lt;&gt;"",BH$59,IF(IFERROR(INDEX(醫師週班表!$C$5:$T$44,$CU33,BH$57),"")=0,"",IF(MID(IFERROR(INDEX(醫師週班表!$C$5:$T$44,$CU33,BH$57),""),2,1)="/",MID(IFERROR(INDEX(醫師週班表!$C$5:$T$44,$CU33,BH$57),""),1+BH$58*2,1),IF(MID(IFERROR(INDEX(醫師週班表!$C$5:$T$44,$CU33,BH$57),""),3,1)="隔",IF(BH$58=0,LEFT(IFERROR(INDEX(醫師週班表!$C$5:$T$44,$CU33,BH$57),""),1),""),IF(MID(IFERROR(INDEX(醫師週班表!$C$5:$T$44,$CU33,BH$57),""),2,1)="(",LEFT(IFERROR(INDEX(醫師週班表!$C$5:$T$44,$CU33,BH$57),""),1),IFERROR(INDEX(醫師週班表!$C$5:$T$44,$CU33,BH$57),"")))))))</f>
        <v/>
      </c>
      <c r="BI33" s="72">
        <f>IF(BI$59="X","",IF(BI$59&lt;&gt;"",BI$59,IF(IFERROR(INDEX(醫師週班表!$C$5:$T$44,$CU33,BI$57),"")=0,"",IF(MID(IFERROR(INDEX(醫師週班表!$C$5:$T$44,$CU33,BI$57),""),2,1)="/",MID(IFERROR(INDEX(醫師週班表!$C$5:$T$44,$CU33,BI$57),""),1+BI$58*2,1),IF(MID(IFERROR(INDEX(醫師週班表!$C$5:$T$44,$CU33,BI$57),""),3,1)="隔",IF(BI$58=0,LEFT(IFERROR(INDEX(醫師週班表!$C$5:$T$44,$CU33,BI$57),""),1),""),IF(MID(IFERROR(INDEX(醫師週班表!$C$5:$T$44,$CU33,BI$57),""),2,1)="(",LEFT(IFERROR(INDEX(醫師週班表!$C$5:$T$44,$CU33,BI$57),""),1),IFERROR(INDEX(醫師週班表!$C$5:$T$44,$CU33,BI$57),"")))))))</f>
        <v/>
      </c>
      <c r="BJ33" s="71">
        <f>IF(BJ$59="X","",IF(BJ$59&lt;&gt;"",BJ$59,IF(IFERROR(INDEX(醫師週班表!$C$5:$T$44,$CU33,BJ$57),"")=0,"",IF(MID(IFERROR(INDEX(醫師週班表!$C$5:$T$44,$CU33,BJ$57),""),2,1)="/",MID(IFERROR(INDEX(醫師週班表!$C$5:$T$44,$CU33,BJ$57),""),1+BJ$58*2,1),IF(MID(IFERROR(INDEX(醫師週班表!$C$5:$T$44,$CU33,BJ$57),""),3,1)="隔",IF(BJ$58=0,LEFT(IFERROR(INDEX(醫師週班表!$C$5:$T$44,$CU33,BJ$57),""),1),""),IF(MID(IFERROR(INDEX(醫師週班表!$C$5:$T$44,$CU33,BJ$57),""),2,1)="(",LEFT(IFERROR(INDEX(醫師週班表!$C$5:$T$44,$CU33,BJ$57),""),1),IFERROR(INDEX(醫師週班表!$C$5:$T$44,$CU33,BJ$57),"")))))))</f>
        <v/>
      </c>
      <c r="BK33" s="72">
        <f>IF(BK$59="X","",IF(BK$59&lt;&gt;"",BK$59,IF(IFERROR(INDEX(醫師週班表!$C$5:$T$44,$CU33,BK$57),"")=0,"",IF(MID(IFERROR(INDEX(醫師週班表!$C$5:$T$44,$CU33,BK$57),""),2,1)="/",MID(IFERROR(INDEX(醫師週班表!$C$5:$T$44,$CU33,BK$57),""),1+BK$58*2,1),IF(MID(IFERROR(INDEX(醫師週班表!$C$5:$T$44,$CU33,BK$57),""),3,1)="隔",IF(BK$58=0,LEFT(IFERROR(INDEX(醫師週班表!$C$5:$T$44,$CU33,BK$57),""),1),""),IF(MID(IFERROR(INDEX(醫師週班表!$C$5:$T$44,$CU33,BK$57),""),2,1)="(",LEFT(IFERROR(INDEX(醫師週班表!$C$5:$T$44,$CU33,BK$57),""),1),IFERROR(INDEX(醫師週班表!$C$5:$T$44,$CU33,BK$57),"")))))))</f>
        <v/>
      </c>
      <c r="BL33" s="72">
        <f>IF(BL$59="X","",IF(BL$59&lt;&gt;"",BL$59,IF(IFERROR(INDEX(醫師週班表!$C$5:$T$44,$CU33,BL$57),"")=0,"",IF(MID(IFERROR(INDEX(醫師週班表!$C$5:$T$44,$CU33,BL$57),""),2,1)="/",MID(IFERROR(INDEX(醫師週班表!$C$5:$T$44,$CU33,BL$57),""),1+BL$58*2,1),IF(MID(IFERROR(INDEX(醫師週班表!$C$5:$T$44,$CU33,BL$57),""),3,1)="隔",IF(BL$58=0,LEFT(IFERROR(INDEX(醫師週班表!$C$5:$T$44,$CU33,BL$57),""),1),""),IF(MID(IFERROR(INDEX(醫師週班表!$C$5:$T$44,$CU33,BL$57),""),2,1)="(",LEFT(IFERROR(INDEX(醫師週班表!$C$5:$T$44,$CU33,BL$57),""),1),IFERROR(INDEX(醫師週班表!$C$5:$T$44,$CU33,BL$57),"")))))))</f>
        <v/>
      </c>
      <c r="BM33" s="71">
        <f>IF(BM$59="X","",IF(BM$59&lt;&gt;"",BM$59,IF(IFERROR(INDEX(醫師週班表!$C$5:$T$44,$CU33,BM$57),"")=0,"",IF(MID(IFERROR(INDEX(醫師週班表!$C$5:$T$44,$CU33,BM$57),""),2,1)="/",MID(IFERROR(INDEX(醫師週班表!$C$5:$T$44,$CU33,BM$57),""),1+BM$58*2,1),IF(MID(IFERROR(INDEX(醫師週班表!$C$5:$T$44,$CU33,BM$57),""),3,1)="隔",IF(BM$58=0,LEFT(IFERROR(INDEX(醫師週班表!$C$5:$T$44,$CU33,BM$57),""),1),""),IF(MID(IFERROR(INDEX(醫師週班表!$C$5:$T$44,$CU33,BM$57),""),2,1)="(",LEFT(IFERROR(INDEX(醫師週班表!$C$5:$T$44,$CU33,BM$57),""),1),IFERROR(INDEX(醫師週班表!$C$5:$T$44,$CU33,BM$57),"")))))))</f>
        <v/>
      </c>
      <c r="BN33" s="72">
        <f>IF(BN$59="X","",IF(BN$59&lt;&gt;"",BN$59,IF(IFERROR(INDEX(醫師週班表!$C$5:$T$44,$CU33,BN$57),"")=0,"",IF(MID(IFERROR(INDEX(醫師週班表!$C$5:$T$44,$CU33,BN$57),""),2,1)="/",MID(IFERROR(INDEX(醫師週班表!$C$5:$T$44,$CU33,BN$57),""),1+BN$58*2,1),IF(MID(IFERROR(INDEX(醫師週班表!$C$5:$T$44,$CU33,BN$57),""),3,1)="隔",IF(BN$58=0,LEFT(IFERROR(INDEX(醫師週班表!$C$5:$T$44,$CU33,BN$57),""),1),""),IF(MID(IFERROR(INDEX(醫師週班表!$C$5:$T$44,$CU33,BN$57),""),2,1)="(",LEFT(IFERROR(INDEX(醫師週班表!$C$5:$T$44,$CU33,BN$57),""),1),IFERROR(INDEX(醫師週班表!$C$5:$T$44,$CU33,BN$57),"")))))))</f>
        <v/>
      </c>
      <c r="BO33" s="72">
        <f>IF(BO$59="X","",IF(BO$59&lt;&gt;"",BO$59,IF(IFERROR(INDEX(醫師週班表!$C$5:$T$44,$CU33,BO$57),"")=0,"",IF(MID(IFERROR(INDEX(醫師週班表!$C$5:$T$44,$CU33,BO$57),""),2,1)="/",MID(IFERROR(INDEX(醫師週班表!$C$5:$T$44,$CU33,BO$57),""),1+BO$58*2,1),IF(MID(IFERROR(INDEX(醫師週班表!$C$5:$T$44,$CU33,BO$57),""),3,1)="隔",IF(BO$58=0,LEFT(IFERROR(INDEX(醫師週班表!$C$5:$T$44,$CU33,BO$57),""),1),""),IF(MID(IFERROR(INDEX(醫師週班表!$C$5:$T$44,$CU33,BO$57),""),2,1)="(",LEFT(IFERROR(INDEX(醫師週班表!$C$5:$T$44,$CU33,BO$57),""),1),IFERROR(INDEX(醫師週班表!$C$5:$T$44,$CU33,BO$57),"")))))))</f>
        <v/>
      </c>
      <c r="BP33" s="71">
        <f>IF(BP$59="X","",IF(BP$59&lt;&gt;"",BP$59,IF(IFERROR(INDEX(醫師週班表!$C$5:$T$44,$CU33,BP$57),"")=0,"",IF(MID(IFERROR(INDEX(醫師週班表!$C$5:$T$44,$CU33,BP$57),""),2,1)="/",MID(IFERROR(INDEX(醫師週班表!$C$5:$T$44,$CU33,BP$57),""),1+BP$58*2,1),IF(MID(IFERROR(INDEX(醫師週班表!$C$5:$T$44,$CU33,BP$57),""),3,1)="隔",IF(BP$58=0,LEFT(IFERROR(INDEX(醫師週班表!$C$5:$T$44,$CU33,BP$57),""),1),""),IF(MID(IFERROR(INDEX(醫師週班表!$C$5:$T$44,$CU33,BP$57),""),2,1)="(",LEFT(IFERROR(INDEX(醫師週班表!$C$5:$T$44,$CU33,BP$57),""),1),IFERROR(INDEX(醫師週班表!$C$5:$T$44,$CU33,BP$57),"")))))))</f>
        <v/>
      </c>
      <c r="BQ33" s="72">
        <f>IF(BQ$59="X","",IF(BQ$59&lt;&gt;"",BQ$59,IF(IFERROR(INDEX(醫師週班表!$C$5:$T$44,$CU33,BQ$57),"")=0,"",IF(MID(IFERROR(INDEX(醫師週班表!$C$5:$T$44,$CU33,BQ$57),""),2,1)="/",MID(IFERROR(INDEX(醫師週班表!$C$5:$T$44,$CU33,BQ$57),""),1+BQ$58*2,1),IF(MID(IFERROR(INDEX(醫師週班表!$C$5:$T$44,$CU33,BQ$57),""),3,1)="隔",IF(BQ$58=0,LEFT(IFERROR(INDEX(醫師週班表!$C$5:$T$44,$CU33,BQ$57),""),1),""),IF(MID(IFERROR(INDEX(醫師週班表!$C$5:$T$44,$CU33,BQ$57),""),2,1)="(",LEFT(IFERROR(INDEX(醫師週班表!$C$5:$T$44,$CU33,BQ$57),""),1),IFERROR(INDEX(醫師週班表!$C$5:$T$44,$CU33,BQ$57),"")))))))</f>
        <v/>
      </c>
      <c r="BR33" s="72">
        <f>IF(BR$59="X","",IF(BR$59&lt;&gt;"",BR$59,IF(IFERROR(INDEX(醫師週班表!$C$5:$T$44,$CU33,BR$57),"")=0,"",IF(MID(IFERROR(INDEX(醫師週班表!$C$5:$T$44,$CU33,BR$57),""),2,1)="/",MID(IFERROR(INDEX(醫師週班表!$C$5:$T$44,$CU33,BR$57),""),1+BR$58*2,1),IF(MID(IFERROR(INDEX(醫師週班表!$C$5:$T$44,$CU33,BR$57),""),3,1)="隔",IF(BR$58=0,LEFT(IFERROR(INDEX(醫師週班表!$C$5:$T$44,$CU33,BR$57),""),1),""),IF(MID(IFERROR(INDEX(醫師週班表!$C$5:$T$44,$CU33,BR$57),""),2,1)="(",LEFT(IFERROR(INDEX(醫師週班表!$C$5:$T$44,$CU33,BR$57),""),1),IFERROR(INDEX(醫師週班表!$C$5:$T$44,$CU33,BR$57),"")))))))</f>
        <v/>
      </c>
      <c r="BS33" s="71">
        <f>IF(BS$59="X","",IF(BS$59&lt;&gt;"",BS$59,IF(IFERROR(INDEX(醫師週班表!$C$5:$T$44,$CU33,BS$57),"")=0,"",IF(MID(IFERROR(INDEX(醫師週班表!$C$5:$T$44,$CU33,BS$57),""),2,1)="/",MID(IFERROR(INDEX(醫師週班表!$C$5:$T$44,$CU33,BS$57),""),1+BS$58*2,1),IF(MID(IFERROR(INDEX(醫師週班表!$C$5:$T$44,$CU33,BS$57),""),3,1)="隔",IF(BS$58=0,LEFT(IFERROR(INDEX(醫師週班表!$C$5:$T$44,$CU33,BS$57),""),1),""),IF(MID(IFERROR(INDEX(醫師週班表!$C$5:$T$44,$CU33,BS$57),""),2,1)="(",LEFT(IFERROR(INDEX(醫師週班表!$C$5:$T$44,$CU33,BS$57),""),1),IFERROR(INDEX(醫師週班表!$C$5:$T$44,$CU33,BS$57),"")))))))</f>
        <v/>
      </c>
      <c r="BT33" s="72">
        <f>IF(BT$59="X","",IF(BT$59&lt;&gt;"",BT$59,IF(IFERROR(INDEX(醫師週班表!$C$5:$T$44,$CU33,BT$57),"")=0,"",IF(MID(IFERROR(INDEX(醫師週班表!$C$5:$T$44,$CU33,BT$57),""),2,1)="/",MID(IFERROR(INDEX(醫師週班表!$C$5:$T$44,$CU33,BT$57),""),1+BT$58*2,1),IF(MID(IFERROR(INDEX(醫師週班表!$C$5:$T$44,$CU33,BT$57),""),3,1)="隔",IF(BT$58=0,LEFT(IFERROR(INDEX(醫師週班表!$C$5:$T$44,$CU33,BT$57),""),1),""),IF(MID(IFERROR(INDEX(醫師週班表!$C$5:$T$44,$CU33,BT$57),""),2,1)="(",LEFT(IFERROR(INDEX(醫師週班表!$C$5:$T$44,$CU33,BT$57),""),1),IFERROR(INDEX(醫師週班表!$C$5:$T$44,$CU33,BT$57),"")))))))</f>
        <v/>
      </c>
      <c r="BU33" s="72">
        <f>IF(BU$59="X","",IF(BU$59&lt;&gt;"",BU$59,IF(IFERROR(INDEX(醫師週班表!$C$5:$T$44,$CU33,BU$57),"")=0,"",IF(MID(IFERROR(INDEX(醫師週班表!$C$5:$T$44,$CU33,BU$57),""),2,1)="/",MID(IFERROR(INDEX(醫師週班表!$C$5:$T$44,$CU33,BU$57),""),1+BU$58*2,1),IF(MID(IFERROR(INDEX(醫師週班表!$C$5:$T$44,$CU33,BU$57),""),3,1)="隔",IF(BU$58=0,LEFT(IFERROR(INDEX(醫師週班表!$C$5:$T$44,$CU33,BU$57),""),1),""),IF(MID(IFERROR(INDEX(醫師週班表!$C$5:$T$44,$CU33,BU$57),""),2,1)="(",LEFT(IFERROR(INDEX(醫師週班表!$C$5:$T$44,$CU33,BU$57),""),1),IFERROR(INDEX(醫師週班表!$C$5:$T$44,$CU33,BU$57),"")))))))</f>
        <v/>
      </c>
      <c r="BV33" s="71">
        <f>IF(BV$59="X","",IF(BV$59&lt;&gt;"",BV$59,IF(IFERROR(INDEX(醫師週班表!$C$5:$T$44,$CU33,BV$57),"")=0,"",IF(MID(IFERROR(INDEX(醫師週班表!$C$5:$T$44,$CU33,BV$57),""),2,1)="/",MID(IFERROR(INDEX(醫師週班表!$C$5:$T$44,$CU33,BV$57),""),1+BV$58*2,1),IF(MID(IFERROR(INDEX(醫師週班表!$C$5:$T$44,$CU33,BV$57),""),3,1)="隔",IF(BV$58=0,LEFT(IFERROR(INDEX(醫師週班表!$C$5:$T$44,$CU33,BV$57),""),1),""),IF(MID(IFERROR(INDEX(醫師週班表!$C$5:$T$44,$CU33,BV$57),""),2,1)="(",LEFT(IFERROR(INDEX(醫師週班表!$C$5:$T$44,$CU33,BV$57),""),1),IFERROR(INDEX(醫師週班表!$C$5:$T$44,$CU33,BV$57),"")))))))</f>
        <v/>
      </c>
      <c r="BW33" s="72">
        <f>IF(BW$59="X","",IF(BW$59&lt;&gt;"",BW$59,IF(IFERROR(INDEX(醫師週班表!$C$5:$T$44,$CU33,BW$57),"")=0,"",IF(MID(IFERROR(INDEX(醫師週班表!$C$5:$T$44,$CU33,BW$57),""),2,1)="/",MID(IFERROR(INDEX(醫師週班表!$C$5:$T$44,$CU33,BW$57),""),1+BW$58*2,1),IF(MID(IFERROR(INDEX(醫師週班表!$C$5:$T$44,$CU33,BW$57),""),3,1)="隔",IF(BW$58=0,LEFT(IFERROR(INDEX(醫師週班表!$C$5:$T$44,$CU33,BW$57),""),1),""),IF(MID(IFERROR(INDEX(醫師週班表!$C$5:$T$44,$CU33,BW$57),""),2,1)="(",LEFT(IFERROR(INDEX(醫師週班表!$C$5:$T$44,$CU33,BW$57),""),1),IFERROR(INDEX(醫師週班表!$C$5:$T$44,$CU33,BW$57),"")))))))</f>
        <v/>
      </c>
      <c r="BX33" s="72">
        <f>IF(BX$59="X","",IF(BX$59&lt;&gt;"",BX$59,IF(IFERROR(INDEX(醫師週班表!$C$5:$T$44,$CU33,BX$57),"")=0,"",IF(MID(IFERROR(INDEX(醫師週班表!$C$5:$T$44,$CU33,BX$57),""),2,1)="/",MID(IFERROR(INDEX(醫師週班表!$C$5:$T$44,$CU33,BX$57),""),1+BX$58*2,1),IF(MID(IFERROR(INDEX(醫師週班表!$C$5:$T$44,$CU33,BX$57),""),3,1)="隔",IF(BX$58=0,LEFT(IFERROR(INDEX(醫師週班表!$C$5:$T$44,$CU33,BX$57),""),1),""),IF(MID(IFERROR(INDEX(醫師週班表!$C$5:$T$44,$CU33,BX$57),""),2,1)="(",LEFT(IFERROR(INDEX(醫師週班表!$C$5:$T$44,$CU33,BX$57),""),1),IFERROR(INDEX(醫師週班表!$C$5:$T$44,$CU33,BX$57),"")))))))</f>
        <v/>
      </c>
      <c r="BY33" s="71">
        <f>IF(BY$59="X","",IF(BY$59&lt;&gt;"",BY$59,IF(IFERROR(INDEX(醫師週班表!$C$5:$T$44,$CU33,BY$57),"")=0,"",IF(MID(IFERROR(INDEX(醫師週班表!$C$5:$T$44,$CU33,BY$57),""),2,1)="/",MID(IFERROR(INDEX(醫師週班表!$C$5:$T$44,$CU33,BY$57),""),1+BY$58*2,1),IF(MID(IFERROR(INDEX(醫師週班表!$C$5:$T$44,$CU33,BY$57),""),3,1)="隔",IF(BY$58=0,LEFT(IFERROR(INDEX(醫師週班表!$C$5:$T$44,$CU33,BY$57),""),1),""),IF(MID(IFERROR(INDEX(醫師週班表!$C$5:$T$44,$CU33,BY$57),""),2,1)="(",LEFT(IFERROR(INDEX(醫師週班表!$C$5:$T$44,$CU33,BY$57),""),1),IFERROR(INDEX(醫師週班表!$C$5:$T$44,$CU33,BY$57),"")))))))</f>
        <v/>
      </c>
      <c r="BZ33" s="72">
        <f>IF(BZ$59="X","",IF(BZ$59&lt;&gt;"",BZ$59,IF(IFERROR(INDEX(醫師週班表!$C$5:$T$44,$CU33,BZ$57),"")=0,"",IF(MID(IFERROR(INDEX(醫師週班表!$C$5:$T$44,$CU33,BZ$57),""),2,1)="/",MID(IFERROR(INDEX(醫師週班表!$C$5:$T$44,$CU33,BZ$57),""),1+BZ$58*2,1),IF(MID(IFERROR(INDEX(醫師週班表!$C$5:$T$44,$CU33,BZ$57),""),3,1)="隔",IF(BZ$58=0,LEFT(IFERROR(INDEX(醫師週班表!$C$5:$T$44,$CU33,BZ$57),""),1),""),IF(MID(IFERROR(INDEX(醫師週班表!$C$5:$T$44,$CU33,BZ$57),""),2,1)="(",LEFT(IFERROR(INDEX(醫師週班表!$C$5:$T$44,$CU33,BZ$57),""),1),IFERROR(INDEX(醫師週班表!$C$5:$T$44,$CU33,BZ$57),"")))))))</f>
        <v/>
      </c>
      <c r="CA33" s="72">
        <f>IF(CA$59="X","",IF(CA$59&lt;&gt;"",CA$59,IF(IFERROR(INDEX(醫師週班表!$C$5:$T$44,$CU33,CA$57),"")=0,"",IF(MID(IFERROR(INDEX(醫師週班表!$C$5:$T$44,$CU33,CA$57),""),2,1)="/",MID(IFERROR(INDEX(醫師週班表!$C$5:$T$44,$CU33,CA$57),""),1+CA$58*2,1),IF(MID(IFERROR(INDEX(醫師週班表!$C$5:$T$44,$CU33,CA$57),""),3,1)="隔",IF(CA$58=0,LEFT(IFERROR(INDEX(醫師週班表!$C$5:$T$44,$CU33,CA$57),""),1),""),IF(MID(IFERROR(INDEX(醫師週班表!$C$5:$T$44,$CU33,CA$57),""),2,1)="(",LEFT(IFERROR(INDEX(醫師週班表!$C$5:$T$44,$CU33,CA$57),""),1),IFERROR(INDEX(醫師週班表!$C$5:$T$44,$CU33,CA$57),"")))))))</f>
        <v/>
      </c>
      <c r="CB33" s="71">
        <f>IF(CB$59="X","",IF(CB$59&lt;&gt;"",CB$59,IF(IFERROR(INDEX(醫師週班表!$C$5:$T$44,$CU33,CB$57),"")=0,"",IF(MID(IFERROR(INDEX(醫師週班表!$C$5:$T$44,$CU33,CB$57),""),2,1)="/",MID(IFERROR(INDEX(醫師週班表!$C$5:$T$44,$CU33,CB$57),""),1+CB$58*2,1),IF(MID(IFERROR(INDEX(醫師週班表!$C$5:$T$44,$CU33,CB$57),""),3,1)="隔",IF(CB$58=0,LEFT(IFERROR(INDEX(醫師週班表!$C$5:$T$44,$CU33,CB$57),""),1),""),IF(MID(IFERROR(INDEX(醫師週班表!$C$5:$T$44,$CU33,CB$57),""),2,1)="(",LEFT(IFERROR(INDEX(醫師週班表!$C$5:$T$44,$CU33,CB$57),""),1),IFERROR(INDEX(醫師週班表!$C$5:$T$44,$CU33,CB$57),"")))))))</f>
        <v/>
      </c>
      <c r="CC33" s="72">
        <f>IF(CC$59="X","",IF(CC$59&lt;&gt;"",CC$59,IF(IFERROR(INDEX(醫師週班表!$C$5:$T$44,$CU33,CC$57),"")=0,"",IF(MID(IFERROR(INDEX(醫師週班表!$C$5:$T$44,$CU33,CC$57),""),2,1)="/",MID(IFERROR(INDEX(醫師週班表!$C$5:$T$44,$CU33,CC$57),""),1+CC$58*2,1),IF(MID(IFERROR(INDEX(醫師週班表!$C$5:$T$44,$CU33,CC$57),""),3,1)="隔",IF(CC$58=0,LEFT(IFERROR(INDEX(醫師週班表!$C$5:$T$44,$CU33,CC$57),""),1),""),IF(MID(IFERROR(INDEX(醫師週班表!$C$5:$T$44,$CU33,CC$57),""),2,1)="(",LEFT(IFERROR(INDEX(醫師週班表!$C$5:$T$44,$CU33,CC$57),""),1),IFERROR(INDEX(醫師週班表!$C$5:$T$44,$CU33,CC$57),"")))))))</f>
        <v/>
      </c>
      <c r="CD33" s="72">
        <f>IF(CD$59="X","",IF(CD$59&lt;&gt;"",CD$59,IF(IFERROR(INDEX(醫師週班表!$C$5:$T$44,$CU33,CD$57),"")=0,"",IF(MID(IFERROR(INDEX(醫師週班表!$C$5:$T$44,$CU33,CD$57),""),2,1)="/",MID(IFERROR(INDEX(醫師週班表!$C$5:$T$44,$CU33,CD$57),""),1+CD$58*2,1),IF(MID(IFERROR(INDEX(醫師週班表!$C$5:$T$44,$CU33,CD$57),""),3,1)="隔",IF(CD$58=0,LEFT(IFERROR(INDEX(醫師週班表!$C$5:$T$44,$CU33,CD$57),""),1),""),IF(MID(IFERROR(INDEX(醫師週班表!$C$5:$T$44,$CU33,CD$57),""),2,1)="(",LEFT(IFERROR(INDEX(醫師週班表!$C$5:$T$44,$CU33,CD$57),""),1),IFERROR(INDEX(醫師週班表!$C$5:$T$44,$CU33,CD$57),"")))))))</f>
        <v/>
      </c>
      <c r="CE33" s="71">
        <f>IF(CE$59="X","",IF(CE$59&lt;&gt;"",CE$59,IF(IFERROR(INDEX(醫師週班表!$C$5:$T$44,$CU33,CE$57),"")=0,"",IF(MID(IFERROR(INDEX(醫師週班表!$C$5:$T$44,$CU33,CE$57),""),2,1)="/",MID(IFERROR(INDEX(醫師週班表!$C$5:$T$44,$CU33,CE$57),""),1+CE$58*2,1),IF(MID(IFERROR(INDEX(醫師週班表!$C$5:$T$44,$CU33,CE$57),""),3,1)="隔",IF(CE$58=0,LEFT(IFERROR(INDEX(醫師週班表!$C$5:$T$44,$CU33,CE$57),""),1),""),IF(MID(IFERROR(INDEX(醫師週班表!$C$5:$T$44,$CU33,CE$57),""),2,1)="(",LEFT(IFERROR(INDEX(醫師週班表!$C$5:$T$44,$CU33,CE$57),""),1),IFERROR(INDEX(醫師週班表!$C$5:$T$44,$CU33,CE$57),"")))))))</f>
        <v/>
      </c>
      <c r="CF33" s="72">
        <f>IF(CF$59="X","",IF(CF$59&lt;&gt;"",CF$59,IF(IFERROR(INDEX(醫師週班表!$C$5:$T$44,$CU33,CF$57),"")=0,"",IF(MID(IFERROR(INDEX(醫師週班表!$C$5:$T$44,$CU33,CF$57),""),2,1)="/",MID(IFERROR(INDEX(醫師週班表!$C$5:$T$44,$CU33,CF$57),""),1+CF$58*2,1),IF(MID(IFERROR(INDEX(醫師週班表!$C$5:$T$44,$CU33,CF$57),""),3,1)="隔",IF(CF$58=0,LEFT(IFERROR(INDEX(醫師週班表!$C$5:$T$44,$CU33,CF$57),""),1),""),IF(MID(IFERROR(INDEX(醫師週班表!$C$5:$T$44,$CU33,CF$57),""),2,1)="(",LEFT(IFERROR(INDEX(醫師週班表!$C$5:$T$44,$CU33,CF$57),""),1),IFERROR(INDEX(醫師週班表!$C$5:$T$44,$CU33,CF$57),"")))))))</f>
        <v/>
      </c>
      <c r="CG33" s="72">
        <f>IF(CG$59="X","",IF(CG$59&lt;&gt;"",CG$59,IF(IFERROR(INDEX(醫師週班表!$C$5:$T$44,$CU33,CG$57),"")=0,"",IF(MID(IFERROR(INDEX(醫師週班表!$C$5:$T$44,$CU33,CG$57),""),2,1)="/",MID(IFERROR(INDEX(醫師週班表!$C$5:$T$44,$CU33,CG$57),""),1+CG$58*2,1),IF(MID(IFERROR(INDEX(醫師週班表!$C$5:$T$44,$CU33,CG$57),""),3,1)="隔",IF(CG$58=0,LEFT(IFERROR(INDEX(醫師週班表!$C$5:$T$44,$CU33,CG$57),""),1),""),IF(MID(IFERROR(INDEX(醫師週班表!$C$5:$T$44,$CU33,CG$57),""),2,1)="(",LEFT(IFERROR(INDEX(醫師週班表!$C$5:$T$44,$CU33,CG$57),""),1),IFERROR(INDEX(醫師週班表!$C$5:$T$44,$CU33,CG$57),"")))))))</f>
        <v/>
      </c>
      <c r="CH33" s="71">
        <f>IF(CH$59="X","",IF(CH$59&lt;&gt;"",CH$59,IF(IFERROR(INDEX(醫師週班表!$C$5:$T$44,$CU33,CH$57),"")=0,"",IF(MID(IFERROR(INDEX(醫師週班表!$C$5:$T$44,$CU33,CH$57),""),2,1)="/",MID(IFERROR(INDEX(醫師週班表!$C$5:$T$44,$CU33,CH$57),""),1+CH$58*2,1),IF(MID(IFERROR(INDEX(醫師週班表!$C$5:$T$44,$CU33,CH$57),""),3,1)="隔",IF(CH$58=0,LEFT(IFERROR(INDEX(醫師週班表!$C$5:$T$44,$CU33,CH$57),""),1),""),IF(MID(IFERROR(INDEX(醫師週班表!$C$5:$T$44,$CU33,CH$57),""),2,1)="(",LEFT(IFERROR(INDEX(醫師週班表!$C$5:$T$44,$CU33,CH$57),""),1),IFERROR(INDEX(醫師週班表!$C$5:$T$44,$CU33,CH$57),"")))))))</f>
        <v/>
      </c>
      <c r="CI33" s="72">
        <f>IF(CI$59="X","",IF(CI$59&lt;&gt;"",CI$59,IF(IFERROR(INDEX(醫師週班表!$C$5:$T$44,$CU33,CI$57),"")=0,"",IF(MID(IFERROR(INDEX(醫師週班表!$C$5:$T$44,$CU33,CI$57),""),2,1)="/",MID(IFERROR(INDEX(醫師週班表!$C$5:$T$44,$CU33,CI$57),""),1+CI$58*2,1),IF(MID(IFERROR(INDEX(醫師週班表!$C$5:$T$44,$CU33,CI$57),""),3,1)="隔",IF(CI$58=0,LEFT(IFERROR(INDEX(醫師週班表!$C$5:$T$44,$CU33,CI$57),""),1),""),IF(MID(IFERROR(INDEX(醫師週班表!$C$5:$T$44,$CU33,CI$57),""),2,1)="(",LEFT(IFERROR(INDEX(醫師週班表!$C$5:$T$44,$CU33,CI$57),""),1),IFERROR(INDEX(醫師週班表!$C$5:$T$44,$CU33,CI$57),"")))))))</f>
        <v/>
      </c>
      <c r="CJ33" s="72">
        <f>IF(CJ$59="X","",IF(CJ$59&lt;&gt;"",CJ$59,IF(IFERROR(INDEX(醫師週班表!$C$5:$T$44,$CU33,CJ$57),"")=0,"",IF(MID(IFERROR(INDEX(醫師週班表!$C$5:$T$44,$CU33,CJ$57),""),2,1)="/",MID(IFERROR(INDEX(醫師週班表!$C$5:$T$44,$CU33,CJ$57),""),1+CJ$58*2,1),IF(MID(IFERROR(INDEX(醫師週班表!$C$5:$T$44,$CU33,CJ$57),""),3,1)="隔",IF(CJ$58=0,LEFT(IFERROR(INDEX(醫師週班表!$C$5:$T$44,$CU33,CJ$57),""),1),""),IF(MID(IFERROR(INDEX(醫師週班表!$C$5:$T$44,$CU33,CJ$57),""),2,1)="(",LEFT(IFERROR(INDEX(醫師週班表!$C$5:$T$44,$CU33,CJ$57),""),1),IFERROR(INDEX(醫師週班表!$C$5:$T$44,$CU33,CJ$57),"")))))))</f>
        <v/>
      </c>
      <c r="CK33" s="71">
        <f>IF(CK$59="X","",IF(CK$59&lt;&gt;"",CK$59,IF(IFERROR(INDEX(醫師週班表!$C$5:$T$44,$CU33,CK$57),"")=0,"",IF(MID(IFERROR(INDEX(醫師週班表!$C$5:$T$44,$CU33,CK$57),""),2,1)="/",MID(IFERROR(INDEX(醫師週班表!$C$5:$T$44,$CU33,CK$57),""),1+CK$58*2,1),IF(MID(IFERROR(INDEX(醫師週班表!$C$5:$T$44,$CU33,CK$57),""),3,1)="隔",IF(CK$58=0,LEFT(IFERROR(INDEX(醫師週班表!$C$5:$T$44,$CU33,CK$57),""),1),""),IF(MID(IFERROR(INDEX(醫師週班表!$C$5:$T$44,$CU33,CK$57),""),2,1)="(",LEFT(IFERROR(INDEX(醫師週班表!$C$5:$T$44,$CU33,CK$57),""),1),IFERROR(INDEX(醫師週班表!$C$5:$T$44,$CU33,CK$57),"")))))))</f>
        <v/>
      </c>
      <c r="CL33" s="72">
        <f>IF(CL$59="X","",IF(CL$59&lt;&gt;"",CL$59,IF(IFERROR(INDEX(醫師週班表!$C$5:$T$44,$CU33,CL$57),"")=0,"",IF(MID(IFERROR(INDEX(醫師週班表!$C$5:$T$44,$CU33,CL$57),""),2,1)="/",MID(IFERROR(INDEX(醫師週班表!$C$5:$T$44,$CU33,CL$57),""),1+CL$58*2,1),IF(MID(IFERROR(INDEX(醫師週班表!$C$5:$T$44,$CU33,CL$57),""),3,1)="隔",IF(CL$58=0,LEFT(IFERROR(INDEX(醫師週班表!$C$5:$T$44,$CU33,CL$57),""),1),""),IF(MID(IFERROR(INDEX(醫師週班表!$C$5:$T$44,$CU33,CL$57),""),2,1)="(",LEFT(IFERROR(INDEX(醫師週班表!$C$5:$T$44,$CU33,CL$57),""),1),IFERROR(INDEX(醫師週班表!$C$5:$T$44,$CU33,CL$57),"")))))))</f>
        <v/>
      </c>
      <c r="CM33" s="72">
        <f>IF(CM$59="X","",IF(CM$59&lt;&gt;"",CM$59,IF(IFERROR(INDEX(醫師週班表!$C$5:$T$44,$CU33,CM$57),"")=0,"",IF(MID(IFERROR(INDEX(醫師週班表!$C$5:$T$44,$CU33,CM$57),""),2,1)="/",MID(IFERROR(INDEX(醫師週班表!$C$5:$T$44,$CU33,CM$57),""),1+CM$58*2,1),IF(MID(IFERROR(INDEX(醫師週班表!$C$5:$T$44,$CU33,CM$57),""),3,1)="隔",IF(CM$58=0,LEFT(IFERROR(INDEX(醫師週班表!$C$5:$T$44,$CU33,CM$57),""),1),""),IF(MID(IFERROR(INDEX(醫師週班表!$C$5:$T$44,$CU33,CM$57),""),2,1)="(",LEFT(IFERROR(INDEX(醫師週班表!$C$5:$T$44,$CU33,CM$57),""),1),IFERROR(INDEX(醫師週班表!$C$5:$T$44,$CU33,CM$57),"")))))))</f>
        <v/>
      </c>
      <c r="CN33" s="71">
        <f>IF(CN$59="X","",IF(CN$59&lt;&gt;"",CN$59,IF(IFERROR(INDEX(醫師週班表!$C$5:$T$44,$CU33,CN$57),"")=0,"",IF(MID(IFERROR(INDEX(醫師週班表!$C$5:$T$44,$CU33,CN$57),""),2,1)="/",MID(IFERROR(INDEX(醫師週班表!$C$5:$T$44,$CU33,CN$57),""),1+CN$58*2,1),IF(MID(IFERROR(INDEX(醫師週班表!$C$5:$T$44,$CU33,CN$57),""),3,1)="隔",IF(CN$58=0,LEFT(IFERROR(INDEX(醫師週班表!$C$5:$T$44,$CU33,CN$57),""),1),""),IF(MID(IFERROR(INDEX(醫師週班表!$C$5:$T$44,$CU33,CN$57),""),2,1)="(",LEFT(IFERROR(INDEX(醫師週班表!$C$5:$T$44,$CU33,CN$57),""),1),IFERROR(INDEX(醫師週班表!$C$5:$T$44,$CU33,CN$57),"")))))))</f>
        <v/>
      </c>
      <c r="CO33" s="72">
        <f>IF(CO$59="X","",IF(CO$59&lt;&gt;"",CO$59,IF(IFERROR(INDEX(醫師週班表!$C$5:$T$44,$CU33,CO$57),"")=0,"",IF(MID(IFERROR(INDEX(醫師週班表!$C$5:$T$44,$CU33,CO$57),""),2,1)="/",MID(IFERROR(INDEX(醫師週班表!$C$5:$T$44,$CU33,CO$57),""),1+CO$58*2,1),IF(MID(IFERROR(INDEX(醫師週班表!$C$5:$T$44,$CU33,CO$57),""),3,1)="隔",IF(CO$58=0,LEFT(IFERROR(INDEX(醫師週班表!$C$5:$T$44,$CU33,CO$57),""),1),""),IF(MID(IFERROR(INDEX(醫師週班表!$C$5:$T$44,$CU33,CO$57),""),2,1)="(",LEFT(IFERROR(INDEX(醫師週班表!$C$5:$T$44,$CU33,CO$57),""),1),IFERROR(INDEX(醫師週班表!$C$5:$T$44,$CU33,CO$57),"")))))))</f>
        <v/>
      </c>
      <c r="CP33" s="72">
        <f>IF(CP$59="X","",IF(CP$59&lt;&gt;"",CP$59,IF(IFERROR(INDEX(醫師週班表!$C$5:$T$44,$CU33,CP$57),"")=0,"",IF(MID(IFERROR(INDEX(醫師週班表!$C$5:$T$44,$CU33,CP$57),""),2,1)="/",MID(IFERROR(INDEX(醫師週班表!$C$5:$T$44,$CU33,CP$57),""),1+CP$58*2,1),IF(MID(IFERROR(INDEX(醫師週班表!$C$5:$T$44,$CU33,CP$57),""),3,1)="隔",IF(CP$58=0,LEFT(IFERROR(INDEX(醫師週班表!$C$5:$T$44,$CU33,CP$57),""),1),""),IF(MID(IFERROR(INDEX(醫師週班表!$C$5:$T$44,$CU33,CP$57),""),2,1)="(",LEFT(IFERROR(INDEX(醫師週班表!$C$5:$T$44,$CU33,CP$57),""),1),IFERROR(INDEX(醫師週班表!$C$5:$T$44,$CU33,CP$57),"")))))))</f>
        <v/>
      </c>
      <c r="CQ33" s="71">
        <f>IF(CQ$59="X","",IF(CQ$59&lt;&gt;"",CQ$59,IF(IFERROR(INDEX(醫師週班表!$C$5:$T$44,$CU33,CQ$57),"")=0,"",IF(MID(IFERROR(INDEX(醫師週班表!$C$5:$T$44,$CU33,CQ$57),""),2,1)="/",MID(IFERROR(INDEX(醫師週班表!$C$5:$T$44,$CU33,CQ$57),""),1+CQ$58*2,1),IF(MID(IFERROR(INDEX(醫師週班表!$C$5:$T$44,$CU33,CQ$57),""),3,1)="隔",IF(CQ$58=0,LEFT(IFERROR(INDEX(醫師週班表!$C$5:$T$44,$CU33,CQ$57),""),1),""),IF(MID(IFERROR(INDEX(醫師週班表!$C$5:$T$44,$CU33,CQ$57),""),2,1)="(",LEFT(IFERROR(INDEX(醫師週班表!$C$5:$T$44,$CU33,CQ$57),""),1),IFERROR(INDEX(醫師週班表!$C$5:$T$44,$CU33,CQ$57),"")))))))</f>
        <v/>
      </c>
      <c r="CR33" s="72">
        <f>IF(CR$59="X","",IF(CR$59&lt;&gt;"",CR$59,IF(IFERROR(INDEX(醫師週班表!$C$5:$T$44,$CU33,CR$57),"")=0,"",IF(MID(IFERROR(INDEX(醫師週班表!$C$5:$T$44,$CU33,CR$57),""),2,1)="/",MID(IFERROR(INDEX(醫師週班表!$C$5:$T$44,$CU33,CR$57),""),1+CR$58*2,1),IF(MID(IFERROR(INDEX(醫師週班表!$C$5:$T$44,$CU33,CR$57),""),3,1)="隔",IF(CR$58=0,LEFT(IFERROR(INDEX(醫師週班表!$C$5:$T$44,$CU33,CR$57),""),1),""),IF(MID(IFERROR(INDEX(醫師週班表!$C$5:$T$44,$CU33,CR$57),""),2,1)="(",LEFT(IFERROR(INDEX(醫師週班表!$C$5:$T$44,$CU33,CR$57),""),1),IFERROR(INDEX(醫師週班表!$C$5:$T$44,$CU33,CR$57),"")))))))</f>
        <v/>
      </c>
      <c r="CS33" s="72">
        <f>IF(CS$59="X","",IF(CS$59&lt;&gt;"",CS$59,IF(IFERROR(INDEX(醫師週班表!$C$5:$T$44,$CU33,CS$57),"")=0,"",IF(MID(IFERROR(INDEX(醫師週班表!$C$5:$T$44,$CU33,CS$57),""),2,1)="/",MID(IFERROR(INDEX(醫師週班表!$C$5:$T$44,$CU33,CS$57),""),1+CS$58*2,1),IF(MID(IFERROR(INDEX(醫師週班表!$C$5:$T$44,$CU33,CS$57),""),3,1)="隔",IF(CS$58=0,LEFT(IFERROR(INDEX(醫師週班表!$C$5:$T$44,$CU33,CS$57),""),1),""),IF(MID(IFERROR(INDEX(醫師週班表!$C$5:$T$44,$CU33,CS$57),""),2,1)="(",LEFT(IFERROR(INDEX(醫師週班表!$C$5:$T$44,$CU33,CS$57),""),1),IFERROR(INDEX(醫師週班表!$C$5:$T$44,$CU33,CS$57),"")))))))</f>
        <v/>
      </c>
      <c r="CU33" s="73">
        <f>IFERROR(MATCH($A33,醫師週班表!$A$5:$A$44,0),0)</f>
        <v/>
      </c>
    </row>
    <row r="34" ht="17" customHeight="1">
      <c r="A34" s="19" t="n"/>
      <c r="B34" s="16">
        <f>IFERROR(INDEX(設定!$C$64:$C$203,MATCH($A34,設定!$B$64:$B$203,0)),"")</f>
        <v/>
      </c>
      <c r="C34" s="70">
        <f>IFERROR(INDEX(設定!$E$64:$E$203,MATCH($A34,設定!$B$64:$B$203,0)),"")</f>
        <v/>
      </c>
      <c r="D34" s="16">
        <f>IFERROR(INDEX(設定!$F$64:$F$203,MATCH($A34,設定!$B$64:$B$203,0)),"")</f>
        <v/>
      </c>
      <c r="E34" s="71">
        <f>IF(E$59="X","",IF(E$59&lt;&gt;"",E$59,IF(IFERROR(INDEX(醫師週班表!$C$5:$T$44,$CU34,E$57),"")=0,"",IF(MID(IFERROR(INDEX(醫師週班表!$C$5:$T$44,$CU34,E$57),""),2,1)="/",MID(IFERROR(INDEX(醫師週班表!$C$5:$T$44,$CU34,E$57),""),1+E$58*2,1),IF(MID(IFERROR(INDEX(醫師週班表!$C$5:$T$44,$CU34,E$57),""),3,1)="隔",IF(E$58=0,LEFT(IFERROR(INDEX(醫師週班表!$C$5:$T$44,$CU34,E$57),""),1),""),IF(MID(IFERROR(INDEX(醫師週班表!$C$5:$T$44,$CU34,E$57),""),2,1)="(",LEFT(IFERROR(INDEX(醫師週班表!$C$5:$T$44,$CU34,E$57),""),1),IFERROR(INDEX(醫師週班表!$C$5:$T$44,$CU34,E$57),"")))))))</f>
        <v/>
      </c>
      <c r="F34" s="72">
        <f>IF(F$59="X","",IF(F$59&lt;&gt;"",F$59,IF(IFERROR(INDEX(醫師週班表!$C$5:$T$44,$CU34,F$57),"")=0,"",IF(MID(IFERROR(INDEX(醫師週班表!$C$5:$T$44,$CU34,F$57),""),2,1)="/",MID(IFERROR(INDEX(醫師週班表!$C$5:$T$44,$CU34,F$57),""),1+F$58*2,1),IF(MID(IFERROR(INDEX(醫師週班表!$C$5:$T$44,$CU34,F$57),""),3,1)="隔",IF(F$58=0,LEFT(IFERROR(INDEX(醫師週班表!$C$5:$T$44,$CU34,F$57),""),1),""),IF(MID(IFERROR(INDEX(醫師週班表!$C$5:$T$44,$CU34,F$57),""),2,1)="(",LEFT(IFERROR(INDEX(醫師週班表!$C$5:$T$44,$CU34,F$57),""),1),IFERROR(INDEX(醫師週班表!$C$5:$T$44,$CU34,F$57),"")))))))</f>
        <v/>
      </c>
      <c r="G34" s="72">
        <f>IF(G$59="X","",IF(G$59&lt;&gt;"",G$59,IF(IFERROR(INDEX(醫師週班表!$C$5:$T$44,$CU34,G$57),"")=0,"",IF(MID(IFERROR(INDEX(醫師週班表!$C$5:$T$44,$CU34,G$57),""),2,1)="/",MID(IFERROR(INDEX(醫師週班表!$C$5:$T$44,$CU34,G$57),""),1+G$58*2,1),IF(MID(IFERROR(INDEX(醫師週班表!$C$5:$T$44,$CU34,G$57),""),3,1)="隔",IF(G$58=0,LEFT(IFERROR(INDEX(醫師週班表!$C$5:$T$44,$CU34,G$57),""),1),""),IF(MID(IFERROR(INDEX(醫師週班表!$C$5:$T$44,$CU34,G$57),""),2,1)="(",LEFT(IFERROR(INDEX(醫師週班表!$C$5:$T$44,$CU34,G$57),""),1),IFERROR(INDEX(醫師週班表!$C$5:$T$44,$CU34,G$57),"")))))))</f>
        <v/>
      </c>
      <c r="H34" s="71">
        <f>IF(H$59="X","",IF(H$59&lt;&gt;"",H$59,IF(IFERROR(INDEX(醫師週班表!$C$5:$T$44,$CU34,H$57),"")=0,"",IF(MID(IFERROR(INDEX(醫師週班表!$C$5:$T$44,$CU34,H$57),""),2,1)="/",MID(IFERROR(INDEX(醫師週班表!$C$5:$T$44,$CU34,H$57),""),1+H$58*2,1),IF(MID(IFERROR(INDEX(醫師週班表!$C$5:$T$44,$CU34,H$57),""),3,1)="隔",IF(H$58=0,LEFT(IFERROR(INDEX(醫師週班表!$C$5:$T$44,$CU34,H$57),""),1),""),IF(MID(IFERROR(INDEX(醫師週班表!$C$5:$T$44,$CU34,H$57),""),2,1)="(",LEFT(IFERROR(INDEX(醫師週班表!$C$5:$T$44,$CU34,H$57),""),1),IFERROR(INDEX(醫師週班表!$C$5:$T$44,$CU34,H$57),"")))))))</f>
        <v/>
      </c>
      <c r="I34" s="72">
        <f>IF(I$59="X","",IF(I$59&lt;&gt;"",I$59,IF(IFERROR(INDEX(醫師週班表!$C$5:$T$44,$CU34,I$57),"")=0,"",IF(MID(IFERROR(INDEX(醫師週班表!$C$5:$T$44,$CU34,I$57),""),2,1)="/",MID(IFERROR(INDEX(醫師週班表!$C$5:$T$44,$CU34,I$57),""),1+I$58*2,1),IF(MID(IFERROR(INDEX(醫師週班表!$C$5:$T$44,$CU34,I$57),""),3,1)="隔",IF(I$58=0,LEFT(IFERROR(INDEX(醫師週班表!$C$5:$T$44,$CU34,I$57),""),1),""),IF(MID(IFERROR(INDEX(醫師週班表!$C$5:$T$44,$CU34,I$57),""),2,1)="(",LEFT(IFERROR(INDEX(醫師週班表!$C$5:$T$44,$CU34,I$57),""),1),IFERROR(INDEX(醫師週班表!$C$5:$T$44,$CU34,I$57),"")))))))</f>
        <v/>
      </c>
      <c r="J34" s="72">
        <f>IF(J$59="X","",IF(J$59&lt;&gt;"",J$59,IF(IFERROR(INDEX(醫師週班表!$C$5:$T$44,$CU34,J$57),"")=0,"",IF(MID(IFERROR(INDEX(醫師週班表!$C$5:$T$44,$CU34,J$57),""),2,1)="/",MID(IFERROR(INDEX(醫師週班表!$C$5:$T$44,$CU34,J$57),""),1+J$58*2,1),IF(MID(IFERROR(INDEX(醫師週班表!$C$5:$T$44,$CU34,J$57),""),3,1)="隔",IF(J$58=0,LEFT(IFERROR(INDEX(醫師週班表!$C$5:$T$44,$CU34,J$57),""),1),""),IF(MID(IFERROR(INDEX(醫師週班表!$C$5:$T$44,$CU34,J$57),""),2,1)="(",LEFT(IFERROR(INDEX(醫師週班表!$C$5:$T$44,$CU34,J$57),""),1),IFERROR(INDEX(醫師週班表!$C$5:$T$44,$CU34,J$57),"")))))))</f>
        <v/>
      </c>
      <c r="K34" s="71">
        <f>IF(K$59="X","",IF(K$59&lt;&gt;"",K$59,IF(IFERROR(INDEX(醫師週班表!$C$5:$T$44,$CU34,K$57),"")=0,"",IF(MID(IFERROR(INDEX(醫師週班表!$C$5:$T$44,$CU34,K$57),""),2,1)="/",MID(IFERROR(INDEX(醫師週班表!$C$5:$T$44,$CU34,K$57),""),1+K$58*2,1),IF(MID(IFERROR(INDEX(醫師週班表!$C$5:$T$44,$CU34,K$57),""),3,1)="隔",IF(K$58=0,LEFT(IFERROR(INDEX(醫師週班表!$C$5:$T$44,$CU34,K$57),""),1),""),IF(MID(IFERROR(INDEX(醫師週班表!$C$5:$T$44,$CU34,K$57),""),2,1)="(",LEFT(IFERROR(INDEX(醫師週班表!$C$5:$T$44,$CU34,K$57),""),1),IFERROR(INDEX(醫師週班表!$C$5:$T$44,$CU34,K$57),"")))))))</f>
        <v/>
      </c>
      <c r="L34" s="72">
        <f>IF(L$59="X","",IF(L$59&lt;&gt;"",L$59,IF(IFERROR(INDEX(醫師週班表!$C$5:$T$44,$CU34,L$57),"")=0,"",IF(MID(IFERROR(INDEX(醫師週班表!$C$5:$T$44,$CU34,L$57),""),2,1)="/",MID(IFERROR(INDEX(醫師週班表!$C$5:$T$44,$CU34,L$57),""),1+L$58*2,1),IF(MID(IFERROR(INDEX(醫師週班表!$C$5:$T$44,$CU34,L$57),""),3,1)="隔",IF(L$58=0,LEFT(IFERROR(INDEX(醫師週班表!$C$5:$T$44,$CU34,L$57),""),1),""),IF(MID(IFERROR(INDEX(醫師週班表!$C$5:$T$44,$CU34,L$57),""),2,1)="(",LEFT(IFERROR(INDEX(醫師週班表!$C$5:$T$44,$CU34,L$57),""),1),IFERROR(INDEX(醫師週班表!$C$5:$T$44,$CU34,L$57),"")))))))</f>
        <v/>
      </c>
      <c r="M34" s="72">
        <f>IF(M$59="X","",IF(M$59&lt;&gt;"",M$59,IF(IFERROR(INDEX(醫師週班表!$C$5:$T$44,$CU34,M$57),"")=0,"",IF(MID(IFERROR(INDEX(醫師週班表!$C$5:$T$44,$CU34,M$57),""),2,1)="/",MID(IFERROR(INDEX(醫師週班表!$C$5:$T$44,$CU34,M$57),""),1+M$58*2,1),IF(MID(IFERROR(INDEX(醫師週班表!$C$5:$T$44,$CU34,M$57),""),3,1)="隔",IF(M$58=0,LEFT(IFERROR(INDEX(醫師週班表!$C$5:$T$44,$CU34,M$57),""),1),""),IF(MID(IFERROR(INDEX(醫師週班表!$C$5:$T$44,$CU34,M$57),""),2,1)="(",LEFT(IFERROR(INDEX(醫師週班表!$C$5:$T$44,$CU34,M$57),""),1),IFERROR(INDEX(醫師週班表!$C$5:$T$44,$CU34,M$57),"")))))))</f>
        <v/>
      </c>
      <c r="N34" s="71">
        <f>IF(N$59="X","",IF(N$59&lt;&gt;"",N$59,IF(IFERROR(INDEX(醫師週班表!$C$5:$T$44,$CU34,N$57),"")=0,"",IF(MID(IFERROR(INDEX(醫師週班表!$C$5:$T$44,$CU34,N$57),""),2,1)="/",MID(IFERROR(INDEX(醫師週班表!$C$5:$T$44,$CU34,N$57),""),1+N$58*2,1),IF(MID(IFERROR(INDEX(醫師週班表!$C$5:$T$44,$CU34,N$57),""),3,1)="隔",IF(N$58=0,LEFT(IFERROR(INDEX(醫師週班表!$C$5:$T$44,$CU34,N$57),""),1),""),IF(MID(IFERROR(INDEX(醫師週班表!$C$5:$T$44,$CU34,N$57),""),2,1)="(",LEFT(IFERROR(INDEX(醫師週班表!$C$5:$T$44,$CU34,N$57),""),1),IFERROR(INDEX(醫師週班表!$C$5:$T$44,$CU34,N$57),"")))))))</f>
        <v/>
      </c>
      <c r="O34" s="72">
        <f>IF(O$59="X","",IF(O$59&lt;&gt;"",O$59,IF(IFERROR(INDEX(醫師週班表!$C$5:$T$44,$CU34,O$57),"")=0,"",IF(MID(IFERROR(INDEX(醫師週班表!$C$5:$T$44,$CU34,O$57),""),2,1)="/",MID(IFERROR(INDEX(醫師週班表!$C$5:$T$44,$CU34,O$57),""),1+O$58*2,1),IF(MID(IFERROR(INDEX(醫師週班表!$C$5:$T$44,$CU34,O$57),""),3,1)="隔",IF(O$58=0,LEFT(IFERROR(INDEX(醫師週班表!$C$5:$T$44,$CU34,O$57),""),1),""),IF(MID(IFERROR(INDEX(醫師週班表!$C$5:$T$44,$CU34,O$57),""),2,1)="(",LEFT(IFERROR(INDEX(醫師週班表!$C$5:$T$44,$CU34,O$57),""),1),IFERROR(INDEX(醫師週班表!$C$5:$T$44,$CU34,O$57),"")))))))</f>
        <v/>
      </c>
      <c r="P34" s="72">
        <f>IF(P$59="X","",IF(P$59&lt;&gt;"",P$59,IF(IFERROR(INDEX(醫師週班表!$C$5:$T$44,$CU34,P$57),"")=0,"",IF(MID(IFERROR(INDEX(醫師週班表!$C$5:$T$44,$CU34,P$57),""),2,1)="/",MID(IFERROR(INDEX(醫師週班表!$C$5:$T$44,$CU34,P$57),""),1+P$58*2,1),IF(MID(IFERROR(INDEX(醫師週班表!$C$5:$T$44,$CU34,P$57),""),3,1)="隔",IF(P$58=0,LEFT(IFERROR(INDEX(醫師週班表!$C$5:$T$44,$CU34,P$57),""),1),""),IF(MID(IFERROR(INDEX(醫師週班表!$C$5:$T$44,$CU34,P$57),""),2,1)="(",LEFT(IFERROR(INDEX(醫師週班表!$C$5:$T$44,$CU34,P$57),""),1),IFERROR(INDEX(醫師週班表!$C$5:$T$44,$CU34,P$57),"")))))))</f>
        <v/>
      </c>
      <c r="Q34" s="71">
        <f>IF(Q$59="X","",IF(Q$59&lt;&gt;"",Q$59,IF(IFERROR(INDEX(醫師週班表!$C$5:$T$44,$CU34,Q$57),"")=0,"",IF(MID(IFERROR(INDEX(醫師週班表!$C$5:$T$44,$CU34,Q$57),""),2,1)="/",MID(IFERROR(INDEX(醫師週班表!$C$5:$T$44,$CU34,Q$57),""),1+Q$58*2,1),IF(MID(IFERROR(INDEX(醫師週班表!$C$5:$T$44,$CU34,Q$57),""),3,1)="隔",IF(Q$58=0,LEFT(IFERROR(INDEX(醫師週班表!$C$5:$T$44,$CU34,Q$57),""),1),""),IF(MID(IFERROR(INDEX(醫師週班表!$C$5:$T$44,$CU34,Q$57),""),2,1)="(",LEFT(IFERROR(INDEX(醫師週班表!$C$5:$T$44,$CU34,Q$57),""),1),IFERROR(INDEX(醫師週班表!$C$5:$T$44,$CU34,Q$57),"")))))))</f>
        <v/>
      </c>
      <c r="R34" s="72">
        <f>IF(R$59="X","",IF(R$59&lt;&gt;"",R$59,IF(IFERROR(INDEX(醫師週班表!$C$5:$T$44,$CU34,R$57),"")=0,"",IF(MID(IFERROR(INDEX(醫師週班表!$C$5:$T$44,$CU34,R$57),""),2,1)="/",MID(IFERROR(INDEX(醫師週班表!$C$5:$T$44,$CU34,R$57),""),1+R$58*2,1),IF(MID(IFERROR(INDEX(醫師週班表!$C$5:$T$44,$CU34,R$57),""),3,1)="隔",IF(R$58=0,LEFT(IFERROR(INDEX(醫師週班表!$C$5:$T$44,$CU34,R$57),""),1),""),IF(MID(IFERROR(INDEX(醫師週班表!$C$5:$T$44,$CU34,R$57),""),2,1)="(",LEFT(IFERROR(INDEX(醫師週班表!$C$5:$T$44,$CU34,R$57),""),1),IFERROR(INDEX(醫師週班表!$C$5:$T$44,$CU34,R$57),"")))))))</f>
        <v/>
      </c>
      <c r="S34" s="72">
        <f>IF(S$59="X","",IF(S$59&lt;&gt;"",S$59,IF(IFERROR(INDEX(醫師週班表!$C$5:$T$44,$CU34,S$57),"")=0,"",IF(MID(IFERROR(INDEX(醫師週班表!$C$5:$T$44,$CU34,S$57),""),2,1)="/",MID(IFERROR(INDEX(醫師週班表!$C$5:$T$44,$CU34,S$57),""),1+S$58*2,1),IF(MID(IFERROR(INDEX(醫師週班表!$C$5:$T$44,$CU34,S$57),""),3,1)="隔",IF(S$58=0,LEFT(IFERROR(INDEX(醫師週班表!$C$5:$T$44,$CU34,S$57),""),1),""),IF(MID(IFERROR(INDEX(醫師週班表!$C$5:$T$44,$CU34,S$57),""),2,1)="(",LEFT(IFERROR(INDEX(醫師週班表!$C$5:$T$44,$CU34,S$57),""),1),IFERROR(INDEX(醫師週班表!$C$5:$T$44,$CU34,S$57),"")))))))</f>
        <v/>
      </c>
      <c r="T34" s="71">
        <f>IF(T$59="X","",IF(T$59&lt;&gt;"",T$59,IF(IFERROR(INDEX(醫師週班表!$C$5:$T$44,$CU34,T$57),"")=0,"",IF(MID(IFERROR(INDEX(醫師週班表!$C$5:$T$44,$CU34,T$57),""),2,1)="/",MID(IFERROR(INDEX(醫師週班表!$C$5:$T$44,$CU34,T$57),""),1+T$58*2,1),IF(MID(IFERROR(INDEX(醫師週班表!$C$5:$T$44,$CU34,T$57),""),3,1)="隔",IF(T$58=0,LEFT(IFERROR(INDEX(醫師週班表!$C$5:$T$44,$CU34,T$57),""),1),""),IF(MID(IFERROR(INDEX(醫師週班表!$C$5:$T$44,$CU34,T$57),""),2,1)="(",LEFT(IFERROR(INDEX(醫師週班表!$C$5:$T$44,$CU34,T$57),""),1),IFERROR(INDEX(醫師週班表!$C$5:$T$44,$CU34,T$57),"")))))))</f>
        <v/>
      </c>
      <c r="U34" s="72">
        <f>IF(U$59="X","",IF(U$59&lt;&gt;"",U$59,IF(IFERROR(INDEX(醫師週班表!$C$5:$T$44,$CU34,U$57),"")=0,"",IF(MID(IFERROR(INDEX(醫師週班表!$C$5:$T$44,$CU34,U$57),""),2,1)="/",MID(IFERROR(INDEX(醫師週班表!$C$5:$T$44,$CU34,U$57),""),1+U$58*2,1),IF(MID(IFERROR(INDEX(醫師週班表!$C$5:$T$44,$CU34,U$57),""),3,1)="隔",IF(U$58=0,LEFT(IFERROR(INDEX(醫師週班表!$C$5:$T$44,$CU34,U$57),""),1),""),IF(MID(IFERROR(INDEX(醫師週班表!$C$5:$T$44,$CU34,U$57),""),2,1)="(",LEFT(IFERROR(INDEX(醫師週班表!$C$5:$T$44,$CU34,U$57),""),1),IFERROR(INDEX(醫師週班表!$C$5:$T$44,$CU34,U$57),"")))))))</f>
        <v/>
      </c>
      <c r="V34" s="72">
        <f>IF(V$59="X","",IF(V$59&lt;&gt;"",V$59,IF(IFERROR(INDEX(醫師週班表!$C$5:$T$44,$CU34,V$57),"")=0,"",IF(MID(IFERROR(INDEX(醫師週班表!$C$5:$T$44,$CU34,V$57),""),2,1)="/",MID(IFERROR(INDEX(醫師週班表!$C$5:$T$44,$CU34,V$57),""),1+V$58*2,1),IF(MID(IFERROR(INDEX(醫師週班表!$C$5:$T$44,$CU34,V$57),""),3,1)="隔",IF(V$58=0,LEFT(IFERROR(INDEX(醫師週班表!$C$5:$T$44,$CU34,V$57),""),1),""),IF(MID(IFERROR(INDEX(醫師週班表!$C$5:$T$44,$CU34,V$57),""),2,1)="(",LEFT(IFERROR(INDEX(醫師週班表!$C$5:$T$44,$CU34,V$57),""),1),IFERROR(INDEX(醫師週班表!$C$5:$T$44,$CU34,V$57),"")))))))</f>
        <v/>
      </c>
      <c r="W34" s="71">
        <f>IF(W$59="X","",IF(W$59&lt;&gt;"",W$59,IF(IFERROR(INDEX(醫師週班表!$C$5:$T$44,$CU34,W$57),"")=0,"",IF(MID(IFERROR(INDEX(醫師週班表!$C$5:$T$44,$CU34,W$57),""),2,1)="/",MID(IFERROR(INDEX(醫師週班表!$C$5:$T$44,$CU34,W$57),""),1+W$58*2,1),IF(MID(IFERROR(INDEX(醫師週班表!$C$5:$T$44,$CU34,W$57),""),3,1)="隔",IF(W$58=0,LEFT(IFERROR(INDEX(醫師週班表!$C$5:$T$44,$CU34,W$57),""),1),""),IF(MID(IFERROR(INDEX(醫師週班表!$C$5:$T$44,$CU34,W$57),""),2,1)="(",LEFT(IFERROR(INDEX(醫師週班表!$C$5:$T$44,$CU34,W$57),""),1),IFERROR(INDEX(醫師週班表!$C$5:$T$44,$CU34,W$57),"")))))))</f>
        <v/>
      </c>
      <c r="X34" s="72">
        <f>IF(X$59="X","",IF(X$59&lt;&gt;"",X$59,IF(IFERROR(INDEX(醫師週班表!$C$5:$T$44,$CU34,X$57),"")=0,"",IF(MID(IFERROR(INDEX(醫師週班表!$C$5:$T$44,$CU34,X$57),""),2,1)="/",MID(IFERROR(INDEX(醫師週班表!$C$5:$T$44,$CU34,X$57),""),1+X$58*2,1),IF(MID(IFERROR(INDEX(醫師週班表!$C$5:$T$44,$CU34,X$57),""),3,1)="隔",IF(X$58=0,LEFT(IFERROR(INDEX(醫師週班表!$C$5:$T$44,$CU34,X$57),""),1),""),IF(MID(IFERROR(INDEX(醫師週班表!$C$5:$T$44,$CU34,X$57),""),2,1)="(",LEFT(IFERROR(INDEX(醫師週班表!$C$5:$T$44,$CU34,X$57),""),1),IFERROR(INDEX(醫師週班表!$C$5:$T$44,$CU34,X$57),"")))))))</f>
        <v/>
      </c>
      <c r="Y34" s="72">
        <f>IF(Y$59="X","",IF(Y$59&lt;&gt;"",Y$59,IF(IFERROR(INDEX(醫師週班表!$C$5:$T$44,$CU34,Y$57),"")=0,"",IF(MID(IFERROR(INDEX(醫師週班表!$C$5:$T$44,$CU34,Y$57),""),2,1)="/",MID(IFERROR(INDEX(醫師週班表!$C$5:$T$44,$CU34,Y$57),""),1+Y$58*2,1),IF(MID(IFERROR(INDEX(醫師週班表!$C$5:$T$44,$CU34,Y$57),""),3,1)="隔",IF(Y$58=0,LEFT(IFERROR(INDEX(醫師週班表!$C$5:$T$44,$CU34,Y$57),""),1),""),IF(MID(IFERROR(INDEX(醫師週班表!$C$5:$T$44,$CU34,Y$57),""),2,1)="(",LEFT(IFERROR(INDEX(醫師週班表!$C$5:$T$44,$CU34,Y$57),""),1),IFERROR(INDEX(醫師週班表!$C$5:$T$44,$CU34,Y$57),"")))))))</f>
        <v/>
      </c>
      <c r="Z34" s="71">
        <f>IF(Z$59="X","",IF(Z$59&lt;&gt;"",Z$59,IF(IFERROR(INDEX(醫師週班表!$C$5:$T$44,$CU34,Z$57),"")=0,"",IF(MID(IFERROR(INDEX(醫師週班表!$C$5:$T$44,$CU34,Z$57),""),2,1)="/",MID(IFERROR(INDEX(醫師週班表!$C$5:$T$44,$CU34,Z$57),""),1+Z$58*2,1),IF(MID(IFERROR(INDEX(醫師週班表!$C$5:$T$44,$CU34,Z$57),""),3,1)="隔",IF(Z$58=0,LEFT(IFERROR(INDEX(醫師週班表!$C$5:$T$44,$CU34,Z$57),""),1),""),IF(MID(IFERROR(INDEX(醫師週班表!$C$5:$T$44,$CU34,Z$57),""),2,1)="(",LEFT(IFERROR(INDEX(醫師週班表!$C$5:$T$44,$CU34,Z$57),""),1),IFERROR(INDEX(醫師週班表!$C$5:$T$44,$CU34,Z$57),"")))))))</f>
        <v/>
      </c>
      <c r="AA34" s="72">
        <f>IF(AA$59="X","",IF(AA$59&lt;&gt;"",AA$59,IF(IFERROR(INDEX(醫師週班表!$C$5:$T$44,$CU34,AA$57),"")=0,"",IF(MID(IFERROR(INDEX(醫師週班表!$C$5:$T$44,$CU34,AA$57),""),2,1)="/",MID(IFERROR(INDEX(醫師週班表!$C$5:$T$44,$CU34,AA$57),""),1+AA$58*2,1),IF(MID(IFERROR(INDEX(醫師週班表!$C$5:$T$44,$CU34,AA$57),""),3,1)="隔",IF(AA$58=0,LEFT(IFERROR(INDEX(醫師週班表!$C$5:$T$44,$CU34,AA$57),""),1),""),IF(MID(IFERROR(INDEX(醫師週班表!$C$5:$T$44,$CU34,AA$57),""),2,1)="(",LEFT(IFERROR(INDEX(醫師週班表!$C$5:$T$44,$CU34,AA$57),""),1),IFERROR(INDEX(醫師週班表!$C$5:$T$44,$CU34,AA$57),"")))))))</f>
        <v/>
      </c>
      <c r="AB34" s="72">
        <f>IF(AB$59="X","",IF(AB$59&lt;&gt;"",AB$59,IF(IFERROR(INDEX(醫師週班表!$C$5:$T$44,$CU34,AB$57),"")=0,"",IF(MID(IFERROR(INDEX(醫師週班表!$C$5:$T$44,$CU34,AB$57),""),2,1)="/",MID(IFERROR(INDEX(醫師週班表!$C$5:$T$44,$CU34,AB$57),""),1+AB$58*2,1),IF(MID(IFERROR(INDEX(醫師週班表!$C$5:$T$44,$CU34,AB$57),""),3,1)="隔",IF(AB$58=0,LEFT(IFERROR(INDEX(醫師週班表!$C$5:$T$44,$CU34,AB$57),""),1),""),IF(MID(IFERROR(INDEX(醫師週班表!$C$5:$T$44,$CU34,AB$57),""),2,1)="(",LEFT(IFERROR(INDEX(醫師週班表!$C$5:$T$44,$CU34,AB$57),""),1),IFERROR(INDEX(醫師週班表!$C$5:$T$44,$CU34,AB$57),"")))))))</f>
        <v/>
      </c>
      <c r="AC34" s="71">
        <f>IF(AC$59="X","",IF(AC$59&lt;&gt;"",AC$59,IF(IFERROR(INDEX(醫師週班表!$C$5:$T$44,$CU34,AC$57),"")=0,"",IF(MID(IFERROR(INDEX(醫師週班表!$C$5:$T$44,$CU34,AC$57),""),2,1)="/",MID(IFERROR(INDEX(醫師週班表!$C$5:$T$44,$CU34,AC$57),""),1+AC$58*2,1),IF(MID(IFERROR(INDEX(醫師週班表!$C$5:$T$44,$CU34,AC$57),""),3,1)="隔",IF(AC$58=0,LEFT(IFERROR(INDEX(醫師週班表!$C$5:$T$44,$CU34,AC$57),""),1),""),IF(MID(IFERROR(INDEX(醫師週班表!$C$5:$T$44,$CU34,AC$57),""),2,1)="(",LEFT(IFERROR(INDEX(醫師週班表!$C$5:$T$44,$CU34,AC$57),""),1),IFERROR(INDEX(醫師週班表!$C$5:$T$44,$CU34,AC$57),"")))))))</f>
        <v/>
      </c>
      <c r="AD34" s="72">
        <f>IF(AD$59="X","",IF(AD$59&lt;&gt;"",AD$59,IF(IFERROR(INDEX(醫師週班表!$C$5:$T$44,$CU34,AD$57),"")=0,"",IF(MID(IFERROR(INDEX(醫師週班表!$C$5:$T$44,$CU34,AD$57),""),2,1)="/",MID(IFERROR(INDEX(醫師週班表!$C$5:$T$44,$CU34,AD$57),""),1+AD$58*2,1),IF(MID(IFERROR(INDEX(醫師週班表!$C$5:$T$44,$CU34,AD$57),""),3,1)="隔",IF(AD$58=0,LEFT(IFERROR(INDEX(醫師週班表!$C$5:$T$44,$CU34,AD$57),""),1),""),IF(MID(IFERROR(INDEX(醫師週班表!$C$5:$T$44,$CU34,AD$57),""),2,1)="(",LEFT(IFERROR(INDEX(醫師週班表!$C$5:$T$44,$CU34,AD$57),""),1),IFERROR(INDEX(醫師週班表!$C$5:$T$44,$CU34,AD$57),"")))))))</f>
        <v/>
      </c>
      <c r="AE34" s="72">
        <f>IF(AE$59="X","",IF(AE$59&lt;&gt;"",AE$59,IF(IFERROR(INDEX(醫師週班表!$C$5:$T$44,$CU34,AE$57),"")=0,"",IF(MID(IFERROR(INDEX(醫師週班表!$C$5:$T$44,$CU34,AE$57),""),2,1)="/",MID(IFERROR(INDEX(醫師週班表!$C$5:$T$44,$CU34,AE$57),""),1+AE$58*2,1),IF(MID(IFERROR(INDEX(醫師週班表!$C$5:$T$44,$CU34,AE$57),""),3,1)="隔",IF(AE$58=0,LEFT(IFERROR(INDEX(醫師週班表!$C$5:$T$44,$CU34,AE$57),""),1),""),IF(MID(IFERROR(INDEX(醫師週班表!$C$5:$T$44,$CU34,AE$57),""),2,1)="(",LEFT(IFERROR(INDEX(醫師週班表!$C$5:$T$44,$CU34,AE$57),""),1),IFERROR(INDEX(醫師週班表!$C$5:$T$44,$CU34,AE$57),"")))))))</f>
        <v/>
      </c>
      <c r="AF34" s="71">
        <f>IF(AF$59="X","",IF(AF$59&lt;&gt;"",AF$59,IF(IFERROR(INDEX(醫師週班表!$C$5:$T$44,$CU34,AF$57),"")=0,"",IF(MID(IFERROR(INDEX(醫師週班表!$C$5:$T$44,$CU34,AF$57),""),2,1)="/",MID(IFERROR(INDEX(醫師週班表!$C$5:$T$44,$CU34,AF$57),""),1+AF$58*2,1),IF(MID(IFERROR(INDEX(醫師週班表!$C$5:$T$44,$CU34,AF$57),""),3,1)="隔",IF(AF$58=0,LEFT(IFERROR(INDEX(醫師週班表!$C$5:$T$44,$CU34,AF$57),""),1),""),IF(MID(IFERROR(INDEX(醫師週班表!$C$5:$T$44,$CU34,AF$57),""),2,1)="(",LEFT(IFERROR(INDEX(醫師週班表!$C$5:$T$44,$CU34,AF$57),""),1),IFERROR(INDEX(醫師週班表!$C$5:$T$44,$CU34,AF$57),"")))))))</f>
        <v/>
      </c>
      <c r="AG34" s="72">
        <f>IF(AG$59="X","",IF(AG$59&lt;&gt;"",AG$59,IF(IFERROR(INDEX(醫師週班表!$C$5:$T$44,$CU34,AG$57),"")=0,"",IF(MID(IFERROR(INDEX(醫師週班表!$C$5:$T$44,$CU34,AG$57),""),2,1)="/",MID(IFERROR(INDEX(醫師週班表!$C$5:$T$44,$CU34,AG$57),""),1+AG$58*2,1),IF(MID(IFERROR(INDEX(醫師週班表!$C$5:$T$44,$CU34,AG$57),""),3,1)="隔",IF(AG$58=0,LEFT(IFERROR(INDEX(醫師週班表!$C$5:$T$44,$CU34,AG$57),""),1),""),IF(MID(IFERROR(INDEX(醫師週班表!$C$5:$T$44,$CU34,AG$57),""),2,1)="(",LEFT(IFERROR(INDEX(醫師週班表!$C$5:$T$44,$CU34,AG$57),""),1),IFERROR(INDEX(醫師週班表!$C$5:$T$44,$CU34,AG$57),"")))))))</f>
        <v/>
      </c>
      <c r="AH34" s="72">
        <f>IF(AH$59="X","",IF(AH$59&lt;&gt;"",AH$59,IF(IFERROR(INDEX(醫師週班表!$C$5:$T$44,$CU34,AH$57),"")=0,"",IF(MID(IFERROR(INDEX(醫師週班表!$C$5:$T$44,$CU34,AH$57),""),2,1)="/",MID(IFERROR(INDEX(醫師週班表!$C$5:$T$44,$CU34,AH$57),""),1+AH$58*2,1),IF(MID(IFERROR(INDEX(醫師週班表!$C$5:$T$44,$CU34,AH$57),""),3,1)="隔",IF(AH$58=0,LEFT(IFERROR(INDEX(醫師週班表!$C$5:$T$44,$CU34,AH$57),""),1),""),IF(MID(IFERROR(INDEX(醫師週班表!$C$5:$T$44,$CU34,AH$57),""),2,1)="(",LEFT(IFERROR(INDEX(醫師週班表!$C$5:$T$44,$CU34,AH$57),""),1),IFERROR(INDEX(醫師週班表!$C$5:$T$44,$CU34,AH$57),"")))))))</f>
        <v/>
      </c>
      <c r="AI34" s="71">
        <f>IF(AI$59="X","",IF(AI$59&lt;&gt;"",AI$59,IF(IFERROR(INDEX(醫師週班表!$C$5:$T$44,$CU34,AI$57),"")=0,"",IF(MID(IFERROR(INDEX(醫師週班表!$C$5:$T$44,$CU34,AI$57),""),2,1)="/",MID(IFERROR(INDEX(醫師週班表!$C$5:$T$44,$CU34,AI$57),""),1+AI$58*2,1),IF(MID(IFERROR(INDEX(醫師週班表!$C$5:$T$44,$CU34,AI$57),""),3,1)="隔",IF(AI$58=0,LEFT(IFERROR(INDEX(醫師週班表!$C$5:$T$44,$CU34,AI$57),""),1),""),IF(MID(IFERROR(INDEX(醫師週班表!$C$5:$T$44,$CU34,AI$57),""),2,1)="(",LEFT(IFERROR(INDEX(醫師週班表!$C$5:$T$44,$CU34,AI$57),""),1),IFERROR(INDEX(醫師週班表!$C$5:$T$44,$CU34,AI$57),"")))))))</f>
        <v/>
      </c>
      <c r="AJ34" s="72">
        <f>IF(AJ$59="X","",IF(AJ$59&lt;&gt;"",AJ$59,IF(IFERROR(INDEX(醫師週班表!$C$5:$T$44,$CU34,AJ$57),"")=0,"",IF(MID(IFERROR(INDEX(醫師週班表!$C$5:$T$44,$CU34,AJ$57),""),2,1)="/",MID(IFERROR(INDEX(醫師週班表!$C$5:$T$44,$CU34,AJ$57),""),1+AJ$58*2,1),IF(MID(IFERROR(INDEX(醫師週班表!$C$5:$T$44,$CU34,AJ$57),""),3,1)="隔",IF(AJ$58=0,LEFT(IFERROR(INDEX(醫師週班表!$C$5:$T$44,$CU34,AJ$57),""),1),""),IF(MID(IFERROR(INDEX(醫師週班表!$C$5:$T$44,$CU34,AJ$57),""),2,1)="(",LEFT(IFERROR(INDEX(醫師週班表!$C$5:$T$44,$CU34,AJ$57),""),1),IFERROR(INDEX(醫師週班表!$C$5:$T$44,$CU34,AJ$57),"")))))))</f>
        <v/>
      </c>
      <c r="AK34" s="72">
        <f>IF(AK$59="X","",IF(AK$59&lt;&gt;"",AK$59,IF(IFERROR(INDEX(醫師週班表!$C$5:$T$44,$CU34,AK$57),"")=0,"",IF(MID(IFERROR(INDEX(醫師週班表!$C$5:$T$44,$CU34,AK$57),""),2,1)="/",MID(IFERROR(INDEX(醫師週班表!$C$5:$T$44,$CU34,AK$57),""),1+AK$58*2,1),IF(MID(IFERROR(INDEX(醫師週班表!$C$5:$T$44,$CU34,AK$57),""),3,1)="隔",IF(AK$58=0,LEFT(IFERROR(INDEX(醫師週班表!$C$5:$T$44,$CU34,AK$57),""),1),""),IF(MID(IFERROR(INDEX(醫師週班表!$C$5:$T$44,$CU34,AK$57),""),2,1)="(",LEFT(IFERROR(INDEX(醫師週班表!$C$5:$T$44,$CU34,AK$57),""),1),IFERROR(INDEX(醫師週班表!$C$5:$T$44,$CU34,AK$57),"")))))))</f>
        <v/>
      </c>
      <c r="AL34" s="71">
        <f>IF(AL$59="X","",IF(AL$59&lt;&gt;"",AL$59,IF(IFERROR(INDEX(醫師週班表!$C$5:$T$44,$CU34,AL$57),"")=0,"",IF(MID(IFERROR(INDEX(醫師週班表!$C$5:$T$44,$CU34,AL$57),""),2,1)="/",MID(IFERROR(INDEX(醫師週班表!$C$5:$T$44,$CU34,AL$57),""),1+AL$58*2,1),IF(MID(IFERROR(INDEX(醫師週班表!$C$5:$T$44,$CU34,AL$57),""),3,1)="隔",IF(AL$58=0,LEFT(IFERROR(INDEX(醫師週班表!$C$5:$T$44,$CU34,AL$57),""),1),""),IF(MID(IFERROR(INDEX(醫師週班表!$C$5:$T$44,$CU34,AL$57),""),2,1)="(",LEFT(IFERROR(INDEX(醫師週班表!$C$5:$T$44,$CU34,AL$57),""),1),IFERROR(INDEX(醫師週班表!$C$5:$T$44,$CU34,AL$57),"")))))))</f>
        <v/>
      </c>
      <c r="AM34" s="72">
        <f>IF(AM$59="X","",IF(AM$59&lt;&gt;"",AM$59,IF(IFERROR(INDEX(醫師週班表!$C$5:$T$44,$CU34,AM$57),"")=0,"",IF(MID(IFERROR(INDEX(醫師週班表!$C$5:$T$44,$CU34,AM$57),""),2,1)="/",MID(IFERROR(INDEX(醫師週班表!$C$5:$T$44,$CU34,AM$57),""),1+AM$58*2,1),IF(MID(IFERROR(INDEX(醫師週班表!$C$5:$T$44,$CU34,AM$57),""),3,1)="隔",IF(AM$58=0,LEFT(IFERROR(INDEX(醫師週班表!$C$5:$T$44,$CU34,AM$57),""),1),""),IF(MID(IFERROR(INDEX(醫師週班表!$C$5:$T$44,$CU34,AM$57),""),2,1)="(",LEFT(IFERROR(INDEX(醫師週班表!$C$5:$T$44,$CU34,AM$57),""),1),IFERROR(INDEX(醫師週班表!$C$5:$T$44,$CU34,AM$57),"")))))))</f>
        <v/>
      </c>
      <c r="AN34" s="72">
        <f>IF(AN$59="X","",IF(AN$59&lt;&gt;"",AN$59,IF(IFERROR(INDEX(醫師週班表!$C$5:$T$44,$CU34,AN$57),"")=0,"",IF(MID(IFERROR(INDEX(醫師週班表!$C$5:$T$44,$CU34,AN$57),""),2,1)="/",MID(IFERROR(INDEX(醫師週班表!$C$5:$T$44,$CU34,AN$57),""),1+AN$58*2,1),IF(MID(IFERROR(INDEX(醫師週班表!$C$5:$T$44,$CU34,AN$57),""),3,1)="隔",IF(AN$58=0,LEFT(IFERROR(INDEX(醫師週班表!$C$5:$T$44,$CU34,AN$57),""),1),""),IF(MID(IFERROR(INDEX(醫師週班表!$C$5:$T$44,$CU34,AN$57),""),2,1)="(",LEFT(IFERROR(INDEX(醫師週班表!$C$5:$T$44,$CU34,AN$57),""),1),IFERROR(INDEX(醫師週班表!$C$5:$T$44,$CU34,AN$57),"")))))))</f>
        <v/>
      </c>
      <c r="AO34" s="71">
        <f>IF(AO$59="X","",IF(AO$59&lt;&gt;"",AO$59,IF(IFERROR(INDEX(醫師週班表!$C$5:$T$44,$CU34,AO$57),"")=0,"",IF(MID(IFERROR(INDEX(醫師週班表!$C$5:$T$44,$CU34,AO$57),""),2,1)="/",MID(IFERROR(INDEX(醫師週班表!$C$5:$T$44,$CU34,AO$57),""),1+AO$58*2,1),IF(MID(IFERROR(INDEX(醫師週班表!$C$5:$T$44,$CU34,AO$57),""),3,1)="隔",IF(AO$58=0,LEFT(IFERROR(INDEX(醫師週班表!$C$5:$T$44,$CU34,AO$57),""),1),""),IF(MID(IFERROR(INDEX(醫師週班表!$C$5:$T$44,$CU34,AO$57),""),2,1)="(",LEFT(IFERROR(INDEX(醫師週班表!$C$5:$T$44,$CU34,AO$57),""),1),IFERROR(INDEX(醫師週班表!$C$5:$T$44,$CU34,AO$57),"")))))))</f>
        <v/>
      </c>
      <c r="AP34" s="72">
        <f>IF(AP$59="X","",IF(AP$59&lt;&gt;"",AP$59,IF(IFERROR(INDEX(醫師週班表!$C$5:$T$44,$CU34,AP$57),"")=0,"",IF(MID(IFERROR(INDEX(醫師週班表!$C$5:$T$44,$CU34,AP$57),""),2,1)="/",MID(IFERROR(INDEX(醫師週班表!$C$5:$T$44,$CU34,AP$57),""),1+AP$58*2,1),IF(MID(IFERROR(INDEX(醫師週班表!$C$5:$T$44,$CU34,AP$57),""),3,1)="隔",IF(AP$58=0,LEFT(IFERROR(INDEX(醫師週班表!$C$5:$T$44,$CU34,AP$57),""),1),""),IF(MID(IFERROR(INDEX(醫師週班表!$C$5:$T$44,$CU34,AP$57),""),2,1)="(",LEFT(IFERROR(INDEX(醫師週班表!$C$5:$T$44,$CU34,AP$57),""),1),IFERROR(INDEX(醫師週班表!$C$5:$T$44,$CU34,AP$57),"")))))))</f>
        <v/>
      </c>
      <c r="AQ34" s="72">
        <f>IF(AQ$59="X","",IF(AQ$59&lt;&gt;"",AQ$59,IF(IFERROR(INDEX(醫師週班表!$C$5:$T$44,$CU34,AQ$57),"")=0,"",IF(MID(IFERROR(INDEX(醫師週班表!$C$5:$T$44,$CU34,AQ$57),""),2,1)="/",MID(IFERROR(INDEX(醫師週班表!$C$5:$T$44,$CU34,AQ$57),""),1+AQ$58*2,1),IF(MID(IFERROR(INDEX(醫師週班表!$C$5:$T$44,$CU34,AQ$57),""),3,1)="隔",IF(AQ$58=0,LEFT(IFERROR(INDEX(醫師週班表!$C$5:$T$44,$CU34,AQ$57),""),1),""),IF(MID(IFERROR(INDEX(醫師週班表!$C$5:$T$44,$CU34,AQ$57),""),2,1)="(",LEFT(IFERROR(INDEX(醫師週班表!$C$5:$T$44,$CU34,AQ$57),""),1),IFERROR(INDEX(醫師週班表!$C$5:$T$44,$CU34,AQ$57),"")))))))</f>
        <v/>
      </c>
      <c r="AR34" s="71">
        <f>IF(AR$59="X","",IF(AR$59&lt;&gt;"",AR$59,IF(IFERROR(INDEX(醫師週班表!$C$5:$T$44,$CU34,AR$57),"")=0,"",IF(MID(IFERROR(INDEX(醫師週班表!$C$5:$T$44,$CU34,AR$57),""),2,1)="/",MID(IFERROR(INDEX(醫師週班表!$C$5:$T$44,$CU34,AR$57),""),1+AR$58*2,1),IF(MID(IFERROR(INDEX(醫師週班表!$C$5:$T$44,$CU34,AR$57),""),3,1)="隔",IF(AR$58=0,LEFT(IFERROR(INDEX(醫師週班表!$C$5:$T$44,$CU34,AR$57),""),1),""),IF(MID(IFERROR(INDEX(醫師週班表!$C$5:$T$44,$CU34,AR$57),""),2,1)="(",LEFT(IFERROR(INDEX(醫師週班表!$C$5:$T$44,$CU34,AR$57),""),1),IFERROR(INDEX(醫師週班表!$C$5:$T$44,$CU34,AR$57),"")))))))</f>
        <v/>
      </c>
      <c r="AS34" s="72">
        <f>IF(AS$59="X","",IF(AS$59&lt;&gt;"",AS$59,IF(IFERROR(INDEX(醫師週班表!$C$5:$T$44,$CU34,AS$57),"")=0,"",IF(MID(IFERROR(INDEX(醫師週班表!$C$5:$T$44,$CU34,AS$57),""),2,1)="/",MID(IFERROR(INDEX(醫師週班表!$C$5:$T$44,$CU34,AS$57),""),1+AS$58*2,1),IF(MID(IFERROR(INDEX(醫師週班表!$C$5:$T$44,$CU34,AS$57),""),3,1)="隔",IF(AS$58=0,LEFT(IFERROR(INDEX(醫師週班表!$C$5:$T$44,$CU34,AS$57),""),1),""),IF(MID(IFERROR(INDEX(醫師週班表!$C$5:$T$44,$CU34,AS$57),""),2,1)="(",LEFT(IFERROR(INDEX(醫師週班表!$C$5:$T$44,$CU34,AS$57),""),1),IFERROR(INDEX(醫師週班表!$C$5:$T$44,$CU34,AS$57),"")))))))</f>
        <v/>
      </c>
      <c r="AT34" s="72">
        <f>IF(AT$59="X","",IF(AT$59&lt;&gt;"",AT$59,IF(IFERROR(INDEX(醫師週班表!$C$5:$T$44,$CU34,AT$57),"")=0,"",IF(MID(IFERROR(INDEX(醫師週班表!$C$5:$T$44,$CU34,AT$57),""),2,1)="/",MID(IFERROR(INDEX(醫師週班表!$C$5:$T$44,$CU34,AT$57),""),1+AT$58*2,1),IF(MID(IFERROR(INDEX(醫師週班表!$C$5:$T$44,$CU34,AT$57),""),3,1)="隔",IF(AT$58=0,LEFT(IFERROR(INDEX(醫師週班表!$C$5:$T$44,$CU34,AT$57),""),1),""),IF(MID(IFERROR(INDEX(醫師週班表!$C$5:$T$44,$CU34,AT$57),""),2,1)="(",LEFT(IFERROR(INDEX(醫師週班表!$C$5:$T$44,$CU34,AT$57),""),1),IFERROR(INDEX(醫師週班表!$C$5:$T$44,$CU34,AT$57),"")))))))</f>
        <v/>
      </c>
      <c r="AU34" s="71">
        <f>IF(AU$59="X","",IF(AU$59&lt;&gt;"",AU$59,IF(IFERROR(INDEX(醫師週班表!$C$5:$T$44,$CU34,AU$57),"")=0,"",IF(MID(IFERROR(INDEX(醫師週班表!$C$5:$T$44,$CU34,AU$57),""),2,1)="/",MID(IFERROR(INDEX(醫師週班表!$C$5:$T$44,$CU34,AU$57),""),1+AU$58*2,1),IF(MID(IFERROR(INDEX(醫師週班表!$C$5:$T$44,$CU34,AU$57),""),3,1)="隔",IF(AU$58=0,LEFT(IFERROR(INDEX(醫師週班表!$C$5:$T$44,$CU34,AU$57),""),1),""),IF(MID(IFERROR(INDEX(醫師週班表!$C$5:$T$44,$CU34,AU$57),""),2,1)="(",LEFT(IFERROR(INDEX(醫師週班表!$C$5:$T$44,$CU34,AU$57),""),1),IFERROR(INDEX(醫師週班表!$C$5:$T$44,$CU34,AU$57),"")))))))</f>
        <v/>
      </c>
      <c r="AV34" s="72">
        <f>IF(AV$59="X","",IF(AV$59&lt;&gt;"",AV$59,IF(IFERROR(INDEX(醫師週班表!$C$5:$T$44,$CU34,AV$57),"")=0,"",IF(MID(IFERROR(INDEX(醫師週班表!$C$5:$T$44,$CU34,AV$57),""),2,1)="/",MID(IFERROR(INDEX(醫師週班表!$C$5:$T$44,$CU34,AV$57),""),1+AV$58*2,1),IF(MID(IFERROR(INDEX(醫師週班表!$C$5:$T$44,$CU34,AV$57),""),3,1)="隔",IF(AV$58=0,LEFT(IFERROR(INDEX(醫師週班表!$C$5:$T$44,$CU34,AV$57),""),1),""),IF(MID(IFERROR(INDEX(醫師週班表!$C$5:$T$44,$CU34,AV$57),""),2,1)="(",LEFT(IFERROR(INDEX(醫師週班表!$C$5:$T$44,$CU34,AV$57),""),1),IFERROR(INDEX(醫師週班表!$C$5:$T$44,$CU34,AV$57),"")))))))</f>
        <v/>
      </c>
      <c r="AW34" s="72">
        <f>IF(AW$59="X","",IF(AW$59&lt;&gt;"",AW$59,IF(IFERROR(INDEX(醫師週班表!$C$5:$T$44,$CU34,AW$57),"")=0,"",IF(MID(IFERROR(INDEX(醫師週班表!$C$5:$T$44,$CU34,AW$57),""),2,1)="/",MID(IFERROR(INDEX(醫師週班表!$C$5:$T$44,$CU34,AW$57),""),1+AW$58*2,1),IF(MID(IFERROR(INDEX(醫師週班表!$C$5:$T$44,$CU34,AW$57),""),3,1)="隔",IF(AW$58=0,LEFT(IFERROR(INDEX(醫師週班表!$C$5:$T$44,$CU34,AW$57),""),1),""),IF(MID(IFERROR(INDEX(醫師週班表!$C$5:$T$44,$CU34,AW$57),""),2,1)="(",LEFT(IFERROR(INDEX(醫師週班表!$C$5:$T$44,$CU34,AW$57),""),1),IFERROR(INDEX(醫師週班表!$C$5:$T$44,$CU34,AW$57),"")))))))</f>
        <v/>
      </c>
      <c r="AX34" s="71">
        <f>IF(AX$59="X","",IF(AX$59&lt;&gt;"",AX$59,IF(IFERROR(INDEX(醫師週班表!$C$5:$T$44,$CU34,AX$57),"")=0,"",IF(MID(IFERROR(INDEX(醫師週班表!$C$5:$T$44,$CU34,AX$57),""),2,1)="/",MID(IFERROR(INDEX(醫師週班表!$C$5:$T$44,$CU34,AX$57),""),1+AX$58*2,1),IF(MID(IFERROR(INDEX(醫師週班表!$C$5:$T$44,$CU34,AX$57),""),3,1)="隔",IF(AX$58=0,LEFT(IFERROR(INDEX(醫師週班表!$C$5:$T$44,$CU34,AX$57),""),1),""),IF(MID(IFERROR(INDEX(醫師週班表!$C$5:$T$44,$CU34,AX$57),""),2,1)="(",LEFT(IFERROR(INDEX(醫師週班表!$C$5:$T$44,$CU34,AX$57),""),1),IFERROR(INDEX(醫師週班表!$C$5:$T$44,$CU34,AX$57),"")))))))</f>
        <v/>
      </c>
      <c r="AY34" s="72">
        <f>IF(AY$59="X","",IF(AY$59&lt;&gt;"",AY$59,IF(IFERROR(INDEX(醫師週班表!$C$5:$T$44,$CU34,AY$57),"")=0,"",IF(MID(IFERROR(INDEX(醫師週班表!$C$5:$T$44,$CU34,AY$57),""),2,1)="/",MID(IFERROR(INDEX(醫師週班表!$C$5:$T$44,$CU34,AY$57),""),1+AY$58*2,1),IF(MID(IFERROR(INDEX(醫師週班表!$C$5:$T$44,$CU34,AY$57),""),3,1)="隔",IF(AY$58=0,LEFT(IFERROR(INDEX(醫師週班表!$C$5:$T$44,$CU34,AY$57),""),1),""),IF(MID(IFERROR(INDEX(醫師週班表!$C$5:$T$44,$CU34,AY$57),""),2,1)="(",LEFT(IFERROR(INDEX(醫師週班表!$C$5:$T$44,$CU34,AY$57),""),1),IFERROR(INDEX(醫師週班表!$C$5:$T$44,$CU34,AY$57),"")))))))</f>
        <v/>
      </c>
      <c r="AZ34" s="72">
        <f>IF(AZ$59="X","",IF(AZ$59&lt;&gt;"",AZ$59,IF(IFERROR(INDEX(醫師週班表!$C$5:$T$44,$CU34,AZ$57),"")=0,"",IF(MID(IFERROR(INDEX(醫師週班表!$C$5:$T$44,$CU34,AZ$57),""),2,1)="/",MID(IFERROR(INDEX(醫師週班表!$C$5:$T$44,$CU34,AZ$57),""),1+AZ$58*2,1),IF(MID(IFERROR(INDEX(醫師週班表!$C$5:$T$44,$CU34,AZ$57),""),3,1)="隔",IF(AZ$58=0,LEFT(IFERROR(INDEX(醫師週班表!$C$5:$T$44,$CU34,AZ$57),""),1),""),IF(MID(IFERROR(INDEX(醫師週班表!$C$5:$T$44,$CU34,AZ$57),""),2,1)="(",LEFT(IFERROR(INDEX(醫師週班表!$C$5:$T$44,$CU34,AZ$57),""),1),IFERROR(INDEX(醫師週班表!$C$5:$T$44,$CU34,AZ$57),"")))))))</f>
        <v/>
      </c>
      <c r="BA34" s="71">
        <f>IF(BA$59="X","",IF(BA$59&lt;&gt;"",BA$59,IF(IFERROR(INDEX(醫師週班表!$C$5:$T$44,$CU34,BA$57),"")=0,"",IF(MID(IFERROR(INDEX(醫師週班表!$C$5:$T$44,$CU34,BA$57),""),2,1)="/",MID(IFERROR(INDEX(醫師週班表!$C$5:$T$44,$CU34,BA$57),""),1+BA$58*2,1),IF(MID(IFERROR(INDEX(醫師週班表!$C$5:$T$44,$CU34,BA$57),""),3,1)="隔",IF(BA$58=0,LEFT(IFERROR(INDEX(醫師週班表!$C$5:$T$44,$CU34,BA$57),""),1),""),IF(MID(IFERROR(INDEX(醫師週班表!$C$5:$T$44,$CU34,BA$57),""),2,1)="(",LEFT(IFERROR(INDEX(醫師週班表!$C$5:$T$44,$CU34,BA$57),""),1),IFERROR(INDEX(醫師週班表!$C$5:$T$44,$CU34,BA$57),"")))))))</f>
        <v/>
      </c>
      <c r="BB34" s="72">
        <f>IF(BB$59="X","",IF(BB$59&lt;&gt;"",BB$59,IF(IFERROR(INDEX(醫師週班表!$C$5:$T$44,$CU34,BB$57),"")=0,"",IF(MID(IFERROR(INDEX(醫師週班表!$C$5:$T$44,$CU34,BB$57),""),2,1)="/",MID(IFERROR(INDEX(醫師週班表!$C$5:$T$44,$CU34,BB$57),""),1+BB$58*2,1),IF(MID(IFERROR(INDEX(醫師週班表!$C$5:$T$44,$CU34,BB$57),""),3,1)="隔",IF(BB$58=0,LEFT(IFERROR(INDEX(醫師週班表!$C$5:$T$44,$CU34,BB$57),""),1),""),IF(MID(IFERROR(INDEX(醫師週班表!$C$5:$T$44,$CU34,BB$57),""),2,1)="(",LEFT(IFERROR(INDEX(醫師週班表!$C$5:$T$44,$CU34,BB$57),""),1),IFERROR(INDEX(醫師週班表!$C$5:$T$44,$CU34,BB$57),"")))))))</f>
        <v/>
      </c>
      <c r="BC34" s="72">
        <f>IF(BC$59="X","",IF(BC$59&lt;&gt;"",BC$59,IF(IFERROR(INDEX(醫師週班表!$C$5:$T$44,$CU34,BC$57),"")=0,"",IF(MID(IFERROR(INDEX(醫師週班表!$C$5:$T$44,$CU34,BC$57),""),2,1)="/",MID(IFERROR(INDEX(醫師週班表!$C$5:$T$44,$CU34,BC$57),""),1+BC$58*2,1),IF(MID(IFERROR(INDEX(醫師週班表!$C$5:$T$44,$CU34,BC$57),""),3,1)="隔",IF(BC$58=0,LEFT(IFERROR(INDEX(醫師週班表!$C$5:$T$44,$CU34,BC$57),""),1),""),IF(MID(IFERROR(INDEX(醫師週班表!$C$5:$T$44,$CU34,BC$57),""),2,1)="(",LEFT(IFERROR(INDEX(醫師週班表!$C$5:$T$44,$CU34,BC$57),""),1),IFERROR(INDEX(醫師週班表!$C$5:$T$44,$CU34,BC$57),"")))))))</f>
        <v/>
      </c>
      <c r="BD34" s="71">
        <f>IF(BD$59="X","",IF(BD$59&lt;&gt;"",BD$59,IF(IFERROR(INDEX(醫師週班表!$C$5:$T$44,$CU34,BD$57),"")=0,"",IF(MID(IFERROR(INDEX(醫師週班表!$C$5:$T$44,$CU34,BD$57),""),2,1)="/",MID(IFERROR(INDEX(醫師週班表!$C$5:$T$44,$CU34,BD$57),""),1+BD$58*2,1),IF(MID(IFERROR(INDEX(醫師週班表!$C$5:$T$44,$CU34,BD$57),""),3,1)="隔",IF(BD$58=0,LEFT(IFERROR(INDEX(醫師週班表!$C$5:$T$44,$CU34,BD$57),""),1),""),IF(MID(IFERROR(INDEX(醫師週班表!$C$5:$T$44,$CU34,BD$57),""),2,1)="(",LEFT(IFERROR(INDEX(醫師週班表!$C$5:$T$44,$CU34,BD$57),""),1),IFERROR(INDEX(醫師週班表!$C$5:$T$44,$CU34,BD$57),"")))))))</f>
        <v/>
      </c>
      <c r="BE34" s="72">
        <f>IF(BE$59="X","",IF(BE$59&lt;&gt;"",BE$59,IF(IFERROR(INDEX(醫師週班表!$C$5:$T$44,$CU34,BE$57),"")=0,"",IF(MID(IFERROR(INDEX(醫師週班表!$C$5:$T$44,$CU34,BE$57),""),2,1)="/",MID(IFERROR(INDEX(醫師週班表!$C$5:$T$44,$CU34,BE$57),""),1+BE$58*2,1),IF(MID(IFERROR(INDEX(醫師週班表!$C$5:$T$44,$CU34,BE$57),""),3,1)="隔",IF(BE$58=0,LEFT(IFERROR(INDEX(醫師週班表!$C$5:$T$44,$CU34,BE$57),""),1),""),IF(MID(IFERROR(INDEX(醫師週班表!$C$5:$T$44,$CU34,BE$57),""),2,1)="(",LEFT(IFERROR(INDEX(醫師週班表!$C$5:$T$44,$CU34,BE$57),""),1),IFERROR(INDEX(醫師週班表!$C$5:$T$44,$CU34,BE$57),"")))))))</f>
        <v/>
      </c>
      <c r="BF34" s="72">
        <f>IF(BF$59="X","",IF(BF$59&lt;&gt;"",BF$59,IF(IFERROR(INDEX(醫師週班表!$C$5:$T$44,$CU34,BF$57),"")=0,"",IF(MID(IFERROR(INDEX(醫師週班表!$C$5:$T$44,$CU34,BF$57),""),2,1)="/",MID(IFERROR(INDEX(醫師週班表!$C$5:$T$44,$CU34,BF$57),""),1+BF$58*2,1),IF(MID(IFERROR(INDEX(醫師週班表!$C$5:$T$44,$CU34,BF$57),""),3,1)="隔",IF(BF$58=0,LEFT(IFERROR(INDEX(醫師週班表!$C$5:$T$44,$CU34,BF$57),""),1),""),IF(MID(IFERROR(INDEX(醫師週班表!$C$5:$T$44,$CU34,BF$57),""),2,1)="(",LEFT(IFERROR(INDEX(醫師週班表!$C$5:$T$44,$CU34,BF$57),""),1),IFERROR(INDEX(醫師週班表!$C$5:$T$44,$CU34,BF$57),"")))))))</f>
        <v/>
      </c>
      <c r="BG34" s="71">
        <f>IF(BG$59="X","",IF(BG$59&lt;&gt;"",BG$59,IF(IFERROR(INDEX(醫師週班表!$C$5:$T$44,$CU34,BG$57),"")=0,"",IF(MID(IFERROR(INDEX(醫師週班表!$C$5:$T$44,$CU34,BG$57),""),2,1)="/",MID(IFERROR(INDEX(醫師週班表!$C$5:$T$44,$CU34,BG$57),""),1+BG$58*2,1),IF(MID(IFERROR(INDEX(醫師週班表!$C$5:$T$44,$CU34,BG$57),""),3,1)="隔",IF(BG$58=0,LEFT(IFERROR(INDEX(醫師週班表!$C$5:$T$44,$CU34,BG$57),""),1),""),IF(MID(IFERROR(INDEX(醫師週班表!$C$5:$T$44,$CU34,BG$57),""),2,1)="(",LEFT(IFERROR(INDEX(醫師週班表!$C$5:$T$44,$CU34,BG$57),""),1),IFERROR(INDEX(醫師週班表!$C$5:$T$44,$CU34,BG$57),"")))))))</f>
        <v/>
      </c>
      <c r="BH34" s="72">
        <f>IF(BH$59="X","",IF(BH$59&lt;&gt;"",BH$59,IF(IFERROR(INDEX(醫師週班表!$C$5:$T$44,$CU34,BH$57),"")=0,"",IF(MID(IFERROR(INDEX(醫師週班表!$C$5:$T$44,$CU34,BH$57),""),2,1)="/",MID(IFERROR(INDEX(醫師週班表!$C$5:$T$44,$CU34,BH$57),""),1+BH$58*2,1),IF(MID(IFERROR(INDEX(醫師週班表!$C$5:$T$44,$CU34,BH$57),""),3,1)="隔",IF(BH$58=0,LEFT(IFERROR(INDEX(醫師週班表!$C$5:$T$44,$CU34,BH$57),""),1),""),IF(MID(IFERROR(INDEX(醫師週班表!$C$5:$T$44,$CU34,BH$57),""),2,1)="(",LEFT(IFERROR(INDEX(醫師週班表!$C$5:$T$44,$CU34,BH$57),""),1),IFERROR(INDEX(醫師週班表!$C$5:$T$44,$CU34,BH$57),"")))))))</f>
        <v/>
      </c>
      <c r="BI34" s="72">
        <f>IF(BI$59="X","",IF(BI$59&lt;&gt;"",BI$59,IF(IFERROR(INDEX(醫師週班表!$C$5:$T$44,$CU34,BI$57),"")=0,"",IF(MID(IFERROR(INDEX(醫師週班表!$C$5:$T$44,$CU34,BI$57),""),2,1)="/",MID(IFERROR(INDEX(醫師週班表!$C$5:$T$44,$CU34,BI$57),""),1+BI$58*2,1),IF(MID(IFERROR(INDEX(醫師週班表!$C$5:$T$44,$CU34,BI$57),""),3,1)="隔",IF(BI$58=0,LEFT(IFERROR(INDEX(醫師週班表!$C$5:$T$44,$CU34,BI$57),""),1),""),IF(MID(IFERROR(INDEX(醫師週班表!$C$5:$T$44,$CU34,BI$57),""),2,1)="(",LEFT(IFERROR(INDEX(醫師週班表!$C$5:$T$44,$CU34,BI$57),""),1),IFERROR(INDEX(醫師週班表!$C$5:$T$44,$CU34,BI$57),"")))))))</f>
        <v/>
      </c>
      <c r="BJ34" s="71">
        <f>IF(BJ$59="X","",IF(BJ$59&lt;&gt;"",BJ$59,IF(IFERROR(INDEX(醫師週班表!$C$5:$T$44,$CU34,BJ$57),"")=0,"",IF(MID(IFERROR(INDEX(醫師週班表!$C$5:$T$44,$CU34,BJ$57),""),2,1)="/",MID(IFERROR(INDEX(醫師週班表!$C$5:$T$44,$CU34,BJ$57),""),1+BJ$58*2,1),IF(MID(IFERROR(INDEX(醫師週班表!$C$5:$T$44,$CU34,BJ$57),""),3,1)="隔",IF(BJ$58=0,LEFT(IFERROR(INDEX(醫師週班表!$C$5:$T$44,$CU34,BJ$57),""),1),""),IF(MID(IFERROR(INDEX(醫師週班表!$C$5:$T$44,$CU34,BJ$57),""),2,1)="(",LEFT(IFERROR(INDEX(醫師週班表!$C$5:$T$44,$CU34,BJ$57),""),1),IFERROR(INDEX(醫師週班表!$C$5:$T$44,$CU34,BJ$57),"")))))))</f>
        <v/>
      </c>
      <c r="BK34" s="72">
        <f>IF(BK$59="X","",IF(BK$59&lt;&gt;"",BK$59,IF(IFERROR(INDEX(醫師週班表!$C$5:$T$44,$CU34,BK$57),"")=0,"",IF(MID(IFERROR(INDEX(醫師週班表!$C$5:$T$44,$CU34,BK$57),""),2,1)="/",MID(IFERROR(INDEX(醫師週班表!$C$5:$T$44,$CU34,BK$57),""),1+BK$58*2,1),IF(MID(IFERROR(INDEX(醫師週班表!$C$5:$T$44,$CU34,BK$57),""),3,1)="隔",IF(BK$58=0,LEFT(IFERROR(INDEX(醫師週班表!$C$5:$T$44,$CU34,BK$57),""),1),""),IF(MID(IFERROR(INDEX(醫師週班表!$C$5:$T$44,$CU34,BK$57),""),2,1)="(",LEFT(IFERROR(INDEX(醫師週班表!$C$5:$T$44,$CU34,BK$57),""),1),IFERROR(INDEX(醫師週班表!$C$5:$T$44,$CU34,BK$57),"")))))))</f>
        <v/>
      </c>
      <c r="BL34" s="72">
        <f>IF(BL$59="X","",IF(BL$59&lt;&gt;"",BL$59,IF(IFERROR(INDEX(醫師週班表!$C$5:$T$44,$CU34,BL$57),"")=0,"",IF(MID(IFERROR(INDEX(醫師週班表!$C$5:$T$44,$CU34,BL$57),""),2,1)="/",MID(IFERROR(INDEX(醫師週班表!$C$5:$T$44,$CU34,BL$57),""),1+BL$58*2,1),IF(MID(IFERROR(INDEX(醫師週班表!$C$5:$T$44,$CU34,BL$57),""),3,1)="隔",IF(BL$58=0,LEFT(IFERROR(INDEX(醫師週班表!$C$5:$T$44,$CU34,BL$57),""),1),""),IF(MID(IFERROR(INDEX(醫師週班表!$C$5:$T$44,$CU34,BL$57),""),2,1)="(",LEFT(IFERROR(INDEX(醫師週班表!$C$5:$T$44,$CU34,BL$57),""),1),IFERROR(INDEX(醫師週班表!$C$5:$T$44,$CU34,BL$57),"")))))))</f>
        <v/>
      </c>
      <c r="BM34" s="71">
        <f>IF(BM$59="X","",IF(BM$59&lt;&gt;"",BM$59,IF(IFERROR(INDEX(醫師週班表!$C$5:$T$44,$CU34,BM$57),"")=0,"",IF(MID(IFERROR(INDEX(醫師週班表!$C$5:$T$44,$CU34,BM$57),""),2,1)="/",MID(IFERROR(INDEX(醫師週班表!$C$5:$T$44,$CU34,BM$57),""),1+BM$58*2,1),IF(MID(IFERROR(INDEX(醫師週班表!$C$5:$T$44,$CU34,BM$57),""),3,1)="隔",IF(BM$58=0,LEFT(IFERROR(INDEX(醫師週班表!$C$5:$T$44,$CU34,BM$57),""),1),""),IF(MID(IFERROR(INDEX(醫師週班表!$C$5:$T$44,$CU34,BM$57),""),2,1)="(",LEFT(IFERROR(INDEX(醫師週班表!$C$5:$T$44,$CU34,BM$57),""),1),IFERROR(INDEX(醫師週班表!$C$5:$T$44,$CU34,BM$57),"")))))))</f>
        <v/>
      </c>
      <c r="BN34" s="72">
        <f>IF(BN$59="X","",IF(BN$59&lt;&gt;"",BN$59,IF(IFERROR(INDEX(醫師週班表!$C$5:$T$44,$CU34,BN$57),"")=0,"",IF(MID(IFERROR(INDEX(醫師週班表!$C$5:$T$44,$CU34,BN$57),""),2,1)="/",MID(IFERROR(INDEX(醫師週班表!$C$5:$T$44,$CU34,BN$57),""),1+BN$58*2,1),IF(MID(IFERROR(INDEX(醫師週班表!$C$5:$T$44,$CU34,BN$57),""),3,1)="隔",IF(BN$58=0,LEFT(IFERROR(INDEX(醫師週班表!$C$5:$T$44,$CU34,BN$57),""),1),""),IF(MID(IFERROR(INDEX(醫師週班表!$C$5:$T$44,$CU34,BN$57),""),2,1)="(",LEFT(IFERROR(INDEX(醫師週班表!$C$5:$T$44,$CU34,BN$57),""),1),IFERROR(INDEX(醫師週班表!$C$5:$T$44,$CU34,BN$57),"")))))))</f>
        <v/>
      </c>
      <c r="BO34" s="72">
        <f>IF(BO$59="X","",IF(BO$59&lt;&gt;"",BO$59,IF(IFERROR(INDEX(醫師週班表!$C$5:$T$44,$CU34,BO$57),"")=0,"",IF(MID(IFERROR(INDEX(醫師週班表!$C$5:$T$44,$CU34,BO$57),""),2,1)="/",MID(IFERROR(INDEX(醫師週班表!$C$5:$T$44,$CU34,BO$57),""),1+BO$58*2,1),IF(MID(IFERROR(INDEX(醫師週班表!$C$5:$T$44,$CU34,BO$57),""),3,1)="隔",IF(BO$58=0,LEFT(IFERROR(INDEX(醫師週班表!$C$5:$T$44,$CU34,BO$57),""),1),""),IF(MID(IFERROR(INDEX(醫師週班表!$C$5:$T$44,$CU34,BO$57),""),2,1)="(",LEFT(IFERROR(INDEX(醫師週班表!$C$5:$T$44,$CU34,BO$57),""),1),IFERROR(INDEX(醫師週班表!$C$5:$T$44,$CU34,BO$57),"")))))))</f>
        <v/>
      </c>
      <c r="BP34" s="71">
        <f>IF(BP$59="X","",IF(BP$59&lt;&gt;"",BP$59,IF(IFERROR(INDEX(醫師週班表!$C$5:$T$44,$CU34,BP$57),"")=0,"",IF(MID(IFERROR(INDEX(醫師週班表!$C$5:$T$44,$CU34,BP$57),""),2,1)="/",MID(IFERROR(INDEX(醫師週班表!$C$5:$T$44,$CU34,BP$57),""),1+BP$58*2,1),IF(MID(IFERROR(INDEX(醫師週班表!$C$5:$T$44,$CU34,BP$57),""),3,1)="隔",IF(BP$58=0,LEFT(IFERROR(INDEX(醫師週班表!$C$5:$T$44,$CU34,BP$57),""),1),""),IF(MID(IFERROR(INDEX(醫師週班表!$C$5:$T$44,$CU34,BP$57),""),2,1)="(",LEFT(IFERROR(INDEX(醫師週班表!$C$5:$T$44,$CU34,BP$57),""),1),IFERROR(INDEX(醫師週班表!$C$5:$T$44,$CU34,BP$57),"")))))))</f>
        <v/>
      </c>
      <c r="BQ34" s="72">
        <f>IF(BQ$59="X","",IF(BQ$59&lt;&gt;"",BQ$59,IF(IFERROR(INDEX(醫師週班表!$C$5:$T$44,$CU34,BQ$57),"")=0,"",IF(MID(IFERROR(INDEX(醫師週班表!$C$5:$T$44,$CU34,BQ$57),""),2,1)="/",MID(IFERROR(INDEX(醫師週班表!$C$5:$T$44,$CU34,BQ$57),""),1+BQ$58*2,1),IF(MID(IFERROR(INDEX(醫師週班表!$C$5:$T$44,$CU34,BQ$57),""),3,1)="隔",IF(BQ$58=0,LEFT(IFERROR(INDEX(醫師週班表!$C$5:$T$44,$CU34,BQ$57),""),1),""),IF(MID(IFERROR(INDEX(醫師週班表!$C$5:$T$44,$CU34,BQ$57),""),2,1)="(",LEFT(IFERROR(INDEX(醫師週班表!$C$5:$T$44,$CU34,BQ$57),""),1),IFERROR(INDEX(醫師週班表!$C$5:$T$44,$CU34,BQ$57),"")))))))</f>
        <v/>
      </c>
      <c r="BR34" s="72">
        <f>IF(BR$59="X","",IF(BR$59&lt;&gt;"",BR$59,IF(IFERROR(INDEX(醫師週班表!$C$5:$T$44,$CU34,BR$57),"")=0,"",IF(MID(IFERROR(INDEX(醫師週班表!$C$5:$T$44,$CU34,BR$57),""),2,1)="/",MID(IFERROR(INDEX(醫師週班表!$C$5:$T$44,$CU34,BR$57),""),1+BR$58*2,1),IF(MID(IFERROR(INDEX(醫師週班表!$C$5:$T$44,$CU34,BR$57),""),3,1)="隔",IF(BR$58=0,LEFT(IFERROR(INDEX(醫師週班表!$C$5:$T$44,$CU34,BR$57),""),1),""),IF(MID(IFERROR(INDEX(醫師週班表!$C$5:$T$44,$CU34,BR$57),""),2,1)="(",LEFT(IFERROR(INDEX(醫師週班表!$C$5:$T$44,$CU34,BR$57),""),1),IFERROR(INDEX(醫師週班表!$C$5:$T$44,$CU34,BR$57),"")))))))</f>
        <v/>
      </c>
      <c r="BS34" s="71">
        <f>IF(BS$59="X","",IF(BS$59&lt;&gt;"",BS$59,IF(IFERROR(INDEX(醫師週班表!$C$5:$T$44,$CU34,BS$57),"")=0,"",IF(MID(IFERROR(INDEX(醫師週班表!$C$5:$T$44,$CU34,BS$57),""),2,1)="/",MID(IFERROR(INDEX(醫師週班表!$C$5:$T$44,$CU34,BS$57),""),1+BS$58*2,1),IF(MID(IFERROR(INDEX(醫師週班表!$C$5:$T$44,$CU34,BS$57),""),3,1)="隔",IF(BS$58=0,LEFT(IFERROR(INDEX(醫師週班表!$C$5:$T$44,$CU34,BS$57),""),1),""),IF(MID(IFERROR(INDEX(醫師週班表!$C$5:$T$44,$CU34,BS$57),""),2,1)="(",LEFT(IFERROR(INDEX(醫師週班表!$C$5:$T$44,$CU34,BS$57),""),1),IFERROR(INDEX(醫師週班表!$C$5:$T$44,$CU34,BS$57),"")))))))</f>
        <v/>
      </c>
      <c r="BT34" s="72">
        <f>IF(BT$59="X","",IF(BT$59&lt;&gt;"",BT$59,IF(IFERROR(INDEX(醫師週班表!$C$5:$T$44,$CU34,BT$57),"")=0,"",IF(MID(IFERROR(INDEX(醫師週班表!$C$5:$T$44,$CU34,BT$57),""),2,1)="/",MID(IFERROR(INDEX(醫師週班表!$C$5:$T$44,$CU34,BT$57),""),1+BT$58*2,1),IF(MID(IFERROR(INDEX(醫師週班表!$C$5:$T$44,$CU34,BT$57),""),3,1)="隔",IF(BT$58=0,LEFT(IFERROR(INDEX(醫師週班表!$C$5:$T$44,$CU34,BT$57),""),1),""),IF(MID(IFERROR(INDEX(醫師週班表!$C$5:$T$44,$CU34,BT$57),""),2,1)="(",LEFT(IFERROR(INDEX(醫師週班表!$C$5:$T$44,$CU34,BT$57),""),1),IFERROR(INDEX(醫師週班表!$C$5:$T$44,$CU34,BT$57),"")))))))</f>
        <v/>
      </c>
      <c r="BU34" s="72">
        <f>IF(BU$59="X","",IF(BU$59&lt;&gt;"",BU$59,IF(IFERROR(INDEX(醫師週班表!$C$5:$T$44,$CU34,BU$57),"")=0,"",IF(MID(IFERROR(INDEX(醫師週班表!$C$5:$T$44,$CU34,BU$57),""),2,1)="/",MID(IFERROR(INDEX(醫師週班表!$C$5:$T$44,$CU34,BU$57),""),1+BU$58*2,1),IF(MID(IFERROR(INDEX(醫師週班表!$C$5:$T$44,$CU34,BU$57),""),3,1)="隔",IF(BU$58=0,LEFT(IFERROR(INDEX(醫師週班表!$C$5:$T$44,$CU34,BU$57),""),1),""),IF(MID(IFERROR(INDEX(醫師週班表!$C$5:$T$44,$CU34,BU$57),""),2,1)="(",LEFT(IFERROR(INDEX(醫師週班表!$C$5:$T$44,$CU34,BU$57),""),1),IFERROR(INDEX(醫師週班表!$C$5:$T$44,$CU34,BU$57),"")))))))</f>
        <v/>
      </c>
      <c r="BV34" s="71">
        <f>IF(BV$59="X","",IF(BV$59&lt;&gt;"",BV$59,IF(IFERROR(INDEX(醫師週班表!$C$5:$T$44,$CU34,BV$57),"")=0,"",IF(MID(IFERROR(INDEX(醫師週班表!$C$5:$T$44,$CU34,BV$57),""),2,1)="/",MID(IFERROR(INDEX(醫師週班表!$C$5:$T$44,$CU34,BV$57),""),1+BV$58*2,1),IF(MID(IFERROR(INDEX(醫師週班表!$C$5:$T$44,$CU34,BV$57),""),3,1)="隔",IF(BV$58=0,LEFT(IFERROR(INDEX(醫師週班表!$C$5:$T$44,$CU34,BV$57),""),1),""),IF(MID(IFERROR(INDEX(醫師週班表!$C$5:$T$44,$CU34,BV$57),""),2,1)="(",LEFT(IFERROR(INDEX(醫師週班表!$C$5:$T$44,$CU34,BV$57),""),1),IFERROR(INDEX(醫師週班表!$C$5:$T$44,$CU34,BV$57),"")))))))</f>
        <v/>
      </c>
      <c r="BW34" s="72">
        <f>IF(BW$59="X","",IF(BW$59&lt;&gt;"",BW$59,IF(IFERROR(INDEX(醫師週班表!$C$5:$T$44,$CU34,BW$57),"")=0,"",IF(MID(IFERROR(INDEX(醫師週班表!$C$5:$T$44,$CU34,BW$57),""),2,1)="/",MID(IFERROR(INDEX(醫師週班表!$C$5:$T$44,$CU34,BW$57),""),1+BW$58*2,1),IF(MID(IFERROR(INDEX(醫師週班表!$C$5:$T$44,$CU34,BW$57),""),3,1)="隔",IF(BW$58=0,LEFT(IFERROR(INDEX(醫師週班表!$C$5:$T$44,$CU34,BW$57),""),1),""),IF(MID(IFERROR(INDEX(醫師週班表!$C$5:$T$44,$CU34,BW$57),""),2,1)="(",LEFT(IFERROR(INDEX(醫師週班表!$C$5:$T$44,$CU34,BW$57),""),1),IFERROR(INDEX(醫師週班表!$C$5:$T$44,$CU34,BW$57),"")))))))</f>
        <v/>
      </c>
      <c r="BX34" s="72">
        <f>IF(BX$59="X","",IF(BX$59&lt;&gt;"",BX$59,IF(IFERROR(INDEX(醫師週班表!$C$5:$T$44,$CU34,BX$57),"")=0,"",IF(MID(IFERROR(INDEX(醫師週班表!$C$5:$T$44,$CU34,BX$57),""),2,1)="/",MID(IFERROR(INDEX(醫師週班表!$C$5:$T$44,$CU34,BX$57),""),1+BX$58*2,1),IF(MID(IFERROR(INDEX(醫師週班表!$C$5:$T$44,$CU34,BX$57),""),3,1)="隔",IF(BX$58=0,LEFT(IFERROR(INDEX(醫師週班表!$C$5:$T$44,$CU34,BX$57),""),1),""),IF(MID(IFERROR(INDEX(醫師週班表!$C$5:$T$44,$CU34,BX$57),""),2,1)="(",LEFT(IFERROR(INDEX(醫師週班表!$C$5:$T$44,$CU34,BX$57),""),1),IFERROR(INDEX(醫師週班表!$C$5:$T$44,$CU34,BX$57),"")))))))</f>
        <v/>
      </c>
      <c r="BY34" s="71">
        <f>IF(BY$59="X","",IF(BY$59&lt;&gt;"",BY$59,IF(IFERROR(INDEX(醫師週班表!$C$5:$T$44,$CU34,BY$57),"")=0,"",IF(MID(IFERROR(INDEX(醫師週班表!$C$5:$T$44,$CU34,BY$57),""),2,1)="/",MID(IFERROR(INDEX(醫師週班表!$C$5:$T$44,$CU34,BY$57),""),1+BY$58*2,1),IF(MID(IFERROR(INDEX(醫師週班表!$C$5:$T$44,$CU34,BY$57),""),3,1)="隔",IF(BY$58=0,LEFT(IFERROR(INDEX(醫師週班表!$C$5:$T$44,$CU34,BY$57),""),1),""),IF(MID(IFERROR(INDEX(醫師週班表!$C$5:$T$44,$CU34,BY$57),""),2,1)="(",LEFT(IFERROR(INDEX(醫師週班表!$C$5:$T$44,$CU34,BY$57),""),1),IFERROR(INDEX(醫師週班表!$C$5:$T$44,$CU34,BY$57),"")))))))</f>
        <v/>
      </c>
      <c r="BZ34" s="72">
        <f>IF(BZ$59="X","",IF(BZ$59&lt;&gt;"",BZ$59,IF(IFERROR(INDEX(醫師週班表!$C$5:$T$44,$CU34,BZ$57),"")=0,"",IF(MID(IFERROR(INDEX(醫師週班表!$C$5:$T$44,$CU34,BZ$57),""),2,1)="/",MID(IFERROR(INDEX(醫師週班表!$C$5:$T$44,$CU34,BZ$57),""),1+BZ$58*2,1),IF(MID(IFERROR(INDEX(醫師週班表!$C$5:$T$44,$CU34,BZ$57),""),3,1)="隔",IF(BZ$58=0,LEFT(IFERROR(INDEX(醫師週班表!$C$5:$T$44,$CU34,BZ$57),""),1),""),IF(MID(IFERROR(INDEX(醫師週班表!$C$5:$T$44,$CU34,BZ$57),""),2,1)="(",LEFT(IFERROR(INDEX(醫師週班表!$C$5:$T$44,$CU34,BZ$57),""),1),IFERROR(INDEX(醫師週班表!$C$5:$T$44,$CU34,BZ$57),"")))))))</f>
        <v/>
      </c>
      <c r="CA34" s="72">
        <f>IF(CA$59="X","",IF(CA$59&lt;&gt;"",CA$59,IF(IFERROR(INDEX(醫師週班表!$C$5:$T$44,$CU34,CA$57),"")=0,"",IF(MID(IFERROR(INDEX(醫師週班表!$C$5:$T$44,$CU34,CA$57),""),2,1)="/",MID(IFERROR(INDEX(醫師週班表!$C$5:$T$44,$CU34,CA$57),""),1+CA$58*2,1),IF(MID(IFERROR(INDEX(醫師週班表!$C$5:$T$44,$CU34,CA$57),""),3,1)="隔",IF(CA$58=0,LEFT(IFERROR(INDEX(醫師週班表!$C$5:$T$44,$CU34,CA$57),""),1),""),IF(MID(IFERROR(INDEX(醫師週班表!$C$5:$T$44,$CU34,CA$57),""),2,1)="(",LEFT(IFERROR(INDEX(醫師週班表!$C$5:$T$44,$CU34,CA$57),""),1),IFERROR(INDEX(醫師週班表!$C$5:$T$44,$CU34,CA$57),"")))))))</f>
        <v/>
      </c>
      <c r="CB34" s="71">
        <f>IF(CB$59="X","",IF(CB$59&lt;&gt;"",CB$59,IF(IFERROR(INDEX(醫師週班表!$C$5:$T$44,$CU34,CB$57),"")=0,"",IF(MID(IFERROR(INDEX(醫師週班表!$C$5:$T$44,$CU34,CB$57),""),2,1)="/",MID(IFERROR(INDEX(醫師週班表!$C$5:$T$44,$CU34,CB$57),""),1+CB$58*2,1),IF(MID(IFERROR(INDEX(醫師週班表!$C$5:$T$44,$CU34,CB$57),""),3,1)="隔",IF(CB$58=0,LEFT(IFERROR(INDEX(醫師週班表!$C$5:$T$44,$CU34,CB$57),""),1),""),IF(MID(IFERROR(INDEX(醫師週班表!$C$5:$T$44,$CU34,CB$57),""),2,1)="(",LEFT(IFERROR(INDEX(醫師週班表!$C$5:$T$44,$CU34,CB$57),""),1),IFERROR(INDEX(醫師週班表!$C$5:$T$44,$CU34,CB$57),"")))))))</f>
        <v/>
      </c>
      <c r="CC34" s="72">
        <f>IF(CC$59="X","",IF(CC$59&lt;&gt;"",CC$59,IF(IFERROR(INDEX(醫師週班表!$C$5:$T$44,$CU34,CC$57),"")=0,"",IF(MID(IFERROR(INDEX(醫師週班表!$C$5:$T$44,$CU34,CC$57),""),2,1)="/",MID(IFERROR(INDEX(醫師週班表!$C$5:$T$44,$CU34,CC$57),""),1+CC$58*2,1),IF(MID(IFERROR(INDEX(醫師週班表!$C$5:$T$44,$CU34,CC$57),""),3,1)="隔",IF(CC$58=0,LEFT(IFERROR(INDEX(醫師週班表!$C$5:$T$44,$CU34,CC$57),""),1),""),IF(MID(IFERROR(INDEX(醫師週班表!$C$5:$T$44,$CU34,CC$57),""),2,1)="(",LEFT(IFERROR(INDEX(醫師週班表!$C$5:$T$44,$CU34,CC$57),""),1),IFERROR(INDEX(醫師週班表!$C$5:$T$44,$CU34,CC$57),"")))))))</f>
        <v/>
      </c>
      <c r="CD34" s="72">
        <f>IF(CD$59="X","",IF(CD$59&lt;&gt;"",CD$59,IF(IFERROR(INDEX(醫師週班表!$C$5:$T$44,$CU34,CD$57),"")=0,"",IF(MID(IFERROR(INDEX(醫師週班表!$C$5:$T$44,$CU34,CD$57),""),2,1)="/",MID(IFERROR(INDEX(醫師週班表!$C$5:$T$44,$CU34,CD$57),""),1+CD$58*2,1),IF(MID(IFERROR(INDEX(醫師週班表!$C$5:$T$44,$CU34,CD$57),""),3,1)="隔",IF(CD$58=0,LEFT(IFERROR(INDEX(醫師週班表!$C$5:$T$44,$CU34,CD$57),""),1),""),IF(MID(IFERROR(INDEX(醫師週班表!$C$5:$T$44,$CU34,CD$57),""),2,1)="(",LEFT(IFERROR(INDEX(醫師週班表!$C$5:$T$44,$CU34,CD$57),""),1),IFERROR(INDEX(醫師週班表!$C$5:$T$44,$CU34,CD$57),"")))))))</f>
        <v/>
      </c>
      <c r="CE34" s="71">
        <f>IF(CE$59="X","",IF(CE$59&lt;&gt;"",CE$59,IF(IFERROR(INDEX(醫師週班表!$C$5:$T$44,$CU34,CE$57),"")=0,"",IF(MID(IFERROR(INDEX(醫師週班表!$C$5:$T$44,$CU34,CE$57),""),2,1)="/",MID(IFERROR(INDEX(醫師週班表!$C$5:$T$44,$CU34,CE$57),""),1+CE$58*2,1),IF(MID(IFERROR(INDEX(醫師週班表!$C$5:$T$44,$CU34,CE$57),""),3,1)="隔",IF(CE$58=0,LEFT(IFERROR(INDEX(醫師週班表!$C$5:$T$44,$CU34,CE$57),""),1),""),IF(MID(IFERROR(INDEX(醫師週班表!$C$5:$T$44,$CU34,CE$57),""),2,1)="(",LEFT(IFERROR(INDEX(醫師週班表!$C$5:$T$44,$CU34,CE$57),""),1),IFERROR(INDEX(醫師週班表!$C$5:$T$44,$CU34,CE$57),"")))))))</f>
        <v/>
      </c>
      <c r="CF34" s="72">
        <f>IF(CF$59="X","",IF(CF$59&lt;&gt;"",CF$59,IF(IFERROR(INDEX(醫師週班表!$C$5:$T$44,$CU34,CF$57),"")=0,"",IF(MID(IFERROR(INDEX(醫師週班表!$C$5:$T$44,$CU34,CF$57),""),2,1)="/",MID(IFERROR(INDEX(醫師週班表!$C$5:$T$44,$CU34,CF$57),""),1+CF$58*2,1),IF(MID(IFERROR(INDEX(醫師週班表!$C$5:$T$44,$CU34,CF$57),""),3,1)="隔",IF(CF$58=0,LEFT(IFERROR(INDEX(醫師週班表!$C$5:$T$44,$CU34,CF$57),""),1),""),IF(MID(IFERROR(INDEX(醫師週班表!$C$5:$T$44,$CU34,CF$57),""),2,1)="(",LEFT(IFERROR(INDEX(醫師週班表!$C$5:$T$44,$CU34,CF$57),""),1),IFERROR(INDEX(醫師週班表!$C$5:$T$44,$CU34,CF$57),"")))))))</f>
        <v/>
      </c>
      <c r="CG34" s="72">
        <f>IF(CG$59="X","",IF(CG$59&lt;&gt;"",CG$59,IF(IFERROR(INDEX(醫師週班表!$C$5:$T$44,$CU34,CG$57),"")=0,"",IF(MID(IFERROR(INDEX(醫師週班表!$C$5:$T$44,$CU34,CG$57),""),2,1)="/",MID(IFERROR(INDEX(醫師週班表!$C$5:$T$44,$CU34,CG$57),""),1+CG$58*2,1),IF(MID(IFERROR(INDEX(醫師週班表!$C$5:$T$44,$CU34,CG$57),""),3,1)="隔",IF(CG$58=0,LEFT(IFERROR(INDEX(醫師週班表!$C$5:$T$44,$CU34,CG$57),""),1),""),IF(MID(IFERROR(INDEX(醫師週班表!$C$5:$T$44,$CU34,CG$57),""),2,1)="(",LEFT(IFERROR(INDEX(醫師週班表!$C$5:$T$44,$CU34,CG$57),""),1),IFERROR(INDEX(醫師週班表!$C$5:$T$44,$CU34,CG$57),"")))))))</f>
        <v/>
      </c>
      <c r="CH34" s="71">
        <f>IF(CH$59="X","",IF(CH$59&lt;&gt;"",CH$59,IF(IFERROR(INDEX(醫師週班表!$C$5:$T$44,$CU34,CH$57),"")=0,"",IF(MID(IFERROR(INDEX(醫師週班表!$C$5:$T$44,$CU34,CH$57),""),2,1)="/",MID(IFERROR(INDEX(醫師週班表!$C$5:$T$44,$CU34,CH$57),""),1+CH$58*2,1),IF(MID(IFERROR(INDEX(醫師週班表!$C$5:$T$44,$CU34,CH$57),""),3,1)="隔",IF(CH$58=0,LEFT(IFERROR(INDEX(醫師週班表!$C$5:$T$44,$CU34,CH$57),""),1),""),IF(MID(IFERROR(INDEX(醫師週班表!$C$5:$T$44,$CU34,CH$57),""),2,1)="(",LEFT(IFERROR(INDEX(醫師週班表!$C$5:$T$44,$CU34,CH$57),""),1),IFERROR(INDEX(醫師週班表!$C$5:$T$44,$CU34,CH$57),"")))))))</f>
        <v/>
      </c>
      <c r="CI34" s="72">
        <f>IF(CI$59="X","",IF(CI$59&lt;&gt;"",CI$59,IF(IFERROR(INDEX(醫師週班表!$C$5:$T$44,$CU34,CI$57),"")=0,"",IF(MID(IFERROR(INDEX(醫師週班表!$C$5:$T$44,$CU34,CI$57),""),2,1)="/",MID(IFERROR(INDEX(醫師週班表!$C$5:$T$44,$CU34,CI$57),""),1+CI$58*2,1),IF(MID(IFERROR(INDEX(醫師週班表!$C$5:$T$44,$CU34,CI$57),""),3,1)="隔",IF(CI$58=0,LEFT(IFERROR(INDEX(醫師週班表!$C$5:$T$44,$CU34,CI$57),""),1),""),IF(MID(IFERROR(INDEX(醫師週班表!$C$5:$T$44,$CU34,CI$57),""),2,1)="(",LEFT(IFERROR(INDEX(醫師週班表!$C$5:$T$44,$CU34,CI$57),""),1),IFERROR(INDEX(醫師週班表!$C$5:$T$44,$CU34,CI$57),"")))))))</f>
        <v/>
      </c>
      <c r="CJ34" s="72">
        <f>IF(CJ$59="X","",IF(CJ$59&lt;&gt;"",CJ$59,IF(IFERROR(INDEX(醫師週班表!$C$5:$T$44,$CU34,CJ$57),"")=0,"",IF(MID(IFERROR(INDEX(醫師週班表!$C$5:$T$44,$CU34,CJ$57),""),2,1)="/",MID(IFERROR(INDEX(醫師週班表!$C$5:$T$44,$CU34,CJ$57),""),1+CJ$58*2,1),IF(MID(IFERROR(INDEX(醫師週班表!$C$5:$T$44,$CU34,CJ$57),""),3,1)="隔",IF(CJ$58=0,LEFT(IFERROR(INDEX(醫師週班表!$C$5:$T$44,$CU34,CJ$57),""),1),""),IF(MID(IFERROR(INDEX(醫師週班表!$C$5:$T$44,$CU34,CJ$57),""),2,1)="(",LEFT(IFERROR(INDEX(醫師週班表!$C$5:$T$44,$CU34,CJ$57),""),1),IFERROR(INDEX(醫師週班表!$C$5:$T$44,$CU34,CJ$57),"")))))))</f>
        <v/>
      </c>
      <c r="CK34" s="71">
        <f>IF(CK$59="X","",IF(CK$59&lt;&gt;"",CK$59,IF(IFERROR(INDEX(醫師週班表!$C$5:$T$44,$CU34,CK$57),"")=0,"",IF(MID(IFERROR(INDEX(醫師週班表!$C$5:$T$44,$CU34,CK$57),""),2,1)="/",MID(IFERROR(INDEX(醫師週班表!$C$5:$T$44,$CU34,CK$57),""),1+CK$58*2,1),IF(MID(IFERROR(INDEX(醫師週班表!$C$5:$T$44,$CU34,CK$57),""),3,1)="隔",IF(CK$58=0,LEFT(IFERROR(INDEX(醫師週班表!$C$5:$T$44,$CU34,CK$57),""),1),""),IF(MID(IFERROR(INDEX(醫師週班表!$C$5:$T$44,$CU34,CK$57),""),2,1)="(",LEFT(IFERROR(INDEX(醫師週班表!$C$5:$T$44,$CU34,CK$57),""),1),IFERROR(INDEX(醫師週班表!$C$5:$T$44,$CU34,CK$57),"")))))))</f>
        <v/>
      </c>
      <c r="CL34" s="72">
        <f>IF(CL$59="X","",IF(CL$59&lt;&gt;"",CL$59,IF(IFERROR(INDEX(醫師週班表!$C$5:$T$44,$CU34,CL$57),"")=0,"",IF(MID(IFERROR(INDEX(醫師週班表!$C$5:$T$44,$CU34,CL$57),""),2,1)="/",MID(IFERROR(INDEX(醫師週班表!$C$5:$T$44,$CU34,CL$57),""),1+CL$58*2,1),IF(MID(IFERROR(INDEX(醫師週班表!$C$5:$T$44,$CU34,CL$57),""),3,1)="隔",IF(CL$58=0,LEFT(IFERROR(INDEX(醫師週班表!$C$5:$T$44,$CU34,CL$57),""),1),""),IF(MID(IFERROR(INDEX(醫師週班表!$C$5:$T$44,$CU34,CL$57),""),2,1)="(",LEFT(IFERROR(INDEX(醫師週班表!$C$5:$T$44,$CU34,CL$57),""),1),IFERROR(INDEX(醫師週班表!$C$5:$T$44,$CU34,CL$57),"")))))))</f>
        <v/>
      </c>
      <c r="CM34" s="72">
        <f>IF(CM$59="X","",IF(CM$59&lt;&gt;"",CM$59,IF(IFERROR(INDEX(醫師週班表!$C$5:$T$44,$CU34,CM$57),"")=0,"",IF(MID(IFERROR(INDEX(醫師週班表!$C$5:$T$44,$CU34,CM$57),""),2,1)="/",MID(IFERROR(INDEX(醫師週班表!$C$5:$T$44,$CU34,CM$57),""),1+CM$58*2,1),IF(MID(IFERROR(INDEX(醫師週班表!$C$5:$T$44,$CU34,CM$57),""),3,1)="隔",IF(CM$58=0,LEFT(IFERROR(INDEX(醫師週班表!$C$5:$T$44,$CU34,CM$57),""),1),""),IF(MID(IFERROR(INDEX(醫師週班表!$C$5:$T$44,$CU34,CM$57),""),2,1)="(",LEFT(IFERROR(INDEX(醫師週班表!$C$5:$T$44,$CU34,CM$57),""),1),IFERROR(INDEX(醫師週班表!$C$5:$T$44,$CU34,CM$57),"")))))))</f>
        <v/>
      </c>
      <c r="CN34" s="71">
        <f>IF(CN$59="X","",IF(CN$59&lt;&gt;"",CN$59,IF(IFERROR(INDEX(醫師週班表!$C$5:$T$44,$CU34,CN$57),"")=0,"",IF(MID(IFERROR(INDEX(醫師週班表!$C$5:$T$44,$CU34,CN$57),""),2,1)="/",MID(IFERROR(INDEX(醫師週班表!$C$5:$T$44,$CU34,CN$57),""),1+CN$58*2,1),IF(MID(IFERROR(INDEX(醫師週班表!$C$5:$T$44,$CU34,CN$57),""),3,1)="隔",IF(CN$58=0,LEFT(IFERROR(INDEX(醫師週班表!$C$5:$T$44,$CU34,CN$57),""),1),""),IF(MID(IFERROR(INDEX(醫師週班表!$C$5:$T$44,$CU34,CN$57),""),2,1)="(",LEFT(IFERROR(INDEX(醫師週班表!$C$5:$T$44,$CU34,CN$57),""),1),IFERROR(INDEX(醫師週班表!$C$5:$T$44,$CU34,CN$57),"")))))))</f>
        <v/>
      </c>
      <c r="CO34" s="72">
        <f>IF(CO$59="X","",IF(CO$59&lt;&gt;"",CO$59,IF(IFERROR(INDEX(醫師週班表!$C$5:$T$44,$CU34,CO$57),"")=0,"",IF(MID(IFERROR(INDEX(醫師週班表!$C$5:$T$44,$CU34,CO$57),""),2,1)="/",MID(IFERROR(INDEX(醫師週班表!$C$5:$T$44,$CU34,CO$57),""),1+CO$58*2,1),IF(MID(IFERROR(INDEX(醫師週班表!$C$5:$T$44,$CU34,CO$57),""),3,1)="隔",IF(CO$58=0,LEFT(IFERROR(INDEX(醫師週班表!$C$5:$T$44,$CU34,CO$57),""),1),""),IF(MID(IFERROR(INDEX(醫師週班表!$C$5:$T$44,$CU34,CO$57),""),2,1)="(",LEFT(IFERROR(INDEX(醫師週班表!$C$5:$T$44,$CU34,CO$57),""),1),IFERROR(INDEX(醫師週班表!$C$5:$T$44,$CU34,CO$57),"")))))))</f>
        <v/>
      </c>
      <c r="CP34" s="72">
        <f>IF(CP$59="X","",IF(CP$59&lt;&gt;"",CP$59,IF(IFERROR(INDEX(醫師週班表!$C$5:$T$44,$CU34,CP$57),"")=0,"",IF(MID(IFERROR(INDEX(醫師週班表!$C$5:$T$44,$CU34,CP$57),""),2,1)="/",MID(IFERROR(INDEX(醫師週班表!$C$5:$T$44,$CU34,CP$57),""),1+CP$58*2,1),IF(MID(IFERROR(INDEX(醫師週班表!$C$5:$T$44,$CU34,CP$57),""),3,1)="隔",IF(CP$58=0,LEFT(IFERROR(INDEX(醫師週班表!$C$5:$T$44,$CU34,CP$57),""),1),""),IF(MID(IFERROR(INDEX(醫師週班表!$C$5:$T$44,$CU34,CP$57),""),2,1)="(",LEFT(IFERROR(INDEX(醫師週班表!$C$5:$T$44,$CU34,CP$57),""),1),IFERROR(INDEX(醫師週班表!$C$5:$T$44,$CU34,CP$57),"")))))))</f>
        <v/>
      </c>
      <c r="CQ34" s="71">
        <f>IF(CQ$59="X","",IF(CQ$59&lt;&gt;"",CQ$59,IF(IFERROR(INDEX(醫師週班表!$C$5:$T$44,$CU34,CQ$57),"")=0,"",IF(MID(IFERROR(INDEX(醫師週班表!$C$5:$T$44,$CU34,CQ$57),""),2,1)="/",MID(IFERROR(INDEX(醫師週班表!$C$5:$T$44,$CU34,CQ$57),""),1+CQ$58*2,1),IF(MID(IFERROR(INDEX(醫師週班表!$C$5:$T$44,$CU34,CQ$57),""),3,1)="隔",IF(CQ$58=0,LEFT(IFERROR(INDEX(醫師週班表!$C$5:$T$44,$CU34,CQ$57),""),1),""),IF(MID(IFERROR(INDEX(醫師週班表!$C$5:$T$44,$CU34,CQ$57),""),2,1)="(",LEFT(IFERROR(INDEX(醫師週班表!$C$5:$T$44,$CU34,CQ$57),""),1),IFERROR(INDEX(醫師週班表!$C$5:$T$44,$CU34,CQ$57),"")))))))</f>
        <v/>
      </c>
      <c r="CR34" s="72">
        <f>IF(CR$59="X","",IF(CR$59&lt;&gt;"",CR$59,IF(IFERROR(INDEX(醫師週班表!$C$5:$T$44,$CU34,CR$57),"")=0,"",IF(MID(IFERROR(INDEX(醫師週班表!$C$5:$T$44,$CU34,CR$57),""),2,1)="/",MID(IFERROR(INDEX(醫師週班表!$C$5:$T$44,$CU34,CR$57),""),1+CR$58*2,1),IF(MID(IFERROR(INDEX(醫師週班表!$C$5:$T$44,$CU34,CR$57),""),3,1)="隔",IF(CR$58=0,LEFT(IFERROR(INDEX(醫師週班表!$C$5:$T$44,$CU34,CR$57),""),1),""),IF(MID(IFERROR(INDEX(醫師週班表!$C$5:$T$44,$CU34,CR$57),""),2,1)="(",LEFT(IFERROR(INDEX(醫師週班表!$C$5:$T$44,$CU34,CR$57),""),1),IFERROR(INDEX(醫師週班表!$C$5:$T$44,$CU34,CR$57),"")))))))</f>
        <v/>
      </c>
      <c r="CS34" s="72">
        <f>IF(CS$59="X","",IF(CS$59&lt;&gt;"",CS$59,IF(IFERROR(INDEX(醫師週班表!$C$5:$T$44,$CU34,CS$57),"")=0,"",IF(MID(IFERROR(INDEX(醫師週班表!$C$5:$T$44,$CU34,CS$57),""),2,1)="/",MID(IFERROR(INDEX(醫師週班表!$C$5:$T$44,$CU34,CS$57),""),1+CS$58*2,1),IF(MID(IFERROR(INDEX(醫師週班表!$C$5:$T$44,$CU34,CS$57),""),3,1)="隔",IF(CS$58=0,LEFT(IFERROR(INDEX(醫師週班表!$C$5:$T$44,$CU34,CS$57),""),1),""),IF(MID(IFERROR(INDEX(醫師週班表!$C$5:$T$44,$CU34,CS$57),""),2,1)="(",LEFT(IFERROR(INDEX(醫師週班表!$C$5:$T$44,$CU34,CS$57),""),1),IFERROR(INDEX(醫師週班表!$C$5:$T$44,$CU34,CS$57),"")))))))</f>
        <v/>
      </c>
      <c r="CU34" s="73">
        <f>IFERROR(MATCH($A34,醫師週班表!$A$5:$A$44,0),0)</f>
        <v/>
      </c>
    </row>
    <row r="35" ht="17" customHeight="1">
      <c r="A35" s="19" t="n"/>
      <c r="B35" s="16">
        <f>IFERROR(INDEX(設定!$C$64:$C$203,MATCH($A35,設定!$B$64:$B$203,0)),"")</f>
        <v/>
      </c>
      <c r="C35" s="70">
        <f>IFERROR(INDEX(設定!$E$64:$E$203,MATCH($A35,設定!$B$64:$B$203,0)),"")</f>
        <v/>
      </c>
      <c r="D35" s="16">
        <f>IFERROR(INDEX(設定!$F$64:$F$203,MATCH($A35,設定!$B$64:$B$203,0)),"")</f>
        <v/>
      </c>
      <c r="E35" s="71">
        <f>IF(E$59="X","",IF(E$59&lt;&gt;"",E$59,IF(IFERROR(INDEX(醫師週班表!$C$5:$T$44,$CU35,E$57),"")=0,"",IF(MID(IFERROR(INDEX(醫師週班表!$C$5:$T$44,$CU35,E$57),""),2,1)="/",MID(IFERROR(INDEX(醫師週班表!$C$5:$T$44,$CU35,E$57),""),1+E$58*2,1),IF(MID(IFERROR(INDEX(醫師週班表!$C$5:$T$44,$CU35,E$57),""),3,1)="隔",IF(E$58=0,LEFT(IFERROR(INDEX(醫師週班表!$C$5:$T$44,$CU35,E$57),""),1),""),IF(MID(IFERROR(INDEX(醫師週班表!$C$5:$T$44,$CU35,E$57),""),2,1)="(",LEFT(IFERROR(INDEX(醫師週班表!$C$5:$T$44,$CU35,E$57),""),1),IFERROR(INDEX(醫師週班表!$C$5:$T$44,$CU35,E$57),"")))))))</f>
        <v/>
      </c>
      <c r="F35" s="72">
        <f>IF(F$59="X","",IF(F$59&lt;&gt;"",F$59,IF(IFERROR(INDEX(醫師週班表!$C$5:$T$44,$CU35,F$57),"")=0,"",IF(MID(IFERROR(INDEX(醫師週班表!$C$5:$T$44,$CU35,F$57),""),2,1)="/",MID(IFERROR(INDEX(醫師週班表!$C$5:$T$44,$CU35,F$57),""),1+F$58*2,1),IF(MID(IFERROR(INDEX(醫師週班表!$C$5:$T$44,$CU35,F$57),""),3,1)="隔",IF(F$58=0,LEFT(IFERROR(INDEX(醫師週班表!$C$5:$T$44,$CU35,F$57),""),1),""),IF(MID(IFERROR(INDEX(醫師週班表!$C$5:$T$44,$CU35,F$57),""),2,1)="(",LEFT(IFERROR(INDEX(醫師週班表!$C$5:$T$44,$CU35,F$57),""),1),IFERROR(INDEX(醫師週班表!$C$5:$T$44,$CU35,F$57),"")))))))</f>
        <v/>
      </c>
      <c r="G35" s="72">
        <f>IF(G$59="X","",IF(G$59&lt;&gt;"",G$59,IF(IFERROR(INDEX(醫師週班表!$C$5:$T$44,$CU35,G$57),"")=0,"",IF(MID(IFERROR(INDEX(醫師週班表!$C$5:$T$44,$CU35,G$57),""),2,1)="/",MID(IFERROR(INDEX(醫師週班表!$C$5:$T$44,$CU35,G$57),""),1+G$58*2,1),IF(MID(IFERROR(INDEX(醫師週班表!$C$5:$T$44,$CU35,G$57),""),3,1)="隔",IF(G$58=0,LEFT(IFERROR(INDEX(醫師週班表!$C$5:$T$44,$CU35,G$57),""),1),""),IF(MID(IFERROR(INDEX(醫師週班表!$C$5:$T$44,$CU35,G$57),""),2,1)="(",LEFT(IFERROR(INDEX(醫師週班表!$C$5:$T$44,$CU35,G$57),""),1),IFERROR(INDEX(醫師週班表!$C$5:$T$44,$CU35,G$57),"")))))))</f>
        <v/>
      </c>
      <c r="H35" s="71">
        <f>IF(H$59="X","",IF(H$59&lt;&gt;"",H$59,IF(IFERROR(INDEX(醫師週班表!$C$5:$T$44,$CU35,H$57),"")=0,"",IF(MID(IFERROR(INDEX(醫師週班表!$C$5:$T$44,$CU35,H$57),""),2,1)="/",MID(IFERROR(INDEX(醫師週班表!$C$5:$T$44,$CU35,H$57),""),1+H$58*2,1),IF(MID(IFERROR(INDEX(醫師週班表!$C$5:$T$44,$CU35,H$57),""),3,1)="隔",IF(H$58=0,LEFT(IFERROR(INDEX(醫師週班表!$C$5:$T$44,$CU35,H$57),""),1),""),IF(MID(IFERROR(INDEX(醫師週班表!$C$5:$T$44,$CU35,H$57),""),2,1)="(",LEFT(IFERROR(INDEX(醫師週班表!$C$5:$T$44,$CU35,H$57),""),1),IFERROR(INDEX(醫師週班表!$C$5:$T$44,$CU35,H$57),"")))))))</f>
        <v/>
      </c>
      <c r="I35" s="72">
        <f>IF(I$59="X","",IF(I$59&lt;&gt;"",I$59,IF(IFERROR(INDEX(醫師週班表!$C$5:$T$44,$CU35,I$57),"")=0,"",IF(MID(IFERROR(INDEX(醫師週班表!$C$5:$T$44,$CU35,I$57),""),2,1)="/",MID(IFERROR(INDEX(醫師週班表!$C$5:$T$44,$CU35,I$57),""),1+I$58*2,1),IF(MID(IFERROR(INDEX(醫師週班表!$C$5:$T$44,$CU35,I$57),""),3,1)="隔",IF(I$58=0,LEFT(IFERROR(INDEX(醫師週班表!$C$5:$T$44,$CU35,I$57),""),1),""),IF(MID(IFERROR(INDEX(醫師週班表!$C$5:$T$44,$CU35,I$57),""),2,1)="(",LEFT(IFERROR(INDEX(醫師週班表!$C$5:$T$44,$CU35,I$57),""),1),IFERROR(INDEX(醫師週班表!$C$5:$T$44,$CU35,I$57),"")))))))</f>
        <v/>
      </c>
      <c r="J35" s="72">
        <f>IF(J$59="X","",IF(J$59&lt;&gt;"",J$59,IF(IFERROR(INDEX(醫師週班表!$C$5:$T$44,$CU35,J$57),"")=0,"",IF(MID(IFERROR(INDEX(醫師週班表!$C$5:$T$44,$CU35,J$57),""),2,1)="/",MID(IFERROR(INDEX(醫師週班表!$C$5:$T$44,$CU35,J$57),""),1+J$58*2,1),IF(MID(IFERROR(INDEX(醫師週班表!$C$5:$T$44,$CU35,J$57),""),3,1)="隔",IF(J$58=0,LEFT(IFERROR(INDEX(醫師週班表!$C$5:$T$44,$CU35,J$57),""),1),""),IF(MID(IFERROR(INDEX(醫師週班表!$C$5:$T$44,$CU35,J$57),""),2,1)="(",LEFT(IFERROR(INDEX(醫師週班表!$C$5:$T$44,$CU35,J$57),""),1),IFERROR(INDEX(醫師週班表!$C$5:$T$44,$CU35,J$57),"")))))))</f>
        <v/>
      </c>
      <c r="K35" s="71">
        <f>IF(K$59="X","",IF(K$59&lt;&gt;"",K$59,IF(IFERROR(INDEX(醫師週班表!$C$5:$T$44,$CU35,K$57),"")=0,"",IF(MID(IFERROR(INDEX(醫師週班表!$C$5:$T$44,$CU35,K$57),""),2,1)="/",MID(IFERROR(INDEX(醫師週班表!$C$5:$T$44,$CU35,K$57),""),1+K$58*2,1),IF(MID(IFERROR(INDEX(醫師週班表!$C$5:$T$44,$CU35,K$57),""),3,1)="隔",IF(K$58=0,LEFT(IFERROR(INDEX(醫師週班表!$C$5:$T$44,$CU35,K$57),""),1),""),IF(MID(IFERROR(INDEX(醫師週班表!$C$5:$T$44,$CU35,K$57),""),2,1)="(",LEFT(IFERROR(INDEX(醫師週班表!$C$5:$T$44,$CU35,K$57),""),1),IFERROR(INDEX(醫師週班表!$C$5:$T$44,$CU35,K$57),"")))))))</f>
        <v/>
      </c>
      <c r="L35" s="72">
        <f>IF(L$59="X","",IF(L$59&lt;&gt;"",L$59,IF(IFERROR(INDEX(醫師週班表!$C$5:$T$44,$CU35,L$57),"")=0,"",IF(MID(IFERROR(INDEX(醫師週班表!$C$5:$T$44,$CU35,L$57),""),2,1)="/",MID(IFERROR(INDEX(醫師週班表!$C$5:$T$44,$CU35,L$57),""),1+L$58*2,1),IF(MID(IFERROR(INDEX(醫師週班表!$C$5:$T$44,$CU35,L$57),""),3,1)="隔",IF(L$58=0,LEFT(IFERROR(INDEX(醫師週班表!$C$5:$T$44,$CU35,L$57),""),1),""),IF(MID(IFERROR(INDEX(醫師週班表!$C$5:$T$44,$CU35,L$57),""),2,1)="(",LEFT(IFERROR(INDEX(醫師週班表!$C$5:$T$44,$CU35,L$57),""),1),IFERROR(INDEX(醫師週班表!$C$5:$T$44,$CU35,L$57),"")))))))</f>
        <v/>
      </c>
      <c r="M35" s="72">
        <f>IF(M$59="X","",IF(M$59&lt;&gt;"",M$59,IF(IFERROR(INDEX(醫師週班表!$C$5:$T$44,$CU35,M$57),"")=0,"",IF(MID(IFERROR(INDEX(醫師週班表!$C$5:$T$44,$CU35,M$57),""),2,1)="/",MID(IFERROR(INDEX(醫師週班表!$C$5:$T$44,$CU35,M$57),""),1+M$58*2,1),IF(MID(IFERROR(INDEX(醫師週班表!$C$5:$T$44,$CU35,M$57),""),3,1)="隔",IF(M$58=0,LEFT(IFERROR(INDEX(醫師週班表!$C$5:$T$44,$CU35,M$57),""),1),""),IF(MID(IFERROR(INDEX(醫師週班表!$C$5:$T$44,$CU35,M$57),""),2,1)="(",LEFT(IFERROR(INDEX(醫師週班表!$C$5:$T$44,$CU35,M$57),""),1),IFERROR(INDEX(醫師週班表!$C$5:$T$44,$CU35,M$57),"")))))))</f>
        <v/>
      </c>
      <c r="N35" s="71">
        <f>IF(N$59="X","",IF(N$59&lt;&gt;"",N$59,IF(IFERROR(INDEX(醫師週班表!$C$5:$T$44,$CU35,N$57),"")=0,"",IF(MID(IFERROR(INDEX(醫師週班表!$C$5:$T$44,$CU35,N$57),""),2,1)="/",MID(IFERROR(INDEX(醫師週班表!$C$5:$T$44,$CU35,N$57),""),1+N$58*2,1),IF(MID(IFERROR(INDEX(醫師週班表!$C$5:$T$44,$CU35,N$57),""),3,1)="隔",IF(N$58=0,LEFT(IFERROR(INDEX(醫師週班表!$C$5:$T$44,$CU35,N$57),""),1),""),IF(MID(IFERROR(INDEX(醫師週班表!$C$5:$T$44,$CU35,N$57),""),2,1)="(",LEFT(IFERROR(INDEX(醫師週班表!$C$5:$T$44,$CU35,N$57),""),1),IFERROR(INDEX(醫師週班表!$C$5:$T$44,$CU35,N$57),"")))))))</f>
        <v/>
      </c>
      <c r="O35" s="72">
        <f>IF(O$59="X","",IF(O$59&lt;&gt;"",O$59,IF(IFERROR(INDEX(醫師週班表!$C$5:$T$44,$CU35,O$57),"")=0,"",IF(MID(IFERROR(INDEX(醫師週班表!$C$5:$T$44,$CU35,O$57),""),2,1)="/",MID(IFERROR(INDEX(醫師週班表!$C$5:$T$44,$CU35,O$57),""),1+O$58*2,1),IF(MID(IFERROR(INDEX(醫師週班表!$C$5:$T$44,$CU35,O$57),""),3,1)="隔",IF(O$58=0,LEFT(IFERROR(INDEX(醫師週班表!$C$5:$T$44,$CU35,O$57),""),1),""),IF(MID(IFERROR(INDEX(醫師週班表!$C$5:$T$44,$CU35,O$57),""),2,1)="(",LEFT(IFERROR(INDEX(醫師週班表!$C$5:$T$44,$CU35,O$57),""),1),IFERROR(INDEX(醫師週班表!$C$5:$T$44,$CU35,O$57),"")))))))</f>
        <v/>
      </c>
      <c r="P35" s="72">
        <f>IF(P$59="X","",IF(P$59&lt;&gt;"",P$59,IF(IFERROR(INDEX(醫師週班表!$C$5:$T$44,$CU35,P$57),"")=0,"",IF(MID(IFERROR(INDEX(醫師週班表!$C$5:$T$44,$CU35,P$57),""),2,1)="/",MID(IFERROR(INDEX(醫師週班表!$C$5:$T$44,$CU35,P$57),""),1+P$58*2,1),IF(MID(IFERROR(INDEX(醫師週班表!$C$5:$T$44,$CU35,P$57),""),3,1)="隔",IF(P$58=0,LEFT(IFERROR(INDEX(醫師週班表!$C$5:$T$44,$CU35,P$57),""),1),""),IF(MID(IFERROR(INDEX(醫師週班表!$C$5:$T$44,$CU35,P$57),""),2,1)="(",LEFT(IFERROR(INDEX(醫師週班表!$C$5:$T$44,$CU35,P$57),""),1),IFERROR(INDEX(醫師週班表!$C$5:$T$44,$CU35,P$57),"")))))))</f>
        <v/>
      </c>
      <c r="Q35" s="71">
        <f>IF(Q$59="X","",IF(Q$59&lt;&gt;"",Q$59,IF(IFERROR(INDEX(醫師週班表!$C$5:$T$44,$CU35,Q$57),"")=0,"",IF(MID(IFERROR(INDEX(醫師週班表!$C$5:$T$44,$CU35,Q$57),""),2,1)="/",MID(IFERROR(INDEX(醫師週班表!$C$5:$T$44,$CU35,Q$57),""),1+Q$58*2,1),IF(MID(IFERROR(INDEX(醫師週班表!$C$5:$T$44,$CU35,Q$57),""),3,1)="隔",IF(Q$58=0,LEFT(IFERROR(INDEX(醫師週班表!$C$5:$T$44,$CU35,Q$57),""),1),""),IF(MID(IFERROR(INDEX(醫師週班表!$C$5:$T$44,$CU35,Q$57),""),2,1)="(",LEFT(IFERROR(INDEX(醫師週班表!$C$5:$T$44,$CU35,Q$57),""),1),IFERROR(INDEX(醫師週班表!$C$5:$T$44,$CU35,Q$57),"")))))))</f>
        <v/>
      </c>
      <c r="R35" s="72">
        <f>IF(R$59="X","",IF(R$59&lt;&gt;"",R$59,IF(IFERROR(INDEX(醫師週班表!$C$5:$T$44,$CU35,R$57),"")=0,"",IF(MID(IFERROR(INDEX(醫師週班表!$C$5:$T$44,$CU35,R$57),""),2,1)="/",MID(IFERROR(INDEX(醫師週班表!$C$5:$T$44,$CU35,R$57),""),1+R$58*2,1),IF(MID(IFERROR(INDEX(醫師週班表!$C$5:$T$44,$CU35,R$57),""),3,1)="隔",IF(R$58=0,LEFT(IFERROR(INDEX(醫師週班表!$C$5:$T$44,$CU35,R$57),""),1),""),IF(MID(IFERROR(INDEX(醫師週班表!$C$5:$T$44,$CU35,R$57),""),2,1)="(",LEFT(IFERROR(INDEX(醫師週班表!$C$5:$T$44,$CU35,R$57),""),1),IFERROR(INDEX(醫師週班表!$C$5:$T$44,$CU35,R$57),"")))))))</f>
        <v/>
      </c>
      <c r="S35" s="72">
        <f>IF(S$59="X","",IF(S$59&lt;&gt;"",S$59,IF(IFERROR(INDEX(醫師週班表!$C$5:$T$44,$CU35,S$57),"")=0,"",IF(MID(IFERROR(INDEX(醫師週班表!$C$5:$T$44,$CU35,S$57),""),2,1)="/",MID(IFERROR(INDEX(醫師週班表!$C$5:$T$44,$CU35,S$57),""),1+S$58*2,1),IF(MID(IFERROR(INDEX(醫師週班表!$C$5:$T$44,$CU35,S$57),""),3,1)="隔",IF(S$58=0,LEFT(IFERROR(INDEX(醫師週班表!$C$5:$T$44,$CU35,S$57),""),1),""),IF(MID(IFERROR(INDEX(醫師週班表!$C$5:$T$44,$CU35,S$57),""),2,1)="(",LEFT(IFERROR(INDEX(醫師週班表!$C$5:$T$44,$CU35,S$57),""),1),IFERROR(INDEX(醫師週班表!$C$5:$T$44,$CU35,S$57),"")))))))</f>
        <v/>
      </c>
      <c r="T35" s="71">
        <f>IF(T$59="X","",IF(T$59&lt;&gt;"",T$59,IF(IFERROR(INDEX(醫師週班表!$C$5:$T$44,$CU35,T$57),"")=0,"",IF(MID(IFERROR(INDEX(醫師週班表!$C$5:$T$44,$CU35,T$57),""),2,1)="/",MID(IFERROR(INDEX(醫師週班表!$C$5:$T$44,$CU35,T$57),""),1+T$58*2,1),IF(MID(IFERROR(INDEX(醫師週班表!$C$5:$T$44,$CU35,T$57),""),3,1)="隔",IF(T$58=0,LEFT(IFERROR(INDEX(醫師週班表!$C$5:$T$44,$CU35,T$57),""),1),""),IF(MID(IFERROR(INDEX(醫師週班表!$C$5:$T$44,$CU35,T$57),""),2,1)="(",LEFT(IFERROR(INDEX(醫師週班表!$C$5:$T$44,$CU35,T$57),""),1),IFERROR(INDEX(醫師週班表!$C$5:$T$44,$CU35,T$57),"")))))))</f>
        <v/>
      </c>
      <c r="U35" s="72">
        <f>IF(U$59="X","",IF(U$59&lt;&gt;"",U$59,IF(IFERROR(INDEX(醫師週班表!$C$5:$T$44,$CU35,U$57),"")=0,"",IF(MID(IFERROR(INDEX(醫師週班表!$C$5:$T$44,$CU35,U$57),""),2,1)="/",MID(IFERROR(INDEX(醫師週班表!$C$5:$T$44,$CU35,U$57),""),1+U$58*2,1),IF(MID(IFERROR(INDEX(醫師週班表!$C$5:$T$44,$CU35,U$57),""),3,1)="隔",IF(U$58=0,LEFT(IFERROR(INDEX(醫師週班表!$C$5:$T$44,$CU35,U$57),""),1),""),IF(MID(IFERROR(INDEX(醫師週班表!$C$5:$T$44,$CU35,U$57),""),2,1)="(",LEFT(IFERROR(INDEX(醫師週班表!$C$5:$T$44,$CU35,U$57),""),1),IFERROR(INDEX(醫師週班表!$C$5:$T$44,$CU35,U$57),"")))))))</f>
        <v/>
      </c>
      <c r="V35" s="72">
        <f>IF(V$59="X","",IF(V$59&lt;&gt;"",V$59,IF(IFERROR(INDEX(醫師週班表!$C$5:$T$44,$CU35,V$57),"")=0,"",IF(MID(IFERROR(INDEX(醫師週班表!$C$5:$T$44,$CU35,V$57),""),2,1)="/",MID(IFERROR(INDEX(醫師週班表!$C$5:$T$44,$CU35,V$57),""),1+V$58*2,1),IF(MID(IFERROR(INDEX(醫師週班表!$C$5:$T$44,$CU35,V$57),""),3,1)="隔",IF(V$58=0,LEFT(IFERROR(INDEX(醫師週班表!$C$5:$T$44,$CU35,V$57),""),1),""),IF(MID(IFERROR(INDEX(醫師週班表!$C$5:$T$44,$CU35,V$57),""),2,1)="(",LEFT(IFERROR(INDEX(醫師週班表!$C$5:$T$44,$CU35,V$57),""),1),IFERROR(INDEX(醫師週班表!$C$5:$T$44,$CU35,V$57),"")))))))</f>
        <v/>
      </c>
      <c r="W35" s="71">
        <f>IF(W$59="X","",IF(W$59&lt;&gt;"",W$59,IF(IFERROR(INDEX(醫師週班表!$C$5:$T$44,$CU35,W$57),"")=0,"",IF(MID(IFERROR(INDEX(醫師週班表!$C$5:$T$44,$CU35,W$57),""),2,1)="/",MID(IFERROR(INDEX(醫師週班表!$C$5:$T$44,$CU35,W$57),""),1+W$58*2,1),IF(MID(IFERROR(INDEX(醫師週班表!$C$5:$T$44,$CU35,W$57),""),3,1)="隔",IF(W$58=0,LEFT(IFERROR(INDEX(醫師週班表!$C$5:$T$44,$CU35,W$57),""),1),""),IF(MID(IFERROR(INDEX(醫師週班表!$C$5:$T$44,$CU35,W$57),""),2,1)="(",LEFT(IFERROR(INDEX(醫師週班表!$C$5:$T$44,$CU35,W$57),""),1),IFERROR(INDEX(醫師週班表!$C$5:$T$44,$CU35,W$57),"")))))))</f>
        <v/>
      </c>
      <c r="X35" s="72">
        <f>IF(X$59="X","",IF(X$59&lt;&gt;"",X$59,IF(IFERROR(INDEX(醫師週班表!$C$5:$T$44,$CU35,X$57),"")=0,"",IF(MID(IFERROR(INDEX(醫師週班表!$C$5:$T$44,$CU35,X$57),""),2,1)="/",MID(IFERROR(INDEX(醫師週班表!$C$5:$T$44,$CU35,X$57),""),1+X$58*2,1),IF(MID(IFERROR(INDEX(醫師週班表!$C$5:$T$44,$CU35,X$57),""),3,1)="隔",IF(X$58=0,LEFT(IFERROR(INDEX(醫師週班表!$C$5:$T$44,$CU35,X$57),""),1),""),IF(MID(IFERROR(INDEX(醫師週班表!$C$5:$T$44,$CU35,X$57),""),2,1)="(",LEFT(IFERROR(INDEX(醫師週班表!$C$5:$T$44,$CU35,X$57),""),1),IFERROR(INDEX(醫師週班表!$C$5:$T$44,$CU35,X$57),"")))))))</f>
        <v/>
      </c>
      <c r="Y35" s="72">
        <f>IF(Y$59="X","",IF(Y$59&lt;&gt;"",Y$59,IF(IFERROR(INDEX(醫師週班表!$C$5:$T$44,$CU35,Y$57),"")=0,"",IF(MID(IFERROR(INDEX(醫師週班表!$C$5:$T$44,$CU35,Y$57),""),2,1)="/",MID(IFERROR(INDEX(醫師週班表!$C$5:$T$44,$CU35,Y$57),""),1+Y$58*2,1),IF(MID(IFERROR(INDEX(醫師週班表!$C$5:$T$44,$CU35,Y$57),""),3,1)="隔",IF(Y$58=0,LEFT(IFERROR(INDEX(醫師週班表!$C$5:$T$44,$CU35,Y$57),""),1),""),IF(MID(IFERROR(INDEX(醫師週班表!$C$5:$T$44,$CU35,Y$57),""),2,1)="(",LEFT(IFERROR(INDEX(醫師週班表!$C$5:$T$44,$CU35,Y$57),""),1),IFERROR(INDEX(醫師週班表!$C$5:$T$44,$CU35,Y$57),"")))))))</f>
        <v/>
      </c>
      <c r="Z35" s="71">
        <f>IF(Z$59="X","",IF(Z$59&lt;&gt;"",Z$59,IF(IFERROR(INDEX(醫師週班表!$C$5:$T$44,$CU35,Z$57),"")=0,"",IF(MID(IFERROR(INDEX(醫師週班表!$C$5:$T$44,$CU35,Z$57),""),2,1)="/",MID(IFERROR(INDEX(醫師週班表!$C$5:$T$44,$CU35,Z$57),""),1+Z$58*2,1),IF(MID(IFERROR(INDEX(醫師週班表!$C$5:$T$44,$CU35,Z$57),""),3,1)="隔",IF(Z$58=0,LEFT(IFERROR(INDEX(醫師週班表!$C$5:$T$44,$CU35,Z$57),""),1),""),IF(MID(IFERROR(INDEX(醫師週班表!$C$5:$T$44,$CU35,Z$57),""),2,1)="(",LEFT(IFERROR(INDEX(醫師週班表!$C$5:$T$44,$CU35,Z$57),""),1),IFERROR(INDEX(醫師週班表!$C$5:$T$44,$CU35,Z$57),"")))))))</f>
        <v/>
      </c>
      <c r="AA35" s="72">
        <f>IF(AA$59="X","",IF(AA$59&lt;&gt;"",AA$59,IF(IFERROR(INDEX(醫師週班表!$C$5:$T$44,$CU35,AA$57),"")=0,"",IF(MID(IFERROR(INDEX(醫師週班表!$C$5:$T$44,$CU35,AA$57),""),2,1)="/",MID(IFERROR(INDEX(醫師週班表!$C$5:$T$44,$CU35,AA$57),""),1+AA$58*2,1),IF(MID(IFERROR(INDEX(醫師週班表!$C$5:$T$44,$CU35,AA$57),""),3,1)="隔",IF(AA$58=0,LEFT(IFERROR(INDEX(醫師週班表!$C$5:$T$44,$CU35,AA$57),""),1),""),IF(MID(IFERROR(INDEX(醫師週班表!$C$5:$T$44,$CU35,AA$57),""),2,1)="(",LEFT(IFERROR(INDEX(醫師週班表!$C$5:$T$44,$CU35,AA$57),""),1),IFERROR(INDEX(醫師週班表!$C$5:$T$44,$CU35,AA$57),"")))))))</f>
        <v/>
      </c>
      <c r="AB35" s="72">
        <f>IF(AB$59="X","",IF(AB$59&lt;&gt;"",AB$59,IF(IFERROR(INDEX(醫師週班表!$C$5:$T$44,$CU35,AB$57),"")=0,"",IF(MID(IFERROR(INDEX(醫師週班表!$C$5:$T$44,$CU35,AB$57),""),2,1)="/",MID(IFERROR(INDEX(醫師週班表!$C$5:$T$44,$CU35,AB$57),""),1+AB$58*2,1),IF(MID(IFERROR(INDEX(醫師週班表!$C$5:$T$44,$CU35,AB$57),""),3,1)="隔",IF(AB$58=0,LEFT(IFERROR(INDEX(醫師週班表!$C$5:$T$44,$CU35,AB$57),""),1),""),IF(MID(IFERROR(INDEX(醫師週班表!$C$5:$T$44,$CU35,AB$57),""),2,1)="(",LEFT(IFERROR(INDEX(醫師週班表!$C$5:$T$44,$CU35,AB$57),""),1),IFERROR(INDEX(醫師週班表!$C$5:$T$44,$CU35,AB$57),"")))))))</f>
        <v/>
      </c>
      <c r="AC35" s="71">
        <f>IF(AC$59="X","",IF(AC$59&lt;&gt;"",AC$59,IF(IFERROR(INDEX(醫師週班表!$C$5:$T$44,$CU35,AC$57),"")=0,"",IF(MID(IFERROR(INDEX(醫師週班表!$C$5:$T$44,$CU35,AC$57),""),2,1)="/",MID(IFERROR(INDEX(醫師週班表!$C$5:$T$44,$CU35,AC$57),""),1+AC$58*2,1),IF(MID(IFERROR(INDEX(醫師週班表!$C$5:$T$44,$CU35,AC$57),""),3,1)="隔",IF(AC$58=0,LEFT(IFERROR(INDEX(醫師週班表!$C$5:$T$44,$CU35,AC$57),""),1),""),IF(MID(IFERROR(INDEX(醫師週班表!$C$5:$T$44,$CU35,AC$57),""),2,1)="(",LEFT(IFERROR(INDEX(醫師週班表!$C$5:$T$44,$CU35,AC$57),""),1),IFERROR(INDEX(醫師週班表!$C$5:$T$44,$CU35,AC$57),"")))))))</f>
        <v/>
      </c>
      <c r="AD35" s="72">
        <f>IF(AD$59="X","",IF(AD$59&lt;&gt;"",AD$59,IF(IFERROR(INDEX(醫師週班表!$C$5:$T$44,$CU35,AD$57),"")=0,"",IF(MID(IFERROR(INDEX(醫師週班表!$C$5:$T$44,$CU35,AD$57),""),2,1)="/",MID(IFERROR(INDEX(醫師週班表!$C$5:$T$44,$CU35,AD$57),""),1+AD$58*2,1),IF(MID(IFERROR(INDEX(醫師週班表!$C$5:$T$44,$CU35,AD$57),""),3,1)="隔",IF(AD$58=0,LEFT(IFERROR(INDEX(醫師週班表!$C$5:$T$44,$CU35,AD$57),""),1),""),IF(MID(IFERROR(INDEX(醫師週班表!$C$5:$T$44,$CU35,AD$57),""),2,1)="(",LEFT(IFERROR(INDEX(醫師週班表!$C$5:$T$44,$CU35,AD$57),""),1),IFERROR(INDEX(醫師週班表!$C$5:$T$44,$CU35,AD$57),"")))))))</f>
        <v/>
      </c>
      <c r="AE35" s="72">
        <f>IF(AE$59="X","",IF(AE$59&lt;&gt;"",AE$59,IF(IFERROR(INDEX(醫師週班表!$C$5:$T$44,$CU35,AE$57),"")=0,"",IF(MID(IFERROR(INDEX(醫師週班表!$C$5:$T$44,$CU35,AE$57),""),2,1)="/",MID(IFERROR(INDEX(醫師週班表!$C$5:$T$44,$CU35,AE$57),""),1+AE$58*2,1),IF(MID(IFERROR(INDEX(醫師週班表!$C$5:$T$44,$CU35,AE$57),""),3,1)="隔",IF(AE$58=0,LEFT(IFERROR(INDEX(醫師週班表!$C$5:$T$44,$CU35,AE$57),""),1),""),IF(MID(IFERROR(INDEX(醫師週班表!$C$5:$T$44,$CU35,AE$57),""),2,1)="(",LEFT(IFERROR(INDEX(醫師週班表!$C$5:$T$44,$CU35,AE$57),""),1),IFERROR(INDEX(醫師週班表!$C$5:$T$44,$CU35,AE$57),"")))))))</f>
        <v/>
      </c>
      <c r="AF35" s="71">
        <f>IF(AF$59="X","",IF(AF$59&lt;&gt;"",AF$59,IF(IFERROR(INDEX(醫師週班表!$C$5:$T$44,$CU35,AF$57),"")=0,"",IF(MID(IFERROR(INDEX(醫師週班表!$C$5:$T$44,$CU35,AF$57),""),2,1)="/",MID(IFERROR(INDEX(醫師週班表!$C$5:$T$44,$CU35,AF$57),""),1+AF$58*2,1),IF(MID(IFERROR(INDEX(醫師週班表!$C$5:$T$44,$CU35,AF$57),""),3,1)="隔",IF(AF$58=0,LEFT(IFERROR(INDEX(醫師週班表!$C$5:$T$44,$CU35,AF$57),""),1),""),IF(MID(IFERROR(INDEX(醫師週班表!$C$5:$T$44,$CU35,AF$57),""),2,1)="(",LEFT(IFERROR(INDEX(醫師週班表!$C$5:$T$44,$CU35,AF$57),""),1),IFERROR(INDEX(醫師週班表!$C$5:$T$44,$CU35,AF$57),"")))))))</f>
        <v/>
      </c>
      <c r="AG35" s="72">
        <f>IF(AG$59="X","",IF(AG$59&lt;&gt;"",AG$59,IF(IFERROR(INDEX(醫師週班表!$C$5:$T$44,$CU35,AG$57),"")=0,"",IF(MID(IFERROR(INDEX(醫師週班表!$C$5:$T$44,$CU35,AG$57),""),2,1)="/",MID(IFERROR(INDEX(醫師週班表!$C$5:$T$44,$CU35,AG$57),""),1+AG$58*2,1),IF(MID(IFERROR(INDEX(醫師週班表!$C$5:$T$44,$CU35,AG$57),""),3,1)="隔",IF(AG$58=0,LEFT(IFERROR(INDEX(醫師週班表!$C$5:$T$44,$CU35,AG$57),""),1),""),IF(MID(IFERROR(INDEX(醫師週班表!$C$5:$T$44,$CU35,AG$57),""),2,1)="(",LEFT(IFERROR(INDEX(醫師週班表!$C$5:$T$44,$CU35,AG$57),""),1),IFERROR(INDEX(醫師週班表!$C$5:$T$44,$CU35,AG$57),"")))))))</f>
        <v/>
      </c>
      <c r="AH35" s="72">
        <f>IF(AH$59="X","",IF(AH$59&lt;&gt;"",AH$59,IF(IFERROR(INDEX(醫師週班表!$C$5:$T$44,$CU35,AH$57),"")=0,"",IF(MID(IFERROR(INDEX(醫師週班表!$C$5:$T$44,$CU35,AH$57),""),2,1)="/",MID(IFERROR(INDEX(醫師週班表!$C$5:$T$44,$CU35,AH$57),""),1+AH$58*2,1),IF(MID(IFERROR(INDEX(醫師週班表!$C$5:$T$44,$CU35,AH$57),""),3,1)="隔",IF(AH$58=0,LEFT(IFERROR(INDEX(醫師週班表!$C$5:$T$44,$CU35,AH$57),""),1),""),IF(MID(IFERROR(INDEX(醫師週班表!$C$5:$T$44,$CU35,AH$57),""),2,1)="(",LEFT(IFERROR(INDEX(醫師週班表!$C$5:$T$44,$CU35,AH$57),""),1),IFERROR(INDEX(醫師週班表!$C$5:$T$44,$CU35,AH$57),"")))))))</f>
        <v/>
      </c>
      <c r="AI35" s="71">
        <f>IF(AI$59="X","",IF(AI$59&lt;&gt;"",AI$59,IF(IFERROR(INDEX(醫師週班表!$C$5:$T$44,$CU35,AI$57),"")=0,"",IF(MID(IFERROR(INDEX(醫師週班表!$C$5:$T$44,$CU35,AI$57),""),2,1)="/",MID(IFERROR(INDEX(醫師週班表!$C$5:$T$44,$CU35,AI$57),""),1+AI$58*2,1),IF(MID(IFERROR(INDEX(醫師週班表!$C$5:$T$44,$CU35,AI$57),""),3,1)="隔",IF(AI$58=0,LEFT(IFERROR(INDEX(醫師週班表!$C$5:$T$44,$CU35,AI$57),""),1),""),IF(MID(IFERROR(INDEX(醫師週班表!$C$5:$T$44,$CU35,AI$57),""),2,1)="(",LEFT(IFERROR(INDEX(醫師週班表!$C$5:$T$44,$CU35,AI$57),""),1),IFERROR(INDEX(醫師週班表!$C$5:$T$44,$CU35,AI$57),"")))))))</f>
        <v/>
      </c>
      <c r="AJ35" s="72">
        <f>IF(AJ$59="X","",IF(AJ$59&lt;&gt;"",AJ$59,IF(IFERROR(INDEX(醫師週班表!$C$5:$T$44,$CU35,AJ$57),"")=0,"",IF(MID(IFERROR(INDEX(醫師週班表!$C$5:$T$44,$CU35,AJ$57),""),2,1)="/",MID(IFERROR(INDEX(醫師週班表!$C$5:$T$44,$CU35,AJ$57),""),1+AJ$58*2,1),IF(MID(IFERROR(INDEX(醫師週班表!$C$5:$T$44,$CU35,AJ$57),""),3,1)="隔",IF(AJ$58=0,LEFT(IFERROR(INDEX(醫師週班表!$C$5:$T$44,$CU35,AJ$57),""),1),""),IF(MID(IFERROR(INDEX(醫師週班表!$C$5:$T$44,$CU35,AJ$57),""),2,1)="(",LEFT(IFERROR(INDEX(醫師週班表!$C$5:$T$44,$CU35,AJ$57),""),1),IFERROR(INDEX(醫師週班表!$C$5:$T$44,$CU35,AJ$57),"")))))))</f>
        <v/>
      </c>
      <c r="AK35" s="72">
        <f>IF(AK$59="X","",IF(AK$59&lt;&gt;"",AK$59,IF(IFERROR(INDEX(醫師週班表!$C$5:$T$44,$CU35,AK$57),"")=0,"",IF(MID(IFERROR(INDEX(醫師週班表!$C$5:$T$44,$CU35,AK$57),""),2,1)="/",MID(IFERROR(INDEX(醫師週班表!$C$5:$T$44,$CU35,AK$57),""),1+AK$58*2,1),IF(MID(IFERROR(INDEX(醫師週班表!$C$5:$T$44,$CU35,AK$57),""),3,1)="隔",IF(AK$58=0,LEFT(IFERROR(INDEX(醫師週班表!$C$5:$T$44,$CU35,AK$57),""),1),""),IF(MID(IFERROR(INDEX(醫師週班表!$C$5:$T$44,$CU35,AK$57),""),2,1)="(",LEFT(IFERROR(INDEX(醫師週班表!$C$5:$T$44,$CU35,AK$57),""),1),IFERROR(INDEX(醫師週班表!$C$5:$T$44,$CU35,AK$57),"")))))))</f>
        <v/>
      </c>
      <c r="AL35" s="71">
        <f>IF(AL$59="X","",IF(AL$59&lt;&gt;"",AL$59,IF(IFERROR(INDEX(醫師週班表!$C$5:$T$44,$CU35,AL$57),"")=0,"",IF(MID(IFERROR(INDEX(醫師週班表!$C$5:$T$44,$CU35,AL$57),""),2,1)="/",MID(IFERROR(INDEX(醫師週班表!$C$5:$T$44,$CU35,AL$57),""),1+AL$58*2,1),IF(MID(IFERROR(INDEX(醫師週班表!$C$5:$T$44,$CU35,AL$57),""),3,1)="隔",IF(AL$58=0,LEFT(IFERROR(INDEX(醫師週班表!$C$5:$T$44,$CU35,AL$57),""),1),""),IF(MID(IFERROR(INDEX(醫師週班表!$C$5:$T$44,$CU35,AL$57),""),2,1)="(",LEFT(IFERROR(INDEX(醫師週班表!$C$5:$T$44,$CU35,AL$57),""),1),IFERROR(INDEX(醫師週班表!$C$5:$T$44,$CU35,AL$57),"")))))))</f>
        <v/>
      </c>
      <c r="AM35" s="72">
        <f>IF(AM$59="X","",IF(AM$59&lt;&gt;"",AM$59,IF(IFERROR(INDEX(醫師週班表!$C$5:$T$44,$CU35,AM$57),"")=0,"",IF(MID(IFERROR(INDEX(醫師週班表!$C$5:$T$44,$CU35,AM$57),""),2,1)="/",MID(IFERROR(INDEX(醫師週班表!$C$5:$T$44,$CU35,AM$57),""),1+AM$58*2,1),IF(MID(IFERROR(INDEX(醫師週班表!$C$5:$T$44,$CU35,AM$57),""),3,1)="隔",IF(AM$58=0,LEFT(IFERROR(INDEX(醫師週班表!$C$5:$T$44,$CU35,AM$57),""),1),""),IF(MID(IFERROR(INDEX(醫師週班表!$C$5:$T$44,$CU35,AM$57),""),2,1)="(",LEFT(IFERROR(INDEX(醫師週班表!$C$5:$T$44,$CU35,AM$57),""),1),IFERROR(INDEX(醫師週班表!$C$5:$T$44,$CU35,AM$57),"")))))))</f>
        <v/>
      </c>
      <c r="AN35" s="72">
        <f>IF(AN$59="X","",IF(AN$59&lt;&gt;"",AN$59,IF(IFERROR(INDEX(醫師週班表!$C$5:$T$44,$CU35,AN$57),"")=0,"",IF(MID(IFERROR(INDEX(醫師週班表!$C$5:$T$44,$CU35,AN$57),""),2,1)="/",MID(IFERROR(INDEX(醫師週班表!$C$5:$T$44,$CU35,AN$57),""),1+AN$58*2,1),IF(MID(IFERROR(INDEX(醫師週班表!$C$5:$T$44,$CU35,AN$57),""),3,1)="隔",IF(AN$58=0,LEFT(IFERROR(INDEX(醫師週班表!$C$5:$T$44,$CU35,AN$57),""),1),""),IF(MID(IFERROR(INDEX(醫師週班表!$C$5:$T$44,$CU35,AN$57),""),2,1)="(",LEFT(IFERROR(INDEX(醫師週班表!$C$5:$T$44,$CU35,AN$57),""),1),IFERROR(INDEX(醫師週班表!$C$5:$T$44,$CU35,AN$57),"")))))))</f>
        <v/>
      </c>
      <c r="AO35" s="71">
        <f>IF(AO$59="X","",IF(AO$59&lt;&gt;"",AO$59,IF(IFERROR(INDEX(醫師週班表!$C$5:$T$44,$CU35,AO$57),"")=0,"",IF(MID(IFERROR(INDEX(醫師週班表!$C$5:$T$44,$CU35,AO$57),""),2,1)="/",MID(IFERROR(INDEX(醫師週班表!$C$5:$T$44,$CU35,AO$57),""),1+AO$58*2,1),IF(MID(IFERROR(INDEX(醫師週班表!$C$5:$T$44,$CU35,AO$57),""),3,1)="隔",IF(AO$58=0,LEFT(IFERROR(INDEX(醫師週班表!$C$5:$T$44,$CU35,AO$57),""),1),""),IF(MID(IFERROR(INDEX(醫師週班表!$C$5:$T$44,$CU35,AO$57),""),2,1)="(",LEFT(IFERROR(INDEX(醫師週班表!$C$5:$T$44,$CU35,AO$57),""),1),IFERROR(INDEX(醫師週班表!$C$5:$T$44,$CU35,AO$57),"")))))))</f>
        <v/>
      </c>
      <c r="AP35" s="72">
        <f>IF(AP$59="X","",IF(AP$59&lt;&gt;"",AP$59,IF(IFERROR(INDEX(醫師週班表!$C$5:$T$44,$CU35,AP$57),"")=0,"",IF(MID(IFERROR(INDEX(醫師週班表!$C$5:$T$44,$CU35,AP$57),""),2,1)="/",MID(IFERROR(INDEX(醫師週班表!$C$5:$T$44,$CU35,AP$57),""),1+AP$58*2,1),IF(MID(IFERROR(INDEX(醫師週班表!$C$5:$T$44,$CU35,AP$57),""),3,1)="隔",IF(AP$58=0,LEFT(IFERROR(INDEX(醫師週班表!$C$5:$T$44,$CU35,AP$57),""),1),""),IF(MID(IFERROR(INDEX(醫師週班表!$C$5:$T$44,$CU35,AP$57),""),2,1)="(",LEFT(IFERROR(INDEX(醫師週班表!$C$5:$T$44,$CU35,AP$57),""),1),IFERROR(INDEX(醫師週班表!$C$5:$T$44,$CU35,AP$57),"")))))))</f>
        <v/>
      </c>
      <c r="AQ35" s="72">
        <f>IF(AQ$59="X","",IF(AQ$59&lt;&gt;"",AQ$59,IF(IFERROR(INDEX(醫師週班表!$C$5:$T$44,$CU35,AQ$57),"")=0,"",IF(MID(IFERROR(INDEX(醫師週班表!$C$5:$T$44,$CU35,AQ$57),""),2,1)="/",MID(IFERROR(INDEX(醫師週班表!$C$5:$T$44,$CU35,AQ$57),""),1+AQ$58*2,1),IF(MID(IFERROR(INDEX(醫師週班表!$C$5:$T$44,$CU35,AQ$57),""),3,1)="隔",IF(AQ$58=0,LEFT(IFERROR(INDEX(醫師週班表!$C$5:$T$44,$CU35,AQ$57),""),1),""),IF(MID(IFERROR(INDEX(醫師週班表!$C$5:$T$44,$CU35,AQ$57),""),2,1)="(",LEFT(IFERROR(INDEX(醫師週班表!$C$5:$T$44,$CU35,AQ$57),""),1),IFERROR(INDEX(醫師週班表!$C$5:$T$44,$CU35,AQ$57),"")))))))</f>
        <v/>
      </c>
      <c r="AR35" s="71">
        <f>IF(AR$59="X","",IF(AR$59&lt;&gt;"",AR$59,IF(IFERROR(INDEX(醫師週班表!$C$5:$T$44,$CU35,AR$57),"")=0,"",IF(MID(IFERROR(INDEX(醫師週班表!$C$5:$T$44,$CU35,AR$57),""),2,1)="/",MID(IFERROR(INDEX(醫師週班表!$C$5:$T$44,$CU35,AR$57),""),1+AR$58*2,1),IF(MID(IFERROR(INDEX(醫師週班表!$C$5:$T$44,$CU35,AR$57),""),3,1)="隔",IF(AR$58=0,LEFT(IFERROR(INDEX(醫師週班表!$C$5:$T$44,$CU35,AR$57),""),1),""),IF(MID(IFERROR(INDEX(醫師週班表!$C$5:$T$44,$CU35,AR$57),""),2,1)="(",LEFT(IFERROR(INDEX(醫師週班表!$C$5:$T$44,$CU35,AR$57),""),1),IFERROR(INDEX(醫師週班表!$C$5:$T$44,$CU35,AR$57),"")))))))</f>
        <v/>
      </c>
      <c r="AS35" s="72">
        <f>IF(AS$59="X","",IF(AS$59&lt;&gt;"",AS$59,IF(IFERROR(INDEX(醫師週班表!$C$5:$T$44,$CU35,AS$57),"")=0,"",IF(MID(IFERROR(INDEX(醫師週班表!$C$5:$T$44,$CU35,AS$57),""),2,1)="/",MID(IFERROR(INDEX(醫師週班表!$C$5:$T$44,$CU35,AS$57),""),1+AS$58*2,1),IF(MID(IFERROR(INDEX(醫師週班表!$C$5:$T$44,$CU35,AS$57),""),3,1)="隔",IF(AS$58=0,LEFT(IFERROR(INDEX(醫師週班表!$C$5:$T$44,$CU35,AS$57),""),1),""),IF(MID(IFERROR(INDEX(醫師週班表!$C$5:$T$44,$CU35,AS$57),""),2,1)="(",LEFT(IFERROR(INDEX(醫師週班表!$C$5:$T$44,$CU35,AS$57),""),1),IFERROR(INDEX(醫師週班表!$C$5:$T$44,$CU35,AS$57),"")))))))</f>
        <v/>
      </c>
      <c r="AT35" s="72">
        <f>IF(AT$59="X","",IF(AT$59&lt;&gt;"",AT$59,IF(IFERROR(INDEX(醫師週班表!$C$5:$T$44,$CU35,AT$57),"")=0,"",IF(MID(IFERROR(INDEX(醫師週班表!$C$5:$T$44,$CU35,AT$57),""),2,1)="/",MID(IFERROR(INDEX(醫師週班表!$C$5:$T$44,$CU35,AT$57),""),1+AT$58*2,1),IF(MID(IFERROR(INDEX(醫師週班表!$C$5:$T$44,$CU35,AT$57),""),3,1)="隔",IF(AT$58=0,LEFT(IFERROR(INDEX(醫師週班表!$C$5:$T$44,$CU35,AT$57),""),1),""),IF(MID(IFERROR(INDEX(醫師週班表!$C$5:$T$44,$CU35,AT$57),""),2,1)="(",LEFT(IFERROR(INDEX(醫師週班表!$C$5:$T$44,$CU35,AT$57),""),1),IFERROR(INDEX(醫師週班表!$C$5:$T$44,$CU35,AT$57),"")))))))</f>
        <v/>
      </c>
      <c r="AU35" s="71">
        <f>IF(AU$59="X","",IF(AU$59&lt;&gt;"",AU$59,IF(IFERROR(INDEX(醫師週班表!$C$5:$T$44,$CU35,AU$57),"")=0,"",IF(MID(IFERROR(INDEX(醫師週班表!$C$5:$T$44,$CU35,AU$57),""),2,1)="/",MID(IFERROR(INDEX(醫師週班表!$C$5:$T$44,$CU35,AU$57),""),1+AU$58*2,1),IF(MID(IFERROR(INDEX(醫師週班表!$C$5:$T$44,$CU35,AU$57),""),3,1)="隔",IF(AU$58=0,LEFT(IFERROR(INDEX(醫師週班表!$C$5:$T$44,$CU35,AU$57),""),1),""),IF(MID(IFERROR(INDEX(醫師週班表!$C$5:$T$44,$CU35,AU$57),""),2,1)="(",LEFT(IFERROR(INDEX(醫師週班表!$C$5:$T$44,$CU35,AU$57),""),1),IFERROR(INDEX(醫師週班表!$C$5:$T$44,$CU35,AU$57),"")))))))</f>
        <v/>
      </c>
      <c r="AV35" s="72">
        <f>IF(AV$59="X","",IF(AV$59&lt;&gt;"",AV$59,IF(IFERROR(INDEX(醫師週班表!$C$5:$T$44,$CU35,AV$57),"")=0,"",IF(MID(IFERROR(INDEX(醫師週班表!$C$5:$T$44,$CU35,AV$57),""),2,1)="/",MID(IFERROR(INDEX(醫師週班表!$C$5:$T$44,$CU35,AV$57),""),1+AV$58*2,1),IF(MID(IFERROR(INDEX(醫師週班表!$C$5:$T$44,$CU35,AV$57),""),3,1)="隔",IF(AV$58=0,LEFT(IFERROR(INDEX(醫師週班表!$C$5:$T$44,$CU35,AV$57),""),1),""),IF(MID(IFERROR(INDEX(醫師週班表!$C$5:$T$44,$CU35,AV$57),""),2,1)="(",LEFT(IFERROR(INDEX(醫師週班表!$C$5:$T$44,$CU35,AV$57),""),1),IFERROR(INDEX(醫師週班表!$C$5:$T$44,$CU35,AV$57),"")))))))</f>
        <v/>
      </c>
      <c r="AW35" s="72">
        <f>IF(AW$59="X","",IF(AW$59&lt;&gt;"",AW$59,IF(IFERROR(INDEX(醫師週班表!$C$5:$T$44,$CU35,AW$57),"")=0,"",IF(MID(IFERROR(INDEX(醫師週班表!$C$5:$T$44,$CU35,AW$57),""),2,1)="/",MID(IFERROR(INDEX(醫師週班表!$C$5:$T$44,$CU35,AW$57),""),1+AW$58*2,1),IF(MID(IFERROR(INDEX(醫師週班表!$C$5:$T$44,$CU35,AW$57),""),3,1)="隔",IF(AW$58=0,LEFT(IFERROR(INDEX(醫師週班表!$C$5:$T$44,$CU35,AW$57),""),1),""),IF(MID(IFERROR(INDEX(醫師週班表!$C$5:$T$44,$CU35,AW$57),""),2,1)="(",LEFT(IFERROR(INDEX(醫師週班表!$C$5:$T$44,$CU35,AW$57),""),1),IFERROR(INDEX(醫師週班表!$C$5:$T$44,$CU35,AW$57),"")))))))</f>
        <v/>
      </c>
      <c r="AX35" s="71">
        <f>IF(AX$59="X","",IF(AX$59&lt;&gt;"",AX$59,IF(IFERROR(INDEX(醫師週班表!$C$5:$T$44,$CU35,AX$57),"")=0,"",IF(MID(IFERROR(INDEX(醫師週班表!$C$5:$T$44,$CU35,AX$57),""),2,1)="/",MID(IFERROR(INDEX(醫師週班表!$C$5:$T$44,$CU35,AX$57),""),1+AX$58*2,1),IF(MID(IFERROR(INDEX(醫師週班表!$C$5:$T$44,$CU35,AX$57),""),3,1)="隔",IF(AX$58=0,LEFT(IFERROR(INDEX(醫師週班表!$C$5:$T$44,$CU35,AX$57),""),1),""),IF(MID(IFERROR(INDEX(醫師週班表!$C$5:$T$44,$CU35,AX$57),""),2,1)="(",LEFT(IFERROR(INDEX(醫師週班表!$C$5:$T$44,$CU35,AX$57),""),1),IFERROR(INDEX(醫師週班表!$C$5:$T$44,$CU35,AX$57),"")))))))</f>
        <v/>
      </c>
      <c r="AY35" s="72">
        <f>IF(AY$59="X","",IF(AY$59&lt;&gt;"",AY$59,IF(IFERROR(INDEX(醫師週班表!$C$5:$T$44,$CU35,AY$57),"")=0,"",IF(MID(IFERROR(INDEX(醫師週班表!$C$5:$T$44,$CU35,AY$57),""),2,1)="/",MID(IFERROR(INDEX(醫師週班表!$C$5:$T$44,$CU35,AY$57),""),1+AY$58*2,1),IF(MID(IFERROR(INDEX(醫師週班表!$C$5:$T$44,$CU35,AY$57),""),3,1)="隔",IF(AY$58=0,LEFT(IFERROR(INDEX(醫師週班表!$C$5:$T$44,$CU35,AY$57),""),1),""),IF(MID(IFERROR(INDEX(醫師週班表!$C$5:$T$44,$CU35,AY$57),""),2,1)="(",LEFT(IFERROR(INDEX(醫師週班表!$C$5:$T$44,$CU35,AY$57),""),1),IFERROR(INDEX(醫師週班表!$C$5:$T$44,$CU35,AY$57),"")))))))</f>
        <v/>
      </c>
      <c r="AZ35" s="72">
        <f>IF(AZ$59="X","",IF(AZ$59&lt;&gt;"",AZ$59,IF(IFERROR(INDEX(醫師週班表!$C$5:$T$44,$CU35,AZ$57),"")=0,"",IF(MID(IFERROR(INDEX(醫師週班表!$C$5:$T$44,$CU35,AZ$57),""),2,1)="/",MID(IFERROR(INDEX(醫師週班表!$C$5:$T$44,$CU35,AZ$57),""),1+AZ$58*2,1),IF(MID(IFERROR(INDEX(醫師週班表!$C$5:$T$44,$CU35,AZ$57),""),3,1)="隔",IF(AZ$58=0,LEFT(IFERROR(INDEX(醫師週班表!$C$5:$T$44,$CU35,AZ$57),""),1),""),IF(MID(IFERROR(INDEX(醫師週班表!$C$5:$T$44,$CU35,AZ$57),""),2,1)="(",LEFT(IFERROR(INDEX(醫師週班表!$C$5:$T$44,$CU35,AZ$57),""),1),IFERROR(INDEX(醫師週班表!$C$5:$T$44,$CU35,AZ$57),"")))))))</f>
        <v/>
      </c>
      <c r="BA35" s="71">
        <f>IF(BA$59="X","",IF(BA$59&lt;&gt;"",BA$59,IF(IFERROR(INDEX(醫師週班表!$C$5:$T$44,$CU35,BA$57),"")=0,"",IF(MID(IFERROR(INDEX(醫師週班表!$C$5:$T$44,$CU35,BA$57),""),2,1)="/",MID(IFERROR(INDEX(醫師週班表!$C$5:$T$44,$CU35,BA$57),""),1+BA$58*2,1),IF(MID(IFERROR(INDEX(醫師週班表!$C$5:$T$44,$CU35,BA$57),""),3,1)="隔",IF(BA$58=0,LEFT(IFERROR(INDEX(醫師週班表!$C$5:$T$44,$CU35,BA$57),""),1),""),IF(MID(IFERROR(INDEX(醫師週班表!$C$5:$T$44,$CU35,BA$57),""),2,1)="(",LEFT(IFERROR(INDEX(醫師週班表!$C$5:$T$44,$CU35,BA$57),""),1),IFERROR(INDEX(醫師週班表!$C$5:$T$44,$CU35,BA$57),"")))))))</f>
        <v/>
      </c>
      <c r="BB35" s="72">
        <f>IF(BB$59="X","",IF(BB$59&lt;&gt;"",BB$59,IF(IFERROR(INDEX(醫師週班表!$C$5:$T$44,$CU35,BB$57),"")=0,"",IF(MID(IFERROR(INDEX(醫師週班表!$C$5:$T$44,$CU35,BB$57),""),2,1)="/",MID(IFERROR(INDEX(醫師週班表!$C$5:$T$44,$CU35,BB$57),""),1+BB$58*2,1),IF(MID(IFERROR(INDEX(醫師週班表!$C$5:$T$44,$CU35,BB$57),""),3,1)="隔",IF(BB$58=0,LEFT(IFERROR(INDEX(醫師週班表!$C$5:$T$44,$CU35,BB$57),""),1),""),IF(MID(IFERROR(INDEX(醫師週班表!$C$5:$T$44,$CU35,BB$57),""),2,1)="(",LEFT(IFERROR(INDEX(醫師週班表!$C$5:$T$44,$CU35,BB$57),""),1),IFERROR(INDEX(醫師週班表!$C$5:$T$44,$CU35,BB$57),"")))))))</f>
        <v/>
      </c>
      <c r="BC35" s="72">
        <f>IF(BC$59="X","",IF(BC$59&lt;&gt;"",BC$59,IF(IFERROR(INDEX(醫師週班表!$C$5:$T$44,$CU35,BC$57),"")=0,"",IF(MID(IFERROR(INDEX(醫師週班表!$C$5:$T$44,$CU35,BC$57),""),2,1)="/",MID(IFERROR(INDEX(醫師週班表!$C$5:$T$44,$CU35,BC$57),""),1+BC$58*2,1),IF(MID(IFERROR(INDEX(醫師週班表!$C$5:$T$44,$CU35,BC$57),""),3,1)="隔",IF(BC$58=0,LEFT(IFERROR(INDEX(醫師週班表!$C$5:$T$44,$CU35,BC$57),""),1),""),IF(MID(IFERROR(INDEX(醫師週班表!$C$5:$T$44,$CU35,BC$57),""),2,1)="(",LEFT(IFERROR(INDEX(醫師週班表!$C$5:$T$44,$CU35,BC$57),""),1),IFERROR(INDEX(醫師週班表!$C$5:$T$44,$CU35,BC$57),"")))))))</f>
        <v/>
      </c>
      <c r="BD35" s="71">
        <f>IF(BD$59="X","",IF(BD$59&lt;&gt;"",BD$59,IF(IFERROR(INDEX(醫師週班表!$C$5:$T$44,$CU35,BD$57),"")=0,"",IF(MID(IFERROR(INDEX(醫師週班表!$C$5:$T$44,$CU35,BD$57),""),2,1)="/",MID(IFERROR(INDEX(醫師週班表!$C$5:$T$44,$CU35,BD$57),""),1+BD$58*2,1),IF(MID(IFERROR(INDEX(醫師週班表!$C$5:$T$44,$CU35,BD$57),""),3,1)="隔",IF(BD$58=0,LEFT(IFERROR(INDEX(醫師週班表!$C$5:$T$44,$CU35,BD$57),""),1),""),IF(MID(IFERROR(INDEX(醫師週班表!$C$5:$T$44,$CU35,BD$57),""),2,1)="(",LEFT(IFERROR(INDEX(醫師週班表!$C$5:$T$44,$CU35,BD$57),""),1),IFERROR(INDEX(醫師週班表!$C$5:$T$44,$CU35,BD$57),"")))))))</f>
        <v/>
      </c>
      <c r="BE35" s="72">
        <f>IF(BE$59="X","",IF(BE$59&lt;&gt;"",BE$59,IF(IFERROR(INDEX(醫師週班表!$C$5:$T$44,$CU35,BE$57),"")=0,"",IF(MID(IFERROR(INDEX(醫師週班表!$C$5:$T$44,$CU35,BE$57),""),2,1)="/",MID(IFERROR(INDEX(醫師週班表!$C$5:$T$44,$CU35,BE$57),""),1+BE$58*2,1),IF(MID(IFERROR(INDEX(醫師週班表!$C$5:$T$44,$CU35,BE$57),""),3,1)="隔",IF(BE$58=0,LEFT(IFERROR(INDEX(醫師週班表!$C$5:$T$44,$CU35,BE$57),""),1),""),IF(MID(IFERROR(INDEX(醫師週班表!$C$5:$T$44,$CU35,BE$57),""),2,1)="(",LEFT(IFERROR(INDEX(醫師週班表!$C$5:$T$44,$CU35,BE$57),""),1),IFERROR(INDEX(醫師週班表!$C$5:$T$44,$CU35,BE$57),"")))))))</f>
        <v/>
      </c>
      <c r="BF35" s="72">
        <f>IF(BF$59="X","",IF(BF$59&lt;&gt;"",BF$59,IF(IFERROR(INDEX(醫師週班表!$C$5:$T$44,$CU35,BF$57),"")=0,"",IF(MID(IFERROR(INDEX(醫師週班表!$C$5:$T$44,$CU35,BF$57),""),2,1)="/",MID(IFERROR(INDEX(醫師週班表!$C$5:$T$44,$CU35,BF$57),""),1+BF$58*2,1),IF(MID(IFERROR(INDEX(醫師週班表!$C$5:$T$44,$CU35,BF$57),""),3,1)="隔",IF(BF$58=0,LEFT(IFERROR(INDEX(醫師週班表!$C$5:$T$44,$CU35,BF$57),""),1),""),IF(MID(IFERROR(INDEX(醫師週班表!$C$5:$T$44,$CU35,BF$57),""),2,1)="(",LEFT(IFERROR(INDEX(醫師週班表!$C$5:$T$44,$CU35,BF$57),""),1),IFERROR(INDEX(醫師週班表!$C$5:$T$44,$CU35,BF$57),"")))))))</f>
        <v/>
      </c>
      <c r="BG35" s="71">
        <f>IF(BG$59="X","",IF(BG$59&lt;&gt;"",BG$59,IF(IFERROR(INDEX(醫師週班表!$C$5:$T$44,$CU35,BG$57),"")=0,"",IF(MID(IFERROR(INDEX(醫師週班表!$C$5:$T$44,$CU35,BG$57),""),2,1)="/",MID(IFERROR(INDEX(醫師週班表!$C$5:$T$44,$CU35,BG$57),""),1+BG$58*2,1),IF(MID(IFERROR(INDEX(醫師週班表!$C$5:$T$44,$CU35,BG$57),""),3,1)="隔",IF(BG$58=0,LEFT(IFERROR(INDEX(醫師週班表!$C$5:$T$44,$CU35,BG$57),""),1),""),IF(MID(IFERROR(INDEX(醫師週班表!$C$5:$T$44,$CU35,BG$57),""),2,1)="(",LEFT(IFERROR(INDEX(醫師週班表!$C$5:$T$44,$CU35,BG$57),""),1),IFERROR(INDEX(醫師週班表!$C$5:$T$44,$CU35,BG$57),"")))))))</f>
        <v/>
      </c>
      <c r="BH35" s="72">
        <f>IF(BH$59="X","",IF(BH$59&lt;&gt;"",BH$59,IF(IFERROR(INDEX(醫師週班表!$C$5:$T$44,$CU35,BH$57),"")=0,"",IF(MID(IFERROR(INDEX(醫師週班表!$C$5:$T$44,$CU35,BH$57),""),2,1)="/",MID(IFERROR(INDEX(醫師週班表!$C$5:$T$44,$CU35,BH$57),""),1+BH$58*2,1),IF(MID(IFERROR(INDEX(醫師週班表!$C$5:$T$44,$CU35,BH$57),""),3,1)="隔",IF(BH$58=0,LEFT(IFERROR(INDEX(醫師週班表!$C$5:$T$44,$CU35,BH$57),""),1),""),IF(MID(IFERROR(INDEX(醫師週班表!$C$5:$T$44,$CU35,BH$57),""),2,1)="(",LEFT(IFERROR(INDEX(醫師週班表!$C$5:$T$44,$CU35,BH$57),""),1),IFERROR(INDEX(醫師週班表!$C$5:$T$44,$CU35,BH$57),"")))))))</f>
        <v/>
      </c>
      <c r="BI35" s="72">
        <f>IF(BI$59="X","",IF(BI$59&lt;&gt;"",BI$59,IF(IFERROR(INDEX(醫師週班表!$C$5:$T$44,$CU35,BI$57),"")=0,"",IF(MID(IFERROR(INDEX(醫師週班表!$C$5:$T$44,$CU35,BI$57),""),2,1)="/",MID(IFERROR(INDEX(醫師週班表!$C$5:$T$44,$CU35,BI$57),""),1+BI$58*2,1),IF(MID(IFERROR(INDEX(醫師週班表!$C$5:$T$44,$CU35,BI$57),""),3,1)="隔",IF(BI$58=0,LEFT(IFERROR(INDEX(醫師週班表!$C$5:$T$44,$CU35,BI$57),""),1),""),IF(MID(IFERROR(INDEX(醫師週班表!$C$5:$T$44,$CU35,BI$57),""),2,1)="(",LEFT(IFERROR(INDEX(醫師週班表!$C$5:$T$44,$CU35,BI$57),""),1),IFERROR(INDEX(醫師週班表!$C$5:$T$44,$CU35,BI$57),"")))))))</f>
        <v/>
      </c>
      <c r="BJ35" s="71">
        <f>IF(BJ$59="X","",IF(BJ$59&lt;&gt;"",BJ$59,IF(IFERROR(INDEX(醫師週班表!$C$5:$T$44,$CU35,BJ$57),"")=0,"",IF(MID(IFERROR(INDEX(醫師週班表!$C$5:$T$44,$CU35,BJ$57),""),2,1)="/",MID(IFERROR(INDEX(醫師週班表!$C$5:$T$44,$CU35,BJ$57),""),1+BJ$58*2,1),IF(MID(IFERROR(INDEX(醫師週班表!$C$5:$T$44,$CU35,BJ$57),""),3,1)="隔",IF(BJ$58=0,LEFT(IFERROR(INDEX(醫師週班表!$C$5:$T$44,$CU35,BJ$57),""),1),""),IF(MID(IFERROR(INDEX(醫師週班表!$C$5:$T$44,$CU35,BJ$57),""),2,1)="(",LEFT(IFERROR(INDEX(醫師週班表!$C$5:$T$44,$CU35,BJ$57),""),1),IFERROR(INDEX(醫師週班表!$C$5:$T$44,$CU35,BJ$57),"")))))))</f>
        <v/>
      </c>
      <c r="BK35" s="72">
        <f>IF(BK$59="X","",IF(BK$59&lt;&gt;"",BK$59,IF(IFERROR(INDEX(醫師週班表!$C$5:$T$44,$CU35,BK$57),"")=0,"",IF(MID(IFERROR(INDEX(醫師週班表!$C$5:$T$44,$CU35,BK$57),""),2,1)="/",MID(IFERROR(INDEX(醫師週班表!$C$5:$T$44,$CU35,BK$57),""),1+BK$58*2,1),IF(MID(IFERROR(INDEX(醫師週班表!$C$5:$T$44,$CU35,BK$57),""),3,1)="隔",IF(BK$58=0,LEFT(IFERROR(INDEX(醫師週班表!$C$5:$T$44,$CU35,BK$57),""),1),""),IF(MID(IFERROR(INDEX(醫師週班表!$C$5:$T$44,$CU35,BK$57),""),2,1)="(",LEFT(IFERROR(INDEX(醫師週班表!$C$5:$T$44,$CU35,BK$57),""),1),IFERROR(INDEX(醫師週班表!$C$5:$T$44,$CU35,BK$57),"")))))))</f>
        <v/>
      </c>
      <c r="BL35" s="72">
        <f>IF(BL$59="X","",IF(BL$59&lt;&gt;"",BL$59,IF(IFERROR(INDEX(醫師週班表!$C$5:$T$44,$CU35,BL$57),"")=0,"",IF(MID(IFERROR(INDEX(醫師週班表!$C$5:$T$44,$CU35,BL$57),""),2,1)="/",MID(IFERROR(INDEX(醫師週班表!$C$5:$T$44,$CU35,BL$57),""),1+BL$58*2,1),IF(MID(IFERROR(INDEX(醫師週班表!$C$5:$T$44,$CU35,BL$57),""),3,1)="隔",IF(BL$58=0,LEFT(IFERROR(INDEX(醫師週班表!$C$5:$T$44,$CU35,BL$57),""),1),""),IF(MID(IFERROR(INDEX(醫師週班表!$C$5:$T$44,$CU35,BL$57),""),2,1)="(",LEFT(IFERROR(INDEX(醫師週班表!$C$5:$T$44,$CU35,BL$57),""),1),IFERROR(INDEX(醫師週班表!$C$5:$T$44,$CU35,BL$57),"")))))))</f>
        <v/>
      </c>
      <c r="BM35" s="71">
        <f>IF(BM$59="X","",IF(BM$59&lt;&gt;"",BM$59,IF(IFERROR(INDEX(醫師週班表!$C$5:$T$44,$CU35,BM$57),"")=0,"",IF(MID(IFERROR(INDEX(醫師週班表!$C$5:$T$44,$CU35,BM$57),""),2,1)="/",MID(IFERROR(INDEX(醫師週班表!$C$5:$T$44,$CU35,BM$57),""),1+BM$58*2,1),IF(MID(IFERROR(INDEX(醫師週班表!$C$5:$T$44,$CU35,BM$57),""),3,1)="隔",IF(BM$58=0,LEFT(IFERROR(INDEX(醫師週班表!$C$5:$T$44,$CU35,BM$57),""),1),""),IF(MID(IFERROR(INDEX(醫師週班表!$C$5:$T$44,$CU35,BM$57),""),2,1)="(",LEFT(IFERROR(INDEX(醫師週班表!$C$5:$T$44,$CU35,BM$57),""),1),IFERROR(INDEX(醫師週班表!$C$5:$T$44,$CU35,BM$57),"")))))))</f>
        <v/>
      </c>
      <c r="BN35" s="72">
        <f>IF(BN$59="X","",IF(BN$59&lt;&gt;"",BN$59,IF(IFERROR(INDEX(醫師週班表!$C$5:$T$44,$CU35,BN$57),"")=0,"",IF(MID(IFERROR(INDEX(醫師週班表!$C$5:$T$44,$CU35,BN$57),""),2,1)="/",MID(IFERROR(INDEX(醫師週班表!$C$5:$T$44,$CU35,BN$57),""),1+BN$58*2,1),IF(MID(IFERROR(INDEX(醫師週班表!$C$5:$T$44,$CU35,BN$57),""),3,1)="隔",IF(BN$58=0,LEFT(IFERROR(INDEX(醫師週班表!$C$5:$T$44,$CU35,BN$57),""),1),""),IF(MID(IFERROR(INDEX(醫師週班表!$C$5:$T$44,$CU35,BN$57),""),2,1)="(",LEFT(IFERROR(INDEX(醫師週班表!$C$5:$T$44,$CU35,BN$57),""),1),IFERROR(INDEX(醫師週班表!$C$5:$T$44,$CU35,BN$57),"")))))))</f>
        <v/>
      </c>
      <c r="BO35" s="72">
        <f>IF(BO$59="X","",IF(BO$59&lt;&gt;"",BO$59,IF(IFERROR(INDEX(醫師週班表!$C$5:$T$44,$CU35,BO$57),"")=0,"",IF(MID(IFERROR(INDEX(醫師週班表!$C$5:$T$44,$CU35,BO$57),""),2,1)="/",MID(IFERROR(INDEX(醫師週班表!$C$5:$T$44,$CU35,BO$57),""),1+BO$58*2,1),IF(MID(IFERROR(INDEX(醫師週班表!$C$5:$T$44,$CU35,BO$57),""),3,1)="隔",IF(BO$58=0,LEFT(IFERROR(INDEX(醫師週班表!$C$5:$T$44,$CU35,BO$57),""),1),""),IF(MID(IFERROR(INDEX(醫師週班表!$C$5:$T$44,$CU35,BO$57),""),2,1)="(",LEFT(IFERROR(INDEX(醫師週班表!$C$5:$T$44,$CU35,BO$57),""),1),IFERROR(INDEX(醫師週班表!$C$5:$T$44,$CU35,BO$57),"")))))))</f>
        <v/>
      </c>
      <c r="BP35" s="71">
        <f>IF(BP$59="X","",IF(BP$59&lt;&gt;"",BP$59,IF(IFERROR(INDEX(醫師週班表!$C$5:$T$44,$CU35,BP$57),"")=0,"",IF(MID(IFERROR(INDEX(醫師週班表!$C$5:$T$44,$CU35,BP$57),""),2,1)="/",MID(IFERROR(INDEX(醫師週班表!$C$5:$T$44,$CU35,BP$57),""),1+BP$58*2,1),IF(MID(IFERROR(INDEX(醫師週班表!$C$5:$T$44,$CU35,BP$57),""),3,1)="隔",IF(BP$58=0,LEFT(IFERROR(INDEX(醫師週班表!$C$5:$T$44,$CU35,BP$57),""),1),""),IF(MID(IFERROR(INDEX(醫師週班表!$C$5:$T$44,$CU35,BP$57),""),2,1)="(",LEFT(IFERROR(INDEX(醫師週班表!$C$5:$T$44,$CU35,BP$57),""),1),IFERROR(INDEX(醫師週班表!$C$5:$T$44,$CU35,BP$57),"")))))))</f>
        <v/>
      </c>
      <c r="BQ35" s="72">
        <f>IF(BQ$59="X","",IF(BQ$59&lt;&gt;"",BQ$59,IF(IFERROR(INDEX(醫師週班表!$C$5:$T$44,$CU35,BQ$57),"")=0,"",IF(MID(IFERROR(INDEX(醫師週班表!$C$5:$T$44,$CU35,BQ$57),""),2,1)="/",MID(IFERROR(INDEX(醫師週班表!$C$5:$T$44,$CU35,BQ$57),""),1+BQ$58*2,1),IF(MID(IFERROR(INDEX(醫師週班表!$C$5:$T$44,$CU35,BQ$57),""),3,1)="隔",IF(BQ$58=0,LEFT(IFERROR(INDEX(醫師週班表!$C$5:$T$44,$CU35,BQ$57),""),1),""),IF(MID(IFERROR(INDEX(醫師週班表!$C$5:$T$44,$CU35,BQ$57),""),2,1)="(",LEFT(IFERROR(INDEX(醫師週班表!$C$5:$T$44,$CU35,BQ$57),""),1),IFERROR(INDEX(醫師週班表!$C$5:$T$44,$CU35,BQ$57),"")))))))</f>
        <v/>
      </c>
      <c r="BR35" s="72">
        <f>IF(BR$59="X","",IF(BR$59&lt;&gt;"",BR$59,IF(IFERROR(INDEX(醫師週班表!$C$5:$T$44,$CU35,BR$57),"")=0,"",IF(MID(IFERROR(INDEX(醫師週班表!$C$5:$T$44,$CU35,BR$57),""),2,1)="/",MID(IFERROR(INDEX(醫師週班表!$C$5:$T$44,$CU35,BR$57),""),1+BR$58*2,1),IF(MID(IFERROR(INDEX(醫師週班表!$C$5:$T$44,$CU35,BR$57),""),3,1)="隔",IF(BR$58=0,LEFT(IFERROR(INDEX(醫師週班表!$C$5:$T$44,$CU35,BR$57),""),1),""),IF(MID(IFERROR(INDEX(醫師週班表!$C$5:$T$44,$CU35,BR$57),""),2,1)="(",LEFT(IFERROR(INDEX(醫師週班表!$C$5:$T$44,$CU35,BR$57),""),1),IFERROR(INDEX(醫師週班表!$C$5:$T$44,$CU35,BR$57),"")))))))</f>
        <v/>
      </c>
      <c r="BS35" s="71">
        <f>IF(BS$59="X","",IF(BS$59&lt;&gt;"",BS$59,IF(IFERROR(INDEX(醫師週班表!$C$5:$T$44,$CU35,BS$57),"")=0,"",IF(MID(IFERROR(INDEX(醫師週班表!$C$5:$T$44,$CU35,BS$57),""),2,1)="/",MID(IFERROR(INDEX(醫師週班表!$C$5:$T$44,$CU35,BS$57),""),1+BS$58*2,1),IF(MID(IFERROR(INDEX(醫師週班表!$C$5:$T$44,$CU35,BS$57),""),3,1)="隔",IF(BS$58=0,LEFT(IFERROR(INDEX(醫師週班表!$C$5:$T$44,$CU35,BS$57),""),1),""),IF(MID(IFERROR(INDEX(醫師週班表!$C$5:$T$44,$CU35,BS$57),""),2,1)="(",LEFT(IFERROR(INDEX(醫師週班表!$C$5:$T$44,$CU35,BS$57),""),1),IFERROR(INDEX(醫師週班表!$C$5:$T$44,$CU35,BS$57),"")))))))</f>
        <v/>
      </c>
      <c r="BT35" s="72">
        <f>IF(BT$59="X","",IF(BT$59&lt;&gt;"",BT$59,IF(IFERROR(INDEX(醫師週班表!$C$5:$T$44,$CU35,BT$57),"")=0,"",IF(MID(IFERROR(INDEX(醫師週班表!$C$5:$T$44,$CU35,BT$57),""),2,1)="/",MID(IFERROR(INDEX(醫師週班表!$C$5:$T$44,$CU35,BT$57),""),1+BT$58*2,1),IF(MID(IFERROR(INDEX(醫師週班表!$C$5:$T$44,$CU35,BT$57),""),3,1)="隔",IF(BT$58=0,LEFT(IFERROR(INDEX(醫師週班表!$C$5:$T$44,$CU35,BT$57),""),1),""),IF(MID(IFERROR(INDEX(醫師週班表!$C$5:$T$44,$CU35,BT$57),""),2,1)="(",LEFT(IFERROR(INDEX(醫師週班表!$C$5:$T$44,$CU35,BT$57),""),1),IFERROR(INDEX(醫師週班表!$C$5:$T$44,$CU35,BT$57),"")))))))</f>
        <v/>
      </c>
      <c r="BU35" s="72">
        <f>IF(BU$59="X","",IF(BU$59&lt;&gt;"",BU$59,IF(IFERROR(INDEX(醫師週班表!$C$5:$T$44,$CU35,BU$57),"")=0,"",IF(MID(IFERROR(INDEX(醫師週班表!$C$5:$T$44,$CU35,BU$57),""),2,1)="/",MID(IFERROR(INDEX(醫師週班表!$C$5:$T$44,$CU35,BU$57),""),1+BU$58*2,1),IF(MID(IFERROR(INDEX(醫師週班表!$C$5:$T$44,$CU35,BU$57),""),3,1)="隔",IF(BU$58=0,LEFT(IFERROR(INDEX(醫師週班表!$C$5:$T$44,$CU35,BU$57),""),1),""),IF(MID(IFERROR(INDEX(醫師週班表!$C$5:$T$44,$CU35,BU$57),""),2,1)="(",LEFT(IFERROR(INDEX(醫師週班表!$C$5:$T$44,$CU35,BU$57),""),1),IFERROR(INDEX(醫師週班表!$C$5:$T$44,$CU35,BU$57),"")))))))</f>
        <v/>
      </c>
      <c r="BV35" s="71">
        <f>IF(BV$59="X","",IF(BV$59&lt;&gt;"",BV$59,IF(IFERROR(INDEX(醫師週班表!$C$5:$T$44,$CU35,BV$57),"")=0,"",IF(MID(IFERROR(INDEX(醫師週班表!$C$5:$T$44,$CU35,BV$57),""),2,1)="/",MID(IFERROR(INDEX(醫師週班表!$C$5:$T$44,$CU35,BV$57),""),1+BV$58*2,1),IF(MID(IFERROR(INDEX(醫師週班表!$C$5:$T$44,$CU35,BV$57),""),3,1)="隔",IF(BV$58=0,LEFT(IFERROR(INDEX(醫師週班表!$C$5:$T$44,$CU35,BV$57),""),1),""),IF(MID(IFERROR(INDEX(醫師週班表!$C$5:$T$44,$CU35,BV$57),""),2,1)="(",LEFT(IFERROR(INDEX(醫師週班表!$C$5:$T$44,$CU35,BV$57),""),1),IFERROR(INDEX(醫師週班表!$C$5:$T$44,$CU35,BV$57),"")))))))</f>
        <v/>
      </c>
      <c r="BW35" s="72">
        <f>IF(BW$59="X","",IF(BW$59&lt;&gt;"",BW$59,IF(IFERROR(INDEX(醫師週班表!$C$5:$T$44,$CU35,BW$57),"")=0,"",IF(MID(IFERROR(INDEX(醫師週班表!$C$5:$T$44,$CU35,BW$57),""),2,1)="/",MID(IFERROR(INDEX(醫師週班表!$C$5:$T$44,$CU35,BW$57),""),1+BW$58*2,1),IF(MID(IFERROR(INDEX(醫師週班表!$C$5:$T$44,$CU35,BW$57),""),3,1)="隔",IF(BW$58=0,LEFT(IFERROR(INDEX(醫師週班表!$C$5:$T$44,$CU35,BW$57),""),1),""),IF(MID(IFERROR(INDEX(醫師週班表!$C$5:$T$44,$CU35,BW$57),""),2,1)="(",LEFT(IFERROR(INDEX(醫師週班表!$C$5:$T$44,$CU35,BW$57),""),1),IFERROR(INDEX(醫師週班表!$C$5:$T$44,$CU35,BW$57),"")))))))</f>
        <v/>
      </c>
      <c r="BX35" s="72">
        <f>IF(BX$59="X","",IF(BX$59&lt;&gt;"",BX$59,IF(IFERROR(INDEX(醫師週班表!$C$5:$T$44,$CU35,BX$57),"")=0,"",IF(MID(IFERROR(INDEX(醫師週班表!$C$5:$T$44,$CU35,BX$57),""),2,1)="/",MID(IFERROR(INDEX(醫師週班表!$C$5:$T$44,$CU35,BX$57),""),1+BX$58*2,1),IF(MID(IFERROR(INDEX(醫師週班表!$C$5:$T$44,$CU35,BX$57),""),3,1)="隔",IF(BX$58=0,LEFT(IFERROR(INDEX(醫師週班表!$C$5:$T$44,$CU35,BX$57),""),1),""),IF(MID(IFERROR(INDEX(醫師週班表!$C$5:$T$44,$CU35,BX$57),""),2,1)="(",LEFT(IFERROR(INDEX(醫師週班表!$C$5:$T$44,$CU35,BX$57),""),1),IFERROR(INDEX(醫師週班表!$C$5:$T$44,$CU35,BX$57),"")))))))</f>
        <v/>
      </c>
      <c r="BY35" s="71">
        <f>IF(BY$59="X","",IF(BY$59&lt;&gt;"",BY$59,IF(IFERROR(INDEX(醫師週班表!$C$5:$T$44,$CU35,BY$57),"")=0,"",IF(MID(IFERROR(INDEX(醫師週班表!$C$5:$T$44,$CU35,BY$57),""),2,1)="/",MID(IFERROR(INDEX(醫師週班表!$C$5:$T$44,$CU35,BY$57),""),1+BY$58*2,1),IF(MID(IFERROR(INDEX(醫師週班表!$C$5:$T$44,$CU35,BY$57),""),3,1)="隔",IF(BY$58=0,LEFT(IFERROR(INDEX(醫師週班表!$C$5:$T$44,$CU35,BY$57),""),1),""),IF(MID(IFERROR(INDEX(醫師週班表!$C$5:$T$44,$CU35,BY$57),""),2,1)="(",LEFT(IFERROR(INDEX(醫師週班表!$C$5:$T$44,$CU35,BY$57),""),1),IFERROR(INDEX(醫師週班表!$C$5:$T$44,$CU35,BY$57),"")))))))</f>
        <v/>
      </c>
      <c r="BZ35" s="72">
        <f>IF(BZ$59="X","",IF(BZ$59&lt;&gt;"",BZ$59,IF(IFERROR(INDEX(醫師週班表!$C$5:$T$44,$CU35,BZ$57),"")=0,"",IF(MID(IFERROR(INDEX(醫師週班表!$C$5:$T$44,$CU35,BZ$57),""),2,1)="/",MID(IFERROR(INDEX(醫師週班表!$C$5:$T$44,$CU35,BZ$57),""),1+BZ$58*2,1),IF(MID(IFERROR(INDEX(醫師週班表!$C$5:$T$44,$CU35,BZ$57),""),3,1)="隔",IF(BZ$58=0,LEFT(IFERROR(INDEX(醫師週班表!$C$5:$T$44,$CU35,BZ$57),""),1),""),IF(MID(IFERROR(INDEX(醫師週班表!$C$5:$T$44,$CU35,BZ$57),""),2,1)="(",LEFT(IFERROR(INDEX(醫師週班表!$C$5:$T$44,$CU35,BZ$57),""),1),IFERROR(INDEX(醫師週班表!$C$5:$T$44,$CU35,BZ$57),"")))))))</f>
        <v/>
      </c>
      <c r="CA35" s="72">
        <f>IF(CA$59="X","",IF(CA$59&lt;&gt;"",CA$59,IF(IFERROR(INDEX(醫師週班表!$C$5:$T$44,$CU35,CA$57),"")=0,"",IF(MID(IFERROR(INDEX(醫師週班表!$C$5:$T$44,$CU35,CA$57),""),2,1)="/",MID(IFERROR(INDEX(醫師週班表!$C$5:$T$44,$CU35,CA$57),""),1+CA$58*2,1),IF(MID(IFERROR(INDEX(醫師週班表!$C$5:$T$44,$CU35,CA$57),""),3,1)="隔",IF(CA$58=0,LEFT(IFERROR(INDEX(醫師週班表!$C$5:$T$44,$CU35,CA$57),""),1),""),IF(MID(IFERROR(INDEX(醫師週班表!$C$5:$T$44,$CU35,CA$57),""),2,1)="(",LEFT(IFERROR(INDEX(醫師週班表!$C$5:$T$44,$CU35,CA$57),""),1),IFERROR(INDEX(醫師週班表!$C$5:$T$44,$CU35,CA$57),"")))))))</f>
        <v/>
      </c>
      <c r="CB35" s="71">
        <f>IF(CB$59="X","",IF(CB$59&lt;&gt;"",CB$59,IF(IFERROR(INDEX(醫師週班表!$C$5:$T$44,$CU35,CB$57),"")=0,"",IF(MID(IFERROR(INDEX(醫師週班表!$C$5:$T$44,$CU35,CB$57),""),2,1)="/",MID(IFERROR(INDEX(醫師週班表!$C$5:$T$44,$CU35,CB$57),""),1+CB$58*2,1),IF(MID(IFERROR(INDEX(醫師週班表!$C$5:$T$44,$CU35,CB$57),""),3,1)="隔",IF(CB$58=0,LEFT(IFERROR(INDEX(醫師週班表!$C$5:$T$44,$CU35,CB$57),""),1),""),IF(MID(IFERROR(INDEX(醫師週班表!$C$5:$T$44,$CU35,CB$57),""),2,1)="(",LEFT(IFERROR(INDEX(醫師週班表!$C$5:$T$44,$CU35,CB$57),""),1),IFERROR(INDEX(醫師週班表!$C$5:$T$44,$CU35,CB$57),"")))))))</f>
        <v/>
      </c>
      <c r="CC35" s="72">
        <f>IF(CC$59="X","",IF(CC$59&lt;&gt;"",CC$59,IF(IFERROR(INDEX(醫師週班表!$C$5:$T$44,$CU35,CC$57),"")=0,"",IF(MID(IFERROR(INDEX(醫師週班表!$C$5:$T$44,$CU35,CC$57),""),2,1)="/",MID(IFERROR(INDEX(醫師週班表!$C$5:$T$44,$CU35,CC$57),""),1+CC$58*2,1),IF(MID(IFERROR(INDEX(醫師週班表!$C$5:$T$44,$CU35,CC$57),""),3,1)="隔",IF(CC$58=0,LEFT(IFERROR(INDEX(醫師週班表!$C$5:$T$44,$CU35,CC$57),""),1),""),IF(MID(IFERROR(INDEX(醫師週班表!$C$5:$T$44,$CU35,CC$57),""),2,1)="(",LEFT(IFERROR(INDEX(醫師週班表!$C$5:$T$44,$CU35,CC$57),""),1),IFERROR(INDEX(醫師週班表!$C$5:$T$44,$CU35,CC$57),"")))))))</f>
        <v/>
      </c>
      <c r="CD35" s="72">
        <f>IF(CD$59="X","",IF(CD$59&lt;&gt;"",CD$59,IF(IFERROR(INDEX(醫師週班表!$C$5:$T$44,$CU35,CD$57),"")=0,"",IF(MID(IFERROR(INDEX(醫師週班表!$C$5:$T$44,$CU35,CD$57),""),2,1)="/",MID(IFERROR(INDEX(醫師週班表!$C$5:$T$44,$CU35,CD$57),""),1+CD$58*2,1),IF(MID(IFERROR(INDEX(醫師週班表!$C$5:$T$44,$CU35,CD$57),""),3,1)="隔",IF(CD$58=0,LEFT(IFERROR(INDEX(醫師週班表!$C$5:$T$44,$CU35,CD$57),""),1),""),IF(MID(IFERROR(INDEX(醫師週班表!$C$5:$T$44,$CU35,CD$57),""),2,1)="(",LEFT(IFERROR(INDEX(醫師週班表!$C$5:$T$44,$CU35,CD$57),""),1),IFERROR(INDEX(醫師週班表!$C$5:$T$44,$CU35,CD$57),"")))))))</f>
        <v/>
      </c>
      <c r="CE35" s="71">
        <f>IF(CE$59="X","",IF(CE$59&lt;&gt;"",CE$59,IF(IFERROR(INDEX(醫師週班表!$C$5:$T$44,$CU35,CE$57),"")=0,"",IF(MID(IFERROR(INDEX(醫師週班表!$C$5:$T$44,$CU35,CE$57),""),2,1)="/",MID(IFERROR(INDEX(醫師週班表!$C$5:$T$44,$CU35,CE$57),""),1+CE$58*2,1),IF(MID(IFERROR(INDEX(醫師週班表!$C$5:$T$44,$CU35,CE$57),""),3,1)="隔",IF(CE$58=0,LEFT(IFERROR(INDEX(醫師週班表!$C$5:$T$44,$CU35,CE$57),""),1),""),IF(MID(IFERROR(INDEX(醫師週班表!$C$5:$T$44,$CU35,CE$57),""),2,1)="(",LEFT(IFERROR(INDEX(醫師週班表!$C$5:$T$44,$CU35,CE$57),""),1),IFERROR(INDEX(醫師週班表!$C$5:$T$44,$CU35,CE$57),"")))))))</f>
        <v/>
      </c>
      <c r="CF35" s="72">
        <f>IF(CF$59="X","",IF(CF$59&lt;&gt;"",CF$59,IF(IFERROR(INDEX(醫師週班表!$C$5:$T$44,$CU35,CF$57),"")=0,"",IF(MID(IFERROR(INDEX(醫師週班表!$C$5:$T$44,$CU35,CF$57),""),2,1)="/",MID(IFERROR(INDEX(醫師週班表!$C$5:$T$44,$CU35,CF$57),""),1+CF$58*2,1),IF(MID(IFERROR(INDEX(醫師週班表!$C$5:$T$44,$CU35,CF$57),""),3,1)="隔",IF(CF$58=0,LEFT(IFERROR(INDEX(醫師週班表!$C$5:$T$44,$CU35,CF$57),""),1),""),IF(MID(IFERROR(INDEX(醫師週班表!$C$5:$T$44,$CU35,CF$57),""),2,1)="(",LEFT(IFERROR(INDEX(醫師週班表!$C$5:$T$44,$CU35,CF$57),""),1),IFERROR(INDEX(醫師週班表!$C$5:$T$44,$CU35,CF$57),"")))))))</f>
        <v/>
      </c>
      <c r="CG35" s="72">
        <f>IF(CG$59="X","",IF(CG$59&lt;&gt;"",CG$59,IF(IFERROR(INDEX(醫師週班表!$C$5:$T$44,$CU35,CG$57),"")=0,"",IF(MID(IFERROR(INDEX(醫師週班表!$C$5:$T$44,$CU35,CG$57),""),2,1)="/",MID(IFERROR(INDEX(醫師週班表!$C$5:$T$44,$CU35,CG$57),""),1+CG$58*2,1),IF(MID(IFERROR(INDEX(醫師週班表!$C$5:$T$44,$CU35,CG$57),""),3,1)="隔",IF(CG$58=0,LEFT(IFERROR(INDEX(醫師週班表!$C$5:$T$44,$CU35,CG$57),""),1),""),IF(MID(IFERROR(INDEX(醫師週班表!$C$5:$T$44,$CU35,CG$57),""),2,1)="(",LEFT(IFERROR(INDEX(醫師週班表!$C$5:$T$44,$CU35,CG$57),""),1),IFERROR(INDEX(醫師週班表!$C$5:$T$44,$CU35,CG$57),"")))))))</f>
        <v/>
      </c>
      <c r="CH35" s="71">
        <f>IF(CH$59="X","",IF(CH$59&lt;&gt;"",CH$59,IF(IFERROR(INDEX(醫師週班表!$C$5:$T$44,$CU35,CH$57),"")=0,"",IF(MID(IFERROR(INDEX(醫師週班表!$C$5:$T$44,$CU35,CH$57),""),2,1)="/",MID(IFERROR(INDEX(醫師週班表!$C$5:$T$44,$CU35,CH$57),""),1+CH$58*2,1),IF(MID(IFERROR(INDEX(醫師週班表!$C$5:$T$44,$CU35,CH$57),""),3,1)="隔",IF(CH$58=0,LEFT(IFERROR(INDEX(醫師週班表!$C$5:$T$44,$CU35,CH$57),""),1),""),IF(MID(IFERROR(INDEX(醫師週班表!$C$5:$T$44,$CU35,CH$57),""),2,1)="(",LEFT(IFERROR(INDEX(醫師週班表!$C$5:$T$44,$CU35,CH$57),""),1),IFERROR(INDEX(醫師週班表!$C$5:$T$44,$CU35,CH$57),"")))))))</f>
        <v/>
      </c>
      <c r="CI35" s="72">
        <f>IF(CI$59="X","",IF(CI$59&lt;&gt;"",CI$59,IF(IFERROR(INDEX(醫師週班表!$C$5:$T$44,$CU35,CI$57),"")=0,"",IF(MID(IFERROR(INDEX(醫師週班表!$C$5:$T$44,$CU35,CI$57),""),2,1)="/",MID(IFERROR(INDEX(醫師週班表!$C$5:$T$44,$CU35,CI$57),""),1+CI$58*2,1),IF(MID(IFERROR(INDEX(醫師週班表!$C$5:$T$44,$CU35,CI$57),""),3,1)="隔",IF(CI$58=0,LEFT(IFERROR(INDEX(醫師週班表!$C$5:$T$44,$CU35,CI$57),""),1),""),IF(MID(IFERROR(INDEX(醫師週班表!$C$5:$T$44,$CU35,CI$57),""),2,1)="(",LEFT(IFERROR(INDEX(醫師週班表!$C$5:$T$44,$CU35,CI$57),""),1),IFERROR(INDEX(醫師週班表!$C$5:$T$44,$CU35,CI$57),"")))))))</f>
        <v/>
      </c>
      <c r="CJ35" s="72">
        <f>IF(CJ$59="X","",IF(CJ$59&lt;&gt;"",CJ$59,IF(IFERROR(INDEX(醫師週班表!$C$5:$T$44,$CU35,CJ$57),"")=0,"",IF(MID(IFERROR(INDEX(醫師週班表!$C$5:$T$44,$CU35,CJ$57),""),2,1)="/",MID(IFERROR(INDEX(醫師週班表!$C$5:$T$44,$CU35,CJ$57),""),1+CJ$58*2,1),IF(MID(IFERROR(INDEX(醫師週班表!$C$5:$T$44,$CU35,CJ$57),""),3,1)="隔",IF(CJ$58=0,LEFT(IFERROR(INDEX(醫師週班表!$C$5:$T$44,$CU35,CJ$57),""),1),""),IF(MID(IFERROR(INDEX(醫師週班表!$C$5:$T$44,$CU35,CJ$57),""),2,1)="(",LEFT(IFERROR(INDEX(醫師週班表!$C$5:$T$44,$CU35,CJ$57),""),1),IFERROR(INDEX(醫師週班表!$C$5:$T$44,$CU35,CJ$57),"")))))))</f>
        <v/>
      </c>
      <c r="CK35" s="71">
        <f>IF(CK$59="X","",IF(CK$59&lt;&gt;"",CK$59,IF(IFERROR(INDEX(醫師週班表!$C$5:$T$44,$CU35,CK$57),"")=0,"",IF(MID(IFERROR(INDEX(醫師週班表!$C$5:$T$44,$CU35,CK$57),""),2,1)="/",MID(IFERROR(INDEX(醫師週班表!$C$5:$T$44,$CU35,CK$57),""),1+CK$58*2,1),IF(MID(IFERROR(INDEX(醫師週班表!$C$5:$T$44,$CU35,CK$57),""),3,1)="隔",IF(CK$58=0,LEFT(IFERROR(INDEX(醫師週班表!$C$5:$T$44,$CU35,CK$57),""),1),""),IF(MID(IFERROR(INDEX(醫師週班表!$C$5:$T$44,$CU35,CK$57),""),2,1)="(",LEFT(IFERROR(INDEX(醫師週班表!$C$5:$T$44,$CU35,CK$57),""),1),IFERROR(INDEX(醫師週班表!$C$5:$T$44,$CU35,CK$57),"")))))))</f>
        <v/>
      </c>
      <c r="CL35" s="72">
        <f>IF(CL$59="X","",IF(CL$59&lt;&gt;"",CL$59,IF(IFERROR(INDEX(醫師週班表!$C$5:$T$44,$CU35,CL$57),"")=0,"",IF(MID(IFERROR(INDEX(醫師週班表!$C$5:$T$44,$CU35,CL$57),""),2,1)="/",MID(IFERROR(INDEX(醫師週班表!$C$5:$T$44,$CU35,CL$57),""),1+CL$58*2,1),IF(MID(IFERROR(INDEX(醫師週班表!$C$5:$T$44,$CU35,CL$57),""),3,1)="隔",IF(CL$58=0,LEFT(IFERROR(INDEX(醫師週班表!$C$5:$T$44,$CU35,CL$57),""),1),""),IF(MID(IFERROR(INDEX(醫師週班表!$C$5:$T$44,$CU35,CL$57),""),2,1)="(",LEFT(IFERROR(INDEX(醫師週班表!$C$5:$T$44,$CU35,CL$57),""),1),IFERROR(INDEX(醫師週班表!$C$5:$T$44,$CU35,CL$57),"")))))))</f>
        <v/>
      </c>
      <c r="CM35" s="72">
        <f>IF(CM$59="X","",IF(CM$59&lt;&gt;"",CM$59,IF(IFERROR(INDEX(醫師週班表!$C$5:$T$44,$CU35,CM$57),"")=0,"",IF(MID(IFERROR(INDEX(醫師週班表!$C$5:$T$44,$CU35,CM$57),""),2,1)="/",MID(IFERROR(INDEX(醫師週班表!$C$5:$T$44,$CU35,CM$57),""),1+CM$58*2,1),IF(MID(IFERROR(INDEX(醫師週班表!$C$5:$T$44,$CU35,CM$57),""),3,1)="隔",IF(CM$58=0,LEFT(IFERROR(INDEX(醫師週班表!$C$5:$T$44,$CU35,CM$57),""),1),""),IF(MID(IFERROR(INDEX(醫師週班表!$C$5:$T$44,$CU35,CM$57),""),2,1)="(",LEFT(IFERROR(INDEX(醫師週班表!$C$5:$T$44,$CU35,CM$57),""),1),IFERROR(INDEX(醫師週班表!$C$5:$T$44,$CU35,CM$57),"")))))))</f>
        <v/>
      </c>
      <c r="CN35" s="71">
        <f>IF(CN$59="X","",IF(CN$59&lt;&gt;"",CN$59,IF(IFERROR(INDEX(醫師週班表!$C$5:$T$44,$CU35,CN$57),"")=0,"",IF(MID(IFERROR(INDEX(醫師週班表!$C$5:$T$44,$CU35,CN$57),""),2,1)="/",MID(IFERROR(INDEX(醫師週班表!$C$5:$T$44,$CU35,CN$57),""),1+CN$58*2,1),IF(MID(IFERROR(INDEX(醫師週班表!$C$5:$T$44,$CU35,CN$57),""),3,1)="隔",IF(CN$58=0,LEFT(IFERROR(INDEX(醫師週班表!$C$5:$T$44,$CU35,CN$57),""),1),""),IF(MID(IFERROR(INDEX(醫師週班表!$C$5:$T$44,$CU35,CN$57),""),2,1)="(",LEFT(IFERROR(INDEX(醫師週班表!$C$5:$T$44,$CU35,CN$57),""),1),IFERROR(INDEX(醫師週班表!$C$5:$T$44,$CU35,CN$57),"")))))))</f>
        <v/>
      </c>
      <c r="CO35" s="72">
        <f>IF(CO$59="X","",IF(CO$59&lt;&gt;"",CO$59,IF(IFERROR(INDEX(醫師週班表!$C$5:$T$44,$CU35,CO$57),"")=0,"",IF(MID(IFERROR(INDEX(醫師週班表!$C$5:$T$44,$CU35,CO$57),""),2,1)="/",MID(IFERROR(INDEX(醫師週班表!$C$5:$T$44,$CU35,CO$57),""),1+CO$58*2,1),IF(MID(IFERROR(INDEX(醫師週班表!$C$5:$T$44,$CU35,CO$57),""),3,1)="隔",IF(CO$58=0,LEFT(IFERROR(INDEX(醫師週班表!$C$5:$T$44,$CU35,CO$57),""),1),""),IF(MID(IFERROR(INDEX(醫師週班表!$C$5:$T$44,$CU35,CO$57),""),2,1)="(",LEFT(IFERROR(INDEX(醫師週班表!$C$5:$T$44,$CU35,CO$57),""),1),IFERROR(INDEX(醫師週班表!$C$5:$T$44,$CU35,CO$57),"")))))))</f>
        <v/>
      </c>
      <c r="CP35" s="72">
        <f>IF(CP$59="X","",IF(CP$59&lt;&gt;"",CP$59,IF(IFERROR(INDEX(醫師週班表!$C$5:$T$44,$CU35,CP$57),"")=0,"",IF(MID(IFERROR(INDEX(醫師週班表!$C$5:$T$44,$CU35,CP$57),""),2,1)="/",MID(IFERROR(INDEX(醫師週班表!$C$5:$T$44,$CU35,CP$57),""),1+CP$58*2,1),IF(MID(IFERROR(INDEX(醫師週班表!$C$5:$T$44,$CU35,CP$57),""),3,1)="隔",IF(CP$58=0,LEFT(IFERROR(INDEX(醫師週班表!$C$5:$T$44,$CU35,CP$57),""),1),""),IF(MID(IFERROR(INDEX(醫師週班表!$C$5:$T$44,$CU35,CP$57),""),2,1)="(",LEFT(IFERROR(INDEX(醫師週班表!$C$5:$T$44,$CU35,CP$57),""),1),IFERROR(INDEX(醫師週班表!$C$5:$T$44,$CU35,CP$57),"")))))))</f>
        <v/>
      </c>
      <c r="CQ35" s="71">
        <f>IF(CQ$59="X","",IF(CQ$59&lt;&gt;"",CQ$59,IF(IFERROR(INDEX(醫師週班表!$C$5:$T$44,$CU35,CQ$57),"")=0,"",IF(MID(IFERROR(INDEX(醫師週班表!$C$5:$T$44,$CU35,CQ$57),""),2,1)="/",MID(IFERROR(INDEX(醫師週班表!$C$5:$T$44,$CU35,CQ$57),""),1+CQ$58*2,1),IF(MID(IFERROR(INDEX(醫師週班表!$C$5:$T$44,$CU35,CQ$57),""),3,1)="隔",IF(CQ$58=0,LEFT(IFERROR(INDEX(醫師週班表!$C$5:$T$44,$CU35,CQ$57),""),1),""),IF(MID(IFERROR(INDEX(醫師週班表!$C$5:$T$44,$CU35,CQ$57),""),2,1)="(",LEFT(IFERROR(INDEX(醫師週班表!$C$5:$T$44,$CU35,CQ$57),""),1),IFERROR(INDEX(醫師週班表!$C$5:$T$44,$CU35,CQ$57),"")))))))</f>
        <v/>
      </c>
      <c r="CR35" s="72">
        <f>IF(CR$59="X","",IF(CR$59&lt;&gt;"",CR$59,IF(IFERROR(INDEX(醫師週班表!$C$5:$T$44,$CU35,CR$57),"")=0,"",IF(MID(IFERROR(INDEX(醫師週班表!$C$5:$T$44,$CU35,CR$57),""),2,1)="/",MID(IFERROR(INDEX(醫師週班表!$C$5:$T$44,$CU35,CR$57),""),1+CR$58*2,1),IF(MID(IFERROR(INDEX(醫師週班表!$C$5:$T$44,$CU35,CR$57),""),3,1)="隔",IF(CR$58=0,LEFT(IFERROR(INDEX(醫師週班表!$C$5:$T$44,$CU35,CR$57),""),1),""),IF(MID(IFERROR(INDEX(醫師週班表!$C$5:$T$44,$CU35,CR$57),""),2,1)="(",LEFT(IFERROR(INDEX(醫師週班表!$C$5:$T$44,$CU35,CR$57),""),1),IFERROR(INDEX(醫師週班表!$C$5:$T$44,$CU35,CR$57),"")))))))</f>
        <v/>
      </c>
      <c r="CS35" s="72">
        <f>IF(CS$59="X","",IF(CS$59&lt;&gt;"",CS$59,IF(IFERROR(INDEX(醫師週班表!$C$5:$T$44,$CU35,CS$57),"")=0,"",IF(MID(IFERROR(INDEX(醫師週班表!$C$5:$T$44,$CU35,CS$57),""),2,1)="/",MID(IFERROR(INDEX(醫師週班表!$C$5:$T$44,$CU35,CS$57),""),1+CS$58*2,1),IF(MID(IFERROR(INDEX(醫師週班表!$C$5:$T$44,$CU35,CS$57),""),3,1)="隔",IF(CS$58=0,LEFT(IFERROR(INDEX(醫師週班表!$C$5:$T$44,$CU35,CS$57),""),1),""),IF(MID(IFERROR(INDEX(醫師週班表!$C$5:$T$44,$CU35,CS$57),""),2,1)="(",LEFT(IFERROR(INDEX(醫師週班表!$C$5:$T$44,$CU35,CS$57),""),1),IFERROR(INDEX(醫師週班表!$C$5:$T$44,$CU35,CS$57),"")))))))</f>
        <v/>
      </c>
      <c r="CU35" s="73">
        <f>IFERROR(MATCH($A35,醫師週班表!$A$5:$A$44,0),0)</f>
        <v/>
      </c>
    </row>
    <row r="36" ht="17" customHeight="1">
      <c r="A36" s="19" t="n"/>
      <c r="B36" s="16">
        <f>IFERROR(INDEX(設定!$C$64:$C$203,MATCH($A36,設定!$B$64:$B$203,0)),"")</f>
        <v/>
      </c>
      <c r="C36" s="70">
        <f>IFERROR(INDEX(設定!$E$64:$E$203,MATCH($A36,設定!$B$64:$B$203,0)),"")</f>
        <v/>
      </c>
      <c r="D36" s="16">
        <f>IFERROR(INDEX(設定!$F$64:$F$203,MATCH($A36,設定!$B$64:$B$203,0)),"")</f>
        <v/>
      </c>
      <c r="E36" s="71">
        <f>IF(E$59="X","",IF(E$59&lt;&gt;"",E$59,IF(IFERROR(INDEX(醫師週班表!$C$5:$T$44,$CU36,E$57),"")=0,"",IF(MID(IFERROR(INDEX(醫師週班表!$C$5:$T$44,$CU36,E$57),""),2,1)="/",MID(IFERROR(INDEX(醫師週班表!$C$5:$T$44,$CU36,E$57),""),1+E$58*2,1),IF(MID(IFERROR(INDEX(醫師週班表!$C$5:$T$44,$CU36,E$57),""),3,1)="隔",IF(E$58=0,LEFT(IFERROR(INDEX(醫師週班表!$C$5:$T$44,$CU36,E$57),""),1),""),IF(MID(IFERROR(INDEX(醫師週班表!$C$5:$T$44,$CU36,E$57),""),2,1)="(",LEFT(IFERROR(INDEX(醫師週班表!$C$5:$T$44,$CU36,E$57),""),1),IFERROR(INDEX(醫師週班表!$C$5:$T$44,$CU36,E$57),"")))))))</f>
        <v/>
      </c>
      <c r="F36" s="72">
        <f>IF(F$59="X","",IF(F$59&lt;&gt;"",F$59,IF(IFERROR(INDEX(醫師週班表!$C$5:$T$44,$CU36,F$57),"")=0,"",IF(MID(IFERROR(INDEX(醫師週班表!$C$5:$T$44,$CU36,F$57),""),2,1)="/",MID(IFERROR(INDEX(醫師週班表!$C$5:$T$44,$CU36,F$57),""),1+F$58*2,1),IF(MID(IFERROR(INDEX(醫師週班表!$C$5:$T$44,$CU36,F$57),""),3,1)="隔",IF(F$58=0,LEFT(IFERROR(INDEX(醫師週班表!$C$5:$T$44,$CU36,F$57),""),1),""),IF(MID(IFERROR(INDEX(醫師週班表!$C$5:$T$44,$CU36,F$57),""),2,1)="(",LEFT(IFERROR(INDEX(醫師週班表!$C$5:$T$44,$CU36,F$57),""),1),IFERROR(INDEX(醫師週班表!$C$5:$T$44,$CU36,F$57),"")))))))</f>
        <v/>
      </c>
      <c r="G36" s="72">
        <f>IF(G$59="X","",IF(G$59&lt;&gt;"",G$59,IF(IFERROR(INDEX(醫師週班表!$C$5:$T$44,$CU36,G$57),"")=0,"",IF(MID(IFERROR(INDEX(醫師週班表!$C$5:$T$44,$CU36,G$57),""),2,1)="/",MID(IFERROR(INDEX(醫師週班表!$C$5:$T$44,$CU36,G$57),""),1+G$58*2,1),IF(MID(IFERROR(INDEX(醫師週班表!$C$5:$T$44,$CU36,G$57),""),3,1)="隔",IF(G$58=0,LEFT(IFERROR(INDEX(醫師週班表!$C$5:$T$44,$CU36,G$57),""),1),""),IF(MID(IFERROR(INDEX(醫師週班表!$C$5:$T$44,$CU36,G$57),""),2,1)="(",LEFT(IFERROR(INDEX(醫師週班表!$C$5:$T$44,$CU36,G$57),""),1),IFERROR(INDEX(醫師週班表!$C$5:$T$44,$CU36,G$57),"")))))))</f>
        <v/>
      </c>
      <c r="H36" s="71">
        <f>IF(H$59="X","",IF(H$59&lt;&gt;"",H$59,IF(IFERROR(INDEX(醫師週班表!$C$5:$T$44,$CU36,H$57),"")=0,"",IF(MID(IFERROR(INDEX(醫師週班表!$C$5:$T$44,$CU36,H$57),""),2,1)="/",MID(IFERROR(INDEX(醫師週班表!$C$5:$T$44,$CU36,H$57),""),1+H$58*2,1),IF(MID(IFERROR(INDEX(醫師週班表!$C$5:$T$44,$CU36,H$57),""),3,1)="隔",IF(H$58=0,LEFT(IFERROR(INDEX(醫師週班表!$C$5:$T$44,$CU36,H$57),""),1),""),IF(MID(IFERROR(INDEX(醫師週班表!$C$5:$T$44,$CU36,H$57),""),2,1)="(",LEFT(IFERROR(INDEX(醫師週班表!$C$5:$T$44,$CU36,H$57),""),1),IFERROR(INDEX(醫師週班表!$C$5:$T$44,$CU36,H$57),"")))))))</f>
        <v/>
      </c>
      <c r="I36" s="72">
        <f>IF(I$59="X","",IF(I$59&lt;&gt;"",I$59,IF(IFERROR(INDEX(醫師週班表!$C$5:$T$44,$CU36,I$57),"")=0,"",IF(MID(IFERROR(INDEX(醫師週班表!$C$5:$T$44,$CU36,I$57),""),2,1)="/",MID(IFERROR(INDEX(醫師週班表!$C$5:$T$44,$CU36,I$57),""),1+I$58*2,1),IF(MID(IFERROR(INDEX(醫師週班表!$C$5:$T$44,$CU36,I$57),""),3,1)="隔",IF(I$58=0,LEFT(IFERROR(INDEX(醫師週班表!$C$5:$T$44,$CU36,I$57),""),1),""),IF(MID(IFERROR(INDEX(醫師週班表!$C$5:$T$44,$CU36,I$57),""),2,1)="(",LEFT(IFERROR(INDEX(醫師週班表!$C$5:$T$44,$CU36,I$57),""),1),IFERROR(INDEX(醫師週班表!$C$5:$T$44,$CU36,I$57),"")))))))</f>
        <v/>
      </c>
      <c r="J36" s="72">
        <f>IF(J$59="X","",IF(J$59&lt;&gt;"",J$59,IF(IFERROR(INDEX(醫師週班表!$C$5:$T$44,$CU36,J$57),"")=0,"",IF(MID(IFERROR(INDEX(醫師週班表!$C$5:$T$44,$CU36,J$57),""),2,1)="/",MID(IFERROR(INDEX(醫師週班表!$C$5:$T$44,$CU36,J$57),""),1+J$58*2,1),IF(MID(IFERROR(INDEX(醫師週班表!$C$5:$T$44,$CU36,J$57),""),3,1)="隔",IF(J$58=0,LEFT(IFERROR(INDEX(醫師週班表!$C$5:$T$44,$CU36,J$57),""),1),""),IF(MID(IFERROR(INDEX(醫師週班表!$C$5:$T$44,$CU36,J$57),""),2,1)="(",LEFT(IFERROR(INDEX(醫師週班表!$C$5:$T$44,$CU36,J$57),""),1),IFERROR(INDEX(醫師週班表!$C$5:$T$44,$CU36,J$57),"")))))))</f>
        <v/>
      </c>
      <c r="K36" s="71">
        <f>IF(K$59="X","",IF(K$59&lt;&gt;"",K$59,IF(IFERROR(INDEX(醫師週班表!$C$5:$T$44,$CU36,K$57),"")=0,"",IF(MID(IFERROR(INDEX(醫師週班表!$C$5:$T$44,$CU36,K$57),""),2,1)="/",MID(IFERROR(INDEX(醫師週班表!$C$5:$T$44,$CU36,K$57),""),1+K$58*2,1),IF(MID(IFERROR(INDEX(醫師週班表!$C$5:$T$44,$CU36,K$57),""),3,1)="隔",IF(K$58=0,LEFT(IFERROR(INDEX(醫師週班表!$C$5:$T$44,$CU36,K$57),""),1),""),IF(MID(IFERROR(INDEX(醫師週班表!$C$5:$T$44,$CU36,K$57),""),2,1)="(",LEFT(IFERROR(INDEX(醫師週班表!$C$5:$T$44,$CU36,K$57),""),1),IFERROR(INDEX(醫師週班表!$C$5:$T$44,$CU36,K$57),"")))))))</f>
        <v/>
      </c>
      <c r="L36" s="72">
        <f>IF(L$59="X","",IF(L$59&lt;&gt;"",L$59,IF(IFERROR(INDEX(醫師週班表!$C$5:$T$44,$CU36,L$57),"")=0,"",IF(MID(IFERROR(INDEX(醫師週班表!$C$5:$T$44,$CU36,L$57),""),2,1)="/",MID(IFERROR(INDEX(醫師週班表!$C$5:$T$44,$CU36,L$57),""),1+L$58*2,1),IF(MID(IFERROR(INDEX(醫師週班表!$C$5:$T$44,$CU36,L$57),""),3,1)="隔",IF(L$58=0,LEFT(IFERROR(INDEX(醫師週班表!$C$5:$T$44,$CU36,L$57),""),1),""),IF(MID(IFERROR(INDEX(醫師週班表!$C$5:$T$44,$CU36,L$57),""),2,1)="(",LEFT(IFERROR(INDEX(醫師週班表!$C$5:$T$44,$CU36,L$57),""),1),IFERROR(INDEX(醫師週班表!$C$5:$T$44,$CU36,L$57),"")))))))</f>
        <v/>
      </c>
      <c r="M36" s="72">
        <f>IF(M$59="X","",IF(M$59&lt;&gt;"",M$59,IF(IFERROR(INDEX(醫師週班表!$C$5:$T$44,$CU36,M$57),"")=0,"",IF(MID(IFERROR(INDEX(醫師週班表!$C$5:$T$44,$CU36,M$57),""),2,1)="/",MID(IFERROR(INDEX(醫師週班表!$C$5:$T$44,$CU36,M$57),""),1+M$58*2,1),IF(MID(IFERROR(INDEX(醫師週班表!$C$5:$T$44,$CU36,M$57),""),3,1)="隔",IF(M$58=0,LEFT(IFERROR(INDEX(醫師週班表!$C$5:$T$44,$CU36,M$57),""),1),""),IF(MID(IFERROR(INDEX(醫師週班表!$C$5:$T$44,$CU36,M$57),""),2,1)="(",LEFT(IFERROR(INDEX(醫師週班表!$C$5:$T$44,$CU36,M$57),""),1),IFERROR(INDEX(醫師週班表!$C$5:$T$44,$CU36,M$57),"")))))))</f>
        <v/>
      </c>
      <c r="N36" s="71">
        <f>IF(N$59="X","",IF(N$59&lt;&gt;"",N$59,IF(IFERROR(INDEX(醫師週班表!$C$5:$T$44,$CU36,N$57),"")=0,"",IF(MID(IFERROR(INDEX(醫師週班表!$C$5:$T$44,$CU36,N$57),""),2,1)="/",MID(IFERROR(INDEX(醫師週班表!$C$5:$T$44,$CU36,N$57),""),1+N$58*2,1),IF(MID(IFERROR(INDEX(醫師週班表!$C$5:$T$44,$CU36,N$57),""),3,1)="隔",IF(N$58=0,LEFT(IFERROR(INDEX(醫師週班表!$C$5:$T$44,$CU36,N$57),""),1),""),IF(MID(IFERROR(INDEX(醫師週班表!$C$5:$T$44,$CU36,N$57),""),2,1)="(",LEFT(IFERROR(INDEX(醫師週班表!$C$5:$T$44,$CU36,N$57),""),1),IFERROR(INDEX(醫師週班表!$C$5:$T$44,$CU36,N$57),"")))))))</f>
        <v/>
      </c>
      <c r="O36" s="72">
        <f>IF(O$59="X","",IF(O$59&lt;&gt;"",O$59,IF(IFERROR(INDEX(醫師週班表!$C$5:$T$44,$CU36,O$57),"")=0,"",IF(MID(IFERROR(INDEX(醫師週班表!$C$5:$T$44,$CU36,O$57),""),2,1)="/",MID(IFERROR(INDEX(醫師週班表!$C$5:$T$44,$CU36,O$57),""),1+O$58*2,1),IF(MID(IFERROR(INDEX(醫師週班表!$C$5:$T$44,$CU36,O$57),""),3,1)="隔",IF(O$58=0,LEFT(IFERROR(INDEX(醫師週班表!$C$5:$T$44,$CU36,O$57),""),1),""),IF(MID(IFERROR(INDEX(醫師週班表!$C$5:$T$44,$CU36,O$57),""),2,1)="(",LEFT(IFERROR(INDEX(醫師週班表!$C$5:$T$44,$CU36,O$57),""),1),IFERROR(INDEX(醫師週班表!$C$5:$T$44,$CU36,O$57),"")))))))</f>
        <v/>
      </c>
      <c r="P36" s="72">
        <f>IF(P$59="X","",IF(P$59&lt;&gt;"",P$59,IF(IFERROR(INDEX(醫師週班表!$C$5:$T$44,$CU36,P$57),"")=0,"",IF(MID(IFERROR(INDEX(醫師週班表!$C$5:$T$44,$CU36,P$57),""),2,1)="/",MID(IFERROR(INDEX(醫師週班表!$C$5:$T$44,$CU36,P$57),""),1+P$58*2,1),IF(MID(IFERROR(INDEX(醫師週班表!$C$5:$T$44,$CU36,P$57),""),3,1)="隔",IF(P$58=0,LEFT(IFERROR(INDEX(醫師週班表!$C$5:$T$44,$CU36,P$57),""),1),""),IF(MID(IFERROR(INDEX(醫師週班表!$C$5:$T$44,$CU36,P$57),""),2,1)="(",LEFT(IFERROR(INDEX(醫師週班表!$C$5:$T$44,$CU36,P$57),""),1),IFERROR(INDEX(醫師週班表!$C$5:$T$44,$CU36,P$57),"")))))))</f>
        <v/>
      </c>
      <c r="Q36" s="71">
        <f>IF(Q$59="X","",IF(Q$59&lt;&gt;"",Q$59,IF(IFERROR(INDEX(醫師週班表!$C$5:$T$44,$CU36,Q$57),"")=0,"",IF(MID(IFERROR(INDEX(醫師週班表!$C$5:$T$44,$CU36,Q$57),""),2,1)="/",MID(IFERROR(INDEX(醫師週班表!$C$5:$T$44,$CU36,Q$57),""),1+Q$58*2,1),IF(MID(IFERROR(INDEX(醫師週班表!$C$5:$T$44,$CU36,Q$57),""),3,1)="隔",IF(Q$58=0,LEFT(IFERROR(INDEX(醫師週班表!$C$5:$T$44,$CU36,Q$57),""),1),""),IF(MID(IFERROR(INDEX(醫師週班表!$C$5:$T$44,$CU36,Q$57),""),2,1)="(",LEFT(IFERROR(INDEX(醫師週班表!$C$5:$T$44,$CU36,Q$57),""),1),IFERROR(INDEX(醫師週班表!$C$5:$T$44,$CU36,Q$57),"")))))))</f>
        <v/>
      </c>
      <c r="R36" s="72">
        <f>IF(R$59="X","",IF(R$59&lt;&gt;"",R$59,IF(IFERROR(INDEX(醫師週班表!$C$5:$T$44,$CU36,R$57),"")=0,"",IF(MID(IFERROR(INDEX(醫師週班表!$C$5:$T$44,$CU36,R$57),""),2,1)="/",MID(IFERROR(INDEX(醫師週班表!$C$5:$T$44,$CU36,R$57),""),1+R$58*2,1),IF(MID(IFERROR(INDEX(醫師週班表!$C$5:$T$44,$CU36,R$57),""),3,1)="隔",IF(R$58=0,LEFT(IFERROR(INDEX(醫師週班表!$C$5:$T$44,$CU36,R$57),""),1),""),IF(MID(IFERROR(INDEX(醫師週班表!$C$5:$T$44,$CU36,R$57),""),2,1)="(",LEFT(IFERROR(INDEX(醫師週班表!$C$5:$T$44,$CU36,R$57),""),1),IFERROR(INDEX(醫師週班表!$C$5:$T$44,$CU36,R$57),"")))))))</f>
        <v/>
      </c>
      <c r="S36" s="72">
        <f>IF(S$59="X","",IF(S$59&lt;&gt;"",S$59,IF(IFERROR(INDEX(醫師週班表!$C$5:$T$44,$CU36,S$57),"")=0,"",IF(MID(IFERROR(INDEX(醫師週班表!$C$5:$T$44,$CU36,S$57),""),2,1)="/",MID(IFERROR(INDEX(醫師週班表!$C$5:$T$44,$CU36,S$57),""),1+S$58*2,1),IF(MID(IFERROR(INDEX(醫師週班表!$C$5:$T$44,$CU36,S$57),""),3,1)="隔",IF(S$58=0,LEFT(IFERROR(INDEX(醫師週班表!$C$5:$T$44,$CU36,S$57),""),1),""),IF(MID(IFERROR(INDEX(醫師週班表!$C$5:$T$44,$CU36,S$57),""),2,1)="(",LEFT(IFERROR(INDEX(醫師週班表!$C$5:$T$44,$CU36,S$57),""),1),IFERROR(INDEX(醫師週班表!$C$5:$T$44,$CU36,S$57),"")))))))</f>
        <v/>
      </c>
      <c r="T36" s="71">
        <f>IF(T$59="X","",IF(T$59&lt;&gt;"",T$59,IF(IFERROR(INDEX(醫師週班表!$C$5:$T$44,$CU36,T$57),"")=0,"",IF(MID(IFERROR(INDEX(醫師週班表!$C$5:$T$44,$CU36,T$57),""),2,1)="/",MID(IFERROR(INDEX(醫師週班表!$C$5:$T$44,$CU36,T$57),""),1+T$58*2,1),IF(MID(IFERROR(INDEX(醫師週班表!$C$5:$T$44,$CU36,T$57),""),3,1)="隔",IF(T$58=0,LEFT(IFERROR(INDEX(醫師週班表!$C$5:$T$44,$CU36,T$57),""),1),""),IF(MID(IFERROR(INDEX(醫師週班表!$C$5:$T$44,$CU36,T$57),""),2,1)="(",LEFT(IFERROR(INDEX(醫師週班表!$C$5:$T$44,$CU36,T$57),""),1),IFERROR(INDEX(醫師週班表!$C$5:$T$44,$CU36,T$57),"")))))))</f>
        <v/>
      </c>
      <c r="U36" s="72">
        <f>IF(U$59="X","",IF(U$59&lt;&gt;"",U$59,IF(IFERROR(INDEX(醫師週班表!$C$5:$T$44,$CU36,U$57),"")=0,"",IF(MID(IFERROR(INDEX(醫師週班表!$C$5:$T$44,$CU36,U$57),""),2,1)="/",MID(IFERROR(INDEX(醫師週班表!$C$5:$T$44,$CU36,U$57),""),1+U$58*2,1),IF(MID(IFERROR(INDEX(醫師週班表!$C$5:$T$44,$CU36,U$57),""),3,1)="隔",IF(U$58=0,LEFT(IFERROR(INDEX(醫師週班表!$C$5:$T$44,$CU36,U$57),""),1),""),IF(MID(IFERROR(INDEX(醫師週班表!$C$5:$T$44,$CU36,U$57),""),2,1)="(",LEFT(IFERROR(INDEX(醫師週班表!$C$5:$T$44,$CU36,U$57),""),1),IFERROR(INDEX(醫師週班表!$C$5:$T$44,$CU36,U$57),"")))))))</f>
        <v/>
      </c>
      <c r="V36" s="72">
        <f>IF(V$59="X","",IF(V$59&lt;&gt;"",V$59,IF(IFERROR(INDEX(醫師週班表!$C$5:$T$44,$CU36,V$57),"")=0,"",IF(MID(IFERROR(INDEX(醫師週班表!$C$5:$T$44,$CU36,V$57),""),2,1)="/",MID(IFERROR(INDEX(醫師週班表!$C$5:$T$44,$CU36,V$57),""),1+V$58*2,1),IF(MID(IFERROR(INDEX(醫師週班表!$C$5:$T$44,$CU36,V$57),""),3,1)="隔",IF(V$58=0,LEFT(IFERROR(INDEX(醫師週班表!$C$5:$T$44,$CU36,V$57),""),1),""),IF(MID(IFERROR(INDEX(醫師週班表!$C$5:$T$44,$CU36,V$57),""),2,1)="(",LEFT(IFERROR(INDEX(醫師週班表!$C$5:$T$44,$CU36,V$57),""),1),IFERROR(INDEX(醫師週班表!$C$5:$T$44,$CU36,V$57),"")))))))</f>
        <v/>
      </c>
      <c r="W36" s="71">
        <f>IF(W$59="X","",IF(W$59&lt;&gt;"",W$59,IF(IFERROR(INDEX(醫師週班表!$C$5:$T$44,$CU36,W$57),"")=0,"",IF(MID(IFERROR(INDEX(醫師週班表!$C$5:$T$44,$CU36,W$57),""),2,1)="/",MID(IFERROR(INDEX(醫師週班表!$C$5:$T$44,$CU36,W$57),""),1+W$58*2,1),IF(MID(IFERROR(INDEX(醫師週班表!$C$5:$T$44,$CU36,W$57),""),3,1)="隔",IF(W$58=0,LEFT(IFERROR(INDEX(醫師週班表!$C$5:$T$44,$CU36,W$57),""),1),""),IF(MID(IFERROR(INDEX(醫師週班表!$C$5:$T$44,$CU36,W$57),""),2,1)="(",LEFT(IFERROR(INDEX(醫師週班表!$C$5:$T$44,$CU36,W$57),""),1),IFERROR(INDEX(醫師週班表!$C$5:$T$44,$CU36,W$57),"")))))))</f>
        <v/>
      </c>
      <c r="X36" s="72">
        <f>IF(X$59="X","",IF(X$59&lt;&gt;"",X$59,IF(IFERROR(INDEX(醫師週班表!$C$5:$T$44,$CU36,X$57),"")=0,"",IF(MID(IFERROR(INDEX(醫師週班表!$C$5:$T$44,$CU36,X$57),""),2,1)="/",MID(IFERROR(INDEX(醫師週班表!$C$5:$T$44,$CU36,X$57),""),1+X$58*2,1),IF(MID(IFERROR(INDEX(醫師週班表!$C$5:$T$44,$CU36,X$57),""),3,1)="隔",IF(X$58=0,LEFT(IFERROR(INDEX(醫師週班表!$C$5:$T$44,$CU36,X$57),""),1),""),IF(MID(IFERROR(INDEX(醫師週班表!$C$5:$T$44,$CU36,X$57),""),2,1)="(",LEFT(IFERROR(INDEX(醫師週班表!$C$5:$T$44,$CU36,X$57),""),1),IFERROR(INDEX(醫師週班表!$C$5:$T$44,$CU36,X$57),"")))))))</f>
        <v/>
      </c>
      <c r="Y36" s="72">
        <f>IF(Y$59="X","",IF(Y$59&lt;&gt;"",Y$59,IF(IFERROR(INDEX(醫師週班表!$C$5:$T$44,$CU36,Y$57),"")=0,"",IF(MID(IFERROR(INDEX(醫師週班表!$C$5:$T$44,$CU36,Y$57),""),2,1)="/",MID(IFERROR(INDEX(醫師週班表!$C$5:$T$44,$CU36,Y$57),""),1+Y$58*2,1),IF(MID(IFERROR(INDEX(醫師週班表!$C$5:$T$44,$CU36,Y$57),""),3,1)="隔",IF(Y$58=0,LEFT(IFERROR(INDEX(醫師週班表!$C$5:$T$44,$CU36,Y$57),""),1),""),IF(MID(IFERROR(INDEX(醫師週班表!$C$5:$T$44,$CU36,Y$57),""),2,1)="(",LEFT(IFERROR(INDEX(醫師週班表!$C$5:$T$44,$CU36,Y$57),""),1),IFERROR(INDEX(醫師週班表!$C$5:$T$44,$CU36,Y$57),"")))))))</f>
        <v/>
      </c>
      <c r="Z36" s="71">
        <f>IF(Z$59="X","",IF(Z$59&lt;&gt;"",Z$59,IF(IFERROR(INDEX(醫師週班表!$C$5:$T$44,$CU36,Z$57),"")=0,"",IF(MID(IFERROR(INDEX(醫師週班表!$C$5:$T$44,$CU36,Z$57),""),2,1)="/",MID(IFERROR(INDEX(醫師週班表!$C$5:$T$44,$CU36,Z$57),""),1+Z$58*2,1),IF(MID(IFERROR(INDEX(醫師週班表!$C$5:$T$44,$CU36,Z$57),""),3,1)="隔",IF(Z$58=0,LEFT(IFERROR(INDEX(醫師週班表!$C$5:$T$44,$CU36,Z$57),""),1),""),IF(MID(IFERROR(INDEX(醫師週班表!$C$5:$T$44,$CU36,Z$57),""),2,1)="(",LEFT(IFERROR(INDEX(醫師週班表!$C$5:$T$44,$CU36,Z$57),""),1),IFERROR(INDEX(醫師週班表!$C$5:$T$44,$CU36,Z$57),"")))))))</f>
        <v/>
      </c>
      <c r="AA36" s="72">
        <f>IF(AA$59="X","",IF(AA$59&lt;&gt;"",AA$59,IF(IFERROR(INDEX(醫師週班表!$C$5:$T$44,$CU36,AA$57),"")=0,"",IF(MID(IFERROR(INDEX(醫師週班表!$C$5:$T$44,$CU36,AA$57),""),2,1)="/",MID(IFERROR(INDEX(醫師週班表!$C$5:$T$44,$CU36,AA$57),""),1+AA$58*2,1),IF(MID(IFERROR(INDEX(醫師週班表!$C$5:$T$44,$CU36,AA$57),""),3,1)="隔",IF(AA$58=0,LEFT(IFERROR(INDEX(醫師週班表!$C$5:$T$44,$CU36,AA$57),""),1),""),IF(MID(IFERROR(INDEX(醫師週班表!$C$5:$T$44,$CU36,AA$57),""),2,1)="(",LEFT(IFERROR(INDEX(醫師週班表!$C$5:$T$44,$CU36,AA$57),""),1),IFERROR(INDEX(醫師週班表!$C$5:$T$44,$CU36,AA$57),"")))))))</f>
        <v/>
      </c>
      <c r="AB36" s="72">
        <f>IF(AB$59="X","",IF(AB$59&lt;&gt;"",AB$59,IF(IFERROR(INDEX(醫師週班表!$C$5:$T$44,$CU36,AB$57),"")=0,"",IF(MID(IFERROR(INDEX(醫師週班表!$C$5:$T$44,$CU36,AB$57),""),2,1)="/",MID(IFERROR(INDEX(醫師週班表!$C$5:$T$44,$CU36,AB$57),""),1+AB$58*2,1),IF(MID(IFERROR(INDEX(醫師週班表!$C$5:$T$44,$CU36,AB$57),""),3,1)="隔",IF(AB$58=0,LEFT(IFERROR(INDEX(醫師週班表!$C$5:$T$44,$CU36,AB$57),""),1),""),IF(MID(IFERROR(INDEX(醫師週班表!$C$5:$T$44,$CU36,AB$57),""),2,1)="(",LEFT(IFERROR(INDEX(醫師週班表!$C$5:$T$44,$CU36,AB$57),""),1),IFERROR(INDEX(醫師週班表!$C$5:$T$44,$CU36,AB$57),"")))))))</f>
        <v/>
      </c>
      <c r="AC36" s="71">
        <f>IF(AC$59="X","",IF(AC$59&lt;&gt;"",AC$59,IF(IFERROR(INDEX(醫師週班表!$C$5:$T$44,$CU36,AC$57),"")=0,"",IF(MID(IFERROR(INDEX(醫師週班表!$C$5:$T$44,$CU36,AC$57),""),2,1)="/",MID(IFERROR(INDEX(醫師週班表!$C$5:$T$44,$CU36,AC$57),""),1+AC$58*2,1),IF(MID(IFERROR(INDEX(醫師週班表!$C$5:$T$44,$CU36,AC$57),""),3,1)="隔",IF(AC$58=0,LEFT(IFERROR(INDEX(醫師週班表!$C$5:$T$44,$CU36,AC$57),""),1),""),IF(MID(IFERROR(INDEX(醫師週班表!$C$5:$T$44,$CU36,AC$57),""),2,1)="(",LEFT(IFERROR(INDEX(醫師週班表!$C$5:$T$44,$CU36,AC$57),""),1),IFERROR(INDEX(醫師週班表!$C$5:$T$44,$CU36,AC$57),"")))))))</f>
        <v/>
      </c>
      <c r="AD36" s="72">
        <f>IF(AD$59="X","",IF(AD$59&lt;&gt;"",AD$59,IF(IFERROR(INDEX(醫師週班表!$C$5:$T$44,$CU36,AD$57),"")=0,"",IF(MID(IFERROR(INDEX(醫師週班表!$C$5:$T$44,$CU36,AD$57),""),2,1)="/",MID(IFERROR(INDEX(醫師週班表!$C$5:$T$44,$CU36,AD$57),""),1+AD$58*2,1),IF(MID(IFERROR(INDEX(醫師週班表!$C$5:$T$44,$CU36,AD$57),""),3,1)="隔",IF(AD$58=0,LEFT(IFERROR(INDEX(醫師週班表!$C$5:$T$44,$CU36,AD$57),""),1),""),IF(MID(IFERROR(INDEX(醫師週班表!$C$5:$T$44,$CU36,AD$57),""),2,1)="(",LEFT(IFERROR(INDEX(醫師週班表!$C$5:$T$44,$CU36,AD$57),""),1),IFERROR(INDEX(醫師週班表!$C$5:$T$44,$CU36,AD$57),"")))))))</f>
        <v/>
      </c>
      <c r="AE36" s="72">
        <f>IF(AE$59="X","",IF(AE$59&lt;&gt;"",AE$59,IF(IFERROR(INDEX(醫師週班表!$C$5:$T$44,$CU36,AE$57),"")=0,"",IF(MID(IFERROR(INDEX(醫師週班表!$C$5:$T$44,$CU36,AE$57),""),2,1)="/",MID(IFERROR(INDEX(醫師週班表!$C$5:$T$44,$CU36,AE$57),""),1+AE$58*2,1),IF(MID(IFERROR(INDEX(醫師週班表!$C$5:$T$44,$CU36,AE$57),""),3,1)="隔",IF(AE$58=0,LEFT(IFERROR(INDEX(醫師週班表!$C$5:$T$44,$CU36,AE$57),""),1),""),IF(MID(IFERROR(INDEX(醫師週班表!$C$5:$T$44,$CU36,AE$57),""),2,1)="(",LEFT(IFERROR(INDEX(醫師週班表!$C$5:$T$44,$CU36,AE$57),""),1),IFERROR(INDEX(醫師週班表!$C$5:$T$44,$CU36,AE$57),"")))))))</f>
        <v/>
      </c>
      <c r="AF36" s="71">
        <f>IF(AF$59="X","",IF(AF$59&lt;&gt;"",AF$59,IF(IFERROR(INDEX(醫師週班表!$C$5:$T$44,$CU36,AF$57),"")=0,"",IF(MID(IFERROR(INDEX(醫師週班表!$C$5:$T$44,$CU36,AF$57),""),2,1)="/",MID(IFERROR(INDEX(醫師週班表!$C$5:$T$44,$CU36,AF$57),""),1+AF$58*2,1),IF(MID(IFERROR(INDEX(醫師週班表!$C$5:$T$44,$CU36,AF$57),""),3,1)="隔",IF(AF$58=0,LEFT(IFERROR(INDEX(醫師週班表!$C$5:$T$44,$CU36,AF$57),""),1),""),IF(MID(IFERROR(INDEX(醫師週班表!$C$5:$T$44,$CU36,AF$57),""),2,1)="(",LEFT(IFERROR(INDEX(醫師週班表!$C$5:$T$44,$CU36,AF$57),""),1),IFERROR(INDEX(醫師週班表!$C$5:$T$44,$CU36,AF$57),"")))))))</f>
        <v/>
      </c>
      <c r="AG36" s="72">
        <f>IF(AG$59="X","",IF(AG$59&lt;&gt;"",AG$59,IF(IFERROR(INDEX(醫師週班表!$C$5:$T$44,$CU36,AG$57),"")=0,"",IF(MID(IFERROR(INDEX(醫師週班表!$C$5:$T$44,$CU36,AG$57),""),2,1)="/",MID(IFERROR(INDEX(醫師週班表!$C$5:$T$44,$CU36,AG$57),""),1+AG$58*2,1),IF(MID(IFERROR(INDEX(醫師週班表!$C$5:$T$44,$CU36,AG$57),""),3,1)="隔",IF(AG$58=0,LEFT(IFERROR(INDEX(醫師週班表!$C$5:$T$44,$CU36,AG$57),""),1),""),IF(MID(IFERROR(INDEX(醫師週班表!$C$5:$T$44,$CU36,AG$57),""),2,1)="(",LEFT(IFERROR(INDEX(醫師週班表!$C$5:$T$44,$CU36,AG$57),""),1),IFERROR(INDEX(醫師週班表!$C$5:$T$44,$CU36,AG$57),"")))))))</f>
        <v/>
      </c>
      <c r="AH36" s="72">
        <f>IF(AH$59="X","",IF(AH$59&lt;&gt;"",AH$59,IF(IFERROR(INDEX(醫師週班表!$C$5:$T$44,$CU36,AH$57),"")=0,"",IF(MID(IFERROR(INDEX(醫師週班表!$C$5:$T$44,$CU36,AH$57),""),2,1)="/",MID(IFERROR(INDEX(醫師週班表!$C$5:$T$44,$CU36,AH$57),""),1+AH$58*2,1),IF(MID(IFERROR(INDEX(醫師週班表!$C$5:$T$44,$CU36,AH$57),""),3,1)="隔",IF(AH$58=0,LEFT(IFERROR(INDEX(醫師週班表!$C$5:$T$44,$CU36,AH$57),""),1),""),IF(MID(IFERROR(INDEX(醫師週班表!$C$5:$T$44,$CU36,AH$57),""),2,1)="(",LEFT(IFERROR(INDEX(醫師週班表!$C$5:$T$44,$CU36,AH$57),""),1),IFERROR(INDEX(醫師週班表!$C$5:$T$44,$CU36,AH$57),"")))))))</f>
        <v/>
      </c>
      <c r="AI36" s="71">
        <f>IF(AI$59="X","",IF(AI$59&lt;&gt;"",AI$59,IF(IFERROR(INDEX(醫師週班表!$C$5:$T$44,$CU36,AI$57),"")=0,"",IF(MID(IFERROR(INDEX(醫師週班表!$C$5:$T$44,$CU36,AI$57),""),2,1)="/",MID(IFERROR(INDEX(醫師週班表!$C$5:$T$44,$CU36,AI$57),""),1+AI$58*2,1),IF(MID(IFERROR(INDEX(醫師週班表!$C$5:$T$44,$CU36,AI$57),""),3,1)="隔",IF(AI$58=0,LEFT(IFERROR(INDEX(醫師週班表!$C$5:$T$44,$CU36,AI$57),""),1),""),IF(MID(IFERROR(INDEX(醫師週班表!$C$5:$T$44,$CU36,AI$57),""),2,1)="(",LEFT(IFERROR(INDEX(醫師週班表!$C$5:$T$44,$CU36,AI$57),""),1),IFERROR(INDEX(醫師週班表!$C$5:$T$44,$CU36,AI$57),"")))))))</f>
        <v/>
      </c>
      <c r="AJ36" s="72">
        <f>IF(AJ$59="X","",IF(AJ$59&lt;&gt;"",AJ$59,IF(IFERROR(INDEX(醫師週班表!$C$5:$T$44,$CU36,AJ$57),"")=0,"",IF(MID(IFERROR(INDEX(醫師週班表!$C$5:$T$44,$CU36,AJ$57),""),2,1)="/",MID(IFERROR(INDEX(醫師週班表!$C$5:$T$44,$CU36,AJ$57),""),1+AJ$58*2,1),IF(MID(IFERROR(INDEX(醫師週班表!$C$5:$T$44,$CU36,AJ$57),""),3,1)="隔",IF(AJ$58=0,LEFT(IFERROR(INDEX(醫師週班表!$C$5:$T$44,$CU36,AJ$57),""),1),""),IF(MID(IFERROR(INDEX(醫師週班表!$C$5:$T$44,$CU36,AJ$57),""),2,1)="(",LEFT(IFERROR(INDEX(醫師週班表!$C$5:$T$44,$CU36,AJ$57),""),1),IFERROR(INDEX(醫師週班表!$C$5:$T$44,$CU36,AJ$57),"")))))))</f>
        <v/>
      </c>
      <c r="AK36" s="72">
        <f>IF(AK$59="X","",IF(AK$59&lt;&gt;"",AK$59,IF(IFERROR(INDEX(醫師週班表!$C$5:$T$44,$CU36,AK$57),"")=0,"",IF(MID(IFERROR(INDEX(醫師週班表!$C$5:$T$44,$CU36,AK$57),""),2,1)="/",MID(IFERROR(INDEX(醫師週班表!$C$5:$T$44,$CU36,AK$57),""),1+AK$58*2,1),IF(MID(IFERROR(INDEX(醫師週班表!$C$5:$T$44,$CU36,AK$57),""),3,1)="隔",IF(AK$58=0,LEFT(IFERROR(INDEX(醫師週班表!$C$5:$T$44,$CU36,AK$57),""),1),""),IF(MID(IFERROR(INDEX(醫師週班表!$C$5:$T$44,$CU36,AK$57),""),2,1)="(",LEFT(IFERROR(INDEX(醫師週班表!$C$5:$T$44,$CU36,AK$57),""),1),IFERROR(INDEX(醫師週班表!$C$5:$T$44,$CU36,AK$57),"")))))))</f>
        <v/>
      </c>
      <c r="AL36" s="71">
        <f>IF(AL$59="X","",IF(AL$59&lt;&gt;"",AL$59,IF(IFERROR(INDEX(醫師週班表!$C$5:$T$44,$CU36,AL$57),"")=0,"",IF(MID(IFERROR(INDEX(醫師週班表!$C$5:$T$44,$CU36,AL$57),""),2,1)="/",MID(IFERROR(INDEX(醫師週班表!$C$5:$T$44,$CU36,AL$57),""),1+AL$58*2,1),IF(MID(IFERROR(INDEX(醫師週班表!$C$5:$T$44,$CU36,AL$57),""),3,1)="隔",IF(AL$58=0,LEFT(IFERROR(INDEX(醫師週班表!$C$5:$T$44,$CU36,AL$57),""),1),""),IF(MID(IFERROR(INDEX(醫師週班表!$C$5:$T$44,$CU36,AL$57),""),2,1)="(",LEFT(IFERROR(INDEX(醫師週班表!$C$5:$T$44,$CU36,AL$57),""),1),IFERROR(INDEX(醫師週班表!$C$5:$T$44,$CU36,AL$57),"")))))))</f>
        <v/>
      </c>
      <c r="AM36" s="72">
        <f>IF(AM$59="X","",IF(AM$59&lt;&gt;"",AM$59,IF(IFERROR(INDEX(醫師週班表!$C$5:$T$44,$CU36,AM$57),"")=0,"",IF(MID(IFERROR(INDEX(醫師週班表!$C$5:$T$44,$CU36,AM$57),""),2,1)="/",MID(IFERROR(INDEX(醫師週班表!$C$5:$T$44,$CU36,AM$57),""),1+AM$58*2,1),IF(MID(IFERROR(INDEX(醫師週班表!$C$5:$T$44,$CU36,AM$57),""),3,1)="隔",IF(AM$58=0,LEFT(IFERROR(INDEX(醫師週班表!$C$5:$T$44,$CU36,AM$57),""),1),""),IF(MID(IFERROR(INDEX(醫師週班表!$C$5:$T$44,$CU36,AM$57),""),2,1)="(",LEFT(IFERROR(INDEX(醫師週班表!$C$5:$T$44,$CU36,AM$57),""),1),IFERROR(INDEX(醫師週班表!$C$5:$T$44,$CU36,AM$57),"")))))))</f>
        <v/>
      </c>
      <c r="AN36" s="72">
        <f>IF(AN$59="X","",IF(AN$59&lt;&gt;"",AN$59,IF(IFERROR(INDEX(醫師週班表!$C$5:$T$44,$CU36,AN$57),"")=0,"",IF(MID(IFERROR(INDEX(醫師週班表!$C$5:$T$44,$CU36,AN$57),""),2,1)="/",MID(IFERROR(INDEX(醫師週班表!$C$5:$T$44,$CU36,AN$57),""),1+AN$58*2,1),IF(MID(IFERROR(INDEX(醫師週班表!$C$5:$T$44,$CU36,AN$57),""),3,1)="隔",IF(AN$58=0,LEFT(IFERROR(INDEX(醫師週班表!$C$5:$T$44,$CU36,AN$57),""),1),""),IF(MID(IFERROR(INDEX(醫師週班表!$C$5:$T$44,$CU36,AN$57),""),2,1)="(",LEFT(IFERROR(INDEX(醫師週班表!$C$5:$T$44,$CU36,AN$57),""),1),IFERROR(INDEX(醫師週班表!$C$5:$T$44,$CU36,AN$57),"")))))))</f>
        <v/>
      </c>
      <c r="AO36" s="71">
        <f>IF(AO$59="X","",IF(AO$59&lt;&gt;"",AO$59,IF(IFERROR(INDEX(醫師週班表!$C$5:$T$44,$CU36,AO$57),"")=0,"",IF(MID(IFERROR(INDEX(醫師週班表!$C$5:$T$44,$CU36,AO$57),""),2,1)="/",MID(IFERROR(INDEX(醫師週班表!$C$5:$T$44,$CU36,AO$57),""),1+AO$58*2,1),IF(MID(IFERROR(INDEX(醫師週班表!$C$5:$T$44,$CU36,AO$57),""),3,1)="隔",IF(AO$58=0,LEFT(IFERROR(INDEX(醫師週班表!$C$5:$T$44,$CU36,AO$57),""),1),""),IF(MID(IFERROR(INDEX(醫師週班表!$C$5:$T$44,$CU36,AO$57),""),2,1)="(",LEFT(IFERROR(INDEX(醫師週班表!$C$5:$T$44,$CU36,AO$57),""),1),IFERROR(INDEX(醫師週班表!$C$5:$T$44,$CU36,AO$57),"")))))))</f>
        <v/>
      </c>
      <c r="AP36" s="72">
        <f>IF(AP$59="X","",IF(AP$59&lt;&gt;"",AP$59,IF(IFERROR(INDEX(醫師週班表!$C$5:$T$44,$CU36,AP$57),"")=0,"",IF(MID(IFERROR(INDEX(醫師週班表!$C$5:$T$44,$CU36,AP$57),""),2,1)="/",MID(IFERROR(INDEX(醫師週班表!$C$5:$T$44,$CU36,AP$57),""),1+AP$58*2,1),IF(MID(IFERROR(INDEX(醫師週班表!$C$5:$T$44,$CU36,AP$57),""),3,1)="隔",IF(AP$58=0,LEFT(IFERROR(INDEX(醫師週班表!$C$5:$T$44,$CU36,AP$57),""),1),""),IF(MID(IFERROR(INDEX(醫師週班表!$C$5:$T$44,$CU36,AP$57),""),2,1)="(",LEFT(IFERROR(INDEX(醫師週班表!$C$5:$T$44,$CU36,AP$57),""),1),IFERROR(INDEX(醫師週班表!$C$5:$T$44,$CU36,AP$57),"")))))))</f>
        <v/>
      </c>
      <c r="AQ36" s="72">
        <f>IF(AQ$59="X","",IF(AQ$59&lt;&gt;"",AQ$59,IF(IFERROR(INDEX(醫師週班表!$C$5:$T$44,$CU36,AQ$57),"")=0,"",IF(MID(IFERROR(INDEX(醫師週班表!$C$5:$T$44,$CU36,AQ$57),""),2,1)="/",MID(IFERROR(INDEX(醫師週班表!$C$5:$T$44,$CU36,AQ$57),""),1+AQ$58*2,1),IF(MID(IFERROR(INDEX(醫師週班表!$C$5:$T$44,$CU36,AQ$57),""),3,1)="隔",IF(AQ$58=0,LEFT(IFERROR(INDEX(醫師週班表!$C$5:$T$44,$CU36,AQ$57),""),1),""),IF(MID(IFERROR(INDEX(醫師週班表!$C$5:$T$44,$CU36,AQ$57),""),2,1)="(",LEFT(IFERROR(INDEX(醫師週班表!$C$5:$T$44,$CU36,AQ$57),""),1),IFERROR(INDEX(醫師週班表!$C$5:$T$44,$CU36,AQ$57),"")))))))</f>
        <v/>
      </c>
      <c r="AR36" s="71">
        <f>IF(AR$59="X","",IF(AR$59&lt;&gt;"",AR$59,IF(IFERROR(INDEX(醫師週班表!$C$5:$T$44,$CU36,AR$57),"")=0,"",IF(MID(IFERROR(INDEX(醫師週班表!$C$5:$T$44,$CU36,AR$57),""),2,1)="/",MID(IFERROR(INDEX(醫師週班表!$C$5:$T$44,$CU36,AR$57),""),1+AR$58*2,1),IF(MID(IFERROR(INDEX(醫師週班表!$C$5:$T$44,$CU36,AR$57),""),3,1)="隔",IF(AR$58=0,LEFT(IFERROR(INDEX(醫師週班表!$C$5:$T$44,$CU36,AR$57),""),1),""),IF(MID(IFERROR(INDEX(醫師週班表!$C$5:$T$44,$CU36,AR$57),""),2,1)="(",LEFT(IFERROR(INDEX(醫師週班表!$C$5:$T$44,$CU36,AR$57),""),1),IFERROR(INDEX(醫師週班表!$C$5:$T$44,$CU36,AR$57),"")))))))</f>
        <v/>
      </c>
      <c r="AS36" s="72">
        <f>IF(AS$59="X","",IF(AS$59&lt;&gt;"",AS$59,IF(IFERROR(INDEX(醫師週班表!$C$5:$T$44,$CU36,AS$57),"")=0,"",IF(MID(IFERROR(INDEX(醫師週班表!$C$5:$T$44,$CU36,AS$57),""),2,1)="/",MID(IFERROR(INDEX(醫師週班表!$C$5:$T$44,$CU36,AS$57),""),1+AS$58*2,1),IF(MID(IFERROR(INDEX(醫師週班表!$C$5:$T$44,$CU36,AS$57),""),3,1)="隔",IF(AS$58=0,LEFT(IFERROR(INDEX(醫師週班表!$C$5:$T$44,$CU36,AS$57),""),1),""),IF(MID(IFERROR(INDEX(醫師週班表!$C$5:$T$44,$CU36,AS$57),""),2,1)="(",LEFT(IFERROR(INDEX(醫師週班表!$C$5:$T$44,$CU36,AS$57),""),1),IFERROR(INDEX(醫師週班表!$C$5:$T$44,$CU36,AS$57),"")))))))</f>
        <v/>
      </c>
      <c r="AT36" s="72">
        <f>IF(AT$59="X","",IF(AT$59&lt;&gt;"",AT$59,IF(IFERROR(INDEX(醫師週班表!$C$5:$T$44,$CU36,AT$57),"")=0,"",IF(MID(IFERROR(INDEX(醫師週班表!$C$5:$T$44,$CU36,AT$57),""),2,1)="/",MID(IFERROR(INDEX(醫師週班表!$C$5:$T$44,$CU36,AT$57),""),1+AT$58*2,1),IF(MID(IFERROR(INDEX(醫師週班表!$C$5:$T$44,$CU36,AT$57),""),3,1)="隔",IF(AT$58=0,LEFT(IFERROR(INDEX(醫師週班表!$C$5:$T$44,$CU36,AT$57),""),1),""),IF(MID(IFERROR(INDEX(醫師週班表!$C$5:$T$44,$CU36,AT$57),""),2,1)="(",LEFT(IFERROR(INDEX(醫師週班表!$C$5:$T$44,$CU36,AT$57),""),1),IFERROR(INDEX(醫師週班表!$C$5:$T$44,$CU36,AT$57),"")))))))</f>
        <v/>
      </c>
      <c r="AU36" s="71">
        <f>IF(AU$59="X","",IF(AU$59&lt;&gt;"",AU$59,IF(IFERROR(INDEX(醫師週班表!$C$5:$T$44,$CU36,AU$57),"")=0,"",IF(MID(IFERROR(INDEX(醫師週班表!$C$5:$T$44,$CU36,AU$57),""),2,1)="/",MID(IFERROR(INDEX(醫師週班表!$C$5:$T$44,$CU36,AU$57),""),1+AU$58*2,1),IF(MID(IFERROR(INDEX(醫師週班表!$C$5:$T$44,$CU36,AU$57),""),3,1)="隔",IF(AU$58=0,LEFT(IFERROR(INDEX(醫師週班表!$C$5:$T$44,$CU36,AU$57),""),1),""),IF(MID(IFERROR(INDEX(醫師週班表!$C$5:$T$44,$CU36,AU$57),""),2,1)="(",LEFT(IFERROR(INDEX(醫師週班表!$C$5:$T$44,$CU36,AU$57),""),1),IFERROR(INDEX(醫師週班表!$C$5:$T$44,$CU36,AU$57),"")))))))</f>
        <v/>
      </c>
      <c r="AV36" s="72">
        <f>IF(AV$59="X","",IF(AV$59&lt;&gt;"",AV$59,IF(IFERROR(INDEX(醫師週班表!$C$5:$T$44,$CU36,AV$57),"")=0,"",IF(MID(IFERROR(INDEX(醫師週班表!$C$5:$T$44,$CU36,AV$57),""),2,1)="/",MID(IFERROR(INDEX(醫師週班表!$C$5:$T$44,$CU36,AV$57),""),1+AV$58*2,1),IF(MID(IFERROR(INDEX(醫師週班表!$C$5:$T$44,$CU36,AV$57),""),3,1)="隔",IF(AV$58=0,LEFT(IFERROR(INDEX(醫師週班表!$C$5:$T$44,$CU36,AV$57),""),1),""),IF(MID(IFERROR(INDEX(醫師週班表!$C$5:$T$44,$CU36,AV$57),""),2,1)="(",LEFT(IFERROR(INDEX(醫師週班表!$C$5:$T$44,$CU36,AV$57),""),1),IFERROR(INDEX(醫師週班表!$C$5:$T$44,$CU36,AV$57),"")))))))</f>
        <v/>
      </c>
      <c r="AW36" s="72">
        <f>IF(AW$59="X","",IF(AW$59&lt;&gt;"",AW$59,IF(IFERROR(INDEX(醫師週班表!$C$5:$T$44,$CU36,AW$57),"")=0,"",IF(MID(IFERROR(INDEX(醫師週班表!$C$5:$T$44,$CU36,AW$57),""),2,1)="/",MID(IFERROR(INDEX(醫師週班表!$C$5:$T$44,$CU36,AW$57),""),1+AW$58*2,1),IF(MID(IFERROR(INDEX(醫師週班表!$C$5:$T$44,$CU36,AW$57),""),3,1)="隔",IF(AW$58=0,LEFT(IFERROR(INDEX(醫師週班表!$C$5:$T$44,$CU36,AW$57),""),1),""),IF(MID(IFERROR(INDEX(醫師週班表!$C$5:$T$44,$CU36,AW$57),""),2,1)="(",LEFT(IFERROR(INDEX(醫師週班表!$C$5:$T$44,$CU36,AW$57),""),1),IFERROR(INDEX(醫師週班表!$C$5:$T$44,$CU36,AW$57),"")))))))</f>
        <v/>
      </c>
      <c r="AX36" s="71">
        <f>IF(AX$59="X","",IF(AX$59&lt;&gt;"",AX$59,IF(IFERROR(INDEX(醫師週班表!$C$5:$T$44,$CU36,AX$57),"")=0,"",IF(MID(IFERROR(INDEX(醫師週班表!$C$5:$T$44,$CU36,AX$57),""),2,1)="/",MID(IFERROR(INDEX(醫師週班表!$C$5:$T$44,$CU36,AX$57),""),1+AX$58*2,1),IF(MID(IFERROR(INDEX(醫師週班表!$C$5:$T$44,$CU36,AX$57),""),3,1)="隔",IF(AX$58=0,LEFT(IFERROR(INDEX(醫師週班表!$C$5:$T$44,$CU36,AX$57),""),1),""),IF(MID(IFERROR(INDEX(醫師週班表!$C$5:$T$44,$CU36,AX$57),""),2,1)="(",LEFT(IFERROR(INDEX(醫師週班表!$C$5:$T$44,$CU36,AX$57),""),1),IFERROR(INDEX(醫師週班表!$C$5:$T$44,$CU36,AX$57),"")))))))</f>
        <v/>
      </c>
      <c r="AY36" s="72">
        <f>IF(AY$59="X","",IF(AY$59&lt;&gt;"",AY$59,IF(IFERROR(INDEX(醫師週班表!$C$5:$T$44,$CU36,AY$57),"")=0,"",IF(MID(IFERROR(INDEX(醫師週班表!$C$5:$T$44,$CU36,AY$57),""),2,1)="/",MID(IFERROR(INDEX(醫師週班表!$C$5:$T$44,$CU36,AY$57),""),1+AY$58*2,1),IF(MID(IFERROR(INDEX(醫師週班表!$C$5:$T$44,$CU36,AY$57),""),3,1)="隔",IF(AY$58=0,LEFT(IFERROR(INDEX(醫師週班表!$C$5:$T$44,$CU36,AY$57),""),1),""),IF(MID(IFERROR(INDEX(醫師週班表!$C$5:$T$44,$CU36,AY$57),""),2,1)="(",LEFT(IFERROR(INDEX(醫師週班表!$C$5:$T$44,$CU36,AY$57),""),1),IFERROR(INDEX(醫師週班表!$C$5:$T$44,$CU36,AY$57),"")))))))</f>
        <v/>
      </c>
      <c r="AZ36" s="72">
        <f>IF(AZ$59="X","",IF(AZ$59&lt;&gt;"",AZ$59,IF(IFERROR(INDEX(醫師週班表!$C$5:$T$44,$CU36,AZ$57),"")=0,"",IF(MID(IFERROR(INDEX(醫師週班表!$C$5:$T$44,$CU36,AZ$57),""),2,1)="/",MID(IFERROR(INDEX(醫師週班表!$C$5:$T$44,$CU36,AZ$57),""),1+AZ$58*2,1),IF(MID(IFERROR(INDEX(醫師週班表!$C$5:$T$44,$CU36,AZ$57),""),3,1)="隔",IF(AZ$58=0,LEFT(IFERROR(INDEX(醫師週班表!$C$5:$T$44,$CU36,AZ$57),""),1),""),IF(MID(IFERROR(INDEX(醫師週班表!$C$5:$T$44,$CU36,AZ$57),""),2,1)="(",LEFT(IFERROR(INDEX(醫師週班表!$C$5:$T$44,$CU36,AZ$57),""),1),IFERROR(INDEX(醫師週班表!$C$5:$T$44,$CU36,AZ$57),"")))))))</f>
        <v/>
      </c>
      <c r="BA36" s="71">
        <f>IF(BA$59="X","",IF(BA$59&lt;&gt;"",BA$59,IF(IFERROR(INDEX(醫師週班表!$C$5:$T$44,$CU36,BA$57),"")=0,"",IF(MID(IFERROR(INDEX(醫師週班表!$C$5:$T$44,$CU36,BA$57),""),2,1)="/",MID(IFERROR(INDEX(醫師週班表!$C$5:$T$44,$CU36,BA$57),""),1+BA$58*2,1),IF(MID(IFERROR(INDEX(醫師週班表!$C$5:$T$44,$CU36,BA$57),""),3,1)="隔",IF(BA$58=0,LEFT(IFERROR(INDEX(醫師週班表!$C$5:$T$44,$CU36,BA$57),""),1),""),IF(MID(IFERROR(INDEX(醫師週班表!$C$5:$T$44,$CU36,BA$57),""),2,1)="(",LEFT(IFERROR(INDEX(醫師週班表!$C$5:$T$44,$CU36,BA$57),""),1),IFERROR(INDEX(醫師週班表!$C$5:$T$44,$CU36,BA$57),"")))))))</f>
        <v/>
      </c>
      <c r="BB36" s="72">
        <f>IF(BB$59="X","",IF(BB$59&lt;&gt;"",BB$59,IF(IFERROR(INDEX(醫師週班表!$C$5:$T$44,$CU36,BB$57),"")=0,"",IF(MID(IFERROR(INDEX(醫師週班表!$C$5:$T$44,$CU36,BB$57),""),2,1)="/",MID(IFERROR(INDEX(醫師週班表!$C$5:$T$44,$CU36,BB$57),""),1+BB$58*2,1),IF(MID(IFERROR(INDEX(醫師週班表!$C$5:$T$44,$CU36,BB$57),""),3,1)="隔",IF(BB$58=0,LEFT(IFERROR(INDEX(醫師週班表!$C$5:$T$44,$CU36,BB$57),""),1),""),IF(MID(IFERROR(INDEX(醫師週班表!$C$5:$T$44,$CU36,BB$57),""),2,1)="(",LEFT(IFERROR(INDEX(醫師週班表!$C$5:$T$44,$CU36,BB$57),""),1),IFERROR(INDEX(醫師週班表!$C$5:$T$44,$CU36,BB$57),"")))))))</f>
        <v/>
      </c>
      <c r="BC36" s="72">
        <f>IF(BC$59="X","",IF(BC$59&lt;&gt;"",BC$59,IF(IFERROR(INDEX(醫師週班表!$C$5:$T$44,$CU36,BC$57),"")=0,"",IF(MID(IFERROR(INDEX(醫師週班表!$C$5:$T$44,$CU36,BC$57),""),2,1)="/",MID(IFERROR(INDEX(醫師週班表!$C$5:$T$44,$CU36,BC$57),""),1+BC$58*2,1),IF(MID(IFERROR(INDEX(醫師週班表!$C$5:$T$44,$CU36,BC$57),""),3,1)="隔",IF(BC$58=0,LEFT(IFERROR(INDEX(醫師週班表!$C$5:$T$44,$CU36,BC$57),""),1),""),IF(MID(IFERROR(INDEX(醫師週班表!$C$5:$T$44,$CU36,BC$57),""),2,1)="(",LEFT(IFERROR(INDEX(醫師週班表!$C$5:$T$44,$CU36,BC$57),""),1),IFERROR(INDEX(醫師週班表!$C$5:$T$44,$CU36,BC$57),"")))))))</f>
        <v/>
      </c>
      <c r="BD36" s="71">
        <f>IF(BD$59="X","",IF(BD$59&lt;&gt;"",BD$59,IF(IFERROR(INDEX(醫師週班表!$C$5:$T$44,$CU36,BD$57),"")=0,"",IF(MID(IFERROR(INDEX(醫師週班表!$C$5:$T$44,$CU36,BD$57),""),2,1)="/",MID(IFERROR(INDEX(醫師週班表!$C$5:$T$44,$CU36,BD$57),""),1+BD$58*2,1),IF(MID(IFERROR(INDEX(醫師週班表!$C$5:$T$44,$CU36,BD$57),""),3,1)="隔",IF(BD$58=0,LEFT(IFERROR(INDEX(醫師週班表!$C$5:$T$44,$CU36,BD$57),""),1),""),IF(MID(IFERROR(INDEX(醫師週班表!$C$5:$T$44,$CU36,BD$57),""),2,1)="(",LEFT(IFERROR(INDEX(醫師週班表!$C$5:$T$44,$CU36,BD$57),""),1),IFERROR(INDEX(醫師週班表!$C$5:$T$44,$CU36,BD$57),"")))))))</f>
        <v/>
      </c>
      <c r="BE36" s="72">
        <f>IF(BE$59="X","",IF(BE$59&lt;&gt;"",BE$59,IF(IFERROR(INDEX(醫師週班表!$C$5:$T$44,$CU36,BE$57),"")=0,"",IF(MID(IFERROR(INDEX(醫師週班表!$C$5:$T$44,$CU36,BE$57),""),2,1)="/",MID(IFERROR(INDEX(醫師週班表!$C$5:$T$44,$CU36,BE$57),""),1+BE$58*2,1),IF(MID(IFERROR(INDEX(醫師週班表!$C$5:$T$44,$CU36,BE$57),""),3,1)="隔",IF(BE$58=0,LEFT(IFERROR(INDEX(醫師週班表!$C$5:$T$44,$CU36,BE$57),""),1),""),IF(MID(IFERROR(INDEX(醫師週班表!$C$5:$T$44,$CU36,BE$57),""),2,1)="(",LEFT(IFERROR(INDEX(醫師週班表!$C$5:$T$44,$CU36,BE$57),""),1),IFERROR(INDEX(醫師週班表!$C$5:$T$44,$CU36,BE$57),"")))))))</f>
        <v/>
      </c>
      <c r="BF36" s="72">
        <f>IF(BF$59="X","",IF(BF$59&lt;&gt;"",BF$59,IF(IFERROR(INDEX(醫師週班表!$C$5:$T$44,$CU36,BF$57),"")=0,"",IF(MID(IFERROR(INDEX(醫師週班表!$C$5:$T$44,$CU36,BF$57),""),2,1)="/",MID(IFERROR(INDEX(醫師週班表!$C$5:$T$44,$CU36,BF$57),""),1+BF$58*2,1),IF(MID(IFERROR(INDEX(醫師週班表!$C$5:$T$44,$CU36,BF$57),""),3,1)="隔",IF(BF$58=0,LEFT(IFERROR(INDEX(醫師週班表!$C$5:$T$44,$CU36,BF$57),""),1),""),IF(MID(IFERROR(INDEX(醫師週班表!$C$5:$T$44,$CU36,BF$57),""),2,1)="(",LEFT(IFERROR(INDEX(醫師週班表!$C$5:$T$44,$CU36,BF$57),""),1),IFERROR(INDEX(醫師週班表!$C$5:$T$44,$CU36,BF$57),"")))))))</f>
        <v/>
      </c>
      <c r="BG36" s="71">
        <f>IF(BG$59="X","",IF(BG$59&lt;&gt;"",BG$59,IF(IFERROR(INDEX(醫師週班表!$C$5:$T$44,$CU36,BG$57),"")=0,"",IF(MID(IFERROR(INDEX(醫師週班表!$C$5:$T$44,$CU36,BG$57),""),2,1)="/",MID(IFERROR(INDEX(醫師週班表!$C$5:$T$44,$CU36,BG$57),""),1+BG$58*2,1),IF(MID(IFERROR(INDEX(醫師週班表!$C$5:$T$44,$CU36,BG$57),""),3,1)="隔",IF(BG$58=0,LEFT(IFERROR(INDEX(醫師週班表!$C$5:$T$44,$CU36,BG$57),""),1),""),IF(MID(IFERROR(INDEX(醫師週班表!$C$5:$T$44,$CU36,BG$57),""),2,1)="(",LEFT(IFERROR(INDEX(醫師週班表!$C$5:$T$44,$CU36,BG$57),""),1),IFERROR(INDEX(醫師週班表!$C$5:$T$44,$CU36,BG$57),"")))))))</f>
        <v/>
      </c>
      <c r="BH36" s="72">
        <f>IF(BH$59="X","",IF(BH$59&lt;&gt;"",BH$59,IF(IFERROR(INDEX(醫師週班表!$C$5:$T$44,$CU36,BH$57),"")=0,"",IF(MID(IFERROR(INDEX(醫師週班表!$C$5:$T$44,$CU36,BH$57),""),2,1)="/",MID(IFERROR(INDEX(醫師週班表!$C$5:$T$44,$CU36,BH$57),""),1+BH$58*2,1),IF(MID(IFERROR(INDEX(醫師週班表!$C$5:$T$44,$CU36,BH$57),""),3,1)="隔",IF(BH$58=0,LEFT(IFERROR(INDEX(醫師週班表!$C$5:$T$44,$CU36,BH$57),""),1),""),IF(MID(IFERROR(INDEX(醫師週班表!$C$5:$T$44,$CU36,BH$57),""),2,1)="(",LEFT(IFERROR(INDEX(醫師週班表!$C$5:$T$44,$CU36,BH$57),""),1),IFERROR(INDEX(醫師週班表!$C$5:$T$44,$CU36,BH$57),"")))))))</f>
        <v/>
      </c>
      <c r="BI36" s="72">
        <f>IF(BI$59="X","",IF(BI$59&lt;&gt;"",BI$59,IF(IFERROR(INDEX(醫師週班表!$C$5:$T$44,$CU36,BI$57),"")=0,"",IF(MID(IFERROR(INDEX(醫師週班表!$C$5:$T$44,$CU36,BI$57),""),2,1)="/",MID(IFERROR(INDEX(醫師週班表!$C$5:$T$44,$CU36,BI$57),""),1+BI$58*2,1),IF(MID(IFERROR(INDEX(醫師週班表!$C$5:$T$44,$CU36,BI$57),""),3,1)="隔",IF(BI$58=0,LEFT(IFERROR(INDEX(醫師週班表!$C$5:$T$44,$CU36,BI$57),""),1),""),IF(MID(IFERROR(INDEX(醫師週班表!$C$5:$T$44,$CU36,BI$57),""),2,1)="(",LEFT(IFERROR(INDEX(醫師週班表!$C$5:$T$44,$CU36,BI$57),""),1),IFERROR(INDEX(醫師週班表!$C$5:$T$44,$CU36,BI$57),"")))))))</f>
        <v/>
      </c>
      <c r="BJ36" s="71">
        <f>IF(BJ$59="X","",IF(BJ$59&lt;&gt;"",BJ$59,IF(IFERROR(INDEX(醫師週班表!$C$5:$T$44,$CU36,BJ$57),"")=0,"",IF(MID(IFERROR(INDEX(醫師週班表!$C$5:$T$44,$CU36,BJ$57),""),2,1)="/",MID(IFERROR(INDEX(醫師週班表!$C$5:$T$44,$CU36,BJ$57),""),1+BJ$58*2,1),IF(MID(IFERROR(INDEX(醫師週班表!$C$5:$T$44,$CU36,BJ$57),""),3,1)="隔",IF(BJ$58=0,LEFT(IFERROR(INDEX(醫師週班表!$C$5:$T$44,$CU36,BJ$57),""),1),""),IF(MID(IFERROR(INDEX(醫師週班表!$C$5:$T$44,$CU36,BJ$57),""),2,1)="(",LEFT(IFERROR(INDEX(醫師週班表!$C$5:$T$44,$CU36,BJ$57),""),1),IFERROR(INDEX(醫師週班表!$C$5:$T$44,$CU36,BJ$57),"")))))))</f>
        <v/>
      </c>
      <c r="BK36" s="72">
        <f>IF(BK$59="X","",IF(BK$59&lt;&gt;"",BK$59,IF(IFERROR(INDEX(醫師週班表!$C$5:$T$44,$CU36,BK$57),"")=0,"",IF(MID(IFERROR(INDEX(醫師週班表!$C$5:$T$44,$CU36,BK$57),""),2,1)="/",MID(IFERROR(INDEX(醫師週班表!$C$5:$T$44,$CU36,BK$57),""),1+BK$58*2,1),IF(MID(IFERROR(INDEX(醫師週班表!$C$5:$T$44,$CU36,BK$57),""),3,1)="隔",IF(BK$58=0,LEFT(IFERROR(INDEX(醫師週班表!$C$5:$T$44,$CU36,BK$57),""),1),""),IF(MID(IFERROR(INDEX(醫師週班表!$C$5:$T$44,$CU36,BK$57),""),2,1)="(",LEFT(IFERROR(INDEX(醫師週班表!$C$5:$T$44,$CU36,BK$57),""),1),IFERROR(INDEX(醫師週班表!$C$5:$T$44,$CU36,BK$57),"")))))))</f>
        <v/>
      </c>
      <c r="BL36" s="72">
        <f>IF(BL$59="X","",IF(BL$59&lt;&gt;"",BL$59,IF(IFERROR(INDEX(醫師週班表!$C$5:$T$44,$CU36,BL$57),"")=0,"",IF(MID(IFERROR(INDEX(醫師週班表!$C$5:$T$44,$CU36,BL$57),""),2,1)="/",MID(IFERROR(INDEX(醫師週班表!$C$5:$T$44,$CU36,BL$57),""),1+BL$58*2,1),IF(MID(IFERROR(INDEX(醫師週班表!$C$5:$T$44,$CU36,BL$57),""),3,1)="隔",IF(BL$58=0,LEFT(IFERROR(INDEX(醫師週班表!$C$5:$T$44,$CU36,BL$57),""),1),""),IF(MID(IFERROR(INDEX(醫師週班表!$C$5:$T$44,$CU36,BL$57),""),2,1)="(",LEFT(IFERROR(INDEX(醫師週班表!$C$5:$T$44,$CU36,BL$57),""),1),IFERROR(INDEX(醫師週班表!$C$5:$T$44,$CU36,BL$57),"")))))))</f>
        <v/>
      </c>
      <c r="BM36" s="71">
        <f>IF(BM$59="X","",IF(BM$59&lt;&gt;"",BM$59,IF(IFERROR(INDEX(醫師週班表!$C$5:$T$44,$CU36,BM$57),"")=0,"",IF(MID(IFERROR(INDEX(醫師週班表!$C$5:$T$44,$CU36,BM$57),""),2,1)="/",MID(IFERROR(INDEX(醫師週班表!$C$5:$T$44,$CU36,BM$57),""),1+BM$58*2,1),IF(MID(IFERROR(INDEX(醫師週班表!$C$5:$T$44,$CU36,BM$57),""),3,1)="隔",IF(BM$58=0,LEFT(IFERROR(INDEX(醫師週班表!$C$5:$T$44,$CU36,BM$57),""),1),""),IF(MID(IFERROR(INDEX(醫師週班表!$C$5:$T$44,$CU36,BM$57),""),2,1)="(",LEFT(IFERROR(INDEX(醫師週班表!$C$5:$T$44,$CU36,BM$57),""),1),IFERROR(INDEX(醫師週班表!$C$5:$T$44,$CU36,BM$57),"")))))))</f>
        <v/>
      </c>
      <c r="BN36" s="72">
        <f>IF(BN$59="X","",IF(BN$59&lt;&gt;"",BN$59,IF(IFERROR(INDEX(醫師週班表!$C$5:$T$44,$CU36,BN$57),"")=0,"",IF(MID(IFERROR(INDEX(醫師週班表!$C$5:$T$44,$CU36,BN$57),""),2,1)="/",MID(IFERROR(INDEX(醫師週班表!$C$5:$T$44,$CU36,BN$57),""),1+BN$58*2,1),IF(MID(IFERROR(INDEX(醫師週班表!$C$5:$T$44,$CU36,BN$57),""),3,1)="隔",IF(BN$58=0,LEFT(IFERROR(INDEX(醫師週班表!$C$5:$T$44,$CU36,BN$57),""),1),""),IF(MID(IFERROR(INDEX(醫師週班表!$C$5:$T$44,$CU36,BN$57),""),2,1)="(",LEFT(IFERROR(INDEX(醫師週班表!$C$5:$T$44,$CU36,BN$57),""),1),IFERROR(INDEX(醫師週班表!$C$5:$T$44,$CU36,BN$57),"")))))))</f>
        <v/>
      </c>
      <c r="BO36" s="72">
        <f>IF(BO$59="X","",IF(BO$59&lt;&gt;"",BO$59,IF(IFERROR(INDEX(醫師週班表!$C$5:$T$44,$CU36,BO$57),"")=0,"",IF(MID(IFERROR(INDEX(醫師週班表!$C$5:$T$44,$CU36,BO$57),""),2,1)="/",MID(IFERROR(INDEX(醫師週班表!$C$5:$T$44,$CU36,BO$57),""),1+BO$58*2,1),IF(MID(IFERROR(INDEX(醫師週班表!$C$5:$T$44,$CU36,BO$57),""),3,1)="隔",IF(BO$58=0,LEFT(IFERROR(INDEX(醫師週班表!$C$5:$T$44,$CU36,BO$57),""),1),""),IF(MID(IFERROR(INDEX(醫師週班表!$C$5:$T$44,$CU36,BO$57),""),2,1)="(",LEFT(IFERROR(INDEX(醫師週班表!$C$5:$T$44,$CU36,BO$57),""),1),IFERROR(INDEX(醫師週班表!$C$5:$T$44,$CU36,BO$57),"")))))))</f>
        <v/>
      </c>
      <c r="BP36" s="71">
        <f>IF(BP$59="X","",IF(BP$59&lt;&gt;"",BP$59,IF(IFERROR(INDEX(醫師週班表!$C$5:$T$44,$CU36,BP$57),"")=0,"",IF(MID(IFERROR(INDEX(醫師週班表!$C$5:$T$44,$CU36,BP$57),""),2,1)="/",MID(IFERROR(INDEX(醫師週班表!$C$5:$T$44,$CU36,BP$57),""),1+BP$58*2,1),IF(MID(IFERROR(INDEX(醫師週班表!$C$5:$T$44,$CU36,BP$57),""),3,1)="隔",IF(BP$58=0,LEFT(IFERROR(INDEX(醫師週班表!$C$5:$T$44,$CU36,BP$57),""),1),""),IF(MID(IFERROR(INDEX(醫師週班表!$C$5:$T$44,$CU36,BP$57),""),2,1)="(",LEFT(IFERROR(INDEX(醫師週班表!$C$5:$T$44,$CU36,BP$57),""),1),IFERROR(INDEX(醫師週班表!$C$5:$T$44,$CU36,BP$57),"")))))))</f>
        <v/>
      </c>
      <c r="BQ36" s="72">
        <f>IF(BQ$59="X","",IF(BQ$59&lt;&gt;"",BQ$59,IF(IFERROR(INDEX(醫師週班表!$C$5:$T$44,$CU36,BQ$57),"")=0,"",IF(MID(IFERROR(INDEX(醫師週班表!$C$5:$T$44,$CU36,BQ$57),""),2,1)="/",MID(IFERROR(INDEX(醫師週班表!$C$5:$T$44,$CU36,BQ$57),""),1+BQ$58*2,1),IF(MID(IFERROR(INDEX(醫師週班表!$C$5:$T$44,$CU36,BQ$57),""),3,1)="隔",IF(BQ$58=0,LEFT(IFERROR(INDEX(醫師週班表!$C$5:$T$44,$CU36,BQ$57),""),1),""),IF(MID(IFERROR(INDEX(醫師週班表!$C$5:$T$44,$CU36,BQ$57),""),2,1)="(",LEFT(IFERROR(INDEX(醫師週班表!$C$5:$T$44,$CU36,BQ$57),""),1),IFERROR(INDEX(醫師週班表!$C$5:$T$44,$CU36,BQ$57),"")))))))</f>
        <v/>
      </c>
      <c r="BR36" s="72">
        <f>IF(BR$59="X","",IF(BR$59&lt;&gt;"",BR$59,IF(IFERROR(INDEX(醫師週班表!$C$5:$T$44,$CU36,BR$57),"")=0,"",IF(MID(IFERROR(INDEX(醫師週班表!$C$5:$T$44,$CU36,BR$57),""),2,1)="/",MID(IFERROR(INDEX(醫師週班表!$C$5:$T$44,$CU36,BR$57),""),1+BR$58*2,1),IF(MID(IFERROR(INDEX(醫師週班表!$C$5:$T$44,$CU36,BR$57),""),3,1)="隔",IF(BR$58=0,LEFT(IFERROR(INDEX(醫師週班表!$C$5:$T$44,$CU36,BR$57),""),1),""),IF(MID(IFERROR(INDEX(醫師週班表!$C$5:$T$44,$CU36,BR$57),""),2,1)="(",LEFT(IFERROR(INDEX(醫師週班表!$C$5:$T$44,$CU36,BR$57),""),1),IFERROR(INDEX(醫師週班表!$C$5:$T$44,$CU36,BR$57),"")))))))</f>
        <v/>
      </c>
      <c r="BS36" s="71">
        <f>IF(BS$59="X","",IF(BS$59&lt;&gt;"",BS$59,IF(IFERROR(INDEX(醫師週班表!$C$5:$T$44,$CU36,BS$57),"")=0,"",IF(MID(IFERROR(INDEX(醫師週班表!$C$5:$T$44,$CU36,BS$57),""),2,1)="/",MID(IFERROR(INDEX(醫師週班表!$C$5:$T$44,$CU36,BS$57),""),1+BS$58*2,1),IF(MID(IFERROR(INDEX(醫師週班表!$C$5:$T$44,$CU36,BS$57),""),3,1)="隔",IF(BS$58=0,LEFT(IFERROR(INDEX(醫師週班表!$C$5:$T$44,$CU36,BS$57),""),1),""),IF(MID(IFERROR(INDEX(醫師週班表!$C$5:$T$44,$CU36,BS$57),""),2,1)="(",LEFT(IFERROR(INDEX(醫師週班表!$C$5:$T$44,$CU36,BS$57),""),1),IFERROR(INDEX(醫師週班表!$C$5:$T$44,$CU36,BS$57),"")))))))</f>
        <v/>
      </c>
      <c r="BT36" s="72">
        <f>IF(BT$59="X","",IF(BT$59&lt;&gt;"",BT$59,IF(IFERROR(INDEX(醫師週班表!$C$5:$T$44,$CU36,BT$57),"")=0,"",IF(MID(IFERROR(INDEX(醫師週班表!$C$5:$T$44,$CU36,BT$57),""),2,1)="/",MID(IFERROR(INDEX(醫師週班表!$C$5:$T$44,$CU36,BT$57),""),1+BT$58*2,1),IF(MID(IFERROR(INDEX(醫師週班表!$C$5:$T$44,$CU36,BT$57),""),3,1)="隔",IF(BT$58=0,LEFT(IFERROR(INDEX(醫師週班表!$C$5:$T$44,$CU36,BT$57),""),1),""),IF(MID(IFERROR(INDEX(醫師週班表!$C$5:$T$44,$CU36,BT$57),""),2,1)="(",LEFT(IFERROR(INDEX(醫師週班表!$C$5:$T$44,$CU36,BT$57),""),1),IFERROR(INDEX(醫師週班表!$C$5:$T$44,$CU36,BT$57),"")))))))</f>
        <v/>
      </c>
      <c r="BU36" s="72">
        <f>IF(BU$59="X","",IF(BU$59&lt;&gt;"",BU$59,IF(IFERROR(INDEX(醫師週班表!$C$5:$T$44,$CU36,BU$57),"")=0,"",IF(MID(IFERROR(INDEX(醫師週班表!$C$5:$T$44,$CU36,BU$57),""),2,1)="/",MID(IFERROR(INDEX(醫師週班表!$C$5:$T$44,$CU36,BU$57),""),1+BU$58*2,1),IF(MID(IFERROR(INDEX(醫師週班表!$C$5:$T$44,$CU36,BU$57),""),3,1)="隔",IF(BU$58=0,LEFT(IFERROR(INDEX(醫師週班表!$C$5:$T$44,$CU36,BU$57),""),1),""),IF(MID(IFERROR(INDEX(醫師週班表!$C$5:$T$44,$CU36,BU$57),""),2,1)="(",LEFT(IFERROR(INDEX(醫師週班表!$C$5:$T$44,$CU36,BU$57),""),1),IFERROR(INDEX(醫師週班表!$C$5:$T$44,$CU36,BU$57),"")))))))</f>
        <v/>
      </c>
      <c r="BV36" s="71">
        <f>IF(BV$59="X","",IF(BV$59&lt;&gt;"",BV$59,IF(IFERROR(INDEX(醫師週班表!$C$5:$T$44,$CU36,BV$57),"")=0,"",IF(MID(IFERROR(INDEX(醫師週班表!$C$5:$T$44,$CU36,BV$57),""),2,1)="/",MID(IFERROR(INDEX(醫師週班表!$C$5:$T$44,$CU36,BV$57),""),1+BV$58*2,1),IF(MID(IFERROR(INDEX(醫師週班表!$C$5:$T$44,$CU36,BV$57),""),3,1)="隔",IF(BV$58=0,LEFT(IFERROR(INDEX(醫師週班表!$C$5:$T$44,$CU36,BV$57),""),1),""),IF(MID(IFERROR(INDEX(醫師週班表!$C$5:$T$44,$CU36,BV$57),""),2,1)="(",LEFT(IFERROR(INDEX(醫師週班表!$C$5:$T$44,$CU36,BV$57),""),1),IFERROR(INDEX(醫師週班表!$C$5:$T$44,$CU36,BV$57),"")))))))</f>
        <v/>
      </c>
      <c r="BW36" s="72">
        <f>IF(BW$59="X","",IF(BW$59&lt;&gt;"",BW$59,IF(IFERROR(INDEX(醫師週班表!$C$5:$T$44,$CU36,BW$57),"")=0,"",IF(MID(IFERROR(INDEX(醫師週班表!$C$5:$T$44,$CU36,BW$57),""),2,1)="/",MID(IFERROR(INDEX(醫師週班表!$C$5:$T$44,$CU36,BW$57),""),1+BW$58*2,1),IF(MID(IFERROR(INDEX(醫師週班表!$C$5:$T$44,$CU36,BW$57),""),3,1)="隔",IF(BW$58=0,LEFT(IFERROR(INDEX(醫師週班表!$C$5:$T$44,$CU36,BW$57),""),1),""),IF(MID(IFERROR(INDEX(醫師週班表!$C$5:$T$44,$CU36,BW$57),""),2,1)="(",LEFT(IFERROR(INDEX(醫師週班表!$C$5:$T$44,$CU36,BW$57),""),1),IFERROR(INDEX(醫師週班表!$C$5:$T$44,$CU36,BW$57),"")))))))</f>
        <v/>
      </c>
      <c r="BX36" s="72">
        <f>IF(BX$59="X","",IF(BX$59&lt;&gt;"",BX$59,IF(IFERROR(INDEX(醫師週班表!$C$5:$T$44,$CU36,BX$57),"")=0,"",IF(MID(IFERROR(INDEX(醫師週班表!$C$5:$T$44,$CU36,BX$57),""),2,1)="/",MID(IFERROR(INDEX(醫師週班表!$C$5:$T$44,$CU36,BX$57),""),1+BX$58*2,1),IF(MID(IFERROR(INDEX(醫師週班表!$C$5:$T$44,$CU36,BX$57),""),3,1)="隔",IF(BX$58=0,LEFT(IFERROR(INDEX(醫師週班表!$C$5:$T$44,$CU36,BX$57),""),1),""),IF(MID(IFERROR(INDEX(醫師週班表!$C$5:$T$44,$CU36,BX$57),""),2,1)="(",LEFT(IFERROR(INDEX(醫師週班表!$C$5:$T$44,$CU36,BX$57),""),1),IFERROR(INDEX(醫師週班表!$C$5:$T$44,$CU36,BX$57),"")))))))</f>
        <v/>
      </c>
      <c r="BY36" s="71">
        <f>IF(BY$59="X","",IF(BY$59&lt;&gt;"",BY$59,IF(IFERROR(INDEX(醫師週班表!$C$5:$T$44,$CU36,BY$57),"")=0,"",IF(MID(IFERROR(INDEX(醫師週班表!$C$5:$T$44,$CU36,BY$57),""),2,1)="/",MID(IFERROR(INDEX(醫師週班表!$C$5:$T$44,$CU36,BY$57),""),1+BY$58*2,1),IF(MID(IFERROR(INDEX(醫師週班表!$C$5:$T$44,$CU36,BY$57),""),3,1)="隔",IF(BY$58=0,LEFT(IFERROR(INDEX(醫師週班表!$C$5:$T$44,$CU36,BY$57),""),1),""),IF(MID(IFERROR(INDEX(醫師週班表!$C$5:$T$44,$CU36,BY$57),""),2,1)="(",LEFT(IFERROR(INDEX(醫師週班表!$C$5:$T$44,$CU36,BY$57),""),1),IFERROR(INDEX(醫師週班表!$C$5:$T$44,$CU36,BY$57),"")))))))</f>
        <v/>
      </c>
      <c r="BZ36" s="72">
        <f>IF(BZ$59="X","",IF(BZ$59&lt;&gt;"",BZ$59,IF(IFERROR(INDEX(醫師週班表!$C$5:$T$44,$CU36,BZ$57),"")=0,"",IF(MID(IFERROR(INDEX(醫師週班表!$C$5:$T$44,$CU36,BZ$57),""),2,1)="/",MID(IFERROR(INDEX(醫師週班表!$C$5:$T$44,$CU36,BZ$57),""),1+BZ$58*2,1),IF(MID(IFERROR(INDEX(醫師週班表!$C$5:$T$44,$CU36,BZ$57),""),3,1)="隔",IF(BZ$58=0,LEFT(IFERROR(INDEX(醫師週班表!$C$5:$T$44,$CU36,BZ$57),""),1),""),IF(MID(IFERROR(INDEX(醫師週班表!$C$5:$T$44,$CU36,BZ$57),""),2,1)="(",LEFT(IFERROR(INDEX(醫師週班表!$C$5:$T$44,$CU36,BZ$57),""),1),IFERROR(INDEX(醫師週班表!$C$5:$T$44,$CU36,BZ$57),"")))))))</f>
        <v/>
      </c>
      <c r="CA36" s="72">
        <f>IF(CA$59="X","",IF(CA$59&lt;&gt;"",CA$59,IF(IFERROR(INDEX(醫師週班表!$C$5:$T$44,$CU36,CA$57),"")=0,"",IF(MID(IFERROR(INDEX(醫師週班表!$C$5:$T$44,$CU36,CA$57),""),2,1)="/",MID(IFERROR(INDEX(醫師週班表!$C$5:$T$44,$CU36,CA$57),""),1+CA$58*2,1),IF(MID(IFERROR(INDEX(醫師週班表!$C$5:$T$44,$CU36,CA$57),""),3,1)="隔",IF(CA$58=0,LEFT(IFERROR(INDEX(醫師週班表!$C$5:$T$44,$CU36,CA$57),""),1),""),IF(MID(IFERROR(INDEX(醫師週班表!$C$5:$T$44,$CU36,CA$57),""),2,1)="(",LEFT(IFERROR(INDEX(醫師週班表!$C$5:$T$44,$CU36,CA$57),""),1),IFERROR(INDEX(醫師週班表!$C$5:$T$44,$CU36,CA$57),"")))))))</f>
        <v/>
      </c>
      <c r="CB36" s="71">
        <f>IF(CB$59="X","",IF(CB$59&lt;&gt;"",CB$59,IF(IFERROR(INDEX(醫師週班表!$C$5:$T$44,$CU36,CB$57),"")=0,"",IF(MID(IFERROR(INDEX(醫師週班表!$C$5:$T$44,$CU36,CB$57),""),2,1)="/",MID(IFERROR(INDEX(醫師週班表!$C$5:$T$44,$CU36,CB$57),""),1+CB$58*2,1),IF(MID(IFERROR(INDEX(醫師週班表!$C$5:$T$44,$CU36,CB$57),""),3,1)="隔",IF(CB$58=0,LEFT(IFERROR(INDEX(醫師週班表!$C$5:$T$44,$CU36,CB$57),""),1),""),IF(MID(IFERROR(INDEX(醫師週班表!$C$5:$T$44,$CU36,CB$57),""),2,1)="(",LEFT(IFERROR(INDEX(醫師週班表!$C$5:$T$44,$CU36,CB$57),""),1),IFERROR(INDEX(醫師週班表!$C$5:$T$44,$CU36,CB$57),"")))))))</f>
        <v/>
      </c>
      <c r="CC36" s="72">
        <f>IF(CC$59="X","",IF(CC$59&lt;&gt;"",CC$59,IF(IFERROR(INDEX(醫師週班表!$C$5:$T$44,$CU36,CC$57),"")=0,"",IF(MID(IFERROR(INDEX(醫師週班表!$C$5:$T$44,$CU36,CC$57),""),2,1)="/",MID(IFERROR(INDEX(醫師週班表!$C$5:$T$44,$CU36,CC$57),""),1+CC$58*2,1),IF(MID(IFERROR(INDEX(醫師週班表!$C$5:$T$44,$CU36,CC$57),""),3,1)="隔",IF(CC$58=0,LEFT(IFERROR(INDEX(醫師週班表!$C$5:$T$44,$CU36,CC$57),""),1),""),IF(MID(IFERROR(INDEX(醫師週班表!$C$5:$T$44,$CU36,CC$57),""),2,1)="(",LEFT(IFERROR(INDEX(醫師週班表!$C$5:$T$44,$CU36,CC$57),""),1),IFERROR(INDEX(醫師週班表!$C$5:$T$44,$CU36,CC$57),"")))))))</f>
        <v/>
      </c>
      <c r="CD36" s="72">
        <f>IF(CD$59="X","",IF(CD$59&lt;&gt;"",CD$59,IF(IFERROR(INDEX(醫師週班表!$C$5:$T$44,$CU36,CD$57),"")=0,"",IF(MID(IFERROR(INDEX(醫師週班表!$C$5:$T$44,$CU36,CD$57),""),2,1)="/",MID(IFERROR(INDEX(醫師週班表!$C$5:$T$44,$CU36,CD$57),""),1+CD$58*2,1),IF(MID(IFERROR(INDEX(醫師週班表!$C$5:$T$44,$CU36,CD$57),""),3,1)="隔",IF(CD$58=0,LEFT(IFERROR(INDEX(醫師週班表!$C$5:$T$44,$CU36,CD$57),""),1),""),IF(MID(IFERROR(INDEX(醫師週班表!$C$5:$T$44,$CU36,CD$57),""),2,1)="(",LEFT(IFERROR(INDEX(醫師週班表!$C$5:$T$44,$CU36,CD$57),""),1),IFERROR(INDEX(醫師週班表!$C$5:$T$44,$CU36,CD$57),"")))))))</f>
        <v/>
      </c>
      <c r="CE36" s="71">
        <f>IF(CE$59="X","",IF(CE$59&lt;&gt;"",CE$59,IF(IFERROR(INDEX(醫師週班表!$C$5:$T$44,$CU36,CE$57),"")=0,"",IF(MID(IFERROR(INDEX(醫師週班表!$C$5:$T$44,$CU36,CE$57),""),2,1)="/",MID(IFERROR(INDEX(醫師週班表!$C$5:$T$44,$CU36,CE$57),""),1+CE$58*2,1),IF(MID(IFERROR(INDEX(醫師週班表!$C$5:$T$44,$CU36,CE$57),""),3,1)="隔",IF(CE$58=0,LEFT(IFERROR(INDEX(醫師週班表!$C$5:$T$44,$CU36,CE$57),""),1),""),IF(MID(IFERROR(INDEX(醫師週班表!$C$5:$T$44,$CU36,CE$57),""),2,1)="(",LEFT(IFERROR(INDEX(醫師週班表!$C$5:$T$44,$CU36,CE$57),""),1),IFERROR(INDEX(醫師週班表!$C$5:$T$44,$CU36,CE$57),"")))))))</f>
        <v/>
      </c>
      <c r="CF36" s="72">
        <f>IF(CF$59="X","",IF(CF$59&lt;&gt;"",CF$59,IF(IFERROR(INDEX(醫師週班表!$C$5:$T$44,$CU36,CF$57),"")=0,"",IF(MID(IFERROR(INDEX(醫師週班表!$C$5:$T$44,$CU36,CF$57),""),2,1)="/",MID(IFERROR(INDEX(醫師週班表!$C$5:$T$44,$CU36,CF$57),""),1+CF$58*2,1),IF(MID(IFERROR(INDEX(醫師週班表!$C$5:$T$44,$CU36,CF$57),""),3,1)="隔",IF(CF$58=0,LEFT(IFERROR(INDEX(醫師週班表!$C$5:$T$44,$CU36,CF$57),""),1),""),IF(MID(IFERROR(INDEX(醫師週班表!$C$5:$T$44,$CU36,CF$57),""),2,1)="(",LEFT(IFERROR(INDEX(醫師週班表!$C$5:$T$44,$CU36,CF$57),""),1),IFERROR(INDEX(醫師週班表!$C$5:$T$44,$CU36,CF$57),"")))))))</f>
        <v/>
      </c>
      <c r="CG36" s="72">
        <f>IF(CG$59="X","",IF(CG$59&lt;&gt;"",CG$59,IF(IFERROR(INDEX(醫師週班表!$C$5:$T$44,$CU36,CG$57),"")=0,"",IF(MID(IFERROR(INDEX(醫師週班表!$C$5:$T$44,$CU36,CG$57),""),2,1)="/",MID(IFERROR(INDEX(醫師週班表!$C$5:$T$44,$CU36,CG$57),""),1+CG$58*2,1),IF(MID(IFERROR(INDEX(醫師週班表!$C$5:$T$44,$CU36,CG$57),""),3,1)="隔",IF(CG$58=0,LEFT(IFERROR(INDEX(醫師週班表!$C$5:$T$44,$CU36,CG$57),""),1),""),IF(MID(IFERROR(INDEX(醫師週班表!$C$5:$T$44,$CU36,CG$57),""),2,1)="(",LEFT(IFERROR(INDEX(醫師週班表!$C$5:$T$44,$CU36,CG$57),""),1),IFERROR(INDEX(醫師週班表!$C$5:$T$44,$CU36,CG$57),"")))))))</f>
        <v/>
      </c>
      <c r="CH36" s="71">
        <f>IF(CH$59="X","",IF(CH$59&lt;&gt;"",CH$59,IF(IFERROR(INDEX(醫師週班表!$C$5:$T$44,$CU36,CH$57),"")=0,"",IF(MID(IFERROR(INDEX(醫師週班表!$C$5:$T$44,$CU36,CH$57),""),2,1)="/",MID(IFERROR(INDEX(醫師週班表!$C$5:$T$44,$CU36,CH$57),""),1+CH$58*2,1),IF(MID(IFERROR(INDEX(醫師週班表!$C$5:$T$44,$CU36,CH$57),""),3,1)="隔",IF(CH$58=0,LEFT(IFERROR(INDEX(醫師週班表!$C$5:$T$44,$CU36,CH$57),""),1),""),IF(MID(IFERROR(INDEX(醫師週班表!$C$5:$T$44,$CU36,CH$57),""),2,1)="(",LEFT(IFERROR(INDEX(醫師週班表!$C$5:$T$44,$CU36,CH$57),""),1),IFERROR(INDEX(醫師週班表!$C$5:$T$44,$CU36,CH$57),"")))))))</f>
        <v/>
      </c>
      <c r="CI36" s="72">
        <f>IF(CI$59="X","",IF(CI$59&lt;&gt;"",CI$59,IF(IFERROR(INDEX(醫師週班表!$C$5:$T$44,$CU36,CI$57),"")=0,"",IF(MID(IFERROR(INDEX(醫師週班表!$C$5:$T$44,$CU36,CI$57),""),2,1)="/",MID(IFERROR(INDEX(醫師週班表!$C$5:$T$44,$CU36,CI$57),""),1+CI$58*2,1),IF(MID(IFERROR(INDEX(醫師週班表!$C$5:$T$44,$CU36,CI$57),""),3,1)="隔",IF(CI$58=0,LEFT(IFERROR(INDEX(醫師週班表!$C$5:$T$44,$CU36,CI$57),""),1),""),IF(MID(IFERROR(INDEX(醫師週班表!$C$5:$T$44,$CU36,CI$57),""),2,1)="(",LEFT(IFERROR(INDEX(醫師週班表!$C$5:$T$44,$CU36,CI$57),""),1),IFERROR(INDEX(醫師週班表!$C$5:$T$44,$CU36,CI$57),"")))))))</f>
        <v/>
      </c>
      <c r="CJ36" s="72">
        <f>IF(CJ$59="X","",IF(CJ$59&lt;&gt;"",CJ$59,IF(IFERROR(INDEX(醫師週班表!$C$5:$T$44,$CU36,CJ$57),"")=0,"",IF(MID(IFERROR(INDEX(醫師週班表!$C$5:$T$44,$CU36,CJ$57),""),2,1)="/",MID(IFERROR(INDEX(醫師週班表!$C$5:$T$44,$CU36,CJ$57),""),1+CJ$58*2,1),IF(MID(IFERROR(INDEX(醫師週班表!$C$5:$T$44,$CU36,CJ$57),""),3,1)="隔",IF(CJ$58=0,LEFT(IFERROR(INDEX(醫師週班表!$C$5:$T$44,$CU36,CJ$57),""),1),""),IF(MID(IFERROR(INDEX(醫師週班表!$C$5:$T$44,$CU36,CJ$57),""),2,1)="(",LEFT(IFERROR(INDEX(醫師週班表!$C$5:$T$44,$CU36,CJ$57),""),1),IFERROR(INDEX(醫師週班表!$C$5:$T$44,$CU36,CJ$57),"")))))))</f>
        <v/>
      </c>
      <c r="CK36" s="71">
        <f>IF(CK$59="X","",IF(CK$59&lt;&gt;"",CK$59,IF(IFERROR(INDEX(醫師週班表!$C$5:$T$44,$CU36,CK$57),"")=0,"",IF(MID(IFERROR(INDEX(醫師週班表!$C$5:$T$44,$CU36,CK$57),""),2,1)="/",MID(IFERROR(INDEX(醫師週班表!$C$5:$T$44,$CU36,CK$57),""),1+CK$58*2,1),IF(MID(IFERROR(INDEX(醫師週班表!$C$5:$T$44,$CU36,CK$57),""),3,1)="隔",IF(CK$58=0,LEFT(IFERROR(INDEX(醫師週班表!$C$5:$T$44,$CU36,CK$57),""),1),""),IF(MID(IFERROR(INDEX(醫師週班表!$C$5:$T$44,$CU36,CK$57),""),2,1)="(",LEFT(IFERROR(INDEX(醫師週班表!$C$5:$T$44,$CU36,CK$57),""),1),IFERROR(INDEX(醫師週班表!$C$5:$T$44,$CU36,CK$57),"")))))))</f>
        <v/>
      </c>
      <c r="CL36" s="72">
        <f>IF(CL$59="X","",IF(CL$59&lt;&gt;"",CL$59,IF(IFERROR(INDEX(醫師週班表!$C$5:$T$44,$CU36,CL$57),"")=0,"",IF(MID(IFERROR(INDEX(醫師週班表!$C$5:$T$44,$CU36,CL$57),""),2,1)="/",MID(IFERROR(INDEX(醫師週班表!$C$5:$T$44,$CU36,CL$57),""),1+CL$58*2,1),IF(MID(IFERROR(INDEX(醫師週班表!$C$5:$T$44,$CU36,CL$57),""),3,1)="隔",IF(CL$58=0,LEFT(IFERROR(INDEX(醫師週班表!$C$5:$T$44,$CU36,CL$57),""),1),""),IF(MID(IFERROR(INDEX(醫師週班表!$C$5:$T$44,$CU36,CL$57),""),2,1)="(",LEFT(IFERROR(INDEX(醫師週班表!$C$5:$T$44,$CU36,CL$57),""),1),IFERROR(INDEX(醫師週班表!$C$5:$T$44,$CU36,CL$57),"")))))))</f>
        <v/>
      </c>
      <c r="CM36" s="72">
        <f>IF(CM$59="X","",IF(CM$59&lt;&gt;"",CM$59,IF(IFERROR(INDEX(醫師週班表!$C$5:$T$44,$CU36,CM$57),"")=0,"",IF(MID(IFERROR(INDEX(醫師週班表!$C$5:$T$44,$CU36,CM$57),""),2,1)="/",MID(IFERROR(INDEX(醫師週班表!$C$5:$T$44,$CU36,CM$57),""),1+CM$58*2,1),IF(MID(IFERROR(INDEX(醫師週班表!$C$5:$T$44,$CU36,CM$57),""),3,1)="隔",IF(CM$58=0,LEFT(IFERROR(INDEX(醫師週班表!$C$5:$T$44,$CU36,CM$57),""),1),""),IF(MID(IFERROR(INDEX(醫師週班表!$C$5:$T$44,$CU36,CM$57),""),2,1)="(",LEFT(IFERROR(INDEX(醫師週班表!$C$5:$T$44,$CU36,CM$57),""),1),IFERROR(INDEX(醫師週班表!$C$5:$T$44,$CU36,CM$57),"")))))))</f>
        <v/>
      </c>
      <c r="CN36" s="71">
        <f>IF(CN$59="X","",IF(CN$59&lt;&gt;"",CN$59,IF(IFERROR(INDEX(醫師週班表!$C$5:$T$44,$CU36,CN$57),"")=0,"",IF(MID(IFERROR(INDEX(醫師週班表!$C$5:$T$44,$CU36,CN$57),""),2,1)="/",MID(IFERROR(INDEX(醫師週班表!$C$5:$T$44,$CU36,CN$57),""),1+CN$58*2,1),IF(MID(IFERROR(INDEX(醫師週班表!$C$5:$T$44,$CU36,CN$57),""),3,1)="隔",IF(CN$58=0,LEFT(IFERROR(INDEX(醫師週班表!$C$5:$T$44,$CU36,CN$57),""),1),""),IF(MID(IFERROR(INDEX(醫師週班表!$C$5:$T$44,$CU36,CN$57),""),2,1)="(",LEFT(IFERROR(INDEX(醫師週班表!$C$5:$T$44,$CU36,CN$57),""),1),IFERROR(INDEX(醫師週班表!$C$5:$T$44,$CU36,CN$57),"")))))))</f>
        <v/>
      </c>
      <c r="CO36" s="72">
        <f>IF(CO$59="X","",IF(CO$59&lt;&gt;"",CO$59,IF(IFERROR(INDEX(醫師週班表!$C$5:$T$44,$CU36,CO$57),"")=0,"",IF(MID(IFERROR(INDEX(醫師週班表!$C$5:$T$44,$CU36,CO$57),""),2,1)="/",MID(IFERROR(INDEX(醫師週班表!$C$5:$T$44,$CU36,CO$57),""),1+CO$58*2,1),IF(MID(IFERROR(INDEX(醫師週班表!$C$5:$T$44,$CU36,CO$57),""),3,1)="隔",IF(CO$58=0,LEFT(IFERROR(INDEX(醫師週班表!$C$5:$T$44,$CU36,CO$57),""),1),""),IF(MID(IFERROR(INDEX(醫師週班表!$C$5:$T$44,$CU36,CO$57),""),2,1)="(",LEFT(IFERROR(INDEX(醫師週班表!$C$5:$T$44,$CU36,CO$57),""),1),IFERROR(INDEX(醫師週班表!$C$5:$T$44,$CU36,CO$57),"")))))))</f>
        <v/>
      </c>
      <c r="CP36" s="72">
        <f>IF(CP$59="X","",IF(CP$59&lt;&gt;"",CP$59,IF(IFERROR(INDEX(醫師週班表!$C$5:$T$44,$CU36,CP$57),"")=0,"",IF(MID(IFERROR(INDEX(醫師週班表!$C$5:$T$44,$CU36,CP$57),""),2,1)="/",MID(IFERROR(INDEX(醫師週班表!$C$5:$T$44,$CU36,CP$57),""),1+CP$58*2,1),IF(MID(IFERROR(INDEX(醫師週班表!$C$5:$T$44,$CU36,CP$57),""),3,1)="隔",IF(CP$58=0,LEFT(IFERROR(INDEX(醫師週班表!$C$5:$T$44,$CU36,CP$57),""),1),""),IF(MID(IFERROR(INDEX(醫師週班表!$C$5:$T$44,$CU36,CP$57),""),2,1)="(",LEFT(IFERROR(INDEX(醫師週班表!$C$5:$T$44,$CU36,CP$57),""),1),IFERROR(INDEX(醫師週班表!$C$5:$T$44,$CU36,CP$57),"")))))))</f>
        <v/>
      </c>
      <c r="CQ36" s="71">
        <f>IF(CQ$59="X","",IF(CQ$59&lt;&gt;"",CQ$59,IF(IFERROR(INDEX(醫師週班表!$C$5:$T$44,$CU36,CQ$57),"")=0,"",IF(MID(IFERROR(INDEX(醫師週班表!$C$5:$T$44,$CU36,CQ$57),""),2,1)="/",MID(IFERROR(INDEX(醫師週班表!$C$5:$T$44,$CU36,CQ$57),""),1+CQ$58*2,1),IF(MID(IFERROR(INDEX(醫師週班表!$C$5:$T$44,$CU36,CQ$57),""),3,1)="隔",IF(CQ$58=0,LEFT(IFERROR(INDEX(醫師週班表!$C$5:$T$44,$CU36,CQ$57),""),1),""),IF(MID(IFERROR(INDEX(醫師週班表!$C$5:$T$44,$CU36,CQ$57),""),2,1)="(",LEFT(IFERROR(INDEX(醫師週班表!$C$5:$T$44,$CU36,CQ$57),""),1),IFERROR(INDEX(醫師週班表!$C$5:$T$44,$CU36,CQ$57),"")))))))</f>
        <v/>
      </c>
      <c r="CR36" s="72">
        <f>IF(CR$59="X","",IF(CR$59&lt;&gt;"",CR$59,IF(IFERROR(INDEX(醫師週班表!$C$5:$T$44,$CU36,CR$57),"")=0,"",IF(MID(IFERROR(INDEX(醫師週班表!$C$5:$T$44,$CU36,CR$57),""),2,1)="/",MID(IFERROR(INDEX(醫師週班表!$C$5:$T$44,$CU36,CR$57),""),1+CR$58*2,1),IF(MID(IFERROR(INDEX(醫師週班表!$C$5:$T$44,$CU36,CR$57),""),3,1)="隔",IF(CR$58=0,LEFT(IFERROR(INDEX(醫師週班表!$C$5:$T$44,$CU36,CR$57),""),1),""),IF(MID(IFERROR(INDEX(醫師週班表!$C$5:$T$44,$CU36,CR$57),""),2,1)="(",LEFT(IFERROR(INDEX(醫師週班表!$C$5:$T$44,$CU36,CR$57),""),1),IFERROR(INDEX(醫師週班表!$C$5:$T$44,$CU36,CR$57),"")))))))</f>
        <v/>
      </c>
      <c r="CS36" s="72">
        <f>IF(CS$59="X","",IF(CS$59&lt;&gt;"",CS$59,IF(IFERROR(INDEX(醫師週班表!$C$5:$T$44,$CU36,CS$57),"")=0,"",IF(MID(IFERROR(INDEX(醫師週班表!$C$5:$T$44,$CU36,CS$57),""),2,1)="/",MID(IFERROR(INDEX(醫師週班表!$C$5:$T$44,$CU36,CS$57),""),1+CS$58*2,1),IF(MID(IFERROR(INDEX(醫師週班表!$C$5:$T$44,$CU36,CS$57),""),3,1)="隔",IF(CS$58=0,LEFT(IFERROR(INDEX(醫師週班表!$C$5:$T$44,$CU36,CS$57),""),1),""),IF(MID(IFERROR(INDEX(醫師週班表!$C$5:$T$44,$CU36,CS$57),""),2,1)="(",LEFT(IFERROR(INDEX(醫師週班表!$C$5:$T$44,$CU36,CS$57),""),1),IFERROR(INDEX(醫師週班表!$C$5:$T$44,$CU36,CS$57),"")))))))</f>
        <v/>
      </c>
      <c r="CU36" s="73">
        <f>IFERROR(MATCH($A36,醫師週班表!$A$5:$A$44,0),0)</f>
        <v/>
      </c>
    </row>
    <row r="37" ht="17" customHeight="1">
      <c r="A37" s="19" t="n"/>
      <c r="B37" s="16">
        <f>IFERROR(INDEX(設定!$C$64:$C$203,MATCH($A37,設定!$B$64:$B$203,0)),"")</f>
        <v/>
      </c>
      <c r="C37" s="70">
        <f>IFERROR(INDEX(設定!$E$64:$E$203,MATCH($A37,設定!$B$64:$B$203,0)),"")</f>
        <v/>
      </c>
      <c r="D37" s="16">
        <f>IFERROR(INDEX(設定!$F$64:$F$203,MATCH($A37,設定!$B$64:$B$203,0)),"")</f>
        <v/>
      </c>
      <c r="E37" s="71">
        <f>IF(E$59="X","",IF(E$59&lt;&gt;"",E$59,IF(IFERROR(INDEX(醫師週班表!$C$5:$T$44,$CU37,E$57),"")=0,"",IF(MID(IFERROR(INDEX(醫師週班表!$C$5:$T$44,$CU37,E$57),""),2,1)="/",MID(IFERROR(INDEX(醫師週班表!$C$5:$T$44,$CU37,E$57),""),1+E$58*2,1),IF(MID(IFERROR(INDEX(醫師週班表!$C$5:$T$44,$CU37,E$57),""),3,1)="隔",IF(E$58=0,LEFT(IFERROR(INDEX(醫師週班表!$C$5:$T$44,$CU37,E$57),""),1),""),IF(MID(IFERROR(INDEX(醫師週班表!$C$5:$T$44,$CU37,E$57),""),2,1)="(",LEFT(IFERROR(INDEX(醫師週班表!$C$5:$T$44,$CU37,E$57),""),1),IFERROR(INDEX(醫師週班表!$C$5:$T$44,$CU37,E$57),"")))))))</f>
        <v/>
      </c>
      <c r="F37" s="72">
        <f>IF(F$59="X","",IF(F$59&lt;&gt;"",F$59,IF(IFERROR(INDEX(醫師週班表!$C$5:$T$44,$CU37,F$57),"")=0,"",IF(MID(IFERROR(INDEX(醫師週班表!$C$5:$T$44,$CU37,F$57),""),2,1)="/",MID(IFERROR(INDEX(醫師週班表!$C$5:$T$44,$CU37,F$57),""),1+F$58*2,1),IF(MID(IFERROR(INDEX(醫師週班表!$C$5:$T$44,$CU37,F$57),""),3,1)="隔",IF(F$58=0,LEFT(IFERROR(INDEX(醫師週班表!$C$5:$T$44,$CU37,F$57),""),1),""),IF(MID(IFERROR(INDEX(醫師週班表!$C$5:$T$44,$CU37,F$57),""),2,1)="(",LEFT(IFERROR(INDEX(醫師週班表!$C$5:$T$44,$CU37,F$57),""),1),IFERROR(INDEX(醫師週班表!$C$5:$T$44,$CU37,F$57),"")))))))</f>
        <v/>
      </c>
      <c r="G37" s="72">
        <f>IF(G$59="X","",IF(G$59&lt;&gt;"",G$59,IF(IFERROR(INDEX(醫師週班表!$C$5:$T$44,$CU37,G$57),"")=0,"",IF(MID(IFERROR(INDEX(醫師週班表!$C$5:$T$44,$CU37,G$57),""),2,1)="/",MID(IFERROR(INDEX(醫師週班表!$C$5:$T$44,$CU37,G$57),""),1+G$58*2,1),IF(MID(IFERROR(INDEX(醫師週班表!$C$5:$T$44,$CU37,G$57),""),3,1)="隔",IF(G$58=0,LEFT(IFERROR(INDEX(醫師週班表!$C$5:$T$44,$CU37,G$57),""),1),""),IF(MID(IFERROR(INDEX(醫師週班表!$C$5:$T$44,$CU37,G$57),""),2,1)="(",LEFT(IFERROR(INDEX(醫師週班表!$C$5:$T$44,$CU37,G$57),""),1),IFERROR(INDEX(醫師週班表!$C$5:$T$44,$CU37,G$57),"")))))))</f>
        <v/>
      </c>
      <c r="H37" s="71">
        <f>IF(H$59="X","",IF(H$59&lt;&gt;"",H$59,IF(IFERROR(INDEX(醫師週班表!$C$5:$T$44,$CU37,H$57),"")=0,"",IF(MID(IFERROR(INDEX(醫師週班表!$C$5:$T$44,$CU37,H$57),""),2,1)="/",MID(IFERROR(INDEX(醫師週班表!$C$5:$T$44,$CU37,H$57),""),1+H$58*2,1),IF(MID(IFERROR(INDEX(醫師週班表!$C$5:$T$44,$CU37,H$57),""),3,1)="隔",IF(H$58=0,LEFT(IFERROR(INDEX(醫師週班表!$C$5:$T$44,$CU37,H$57),""),1),""),IF(MID(IFERROR(INDEX(醫師週班表!$C$5:$T$44,$CU37,H$57),""),2,1)="(",LEFT(IFERROR(INDEX(醫師週班表!$C$5:$T$44,$CU37,H$57),""),1),IFERROR(INDEX(醫師週班表!$C$5:$T$44,$CU37,H$57),"")))))))</f>
        <v/>
      </c>
      <c r="I37" s="72">
        <f>IF(I$59="X","",IF(I$59&lt;&gt;"",I$59,IF(IFERROR(INDEX(醫師週班表!$C$5:$T$44,$CU37,I$57),"")=0,"",IF(MID(IFERROR(INDEX(醫師週班表!$C$5:$T$44,$CU37,I$57),""),2,1)="/",MID(IFERROR(INDEX(醫師週班表!$C$5:$T$44,$CU37,I$57),""),1+I$58*2,1),IF(MID(IFERROR(INDEX(醫師週班表!$C$5:$T$44,$CU37,I$57),""),3,1)="隔",IF(I$58=0,LEFT(IFERROR(INDEX(醫師週班表!$C$5:$T$44,$CU37,I$57),""),1),""),IF(MID(IFERROR(INDEX(醫師週班表!$C$5:$T$44,$CU37,I$57),""),2,1)="(",LEFT(IFERROR(INDEX(醫師週班表!$C$5:$T$44,$CU37,I$57),""),1),IFERROR(INDEX(醫師週班表!$C$5:$T$44,$CU37,I$57),"")))))))</f>
        <v/>
      </c>
      <c r="J37" s="72">
        <f>IF(J$59="X","",IF(J$59&lt;&gt;"",J$59,IF(IFERROR(INDEX(醫師週班表!$C$5:$T$44,$CU37,J$57),"")=0,"",IF(MID(IFERROR(INDEX(醫師週班表!$C$5:$T$44,$CU37,J$57),""),2,1)="/",MID(IFERROR(INDEX(醫師週班表!$C$5:$T$44,$CU37,J$57),""),1+J$58*2,1),IF(MID(IFERROR(INDEX(醫師週班表!$C$5:$T$44,$CU37,J$57),""),3,1)="隔",IF(J$58=0,LEFT(IFERROR(INDEX(醫師週班表!$C$5:$T$44,$CU37,J$57),""),1),""),IF(MID(IFERROR(INDEX(醫師週班表!$C$5:$T$44,$CU37,J$57),""),2,1)="(",LEFT(IFERROR(INDEX(醫師週班表!$C$5:$T$44,$CU37,J$57),""),1),IFERROR(INDEX(醫師週班表!$C$5:$T$44,$CU37,J$57),"")))))))</f>
        <v/>
      </c>
      <c r="K37" s="71">
        <f>IF(K$59="X","",IF(K$59&lt;&gt;"",K$59,IF(IFERROR(INDEX(醫師週班表!$C$5:$T$44,$CU37,K$57),"")=0,"",IF(MID(IFERROR(INDEX(醫師週班表!$C$5:$T$44,$CU37,K$57),""),2,1)="/",MID(IFERROR(INDEX(醫師週班表!$C$5:$T$44,$CU37,K$57),""),1+K$58*2,1),IF(MID(IFERROR(INDEX(醫師週班表!$C$5:$T$44,$CU37,K$57),""),3,1)="隔",IF(K$58=0,LEFT(IFERROR(INDEX(醫師週班表!$C$5:$T$44,$CU37,K$57),""),1),""),IF(MID(IFERROR(INDEX(醫師週班表!$C$5:$T$44,$CU37,K$57),""),2,1)="(",LEFT(IFERROR(INDEX(醫師週班表!$C$5:$T$44,$CU37,K$57),""),1),IFERROR(INDEX(醫師週班表!$C$5:$T$44,$CU37,K$57),"")))))))</f>
        <v/>
      </c>
      <c r="L37" s="72">
        <f>IF(L$59="X","",IF(L$59&lt;&gt;"",L$59,IF(IFERROR(INDEX(醫師週班表!$C$5:$T$44,$CU37,L$57),"")=0,"",IF(MID(IFERROR(INDEX(醫師週班表!$C$5:$T$44,$CU37,L$57),""),2,1)="/",MID(IFERROR(INDEX(醫師週班表!$C$5:$T$44,$CU37,L$57),""),1+L$58*2,1),IF(MID(IFERROR(INDEX(醫師週班表!$C$5:$T$44,$CU37,L$57),""),3,1)="隔",IF(L$58=0,LEFT(IFERROR(INDEX(醫師週班表!$C$5:$T$44,$CU37,L$57),""),1),""),IF(MID(IFERROR(INDEX(醫師週班表!$C$5:$T$44,$CU37,L$57),""),2,1)="(",LEFT(IFERROR(INDEX(醫師週班表!$C$5:$T$44,$CU37,L$57),""),1),IFERROR(INDEX(醫師週班表!$C$5:$T$44,$CU37,L$57),"")))))))</f>
        <v/>
      </c>
      <c r="M37" s="72">
        <f>IF(M$59="X","",IF(M$59&lt;&gt;"",M$59,IF(IFERROR(INDEX(醫師週班表!$C$5:$T$44,$CU37,M$57),"")=0,"",IF(MID(IFERROR(INDEX(醫師週班表!$C$5:$T$44,$CU37,M$57),""),2,1)="/",MID(IFERROR(INDEX(醫師週班表!$C$5:$T$44,$CU37,M$57),""),1+M$58*2,1),IF(MID(IFERROR(INDEX(醫師週班表!$C$5:$T$44,$CU37,M$57),""),3,1)="隔",IF(M$58=0,LEFT(IFERROR(INDEX(醫師週班表!$C$5:$T$44,$CU37,M$57),""),1),""),IF(MID(IFERROR(INDEX(醫師週班表!$C$5:$T$44,$CU37,M$57),""),2,1)="(",LEFT(IFERROR(INDEX(醫師週班表!$C$5:$T$44,$CU37,M$57),""),1),IFERROR(INDEX(醫師週班表!$C$5:$T$44,$CU37,M$57),"")))))))</f>
        <v/>
      </c>
      <c r="N37" s="71">
        <f>IF(N$59="X","",IF(N$59&lt;&gt;"",N$59,IF(IFERROR(INDEX(醫師週班表!$C$5:$T$44,$CU37,N$57),"")=0,"",IF(MID(IFERROR(INDEX(醫師週班表!$C$5:$T$44,$CU37,N$57),""),2,1)="/",MID(IFERROR(INDEX(醫師週班表!$C$5:$T$44,$CU37,N$57),""),1+N$58*2,1),IF(MID(IFERROR(INDEX(醫師週班表!$C$5:$T$44,$CU37,N$57),""),3,1)="隔",IF(N$58=0,LEFT(IFERROR(INDEX(醫師週班表!$C$5:$T$44,$CU37,N$57),""),1),""),IF(MID(IFERROR(INDEX(醫師週班表!$C$5:$T$44,$CU37,N$57),""),2,1)="(",LEFT(IFERROR(INDEX(醫師週班表!$C$5:$T$44,$CU37,N$57),""),1),IFERROR(INDEX(醫師週班表!$C$5:$T$44,$CU37,N$57),"")))))))</f>
        <v/>
      </c>
      <c r="O37" s="72">
        <f>IF(O$59="X","",IF(O$59&lt;&gt;"",O$59,IF(IFERROR(INDEX(醫師週班表!$C$5:$T$44,$CU37,O$57),"")=0,"",IF(MID(IFERROR(INDEX(醫師週班表!$C$5:$T$44,$CU37,O$57),""),2,1)="/",MID(IFERROR(INDEX(醫師週班表!$C$5:$T$44,$CU37,O$57),""),1+O$58*2,1),IF(MID(IFERROR(INDEX(醫師週班表!$C$5:$T$44,$CU37,O$57),""),3,1)="隔",IF(O$58=0,LEFT(IFERROR(INDEX(醫師週班表!$C$5:$T$44,$CU37,O$57),""),1),""),IF(MID(IFERROR(INDEX(醫師週班表!$C$5:$T$44,$CU37,O$57),""),2,1)="(",LEFT(IFERROR(INDEX(醫師週班表!$C$5:$T$44,$CU37,O$57),""),1),IFERROR(INDEX(醫師週班表!$C$5:$T$44,$CU37,O$57),"")))))))</f>
        <v/>
      </c>
      <c r="P37" s="72">
        <f>IF(P$59="X","",IF(P$59&lt;&gt;"",P$59,IF(IFERROR(INDEX(醫師週班表!$C$5:$T$44,$CU37,P$57),"")=0,"",IF(MID(IFERROR(INDEX(醫師週班表!$C$5:$T$44,$CU37,P$57),""),2,1)="/",MID(IFERROR(INDEX(醫師週班表!$C$5:$T$44,$CU37,P$57),""),1+P$58*2,1),IF(MID(IFERROR(INDEX(醫師週班表!$C$5:$T$44,$CU37,P$57),""),3,1)="隔",IF(P$58=0,LEFT(IFERROR(INDEX(醫師週班表!$C$5:$T$44,$CU37,P$57),""),1),""),IF(MID(IFERROR(INDEX(醫師週班表!$C$5:$T$44,$CU37,P$57),""),2,1)="(",LEFT(IFERROR(INDEX(醫師週班表!$C$5:$T$44,$CU37,P$57),""),1),IFERROR(INDEX(醫師週班表!$C$5:$T$44,$CU37,P$57),"")))))))</f>
        <v/>
      </c>
      <c r="Q37" s="71">
        <f>IF(Q$59="X","",IF(Q$59&lt;&gt;"",Q$59,IF(IFERROR(INDEX(醫師週班表!$C$5:$T$44,$CU37,Q$57),"")=0,"",IF(MID(IFERROR(INDEX(醫師週班表!$C$5:$T$44,$CU37,Q$57),""),2,1)="/",MID(IFERROR(INDEX(醫師週班表!$C$5:$T$44,$CU37,Q$57),""),1+Q$58*2,1),IF(MID(IFERROR(INDEX(醫師週班表!$C$5:$T$44,$CU37,Q$57),""),3,1)="隔",IF(Q$58=0,LEFT(IFERROR(INDEX(醫師週班表!$C$5:$T$44,$CU37,Q$57),""),1),""),IF(MID(IFERROR(INDEX(醫師週班表!$C$5:$T$44,$CU37,Q$57),""),2,1)="(",LEFT(IFERROR(INDEX(醫師週班表!$C$5:$T$44,$CU37,Q$57),""),1),IFERROR(INDEX(醫師週班表!$C$5:$T$44,$CU37,Q$57),"")))))))</f>
        <v/>
      </c>
      <c r="R37" s="72">
        <f>IF(R$59="X","",IF(R$59&lt;&gt;"",R$59,IF(IFERROR(INDEX(醫師週班表!$C$5:$T$44,$CU37,R$57),"")=0,"",IF(MID(IFERROR(INDEX(醫師週班表!$C$5:$T$44,$CU37,R$57),""),2,1)="/",MID(IFERROR(INDEX(醫師週班表!$C$5:$T$44,$CU37,R$57),""),1+R$58*2,1),IF(MID(IFERROR(INDEX(醫師週班表!$C$5:$T$44,$CU37,R$57),""),3,1)="隔",IF(R$58=0,LEFT(IFERROR(INDEX(醫師週班表!$C$5:$T$44,$CU37,R$57),""),1),""),IF(MID(IFERROR(INDEX(醫師週班表!$C$5:$T$44,$CU37,R$57),""),2,1)="(",LEFT(IFERROR(INDEX(醫師週班表!$C$5:$T$44,$CU37,R$57),""),1),IFERROR(INDEX(醫師週班表!$C$5:$T$44,$CU37,R$57),"")))))))</f>
        <v/>
      </c>
      <c r="S37" s="72">
        <f>IF(S$59="X","",IF(S$59&lt;&gt;"",S$59,IF(IFERROR(INDEX(醫師週班表!$C$5:$T$44,$CU37,S$57),"")=0,"",IF(MID(IFERROR(INDEX(醫師週班表!$C$5:$T$44,$CU37,S$57),""),2,1)="/",MID(IFERROR(INDEX(醫師週班表!$C$5:$T$44,$CU37,S$57),""),1+S$58*2,1),IF(MID(IFERROR(INDEX(醫師週班表!$C$5:$T$44,$CU37,S$57),""),3,1)="隔",IF(S$58=0,LEFT(IFERROR(INDEX(醫師週班表!$C$5:$T$44,$CU37,S$57),""),1),""),IF(MID(IFERROR(INDEX(醫師週班表!$C$5:$T$44,$CU37,S$57),""),2,1)="(",LEFT(IFERROR(INDEX(醫師週班表!$C$5:$T$44,$CU37,S$57),""),1),IFERROR(INDEX(醫師週班表!$C$5:$T$44,$CU37,S$57),"")))))))</f>
        <v/>
      </c>
      <c r="T37" s="71">
        <f>IF(T$59="X","",IF(T$59&lt;&gt;"",T$59,IF(IFERROR(INDEX(醫師週班表!$C$5:$T$44,$CU37,T$57),"")=0,"",IF(MID(IFERROR(INDEX(醫師週班表!$C$5:$T$44,$CU37,T$57),""),2,1)="/",MID(IFERROR(INDEX(醫師週班表!$C$5:$T$44,$CU37,T$57),""),1+T$58*2,1),IF(MID(IFERROR(INDEX(醫師週班表!$C$5:$T$44,$CU37,T$57),""),3,1)="隔",IF(T$58=0,LEFT(IFERROR(INDEX(醫師週班表!$C$5:$T$44,$CU37,T$57),""),1),""),IF(MID(IFERROR(INDEX(醫師週班表!$C$5:$T$44,$CU37,T$57),""),2,1)="(",LEFT(IFERROR(INDEX(醫師週班表!$C$5:$T$44,$CU37,T$57),""),1),IFERROR(INDEX(醫師週班表!$C$5:$T$44,$CU37,T$57),"")))))))</f>
        <v/>
      </c>
      <c r="U37" s="72">
        <f>IF(U$59="X","",IF(U$59&lt;&gt;"",U$59,IF(IFERROR(INDEX(醫師週班表!$C$5:$T$44,$CU37,U$57),"")=0,"",IF(MID(IFERROR(INDEX(醫師週班表!$C$5:$T$44,$CU37,U$57),""),2,1)="/",MID(IFERROR(INDEX(醫師週班表!$C$5:$T$44,$CU37,U$57),""),1+U$58*2,1),IF(MID(IFERROR(INDEX(醫師週班表!$C$5:$T$44,$CU37,U$57),""),3,1)="隔",IF(U$58=0,LEFT(IFERROR(INDEX(醫師週班表!$C$5:$T$44,$CU37,U$57),""),1),""),IF(MID(IFERROR(INDEX(醫師週班表!$C$5:$T$44,$CU37,U$57),""),2,1)="(",LEFT(IFERROR(INDEX(醫師週班表!$C$5:$T$44,$CU37,U$57),""),1),IFERROR(INDEX(醫師週班表!$C$5:$T$44,$CU37,U$57),"")))))))</f>
        <v/>
      </c>
      <c r="V37" s="72">
        <f>IF(V$59="X","",IF(V$59&lt;&gt;"",V$59,IF(IFERROR(INDEX(醫師週班表!$C$5:$T$44,$CU37,V$57),"")=0,"",IF(MID(IFERROR(INDEX(醫師週班表!$C$5:$T$44,$CU37,V$57),""),2,1)="/",MID(IFERROR(INDEX(醫師週班表!$C$5:$T$44,$CU37,V$57),""),1+V$58*2,1),IF(MID(IFERROR(INDEX(醫師週班表!$C$5:$T$44,$CU37,V$57),""),3,1)="隔",IF(V$58=0,LEFT(IFERROR(INDEX(醫師週班表!$C$5:$T$44,$CU37,V$57),""),1),""),IF(MID(IFERROR(INDEX(醫師週班表!$C$5:$T$44,$CU37,V$57),""),2,1)="(",LEFT(IFERROR(INDEX(醫師週班表!$C$5:$T$44,$CU37,V$57),""),1),IFERROR(INDEX(醫師週班表!$C$5:$T$44,$CU37,V$57),"")))))))</f>
        <v/>
      </c>
      <c r="W37" s="71">
        <f>IF(W$59="X","",IF(W$59&lt;&gt;"",W$59,IF(IFERROR(INDEX(醫師週班表!$C$5:$T$44,$CU37,W$57),"")=0,"",IF(MID(IFERROR(INDEX(醫師週班表!$C$5:$T$44,$CU37,W$57),""),2,1)="/",MID(IFERROR(INDEX(醫師週班表!$C$5:$T$44,$CU37,W$57),""),1+W$58*2,1),IF(MID(IFERROR(INDEX(醫師週班表!$C$5:$T$44,$CU37,W$57),""),3,1)="隔",IF(W$58=0,LEFT(IFERROR(INDEX(醫師週班表!$C$5:$T$44,$CU37,W$57),""),1),""),IF(MID(IFERROR(INDEX(醫師週班表!$C$5:$T$44,$CU37,W$57),""),2,1)="(",LEFT(IFERROR(INDEX(醫師週班表!$C$5:$T$44,$CU37,W$57),""),1),IFERROR(INDEX(醫師週班表!$C$5:$T$44,$CU37,W$57),"")))))))</f>
        <v/>
      </c>
      <c r="X37" s="72">
        <f>IF(X$59="X","",IF(X$59&lt;&gt;"",X$59,IF(IFERROR(INDEX(醫師週班表!$C$5:$T$44,$CU37,X$57),"")=0,"",IF(MID(IFERROR(INDEX(醫師週班表!$C$5:$T$44,$CU37,X$57),""),2,1)="/",MID(IFERROR(INDEX(醫師週班表!$C$5:$T$44,$CU37,X$57),""),1+X$58*2,1),IF(MID(IFERROR(INDEX(醫師週班表!$C$5:$T$44,$CU37,X$57),""),3,1)="隔",IF(X$58=0,LEFT(IFERROR(INDEX(醫師週班表!$C$5:$T$44,$CU37,X$57),""),1),""),IF(MID(IFERROR(INDEX(醫師週班表!$C$5:$T$44,$CU37,X$57),""),2,1)="(",LEFT(IFERROR(INDEX(醫師週班表!$C$5:$T$44,$CU37,X$57),""),1),IFERROR(INDEX(醫師週班表!$C$5:$T$44,$CU37,X$57),"")))))))</f>
        <v/>
      </c>
      <c r="Y37" s="72">
        <f>IF(Y$59="X","",IF(Y$59&lt;&gt;"",Y$59,IF(IFERROR(INDEX(醫師週班表!$C$5:$T$44,$CU37,Y$57),"")=0,"",IF(MID(IFERROR(INDEX(醫師週班表!$C$5:$T$44,$CU37,Y$57),""),2,1)="/",MID(IFERROR(INDEX(醫師週班表!$C$5:$T$44,$CU37,Y$57),""),1+Y$58*2,1),IF(MID(IFERROR(INDEX(醫師週班表!$C$5:$T$44,$CU37,Y$57),""),3,1)="隔",IF(Y$58=0,LEFT(IFERROR(INDEX(醫師週班表!$C$5:$T$44,$CU37,Y$57),""),1),""),IF(MID(IFERROR(INDEX(醫師週班表!$C$5:$T$44,$CU37,Y$57),""),2,1)="(",LEFT(IFERROR(INDEX(醫師週班表!$C$5:$T$44,$CU37,Y$57),""),1),IFERROR(INDEX(醫師週班表!$C$5:$T$44,$CU37,Y$57),"")))))))</f>
        <v/>
      </c>
      <c r="Z37" s="71">
        <f>IF(Z$59="X","",IF(Z$59&lt;&gt;"",Z$59,IF(IFERROR(INDEX(醫師週班表!$C$5:$T$44,$CU37,Z$57),"")=0,"",IF(MID(IFERROR(INDEX(醫師週班表!$C$5:$T$44,$CU37,Z$57),""),2,1)="/",MID(IFERROR(INDEX(醫師週班表!$C$5:$T$44,$CU37,Z$57),""),1+Z$58*2,1),IF(MID(IFERROR(INDEX(醫師週班表!$C$5:$T$44,$CU37,Z$57),""),3,1)="隔",IF(Z$58=0,LEFT(IFERROR(INDEX(醫師週班表!$C$5:$T$44,$CU37,Z$57),""),1),""),IF(MID(IFERROR(INDEX(醫師週班表!$C$5:$T$44,$CU37,Z$57),""),2,1)="(",LEFT(IFERROR(INDEX(醫師週班表!$C$5:$T$44,$CU37,Z$57),""),1),IFERROR(INDEX(醫師週班表!$C$5:$T$44,$CU37,Z$57),"")))))))</f>
        <v/>
      </c>
      <c r="AA37" s="72">
        <f>IF(AA$59="X","",IF(AA$59&lt;&gt;"",AA$59,IF(IFERROR(INDEX(醫師週班表!$C$5:$T$44,$CU37,AA$57),"")=0,"",IF(MID(IFERROR(INDEX(醫師週班表!$C$5:$T$44,$CU37,AA$57),""),2,1)="/",MID(IFERROR(INDEX(醫師週班表!$C$5:$T$44,$CU37,AA$57),""),1+AA$58*2,1),IF(MID(IFERROR(INDEX(醫師週班表!$C$5:$T$44,$CU37,AA$57),""),3,1)="隔",IF(AA$58=0,LEFT(IFERROR(INDEX(醫師週班表!$C$5:$T$44,$CU37,AA$57),""),1),""),IF(MID(IFERROR(INDEX(醫師週班表!$C$5:$T$44,$CU37,AA$57),""),2,1)="(",LEFT(IFERROR(INDEX(醫師週班表!$C$5:$T$44,$CU37,AA$57),""),1),IFERROR(INDEX(醫師週班表!$C$5:$T$44,$CU37,AA$57),"")))))))</f>
        <v/>
      </c>
      <c r="AB37" s="72">
        <f>IF(AB$59="X","",IF(AB$59&lt;&gt;"",AB$59,IF(IFERROR(INDEX(醫師週班表!$C$5:$T$44,$CU37,AB$57),"")=0,"",IF(MID(IFERROR(INDEX(醫師週班表!$C$5:$T$44,$CU37,AB$57),""),2,1)="/",MID(IFERROR(INDEX(醫師週班表!$C$5:$T$44,$CU37,AB$57),""),1+AB$58*2,1),IF(MID(IFERROR(INDEX(醫師週班表!$C$5:$T$44,$CU37,AB$57),""),3,1)="隔",IF(AB$58=0,LEFT(IFERROR(INDEX(醫師週班表!$C$5:$T$44,$CU37,AB$57),""),1),""),IF(MID(IFERROR(INDEX(醫師週班表!$C$5:$T$44,$CU37,AB$57),""),2,1)="(",LEFT(IFERROR(INDEX(醫師週班表!$C$5:$T$44,$CU37,AB$57),""),1),IFERROR(INDEX(醫師週班表!$C$5:$T$44,$CU37,AB$57),"")))))))</f>
        <v/>
      </c>
      <c r="AC37" s="71">
        <f>IF(AC$59="X","",IF(AC$59&lt;&gt;"",AC$59,IF(IFERROR(INDEX(醫師週班表!$C$5:$T$44,$CU37,AC$57),"")=0,"",IF(MID(IFERROR(INDEX(醫師週班表!$C$5:$T$44,$CU37,AC$57),""),2,1)="/",MID(IFERROR(INDEX(醫師週班表!$C$5:$T$44,$CU37,AC$57),""),1+AC$58*2,1),IF(MID(IFERROR(INDEX(醫師週班表!$C$5:$T$44,$CU37,AC$57),""),3,1)="隔",IF(AC$58=0,LEFT(IFERROR(INDEX(醫師週班表!$C$5:$T$44,$CU37,AC$57),""),1),""),IF(MID(IFERROR(INDEX(醫師週班表!$C$5:$T$44,$CU37,AC$57),""),2,1)="(",LEFT(IFERROR(INDEX(醫師週班表!$C$5:$T$44,$CU37,AC$57),""),1),IFERROR(INDEX(醫師週班表!$C$5:$T$44,$CU37,AC$57),"")))))))</f>
        <v/>
      </c>
      <c r="AD37" s="72">
        <f>IF(AD$59="X","",IF(AD$59&lt;&gt;"",AD$59,IF(IFERROR(INDEX(醫師週班表!$C$5:$T$44,$CU37,AD$57),"")=0,"",IF(MID(IFERROR(INDEX(醫師週班表!$C$5:$T$44,$CU37,AD$57),""),2,1)="/",MID(IFERROR(INDEX(醫師週班表!$C$5:$T$44,$CU37,AD$57),""),1+AD$58*2,1),IF(MID(IFERROR(INDEX(醫師週班表!$C$5:$T$44,$CU37,AD$57),""),3,1)="隔",IF(AD$58=0,LEFT(IFERROR(INDEX(醫師週班表!$C$5:$T$44,$CU37,AD$57),""),1),""),IF(MID(IFERROR(INDEX(醫師週班表!$C$5:$T$44,$CU37,AD$57),""),2,1)="(",LEFT(IFERROR(INDEX(醫師週班表!$C$5:$T$44,$CU37,AD$57),""),1),IFERROR(INDEX(醫師週班表!$C$5:$T$44,$CU37,AD$57),"")))))))</f>
        <v/>
      </c>
      <c r="AE37" s="72">
        <f>IF(AE$59="X","",IF(AE$59&lt;&gt;"",AE$59,IF(IFERROR(INDEX(醫師週班表!$C$5:$T$44,$CU37,AE$57),"")=0,"",IF(MID(IFERROR(INDEX(醫師週班表!$C$5:$T$44,$CU37,AE$57),""),2,1)="/",MID(IFERROR(INDEX(醫師週班表!$C$5:$T$44,$CU37,AE$57),""),1+AE$58*2,1),IF(MID(IFERROR(INDEX(醫師週班表!$C$5:$T$44,$CU37,AE$57),""),3,1)="隔",IF(AE$58=0,LEFT(IFERROR(INDEX(醫師週班表!$C$5:$T$44,$CU37,AE$57),""),1),""),IF(MID(IFERROR(INDEX(醫師週班表!$C$5:$T$44,$CU37,AE$57),""),2,1)="(",LEFT(IFERROR(INDEX(醫師週班表!$C$5:$T$44,$CU37,AE$57),""),1),IFERROR(INDEX(醫師週班表!$C$5:$T$44,$CU37,AE$57),"")))))))</f>
        <v/>
      </c>
      <c r="AF37" s="71">
        <f>IF(AF$59="X","",IF(AF$59&lt;&gt;"",AF$59,IF(IFERROR(INDEX(醫師週班表!$C$5:$T$44,$CU37,AF$57),"")=0,"",IF(MID(IFERROR(INDEX(醫師週班表!$C$5:$T$44,$CU37,AF$57),""),2,1)="/",MID(IFERROR(INDEX(醫師週班表!$C$5:$T$44,$CU37,AF$57),""),1+AF$58*2,1),IF(MID(IFERROR(INDEX(醫師週班表!$C$5:$T$44,$CU37,AF$57),""),3,1)="隔",IF(AF$58=0,LEFT(IFERROR(INDEX(醫師週班表!$C$5:$T$44,$CU37,AF$57),""),1),""),IF(MID(IFERROR(INDEX(醫師週班表!$C$5:$T$44,$CU37,AF$57),""),2,1)="(",LEFT(IFERROR(INDEX(醫師週班表!$C$5:$T$44,$CU37,AF$57),""),1),IFERROR(INDEX(醫師週班表!$C$5:$T$44,$CU37,AF$57),"")))))))</f>
        <v/>
      </c>
      <c r="AG37" s="72">
        <f>IF(AG$59="X","",IF(AG$59&lt;&gt;"",AG$59,IF(IFERROR(INDEX(醫師週班表!$C$5:$T$44,$CU37,AG$57),"")=0,"",IF(MID(IFERROR(INDEX(醫師週班表!$C$5:$T$44,$CU37,AG$57),""),2,1)="/",MID(IFERROR(INDEX(醫師週班表!$C$5:$T$44,$CU37,AG$57),""),1+AG$58*2,1),IF(MID(IFERROR(INDEX(醫師週班表!$C$5:$T$44,$CU37,AG$57),""),3,1)="隔",IF(AG$58=0,LEFT(IFERROR(INDEX(醫師週班表!$C$5:$T$44,$CU37,AG$57),""),1),""),IF(MID(IFERROR(INDEX(醫師週班表!$C$5:$T$44,$CU37,AG$57),""),2,1)="(",LEFT(IFERROR(INDEX(醫師週班表!$C$5:$T$44,$CU37,AG$57),""),1),IFERROR(INDEX(醫師週班表!$C$5:$T$44,$CU37,AG$57),"")))))))</f>
        <v/>
      </c>
      <c r="AH37" s="72">
        <f>IF(AH$59="X","",IF(AH$59&lt;&gt;"",AH$59,IF(IFERROR(INDEX(醫師週班表!$C$5:$T$44,$CU37,AH$57),"")=0,"",IF(MID(IFERROR(INDEX(醫師週班表!$C$5:$T$44,$CU37,AH$57),""),2,1)="/",MID(IFERROR(INDEX(醫師週班表!$C$5:$T$44,$CU37,AH$57),""),1+AH$58*2,1),IF(MID(IFERROR(INDEX(醫師週班表!$C$5:$T$44,$CU37,AH$57),""),3,1)="隔",IF(AH$58=0,LEFT(IFERROR(INDEX(醫師週班表!$C$5:$T$44,$CU37,AH$57),""),1),""),IF(MID(IFERROR(INDEX(醫師週班表!$C$5:$T$44,$CU37,AH$57),""),2,1)="(",LEFT(IFERROR(INDEX(醫師週班表!$C$5:$T$44,$CU37,AH$57),""),1),IFERROR(INDEX(醫師週班表!$C$5:$T$44,$CU37,AH$57),"")))))))</f>
        <v/>
      </c>
      <c r="AI37" s="71">
        <f>IF(AI$59="X","",IF(AI$59&lt;&gt;"",AI$59,IF(IFERROR(INDEX(醫師週班表!$C$5:$T$44,$CU37,AI$57),"")=0,"",IF(MID(IFERROR(INDEX(醫師週班表!$C$5:$T$44,$CU37,AI$57),""),2,1)="/",MID(IFERROR(INDEX(醫師週班表!$C$5:$T$44,$CU37,AI$57),""),1+AI$58*2,1),IF(MID(IFERROR(INDEX(醫師週班表!$C$5:$T$44,$CU37,AI$57),""),3,1)="隔",IF(AI$58=0,LEFT(IFERROR(INDEX(醫師週班表!$C$5:$T$44,$CU37,AI$57),""),1),""),IF(MID(IFERROR(INDEX(醫師週班表!$C$5:$T$44,$CU37,AI$57),""),2,1)="(",LEFT(IFERROR(INDEX(醫師週班表!$C$5:$T$44,$CU37,AI$57),""),1),IFERROR(INDEX(醫師週班表!$C$5:$T$44,$CU37,AI$57),"")))))))</f>
        <v/>
      </c>
      <c r="AJ37" s="72">
        <f>IF(AJ$59="X","",IF(AJ$59&lt;&gt;"",AJ$59,IF(IFERROR(INDEX(醫師週班表!$C$5:$T$44,$CU37,AJ$57),"")=0,"",IF(MID(IFERROR(INDEX(醫師週班表!$C$5:$T$44,$CU37,AJ$57),""),2,1)="/",MID(IFERROR(INDEX(醫師週班表!$C$5:$T$44,$CU37,AJ$57),""),1+AJ$58*2,1),IF(MID(IFERROR(INDEX(醫師週班表!$C$5:$T$44,$CU37,AJ$57),""),3,1)="隔",IF(AJ$58=0,LEFT(IFERROR(INDEX(醫師週班表!$C$5:$T$44,$CU37,AJ$57),""),1),""),IF(MID(IFERROR(INDEX(醫師週班表!$C$5:$T$44,$CU37,AJ$57),""),2,1)="(",LEFT(IFERROR(INDEX(醫師週班表!$C$5:$T$44,$CU37,AJ$57),""),1),IFERROR(INDEX(醫師週班表!$C$5:$T$44,$CU37,AJ$57),"")))))))</f>
        <v/>
      </c>
      <c r="AK37" s="72">
        <f>IF(AK$59="X","",IF(AK$59&lt;&gt;"",AK$59,IF(IFERROR(INDEX(醫師週班表!$C$5:$T$44,$CU37,AK$57),"")=0,"",IF(MID(IFERROR(INDEX(醫師週班表!$C$5:$T$44,$CU37,AK$57),""),2,1)="/",MID(IFERROR(INDEX(醫師週班表!$C$5:$T$44,$CU37,AK$57),""),1+AK$58*2,1),IF(MID(IFERROR(INDEX(醫師週班表!$C$5:$T$44,$CU37,AK$57),""),3,1)="隔",IF(AK$58=0,LEFT(IFERROR(INDEX(醫師週班表!$C$5:$T$44,$CU37,AK$57),""),1),""),IF(MID(IFERROR(INDEX(醫師週班表!$C$5:$T$44,$CU37,AK$57),""),2,1)="(",LEFT(IFERROR(INDEX(醫師週班表!$C$5:$T$44,$CU37,AK$57),""),1),IFERROR(INDEX(醫師週班表!$C$5:$T$44,$CU37,AK$57),"")))))))</f>
        <v/>
      </c>
      <c r="AL37" s="71">
        <f>IF(AL$59="X","",IF(AL$59&lt;&gt;"",AL$59,IF(IFERROR(INDEX(醫師週班表!$C$5:$T$44,$CU37,AL$57),"")=0,"",IF(MID(IFERROR(INDEX(醫師週班表!$C$5:$T$44,$CU37,AL$57),""),2,1)="/",MID(IFERROR(INDEX(醫師週班表!$C$5:$T$44,$CU37,AL$57),""),1+AL$58*2,1),IF(MID(IFERROR(INDEX(醫師週班表!$C$5:$T$44,$CU37,AL$57),""),3,1)="隔",IF(AL$58=0,LEFT(IFERROR(INDEX(醫師週班表!$C$5:$T$44,$CU37,AL$57),""),1),""),IF(MID(IFERROR(INDEX(醫師週班表!$C$5:$T$44,$CU37,AL$57),""),2,1)="(",LEFT(IFERROR(INDEX(醫師週班表!$C$5:$T$44,$CU37,AL$57),""),1),IFERROR(INDEX(醫師週班表!$C$5:$T$44,$CU37,AL$57),"")))))))</f>
        <v/>
      </c>
      <c r="AM37" s="72">
        <f>IF(AM$59="X","",IF(AM$59&lt;&gt;"",AM$59,IF(IFERROR(INDEX(醫師週班表!$C$5:$T$44,$CU37,AM$57),"")=0,"",IF(MID(IFERROR(INDEX(醫師週班表!$C$5:$T$44,$CU37,AM$57),""),2,1)="/",MID(IFERROR(INDEX(醫師週班表!$C$5:$T$44,$CU37,AM$57),""),1+AM$58*2,1),IF(MID(IFERROR(INDEX(醫師週班表!$C$5:$T$44,$CU37,AM$57),""),3,1)="隔",IF(AM$58=0,LEFT(IFERROR(INDEX(醫師週班表!$C$5:$T$44,$CU37,AM$57),""),1),""),IF(MID(IFERROR(INDEX(醫師週班表!$C$5:$T$44,$CU37,AM$57),""),2,1)="(",LEFT(IFERROR(INDEX(醫師週班表!$C$5:$T$44,$CU37,AM$57),""),1),IFERROR(INDEX(醫師週班表!$C$5:$T$44,$CU37,AM$57),"")))))))</f>
        <v/>
      </c>
      <c r="AN37" s="72">
        <f>IF(AN$59="X","",IF(AN$59&lt;&gt;"",AN$59,IF(IFERROR(INDEX(醫師週班表!$C$5:$T$44,$CU37,AN$57),"")=0,"",IF(MID(IFERROR(INDEX(醫師週班表!$C$5:$T$44,$CU37,AN$57),""),2,1)="/",MID(IFERROR(INDEX(醫師週班表!$C$5:$T$44,$CU37,AN$57),""),1+AN$58*2,1),IF(MID(IFERROR(INDEX(醫師週班表!$C$5:$T$44,$CU37,AN$57),""),3,1)="隔",IF(AN$58=0,LEFT(IFERROR(INDEX(醫師週班表!$C$5:$T$44,$CU37,AN$57),""),1),""),IF(MID(IFERROR(INDEX(醫師週班表!$C$5:$T$44,$CU37,AN$57),""),2,1)="(",LEFT(IFERROR(INDEX(醫師週班表!$C$5:$T$44,$CU37,AN$57),""),1),IFERROR(INDEX(醫師週班表!$C$5:$T$44,$CU37,AN$57),"")))))))</f>
        <v/>
      </c>
      <c r="AO37" s="71">
        <f>IF(AO$59="X","",IF(AO$59&lt;&gt;"",AO$59,IF(IFERROR(INDEX(醫師週班表!$C$5:$T$44,$CU37,AO$57),"")=0,"",IF(MID(IFERROR(INDEX(醫師週班表!$C$5:$T$44,$CU37,AO$57),""),2,1)="/",MID(IFERROR(INDEX(醫師週班表!$C$5:$T$44,$CU37,AO$57),""),1+AO$58*2,1),IF(MID(IFERROR(INDEX(醫師週班表!$C$5:$T$44,$CU37,AO$57),""),3,1)="隔",IF(AO$58=0,LEFT(IFERROR(INDEX(醫師週班表!$C$5:$T$44,$CU37,AO$57),""),1),""),IF(MID(IFERROR(INDEX(醫師週班表!$C$5:$T$44,$CU37,AO$57),""),2,1)="(",LEFT(IFERROR(INDEX(醫師週班表!$C$5:$T$44,$CU37,AO$57),""),1),IFERROR(INDEX(醫師週班表!$C$5:$T$44,$CU37,AO$57),"")))))))</f>
        <v/>
      </c>
      <c r="AP37" s="72">
        <f>IF(AP$59="X","",IF(AP$59&lt;&gt;"",AP$59,IF(IFERROR(INDEX(醫師週班表!$C$5:$T$44,$CU37,AP$57),"")=0,"",IF(MID(IFERROR(INDEX(醫師週班表!$C$5:$T$44,$CU37,AP$57),""),2,1)="/",MID(IFERROR(INDEX(醫師週班表!$C$5:$T$44,$CU37,AP$57),""),1+AP$58*2,1),IF(MID(IFERROR(INDEX(醫師週班表!$C$5:$T$44,$CU37,AP$57),""),3,1)="隔",IF(AP$58=0,LEFT(IFERROR(INDEX(醫師週班表!$C$5:$T$44,$CU37,AP$57),""),1),""),IF(MID(IFERROR(INDEX(醫師週班表!$C$5:$T$44,$CU37,AP$57),""),2,1)="(",LEFT(IFERROR(INDEX(醫師週班表!$C$5:$T$44,$CU37,AP$57),""),1),IFERROR(INDEX(醫師週班表!$C$5:$T$44,$CU37,AP$57),"")))))))</f>
        <v/>
      </c>
      <c r="AQ37" s="72">
        <f>IF(AQ$59="X","",IF(AQ$59&lt;&gt;"",AQ$59,IF(IFERROR(INDEX(醫師週班表!$C$5:$T$44,$CU37,AQ$57),"")=0,"",IF(MID(IFERROR(INDEX(醫師週班表!$C$5:$T$44,$CU37,AQ$57),""),2,1)="/",MID(IFERROR(INDEX(醫師週班表!$C$5:$T$44,$CU37,AQ$57),""),1+AQ$58*2,1),IF(MID(IFERROR(INDEX(醫師週班表!$C$5:$T$44,$CU37,AQ$57),""),3,1)="隔",IF(AQ$58=0,LEFT(IFERROR(INDEX(醫師週班表!$C$5:$T$44,$CU37,AQ$57),""),1),""),IF(MID(IFERROR(INDEX(醫師週班表!$C$5:$T$44,$CU37,AQ$57),""),2,1)="(",LEFT(IFERROR(INDEX(醫師週班表!$C$5:$T$44,$CU37,AQ$57),""),1),IFERROR(INDEX(醫師週班表!$C$5:$T$44,$CU37,AQ$57),"")))))))</f>
        <v/>
      </c>
      <c r="AR37" s="71">
        <f>IF(AR$59="X","",IF(AR$59&lt;&gt;"",AR$59,IF(IFERROR(INDEX(醫師週班表!$C$5:$T$44,$CU37,AR$57),"")=0,"",IF(MID(IFERROR(INDEX(醫師週班表!$C$5:$T$44,$CU37,AR$57),""),2,1)="/",MID(IFERROR(INDEX(醫師週班表!$C$5:$T$44,$CU37,AR$57),""),1+AR$58*2,1),IF(MID(IFERROR(INDEX(醫師週班表!$C$5:$T$44,$CU37,AR$57),""),3,1)="隔",IF(AR$58=0,LEFT(IFERROR(INDEX(醫師週班表!$C$5:$T$44,$CU37,AR$57),""),1),""),IF(MID(IFERROR(INDEX(醫師週班表!$C$5:$T$44,$CU37,AR$57),""),2,1)="(",LEFT(IFERROR(INDEX(醫師週班表!$C$5:$T$44,$CU37,AR$57),""),1),IFERROR(INDEX(醫師週班表!$C$5:$T$44,$CU37,AR$57),"")))))))</f>
        <v/>
      </c>
      <c r="AS37" s="72">
        <f>IF(AS$59="X","",IF(AS$59&lt;&gt;"",AS$59,IF(IFERROR(INDEX(醫師週班表!$C$5:$T$44,$CU37,AS$57),"")=0,"",IF(MID(IFERROR(INDEX(醫師週班表!$C$5:$T$44,$CU37,AS$57),""),2,1)="/",MID(IFERROR(INDEX(醫師週班表!$C$5:$T$44,$CU37,AS$57),""),1+AS$58*2,1),IF(MID(IFERROR(INDEX(醫師週班表!$C$5:$T$44,$CU37,AS$57),""),3,1)="隔",IF(AS$58=0,LEFT(IFERROR(INDEX(醫師週班表!$C$5:$T$44,$CU37,AS$57),""),1),""),IF(MID(IFERROR(INDEX(醫師週班表!$C$5:$T$44,$CU37,AS$57),""),2,1)="(",LEFT(IFERROR(INDEX(醫師週班表!$C$5:$T$44,$CU37,AS$57),""),1),IFERROR(INDEX(醫師週班表!$C$5:$T$44,$CU37,AS$57),"")))))))</f>
        <v/>
      </c>
      <c r="AT37" s="72">
        <f>IF(AT$59="X","",IF(AT$59&lt;&gt;"",AT$59,IF(IFERROR(INDEX(醫師週班表!$C$5:$T$44,$CU37,AT$57),"")=0,"",IF(MID(IFERROR(INDEX(醫師週班表!$C$5:$T$44,$CU37,AT$57),""),2,1)="/",MID(IFERROR(INDEX(醫師週班表!$C$5:$T$44,$CU37,AT$57),""),1+AT$58*2,1),IF(MID(IFERROR(INDEX(醫師週班表!$C$5:$T$44,$CU37,AT$57),""),3,1)="隔",IF(AT$58=0,LEFT(IFERROR(INDEX(醫師週班表!$C$5:$T$44,$CU37,AT$57),""),1),""),IF(MID(IFERROR(INDEX(醫師週班表!$C$5:$T$44,$CU37,AT$57),""),2,1)="(",LEFT(IFERROR(INDEX(醫師週班表!$C$5:$T$44,$CU37,AT$57),""),1),IFERROR(INDEX(醫師週班表!$C$5:$T$44,$CU37,AT$57),"")))))))</f>
        <v/>
      </c>
      <c r="AU37" s="71">
        <f>IF(AU$59="X","",IF(AU$59&lt;&gt;"",AU$59,IF(IFERROR(INDEX(醫師週班表!$C$5:$T$44,$CU37,AU$57),"")=0,"",IF(MID(IFERROR(INDEX(醫師週班表!$C$5:$T$44,$CU37,AU$57),""),2,1)="/",MID(IFERROR(INDEX(醫師週班表!$C$5:$T$44,$CU37,AU$57),""),1+AU$58*2,1),IF(MID(IFERROR(INDEX(醫師週班表!$C$5:$T$44,$CU37,AU$57),""),3,1)="隔",IF(AU$58=0,LEFT(IFERROR(INDEX(醫師週班表!$C$5:$T$44,$CU37,AU$57),""),1),""),IF(MID(IFERROR(INDEX(醫師週班表!$C$5:$T$44,$CU37,AU$57),""),2,1)="(",LEFT(IFERROR(INDEX(醫師週班表!$C$5:$T$44,$CU37,AU$57),""),1),IFERROR(INDEX(醫師週班表!$C$5:$T$44,$CU37,AU$57),"")))))))</f>
        <v/>
      </c>
      <c r="AV37" s="72">
        <f>IF(AV$59="X","",IF(AV$59&lt;&gt;"",AV$59,IF(IFERROR(INDEX(醫師週班表!$C$5:$T$44,$CU37,AV$57),"")=0,"",IF(MID(IFERROR(INDEX(醫師週班表!$C$5:$T$44,$CU37,AV$57),""),2,1)="/",MID(IFERROR(INDEX(醫師週班表!$C$5:$T$44,$CU37,AV$57),""),1+AV$58*2,1),IF(MID(IFERROR(INDEX(醫師週班表!$C$5:$T$44,$CU37,AV$57),""),3,1)="隔",IF(AV$58=0,LEFT(IFERROR(INDEX(醫師週班表!$C$5:$T$44,$CU37,AV$57),""),1),""),IF(MID(IFERROR(INDEX(醫師週班表!$C$5:$T$44,$CU37,AV$57),""),2,1)="(",LEFT(IFERROR(INDEX(醫師週班表!$C$5:$T$44,$CU37,AV$57),""),1),IFERROR(INDEX(醫師週班表!$C$5:$T$44,$CU37,AV$57),"")))))))</f>
        <v/>
      </c>
      <c r="AW37" s="72">
        <f>IF(AW$59="X","",IF(AW$59&lt;&gt;"",AW$59,IF(IFERROR(INDEX(醫師週班表!$C$5:$T$44,$CU37,AW$57),"")=0,"",IF(MID(IFERROR(INDEX(醫師週班表!$C$5:$T$44,$CU37,AW$57),""),2,1)="/",MID(IFERROR(INDEX(醫師週班表!$C$5:$T$44,$CU37,AW$57),""),1+AW$58*2,1),IF(MID(IFERROR(INDEX(醫師週班表!$C$5:$T$44,$CU37,AW$57),""),3,1)="隔",IF(AW$58=0,LEFT(IFERROR(INDEX(醫師週班表!$C$5:$T$44,$CU37,AW$57),""),1),""),IF(MID(IFERROR(INDEX(醫師週班表!$C$5:$T$44,$CU37,AW$57),""),2,1)="(",LEFT(IFERROR(INDEX(醫師週班表!$C$5:$T$44,$CU37,AW$57),""),1),IFERROR(INDEX(醫師週班表!$C$5:$T$44,$CU37,AW$57),"")))))))</f>
        <v/>
      </c>
      <c r="AX37" s="71">
        <f>IF(AX$59="X","",IF(AX$59&lt;&gt;"",AX$59,IF(IFERROR(INDEX(醫師週班表!$C$5:$T$44,$CU37,AX$57),"")=0,"",IF(MID(IFERROR(INDEX(醫師週班表!$C$5:$T$44,$CU37,AX$57),""),2,1)="/",MID(IFERROR(INDEX(醫師週班表!$C$5:$T$44,$CU37,AX$57),""),1+AX$58*2,1),IF(MID(IFERROR(INDEX(醫師週班表!$C$5:$T$44,$CU37,AX$57),""),3,1)="隔",IF(AX$58=0,LEFT(IFERROR(INDEX(醫師週班表!$C$5:$T$44,$CU37,AX$57),""),1),""),IF(MID(IFERROR(INDEX(醫師週班表!$C$5:$T$44,$CU37,AX$57),""),2,1)="(",LEFT(IFERROR(INDEX(醫師週班表!$C$5:$T$44,$CU37,AX$57),""),1),IFERROR(INDEX(醫師週班表!$C$5:$T$44,$CU37,AX$57),"")))))))</f>
        <v/>
      </c>
      <c r="AY37" s="72">
        <f>IF(AY$59="X","",IF(AY$59&lt;&gt;"",AY$59,IF(IFERROR(INDEX(醫師週班表!$C$5:$T$44,$CU37,AY$57),"")=0,"",IF(MID(IFERROR(INDEX(醫師週班表!$C$5:$T$44,$CU37,AY$57),""),2,1)="/",MID(IFERROR(INDEX(醫師週班表!$C$5:$T$44,$CU37,AY$57),""),1+AY$58*2,1),IF(MID(IFERROR(INDEX(醫師週班表!$C$5:$T$44,$CU37,AY$57),""),3,1)="隔",IF(AY$58=0,LEFT(IFERROR(INDEX(醫師週班表!$C$5:$T$44,$CU37,AY$57),""),1),""),IF(MID(IFERROR(INDEX(醫師週班表!$C$5:$T$44,$CU37,AY$57),""),2,1)="(",LEFT(IFERROR(INDEX(醫師週班表!$C$5:$T$44,$CU37,AY$57),""),1),IFERROR(INDEX(醫師週班表!$C$5:$T$44,$CU37,AY$57),"")))))))</f>
        <v/>
      </c>
      <c r="AZ37" s="72">
        <f>IF(AZ$59="X","",IF(AZ$59&lt;&gt;"",AZ$59,IF(IFERROR(INDEX(醫師週班表!$C$5:$T$44,$CU37,AZ$57),"")=0,"",IF(MID(IFERROR(INDEX(醫師週班表!$C$5:$T$44,$CU37,AZ$57),""),2,1)="/",MID(IFERROR(INDEX(醫師週班表!$C$5:$T$44,$CU37,AZ$57),""),1+AZ$58*2,1),IF(MID(IFERROR(INDEX(醫師週班表!$C$5:$T$44,$CU37,AZ$57),""),3,1)="隔",IF(AZ$58=0,LEFT(IFERROR(INDEX(醫師週班表!$C$5:$T$44,$CU37,AZ$57),""),1),""),IF(MID(IFERROR(INDEX(醫師週班表!$C$5:$T$44,$CU37,AZ$57),""),2,1)="(",LEFT(IFERROR(INDEX(醫師週班表!$C$5:$T$44,$CU37,AZ$57),""),1),IFERROR(INDEX(醫師週班表!$C$5:$T$44,$CU37,AZ$57),"")))))))</f>
        <v/>
      </c>
      <c r="BA37" s="71">
        <f>IF(BA$59="X","",IF(BA$59&lt;&gt;"",BA$59,IF(IFERROR(INDEX(醫師週班表!$C$5:$T$44,$CU37,BA$57),"")=0,"",IF(MID(IFERROR(INDEX(醫師週班表!$C$5:$T$44,$CU37,BA$57),""),2,1)="/",MID(IFERROR(INDEX(醫師週班表!$C$5:$T$44,$CU37,BA$57),""),1+BA$58*2,1),IF(MID(IFERROR(INDEX(醫師週班表!$C$5:$T$44,$CU37,BA$57),""),3,1)="隔",IF(BA$58=0,LEFT(IFERROR(INDEX(醫師週班表!$C$5:$T$44,$CU37,BA$57),""),1),""),IF(MID(IFERROR(INDEX(醫師週班表!$C$5:$T$44,$CU37,BA$57),""),2,1)="(",LEFT(IFERROR(INDEX(醫師週班表!$C$5:$T$44,$CU37,BA$57),""),1),IFERROR(INDEX(醫師週班表!$C$5:$T$44,$CU37,BA$57),"")))))))</f>
        <v/>
      </c>
      <c r="BB37" s="72">
        <f>IF(BB$59="X","",IF(BB$59&lt;&gt;"",BB$59,IF(IFERROR(INDEX(醫師週班表!$C$5:$T$44,$CU37,BB$57),"")=0,"",IF(MID(IFERROR(INDEX(醫師週班表!$C$5:$T$44,$CU37,BB$57),""),2,1)="/",MID(IFERROR(INDEX(醫師週班表!$C$5:$T$44,$CU37,BB$57),""),1+BB$58*2,1),IF(MID(IFERROR(INDEX(醫師週班表!$C$5:$T$44,$CU37,BB$57),""),3,1)="隔",IF(BB$58=0,LEFT(IFERROR(INDEX(醫師週班表!$C$5:$T$44,$CU37,BB$57),""),1),""),IF(MID(IFERROR(INDEX(醫師週班表!$C$5:$T$44,$CU37,BB$57),""),2,1)="(",LEFT(IFERROR(INDEX(醫師週班表!$C$5:$T$44,$CU37,BB$57),""),1),IFERROR(INDEX(醫師週班表!$C$5:$T$44,$CU37,BB$57),"")))))))</f>
        <v/>
      </c>
      <c r="BC37" s="72">
        <f>IF(BC$59="X","",IF(BC$59&lt;&gt;"",BC$59,IF(IFERROR(INDEX(醫師週班表!$C$5:$T$44,$CU37,BC$57),"")=0,"",IF(MID(IFERROR(INDEX(醫師週班表!$C$5:$T$44,$CU37,BC$57),""),2,1)="/",MID(IFERROR(INDEX(醫師週班表!$C$5:$T$44,$CU37,BC$57),""),1+BC$58*2,1),IF(MID(IFERROR(INDEX(醫師週班表!$C$5:$T$44,$CU37,BC$57),""),3,1)="隔",IF(BC$58=0,LEFT(IFERROR(INDEX(醫師週班表!$C$5:$T$44,$CU37,BC$57),""),1),""),IF(MID(IFERROR(INDEX(醫師週班表!$C$5:$T$44,$CU37,BC$57),""),2,1)="(",LEFT(IFERROR(INDEX(醫師週班表!$C$5:$T$44,$CU37,BC$57),""),1),IFERROR(INDEX(醫師週班表!$C$5:$T$44,$CU37,BC$57),"")))))))</f>
        <v/>
      </c>
      <c r="BD37" s="71">
        <f>IF(BD$59="X","",IF(BD$59&lt;&gt;"",BD$59,IF(IFERROR(INDEX(醫師週班表!$C$5:$T$44,$CU37,BD$57),"")=0,"",IF(MID(IFERROR(INDEX(醫師週班表!$C$5:$T$44,$CU37,BD$57),""),2,1)="/",MID(IFERROR(INDEX(醫師週班表!$C$5:$T$44,$CU37,BD$57),""),1+BD$58*2,1),IF(MID(IFERROR(INDEX(醫師週班表!$C$5:$T$44,$CU37,BD$57),""),3,1)="隔",IF(BD$58=0,LEFT(IFERROR(INDEX(醫師週班表!$C$5:$T$44,$CU37,BD$57),""),1),""),IF(MID(IFERROR(INDEX(醫師週班表!$C$5:$T$44,$CU37,BD$57),""),2,1)="(",LEFT(IFERROR(INDEX(醫師週班表!$C$5:$T$44,$CU37,BD$57),""),1),IFERROR(INDEX(醫師週班表!$C$5:$T$44,$CU37,BD$57),"")))))))</f>
        <v/>
      </c>
      <c r="BE37" s="72">
        <f>IF(BE$59="X","",IF(BE$59&lt;&gt;"",BE$59,IF(IFERROR(INDEX(醫師週班表!$C$5:$T$44,$CU37,BE$57),"")=0,"",IF(MID(IFERROR(INDEX(醫師週班表!$C$5:$T$44,$CU37,BE$57),""),2,1)="/",MID(IFERROR(INDEX(醫師週班表!$C$5:$T$44,$CU37,BE$57),""),1+BE$58*2,1),IF(MID(IFERROR(INDEX(醫師週班表!$C$5:$T$44,$CU37,BE$57),""),3,1)="隔",IF(BE$58=0,LEFT(IFERROR(INDEX(醫師週班表!$C$5:$T$44,$CU37,BE$57),""),1),""),IF(MID(IFERROR(INDEX(醫師週班表!$C$5:$T$44,$CU37,BE$57),""),2,1)="(",LEFT(IFERROR(INDEX(醫師週班表!$C$5:$T$44,$CU37,BE$57),""),1),IFERROR(INDEX(醫師週班表!$C$5:$T$44,$CU37,BE$57),"")))))))</f>
        <v/>
      </c>
      <c r="BF37" s="72">
        <f>IF(BF$59="X","",IF(BF$59&lt;&gt;"",BF$59,IF(IFERROR(INDEX(醫師週班表!$C$5:$T$44,$CU37,BF$57),"")=0,"",IF(MID(IFERROR(INDEX(醫師週班表!$C$5:$T$44,$CU37,BF$57),""),2,1)="/",MID(IFERROR(INDEX(醫師週班表!$C$5:$T$44,$CU37,BF$57),""),1+BF$58*2,1),IF(MID(IFERROR(INDEX(醫師週班表!$C$5:$T$44,$CU37,BF$57),""),3,1)="隔",IF(BF$58=0,LEFT(IFERROR(INDEX(醫師週班表!$C$5:$T$44,$CU37,BF$57),""),1),""),IF(MID(IFERROR(INDEX(醫師週班表!$C$5:$T$44,$CU37,BF$57),""),2,1)="(",LEFT(IFERROR(INDEX(醫師週班表!$C$5:$T$44,$CU37,BF$57),""),1),IFERROR(INDEX(醫師週班表!$C$5:$T$44,$CU37,BF$57),"")))))))</f>
        <v/>
      </c>
      <c r="BG37" s="71">
        <f>IF(BG$59="X","",IF(BG$59&lt;&gt;"",BG$59,IF(IFERROR(INDEX(醫師週班表!$C$5:$T$44,$CU37,BG$57),"")=0,"",IF(MID(IFERROR(INDEX(醫師週班表!$C$5:$T$44,$CU37,BG$57),""),2,1)="/",MID(IFERROR(INDEX(醫師週班表!$C$5:$T$44,$CU37,BG$57),""),1+BG$58*2,1),IF(MID(IFERROR(INDEX(醫師週班表!$C$5:$T$44,$CU37,BG$57),""),3,1)="隔",IF(BG$58=0,LEFT(IFERROR(INDEX(醫師週班表!$C$5:$T$44,$CU37,BG$57),""),1),""),IF(MID(IFERROR(INDEX(醫師週班表!$C$5:$T$44,$CU37,BG$57),""),2,1)="(",LEFT(IFERROR(INDEX(醫師週班表!$C$5:$T$44,$CU37,BG$57),""),1),IFERROR(INDEX(醫師週班表!$C$5:$T$44,$CU37,BG$57),"")))))))</f>
        <v/>
      </c>
      <c r="BH37" s="72">
        <f>IF(BH$59="X","",IF(BH$59&lt;&gt;"",BH$59,IF(IFERROR(INDEX(醫師週班表!$C$5:$T$44,$CU37,BH$57),"")=0,"",IF(MID(IFERROR(INDEX(醫師週班表!$C$5:$T$44,$CU37,BH$57),""),2,1)="/",MID(IFERROR(INDEX(醫師週班表!$C$5:$T$44,$CU37,BH$57),""),1+BH$58*2,1),IF(MID(IFERROR(INDEX(醫師週班表!$C$5:$T$44,$CU37,BH$57),""),3,1)="隔",IF(BH$58=0,LEFT(IFERROR(INDEX(醫師週班表!$C$5:$T$44,$CU37,BH$57),""),1),""),IF(MID(IFERROR(INDEX(醫師週班表!$C$5:$T$44,$CU37,BH$57),""),2,1)="(",LEFT(IFERROR(INDEX(醫師週班表!$C$5:$T$44,$CU37,BH$57),""),1),IFERROR(INDEX(醫師週班表!$C$5:$T$44,$CU37,BH$57),"")))))))</f>
        <v/>
      </c>
      <c r="BI37" s="72">
        <f>IF(BI$59="X","",IF(BI$59&lt;&gt;"",BI$59,IF(IFERROR(INDEX(醫師週班表!$C$5:$T$44,$CU37,BI$57),"")=0,"",IF(MID(IFERROR(INDEX(醫師週班表!$C$5:$T$44,$CU37,BI$57),""),2,1)="/",MID(IFERROR(INDEX(醫師週班表!$C$5:$T$44,$CU37,BI$57),""),1+BI$58*2,1),IF(MID(IFERROR(INDEX(醫師週班表!$C$5:$T$44,$CU37,BI$57),""),3,1)="隔",IF(BI$58=0,LEFT(IFERROR(INDEX(醫師週班表!$C$5:$T$44,$CU37,BI$57),""),1),""),IF(MID(IFERROR(INDEX(醫師週班表!$C$5:$T$44,$CU37,BI$57),""),2,1)="(",LEFT(IFERROR(INDEX(醫師週班表!$C$5:$T$44,$CU37,BI$57),""),1),IFERROR(INDEX(醫師週班表!$C$5:$T$44,$CU37,BI$57),"")))))))</f>
        <v/>
      </c>
      <c r="BJ37" s="71">
        <f>IF(BJ$59="X","",IF(BJ$59&lt;&gt;"",BJ$59,IF(IFERROR(INDEX(醫師週班表!$C$5:$T$44,$CU37,BJ$57),"")=0,"",IF(MID(IFERROR(INDEX(醫師週班表!$C$5:$T$44,$CU37,BJ$57),""),2,1)="/",MID(IFERROR(INDEX(醫師週班表!$C$5:$T$44,$CU37,BJ$57),""),1+BJ$58*2,1),IF(MID(IFERROR(INDEX(醫師週班表!$C$5:$T$44,$CU37,BJ$57),""),3,1)="隔",IF(BJ$58=0,LEFT(IFERROR(INDEX(醫師週班表!$C$5:$T$44,$CU37,BJ$57),""),1),""),IF(MID(IFERROR(INDEX(醫師週班表!$C$5:$T$44,$CU37,BJ$57),""),2,1)="(",LEFT(IFERROR(INDEX(醫師週班表!$C$5:$T$44,$CU37,BJ$57),""),1),IFERROR(INDEX(醫師週班表!$C$5:$T$44,$CU37,BJ$57),"")))))))</f>
        <v/>
      </c>
      <c r="BK37" s="72">
        <f>IF(BK$59="X","",IF(BK$59&lt;&gt;"",BK$59,IF(IFERROR(INDEX(醫師週班表!$C$5:$T$44,$CU37,BK$57),"")=0,"",IF(MID(IFERROR(INDEX(醫師週班表!$C$5:$T$44,$CU37,BK$57),""),2,1)="/",MID(IFERROR(INDEX(醫師週班表!$C$5:$T$44,$CU37,BK$57),""),1+BK$58*2,1),IF(MID(IFERROR(INDEX(醫師週班表!$C$5:$T$44,$CU37,BK$57),""),3,1)="隔",IF(BK$58=0,LEFT(IFERROR(INDEX(醫師週班表!$C$5:$T$44,$CU37,BK$57),""),1),""),IF(MID(IFERROR(INDEX(醫師週班表!$C$5:$T$44,$CU37,BK$57),""),2,1)="(",LEFT(IFERROR(INDEX(醫師週班表!$C$5:$T$44,$CU37,BK$57),""),1),IFERROR(INDEX(醫師週班表!$C$5:$T$44,$CU37,BK$57),"")))))))</f>
        <v/>
      </c>
      <c r="BL37" s="72">
        <f>IF(BL$59="X","",IF(BL$59&lt;&gt;"",BL$59,IF(IFERROR(INDEX(醫師週班表!$C$5:$T$44,$CU37,BL$57),"")=0,"",IF(MID(IFERROR(INDEX(醫師週班表!$C$5:$T$44,$CU37,BL$57),""),2,1)="/",MID(IFERROR(INDEX(醫師週班表!$C$5:$T$44,$CU37,BL$57),""),1+BL$58*2,1),IF(MID(IFERROR(INDEX(醫師週班表!$C$5:$T$44,$CU37,BL$57),""),3,1)="隔",IF(BL$58=0,LEFT(IFERROR(INDEX(醫師週班表!$C$5:$T$44,$CU37,BL$57),""),1),""),IF(MID(IFERROR(INDEX(醫師週班表!$C$5:$T$44,$CU37,BL$57),""),2,1)="(",LEFT(IFERROR(INDEX(醫師週班表!$C$5:$T$44,$CU37,BL$57),""),1),IFERROR(INDEX(醫師週班表!$C$5:$T$44,$CU37,BL$57),"")))))))</f>
        <v/>
      </c>
      <c r="BM37" s="71">
        <f>IF(BM$59="X","",IF(BM$59&lt;&gt;"",BM$59,IF(IFERROR(INDEX(醫師週班表!$C$5:$T$44,$CU37,BM$57),"")=0,"",IF(MID(IFERROR(INDEX(醫師週班表!$C$5:$T$44,$CU37,BM$57),""),2,1)="/",MID(IFERROR(INDEX(醫師週班表!$C$5:$T$44,$CU37,BM$57),""),1+BM$58*2,1),IF(MID(IFERROR(INDEX(醫師週班表!$C$5:$T$44,$CU37,BM$57),""),3,1)="隔",IF(BM$58=0,LEFT(IFERROR(INDEX(醫師週班表!$C$5:$T$44,$CU37,BM$57),""),1),""),IF(MID(IFERROR(INDEX(醫師週班表!$C$5:$T$44,$CU37,BM$57),""),2,1)="(",LEFT(IFERROR(INDEX(醫師週班表!$C$5:$T$44,$CU37,BM$57),""),1),IFERROR(INDEX(醫師週班表!$C$5:$T$44,$CU37,BM$57),"")))))))</f>
        <v/>
      </c>
      <c r="BN37" s="72">
        <f>IF(BN$59="X","",IF(BN$59&lt;&gt;"",BN$59,IF(IFERROR(INDEX(醫師週班表!$C$5:$T$44,$CU37,BN$57),"")=0,"",IF(MID(IFERROR(INDEX(醫師週班表!$C$5:$T$44,$CU37,BN$57),""),2,1)="/",MID(IFERROR(INDEX(醫師週班表!$C$5:$T$44,$CU37,BN$57),""),1+BN$58*2,1),IF(MID(IFERROR(INDEX(醫師週班表!$C$5:$T$44,$CU37,BN$57),""),3,1)="隔",IF(BN$58=0,LEFT(IFERROR(INDEX(醫師週班表!$C$5:$T$44,$CU37,BN$57),""),1),""),IF(MID(IFERROR(INDEX(醫師週班表!$C$5:$T$44,$CU37,BN$57),""),2,1)="(",LEFT(IFERROR(INDEX(醫師週班表!$C$5:$T$44,$CU37,BN$57),""),1),IFERROR(INDEX(醫師週班表!$C$5:$T$44,$CU37,BN$57),"")))))))</f>
        <v/>
      </c>
      <c r="BO37" s="72">
        <f>IF(BO$59="X","",IF(BO$59&lt;&gt;"",BO$59,IF(IFERROR(INDEX(醫師週班表!$C$5:$T$44,$CU37,BO$57),"")=0,"",IF(MID(IFERROR(INDEX(醫師週班表!$C$5:$T$44,$CU37,BO$57),""),2,1)="/",MID(IFERROR(INDEX(醫師週班表!$C$5:$T$44,$CU37,BO$57),""),1+BO$58*2,1),IF(MID(IFERROR(INDEX(醫師週班表!$C$5:$T$44,$CU37,BO$57),""),3,1)="隔",IF(BO$58=0,LEFT(IFERROR(INDEX(醫師週班表!$C$5:$T$44,$CU37,BO$57),""),1),""),IF(MID(IFERROR(INDEX(醫師週班表!$C$5:$T$44,$CU37,BO$57),""),2,1)="(",LEFT(IFERROR(INDEX(醫師週班表!$C$5:$T$44,$CU37,BO$57),""),1),IFERROR(INDEX(醫師週班表!$C$5:$T$44,$CU37,BO$57),"")))))))</f>
        <v/>
      </c>
      <c r="BP37" s="71">
        <f>IF(BP$59="X","",IF(BP$59&lt;&gt;"",BP$59,IF(IFERROR(INDEX(醫師週班表!$C$5:$T$44,$CU37,BP$57),"")=0,"",IF(MID(IFERROR(INDEX(醫師週班表!$C$5:$T$44,$CU37,BP$57),""),2,1)="/",MID(IFERROR(INDEX(醫師週班表!$C$5:$T$44,$CU37,BP$57),""),1+BP$58*2,1),IF(MID(IFERROR(INDEX(醫師週班表!$C$5:$T$44,$CU37,BP$57),""),3,1)="隔",IF(BP$58=0,LEFT(IFERROR(INDEX(醫師週班表!$C$5:$T$44,$CU37,BP$57),""),1),""),IF(MID(IFERROR(INDEX(醫師週班表!$C$5:$T$44,$CU37,BP$57),""),2,1)="(",LEFT(IFERROR(INDEX(醫師週班表!$C$5:$T$44,$CU37,BP$57),""),1),IFERROR(INDEX(醫師週班表!$C$5:$T$44,$CU37,BP$57),"")))))))</f>
        <v/>
      </c>
      <c r="BQ37" s="72">
        <f>IF(BQ$59="X","",IF(BQ$59&lt;&gt;"",BQ$59,IF(IFERROR(INDEX(醫師週班表!$C$5:$T$44,$CU37,BQ$57),"")=0,"",IF(MID(IFERROR(INDEX(醫師週班表!$C$5:$T$44,$CU37,BQ$57),""),2,1)="/",MID(IFERROR(INDEX(醫師週班表!$C$5:$T$44,$CU37,BQ$57),""),1+BQ$58*2,1),IF(MID(IFERROR(INDEX(醫師週班表!$C$5:$T$44,$CU37,BQ$57),""),3,1)="隔",IF(BQ$58=0,LEFT(IFERROR(INDEX(醫師週班表!$C$5:$T$44,$CU37,BQ$57),""),1),""),IF(MID(IFERROR(INDEX(醫師週班表!$C$5:$T$44,$CU37,BQ$57),""),2,1)="(",LEFT(IFERROR(INDEX(醫師週班表!$C$5:$T$44,$CU37,BQ$57),""),1),IFERROR(INDEX(醫師週班表!$C$5:$T$44,$CU37,BQ$57),"")))))))</f>
        <v/>
      </c>
      <c r="BR37" s="72">
        <f>IF(BR$59="X","",IF(BR$59&lt;&gt;"",BR$59,IF(IFERROR(INDEX(醫師週班表!$C$5:$T$44,$CU37,BR$57),"")=0,"",IF(MID(IFERROR(INDEX(醫師週班表!$C$5:$T$44,$CU37,BR$57),""),2,1)="/",MID(IFERROR(INDEX(醫師週班表!$C$5:$T$44,$CU37,BR$57),""),1+BR$58*2,1),IF(MID(IFERROR(INDEX(醫師週班表!$C$5:$T$44,$CU37,BR$57),""),3,1)="隔",IF(BR$58=0,LEFT(IFERROR(INDEX(醫師週班表!$C$5:$T$44,$CU37,BR$57),""),1),""),IF(MID(IFERROR(INDEX(醫師週班表!$C$5:$T$44,$CU37,BR$57),""),2,1)="(",LEFT(IFERROR(INDEX(醫師週班表!$C$5:$T$44,$CU37,BR$57),""),1),IFERROR(INDEX(醫師週班表!$C$5:$T$44,$CU37,BR$57),"")))))))</f>
        <v/>
      </c>
      <c r="BS37" s="71">
        <f>IF(BS$59="X","",IF(BS$59&lt;&gt;"",BS$59,IF(IFERROR(INDEX(醫師週班表!$C$5:$T$44,$CU37,BS$57),"")=0,"",IF(MID(IFERROR(INDEX(醫師週班表!$C$5:$T$44,$CU37,BS$57),""),2,1)="/",MID(IFERROR(INDEX(醫師週班表!$C$5:$T$44,$CU37,BS$57),""),1+BS$58*2,1),IF(MID(IFERROR(INDEX(醫師週班表!$C$5:$T$44,$CU37,BS$57),""),3,1)="隔",IF(BS$58=0,LEFT(IFERROR(INDEX(醫師週班表!$C$5:$T$44,$CU37,BS$57),""),1),""),IF(MID(IFERROR(INDEX(醫師週班表!$C$5:$T$44,$CU37,BS$57),""),2,1)="(",LEFT(IFERROR(INDEX(醫師週班表!$C$5:$T$44,$CU37,BS$57),""),1),IFERROR(INDEX(醫師週班表!$C$5:$T$44,$CU37,BS$57),"")))))))</f>
        <v/>
      </c>
      <c r="BT37" s="72">
        <f>IF(BT$59="X","",IF(BT$59&lt;&gt;"",BT$59,IF(IFERROR(INDEX(醫師週班表!$C$5:$T$44,$CU37,BT$57),"")=0,"",IF(MID(IFERROR(INDEX(醫師週班表!$C$5:$T$44,$CU37,BT$57),""),2,1)="/",MID(IFERROR(INDEX(醫師週班表!$C$5:$T$44,$CU37,BT$57),""),1+BT$58*2,1),IF(MID(IFERROR(INDEX(醫師週班表!$C$5:$T$44,$CU37,BT$57),""),3,1)="隔",IF(BT$58=0,LEFT(IFERROR(INDEX(醫師週班表!$C$5:$T$44,$CU37,BT$57),""),1),""),IF(MID(IFERROR(INDEX(醫師週班表!$C$5:$T$44,$CU37,BT$57),""),2,1)="(",LEFT(IFERROR(INDEX(醫師週班表!$C$5:$T$44,$CU37,BT$57),""),1),IFERROR(INDEX(醫師週班表!$C$5:$T$44,$CU37,BT$57),"")))))))</f>
        <v/>
      </c>
      <c r="BU37" s="72">
        <f>IF(BU$59="X","",IF(BU$59&lt;&gt;"",BU$59,IF(IFERROR(INDEX(醫師週班表!$C$5:$T$44,$CU37,BU$57),"")=0,"",IF(MID(IFERROR(INDEX(醫師週班表!$C$5:$T$44,$CU37,BU$57),""),2,1)="/",MID(IFERROR(INDEX(醫師週班表!$C$5:$T$44,$CU37,BU$57),""),1+BU$58*2,1),IF(MID(IFERROR(INDEX(醫師週班表!$C$5:$T$44,$CU37,BU$57),""),3,1)="隔",IF(BU$58=0,LEFT(IFERROR(INDEX(醫師週班表!$C$5:$T$44,$CU37,BU$57),""),1),""),IF(MID(IFERROR(INDEX(醫師週班表!$C$5:$T$44,$CU37,BU$57),""),2,1)="(",LEFT(IFERROR(INDEX(醫師週班表!$C$5:$T$44,$CU37,BU$57),""),1),IFERROR(INDEX(醫師週班表!$C$5:$T$44,$CU37,BU$57),"")))))))</f>
        <v/>
      </c>
      <c r="BV37" s="71">
        <f>IF(BV$59="X","",IF(BV$59&lt;&gt;"",BV$59,IF(IFERROR(INDEX(醫師週班表!$C$5:$T$44,$CU37,BV$57),"")=0,"",IF(MID(IFERROR(INDEX(醫師週班表!$C$5:$T$44,$CU37,BV$57),""),2,1)="/",MID(IFERROR(INDEX(醫師週班表!$C$5:$T$44,$CU37,BV$57),""),1+BV$58*2,1),IF(MID(IFERROR(INDEX(醫師週班表!$C$5:$T$44,$CU37,BV$57),""),3,1)="隔",IF(BV$58=0,LEFT(IFERROR(INDEX(醫師週班表!$C$5:$T$44,$CU37,BV$57),""),1),""),IF(MID(IFERROR(INDEX(醫師週班表!$C$5:$T$44,$CU37,BV$57),""),2,1)="(",LEFT(IFERROR(INDEX(醫師週班表!$C$5:$T$44,$CU37,BV$57),""),1),IFERROR(INDEX(醫師週班表!$C$5:$T$44,$CU37,BV$57),"")))))))</f>
        <v/>
      </c>
      <c r="BW37" s="72">
        <f>IF(BW$59="X","",IF(BW$59&lt;&gt;"",BW$59,IF(IFERROR(INDEX(醫師週班表!$C$5:$T$44,$CU37,BW$57),"")=0,"",IF(MID(IFERROR(INDEX(醫師週班表!$C$5:$T$44,$CU37,BW$57),""),2,1)="/",MID(IFERROR(INDEX(醫師週班表!$C$5:$T$44,$CU37,BW$57),""),1+BW$58*2,1),IF(MID(IFERROR(INDEX(醫師週班表!$C$5:$T$44,$CU37,BW$57),""),3,1)="隔",IF(BW$58=0,LEFT(IFERROR(INDEX(醫師週班表!$C$5:$T$44,$CU37,BW$57),""),1),""),IF(MID(IFERROR(INDEX(醫師週班表!$C$5:$T$44,$CU37,BW$57),""),2,1)="(",LEFT(IFERROR(INDEX(醫師週班表!$C$5:$T$44,$CU37,BW$57),""),1),IFERROR(INDEX(醫師週班表!$C$5:$T$44,$CU37,BW$57),"")))))))</f>
        <v/>
      </c>
      <c r="BX37" s="72">
        <f>IF(BX$59="X","",IF(BX$59&lt;&gt;"",BX$59,IF(IFERROR(INDEX(醫師週班表!$C$5:$T$44,$CU37,BX$57),"")=0,"",IF(MID(IFERROR(INDEX(醫師週班表!$C$5:$T$44,$CU37,BX$57),""),2,1)="/",MID(IFERROR(INDEX(醫師週班表!$C$5:$T$44,$CU37,BX$57),""),1+BX$58*2,1),IF(MID(IFERROR(INDEX(醫師週班表!$C$5:$T$44,$CU37,BX$57),""),3,1)="隔",IF(BX$58=0,LEFT(IFERROR(INDEX(醫師週班表!$C$5:$T$44,$CU37,BX$57),""),1),""),IF(MID(IFERROR(INDEX(醫師週班表!$C$5:$T$44,$CU37,BX$57),""),2,1)="(",LEFT(IFERROR(INDEX(醫師週班表!$C$5:$T$44,$CU37,BX$57),""),1),IFERROR(INDEX(醫師週班表!$C$5:$T$44,$CU37,BX$57),"")))))))</f>
        <v/>
      </c>
      <c r="BY37" s="71">
        <f>IF(BY$59="X","",IF(BY$59&lt;&gt;"",BY$59,IF(IFERROR(INDEX(醫師週班表!$C$5:$T$44,$CU37,BY$57),"")=0,"",IF(MID(IFERROR(INDEX(醫師週班表!$C$5:$T$44,$CU37,BY$57),""),2,1)="/",MID(IFERROR(INDEX(醫師週班表!$C$5:$T$44,$CU37,BY$57),""),1+BY$58*2,1),IF(MID(IFERROR(INDEX(醫師週班表!$C$5:$T$44,$CU37,BY$57),""),3,1)="隔",IF(BY$58=0,LEFT(IFERROR(INDEX(醫師週班表!$C$5:$T$44,$CU37,BY$57),""),1),""),IF(MID(IFERROR(INDEX(醫師週班表!$C$5:$T$44,$CU37,BY$57),""),2,1)="(",LEFT(IFERROR(INDEX(醫師週班表!$C$5:$T$44,$CU37,BY$57),""),1),IFERROR(INDEX(醫師週班表!$C$5:$T$44,$CU37,BY$57),"")))))))</f>
        <v/>
      </c>
      <c r="BZ37" s="72">
        <f>IF(BZ$59="X","",IF(BZ$59&lt;&gt;"",BZ$59,IF(IFERROR(INDEX(醫師週班表!$C$5:$T$44,$CU37,BZ$57),"")=0,"",IF(MID(IFERROR(INDEX(醫師週班表!$C$5:$T$44,$CU37,BZ$57),""),2,1)="/",MID(IFERROR(INDEX(醫師週班表!$C$5:$T$44,$CU37,BZ$57),""),1+BZ$58*2,1),IF(MID(IFERROR(INDEX(醫師週班表!$C$5:$T$44,$CU37,BZ$57),""),3,1)="隔",IF(BZ$58=0,LEFT(IFERROR(INDEX(醫師週班表!$C$5:$T$44,$CU37,BZ$57),""),1),""),IF(MID(IFERROR(INDEX(醫師週班表!$C$5:$T$44,$CU37,BZ$57),""),2,1)="(",LEFT(IFERROR(INDEX(醫師週班表!$C$5:$T$44,$CU37,BZ$57),""),1),IFERROR(INDEX(醫師週班表!$C$5:$T$44,$CU37,BZ$57),"")))))))</f>
        <v/>
      </c>
      <c r="CA37" s="72">
        <f>IF(CA$59="X","",IF(CA$59&lt;&gt;"",CA$59,IF(IFERROR(INDEX(醫師週班表!$C$5:$T$44,$CU37,CA$57),"")=0,"",IF(MID(IFERROR(INDEX(醫師週班表!$C$5:$T$44,$CU37,CA$57),""),2,1)="/",MID(IFERROR(INDEX(醫師週班表!$C$5:$T$44,$CU37,CA$57),""),1+CA$58*2,1),IF(MID(IFERROR(INDEX(醫師週班表!$C$5:$T$44,$CU37,CA$57),""),3,1)="隔",IF(CA$58=0,LEFT(IFERROR(INDEX(醫師週班表!$C$5:$T$44,$CU37,CA$57),""),1),""),IF(MID(IFERROR(INDEX(醫師週班表!$C$5:$T$44,$CU37,CA$57),""),2,1)="(",LEFT(IFERROR(INDEX(醫師週班表!$C$5:$T$44,$CU37,CA$57),""),1),IFERROR(INDEX(醫師週班表!$C$5:$T$44,$CU37,CA$57),"")))))))</f>
        <v/>
      </c>
      <c r="CB37" s="71">
        <f>IF(CB$59="X","",IF(CB$59&lt;&gt;"",CB$59,IF(IFERROR(INDEX(醫師週班表!$C$5:$T$44,$CU37,CB$57),"")=0,"",IF(MID(IFERROR(INDEX(醫師週班表!$C$5:$T$44,$CU37,CB$57),""),2,1)="/",MID(IFERROR(INDEX(醫師週班表!$C$5:$T$44,$CU37,CB$57),""),1+CB$58*2,1),IF(MID(IFERROR(INDEX(醫師週班表!$C$5:$T$44,$CU37,CB$57),""),3,1)="隔",IF(CB$58=0,LEFT(IFERROR(INDEX(醫師週班表!$C$5:$T$44,$CU37,CB$57),""),1),""),IF(MID(IFERROR(INDEX(醫師週班表!$C$5:$T$44,$CU37,CB$57),""),2,1)="(",LEFT(IFERROR(INDEX(醫師週班表!$C$5:$T$44,$CU37,CB$57),""),1),IFERROR(INDEX(醫師週班表!$C$5:$T$44,$CU37,CB$57),"")))))))</f>
        <v/>
      </c>
      <c r="CC37" s="72">
        <f>IF(CC$59="X","",IF(CC$59&lt;&gt;"",CC$59,IF(IFERROR(INDEX(醫師週班表!$C$5:$T$44,$CU37,CC$57),"")=0,"",IF(MID(IFERROR(INDEX(醫師週班表!$C$5:$T$44,$CU37,CC$57),""),2,1)="/",MID(IFERROR(INDEX(醫師週班表!$C$5:$T$44,$CU37,CC$57),""),1+CC$58*2,1),IF(MID(IFERROR(INDEX(醫師週班表!$C$5:$T$44,$CU37,CC$57),""),3,1)="隔",IF(CC$58=0,LEFT(IFERROR(INDEX(醫師週班表!$C$5:$T$44,$CU37,CC$57),""),1),""),IF(MID(IFERROR(INDEX(醫師週班表!$C$5:$T$44,$CU37,CC$57),""),2,1)="(",LEFT(IFERROR(INDEX(醫師週班表!$C$5:$T$44,$CU37,CC$57),""),1),IFERROR(INDEX(醫師週班表!$C$5:$T$44,$CU37,CC$57),"")))))))</f>
        <v/>
      </c>
      <c r="CD37" s="72">
        <f>IF(CD$59="X","",IF(CD$59&lt;&gt;"",CD$59,IF(IFERROR(INDEX(醫師週班表!$C$5:$T$44,$CU37,CD$57),"")=0,"",IF(MID(IFERROR(INDEX(醫師週班表!$C$5:$T$44,$CU37,CD$57),""),2,1)="/",MID(IFERROR(INDEX(醫師週班表!$C$5:$T$44,$CU37,CD$57),""),1+CD$58*2,1),IF(MID(IFERROR(INDEX(醫師週班表!$C$5:$T$44,$CU37,CD$57),""),3,1)="隔",IF(CD$58=0,LEFT(IFERROR(INDEX(醫師週班表!$C$5:$T$44,$CU37,CD$57),""),1),""),IF(MID(IFERROR(INDEX(醫師週班表!$C$5:$T$44,$CU37,CD$57),""),2,1)="(",LEFT(IFERROR(INDEX(醫師週班表!$C$5:$T$44,$CU37,CD$57),""),1),IFERROR(INDEX(醫師週班表!$C$5:$T$44,$CU37,CD$57),"")))))))</f>
        <v/>
      </c>
      <c r="CE37" s="71">
        <f>IF(CE$59="X","",IF(CE$59&lt;&gt;"",CE$59,IF(IFERROR(INDEX(醫師週班表!$C$5:$T$44,$CU37,CE$57),"")=0,"",IF(MID(IFERROR(INDEX(醫師週班表!$C$5:$T$44,$CU37,CE$57),""),2,1)="/",MID(IFERROR(INDEX(醫師週班表!$C$5:$T$44,$CU37,CE$57),""),1+CE$58*2,1),IF(MID(IFERROR(INDEX(醫師週班表!$C$5:$T$44,$CU37,CE$57),""),3,1)="隔",IF(CE$58=0,LEFT(IFERROR(INDEX(醫師週班表!$C$5:$T$44,$CU37,CE$57),""),1),""),IF(MID(IFERROR(INDEX(醫師週班表!$C$5:$T$44,$CU37,CE$57),""),2,1)="(",LEFT(IFERROR(INDEX(醫師週班表!$C$5:$T$44,$CU37,CE$57),""),1),IFERROR(INDEX(醫師週班表!$C$5:$T$44,$CU37,CE$57),"")))))))</f>
        <v/>
      </c>
      <c r="CF37" s="72">
        <f>IF(CF$59="X","",IF(CF$59&lt;&gt;"",CF$59,IF(IFERROR(INDEX(醫師週班表!$C$5:$T$44,$CU37,CF$57),"")=0,"",IF(MID(IFERROR(INDEX(醫師週班表!$C$5:$T$44,$CU37,CF$57),""),2,1)="/",MID(IFERROR(INDEX(醫師週班表!$C$5:$T$44,$CU37,CF$57),""),1+CF$58*2,1),IF(MID(IFERROR(INDEX(醫師週班表!$C$5:$T$44,$CU37,CF$57),""),3,1)="隔",IF(CF$58=0,LEFT(IFERROR(INDEX(醫師週班表!$C$5:$T$44,$CU37,CF$57),""),1),""),IF(MID(IFERROR(INDEX(醫師週班表!$C$5:$T$44,$CU37,CF$57),""),2,1)="(",LEFT(IFERROR(INDEX(醫師週班表!$C$5:$T$44,$CU37,CF$57),""),1),IFERROR(INDEX(醫師週班表!$C$5:$T$44,$CU37,CF$57),"")))))))</f>
        <v/>
      </c>
      <c r="CG37" s="72">
        <f>IF(CG$59="X","",IF(CG$59&lt;&gt;"",CG$59,IF(IFERROR(INDEX(醫師週班表!$C$5:$T$44,$CU37,CG$57),"")=0,"",IF(MID(IFERROR(INDEX(醫師週班表!$C$5:$T$44,$CU37,CG$57),""),2,1)="/",MID(IFERROR(INDEX(醫師週班表!$C$5:$T$44,$CU37,CG$57),""),1+CG$58*2,1),IF(MID(IFERROR(INDEX(醫師週班表!$C$5:$T$44,$CU37,CG$57),""),3,1)="隔",IF(CG$58=0,LEFT(IFERROR(INDEX(醫師週班表!$C$5:$T$44,$CU37,CG$57),""),1),""),IF(MID(IFERROR(INDEX(醫師週班表!$C$5:$T$44,$CU37,CG$57),""),2,1)="(",LEFT(IFERROR(INDEX(醫師週班表!$C$5:$T$44,$CU37,CG$57),""),1),IFERROR(INDEX(醫師週班表!$C$5:$T$44,$CU37,CG$57),"")))))))</f>
        <v/>
      </c>
      <c r="CH37" s="71">
        <f>IF(CH$59="X","",IF(CH$59&lt;&gt;"",CH$59,IF(IFERROR(INDEX(醫師週班表!$C$5:$T$44,$CU37,CH$57),"")=0,"",IF(MID(IFERROR(INDEX(醫師週班表!$C$5:$T$44,$CU37,CH$57),""),2,1)="/",MID(IFERROR(INDEX(醫師週班表!$C$5:$T$44,$CU37,CH$57),""),1+CH$58*2,1),IF(MID(IFERROR(INDEX(醫師週班表!$C$5:$T$44,$CU37,CH$57),""),3,1)="隔",IF(CH$58=0,LEFT(IFERROR(INDEX(醫師週班表!$C$5:$T$44,$CU37,CH$57),""),1),""),IF(MID(IFERROR(INDEX(醫師週班表!$C$5:$T$44,$CU37,CH$57),""),2,1)="(",LEFT(IFERROR(INDEX(醫師週班表!$C$5:$T$44,$CU37,CH$57),""),1),IFERROR(INDEX(醫師週班表!$C$5:$T$44,$CU37,CH$57),"")))))))</f>
        <v/>
      </c>
      <c r="CI37" s="72">
        <f>IF(CI$59="X","",IF(CI$59&lt;&gt;"",CI$59,IF(IFERROR(INDEX(醫師週班表!$C$5:$T$44,$CU37,CI$57),"")=0,"",IF(MID(IFERROR(INDEX(醫師週班表!$C$5:$T$44,$CU37,CI$57),""),2,1)="/",MID(IFERROR(INDEX(醫師週班表!$C$5:$T$44,$CU37,CI$57),""),1+CI$58*2,1),IF(MID(IFERROR(INDEX(醫師週班表!$C$5:$T$44,$CU37,CI$57),""),3,1)="隔",IF(CI$58=0,LEFT(IFERROR(INDEX(醫師週班表!$C$5:$T$44,$CU37,CI$57),""),1),""),IF(MID(IFERROR(INDEX(醫師週班表!$C$5:$T$44,$CU37,CI$57),""),2,1)="(",LEFT(IFERROR(INDEX(醫師週班表!$C$5:$T$44,$CU37,CI$57),""),1),IFERROR(INDEX(醫師週班表!$C$5:$T$44,$CU37,CI$57),"")))))))</f>
        <v/>
      </c>
      <c r="CJ37" s="72">
        <f>IF(CJ$59="X","",IF(CJ$59&lt;&gt;"",CJ$59,IF(IFERROR(INDEX(醫師週班表!$C$5:$T$44,$CU37,CJ$57),"")=0,"",IF(MID(IFERROR(INDEX(醫師週班表!$C$5:$T$44,$CU37,CJ$57),""),2,1)="/",MID(IFERROR(INDEX(醫師週班表!$C$5:$T$44,$CU37,CJ$57),""),1+CJ$58*2,1),IF(MID(IFERROR(INDEX(醫師週班表!$C$5:$T$44,$CU37,CJ$57),""),3,1)="隔",IF(CJ$58=0,LEFT(IFERROR(INDEX(醫師週班表!$C$5:$T$44,$CU37,CJ$57),""),1),""),IF(MID(IFERROR(INDEX(醫師週班表!$C$5:$T$44,$CU37,CJ$57),""),2,1)="(",LEFT(IFERROR(INDEX(醫師週班表!$C$5:$T$44,$CU37,CJ$57),""),1),IFERROR(INDEX(醫師週班表!$C$5:$T$44,$CU37,CJ$57),"")))))))</f>
        <v/>
      </c>
      <c r="CK37" s="71">
        <f>IF(CK$59="X","",IF(CK$59&lt;&gt;"",CK$59,IF(IFERROR(INDEX(醫師週班表!$C$5:$T$44,$CU37,CK$57),"")=0,"",IF(MID(IFERROR(INDEX(醫師週班表!$C$5:$T$44,$CU37,CK$57),""),2,1)="/",MID(IFERROR(INDEX(醫師週班表!$C$5:$T$44,$CU37,CK$57),""),1+CK$58*2,1),IF(MID(IFERROR(INDEX(醫師週班表!$C$5:$T$44,$CU37,CK$57),""),3,1)="隔",IF(CK$58=0,LEFT(IFERROR(INDEX(醫師週班表!$C$5:$T$44,$CU37,CK$57),""),1),""),IF(MID(IFERROR(INDEX(醫師週班表!$C$5:$T$44,$CU37,CK$57),""),2,1)="(",LEFT(IFERROR(INDEX(醫師週班表!$C$5:$T$44,$CU37,CK$57),""),1),IFERROR(INDEX(醫師週班表!$C$5:$T$44,$CU37,CK$57),"")))))))</f>
        <v/>
      </c>
      <c r="CL37" s="72">
        <f>IF(CL$59="X","",IF(CL$59&lt;&gt;"",CL$59,IF(IFERROR(INDEX(醫師週班表!$C$5:$T$44,$CU37,CL$57),"")=0,"",IF(MID(IFERROR(INDEX(醫師週班表!$C$5:$T$44,$CU37,CL$57),""),2,1)="/",MID(IFERROR(INDEX(醫師週班表!$C$5:$T$44,$CU37,CL$57),""),1+CL$58*2,1),IF(MID(IFERROR(INDEX(醫師週班表!$C$5:$T$44,$CU37,CL$57),""),3,1)="隔",IF(CL$58=0,LEFT(IFERROR(INDEX(醫師週班表!$C$5:$T$44,$CU37,CL$57),""),1),""),IF(MID(IFERROR(INDEX(醫師週班表!$C$5:$T$44,$CU37,CL$57),""),2,1)="(",LEFT(IFERROR(INDEX(醫師週班表!$C$5:$T$44,$CU37,CL$57),""),1),IFERROR(INDEX(醫師週班表!$C$5:$T$44,$CU37,CL$57),"")))))))</f>
        <v/>
      </c>
      <c r="CM37" s="72">
        <f>IF(CM$59="X","",IF(CM$59&lt;&gt;"",CM$59,IF(IFERROR(INDEX(醫師週班表!$C$5:$T$44,$CU37,CM$57),"")=0,"",IF(MID(IFERROR(INDEX(醫師週班表!$C$5:$T$44,$CU37,CM$57),""),2,1)="/",MID(IFERROR(INDEX(醫師週班表!$C$5:$T$44,$CU37,CM$57),""),1+CM$58*2,1),IF(MID(IFERROR(INDEX(醫師週班表!$C$5:$T$44,$CU37,CM$57),""),3,1)="隔",IF(CM$58=0,LEFT(IFERROR(INDEX(醫師週班表!$C$5:$T$44,$CU37,CM$57),""),1),""),IF(MID(IFERROR(INDEX(醫師週班表!$C$5:$T$44,$CU37,CM$57),""),2,1)="(",LEFT(IFERROR(INDEX(醫師週班表!$C$5:$T$44,$CU37,CM$57),""),1),IFERROR(INDEX(醫師週班表!$C$5:$T$44,$CU37,CM$57),"")))))))</f>
        <v/>
      </c>
      <c r="CN37" s="71">
        <f>IF(CN$59="X","",IF(CN$59&lt;&gt;"",CN$59,IF(IFERROR(INDEX(醫師週班表!$C$5:$T$44,$CU37,CN$57),"")=0,"",IF(MID(IFERROR(INDEX(醫師週班表!$C$5:$T$44,$CU37,CN$57),""),2,1)="/",MID(IFERROR(INDEX(醫師週班表!$C$5:$T$44,$CU37,CN$57),""),1+CN$58*2,1),IF(MID(IFERROR(INDEX(醫師週班表!$C$5:$T$44,$CU37,CN$57),""),3,1)="隔",IF(CN$58=0,LEFT(IFERROR(INDEX(醫師週班表!$C$5:$T$44,$CU37,CN$57),""),1),""),IF(MID(IFERROR(INDEX(醫師週班表!$C$5:$T$44,$CU37,CN$57),""),2,1)="(",LEFT(IFERROR(INDEX(醫師週班表!$C$5:$T$44,$CU37,CN$57),""),1),IFERROR(INDEX(醫師週班表!$C$5:$T$44,$CU37,CN$57),"")))))))</f>
        <v/>
      </c>
      <c r="CO37" s="72">
        <f>IF(CO$59="X","",IF(CO$59&lt;&gt;"",CO$59,IF(IFERROR(INDEX(醫師週班表!$C$5:$T$44,$CU37,CO$57),"")=0,"",IF(MID(IFERROR(INDEX(醫師週班表!$C$5:$T$44,$CU37,CO$57),""),2,1)="/",MID(IFERROR(INDEX(醫師週班表!$C$5:$T$44,$CU37,CO$57),""),1+CO$58*2,1),IF(MID(IFERROR(INDEX(醫師週班表!$C$5:$T$44,$CU37,CO$57),""),3,1)="隔",IF(CO$58=0,LEFT(IFERROR(INDEX(醫師週班表!$C$5:$T$44,$CU37,CO$57),""),1),""),IF(MID(IFERROR(INDEX(醫師週班表!$C$5:$T$44,$CU37,CO$57),""),2,1)="(",LEFT(IFERROR(INDEX(醫師週班表!$C$5:$T$44,$CU37,CO$57),""),1),IFERROR(INDEX(醫師週班表!$C$5:$T$44,$CU37,CO$57),"")))))))</f>
        <v/>
      </c>
      <c r="CP37" s="72">
        <f>IF(CP$59="X","",IF(CP$59&lt;&gt;"",CP$59,IF(IFERROR(INDEX(醫師週班表!$C$5:$T$44,$CU37,CP$57),"")=0,"",IF(MID(IFERROR(INDEX(醫師週班表!$C$5:$T$44,$CU37,CP$57),""),2,1)="/",MID(IFERROR(INDEX(醫師週班表!$C$5:$T$44,$CU37,CP$57),""),1+CP$58*2,1),IF(MID(IFERROR(INDEX(醫師週班表!$C$5:$T$44,$CU37,CP$57),""),3,1)="隔",IF(CP$58=0,LEFT(IFERROR(INDEX(醫師週班表!$C$5:$T$44,$CU37,CP$57),""),1),""),IF(MID(IFERROR(INDEX(醫師週班表!$C$5:$T$44,$CU37,CP$57),""),2,1)="(",LEFT(IFERROR(INDEX(醫師週班表!$C$5:$T$44,$CU37,CP$57),""),1),IFERROR(INDEX(醫師週班表!$C$5:$T$44,$CU37,CP$57),"")))))))</f>
        <v/>
      </c>
      <c r="CQ37" s="71">
        <f>IF(CQ$59="X","",IF(CQ$59&lt;&gt;"",CQ$59,IF(IFERROR(INDEX(醫師週班表!$C$5:$T$44,$CU37,CQ$57),"")=0,"",IF(MID(IFERROR(INDEX(醫師週班表!$C$5:$T$44,$CU37,CQ$57),""),2,1)="/",MID(IFERROR(INDEX(醫師週班表!$C$5:$T$44,$CU37,CQ$57),""),1+CQ$58*2,1),IF(MID(IFERROR(INDEX(醫師週班表!$C$5:$T$44,$CU37,CQ$57),""),3,1)="隔",IF(CQ$58=0,LEFT(IFERROR(INDEX(醫師週班表!$C$5:$T$44,$CU37,CQ$57),""),1),""),IF(MID(IFERROR(INDEX(醫師週班表!$C$5:$T$44,$CU37,CQ$57),""),2,1)="(",LEFT(IFERROR(INDEX(醫師週班表!$C$5:$T$44,$CU37,CQ$57),""),1),IFERROR(INDEX(醫師週班表!$C$5:$T$44,$CU37,CQ$57),"")))))))</f>
        <v/>
      </c>
      <c r="CR37" s="72">
        <f>IF(CR$59="X","",IF(CR$59&lt;&gt;"",CR$59,IF(IFERROR(INDEX(醫師週班表!$C$5:$T$44,$CU37,CR$57),"")=0,"",IF(MID(IFERROR(INDEX(醫師週班表!$C$5:$T$44,$CU37,CR$57),""),2,1)="/",MID(IFERROR(INDEX(醫師週班表!$C$5:$T$44,$CU37,CR$57),""),1+CR$58*2,1),IF(MID(IFERROR(INDEX(醫師週班表!$C$5:$T$44,$CU37,CR$57),""),3,1)="隔",IF(CR$58=0,LEFT(IFERROR(INDEX(醫師週班表!$C$5:$T$44,$CU37,CR$57),""),1),""),IF(MID(IFERROR(INDEX(醫師週班表!$C$5:$T$44,$CU37,CR$57),""),2,1)="(",LEFT(IFERROR(INDEX(醫師週班表!$C$5:$T$44,$CU37,CR$57),""),1),IFERROR(INDEX(醫師週班表!$C$5:$T$44,$CU37,CR$57),"")))))))</f>
        <v/>
      </c>
      <c r="CS37" s="72">
        <f>IF(CS$59="X","",IF(CS$59&lt;&gt;"",CS$59,IF(IFERROR(INDEX(醫師週班表!$C$5:$T$44,$CU37,CS$57),"")=0,"",IF(MID(IFERROR(INDEX(醫師週班表!$C$5:$T$44,$CU37,CS$57),""),2,1)="/",MID(IFERROR(INDEX(醫師週班表!$C$5:$T$44,$CU37,CS$57),""),1+CS$58*2,1),IF(MID(IFERROR(INDEX(醫師週班表!$C$5:$T$44,$CU37,CS$57),""),3,1)="隔",IF(CS$58=0,LEFT(IFERROR(INDEX(醫師週班表!$C$5:$T$44,$CU37,CS$57),""),1),""),IF(MID(IFERROR(INDEX(醫師週班表!$C$5:$T$44,$CU37,CS$57),""),2,1)="(",LEFT(IFERROR(INDEX(醫師週班表!$C$5:$T$44,$CU37,CS$57),""),1),IFERROR(INDEX(醫師週班表!$C$5:$T$44,$CU37,CS$57),"")))))))</f>
        <v/>
      </c>
      <c r="CU37" s="73">
        <f>IFERROR(MATCH($A37,醫師週班表!$A$5:$A$44,0),0)</f>
        <v/>
      </c>
    </row>
    <row r="38" ht="17" customHeight="1">
      <c r="A38" s="19" t="n"/>
      <c r="B38" s="16">
        <f>IFERROR(INDEX(設定!$C$64:$C$203,MATCH($A38,設定!$B$64:$B$203,0)),"")</f>
        <v/>
      </c>
      <c r="C38" s="70">
        <f>IFERROR(INDEX(設定!$E$64:$E$203,MATCH($A38,設定!$B$64:$B$203,0)),"")</f>
        <v/>
      </c>
      <c r="D38" s="16">
        <f>IFERROR(INDEX(設定!$F$64:$F$203,MATCH($A38,設定!$B$64:$B$203,0)),"")</f>
        <v/>
      </c>
      <c r="E38" s="71">
        <f>IF(E$59="X","",IF(E$59&lt;&gt;"",E$59,IF(IFERROR(INDEX(醫師週班表!$C$5:$T$44,$CU38,E$57),"")=0,"",IF(MID(IFERROR(INDEX(醫師週班表!$C$5:$T$44,$CU38,E$57),""),2,1)="/",MID(IFERROR(INDEX(醫師週班表!$C$5:$T$44,$CU38,E$57),""),1+E$58*2,1),IF(MID(IFERROR(INDEX(醫師週班表!$C$5:$T$44,$CU38,E$57),""),3,1)="隔",IF(E$58=0,LEFT(IFERROR(INDEX(醫師週班表!$C$5:$T$44,$CU38,E$57),""),1),""),IF(MID(IFERROR(INDEX(醫師週班表!$C$5:$T$44,$CU38,E$57),""),2,1)="(",LEFT(IFERROR(INDEX(醫師週班表!$C$5:$T$44,$CU38,E$57),""),1),IFERROR(INDEX(醫師週班表!$C$5:$T$44,$CU38,E$57),"")))))))</f>
        <v/>
      </c>
      <c r="F38" s="72">
        <f>IF(F$59="X","",IF(F$59&lt;&gt;"",F$59,IF(IFERROR(INDEX(醫師週班表!$C$5:$T$44,$CU38,F$57),"")=0,"",IF(MID(IFERROR(INDEX(醫師週班表!$C$5:$T$44,$CU38,F$57),""),2,1)="/",MID(IFERROR(INDEX(醫師週班表!$C$5:$T$44,$CU38,F$57),""),1+F$58*2,1),IF(MID(IFERROR(INDEX(醫師週班表!$C$5:$T$44,$CU38,F$57),""),3,1)="隔",IF(F$58=0,LEFT(IFERROR(INDEX(醫師週班表!$C$5:$T$44,$CU38,F$57),""),1),""),IF(MID(IFERROR(INDEX(醫師週班表!$C$5:$T$44,$CU38,F$57),""),2,1)="(",LEFT(IFERROR(INDEX(醫師週班表!$C$5:$T$44,$CU38,F$57),""),1),IFERROR(INDEX(醫師週班表!$C$5:$T$44,$CU38,F$57),"")))))))</f>
        <v/>
      </c>
      <c r="G38" s="72">
        <f>IF(G$59="X","",IF(G$59&lt;&gt;"",G$59,IF(IFERROR(INDEX(醫師週班表!$C$5:$T$44,$CU38,G$57),"")=0,"",IF(MID(IFERROR(INDEX(醫師週班表!$C$5:$T$44,$CU38,G$57),""),2,1)="/",MID(IFERROR(INDEX(醫師週班表!$C$5:$T$44,$CU38,G$57),""),1+G$58*2,1),IF(MID(IFERROR(INDEX(醫師週班表!$C$5:$T$44,$CU38,G$57),""),3,1)="隔",IF(G$58=0,LEFT(IFERROR(INDEX(醫師週班表!$C$5:$T$44,$CU38,G$57),""),1),""),IF(MID(IFERROR(INDEX(醫師週班表!$C$5:$T$44,$CU38,G$57),""),2,1)="(",LEFT(IFERROR(INDEX(醫師週班表!$C$5:$T$44,$CU38,G$57),""),1),IFERROR(INDEX(醫師週班表!$C$5:$T$44,$CU38,G$57),"")))))))</f>
        <v/>
      </c>
      <c r="H38" s="71">
        <f>IF(H$59="X","",IF(H$59&lt;&gt;"",H$59,IF(IFERROR(INDEX(醫師週班表!$C$5:$T$44,$CU38,H$57),"")=0,"",IF(MID(IFERROR(INDEX(醫師週班表!$C$5:$T$44,$CU38,H$57),""),2,1)="/",MID(IFERROR(INDEX(醫師週班表!$C$5:$T$44,$CU38,H$57),""),1+H$58*2,1),IF(MID(IFERROR(INDEX(醫師週班表!$C$5:$T$44,$CU38,H$57),""),3,1)="隔",IF(H$58=0,LEFT(IFERROR(INDEX(醫師週班表!$C$5:$T$44,$CU38,H$57),""),1),""),IF(MID(IFERROR(INDEX(醫師週班表!$C$5:$T$44,$CU38,H$57),""),2,1)="(",LEFT(IFERROR(INDEX(醫師週班表!$C$5:$T$44,$CU38,H$57),""),1),IFERROR(INDEX(醫師週班表!$C$5:$T$44,$CU38,H$57),"")))))))</f>
        <v/>
      </c>
      <c r="I38" s="72">
        <f>IF(I$59="X","",IF(I$59&lt;&gt;"",I$59,IF(IFERROR(INDEX(醫師週班表!$C$5:$T$44,$CU38,I$57),"")=0,"",IF(MID(IFERROR(INDEX(醫師週班表!$C$5:$T$44,$CU38,I$57),""),2,1)="/",MID(IFERROR(INDEX(醫師週班表!$C$5:$T$44,$CU38,I$57),""),1+I$58*2,1),IF(MID(IFERROR(INDEX(醫師週班表!$C$5:$T$44,$CU38,I$57),""),3,1)="隔",IF(I$58=0,LEFT(IFERROR(INDEX(醫師週班表!$C$5:$T$44,$CU38,I$57),""),1),""),IF(MID(IFERROR(INDEX(醫師週班表!$C$5:$T$44,$CU38,I$57),""),2,1)="(",LEFT(IFERROR(INDEX(醫師週班表!$C$5:$T$44,$CU38,I$57),""),1),IFERROR(INDEX(醫師週班表!$C$5:$T$44,$CU38,I$57),"")))))))</f>
        <v/>
      </c>
      <c r="J38" s="72">
        <f>IF(J$59="X","",IF(J$59&lt;&gt;"",J$59,IF(IFERROR(INDEX(醫師週班表!$C$5:$T$44,$CU38,J$57),"")=0,"",IF(MID(IFERROR(INDEX(醫師週班表!$C$5:$T$44,$CU38,J$57),""),2,1)="/",MID(IFERROR(INDEX(醫師週班表!$C$5:$T$44,$CU38,J$57),""),1+J$58*2,1),IF(MID(IFERROR(INDEX(醫師週班表!$C$5:$T$44,$CU38,J$57),""),3,1)="隔",IF(J$58=0,LEFT(IFERROR(INDEX(醫師週班表!$C$5:$T$44,$CU38,J$57),""),1),""),IF(MID(IFERROR(INDEX(醫師週班表!$C$5:$T$44,$CU38,J$57),""),2,1)="(",LEFT(IFERROR(INDEX(醫師週班表!$C$5:$T$44,$CU38,J$57),""),1),IFERROR(INDEX(醫師週班表!$C$5:$T$44,$CU38,J$57),"")))))))</f>
        <v/>
      </c>
      <c r="K38" s="71">
        <f>IF(K$59="X","",IF(K$59&lt;&gt;"",K$59,IF(IFERROR(INDEX(醫師週班表!$C$5:$T$44,$CU38,K$57),"")=0,"",IF(MID(IFERROR(INDEX(醫師週班表!$C$5:$T$44,$CU38,K$57),""),2,1)="/",MID(IFERROR(INDEX(醫師週班表!$C$5:$T$44,$CU38,K$57),""),1+K$58*2,1),IF(MID(IFERROR(INDEX(醫師週班表!$C$5:$T$44,$CU38,K$57),""),3,1)="隔",IF(K$58=0,LEFT(IFERROR(INDEX(醫師週班表!$C$5:$T$44,$CU38,K$57),""),1),""),IF(MID(IFERROR(INDEX(醫師週班表!$C$5:$T$44,$CU38,K$57),""),2,1)="(",LEFT(IFERROR(INDEX(醫師週班表!$C$5:$T$44,$CU38,K$57),""),1),IFERROR(INDEX(醫師週班表!$C$5:$T$44,$CU38,K$57),"")))))))</f>
        <v/>
      </c>
      <c r="L38" s="72">
        <f>IF(L$59="X","",IF(L$59&lt;&gt;"",L$59,IF(IFERROR(INDEX(醫師週班表!$C$5:$T$44,$CU38,L$57),"")=0,"",IF(MID(IFERROR(INDEX(醫師週班表!$C$5:$T$44,$CU38,L$57),""),2,1)="/",MID(IFERROR(INDEX(醫師週班表!$C$5:$T$44,$CU38,L$57),""),1+L$58*2,1),IF(MID(IFERROR(INDEX(醫師週班表!$C$5:$T$44,$CU38,L$57),""),3,1)="隔",IF(L$58=0,LEFT(IFERROR(INDEX(醫師週班表!$C$5:$T$44,$CU38,L$57),""),1),""),IF(MID(IFERROR(INDEX(醫師週班表!$C$5:$T$44,$CU38,L$57),""),2,1)="(",LEFT(IFERROR(INDEX(醫師週班表!$C$5:$T$44,$CU38,L$57),""),1),IFERROR(INDEX(醫師週班表!$C$5:$T$44,$CU38,L$57),"")))))))</f>
        <v/>
      </c>
      <c r="M38" s="72">
        <f>IF(M$59="X","",IF(M$59&lt;&gt;"",M$59,IF(IFERROR(INDEX(醫師週班表!$C$5:$T$44,$CU38,M$57),"")=0,"",IF(MID(IFERROR(INDEX(醫師週班表!$C$5:$T$44,$CU38,M$57),""),2,1)="/",MID(IFERROR(INDEX(醫師週班表!$C$5:$T$44,$CU38,M$57),""),1+M$58*2,1),IF(MID(IFERROR(INDEX(醫師週班表!$C$5:$T$44,$CU38,M$57),""),3,1)="隔",IF(M$58=0,LEFT(IFERROR(INDEX(醫師週班表!$C$5:$T$44,$CU38,M$57),""),1),""),IF(MID(IFERROR(INDEX(醫師週班表!$C$5:$T$44,$CU38,M$57),""),2,1)="(",LEFT(IFERROR(INDEX(醫師週班表!$C$5:$T$44,$CU38,M$57),""),1),IFERROR(INDEX(醫師週班表!$C$5:$T$44,$CU38,M$57),"")))))))</f>
        <v/>
      </c>
      <c r="N38" s="71">
        <f>IF(N$59="X","",IF(N$59&lt;&gt;"",N$59,IF(IFERROR(INDEX(醫師週班表!$C$5:$T$44,$CU38,N$57),"")=0,"",IF(MID(IFERROR(INDEX(醫師週班表!$C$5:$T$44,$CU38,N$57),""),2,1)="/",MID(IFERROR(INDEX(醫師週班表!$C$5:$T$44,$CU38,N$57),""),1+N$58*2,1),IF(MID(IFERROR(INDEX(醫師週班表!$C$5:$T$44,$CU38,N$57),""),3,1)="隔",IF(N$58=0,LEFT(IFERROR(INDEX(醫師週班表!$C$5:$T$44,$CU38,N$57),""),1),""),IF(MID(IFERROR(INDEX(醫師週班表!$C$5:$T$44,$CU38,N$57),""),2,1)="(",LEFT(IFERROR(INDEX(醫師週班表!$C$5:$T$44,$CU38,N$57),""),1),IFERROR(INDEX(醫師週班表!$C$5:$T$44,$CU38,N$57),"")))))))</f>
        <v/>
      </c>
      <c r="O38" s="72">
        <f>IF(O$59="X","",IF(O$59&lt;&gt;"",O$59,IF(IFERROR(INDEX(醫師週班表!$C$5:$T$44,$CU38,O$57),"")=0,"",IF(MID(IFERROR(INDEX(醫師週班表!$C$5:$T$44,$CU38,O$57),""),2,1)="/",MID(IFERROR(INDEX(醫師週班表!$C$5:$T$44,$CU38,O$57),""),1+O$58*2,1),IF(MID(IFERROR(INDEX(醫師週班表!$C$5:$T$44,$CU38,O$57),""),3,1)="隔",IF(O$58=0,LEFT(IFERROR(INDEX(醫師週班表!$C$5:$T$44,$CU38,O$57),""),1),""),IF(MID(IFERROR(INDEX(醫師週班表!$C$5:$T$44,$CU38,O$57),""),2,1)="(",LEFT(IFERROR(INDEX(醫師週班表!$C$5:$T$44,$CU38,O$57),""),1),IFERROR(INDEX(醫師週班表!$C$5:$T$44,$CU38,O$57),"")))))))</f>
        <v/>
      </c>
      <c r="P38" s="72">
        <f>IF(P$59="X","",IF(P$59&lt;&gt;"",P$59,IF(IFERROR(INDEX(醫師週班表!$C$5:$T$44,$CU38,P$57),"")=0,"",IF(MID(IFERROR(INDEX(醫師週班表!$C$5:$T$44,$CU38,P$57),""),2,1)="/",MID(IFERROR(INDEX(醫師週班表!$C$5:$T$44,$CU38,P$57),""),1+P$58*2,1),IF(MID(IFERROR(INDEX(醫師週班表!$C$5:$T$44,$CU38,P$57),""),3,1)="隔",IF(P$58=0,LEFT(IFERROR(INDEX(醫師週班表!$C$5:$T$44,$CU38,P$57),""),1),""),IF(MID(IFERROR(INDEX(醫師週班表!$C$5:$T$44,$CU38,P$57),""),2,1)="(",LEFT(IFERROR(INDEX(醫師週班表!$C$5:$T$44,$CU38,P$57),""),1),IFERROR(INDEX(醫師週班表!$C$5:$T$44,$CU38,P$57),"")))))))</f>
        <v/>
      </c>
      <c r="Q38" s="71">
        <f>IF(Q$59="X","",IF(Q$59&lt;&gt;"",Q$59,IF(IFERROR(INDEX(醫師週班表!$C$5:$T$44,$CU38,Q$57),"")=0,"",IF(MID(IFERROR(INDEX(醫師週班表!$C$5:$T$44,$CU38,Q$57),""),2,1)="/",MID(IFERROR(INDEX(醫師週班表!$C$5:$T$44,$CU38,Q$57),""),1+Q$58*2,1),IF(MID(IFERROR(INDEX(醫師週班表!$C$5:$T$44,$CU38,Q$57),""),3,1)="隔",IF(Q$58=0,LEFT(IFERROR(INDEX(醫師週班表!$C$5:$T$44,$CU38,Q$57),""),1),""),IF(MID(IFERROR(INDEX(醫師週班表!$C$5:$T$44,$CU38,Q$57),""),2,1)="(",LEFT(IFERROR(INDEX(醫師週班表!$C$5:$T$44,$CU38,Q$57),""),1),IFERROR(INDEX(醫師週班表!$C$5:$T$44,$CU38,Q$57),"")))))))</f>
        <v/>
      </c>
      <c r="R38" s="72">
        <f>IF(R$59="X","",IF(R$59&lt;&gt;"",R$59,IF(IFERROR(INDEX(醫師週班表!$C$5:$T$44,$CU38,R$57),"")=0,"",IF(MID(IFERROR(INDEX(醫師週班表!$C$5:$T$44,$CU38,R$57),""),2,1)="/",MID(IFERROR(INDEX(醫師週班表!$C$5:$T$44,$CU38,R$57),""),1+R$58*2,1),IF(MID(IFERROR(INDEX(醫師週班表!$C$5:$T$44,$CU38,R$57),""),3,1)="隔",IF(R$58=0,LEFT(IFERROR(INDEX(醫師週班表!$C$5:$T$44,$CU38,R$57),""),1),""),IF(MID(IFERROR(INDEX(醫師週班表!$C$5:$T$44,$CU38,R$57),""),2,1)="(",LEFT(IFERROR(INDEX(醫師週班表!$C$5:$T$44,$CU38,R$57),""),1),IFERROR(INDEX(醫師週班表!$C$5:$T$44,$CU38,R$57),"")))))))</f>
        <v/>
      </c>
      <c r="S38" s="72">
        <f>IF(S$59="X","",IF(S$59&lt;&gt;"",S$59,IF(IFERROR(INDEX(醫師週班表!$C$5:$T$44,$CU38,S$57),"")=0,"",IF(MID(IFERROR(INDEX(醫師週班表!$C$5:$T$44,$CU38,S$57),""),2,1)="/",MID(IFERROR(INDEX(醫師週班表!$C$5:$T$44,$CU38,S$57),""),1+S$58*2,1),IF(MID(IFERROR(INDEX(醫師週班表!$C$5:$T$44,$CU38,S$57),""),3,1)="隔",IF(S$58=0,LEFT(IFERROR(INDEX(醫師週班表!$C$5:$T$44,$CU38,S$57),""),1),""),IF(MID(IFERROR(INDEX(醫師週班表!$C$5:$T$44,$CU38,S$57),""),2,1)="(",LEFT(IFERROR(INDEX(醫師週班表!$C$5:$T$44,$CU38,S$57),""),1),IFERROR(INDEX(醫師週班表!$C$5:$T$44,$CU38,S$57),"")))))))</f>
        <v/>
      </c>
      <c r="T38" s="71">
        <f>IF(T$59="X","",IF(T$59&lt;&gt;"",T$59,IF(IFERROR(INDEX(醫師週班表!$C$5:$T$44,$CU38,T$57),"")=0,"",IF(MID(IFERROR(INDEX(醫師週班表!$C$5:$T$44,$CU38,T$57),""),2,1)="/",MID(IFERROR(INDEX(醫師週班表!$C$5:$T$44,$CU38,T$57),""),1+T$58*2,1),IF(MID(IFERROR(INDEX(醫師週班表!$C$5:$T$44,$CU38,T$57),""),3,1)="隔",IF(T$58=0,LEFT(IFERROR(INDEX(醫師週班表!$C$5:$T$44,$CU38,T$57),""),1),""),IF(MID(IFERROR(INDEX(醫師週班表!$C$5:$T$44,$CU38,T$57),""),2,1)="(",LEFT(IFERROR(INDEX(醫師週班表!$C$5:$T$44,$CU38,T$57),""),1),IFERROR(INDEX(醫師週班表!$C$5:$T$44,$CU38,T$57),"")))))))</f>
        <v/>
      </c>
      <c r="U38" s="72">
        <f>IF(U$59="X","",IF(U$59&lt;&gt;"",U$59,IF(IFERROR(INDEX(醫師週班表!$C$5:$T$44,$CU38,U$57),"")=0,"",IF(MID(IFERROR(INDEX(醫師週班表!$C$5:$T$44,$CU38,U$57),""),2,1)="/",MID(IFERROR(INDEX(醫師週班表!$C$5:$T$44,$CU38,U$57),""),1+U$58*2,1),IF(MID(IFERROR(INDEX(醫師週班表!$C$5:$T$44,$CU38,U$57),""),3,1)="隔",IF(U$58=0,LEFT(IFERROR(INDEX(醫師週班表!$C$5:$T$44,$CU38,U$57),""),1),""),IF(MID(IFERROR(INDEX(醫師週班表!$C$5:$T$44,$CU38,U$57),""),2,1)="(",LEFT(IFERROR(INDEX(醫師週班表!$C$5:$T$44,$CU38,U$57),""),1),IFERROR(INDEX(醫師週班表!$C$5:$T$44,$CU38,U$57),"")))))))</f>
        <v/>
      </c>
      <c r="V38" s="72">
        <f>IF(V$59="X","",IF(V$59&lt;&gt;"",V$59,IF(IFERROR(INDEX(醫師週班表!$C$5:$T$44,$CU38,V$57),"")=0,"",IF(MID(IFERROR(INDEX(醫師週班表!$C$5:$T$44,$CU38,V$57),""),2,1)="/",MID(IFERROR(INDEX(醫師週班表!$C$5:$T$44,$CU38,V$57),""),1+V$58*2,1),IF(MID(IFERROR(INDEX(醫師週班表!$C$5:$T$44,$CU38,V$57),""),3,1)="隔",IF(V$58=0,LEFT(IFERROR(INDEX(醫師週班表!$C$5:$T$44,$CU38,V$57),""),1),""),IF(MID(IFERROR(INDEX(醫師週班表!$C$5:$T$44,$CU38,V$57),""),2,1)="(",LEFT(IFERROR(INDEX(醫師週班表!$C$5:$T$44,$CU38,V$57),""),1),IFERROR(INDEX(醫師週班表!$C$5:$T$44,$CU38,V$57),"")))))))</f>
        <v/>
      </c>
      <c r="W38" s="71">
        <f>IF(W$59="X","",IF(W$59&lt;&gt;"",W$59,IF(IFERROR(INDEX(醫師週班表!$C$5:$T$44,$CU38,W$57),"")=0,"",IF(MID(IFERROR(INDEX(醫師週班表!$C$5:$T$44,$CU38,W$57),""),2,1)="/",MID(IFERROR(INDEX(醫師週班表!$C$5:$T$44,$CU38,W$57),""),1+W$58*2,1),IF(MID(IFERROR(INDEX(醫師週班表!$C$5:$T$44,$CU38,W$57),""),3,1)="隔",IF(W$58=0,LEFT(IFERROR(INDEX(醫師週班表!$C$5:$T$44,$CU38,W$57),""),1),""),IF(MID(IFERROR(INDEX(醫師週班表!$C$5:$T$44,$CU38,W$57),""),2,1)="(",LEFT(IFERROR(INDEX(醫師週班表!$C$5:$T$44,$CU38,W$57),""),1),IFERROR(INDEX(醫師週班表!$C$5:$T$44,$CU38,W$57),"")))))))</f>
        <v/>
      </c>
      <c r="X38" s="72">
        <f>IF(X$59="X","",IF(X$59&lt;&gt;"",X$59,IF(IFERROR(INDEX(醫師週班表!$C$5:$T$44,$CU38,X$57),"")=0,"",IF(MID(IFERROR(INDEX(醫師週班表!$C$5:$T$44,$CU38,X$57),""),2,1)="/",MID(IFERROR(INDEX(醫師週班表!$C$5:$T$44,$CU38,X$57),""),1+X$58*2,1),IF(MID(IFERROR(INDEX(醫師週班表!$C$5:$T$44,$CU38,X$57),""),3,1)="隔",IF(X$58=0,LEFT(IFERROR(INDEX(醫師週班表!$C$5:$T$44,$CU38,X$57),""),1),""),IF(MID(IFERROR(INDEX(醫師週班表!$C$5:$T$44,$CU38,X$57),""),2,1)="(",LEFT(IFERROR(INDEX(醫師週班表!$C$5:$T$44,$CU38,X$57),""),1),IFERROR(INDEX(醫師週班表!$C$5:$T$44,$CU38,X$57),"")))))))</f>
        <v/>
      </c>
      <c r="Y38" s="72">
        <f>IF(Y$59="X","",IF(Y$59&lt;&gt;"",Y$59,IF(IFERROR(INDEX(醫師週班表!$C$5:$T$44,$CU38,Y$57),"")=0,"",IF(MID(IFERROR(INDEX(醫師週班表!$C$5:$T$44,$CU38,Y$57),""),2,1)="/",MID(IFERROR(INDEX(醫師週班表!$C$5:$T$44,$CU38,Y$57),""),1+Y$58*2,1),IF(MID(IFERROR(INDEX(醫師週班表!$C$5:$T$44,$CU38,Y$57),""),3,1)="隔",IF(Y$58=0,LEFT(IFERROR(INDEX(醫師週班表!$C$5:$T$44,$CU38,Y$57),""),1),""),IF(MID(IFERROR(INDEX(醫師週班表!$C$5:$T$44,$CU38,Y$57),""),2,1)="(",LEFT(IFERROR(INDEX(醫師週班表!$C$5:$T$44,$CU38,Y$57),""),1),IFERROR(INDEX(醫師週班表!$C$5:$T$44,$CU38,Y$57),"")))))))</f>
        <v/>
      </c>
      <c r="Z38" s="71">
        <f>IF(Z$59="X","",IF(Z$59&lt;&gt;"",Z$59,IF(IFERROR(INDEX(醫師週班表!$C$5:$T$44,$CU38,Z$57),"")=0,"",IF(MID(IFERROR(INDEX(醫師週班表!$C$5:$T$44,$CU38,Z$57),""),2,1)="/",MID(IFERROR(INDEX(醫師週班表!$C$5:$T$44,$CU38,Z$57),""),1+Z$58*2,1),IF(MID(IFERROR(INDEX(醫師週班表!$C$5:$T$44,$CU38,Z$57),""),3,1)="隔",IF(Z$58=0,LEFT(IFERROR(INDEX(醫師週班表!$C$5:$T$44,$CU38,Z$57),""),1),""),IF(MID(IFERROR(INDEX(醫師週班表!$C$5:$T$44,$CU38,Z$57),""),2,1)="(",LEFT(IFERROR(INDEX(醫師週班表!$C$5:$T$44,$CU38,Z$57),""),1),IFERROR(INDEX(醫師週班表!$C$5:$T$44,$CU38,Z$57),"")))))))</f>
        <v/>
      </c>
      <c r="AA38" s="72">
        <f>IF(AA$59="X","",IF(AA$59&lt;&gt;"",AA$59,IF(IFERROR(INDEX(醫師週班表!$C$5:$T$44,$CU38,AA$57),"")=0,"",IF(MID(IFERROR(INDEX(醫師週班表!$C$5:$T$44,$CU38,AA$57),""),2,1)="/",MID(IFERROR(INDEX(醫師週班表!$C$5:$T$44,$CU38,AA$57),""),1+AA$58*2,1),IF(MID(IFERROR(INDEX(醫師週班表!$C$5:$T$44,$CU38,AA$57),""),3,1)="隔",IF(AA$58=0,LEFT(IFERROR(INDEX(醫師週班表!$C$5:$T$44,$CU38,AA$57),""),1),""),IF(MID(IFERROR(INDEX(醫師週班表!$C$5:$T$44,$CU38,AA$57),""),2,1)="(",LEFT(IFERROR(INDEX(醫師週班表!$C$5:$T$44,$CU38,AA$57),""),1),IFERROR(INDEX(醫師週班表!$C$5:$T$44,$CU38,AA$57),"")))))))</f>
        <v/>
      </c>
      <c r="AB38" s="72">
        <f>IF(AB$59="X","",IF(AB$59&lt;&gt;"",AB$59,IF(IFERROR(INDEX(醫師週班表!$C$5:$T$44,$CU38,AB$57),"")=0,"",IF(MID(IFERROR(INDEX(醫師週班表!$C$5:$T$44,$CU38,AB$57),""),2,1)="/",MID(IFERROR(INDEX(醫師週班表!$C$5:$T$44,$CU38,AB$57),""),1+AB$58*2,1),IF(MID(IFERROR(INDEX(醫師週班表!$C$5:$T$44,$CU38,AB$57),""),3,1)="隔",IF(AB$58=0,LEFT(IFERROR(INDEX(醫師週班表!$C$5:$T$44,$CU38,AB$57),""),1),""),IF(MID(IFERROR(INDEX(醫師週班表!$C$5:$T$44,$CU38,AB$57),""),2,1)="(",LEFT(IFERROR(INDEX(醫師週班表!$C$5:$T$44,$CU38,AB$57),""),1),IFERROR(INDEX(醫師週班表!$C$5:$T$44,$CU38,AB$57),"")))))))</f>
        <v/>
      </c>
      <c r="AC38" s="71">
        <f>IF(AC$59="X","",IF(AC$59&lt;&gt;"",AC$59,IF(IFERROR(INDEX(醫師週班表!$C$5:$T$44,$CU38,AC$57),"")=0,"",IF(MID(IFERROR(INDEX(醫師週班表!$C$5:$T$44,$CU38,AC$57),""),2,1)="/",MID(IFERROR(INDEX(醫師週班表!$C$5:$T$44,$CU38,AC$57),""),1+AC$58*2,1),IF(MID(IFERROR(INDEX(醫師週班表!$C$5:$T$44,$CU38,AC$57),""),3,1)="隔",IF(AC$58=0,LEFT(IFERROR(INDEX(醫師週班表!$C$5:$T$44,$CU38,AC$57),""),1),""),IF(MID(IFERROR(INDEX(醫師週班表!$C$5:$T$44,$CU38,AC$57),""),2,1)="(",LEFT(IFERROR(INDEX(醫師週班表!$C$5:$T$44,$CU38,AC$57),""),1),IFERROR(INDEX(醫師週班表!$C$5:$T$44,$CU38,AC$57),"")))))))</f>
        <v/>
      </c>
      <c r="AD38" s="72">
        <f>IF(AD$59="X","",IF(AD$59&lt;&gt;"",AD$59,IF(IFERROR(INDEX(醫師週班表!$C$5:$T$44,$CU38,AD$57),"")=0,"",IF(MID(IFERROR(INDEX(醫師週班表!$C$5:$T$44,$CU38,AD$57),""),2,1)="/",MID(IFERROR(INDEX(醫師週班表!$C$5:$T$44,$CU38,AD$57),""),1+AD$58*2,1),IF(MID(IFERROR(INDEX(醫師週班表!$C$5:$T$44,$CU38,AD$57),""),3,1)="隔",IF(AD$58=0,LEFT(IFERROR(INDEX(醫師週班表!$C$5:$T$44,$CU38,AD$57),""),1),""),IF(MID(IFERROR(INDEX(醫師週班表!$C$5:$T$44,$CU38,AD$57),""),2,1)="(",LEFT(IFERROR(INDEX(醫師週班表!$C$5:$T$44,$CU38,AD$57),""),1),IFERROR(INDEX(醫師週班表!$C$5:$T$44,$CU38,AD$57),"")))))))</f>
        <v/>
      </c>
      <c r="AE38" s="72">
        <f>IF(AE$59="X","",IF(AE$59&lt;&gt;"",AE$59,IF(IFERROR(INDEX(醫師週班表!$C$5:$T$44,$CU38,AE$57),"")=0,"",IF(MID(IFERROR(INDEX(醫師週班表!$C$5:$T$44,$CU38,AE$57),""),2,1)="/",MID(IFERROR(INDEX(醫師週班表!$C$5:$T$44,$CU38,AE$57),""),1+AE$58*2,1),IF(MID(IFERROR(INDEX(醫師週班表!$C$5:$T$44,$CU38,AE$57),""),3,1)="隔",IF(AE$58=0,LEFT(IFERROR(INDEX(醫師週班表!$C$5:$T$44,$CU38,AE$57),""),1),""),IF(MID(IFERROR(INDEX(醫師週班表!$C$5:$T$44,$CU38,AE$57),""),2,1)="(",LEFT(IFERROR(INDEX(醫師週班表!$C$5:$T$44,$CU38,AE$57),""),1),IFERROR(INDEX(醫師週班表!$C$5:$T$44,$CU38,AE$57),"")))))))</f>
        <v/>
      </c>
      <c r="AF38" s="71">
        <f>IF(AF$59="X","",IF(AF$59&lt;&gt;"",AF$59,IF(IFERROR(INDEX(醫師週班表!$C$5:$T$44,$CU38,AF$57),"")=0,"",IF(MID(IFERROR(INDEX(醫師週班表!$C$5:$T$44,$CU38,AF$57),""),2,1)="/",MID(IFERROR(INDEX(醫師週班表!$C$5:$T$44,$CU38,AF$57),""),1+AF$58*2,1),IF(MID(IFERROR(INDEX(醫師週班表!$C$5:$T$44,$CU38,AF$57),""),3,1)="隔",IF(AF$58=0,LEFT(IFERROR(INDEX(醫師週班表!$C$5:$T$44,$CU38,AF$57),""),1),""),IF(MID(IFERROR(INDEX(醫師週班表!$C$5:$T$44,$CU38,AF$57),""),2,1)="(",LEFT(IFERROR(INDEX(醫師週班表!$C$5:$T$44,$CU38,AF$57),""),1),IFERROR(INDEX(醫師週班表!$C$5:$T$44,$CU38,AF$57),"")))))))</f>
        <v/>
      </c>
      <c r="AG38" s="72">
        <f>IF(AG$59="X","",IF(AG$59&lt;&gt;"",AG$59,IF(IFERROR(INDEX(醫師週班表!$C$5:$T$44,$CU38,AG$57),"")=0,"",IF(MID(IFERROR(INDEX(醫師週班表!$C$5:$T$44,$CU38,AG$57),""),2,1)="/",MID(IFERROR(INDEX(醫師週班表!$C$5:$T$44,$CU38,AG$57),""),1+AG$58*2,1),IF(MID(IFERROR(INDEX(醫師週班表!$C$5:$T$44,$CU38,AG$57),""),3,1)="隔",IF(AG$58=0,LEFT(IFERROR(INDEX(醫師週班表!$C$5:$T$44,$CU38,AG$57),""),1),""),IF(MID(IFERROR(INDEX(醫師週班表!$C$5:$T$44,$CU38,AG$57),""),2,1)="(",LEFT(IFERROR(INDEX(醫師週班表!$C$5:$T$44,$CU38,AG$57),""),1),IFERROR(INDEX(醫師週班表!$C$5:$T$44,$CU38,AG$57),"")))))))</f>
        <v/>
      </c>
      <c r="AH38" s="72">
        <f>IF(AH$59="X","",IF(AH$59&lt;&gt;"",AH$59,IF(IFERROR(INDEX(醫師週班表!$C$5:$T$44,$CU38,AH$57),"")=0,"",IF(MID(IFERROR(INDEX(醫師週班表!$C$5:$T$44,$CU38,AH$57),""),2,1)="/",MID(IFERROR(INDEX(醫師週班表!$C$5:$T$44,$CU38,AH$57),""),1+AH$58*2,1),IF(MID(IFERROR(INDEX(醫師週班表!$C$5:$T$44,$CU38,AH$57),""),3,1)="隔",IF(AH$58=0,LEFT(IFERROR(INDEX(醫師週班表!$C$5:$T$44,$CU38,AH$57),""),1),""),IF(MID(IFERROR(INDEX(醫師週班表!$C$5:$T$44,$CU38,AH$57),""),2,1)="(",LEFT(IFERROR(INDEX(醫師週班表!$C$5:$T$44,$CU38,AH$57),""),1),IFERROR(INDEX(醫師週班表!$C$5:$T$44,$CU38,AH$57),"")))))))</f>
        <v/>
      </c>
      <c r="AI38" s="71">
        <f>IF(AI$59="X","",IF(AI$59&lt;&gt;"",AI$59,IF(IFERROR(INDEX(醫師週班表!$C$5:$T$44,$CU38,AI$57),"")=0,"",IF(MID(IFERROR(INDEX(醫師週班表!$C$5:$T$44,$CU38,AI$57),""),2,1)="/",MID(IFERROR(INDEX(醫師週班表!$C$5:$T$44,$CU38,AI$57),""),1+AI$58*2,1),IF(MID(IFERROR(INDEX(醫師週班表!$C$5:$T$44,$CU38,AI$57),""),3,1)="隔",IF(AI$58=0,LEFT(IFERROR(INDEX(醫師週班表!$C$5:$T$44,$CU38,AI$57),""),1),""),IF(MID(IFERROR(INDEX(醫師週班表!$C$5:$T$44,$CU38,AI$57),""),2,1)="(",LEFT(IFERROR(INDEX(醫師週班表!$C$5:$T$44,$CU38,AI$57),""),1),IFERROR(INDEX(醫師週班表!$C$5:$T$44,$CU38,AI$57),"")))))))</f>
        <v/>
      </c>
      <c r="AJ38" s="72">
        <f>IF(AJ$59="X","",IF(AJ$59&lt;&gt;"",AJ$59,IF(IFERROR(INDEX(醫師週班表!$C$5:$T$44,$CU38,AJ$57),"")=0,"",IF(MID(IFERROR(INDEX(醫師週班表!$C$5:$T$44,$CU38,AJ$57),""),2,1)="/",MID(IFERROR(INDEX(醫師週班表!$C$5:$T$44,$CU38,AJ$57),""),1+AJ$58*2,1),IF(MID(IFERROR(INDEX(醫師週班表!$C$5:$T$44,$CU38,AJ$57),""),3,1)="隔",IF(AJ$58=0,LEFT(IFERROR(INDEX(醫師週班表!$C$5:$T$44,$CU38,AJ$57),""),1),""),IF(MID(IFERROR(INDEX(醫師週班表!$C$5:$T$44,$CU38,AJ$57),""),2,1)="(",LEFT(IFERROR(INDEX(醫師週班表!$C$5:$T$44,$CU38,AJ$57),""),1),IFERROR(INDEX(醫師週班表!$C$5:$T$44,$CU38,AJ$57),"")))))))</f>
        <v/>
      </c>
      <c r="AK38" s="72">
        <f>IF(AK$59="X","",IF(AK$59&lt;&gt;"",AK$59,IF(IFERROR(INDEX(醫師週班表!$C$5:$T$44,$CU38,AK$57),"")=0,"",IF(MID(IFERROR(INDEX(醫師週班表!$C$5:$T$44,$CU38,AK$57),""),2,1)="/",MID(IFERROR(INDEX(醫師週班表!$C$5:$T$44,$CU38,AK$57),""),1+AK$58*2,1),IF(MID(IFERROR(INDEX(醫師週班表!$C$5:$T$44,$CU38,AK$57),""),3,1)="隔",IF(AK$58=0,LEFT(IFERROR(INDEX(醫師週班表!$C$5:$T$44,$CU38,AK$57),""),1),""),IF(MID(IFERROR(INDEX(醫師週班表!$C$5:$T$44,$CU38,AK$57),""),2,1)="(",LEFT(IFERROR(INDEX(醫師週班表!$C$5:$T$44,$CU38,AK$57),""),1),IFERROR(INDEX(醫師週班表!$C$5:$T$44,$CU38,AK$57),"")))))))</f>
        <v/>
      </c>
      <c r="AL38" s="71">
        <f>IF(AL$59="X","",IF(AL$59&lt;&gt;"",AL$59,IF(IFERROR(INDEX(醫師週班表!$C$5:$T$44,$CU38,AL$57),"")=0,"",IF(MID(IFERROR(INDEX(醫師週班表!$C$5:$T$44,$CU38,AL$57),""),2,1)="/",MID(IFERROR(INDEX(醫師週班表!$C$5:$T$44,$CU38,AL$57),""),1+AL$58*2,1),IF(MID(IFERROR(INDEX(醫師週班表!$C$5:$T$44,$CU38,AL$57),""),3,1)="隔",IF(AL$58=0,LEFT(IFERROR(INDEX(醫師週班表!$C$5:$T$44,$CU38,AL$57),""),1),""),IF(MID(IFERROR(INDEX(醫師週班表!$C$5:$T$44,$CU38,AL$57),""),2,1)="(",LEFT(IFERROR(INDEX(醫師週班表!$C$5:$T$44,$CU38,AL$57),""),1),IFERROR(INDEX(醫師週班表!$C$5:$T$44,$CU38,AL$57),"")))))))</f>
        <v/>
      </c>
      <c r="AM38" s="72">
        <f>IF(AM$59="X","",IF(AM$59&lt;&gt;"",AM$59,IF(IFERROR(INDEX(醫師週班表!$C$5:$T$44,$CU38,AM$57),"")=0,"",IF(MID(IFERROR(INDEX(醫師週班表!$C$5:$T$44,$CU38,AM$57),""),2,1)="/",MID(IFERROR(INDEX(醫師週班表!$C$5:$T$44,$CU38,AM$57),""),1+AM$58*2,1),IF(MID(IFERROR(INDEX(醫師週班表!$C$5:$T$44,$CU38,AM$57),""),3,1)="隔",IF(AM$58=0,LEFT(IFERROR(INDEX(醫師週班表!$C$5:$T$44,$CU38,AM$57),""),1),""),IF(MID(IFERROR(INDEX(醫師週班表!$C$5:$T$44,$CU38,AM$57),""),2,1)="(",LEFT(IFERROR(INDEX(醫師週班表!$C$5:$T$44,$CU38,AM$57),""),1),IFERROR(INDEX(醫師週班表!$C$5:$T$44,$CU38,AM$57),"")))))))</f>
        <v/>
      </c>
      <c r="AN38" s="72">
        <f>IF(AN$59="X","",IF(AN$59&lt;&gt;"",AN$59,IF(IFERROR(INDEX(醫師週班表!$C$5:$T$44,$CU38,AN$57),"")=0,"",IF(MID(IFERROR(INDEX(醫師週班表!$C$5:$T$44,$CU38,AN$57),""),2,1)="/",MID(IFERROR(INDEX(醫師週班表!$C$5:$T$44,$CU38,AN$57),""),1+AN$58*2,1),IF(MID(IFERROR(INDEX(醫師週班表!$C$5:$T$44,$CU38,AN$57),""),3,1)="隔",IF(AN$58=0,LEFT(IFERROR(INDEX(醫師週班表!$C$5:$T$44,$CU38,AN$57),""),1),""),IF(MID(IFERROR(INDEX(醫師週班表!$C$5:$T$44,$CU38,AN$57),""),2,1)="(",LEFT(IFERROR(INDEX(醫師週班表!$C$5:$T$44,$CU38,AN$57),""),1),IFERROR(INDEX(醫師週班表!$C$5:$T$44,$CU38,AN$57),"")))))))</f>
        <v/>
      </c>
      <c r="AO38" s="71">
        <f>IF(AO$59="X","",IF(AO$59&lt;&gt;"",AO$59,IF(IFERROR(INDEX(醫師週班表!$C$5:$T$44,$CU38,AO$57),"")=0,"",IF(MID(IFERROR(INDEX(醫師週班表!$C$5:$T$44,$CU38,AO$57),""),2,1)="/",MID(IFERROR(INDEX(醫師週班表!$C$5:$T$44,$CU38,AO$57),""),1+AO$58*2,1),IF(MID(IFERROR(INDEX(醫師週班表!$C$5:$T$44,$CU38,AO$57),""),3,1)="隔",IF(AO$58=0,LEFT(IFERROR(INDEX(醫師週班表!$C$5:$T$44,$CU38,AO$57),""),1),""),IF(MID(IFERROR(INDEX(醫師週班表!$C$5:$T$44,$CU38,AO$57),""),2,1)="(",LEFT(IFERROR(INDEX(醫師週班表!$C$5:$T$44,$CU38,AO$57),""),1),IFERROR(INDEX(醫師週班表!$C$5:$T$44,$CU38,AO$57),"")))))))</f>
        <v/>
      </c>
      <c r="AP38" s="72">
        <f>IF(AP$59="X","",IF(AP$59&lt;&gt;"",AP$59,IF(IFERROR(INDEX(醫師週班表!$C$5:$T$44,$CU38,AP$57),"")=0,"",IF(MID(IFERROR(INDEX(醫師週班表!$C$5:$T$44,$CU38,AP$57),""),2,1)="/",MID(IFERROR(INDEX(醫師週班表!$C$5:$T$44,$CU38,AP$57),""),1+AP$58*2,1),IF(MID(IFERROR(INDEX(醫師週班表!$C$5:$T$44,$CU38,AP$57),""),3,1)="隔",IF(AP$58=0,LEFT(IFERROR(INDEX(醫師週班表!$C$5:$T$44,$CU38,AP$57),""),1),""),IF(MID(IFERROR(INDEX(醫師週班表!$C$5:$T$44,$CU38,AP$57),""),2,1)="(",LEFT(IFERROR(INDEX(醫師週班表!$C$5:$T$44,$CU38,AP$57),""),1),IFERROR(INDEX(醫師週班表!$C$5:$T$44,$CU38,AP$57),"")))))))</f>
        <v/>
      </c>
      <c r="AQ38" s="72">
        <f>IF(AQ$59="X","",IF(AQ$59&lt;&gt;"",AQ$59,IF(IFERROR(INDEX(醫師週班表!$C$5:$T$44,$CU38,AQ$57),"")=0,"",IF(MID(IFERROR(INDEX(醫師週班表!$C$5:$T$44,$CU38,AQ$57),""),2,1)="/",MID(IFERROR(INDEX(醫師週班表!$C$5:$T$44,$CU38,AQ$57),""),1+AQ$58*2,1),IF(MID(IFERROR(INDEX(醫師週班表!$C$5:$T$44,$CU38,AQ$57),""),3,1)="隔",IF(AQ$58=0,LEFT(IFERROR(INDEX(醫師週班表!$C$5:$T$44,$CU38,AQ$57),""),1),""),IF(MID(IFERROR(INDEX(醫師週班表!$C$5:$T$44,$CU38,AQ$57),""),2,1)="(",LEFT(IFERROR(INDEX(醫師週班表!$C$5:$T$44,$CU38,AQ$57),""),1),IFERROR(INDEX(醫師週班表!$C$5:$T$44,$CU38,AQ$57),"")))))))</f>
        <v/>
      </c>
      <c r="AR38" s="71">
        <f>IF(AR$59="X","",IF(AR$59&lt;&gt;"",AR$59,IF(IFERROR(INDEX(醫師週班表!$C$5:$T$44,$CU38,AR$57),"")=0,"",IF(MID(IFERROR(INDEX(醫師週班表!$C$5:$T$44,$CU38,AR$57),""),2,1)="/",MID(IFERROR(INDEX(醫師週班表!$C$5:$T$44,$CU38,AR$57),""),1+AR$58*2,1),IF(MID(IFERROR(INDEX(醫師週班表!$C$5:$T$44,$CU38,AR$57),""),3,1)="隔",IF(AR$58=0,LEFT(IFERROR(INDEX(醫師週班表!$C$5:$T$44,$CU38,AR$57),""),1),""),IF(MID(IFERROR(INDEX(醫師週班表!$C$5:$T$44,$CU38,AR$57),""),2,1)="(",LEFT(IFERROR(INDEX(醫師週班表!$C$5:$T$44,$CU38,AR$57),""),1),IFERROR(INDEX(醫師週班表!$C$5:$T$44,$CU38,AR$57),"")))))))</f>
        <v/>
      </c>
      <c r="AS38" s="72">
        <f>IF(AS$59="X","",IF(AS$59&lt;&gt;"",AS$59,IF(IFERROR(INDEX(醫師週班表!$C$5:$T$44,$CU38,AS$57),"")=0,"",IF(MID(IFERROR(INDEX(醫師週班表!$C$5:$T$44,$CU38,AS$57),""),2,1)="/",MID(IFERROR(INDEX(醫師週班表!$C$5:$T$44,$CU38,AS$57),""),1+AS$58*2,1),IF(MID(IFERROR(INDEX(醫師週班表!$C$5:$T$44,$CU38,AS$57),""),3,1)="隔",IF(AS$58=0,LEFT(IFERROR(INDEX(醫師週班表!$C$5:$T$44,$CU38,AS$57),""),1),""),IF(MID(IFERROR(INDEX(醫師週班表!$C$5:$T$44,$CU38,AS$57),""),2,1)="(",LEFT(IFERROR(INDEX(醫師週班表!$C$5:$T$44,$CU38,AS$57),""),1),IFERROR(INDEX(醫師週班表!$C$5:$T$44,$CU38,AS$57),"")))))))</f>
        <v/>
      </c>
      <c r="AT38" s="72">
        <f>IF(AT$59="X","",IF(AT$59&lt;&gt;"",AT$59,IF(IFERROR(INDEX(醫師週班表!$C$5:$T$44,$CU38,AT$57),"")=0,"",IF(MID(IFERROR(INDEX(醫師週班表!$C$5:$T$44,$CU38,AT$57),""),2,1)="/",MID(IFERROR(INDEX(醫師週班表!$C$5:$T$44,$CU38,AT$57),""),1+AT$58*2,1),IF(MID(IFERROR(INDEX(醫師週班表!$C$5:$T$44,$CU38,AT$57),""),3,1)="隔",IF(AT$58=0,LEFT(IFERROR(INDEX(醫師週班表!$C$5:$T$44,$CU38,AT$57),""),1),""),IF(MID(IFERROR(INDEX(醫師週班表!$C$5:$T$44,$CU38,AT$57),""),2,1)="(",LEFT(IFERROR(INDEX(醫師週班表!$C$5:$T$44,$CU38,AT$57),""),1),IFERROR(INDEX(醫師週班表!$C$5:$T$44,$CU38,AT$57),"")))))))</f>
        <v/>
      </c>
      <c r="AU38" s="71">
        <f>IF(AU$59="X","",IF(AU$59&lt;&gt;"",AU$59,IF(IFERROR(INDEX(醫師週班表!$C$5:$T$44,$CU38,AU$57),"")=0,"",IF(MID(IFERROR(INDEX(醫師週班表!$C$5:$T$44,$CU38,AU$57),""),2,1)="/",MID(IFERROR(INDEX(醫師週班表!$C$5:$T$44,$CU38,AU$57),""),1+AU$58*2,1),IF(MID(IFERROR(INDEX(醫師週班表!$C$5:$T$44,$CU38,AU$57),""),3,1)="隔",IF(AU$58=0,LEFT(IFERROR(INDEX(醫師週班表!$C$5:$T$44,$CU38,AU$57),""),1),""),IF(MID(IFERROR(INDEX(醫師週班表!$C$5:$T$44,$CU38,AU$57),""),2,1)="(",LEFT(IFERROR(INDEX(醫師週班表!$C$5:$T$44,$CU38,AU$57),""),1),IFERROR(INDEX(醫師週班表!$C$5:$T$44,$CU38,AU$57),"")))))))</f>
        <v/>
      </c>
      <c r="AV38" s="72">
        <f>IF(AV$59="X","",IF(AV$59&lt;&gt;"",AV$59,IF(IFERROR(INDEX(醫師週班表!$C$5:$T$44,$CU38,AV$57),"")=0,"",IF(MID(IFERROR(INDEX(醫師週班表!$C$5:$T$44,$CU38,AV$57),""),2,1)="/",MID(IFERROR(INDEX(醫師週班表!$C$5:$T$44,$CU38,AV$57),""),1+AV$58*2,1),IF(MID(IFERROR(INDEX(醫師週班表!$C$5:$T$44,$CU38,AV$57),""),3,1)="隔",IF(AV$58=0,LEFT(IFERROR(INDEX(醫師週班表!$C$5:$T$44,$CU38,AV$57),""),1),""),IF(MID(IFERROR(INDEX(醫師週班表!$C$5:$T$44,$CU38,AV$57),""),2,1)="(",LEFT(IFERROR(INDEX(醫師週班表!$C$5:$T$44,$CU38,AV$57),""),1),IFERROR(INDEX(醫師週班表!$C$5:$T$44,$CU38,AV$57),"")))))))</f>
        <v/>
      </c>
      <c r="AW38" s="72">
        <f>IF(AW$59="X","",IF(AW$59&lt;&gt;"",AW$59,IF(IFERROR(INDEX(醫師週班表!$C$5:$T$44,$CU38,AW$57),"")=0,"",IF(MID(IFERROR(INDEX(醫師週班表!$C$5:$T$44,$CU38,AW$57),""),2,1)="/",MID(IFERROR(INDEX(醫師週班表!$C$5:$T$44,$CU38,AW$57),""),1+AW$58*2,1),IF(MID(IFERROR(INDEX(醫師週班表!$C$5:$T$44,$CU38,AW$57),""),3,1)="隔",IF(AW$58=0,LEFT(IFERROR(INDEX(醫師週班表!$C$5:$T$44,$CU38,AW$57),""),1),""),IF(MID(IFERROR(INDEX(醫師週班表!$C$5:$T$44,$CU38,AW$57),""),2,1)="(",LEFT(IFERROR(INDEX(醫師週班表!$C$5:$T$44,$CU38,AW$57),""),1),IFERROR(INDEX(醫師週班表!$C$5:$T$44,$CU38,AW$57),"")))))))</f>
        <v/>
      </c>
      <c r="AX38" s="71">
        <f>IF(AX$59="X","",IF(AX$59&lt;&gt;"",AX$59,IF(IFERROR(INDEX(醫師週班表!$C$5:$T$44,$CU38,AX$57),"")=0,"",IF(MID(IFERROR(INDEX(醫師週班表!$C$5:$T$44,$CU38,AX$57),""),2,1)="/",MID(IFERROR(INDEX(醫師週班表!$C$5:$T$44,$CU38,AX$57),""),1+AX$58*2,1),IF(MID(IFERROR(INDEX(醫師週班表!$C$5:$T$44,$CU38,AX$57),""),3,1)="隔",IF(AX$58=0,LEFT(IFERROR(INDEX(醫師週班表!$C$5:$T$44,$CU38,AX$57),""),1),""),IF(MID(IFERROR(INDEX(醫師週班表!$C$5:$T$44,$CU38,AX$57),""),2,1)="(",LEFT(IFERROR(INDEX(醫師週班表!$C$5:$T$44,$CU38,AX$57),""),1),IFERROR(INDEX(醫師週班表!$C$5:$T$44,$CU38,AX$57),"")))))))</f>
        <v/>
      </c>
      <c r="AY38" s="72">
        <f>IF(AY$59="X","",IF(AY$59&lt;&gt;"",AY$59,IF(IFERROR(INDEX(醫師週班表!$C$5:$T$44,$CU38,AY$57),"")=0,"",IF(MID(IFERROR(INDEX(醫師週班表!$C$5:$T$44,$CU38,AY$57),""),2,1)="/",MID(IFERROR(INDEX(醫師週班表!$C$5:$T$44,$CU38,AY$57),""),1+AY$58*2,1),IF(MID(IFERROR(INDEX(醫師週班表!$C$5:$T$44,$CU38,AY$57),""),3,1)="隔",IF(AY$58=0,LEFT(IFERROR(INDEX(醫師週班表!$C$5:$T$44,$CU38,AY$57),""),1),""),IF(MID(IFERROR(INDEX(醫師週班表!$C$5:$T$44,$CU38,AY$57),""),2,1)="(",LEFT(IFERROR(INDEX(醫師週班表!$C$5:$T$44,$CU38,AY$57),""),1),IFERROR(INDEX(醫師週班表!$C$5:$T$44,$CU38,AY$57),"")))))))</f>
        <v/>
      </c>
      <c r="AZ38" s="72">
        <f>IF(AZ$59="X","",IF(AZ$59&lt;&gt;"",AZ$59,IF(IFERROR(INDEX(醫師週班表!$C$5:$T$44,$CU38,AZ$57),"")=0,"",IF(MID(IFERROR(INDEX(醫師週班表!$C$5:$T$44,$CU38,AZ$57),""),2,1)="/",MID(IFERROR(INDEX(醫師週班表!$C$5:$T$44,$CU38,AZ$57),""),1+AZ$58*2,1),IF(MID(IFERROR(INDEX(醫師週班表!$C$5:$T$44,$CU38,AZ$57),""),3,1)="隔",IF(AZ$58=0,LEFT(IFERROR(INDEX(醫師週班表!$C$5:$T$44,$CU38,AZ$57),""),1),""),IF(MID(IFERROR(INDEX(醫師週班表!$C$5:$T$44,$CU38,AZ$57),""),2,1)="(",LEFT(IFERROR(INDEX(醫師週班表!$C$5:$T$44,$CU38,AZ$57),""),1),IFERROR(INDEX(醫師週班表!$C$5:$T$44,$CU38,AZ$57),"")))))))</f>
        <v/>
      </c>
      <c r="BA38" s="71">
        <f>IF(BA$59="X","",IF(BA$59&lt;&gt;"",BA$59,IF(IFERROR(INDEX(醫師週班表!$C$5:$T$44,$CU38,BA$57),"")=0,"",IF(MID(IFERROR(INDEX(醫師週班表!$C$5:$T$44,$CU38,BA$57),""),2,1)="/",MID(IFERROR(INDEX(醫師週班表!$C$5:$T$44,$CU38,BA$57),""),1+BA$58*2,1),IF(MID(IFERROR(INDEX(醫師週班表!$C$5:$T$44,$CU38,BA$57),""),3,1)="隔",IF(BA$58=0,LEFT(IFERROR(INDEX(醫師週班表!$C$5:$T$44,$CU38,BA$57),""),1),""),IF(MID(IFERROR(INDEX(醫師週班表!$C$5:$T$44,$CU38,BA$57),""),2,1)="(",LEFT(IFERROR(INDEX(醫師週班表!$C$5:$T$44,$CU38,BA$57),""),1),IFERROR(INDEX(醫師週班表!$C$5:$T$44,$CU38,BA$57),"")))))))</f>
        <v/>
      </c>
      <c r="BB38" s="72">
        <f>IF(BB$59="X","",IF(BB$59&lt;&gt;"",BB$59,IF(IFERROR(INDEX(醫師週班表!$C$5:$T$44,$CU38,BB$57),"")=0,"",IF(MID(IFERROR(INDEX(醫師週班表!$C$5:$T$44,$CU38,BB$57),""),2,1)="/",MID(IFERROR(INDEX(醫師週班表!$C$5:$T$44,$CU38,BB$57),""),1+BB$58*2,1),IF(MID(IFERROR(INDEX(醫師週班表!$C$5:$T$44,$CU38,BB$57),""),3,1)="隔",IF(BB$58=0,LEFT(IFERROR(INDEX(醫師週班表!$C$5:$T$44,$CU38,BB$57),""),1),""),IF(MID(IFERROR(INDEX(醫師週班表!$C$5:$T$44,$CU38,BB$57),""),2,1)="(",LEFT(IFERROR(INDEX(醫師週班表!$C$5:$T$44,$CU38,BB$57),""),1),IFERROR(INDEX(醫師週班表!$C$5:$T$44,$CU38,BB$57),"")))))))</f>
        <v/>
      </c>
      <c r="BC38" s="72">
        <f>IF(BC$59="X","",IF(BC$59&lt;&gt;"",BC$59,IF(IFERROR(INDEX(醫師週班表!$C$5:$T$44,$CU38,BC$57),"")=0,"",IF(MID(IFERROR(INDEX(醫師週班表!$C$5:$T$44,$CU38,BC$57),""),2,1)="/",MID(IFERROR(INDEX(醫師週班表!$C$5:$T$44,$CU38,BC$57),""),1+BC$58*2,1),IF(MID(IFERROR(INDEX(醫師週班表!$C$5:$T$44,$CU38,BC$57),""),3,1)="隔",IF(BC$58=0,LEFT(IFERROR(INDEX(醫師週班表!$C$5:$T$44,$CU38,BC$57),""),1),""),IF(MID(IFERROR(INDEX(醫師週班表!$C$5:$T$44,$CU38,BC$57),""),2,1)="(",LEFT(IFERROR(INDEX(醫師週班表!$C$5:$T$44,$CU38,BC$57),""),1),IFERROR(INDEX(醫師週班表!$C$5:$T$44,$CU38,BC$57),"")))))))</f>
        <v/>
      </c>
      <c r="BD38" s="71">
        <f>IF(BD$59="X","",IF(BD$59&lt;&gt;"",BD$59,IF(IFERROR(INDEX(醫師週班表!$C$5:$T$44,$CU38,BD$57),"")=0,"",IF(MID(IFERROR(INDEX(醫師週班表!$C$5:$T$44,$CU38,BD$57),""),2,1)="/",MID(IFERROR(INDEX(醫師週班表!$C$5:$T$44,$CU38,BD$57),""),1+BD$58*2,1),IF(MID(IFERROR(INDEX(醫師週班表!$C$5:$T$44,$CU38,BD$57),""),3,1)="隔",IF(BD$58=0,LEFT(IFERROR(INDEX(醫師週班表!$C$5:$T$44,$CU38,BD$57),""),1),""),IF(MID(IFERROR(INDEX(醫師週班表!$C$5:$T$44,$CU38,BD$57),""),2,1)="(",LEFT(IFERROR(INDEX(醫師週班表!$C$5:$T$44,$CU38,BD$57),""),1),IFERROR(INDEX(醫師週班表!$C$5:$T$44,$CU38,BD$57),"")))))))</f>
        <v/>
      </c>
      <c r="BE38" s="72">
        <f>IF(BE$59="X","",IF(BE$59&lt;&gt;"",BE$59,IF(IFERROR(INDEX(醫師週班表!$C$5:$T$44,$CU38,BE$57),"")=0,"",IF(MID(IFERROR(INDEX(醫師週班表!$C$5:$T$44,$CU38,BE$57),""),2,1)="/",MID(IFERROR(INDEX(醫師週班表!$C$5:$T$44,$CU38,BE$57),""),1+BE$58*2,1),IF(MID(IFERROR(INDEX(醫師週班表!$C$5:$T$44,$CU38,BE$57),""),3,1)="隔",IF(BE$58=0,LEFT(IFERROR(INDEX(醫師週班表!$C$5:$T$44,$CU38,BE$57),""),1),""),IF(MID(IFERROR(INDEX(醫師週班表!$C$5:$T$44,$CU38,BE$57),""),2,1)="(",LEFT(IFERROR(INDEX(醫師週班表!$C$5:$T$44,$CU38,BE$57),""),1),IFERROR(INDEX(醫師週班表!$C$5:$T$44,$CU38,BE$57),"")))))))</f>
        <v/>
      </c>
      <c r="BF38" s="72">
        <f>IF(BF$59="X","",IF(BF$59&lt;&gt;"",BF$59,IF(IFERROR(INDEX(醫師週班表!$C$5:$T$44,$CU38,BF$57),"")=0,"",IF(MID(IFERROR(INDEX(醫師週班表!$C$5:$T$44,$CU38,BF$57),""),2,1)="/",MID(IFERROR(INDEX(醫師週班表!$C$5:$T$44,$CU38,BF$57),""),1+BF$58*2,1),IF(MID(IFERROR(INDEX(醫師週班表!$C$5:$T$44,$CU38,BF$57),""),3,1)="隔",IF(BF$58=0,LEFT(IFERROR(INDEX(醫師週班表!$C$5:$T$44,$CU38,BF$57),""),1),""),IF(MID(IFERROR(INDEX(醫師週班表!$C$5:$T$44,$CU38,BF$57),""),2,1)="(",LEFT(IFERROR(INDEX(醫師週班表!$C$5:$T$44,$CU38,BF$57),""),1),IFERROR(INDEX(醫師週班表!$C$5:$T$44,$CU38,BF$57),"")))))))</f>
        <v/>
      </c>
      <c r="BG38" s="71">
        <f>IF(BG$59="X","",IF(BG$59&lt;&gt;"",BG$59,IF(IFERROR(INDEX(醫師週班表!$C$5:$T$44,$CU38,BG$57),"")=0,"",IF(MID(IFERROR(INDEX(醫師週班表!$C$5:$T$44,$CU38,BG$57),""),2,1)="/",MID(IFERROR(INDEX(醫師週班表!$C$5:$T$44,$CU38,BG$57),""),1+BG$58*2,1),IF(MID(IFERROR(INDEX(醫師週班表!$C$5:$T$44,$CU38,BG$57),""),3,1)="隔",IF(BG$58=0,LEFT(IFERROR(INDEX(醫師週班表!$C$5:$T$44,$CU38,BG$57),""),1),""),IF(MID(IFERROR(INDEX(醫師週班表!$C$5:$T$44,$CU38,BG$57),""),2,1)="(",LEFT(IFERROR(INDEX(醫師週班表!$C$5:$T$44,$CU38,BG$57),""),1),IFERROR(INDEX(醫師週班表!$C$5:$T$44,$CU38,BG$57),"")))))))</f>
        <v/>
      </c>
      <c r="BH38" s="72">
        <f>IF(BH$59="X","",IF(BH$59&lt;&gt;"",BH$59,IF(IFERROR(INDEX(醫師週班表!$C$5:$T$44,$CU38,BH$57),"")=0,"",IF(MID(IFERROR(INDEX(醫師週班表!$C$5:$T$44,$CU38,BH$57),""),2,1)="/",MID(IFERROR(INDEX(醫師週班表!$C$5:$T$44,$CU38,BH$57),""),1+BH$58*2,1),IF(MID(IFERROR(INDEX(醫師週班表!$C$5:$T$44,$CU38,BH$57),""),3,1)="隔",IF(BH$58=0,LEFT(IFERROR(INDEX(醫師週班表!$C$5:$T$44,$CU38,BH$57),""),1),""),IF(MID(IFERROR(INDEX(醫師週班表!$C$5:$T$44,$CU38,BH$57),""),2,1)="(",LEFT(IFERROR(INDEX(醫師週班表!$C$5:$T$44,$CU38,BH$57),""),1),IFERROR(INDEX(醫師週班表!$C$5:$T$44,$CU38,BH$57),"")))))))</f>
        <v/>
      </c>
      <c r="BI38" s="72">
        <f>IF(BI$59="X","",IF(BI$59&lt;&gt;"",BI$59,IF(IFERROR(INDEX(醫師週班表!$C$5:$T$44,$CU38,BI$57),"")=0,"",IF(MID(IFERROR(INDEX(醫師週班表!$C$5:$T$44,$CU38,BI$57),""),2,1)="/",MID(IFERROR(INDEX(醫師週班表!$C$5:$T$44,$CU38,BI$57),""),1+BI$58*2,1),IF(MID(IFERROR(INDEX(醫師週班表!$C$5:$T$44,$CU38,BI$57),""),3,1)="隔",IF(BI$58=0,LEFT(IFERROR(INDEX(醫師週班表!$C$5:$T$44,$CU38,BI$57),""),1),""),IF(MID(IFERROR(INDEX(醫師週班表!$C$5:$T$44,$CU38,BI$57),""),2,1)="(",LEFT(IFERROR(INDEX(醫師週班表!$C$5:$T$44,$CU38,BI$57),""),1),IFERROR(INDEX(醫師週班表!$C$5:$T$44,$CU38,BI$57),"")))))))</f>
        <v/>
      </c>
      <c r="BJ38" s="71">
        <f>IF(BJ$59="X","",IF(BJ$59&lt;&gt;"",BJ$59,IF(IFERROR(INDEX(醫師週班表!$C$5:$T$44,$CU38,BJ$57),"")=0,"",IF(MID(IFERROR(INDEX(醫師週班表!$C$5:$T$44,$CU38,BJ$57),""),2,1)="/",MID(IFERROR(INDEX(醫師週班表!$C$5:$T$44,$CU38,BJ$57),""),1+BJ$58*2,1),IF(MID(IFERROR(INDEX(醫師週班表!$C$5:$T$44,$CU38,BJ$57),""),3,1)="隔",IF(BJ$58=0,LEFT(IFERROR(INDEX(醫師週班表!$C$5:$T$44,$CU38,BJ$57),""),1),""),IF(MID(IFERROR(INDEX(醫師週班表!$C$5:$T$44,$CU38,BJ$57),""),2,1)="(",LEFT(IFERROR(INDEX(醫師週班表!$C$5:$T$44,$CU38,BJ$57),""),1),IFERROR(INDEX(醫師週班表!$C$5:$T$44,$CU38,BJ$57),"")))))))</f>
        <v/>
      </c>
      <c r="BK38" s="72">
        <f>IF(BK$59="X","",IF(BK$59&lt;&gt;"",BK$59,IF(IFERROR(INDEX(醫師週班表!$C$5:$T$44,$CU38,BK$57),"")=0,"",IF(MID(IFERROR(INDEX(醫師週班表!$C$5:$T$44,$CU38,BK$57),""),2,1)="/",MID(IFERROR(INDEX(醫師週班表!$C$5:$T$44,$CU38,BK$57),""),1+BK$58*2,1),IF(MID(IFERROR(INDEX(醫師週班表!$C$5:$T$44,$CU38,BK$57),""),3,1)="隔",IF(BK$58=0,LEFT(IFERROR(INDEX(醫師週班表!$C$5:$T$44,$CU38,BK$57),""),1),""),IF(MID(IFERROR(INDEX(醫師週班表!$C$5:$T$44,$CU38,BK$57),""),2,1)="(",LEFT(IFERROR(INDEX(醫師週班表!$C$5:$T$44,$CU38,BK$57),""),1),IFERROR(INDEX(醫師週班表!$C$5:$T$44,$CU38,BK$57),"")))))))</f>
        <v/>
      </c>
      <c r="BL38" s="72">
        <f>IF(BL$59="X","",IF(BL$59&lt;&gt;"",BL$59,IF(IFERROR(INDEX(醫師週班表!$C$5:$T$44,$CU38,BL$57),"")=0,"",IF(MID(IFERROR(INDEX(醫師週班表!$C$5:$T$44,$CU38,BL$57),""),2,1)="/",MID(IFERROR(INDEX(醫師週班表!$C$5:$T$44,$CU38,BL$57),""),1+BL$58*2,1),IF(MID(IFERROR(INDEX(醫師週班表!$C$5:$T$44,$CU38,BL$57),""),3,1)="隔",IF(BL$58=0,LEFT(IFERROR(INDEX(醫師週班表!$C$5:$T$44,$CU38,BL$57),""),1),""),IF(MID(IFERROR(INDEX(醫師週班表!$C$5:$T$44,$CU38,BL$57),""),2,1)="(",LEFT(IFERROR(INDEX(醫師週班表!$C$5:$T$44,$CU38,BL$57),""),1),IFERROR(INDEX(醫師週班表!$C$5:$T$44,$CU38,BL$57),"")))))))</f>
        <v/>
      </c>
      <c r="BM38" s="71">
        <f>IF(BM$59="X","",IF(BM$59&lt;&gt;"",BM$59,IF(IFERROR(INDEX(醫師週班表!$C$5:$T$44,$CU38,BM$57),"")=0,"",IF(MID(IFERROR(INDEX(醫師週班表!$C$5:$T$44,$CU38,BM$57),""),2,1)="/",MID(IFERROR(INDEX(醫師週班表!$C$5:$T$44,$CU38,BM$57),""),1+BM$58*2,1),IF(MID(IFERROR(INDEX(醫師週班表!$C$5:$T$44,$CU38,BM$57),""),3,1)="隔",IF(BM$58=0,LEFT(IFERROR(INDEX(醫師週班表!$C$5:$T$44,$CU38,BM$57),""),1),""),IF(MID(IFERROR(INDEX(醫師週班表!$C$5:$T$44,$CU38,BM$57),""),2,1)="(",LEFT(IFERROR(INDEX(醫師週班表!$C$5:$T$44,$CU38,BM$57),""),1),IFERROR(INDEX(醫師週班表!$C$5:$T$44,$CU38,BM$57),"")))))))</f>
        <v/>
      </c>
      <c r="BN38" s="72">
        <f>IF(BN$59="X","",IF(BN$59&lt;&gt;"",BN$59,IF(IFERROR(INDEX(醫師週班表!$C$5:$T$44,$CU38,BN$57),"")=0,"",IF(MID(IFERROR(INDEX(醫師週班表!$C$5:$T$44,$CU38,BN$57),""),2,1)="/",MID(IFERROR(INDEX(醫師週班表!$C$5:$T$44,$CU38,BN$57),""),1+BN$58*2,1),IF(MID(IFERROR(INDEX(醫師週班表!$C$5:$T$44,$CU38,BN$57),""),3,1)="隔",IF(BN$58=0,LEFT(IFERROR(INDEX(醫師週班表!$C$5:$T$44,$CU38,BN$57),""),1),""),IF(MID(IFERROR(INDEX(醫師週班表!$C$5:$T$44,$CU38,BN$57),""),2,1)="(",LEFT(IFERROR(INDEX(醫師週班表!$C$5:$T$44,$CU38,BN$57),""),1),IFERROR(INDEX(醫師週班表!$C$5:$T$44,$CU38,BN$57),"")))))))</f>
        <v/>
      </c>
      <c r="BO38" s="72">
        <f>IF(BO$59="X","",IF(BO$59&lt;&gt;"",BO$59,IF(IFERROR(INDEX(醫師週班表!$C$5:$T$44,$CU38,BO$57),"")=0,"",IF(MID(IFERROR(INDEX(醫師週班表!$C$5:$T$44,$CU38,BO$57),""),2,1)="/",MID(IFERROR(INDEX(醫師週班表!$C$5:$T$44,$CU38,BO$57),""),1+BO$58*2,1),IF(MID(IFERROR(INDEX(醫師週班表!$C$5:$T$44,$CU38,BO$57),""),3,1)="隔",IF(BO$58=0,LEFT(IFERROR(INDEX(醫師週班表!$C$5:$T$44,$CU38,BO$57),""),1),""),IF(MID(IFERROR(INDEX(醫師週班表!$C$5:$T$44,$CU38,BO$57),""),2,1)="(",LEFT(IFERROR(INDEX(醫師週班表!$C$5:$T$44,$CU38,BO$57),""),1),IFERROR(INDEX(醫師週班表!$C$5:$T$44,$CU38,BO$57),"")))))))</f>
        <v/>
      </c>
      <c r="BP38" s="71">
        <f>IF(BP$59="X","",IF(BP$59&lt;&gt;"",BP$59,IF(IFERROR(INDEX(醫師週班表!$C$5:$T$44,$CU38,BP$57),"")=0,"",IF(MID(IFERROR(INDEX(醫師週班表!$C$5:$T$44,$CU38,BP$57),""),2,1)="/",MID(IFERROR(INDEX(醫師週班表!$C$5:$T$44,$CU38,BP$57),""),1+BP$58*2,1),IF(MID(IFERROR(INDEX(醫師週班表!$C$5:$T$44,$CU38,BP$57),""),3,1)="隔",IF(BP$58=0,LEFT(IFERROR(INDEX(醫師週班表!$C$5:$T$44,$CU38,BP$57),""),1),""),IF(MID(IFERROR(INDEX(醫師週班表!$C$5:$T$44,$CU38,BP$57),""),2,1)="(",LEFT(IFERROR(INDEX(醫師週班表!$C$5:$T$44,$CU38,BP$57),""),1),IFERROR(INDEX(醫師週班表!$C$5:$T$44,$CU38,BP$57),"")))))))</f>
        <v/>
      </c>
      <c r="BQ38" s="72">
        <f>IF(BQ$59="X","",IF(BQ$59&lt;&gt;"",BQ$59,IF(IFERROR(INDEX(醫師週班表!$C$5:$T$44,$CU38,BQ$57),"")=0,"",IF(MID(IFERROR(INDEX(醫師週班表!$C$5:$T$44,$CU38,BQ$57),""),2,1)="/",MID(IFERROR(INDEX(醫師週班表!$C$5:$T$44,$CU38,BQ$57),""),1+BQ$58*2,1),IF(MID(IFERROR(INDEX(醫師週班表!$C$5:$T$44,$CU38,BQ$57),""),3,1)="隔",IF(BQ$58=0,LEFT(IFERROR(INDEX(醫師週班表!$C$5:$T$44,$CU38,BQ$57),""),1),""),IF(MID(IFERROR(INDEX(醫師週班表!$C$5:$T$44,$CU38,BQ$57),""),2,1)="(",LEFT(IFERROR(INDEX(醫師週班表!$C$5:$T$44,$CU38,BQ$57),""),1),IFERROR(INDEX(醫師週班表!$C$5:$T$44,$CU38,BQ$57),"")))))))</f>
        <v/>
      </c>
      <c r="BR38" s="72">
        <f>IF(BR$59="X","",IF(BR$59&lt;&gt;"",BR$59,IF(IFERROR(INDEX(醫師週班表!$C$5:$T$44,$CU38,BR$57),"")=0,"",IF(MID(IFERROR(INDEX(醫師週班表!$C$5:$T$44,$CU38,BR$57),""),2,1)="/",MID(IFERROR(INDEX(醫師週班表!$C$5:$T$44,$CU38,BR$57),""),1+BR$58*2,1),IF(MID(IFERROR(INDEX(醫師週班表!$C$5:$T$44,$CU38,BR$57),""),3,1)="隔",IF(BR$58=0,LEFT(IFERROR(INDEX(醫師週班表!$C$5:$T$44,$CU38,BR$57),""),1),""),IF(MID(IFERROR(INDEX(醫師週班表!$C$5:$T$44,$CU38,BR$57),""),2,1)="(",LEFT(IFERROR(INDEX(醫師週班表!$C$5:$T$44,$CU38,BR$57),""),1),IFERROR(INDEX(醫師週班表!$C$5:$T$44,$CU38,BR$57),"")))))))</f>
        <v/>
      </c>
      <c r="BS38" s="71">
        <f>IF(BS$59="X","",IF(BS$59&lt;&gt;"",BS$59,IF(IFERROR(INDEX(醫師週班表!$C$5:$T$44,$CU38,BS$57),"")=0,"",IF(MID(IFERROR(INDEX(醫師週班表!$C$5:$T$44,$CU38,BS$57),""),2,1)="/",MID(IFERROR(INDEX(醫師週班表!$C$5:$T$44,$CU38,BS$57),""),1+BS$58*2,1),IF(MID(IFERROR(INDEX(醫師週班表!$C$5:$T$44,$CU38,BS$57),""),3,1)="隔",IF(BS$58=0,LEFT(IFERROR(INDEX(醫師週班表!$C$5:$T$44,$CU38,BS$57),""),1),""),IF(MID(IFERROR(INDEX(醫師週班表!$C$5:$T$44,$CU38,BS$57),""),2,1)="(",LEFT(IFERROR(INDEX(醫師週班表!$C$5:$T$44,$CU38,BS$57),""),1),IFERROR(INDEX(醫師週班表!$C$5:$T$44,$CU38,BS$57),"")))))))</f>
        <v/>
      </c>
      <c r="BT38" s="72">
        <f>IF(BT$59="X","",IF(BT$59&lt;&gt;"",BT$59,IF(IFERROR(INDEX(醫師週班表!$C$5:$T$44,$CU38,BT$57),"")=0,"",IF(MID(IFERROR(INDEX(醫師週班表!$C$5:$T$44,$CU38,BT$57),""),2,1)="/",MID(IFERROR(INDEX(醫師週班表!$C$5:$T$44,$CU38,BT$57),""),1+BT$58*2,1),IF(MID(IFERROR(INDEX(醫師週班表!$C$5:$T$44,$CU38,BT$57),""),3,1)="隔",IF(BT$58=0,LEFT(IFERROR(INDEX(醫師週班表!$C$5:$T$44,$CU38,BT$57),""),1),""),IF(MID(IFERROR(INDEX(醫師週班表!$C$5:$T$44,$CU38,BT$57),""),2,1)="(",LEFT(IFERROR(INDEX(醫師週班表!$C$5:$T$44,$CU38,BT$57),""),1),IFERROR(INDEX(醫師週班表!$C$5:$T$44,$CU38,BT$57),"")))))))</f>
        <v/>
      </c>
      <c r="BU38" s="72">
        <f>IF(BU$59="X","",IF(BU$59&lt;&gt;"",BU$59,IF(IFERROR(INDEX(醫師週班表!$C$5:$T$44,$CU38,BU$57),"")=0,"",IF(MID(IFERROR(INDEX(醫師週班表!$C$5:$T$44,$CU38,BU$57),""),2,1)="/",MID(IFERROR(INDEX(醫師週班表!$C$5:$T$44,$CU38,BU$57),""),1+BU$58*2,1),IF(MID(IFERROR(INDEX(醫師週班表!$C$5:$T$44,$CU38,BU$57),""),3,1)="隔",IF(BU$58=0,LEFT(IFERROR(INDEX(醫師週班表!$C$5:$T$44,$CU38,BU$57),""),1),""),IF(MID(IFERROR(INDEX(醫師週班表!$C$5:$T$44,$CU38,BU$57),""),2,1)="(",LEFT(IFERROR(INDEX(醫師週班表!$C$5:$T$44,$CU38,BU$57),""),1),IFERROR(INDEX(醫師週班表!$C$5:$T$44,$CU38,BU$57),"")))))))</f>
        <v/>
      </c>
      <c r="BV38" s="71">
        <f>IF(BV$59="X","",IF(BV$59&lt;&gt;"",BV$59,IF(IFERROR(INDEX(醫師週班表!$C$5:$T$44,$CU38,BV$57),"")=0,"",IF(MID(IFERROR(INDEX(醫師週班表!$C$5:$T$44,$CU38,BV$57),""),2,1)="/",MID(IFERROR(INDEX(醫師週班表!$C$5:$T$44,$CU38,BV$57),""),1+BV$58*2,1),IF(MID(IFERROR(INDEX(醫師週班表!$C$5:$T$44,$CU38,BV$57),""),3,1)="隔",IF(BV$58=0,LEFT(IFERROR(INDEX(醫師週班表!$C$5:$T$44,$CU38,BV$57),""),1),""),IF(MID(IFERROR(INDEX(醫師週班表!$C$5:$T$44,$CU38,BV$57),""),2,1)="(",LEFT(IFERROR(INDEX(醫師週班表!$C$5:$T$44,$CU38,BV$57),""),1),IFERROR(INDEX(醫師週班表!$C$5:$T$44,$CU38,BV$57),"")))))))</f>
        <v/>
      </c>
      <c r="BW38" s="72">
        <f>IF(BW$59="X","",IF(BW$59&lt;&gt;"",BW$59,IF(IFERROR(INDEX(醫師週班表!$C$5:$T$44,$CU38,BW$57),"")=0,"",IF(MID(IFERROR(INDEX(醫師週班表!$C$5:$T$44,$CU38,BW$57),""),2,1)="/",MID(IFERROR(INDEX(醫師週班表!$C$5:$T$44,$CU38,BW$57),""),1+BW$58*2,1),IF(MID(IFERROR(INDEX(醫師週班表!$C$5:$T$44,$CU38,BW$57),""),3,1)="隔",IF(BW$58=0,LEFT(IFERROR(INDEX(醫師週班表!$C$5:$T$44,$CU38,BW$57),""),1),""),IF(MID(IFERROR(INDEX(醫師週班表!$C$5:$T$44,$CU38,BW$57),""),2,1)="(",LEFT(IFERROR(INDEX(醫師週班表!$C$5:$T$44,$CU38,BW$57),""),1),IFERROR(INDEX(醫師週班表!$C$5:$T$44,$CU38,BW$57),"")))))))</f>
        <v/>
      </c>
      <c r="BX38" s="72">
        <f>IF(BX$59="X","",IF(BX$59&lt;&gt;"",BX$59,IF(IFERROR(INDEX(醫師週班表!$C$5:$T$44,$CU38,BX$57),"")=0,"",IF(MID(IFERROR(INDEX(醫師週班表!$C$5:$T$44,$CU38,BX$57),""),2,1)="/",MID(IFERROR(INDEX(醫師週班表!$C$5:$T$44,$CU38,BX$57),""),1+BX$58*2,1),IF(MID(IFERROR(INDEX(醫師週班表!$C$5:$T$44,$CU38,BX$57),""),3,1)="隔",IF(BX$58=0,LEFT(IFERROR(INDEX(醫師週班表!$C$5:$T$44,$CU38,BX$57),""),1),""),IF(MID(IFERROR(INDEX(醫師週班表!$C$5:$T$44,$CU38,BX$57),""),2,1)="(",LEFT(IFERROR(INDEX(醫師週班表!$C$5:$T$44,$CU38,BX$57),""),1),IFERROR(INDEX(醫師週班表!$C$5:$T$44,$CU38,BX$57),"")))))))</f>
        <v/>
      </c>
      <c r="BY38" s="71">
        <f>IF(BY$59="X","",IF(BY$59&lt;&gt;"",BY$59,IF(IFERROR(INDEX(醫師週班表!$C$5:$T$44,$CU38,BY$57),"")=0,"",IF(MID(IFERROR(INDEX(醫師週班表!$C$5:$T$44,$CU38,BY$57),""),2,1)="/",MID(IFERROR(INDEX(醫師週班表!$C$5:$T$44,$CU38,BY$57),""),1+BY$58*2,1),IF(MID(IFERROR(INDEX(醫師週班表!$C$5:$T$44,$CU38,BY$57),""),3,1)="隔",IF(BY$58=0,LEFT(IFERROR(INDEX(醫師週班表!$C$5:$T$44,$CU38,BY$57),""),1),""),IF(MID(IFERROR(INDEX(醫師週班表!$C$5:$T$44,$CU38,BY$57),""),2,1)="(",LEFT(IFERROR(INDEX(醫師週班表!$C$5:$T$44,$CU38,BY$57),""),1),IFERROR(INDEX(醫師週班表!$C$5:$T$44,$CU38,BY$57),"")))))))</f>
        <v/>
      </c>
      <c r="BZ38" s="72">
        <f>IF(BZ$59="X","",IF(BZ$59&lt;&gt;"",BZ$59,IF(IFERROR(INDEX(醫師週班表!$C$5:$T$44,$CU38,BZ$57),"")=0,"",IF(MID(IFERROR(INDEX(醫師週班表!$C$5:$T$44,$CU38,BZ$57),""),2,1)="/",MID(IFERROR(INDEX(醫師週班表!$C$5:$T$44,$CU38,BZ$57),""),1+BZ$58*2,1),IF(MID(IFERROR(INDEX(醫師週班表!$C$5:$T$44,$CU38,BZ$57),""),3,1)="隔",IF(BZ$58=0,LEFT(IFERROR(INDEX(醫師週班表!$C$5:$T$44,$CU38,BZ$57),""),1),""),IF(MID(IFERROR(INDEX(醫師週班表!$C$5:$T$44,$CU38,BZ$57),""),2,1)="(",LEFT(IFERROR(INDEX(醫師週班表!$C$5:$T$44,$CU38,BZ$57),""),1),IFERROR(INDEX(醫師週班表!$C$5:$T$44,$CU38,BZ$57),"")))))))</f>
        <v/>
      </c>
      <c r="CA38" s="72">
        <f>IF(CA$59="X","",IF(CA$59&lt;&gt;"",CA$59,IF(IFERROR(INDEX(醫師週班表!$C$5:$T$44,$CU38,CA$57),"")=0,"",IF(MID(IFERROR(INDEX(醫師週班表!$C$5:$T$44,$CU38,CA$57),""),2,1)="/",MID(IFERROR(INDEX(醫師週班表!$C$5:$T$44,$CU38,CA$57),""),1+CA$58*2,1),IF(MID(IFERROR(INDEX(醫師週班表!$C$5:$T$44,$CU38,CA$57),""),3,1)="隔",IF(CA$58=0,LEFT(IFERROR(INDEX(醫師週班表!$C$5:$T$44,$CU38,CA$57),""),1),""),IF(MID(IFERROR(INDEX(醫師週班表!$C$5:$T$44,$CU38,CA$57),""),2,1)="(",LEFT(IFERROR(INDEX(醫師週班表!$C$5:$T$44,$CU38,CA$57),""),1),IFERROR(INDEX(醫師週班表!$C$5:$T$44,$CU38,CA$57),"")))))))</f>
        <v/>
      </c>
      <c r="CB38" s="71">
        <f>IF(CB$59="X","",IF(CB$59&lt;&gt;"",CB$59,IF(IFERROR(INDEX(醫師週班表!$C$5:$T$44,$CU38,CB$57),"")=0,"",IF(MID(IFERROR(INDEX(醫師週班表!$C$5:$T$44,$CU38,CB$57),""),2,1)="/",MID(IFERROR(INDEX(醫師週班表!$C$5:$T$44,$CU38,CB$57),""),1+CB$58*2,1),IF(MID(IFERROR(INDEX(醫師週班表!$C$5:$T$44,$CU38,CB$57),""),3,1)="隔",IF(CB$58=0,LEFT(IFERROR(INDEX(醫師週班表!$C$5:$T$44,$CU38,CB$57),""),1),""),IF(MID(IFERROR(INDEX(醫師週班表!$C$5:$T$44,$CU38,CB$57),""),2,1)="(",LEFT(IFERROR(INDEX(醫師週班表!$C$5:$T$44,$CU38,CB$57),""),1),IFERROR(INDEX(醫師週班表!$C$5:$T$44,$CU38,CB$57),"")))))))</f>
        <v/>
      </c>
      <c r="CC38" s="72">
        <f>IF(CC$59="X","",IF(CC$59&lt;&gt;"",CC$59,IF(IFERROR(INDEX(醫師週班表!$C$5:$T$44,$CU38,CC$57),"")=0,"",IF(MID(IFERROR(INDEX(醫師週班表!$C$5:$T$44,$CU38,CC$57),""),2,1)="/",MID(IFERROR(INDEX(醫師週班表!$C$5:$T$44,$CU38,CC$57),""),1+CC$58*2,1),IF(MID(IFERROR(INDEX(醫師週班表!$C$5:$T$44,$CU38,CC$57),""),3,1)="隔",IF(CC$58=0,LEFT(IFERROR(INDEX(醫師週班表!$C$5:$T$44,$CU38,CC$57),""),1),""),IF(MID(IFERROR(INDEX(醫師週班表!$C$5:$T$44,$CU38,CC$57),""),2,1)="(",LEFT(IFERROR(INDEX(醫師週班表!$C$5:$T$44,$CU38,CC$57),""),1),IFERROR(INDEX(醫師週班表!$C$5:$T$44,$CU38,CC$57),"")))))))</f>
        <v/>
      </c>
      <c r="CD38" s="72">
        <f>IF(CD$59="X","",IF(CD$59&lt;&gt;"",CD$59,IF(IFERROR(INDEX(醫師週班表!$C$5:$T$44,$CU38,CD$57),"")=0,"",IF(MID(IFERROR(INDEX(醫師週班表!$C$5:$T$44,$CU38,CD$57),""),2,1)="/",MID(IFERROR(INDEX(醫師週班表!$C$5:$T$44,$CU38,CD$57),""),1+CD$58*2,1),IF(MID(IFERROR(INDEX(醫師週班表!$C$5:$T$44,$CU38,CD$57),""),3,1)="隔",IF(CD$58=0,LEFT(IFERROR(INDEX(醫師週班表!$C$5:$T$44,$CU38,CD$57),""),1),""),IF(MID(IFERROR(INDEX(醫師週班表!$C$5:$T$44,$CU38,CD$57),""),2,1)="(",LEFT(IFERROR(INDEX(醫師週班表!$C$5:$T$44,$CU38,CD$57),""),1),IFERROR(INDEX(醫師週班表!$C$5:$T$44,$CU38,CD$57),"")))))))</f>
        <v/>
      </c>
      <c r="CE38" s="71">
        <f>IF(CE$59="X","",IF(CE$59&lt;&gt;"",CE$59,IF(IFERROR(INDEX(醫師週班表!$C$5:$T$44,$CU38,CE$57),"")=0,"",IF(MID(IFERROR(INDEX(醫師週班表!$C$5:$T$44,$CU38,CE$57),""),2,1)="/",MID(IFERROR(INDEX(醫師週班表!$C$5:$T$44,$CU38,CE$57),""),1+CE$58*2,1),IF(MID(IFERROR(INDEX(醫師週班表!$C$5:$T$44,$CU38,CE$57),""),3,1)="隔",IF(CE$58=0,LEFT(IFERROR(INDEX(醫師週班表!$C$5:$T$44,$CU38,CE$57),""),1),""),IF(MID(IFERROR(INDEX(醫師週班表!$C$5:$T$44,$CU38,CE$57),""),2,1)="(",LEFT(IFERROR(INDEX(醫師週班表!$C$5:$T$44,$CU38,CE$57),""),1),IFERROR(INDEX(醫師週班表!$C$5:$T$44,$CU38,CE$57),"")))))))</f>
        <v/>
      </c>
      <c r="CF38" s="72">
        <f>IF(CF$59="X","",IF(CF$59&lt;&gt;"",CF$59,IF(IFERROR(INDEX(醫師週班表!$C$5:$T$44,$CU38,CF$57),"")=0,"",IF(MID(IFERROR(INDEX(醫師週班表!$C$5:$T$44,$CU38,CF$57),""),2,1)="/",MID(IFERROR(INDEX(醫師週班表!$C$5:$T$44,$CU38,CF$57),""),1+CF$58*2,1),IF(MID(IFERROR(INDEX(醫師週班表!$C$5:$T$44,$CU38,CF$57),""),3,1)="隔",IF(CF$58=0,LEFT(IFERROR(INDEX(醫師週班表!$C$5:$T$44,$CU38,CF$57),""),1),""),IF(MID(IFERROR(INDEX(醫師週班表!$C$5:$T$44,$CU38,CF$57),""),2,1)="(",LEFT(IFERROR(INDEX(醫師週班表!$C$5:$T$44,$CU38,CF$57),""),1),IFERROR(INDEX(醫師週班表!$C$5:$T$44,$CU38,CF$57),"")))))))</f>
        <v/>
      </c>
      <c r="CG38" s="72">
        <f>IF(CG$59="X","",IF(CG$59&lt;&gt;"",CG$59,IF(IFERROR(INDEX(醫師週班表!$C$5:$T$44,$CU38,CG$57),"")=0,"",IF(MID(IFERROR(INDEX(醫師週班表!$C$5:$T$44,$CU38,CG$57),""),2,1)="/",MID(IFERROR(INDEX(醫師週班表!$C$5:$T$44,$CU38,CG$57),""),1+CG$58*2,1),IF(MID(IFERROR(INDEX(醫師週班表!$C$5:$T$44,$CU38,CG$57),""),3,1)="隔",IF(CG$58=0,LEFT(IFERROR(INDEX(醫師週班表!$C$5:$T$44,$CU38,CG$57),""),1),""),IF(MID(IFERROR(INDEX(醫師週班表!$C$5:$T$44,$CU38,CG$57),""),2,1)="(",LEFT(IFERROR(INDEX(醫師週班表!$C$5:$T$44,$CU38,CG$57),""),1),IFERROR(INDEX(醫師週班表!$C$5:$T$44,$CU38,CG$57),"")))))))</f>
        <v/>
      </c>
      <c r="CH38" s="71">
        <f>IF(CH$59="X","",IF(CH$59&lt;&gt;"",CH$59,IF(IFERROR(INDEX(醫師週班表!$C$5:$T$44,$CU38,CH$57),"")=0,"",IF(MID(IFERROR(INDEX(醫師週班表!$C$5:$T$44,$CU38,CH$57),""),2,1)="/",MID(IFERROR(INDEX(醫師週班表!$C$5:$T$44,$CU38,CH$57),""),1+CH$58*2,1),IF(MID(IFERROR(INDEX(醫師週班表!$C$5:$T$44,$CU38,CH$57),""),3,1)="隔",IF(CH$58=0,LEFT(IFERROR(INDEX(醫師週班表!$C$5:$T$44,$CU38,CH$57),""),1),""),IF(MID(IFERROR(INDEX(醫師週班表!$C$5:$T$44,$CU38,CH$57),""),2,1)="(",LEFT(IFERROR(INDEX(醫師週班表!$C$5:$T$44,$CU38,CH$57),""),1),IFERROR(INDEX(醫師週班表!$C$5:$T$44,$CU38,CH$57),"")))))))</f>
        <v/>
      </c>
      <c r="CI38" s="72">
        <f>IF(CI$59="X","",IF(CI$59&lt;&gt;"",CI$59,IF(IFERROR(INDEX(醫師週班表!$C$5:$T$44,$CU38,CI$57),"")=0,"",IF(MID(IFERROR(INDEX(醫師週班表!$C$5:$T$44,$CU38,CI$57),""),2,1)="/",MID(IFERROR(INDEX(醫師週班表!$C$5:$T$44,$CU38,CI$57),""),1+CI$58*2,1),IF(MID(IFERROR(INDEX(醫師週班表!$C$5:$T$44,$CU38,CI$57),""),3,1)="隔",IF(CI$58=0,LEFT(IFERROR(INDEX(醫師週班表!$C$5:$T$44,$CU38,CI$57),""),1),""),IF(MID(IFERROR(INDEX(醫師週班表!$C$5:$T$44,$CU38,CI$57),""),2,1)="(",LEFT(IFERROR(INDEX(醫師週班表!$C$5:$T$44,$CU38,CI$57),""),1),IFERROR(INDEX(醫師週班表!$C$5:$T$44,$CU38,CI$57),"")))))))</f>
        <v/>
      </c>
      <c r="CJ38" s="72">
        <f>IF(CJ$59="X","",IF(CJ$59&lt;&gt;"",CJ$59,IF(IFERROR(INDEX(醫師週班表!$C$5:$T$44,$CU38,CJ$57),"")=0,"",IF(MID(IFERROR(INDEX(醫師週班表!$C$5:$T$44,$CU38,CJ$57),""),2,1)="/",MID(IFERROR(INDEX(醫師週班表!$C$5:$T$44,$CU38,CJ$57),""),1+CJ$58*2,1),IF(MID(IFERROR(INDEX(醫師週班表!$C$5:$T$44,$CU38,CJ$57),""),3,1)="隔",IF(CJ$58=0,LEFT(IFERROR(INDEX(醫師週班表!$C$5:$T$44,$CU38,CJ$57),""),1),""),IF(MID(IFERROR(INDEX(醫師週班表!$C$5:$T$44,$CU38,CJ$57),""),2,1)="(",LEFT(IFERROR(INDEX(醫師週班表!$C$5:$T$44,$CU38,CJ$57),""),1),IFERROR(INDEX(醫師週班表!$C$5:$T$44,$CU38,CJ$57),"")))))))</f>
        <v/>
      </c>
      <c r="CK38" s="71">
        <f>IF(CK$59="X","",IF(CK$59&lt;&gt;"",CK$59,IF(IFERROR(INDEX(醫師週班表!$C$5:$T$44,$CU38,CK$57),"")=0,"",IF(MID(IFERROR(INDEX(醫師週班表!$C$5:$T$44,$CU38,CK$57),""),2,1)="/",MID(IFERROR(INDEX(醫師週班表!$C$5:$T$44,$CU38,CK$57),""),1+CK$58*2,1),IF(MID(IFERROR(INDEX(醫師週班表!$C$5:$T$44,$CU38,CK$57),""),3,1)="隔",IF(CK$58=0,LEFT(IFERROR(INDEX(醫師週班表!$C$5:$T$44,$CU38,CK$57),""),1),""),IF(MID(IFERROR(INDEX(醫師週班表!$C$5:$T$44,$CU38,CK$57),""),2,1)="(",LEFT(IFERROR(INDEX(醫師週班表!$C$5:$T$44,$CU38,CK$57),""),1),IFERROR(INDEX(醫師週班表!$C$5:$T$44,$CU38,CK$57),"")))))))</f>
        <v/>
      </c>
      <c r="CL38" s="72">
        <f>IF(CL$59="X","",IF(CL$59&lt;&gt;"",CL$59,IF(IFERROR(INDEX(醫師週班表!$C$5:$T$44,$CU38,CL$57),"")=0,"",IF(MID(IFERROR(INDEX(醫師週班表!$C$5:$T$44,$CU38,CL$57),""),2,1)="/",MID(IFERROR(INDEX(醫師週班表!$C$5:$T$44,$CU38,CL$57),""),1+CL$58*2,1),IF(MID(IFERROR(INDEX(醫師週班表!$C$5:$T$44,$CU38,CL$57),""),3,1)="隔",IF(CL$58=0,LEFT(IFERROR(INDEX(醫師週班表!$C$5:$T$44,$CU38,CL$57),""),1),""),IF(MID(IFERROR(INDEX(醫師週班表!$C$5:$T$44,$CU38,CL$57),""),2,1)="(",LEFT(IFERROR(INDEX(醫師週班表!$C$5:$T$44,$CU38,CL$57),""),1),IFERROR(INDEX(醫師週班表!$C$5:$T$44,$CU38,CL$57),"")))))))</f>
        <v/>
      </c>
      <c r="CM38" s="72">
        <f>IF(CM$59="X","",IF(CM$59&lt;&gt;"",CM$59,IF(IFERROR(INDEX(醫師週班表!$C$5:$T$44,$CU38,CM$57),"")=0,"",IF(MID(IFERROR(INDEX(醫師週班表!$C$5:$T$44,$CU38,CM$57),""),2,1)="/",MID(IFERROR(INDEX(醫師週班表!$C$5:$T$44,$CU38,CM$57),""),1+CM$58*2,1),IF(MID(IFERROR(INDEX(醫師週班表!$C$5:$T$44,$CU38,CM$57),""),3,1)="隔",IF(CM$58=0,LEFT(IFERROR(INDEX(醫師週班表!$C$5:$T$44,$CU38,CM$57),""),1),""),IF(MID(IFERROR(INDEX(醫師週班表!$C$5:$T$44,$CU38,CM$57),""),2,1)="(",LEFT(IFERROR(INDEX(醫師週班表!$C$5:$T$44,$CU38,CM$57),""),1),IFERROR(INDEX(醫師週班表!$C$5:$T$44,$CU38,CM$57),"")))))))</f>
        <v/>
      </c>
      <c r="CN38" s="71">
        <f>IF(CN$59="X","",IF(CN$59&lt;&gt;"",CN$59,IF(IFERROR(INDEX(醫師週班表!$C$5:$T$44,$CU38,CN$57),"")=0,"",IF(MID(IFERROR(INDEX(醫師週班表!$C$5:$T$44,$CU38,CN$57),""),2,1)="/",MID(IFERROR(INDEX(醫師週班表!$C$5:$T$44,$CU38,CN$57),""),1+CN$58*2,1),IF(MID(IFERROR(INDEX(醫師週班表!$C$5:$T$44,$CU38,CN$57),""),3,1)="隔",IF(CN$58=0,LEFT(IFERROR(INDEX(醫師週班表!$C$5:$T$44,$CU38,CN$57),""),1),""),IF(MID(IFERROR(INDEX(醫師週班表!$C$5:$T$44,$CU38,CN$57),""),2,1)="(",LEFT(IFERROR(INDEX(醫師週班表!$C$5:$T$44,$CU38,CN$57),""),1),IFERROR(INDEX(醫師週班表!$C$5:$T$44,$CU38,CN$57),"")))))))</f>
        <v/>
      </c>
      <c r="CO38" s="72">
        <f>IF(CO$59="X","",IF(CO$59&lt;&gt;"",CO$59,IF(IFERROR(INDEX(醫師週班表!$C$5:$T$44,$CU38,CO$57),"")=0,"",IF(MID(IFERROR(INDEX(醫師週班表!$C$5:$T$44,$CU38,CO$57),""),2,1)="/",MID(IFERROR(INDEX(醫師週班表!$C$5:$T$44,$CU38,CO$57),""),1+CO$58*2,1),IF(MID(IFERROR(INDEX(醫師週班表!$C$5:$T$44,$CU38,CO$57),""),3,1)="隔",IF(CO$58=0,LEFT(IFERROR(INDEX(醫師週班表!$C$5:$T$44,$CU38,CO$57),""),1),""),IF(MID(IFERROR(INDEX(醫師週班表!$C$5:$T$44,$CU38,CO$57),""),2,1)="(",LEFT(IFERROR(INDEX(醫師週班表!$C$5:$T$44,$CU38,CO$57),""),1),IFERROR(INDEX(醫師週班表!$C$5:$T$44,$CU38,CO$57),"")))))))</f>
        <v/>
      </c>
      <c r="CP38" s="72">
        <f>IF(CP$59="X","",IF(CP$59&lt;&gt;"",CP$59,IF(IFERROR(INDEX(醫師週班表!$C$5:$T$44,$CU38,CP$57),"")=0,"",IF(MID(IFERROR(INDEX(醫師週班表!$C$5:$T$44,$CU38,CP$57),""),2,1)="/",MID(IFERROR(INDEX(醫師週班表!$C$5:$T$44,$CU38,CP$57),""),1+CP$58*2,1),IF(MID(IFERROR(INDEX(醫師週班表!$C$5:$T$44,$CU38,CP$57),""),3,1)="隔",IF(CP$58=0,LEFT(IFERROR(INDEX(醫師週班表!$C$5:$T$44,$CU38,CP$57),""),1),""),IF(MID(IFERROR(INDEX(醫師週班表!$C$5:$T$44,$CU38,CP$57),""),2,1)="(",LEFT(IFERROR(INDEX(醫師週班表!$C$5:$T$44,$CU38,CP$57),""),1),IFERROR(INDEX(醫師週班表!$C$5:$T$44,$CU38,CP$57),"")))))))</f>
        <v/>
      </c>
      <c r="CQ38" s="71">
        <f>IF(CQ$59="X","",IF(CQ$59&lt;&gt;"",CQ$59,IF(IFERROR(INDEX(醫師週班表!$C$5:$T$44,$CU38,CQ$57),"")=0,"",IF(MID(IFERROR(INDEX(醫師週班表!$C$5:$T$44,$CU38,CQ$57),""),2,1)="/",MID(IFERROR(INDEX(醫師週班表!$C$5:$T$44,$CU38,CQ$57),""),1+CQ$58*2,1),IF(MID(IFERROR(INDEX(醫師週班表!$C$5:$T$44,$CU38,CQ$57),""),3,1)="隔",IF(CQ$58=0,LEFT(IFERROR(INDEX(醫師週班表!$C$5:$T$44,$CU38,CQ$57),""),1),""),IF(MID(IFERROR(INDEX(醫師週班表!$C$5:$T$44,$CU38,CQ$57),""),2,1)="(",LEFT(IFERROR(INDEX(醫師週班表!$C$5:$T$44,$CU38,CQ$57),""),1),IFERROR(INDEX(醫師週班表!$C$5:$T$44,$CU38,CQ$57),"")))))))</f>
        <v/>
      </c>
      <c r="CR38" s="72">
        <f>IF(CR$59="X","",IF(CR$59&lt;&gt;"",CR$59,IF(IFERROR(INDEX(醫師週班表!$C$5:$T$44,$CU38,CR$57),"")=0,"",IF(MID(IFERROR(INDEX(醫師週班表!$C$5:$T$44,$CU38,CR$57),""),2,1)="/",MID(IFERROR(INDEX(醫師週班表!$C$5:$T$44,$CU38,CR$57),""),1+CR$58*2,1),IF(MID(IFERROR(INDEX(醫師週班表!$C$5:$T$44,$CU38,CR$57),""),3,1)="隔",IF(CR$58=0,LEFT(IFERROR(INDEX(醫師週班表!$C$5:$T$44,$CU38,CR$57),""),1),""),IF(MID(IFERROR(INDEX(醫師週班表!$C$5:$T$44,$CU38,CR$57),""),2,1)="(",LEFT(IFERROR(INDEX(醫師週班表!$C$5:$T$44,$CU38,CR$57),""),1),IFERROR(INDEX(醫師週班表!$C$5:$T$44,$CU38,CR$57),"")))))))</f>
        <v/>
      </c>
      <c r="CS38" s="72">
        <f>IF(CS$59="X","",IF(CS$59&lt;&gt;"",CS$59,IF(IFERROR(INDEX(醫師週班表!$C$5:$T$44,$CU38,CS$57),"")=0,"",IF(MID(IFERROR(INDEX(醫師週班表!$C$5:$T$44,$CU38,CS$57),""),2,1)="/",MID(IFERROR(INDEX(醫師週班表!$C$5:$T$44,$CU38,CS$57),""),1+CS$58*2,1),IF(MID(IFERROR(INDEX(醫師週班表!$C$5:$T$44,$CU38,CS$57),""),3,1)="隔",IF(CS$58=0,LEFT(IFERROR(INDEX(醫師週班表!$C$5:$T$44,$CU38,CS$57),""),1),""),IF(MID(IFERROR(INDEX(醫師週班表!$C$5:$T$44,$CU38,CS$57),""),2,1)="(",LEFT(IFERROR(INDEX(醫師週班表!$C$5:$T$44,$CU38,CS$57),""),1),IFERROR(INDEX(醫師週班表!$C$5:$T$44,$CU38,CS$57),"")))))))</f>
        <v/>
      </c>
      <c r="CU38" s="73">
        <f>IFERROR(MATCH($A38,醫師週班表!$A$5:$A$44,0),0)</f>
        <v/>
      </c>
    </row>
    <row r="39" ht="17" customHeight="1">
      <c r="A39" s="19" t="n"/>
      <c r="B39" s="16">
        <f>IFERROR(INDEX(設定!$C$64:$C$203,MATCH($A39,設定!$B$64:$B$203,0)),"")</f>
        <v/>
      </c>
      <c r="C39" s="70">
        <f>IFERROR(INDEX(設定!$E$64:$E$203,MATCH($A39,設定!$B$64:$B$203,0)),"")</f>
        <v/>
      </c>
      <c r="D39" s="16">
        <f>IFERROR(INDEX(設定!$F$64:$F$203,MATCH($A39,設定!$B$64:$B$203,0)),"")</f>
        <v/>
      </c>
      <c r="E39" s="71">
        <f>IF(E$59="X","",IF(E$59&lt;&gt;"",E$59,IF(IFERROR(INDEX(醫師週班表!$C$5:$T$44,$CU39,E$57),"")=0,"",IF(MID(IFERROR(INDEX(醫師週班表!$C$5:$T$44,$CU39,E$57),""),2,1)="/",MID(IFERROR(INDEX(醫師週班表!$C$5:$T$44,$CU39,E$57),""),1+E$58*2,1),IF(MID(IFERROR(INDEX(醫師週班表!$C$5:$T$44,$CU39,E$57),""),3,1)="隔",IF(E$58=0,LEFT(IFERROR(INDEX(醫師週班表!$C$5:$T$44,$CU39,E$57),""),1),""),IF(MID(IFERROR(INDEX(醫師週班表!$C$5:$T$44,$CU39,E$57),""),2,1)="(",LEFT(IFERROR(INDEX(醫師週班表!$C$5:$T$44,$CU39,E$57),""),1),IFERROR(INDEX(醫師週班表!$C$5:$T$44,$CU39,E$57),"")))))))</f>
        <v/>
      </c>
      <c r="F39" s="72">
        <f>IF(F$59="X","",IF(F$59&lt;&gt;"",F$59,IF(IFERROR(INDEX(醫師週班表!$C$5:$T$44,$CU39,F$57),"")=0,"",IF(MID(IFERROR(INDEX(醫師週班表!$C$5:$T$44,$CU39,F$57),""),2,1)="/",MID(IFERROR(INDEX(醫師週班表!$C$5:$T$44,$CU39,F$57),""),1+F$58*2,1),IF(MID(IFERROR(INDEX(醫師週班表!$C$5:$T$44,$CU39,F$57),""),3,1)="隔",IF(F$58=0,LEFT(IFERROR(INDEX(醫師週班表!$C$5:$T$44,$CU39,F$57),""),1),""),IF(MID(IFERROR(INDEX(醫師週班表!$C$5:$T$44,$CU39,F$57),""),2,1)="(",LEFT(IFERROR(INDEX(醫師週班表!$C$5:$T$44,$CU39,F$57),""),1),IFERROR(INDEX(醫師週班表!$C$5:$T$44,$CU39,F$57),"")))))))</f>
        <v/>
      </c>
      <c r="G39" s="72">
        <f>IF(G$59="X","",IF(G$59&lt;&gt;"",G$59,IF(IFERROR(INDEX(醫師週班表!$C$5:$T$44,$CU39,G$57),"")=0,"",IF(MID(IFERROR(INDEX(醫師週班表!$C$5:$T$44,$CU39,G$57),""),2,1)="/",MID(IFERROR(INDEX(醫師週班表!$C$5:$T$44,$CU39,G$57),""),1+G$58*2,1),IF(MID(IFERROR(INDEX(醫師週班表!$C$5:$T$44,$CU39,G$57),""),3,1)="隔",IF(G$58=0,LEFT(IFERROR(INDEX(醫師週班表!$C$5:$T$44,$CU39,G$57),""),1),""),IF(MID(IFERROR(INDEX(醫師週班表!$C$5:$T$44,$CU39,G$57),""),2,1)="(",LEFT(IFERROR(INDEX(醫師週班表!$C$5:$T$44,$CU39,G$57),""),1),IFERROR(INDEX(醫師週班表!$C$5:$T$44,$CU39,G$57),"")))))))</f>
        <v/>
      </c>
      <c r="H39" s="71">
        <f>IF(H$59="X","",IF(H$59&lt;&gt;"",H$59,IF(IFERROR(INDEX(醫師週班表!$C$5:$T$44,$CU39,H$57),"")=0,"",IF(MID(IFERROR(INDEX(醫師週班表!$C$5:$T$44,$CU39,H$57),""),2,1)="/",MID(IFERROR(INDEX(醫師週班表!$C$5:$T$44,$CU39,H$57),""),1+H$58*2,1),IF(MID(IFERROR(INDEX(醫師週班表!$C$5:$T$44,$CU39,H$57),""),3,1)="隔",IF(H$58=0,LEFT(IFERROR(INDEX(醫師週班表!$C$5:$T$44,$CU39,H$57),""),1),""),IF(MID(IFERROR(INDEX(醫師週班表!$C$5:$T$44,$CU39,H$57),""),2,1)="(",LEFT(IFERROR(INDEX(醫師週班表!$C$5:$T$44,$CU39,H$57),""),1),IFERROR(INDEX(醫師週班表!$C$5:$T$44,$CU39,H$57),"")))))))</f>
        <v/>
      </c>
      <c r="I39" s="72">
        <f>IF(I$59="X","",IF(I$59&lt;&gt;"",I$59,IF(IFERROR(INDEX(醫師週班表!$C$5:$T$44,$CU39,I$57),"")=0,"",IF(MID(IFERROR(INDEX(醫師週班表!$C$5:$T$44,$CU39,I$57),""),2,1)="/",MID(IFERROR(INDEX(醫師週班表!$C$5:$T$44,$CU39,I$57),""),1+I$58*2,1),IF(MID(IFERROR(INDEX(醫師週班表!$C$5:$T$44,$CU39,I$57),""),3,1)="隔",IF(I$58=0,LEFT(IFERROR(INDEX(醫師週班表!$C$5:$T$44,$CU39,I$57),""),1),""),IF(MID(IFERROR(INDEX(醫師週班表!$C$5:$T$44,$CU39,I$57),""),2,1)="(",LEFT(IFERROR(INDEX(醫師週班表!$C$5:$T$44,$CU39,I$57),""),1),IFERROR(INDEX(醫師週班表!$C$5:$T$44,$CU39,I$57),"")))))))</f>
        <v/>
      </c>
      <c r="J39" s="72">
        <f>IF(J$59="X","",IF(J$59&lt;&gt;"",J$59,IF(IFERROR(INDEX(醫師週班表!$C$5:$T$44,$CU39,J$57),"")=0,"",IF(MID(IFERROR(INDEX(醫師週班表!$C$5:$T$44,$CU39,J$57),""),2,1)="/",MID(IFERROR(INDEX(醫師週班表!$C$5:$T$44,$CU39,J$57),""),1+J$58*2,1),IF(MID(IFERROR(INDEX(醫師週班表!$C$5:$T$44,$CU39,J$57),""),3,1)="隔",IF(J$58=0,LEFT(IFERROR(INDEX(醫師週班表!$C$5:$T$44,$CU39,J$57),""),1),""),IF(MID(IFERROR(INDEX(醫師週班表!$C$5:$T$44,$CU39,J$57),""),2,1)="(",LEFT(IFERROR(INDEX(醫師週班表!$C$5:$T$44,$CU39,J$57),""),1),IFERROR(INDEX(醫師週班表!$C$5:$T$44,$CU39,J$57),"")))))))</f>
        <v/>
      </c>
      <c r="K39" s="71">
        <f>IF(K$59="X","",IF(K$59&lt;&gt;"",K$59,IF(IFERROR(INDEX(醫師週班表!$C$5:$T$44,$CU39,K$57),"")=0,"",IF(MID(IFERROR(INDEX(醫師週班表!$C$5:$T$44,$CU39,K$57),""),2,1)="/",MID(IFERROR(INDEX(醫師週班表!$C$5:$T$44,$CU39,K$57),""),1+K$58*2,1),IF(MID(IFERROR(INDEX(醫師週班表!$C$5:$T$44,$CU39,K$57),""),3,1)="隔",IF(K$58=0,LEFT(IFERROR(INDEX(醫師週班表!$C$5:$T$44,$CU39,K$57),""),1),""),IF(MID(IFERROR(INDEX(醫師週班表!$C$5:$T$44,$CU39,K$57),""),2,1)="(",LEFT(IFERROR(INDEX(醫師週班表!$C$5:$T$44,$CU39,K$57),""),1),IFERROR(INDEX(醫師週班表!$C$5:$T$44,$CU39,K$57),"")))))))</f>
        <v/>
      </c>
      <c r="L39" s="72">
        <f>IF(L$59="X","",IF(L$59&lt;&gt;"",L$59,IF(IFERROR(INDEX(醫師週班表!$C$5:$T$44,$CU39,L$57),"")=0,"",IF(MID(IFERROR(INDEX(醫師週班表!$C$5:$T$44,$CU39,L$57),""),2,1)="/",MID(IFERROR(INDEX(醫師週班表!$C$5:$T$44,$CU39,L$57),""),1+L$58*2,1),IF(MID(IFERROR(INDEX(醫師週班表!$C$5:$T$44,$CU39,L$57),""),3,1)="隔",IF(L$58=0,LEFT(IFERROR(INDEX(醫師週班表!$C$5:$T$44,$CU39,L$57),""),1),""),IF(MID(IFERROR(INDEX(醫師週班表!$C$5:$T$44,$CU39,L$57),""),2,1)="(",LEFT(IFERROR(INDEX(醫師週班表!$C$5:$T$44,$CU39,L$57),""),1),IFERROR(INDEX(醫師週班表!$C$5:$T$44,$CU39,L$57),"")))))))</f>
        <v/>
      </c>
      <c r="M39" s="72">
        <f>IF(M$59="X","",IF(M$59&lt;&gt;"",M$59,IF(IFERROR(INDEX(醫師週班表!$C$5:$T$44,$CU39,M$57),"")=0,"",IF(MID(IFERROR(INDEX(醫師週班表!$C$5:$T$44,$CU39,M$57),""),2,1)="/",MID(IFERROR(INDEX(醫師週班表!$C$5:$T$44,$CU39,M$57),""),1+M$58*2,1),IF(MID(IFERROR(INDEX(醫師週班表!$C$5:$T$44,$CU39,M$57),""),3,1)="隔",IF(M$58=0,LEFT(IFERROR(INDEX(醫師週班表!$C$5:$T$44,$CU39,M$57),""),1),""),IF(MID(IFERROR(INDEX(醫師週班表!$C$5:$T$44,$CU39,M$57),""),2,1)="(",LEFT(IFERROR(INDEX(醫師週班表!$C$5:$T$44,$CU39,M$57),""),1),IFERROR(INDEX(醫師週班表!$C$5:$T$44,$CU39,M$57),"")))))))</f>
        <v/>
      </c>
      <c r="N39" s="71">
        <f>IF(N$59="X","",IF(N$59&lt;&gt;"",N$59,IF(IFERROR(INDEX(醫師週班表!$C$5:$T$44,$CU39,N$57),"")=0,"",IF(MID(IFERROR(INDEX(醫師週班表!$C$5:$T$44,$CU39,N$57),""),2,1)="/",MID(IFERROR(INDEX(醫師週班表!$C$5:$T$44,$CU39,N$57),""),1+N$58*2,1),IF(MID(IFERROR(INDEX(醫師週班表!$C$5:$T$44,$CU39,N$57),""),3,1)="隔",IF(N$58=0,LEFT(IFERROR(INDEX(醫師週班表!$C$5:$T$44,$CU39,N$57),""),1),""),IF(MID(IFERROR(INDEX(醫師週班表!$C$5:$T$44,$CU39,N$57),""),2,1)="(",LEFT(IFERROR(INDEX(醫師週班表!$C$5:$T$44,$CU39,N$57),""),1),IFERROR(INDEX(醫師週班表!$C$5:$T$44,$CU39,N$57),"")))))))</f>
        <v/>
      </c>
      <c r="O39" s="72">
        <f>IF(O$59="X","",IF(O$59&lt;&gt;"",O$59,IF(IFERROR(INDEX(醫師週班表!$C$5:$T$44,$CU39,O$57),"")=0,"",IF(MID(IFERROR(INDEX(醫師週班表!$C$5:$T$44,$CU39,O$57),""),2,1)="/",MID(IFERROR(INDEX(醫師週班表!$C$5:$T$44,$CU39,O$57),""),1+O$58*2,1),IF(MID(IFERROR(INDEX(醫師週班表!$C$5:$T$44,$CU39,O$57),""),3,1)="隔",IF(O$58=0,LEFT(IFERROR(INDEX(醫師週班表!$C$5:$T$44,$CU39,O$57),""),1),""),IF(MID(IFERROR(INDEX(醫師週班表!$C$5:$T$44,$CU39,O$57),""),2,1)="(",LEFT(IFERROR(INDEX(醫師週班表!$C$5:$T$44,$CU39,O$57),""),1),IFERROR(INDEX(醫師週班表!$C$5:$T$44,$CU39,O$57),"")))))))</f>
        <v/>
      </c>
      <c r="P39" s="72">
        <f>IF(P$59="X","",IF(P$59&lt;&gt;"",P$59,IF(IFERROR(INDEX(醫師週班表!$C$5:$T$44,$CU39,P$57),"")=0,"",IF(MID(IFERROR(INDEX(醫師週班表!$C$5:$T$44,$CU39,P$57),""),2,1)="/",MID(IFERROR(INDEX(醫師週班表!$C$5:$T$44,$CU39,P$57),""),1+P$58*2,1),IF(MID(IFERROR(INDEX(醫師週班表!$C$5:$T$44,$CU39,P$57),""),3,1)="隔",IF(P$58=0,LEFT(IFERROR(INDEX(醫師週班表!$C$5:$T$44,$CU39,P$57),""),1),""),IF(MID(IFERROR(INDEX(醫師週班表!$C$5:$T$44,$CU39,P$57),""),2,1)="(",LEFT(IFERROR(INDEX(醫師週班表!$C$5:$T$44,$CU39,P$57),""),1),IFERROR(INDEX(醫師週班表!$C$5:$T$44,$CU39,P$57),"")))))))</f>
        <v/>
      </c>
      <c r="Q39" s="71">
        <f>IF(Q$59="X","",IF(Q$59&lt;&gt;"",Q$59,IF(IFERROR(INDEX(醫師週班表!$C$5:$T$44,$CU39,Q$57),"")=0,"",IF(MID(IFERROR(INDEX(醫師週班表!$C$5:$T$44,$CU39,Q$57),""),2,1)="/",MID(IFERROR(INDEX(醫師週班表!$C$5:$T$44,$CU39,Q$57),""),1+Q$58*2,1),IF(MID(IFERROR(INDEX(醫師週班表!$C$5:$T$44,$CU39,Q$57),""),3,1)="隔",IF(Q$58=0,LEFT(IFERROR(INDEX(醫師週班表!$C$5:$T$44,$CU39,Q$57),""),1),""),IF(MID(IFERROR(INDEX(醫師週班表!$C$5:$T$44,$CU39,Q$57),""),2,1)="(",LEFT(IFERROR(INDEX(醫師週班表!$C$5:$T$44,$CU39,Q$57),""),1),IFERROR(INDEX(醫師週班表!$C$5:$T$44,$CU39,Q$57),"")))))))</f>
        <v/>
      </c>
      <c r="R39" s="72">
        <f>IF(R$59="X","",IF(R$59&lt;&gt;"",R$59,IF(IFERROR(INDEX(醫師週班表!$C$5:$T$44,$CU39,R$57),"")=0,"",IF(MID(IFERROR(INDEX(醫師週班表!$C$5:$T$44,$CU39,R$57),""),2,1)="/",MID(IFERROR(INDEX(醫師週班表!$C$5:$T$44,$CU39,R$57),""),1+R$58*2,1),IF(MID(IFERROR(INDEX(醫師週班表!$C$5:$T$44,$CU39,R$57),""),3,1)="隔",IF(R$58=0,LEFT(IFERROR(INDEX(醫師週班表!$C$5:$T$44,$CU39,R$57),""),1),""),IF(MID(IFERROR(INDEX(醫師週班表!$C$5:$T$44,$CU39,R$57),""),2,1)="(",LEFT(IFERROR(INDEX(醫師週班表!$C$5:$T$44,$CU39,R$57),""),1),IFERROR(INDEX(醫師週班表!$C$5:$T$44,$CU39,R$57),"")))))))</f>
        <v/>
      </c>
      <c r="S39" s="72">
        <f>IF(S$59="X","",IF(S$59&lt;&gt;"",S$59,IF(IFERROR(INDEX(醫師週班表!$C$5:$T$44,$CU39,S$57),"")=0,"",IF(MID(IFERROR(INDEX(醫師週班表!$C$5:$T$44,$CU39,S$57),""),2,1)="/",MID(IFERROR(INDEX(醫師週班表!$C$5:$T$44,$CU39,S$57),""),1+S$58*2,1),IF(MID(IFERROR(INDEX(醫師週班表!$C$5:$T$44,$CU39,S$57),""),3,1)="隔",IF(S$58=0,LEFT(IFERROR(INDEX(醫師週班表!$C$5:$T$44,$CU39,S$57),""),1),""),IF(MID(IFERROR(INDEX(醫師週班表!$C$5:$T$44,$CU39,S$57),""),2,1)="(",LEFT(IFERROR(INDEX(醫師週班表!$C$5:$T$44,$CU39,S$57),""),1),IFERROR(INDEX(醫師週班表!$C$5:$T$44,$CU39,S$57),"")))))))</f>
        <v/>
      </c>
      <c r="T39" s="71">
        <f>IF(T$59="X","",IF(T$59&lt;&gt;"",T$59,IF(IFERROR(INDEX(醫師週班表!$C$5:$T$44,$CU39,T$57),"")=0,"",IF(MID(IFERROR(INDEX(醫師週班表!$C$5:$T$44,$CU39,T$57),""),2,1)="/",MID(IFERROR(INDEX(醫師週班表!$C$5:$T$44,$CU39,T$57),""),1+T$58*2,1),IF(MID(IFERROR(INDEX(醫師週班表!$C$5:$T$44,$CU39,T$57),""),3,1)="隔",IF(T$58=0,LEFT(IFERROR(INDEX(醫師週班表!$C$5:$T$44,$CU39,T$57),""),1),""),IF(MID(IFERROR(INDEX(醫師週班表!$C$5:$T$44,$CU39,T$57),""),2,1)="(",LEFT(IFERROR(INDEX(醫師週班表!$C$5:$T$44,$CU39,T$57),""),1),IFERROR(INDEX(醫師週班表!$C$5:$T$44,$CU39,T$57),"")))))))</f>
        <v/>
      </c>
      <c r="U39" s="72">
        <f>IF(U$59="X","",IF(U$59&lt;&gt;"",U$59,IF(IFERROR(INDEX(醫師週班表!$C$5:$T$44,$CU39,U$57),"")=0,"",IF(MID(IFERROR(INDEX(醫師週班表!$C$5:$T$44,$CU39,U$57),""),2,1)="/",MID(IFERROR(INDEX(醫師週班表!$C$5:$T$44,$CU39,U$57),""),1+U$58*2,1),IF(MID(IFERROR(INDEX(醫師週班表!$C$5:$T$44,$CU39,U$57),""),3,1)="隔",IF(U$58=0,LEFT(IFERROR(INDEX(醫師週班表!$C$5:$T$44,$CU39,U$57),""),1),""),IF(MID(IFERROR(INDEX(醫師週班表!$C$5:$T$44,$CU39,U$57),""),2,1)="(",LEFT(IFERROR(INDEX(醫師週班表!$C$5:$T$44,$CU39,U$57),""),1),IFERROR(INDEX(醫師週班表!$C$5:$T$44,$CU39,U$57),"")))))))</f>
        <v/>
      </c>
      <c r="V39" s="72">
        <f>IF(V$59="X","",IF(V$59&lt;&gt;"",V$59,IF(IFERROR(INDEX(醫師週班表!$C$5:$T$44,$CU39,V$57),"")=0,"",IF(MID(IFERROR(INDEX(醫師週班表!$C$5:$T$44,$CU39,V$57),""),2,1)="/",MID(IFERROR(INDEX(醫師週班表!$C$5:$T$44,$CU39,V$57),""),1+V$58*2,1),IF(MID(IFERROR(INDEX(醫師週班表!$C$5:$T$44,$CU39,V$57),""),3,1)="隔",IF(V$58=0,LEFT(IFERROR(INDEX(醫師週班表!$C$5:$T$44,$CU39,V$57),""),1),""),IF(MID(IFERROR(INDEX(醫師週班表!$C$5:$T$44,$CU39,V$57),""),2,1)="(",LEFT(IFERROR(INDEX(醫師週班表!$C$5:$T$44,$CU39,V$57),""),1),IFERROR(INDEX(醫師週班表!$C$5:$T$44,$CU39,V$57),"")))))))</f>
        <v/>
      </c>
      <c r="W39" s="71">
        <f>IF(W$59="X","",IF(W$59&lt;&gt;"",W$59,IF(IFERROR(INDEX(醫師週班表!$C$5:$T$44,$CU39,W$57),"")=0,"",IF(MID(IFERROR(INDEX(醫師週班表!$C$5:$T$44,$CU39,W$57),""),2,1)="/",MID(IFERROR(INDEX(醫師週班表!$C$5:$T$44,$CU39,W$57),""),1+W$58*2,1),IF(MID(IFERROR(INDEX(醫師週班表!$C$5:$T$44,$CU39,W$57),""),3,1)="隔",IF(W$58=0,LEFT(IFERROR(INDEX(醫師週班表!$C$5:$T$44,$CU39,W$57),""),1),""),IF(MID(IFERROR(INDEX(醫師週班表!$C$5:$T$44,$CU39,W$57),""),2,1)="(",LEFT(IFERROR(INDEX(醫師週班表!$C$5:$T$44,$CU39,W$57),""),1),IFERROR(INDEX(醫師週班表!$C$5:$T$44,$CU39,W$57),"")))))))</f>
        <v/>
      </c>
      <c r="X39" s="72">
        <f>IF(X$59="X","",IF(X$59&lt;&gt;"",X$59,IF(IFERROR(INDEX(醫師週班表!$C$5:$T$44,$CU39,X$57),"")=0,"",IF(MID(IFERROR(INDEX(醫師週班表!$C$5:$T$44,$CU39,X$57),""),2,1)="/",MID(IFERROR(INDEX(醫師週班表!$C$5:$T$44,$CU39,X$57),""),1+X$58*2,1),IF(MID(IFERROR(INDEX(醫師週班表!$C$5:$T$44,$CU39,X$57),""),3,1)="隔",IF(X$58=0,LEFT(IFERROR(INDEX(醫師週班表!$C$5:$T$44,$CU39,X$57),""),1),""),IF(MID(IFERROR(INDEX(醫師週班表!$C$5:$T$44,$CU39,X$57),""),2,1)="(",LEFT(IFERROR(INDEX(醫師週班表!$C$5:$T$44,$CU39,X$57),""),1),IFERROR(INDEX(醫師週班表!$C$5:$T$44,$CU39,X$57),"")))))))</f>
        <v/>
      </c>
      <c r="Y39" s="72">
        <f>IF(Y$59="X","",IF(Y$59&lt;&gt;"",Y$59,IF(IFERROR(INDEX(醫師週班表!$C$5:$T$44,$CU39,Y$57),"")=0,"",IF(MID(IFERROR(INDEX(醫師週班表!$C$5:$T$44,$CU39,Y$57),""),2,1)="/",MID(IFERROR(INDEX(醫師週班表!$C$5:$T$44,$CU39,Y$57),""),1+Y$58*2,1),IF(MID(IFERROR(INDEX(醫師週班表!$C$5:$T$44,$CU39,Y$57),""),3,1)="隔",IF(Y$58=0,LEFT(IFERROR(INDEX(醫師週班表!$C$5:$T$44,$CU39,Y$57),""),1),""),IF(MID(IFERROR(INDEX(醫師週班表!$C$5:$T$44,$CU39,Y$57),""),2,1)="(",LEFT(IFERROR(INDEX(醫師週班表!$C$5:$T$44,$CU39,Y$57),""),1),IFERROR(INDEX(醫師週班表!$C$5:$T$44,$CU39,Y$57),"")))))))</f>
        <v/>
      </c>
      <c r="Z39" s="71">
        <f>IF(Z$59="X","",IF(Z$59&lt;&gt;"",Z$59,IF(IFERROR(INDEX(醫師週班表!$C$5:$T$44,$CU39,Z$57),"")=0,"",IF(MID(IFERROR(INDEX(醫師週班表!$C$5:$T$44,$CU39,Z$57),""),2,1)="/",MID(IFERROR(INDEX(醫師週班表!$C$5:$T$44,$CU39,Z$57),""),1+Z$58*2,1),IF(MID(IFERROR(INDEX(醫師週班表!$C$5:$T$44,$CU39,Z$57),""),3,1)="隔",IF(Z$58=0,LEFT(IFERROR(INDEX(醫師週班表!$C$5:$T$44,$CU39,Z$57),""),1),""),IF(MID(IFERROR(INDEX(醫師週班表!$C$5:$T$44,$CU39,Z$57),""),2,1)="(",LEFT(IFERROR(INDEX(醫師週班表!$C$5:$T$44,$CU39,Z$57),""),1),IFERROR(INDEX(醫師週班表!$C$5:$T$44,$CU39,Z$57),"")))))))</f>
        <v/>
      </c>
      <c r="AA39" s="72">
        <f>IF(AA$59="X","",IF(AA$59&lt;&gt;"",AA$59,IF(IFERROR(INDEX(醫師週班表!$C$5:$T$44,$CU39,AA$57),"")=0,"",IF(MID(IFERROR(INDEX(醫師週班表!$C$5:$T$44,$CU39,AA$57),""),2,1)="/",MID(IFERROR(INDEX(醫師週班表!$C$5:$T$44,$CU39,AA$57),""),1+AA$58*2,1),IF(MID(IFERROR(INDEX(醫師週班表!$C$5:$T$44,$CU39,AA$57),""),3,1)="隔",IF(AA$58=0,LEFT(IFERROR(INDEX(醫師週班表!$C$5:$T$44,$CU39,AA$57),""),1),""),IF(MID(IFERROR(INDEX(醫師週班表!$C$5:$T$44,$CU39,AA$57),""),2,1)="(",LEFT(IFERROR(INDEX(醫師週班表!$C$5:$T$44,$CU39,AA$57),""),1),IFERROR(INDEX(醫師週班表!$C$5:$T$44,$CU39,AA$57),"")))))))</f>
        <v/>
      </c>
      <c r="AB39" s="72">
        <f>IF(AB$59="X","",IF(AB$59&lt;&gt;"",AB$59,IF(IFERROR(INDEX(醫師週班表!$C$5:$T$44,$CU39,AB$57),"")=0,"",IF(MID(IFERROR(INDEX(醫師週班表!$C$5:$T$44,$CU39,AB$57),""),2,1)="/",MID(IFERROR(INDEX(醫師週班表!$C$5:$T$44,$CU39,AB$57),""),1+AB$58*2,1),IF(MID(IFERROR(INDEX(醫師週班表!$C$5:$T$44,$CU39,AB$57),""),3,1)="隔",IF(AB$58=0,LEFT(IFERROR(INDEX(醫師週班表!$C$5:$T$44,$CU39,AB$57),""),1),""),IF(MID(IFERROR(INDEX(醫師週班表!$C$5:$T$44,$CU39,AB$57),""),2,1)="(",LEFT(IFERROR(INDEX(醫師週班表!$C$5:$T$44,$CU39,AB$57),""),1),IFERROR(INDEX(醫師週班表!$C$5:$T$44,$CU39,AB$57),"")))))))</f>
        <v/>
      </c>
      <c r="AC39" s="71">
        <f>IF(AC$59="X","",IF(AC$59&lt;&gt;"",AC$59,IF(IFERROR(INDEX(醫師週班表!$C$5:$T$44,$CU39,AC$57),"")=0,"",IF(MID(IFERROR(INDEX(醫師週班表!$C$5:$T$44,$CU39,AC$57),""),2,1)="/",MID(IFERROR(INDEX(醫師週班表!$C$5:$T$44,$CU39,AC$57),""),1+AC$58*2,1),IF(MID(IFERROR(INDEX(醫師週班表!$C$5:$T$44,$CU39,AC$57),""),3,1)="隔",IF(AC$58=0,LEFT(IFERROR(INDEX(醫師週班表!$C$5:$T$44,$CU39,AC$57),""),1),""),IF(MID(IFERROR(INDEX(醫師週班表!$C$5:$T$44,$CU39,AC$57),""),2,1)="(",LEFT(IFERROR(INDEX(醫師週班表!$C$5:$T$44,$CU39,AC$57),""),1),IFERROR(INDEX(醫師週班表!$C$5:$T$44,$CU39,AC$57),"")))))))</f>
        <v/>
      </c>
      <c r="AD39" s="72">
        <f>IF(AD$59="X","",IF(AD$59&lt;&gt;"",AD$59,IF(IFERROR(INDEX(醫師週班表!$C$5:$T$44,$CU39,AD$57),"")=0,"",IF(MID(IFERROR(INDEX(醫師週班表!$C$5:$T$44,$CU39,AD$57),""),2,1)="/",MID(IFERROR(INDEX(醫師週班表!$C$5:$T$44,$CU39,AD$57),""),1+AD$58*2,1),IF(MID(IFERROR(INDEX(醫師週班表!$C$5:$T$44,$CU39,AD$57),""),3,1)="隔",IF(AD$58=0,LEFT(IFERROR(INDEX(醫師週班表!$C$5:$T$44,$CU39,AD$57),""),1),""),IF(MID(IFERROR(INDEX(醫師週班表!$C$5:$T$44,$CU39,AD$57),""),2,1)="(",LEFT(IFERROR(INDEX(醫師週班表!$C$5:$T$44,$CU39,AD$57),""),1),IFERROR(INDEX(醫師週班表!$C$5:$T$44,$CU39,AD$57),"")))))))</f>
        <v/>
      </c>
      <c r="AE39" s="72">
        <f>IF(AE$59="X","",IF(AE$59&lt;&gt;"",AE$59,IF(IFERROR(INDEX(醫師週班表!$C$5:$T$44,$CU39,AE$57),"")=0,"",IF(MID(IFERROR(INDEX(醫師週班表!$C$5:$T$44,$CU39,AE$57),""),2,1)="/",MID(IFERROR(INDEX(醫師週班表!$C$5:$T$44,$CU39,AE$57),""),1+AE$58*2,1),IF(MID(IFERROR(INDEX(醫師週班表!$C$5:$T$44,$CU39,AE$57),""),3,1)="隔",IF(AE$58=0,LEFT(IFERROR(INDEX(醫師週班表!$C$5:$T$44,$CU39,AE$57),""),1),""),IF(MID(IFERROR(INDEX(醫師週班表!$C$5:$T$44,$CU39,AE$57),""),2,1)="(",LEFT(IFERROR(INDEX(醫師週班表!$C$5:$T$44,$CU39,AE$57),""),1),IFERROR(INDEX(醫師週班表!$C$5:$T$44,$CU39,AE$57),"")))))))</f>
        <v/>
      </c>
      <c r="AF39" s="71">
        <f>IF(AF$59="X","",IF(AF$59&lt;&gt;"",AF$59,IF(IFERROR(INDEX(醫師週班表!$C$5:$T$44,$CU39,AF$57),"")=0,"",IF(MID(IFERROR(INDEX(醫師週班表!$C$5:$T$44,$CU39,AF$57),""),2,1)="/",MID(IFERROR(INDEX(醫師週班表!$C$5:$T$44,$CU39,AF$57),""),1+AF$58*2,1),IF(MID(IFERROR(INDEX(醫師週班表!$C$5:$T$44,$CU39,AF$57),""),3,1)="隔",IF(AF$58=0,LEFT(IFERROR(INDEX(醫師週班表!$C$5:$T$44,$CU39,AF$57),""),1),""),IF(MID(IFERROR(INDEX(醫師週班表!$C$5:$T$44,$CU39,AF$57),""),2,1)="(",LEFT(IFERROR(INDEX(醫師週班表!$C$5:$T$44,$CU39,AF$57),""),1),IFERROR(INDEX(醫師週班表!$C$5:$T$44,$CU39,AF$57),"")))))))</f>
        <v/>
      </c>
      <c r="AG39" s="72">
        <f>IF(AG$59="X","",IF(AG$59&lt;&gt;"",AG$59,IF(IFERROR(INDEX(醫師週班表!$C$5:$T$44,$CU39,AG$57),"")=0,"",IF(MID(IFERROR(INDEX(醫師週班表!$C$5:$T$44,$CU39,AG$57),""),2,1)="/",MID(IFERROR(INDEX(醫師週班表!$C$5:$T$44,$CU39,AG$57),""),1+AG$58*2,1),IF(MID(IFERROR(INDEX(醫師週班表!$C$5:$T$44,$CU39,AG$57),""),3,1)="隔",IF(AG$58=0,LEFT(IFERROR(INDEX(醫師週班表!$C$5:$T$44,$CU39,AG$57),""),1),""),IF(MID(IFERROR(INDEX(醫師週班表!$C$5:$T$44,$CU39,AG$57),""),2,1)="(",LEFT(IFERROR(INDEX(醫師週班表!$C$5:$T$44,$CU39,AG$57),""),1),IFERROR(INDEX(醫師週班表!$C$5:$T$44,$CU39,AG$57),"")))))))</f>
        <v/>
      </c>
      <c r="AH39" s="72">
        <f>IF(AH$59="X","",IF(AH$59&lt;&gt;"",AH$59,IF(IFERROR(INDEX(醫師週班表!$C$5:$T$44,$CU39,AH$57),"")=0,"",IF(MID(IFERROR(INDEX(醫師週班表!$C$5:$T$44,$CU39,AH$57),""),2,1)="/",MID(IFERROR(INDEX(醫師週班表!$C$5:$T$44,$CU39,AH$57),""),1+AH$58*2,1),IF(MID(IFERROR(INDEX(醫師週班表!$C$5:$T$44,$CU39,AH$57),""),3,1)="隔",IF(AH$58=0,LEFT(IFERROR(INDEX(醫師週班表!$C$5:$T$44,$CU39,AH$57),""),1),""),IF(MID(IFERROR(INDEX(醫師週班表!$C$5:$T$44,$CU39,AH$57),""),2,1)="(",LEFT(IFERROR(INDEX(醫師週班表!$C$5:$T$44,$CU39,AH$57),""),1),IFERROR(INDEX(醫師週班表!$C$5:$T$44,$CU39,AH$57),"")))))))</f>
        <v/>
      </c>
      <c r="AI39" s="71">
        <f>IF(AI$59="X","",IF(AI$59&lt;&gt;"",AI$59,IF(IFERROR(INDEX(醫師週班表!$C$5:$T$44,$CU39,AI$57),"")=0,"",IF(MID(IFERROR(INDEX(醫師週班表!$C$5:$T$44,$CU39,AI$57),""),2,1)="/",MID(IFERROR(INDEX(醫師週班表!$C$5:$T$44,$CU39,AI$57),""),1+AI$58*2,1),IF(MID(IFERROR(INDEX(醫師週班表!$C$5:$T$44,$CU39,AI$57),""),3,1)="隔",IF(AI$58=0,LEFT(IFERROR(INDEX(醫師週班表!$C$5:$T$44,$CU39,AI$57),""),1),""),IF(MID(IFERROR(INDEX(醫師週班表!$C$5:$T$44,$CU39,AI$57),""),2,1)="(",LEFT(IFERROR(INDEX(醫師週班表!$C$5:$T$44,$CU39,AI$57),""),1),IFERROR(INDEX(醫師週班表!$C$5:$T$44,$CU39,AI$57),"")))))))</f>
        <v/>
      </c>
      <c r="AJ39" s="72">
        <f>IF(AJ$59="X","",IF(AJ$59&lt;&gt;"",AJ$59,IF(IFERROR(INDEX(醫師週班表!$C$5:$T$44,$CU39,AJ$57),"")=0,"",IF(MID(IFERROR(INDEX(醫師週班表!$C$5:$T$44,$CU39,AJ$57),""),2,1)="/",MID(IFERROR(INDEX(醫師週班表!$C$5:$T$44,$CU39,AJ$57),""),1+AJ$58*2,1),IF(MID(IFERROR(INDEX(醫師週班表!$C$5:$T$44,$CU39,AJ$57),""),3,1)="隔",IF(AJ$58=0,LEFT(IFERROR(INDEX(醫師週班表!$C$5:$T$44,$CU39,AJ$57),""),1),""),IF(MID(IFERROR(INDEX(醫師週班表!$C$5:$T$44,$CU39,AJ$57),""),2,1)="(",LEFT(IFERROR(INDEX(醫師週班表!$C$5:$T$44,$CU39,AJ$57),""),1),IFERROR(INDEX(醫師週班表!$C$5:$T$44,$CU39,AJ$57),"")))))))</f>
        <v/>
      </c>
      <c r="AK39" s="72">
        <f>IF(AK$59="X","",IF(AK$59&lt;&gt;"",AK$59,IF(IFERROR(INDEX(醫師週班表!$C$5:$T$44,$CU39,AK$57),"")=0,"",IF(MID(IFERROR(INDEX(醫師週班表!$C$5:$T$44,$CU39,AK$57),""),2,1)="/",MID(IFERROR(INDEX(醫師週班表!$C$5:$T$44,$CU39,AK$57),""),1+AK$58*2,1),IF(MID(IFERROR(INDEX(醫師週班表!$C$5:$T$44,$CU39,AK$57),""),3,1)="隔",IF(AK$58=0,LEFT(IFERROR(INDEX(醫師週班表!$C$5:$T$44,$CU39,AK$57),""),1),""),IF(MID(IFERROR(INDEX(醫師週班表!$C$5:$T$44,$CU39,AK$57),""),2,1)="(",LEFT(IFERROR(INDEX(醫師週班表!$C$5:$T$44,$CU39,AK$57),""),1),IFERROR(INDEX(醫師週班表!$C$5:$T$44,$CU39,AK$57),"")))))))</f>
        <v/>
      </c>
      <c r="AL39" s="71">
        <f>IF(AL$59="X","",IF(AL$59&lt;&gt;"",AL$59,IF(IFERROR(INDEX(醫師週班表!$C$5:$T$44,$CU39,AL$57),"")=0,"",IF(MID(IFERROR(INDEX(醫師週班表!$C$5:$T$44,$CU39,AL$57),""),2,1)="/",MID(IFERROR(INDEX(醫師週班表!$C$5:$T$44,$CU39,AL$57),""),1+AL$58*2,1),IF(MID(IFERROR(INDEX(醫師週班表!$C$5:$T$44,$CU39,AL$57),""),3,1)="隔",IF(AL$58=0,LEFT(IFERROR(INDEX(醫師週班表!$C$5:$T$44,$CU39,AL$57),""),1),""),IF(MID(IFERROR(INDEX(醫師週班表!$C$5:$T$44,$CU39,AL$57),""),2,1)="(",LEFT(IFERROR(INDEX(醫師週班表!$C$5:$T$44,$CU39,AL$57),""),1),IFERROR(INDEX(醫師週班表!$C$5:$T$44,$CU39,AL$57),"")))))))</f>
        <v/>
      </c>
      <c r="AM39" s="72">
        <f>IF(AM$59="X","",IF(AM$59&lt;&gt;"",AM$59,IF(IFERROR(INDEX(醫師週班表!$C$5:$T$44,$CU39,AM$57),"")=0,"",IF(MID(IFERROR(INDEX(醫師週班表!$C$5:$T$44,$CU39,AM$57),""),2,1)="/",MID(IFERROR(INDEX(醫師週班表!$C$5:$T$44,$CU39,AM$57),""),1+AM$58*2,1),IF(MID(IFERROR(INDEX(醫師週班表!$C$5:$T$44,$CU39,AM$57),""),3,1)="隔",IF(AM$58=0,LEFT(IFERROR(INDEX(醫師週班表!$C$5:$T$44,$CU39,AM$57),""),1),""),IF(MID(IFERROR(INDEX(醫師週班表!$C$5:$T$44,$CU39,AM$57),""),2,1)="(",LEFT(IFERROR(INDEX(醫師週班表!$C$5:$T$44,$CU39,AM$57),""),1),IFERROR(INDEX(醫師週班表!$C$5:$T$44,$CU39,AM$57),"")))))))</f>
        <v/>
      </c>
      <c r="AN39" s="72">
        <f>IF(AN$59="X","",IF(AN$59&lt;&gt;"",AN$59,IF(IFERROR(INDEX(醫師週班表!$C$5:$T$44,$CU39,AN$57),"")=0,"",IF(MID(IFERROR(INDEX(醫師週班表!$C$5:$T$44,$CU39,AN$57),""),2,1)="/",MID(IFERROR(INDEX(醫師週班表!$C$5:$T$44,$CU39,AN$57),""),1+AN$58*2,1),IF(MID(IFERROR(INDEX(醫師週班表!$C$5:$T$44,$CU39,AN$57),""),3,1)="隔",IF(AN$58=0,LEFT(IFERROR(INDEX(醫師週班表!$C$5:$T$44,$CU39,AN$57),""),1),""),IF(MID(IFERROR(INDEX(醫師週班表!$C$5:$T$44,$CU39,AN$57),""),2,1)="(",LEFT(IFERROR(INDEX(醫師週班表!$C$5:$T$44,$CU39,AN$57),""),1),IFERROR(INDEX(醫師週班表!$C$5:$T$44,$CU39,AN$57),"")))))))</f>
        <v/>
      </c>
      <c r="AO39" s="71">
        <f>IF(AO$59="X","",IF(AO$59&lt;&gt;"",AO$59,IF(IFERROR(INDEX(醫師週班表!$C$5:$T$44,$CU39,AO$57),"")=0,"",IF(MID(IFERROR(INDEX(醫師週班表!$C$5:$T$44,$CU39,AO$57),""),2,1)="/",MID(IFERROR(INDEX(醫師週班表!$C$5:$T$44,$CU39,AO$57),""),1+AO$58*2,1),IF(MID(IFERROR(INDEX(醫師週班表!$C$5:$T$44,$CU39,AO$57),""),3,1)="隔",IF(AO$58=0,LEFT(IFERROR(INDEX(醫師週班表!$C$5:$T$44,$CU39,AO$57),""),1),""),IF(MID(IFERROR(INDEX(醫師週班表!$C$5:$T$44,$CU39,AO$57),""),2,1)="(",LEFT(IFERROR(INDEX(醫師週班表!$C$5:$T$44,$CU39,AO$57),""),1),IFERROR(INDEX(醫師週班表!$C$5:$T$44,$CU39,AO$57),"")))))))</f>
        <v/>
      </c>
      <c r="AP39" s="72">
        <f>IF(AP$59="X","",IF(AP$59&lt;&gt;"",AP$59,IF(IFERROR(INDEX(醫師週班表!$C$5:$T$44,$CU39,AP$57),"")=0,"",IF(MID(IFERROR(INDEX(醫師週班表!$C$5:$T$44,$CU39,AP$57),""),2,1)="/",MID(IFERROR(INDEX(醫師週班表!$C$5:$T$44,$CU39,AP$57),""),1+AP$58*2,1),IF(MID(IFERROR(INDEX(醫師週班表!$C$5:$T$44,$CU39,AP$57),""),3,1)="隔",IF(AP$58=0,LEFT(IFERROR(INDEX(醫師週班表!$C$5:$T$44,$CU39,AP$57),""),1),""),IF(MID(IFERROR(INDEX(醫師週班表!$C$5:$T$44,$CU39,AP$57),""),2,1)="(",LEFT(IFERROR(INDEX(醫師週班表!$C$5:$T$44,$CU39,AP$57),""),1),IFERROR(INDEX(醫師週班表!$C$5:$T$44,$CU39,AP$57),"")))))))</f>
        <v/>
      </c>
      <c r="AQ39" s="72">
        <f>IF(AQ$59="X","",IF(AQ$59&lt;&gt;"",AQ$59,IF(IFERROR(INDEX(醫師週班表!$C$5:$T$44,$CU39,AQ$57),"")=0,"",IF(MID(IFERROR(INDEX(醫師週班表!$C$5:$T$44,$CU39,AQ$57),""),2,1)="/",MID(IFERROR(INDEX(醫師週班表!$C$5:$T$44,$CU39,AQ$57),""),1+AQ$58*2,1),IF(MID(IFERROR(INDEX(醫師週班表!$C$5:$T$44,$CU39,AQ$57),""),3,1)="隔",IF(AQ$58=0,LEFT(IFERROR(INDEX(醫師週班表!$C$5:$T$44,$CU39,AQ$57),""),1),""),IF(MID(IFERROR(INDEX(醫師週班表!$C$5:$T$44,$CU39,AQ$57),""),2,1)="(",LEFT(IFERROR(INDEX(醫師週班表!$C$5:$T$44,$CU39,AQ$57),""),1),IFERROR(INDEX(醫師週班表!$C$5:$T$44,$CU39,AQ$57),"")))))))</f>
        <v/>
      </c>
      <c r="AR39" s="71">
        <f>IF(AR$59="X","",IF(AR$59&lt;&gt;"",AR$59,IF(IFERROR(INDEX(醫師週班表!$C$5:$T$44,$CU39,AR$57),"")=0,"",IF(MID(IFERROR(INDEX(醫師週班表!$C$5:$T$44,$CU39,AR$57),""),2,1)="/",MID(IFERROR(INDEX(醫師週班表!$C$5:$T$44,$CU39,AR$57),""),1+AR$58*2,1),IF(MID(IFERROR(INDEX(醫師週班表!$C$5:$T$44,$CU39,AR$57),""),3,1)="隔",IF(AR$58=0,LEFT(IFERROR(INDEX(醫師週班表!$C$5:$T$44,$CU39,AR$57),""),1),""),IF(MID(IFERROR(INDEX(醫師週班表!$C$5:$T$44,$CU39,AR$57),""),2,1)="(",LEFT(IFERROR(INDEX(醫師週班表!$C$5:$T$44,$CU39,AR$57),""),1),IFERROR(INDEX(醫師週班表!$C$5:$T$44,$CU39,AR$57),"")))))))</f>
        <v/>
      </c>
      <c r="AS39" s="72">
        <f>IF(AS$59="X","",IF(AS$59&lt;&gt;"",AS$59,IF(IFERROR(INDEX(醫師週班表!$C$5:$T$44,$CU39,AS$57),"")=0,"",IF(MID(IFERROR(INDEX(醫師週班表!$C$5:$T$44,$CU39,AS$57),""),2,1)="/",MID(IFERROR(INDEX(醫師週班表!$C$5:$T$44,$CU39,AS$57),""),1+AS$58*2,1),IF(MID(IFERROR(INDEX(醫師週班表!$C$5:$T$44,$CU39,AS$57),""),3,1)="隔",IF(AS$58=0,LEFT(IFERROR(INDEX(醫師週班表!$C$5:$T$44,$CU39,AS$57),""),1),""),IF(MID(IFERROR(INDEX(醫師週班表!$C$5:$T$44,$CU39,AS$57),""),2,1)="(",LEFT(IFERROR(INDEX(醫師週班表!$C$5:$T$44,$CU39,AS$57),""),1),IFERROR(INDEX(醫師週班表!$C$5:$T$44,$CU39,AS$57),"")))))))</f>
        <v/>
      </c>
      <c r="AT39" s="72">
        <f>IF(AT$59="X","",IF(AT$59&lt;&gt;"",AT$59,IF(IFERROR(INDEX(醫師週班表!$C$5:$T$44,$CU39,AT$57),"")=0,"",IF(MID(IFERROR(INDEX(醫師週班表!$C$5:$T$44,$CU39,AT$57),""),2,1)="/",MID(IFERROR(INDEX(醫師週班表!$C$5:$T$44,$CU39,AT$57),""),1+AT$58*2,1),IF(MID(IFERROR(INDEX(醫師週班表!$C$5:$T$44,$CU39,AT$57),""),3,1)="隔",IF(AT$58=0,LEFT(IFERROR(INDEX(醫師週班表!$C$5:$T$44,$CU39,AT$57),""),1),""),IF(MID(IFERROR(INDEX(醫師週班表!$C$5:$T$44,$CU39,AT$57),""),2,1)="(",LEFT(IFERROR(INDEX(醫師週班表!$C$5:$T$44,$CU39,AT$57),""),1),IFERROR(INDEX(醫師週班表!$C$5:$T$44,$CU39,AT$57),"")))))))</f>
        <v/>
      </c>
      <c r="AU39" s="71">
        <f>IF(AU$59="X","",IF(AU$59&lt;&gt;"",AU$59,IF(IFERROR(INDEX(醫師週班表!$C$5:$T$44,$CU39,AU$57),"")=0,"",IF(MID(IFERROR(INDEX(醫師週班表!$C$5:$T$44,$CU39,AU$57),""),2,1)="/",MID(IFERROR(INDEX(醫師週班表!$C$5:$T$44,$CU39,AU$57),""),1+AU$58*2,1),IF(MID(IFERROR(INDEX(醫師週班表!$C$5:$T$44,$CU39,AU$57),""),3,1)="隔",IF(AU$58=0,LEFT(IFERROR(INDEX(醫師週班表!$C$5:$T$44,$CU39,AU$57),""),1),""),IF(MID(IFERROR(INDEX(醫師週班表!$C$5:$T$44,$CU39,AU$57),""),2,1)="(",LEFT(IFERROR(INDEX(醫師週班表!$C$5:$T$44,$CU39,AU$57),""),1),IFERROR(INDEX(醫師週班表!$C$5:$T$44,$CU39,AU$57),"")))))))</f>
        <v/>
      </c>
      <c r="AV39" s="72">
        <f>IF(AV$59="X","",IF(AV$59&lt;&gt;"",AV$59,IF(IFERROR(INDEX(醫師週班表!$C$5:$T$44,$CU39,AV$57),"")=0,"",IF(MID(IFERROR(INDEX(醫師週班表!$C$5:$T$44,$CU39,AV$57),""),2,1)="/",MID(IFERROR(INDEX(醫師週班表!$C$5:$T$44,$CU39,AV$57),""),1+AV$58*2,1),IF(MID(IFERROR(INDEX(醫師週班表!$C$5:$T$44,$CU39,AV$57),""),3,1)="隔",IF(AV$58=0,LEFT(IFERROR(INDEX(醫師週班表!$C$5:$T$44,$CU39,AV$57),""),1),""),IF(MID(IFERROR(INDEX(醫師週班表!$C$5:$T$44,$CU39,AV$57),""),2,1)="(",LEFT(IFERROR(INDEX(醫師週班表!$C$5:$T$44,$CU39,AV$57),""),1),IFERROR(INDEX(醫師週班表!$C$5:$T$44,$CU39,AV$57),"")))))))</f>
        <v/>
      </c>
      <c r="AW39" s="72">
        <f>IF(AW$59="X","",IF(AW$59&lt;&gt;"",AW$59,IF(IFERROR(INDEX(醫師週班表!$C$5:$T$44,$CU39,AW$57),"")=0,"",IF(MID(IFERROR(INDEX(醫師週班表!$C$5:$T$44,$CU39,AW$57),""),2,1)="/",MID(IFERROR(INDEX(醫師週班表!$C$5:$T$44,$CU39,AW$57),""),1+AW$58*2,1),IF(MID(IFERROR(INDEX(醫師週班表!$C$5:$T$44,$CU39,AW$57),""),3,1)="隔",IF(AW$58=0,LEFT(IFERROR(INDEX(醫師週班表!$C$5:$T$44,$CU39,AW$57),""),1),""),IF(MID(IFERROR(INDEX(醫師週班表!$C$5:$T$44,$CU39,AW$57),""),2,1)="(",LEFT(IFERROR(INDEX(醫師週班表!$C$5:$T$44,$CU39,AW$57),""),1),IFERROR(INDEX(醫師週班表!$C$5:$T$44,$CU39,AW$57),"")))))))</f>
        <v/>
      </c>
      <c r="AX39" s="71">
        <f>IF(AX$59="X","",IF(AX$59&lt;&gt;"",AX$59,IF(IFERROR(INDEX(醫師週班表!$C$5:$T$44,$CU39,AX$57),"")=0,"",IF(MID(IFERROR(INDEX(醫師週班表!$C$5:$T$44,$CU39,AX$57),""),2,1)="/",MID(IFERROR(INDEX(醫師週班表!$C$5:$T$44,$CU39,AX$57),""),1+AX$58*2,1),IF(MID(IFERROR(INDEX(醫師週班表!$C$5:$T$44,$CU39,AX$57),""),3,1)="隔",IF(AX$58=0,LEFT(IFERROR(INDEX(醫師週班表!$C$5:$T$44,$CU39,AX$57),""),1),""),IF(MID(IFERROR(INDEX(醫師週班表!$C$5:$T$44,$CU39,AX$57),""),2,1)="(",LEFT(IFERROR(INDEX(醫師週班表!$C$5:$T$44,$CU39,AX$57),""),1),IFERROR(INDEX(醫師週班表!$C$5:$T$44,$CU39,AX$57),"")))))))</f>
        <v/>
      </c>
      <c r="AY39" s="72">
        <f>IF(AY$59="X","",IF(AY$59&lt;&gt;"",AY$59,IF(IFERROR(INDEX(醫師週班表!$C$5:$T$44,$CU39,AY$57),"")=0,"",IF(MID(IFERROR(INDEX(醫師週班表!$C$5:$T$44,$CU39,AY$57),""),2,1)="/",MID(IFERROR(INDEX(醫師週班表!$C$5:$T$44,$CU39,AY$57),""),1+AY$58*2,1),IF(MID(IFERROR(INDEX(醫師週班表!$C$5:$T$44,$CU39,AY$57),""),3,1)="隔",IF(AY$58=0,LEFT(IFERROR(INDEX(醫師週班表!$C$5:$T$44,$CU39,AY$57),""),1),""),IF(MID(IFERROR(INDEX(醫師週班表!$C$5:$T$44,$CU39,AY$57),""),2,1)="(",LEFT(IFERROR(INDEX(醫師週班表!$C$5:$T$44,$CU39,AY$57),""),1),IFERROR(INDEX(醫師週班表!$C$5:$T$44,$CU39,AY$57),"")))))))</f>
        <v/>
      </c>
      <c r="AZ39" s="72">
        <f>IF(AZ$59="X","",IF(AZ$59&lt;&gt;"",AZ$59,IF(IFERROR(INDEX(醫師週班表!$C$5:$T$44,$CU39,AZ$57),"")=0,"",IF(MID(IFERROR(INDEX(醫師週班表!$C$5:$T$44,$CU39,AZ$57),""),2,1)="/",MID(IFERROR(INDEX(醫師週班表!$C$5:$T$44,$CU39,AZ$57),""),1+AZ$58*2,1),IF(MID(IFERROR(INDEX(醫師週班表!$C$5:$T$44,$CU39,AZ$57),""),3,1)="隔",IF(AZ$58=0,LEFT(IFERROR(INDEX(醫師週班表!$C$5:$T$44,$CU39,AZ$57),""),1),""),IF(MID(IFERROR(INDEX(醫師週班表!$C$5:$T$44,$CU39,AZ$57),""),2,1)="(",LEFT(IFERROR(INDEX(醫師週班表!$C$5:$T$44,$CU39,AZ$57),""),1),IFERROR(INDEX(醫師週班表!$C$5:$T$44,$CU39,AZ$57),"")))))))</f>
        <v/>
      </c>
      <c r="BA39" s="71">
        <f>IF(BA$59="X","",IF(BA$59&lt;&gt;"",BA$59,IF(IFERROR(INDEX(醫師週班表!$C$5:$T$44,$CU39,BA$57),"")=0,"",IF(MID(IFERROR(INDEX(醫師週班表!$C$5:$T$44,$CU39,BA$57),""),2,1)="/",MID(IFERROR(INDEX(醫師週班表!$C$5:$T$44,$CU39,BA$57),""),1+BA$58*2,1),IF(MID(IFERROR(INDEX(醫師週班表!$C$5:$T$44,$CU39,BA$57),""),3,1)="隔",IF(BA$58=0,LEFT(IFERROR(INDEX(醫師週班表!$C$5:$T$44,$CU39,BA$57),""),1),""),IF(MID(IFERROR(INDEX(醫師週班表!$C$5:$T$44,$CU39,BA$57),""),2,1)="(",LEFT(IFERROR(INDEX(醫師週班表!$C$5:$T$44,$CU39,BA$57),""),1),IFERROR(INDEX(醫師週班表!$C$5:$T$44,$CU39,BA$57),"")))))))</f>
        <v/>
      </c>
      <c r="BB39" s="72">
        <f>IF(BB$59="X","",IF(BB$59&lt;&gt;"",BB$59,IF(IFERROR(INDEX(醫師週班表!$C$5:$T$44,$CU39,BB$57),"")=0,"",IF(MID(IFERROR(INDEX(醫師週班表!$C$5:$T$44,$CU39,BB$57),""),2,1)="/",MID(IFERROR(INDEX(醫師週班表!$C$5:$T$44,$CU39,BB$57),""),1+BB$58*2,1),IF(MID(IFERROR(INDEX(醫師週班表!$C$5:$T$44,$CU39,BB$57),""),3,1)="隔",IF(BB$58=0,LEFT(IFERROR(INDEX(醫師週班表!$C$5:$T$44,$CU39,BB$57),""),1),""),IF(MID(IFERROR(INDEX(醫師週班表!$C$5:$T$44,$CU39,BB$57),""),2,1)="(",LEFT(IFERROR(INDEX(醫師週班表!$C$5:$T$44,$CU39,BB$57),""),1),IFERROR(INDEX(醫師週班表!$C$5:$T$44,$CU39,BB$57),"")))))))</f>
        <v/>
      </c>
      <c r="BC39" s="72">
        <f>IF(BC$59="X","",IF(BC$59&lt;&gt;"",BC$59,IF(IFERROR(INDEX(醫師週班表!$C$5:$T$44,$CU39,BC$57),"")=0,"",IF(MID(IFERROR(INDEX(醫師週班表!$C$5:$T$44,$CU39,BC$57),""),2,1)="/",MID(IFERROR(INDEX(醫師週班表!$C$5:$T$44,$CU39,BC$57),""),1+BC$58*2,1),IF(MID(IFERROR(INDEX(醫師週班表!$C$5:$T$44,$CU39,BC$57),""),3,1)="隔",IF(BC$58=0,LEFT(IFERROR(INDEX(醫師週班表!$C$5:$T$44,$CU39,BC$57),""),1),""),IF(MID(IFERROR(INDEX(醫師週班表!$C$5:$T$44,$CU39,BC$57),""),2,1)="(",LEFT(IFERROR(INDEX(醫師週班表!$C$5:$T$44,$CU39,BC$57),""),1),IFERROR(INDEX(醫師週班表!$C$5:$T$44,$CU39,BC$57),"")))))))</f>
        <v/>
      </c>
      <c r="BD39" s="71">
        <f>IF(BD$59="X","",IF(BD$59&lt;&gt;"",BD$59,IF(IFERROR(INDEX(醫師週班表!$C$5:$T$44,$CU39,BD$57),"")=0,"",IF(MID(IFERROR(INDEX(醫師週班表!$C$5:$T$44,$CU39,BD$57),""),2,1)="/",MID(IFERROR(INDEX(醫師週班表!$C$5:$T$44,$CU39,BD$57),""),1+BD$58*2,1),IF(MID(IFERROR(INDEX(醫師週班表!$C$5:$T$44,$CU39,BD$57),""),3,1)="隔",IF(BD$58=0,LEFT(IFERROR(INDEX(醫師週班表!$C$5:$T$44,$CU39,BD$57),""),1),""),IF(MID(IFERROR(INDEX(醫師週班表!$C$5:$T$44,$CU39,BD$57),""),2,1)="(",LEFT(IFERROR(INDEX(醫師週班表!$C$5:$T$44,$CU39,BD$57),""),1),IFERROR(INDEX(醫師週班表!$C$5:$T$44,$CU39,BD$57),"")))))))</f>
        <v/>
      </c>
      <c r="BE39" s="72">
        <f>IF(BE$59="X","",IF(BE$59&lt;&gt;"",BE$59,IF(IFERROR(INDEX(醫師週班表!$C$5:$T$44,$CU39,BE$57),"")=0,"",IF(MID(IFERROR(INDEX(醫師週班表!$C$5:$T$44,$CU39,BE$57),""),2,1)="/",MID(IFERROR(INDEX(醫師週班表!$C$5:$T$44,$CU39,BE$57),""),1+BE$58*2,1),IF(MID(IFERROR(INDEX(醫師週班表!$C$5:$T$44,$CU39,BE$57),""),3,1)="隔",IF(BE$58=0,LEFT(IFERROR(INDEX(醫師週班表!$C$5:$T$44,$CU39,BE$57),""),1),""),IF(MID(IFERROR(INDEX(醫師週班表!$C$5:$T$44,$CU39,BE$57),""),2,1)="(",LEFT(IFERROR(INDEX(醫師週班表!$C$5:$T$44,$CU39,BE$57),""),1),IFERROR(INDEX(醫師週班表!$C$5:$T$44,$CU39,BE$57),"")))))))</f>
        <v/>
      </c>
      <c r="BF39" s="72">
        <f>IF(BF$59="X","",IF(BF$59&lt;&gt;"",BF$59,IF(IFERROR(INDEX(醫師週班表!$C$5:$T$44,$CU39,BF$57),"")=0,"",IF(MID(IFERROR(INDEX(醫師週班表!$C$5:$T$44,$CU39,BF$57),""),2,1)="/",MID(IFERROR(INDEX(醫師週班表!$C$5:$T$44,$CU39,BF$57),""),1+BF$58*2,1),IF(MID(IFERROR(INDEX(醫師週班表!$C$5:$T$44,$CU39,BF$57),""),3,1)="隔",IF(BF$58=0,LEFT(IFERROR(INDEX(醫師週班表!$C$5:$T$44,$CU39,BF$57),""),1),""),IF(MID(IFERROR(INDEX(醫師週班表!$C$5:$T$44,$CU39,BF$57),""),2,1)="(",LEFT(IFERROR(INDEX(醫師週班表!$C$5:$T$44,$CU39,BF$57),""),1),IFERROR(INDEX(醫師週班表!$C$5:$T$44,$CU39,BF$57),"")))))))</f>
        <v/>
      </c>
      <c r="BG39" s="71">
        <f>IF(BG$59="X","",IF(BG$59&lt;&gt;"",BG$59,IF(IFERROR(INDEX(醫師週班表!$C$5:$T$44,$CU39,BG$57),"")=0,"",IF(MID(IFERROR(INDEX(醫師週班表!$C$5:$T$44,$CU39,BG$57),""),2,1)="/",MID(IFERROR(INDEX(醫師週班表!$C$5:$T$44,$CU39,BG$57),""),1+BG$58*2,1),IF(MID(IFERROR(INDEX(醫師週班表!$C$5:$T$44,$CU39,BG$57),""),3,1)="隔",IF(BG$58=0,LEFT(IFERROR(INDEX(醫師週班表!$C$5:$T$44,$CU39,BG$57),""),1),""),IF(MID(IFERROR(INDEX(醫師週班表!$C$5:$T$44,$CU39,BG$57),""),2,1)="(",LEFT(IFERROR(INDEX(醫師週班表!$C$5:$T$44,$CU39,BG$57),""),1),IFERROR(INDEX(醫師週班表!$C$5:$T$44,$CU39,BG$57),"")))))))</f>
        <v/>
      </c>
      <c r="BH39" s="72">
        <f>IF(BH$59="X","",IF(BH$59&lt;&gt;"",BH$59,IF(IFERROR(INDEX(醫師週班表!$C$5:$T$44,$CU39,BH$57),"")=0,"",IF(MID(IFERROR(INDEX(醫師週班表!$C$5:$T$44,$CU39,BH$57),""),2,1)="/",MID(IFERROR(INDEX(醫師週班表!$C$5:$T$44,$CU39,BH$57),""),1+BH$58*2,1),IF(MID(IFERROR(INDEX(醫師週班表!$C$5:$T$44,$CU39,BH$57),""),3,1)="隔",IF(BH$58=0,LEFT(IFERROR(INDEX(醫師週班表!$C$5:$T$44,$CU39,BH$57),""),1),""),IF(MID(IFERROR(INDEX(醫師週班表!$C$5:$T$44,$CU39,BH$57),""),2,1)="(",LEFT(IFERROR(INDEX(醫師週班表!$C$5:$T$44,$CU39,BH$57),""),1),IFERROR(INDEX(醫師週班表!$C$5:$T$44,$CU39,BH$57),"")))))))</f>
        <v/>
      </c>
      <c r="BI39" s="72">
        <f>IF(BI$59="X","",IF(BI$59&lt;&gt;"",BI$59,IF(IFERROR(INDEX(醫師週班表!$C$5:$T$44,$CU39,BI$57),"")=0,"",IF(MID(IFERROR(INDEX(醫師週班表!$C$5:$T$44,$CU39,BI$57),""),2,1)="/",MID(IFERROR(INDEX(醫師週班表!$C$5:$T$44,$CU39,BI$57),""),1+BI$58*2,1),IF(MID(IFERROR(INDEX(醫師週班表!$C$5:$T$44,$CU39,BI$57),""),3,1)="隔",IF(BI$58=0,LEFT(IFERROR(INDEX(醫師週班表!$C$5:$T$44,$CU39,BI$57),""),1),""),IF(MID(IFERROR(INDEX(醫師週班表!$C$5:$T$44,$CU39,BI$57),""),2,1)="(",LEFT(IFERROR(INDEX(醫師週班表!$C$5:$T$44,$CU39,BI$57),""),1),IFERROR(INDEX(醫師週班表!$C$5:$T$44,$CU39,BI$57),"")))))))</f>
        <v/>
      </c>
      <c r="BJ39" s="71">
        <f>IF(BJ$59="X","",IF(BJ$59&lt;&gt;"",BJ$59,IF(IFERROR(INDEX(醫師週班表!$C$5:$T$44,$CU39,BJ$57),"")=0,"",IF(MID(IFERROR(INDEX(醫師週班表!$C$5:$T$44,$CU39,BJ$57),""),2,1)="/",MID(IFERROR(INDEX(醫師週班表!$C$5:$T$44,$CU39,BJ$57),""),1+BJ$58*2,1),IF(MID(IFERROR(INDEX(醫師週班表!$C$5:$T$44,$CU39,BJ$57),""),3,1)="隔",IF(BJ$58=0,LEFT(IFERROR(INDEX(醫師週班表!$C$5:$T$44,$CU39,BJ$57),""),1),""),IF(MID(IFERROR(INDEX(醫師週班表!$C$5:$T$44,$CU39,BJ$57),""),2,1)="(",LEFT(IFERROR(INDEX(醫師週班表!$C$5:$T$44,$CU39,BJ$57),""),1),IFERROR(INDEX(醫師週班表!$C$5:$T$44,$CU39,BJ$57),"")))))))</f>
        <v/>
      </c>
      <c r="BK39" s="72">
        <f>IF(BK$59="X","",IF(BK$59&lt;&gt;"",BK$59,IF(IFERROR(INDEX(醫師週班表!$C$5:$T$44,$CU39,BK$57),"")=0,"",IF(MID(IFERROR(INDEX(醫師週班表!$C$5:$T$44,$CU39,BK$57),""),2,1)="/",MID(IFERROR(INDEX(醫師週班表!$C$5:$T$44,$CU39,BK$57),""),1+BK$58*2,1),IF(MID(IFERROR(INDEX(醫師週班表!$C$5:$T$44,$CU39,BK$57),""),3,1)="隔",IF(BK$58=0,LEFT(IFERROR(INDEX(醫師週班表!$C$5:$T$44,$CU39,BK$57),""),1),""),IF(MID(IFERROR(INDEX(醫師週班表!$C$5:$T$44,$CU39,BK$57),""),2,1)="(",LEFT(IFERROR(INDEX(醫師週班表!$C$5:$T$44,$CU39,BK$57),""),1),IFERROR(INDEX(醫師週班表!$C$5:$T$44,$CU39,BK$57),"")))))))</f>
        <v/>
      </c>
      <c r="BL39" s="72">
        <f>IF(BL$59="X","",IF(BL$59&lt;&gt;"",BL$59,IF(IFERROR(INDEX(醫師週班表!$C$5:$T$44,$CU39,BL$57),"")=0,"",IF(MID(IFERROR(INDEX(醫師週班表!$C$5:$T$44,$CU39,BL$57),""),2,1)="/",MID(IFERROR(INDEX(醫師週班表!$C$5:$T$44,$CU39,BL$57),""),1+BL$58*2,1),IF(MID(IFERROR(INDEX(醫師週班表!$C$5:$T$44,$CU39,BL$57),""),3,1)="隔",IF(BL$58=0,LEFT(IFERROR(INDEX(醫師週班表!$C$5:$T$44,$CU39,BL$57),""),1),""),IF(MID(IFERROR(INDEX(醫師週班表!$C$5:$T$44,$CU39,BL$57),""),2,1)="(",LEFT(IFERROR(INDEX(醫師週班表!$C$5:$T$44,$CU39,BL$57),""),1),IFERROR(INDEX(醫師週班表!$C$5:$T$44,$CU39,BL$57),"")))))))</f>
        <v/>
      </c>
      <c r="BM39" s="71">
        <f>IF(BM$59="X","",IF(BM$59&lt;&gt;"",BM$59,IF(IFERROR(INDEX(醫師週班表!$C$5:$T$44,$CU39,BM$57),"")=0,"",IF(MID(IFERROR(INDEX(醫師週班表!$C$5:$T$44,$CU39,BM$57),""),2,1)="/",MID(IFERROR(INDEX(醫師週班表!$C$5:$T$44,$CU39,BM$57),""),1+BM$58*2,1),IF(MID(IFERROR(INDEX(醫師週班表!$C$5:$T$44,$CU39,BM$57),""),3,1)="隔",IF(BM$58=0,LEFT(IFERROR(INDEX(醫師週班表!$C$5:$T$44,$CU39,BM$57),""),1),""),IF(MID(IFERROR(INDEX(醫師週班表!$C$5:$T$44,$CU39,BM$57),""),2,1)="(",LEFT(IFERROR(INDEX(醫師週班表!$C$5:$T$44,$CU39,BM$57),""),1),IFERROR(INDEX(醫師週班表!$C$5:$T$44,$CU39,BM$57),"")))))))</f>
        <v/>
      </c>
      <c r="BN39" s="72">
        <f>IF(BN$59="X","",IF(BN$59&lt;&gt;"",BN$59,IF(IFERROR(INDEX(醫師週班表!$C$5:$T$44,$CU39,BN$57),"")=0,"",IF(MID(IFERROR(INDEX(醫師週班表!$C$5:$T$44,$CU39,BN$57),""),2,1)="/",MID(IFERROR(INDEX(醫師週班表!$C$5:$T$44,$CU39,BN$57),""),1+BN$58*2,1),IF(MID(IFERROR(INDEX(醫師週班表!$C$5:$T$44,$CU39,BN$57),""),3,1)="隔",IF(BN$58=0,LEFT(IFERROR(INDEX(醫師週班表!$C$5:$T$44,$CU39,BN$57),""),1),""),IF(MID(IFERROR(INDEX(醫師週班表!$C$5:$T$44,$CU39,BN$57),""),2,1)="(",LEFT(IFERROR(INDEX(醫師週班表!$C$5:$T$44,$CU39,BN$57),""),1),IFERROR(INDEX(醫師週班表!$C$5:$T$44,$CU39,BN$57),"")))))))</f>
        <v/>
      </c>
      <c r="BO39" s="72">
        <f>IF(BO$59="X","",IF(BO$59&lt;&gt;"",BO$59,IF(IFERROR(INDEX(醫師週班表!$C$5:$T$44,$CU39,BO$57),"")=0,"",IF(MID(IFERROR(INDEX(醫師週班表!$C$5:$T$44,$CU39,BO$57),""),2,1)="/",MID(IFERROR(INDEX(醫師週班表!$C$5:$T$44,$CU39,BO$57),""),1+BO$58*2,1),IF(MID(IFERROR(INDEX(醫師週班表!$C$5:$T$44,$CU39,BO$57),""),3,1)="隔",IF(BO$58=0,LEFT(IFERROR(INDEX(醫師週班表!$C$5:$T$44,$CU39,BO$57),""),1),""),IF(MID(IFERROR(INDEX(醫師週班表!$C$5:$T$44,$CU39,BO$57),""),2,1)="(",LEFT(IFERROR(INDEX(醫師週班表!$C$5:$T$44,$CU39,BO$57),""),1),IFERROR(INDEX(醫師週班表!$C$5:$T$44,$CU39,BO$57),"")))))))</f>
        <v/>
      </c>
      <c r="BP39" s="71">
        <f>IF(BP$59="X","",IF(BP$59&lt;&gt;"",BP$59,IF(IFERROR(INDEX(醫師週班表!$C$5:$T$44,$CU39,BP$57),"")=0,"",IF(MID(IFERROR(INDEX(醫師週班表!$C$5:$T$44,$CU39,BP$57),""),2,1)="/",MID(IFERROR(INDEX(醫師週班表!$C$5:$T$44,$CU39,BP$57),""),1+BP$58*2,1),IF(MID(IFERROR(INDEX(醫師週班表!$C$5:$T$44,$CU39,BP$57),""),3,1)="隔",IF(BP$58=0,LEFT(IFERROR(INDEX(醫師週班表!$C$5:$T$44,$CU39,BP$57),""),1),""),IF(MID(IFERROR(INDEX(醫師週班表!$C$5:$T$44,$CU39,BP$57),""),2,1)="(",LEFT(IFERROR(INDEX(醫師週班表!$C$5:$T$44,$CU39,BP$57),""),1),IFERROR(INDEX(醫師週班表!$C$5:$T$44,$CU39,BP$57),"")))))))</f>
        <v/>
      </c>
      <c r="BQ39" s="72">
        <f>IF(BQ$59="X","",IF(BQ$59&lt;&gt;"",BQ$59,IF(IFERROR(INDEX(醫師週班表!$C$5:$T$44,$CU39,BQ$57),"")=0,"",IF(MID(IFERROR(INDEX(醫師週班表!$C$5:$T$44,$CU39,BQ$57),""),2,1)="/",MID(IFERROR(INDEX(醫師週班表!$C$5:$T$44,$CU39,BQ$57),""),1+BQ$58*2,1),IF(MID(IFERROR(INDEX(醫師週班表!$C$5:$T$44,$CU39,BQ$57),""),3,1)="隔",IF(BQ$58=0,LEFT(IFERROR(INDEX(醫師週班表!$C$5:$T$44,$CU39,BQ$57),""),1),""),IF(MID(IFERROR(INDEX(醫師週班表!$C$5:$T$44,$CU39,BQ$57),""),2,1)="(",LEFT(IFERROR(INDEX(醫師週班表!$C$5:$T$44,$CU39,BQ$57),""),1),IFERROR(INDEX(醫師週班表!$C$5:$T$44,$CU39,BQ$57),"")))))))</f>
        <v/>
      </c>
      <c r="BR39" s="72">
        <f>IF(BR$59="X","",IF(BR$59&lt;&gt;"",BR$59,IF(IFERROR(INDEX(醫師週班表!$C$5:$T$44,$CU39,BR$57),"")=0,"",IF(MID(IFERROR(INDEX(醫師週班表!$C$5:$T$44,$CU39,BR$57),""),2,1)="/",MID(IFERROR(INDEX(醫師週班表!$C$5:$T$44,$CU39,BR$57),""),1+BR$58*2,1),IF(MID(IFERROR(INDEX(醫師週班表!$C$5:$T$44,$CU39,BR$57),""),3,1)="隔",IF(BR$58=0,LEFT(IFERROR(INDEX(醫師週班表!$C$5:$T$44,$CU39,BR$57),""),1),""),IF(MID(IFERROR(INDEX(醫師週班表!$C$5:$T$44,$CU39,BR$57),""),2,1)="(",LEFT(IFERROR(INDEX(醫師週班表!$C$5:$T$44,$CU39,BR$57),""),1),IFERROR(INDEX(醫師週班表!$C$5:$T$44,$CU39,BR$57),"")))))))</f>
        <v/>
      </c>
      <c r="BS39" s="71">
        <f>IF(BS$59="X","",IF(BS$59&lt;&gt;"",BS$59,IF(IFERROR(INDEX(醫師週班表!$C$5:$T$44,$CU39,BS$57),"")=0,"",IF(MID(IFERROR(INDEX(醫師週班表!$C$5:$T$44,$CU39,BS$57),""),2,1)="/",MID(IFERROR(INDEX(醫師週班表!$C$5:$T$44,$CU39,BS$57),""),1+BS$58*2,1),IF(MID(IFERROR(INDEX(醫師週班表!$C$5:$T$44,$CU39,BS$57),""),3,1)="隔",IF(BS$58=0,LEFT(IFERROR(INDEX(醫師週班表!$C$5:$T$44,$CU39,BS$57),""),1),""),IF(MID(IFERROR(INDEX(醫師週班表!$C$5:$T$44,$CU39,BS$57),""),2,1)="(",LEFT(IFERROR(INDEX(醫師週班表!$C$5:$T$44,$CU39,BS$57),""),1),IFERROR(INDEX(醫師週班表!$C$5:$T$44,$CU39,BS$57),"")))))))</f>
        <v/>
      </c>
      <c r="BT39" s="72">
        <f>IF(BT$59="X","",IF(BT$59&lt;&gt;"",BT$59,IF(IFERROR(INDEX(醫師週班表!$C$5:$T$44,$CU39,BT$57),"")=0,"",IF(MID(IFERROR(INDEX(醫師週班表!$C$5:$T$44,$CU39,BT$57),""),2,1)="/",MID(IFERROR(INDEX(醫師週班表!$C$5:$T$44,$CU39,BT$57),""),1+BT$58*2,1),IF(MID(IFERROR(INDEX(醫師週班表!$C$5:$T$44,$CU39,BT$57),""),3,1)="隔",IF(BT$58=0,LEFT(IFERROR(INDEX(醫師週班表!$C$5:$T$44,$CU39,BT$57),""),1),""),IF(MID(IFERROR(INDEX(醫師週班表!$C$5:$T$44,$CU39,BT$57),""),2,1)="(",LEFT(IFERROR(INDEX(醫師週班表!$C$5:$T$44,$CU39,BT$57),""),1),IFERROR(INDEX(醫師週班表!$C$5:$T$44,$CU39,BT$57),"")))))))</f>
        <v/>
      </c>
      <c r="BU39" s="72">
        <f>IF(BU$59="X","",IF(BU$59&lt;&gt;"",BU$59,IF(IFERROR(INDEX(醫師週班表!$C$5:$T$44,$CU39,BU$57),"")=0,"",IF(MID(IFERROR(INDEX(醫師週班表!$C$5:$T$44,$CU39,BU$57),""),2,1)="/",MID(IFERROR(INDEX(醫師週班表!$C$5:$T$44,$CU39,BU$57),""),1+BU$58*2,1),IF(MID(IFERROR(INDEX(醫師週班表!$C$5:$T$44,$CU39,BU$57),""),3,1)="隔",IF(BU$58=0,LEFT(IFERROR(INDEX(醫師週班表!$C$5:$T$44,$CU39,BU$57),""),1),""),IF(MID(IFERROR(INDEX(醫師週班表!$C$5:$T$44,$CU39,BU$57),""),2,1)="(",LEFT(IFERROR(INDEX(醫師週班表!$C$5:$T$44,$CU39,BU$57),""),1),IFERROR(INDEX(醫師週班表!$C$5:$T$44,$CU39,BU$57),"")))))))</f>
        <v/>
      </c>
      <c r="BV39" s="71">
        <f>IF(BV$59="X","",IF(BV$59&lt;&gt;"",BV$59,IF(IFERROR(INDEX(醫師週班表!$C$5:$T$44,$CU39,BV$57),"")=0,"",IF(MID(IFERROR(INDEX(醫師週班表!$C$5:$T$44,$CU39,BV$57),""),2,1)="/",MID(IFERROR(INDEX(醫師週班表!$C$5:$T$44,$CU39,BV$57),""),1+BV$58*2,1),IF(MID(IFERROR(INDEX(醫師週班表!$C$5:$T$44,$CU39,BV$57),""),3,1)="隔",IF(BV$58=0,LEFT(IFERROR(INDEX(醫師週班表!$C$5:$T$44,$CU39,BV$57),""),1),""),IF(MID(IFERROR(INDEX(醫師週班表!$C$5:$T$44,$CU39,BV$57),""),2,1)="(",LEFT(IFERROR(INDEX(醫師週班表!$C$5:$T$44,$CU39,BV$57),""),1),IFERROR(INDEX(醫師週班表!$C$5:$T$44,$CU39,BV$57),"")))))))</f>
        <v/>
      </c>
      <c r="BW39" s="72">
        <f>IF(BW$59="X","",IF(BW$59&lt;&gt;"",BW$59,IF(IFERROR(INDEX(醫師週班表!$C$5:$T$44,$CU39,BW$57),"")=0,"",IF(MID(IFERROR(INDEX(醫師週班表!$C$5:$T$44,$CU39,BW$57),""),2,1)="/",MID(IFERROR(INDEX(醫師週班表!$C$5:$T$44,$CU39,BW$57),""),1+BW$58*2,1),IF(MID(IFERROR(INDEX(醫師週班表!$C$5:$T$44,$CU39,BW$57),""),3,1)="隔",IF(BW$58=0,LEFT(IFERROR(INDEX(醫師週班表!$C$5:$T$44,$CU39,BW$57),""),1),""),IF(MID(IFERROR(INDEX(醫師週班表!$C$5:$T$44,$CU39,BW$57),""),2,1)="(",LEFT(IFERROR(INDEX(醫師週班表!$C$5:$T$44,$CU39,BW$57),""),1),IFERROR(INDEX(醫師週班表!$C$5:$T$44,$CU39,BW$57),"")))))))</f>
        <v/>
      </c>
      <c r="BX39" s="72">
        <f>IF(BX$59="X","",IF(BX$59&lt;&gt;"",BX$59,IF(IFERROR(INDEX(醫師週班表!$C$5:$T$44,$CU39,BX$57),"")=0,"",IF(MID(IFERROR(INDEX(醫師週班表!$C$5:$T$44,$CU39,BX$57),""),2,1)="/",MID(IFERROR(INDEX(醫師週班表!$C$5:$T$44,$CU39,BX$57),""),1+BX$58*2,1),IF(MID(IFERROR(INDEX(醫師週班表!$C$5:$T$44,$CU39,BX$57),""),3,1)="隔",IF(BX$58=0,LEFT(IFERROR(INDEX(醫師週班表!$C$5:$T$44,$CU39,BX$57),""),1),""),IF(MID(IFERROR(INDEX(醫師週班表!$C$5:$T$44,$CU39,BX$57),""),2,1)="(",LEFT(IFERROR(INDEX(醫師週班表!$C$5:$T$44,$CU39,BX$57),""),1),IFERROR(INDEX(醫師週班表!$C$5:$T$44,$CU39,BX$57),"")))))))</f>
        <v/>
      </c>
      <c r="BY39" s="71">
        <f>IF(BY$59="X","",IF(BY$59&lt;&gt;"",BY$59,IF(IFERROR(INDEX(醫師週班表!$C$5:$T$44,$CU39,BY$57),"")=0,"",IF(MID(IFERROR(INDEX(醫師週班表!$C$5:$T$44,$CU39,BY$57),""),2,1)="/",MID(IFERROR(INDEX(醫師週班表!$C$5:$T$44,$CU39,BY$57),""),1+BY$58*2,1),IF(MID(IFERROR(INDEX(醫師週班表!$C$5:$T$44,$CU39,BY$57),""),3,1)="隔",IF(BY$58=0,LEFT(IFERROR(INDEX(醫師週班表!$C$5:$T$44,$CU39,BY$57),""),1),""),IF(MID(IFERROR(INDEX(醫師週班表!$C$5:$T$44,$CU39,BY$57),""),2,1)="(",LEFT(IFERROR(INDEX(醫師週班表!$C$5:$T$44,$CU39,BY$57),""),1),IFERROR(INDEX(醫師週班表!$C$5:$T$44,$CU39,BY$57),"")))))))</f>
        <v/>
      </c>
      <c r="BZ39" s="72">
        <f>IF(BZ$59="X","",IF(BZ$59&lt;&gt;"",BZ$59,IF(IFERROR(INDEX(醫師週班表!$C$5:$T$44,$CU39,BZ$57),"")=0,"",IF(MID(IFERROR(INDEX(醫師週班表!$C$5:$T$44,$CU39,BZ$57),""),2,1)="/",MID(IFERROR(INDEX(醫師週班表!$C$5:$T$44,$CU39,BZ$57),""),1+BZ$58*2,1),IF(MID(IFERROR(INDEX(醫師週班表!$C$5:$T$44,$CU39,BZ$57),""),3,1)="隔",IF(BZ$58=0,LEFT(IFERROR(INDEX(醫師週班表!$C$5:$T$44,$CU39,BZ$57),""),1),""),IF(MID(IFERROR(INDEX(醫師週班表!$C$5:$T$44,$CU39,BZ$57),""),2,1)="(",LEFT(IFERROR(INDEX(醫師週班表!$C$5:$T$44,$CU39,BZ$57),""),1),IFERROR(INDEX(醫師週班表!$C$5:$T$44,$CU39,BZ$57),"")))))))</f>
        <v/>
      </c>
      <c r="CA39" s="72">
        <f>IF(CA$59="X","",IF(CA$59&lt;&gt;"",CA$59,IF(IFERROR(INDEX(醫師週班表!$C$5:$T$44,$CU39,CA$57),"")=0,"",IF(MID(IFERROR(INDEX(醫師週班表!$C$5:$T$44,$CU39,CA$57),""),2,1)="/",MID(IFERROR(INDEX(醫師週班表!$C$5:$T$44,$CU39,CA$57),""),1+CA$58*2,1),IF(MID(IFERROR(INDEX(醫師週班表!$C$5:$T$44,$CU39,CA$57),""),3,1)="隔",IF(CA$58=0,LEFT(IFERROR(INDEX(醫師週班表!$C$5:$T$44,$CU39,CA$57),""),1),""),IF(MID(IFERROR(INDEX(醫師週班表!$C$5:$T$44,$CU39,CA$57),""),2,1)="(",LEFT(IFERROR(INDEX(醫師週班表!$C$5:$T$44,$CU39,CA$57),""),1),IFERROR(INDEX(醫師週班表!$C$5:$T$44,$CU39,CA$57),"")))))))</f>
        <v/>
      </c>
      <c r="CB39" s="71">
        <f>IF(CB$59="X","",IF(CB$59&lt;&gt;"",CB$59,IF(IFERROR(INDEX(醫師週班表!$C$5:$T$44,$CU39,CB$57),"")=0,"",IF(MID(IFERROR(INDEX(醫師週班表!$C$5:$T$44,$CU39,CB$57),""),2,1)="/",MID(IFERROR(INDEX(醫師週班表!$C$5:$T$44,$CU39,CB$57),""),1+CB$58*2,1),IF(MID(IFERROR(INDEX(醫師週班表!$C$5:$T$44,$CU39,CB$57),""),3,1)="隔",IF(CB$58=0,LEFT(IFERROR(INDEX(醫師週班表!$C$5:$T$44,$CU39,CB$57),""),1),""),IF(MID(IFERROR(INDEX(醫師週班表!$C$5:$T$44,$CU39,CB$57),""),2,1)="(",LEFT(IFERROR(INDEX(醫師週班表!$C$5:$T$44,$CU39,CB$57),""),1),IFERROR(INDEX(醫師週班表!$C$5:$T$44,$CU39,CB$57),"")))))))</f>
        <v/>
      </c>
      <c r="CC39" s="72">
        <f>IF(CC$59="X","",IF(CC$59&lt;&gt;"",CC$59,IF(IFERROR(INDEX(醫師週班表!$C$5:$T$44,$CU39,CC$57),"")=0,"",IF(MID(IFERROR(INDEX(醫師週班表!$C$5:$T$44,$CU39,CC$57),""),2,1)="/",MID(IFERROR(INDEX(醫師週班表!$C$5:$T$44,$CU39,CC$57),""),1+CC$58*2,1),IF(MID(IFERROR(INDEX(醫師週班表!$C$5:$T$44,$CU39,CC$57),""),3,1)="隔",IF(CC$58=0,LEFT(IFERROR(INDEX(醫師週班表!$C$5:$T$44,$CU39,CC$57),""),1),""),IF(MID(IFERROR(INDEX(醫師週班表!$C$5:$T$44,$CU39,CC$57),""),2,1)="(",LEFT(IFERROR(INDEX(醫師週班表!$C$5:$T$44,$CU39,CC$57),""),1),IFERROR(INDEX(醫師週班表!$C$5:$T$44,$CU39,CC$57),"")))))))</f>
        <v/>
      </c>
      <c r="CD39" s="72">
        <f>IF(CD$59="X","",IF(CD$59&lt;&gt;"",CD$59,IF(IFERROR(INDEX(醫師週班表!$C$5:$T$44,$CU39,CD$57),"")=0,"",IF(MID(IFERROR(INDEX(醫師週班表!$C$5:$T$44,$CU39,CD$57),""),2,1)="/",MID(IFERROR(INDEX(醫師週班表!$C$5:$T$44,$CU39,CD$57),""),1+CD$58*2,1),IF(MID(IFERROR(INDEX(醫師週班表!$C$5:$T$44,$CU39,CD$57),""),3,1)="隔",IF(CD$58=0,LEFT(IFERROR(INDEX(醫師週班表!$C$5:$T$44,$CU39,CD$57),""),1),""),IF(MID(IFERROR(INDEX(醫師週班表!$C$5:$T$44,$CU39,CD$57),""),2,1)="(",LEFT(IFERROR(INDEX(醫師週班表!$C$5:$T$44,$CU39,CD$57),""),1),IFERROR(INDEX(醫師週班表!$C$5:$T$44,$CU39,CD$57),"")))))))</f>
        <v/>
      </c>
      <c r="CE39" s="71">
        <f>IF(CE$59="X","",IF(CE$59&lt;&gt;"",CE$59,IF(IFERROR(INDEX(醫師週班表!$C$5:$T$44,$CU39,CE$57),"")=0,"",IF(MID(IFERROR(INDEX(醫師週班表!$C$5:$T$44,$CU39,CE$57),""),2,1)="/",MID(IFERROR(INDEX(醫師週班表!$C$5:$T$44,$CU39,CE$57),""),1+CE$58*2,1),IF(MID(IFERROR(INDEX(醫師週班表!$C$5:$T$44,$CU39,CE$57),""),3,1)="隔",IF(CE$58=0,LEFT(IFERROR(INDEX(醫師週班表!$C$5:$T$44,$CU39,CE$57),""),1),""),IF(MID(IFERROR(INDEX(醫師週班表!$C$5:$T$44,$CU39,CE$57),""),2,1)="(",LEFT(IFERROR(INDEX(醫師週班表!$C$5:$T$44,$CU39,CE$57),""),1),IFERROR(INDEX(醫師週班表!$C$5:$T$44,$CU39,CE$57),"")))))))</f>
        <v/>
      </c>
      <c r="CF39" s="72">
        <f>IF(CF$59="X","",IF(CF$59&lt;&gt;"",CF$59,IF(IFERROR(INDEX(醫師週班表!$C$5:$T$44,$CU39,CF$57),"")=0,"",IF(MID(IFERROR(INDEX(醫師週班表!$C$5:$T$44,$CU39,CF$57),""),2,1)="/",MID(IFERROR(INDEX(醫師週班表!$C$5:$T$44,$CU39,CF$57),""),1+CF$58*2,1),IF(MID(IFERROR(INDEX(醫師週班表!$C$5:$T$44,$CU39,CF$57),""),3,1)="隔",IF(CF$58=0,LEFT(IFERROR(INDEX(醫師週班表!$C$5:$T$44,$CU39,CF$57),""),1),""),IF(MID(IFERROR(INDEX(醫師週班表!$C$5:$T$44,$CU39,CF$57),""),2,1)="(",LEFT(IFERROR(INDEX(醫師週班表!$C$5:$T$44,$CU39,CF$57),""),1),IFERROR(INDEX(醫師週班表!$C$5:$T$44,$CU39,CF$57),"")))))))</f>
        <v/>
      </c>
      <c r="CG39" s="72">
        <f>IF(CG$59="X","",IF(CG$59&lt;&gt;"",CG$59,IF(IFERROR(INDEX(醫師週班表!$C$5:$T$44,$CU39,CG$57),"")=0,"",IF(MID(IFERROR(INDEX(醫師週班表!$C$5:$T$44,$CU39,CG$57),""),2,1)="/",MID(IFERROR(INDEX(醫師週班表!$C$5:$T$44,$CU39,CG$57),""),1+CG$58*2,1),IF(MID(IFERROR(INDEX(醫師週班表!$C$5:$T$44,$CU39,CG$57),""),3,1)="隔",IF(CG$58=0,LEFT(IFERROR(INDEX(醫師週班表!$C$5:$T$44,$CU39,CG$57),""),1),""),IF(MID(IFERROR(INDEX(醫師週班表!$C$5:$T$44,$CU39,CG$57),""),2,1)="(",LEFT(IFERROR(INDEX(醫師週班表!$C$5:$T$44,$CU39,CG$57),""),1),IFERROR(INDEX(醫師週班表!$C$5:$T$44,$CU39,CG$57),"")))))))</f>
        <v/>
      </c>
      <c r="CH39" s="71">
        <f>IF(CH$59="X","",IF(CH$59&lt;&gt;"",CH$59,IF(IFERROR(INDEX(醫師週班表!$C$5:$T$44,$CU39,CH$57),"")=0,"",IF(MID(IFERROR(INDEX(醫師週班表!$C$5:$T$44,$CU39,CH$57),""),2,1)="/",MID(IFERROR(INDEX(醫師週班表!$C$5:$T$44,$CU39,CH$57),""),1+CH$58*2,1),IF(MID(IFERROR(INDEX(醫師週班表!$C$5:$T$44,$CU39,CH$57),""),3,1)="隔",IF(CH$58=0,LEFT(IFERROR(INDEX(醫師週班表!$C$5:$T$44,$CU39,CH$57),""),1),""),IF(MID(IFERROR(INDEX(醫師週班表!$C$5:$T$44,$CU39,CH$57),""),2,1)="(",LEFT(IFERROR(INDEX(醫師週班表!$C$5:$T$44,$CU39,CH$57),""),1),IFERROR(INDEX(醫師週班表!$C$5:$T$44,$CU39,CH$57),"")))))))</f>
        <v/>
      </c>
      <c r="CI39" s="72">
        <f>IF(CI$59="X","",IF(CI$59&lt;&gt;"",CI$59,IF(IFERROR(INDEX(醫師週班表!$C$5:$T$44,$CU39,CI$57),"")=0,"",IF(MID(IFERROR(INDEX(醫師週班表!$C$5:$T$44,$CU39,CI$57),""),2,1)="/",MID(IFERROR(INDEX(醫師週班表!$C$5:$T$44,$CU39,CI$57),""),1+CI$58*2,1),IF(MID(IFERROR(INDEX(醫師週班表!$C$5:$T$44,$CU39,CI$57),""),3,1)="隔",IF(CI$58=0,LEFT(IFERROR(INDEX(醫師週班表!$C$5:$T$44,$CU39,CI$57),""),1),""),IF(MID(IFERROR(INDEX(醫師週班表!$C$5:$T$44,$CU39,CI$57),""),2,1)="(",LEFT(IFERROR(INDEX(醫師週班表!$C$5:$T$44,$CU39,CI$57),""),1),IFERROR(INDEX(醫師週班表!$C$5:$T$44,$CU39,CI$57),"")))))))</f>
        <v/>
      </c>
      <c r="CJ39" s="72">
        <f>IF(CJ$59="X","",IF(CJ$59&lt;&gt;"",CJ$59,IF(IFERROR(INDEX(醫師週班表!$C$5:$T$44,$CU39,CJ$57),"")=0,"",IF(MID(IFERROR(INDEX(醫師週班表!$C$5:$T$44,$CU39,CJ$57),""),2,1)="/",MID(IFERROR(INDEX(醫師週班表!$C$5:$T$44,$CU39,CJ$57),""),1+CJ$58*2,1),IF(MID(IFERROR(INDEX(醫師週班表!$C$5:$T$44,$CU39,CJ$57),""),3,1)="隔",IF(CJ$58=0,LEFT(IFERROR(INDEX(醫師週班表!$C$5:$T$44,$CU39,CJ$57),""),1),""),IF(MID(IFERROR(INDEX(醫師週班表!$C$5:$T$44,$CU39,CJ$57),""),2,1)="(",LEFT(IFERROR(INDEX(醫師週班表!$C$5:$T$44,$CU39,CJ$57),""),1),IFERROR(INDEX(醫師週班表!$C$5:$T$44,$CU39,CJ$57),"")))))))</f>
        <v/>
      </c>
      <c r="CK39" s="71">
        <f>IF(CK$59="X","",IF(CK$59&lt;&gt;"",CK$59,IF(IFERROR(INDEX(醫師週班表!$C$5:$T$44,$CU39,CK$57),"")=0,"",IF(MID(IFERROR(INDEX(醫師週班表!$C$5:$T$44,$CU39,CK$57),""),2,1)="/",MID(IFERROR(INDEX(醫師週班表!$C$5:$T$44,$CU39,CK$57),""),1+CK$58*2,1),IF(MID(IFERROR(INDEX(醫師週班表!$C$5:$T$44,$CU39,CK$57),""),3,1)="隔",IF(CK$58=0,LEFT(IFERROR(INDEX(醫師週班表!$C$5:$T$44,$CU39,CK$57),""),1),""),IF(MID(IFERROR(INDEX(醫師週班表!$C$5:$T$44,$CU39,CK$57),""),2,1)="(",LEFT(IFERROR(INDEX(醫師週班表!$C$5:$T$44,$CU39,CK$57),""),1),IFERROR(INDEX(醫師週班表!$C$5:$T$44,$CU39,CK$57),"")))))))</f>
        <v/>
      </c>
      <c r="CL39" s="72">
        <f>IF(CL$59="X","",IF(CL$59&lt;&gt;"",CL$59,IF(IFERROR(INDEX(醫師週班表!$C$5:$T$44,$CU39,CL$57),"")=0,"",IF(MID(IFERROR(INDEX(醫師週班表!$C$5:$T$44,$CU39,CL$57),""),2,1)="/",MID(IFERROR(INDEX(醫師週班表!$C$5:$T$44,$CU39,CL$57),""),1+CL$58*2,1),IF(MID(IFERROR(INDEX(醫師週班表!$C$5:$T$44,$CU39,CL$57),""),3,1)="隔",IF(CL$58=0,LEFT(IFERROR(INDEX(醫師週班表!$C$5:$T$44,$CU39,CL$57),""),1),""),IF(MID(IFERROR(INDEX(醫師週班表!$C$5:$T$44,$CU39,CL$57),""),2,1)="(",LEFT(IFERROR(INDEX(醫師週班表!$C$5:$T$44,$CU39,CL$57),""),1),IFERROR(INDEX(醫師週班表!$C$5:$T$44,$CU39,CL$57),"")))))))</f>
        <v/>
      </c>
      <c r="CM39" s="72">
        <f>IF(CM$59="X","",IF(CM$59&lt;&gt;"",CM$59,IF(IFERROR(INDEX(醫師週班表!$C$5:$T$44,$CU39,CM$57),"")=0,"",IF(MID(IFERROR(INDEX(醫師週班表!$C$5:$T$44,$CU39,CM$57),""),2,1)="/",MID(IFERROR(INDEX(醫師週班表!$C$5:$T$44,$CU39,CM$57),""),1+CM$58*2,1),IF(MID(IFERROR(INDEX(醫師週班表!$C$5:$T$44,$CU39,CM$57),""),3,1)="隔",IF(CM$58=0,LEFT(IFERROR(INDEX(醫師週班表!$C$5:$T$44,$CU39,CM$57),""),1),""),IF(MID(IFERROR(INDEX(醫師週班表!$C$5:$T$44,$CU39,CM$57),""),2,1)="(",LEFT(IFERROR(INDEX(醫師週班表!$C$5:$T$44,$CU39,CM$57),""),1),IFERROR(INDEX(醫師週班表!$C$5:$T$44,$CU39,CM$57),"")))))))</f>
        <v/>
      </c>
      <c r="CN39" s="71">
        <f>IF(CN$59="X","",IF(CN$59&lt;&gt;"",CN$59,IF(IFERROR(INDEX(醫師週班表!$C$5:$T$44,$CU39,CN$57),"")=0,"",IF(MID(IFERROR(INDEX(醫師週班表!$C$5:$T$44,$CU39,CN$57),""),2,1)="/",MID(IFERROR(INDEX(醫師週班表!$C$5:$T$44,$CU39,CN$57),""),1+CN$58*2,1),IF(MID(IFERROR(INDEX(醫師週班表!$C$5:$T$44,$CU39,CN$57),""),3,1)="隔",IF(CN$58=0,LEFT(IFERROR(INDEX(醫師週班表!$C$5:$T$44,$CU39,CN$57),""),1),""),IF(MID(IFERROR(INDEX(醫師週班表!$C$5:$T$44,$CU39,CN$57),""),2,1)="(",LEFT(IFERROR(INDEX(醫師週班表!$C$5:$T$44,$CU39,CN$57),""),1),IFERROR(INDEX(醫師週班表!$C$5:$T$44,$CU39,CN$57),"")))))))</f>
        <v/>
      </c>
      <c r="CO39" s="72">
        <f>IF(CO$59="X","",IF(CO$59&lt;&gt;"",CO$59,IF(IFERROR(INDEX(醫師週班表!$C$5:$T$44,$CU39,CO$57),"")=0,"",IF(MID(IFERROR(INDEX(醫師週班表!$C$5:$T$44,$CU39,CO$57),""),2,1)="/",MID(IFERROR(INDEX(醫師週班表!$C$5:$T$44,$CU39,CO$57),""),1+CO$58*2,1),IF(MID(IFERROR(INDEX(醫師週班表!$C$5:$T$44,$CU39,CO$57),""),3,1)="隔",IF(CO$58=0,LEFT(IFERROR(INDEX(醫師週班表!$C$5:$T$44,$CU39,CO$57),""),1),""),IF(MID(IFERROR(INDEX(醫師週班表!$C$5:$T$44,$CU39,CO$57),""),2,1)="(",LEFT(IFERROR(INDEX(醫師週班表!$C$5:$T$44,$CU39,CO$57),""),1),IFERROR(INDEX(醫師週班表!$C$5:$T$44,$CU39,CO$57),"")))))))</f>
        <v/>
      </c>
      <c r="CP39" s="72">
        <f>IF(CP$59="X","",IF(CP$59&lt;&gt;"",CP$59,IF(IFERROR(INDEX(醫師週班表!$C$5:$T$44,$CU39,CP$57),"")=0,"",IF(MID(IFERROR(INDEX(醫師週班表!$C$5:$T$44,$CU39,CP$57),""),2,1)="/",MID(IFERROR(INDEX(醫師週班表!$C$5:$T$44,$CU39,CP$57),""),1+CP$58*2,1),IF(MID(IFERROR(INDEX(醫師週班表!$C$5:$T$44,$CU39,CP$57),""),3,1)="隔",IF(CP$58=0,LEFT(IFERROR(INDEX(醫師週班表!$C$5:$T$44,$CU39,CP$57),""),1),""),IF(MID(IFERROR(INDEX(醫師週班表!$C$5:$T$44,$CU39,CP$57),""),2,1)="(",LEFT(IFERROR(INDEX(醫師週班表!$C$5:$T$44,$CU39,CP$57),""),1),IFERROR(INDEX(醫師週班表!$C$5:$T$44,$CU39,CP$57),"")))))))</f>
        <v/>
      </c>
      <c r="CQ39" s="71">
        <f>IF(CQ$59="X","",IF(CQ$59&lt;&gt;"",CQ$59,IF(IFERROR(INDEX(醫師週班表!$C$5:$T$44,$CU39,CQ$57),"")=0,"",IF(MID(IFERROR(INDEX(醫師週班表!$C$5:$T$44,$CU39,CQ$57),""),2,1)="/",MID(IFERROR(INDEX(醫師週班表!$C$5:$T$44,$CU39,CQ$57),""),1+CQ$58*2,1),IF(MID(IFERROR(INDEX(醫師週班表!$C$5:$T$44,$CU39,CQ$57),""),3,1)="隔",IF(CQ$58=0,LEFT(IFERROR(INDEX(醫師週班表!$C$5:$T$44,$CU39,CQ$57),""),1),""),IF(MID(IFERROR(INDEX(醫師週班表!$C$5:$T$44,$CU39,CQ$57),""),2,1)="(",LEFT(IFERROR(INDEX(醫師週班表!$C$5:$T$44,$CU39,CQ$57),""),1),IFERROR(INDEX(醫師週班表!$C$5:$T$44,$CU39,CQ$57),"")))))))</f>
        <v/>
      </c>
      <c r="CR39" s="72">
        <f>IF(CR$59="X","",IF(CR$59&lt;&gt;"",CR$59,IF(IFERROR(INDEX(醫師週班表!$C$5:$T$44,$CU39,CR$57),"")=0,"",IF(MID(IFERROR(INDEX(醫師週班表!$C$5:$T$44,$CU39,CR$57),""),2,1)="/",MID(IFERROR(INDEX(醫師週班表!$C$5:$T$44,$CU39,CR$57),""),1+CR$58*2,1),IF(MID(IFERROR(INDEX(醫師週班表!$C$5:$T$44,$CU39,CR$57),""),3,1)="隔",IF(CR$58=0,LEFT(IFERROR(INDEX(醫師週班表!$C$5:$T$44,$CU39,CR$57),""),1),""),IF(MID(IFERROR(INDEX(醫師週班表!$C$5:$T$44,$CU39,CR$57),""),2,1)="(",LEFT(IFERROR(INDEX(醫師週班表!$C$5:$T$44,$CU39,CR$57),""),1),IFERROR(INDEX(醫師週班表!$C$5:$T$44,$CU39,CR$57),"")))))))</f>
        <v/>
      </c>
      <c r="CS39" s="72">
        <f>IF(CS$59="X","",IF(CS$59&lt;&gt;"",CS$59,IF(IFERROR(INDEX(醫師週班表!$C$5:$T$44,$CU39,CS$57),"")=0,"",IF(MID(IFERROR(INDEX(醫師週班表!$C$5:$T$44,$CU39,CS$57),""),2,1)="/",MID(IFERROR(INDEX(醫師週班表!$C$5:$T$44,$CU39,CS$57),""),1+CS$58*2,1),IF(MID(IFERROR(INDEX(醫師週班表!$C$5:$T$44,$CU39,CS$57),""),3,1)="隔",IF(CS$58=0,LEFT(IFERROR(INDEX(醫師週班表!$C$5:$T$44,$CU39,CS$57),""),1),""),IF(MID(IFERROR(INDEX(醫師週班表!$C$5:$T$44,$CU39,CS$57),""),2,1)="(",LEFT(IFERROR(INDEX(醫師週班表!$C$5:$T$44,$CU39,CS$57),""),1),IFERROR(INDEX(醫師週班表!$C$5:$T$44,$CU39,CS$57),"")))))))</f>
        <v/>
      </c>
      <c r="CU39" s="73">
        <f>IFERROR(MATCH($A39,醫師週班表!$A$5:$A$44,0),0)</f>
        <v/>
      </c>
    </row>
    <row r="40" ht="17" customHeight="1">
      <c r="A40" s="19" t="n"/>
      <c r="B40" s="16">
        <f>IFERROR(INDEX(設定!$C$64:$C$203,MATCH($A40,設定!$B$64:$B$203,0)),"")</f>
        <v/>
      </c>
      <c r="C40" s="70">
        <f>IFERROR(INDEX(設定!$E$64:$E$203,MATCH($A40,設定!$B$64:$B$203,0)),"")</f>
        <v/>
      </c>
      <c r="D40" s="16">
        <f>IFERROR(INDEX(設定!$F$64:$F$203,MATCH($A40,設定!$B$64:$B$203,0)),"")</f>
        <v/>
      </c>
      <c r="E40" s="71">
        <f>IF(E$59="X","",IF(E$59&lt;&gt;"",E$59,IF(IFERROR(INDEX(醫師週班表!$C$5:$T$44,$CU40,E$57),"")=0,"",IF(MID(IFERROR(INDEX(醫師週班表!$C$5:$T$44,$CU40,E$57),""),2,1)="/",MID(IFERROR(INDEX(醫師週班表!$C$5:$T$44,$CU40,E$57),""),1+E$58*2,1),IF(MID(IFERROR(INDEX(醫師週班表!$C$5:$T$44,$CU40,E$57),""),3,1)="隔",IF(E$58=0,LEFT(IFERROR(INDEX(醫師週班表!$C$5:$T$44,$CU40,E$57),""),1),""),IF(MID(IFERROR(INDEX(醫師週班表!$C$5:$T$44,$CU40,E$57),""),2,1)="(",LEFT(IFERROR(INDEX(醫師週班表!$C$5:$T$44,$CU40,E$57),""),1),IFERROR(INDEX(醫師週班表!$C$5:$T$44,$CU40,E$57),"")))))))</f>
        <v/>
      </c>
      <c r="F40" s="72">
        <f>IF(F$59="X","",IF(F$59&lt;&gt;"",F$59,IF(IFERROR(INDEX(醫師週班表!$C$5:$T$44,$CU40,F$57),"")=0,"",IF(MID(IFERROR(INDEX(醫師週班表!$C$5:$T$44,$CU40,F$57),""),2,1)="/",MID(IFERROR(INDEX(醫師週班表!$C$5:$T$44,$CU40,F$57),""),1+F$58*2,1),IF(MID(IFERROR(INDEX(醫師週班表!$C$5:$T$44,$CU40,F$57),""),3,1)="隔",IF(F$58=0,LEFT(IFERROR(INDEX(醫師週班表!$C$5:$T$44,$CU40,F$57),""),1),""),IF(MID(IFERROR(INDEX(醫師週班表!$C$5:$T$44,$CU40,F$57),""),2,1)="(",LEFT(IFERROR(INDEX(醫師週班表!$C$5:$T$44,$CU40,F$57),""),1),IFERROR(INDEX(醫師週班表!$C$5:$T$44,$CU40,F$57),"")))))))</f>
        <v/>
      </c>
      <c r="G40" s="72">
        <f>IF(G$59="X","",IF(G$59&lt;&gt;"",G$59,IF(IFERROR(INDEX(醫師週班表!$C$5:$T$44,$CU40,G$57),"")=0,"",IF(MID(IFERROR(INDEX(醫師週班表!$C$5:$T$44,$CU40,G$57),""),2,1)="/",MID(IFERROR(INDEX(醫師週班表!$C$5:$T$44,$CU40,G$57),""),1+G$58*2,1),IF(MID(IFERROR(INDEX(醫師週班表!$C$5:$T$44,$CU40,G$57),""),3,1)="隔",IF(G$58=0,LEFT(IFERROR(INDEX(醫師週班表!$C$5:$T$44,$CU40,G$57),""),1),""),IF(MID(IFERROR(INDEX(醫師週班表!$C$5:$T$44,$CU40,G$57),""),2,1)="(",LEFT(IFERROR(INDEX(醫師週班表!$C$5:$T$44,$CU40,G$57),""),1),IFERROR(INDEX(醫師週班表!$C$5:$T$44,$CU40,G$57),"")))))))</f>
        <v/>
      </c>
      <c r="H40" s="71">
        <f>IF(H$59="X","",IF(H$59&lt;&gt;"",H$59,IF(IFERROR(INDEX(醫師週班表!$C$5:$T$44,$CU40,H$57),"")=0,"",IF(MID(IFERROR(INDEX(醫師週班表!$C$5:$T$44,$CU40,H$57),""),2,1)="/",MID(IFERROR(INDEX(醫師週班表!$C$5:$T$44,$CU40,H$57),""),1+H$58*2,1),IF(MID(IFERROR(INDEX(醫師週班表!$C$5:$T$44,$CU40,H$57),""),3,1)="隔",IF(H$58=0,LEFT(IFERROR(INDEX(醫師週班表!$C$5:$T$44,$CU40,H$57),""),1),""),IF(MID(IFERROR(INDEX(醫師週班表!$C$5:$T$44,$CU40,H$57),""),2,1)="(",LEFT(IFERROR(INDEX(醫師週班表!$C$5:$T$44,$CU40,H$57),""),1),IFERROR(INDEX(醫師週班表!$C$5:$T$44,$CU40,H$57),"")))))))</f>
        <v/>
      </c>
      <c r="I40" s="72">
        <f>IF(I$59="X","",IF(I$59&lt;&gt;"",I$59,IF(IFERROR(INDEX(醫師週班表!$C$5:$T$44,$CU40,I$57),"")=0,"",IF(MID(IFERROR(INDEX(醫師週班表!$C$5:$T$44,$CU40,I$57),""),2,1)="/",MID(IFERROR(INDEX(醫師週班表!$C$5:$T$44,$CU40,I$57),""),1+I$58*2,1),IF(MID(IFERROR(INDEX(醫師週班表!$C$5:$T$44,$CU40,I$57),""),3,1)="隔",IF(I$58=0,LEFT(IFERROR(INDEX(醫師週班表!$C$5:$T$44,$CU40,I$57),""),1),""),IF(MID(IFERROR(INDEX(醫師週班表!$C$5:$T$44,$CU40,I$57),""),2,1)="(",LEFT(IFERROR(INDEX(醫師週班表!$C$5:$T$44,$CU40,I$57),""),1),IFERROR(INDEX(醫師週班表!$C$5:$T$44,$CU40,I$57),"")))))))</f>
        <v/>
      </c>
      <c r="J40" s="72">
        <f>IF(J$59="X","",IF(J$59&lt;&gt;"",J$59,IF(IFERROR(INDEX(醫師週班表!$C$5:$T$44,$CU40,J$57),"")=0,"",IF(MID(IFERROR(INDEX(醫師週班表!$C$5:$T$44,$CU40,J$57),""),2,1)="/",MID(IFERROR(INDEX(醫師週班表!$C$5:$T$44,$CU40,J$57),""),1+J$58*2,1),IF(MID(IFERROR(INDEX(醫師週班表!$C$5:$T$44,$CU40,J$57),""),3,1)="隔",IF(J$58=0,LEFT(IFERROR(INDEX(醫師週班表!$C$5:$T$44,$CU40,J$57),""),1),""),IF(MID(IFERROR(INDEX(醫師週班表!$C$5:$T$44,$CU40,J$57),""),2,1)="(",LEFT(IFERROR(INDEX(醫師週班表!$C$5:$T$44,$CU40,J$57),""),1),IFERROR(INDEX(醫師週班表!$C$5:$T$44,$CU40,J$57),"")))))))</f>
        <v/>
      </c>
      <c r="K40" s="71">
        <f>IF(K$59="X","",IF(K$59&lt;&gt;"",K$59,IF(IFERROR(INDEX(醫師週班表!$C$5:$T$44,$CU40,K$57),"")=0,"",IF(MID(IFERROR(INDEX(醫師週班表!$C$5:$T$44,$CU40,K$57),""),2,1)="/",MID(IFERROR(INDEX(醫師週班表!$C$5:$T$44,$CU40,K$57),""),1+K$58*2,1),IF(MID(IFERROR(INDEX(醫師週班表!$C$5:$T$44,$CU40,K$57),""),3,1)="隔",IF(K$58=0,LEFT(IFERROR(INDEX(醫師週班表!$C$5:$T$44,$CU40,K$57),""),1),""),IF(MID(IFERROR(INDEX(醫師週班表!$C$5:$T$44,$CU40,K$57),""),2,1)="(",LEFT(IFERROR(INDEX(醫師週班表!$C$5:$T$44,$CU40,K$57),""),1),IFERROR(INDEX(醫師週班表!$C$5:$T$44,$CU40,K$57),"")))))))</f>
        <v/>
      </c>
      <c r="L40" s="72">
        <f>IF(L$59="X","",IF(L$59&lt;&gt;"",L$59,IF(IFERROR(INDEX(醫師週班表!$C$5:$T$44,$CU40,L$57),"")=0,"",IF(MID(IFERROR(INDEX(醫師週班表!$C$5:$T$44,$CU40,L$57),""),2,1)="/",MID(IFERROR(INDEX(醫師週班表!$C$5:$T$44,$CU40,L$57),""),1+L$58*2,1),IF(MID(IFERROR(INDEX(醫師週班表!$C$5:$T$44,$CU40,L$57),""),3,1)="隔",IF(L$58=0,LEFT(IFERROR(INDEX(醫師週班表!$C$5:$T$44,$CU40,L$57),""),1),""),IF(MID(IFERROR(INDEX(醫師週班表!$C$5:$T$44,$CU40,L$57),""),2,1)="(",LEFT(IFERROR(INDEX(醫師週班表!$C$5:$T$44,$CU40,L$57),""),1),IFERROR(INDEX(醫師週班表!$C$5:$T$44,$CU40,L$57),"")))))))</f>
        <v/>
      </c>
      <c r="M40" s="72">
        <f>IF(M$59="X","",IF(M$59&lt;&gt;"",M$59,IF(IFERROR(INDEX(醫師週班表!$C$5:$T$44,$CU40,M$57),"")=0,"",IF(MID(IFERROR(INDEX(醫師週班表!$C$5:$T$44,$CU40,M$57),""),2,1)="/",MID(IFERROR(INDEX(醫師週班表!$C$5:$T$44,$CU40,M$57),""),1+M$58*2,1),IF(MID(IFERROR(INDEX(醫師週班表!$C$5:$T$44,$CU40,M$57),""),3,1)="隔",IF(M$58=0,LEFT(IFERROR(INDEX(醫師週班表!$C$5:$T$44,$CU40,M$57),""),1),""),IF(MID(IFERROR(INDEX(醫師週班表!$C$5:$T$44,$CU40,M$57),""),2,1)="(",LEFT(IFERROR(INDEX(醫師週班表!$C$5:$T$44,$CU40,M$57),""),1),IFERROR(INDEX(醫師週班表!$C$5:$T$44,$CU40,M$57),"")))))))</f>
        <v/>
      </c>
      <c r="N40" s="71">
        <f>IF(N$59="X","",IF(N$59&lt;&gt;"",N$59,IF(IFERROR(INDEX(醫師週班表!$C$5:$T$44,$CU40,N$57),"")=0,"",IF(MID(IFERROR(INDEX(醫師週班表!$C$5:$T$44,$CU40,N$57),""),2,1)="/",MID(IFERROR(INDEX(醫師週班表!$C$5:$T$44,$CU40,N$57),""),1+N$58*2,1),IF(MID(IFERROR(INDEX(醫師週班表!$C$5:$T$44,$CU40,N$57),""),3,1)="隔",IF(N$58=0,LEFT(IFERROR(INDEX(醫師週班表!$C$5:$T$44,$CU40,N$57),""),1),""),IF(MID(IFERROR(INDEX(醫師週班表!$C$5:$T$44,$CU40,N$57),""),2,1)="(",LEFT(IFERROR(INDEX(醫師週班表!$C$5:$T$44,$CU40,N$57),""),1),IFERROR(INDEX(醫師週班表!$C$5:$T$44,$CU40,N$57),"")))))))</f>
        <v/>
      </c>
      <c r="O40" s="72">
        <f>IF(O$59="X","",IF(O$59&lt;&gt;"",O$59,IF(IFERROR(INDEX(醫師週班表!$C$5:$T$44,$CU40,O$57),"")=0,"",IF(MID(IFERROR(INDEX(醫師週班表!$C$5:$T$44,$CU40,O$57),""),2,1)="/",MID(IFERROR(INDEX(醫師週班表!$C$5:$T$44,$CU40,O$57),""),1+O$58*2,1),IF(MID(IFERROR(INDEX(醫師週班表!$C$5:$T$44,$CU40,O$57),""),3,1)="隔",IF(O$58=0,LEFT(IFERROR(INDEX(醫師週班表!$C$5:$T$44,$CU40,O$57),""),1),""),IF(MID(IFERROR(INDEX(醫師週班表!$C$5:$T$44,$CU40,O$57),""),2,1)="(",LEFT(IFERROR(INDEX(醫師週班表!$C$5:$T$44,$CU40,O$57),""),1),IFERROR(INDEX(醫師週班表!$C$5:$T$44,$CU40,O$57),"")))))))</f>
        <v/>
      </c>
      <c r="P40" s="72">
        <f>IF(P$59="X","",IF(P$59&lt;&gt;"",P$59,IF(IFERROR(INDEX(醫師週班表!$C$5:$T$44,$CU40,P$57),"")=0,"",IF(MID(IFERROR(INDEX(醫師週班表!$C$5:$T$44,$CU40,P$57),""),2,1)="/",MID(IFERROR(INDEX(醫師週班表!$C$5:$T$44,$CU40,P$57),""),1+P$58*2,1),IF(MID(IFERROR(INDEX(醫師週班表!$C$5:$T$44,$CU40,P$57),""),3,1)="隔",IF(P$58=0,LEFT(IFERROR(INDEX(醫師週班表!$C$5:$T$44,$CU40,P$57),""),1),""),IF(MID(IFERROR(INDEX(醫師週班表!$C$5:$T$44,$CU40,P$57),""),2,1)="(",LEFT(IFERROR(INDEX(醫師週班表!$C$5:$T$44,$CU40,P$57),""),1),IFERROR(INDEX(醫師週班表!$C$5:$T$44,$CU40,P$57),"")))))))</f>
        <v/>
      </c>
      <c r="Q40" s="71">
        <f>IF(Q$59="X","",IF(Q$59&lt;&gt;"",Q$59,IF(IFERROR(INDEX(醫師週班表!$C$5:$T$44,$CU40,Q$57),"")=0,"",IF(MID(IFERROR(INDEX(醫師週班表!$C$5:$T$44,$CU40,Q$57),""),2,1)="/",MID(IFERROR(INDEX(醫師週班表!$C$5:$T$44,$CU40,Q$57),""),1+Q$58*2,1),IF(MID(IFERROR(INDEX(醫師週班表!$C$5:$T$44,$CU40,Q$57),""),3,1)="隔",IF(Q$58=0,LEFT(IFERROR(INDEX(醫師週班表!$C$5:$T$44,$CU40,Q$57),""),1),""),IF(MID(IFERROR(INDEX(醫師週班表!$C$5:$T$44,$CU40,Q$57),""),2,1)="(",LEFT(IFERROR(INDEX(醫師週班表!$C$5:$T$44,$CU40,Q$57),""),1),IFERROR(INDEX(醫師週班表!$C$5:$T$44,$CU40,Q$57),"")))))))</f>
        <v/>
      </c>
      <c r="R40" s="72">
        <f>IF(R$59="X","",IF(R$59&lt;&gt;"",R$59,IF(IFERROR(INDEX(醫師週班表!$C$5:$T$44,$CU40,R$57),"")=0,"",IF(MID(IFERROR(INDEX(醫師週班表!$C$5:$T$44,$CU40,R$57),""),2,1)="/",MID(IFERROR(INDEX(醫師週班表!$C$5:$T$44,$CU40,R$57),""),1+R$58*2,1),IF(MID(IFERROR(INDEX(醫師週班表!$C$5:$T$44,$CU40,R$57),""),3,1)="隔",IF(R$58=0,LEFT(IFERROR(INDEX(醫師週班表!$C$5:$T$44,$CU40,R$57),""),1),""),IF(MID(IFERROR(INDEX(醫師週班表!$C$5:$T$44,$CU40,R$57),""),2,1)="(",LEFT(IFERROR(INDEX(醫師週班表!$C$5:$T$44,$CU40,R$57),""),1),IFERROR(INDEX(醫師週班表!$C$5:$T$44,$CU40,R$57),"")))))))</f>
        <v/>
      </c>
      <c r="S40" s="72">
        <f>IF(S$59="X","",IF(S$59&lt;&gt;"",S$59,IF(IFERROR(INDEX(醫師週班表!$C$5:$T$44,$CU40,S$57),"")=0,"",IF(MID(IFERROR(INDEX(醫師週班表!$C$5:$T$44,$CU40,S$57),""),2,1)="/",MID(IFERROR(INDEX(醫師週班表!$C$5:$T$44,$CU40,S$57),""),1+S$58*2,1),IF(MID(IFERROR(INDEX(醫師週班表!$C$5:$T$44,$CU40,S$57),""),3,1)="隔",IF(S$58=0,LEFT(IFERROR(INDEX(醫師週班表!$C$5:$T$44,$CU40,S$57),""),1),""),IF(MID(IFERROR(INDEX(醫師週班表!$C$5:$T$44,$CU40,S$57),""),2,1)="(",LEFT(IFERROR(INDEX(醫師週班表!$C$5:$T$44,$CU40,S$57),""),1),IFERROR(INDEX(醫師週班表!$C$5:$T$44,$CU40,S$57),"")))))))</f>
        <v/>
      </c>
      <c r="T40" s="71">
        <f>IF(T$59="X","",IF(T$59&lt;&gt;"",T$59,IF(IFERROR(INDEX(醫師週班表!$C$5:$T$44,$CU40,T$57),"")=0,"",IF(MID(IFERROR(INDEX(醫師週班表!$C$5:$T$44,$CU40,T$57),""),2,1)="/",MID(IFERROR(INDEX(醫師週班表!$C$5:$T$44,$CU40,T$57),""),1+T$58*2,1),IF(MID(IFERROR(INDEX(醫師週班表!$C$5:$T$44,$CU40,T$57),""),3,1)="隔",IF(T$58=0,LEFT(IFERROR(INDEX(醫師週班表!$C$5:$T$44,$CU40,T$57),""),1),""),IF(MID(IFERROR(INDEX(醫師週班表!$C$5:$T$44,$CU40,T$57),""),2,1)="(",LEFT(IFERROR(INDEX(醫師週班表!$C$5:$T$44,$CU40,T$57),""),1),IFERROR(INDEX(醫師週班表!$C$5:$T$44,$CU40,T$57),"")))))))</f>
        <v/>
      </c>
      <c r="U40" s="72">
        <f>IF(U$59="X","",IF(U$59&lt;&gt;"",U$59,IF(IFERROR(INDEX(醫師週班表!$C$5:$T$44,$CU40,U$57),"")=0,"",IF(MID(IFERROR(INDEX(醫師週班表!$C$5:$T$44,$CU40,U$57),""),2,1)="/",MID(IFERROR(INDEX(醫師週班表!$C$5:$T$44,$CU40,U$57),""),1+U$58*2,1),IF(MID(IFERROR(INDEX(醫師週班表!$C$5:$T$44,$CU40,U$57),""),3,1)="隔",IF(U$58=0,LEFT(IFERROR(INDEX(醫師週班表!$C$5:$T$44,$CU40,U$57),""),1),""),IF(MID(IFERROR(INDEX(醫師週班表!$C$5:$T$44,$CU40,U$57),""),2,1)="(",LEFT(IFERROR(INDEX(醫師週班表!$C$5:$T$44,$CU40,U$57),""),1),IFERROR(INDEX(醫師週班表!$C$5:$T$44,$CU40,U$57),"")))))))</f>
        <v/>
      </c>
      <c r="V40" s="72">
        <f>IF(V$59="X","",IF(V$59&lt;&gt;"",V$59,IF(IFERROR(INDEX(醫師週班表!$C$5:$T$44,$CU40,V$57),"")=0,"",IF(MID(IFERROR(INDEX(醫師週班表!$C$5:$T$44,$CU40,V$57),""),2,1)="/",MID(IFERROR(INDEX(醫師週班表!$C$5:$T$44,$CU40,V$57),""),1+V$58*2,1),IF(MID(IFERROR(INDEX(醫師週班表!$C$5:$T$44,$CU40,V$57),""),3,1)="隔",IF(V$58=0,LEFT(IFERROR(INDEX(醫師週班表!$C$5:$T$44,$CU40,V$57),""),1),""),IF(MID(IFERROR(INDEX(醫師週班表!$C$5:$T$44,$CU40,V$57),""),2,1)="(",LEFT(IFERROR(INDEX(醫師週班表!$C$5:$T$44,$CU40,V$57),""),1),IFERROR(INDEX(醫師週班表!$C$5:$T$44,$CU40,V$57),"")))))))</f>
        <v/>
      </c>
      <c r="W40" s="71">
        <f>IF(W$59="X","",IF(W$59&lt;&gt;"",W$59,IF(IFERROR(INDEX(醫師週班表!$C$5:$T$44,$CU40,W$57),"")=0,"",IF(MID(IFERROR(INDEX(醫師週班表!$C$5:$T$44,$CU40,W$57),""),2,1)="/",MID(IFERROR(INDEX(醫師週班表!$C$5:$T$44,$CU40,W$57),""),1+W$58*2,1),IF(MID(IFERROR(INDEX(醫師週班表!$C$5:$T$44,$CU40,W$57),""),3,1)="隔",IF(W$58=0,LEFT(IFERROR(INDEX(醫師週班表!$C$5:$T$44,$CU40,W$57),""),1),""),IF(MID(IFERROR(INDEX(醫師週班表!$C$5:$T$44,$CU40,W$57),""),2,1)="(",LEFT(IFERROR(INDEX(醫師週班表!$C$5:$T$44,$CU40,W$57),""),1),IFERROR(INDEX(醫師週班表!$C$5:$T$44,$CU40,W$57),"")))))))</f>
        <v/>
      </c>
      <c r="X40" s="72">
        <f>IF(X$59="X","",IF(X$59&lt;&gt;"",X$59,IF(IFERROR(INDEX(醫師週班表!$C$5:$T$44,$CU40,X$57),"")=0,"",IF(MID(IFERROR(INDEX(醫師週班表!$C$5:$T$44,$CU40,X$57),""),2,1)="/",MID(IFERROR(INDEX(醫師週班表!$C$5:$T$44,$CU40,X$57),""),1+X$58*2,1),IF(MID(IFERROR(INDEX(醫師週班表!$C$5:$T$44,$CU40,X$57),""),3,1)="隔",IF(X$58=0,LEFT(IFERROR(INDEX(醫師週班表!$C$5:$T$44,$CU40,X$57),""),1),""),IF(MID(IFERROR(INDEX(醫師週班表!$C$5:$T$44,$CU40,X$57),""),2,1)="(",LEFT(IFERROR(INDEX(醫師週班表!$C$5:$T$44,$CU40,X$57),""),1),IFERROR(INDEX(醫師週班表!$C$5:$T$44,$CU40,X$57),"")))))))</f>
        <v/>
      </c>
      <c r="Y40" s="72">
        <f>IF(Y$59="X","",IF(Y$59&lt;&gt;"",Y$59,IF(IFERROR(INDEX(醫師週班表!$C$5:$T$44,$CU40,Y$57),"")=0,"",IF(MID(IFERROR(INDEX(醫師週班表!$C$5:$T$44,$CU40,Y$57),""),2,1)="/",MID(IFERROR(INDEX(醫師週班表!$C$5:$T$44,$CU40,Y$57),""),1+Y$58*2,1),IF(MID(IFERROR(INDEX(醫師週班表!$C$5:$T$44,$CU40,Y$57),""),3,1)="隔",IF(Y$58=0,LEFT(IFERROR(INDEX(醫師週班表!$C$5:$T$44,$CU40,Y$57),""),1),""),IF(MID(IFERROR(INDEX(醫師週班表!$C$5:$T$44,$CU40,Y$57),""),2,1)="(",LEFT(IFERROR(INDEX(醫師週班表!$C$5:$T$44,$CU40,Y$57),""),1),IFERROR(INDEX(醫師週班表!$C$5:$T$44,$CU40,Y$57),"")))))))</f>
        <v/>
      </c>
      <c r="Z40" s="71">
        <f>IF(Z$59="X","",IF(Z$59&lt;&gt;"",Z$59,IF(IFERROR(INDEX(醫師週班表!$C$5:$T$44,$CU40,Z$57),"")=0,"",IF(MID(IFERROR(INDEX(醫師週班表!$C$5:$T$44,$CU40,Z$57),""),2,1)="/",MID(IFERROR(INDEX(醫師週班表!$C$5:$T$44,$CU40,Z$57),""),1+Z$58*2,1),IF(MID(IFERROR(INDEX(醫師週班表!$C$5:$T$44,$CU40,Z$57),""),3,1)="隔",IF(Z$58=0,LEFT(IFERROR(INDEX(醫師週班表!$C$5:$T$44,$CU40,Z$57),""),1),""),IF(MID(IFERROR(INDEX(醫師週班表!$C$5:$T$44,$CU40,Z$57),""),2,1)="(",LEFT(IFERROR(INDEX(醫師週班表!$C$5:$T$44,$CU40,Z$57),""),1),IFERROR(INDEX(醫師週班表!$C$5:$T$44,$CU40,Z$57),"")))))))</f>
        <v/>
      </c>
      <c r="AA40" s="72">
        <f>IF(AA$59="X","",IF(AA$59&lt;&gt;"",AA$59,IF(IFERROR(INDEX(醫師週班表!$C$5:$T$44,$CU40,AA$57),"")=0,"",IF(MID(IFERROR(INDEX(醫師週班表!$C$5:$T$44,$CU40,AA$57),""),2,1)="/",MID(IFERROR(INDEX(醫師週班表!$C$5:$T$44,$CU40,AA$57),""),1+AA$58*2,1),IF(MID(IFERROR(INDEX(醫師週班表!$C$5:$T$44,$CU40,AA$57),""),3,1)="隔",IF(AA$58=0,LEFT(IFERROR(INDEX(醫師週班表!$C$5:$T$44,$CU40,AA$57),""),1),""),IF(MID(IFERROR(INDEX(醫師週班表!$C$5:$T$44,$CU40,AA$57),""),2,1)="(",LEFT(IFERROR(INDEX(醫師週班表!$C$5:$T$44,$CU40,AA$57),""),1),IFERROR(INDEX(醫師週班表!$C$5:$T$44,$CU40,AA$57),"")))))))</f>
        <v/>
      </c>
      <c r="AB40" s="72">
        <f>IF(AB$59="X","",IF(AB$59&lt;&gt;"",AB$59,IF(IFERROR(INDEX(醫師週班表!$C$5:$T$44,$CU40,AB$57),"")=0,"",IF(MID(IFERROR(INDEX(醫師週班表!$C$5:$T$44,$CU40,AB$57),""),2,1)="/",MID(IFERROR(INDEX(醫師週班表!$C$5:$T$44,$CU40,AB$57),""),1+AB$58*2,1),IF(MID(IFERROR(INDEX(醫師週班表!$C$5:$T$44,$CU40,AB$57),""),3,1)="隔",IF(AB$58=0,LEFT(IFERROR(INDEX(醫師週班表!$C$5:$T$44,$CU40,AB$57),""),1),""),IF(MID(IFERROR(INDEX(醫師週班表!$C$5:$T$44,$CU40,AB$57),""),2,1)="(",LEFT(IFERROR(INDEX(醫師週班表!$C$5:$T$44,$CU40,AB$57),""),1),IFERROR(INDEX(醫師週班表!$C$5:$T$44,$CU40,AB$57),"")))))))</f>
        <v/>
      </c>
      <c r="AC40" s="71">
        <f>IF(AC$59="X","",IF(AC$59&lt;&gt;"",AC$59,IF(IFERROR(INDEX(醫師週班表!$C$5:$T$44,$CU40,AC$57),"")=0,"",IF(MID(IFERROR(INDEX(醫師週班表!$C$5:$T$44,$CU40,AC$57),""),2,1)="/",MID(IFERROR(INDEX(醫師週班表!$C$5:$T$44,$CU40,AC$57),""),1+AC$58*2,1),IF(MID(IFERROR(INDEX(醫師週班表!$C$5:$T$44,$CU40,AC$57),""),3,1)="隔",IF(AC$58=0,LEFT(IFERROR(INDEX(醫師週班表!$C$5:$T$44,$CU40,AC$57),""),1),""),IF(MID(IFERROR(INDEX(醫師週班表!$C$5:$T$44,$CU40,AC$57),""),2,1)="(",LEFT(IFERROR(INDEX(醫師週班表!$C$5:$T$44,$CU40,AC$57),""),1),IFERROR(INDEX(醫師週班表!$C$5:$T$44,$CU40,AC$57),"")))))))</f>
        <v/>
      </c>
      <c r="AD40" s="72">
        <f>IF(AD$59="X","",IF(AD$59&lt;&gt;"",AD$59,IF(IFERROR(INDEX(醫師週班表!$C$5:$T$44,$CU40,AD$57),"")=0,"",IF(MID(IFERROR(INDEX(醫師週班表!$C$5:$T$44,$CU40,AD$57),""),2,1)="/",MID(IFERROR(INDEX(醫師週班表!$C$5:$T$44,$CU40,AD$57),""),1+AD$58*2,1),IF(MID(IFERROR(INDEX(醫師週班表!$C$5:$T$44,$CU40,AD$57),""),3,1)="隔",IF(AD$58=0,LEFT(IFERROR(INDEX(醫師週班表!$C$5:$T$44,$CU40,AD$57),""),1),""),IF(MID(IFERROR(INDEX(醫師週班表!$C$5:$T$44,$CU40,AD$57),""),2,1)="(",LEFT(IFERROR(INDEX(醫師週班表!$C$5:$T$44,$CU40,AD$57),""),1),IFERROR(INDEX(醫師週班表!$C$5:$T$44,$CU40,AD$57),"")))))))</f>
        <v/>
      </c>
      <c r="AE40" s="72">
        <f>IF(AE$59="X","",IF(AE$59&lt;&gt;"",AE$59,IF(IFERROR(INDEX(醫師週班表!$C$5:$T$44,$CU40,AE$57),"")=0,"",IF(MID(IFERROR(INDEX(醫師週班表!$C$5:$T$44,$CU40,AE$57),""),2,1)="/",MID(IFERROR(INDEX(醫師週班表!$C$5:$T$44,$CU40,AE$57),""),1+AE$58*2,1),IF(MID(IFERROR(INDEX(醫師週班表!$C$5:$T$44,$CU40,AE$57),""),3,1)="隔",IF(AE$58=0,LEFT(IFERROR(INDEX(醫師週班表!$C$5:$T$44,$CU40,AE$57),""),1),""),IF(MID(IFERROR(INDEX(醫師週班表!$C$5:$T$44,$CU40,AE$57),""),2,1)="(",LEFT(IFERROR(INDEX(醫師週班表!$C$5:$T$44,$CU40,AE$57),""),1),IFERROR(INDEX(醫師週班表!$C$5:$T$44,$CU40,AE$57),"")))))))</f>
        <v/>
      </c>
      <c r="AF40" s="71">
        <f>IF(AF$59="X","",IF(AF$59&lt;&gt;"",AF$59,IF(IFERROR(INDEX(醫師週班表!$C$5:$T$44,$CU40,AF$57),"")=0,"",IF(MID(IFERROR(INDEX(醫師週班表!$C$5:$T$44,$CU40,AF$57),""),2,1)="/",MID(IFERROR(INDEX(醫師週班表!$C$5:$T$44,$CU40,AF$57),""),1+AF$58*2,1),IF(MID(IFERROR(INDEX(醫師週班表!$C$5:$T$44,$CU40,AF$57),""),3,1)="隔",IF(AF$58=0,LEFT(IFERROR(INDEX(醫師週班表!$C$5:$T$44,$CU40,AF$57),""),1),""),IF(MID(IFERROR(INDEX(醫師週班表!$C$5:$T$44,$CU40,AF$57),""),2,1)="(",LEFT(IFERROR(INDEX(醫師週班表!$C$5:$T$44,$CU40,AF$57),""),1),IFERROR(INDEX(醫師週班表!$C$5:$T$44,$CU40,AF$57),"")))))))</f>
        <v/>
      </c>
      <c r="AG40" s="72">
        <f>IF(AG$59="X","",IF(AG$59&lt;&gt;"",AG$59,IF(IFERROR(INDEX(醫師週班表!$C$5:$T$44,$CU40,AG$57),"")=0,"",IF(MID(IFERROR(INDEX(醫師週班表!$C$5:$T$44,$CU40,AG$57),""),2,1)="/",MID(IFERROR(INDEX(醫師週班表!$C$5:$T$44,$CU40,AG$57),""),1+AG$58*2,1),IF(MID(IFERROR(INDEX(醫師週班表!$C$5:$T$44,$CU40,AG$57),""),3,1)="隔",IF(AG$58=0,LEFT(IFERROR(INDEX(醫師週班表!$C$5:$T$44,$CU40,AG$57),""),1),""),IF(MID(IFERROR(INDEX(醫師週班表!$C$5:$T$44,$CU40,AG$57),""),2,1)="(",LEFT(IFERROR(INDEX(醫師週班表!$C$5:$T$44,$CU40,AG$57),""),1),IFERROR(INDEX(醫師週班表!$C$5:$T$44,$CU40,AG$57),"")))))))</f>
        <v/>
      </c>
      <c r="AH40" s="72">
        <f>IF(AH$59="X","",IF(AH$59&lt;&gt;"",AH$59,IF(IFERROR(INDEX(醫師週班表!$C$5:$T$44,$CU40,AH$57),"")=0,"",IF(MID(IFERROR(INDEX(醫師週班表!$C$5:$T$44,$CU40,AH$57),""),2,1)="/",MID(IFERROR(INDEX(醫師週班表!$C$5:$T$44,$CU40,AH$57),""),1+AH$58*2,1),IF(MID(IFERROR(INDEX(醫師週班表!$C$5:$T$44,$CU40,AH$57),""),3,1)="隔",IF(AH$58=0,LEFT(IFERROR(INDEX(醫師週班表!$C$5:$T$44,$CU40,AH$57),""),1),""),IF(MID(IFERROR(INDEX(醫師週班表!$C$5:$T$44,$CU40,AH$57),""),2,1)="(",LEFT(IFERROR(INDEX(醫師週班表!$C$5:$T$44,$CU40,AH$57),""),1),IFERROR(INDEX(醫師週班表!$C$5:$T$44,$CU40,AH$57),"")))))))</f>
        <v/>
      </c>
      <c r="AI40" s="71">
        <f>IF(AI$59="X","",IF(AI$59&lt;&gt;"",AI$59,IF(IFERROR(INDEX(醫師週班表!$C$5:$T$44,$CU40,AI$57),"")=0,"",IF(MID(IFERROR(INDEX(醫師週班表!$C$5:$T$44,$CU40,AI$57),""),2,1)="/",MID(IFERROR(INDEX(醫師週班表!$C$5:$T$44,$CU40,AI$57),""),1+AI$58*2,1),IF(MID(IFERROR(INDEX(醫師週班表!$C$5:$T$44,$CU40,AI$57),""),3,1)="隔",IF(AI$58=0,LEFT(IFERROR(INDEX(醫師週班表!$C$5:$T$44,$CU40,AI$57),""),1),""),IF(MID(IFERROR(INDEX(醫師週班表!$C$5:$T$44,$CU40,AI$57),""),2,1)="(",LEFT(IFERROR(INDEX(醫師週班表!$C$5:$T$44,$CU40,AI$57),""),1),IFERROR(INDEX(醫師週班表!$C$5:$T$44,$CU40,AI$57),"")))))))</f>
        <v/>
      </c>
      <c r="AJ40" s="72">
        <f>IF(AJ$59="X","",IF(AJ$59&lt;&gt;"",AJ$59,IF(IFERROR(INDEX(醫師週班表!$C$5:$T$44,$CU40,AJ$57),"")=0,"",IF(MID(IFERROR(INDEX(醫師週班表!$C$5:$T$44,$CU40,AJ$57),""),2,1)="/",MID(IFERROR(INDEX(醫師週班表!$C$5:$T$44,$CU40,AJ$57),""),1+AJ$58*2,1),IF(MID(IFERROR(INDEX(醫師週班表!$C$5:$T$44,$CU40,AJ$57),""),3,1)="隔",IF(AJ$58=0,LEFT(IFERROR(INDEX(醫師週班表!$C$5:$T$44,$CU40,AJ$57),""),1),""),IF(MID(IFERROR(INDEX(醫師週班表!$C$5:$T$44,$CU40,AJ$57),""),2,1)="(",LEFT(IFERROR(INDEX(醫師週班表!$C$5:$T$44,$CU40,AJ$57),""),1),IFERROR(INDEX(醫師週班表!$C$5:$T$44,$CU40,AJ$57),"")))))))</f>
        <v/>
      </c>
      <c r="AK40" s="72">
        <f>IF(AK$59="X","",IF(AK$59&lt;&gt;"",AK$59,IF(IFERROR(INDEX(醫師週班表!$C$5:$T$44,$CU40,AK$57),"")=0,"",IF(MID(IFERROR(INDEX(醫師週班表!$C$5:$T$44,$CU40,AK$57),""),2,1)="/",MID(IFERROR(INDEX(醫師週班表!$C$5:$T$44,$CU40,AK$57),""),1+AK$58*2,1),IF(MID(IFERROR(INDEX(醫師週班表!$C$5:$T$44,$CU40,AK$57),""),3,1)="隔",IF(AK$58=0,LEFT(IFERROR(INDEX(醫師週班表!$C$5:$T$44,$CU40,AK$57),""),1),""),IF(MID(IFERROR(INDEX(醫師週班表!$C$5:$T$44,$CU40,AK$57),""),2,1)="(",LEFT(IFERROR(INDEX(醫師週班表!$C$5:$T$44,$CU40,AK$57),""),1),IFERROR(INDEX(醫師週班表!$C$5:$T$44,$CU40,AK$57),"")))))))</f>
        <v/>
      </c>
      <c r="AL40" s="71">
        <f>IF(AL$59="X","",IF(AL$59&lt;&gt;"",AL$59,IF(IFERROR(INDEX(醫師週班表!$C$5:$T$44,$CU40,AL$57),"")=0,"",IF(MID(IFERROR(INDEX(醫師週班表!$C$5:$T$44,$CU40,AL$57),""),2,1)="/",MID(IFERROR(INDEX(醫師週班表!$C$5:$T$44,$CU40,AL$57),""),1+AL$58*2,1),IF(MID(IFERROR(INDEX(醫師週班表!$C$5:$T$44,$CU40,AL$57),""),3,1)="隔",IF(AL$58=0,LEFT(IFERROR(INDEX(醫師週班表!$C$5:$T$44,$CU40,AL$57),""),1),""),IF(MID(IFERROR(INDEX(醫師週班表!$C$5:$T$44,$CU40,AL$57),""),2,1)="(",LEFT(IFERROR(INDEX(醫師週班表!$C$5:$T$44,$CU40,AL$57),""),1),IFERROR(INDEX(醫師週班表!$C$5:$T$44,$CU40,AL$57),"")))))))</f>
        <v/>
      </c>
      <c r="AM40" s="72">
        <f>IF(AM$59="X","",IF(AM$59&lt;&gt;"",AM$59,IF(IFERROR(INDEX(醫師週班表!$C$5:$T$44,$CU40,AM$57),"")=0,"",IF(MID(IFERROR(INDEX(醫師週班表!$C$5:$T$44,$CU40,AM$57),""),2,1)="/",MID(IFERROR(INDEX(醫師週班表!$C$5:$T$44,$CU40,AM$57),""),1+AM$58*2,1),IF(MID(IFERROR(INDEX(醫師週班表!$C$5:$T$44,$CU40,AM$57),""),3,1)="隔",IF(AM$58=0,LEFT(IFERROR(INDEX(醫師週班表!$C$5:$T$44,$CU40,AM$57),""),1),""),IF(MID(IFERROR(INDEX(醫師週班表!$C$5:$T$44,$CU40,AM$57),""),2,1)="(",LEFT(IFERROR(INDEX(醫師週班表!$C$5:$T$44,$CU40,AM$57),""),1),IFERROR(INDEX(醫師週班表!$C$5:$T$44,$CU40,AM$57),"")))))))</f>
        <v/>
      </c>
      <c r="AN40" s="72">
        <f>IF(AN$59="X","",IF(AN$59&lt;&gt;"",AN$59,IF(IFERROR(INDEX(醫師週班表!$C$5:$T$44,$CU40,AN$57),"")=0,"",IF(MID(IFERROR(INDEX(醫師週班表!$C$5:$T$44,$CU40,AN$57),""),2,1)="/",MID(IFERROR(INDEX(醫師週班表!$C$5:$T$44,$CU40,AN$57),""),1+AN$58*2,1),IF(MID(IFERROR(INDEX(醫師週班表!$C$5:$T$44,$CU40,AN$57),""),3,1)="隔",IF(AN$58=0,LEFT(IFERROR(INDEX(醫師週班表!$C$5:$T$44,$CU40,AN$57),""),1),""),IF(MID(IFERROR(INDEX(醫師週班表!$C$5:$T$44,$CU40,AN$57),""),2,1)="(",LEFT(IFERROR(INDEX(醫師週班表!$C$5:$T$44,$CU40,AN$57),""),1),IFERROR(INDEX(醫師週班表!$C$5:$T$44,$CU40,AN$57),"")))))))</f>
        <v/>
      </c>
      <c r="AO40" s="71">
        <f>IF(AO$59="X","",IF(AO$59&lt;&gt;"",AO$59,IF(IFERROR(INDEX(醫師週班表!$C$5:$T$44,$CU40,AO$57),"")=0,"",IF(MID(IFERROR(INDEX(醫師週班表!$C$5:$T$44,$CU40,AO$57),""),2,1)="/",MID(IFERROR(INDEX(醫師週班表!$C$5:$T$44,$CU40,AO$57),""),1+AO$58*2,1),IF(MID(IFERROR(INDEX(醫師週班表!$C$5:$T$44,$CU40,AO$57),""),3,1)="隔",IF(AO$58=0,LEFT(IFERROR(INDEX(醫師週班表!$C$5:$T$44,$CU40,AO$57),""),1),""),IF(MID(IFERROR(INDEX(醫師週班表!$C$5:$T$44,$CU40,AO$57),""),2,1)="(",LEFT(IFERROR(INDEX(醫師週班表!$C$5:$T$44,$CU40,AO$57),""),1),IFERROR(INDEX(醫師週班表!$C$5:$T$44,$CU40,AO$57),"")))))))</f>
        <v/>
      </c>
      <c r="AP40" s="72">
        <f>IF(AP$59="X","",IF(AP$59&lt;&gt;"",AP$59,IF(IFERROR(INDEX(醫師週班表!$C$5:$T$44,$CU40,AP$57),"")=0,"",IF(MID(IFERROR(INDEX(醫師週班表!$C$5:$T$44,$CU40,AP$57),""),2,1)="/",MID(IFERROR(INDEX(醫師週班表!$C$5:$T$44,$CU40,AP$57),""),1+AP$58*2,1),IF(MID(IFERROR(INDEX(醫師週班表!$C$5:$T$44,$CU40,AP$57),""),3,1)="隔",IF(AP$58=0,LEFT(IFERROR(INDEX(醫師週班表!$C$5:$T$44,$CU40,AP$57),""),1),""),IF(MID(IFERROR(INDEX(醫師週班表!$C$5:$T$44,$CU40,AP$57),""),2,1)="(",LEFT(IFERROR(INDEX(醫師週班表!$C$5:$T$44,$CU40,AP$57),""),1),IFERROR(INDEX(醫師週班表!$C$5:$T$44,$CU40,AP$57),"")))))))</f>
        <v/>
      </c>
      <c r="AQ40" s="72">
        <f>IF(AQ$59="X","",IF(AQ$59&lt;&gt;"",AQ$59,IF(IFERROR(INDEX(醫師週班表!$C$5:$T$44,$CU40,AQ$57),"")=0,"",IF(MID(IFERROR(INDEX(醫師週班表!$C$5:$T$44,$CU40,AQ$57),""),2,1)="/",MID(IFERROR(INDEX(醫師週班表!$C$5:$T$44,$CU40,AQ$57),""),1+AQ$58*2,1),IF(MID(IFERROR(INDEX(醫師週班表!$C$5:$T$44,$CU40,AQ$57),""),3,1)="隔",IF(AQ$58=0,LEFT(IFERROR(INDEX(醫師週班表!$C$5:$T$44,$CU40,AQ$57),""),1),""),IF(MID(IFERROR(INDEX(醫師週班表!$C$5:$T$44,$CU40,AQ$57),""),2,1)="(",LEFT(IFERROR(INDEX(醫師週班表!$C$5:$T$44,$CU40,AQ$57),""),1),IFERROR(INDEX(醫師週班表!$C$5:$T$44,$CU40,AQ$57),"")))))))</f>
        <v/>
      </c>
      <c r="AR40" s="71">
        <f>IF(AR$59="X","",IF(AR$59&lt;&gt;"",AR$59,IF(IFERROR(INDEX(醫師週班表!$C$5:$T$44,$CU40,AR$57),"")=0,"",IF(MID(IFERROR(INDEX(醫師週班表!$C$5:$T$44,$CU40,AR$57),""),2,1)="/",MID(IFERROR(INDEX(醫師週班表!$C$5:$T$44,$CU40,AR$57),""),1+AR$58*2,1),IF(MID(IFERROR(INDEX(醫師週班表!$C$5:$T$44,$CU40,AR$57),""),3,1)="隔",IF(AR$58=0,LEFT(IFERROR(INDEX(醫師週班表!$C$5:$T$44,$CU40,AR$57),""),1),""),IF(MID(IFERROR(INDEX(醫師週班表!$C$5:$T$44,$CU40,AR$57),""),2,1)="(",LEFT(IFERROR(INDEX(醫師週班表!$C$5:$T$44,$CU40,AR$57),""),1),IFERROR(INDEX(醫師週班表!$C$5:$T$44,$CU40,AR$57),"")))))))</f>
        <v/>
      </c>
      <c r="AS40" s="72">
        <f>IF(AS$59="X","",IF(AS$59&lt;&gt;"",AS$59,IF(IFERROR(INDEX(醫師週班表!$C$5:$T$44,$CU40,AS$57),"")=0,"",IF(MID(IFERROR(INDEX(醫師週班表!$C$5:$T$44,$CU40,AS$57),""),2,1)="/",MID(IFERROR(INDEX(醫師週班表!$C$5:$T$44,$CU40,AS$57),""),1+AS$58*2,1),IF(MID(IFERROR(INDEX(醫師週班表!$C$5:$T$44,$CU40,AS$57),""),3,1)="隔",IF(AS$58=0,LEFT(IFERROR(INDEX(醫師週班表!$C$5:$T$44,$CU40,AS$57),""),1),""),IF(MID(IFERROR(INDEX(醫師週班表!$C$5:$T$44,$CU40,AS$57),""),2,1)="(",LEFT(IFERROR(INDEX(醫師週班表!$C$5:$T$44,$CU40,AS$57),""),1),IFERROR(INDEX(醫師週班表!$C$5:$T$44,$CU40,AS$57),"")))))))</f>
        <v/>
      </c>
      <c r="AT40" s="72">
        <f>IF(AT$59="X","",IF(AT$59&lt;&gt;"",AT$59,IF(IFERROR(INDEX(醫師週班表!$C$5:$T$44,$CU40,AT$57),"")=0,"",IF(MID(IFERROR(INDEX(醫師週班表!$C$5:$T$44,$CU40,AT$57),""),2,1)="/",MID(IFERROR(INDEX(醫師週班表!$C$5:$T$44,$CU40,AT$57),""),1+AT$58*2,1),IF(MID(IFERROR(INDEX(醫師週班表!$C$5:$T$44,$CU40,AT$57),""),3,1)="隔",IF(AT$58=0,LEFT(IFERROR(INDEX(醫師週班表!$C$5:$T$44,$CU40,AT$57),""),1),""),IF(MID(IFERROR(INDEX(醫師週班表!$C$5:$T$44,$CU40,AT$57),""),2,1)="(",LEFT(IFERROR(INDEX(醫師週班表!$C$5:$T$44,$CU40,AT$57),""),1),IFERROR(INDEX(醫師週班表!$C$5:$T$44,$CU40,AT$57),"")))))))</f>
        <v/>
      </c>
      <c r="AU40" s="71">
        <f>IF(AU$59="X","",IF(AU$59&lt;&gt;"",AU$59,IF(IFERROR(INDEX(醫師週班表!$C$5:$T$44,$CU40,AU$57),"")=0,"",IF(MID(IFERROR(INDEX(醫師週班表!$C$5:$T$44,$CU40,AU$57),""),2,1)="/",MID(IFERROR(INDEX(醫師週班表!$C$5:$T$44,$CU40,AU$57),""),1+AU$58*2,1),IF(MID(IFERROR(INDEX(醫師週班表!$C$5:$T$44,$CU40,AU$57),""),3,1)="隔",IF(AU$58=0,LEFT(IFERROR(INDEX(醫師週班表!$C$5:$T$44,$CU40,AU$57),""),1),""),IF(MID(IFERROR(INDEX(醫師週班表!$C$5:$T$44,$CU40,AU$57),""),2,1)="(",LEFT(IFERROR(INDEX(醫師週班表!$C$5:$T$44,$CU40,AU$57),""),1),IFERROR(INDEX(醫師週班表!$C$5:$T$44,$CU40,AU$57),"")))))))</f>
        <v/>
      </c>
      <c r="AV40" s="72">
        <f>IF(AV$59="X","",IF(AV$59&lt;&gt;"",AV$59,IF(IFERROR(INDEX(醫師週班表!$C$5:$T$44,$CU40,AV$57),"")=0,"",IF(MID(IFERROR(INDEX(醫師週班表!$C$5:$T$44,$CU40,AV$57),""),2,1)="/",MID(IFERROR(INDEX(醫師週班表!$C$5:$T$44,$CU40,AV$57),""),1+AV$58*2,1),IF(MID(IFERROR(INDEX(醫師週班表!$C$5:$T$44,$CU40,AV$57),""),3,1)="隔",IF(AV$58=0,LEFT(IFERROR(INDEX(醫師週班表!$C$5:$T$44,$CU40,AV$57),""),1),""),IF(MID(IFERROR(INDEX(醫師週班表!$C$5:$T$44,$CU40,AV$57),""),2,1)="(",LEFT(IFERROR(INDEX(醫師週班表!$C$5:$T$44,$CU40,AV$57),""),1),IFERROR(INDEX(醫師週班表!$C$5:$T$44,$CU40,AV$57),"")))))))</f>
        <v/>
      </c>
      <c r="AW40" s="72">
        <f>IF(AW$59="X","",IF(AW$59&lt;&gt;"",AW$59,IF(IFERROR(INDEX(醫師週班表!$C$5:$T$44,$CU40,AW$57),"")=0,"",IF(MID(IFERROR(INDEX(醫師週班表!$C$5:$T$44,$CU40,AW$57),""),2,1)="/",MID(IFERROR(INDEX(醫師週班表!$C$5:$T$44,$CU40,AW$57),""),1+AW$58*2,1),IF(MID(IFERROR(INDEX(醫師週班表!$C$5:$T$44,$CU40,AW$57),""),3,1)="隔",IF(AW$58=0,LEFT(IFERROR(INDEX(醫師週班表!$C$5:$T$44,$CU40,AW$57),""),1),""),IF(MID(IFERROR(INDEX(醫師週班表!$C$5:$T$44,$CU40,AW$57),""),2,1)="(",LEFT(IFERROR(INDEX(醫師週班表!$C$5:$T$44,$CU40,AW$57),""),1),IFERROR(INDEX(醫師週班表!$C$5:$T$44,$CU40,AW$57),"")))))))</f>
        <v/>
      </c>
      <c r="AX40" s="71">
        <f>IF(AX$59="X","",IF(AX$59&lt;&gt;"",AX$59,IF(IFERROR(INDEX(醫師週班表!$C$5:$T$44,$CU40,AX$57),"")=0,"",IF(MID(IFERROR(INDEX(醫師週班表!$C$5:$T$44,$CU40,AX$57),""),2,1)="/",MID(IFERROR(INDEX(醫師週班表!$C$5:$T$44,$CU40,AX$57),""),1+AX$58*2,1),IF(MID(IFERROR(INDEX(醫師週班表!$C$5:$T$44,$CU40,AX$57),""),3,1)="隔",IF(AX$58=0,LEFT(IFERROR(INDEX(醫師週班表!$C$5:$T$44,$CU40,AX$57),""),1),""),IF(MID(IFERROR(INDEX(醫師週班表!$C$5:$T$44,$CU40,AX$57),""),2,1)="(",LEFT(IFERROR(INDEX(醫師週班表!$C$5:$T$44,$CU40,AX$57),""),1),IFERROR(INDEX(醫師週班表!$C$5:$T$44,$CU40,AX$57),"")))))))</f>
        <v/>
      </c>
      <c r="AY40" s="72">
        <f>IF(AY$59="X","",IF(AY$59&lt;&gt;"",AY$59,IF(IFERROR(INDEX(醫師週班表!$C$5:$T$44,$CU40,AY$57),"")=0,"",IF(MID(IFERROR(INDEX(醫師週班表!$C$5:$T$44,$CU40,AY$57),""),2,1)="/",MID(IFERROR(INDEX(醫師週班表!$C$5:$T$44,$CU40,AY$57),""),1+AY$58*2,1),IF(MID(IFERROR(INDEX(醫師週班表!$C$5:$T$44,$CU40,AY$57),""),3,1)="隔",IF(AY$58=0,LEFT(IFERROR(INDEX(醫師週班表!$C$5:$T$44,$CU40,AY$57),""),1),""),IF(MID(IFERROR(INDEX(醫師週班表!$C$5:$T$44,$CU40,AY$57),""),2,1)="(",LEFT(IFERROR(INDEX(醫師週班表!$C$5:$T$44,$CU40,AY$57),""),1),IFERROR(INDEX(醫師週班表!$C$5:$T$44,$CU40,AY$57),"")))))))</f>
        <v/>
      </c>
      <c r="AZ40" s="72">
        <f>IF(AZ$59="X","",IF(AZ$59&lt;&gt;"",AZ$59,IF(IFERROR(INDEX(醫師週班表!$C$5:$T$44,$CU40,AZ$57),"")=0,"",IF(MID(IFERROR(INDEX(醫師週班表!$C$5:$T$44,$CU40,AZ$57),""),2,1)="/",MID(IFERROR(INDEX(醫師週班表!$C$5:$T$44,$CU40,AZ$57),""),1+AZ$58*2,1),IF(MID(IFERROR(INDEX(醫師週班表!$C$5:$T$44,$CU40,AZ$57),""),3,1)="隔",IF(AZ$58=0,LEFT(IFERROR(INDEX(醫師週班表!$C$5:$T$44,$CU40,AZ$57),""),1),""),IF(MID(IFERROR(INDEX(醫師週班表!$C$5:$T$44,$CU40,AZ$57),""),2,1)="(",LEFT(IFERROR(INDEX(醫師週班表!$C$5:$T$44,$CU40,AZ$57),""),1),IFERROR(INDEX(醫師週班表!$C$5:$T$44,$CU40,AZ$57),"")))))))</f>
        <v/>
      </c>
      <c r="BA40" s="71">
        <f>IF(BA$59="X","",IF(BA$59&lt;&gt;"",BA$59,IF(IFERROR(INDEX(醫師週班表!$C$5:$T$44,$CU40,BA$57),"")=0,"",IF(MID(IFERROR(INDEX(醫師週班表!$C$5:$T$44,$CU40,BA$57),""),2,1)="/",MID(IFERROR(INDEX(醫師週班表!$C$5:$T$44,$CU40,BA$57),""),1+BA$58*2,1),IF(MID(IFERROR(INDEX(醫師週班表!$C$5:$T$44,$CU40,BA$57),""),3,1)="隔",IF(BA$58=0,LEFT(IFERROR(INDEX(醫師週班表!$C$5:$T$44,$CU40,BA$57),""),1),""),IF(MID(IFERROR(INDEX(醫師週班表!$C$5:$T$44,$CU40,BA$57),""),2,1)="(",LEFT(IFERROR(INDEX(醫師週班表!$C$5:$T$44,$CU40,BA$57),""),1),IFERROR(INDEX(醫師週班表!$C$5:$T$44,$CU40,BA$57),"")))))))</f>
        <v/>
      </c>
      <c r="BB40" s="72">
        <f>IF(BB$59="X","",IF(BB$59&lt;&gt;"",BB$59,IF(IFERROR(INDEX(醫師週班表!$C$5:$T$44,$CU40,BB$57),"")=0,"",IF(MID(IFERROR(INDEX(醫師週班表!$C$5:$T$44,$CU40,BB$57),""),2,1)="/",MID(IFERROR(INDEX(醫師週班表!$C$5:$T$44,$CU40,BB$57),""),1+BB$58*2,1),IF(MID(IFERROR(INDEX(醫師週班表!$C$5:$T$44,$CU40,BB$57),""),3,1)="隔",IF(BB$58=0,LEFT(IFERROR(INDEX(醫師週班表!$C$5:$T$44,$CU40,BB$57),""),1),""),IF(MID(IFERROR(INDEX(醫師週班表!$C$5:$T$44,$CU40,BB$57),""),2,1)="(",LEFT(IFERROR(INDEX(醫師週班表!$C$5:$T$44,$CU40,BB$57),""),1),IFERROR(INDEX(醫師週班表!$C$5:$T$44,$CU40,BB$57),"")))))))</f>
        <v/>
      </c>
      <c r="BC40" s="72">
        <f>IF(BC$59="X","",IF(BC$59&lt;&gt;"",BC$59,IF(IFERROR(INDEX(醫師週班表!$C$5:$T$44,$CU40,BC$57),"")=0,"",IF(MID(IFERROR(INDEX(醫師週班表!$C$5:$T$44,$CU40,BC$57),""),2,1)="/",MID(IFERROR(INDEX(醫師週班表!$C$5:$T$44,$CU40,BC$57),""),1+BC$58*2,1),IF(MID(IFERROR(INDEX(醫師週班表!$C$5:$T$44,$CU40,BC$57),""),3,1)="隔",IF(BC$58=0,LEFT(IFERROR(INDEX(醫師週班表!$C$5:$T$44,$CU40,BC$57),""),1),""),IF(MID(IFERROR(INDEX(醫師週班表!$C$5:$T$44,$CU40,BC$57),""),2,1)="(",LEFT(IFERROR(INDEX(醫師週班表!$C$5:$T$44,$CU40,BC$57),""),1),IFERROR(INDEX(醫師週班表!$C$5:$T$44,$CU40,BC$57),"")))))))</f>
        <v/>
      </c>
      <c r="BD40" s="71">
        <f>IF(BD$59="X","",IF(BD$59&lt;&gt;"",BD$59,IF(IFERROR(INDEX(醫師週班表!$C$5:$T$44,$CU40,BD$57),"")=0,"",IF(MID(IFERROR(INDEX(醫師週班表!$C$5:$T$44,$CU40,BD$57),""),2,1)="/",MID(IFERROR(INDEX(醫師週班表!$C$5:$T$44,$CU40,BD$57),""),1+BD$58*2,1),IF(MID(IFERROR(INDEX(醫師週班表!$C$5:$T$44,$CU40,BD$57),""),3,1)="隔",IF(BD$58=0,LEFT(IFERROR(INDEX(醫師週班表!$C$5:$T$44,$CU40,BD$57),""),1),""),IF(MID(IFERROR(INDEX(醫師週班表!$C$5:$T$44,$CU40,BD$57),""),2,1)="(",LEFT(IFERROR(INDEX(醫師週班表!$C$5:$T$44,$CU40,BD$57),""),1),IFERROR(INDEX(醫師週班表!$C$5:$T$44,$CU40,BD$57),"")))))))</f>
        <v/>
      </c>
      <c r="BE40" s="72">
        <f>IF(BE$59="X","",IF(BE$59&lt;&gt;"",BE$59,IF(IFERROR(INDEX(醫師週班表!$C$5:$T$44,$CU40,BE$57),"")=0,"",IF(MID(IFERROR(INDEX(醫師週班表!$C$5:$T$44,$CU40,BE$57),""),2,1)="/",MID(IFERROR(INDEX(醫師週班表!$C$5:$T$44,$CU40,BE$57),""),1+BE$58*2,1),IF(MID(IFERROR(INDEX(醫師週班表!$C$5:$T$44,$CU40,BE$57),""),3,1)="隔",IF(BE$58=0,LEFT(IFERROR(INDEX(醫師週班表!$C$5:$T$44,$CU40,BE$57),""),1),""),IF(MID(IFERROR(INDEX(醫師週班表!$C$5:$T$44,$CU40,BE$57),""),2,1)="(",LEFT(IFERROR(INDEX(醫師週班表!$C$5:$T$44,$CU40,BE$57),""),1),IFERROR(INDEX(醫師週班表!$C$5:$T$44,$CU40,BE$57),"")))))))</f>
        <v/>
      </c>
      <c r="BF40" s="72">
        <f>IF(BF$59="X","",IF(BF$59&lt;&gt;"",BF$59,IF(IFERROR(INDEX(醫師週班表!$C$5:$T$44,$CU40,BF$57),"")=0,"",IF(MID(IFERROR(INDEX(醫師週班表!$C$5:$T$44,$CU40,BF$57),""),2,1)="/",MID(IFERROR(INDEX(醫師週班表!$C$5:$T$44,$CU40,BF$57),""),1+BF$58*2,1),IF(MID(IFERROR(INDEX(醫師週班表!$C$5:$T$44,$CU40,BF$57),""),3,1)="隔",IF(BF$58=0,LEFT(IFERROR(INDEX(醫師週班表!$C$5:$T$44,$CU40,BF$57),""),1),""),IF(MID(IFERROR(INDEX(醫師週班表!$C$5:$T$44,$CU40,BF$57),""),2,1)="(",LEFT(IFERROR(INDEX(醫師週班表!$C$5:$T$44,$CU40,BF$57),""),1),IFERROR(INDEX(醫師週班表!$C$5:$T$44,$CU40,BF$57),"")))))))</f>
        <v/>
      </c>
      <c r="BG40" s="71">
        <f>IF(BG$59="X","",IF(BG$59&lt;&gt;"",BG$59,IF(IFERROR(INDEX(醫師週班表!$C$5:$T$44,$CU40,BG$57),"")=0,"",IF(MID(IFERROR(INDEX(醫師週班表!$C$5:$T$44,$CU40,BG$57),""),2,1)="/",MID(IFERROR(INDEX(醫師週班表!$C$5:$T$44,$CU40,BG$57),""),1+BG$58*2,1),IF(MID(IFERROR(INDEX(醫師週班表!$C$5:$T$44,$CU40,BG$57),""),3,1)="隔",IF(BG$58=0,LEFT(IFERROR(INDEX(醫師週班表!$C$5:$T$44,$CU40,BG$57),""),1),""),IF(MID(IFERROR(INDEX(醫師週班表!$C$5:$T$44,$CU40,BG$57),""),2,1)="(",LEFT(IFERROR(INDEX(醫師週班表!$C$5:$T$44,$CU40,BG$57),""),1),IFERROR(INDEX(醫師週班表!$C$5:$T$44,$CU40,BG$57),"")))))))</f>
        <v/>
      </c>
      <c r="BH40" s="72">
        <f>IF(BH$59="X","",IF(BH$59&lt;&gt;"",BH$59,IF(IFERROR(INDEX(醫師週班表!$C$5:$T$44,$CU40,BH$57),"")=0,"",IF(MID(IFERROR(INDEX(醫師週班表!$C$5:$T$44,$CU40,BH$57),""),2,1)="/",MID(IFERROR(INDEX(醫師週班表!$C$5:$T$44,$CU40,BH$57),""),1+BH$58*2,1),IF(MID(IFERROR(INDEX(醫師週班表!$C$5:$T$44,$CU40,BH$57),""),3,1)="隔",IF(BH$58=0,LEFT(IFERROR(INDEX(醫師週班表!$C$5:$T$44,$CU40,BH$57),""),1),""),IF(MID(IFERROR(INDEX(醫師週班表!$C$5:$T$44,$CU40,BH$57),""),2,1)="(",LEFT(IFERROR(INDEX(醫師週班表!$C$5:$T$44,$CU40,BH$57),""),1),IFERROR(INDEX(醫師週班表!$C$5:$T$44,$CU40,BH$57),"")))))))</f>
        <v/>
      </c>
      <c r="BI40" s="72">
        <f>IF(BI$59="X","",IF(BI$59&lt;&gt;"",BI$59,IF(IFERROR(INDEX(醫師週班表!$C$5:$T$44,$CU40,BI$57),"")=0,"",IF(MID(IFERROR(INDEX(醫師週班表!$C$5:$T$44,$CU40,BI$57),""),2,1)="/",MID(IFERROR(INDEX(醫師週班表!$C$5:$T$44,$CU40,BI$57),""),1+BI$58*2,1),IF(MID(IFERROR(INDEX(醫師週班表!$C$5:$T$44,$CU40,BI$57),""),3,1)="隔",IF(BI$58=0,LEFT(IFERROR(INDEX(醫師週班表!$C$5:$T$44,$CU40,BI$57),""),1),""),IF(MID(IFERROR(INDEX(醫師週班表!$C$5:$T$44,$CU40,BI$57),""),2,1)="(",LEFT(IFERROR(INDEX(醫師週班表!$C$5:$T$44,$CU40,BI$57),""),1),IFERROR(INDEX(醫師週班表!$C$5:$T$44,$CU40,BI$57),"")))))))</f>
        <v/>
      </c>
      <c r="BJ40" s="71">
        <f>IF(BJ$59="X","",IF(BJ$59&lt;&gt;"",BJ$59,IF(IFERROR(INDEX(醫師週班表!$C$5:$T$44,$CU40,BJ$57),"")=0,"",IF(MID(IFERROR(INDEX(醫師週班表!$C$5:$T$44,$CU40,BJ$57),""),2,1)="/",MID(IFERROR(INDEX(醫師週班表!$C$5:$T$44,$CU40,BJ$57),""),1+BJ$58*2,1),IF(MID(IFERROR(INDEX(醫師週班表!$C$5:$T$44,$CU40,BJ$57),""),3,1)="隔",IF(BJ$58=0,LEFT(IFERROR(INDEX(醫師週班表!$C$5:$T$44,$CU40,BJ$57),""),1),""),IF(MID(IFERROR(INDEX(醫師週班表!$C$5:$T$44,$CU40,BJ$57),""),2,1)="(",LEFT(IFERROR(INDEX(醫師週班表!$C$5:$T$44,$CU40,BJ$57),""),1),IFERROR(INDEX(醫師週班表!$C$5:$T$44,$CU40,BJ$57),"")))))))</f>
        <v/>
      </c>
      <c r="BK40" s="72">
        <f>IF(BK$59="X","",IF(BK$59&lt;&gt;"",BK$59,IF(IFERROR(INDEX(醫師週班表!$C$5:$T$44,$CU40,BK$57),"")=0,"",IF(MID(IFERROR(INDEX(醫師週班表!$C$5:$T$44,$CU40,BK$57),""),2,1)="/",MID(IFERROR(INDEX(醫師週班表!$C$5:$T$44,$CU40,BK$57),""),1+BK$58*2,1),IF(MID(IFERROR(INDEX(醫師週班表!$C$5:$T$44,$CU40,BK$57),""),3,1)="隔",IF(BK$58=0,LEFT(IFERROR(INDEX(醫師週班表!$C$5:$T$44,$CU40,BK$57),""),1),""),IF(MID(IFERROR(INDEX(醫師週班表!$C$5:$T$44,$CU40,BK$57),""),2,1)="(",LEFT(IFERROR(INDEX(醫師週班表!$C$5:$T$44,$CU40,BK$57),""),1),IFERROR(INDEX(醫師週班表!$C$5:$T$44,$CU40,BK$57),"")))))))</f>
        <v/>
      </c>
      <c r="BL40" s="72">
        <f>IF(BL$59="X","",IF(BL$59&lt;&gt;"",BL$59,IF(IFERROR(INDEX(醫師週班表!$C$5:$T$44,$CU40,BL$57),"")=0,"",IF(MID(IFERROR(INDEX(醫師週班表!$C$5:$T$44,$CU40,BL$57),""),2,1)="/",MID(IFERROR(INDEX(醫師週班表!$C$5:$T$44,$CU40,BL$57),""),1+BL$58*2,1),IF(MID(IFERROR(INDEX(醫師週班表!$C$5:$T$44,$CU40,BL$57),""),3,1)="隔",IF(BL$58=0,LEFT(IFERROR(INDEX(醫師週班表!$C$5:$T$44,$CU40,BL$57),""),1),""),IF(MID(IFERROR(INDEX(醫師週班表!$C$5:$T$44,$CU40,BL$57),""),2,1)="(",LEFT(IFERROR(INDEX(醫師週班表!$C$5:$T$44,$CU40,BL$57),""),1),IFERROR(INDEX(醫師週班表!$C$5:$T$44,$CU40,BL$57),"")))))))</f>
        <v/>
      </c>
      <c r="BM40" s="71">
        <f>IF(BM$59="X","",IF(BM$59&lt;&gt;"",BM$59,IF(IFERROR(INDEX(醫師週班表!$C$5:$T$44,$CU40,BM$57),"")=0,"",IF(MID(IFERROR(INDEX(醫師週班表!$C$5:$T$44,$CU40,BM$57),""),2,1)="/",MID(IFERROR(INDEX(醫師週班表!$C$5:$T$44,$CU40,BM$57),""),1+BM$58*2,1),IF(MID(IFERROR(INDEX(醫師週班表!$C$5:$T$44,$CU40,BM$57),""),3,1)="隔",IF(BM$58=0,LEFT(IFERROR(INDEX(醫師週班表!$C$5:$T$44,$CU40,BM$57),""),1),""),IF(MID(IFERROR(INDEX(醫師週班表!$C$5:$T$44,$CU40,BM$57),""),2,1)="(",LEFT(IFERROR(INDEX(醫師週班表!$C$5:$T$44,$CU40,BM$57),""),1),IFERROR(INDEX(醫師週班表!$C$5:$T$44,$CU40,BM$57),"")))))))</f>
        <v/>
      </c>
      <c r="BN40" s="72">
        <f>IF(BN$59="X","",IF(BN$59&lt;&gt;"",BN$59,IF(IFERROR(INDEX(醫師週班表!$C$5:$T$44,$CU40,BN$57),"")=0,"",IF(MID(IFERROR(INDEX(醫師週班表!$C$5:$T$44,$CU40,BN$57),""),2,1)="/",MID(IFERROR(INDEX(醫師週班表!$C$5:$T$44,$CU40,BN$57),""),1+BN$58*2,1),IF(MID(IFERROR(INDEX(醫師週班表!$C$5:$T$44,$CU40,BN$57),""),3,1)="隔",IF(BN$58=0,LEFT(IFERROR(INDEX(醫師週班表!$C$5:$T$44,$CU40,BN$57),""),1),""),IF(MID(IFERROR(INDEX(醫師週班表!$C$5:$T$44,$CU40,BN$57),""),2,1)="(",LEFT(IFERROR(INDEX(醫師週班表!$C$5:$T$44,$CU40,BN$57),""),1),IFERROR(INDEX(醫師週班表!$C$5:$T$44,$CU40,BN$57),"")))))))</f>
        <v/>
      </c>
      <c r="BO40" s="72">
        <f>IF(BO$59="X","",IF(BO$59&lt;&gt;"",BO$59,IF(IFERROR(INDEX(醫師週班表!$C$5:$T$44,$CU40,BO$57),"")=0,"",IF(MID(IFERROR(INDEX(醫師週班表!$C$5:$T$44,$CU40,BO$57),""),2,1)="/",MID(IFERROR(INDEX(醫師週班表!$C$5:$T$44,$CU40,BO$57),""),1+BO$58*2,1),IF(MID(IFERROR(INDEX(醫師週班表!$C$5:$T$44,$CU40,BO$57),""),3,1)="隔",IF(BO$58=0,LEFT(IFERROR(INDEX(醫師週班表!$C$5:$T$44,$CU40,BO$57),""),1),""),IF(MID(IFERROR(INDEX(醫師週班表!$C$5:$T$44,$CU40,BO$57),""),2,1)="(",LEFT(IFERROR(INDEX(醫師週班表!$C$5:$T$44,$CU40,BO$57),""),1),IFERROR(INDEX(醫師週班表!$C$5:$T$44,$CU40,BO$57),"")))))))</f>
        <v/>
      </c>
      <c r="BP40" s="71">
        <f>IF(BP$59="X","",IF(BP$59&lt;&gt;"",BP$59,IF(IFERROR(INDEX(醫師週班表!$C$5:$T$44,$CU40,BP$57),"")=0,"",IF(MID(IFERROR(INDEX(醫師週班表!$C$5:$T$44,$CU40,BP$57),""),2,1)="/",MID(IFERROR(INDEX(醫師週班表!$C$5:$T$44,$CU40,BP$57),""),1+BP$58*2,1),IF(MID(IFERROR(INDEX(醫師週班表!$C$5:$T$44,$CU40,BP$57),""),3,1)="隔",IF(BP$58=0,LEFT(IFERROR(INDEX(醫師週班表!$C$5:$T$44,$CU40,BP$57),""),1),""),IF(MID(IFERROR(INDEX(醫師週班表!$C$5:$T$44,$CU40,BP$57),""),2,1)="(",LEFT(IFERROR(INDEX(醫師週班表!$C$5:$T$44,$CU40,BP$57),""),1),IFERROR(INDEX(醫師週班表!$C$5:$T$44,$CU40,BP$57),"")))))))</f>
        <v/>
      </c>
      <c r="BQ40" s="72">
        <f>IF(BQ$59="X","",IF(BQ$59&lt;&gt;"",BQ$59,IF(IFERROR(INDEX(醫師週班表!$C$5:$T$44,$CU40,BQ$57),"")=0,"",IF(MID(IFERROR(INDEX(醫師週班表!$C$5:$T$44,$CU40,BQ$57),""),2,1)="/",MID(IFERROR(INDEX(醫師週班表!$C$5:$T$44,$CU40,BQ$57),""),1+BQ$58*2,1),IF(MID(IFERROR(INDEX(醫師週班表!$C$5:$T$44,$CU40,BQ$57),""),3,1)="隔",IF(BQ$58=0,LEFT(IFERROR(INDEX(醫師週班表!$C$5:$T$44,$CU40,BQ$57),""),1),""),IF(MID(IFERROR(INDEX(醫師週班表!$C$5:$T$44,$CU40,BQ$57),""),2,1)="(",LEFT(IFERROR(INDEX(醫師週班表!$C$5:$T$44,$CU40,BQ$57),""),1),IFERROR(INDEX(醫師週班表!$C$5:$T$44,$CU40,BQ$57),"")))))))</f>
        <v/>
      </c>
      <c r="BR40" s="72">
        <f>IF(BR$59="X","",IF(BR$59&lt;&gt;"",BR$59,IF(IFERROR(INDEX(醫師週班表!$C$5:$T$44,$CU40,BR$57),"")=0,"",IF(MID(IFERROR(INDEX(醫師週班表!$C$5:$T$44,$CU40,BR$57),""),2,1)="/",MID(IFERROR(INDEX(醫師週班表!$C$5:$T$44,$CU40,BR$57),""),1+BR$58*2,1),IF(MID(IFERROR(INDEX(醫師週班表!$C$5:$T$44,$CU40,BR$57),""),3,1)="隔",IF(BR$58=0,LEFT(IFERROR(INDEX(醫師週班表!$C$5:$T$44,$CU40,BR$57),""),1),""),IF(MID(IFERROR(INDEX(醫師週班表!$C$5:$T$44,$CU40,BR$57),""),2,1)="(",LEFT(IFERROR(INDEX(醫師週班表!$C$5:$T$44,$CU40,BR$57),""),1),IFERROR(INDEX(醫師週班表!$C$5:$T$44,$CU40,BR$57),"")))))))</f>
        <v/>
      </c>
      <c r="BS40" s="71">
        <f>IF(BS$59="X","",IF(BS$59&lt;&gt;"",BS$59,IF(IFERROR(INDEX(醫師週班表!$C$5:$T$44,$CU40,BS$57),"")=0,"",IF(MID(IFERROR(INDEX(醫師週班表!$C$5:$T$44,$CU40,BS$57),""),2,1)="/",MID(IFERROR(INDEX(醫師週班表!$C$5:$T$44,$CU40,BS$57),""),1+BS$58*2,1),IF(MID(IFERROR(INDEX(醫師週班表!$C$5:$T$44,$CU40,BS$57),""),3,1)="隔",IF(BS$58=0,LEFT(IFERROR(INDEX(醫師週班表!$C$5:$T$44,$CU40,BS$57),""),1),""),IF(MID(IFERROR(INDEX(醫師週班表!$C$5:$T$44,$CU40,BS$57),""),2,1)="(",LEFT(IFERROR(INDEX(醫師週班表!$C$5:$T$44,$CU40,BS$57),""),1),IFERROR(INDEX(醫師週班表!$C$5:$T$44,$CU40,BS$57),"")))))))</f>
        <v/>
      </c>
      <c r="BT40" s="72">
        <f>IF(BT$59="X","",IF(BT$59&lt;&gt;"",BT$59,IF(IFERROR(INDEX(醫師週班表!$C$5:$T$44,$CU40,BT$57),"")=0,"",IF(MID(IFERROR(INDEX(醫師週班表!$C$5:$T$44,$CU40,BT$57),""),2,1)="/",MID(IFERROR(INDEX(醫師週班表!$C$5:$T$44,$CU40,BT$57),""),1+BT$58*2,1),IF(MID(IFERROR(INDEX(醫師週班表!$C$5:$T$44,$CU40,BT$57),""),3,1)="隔",IF(BT$58=0,LEFT(IFERROR(INDEX(醫師週班表!$C$5:$T$44,$CU40,BT$57),""),1),""),IF(MID(IFERROR(INDEX(醫師週班表!$C$5:$T$44,$CU40,BT$57),""),2,1)="(",LEFT(IFERROR(INDEX(醫師週班表!$C$5:$T$44,$CU40,BT$57),""),1),IFERROR(INDEX(醫師週班表!$C$5:$T$44,$CU40,BT$57),"")))))))</f>
        <v/>
      </c>
      <c r="BU40" s="72">
        <f>IF(BU$59="X","",IF(BU$59&lt;&gt;"",BU$59,IF(IFERROR(INDEX(醫師週班表!$C$5:$T$44,$CU40,BU$57),"")=0,"",IF(MID(IFERROR(INDEX(醫師週班表!$C$5:$T$44,$CU40,BU$57),""),2,1)="/",MID(IFERROR(INDEX(醫師週班表!$C$5:$T$44,$CU40,BU$57),""),1+BU$58*2,1),IF(MID(IFERROR(INDEX(醫師週班表!$C$5:$T$44,$CU40,BU$57),""),3,1)="隔",IF(BU$58=0,LEFT(IFERROR(INDEX(醫師週班表!$C$5:$T$44,$CU40,BU$57),""),1),""),IF(MID(IFERROR(INDEX(醫師週班表!$C$5:$T$44,$CU40,BU$57),""),2,1)="(",LEFT(IFERROR(INDEX(醫師週班表!$C$5:$T$44,$CU40,BU$57),""),1),IFERROR(INDEX(醫師週班表!$C$5:$T$44,$CU40,BU$57),"")))))))</f>
        <v/>
      </c>
      <c r="BV40" s="71">
        <f>IF(BV$59="X","",IF(BV$59&lt;&gt;"",BV$59,IF(IFERROR(INDEX(醫師週班表!$C$5:$T$44,$CU40,BV$57),"")=0,"",IF(MID(IFERROR(INDEX(醫師週班表!$C$5:$T$44,$CU40,BV$57),""),2,1)="/",MID(IFERROR(INDEX(醫師週班表!$C$5:$T$44,$CU40,BV$57),""),1+BV$58*2,1),IF(MID(IFERROR(INDEX(醫師週班表!$C$5:$T$44,$CU40,BV$57),""),3,1)="隔",IF(BV$58=0,LEFT(IFERROR(INDEX(醫師週班表!$C$5:$T$44,$CU40,BV$57),""),1),""),IF(MID(IFERROR(INDEX(醫師週班表!$C$5:$T$44,$CU40,BV$57),""),2,1)="(",LEFT(IFERROR(INDEX(醫師週班表!$C$5:$T$44,$CU40,BV$57),""),1),IFERROR(INDEX(醫師週班表!$C$5:$T$44,$CU40,BV$57),"")))))))</f>
        <v/>
      </c>
      <c r="BW40" s="72">
        <f>IF(BW$59="X","",IF(BW$59&lt;&gt;"",BW$59,IF(IFERROR(INDEX(醫師週班表!$C$5:$T$44,$CU40,BW$57),"")=0,"",IF(MID(IFERROR(INDEX(醫師週班表!$C$5:$T$44,$CU40,BW$57),""),2,1)="/",MID(IFERROR(INDEX(醫師週班表!$C$5:$T$44,$CU40,BW$57),""),1+BW$58*2,1),IF(MID(IFERROR(INDEX(醫師週班表!$C$5:$T$44,$CU40,BW$57),""),3,1)="隔",IF(BW$58=0,LEFT(IFERROR(INDEX(醫師週班表!$C$5:$T$44,$CU40,BW$57),""),1),""),IF(MID(IFERROR(INDEX(醫師週班表!$C$5:$T$44,$CU40,BW$57),""),2,1)="(",LEFT(IFERROR(INDEX(醫師週班表!$C$5:$T$44,$CU40,BW$57),""),1),IFERROR(INDEX(醫師週班表!$C$5:$T$44,$CU40,BW$57),"")))))))</f>
        <v/>
      </c>
      <c r="BX40" s="72">
        <f>IF(BX$59="X","",IF(BX$59&lt;&gt;"",BX$59,IF(IFERROR(INDEX(醫師週班表!$C$5:$T$44,$CU40,BX$57),"")=0,"",IF(MID(IFERROR(INDEX(醫師週班表!$C$5:$T$44,$CU40,BX$57),""),2,1)="/",MID(IFERROR(INDEX(醫師週班表!$C$5:$T$44,$CU40,BX$57),""),1+BX$58*2,1),IF(MID(IFERROR(INDEX(醫師週班表!$C$5:$T$44,$CU40,BX$57),""),3,1)="隔",IF(BX$58=0,LEFT(IFERROR(INDEX(醫師週班表!$C$5:$T$44,$CU40,BX$57),""),1),""),IF(MID(IFERROR(INDEX(醫師週班表!$C$5:$T$44,$CU40,BX$57),""),2,1)="(",LEFT(IFERROR(INDEX(醫師週班表!$C$5:$T$44,$CU40,BX$57),""),1),IFERROR(INDEX(醫師週班表!$C$5:$T$44,$CU40,BX$57),"")))))))</f>
        <v/>
      </c>
      <c r="BY40" s="71">
        <f>IF(BY$59="X","",IF(BY$59&lt;&gt;"",BY$59,IF(IFERROR(INDEX(醫師週班表!$C$5:$T$44,$CU40,BY$57),"")=0,"",IF(MID(IFERROR(INDEX(醫師週班表!$C$5:$T$44,$CU40,BY$57),""),2,1)="/",MID(IFERROR(INDEX(醫師週班表!$C$5:$T$44,$CU40,BY$57),""),1+BY$58*2,1),IF(MID(IFERROR(INDEX(醫師週班表!$C$5:$T$44,$CU40,BY$57),""),3,1)="隔",IF(BY$58=0,LEFT(IFERROR(INDEX(醫師週班表!$C$5:$T$44,$CU40,BY$57),""),1),""),IF(MID(IFERROR(INDEX(醫師週班表!$C$5:$T$44,$CU40,BY$57),""),2,1)="(",LEFT(IFERROR(INDEX(醫師週班表!$C$5:$T$44,$CU40,BY$57),""),1),IFERROR(INDEX(醫師週班表!$C$5:$T$44,$CU40,BY$57),"")))))))</f>
        <v/>
      </c>
      <c r="BZ40" s="72">
        <f>IF(BZ$59="X","",IF(BZ$59&lt;&gt;"",BZ$59,IF(IFERROR(INDEX(醫師週班表!$C$5:$T$44,$CU40,BZ$57),"")=0,"",IF(MID(IFERROR(INDEX(醫師週班表!$C$5:$T$44,$CU40,BZ$57),""),2,1)="/",MID(IFERROR(INDEX(醫師週班表!$C$5:$T$44,$CU40,BZ$57),""),1+BZ$58*2,1),IF(MID(IFERROR(INDEX(醫師週班表!$C$5:$T$44,$CU40,BZ$57),""),3,1)="隔",IF(BZ$58=0,LEFT(IFERROR(INDEX(醫師週班表!$C$5:$T$44,$CU40,BZ$57),""),1),""),IF(MID(IFERROR(INDEX(醫師週班表!$C$5:$T$44,$CU40,BZ$57),""),2,1)="(",LEFT(IFERROR(INDEX(醫師週班表!$C$5:$T$44,$CU40,BZ$57),""),1),IFERROR(INDEX(醫師週班表!$C$5:$T$44,$CU40,BZ$57),"")))))))</f>
        <v/>
      </c>
      <c r="CA40" s="72">
        <f>IF(CA$59="X","",IF(CA$59&lt;&gt;"",CA$59,IF(IFERROR(INDEX(醫師週班表!$C$5:$T$44,$CU40,CA$57),"")=0,"",IF(MID(IFERROR(INDEX(醫師週班表!$C$5:$T$44,$CU40,CA$57),""),2,1)="/",MID(IFERROR(INDEX(醫師週班表!$C$5:$T$44,$CU40,CA$57),""),1+CA$58*2,1),IF(MID(IFERROR(INDEX(醫師週班表!$C$5:$T$44,$CU40,CA$57),""),3,1)="隔",IF(CA$58=0,LEFT(IFERROR(INDEX(醫師週班表!$C$5:$T$44,$CU40,CA$57),""),1),""),IF(MID(IFERROR(INDEX(醫師週班表!$C$5:$T$44,$CU40,CA$57),""),2,1)="(",LEFT(IFERROR(INDEX(醫師週班表!$C$5:$T$44,$CU40,CA$57),""),1),IFERROR(INDEX(醫師週班表!$C$5:$T$44,$CU40,CA$57),"")))))))</f>
        <v/>
      </c>
      <c r="CB40" s="71">
        <f>IF(CB$59="X","",IF(CB$59&lt;&gt;"",CB$59,IF(IFERROR(INDEX(醫師週班表!$C$5:$T$44,$CU40,CB$57),"")=0,"",IF(MID(IFERROR(INDEX(醫師週班表!$C$5:$T$44,$CU40,CB$57),""),2,1)="/",MID(IFERROR(INDEX(醫師週班表!$C$5:$T$44,$CU40,CB$57),""),1+CB$58*2,1),IF(MID(IFERROR(INDEX(醫師週班表!$C$5:$T$44,$CU40,CB$57),""),3,1)="隔",IF(CB$58=0,LEFT(IFERROR(INDEX(醫師週班表!$C$5:$T$44,$CU40,CB$57),""),1),""),IF(MID(IFERROR(INDEX(醫師週班表!$C$5:$T$44,$CU40,CB$57),""),2,1)="(",LEFT(IFERROR(INDEX(醫師週班表!$C$5:$T$44,$CU40,CB$57),""),1),IFERROR(INDEX(醫師週班表!$C$5:$T$44,$CU40,CB$57),"")))))))</f>
        <v/>
      </c>
      <c r="CC40" s="72">
        <f>IF(CC$59="X","",IF(CC$59&lt;&gt;"",CC$59,IF(IFERROR(INDEX(醫師週班表!$C$5:$T$44,$CU40,CC$57),"")=0,"",IF(MID(IFERROR(INDEX(醫師週班表!$C$5:$T$44,$CU40,CC$57),""),2,1)="/",MID(IFERROR(INDEX(醫師週班表!$C$5:$T$44,$CU40,CC$57),""),1+CC$58*2,1),IF(MID(IFERROR(INDEX(醫師週班表!$C$5:$T$44,$CU40,CC$57),""),3,1)="隔",IF(CC$58=0,LEFT(IFERROR(INDEX(醫師週班表!$C$5:$T$44,$CU40,CC$57),""),1),""),IF(MID(IFERROR(INDEX(醫師週班表!$C$5:$T$44,$CU40,CC$57),""),2,1)="(",LEFT(IFERROR(INDEX(醫師週班表!$C$5:$T$44,$CU40,CC$57),""),1),IFERROR(INDEX(醫師週班表!$C$5:$T$44,$CU40,CC$57),"")))))))</f>
        <v/>
      </c>
      <c r="CD40" s="72">
        <f>IF(CD$59="X","",IF(CD$59&lt;&gt;"",CD$59,IF(IFERROR(INDEX(醫師週班表!$C$5:$T$44,$CU40,CD$57),"")=0,"",IF(MID(IFERROR(INDEX(醫師週班表!$C$5:$T$44,$CU40,CD$57),""),2,1)="/",MID(IFERROR(INDEX(醫師週班表!$C$5:$T$44,$CU40,CD$57),""),1+CD$58*2,1),IF(MID(IFERROR(INDEX(醫師週班表!$C$5:$T$44,$CU40,CD$57),""),3,1)="隔",IF(CD$58=0,LEFT(IFERROR(INDEX(醫師週班表!$C$5:$T$44,$CU40,CD$57),""),1),""),IF(MID(IFERROR(INDEX(醫師週班表!$C$5:$T$44,$CU40,CD$57),""),2,1)="(",LEFT(IFERROR(INDEX(醫師週班表!$C$5:$T$44,$CU40,CD$57),""),1),IFERROR(INDEX(醫師週班表!$C$5:$T$44,$CU40,CD$57),"")))))))</f>
        <v/>
      </c>
      <c r="CE40" s="71">
        <f>IF(CE$59="X","",IF(CE$59&lt;&gt;"",CE$59,IF(IFERROR(INDEX(醫師週班表!$C$5:$T$44,$CU40,CE$57),"")=0,"",IF(MID(IFERROR(INDEX(醫師週班表!$C$5:$T$44,$CU40,CE$57),""),2,1)="/",MID(IFERROR(INDEX(醫師週班表!$C$5:$T$44,$CU40,CE$57),""),1+CE$58*2,1),IF(MID(IFERROR(INDEX(醫師週班表!$C$5:$T$44,$CU40,CE$57),""),3,1)="隔",IF(CE$58=0,LEFT(IFERROR(INDEX(醫師週班表!$C$5:$T$44,$CU40,CE$57),""),1),""),IF(MID(IFERROR(INDEX(醫師週班表!$C$5:$T$44,$CU40,CE$57),""),2,1)="(",LEFT(IFERROR(INDEX(醫師週班表!$C$5:$T$44,$CU40,CE$57),""),1),IFERROR(INDEX(醫師週班表!$C$5:$T$44,$CU40,CE$57),"")))))))</f>
        <v/>
      </c>
      <c r="CF40" s="72">
        <f>IF(CF$59="X","",IF(CF$59&lt;&gt;"",CF$59,IF(IFERROR(INDEX(醫師週班表!$C$5:$T$44,$CU40,CF$57),"")=0,"",IF(MID(IFERROR(INDEX(醫師週班表!$C$5:$T$44,$CU40,CF$57),""),2,1)="/",MID(IFERROR(INDEX(醫師週班表!$C$5:$T$44,$CU40,CF$57),""),1+CF$58*2,1),IF(MID(IFERROR(INDEX(醫師週班表!$C$5:$T$44,$CU40,CF$57),""),3,1)="隔",IF(CF$58=0,LEFT(IFERROR(INDEX(醫師週班表!$C$5:$T$44,$CU40,CF$57),""),1),""),IF(MID(IFERROR(INDEX(醫師週班表!$C$5:$T$44,$CU40,CF$57),""),2,1)="(",LEFT(IFERROR(INDEX(醫師週班表!$C$5:$T$44,$CU40,CF$57),""),1),IFERROR(INDEX(醫師週班表!$C$5:$T$44,$CU40,CF$57),"")))))))</f>
        <v/>
      </c>
      <c r="CG40" s="72">
        <f>IF(CG$59="X","",IF(CG$59&lt;&gt;"",CG$59,IF(IFERROR(INDEX(醫師週班表!$C$5:$T$44,$CU40,CG$57),"")=0,"",IF(MID(IFERROR(INDEX(醫師週班表!$C$5:$T$44,$CU40,CG$57),""),2,1)="/",MID(IFERROR(INDEX(醫師週班表!$C$5:$T$44,$CU40,CG$57),""),1+CG$58*2,1),IF(MID(IFERROR(INDEX(醫師週班表!$C$5:$T$44,$CU40,CG$57),""),3,1)="隔",IF(CG$58=0,LEFT(IFERROR(INDEX(醫師週班表!$C$5:$T$44,$CU40,CG$57),""),1),""),IF(MID(IFERROR(INDEX(醫師週班表!$C$5:$T$44,$CU40,CG$57),""),2,1)="(",LEFT(IFERROR(INDEX(醫師週班表!$C$5:$T$44,$CU40,CG$57),""),1),IFERROR(INDEX(醫師週班表!$C$5:$T$44,$CU40,CG$57),"")))))))</f>
        <v/>
      </c>
      <c r="CH40" s="71">
        <f>IF(CH$59="X","",IF(CH$59&lt;&gt;"",CH$59,IF(IFERROR(INDEX(醫師週班表!$C$5:$T$44,$CU40,CH$57),"")=0,"",IF(MID(IFERROR(INDEX(醫師週班表!$C$5:$T$44,$CU40,CH$57),""),2,1)="/",MID(IFERROR(INDEX(醫師週班表!$C$5:$T$44,$CU40,CH$57),""),1+CH$58*2,1),IF(MID(IFERROR(INDEX(醫師週班表!$C$5:$T$44,$CU40,CH$57),""),3,1)="隔",IF(CH$58=0,LEFT(IFERROR(INDEX(醫師週班表!$C$5:$T$44,$CU40,CH$57),""),1),""),IF(MID(IFERROR(INDEX(醫師週班表!$C$5:$T$44,$CU40,CH$57),""),2,1)="(",LEFT(IFERROR(INDEX(醫師週班表!$C$5:$T$44,$CU40,CH$57),""),1),IFERROR(INDEX(醫師週班表!$C$5:$T$44,$CU40,CH$57),"")))))))</f>
        <v/>
      </c>
      <c r="CI40" s="72">
        <f>IF(CI$59="X","",IF(CI$59&lt;&gt;"",CI$59,IF(IFERROR(INDEX(醫師週班表!$C$5:$T$44,$CU40,CI$57),"")=0,"",IF(MID(IFERROR(INDEX(醫師週班表!$C$5:$T$44,$CU40,CI$57),""),2,1)="/",MID(IFERROR(INDEX(醫師週班表!$C$5:$T$44,$CU40,CI$57),""),1+CI$58*2,1),IF(MID(IFERROR(INDEX(醫師週班表!$C$5:$T$44,$CU40,CI$57),""),3,1)="隔",IF(CI$58=0,LEFT(IFERROR(INDEX(醫師週班表!$C$5:$T$44,$CU40,CI$57),""),1),""),IF(MID(IFERROR(INDEX(醫師週班表!$C$5:$T$44,$CU40,CI$57),""),2,1)="(",LEFT(IFERROR(INDEX(醫師週班表!$C$5:$T$44,$CU40,CI$57),""),1),IFERROR(INDEX(醫師週班表!$C$5:$T$44,$CU40,CI$57),"")))))))</f>
        <v/>
      </c>
      <c r="CJ40" s="72">
        <f>IF(CJ$59="X","",IF(CJ$59&lt;&gt;"",CJ$59,IF(IFERROR(INDEX(醫師週班表!$C$5:$T$44,$CU40,CJ$57),"")=0,"",IF(MID(IFERROR(INDEX(醫師週班表!$C$5:$T$44,$CU40,CJ$57),""),2,1)="/",MID(IFERROR(INDEX(醫師週班表!$C$5:$T$44,$CU40,CJ$57),""),1+CJ$58*2,1),IF(MID(IFERROR(INDEX(醫師週班表!$C$5:$T$44,$CU40,CJ$57),""),3,1)="隔",IF(CJ$58=0,LEFT(IFERROR(INDEX(醫師週班表!$C$5:$T$44,$CU40,CJ$57),""),1),""),IF(MID(IFERROR(INDEX(醫師週班表!$C$5:$T$44,$CU40,CJ$57),""),2,1)="(",LEFT(IFERROR(INDEX(醫師週班表!$C$5:$T$44,$CU40,CJ$57),""),1),IFERROR(INDEX(醫師週班表!$C$5:$T$44,$CU40,CJ$57),"")))))))</f>
        <v/>
      </c>
      <c r="CK40" s="71">
        <f>IF(CK$59="X","",IF(CK$59&lt;&gt;"",CK$59,IF(IFERROR(INDEX(醫師週班表!$C$5:$T$44,$CU40,CK$57),"")=0,"",IF(MID(IFERROR(INDEX(醫師週班表!$C$5:$T$44,$CU40,CK$57),""),2,1)="/",MID(IFERROR(INDEX(醫師週班表!$C$5:$T$44,$CU40,CK$57),""),1+CK$58*2,1),IF(MID(IFERROR(INDEX(醫師週班表!$C$5:$T$44,$CU40,CK$57),""),3,1)="隔",IF(CK$58=0,LEFT(IFERROR(INDEX(醫師週班表!$C$5:$T$44,$CU40,CK$57),""),1),""),IF(MID(IFERROR(INDEX(醫師週班表!$C$5:$T$44,$CU40,CK$57),""),2,1)="(",LEFT(IFERROR(INDEX(醫師週班表!$C$5:$T$44,$CU40,CK$57),""),1),IFERROR(INDEX(醫師週班表!$C$5:$T$44,$CU40,CK$57),"")))))))</f>
        <v/>
      </c>
      <c r="CL40" s="72">
        <f>IF(CL$59="X","",IF(CL$59&lt;&gt;"",CL$59,IF(IFERROR(INDEX(醫師週班表!$C$5:$T$44,$CU40,CL$57),"")=0,"",IF(MID(IFERROR(INDEX(醫師週班表!$C$5:$T$44,$CU40,CL$57),""),2,1)="/",MID(IFERROR(INDEX(醫師週班表!$C$5:$T$44,$CU40,CL$57),""),1+CL$58*2,1),IF(MID(IFERROR(INDEX(醫師週班表!$C$5:$T$44,$CU40,CL$57),""),3,1)="隔",IF(CL$58=0,LEFT(IFERROR(INDEX(醫師週班表!$C$5:$T$44,$CU40,CL$57),""),1),""),IF(MID(IFERROR(INDEX(醫師週班表!$C$5:$T$44,$CU40,CL$57),""),2,1)="(",LEFT(IFERROR(INDEX(醫師週班表!$C$5:$T$44,$CU40,CL$57),""),1),IFERROR(INDEX(醫師週班表!$C$5:$T$44,$CU40,CL$57),"")))))))</f>
        <v/>
      </c>
      <c r="CM40" s="72">
        <f>IF(CM$59="X","",IF(CM$59&lt;&gt;"",CM$59,IF(IFERROR(INDEX(醫師週班表!$C$5:$T$44,$CU40,CM$57),"")=0,"",IF(MID(IFERROR(INDEX(醫師週班表!$C$5:$T$44,$CU40,CM$57),""),2,1)="/",MID(IFERROR(INDEX(醫師週班表!$C$5:$T$44,$CU40,CM$57),""),1+CM$58*2,1),IF(MID(IFERROR(INDEX(醫師週班表!$C$5:$T$44,$CU40,CM$57),""),3,1)="隔",IF(CM$58=0,LEFT(IFERROR(INDEX(醫師週班表!$C$5:$T$44,$CU40,CM$57),""),1),""),IF(MID(IFERROR(INDEX(醫師週班表!$C$5:$T$44,$CU40,CM$57),""),2,1)="(",LEFT(IFERROR(INDEX(醫師週班表!$C$5:$T$44,$CU40,CM$57),""),1),IFERROR(INDEX(醫師週班表!$C$5:$T$44,$CU40,CM$57),"")))))))</f>
        <v/>
      </c>
      <c r="CN40" s="71">
        <f>IF(CN$59="X","",IF(CN$59&lt;&gt;"",CN$59,IF(IFERROR(INDEX(醫師週班表!$C$5:$T$44,$CU40,CN$57),"")=0,"",IF(MID(IFERROR(INDEX(醫師週班表!$C$5:$T$44,$CU40,CN$57),""),2,1)="/",MID(IFERROR(INDEX(醫師週班表!$C$5:$T$44,$CU40,CN$57),""),1+CN$58*2,1),IF(MID(IFERROR(INDEX(醫師週班表!$C$5:$T$44,$CU40,CN$57),""),3,1)="隔",IF(CN$58=0,LEFT(IFERROR(INDEX(醫師週班表!$C$5:$T$44,$CU40,CN$57),""),1),""),IF(MID(IFERROR(INDEX(醫師週班表!$C$5:$T$44,$CU40,CN$57),""),2,1)="(",LEFT(IFERROR(INDEX(醫師週班表!$C$5:$T$44,$CU40,CN$57),""),1),IFERROR(INDEX(醫師週班表!$C$5:$T$44,$CU40,CN$57),"")))))))</f>
        <v/>
      </c>
      <c r="CO40" s="72">
        <f>IF(CO$59="X","",IF(CO$59&lt;&gt;"",CO$59,IF(IFERROR(INDEX(醫師週班表!$C$5:$T$44,$CU40,CO$57),"")=0,"",IF(MID(IFERROR(INDEX(醫師週班表!$C$5:$T$44,$CU40,CO$57),""),2,1)="/",MID(IFERROR(INDEX(醫師週班表!$C$5:$T$44,$CU40,CO$57),""),1+CO$58*2,1),IF(MID(IFERROR(INDEX(醫師週班表!$C$5:$T$44,$CU40,CO$57),""),3,1)="隔",IF(CO$58=0,LEFT(IFERROR(INDEX(醫師週班表!$C$5:$T$44,$CU40,CO$57),""),1),""),IF(MID(IFERROR(INDEX(醫師週班表!$C$5:$T$44,$CU40,CO$57),""),2,1)="(",LEFT(IFERROR(INDEX(醫師週班表!$C$5:$T$44,$CU40,CO$57),""),1),IFERROR(INDEX(醫師週班表!$C$5:$T$44,$CU40,CO$57),"")))))))</f>
        <v/>
      </c>
      <c r="CP40" s="72">
        <f>IF(CP$59="X","",IF(CP$59&lt;&gt;"",CP$59,IF(IFERROR(INDEX(醫師週班表!$C$5:$T$44,$CU40,CP$57),"")=0,"",IF(MID(IFERROR(INDEX(醫師週班表!$C$5:$T$44,$CU40,CP$57),""),2,1)="/",MID(IFERROR(INDEX(醫師週班表!$C$5:$T$44,$CU40,CP$57),""),1+CP$58*2,1),IF(MID(IFERROR(INDEX(醫師週班表!$C$5:$T$44,$CU40,CP$57),""),3,1)="隔",IF(CP$58=0,LEFT(IFERROR(INDEX(醫師週班表!$C$5:$T$44,$CU40,CP$57),""),1),""),IF(MID(IFERROR(INDEX(醫師週班表!$C$5:$T$44,$CU40,CP$57),""),2,1)="(",LEFT(IFERROR(INDEX(醫師週班表!$C$5:$T$44,$CU40,CP$57),""),1),IFERROR(INDEX(醫師週班表!$C$5:$T$44,$CU40,CP$57),"")))))))</f>
        <v/>
      </c>
      <c r="CQ40" s="71">
        <f>IF(CQ$59="X","",IF(CQ$59&lt;&gt;"",CQ$59,IF(IFERROR(INDEX(醫師週班表!$C$5:$T$44,$CU40,CQ$57),"")=0,"",IF(MID(IFERROR(INDEX(醫師週班表!$C$5:$T$44,$CU40,CQ$57),""),2,1)="/",MID(IFERROR(INDEX(醫師週班表!$C$5:$T$44,$CU40,CQ$57),""),1+CQ$58*2,1),IF(MID(IFERROR(INDEX(醫師週班表!$C$5:$T$44,$CU40,CQ$57),""),3,1)="隔",IF(CQ$58=0,LEFT(IFERROR(INDEX(醫師週班表!$C$5:$T$44,$CU40,CQ$57),""),1),""),IF(MID(IFERROR(INDEX(醫師週班表!$C$5:$T$44,$CU40,CQ$57),""),2,1)="(",LEFT(IFERROR(INDEX(醫師週班表!$C$5:$T$44,$CU40,CQ$57),""),1),IFERROR(INDEX(醫師週班表!$C$5:$T$44,$CU40,CQ$57),"")))))))</f>
        <v/>
      </c>
      <c r="CR40" s="72">
        <f>IF(CR$59="X","",IF(CR$59&lt;&gt;"",CR$59,IF(IFERROR(INDEX(醫師週班表!$C$5:$T$44,$CU40,CR$57),"")=0,"",IF(MID(IFERROR(INDEX(醫師週班表!$C$5:$T$44,$CU40,CR$57),""),2,1)="/",MID(IFERROR(INDEX(醫師週班表!$C$5:$T$44,$CU40,CR$57),""),1+CR$58*2,1),IF(MID(IFERROR(INDEX(醫師週班表!$C$5:$T$44,$CU40,CR$57),""),3,1)="隔",IF(CR$58=0,LEFT(IFERROR(INDEX(醫師週班表!$C$5:$T$44,$CU40,CR$57),""),1),""),IF(MID(IFERROR(INDEX(醫師週班表!$C$5:$T$44,$CU40,CR$57),""),2,1)="(",LEFT(IFERROR(INDEX(醫師週班表!$C$5:$T$44,$CU40,CR$57),""),1),IFERROR(INDEX(醫師週班表!$C$5:$T$44,$CU40,CR$57),"")))))))</f>
        <v/>
      </c>
      <c r="CS40" s="72">
        <f>IF(CS$59="X","",IF(CS$59&lt;&gt;"",CS$59,IF(IFERROR(INDEX(醫師週班表!$C$5:$T$44,$CU40,CS$57),"")=0,"",IF(MID(IFERROR(INDEX(醫師週班表!$C$5:$T$44,$CU40,CS$57),""),2,1)="/",MID(IFERROR(INDEX(醫師週班表!$C$5:$T$44,$CU40,CS$57),""),1+CS$58*2,1),IF(MID(IFERROR(INDEX(醫師週班表!$C$5:$T$44,$CU40,CS$57),""),3,1)="隔",IF(CS$58=0,LEFT(IFERROR(INDEX(醫師週班表!$C$5:$T$44,$CU40,CS$57),""),1),""),IF(MID(IFERROR(INDEX(醫師週班表!$C$5:$T$44,$CU40,CS$57),""),2,1)="(",LEFT(IFERROR(INDEX(醫師週班表!$C$5:$T$44,$CU40,CS$57),""),1),IFERROR(INDEX(醫師週班表!$C$5:$T$44,$CU40,CS$57),"")))))))</f>
        <v/>
      </c>
      <c r="CU40" s="73">
        <f>IFERROR(MATCH($A40,醫師週班表!$A$5:$A$44,0),0)</f>
        <v/>
      </c>
    </row>
    <row r="41" ht="17" customHeight="1">
      <c r="A41" s="19" t="n"/>
      <c r="B41" s="16">
        <f>IFERROR(INDEX(設定!$C$64:$C$203,MATCH($A41,設定!$B$64:$B$203,0)),"")</f>
        <v/>
      </c>
      <c r="C41" s="70">
        <f>IFERROR(INDEX(設定!$E$64:$E$203,MATCH($A41,設定!$B$64:$B$203,0)),"")</f>
        <v/>
      </c>
      <c r="D41" s="16">
        <f>IFERROR(INDEX(設定!$F$64:$F$203,MATCH($A41,設定!$B$64:$B$203,0)),"")</f>
        <v/>
      </c>
      <c r="E41" s="71">
        <f>IF(E$59="X","",IF(E$59&lt;&gt;"",E$59,IF(IFERROR(INDEX(醫師週班表!$C$5:$T$44,$CU41,E$57),"")=0,"",IF(MID(IFERROR(INDEX(醫師週班表!$C$5:$T$44,$CU41,E$57),""),2,1)="/",MID(IFERROR(INDEX(醫師週班表!$C$5:$T$44,$CU41,E$57),""),1+E$58*2,1),IF(MID(IFERROR(INDEX(醫師週班表!$C$5:$T$44,$CU41,E$57),""),3,1)="隔",IF(E$58=0,LEFT(IFERROR(INDEX(醫師週班表!$C$5:$T$44,$CU41,E$57),""),1),""),IF(MID(IFERROR(INDEX(醫師週班表!$C$5:$T$44,$CU41,E$57),""),2,1)="(",LEFT(IFERROR(INDEX(醫師週班表!$C$5:$T$44,$CU41,E$57),""),1),IFERROR(INDEX(醫師週班表!$C$5:$T$44,$CU41,E$57),"")))))))</f>
        <v/>
      </c>
      <c r="F41" s="72">
        <f>IF(F$59="X","",IF(F$59&lt;&gt;"",F$59,IF(IFERROR(INDEX(醫師週班表!$C$5:$T$44,$CU41,F$57),"")=0,"",IF(MID(IFERROR(INDEX(醫師週班表!$C$5:$T$44,$CU41,F$57),""),2,1)="/",MID(IFERROR(INDEX(醫師週班表!$C$5:$T$44,$CU41,F$57),""),1+F$58*2,1),IF(MID(IFERROR(INDEX(醫師週班表!$C$5:$T$44,$CU41,F$57),""),3,1)="隔",IF(F$58=0,LEFT(IFERROR(INDEX(醫師週班表!$C$5:$T$44,$CU41,F$57),""),1),""),IF(MID(IFERROR(INDEX(醫師週班表!$C$5:$T$44,$CU41,F$57),""),2,1)="(",LEFT(IFERROR(INDEX(醫師週班表!$C$5:$T$44,$CU41,F$57),""),1),IFERROR(INDEX(醫師週班表!$C$5:$T$44,$CU41,F$57),"")))))))</f>
        <v/>
      </c>
      <c r="G41" s="72">
        <f>IF(G$59="X","",IF(G$59&lt;&gt;"",G$59,IF(IFERROR(INDEX(醫師週班表!$C$5:$T$44,$CU41,G$57),"")=0,"",IF(MID(IFERROR(INDEX(醫師週班表!$C$5:$T$44,$CU41,G$57),""),2,1)="/",MID(IFERROR(INDEX(醫師週班表!$C$5:$T$44,$CU41,G$57),""),1+G$58*2,1),IF(MID(IFERROR(INDEX(醫師週班表!$C$5:$T$44,$CU41,G$57),""),3,1)="隔",IF(G$58=0,LEFT(IFERROR(INDEX(醫師週班表!$C$5:$T$44,$CU41,G$57),""),1),""),IF(MID(IFERROR(INDEX(醫師週班表!$C$5:$T$44,$CU41,G$57),""),2,1)="(",LEFT(IFERROR(INDEX(醫師週班表!$C$5:$T$44,$CU41,G$57),""),1),IFERROR(INDEX(醫師週班表!$C$5:$T$44,$CU41,G$57),"")))))))</f>
        <v/>
      </c>
      <c r="H41" s="71">
        <f>IF(H$59="X","",IF(H$59&lt;&gt;"",H$59,IF(IFERROR(INDEX(醫師週班表!$C$5:$T$44,$CU41,H$57),"")=0,"",IF(MID(IFERROR(INDEX(醫師週班表!$C$5:$T$44,$CU41,H$57),""),2,1)="/",MID(IFERROR(INDEX(醫師週班表!$C$5:$T$44,$CU41,H$57),""),1+H$58*2,1),IF(MID(IFERROR(INDEX(醫師週班表!$C$5:$T$44,$CU41,H$57),""),3,1)="隔",IF(H$58=0,LEFT(IFERROR(INDEX(醫師週班表!$C$5:$T$44,$CU41,H$57),""),1),""),IF(MID(IFERROR(INDEX(醫師週班表!$C$5:$T$44,$CU41,H$57),""),2,1)="(",LEFT(IFERROR(INDEX(醫師週班表!$C$5:$T$44,$CU41,H$57),""),1),IFERROR(INDEX(醫師週班表!$C$5:$T$44,$CU41,H$57),"")))))))</f>
        <v/>
      </c>
      <c r="I41" s="72">
        <f>IF(I$59="X","",IF(I$59&lt;&gt;"",I$59,IF(IFERROR(INDEX(醫師週班表!$C$5:$T$44,$CU41,I$57),"")=0,"",IF(MID(IFERROR(INDEX(醫師週班表!$C$5:$T$44,$CU41,I$57),""),2,1)="/",MID(IFERROR(INDEX(醫師週班表!$C$5:$T$44,$CU41,I$57),""),1+I$58*2,1),IF(MID(IFERROR(INDEX(醫師週班表!$C$5:$T$44,$CU41,I$57),""),3,1)="隔",IF(I$58=0,LEFT(IFERROR(INDEX(醫師週班表!$C$5:$T$44,$CU41,I$57),""),1),""),IF(MID(IFERROR(INDEX(醫師週班表!$C$5:$T$44,$CU41,I$57),""),2,1)="(",LEFT(IFERROR(INDEX(醫師週班表!$C$5:$T$44,$CU41,I$57),""),1),IFERROR(INDEX(醫師週班表!$C$5:$T$44,$CU41,I$57),"")))))))</f>
        <v/>
      </c>
      <c r="J41" s="72">
        <f>IF(J$59="X","",IF(J$59&lt;&gt;"",J$59,IF(IFERROR(INDEX(醫師週班表!$C$5:$T$44,$CU41,J$57),"")=0,"",IF(MID(IFERROR(INDEX(醫師週班表!$C$5:$T$44,$CU41,J$57),""),2,1)="/",MID(IFERROR(INDEX(醫師週班表!$C$5:$T$44,$CU41,J$57),""),1+J$58*2,1),IF(MID(IFERROR(INDEX(醫師週班表!$C$5:$T$44,$CU41,J$57),""),3,1)="隔",IF(J$58=0,LEFT(IFERROR(INDEX(醫師週班表!$C$5:$T$44,$CU41,J$57),""),1),""),IF(MID(IFERROR(INDEX(醫師週班表!$C$5:$T$44,$CU41,J$57),""),2,1)="(",LEFT(IFERROR(INDEX(醫師週班表!$C$5:$T$44,$CU41,J$57),""),1),IFERROR(INDEX(醫師週班表!$C$5:$T$44,$CU41,J$57),"")))))))</f>
        <v/>
      </c>
      <c r="K41" s="71">
        <f>IF(K$59="X","",IF(K$59&lt;&gt;"",K$59,IF(IFERROR(INDEX(醫師週班表!$C$5:$T$44,$CU41,K$57),"")=0,"",IF(MID(IFERROR(INDEX(醫師週班表!$C$5:$T$44,$CU41,K$57),""),2,1)="/",MID(IFERROR(INDEX(醫師週班表!$C$5:$T$44,$CU41,K$57),""),1+K$58*2,1),IF(MID(IFERROR(INDEX(醫師週班表!$C$5:$T$44,$CU41,K$57),""),3,1)="隔",IF(K$58=0,LEFT(IFERROR(INDEX(醫師週班表!$C$5:$T$44,$CU41,K$57),""),1),""),IF(MID(IFERROR(INDEX(醫師週班表!$C$5:$T$44,$CU41,K$57),""),2,1)="(",LEFT(IFERROR(INDEX(醫師週班表!$C$5:$T$44,$CU41,K$57),""),1),IFERROR(INDEX(醫師週班表!$C$5:$T$44,$CU41,K$57),"")))))))</f>
        <v/>
      </c>
      <c r="L41" s="72">
        <f>IF(L$59="X","",IF(L$59&lt;&gt;"",L$59,IF(IFERROR(INDEX(醫師週班表!$C$5:$T$44,$CU41,L$57),"")=0,"",IF(MID(IFERROR(INDEX(醫師週班表!$C$5:$T$44,$CU41,L$57),""),2,1)="/",MID(IFERROR(INDEX(醫師週班表!$C$5:$T$44,$CU41,L$57),""),1+L$58*2,1),IF(MID(IFERROR(INDEX(醫師週班表!$C$5:$T$44,$CU41,L$57),""),3,1)="隔",IF(L$58=0,LEFT(IFERROR(INDEX(醫師週班表!$C$5:$T$44,$CU41,L$57),""),1),""),IF(MID(IFERROR(INDEX(醫師週班表!$C$5:$T$44,$CU41,L$57),""),2,1)="(",LEFT(IFERROR(INDEX(醫師週班表!$C$5:$T$44,$CU41,L$57),""),1),IFERROR(INDEX(醫師週班表!$C$5:$T$44,$CU41,L$57),"")))))))</f>
        <v/>
      </c>
      <c r="M41" s="72">
        <f>IF(M$59="X","",IF(M$59&lt;&gt;"",M$59,IF(IFERROR(INDEX(醫師週班表!$C$5:$T$44,$CU41,M$57),"")=0,"",IF(MID(IFERROR(INDEX(醫師週班表!$C$5:$T$44,$CU41,M$57),""),2,1)="/",MID(IFERROR(INDEX(醫師週班表!$C$5:$T$44,$CU41,M$57),""),1+M$58*2,1),IF(MID(IFERROR(INDEX(醫師週班表!$C$5:$T$44,$CU41,M$57),""),3,1)="隔",IF(M$58=0,LEFT(IFERROR(INDEX(醫師週班表!$C$5:$T$44,$CU41,M$57),""),1),""),IF(MID(IFERROR(INDEX(醫師週班表!$C$5:$T$44,$CU41,M$57),""),2,1)="(",LEFT(IFERROR(INDEX(醫師週班表!$C$5:$T$44,$CU41,M$57),""),1),IFERROR(INDEX(醫師週班表!$C$5:$T$44,$CU41,M$57),"")))))))</f>
        <v/>
      </c>
      <c r="N41" s="71">
        <f>IF(N$59="X","",IF(N$59&lt;&gt;"",N$59,IF(IFERROR(INDEX(醫師週班表!$C$5:$T$44,$CU41,N$57),"")=0,"",IF(MID(IFERROR(INDEX(醫師週班表!$C$5:$T$44,$CU41,N$57),""),2,1)="/",MID(IFERROR(INDEX(醫師週班表!$C$5:$T$44,$CU41,N$57),""),1+N$58*2,1),IF(MID(IFERROR(INDEX(醫師週班表!$C$5:$T$44,$CU41,N$57),""),3,1)="隔",IF(N$58=0,LEFT(IFERROR(INDEX(醫師週班表!$C$5:$T$44,$CU41,N$57),""),1),""),IF(MID(IFERROR(INDEX(醫師週班表!$C$5:$T$44,$CU41,N$57),""),2,1)="(",LEFT(IFERROR(INDEX(醫師週班表!$C$5:$T$44,$CU41,N$57),""),1),IFERROR(INDEX(醫師週班表!$C$5:$T$44,$CU41,N$57),"")))))))</f>
        <v/>
      </c>
      <c r="O41" s="72">
        <f>IF(O$59="X","",IF(O$59&lt;&gt;"",O$59,IF(IFERROR(INDEX(醫師週班表!$C$5:$T$44,$CU41,O$57),"")=0,"",IF(MID(IFERROR(INDEX(醫師週班表!$C$5:$T$44,$CU41,O$57),""),2,1)="/",MID(IFERROR(INDEX(醫師週班表!$C$5:$T$44,$CU41,O$57),""),1+O$58*2,1),IF(MID(IFERROR(INDEX(醫師週班表!$C$5:$T$44,$CU41,O$57),""),3,1)="隔",IF(O$58=0,LEFT(IFERROR(INDEX(醫師週班表!$C$5:$T$44,$CU41,O$57),""),1),""),IF(MID(IFERROR(INDEX(醫師週班表!$C$5:$T$44,$CU41,O$57),""),2,1)="(",LEFT(IFERROR(INDEX(醫師週班表!$C$5:$T$44,$CU41,O$57),""),1),IFERROR(INDEX(醫師週班表!$C$5:$T$44,$CU41,O$57),"")))))))</f>
        <v/>
      </c>
      <c r="P41" s="72">
        <f>IF(P$59="X","",IF(P$59&lt;&gt;"",P$59,IF(IFERROR(INDEX(醫師週班表!$C$5:$T$44,$CU41,P$57),"")=0,"",IF(MID(IFERROR(INDEX(醫師週班表!$C$5:$T$44,$CU41,P$57),""),2,1)="/",MID(IFERROR(INDEX(醫師週班表!$C$5:$T$44,$CU41,P$57),""),1+P$58*2,1),IF(MID(IFERROR(INDEX(醫師週班表!$C$5:$T$44,$CU41,P$57),""),3,1)="隔",IF(P$58=0,LEFT(IFERROR(INDEX(醫師週班表!$C$5:$T$44,$CU41,P$57),""),1),""),IF(MID(IFERROR(INDEX(醫師週班表!$C$5:$T$44,$CU41,P$57),""),2,1)="(",LEFT(IFERROR(INDEX(醫師週班表!$C$5:$T$44,$CU41,P$57),""),1),IFERROR(INDEX(醫師週班表!$C$5:$T$44,$CU41,P$57),"")))))))</f>
        <v/>
      </c>
      <c r="Q41" s="71">
        <f>IF(Q$59="X","",IF(Q$59&lt;&gt;"",Q$59,IF(IFERROR(INDEX(醫師週班表!$C$5:$T$44,$CU41,Q$57),"")=0,"",IF(MID(IFERROR(INDEX(醫師週班表!$C$5:$T$44,$CU41,Q$57),""),2,1)="/",MID(IFERROR(INDEX(醫師週班表!$C$5:$T$44,$CU41,Q$57),""),1+Q$58*2,1),IF(MID(IFERROR(INDEX(醫師週班表!$C$5:$T$44,$CU41,Q$57),""),3,1)="隔",IF(Q$58=0,LEFT(IFERROR(INDEX(醫師週班表!$C$5:$T$44,$CU41,Q$57),""),1),""),IF(MID(IFERROR(INDEX(醫師週班表!$C$5:$T$44,$CU41,Q$57),""),2,1)="(",LEFT(IFERROR(INDEX(醫師週班表!$C$5:$T$44,$CU41,Q$57),""),1),IFERROR(INDEX(醫師週班表!$C$5:$T$44,$CU41,Q$57),"")))))))</f>
        <v/>
      </c>
      <c r="R41" s="72">
        <f>IF(R$59="X","",IF(R$59&lt;&gt;"",R$59,IF(IFERROR(INDEX(醫師週班表!$C$5:$T$44,$CU41,R$57),"")=0,"",IF(MID(IFERROR(INDEX(醫師週班表!$C$5:$T$44,$CU41,R$57),""),2,1)="/",MID(IFERROR(INDEX(醫師週班表!$C$5:$T$44,$CU41,R$57),""),1+R$58*2,1),IF(MID(IFERROR(INDEX(醫師週班表!$C$5:$T$44,$CU41,R$57),""),3,1)="隔",IF(R$58=0,LEFT(IFERROR(INDEX(醫師週班表!$C$5:$T$44,$CU41,R$57),""),1),""),IF(MID(IFERROR(INDEX(醫師週班表!$C$5:$T$44,$CU41,R$57),""),2,1)="(",LEFT(IFERROR(INDEX(醫師週班表!$C$5:$T$44,$CU41,R$57),""),1),IFERROR(INDEX(醫師週班表!$C$5:$T$44,$CU41,R$57),"")))))))</f>
        <v/>
      </c>
      <c r="S41" s="72">
        <f>IF(S$59="X","",IF(S$59&lt;&gt;"",S$59,IF(IFERROR(INDEX(醫師週班表!$C$5:$T$44,$CU41,S$57),"")=0,"",IF(MID(IFERROR(INDEX(醫師週班表!$C$5:$T$44,$CU41,S$57),""),2,1)="/",MID(IFERROR(INDEX(醫師週班表!$C$5:$T$44,$CU41,S$57),""),1+S$58*2,1),IF(MID(IFERROR(INDEX(醫師週班表!$C$5:$T$44,$CU41,S$57),""),3,1)="隔",IF(S$58=0,LEFT(IFERROR(INDEX(醫師週班表!$C$5:$T$44,$CU41,S$57),""),1),""),IF(MID(IFERROR(INDEX(醫師週班表!$C$5:$T$44,$CU41,S$57),""),2,1)="(",LEFT(IFERROR(INDEX(醫師週班表!$C$5:$T$44,$CU41,S$57),""),1),IFERROR(INDEX(醫師週班表!$C$5:$T$44,$CU41,S$57),"")))))))</f>
        <v/>
      </c>
      <c r="T41" s="71">
        <f>IF(T$59="X","",IF(T$59&lt;&gt;"",T$59,IF(IFERROR(INDEX(醫師週班表!$C$5:$T$44,$CU41,T$57),"")=0,"",IF(MID(IFERROR(INDEX(醫師週班表!$C$5:$T$44,$CU41,T$57),""),2,1)="/",MID(IFERROR(INDEX(醫師週班表!$C$5:$T$44,$CU41,T$57),""),1+T$58*2,1),IF(MID(IFERROR(INDEX(醫師週班表!$C$5:$T$44,$CU41,T$57),""),3,1)="隔",IF(T$58=0,LEFT(IFERROR(INDEX(醫師週班表!$C$5:$T$44,$CU41,T$57),""),1),""),IF(MID(IFERROR(INDEX(醫師週班表!$C$5:$T$44,$CU41,T$57),""),2,1)="(",LEFT(IFERROR(INDEX(醫師週班表!$C$5:$T$44,$CU41,T$57),""),1),IFERROR(INDEX(醫師週班表!$C$5:$T$44,$CU41,T$57),"")))))))</f>
        <v/>
      </c>
      <c r="U41" s="72">
        <f>IF(U$59="X","",IF(U$59&lt;&gt;"",U$59,IF(IFERROR(INDEX(醫師週班表!$C$5:$T$44,$CU41,U$57),"")=0,"",IF(MID(IFERROR(INDEX(醫師週班表!$C$5:$T$44,$CU41,U$57),""),2,1)="/",MID(IFERROR(INDEX(醫師週班表!$C$5:$T$44,$CU41,U$57),""),1+U$58*2,1),IF(MID(IFERROR(INDEX(醫師週班表!$C$5:$T$44,$CU41,U$57),""),3,1)="隔",IF(U$58=0,LEFT(IFERROR(INDEX(醫師週班表!$C$5:$T$44,$CU41,U$57),""),1),""),IF(MID(IFERROR(INDEX(醫師週班表!$C$5:$T$44,$CU41,U$57),""),2,1)="(",LEFT(IFERROR(INDEX(醫師週班表!$C$5:$T$44,$CU41,U$57),""),1),IFERROR(INDEX(醫師週班表!$C$5:$T$44,$CU41,U$57),"")))))))</f>
        <v/>
      </c>
      <c r="V41" s="72">
        <f>IF(V$59="X","",IF(V$59&lt;&gt;"",V$59,IF(IFERROR(INDEX(醫師週班表!$C$5:$T$44,$CU41,V$57),"")=0,"",IF(MID(IFERROR(INDEX(醫師週班表!$C$5:$T$44,$CU41,V$57),""),2,1)="/",MID(IFERROR(INDEX(醫師週班表!$C$5:$T$44,$CU41,V$57),""),1+V$58*2,1),IF(MID(IFERROR(INDEX(醫師週班表!$C$5:$T$44,$CU41,V$57),""),3,1)="隔",IF(V$58=0,LEFT(IFERROR(INDEX(醫師週班表!$C$5:$T$44,$CU41,V$57),""),1),""),IF(MID(IFERROR(INDEX(醫師週班表!$C$5:$T$44,$CU41,V$57),""),2,1)="(",LEFT(IFERROR(INDEX(醫師週班表!$C$5:$T$44,$CU41,V$57),""),1),IFERROR(INDEX(醫師週班表!$C$5:$T$44,$CU41,V$57),"")))))))</f>
        <v/>
      </c>
      <c r="W41" s="71">
        <f>IF(W$59="X","",IF(W$59&lt;&gt;"",W$59,IF(IFERROR(INDEX(醫師週班表!$C$5:$T$44,$CU41,W$57),"")=0,"",IF(MID(IFERROR(INDEX(醫師週班表!$C$5:$T$44,$CU41,W$57),""),2,1)="/",MID(IFERROR(INDEX(醫師週班表!$C$5:$T$44,$CU41,W$57),""),1+W$58*2,1),IF(MID(IFERROR(INDEX(醫師週班表!$C$5:$T$44,$CU41,W$57),""),3,1)="隔",IF(W$58=0,LEFT(IFERROR(INDEX(醫師週班表!$C$5:$T$44,$CU41,W$57),""),1),""),IF(MID(IFERROR(INDEX(醫師週班表!$C$5:$T$44,$CU41,W$57),""),2,1)="(",LEFT(IFERROR(INDEX(醫師週班表!$C$5:$T$44,$CU41,W$57),""),1),IFERROR(INDEX(醫師週班表!$C$5:$T$44,$CU41,W$57),"")))))))</f>
        <v/>
      </c>
      <c r="X41" s="72">
        <f>IF(X$59="X","",IF(X$59&lt;&gt;"",X$59,IF(IFERROR(INDEX(醫師週班表!$C$5:$T$44,$CU41,X$57),"")=0,"",IF(MID(IFERROR(INDEX(醫師週班表!$C$5:$T$44,$CU41,X$57),""),2,1)="/",MID(IFERROR(INDEX(醫師週班表!$C$5:$T$44,$CU41,X$57),""),1+X$58*2,1),IF(MID(IFERROR(INDEX(醫師週班表!$C$5:$T$44,$CU41,X$57),""),3,1)="隔",IF(X$58=0,LEFT(IFERROR(INDEX(醫師週班表!$C$5:$T$44,$CU41,X$57),""),1),""),IF(MID(IFERROR(INDEX(醫師週班表!$C$5:$T$44,$CU41,X$57),""),2,1)="(",LEFT(IFERROR(INDEX(醫師週班表!$C$5:$T$44,$CU41,X$57),""),1),IFERROR(INDEX(醫師週班表!$C$5:$T$44,$CU41,X$57),"")))))))</f>
        <v/>
      </c>
      <c r="Y41" s="72">
        <f>IF(Y$59="X","",IF(Y$59&lt;&gt;"",Y$59,IF(IFERROR(INDEX(醫師週班表!$C$5:$T$44,$CU41,Y$57),"")=0,"",IF(MID(IFERROR(INDEX(醫師週班表!$C$5:$T$44,$CU41,Y$57),""),2,1)="/",MID(IFERROR(INDEX(醫師週班表!$C$5:$T$44,$CU41,Y$57),""),1+Y$58*2,1),IF(MID(IFERROR(INDEX(醫師週班表!$C$5:$T$44,$CU41,Y$57),""),3,1)="隔",IF(Y$58=0,LEFT(IFERROR(INDEX(醫師週班表!$C$5:$T$44,$CU41,Y$57),""),1),""),IF(MID(IFERROR(INDEX(醫師週班表!$C$5:$T$44,$CU41,Y$57),""),2,1)="(",LEFT(IFERROR(INDEX(醫師週班表!$C$5:$T$44,$CU41,Y$57),""),1),IFERROR(INDEX(醫師週班表!$C$5:$T$44,$CU41,Y$57),"")))))))</f>
        <v/>
      </c>
      <c r="Z41" s="71">
        <f>IF(Z$59="X","",IF(Z$59&lt;&gt;"",Z$59,IF(IFERROR(INDEX(醫師週班表!$C$5:$T$44,$CU41,Z$57),"")=0,"",IF(MID(IFERROR(INDEX(醫師週班表!$C$5:$T$44,$CU41,Z$57),""),2,1)="/",MID(IFERROR(INDEX(醫師週班表!$C$5:$T$44,$CU41,Z$57),""),1+Z$58*2,1),IF(MID(IFERROR(INDEX(醫師週班表!$C$5:$T$44,$CU41,Z$57),""),3,1)="隔",IF(Z$58=0,LEFT(IFERROR(INDEX(醫師週班表!$C$5:$T$44,$CU41,Z$57),""),1),""),IF(MID(IFERROR(INDEX(醫師週班表!$C$5:$T$44,$CU41,Z$57),""),2,1)="(",LEFT(IFERROR(INDEX(醫師週班表!$C$5:$T$44,$CU41,Z$57),""),1),IFERROR(INDEX(醫師週班表!$C$5:$T$44,$CU41,Z$57),"")))))))</f>
        <v/>
      </c>
      <c r="AA41" s="72">
        <f>IF(AA$59="X","",IF(AA$59&lt;&gt;"",AA$59,IF(IFERROR(INDEX(醫師週班表!$C$5:$T$44,$CU41,AA$57),"")=0,"",IF(MID(IFERROR(INDEX(醫師週班表!$C$5:$T$44,$CU41,AA$57),""),2,1)="/",MID(IFERROR(INDEX(醫師週班表!$C$5:$T$44,$CU41,AA$57),""),1+AA$58*2,1),IF(MID(IFERROR(INDEX(醫師週班表!$C$5:$T$44,$CU41,AA$57),""),3,1)="隔",IF(AA$58=0,LEFT(IFERROR(INDEX(醫師週班表!$C$5:$T$44,$CU41,AA$57),""),1),""),IF(MID(IFERROR(INDEX(醫師週班表!$C$5:$T$44,$CU41,AA$57),""),2,1)="(",LEFT(IFERROR(INDEX(醫師週班表!$C$5:$T$44,$CU41,AA$57),""),1),IFERROR(INDEX(醫師週班表!$C$5:$T$44,$CU41,AA$57),"")))))))</f>
        <v/>
      </c>
      <c r="AB41" s="72">
        <f>IF(AB$59="X","",IF(AB$59&lt;&gt;"",AB$59,IF(IFERROR(INDEX(醫師週班表!$C$5:$T$44,$CU41,AB$57),"")=0,"",IF(MID(IFERROR(INDEX(醫師週班表!$C$5:$T$44,$CU41,AB$57),""),2,1)="/",MID(IFERROR(INDEX(醫師週班表!$C$5:$T$44,$CU41,AB$57),""),1+AB$58*2,1),IF(MID(IFERROR(INDEX(醫師週班表!$C$5:$T$44,$CU41,AB$57),""),3,1)="隔",IF(AB$58=0,LEFT(IFERROR(INDEX(醫師週班表!$C$5:$T$44,$CU41,AB$57),""),1),""),IF(MID(IFERROR(INDEX(醫師週班表!$C$5:$T$44,$CU41,AB$57),""),2,1)="(",LEFT(IFERROR(INDEX(醫師週班表!$C$5:$T$44,$CU41,AB$57),""),1),IFERROR(INDEX(醫師週班表!$C$5:$T$44,$CU41,AB$57),"")))))))</f>
        <v/>
      </c>
      <c r="AC41" s="71">
        <f>IF(AC$59="X","",IF(AC$59&lt;&gt;"",AC$59,IF(IFERROR(INDEX(醫師週班表!$C$5:$T$44,$CU41,AC$57),"")=0,"",IF(MID(IFERROR(INDEX(醫師週班表!$C$5:$T$44,$CU41,AC$57),""),2,1)="/",MID(IFERROR(INDEX(醫師週班表!$C$5:$T$44,$CU41,AC$57),""),1+AC$58*2,1),IF(MID(IFERROR(INDEX(醫師週班表!$C$5:$T$44,$CU41,AC$57),""),3,1)="隔",IF(AC$58=0,LEFT(IFERROR(INDEX(醫師週班表!$C$5:$T$44,$CU41,AC$57),""),1),""),IF(MID(IFERROR(INDEX(醫師週班表!$C$5:$T$44,$CU41,AC$57),""),2,1)="(",LEFT(IFERROR(INDEX(醫師週班表!$C$5:$T$44,$CU41,AC$57),""),1),IFERROR(INDEX(醫師週班表!$C$5:$T$44,$CU41,AC$57),"")))))))</f>
        <v/>
      </c>
      <c r="AD41" s="72">
        <f>IF(AD$59="X","",IF(AD$59&lt;&gt;"",AD$59,IF(IFERROR(INDEX(醫師週班表!$C$5:$T$44,$CU41,AD$57),"")=0,"",IF(MID(IFERROR(INDEX(醫師週班表!$C$5:$T$44,$CU41,AD$57),""),2,1)="/",MID(IFERROR(INDEX(醫師週班表!$C$5:$T$44,$CU41,AD$57),""),1+AD$58*2,1),IF(MID(IFERROR(INDEX(醫師週班表!$C$5:$T$44,$CU41,AD$57),""),3,1)="隔",IF(AD$58=0,LEFT(IFERROR(INDEX(醫師週班表!$C$5:$T$44,$CU41,AD$57),""),1),""),IF(MID(IFERROR(INDEX(醫師週班表!$C$5:$T$44,$CU41,AD$57),""),2,1)="(",LEFT(IFERROR(INDEX(醫師週班表!$C$5:$T$44,$CU41,AD$57),""),1),IFERROR(INDEX(醫師週班表!$C$5:$T$44,$CU41,AD$57),"")))))))</f>
        <v/>
      </c>
      <c r="AE41" s="72">
        <f>IF(AE$59="X","",IF(AE$59&lt;&gt;"",AE$59,IF(IFERROR(INDEX(醫師週班表!$C$5:$T$44,$CU41,AE$57),"")=0,"",IF(MID(IFERROR(INDEX(醫師週班表!$C$5:$T$44,$CU41,AE$57),""),2,1)="/",MID(IFERROR(INDEX(醫師週班表!$C$5:$T$44,$CU41,AE$57),""),1+AE$58*2,1),IF(MID(IFERROR(INDEX(醫師週班表!$C$5:$T$44,$CU41,AE$57),""),3,1)="隔",IF(AE$58=0,LEFT(IFERROR(INDEX(醫師週班表!$C$5:$T$44,$CU41,AE$57),""),1),""),IF(MID(IFERROR(INDEX(醫師週班表!$C$5:$T$44,$CU41,AE$57),""),2,1)="(",LEFT(IFERROR(INDEX(醫師週班表!$C$5:$T$44,$CU41,AE$57),""),1),IFERROR(INDEX(醫師週班表!$C$5:$T$44,$CU41,AE$57),"")))))))</f>
        <v/>
      </c>
      <c r="AF41" s="71">
        <f>IF(AF$59="X","",IF(AF$59&lt;&gt;"",AF$59,IF(IFERROR(INDEX(醫師週班表!$C$5:$T$44,$CU41,AF$57),"")=0,"",IF(MID(IFERROR(INDEX(醫師週班表!$C$5:$T$44,$CU41,AF$57),""),2,1)="/",MID(IFERROR(INDEX(醫師週班表!$C$5:$T$44,$CU41,AF$57),""),1+AF$58*2,1),IF(MID(IFERROR(INDEX(醫師週班表!$C$5:$T$44,$CU41,AF$57),""),3,1)="隔",IF(AF$58=0,LEFT(IFERROR(INDEX(醫師週班表!$C$5:$T$44,$CU41,AF$57),""),1),""),IF(MID(IFERROR(INDEX(醫師週班表!$C$5:$T$44,$CU41,AF$57),""),2,1)="(",LEFT(IFERROR(INDEX(醫師週班表!$C$5:$T$44,$CU41,AF$57),""),1),IFERROR(INDEX(醫師週班表!$C$5:$T$44,$CU41,AF$57),"")))))))</f>
        <v/>
      </c>
      <c r="AG41" s="72">
        <f>IF(AG$59="X","",IF(AG$59&lt;&gt;"",AG$59,IF(IFERROR(INDEX(醫師週班表!$C$5:$T$44,$CU41,AG$57),"")=0,"",IF(MID(IFERROR(INDEX(醫師週班表!$C$5:$T$44,$CU41,AG$57),""),2,1)="/",MID(IFERROR(INDEX(醫師週班表!$C$5:$T$44,$CU41,AG$57),""),1+AG$58*2,1),IF(MID(IFERROR(INDEX(醫師週班表!$C$5:$T$44,$CU41,AG$57),""),3,1)="隔",IF(AG$58=0,LEFT(IFERROR(INDEX(醫師週班表!$C$5:$T$44,$CU41,AG$57),""),1),""),IF(MID(IFERROR(INDEX(醫師週班表!$C$5:$T$44,$CU41,AG$57),""),2,1)="(",LEFT(IFERROR(INDEX(醫師週班表!$C$5:$T$44,$CU41,AG$57),""),1),IFERROR(INDEX(醫師週班表!$C$5:$T$44,$CU41,AG$57),"")))))))</f>
        <v/>
      </c>
      <c r="AH41" s="72">
        <f>IF(AH$59="X","",IF(AH$59&lt;&gt;"",AH$59,IF(IFERROR(INDEX(醫師週班表!$C$5:$T$44,$CU41,AH$57),"")=0,"",IF(MID(IFERROR(INDEX(醫師週班表!$C$5:$T$44,$CU41,AH$57),""),2,1)="/",MID(IFERROR(INDEX(醫師週班表!$C$5:$T$44,$CU41,AH$57),""),1+AH$58*2,1),IF(MID(IFERROR(INDEX(醫師週班表!$C$5:$T$44,$CU41,AH$57),""),3,1)="隔",IF(AH$58=0,LEFT(IFERROR(INDEX(醫師週班表!$C$5:$T$44,$CU41,AH$57),""),1),""),IF(MID(IFERROR(INDEX(醫師週班表!$C$5:$T$44,$CU41,AH$57),""),2,1)="(",LEFT(IFERROR(INDEX(醫師週班表!$C$5:$T$44,$CU41,AH$57),""),1),IFERROR(INDEX(醫師週班表!$C$5:$T$44,$CU41,AH$57),"")))))))</f>
        <v/>
      </c>
      <c r="AI41" s="71">
        <f>IF(AI$59="X","",IF(AI$59&lt;&gt;"",AI$59,IF(IFERROR(INDEX(醫師週班表!$C$5:$T$44,$CU41,AI$57),"")=0,"",IF(MID(IFERROR(INDEX(醫師週班表!$C$5:$T$44,$CU41,AI$57),""),2,1)="/",MID(IFERROR(INDEX(醫師週班表!$C$5:$T$44,$CU41,AI$57),""),1+AI$58*2,1),IF(MID(IFERROR(INDEX(醫師週班表!$C$5:$T$44,$CU41,AI$57),""),3,1)="隔",IF(AI$58=0,LEFT(IFERROR(INDEX(醫師週班表!$C$5:$T$44,$CU41,AI$57),""),1),""),IF(MID(IFERROR(INDEX(醫師週班表!$C$5:$T$44,$CU41,AI$57),""),2,1)="(",LEFT(IFERROR(INDEX(醫師週班表!$C$5:$T$44,$CU41,AI$57),""),1),IFERROR(INDEX(醫師週班表!$C$5:$T$44,$CU41,AI$57),"")))))))</f>
        <v/>
      </c>
      <c r="AJ41" s="72">
        <f>IF(AJ$59="X","",IF(AJ$59&lt;&gt;"",AJ$59,IF(IFERROR(INDEX(醫師週班表!$C$5:$T$44,$CU41,AJ$57),"")=0,"",IF(MID(IFERROR(INDEX(醫師週班表!$C$5:$T$44,$CU41,AJ$57),""),2,1)="/",MID(IFERROR(INDEX(醫師週班表!$C$5:$T$44,$CU41,AJ$57),""),1+AJ$58*2,1),IF(MID(IFERROR(INDEX(醫師週班表!$C$5:$T$44,$CU41,AJ$57),""),3,1)="隔",IF(AJ$58=0,LEFT(IFERROR(INDEX(醫師週班表!$C$5:$T$44,$CU41,AJ$57),""),1),""),IF(MID(IFERROR(INDEX(醫師週班表!$C$5:$T$44,$CU41,AJ$57),""),2,1)="(",LEFT(IFERROR(INDEX(醫師週班表!$C$5:$T$44,$CU41,AJ$57),""),1),IFERROR(INDEX(醫師週班表!$C$5:$T$44,$CU41,AJ$57),"")))))))</f>
        <v/>
      </c>
      <c r="AK41" s="72">
        <f>IF(AK$59="X","",IF(AK$59&lt;&gt;"",AK$59,IF(IFERROR(INDEX(醫師週班表!$C$5:$T$44,$CU41,AK$57),"")=0,"",IF(MID(IFERROR(INDEX(醫師週班表!$C$5:$T$44,$CU41,AK$57),""),2,1)="/",MID(IFERROR(INDEX(醫師週班表!$C$5:$T$44,$CU41,AK$57),""),1+AK$58*2,1),IF(MID(IFERROR(INDEX(醫師週班表!$C$5:$T$44,$CU41,AK$57),""),3,1)="隔",IF(AK$58=0,LEFT(IFERROR(INDEX(醫師週班表!$C$5:$T$44,$CU41,AK$57),""),1),""),IF(MID(IFERROR(INDEX(醫師週班表!$C$5:$T$44,$CU41,AK$57),""),2,1)="(",LEFT(IFERROR(INDEX(醫師週班表!$C$5:$T$44,$CU41,AK$57),""),1),IFERROR(INDEX(醫師週班表!$C$5:$T$44,$CU41,AK$57),"")))))))</f>
        <v/>
      </c>
      <c r="AL41" s="71">
        <f>IF(AL$59="X","",IF(AL$59&lt;&gt;"",AL$59,IF(IFERROR(INDEX(醫師週班表!$C$5:$T$44,$CU41,AL$57),"")=0,"",IF(MID(IFERROR(INDEX(醫師週班表!$C$5:$T$44,$CU41,AL$57),""),2,1)="/",MID(IFERROR(INDEX(醫師週班表!$C$5:$T$44,$CU41,AL$57),""),1+AL$58*2,1),IF(MID(IFERROR(INDEX(醫師週班表!$C$5:$T$44,$CU41,AL$57),""),3,1)="隔",IF(AL$58=0,LEFT(IFERROR(INDEX(醫師週班表!$C$5:$T$44,$CU41,AL$57),""),1),""),IF(MID(IFERROR(INDEX(醫師週班表!$C$5:$T$44,$CU41,AL$57),""),2,1)="(",LEFT(IFERROR(INDEX(醫師週班表!$C$5:$T$44,$CU41,AL$57),""),1),IFERROR(INDEX(醫師週班表!$C$5:$T$44,$CU41,AL$57),"")))))))</f>
        <v/>
      </c>
      <c r="AM41" s="72">
        <f>IF(AM$59="X","",IF(AM$59&lt;&gt;"",AM$59,IF(IFERROR(INDEX(醫師週班表!$C$5:$T$44,$CU41,AM$57),"")=0,"",IF(MID(IFERROR(INDEX(醫師週班表!$C$5:$T$44,$CU41,AM$57),""),2,1)="/",MID(IFERROR(INDEX(醫師週班表!$C$5:$T$44,$CU41,AM$57),""),1+AM$58*2,1),IF(MID(IFERROR(INDEX(醫師週班表!$C$5:$T$44,$CU41,AM$57),""),3,1)="隔",IF(AM$58=0,LEFT(IFERROR(INDEX(醫師週班表!$C$5:$T$44,$CU41,AM$57),""),1),""),IF(MID(IFERROR(INDEX(醫師週班表!$C$5:$T$44,$CU41,AM$57),""),2,1)="(",LEFT(IFERROR(INDEX(醫師週班表!$C$5:$T$44,$CU41,AM$57),""),1),IFERROR(INDEX(醫師週班表!$C$5:$T$44,$CU41,AM$57),"")))))))</f>
        <v/>
      </c>
      <c r="AN41" s="72">
        <f>IF(AN$59="X","",IF(AN$59&lt;&gt;"",AN$59,IF(IFERROR(INDEX(醫師週班表!$C$5:$T$44,$CU41,AN$57),"")=0,"",IF(MID(IFERROR(INDEX(醫師週班表!$C$5:$T$44,$CU41,AN$57),""),2,1)="/",MID(IFERROR(INDEX(醫師週班表!$C$5:$T$44,$CU41,AN$57),""),1+AN$58*2,1),IF(MID(IFERROR(INDEX(醫師週班表!$C$5:$T$44,$CU41,AN$57),""),3,1)="隔",IF(AN$58=0,LEFT(IFERROR(INDEX(醫師週班表!$C$5:$T$44,$CU41,AN$57),""),1),""),IF(MID(IFERROR(INDEX(醫師週班表!$C$5:$T$44,$CU41,AN$57),""),2,1)="(",LEFT(IFERROR(INDEX(醫師週班表!$C$5:$T$44,$CU41,AN$57),""),1),IFERROR(INDEX(醫師週班表!$C$5:$T$44,$CU41,AN$57),"")))))))</f>
        <v/>
      </c>
      <c r="AO41" s="71">
        <f>IF(AO$59="X","",IF(AO$59&lt;&gt;"",AO$59,IF(IFERROR(INDEX(醫師週班表!$C$5:$T$44,$CU41,AO$57),"")=0,"",IF(MID(IFERROR(INDEX(醫師週班表!$C$5:$T$44,$CU41,AO$57),""),2,1)="/",MID(IFERROR(INDEX(醫師週班表!$C$5:$T$44,$CU41,AO$57),""),1+AO$58*2,1),IF(MID(IFERROR(INDEX(醫師週班表!$C$5:$T$44,$CU41,AO$57),""),3,1)="隔",IF(AO$58=0,LEFT(IFERROR(INDEX(醫師週班表!$C$5:$T$44,$CU41,AO$57),""),1),""),IF(MID(IFERROR(INDEX(醫師週班表!$C$5:$T$44,$CU41,AO$57),""),2,1)="(",LEFT(IFERROR(INDEX(醫師週班表!$C$5:$T$44,$CU41,AO$57),""),1),IFERROR(INDEX(醫師週班表!$C$5:$T$44,$CU41,AO$57),"")))))))</f>
        <v/>
      </c>
      <c r="AP41" s="72">
        <f>IF(AP$59="X","",IF(AP$59&lt;&gt;"",AP$59,IF(IFERROR(INDEX(醫師週班表!$C$5:$T$44,$CU41,AP$57),"")=0,"",IF(MID(IFERROR(INDEX(醫師週班表!$C$5:$T$44,$CU41,AP$57),""),2,1)="/",MID(IFERROR(INDEX(醫師週班表!$C$5:$T$44,$CU41,AP$57),""),1+AP$58*2,1),IF(MID(IFERROR(INDEX(醫師週班表!$C$5:$T$44,$CU41,AP$57),""),3,1)="隔",IF(AP$58=0,LEFT(IFERROR(INDEX(醫師週班表!$C$5:$T$44,$CU41,AP$57),""),1),""),IF(MID(IFERROR(INDEX(醫師週班表!$C$5:$T$44,$CU41,AP$57),""),2,1)="(",LEFT(IFERROR(INDEX(醫師週班表!$C$5:$T$44,$CU41,AP$57),""),1),IFERROR(INDEX(醫師週班表!$C$5:$T$44,$CU41,AP$57),"")))))))</f>
        <v/>
      </c>
      <c r="AQ41" s="72">
        <f>IF(AQ$59="X","",IF(AQ$59&lt;&gt;"",AQ$59,IF(IFERROR(INDEX(醫師週班表!$C$5:$T$44,$CU41,AQ$57),"")=0,"",IF(MID(IFERROR(INDEX(醫師週班表!$C$5:$T$44,$CU41,AQ$57),""),2,1)="/",MID(IFERROR(INDEX(醫師週班表!$C$5:$T$44,$CU41,AQ$57),""),1+AQ$58*2,1),IF(MID(IFERROR(INDEX(醫師週班表!$C$5:$T$44,$CU41,AQ$57),""),3,1)="隔",IF(AQ$58=0,LEFT(IFERROR(INDEX(醫師週班表!$C$5:$T$44,$CU41,AQ$57),""),1),""),IF(MID(IFERROR(INDEX(醫師週班表!$C$5:$T$44,$CU41,AQ$57),""),2,1)="(",LEFT(IFERROR(INDEX(醫師週班表!$C$5:$T$44,$CU41,AQ$57),""),1),IFERROR(INDEX(醫師週班表!$C$5:$T$44,$CU41,AQ$57),"")))))))</f>
        <v/>
      </c>
      <c r="AR41" s="71">
        <f>IF(AR$59="X","",IF(AR$59&lt;&gt;"",AR$59,IF(IFERROR(INDEX(醫師週班表!$C$5:$T$44,$CU41,AR$57),"")=0,"",IF(MID(IFERROR(INDEX(醫師週班表!$C$5:$T$44,$CU41,AR$57),""),2,1)="/",MID(IFERROR(INDEX(醫師週班表!$C$5:$T$44,$CU41,AR$57),""),1+AR$58*2,1),IF(MID(IFERROR(INDEX(醫師週班表!$C$5:$T$44,$CU41,AR$57),""),3,1)="隔",IF(AR$58=0,LEFT(IFERROR(INDEX(醫師週班表!$C$5:$T$44,$CU41,AR$57),""),1),""),IF(MID(IFERROR(INDEX(醫師週班表!$C$5:$T$44,$CU41,AR$57),""),2,1)="(",LEFT(IFERROR(INDEX(醫師週班表!$C$5:$T$44,$CU41,AR$57),""),1),IFERROR(INDEX(醫師週班表!$C$5:$T$44,$CU41,AR$57),"")))))))</f>
        <v/>
      </c>
      <c r="AS41" s="72">
        <f>IF(AS$59="X","",IF(AS$59&lt;&gt;"",AS$59,IF(IFERROR(INDEX(醫師週班表!$C$5:$T$44,$CU41,AS$57),"")=0,"",IF(MID(IFERROR(INDEX(醫師週班表!$C$5:$T$44,$CU41,AS$57),""),2,1)="/",MID(IFERROR(INDEX(醫師週班表!$C$5:$T$44,$CU41,AS$57),""),1+AS$58*2,1),IF(MID(IFERROR(INDEX(醫師週班表!$C$5:$T$44,$CU41,AS$57),""),3,1)="隔",IF(AS$58=0,LEFT(IFERROR(INDEX(醫師週班表!$C$5:$T$44,$CU41,AS$57),""),1),""),IF(MID(IFERROR(INDEX(醫師週班表!$C$5:$T$44,$CU41,AS$57),""),2,1)="(",LEFT(IFERROR(INDEX(醫師週班表!$C$5:$T$44,$CU41,AS$57),""),1),IFERROR(INDEX(醫師週班表!$C$5:$T$44,$CU41,AS$57),"")))))))</f>
        <v/>
      </c>
      <c r="AT41" s="72">
        <f>IF(AT$59="X","",IF(AT$59&lt;&gt;"",AT$59,IF(IFERROR(INDEX(醫師週班表!$C$5:$T$44,$CU41,AT$57),"")=0,"",IF(MID(IFERROR(INDEX(醫師週班表!$C$5:$T$44,$CU41,AT$57),""),2,1)="/",MID(IFERROR(INDEX(醫師週班表!$C$5:$T$44,$CU41,AT$57),""),1+AT$58*2,1),IF(MID(IFERROR(INDEX(醫師週班表!$C$5:$T$44,$CU41,AT$57),""),3,1)="隔",IF(AT$58=0,LEFT(IFERROR(INDEX(醫師週班表!$C$5:$T$44,$CU41,AT$57),""),1),""),IF(MID(IFERROR(INDEX(醫師週班表!$C$5:$T$44,$CU41,AT$57),""),2,1)="(",LEFT(IFERROR(INDEX(醫師週班表!$C$5:$T$44,$CU41,AT$57),""),1),IFERROR(INDEX(醫師週班表!$C$5:$T$44,$CU41,AT$57),"")))))))</f>
        <v/>
      </c>
      <c r="AU41" s="71">
        <f>IF(AU$59="X","",IF(AU$59&lt;&gt;"",AU$59,IF(IFERROR(INDEX(醫師週班表!$C$5:$T$44,$CU41,AU$57),"")=0,"",IF(MID(IFERROR(INDEX(醫師週班表!$C$5:$T$44,$CU41,AU$57),""),2,1)="/",MID(IFERROR(INDEX(醫師週班表!$C$5:$T$44,$CU41,AU$57),""),1+AU$58*2,1),IF(MID(IFERROR(INDEX(醫師週班表!$C$5:$T$44,$CU41,AU$57),""),3,1)="隔",IF(AU$58=0,LEFT(IFERROR(INDEX(醫師週班表!$C$5:$T$44,$CU41,AU$57),""),1),""),IF(MID(IFERROR(INDEX(醫師週班表!$C$5:$T$44,$CU41,AU$57),""),2,1)="(",LEFT(IFERROR(INDEX(醫師週班表!$C$5:$T$44,$CU41,AU$57),""),1),IFERROR(INDEX(醫師週班表!$C$5:$T$44,$CU41,AU$57),"")))))))</f>
        <v/>
      </c>
      <c r="AV41" s="72">
        <f>IF(AV$59="X","",IF(AV$59&lt;&gt;"",AV$59,IF(IFERROR(INDEX(醫師週班表!$C$5:$T$44,$CU41,AV$57),"")=0,"",IF(MID(IFERROR(INDEX(醫師週班表!$C$5:$T$44,$CU41,AV$57),""),2,1)="/",MID(IFERROR(INDEX(醫師週班表!$C$5:$T$44,$CU41,AV$57),""),1+AV$58*2,1),IF(MID(IFERROR(INDEX(醫師週班表!$C$5:$T$44,$CU41,AV$57),""),3,1)="隔",IF(AV$58=0,LEFT(IFERROR(INDEX(醫師週班表!$C$5:$T$44,$CU41,AV$57),""),1),""),IF(MID(IFERROR(INDEX(醫師週班表!$C$5:$T$44,$CU41,AV$57),""),2,1)="(",LEFT(IFERROR(INDEX(醫師週班表!$C$5:$T$44,$CU41,AV$57),""),1),IFERROR(INDEX(醫師週班表!$C$5:$T$44,$CU41,AV$57),"")))))))</f>
        <v/>
      </c>
      <c r="AW41" s="72">
        <f>IF(AW$59="X","",IF(AW$59&lt;&gt;"",AW$59,IF(IFERROR(INDEX(醫師週班表!$C$5:$T$44,$CU41,AW$57),"")=0,"",IF(MID(IFERROR(INDEX(醫師週班表!$C$5:$T$44,$CU41,AW$57),""),2,1)="/",MID(IFERROR(INDEX(醫師週班表!$C$5:$T$44,$CU41,AW$57),""),1+AW$58*2,1),IF(MID(IFERROR(INDEX(醫師週班表!$C$5:$T$44,$CU41,AW$57),""),3,1)="隔",IF(AW$58=0,LEFT(IFERROR(INDEX(醫師週班表!$C$5:$T$44,$CU41,AW$57),""),1),""),IF(MID(IFERROR(INDEX(醫師週班表!$C$5:$T$44,$CU41,AW$57),""),2,1)="(",LEFT(IFERROR(INDEX(醫師週班表!$C$5:$T$44,$CU41,AW$57),""),1),IFERROR(INDEX(醫師週班表!$C$5:$T$44,$CU41,AW$57),"")))))))</f>
        <v/>
      </c>
      <c r="AX41" s="71">
        <f>IF(AX$59="X","",IF(AX$59&lt;&gt;"",AX$59,IF(IFERROR(INDEX(醫師週班表!$C$5:$T$44,$CU41,AX$57),"")=0,"",IF(MID(IFERROR(INDEX(醫師週班表!$C$5:$T$44,$CU41,AX$57),""),2,1)="/",MID(IFERROR(INDEX(醫師週班表!$C$5:$T$44,$CU41,AX$57),""),1+AX$58*2,1),IF(MID(IFERROR(INDEX(醫師週班表!$C$5:$T$44,$CU41,AX$57),""),3,1)="隔",IF(AX$58=0,LEFT(IFERROR(INDEX(醫師週班表!$C$5:$T$44,$CU41,AX$57),""),1),""),IF(MID(IFERROR(INDEX(醫師週班表!$C$5:$T$44,$CU41,AX$57),""),2,1)="(",LEFT(IFERROR(INDEX(醫師週班表!$C$5:$T$44,$CU41,AX$57),""),1),IFERROR(INDEX(醫師週班表!$C$5:$T$44,$CU41,AX$57),"")))))))</f>
        <v/>
      </c>
      <c r="AY41" s="72">
        <f>IF(AY$59="X","",IF(AY$59&lt;&gt;"",AY$59,IF(IFERROR(INDEX(醫師週班表!$C$5:$T$44,$CU41,AY$57),"")=0,"",IF(MID(IFERROR(INDEX(醫師週班表!$C$5:$T$44,$CU41,AY$57),""),2,1)="/",MID(IFERROR(INDEX(醫師週班表!$C$5:$T$44,$CU41,AY$57),""),1+AY$58*2,1),IF(MID(IFERROR(INDEX(醫師週班表!$C$5:$T$44,$CU41,AY$57),""),3,1)="隔",IF(AY$58=0,LEFT(IFERROR(INDEX(醫師週班表!$C$5:$T$44,$CU41,AY$57),""),1),""),IF(MID(IFERROR(INDEX(醫師週班表!$C$5:$T$44,$CU41,AY$57),""),2,1)="(",LEFT(IFERROR(INDEX(醫師週班表!$C$5:$T$44,$CU41,AY$57),""),1),IFERROR(INDEX(醫師週班表!$C$5:$T$44,$CU41,AY$57),"")))))))</f>
        <v/>
      </c>
      <c r="AZ41" s="72">
        <f>IF(AZ$59="X","",IF(AZ$59&lt;&gt;"",AZ$59,IF(IFERROR(INDEX(醫師週班表!$C$5:$T$44,$CU41,AZ$57),"")=0,"",IF(MID(IFERROR(INDEX(醫師週班表!$C$5:$T$44,$CU41,AZ$57),""),2,1)="/",MID(IFERROR(INDEX(醫師週班表!$C$5:$T$44,$CU41,AZ$57),""),1+AZ$58*2,1),IF(MID(IFERROR(INDEX(醫師週班表!$C$5:$T$44,$CU41,AZ$57),""),3,1)="隔",IF(AZ$58=0,LEFT(IFERROR(INDEX(醫師週班表!$C$5:$T$44,$CU41,AZ$57),""),1),""),IF(MID(IFERROR(INDEX(醫師週班表!$C$5:$T$44,$CU41,AZ$57),""),2,1)="(",LEFT(IFERROR(INDEX(醫師週班表!$C$5:$T$44,$CU41,AZ$57),""),1),IFERROR(INDEX(醫師週班表!$C$5:$T$44,$CU41,AZ$57),"")))))))</f>
        <v/>
      </c>
      <c r="BA41" s="71">
        <f>IF(BA$59="X","",IF(BA$59&lt;&gt;"",BA$59,IF(IFERROR(INDEX(醫師週班表!$C$5:$T$44,$CU41,BA$57),"")=0,"",IF(MID(IFERROR(INDEX(醫師週班表!$C$5:$T$44,$CU41,BA$57),""),2,1)="/",MID(IFERROR(INDEX(醫師週班表!$C$5:$T$44,$CU41,BA$57),""),1+BA$58*2,1),IF(MID(IFERROR(INDEX(醫師週班表!$C$5:$T$44,$CU41,BA$57),""),3,1)="隔",IF(BA$58=0,LEFT(IFERROR(INDEX(醫師週班表!$C$5:$T$44,$CU41,BA$57),""),1),""),IF(MID(IFERROR(INDEX(醫師週班表!$C$5:$T$44,$CU41,BA$57),""),2,1)="(",LEFT(IFERROR(INDEX(醫師週班表!$C$5:$T$44,$CU41,BA$57),""),1),IFERROR(INDEX(醫師週班表!$C$5:$T$44,$CU41,BA$57),"")))))))</f>
        <v/>
      </c>
      <c r="BB41" s="72">
        <f>IF(BB$59="X","",IF(BB$59&lt;&gt;"",BB$59,IF(IFERROR(INDEX(醫師週班表!$C$5:$T$44,$CU41,BB$57),"")=0,"",IF(MID(IFERROR(INDEX(醫師週班表!$C$5:$T$44,$CU41,BB$57),""),2,1)="/",MID(IFERROR(INDEX(醫師週班表!$C$5:$T$44,$CU41,BB$57),""),1+BB$58*2,1),IF(MID(IFERROR(INDEX(醫師週班表!$C$5:$T$44,$CU41,BB$57),""),3,1)="隔",IF(BB$58=0,LEFT(IFERROR(INDEX(醫師週班表!$C$5:$T$44,$CU41,BB$57),""),1),""),IF(MID(IFERROR(INDEX(醫師週班表!$C$5:$T$44,$CU41,BB$57),""),2,1)="(",LEFT(IFERROR(INDEX(醫師週班表!$C$5:$T$44,$CU41,BB$57),""),1),IFERROR(INDEX(醫師週班表!$C$5:$T$44,$CU41,BB$57),"")))))))</f>
        <v/>
      </c>
      <c r="BC41" s="72">
        <f>IF(BC$59="X","",IF(BC$59&lt;&gt;"",BC$59,IF(IFERROR(INDEX(醫師週班表!$C$5:$T$44,$CU41,BC$57),"")=0,"",IF(MID(IFERROR(INDEX(醫師週班表!$C$5:$T$44,$CU41,BC$57),""),2,1)="/",MID(IFERROR(INDEX(醫師週班表!$C$5:$T$44,$CU41,BC$57),""),1+BC$58*2,1),IF(MID(IFERROR(INDEX(醫師週班表!$C$5:$T$44,$CU41,BC$57),""),3,1)="隔",IF(BC$58=0,LEFT(IFERROR(INDEX(醫師週班表!$C$5:$T$44,$CU41,BC$57),""),1),""),IF(MID(IFERROR(INDEX(醫師週班表!$C$5:$T$44,$CU41,BC$57),""),2,1)="(",LEFT(IFERROR(INDEX(醫師週班表!$C$5:$T$44,$CU41,BC$57),""),1),IFERROR(INDEX(醫師週班表!$C$5:$T$44,$CU41,BC$57),"")))))))</f>
        <v/>
      </c>
      <c r="BD41" s="71">
        <f>IF(BD$59="X","",IF(BD$59&lt;&gt;"",BD$59,IF(IFERROR(INDEX(醫師週班表!$C$5:$T$44,$CU41,BD$57),"")=0,"",IF(MID(IFERROR(INDEX(醫師週班表!$C$5:$T$44,$CU41,BD$57),""),2,1)="/",MID(IFERROR(INDEX(醫師週班表!$C$5:$T$44,$CU41,BD$57),""),1+BD$58*2,1),IF(MID(IFERROR(INDEX(醫師週班表!$C$5:$T$44,$CU41,BD$57),""),3,1)="隔",IF(BD$58=0,LEFT(IFERROR(INDEX(醫師週班表!$C$5:$T$44,$CU41,BD$57),""),1),""),IF(MID(IFERROR(INDEX(醫師週班表!$C$5:$T$44,$CU41,BD$57),""),2,1)="(",LEFT(IFERROR(INDEX(醫師週班表!$C$5:$T$44,$CU41,BD$57),""),1),IFERROR(INDEX(醫師週班表!$C$5:$T$44,$CU41,BD$57),"")))))))</f>
        <v/>
      </c>
      <c r="BE41" s="72">
        <f>IF(BE$59="X","",IF(BE$59&lt;&gt;"",BE$59,IF(IFERROR(INDEX(醫師週班表!$C$5:$T$44,$CU41,BE$57),"")=0,"",IF(MID(IFERROR(INDEX(醫師週班表!$C$5:$T$44,$CU41,BE$57),""),2,1)="/",MID(IFERROR(INDEX(醫師週班表!$C$5:$T$44,$CU41,BE$57),""),1+BE$58*2,1),IF(MID(IFERROR(INDEX(醫師週班表!$C$5:$T$44,$CU41,BE$57),""),3,1)="隔",IF(BE$58=0,LEFT(IFERROR(INDEX(醫師週班表!$C$5:$T$44,$CU41,BE$57),""),1),""),IF(MID(IFERROR(INDEX(醫師週班表!$C$5:$T$44,$CU41,BE$57),""),2,1)="(",LEFT(IFERROR(INDEX(醫師週班表!$C$5:$T$44,$CU41,BE$57),""),1),IFERROR(INDEX(醫師週班表!$C$5:$T$44,$CU41,BE$57),"")))))))</f>
        <v/>
      </c>
      <c r="BF41" s="72">
        <f>IF(BF$59="X","",IF(BF$59&lt;&gt;"",BF$59,IF(IFERROR(INDEX(醫師週班表!$C$5:$T$44,$CU41,BF$57),"")=0,"",IF(MID(IFERROR(INDEX(醫師週班表!$C$5:$T$44,$CU41,BF$57),""),2,1)="/",MID(IFERROR(INDEX(醫師週班表!$C$5:$T$44,$CU41,BF$57),""),1+BF$58*2,1),IF(MID(IFERROR(INDEX(醫師週班表!$C$5:$T$44,$CU41,BF$57),""),3,1)="隔",IF(BF$58=0,LEFT(IFERROR(INDEX(醫師週班表!$C$5:$T$44,$CU41,BF$57),""),1),""),IF(MID(IFERROR(INDEX(醫師週班表!$C$5:$T$44,$CU41,BF$57),""),2,1)="(",LEFT(IFERROR(INDEX(醫師週班表!$C$5:$T$44,$CU41,BF$57),""),1),IFERROR(INDEX(醫師週班表!$C$5:$T$44,$CU41,BF$57),"")))))))</f>
        <v/>
      </c>
      <c r="BG41" s="71">
        <f>IF(BG$59="X","",IF(BG$59&lt;&gt;"",BG$59,IF(IFERROR(INDEX(醫師週班表!$C$5:$T$44,$CU41,BG$57),"")=0,"",IF(MID(IFERROR(INDEX(醫師週班表!$C$5:$T$44,$CU41,BG$57),""),2,1)="/",MID(IFERROR(INDEX(醫師週班表!$C$5:$T$44,$CU41,BG$57),""),1+BG$58*2,1),IF(MID(IFERROR(INDEX(醫師週班表!$C$5:$T$44,$CU41,BG$57),""),3,1)="隔",IF(BG$58=0,LEFT(IFERROR(INDEX(醫師週班表!$C$5:$T$44,$CU41,BG$57),""),1),""),IF(MID(IFERROR(INDEX(醫師週班表!$C$5:$T$44,$CU41,BG$57),""),2,1)="(",LEFT(IFERROR(INDEX(醫師週班表!$C$5:$T$44,$CU41,BG$57),""),1),IFERROR(INDEX(醫師週班表!$C$5:$T$44,$CU41,BG$57),"")))))))</f>
        <v/>
      </c>
      <c r="BH41" s="72">
        <f>IF(BH$59="X","",IF(BH$59&lt;&gt;"",BH$59,IF(IFERROR(INDEX(醫師週班表!$C$5:$T$44,$CU41,BH$57),"")=0,"",IF(MID(IFERROR(INDEX(醫師週班表!$C$5:$T$44,$CU41,BH$57),""),2,1)="/",MID(IFERROR(INDEX(醫師週班表!$C$5:$T$44,$CU41,BH$57),""),1+BH$58*2,1),IF(MID(IFERROR(INDEX(醫師週班表!$C$5:$T$44,$CU41,BH$57),""),3,1)="隔",IF(BH$58=0,LEFT(IFERROR(INDEX(醫師週班表!$C$5:$T$44,$CU41,BH$57),""),1),""),IF(MID(IFERROR(INDEX(醫師週班表!$C$5:$T$44,$CU41,BH$57),""),2,1)="(",LEFT(IFERROR(INDEX(醫師週班表!$C$5:$T$44,$CU41,BH$57),""),1),IFERROR(INDEX(醫師週班表!$C$5:$T$44,$CU41,BH$57),"")))))))</f>
        <v/>
      </c>
      <c r="BI41" s="72">
        <f>IF(BI$59="X","",IF(BI$59&lt;&gt;"",BI$59,IF(IFERROR(INDEX(醫師週班表!$C$5:$T$44,$CU41,BI$57),"")=0,"",IF(MID(IFERROR(INDEX(醫師週班表!$C$5:$T$44,$CU41,BI$57),""),2,1)="/",MID(IFERROR(INDEX(醫師週班表!$C$5:$T$44,$CU41,BI$57),""),1+BI$58*2,1),IF(MID(IFERROR(INDEX(醫師週班表!$C$5:$T$44,$CU41,BI$57),""),3,1)="隔",IF(BI$58=0,LEFT(IFERROR(INDEX(醫師週班表!$C$5:$T$44,$CU41,BI$57),""),1),""),IF(MID(IFERROR(INDEX(醫師週班表!$C$5:$T$44,$CU41,BI$57),""),2,1)="(",LEFT(IFERROR(INDEX(醫師週班表!$C$5:$T$44,$CU41,BI$57),""),1),IFERROR(INDEX(醫師週班表!$C$5:$T$44,$CU41,BI$57),"")))))))</f>
        <v/>
      </c>
      <c r="BJ41" s="71">
        <f>IF(BJ$59="X","",IF(BJ$59&lt;&gt;"",BJ$59,IF(IFERROR(INDEX(醫師週班表!$C$5:$T$44,$CU41,BJ$57),"")=0,"",IF(MID(IFERROR(INDEX(醫師週班表!$C$5:$T$44,$CU41,BJ$57),""),2,1)="/",MID(IFERROR(INDEX(醫師週班表!$C$5:$T$44,$CU41,BJ$57),""),1+BJ$58*2,1),IF(MID(IFERROR(INDEX(醫師週班表!$C$5:$T$44,$CU41,BJ$57),""),3,1)="隔",IF(BJ$58=0,LEFT(IFERROR(INDEX(醫師週班表!$C$5:$T$44,$CU41,BJ$57),""),1),""),IF(MID(IFERROR(INDEX(醫師週班表!$C$5:$T$44,$CU41,BJ$57),""),2,1)="(",LEFT(IFERROR(INDEX(醫師週班表!$C$5:$T$44,$CU41,BJ$57),""),1),IFERROR(INDEX(醫師週班表!$C$5:$T$44,$CU41,BJ$57),"")))))))</f>
        <v/>
      </c>
      <c r="BK41" s="72">
        <f>IF(BK$59="X","",IF(BK$59&lt;&gt;"",BK$59,IF(IFERROR(INDEX(醫師週班表!$C$5:$T$44,$CU41,BK$57),"")=0,"",IF(MID(IFERROR(INDEX(醫師週班表!$C$5:$T$44,$CU41,BK$57),""),2,1)="/",MID(IFERROR(INDEX(醫師週班表!$C$5:$T$44,$CU41,BK$57),""),1+BK$58*2,1),IF(MID(IFERROR(INDEX(醫師週班表!$C$5:$T$44,$CU41,BK$57),""),3,1)="隔",IF(BK$58=0,LEFT(IFERROR(INDEX(醫師週班表!$C$5:$T$44,$CU41,BK$57),""),1),""),IF(MID(IFERROR(INDEX(醫師週班表!$C$5:$T$44,$CU41,BK$57),""),2,1)="(",LEFT(IFERROR(INDEX(醫師週班表!$C$5:$T$44,$CU41,BK$57),""),1),IFERROR(INDEX(醫師週班表!$C$5:$T$44,$CU41,BK$57),"")))))))</f>
        <v/>
      </c>
      <c r="BL41" s="72">
        <f>IF(BL$59="X","",IF(BL$59&lt;&gt;"",BL$59,IF(IFERROR(INDEX(醫師週班表!$C$5:$T$44,$CU41,BL$57),"")=0,"",IF(MID(IFERROR(INDEX(醫師週班表!$C$5:$T$44,$CU41,BL$57),""),2,1)="/",MID(IFERROR(INDEX(醫師週班表!$C$5:$T$44,$CU41,BL$57),""),1+BL$58*2,1),IF(MID(IFERROR(INDEX(醫師週班表!$C$5:$T$44,$CU41,BL$57),""),3,1)="隔",IF(BL$58=0,LEFT(IFERROR(INDEX(醫師週班表!$C$5:$T$44,$CU41,BL$57),""),1),""),IF(MID(IFERROR(INDEX(醫師週班表!$C$5:$T$44,$CU41,BL$57),""),2,1)="(",LEFT(IFERROR(INDEX(醫師週班表!$C$5:$T$44,$CU41,BL$57),""),1),IFERROR(INDEX(醫師週班表!$C$5:$T$44,$CU41,BL$57),"")))))))</f>
        <v/>
      </c>
      <c r="BM41" s="71">
        <f>IF(BM$59="X","",IF(BM$59&lt;&gt;"",BM$59,IF(IFERROR(INDEX(醫師週班表!$C$5:$T$44,$CU41,BM$57),"")=0,"",IF(MID(IFERROR(INDEX(醫師週班表!$C$5:$T$44,$CU41,BM$57),""),2,1)="/",MID(IFERROR(INDEX(醫師週班表!$C$5:$T$44,$CU41,BM$57),""),1+BM$58*2,1),IF(MID(IFERROR(INDEX(醫師週班表!$C$5:$T$44,$CU41,BM$57),""),3,1)="隔",IF(BM$58=0,LEFT(IFERROR(INDEX(醫師週班表!$C$5:$T$44,$CU41,BM$57),""),1),""),IF(MID(IFERROR(INDEX(醫師週班表!$C$5:$T$44,$CU41,BM$57),""),2,1)="(",LEFT(IFERROR(INDEX(醫師週班表!$C$5:$T$44,$CU41,BM$57),""),1),IFERROR(INDEX(醫師週班表!$C$5:$T$44,$CU41,BM$57),"")))))))</f>
        <v/>
      </c>
      <c r="BN41" s="72">
        <f>IF(BN$59="X","",IF(BN$59&lt;&gt;"",BN$59,IF(IFERROR(INDEX(醫師週班表!$C$5:$T$44,$CU41,BN$57),"")=0,"",IF(MID(IFERROR(INDEX(醫師週班表!$C$5:$T$44,$CU41,BN$57),""),2,1)="/",MID(IFERROR(INDEX(醫師週班表!$C$5:$T$44,$CU41,BN$57),""),1+BN$58*2,1),IF(MID(IFERROR(INDEX(醫師週班表!$C$5:$T$44,$CU41,BN$57),""),3,1)="隔",IF(BN$58=0,LEFT(IFERROR(INDEX(醫師週班表!$C$5:$T$44,$CU41,BN$57),""),1),""),IF(MID(IFERROR(INDEX(醫師週班表!$C$5:$T$44,$CU41,BN$57),""),2,1)="(",LEFT(IFERROR(INDEX(醫師週班表!$C$5:$T$44,$CU41,BN$57),""),1),IFERROR(INDEX(醫師週班表!$C$5:$T$44,$CU41,BN$57),"")))))))</f>
        <v/>
      </c>
      <c r="BO41" s="72">
        <f>IF(BO$59="X","",IF(BO$59&lt;&gt;"",BO$59,IF(IFERROR(INDEX(醫師週班表!$C$5:$T$44,$CU41,BO$57),"")=0,"",IF(MID(IFERROR(INDEX(醫師週班表!$C$5:$T$44,$CU41,BO$57),""),2,1)="/",MID(IFERROR(INDEX(醫師週班表!$C$5:$T$44,$CU41,BO$57),""),1+BO$58*2,1),IF(MID(IFERROR(INDEX(醫師週班表!$C$5:$T$44,$CU41,BO$57),""),3,1)="隔",IF(BO$58=0,LEFT(IFERROR(INDEX(醫師週班表!$C$5:$T$44,$CU41,BO$57),""),1),""),IF(MID(IFERROR(INDEX(醫師週班表!$C$5:$T$44,$CU41,BO$57),""),2,1)="(",LEFT(IFERROR(INDEX(醫師週班表!$C$5:$T$44,$CU41,BO$57),""),1),IFERROR(INDEX(醫師週班表!$C$5:$T$44,$CU41,BO$57),"")))))))</f>
        <v/>
      </c>
      <c r="BP41" s="71">
        <f>IF(BP$59="X","",IF(BP$59&lt;&gt;"",BP$59,IF(IFERROR(INDEX(醫師週班表!$C$5:$T$44,$CU41,BP$57),"")=0,"",IF(MID(IFERROR(INDEX(醫師週班表!$C$5:$T$44,$CU41,BP$57),""),2,1)="/",MID(IFERROR(INDEX(醫師週班表!$C$5:$T$44,$CU41,BP$57),""),1+BP$58*2,1),IF(MID(IFERROR(INDEX(醫師週班表!$C$5:$T$44,$CU41,BP$57),""),3,1)="隔",IF(BP$58=0,LEFT(IFERROR(INDEX(醫師週班表!$C$5:$T$44,$CU41,BP$57),""),1),""),IF(MID(IFERROR(INDEX(醫師週班表!$C$5:$T$44,$CU41,BP$57),""),2,1)="(",LEFT(IFERROR(INDEX(醫師週班表!$C$5:$T$44,$CU41,BP$57),""),1),IFERROR(INDEX(醫師週班表!$C$5:$T$44,$CU41,BP$57),"")))))))</f>
        <v/>
      </c>
      <c r="BQ41" s="72">
        <f>IF(BQ$59="X","",IF(BQ$59&lt;&gt;"",BQ$59,IF(IFERROR(INDEX(醫師週班表!$C$5:$T$44,$CU41,BQ$57),"")=0,"",IF(MID(IFERROR(INDEX(醫師週班表!$C$5:$T$44,$CU41,BQ$57),""),2,1)="/",MID(IFERROR(INDEX(醫師週班表!$C$5:$T$44,$CU41,BQ$57),""),1+BQ$58*2,1),IF(MID(IFERROR(INDEX(醫師週班表!$C$5:$T$44,$CU41,BQ$57),""),3,1)="隔",IF(BQ$58=0,LEFT(IFERROR(INDEX(醫師週班表!$C$5:$T$44,$CU41,BQ$57),""),1),""),IF(MID(IFERROR(INDEX(醫師週班表!$C$5:$T$44,$CU41,BQ$57),""),2,1)="(",LEFT(IFERROR(INDEX(醫師週班表!$C$5:$T$44,$CU41,BQ$57),""),1),IFERROR(INDEX(醫師週班表!$C$5:$T$44,$CU41,BQ$57),"")))))))</f>
        <v/>
      </c>
      <c r="BR41" s="72">
        <f>IF(BR$59="X","",IF(BR$59&lt;&gt;"",BR$59,IF(IFERROR(INDEX(醫師週班表!$C$5:$T$44,$CU41,BR$57),"")=0,"",IF(MID(IFERROR(INDEX(醫師週班表!$C$5:$T$44,$CU41,BR$57),""),2,1)="/",MID(IFERROR(INDEX(醫師週班表!$C$5:$T$44,$CU41,BR$57),""),1+BR$58*2,1),IF(MID(IFERROR(INDEX(醫師週班表!$C$5:$T$44,$CU41,BR$57),""),3,1)="隔",IF(BR$58=0,LEFT(IFERROR(INDEX(醫師週班表!$C$5:$T$44,$CU41,BR$57),""),1),""),IF(MID(IFERROR(INDEX(醫師週班表!$C$5:$T$44,$CU41,BR$57),""),2,1)="(",LEFT(IFERROR(INDEX(醫師週班表!$C$5:$T$44,$CU41,BR$57),""),1),IFERROR(INDEX(醫師週班表!$C$5:$T$44,$CU41,BR$57),"")))))))</f>
        <v/>
      </c>
      <c r="BS41" s="71">
        <f>IF(BS$59="X","",IF(BS$59&lt;&gt;"",BS$59,IF(IFERROR(INDEX(醫師週班表!$C$5:$T$44,$CU41,BS$57),"")=0,"",IF(MID(IFERROR(INDEX(醫師週班表!$C$5:$T$44,$CU41,BS$57),""),2,1)="/",MID(IFERROR(INDEX(醫師週班表!$C$5:$T$44,$CU41,BS$57),""),1+BS$58*2,1),IF(MID(IFERROR(INDEX(醫師週班表!$C$5:$T$44,$CU41,BS$57),""),3,1)="隔",IF(BS$58=0,LEFT(IFERROR(INDEX(醫師週班表!$C$5:$T$44,$CU41,BS$57),""),1),""),IF(MID(IFERROR(INDEX(醫師週班表!$C$5:$T$44,$CU41,BS$57),""),2,1)="(",LEFT(IFERROR(INDEX(醫師週班表!$C$5:$T$44,$CU41,BS$57),""),1),IFERROR(INDEX(醫師週班表!$C$5:$T$44,$CU41,BS$57),"")))))))</f>
        <v/>
      </c>
      <c r="BT41" s="72">
        <f>IF(BT$59="X","",IF(BT$59&lt;&gt;"",BT$59,IF(IFERROR(INDEX(醫師週班表!$C$5:$T$44,$CU41,BT$57),"")=0,"",IF(MID(IFERROR(INDEX(醫師週班表!$C$5:$T$44,$CU41,BT$57),""),2,1)="/",MID(IFERROR(INDEX(醫師週班表!$C$5:$T$44,$CU41,BT$57),""),1+BT$58*2,1),IF(MID(IFERROR(INDEX(醫師週班表!$C$5:$T$44,$CU41,BT$57),""),3,1)="隔",IF(BT$58=0,LEFT(IFERROR(INDEX(醫師週班表!$C$5:$T$44,$CU41,BT$57),""),1),""),IF(MID(IFERROR(INDEX(醫師週班表!$C$5:$T$44,$CU41,BT$57),""),2,1)="(",LEFT(IFERROR(INDEX(醫師週班表!$C$5:$T$44,$CU41,BT$57),""),1),IFERROR(INDEX(醫師週班表!$C$5:$T$44,$CU41,BT$57),"")))))))</f>
        <v/>
      </c>
      <c r="BU41" s="72">
        <f>IF(BU$59="X","",IF(BU$59&lt;&gt;"",BU$59,IF(IFERROR(INDEX(醫師週班表!$C$5:$T$44,$CU41,BU$57),"")=0,"",IF(MID(IFERROR(INDEX(醫師週班表!$C$5:$T$44,$CU41,BU$57),""),2,1)="/",MID(IFERROR(INDEX(醫師週班表!$C$5:$T$44,$CU41,BU$57),""),1+BU$58*2,1),IF(MID(IFERROR(INDEX(醫師週班表!$C$5:$T$44,$CU41,BU$57),""),3,1)="隔",IF(BU$58=0,LEFT(IFERROR(INDEX(醫師週班表!$C$5:$T$44,$CU41,BU$57),""),1),""),IF(MID(IFERROR(INDEX(醫師週班表!$C$5:$T$44,$CU41,BU$57),""),2,1)="(",LEFT(IFERROR(INDEX(醫師週班表!$C$5:$T$44,$CU41,BU$57),""),1),IFERROR(INDEX(醫師週班表!$C$5:$T$44,$CU41,BU$57),"")))))))</f>
        <v/>
      </c>
      <c r="BV41" s="71">
        <f>IF(BV$59="X","",IF(BV$59&lt;&gt;"",BV$59,IF(IFERROR(INDEX(醫師週班表!$C$5:$T$44,$CU41,BV$57),"")=0,"",IF(MID(IFERROR(INDEX(醫師週班表!$C$5:$T$44,$CU41,BV$57),""),2,1)="/",MID(IFERROR(INDEX(醫師週班表!$C$5:$T$44,$CU41,BV$57),""),1+BV$58*2,1),IF(MID(IFERROR(INDEX(醫師週班表!$C$5:$T$44,$CU41,BV$57),""),3,1)="隔",IF(BV$58=0,LEFT(IFERROR(INDEX(醫師週班表!$C$5:$T$44,$CU41,BV$57),""),1),""),IF(MID(IFERROR(INDEX(醫師週班表!$C$5:$T$44,$CU41,BV$57),""),2,1)="(",LEFT(IFERROR(INDEX(醫師週班表!$C$5:$T$44,$CU41,BV$57),""),1),IFERROR(INDEX(醫師週班表!$C$5:$T$44,$CU41,BV$57),"")))))))</f>
        <v/>
      </c>
      <c r="BW41" s="72">
        <f>IF(BW$59="X","",IF(BW$59&lt;&gt;"",BW$59,IF(IFERROR(INDEX(醫師週班表!$C$5:$T$44,$CU41,BW$57),"")=0,"",IF(MID(IFERROR(INDEX(醫師週班表!$C$5:$T$44,$CU41,BW$57),""),2,1)="/",MID(IFERROR(INDEX(醫師週班表!$C$5:$T$44,$CU41,BW$57),""),1+BW$58*2,1),IF(MID(IFERROR(INDEX(醫師週班表!$C$5:$T$44,$CU41,BW$57),""),3,1)="隔",IF(BW$58=0,LEFT(IFERROR(INDEX(醫師週班表!$C$5:$T$44,$CU41,BW$57),""),1),""),IF(MID(IFERROR(INDEX(醫師週班表!$C$5:$T$44,$CU41,BW$57),""),2,1)="(",LEFT(IFERROR(INDEX(醫師週班表!$C$5:$T$44,$CU41,BW$57),""),1),IFERROR(INDEX(醫師週班表!$C$5:$T$44,$CU41,BW$57),"")))))))</f>
        <v/>
      </c>
      <c r="BX41" s="72">
        <f>IF(BX$59="X","",IF(BX$59&lt;&gt;"",BX$59,IF(IFERROR(INDEX(醫師週班表!$C$5:$T$44,$CU41,BX$57),"")=0,"",IF(MID(IFERROR(INDEX(醫師週班表!$C$5:$T$44,$CU41,BX$57),""),2,1)="/",MID(IFERROR(INDEX(醫師週班表!$C$5:$T$44,$CU41,BX$57),""),1+BX$58*2,1),IF(MID(IFERROR(INDEX(醫師週班表!$C$5:$T$44,$CU41,BX$57),""),3,1)="隔",IF(BX$58=0,LEFT(IFERROR(INDEX(醫師週班表!$C$5:$T$44,$CU41,BX$57),""),1),""),IF(MID(IFERROR(INDEX(醫師週班表!$C$5:$T$44,$CU41,BX$57),""),2,1)="(",LEFT(IFERROR(INDEX(醫師週班表!$C$5:$T$44,$CU41,BX$57),""),1),IFERROR(INDEX(醫師週班表!$C$5:$T$44,$CU41,BX$57),"")))))))</f>
        <v/>
      </c>
      <c r="BY41" s="71">
        <f>IF(BY$59="X","",IF(BY$59&lt;&gt;"",BY$59,IF(IFERROR(INDEX(醫師週班表!$C$5:$T$44,$CU41,BY$57),"")=0,"",IF(MID(IFERROR(INDEX(醫師週班表!$C$5:$T$44,$CU41,BY$57),""),2,1)="/",MID(IFERROR(INDEX(醫師週班表!$C$5:$T$44,$CU41,BY$57),""),1+BY$58*2,1),IF(MID(IFERROR(INDEX(醫師週班表!$C$5:$T$44,$CU41,BY$57),""),3,1)="隔",IF(BY$58=0,LEFT(IFERROR(INDEX(醫師週班表!$C$5:$T$44,$CU41,BY$57),""),1),""),IF(MID(IFERROR(INDEX(醫師週班表!$C$5:$T$44,$CU41,BY$57),""),2,1)="(",LEFT(IFERROR(INDEX(醫師週班表!$C$5:$T$44,$CU41,BY$57),""),1),IFERROR(INDEX(醫師週班表!$C$5:$T$44,$CU41,BY$57),"")))))))</f>
        <v/>
      </c>
      <c r="BZ41" s="72">
        <f>IF(BZ$59="X","",IF(BZ$59&lt;&gt;"",BZ$59,IF(IFERROR(INDEX(醫師週班表!$C$5:$T$44,$CU41,BZ$57),"")=0,"",IF(MID(IFERROR(INDEX(醫師週班表!$C$5:$T$44,$CU41,BZ$57),""),2,1)="/",MID(IFERROR(INDEX(醫師週班表!$C$5:$T$44,$CU41,BZ$57),""),1+BZ$58*2,1),IF(MID(IFERROR(INDEX(醫師週班表!$C$5:$T$44,$CU41,BZ$57),""),3,1)="隔",IF(BZ$58=0,LEFT(IFERROR(INDEX(醫師週班表!$C$5:$T$44,$CU41,BZ$57),""),1),""),IF(MID(IFERROR(INDEX(醫師週班表!$C$5:$T$44,$CU41,BZ$57),""),2,1)="(",LEFT(IFERROR(INDEX(醫師週班表!$C$5:$T$44,$CU41,BZ$57),""),1),IFERROR(INDEX(醫師週班表!$C$5:$T$44,$CU41,BZ$57),"")))))))</f>
        <v/>
      </c>
      <c r="CA41" s="72">
        <f>IF(CA$59="X","",IF(CA$59&lt;&gt;"",CA$59,IF(IFERROR(INDEX(醫師週班表!$C$5:$T$44,$CU41,CA$57),"")=0,"",IF(MID(IFERROR(INDEX(醫師週班表!$C$5:$T$44,$CU41,CA$57),""),2,1)="/",MID(IFERROR(INDEX(醫師週班表!$C$5:$T$44,$CU41,CA$57),""),1+CA$58*2,1),IF(MID(IFERROR(INDEX(醫師週班表!$C$5:$T$44,$CU41,CA$57),""),3,1)="隔",IF(CA$58=0,LEFT(IFERROR(INDEX(醫師週班表!$C$5:$T$44,$CU41,CA$57),""),1),""),IF(MID(IFERROR(INDEX(醫師週班表!$C$5:$T$44,$CU41,CA$57),""),2,1)="(",LEFT(IFERROR(INDEX(醫師週班表!$C$5:$T$44,$CU41,CA$57),""),1),IFERROR(INDEX(醫師週班表!$C$5:$T$44,$CU41,CA$57),"")))))))</f>
        <v/>
      </c>
      <c r="CB41" s="71">
        <f>IF(CB$59="X","",IF(CB$59&lt;&gt;"",CB$59,IF(IFERROR(INDEX(醫師週班表!$C$5:$T$44,$CU41,CB$57),"")=0,"",IF(MID(IFERROR(INDEX(醫師週班表!$C$5:$T$44,$CU41,CB$57),""),2,1)="/",MID(IFERROR(INDEX(醫師週班表!$C$5:$T$44,$CU41,CB$57),""),1+CB$58*2,1),IF(MID(IFERROR(INDEX(醫師週班表!$C$5:$T$44,$CU41,CB$57),""),3,1)="隔",IF(CB$58=0,LEFT(IFERROR(INDEX(醫師週班表!$C$5:$T$44,$CU41,CB$57),""),1),""),IF(MID(IFERROR(INDEX(醫師週班表!$C$5:$T$44,$CU41,CB$57),""),2,1)="(",LEFT(IFERROR(INDEX(醫師週班表!$C$5:$T$44,$CU41,CB$57),""),1),IFERROR(INDEX(醫師週班表!$C$5:$T$44,$CU41,CB$57),"")))))))</f>
        <v/>
      </c>
      <c r="CC41" s="72">
        <f>IF(CC$59="X","",IF(CC$59&lt;&gt;"",CC$59,IF(IFERROR(INDEX(醫師週班表!$C$5:$T$44,$CU41,CC$57),"")=0,"",IF(MID(IFERROR(INDEX(醫師週班表!$C$5:$T$44,$CU41,CC$57),""),2,1)="/",MID(IFERROR(INDEX(醫師週班表!$C$5:$T$44,$CU41,CC$57),""),1+CC$58*2,1),IF(MID(IFERROR(INDEX(醫師週班表!$C$5:$T$44,$CU41,CC$57),""),3,1)="隔",IF(CC$58=0,LEFT(IFERROR(INDEX(醫師週班表!$C$5:$T$44,$CU41,CC$57),""),1),""),IF(MID(IFERROR(INDEX(醫師週班表!$C$5:$T$44,$CU41,CC$57),""),2,1)="(",LEFT(IFERROR(INDEX(醫師週班表!$C$5:$T$44,$CU41,CC$57),""),1),IFERROR(INDEX(醫師週班表!$C$5:$T$44,$CU41,CC$57),"")))))))</f>
        <v/>
      </c>
      <c r="CD41" s="72">
        <f>IF(CD$59="X","",IF(CD$59&lt;&gt;"",CD$59,IF(IFERROR(INDEX(醫師週班表!$C$5:$T$44,$CU41,CD$57),"")=0,"",IF(MID(IFERROR(INDEX(醫師週班表!$C$5:$T$44,$CU41,CD$57),""),2,1)="/",MID(IFERROR(INDEX(醫師週班表!$C$5:$T$44,$CU41,CD$57),""),1+CD$58*2,1),IF(MID(IFERROR(INDEX(醫師週班表!$C$5:$T$44,$CU41,CD$57),""),3,1)="隔",IF(CD$58=0,LEFT(IFERROR(INDEX(醫師週班表!$C$5:$T$44,$CU41,CD$57),""),1),""),IF(MID(IFERROR(INDEX(醫師週班表!$C$5:$T$44,$CU41,CD$57),""),2,1)="(",LEFT(IFERROR(INDEX(醫師週班表!$C$5:$T$44,$CU41,CD$57),""),1),IFERROR(INDEX(醫師週班表!$C$5:$T$44,$CU41,CD$57),"")))))))</f>
        <v/>
      </c>
      <c r="CE41" s="71">
        <f>IF(CE$59="X","",IF(CE$59&lt;&gt;"",CE$59,IF(IFERROR(INDEX(醫師週班表!$C$5:$T$44,$CU41,CE$57),"")=0,"",IF(MID(IFERROR(INDEX(醫師週班表!$C$5:$T$44,$CU41,CE$57),""),2,1)="/",MID(IFERROR(INDEX(醫師週班表!$C$5:$T$44,$CU41,CE$57),""),1+CE$58*2,1),IF(MID(IFERROR(INDEX(醫師週班表!$C$5:$T$44,$CU41,CE$57),""),3,1)="隔",IF(CE$58=0,LEFT(IFERROR(INDEX(醫師週班表!$C$5:$T$44,$CU41,CE$57),""),1),""),IF(MID(IFERROR(INDEX(醫師週班表!$C$5:$T$44,$CU41,CE$57),""),2,1)="(",LEFT(IFERROR(INDEX(醫師週班表!$C$5:$T$44,$CU41,CE$57),""),1),IFERROR(INDEX(醫師週班表!$C$5:$T$44,$CU41,CE$57),"")))))))</f>
        <v/>
      </c>
      <c r="CF41" s="72">
        <f>IF(CF$59="X","",IF(CF$59&lt;&gt;"",CF$59,IF(IFERROR(INDEX(醫師週班表!$C$5:$T$44,$CU41,CF$57),"")=0,"",IF(MID(IFERROR(INDEX(醫師週班表!$C$5:$T$44,$CU41,CF$57),""),2,1)="/",MID(IFERROR(INDEX(醫師週班表!$C$5:$T$44,$CU41,CF$57),""),1+CF$58*2,1),IF(MID(IFERROR(INDEX(醫師週班表!$C$5:$T$44,$CU41,CF$57),""),3,1)="隔",IF(CF$58=0,LEFT(IFERROR(INDEX(醫師週班表!$C$5:$T$44,$CU41,CF$57),""),1),""),IF(MID(IFERROR(INDEX(醫師週班表!$C$5:$T$44,$CU41,CF$57),""),2,1)="(",LEFT(IFERROR(INDEX(醫師週班表!$C$5:$T$44,$CU41,CF$57),""),1),IFERROR(INDEX(醫師週班表!$C$5:$T$44,$CU41,CF$57),"")))))))</f>
        <v/>
      </c>
      <c r="CG41" s="72">
        <f>IF(CG$59="X","",IF(CG$59&lt;&gt;"",CG$59,IF(IFERROR(INDEX(醫師週班表!$C$5:$T$44,$CU41,CG$57),"")=0,"",IF(MID(IFERROR(INDEX(醫師週班表!$C$5:$T$44,$CU41,CG$57),""),2,1)="/",MID(IFERROR(INDEX(醫師週班表!$C$5:$T$44,$CU41,CG$57),""),1+CG$58*2,1),IF(MID(IFERROR(INDEX(醫師週班表!$C$5:$T$44,$CU41,CG$57),""),3,1)="隔",IF(CG$58=0,LEFT(IFERROR(INDEX(醫師週班表!$C$5:$T$44,$CU41,CG$57),""),1),""),IF(MID(IFERROR(INDEX(醫師週班表!$C$5:$T$44,$CU41,CG$57),""),2,1)="(",LEFT(IFERROR(INDEX(醫師週班表!$C$5:$T$44,$CU41,CG$57),""),1),IFERROR(INDEX(醫師週班表!$C$5:$T$44,$CU41,CG$57),"")))))))</f>
        <v/>
      </c>
      <c r="CH41" s="71">
        <f>IF(CH$59="X","",IF(CH$59&lt;&gt;"",CH$59,IF(IFERROR(INDEX(醫師週班表!$C$5:$T$44,$CU41,CH$57),"")=0,"",IF(MID(IFERROR(INDEX(醫師週班表!$C$5:$T$44,$CU41,CH$57),""),2,1)="/",MID(IFERROR(INDEX(醫師週班表!$C$5:$T$44,$CU41,CH$57),""),1+CH$58*2,1),IF(MID(IFERROR(INDEX(醫師週班表!$C$5:$T$44,$CU41,CH$57),""),3,1)="隔",IF(CH$58=0,LEFT(IFERROR(INDEX(醫師週班表!$C$5:$T$44,$CU41,CH$57),""),1),""),IF(MID(IFERROR(INDEX(醫師週班表!$C$5:$T$44,$CU41,CH$57),""),2,1)="(",LEFT(IFERROR(INDEX(醫師週班表!$C$5:$T$44,$CU41,CH$57),""),1),IFERROR(INDEX(醫師週班表!$C$5:$T$44,$CU41,CH$57),"")))))))</f>
        <v/>
      </c>
      <c r="CI41" s="72">
        <f>IF(CI$59="X","",IF(CI$59&lt;&gt;"",CI$59,IF(IFERROR(INDEX(醫師週班表!$C$5:$T$44,$CU41,CI$57),"")=0,"",IF(MID(IFERROR(INDEX(醫師週班表!$C$5:$T$44,$CU41,CI$57),""),2,1)="/",MID(IFERROR(INDEX(醫師週班表!$C$5:$T$44,$CU41,CI$57),""),1+CI$58*2,1),IF(MID(IFERROR(INDEX(醫師週班表!$C$5:$T$44,$CU41,CI$57),""),3,1)="隔",IF(CI$58=0,LEFT(IFERROR(INDEX(醫師週班表!$C$5:$T$44,$CU41,CI$57),""),1),""),IF(MID(IFERROR(INDEX(醫師週班表!$C$5:$T$44,$CU41,CI$57),""),2,1)="(",LEFT(IFERROR(INDEX(醫師週班表!$C$5:$T$44,$CU41,CI$57),""),1),IFERROR(INDEX(醫師週班表!$C$5:$T$44,$CU41,CI$57),"")))))))</f>
        <v/>
      </c>
      <c r="CJ41" s="72">
        <f>IF(CJ$59="X","",IF(CJ$59&lt;&gt;"",CJ$59,IF(IFERROR(INDEX(醫師週班表!$C$5:$T$44,$CU41,CJ$57),"")=0,"",IF(MID(IFERROR(INDEX(醫師週班表!$C$5:$T$44,$CU41,CJ$57),""),2,1)="/",MID(IFERROR(INDEX(醫師週班表!$C$5:$T$44,$CU41,CJ$57),""),1+CJ$58*2,1),IF(MID(IFERROR(INDEX(醫師週班表!$C$5:$T$44,$CU41,CJ$57),""),3,1)="隔",IF(CJ$58=0,LEFT(IFERROR(INDEX(醫師週班表!$C$5:$T$44,$CU41,CJ$57),""),1),""),IF(MID(IFERROR(INDEX(醫師週班表!$C$5:$T$44,$CU41,CJ$57),""),2,1)="(",LEFT(IFERROR(INDEX(醫師週班表!$C$5:$T$44,$CU41,CJ$57),""),1),IFERROR(INDEX(醫師週班表!$C$5:$T$44,$CU41,CJ$57),"")))))))</f>
        <v/>
      </c>
      <c r="CK41" s="71">
        <f>IF(CK$59="X","",IF(CK$59&lt;&gt;"",CK$59,IF(IFERROR(INDEX(醫師週班表!$C$5:$T$44,$CU41,CK$57),"")=0,"",IF(MID(IFERROR(INDEX(醫師週班表!$C$5:$T$44,$CU41,CK$57),""),2,1)="/",MID(IFERROR(INDEX(醫師週班表!$C$5:$T$44,$CU41,CK$57),""),1+CK$58*2,1),IF(MID(IFERROR(INDEX(醫師週班表!$C$5:$T$44,$CU41,CK$57),""),3,1)="隔",IF(CK$58=0,LEFT(IFERROR(INDEX(醫師週班表!$C$5:$T$44,$CU41,CK$57),""),1),""),IF(MID(IFERROR(INDEX(醫師週班表!$C$5:$T$44,$CU41,CK$57),""),2,1)="(",LEFT(IFERROR(INDEX(醫師週班表!$C$5:$T$44,$CU41,CK$57),""),1),IFERROR(INDEX(醫師週班表!$C$5:$T$44,$CU41,CK$57),"")))))))</f>
        <v/>
      </c>
      <c r="CL41" s="72">
        <f>IF(CL$59="X","",IF(CL$59&lt;&gt;"",CL$59,IF(IFERROR(INDEX(醫師週班表!$C$5:$T$44,$CU41,CL$57),"")=0,"",IF(MID(IFERROR(INDEX(醫師週班表!$C$5:$T$44,$CU41,CL$57),""),2,1)="/",MID(IFERROR(INDEX(醫師週班表!$C$5:$T$44,$CU41,CL$57),""),1+CL$58*2,1),IF(MID(IFERROR(INDEX(醫師週班表!$C$5:$T$44,$CU41,CL$57),""),3,1)="隔",IF(CL$58=0,LEFT(IFERROR(INDEX(醫師週班表!$C$5:$T$44,$CU41,CL$57),""),1),""),IF(MID(IFERROR(INDEX(醫師週班表!$C$5:$T$44,$CU41,CL$57),""),2,1)="(",LEFT(IFERROR(INDEX(醫師週班表!$C$5:$T$44,$CU41,CL$57),""),1),IFERROR(INDEX(醫師週班表!$C$5:$T$44,$CU41,CL$57),"")))))))</f>
        <v/>
      </c>
      <c r="CM41" s="72">
        <f>IF(CM$59="X","",IF(CM$59&lt;&gt;"",CM$59,IF(IFERROR(INDEX(醫師週班表!$C$5:$T$44,$CU41,CM$57),"")=0,"",IF(MID(IFERROR(INDEX(醫師週班表!$C$5:$T$44,$CU41,CM$57),""),2,1)="/",MID(IFERROR(INDEX(醫師週班表!$C$5:$T$44,$CU41,CM$57),""),1+CM$58*2,1),IF(MID(IFERROR(INDEX(醫師週班表!$C$5:$T$44,$CU41,CM$57),""),3,1)="隔",IF(CM$58=0,LEFT(IFERROR(INDEX(醫師週班表!$C$5:$T$44,$CU41,CM$57),""),1),""),IF(MID(IFERROR(INDEX(醫師週班表!$C$5:$T$44,$CU41,CM$57),""),2,1)="(",LEFT(IFERROR(INDEX(醫師週班表!$C$5:$T$44,$CU41,CM$57),""),1),IFERROR(INDEX(醫師週班表!$C$5:$T$44,$CU41,CM$57),"")))))))</f>
        <v/>
      </c>
      <c r="CN41" s="71">
        <f>IF(CN$59="X","",IF(CN$59&lt;&gt;"",CN$59,IF(IFERROR(INDEX(醫師週班表!$C$5:$T$44,$CU41,CN$57),"")=0,"",IF(MID(IFERROR(INDEX(醫師週班表!$C$5:$T$44,$CU41,CN$57),""),2,1)="/",MID(IFERROR(INDEX(醫師週班表!$C$5:$T$44,$CU41,CN$57),""),1+CN$58*2,1),IF(MID(IFERROR(INDEX(醫師週班表!$C$5:$T$44,$CU41,CN$57),""),3,1)="隔",IF(CN$58=0,LEFT(IFERROR(INDEX(醫師週班表!$C$5:$T$44,$CU41,CN$57),""),1),""),IF(MID(IFERROR(INDEX(醫師週班表!$C$5:$T$44,$CU41,CN$57),""),2,1)="(",LEFT(IFERROR(INDEX(醫師週班表!$C$5:$T$44,$CU41,CN$57),""),1),IFERROR(INDEX(醫師週班表!$C$5:$T$44,$CU41,CN$57),"")))))))</f>
        <v/>
      </c>
      <c r="CO41" s="72">
        <f>IF(CO$59="X","",IF(CO$59&lt;&gt;"",CO$59,IF(IFERROR(INDEX(醫師週班表!$C$5:$T$44,$CU41,CO$57),"")=0,"",IF(MID(IFERROR(INDEX(醫師週班表!$C$5:$T$44,$CU41,CO$57),""),2,1)="/",MID(IFERROR(INDEX(醫師週班表!$C$5:$T$44,$CU41,CO$57),""),1+CO$58*2,1),IF(MID(IFERROR(INDEX(醫師週班表!$C$5:$T$44,$CU41,CO$57),""),3,1)="隔",IF(CO$58=0,LEFT(IFERROR(INDEX(醫師週班表!$C$5:$T$44,$CU41,CO$57),""),1),""),IF(MID(IFERROR(INDEX(醫師週班表!$C$5:$T$44,$CU41,CO$57),""),2,1)="(",LEFT(IFERROR(INDEX(醫師週班表!$C$5:$T$44,$CU41,CO$57),""),1),IFERROR(INDEX(醫師週班表!$C$5:$T$44,$CU41,CO$57),"")))))))</f>
        <v/>
      </c>
      <c r="CP41" s="72">
        <f>IF(CP$59="X","",IF(CP$59&lt;&gt;"",CP$59,IF(IFERROR(INDEX(醫師週班表!$C$5:$T$44,$CU41,CP$57),"")=0,"",IF(MID(IFERROR(INDEX(醫師週班表!$C$5:$T$44,$CU41,CP$57),""),2,1)="/",MID(IFERROR(INDEX(醫師週班表!$C$5:$T$44,$CU41,CP$57),""),1+CP$58*2,1),IF(MID(IFERROR(INDEX(醫師週班表!$C$5:$T$44,$CU41,CP$57),""),3,1)="隔",IF(CP$58=0,LEFT(IFERROR(INDEX(醫師週班表!$C$5:$T$44,$CU41,CP$57),""),1),""),IF(MID(IFERROR(INDEX(醫師週班表!$C$5:$T$44,$CU41,CP$57),""),2,1)="(",LEFT(IFERROR(INDEX(醫師週班表!$C$5:$T$44,$CU41,CP$57),""),1),IFERROR(INDEX(醫師週班表!$C$5:$T$44,$CU41,CP$57),"")))))))</f>
        <v/>
      </c>
      <c r="CQ41" s="71">
        <f>IF(CQ$59="X","",IF(CQ$59&lt;&gt;"",CQ$59,IF(IFERROR(INDEX(醫師週班表!$C$5:$T$44,$CU41,CQ$57),"")=0,"",IF(MID(IFERROR(INDEX(醫師週班表!$C$5:$T$44,$CU41,CQ$57),""),2,1)="/",MID(IFERROR(INDEX(醫師週班表!$C$5:$T$44,$CU41,CQ$57),""),1+CQ$58*2,1),IF(MID(IFERROR(INDEX(醫師週班表!$C$5:$T$44,$CU41,CQ$57),""),3,1)="隔",IF(CQ$58=0,LEFT(IFERROR(INDEX(醫師週班表!$C$5:$T$44,$CU41,CQ$57),""),1),""),IF(MID(IFERROR(INDEX(醫師週班表!$C$5:$T$44,$CU41,CQ$57),""),2,1)="(",LEFT(IFERROR(INDEX(醫師週班表!$C$5:$T$44,$CU41,CQ$57),""),1),IFERROR(INDEX(醫師週班表!$C$5:$T$44,$CU41,CQ$57),"")))))))</f>
        <v/>
      </c>
      <c r="CR41" s="72">
        <f>IF(CR$59="X","",IF(CR$59&lt;&gt;"",CR$59,IF(IFERROR(INDEX(醫師週班表!$C$5:$T$44,$CU41,CR$57),"")=0,"",IF(MID(IFERROR(INDEX(醫師週班表!$C$5:$T$44,$CU41,CR$57),""),2,1)="/",MID(IFERROR(INDEX(醫師週班表!$C$5:$T$44,$CU41,CR$57),""),1+CR$58*2,1),IF(MID(IFERROR(INDEX(醫師週班表!$C$5:$T$44,$CU41,CR$57),""),3,1)="隔",IF(CR$58=0,LEFT(IFERROR(INDEX(醫師週班表!$C$5:$T$44,$CU41,CR$57),""),1),""),IF(MID(IFERROR(INDEX(醫師週班表!$C$5:$T$44,$CU41,CR$57),""),2,1)="(",LEFT(IFERROR(INDEX(醫師週班表!$C$5:$T$44,$CU41,CR$57),""),1),IFERROR(INDEX(醫師週班表!$C$5:$T$44,$CU41,CR$57),"")))))))</f>
        <v/>
      </c>
      <c r="CS41" s="72">
        <f>IF(CS$59="X","",IF(CS$59&lt;&gt;"",CS$59,IF(IFERROR(INDEX(醫師週班表!$C$5:$T$44,$CU41,CS$57),"")=0,"",IF(MID(IFERROR(INDEX(醫師週班表!$C$5:$T$44,$CU41,CS$57),""),2,1)="/",MID(IFERROR(INDEX(醫師週班表!$C$5:$T$44,$CU41,CS$57),""),1+CS$58*2,1),IF(MID(IFERROR(INDEX(醫師週班表!$C$5:$T$44,$CU41,CS$57),""),3,1)="隔",IF(CS$58=0,LEFT(IFERROR(INDEX(醫師週班表!$C$5:$T$44,$CU41,CS$57),""),1),""),IF(MID(IFERROR(INDEX(醫師週班表!$C$5:$T$44,$CU41,CS$57),""),2,1)="(",LEFT(IFERROR(INDEX(醫師週班表!$C$5:$T$44,$CU41,CS$57),""),1),IFERROR(INDEX(醫師週班表!$C$5:$T$44,$CU41,CS$57),"")))))))</f>
        <v/>
      </c>
      <c r="CU41" s="73">
        <f>IFERROR(MATCH($A41,醫師週班表!$A$5:$A$44,0),0)</f>
        <v/>
      </c>
    </row>
    <row r="42" ht="17" customHeight="1">
      <c r="A42" s="19" t="n"/>
      <c r="B42" s="16">
        <f>IFERROR(INDEX(設定!$C$64:$C$203,MATCH($A42,設定!$B$64:$B$203,0)),"")</f>
        <v/>
      </c>
      <c r="C42" s="70">
        <f>IFERROR(INDEX(設定!$E$64:$E$203,MATCH($A42,設定!$B$64:$B$203,0)),"")</f>
        <v/>
      </c>
      <c r="D42" s="16">
        <f>IFERROR(INDEX(設定!$F$64:$F$203,MATCH($A42,設定!$B$64:$B$203,0)),"")</f>
        <v/>
      </c>
      <c r="E42" s="71">
        <f>IF(E$59="X","",IF(E$59&lt;&gt;"",E$59,IF(IFERROR(INDEX(醫師週班表!$C$5:$T$44,$CU42,E$57),"")=0,"",IF(MID(IFERROR(INDEX(醫師週班表!$C$5:$T$44,$CU42,E$57),""),2,1)="/",MID(IFERROR(INDEX(醫師週班表!$C$5:$T$44,$CU42,E$57),""),1+E$58*2,1),IF(MID(IFERROR(INDEX(醫師週班表!$C$5:$T$44,$CU42,E$57),""),3,1)="隔",IF(E$58=0,LEFT(IFERROR(INDEX(醫師週班表!$C$5:$T$44,$CU42,E$57),""),1),""),IF(MID(IFERROR(INDEX(醫師週班表!$C$5:$T$44,$CU42,E$57),""),2,1)="(",LEFT(IFERROR(INDEX(醫師週班表!$C$5:$T$44,$CU42,E$57),""),1),IFERROR(INDEX(醫師週班表!$C$5:$T$44,$CU42,E$57),"")))))))</f>
        <v/>
      </c>
      <c r="F42" s="72">
        <f>IF(F$59="X","",IF(F$59&lt;&gt;"",F$59,IF(IFERROR(INDEX(醫師週班表!$C$5:$T$44,$CU42,F$57),"")=0,"",IF(MID(IFERROR(INDEX(醫師週班表!$C$5:$T$44,$CU42,F$57),""),2,1)="/",MID(IFERROR(INDEX(醫師週班表!$C$5:$T$44,$CU42,F$57),""),1+F$58*2,1),IF(MID(IFERROR(INDEX(醫師週班表!$C$5:$T$44,$CU42,F$57),""),3,1)="隔",IF(F$58=0,LEFT(IFERROR(INDEX(醫師週班表!$C$5:$T$44,$CU42,F$57),""),1),""),IF(MID(IFERROR(INDEX(醫師週班表!$C$5:$T$44,$CU42,F$57),""),2,1)="(",LEFT(IFERROR(INDEX(醫師週班表!$C$5:$T$44,$CU42,F$57),""),1),IFERROR(INDEX(醫師週班表!$C$5:$T$44,$CU42,F$57),"")))))))</f>
        <v/>
      </c>
      <c r="G42" s="72">
        <f>IF(G$59="X","",IF(G$59&lt;&gt;"",G$59,IF(IFERROR(INDEX(醫師週班表!$C$5:$T$44,$CU42,G$57),"")=0,"",IF(MID(IFERROR(INDEX(醫師週班表!$C$5:$T$44,$CU42,G$57),""),2,1)="/",MID(IFERROR(INDEX(醫師週班表!$C$5:$T$44,$CU42,G$57),""),1+G$58*2,1),IF(MID(IFERROR(INDEX(醫師週班表!$C$5:$T$44,$CU42,G$57),""),3,1)="隔",IF(G$58=0,LEFT(IFERROR(INDEX(醫師週班表!$C$5:$T$44,$CU42,G$57),""),1),""),IF(MID(IFERROR(INDEX(醫師週班表!$C$5:$T$44,$CU42,G$57),""),2,1)="(",LEFT(IFERROR(INDEX(醫師週班表!$C$5:$T$44,$CU42,G$57),""),1),IFERROR(INDEX(醫師週班表!$C$5:$T$44,$CU42,G$57),"")))))))</f>
        <v/>
      </c>
      <c r="H42" s="71">
        <f>IF(H$59="X","",IF(H$59&lt;&gt;"",H$59,IF(IFERROR(INDEX(醫師週班表!$C$5:$T$44,$CU42,H$57),"")=0,"",IF(MID(IFERROR(INDEX(醫師週班表!$C$5:$T$44,$CU42,H$57),""),2,1)="/",MID(IFERROR(INDEX(醫師週班表!$C$5:$T$44,$CU42,H$57),""),1+H$58*2,1),IF(MID(IFERROR(INDEX(醫師週班表!$C$5:$T$44,$CU42,H$57),""),3,1)="隔",IF(H$58=0,LEFT(IFERROR(INDEX(醫師週班表!$C$5:$T$44,$CU42,H$57),""),1),""),IF(MID(IFERROR(INDEX(醫師週班表!$C$5:$T$44,$CU42,H$57),""),2,1)="(",LEFT(IFERROR(INDEX(醫師週班表!$C$5:$T$44,$CU42,H$57),""),1),IFERROR(INDEX(醫師週班表!$C$5:$T$44,$CU42,H$57),"")))))))</f>
        <v/>
      </c>
      <c r="I42" s="72">
        <f>IF(I$59="X","",IF(I$59&lt;&gt;"",I$59,IF(IFERROR(INDEX(醫師週班表!$C$5:$T$44,$CU42,I$57),"")=0,"",IF(MID(IFERROR(INDEX(醫師週班表!$C$5:$T$44,$CU42,I$57),""),2,1)="/",MID(IFERROR(INDEX(醫師週班表!$C$5:$T$44,$CU42,I$57),""),1+I$58*2,1),IF(MID(IFERROR(INDEX(醫師週班表!$C$5:$T$44,$CU42,I$57),""),3,1)="隔",IF(I$58=0,LEFT(IFERROR(INDEX(醫師週班表!$C$5:$T$44,$CU42,I$57),""),1),""),IF(MID(IFERROR(INDEX(醫師週班表!$C$5:$T$44,$CU42,I$57),""),2,1)="(",LEFT(IFERROR(INDEX(醫師週班表!$C$5:$T$44,$CU42,I$57),""),1),IFERROR(INDEX(醫師週班表!$C$5:$T$44,$CU42,I$57),"")))))))</f>
        <v/>
      </c>
      <c r="J42" s="72">
        <f>IF(J$59="X","",IF(J$59&lt;&gt;"",J$59,IF(IFERROR(INDEX(醫師週班表!$C$5:$T$44,$CU42,J$57),"")=0,"",IF(MID(IFERROR(INDEX(醫師週班表!$C$5:$T$44,$CU42,J$57),""),2,1)="/",MID(IFERROR(INDEX(醫師週班表!$C$5:$T$44,$CU42,J$57),""),1+J$58*2,1),IF(MID(IFERROR(INDEX(醫師週班表!$C$5:$T$44,$CU42,J$57),""),3,1)="隔",IF(J$58=0,LEFT(IFERROR(INDEX(醫師週班表!$C$5:$T$44,$CU42,J$57),""),1),""),IF(MID(IFERROR(INDEX(醫師週班表!$C$5:$T$44,$CU42,J$57),""),2,1)="(",LEFT(IFERROR(INDEX(醫師週班表!$C$5:$T$44,$CU42,J$57),""),1),IFERROR(INDEX(醫師週班表!$C$5:$T$44,$CU42,J$57),"")))))))</f>
        <v/>
      </c>
      <c r="K42" s="71">
        <f>IF(K$59="X","",IF(K$59&lt;&gt;"",K$59,IF(IFERROR(INDEX(醫師週班表!$C$5:$T$44,$CU42,K$57),"")=0,"",IF(MID(IFERROR(INDEX(醫師週班表!$C$5:$T$44,$CU42,K$57),""),2,1)="/",MID(IFERROR(INDEX(醫師週班表!$C$5:$T$44,$CU42,K$57),""),1+K$58*2,1),IF(MID(IFERROR(INDEX(醫師週班表!$C$5:$T$44,$CU42,K$57),""),3,1)="隔",IF(K$58=0,LEFT(IFERROR(INDEX(醫師週班表!$C$5:$T$44,$CU42,K$57),""),1),""),IF(MID(IFERROR(INDEX(醫師週班表!$C$5:$T$44,$CU42,K$57),""),2,1)="(",LEFT(IFERROR(INDEX(醫師週班表!$C$5:$T$44,$CU42,K$57),""),1),IFERROR(INDEX(醫師週班表!$C$5:$T$44,$CU42,K$57),"")))))))</f>
        <v/>
      </c>
      <c r="L42" s="72">
        <f>IF(L$59="X","",IF(L$59&lt;&gt;"",L$59,IF(IFERROR(INDEX(醫師週班表!$C$5:$T$44,$CU42,L$57),"")=0,"",IF(MID(IFERROR(INDEX(醫師週班表!$C$5:$T$44,$CU42,L$57),""),2,1)="/",MID(IFERROR(INDEX(醫師週班表!$C$5:$T$44,$CU42,L$57),""),1+L$58*2,1),IF(MID(IFERROR(INDEX(醫師週班表!$C$5:$T$44,$CU42,L$57),""),3,1)="隔",IF(L$58=0,LEFT(IFERROR(INDEX(醫師週班表!$C$5:$T$44,$CU42,L$57),""),1),""),IF(MID(IFERROR(INDEX(醫師週班表!$C$5:$T$44,$CU42,L$57),""),2,1)="(",LEFT(IFERROR(INDEX(醫師週班表!$C$5:$T$44,$CU42,L$57),""),1),IFERROR(INDEX(醫師週班表!$C$5:$T$44,$CU42,L$57),"")))))))</f>
        <v/>
      </c>
      <c r="M42" s="72">
        <f>IF(M$59="X","",IF(M$59&lt;&gt;"",M$59,IF(IFERROR(INDEX(醫師週班表!$C$5:$T$44,$CU42,M$57),"")=0,"",IF(MID(IFERROR(INDEX(醫師週班表!$C$5:$T$44,$CU42,M$57),""),2,1)="/",MID(IFERROR(INDEX(醫師週班表!$C$5:$T$44,$CU42,M$57),""),1+M$58*2,1),IF(MID(IFERROR(INDEX(醫師週班表!$C$5:$T$44,$CU42,M$57),""),3,1)="隔",IF(M$58=0,LEFT(IFERROR(INDEX(醫師週班表!$C$5:$T$44,$CU42,M$57),""),1),""),IF(MID(IFERROR(INDEX(醫師週班表!$C$5:$T$44,$CU42,M$57),""),2,1)="(",LEFT(IFERROR(INDEX(醫師週班表!$C$5:$T$44,$CU42,M$57),""),1),IFERROR(INDEX(醫師週班表!$C$5:$T$44,$CU42,M$57),"")))))))</f>
        <v/>
      </c>
      <c r="N42" s="71">
        <f>IF(N$59="X","",IF(N$59&lt;&gt;"",N$59,IF(IFERROR(INDEX(醫師週班表!$C$5:$T$44,$CU42,N$57),"")=0,"",IF(MID(IFERROR(INDEX(醫師週班表!$C$5:$T$44,$CU42,N$57),""),2,1)="/",MID(IFERROR(INDEX(醫師週班表!$C$5:$T$44,$CU42,N$57),""),1+N$58*2,1),IF(MID(IFERROR(INDEX(醫師週班表!$C$5:$T$44,$CU42,N$57),""),3,1)="隔",IF(N$58=0,LEFT(IFERROR(INDEX(醫師週班表!$C$5:$T$44,$CU42,N$57),""),1),""),IF(MID(IFERROR(INDEX(醫師週班表!$C$5:$T$44,$CU42,N$57),""),2,1)="(",LEFT(IFERROR(INDEX(醫師週班表!$C$5:$T$44,$CU42,N$57),""),1),IFERROR(INDEX(醫師週班表!$C$5:$T$44,$CU42,N$57),"")))))))</f>
        <v/>
      </c>
      <c r="O42" s="72">
        <f>IF(O$59="X","",IF(O$59&lt;&gt;"",O$59,IF(IFERROR(INDEX(醫師週班表!$C$5:$T$44,$CU42,O$57),"")=0,"",IF(MID(IFERROR(INDEX(醫師週班表!$C$5:$T$44,$CU42,O$57),""),2,1)="/",MID(IFERROR(INDEX(醫師週班表!$C$5:$T$44,$CU42,O$57),""),1+O$58*2,1),IF(MID(IFERROR(INDEX(醫師週班表!$C$5:$T$44,$CU42,O$57),""),3,1)="隔",IF(O$58=0,LEFT(IFERROR(INDEX(醫師週班表!$C$5:$T$44,$CU42,O$57),""),1),""),IF(MID(IFERROR(INDEX(醫師週班表!$C$5:$T$44,$CU42,O$57),""),2,1)="(",LEFT(IFERROR(INDEX(醫師週班表!$C$5:$T$44,$CU42,O$57),""),1),IFERROR(INDEX(醫師週班表!$C$5:$T$44,$CU42,O$57),"")))))))</f>
        <v/>
      </c>
      <c r="P42" s="72">
        <f>IF(P$59="X","",IF(P$59&lt;&gt;"",P$59,IF(IFERROR(INDEX(醫師週班表!$C$5:$T$44,$CU42,P$57),"")=0,"",IF(MID(IFERROR(INDEX(醫師週班表!$C$5:$T$44,$CU42,P$57),""),2,1)="/",MID(IFERROR(INDEX(醫師週班表!$C$5:$T$44,$CU42,P$57),""),1+P$58*2,1),IF(MID(IFERROR(INDEX(醫師週班表!$C$5:$T$44,$CU42,P$57),""),3,1)="隔",IF(P$58=0,LEFT(IFERROR(INDEX(醫師週班表!$C$5:$T$44,$CU42,P$57),""),1),""),IF(MID(IFERROR(INDEX(醫師週班表!$C$5:$T$44,$CU42,P$57),""),2,1)="(",LEFT(IFERROR(INDEX(醫師週班表!$C$5:$T$44,$CU42,P$57),""),1),IFERROR(INDEX(醫師週班表!$C$5:$T$44,$CU42,P$57),"")))))))</f>
        <v/>
      </c>
      <c r="Q42" s="71">
        <f>IF(Q$59="X","",IF(Q$59&lt;&gt;"",Q$59,IF(IFERROR(INDEX(醫師週班表!$C$5:$T$44,$CU42,Q$57),"")=0,"",IF(MID(IFERROR(INDEX(醫師週班表!$C$5:$T$44,$CU42,Q$57),""),2,1)="/",MID(IFERROR(INDEX(醫師週班表!$C$5:$T$44,$CU42,Q$57),""),1+Q$58*2,1),IF(MID(IFERROR(INDEX(醫師週班表!$C$5:$T$44,$CU42,Q$57),""),3,1)="隔",IF(Q$58=0,LEFT(IFERROR(INDEX(醫師週班表!$C$5:$T$44,$CU42,Q$57),""),1),""),IF(MID(IFERROR(INDEX(醫師週班表!$C$5:$T$44,$CU42,Q$57),""),2,1)="(",LEFT(IFERROR(INDEX(醫師週班表!$C$5:$T$44,$CU42,Q$57),""),1),IFERROR(INDEX(醫師週班表!$C$5:$T$44,$CU42,Q$57),"")))))))</f>
        <v/>
      </c>
      <c r="R42" s="72">
        <f>IF(R$59="X","",IF(R$59&lt;&gt;"",R$59,IF(IFERROR(INDEX(醫師週班表!$C$5:$T$44,$CU42,R$57),"")=0,"",IF(MID(IFERROR(INDEX(醫師週班表!$C$5:$T$44,$CU42,R$57),""),2,1)="/",MID(IFERROR(INDEX(醫師週班表!$C$5:$T$44,$CU42,R$57),""),1+R$58*2,1),IF(MID(IFERROR(INDEX(醫師週班表!$C$5:$T$44,$CU42,R$57),""),3,1)="隔",IF(R$58=0,LEFT(IFERROR(INDEX(醫師週班表!$C$5:$T$44,$CU42,R$57),""),1),""),IF(MID(IFERROR(INDEX(醫師週班表!$C$5:$T$44,$CU42,R$57),""),2,1)="(",LEFT(IFERROR(INDEX(醫師週班表!$C$5:$T$44,$CU42,R$57),""),1),IFERROR(INDEX(醫師週班表!$C$5:$T$44,$CU42,R$57),"")))))))</f>
        <v/>
      </c>
      <c r="S42" s="72">
        <f>IF(S$59="X","",IF(S$59&lt;&gt;"",S$59,IF(IFERROR(INDEX(醫師週班表!$C$5:$T$44,$CU42,S$57),"")=0,"",IF(MID(IFERROR(INDEX(醫師週班表!$C$5:$T$44,$CU42,S$57),""),2,1)="/",MID(IFERROR(INDEX(醫師週班表!$C$5:$T$44,$CU42,S$57),""),1+S$58*2,1),IF(MID(IFERROR(INDEX(醫師週班表!$C$5:$T$44,$CU42,S$57),""),3,1)="隔",IF(S$58=0,LEFT(IFERROR(INDEX(醫師週班表!$C$5:$T$44,$CU42,S$57),""),1),""),IF(MID(IFERROR(INDEX(醫師週班表!$C$5:$T$44,$CU42,S$57),""),2,1)="(",LEFT(IFERROR(INDEX(醫師週班表!$C$5:$T$44,$CU42,S$57),""),1),IFERROR(INDEX(醫師週班表!$C$5:$T$44,$CU42,S$57),"")))))))</f>
        <v/>
      </c>
      <c r="T42" s="71">
        <f>IF(T$59="X","",IF(T$59&lt;&gt;"",T$59,IF(IFERROR(INDEX(醫師週班表!$C$5:$T$44,$CU42,T$57),"")=0,"",IF(MID(IFERROR(INDEX(醫師週班表!$C$5:$T$44,$CU42,T$57),""),2,1)="/",MID(IFERROR(INDEX(醫師週班表!$C$5:$T$44,$CU42,T$57),""),1+T$58*2,1),IF(MID(IFERROR(INDEX(醫師週班表!$C$5:$T$44,$CU42,T$57),""),3,1)="隔",IF(T$58=0,LEFT(IFERROR(INDEX(醫師週班表!$C$5:$T$44,$CU42,T$57),""),1),""),IF(MID(IFERROR(INDEX(醫師週班表!$C$5:$T$44,$CU42,T$57),""),2,1)="(",LEFT(IFERROR(INDEX(醫師週班表!$C$5:$T$44,$CU42,T$57),""),1),IFERROR(INDEX(醫師週班表!$C$5:$T$44,$CU42,T$57),"")))))))</f>
        <v/>
      </c>
      <c r="U42" s="72">
        <f>IF(U$59="X","",IF(U$59&lt;&gt;"",U$59,IF(IFERROR(INDEX(醫師週班表!$C$5:$T$44,$CU42,U$57),"")=0,"",IF(MID(IFERROR(INDEX(醫師週班表!$C$5:$T$44,$CU42,U$57),""),2,1)="/",MID(IFERROR(INDEX(醫師週班表!$C$5:$T$44,$CU42,U$57),""),1+U$58*2,1),IF(MID(IFERROR(INDEX(醫師週班表!$C$5:$T$44,$CU42,U$57),""),3,1)="隔",IF(U$58=0,LEFT(IFERROR(INDEX(醫師週班表!$C$5:$T$44,$CU42,U$57),""),1),""),IF(MID(IFERROR(INDEX(醫師週班表!$C$5:$T$44,$CU42,U$57),""),2,1)="(",LEFT(IFERROR(INDEX(醫師週班表!$C$5:$T$44,$CU42,U$57),""),1),IFERROR(INDEX(醫師週班表!$C$5:$T$44,$CU42,U$57),"")))))))</f>
        <v/>
      </c>
      <c r="V42" s="72">
        <f>IF(V$59="X","",IF(V$59&lt;&gt;"",V$59,IF(IFERROR(INDEX(醫師週班表!$C$5:$T$44,$CU42,V$57),"")=0,"",IF(MID(IFERROR(INDEX(醫師週班表!$C$5:$T$44,$CU42,V$57),""),2,1)="/",MID(IFERROR(INDEX(醫師週班表!$C$5:$T$44,$CU42,V$57),""),1+V$58*2,1),IF(MID(IFERROR(INDEX(醫師週班表!$C$5:$T$44,$CU42,V$57),""),3,1)="隔",IF(V$58=0,LEFT(IFERROR(INDEX(醫師週班表!$C$5:$T$44,$CU42,V$57),""),1),""),IF(MID(IFERROR(INDEX(醫師週班表!$C$5:$T$44,$CU42,V$57),""),2,1)="(",LEFT(IFERROR(INDEX(醫師週班表!$C$5:$T$44,$CU42,V$57),""),1),IFERROR(INDEX(醫師週班表!$C$5:$T$44,$CU42,V$57),"")))))))</f>
        <v/>
      </c>
      <c r="W42" s="71">
        <f>IF(W$59="X","",IF(W$59&lt;&gt;"",W$59,IF(IFERROR(INDEX(醫師週班表!$C$5:$T$44,$CU42,W$57),"")=0,"",IF(MID(IFERROR(INDEX(醫師週班表!$C$5:$T$44,$CU42,W$57),""),2,1)="/",MID(IFERROR(INDEX(醫師週班表!$C$5:$T$44,$CU42,W$57),""),1+W$58*2,1),IF(MID(IFERROR(INDEX(醫師週班表!$C$5:$T$44,$CU42,W$57),""),3,1)="隔",IF(W$58=0,LEFT(IFERROR(INDEX(醫師週班表!$C$5:$T$44,$CU42,W$57),""),1),""),IF(MID(IFERROR(INDEX(醫師週班表!$C$5:$T$44,$CU42,W$57),""),2,1)="(",LEFT(IFERROR(INDEX(醫師週班表!$C$5:$T$44,$CU42,W$57),""),1),IFERROR(INDEX(醫師週班表!$C$5:$T$44,$CU42,W$57),"")))))))</f>
        <v/>
      </c>
      <c r="X42" s="72">
        <f>IF(X$59="X","",IF(X$59&lt;&gt;"",X$59,IF(IFERROR(INDEX(醫師週班表!$C$5:$T$44,$CU42,X$57),"")=0,"",IF(MID(IFERROR(INDEX(醫師週班表!$C$5:$T$44,$CU42,X$57),""),2,1)="/",MID(IFERROR(INDEX(醫師週班表!$C$5:$T$44,$CU42,X$57),""),1+X$58*2,1),IF(MID(IFERROR(INDEX(醫師週班表!$C$5:$T$44,$CU42,X$57),""),3,1)="隔",IF(X$58=0,LEFT(IFERROR(INDEX(醫師週班表!$C$5:$T$44,$CU42,X$57),""),1),""),IF(MID(IFERROR(INDEX(醫師週班表!$C$5:$T$44,$CU42,X$57),""),2,1)="(",LEFT(IFERROR(INDEX(醫師週班表!$C$5:$T$44,$CU42,X$57),""),1),IFERROR(INDEX(醫師週班表!$C$5:$T$44,$CU42,X$57),"")))))))</f>
        <v/>
      </c>
      <c r="Y42" s="72">
        <f>IF(Y$59="X","",IF(Y$59&lt;&gt;"",Y$59,IF(IFERROR(INDEX(醫師週班表!$C$5:$T$44,$CU42,Y$57),"")=0,"",IF(MID(IFERROR(INDEX(醫師週班表!$C$5:$T$44,$CU42,Y$57),""),2,1)="/",MID(IFERROR(INDEX(醫師週班表!$C$5:$T$44,$CU42,Y$57),""),1+Y$58*2,1),IF(MID(IFERROR(INDEX(醫師週班表!$C$5:$T$44,$CU42,Y$57),""),3,1)="隔",IF(Y$58=0,LEFT(IFERROR(INDEX(醫師週班表!$C$5:$T$44,$CU42,Y$57),""),1),""),IF(MID(IFERROR(INDEX(醫師週班表!$C$5:$T$44,$CU42,Y$57),""),2,1)="(",LEFT(IFERROR(INDEX(醫師週班表!$C$5:$T$44,$CU42,Y$57),""),1),IFERROR(INDEX(醫師週班表!$C$5:$T$44,$CU42,Y$57),"")))))))</f>
        <v/>
      </c>
      <c r="Z42" s="71">
        <f>IF(Z$59="X","",IF(Z$59&lt;&gt;"",Z$59,IF(IFERROR(INDEX(醫師週班表!$C$5:$T$44,$CU42,Z$57),"")=0,"",IF(MID(IFERROR(INDEX(醫師週班表!$C$5:$T$44,$CU42,Z$57),""),2,1)="/",MID(IFERROR(INDEX(醫師週班表!$C$5:$T$44,$CU42,Z$57),""),1+Z$58*2,1),IF(MID(IFERROR(INDEX(醫師週班表!$C$5:$T$44,$CU42,Z$57),""),3,1)="隔",IF(Z$58=0,LEFT(IFERROR(INDEX(醫師週班表!$C$5:$T$44,$CU42,Z$57),""),1),""),IF(MID(IFERROR(INDEX(醫師週班表!$C$5:$T$44,$CU42,Z$57),""),2,1)="(",LEFT(IFERROR(INDEX(醫師週班表!$C$5:$T$44,$CU42,Z$57),""),1),IFERROR(INDEX(醫師週班表!$C$5:$T$44,$CU42,Z$57),"")))))))</f>
        <v/>
      </c>
      <c r="AA42" s="72">
        <f>IF(AA$59="X","",IF(AA$59&lt;&gt;"",AA$59,IF(IFERROR(INDEX(醫師週班表!$C$5:$T$44,$CU42,AA$57),"")=0,"",IF(MID(IFERROR(INDEX(醫師週班表!$C$5:$T$44,$CU42,AA$57),""),2,1)="/",MID(IFERROR(INDEX(醫師週班表!$C$5:$T$44,$CU42,AA$57),""),1+AA$58*2,1),IF(MID(IFERROR(INDEX(醫師週班表!$C$5:$T$44,$CU42,AA$57),""),3,1)="隔",IF(AA$58=0,LEFT(IFERROR(INDEX(醫師週班表!$C$5:$T$44,$CU42,AA$57),""),1),""),IF(MID(IFERROR(INDEX(醫師週班表!$C$5:$T$44,$CU42,AA$57),""),2,1)="(",LEFT(IFERROR(INDEX(醫師週班表!$C$5:$T$44,$CU42,AA$57),""),1),IFERROR(INDEX(醫師週班表!$C$5:$T$44,$CU42,AA$57),"")))))))</f>
        <v/>
      </c>
      <c r="AB42" s="72">
        <f>IF(AB$59="X","",IF(AB$59&lt;&gt;"",AB$59,IF(IFERROR(INDEX(醫師週班表!$C$5:$T$44,$CU42,AB$57),"")=0,"",IF(MID(IFERROR(INDEX(醫師週班表!$C$5:$T$44,$CU42,AB$57),""),2,1)="/",MID(IFERROR(INDEX(醫師週班表!$C$5:$T$44,$CU42,AB$57),""),1+AB$58*2,1),IF(MID(IFERROR(INDEX(醫師週班表!$C$5:$T$44,$CU42,AB$57),""),3,1)="隔",IF(AB$58=0,LEFT(IFERROR(INDEX(醫師週班表!$C$5:$T$44,$CU42,AB$57),""),1),""),IF(MID(IFERROR(INDEX(醫師週班表!$C$5:$T$44,$CU42,AB$57),""),2,1)="(",LEFT(IFERROR(INDEX(醫師週班表!$C$5:$T$44,$CU42,AB$57),""),1),IFERROR(INDEX(醫師週班表!$C$5:$T$44,$CU42,AB$57),"")))))))</f>
        <v/>
      </c>
      <c r="AC42" s="71">
        <f>IF(AC$59="X","",IF(AC$59&lt;&gt;"",AC$59,IF(IFERROR(INDEX(醫師週班表!$C$5:$T$44,$CU42,AC$57),"")=0,"",IF(MID(IFERROR(INDEX(醫師週班表!$C$5:$T$44,$CU42,AC$57),""),2,1)="/",MID(IFERROR(INDEX(醫師週班表!$C$5:$T$44,$CU42,AC$57),""),1+AC$58*2,1),IF(MID(IFERROR(INDEX(醫師週班表!$C$5:$T$44,$CU42,AC$57),""),3,1)="隔",IF(AC$58=0,LEFT(IFERROR(INDEX(醫師週班表!$C$5:$T$44,$CU42,AC$57),""),1),""),IF(MID(IFERROR(INDEX(醫師週班表!$C$5:$T$44,$CU42,AC$57),""),2,1)="(",LEFT(IFERROR(INDEX(醫師週班表!$C$5:$T$44,$CU42,AC$57),""),1),IFERROR(INDEX(醫師週班表!$C$5:$T$44,$CU42,AC$57),"")))))))</f>
        <v/>
      </c>
      <c r="AD42" s="72">
        <f>IF(AD$59="X","",IF(AD$59&lt;&gt;"",AD$59,IF(IFERROR(INDEX(醫師週班表!$C$5:$T$44,$CU42,AD$57),"")=0,"",IF(MID(IFERROR(INDEX(醫師週班表!$C$5:$T$44,$CU42,AD$57),""),2,1)="/",MID(IFERROR(INDEX(醫師週班表!$C$5:$T$44,$CU42,AD$57),""),1+AD$58*2,1),IF(MID(IFERROR(INDEX(醫師週班表!$C$5:$T$44,$CU42,AD$57),""),3,1)="隔",IF(AD$58=0,LEFT(IFERROR(INDEX(醫師週班表!$C$5:$T$44,$CU42,AD$57),""),1),""),IF(MID(IFERROR(INDEX(醫師週班表!$C$5:$T$44,$CU42,AD$57),""),2,1)="(",LEFT(IFERROR(INDEX(醫師週班表!$C$5:$T$44,$CU42,AD$57),""),1),IFERROR(INDEX(醫師週班表!$C$5:$T$44,$CU42,AD$57),"")))))))</f>
        <v/>
      </c>
      <c r="AE42" s="72">
        <f>IF(AE$59="X","",IF(AE$59&lt;&gt;"",AE$59,IF(IFERROR(INDEX(醫師週班表!$C$5:$T$44,$CU42,AE$57),"")=0,"",IF(MID(IFERROR(INDEX(醫師週班表!$C$5:$T$44,$CU42,AE$57),""),2,1)="/",MID(IFERROR(INDEX(醫師週班表!$C$5:$T$44,$CU42,AE$57),""),1+AE$58*2,1),IF(MID(IFERROR(INDEX(醫師週班表!$C$5:$T$44,$CU42,AE$57),""),3,1)="隔",IF(AE$58=0,LEFT(IFERROR(INDEX(醫師週班表!$C$5:$T$44,$CU42,AE$57),""),1),""),IF(MID(IFERROR(INDEX(醫師週班表!$C$5:$T$44,$CU42,AE$57),""),2,1)="(",LEFT(IFERROR(INDEX(醫師週班表!$C$5:$T$44,$CU42,AE$57),""),1),IFERROR(INDEX(醫師週班表!$C$5:$T$44,$CU42,AE$57),"")))))))</f>
        <v/>
      </c>
      <c r="AF42" s="71">
        <f>IF(AF$59="X","",IF(AF$59&lt;&gt;"",AF$59,IF(IFERROR(INDEX(醫師週班表!$C$5:$T$44,$CU42,AF$57),"")=0,"",IF(MID(IFERROR(INDEX(醫師週班表!$C$5:$T$44,$CU42,AF$57),""),2,1)="/",MID(IFERROR(INDEX(醫師週班表!$C$5:$T$44,$CU42,AF$57),""),1+AF$58*2,1),IF(MID(IFERROR(INDEX(醫師週班表!$C$5:$T$44,$CU42,AF$57),""),3,1)="隔",IF(AF$58=0,LEFT(IFERROR(INDEX(醫師週班表!$C$5:$T$44,$CU42,AF$57),""),1),""),IF(MID(IFERROR(INDEX(醫師週班表!$C$5:$T$44,$CU42,AF$57),""),2,1)="(",LEFT(IFERROR(INDEX(醫師週班表!$C$5:$T$44,$CU42,AF$57),""),1),IFERROR(INDEX(醫師週班表!$C$5:$T$44,$CU42,AF$57),"")))))))</f>
        <v/>
      </c>
      <c r="AG42" s="72">
        <f>IF(AG$59="X","",IF(AG$59&lt;&gt;"",AG$59,IF(IFERROR(INDEX(醫師週班表!$C$5:$T$44,$CU42,AG$57),"")=0,"",IF(MID(IFERROR(INDEX(醫師週班表!$C$5:$T$44,$CU42,AG$57),""),2,1)="/",MID(IFERROR(INDEX(醫師週班表!$C$5:$T$44,$CU42,AG$57),""),1+AG$58*2,1),IF(MID(IFERROR(INDEX(醫師週班表!$C$5:$T$44,$CU42,AG$57),""),3,1)="隔",IF(AG$58=0,LEFT(IFERROR(INDEX(醫師週班表!$C$5:$T$44,$CU42,AG$57),""),1),""),IF(MID(IFERROR(INDEX(醫師週班表!$C$5:$T$44,$CU42,AG$57),""),2,1)="(",LEFT(IFERROR(INDEX(醫師週班表!$C$5:$T$44,$CU42,AG$57),""),1),IFERROR(INDEX(醫師週班表!$C$5:$T$44,$CU42,AG$57),"")))))))</f>
        <v/>
      </c>
      <c r="AH42" s="72">
        <f>IF(AH$59="X","",IF(AH$59&lt;&gt;"",AH$59,IF(IFERROR(INDEX(醫師週班表!$C$5:$T$44,$CU42,AH$57),"")=0,"",IF(MID(IFERROR(INDEX(醫師週班表!$C$5:$T$44,$CU42,AH$57),""),2,1)="/",MID(IFERROR(INDEX(醫師週班表!$C$5:$T$44,$CU42,AH$57),""),1+AH$58*2,1),IF(MID(IFERROR(INDEX(醫師週班表!$C$5:$T$44,$CU42,AH$57),""),3,1)="隔",IF(AH$58=0,LEFT(IFERROR(INDEX(醫師週班表!$C$5:$T$44,$CU42,AH$57),""),1),""),IF(MID(IFERROR(INDEX(醫師週班表!$C$5:$T$44,$CU42,AH$57),""),2,1)="(",LEFT(IFERROR(INDEX(醫師週班表!$C$5:$T$44,$CU42,AH$57),""),1),IFERROR(INDEX(醫師週班表!$C$5:$T$44,$CU42,AH$57),"")))))))</f>
        <v/>
      </c>
      <c r="AI42" s="71">
        <f>IF(AI$59="X","",IF(AI$59&lt;&gt;"",AI$59,IF(IFERROR(INDEX(醫師週班表!$C$5:$T$44,$CU42,AI$57),"")=0,"",IF(MID(IFERROR(INDEX(醫師週班表!$C$5:$T$44,$CU42,AI$57),""),2,1)="/",MID(IFERROR(INDEX(醫師週班表!$C$5:$T$44,$CU42,AI$57),""),1+AI$58*2,1),IF(MID(IFERROR(INDEX(醫師週班表!$C$5:$T$44,$CU42,AI$57),""),3,1)="隔",IF(AI$58=0,LEFT(IFERROR(INDEX(醫師週班表!$C$5:$T$44,$CU42,AI$57),""),1),""),IF(MID(IFERROR(INDEX(醫師週班表!$C$5:$T$44,$CU42,AI$57),""),2,1)="(",LEFT(IFERROR(INDEX(醫師週班表!$C$5:$T$44,$CU42,AI$57),""),1),IFERROR(INDEX(醫師週班表!$C$5:$T$44,$CU42,AI$57),"")))))))</f>
        <v/>
      </c>
      <c r="AJ42" s="72">
        <f>IF(AJ$59="X","",IF(AJ$59&lt;&gt;"",AJ$59,IF(IFERROR(INDEX(醫師週班表!$C$5:$T$44,$CU42,AJ$57),"")=0,"",IF(MID(IFERROR(INDEX(醫師週班表!$C$5:$T$44,$CU42,AJ$57),""),2,1)="/",MID(IFERROR(INDEX(醫師週班表!$C$5:$T$44,$CU42,AJ$57),""),1+AJ$58*2,1),IF(MID(IFERROR(INDEX(醫師週班表!$C$5:$T$44,$CU42,AJ$57),""),3,1)="隔",IF(AJ$58=0,LEFT(IFERROR(INDEX(醫師週班表!$C$5:$T$44,$CU42,AJ$57),""),1),""),IF(MID(IFERROR(INDEX(醫師週班表!$C$5:$T$44,$CU42,AJ$57),""),2,1)="(",LEFT(IFERROR(INDEX(醫師週班表!$C$5:$T$44,$CU42,AJ$57),""),1),IFERROR(INDEX(醫師週班表!$C$5:$T$44,$CU42,AJ$57),"")))))))</f>
        <v/>
      </c>
      <c r="AK42" s="72">
        <f>IF(AK$59="X","",IF(AK$59&lt;&gt;"",AK$59,IF(IFERROR(INDEX(醫師週班表!$C$5:$T$44,$CU42,AK$57),"")=0,"",IF(MID(IFERROR(INDEX(醫師週班表!$C$5:$T$44,$CU42,AK$57),""),2,1)="/",MID(IFERROR(INDEX(醫師週班表!$C$5:$T$44,$CU42,AK$57),""),1+AK$58*2,1),IF(MID(IFERROR(INDEX(醫師週班表!$C$5:$T$44,$CU42,AK$57),""),3,1)="隔",IF(AK$58=0,LEFT(IFERROR(INDEX(醫師週班表!$C$5:$T$44,$CU42,AK$57),""),1),""),IF(MID(IFERROR(INDEX(醫師週班表!$C$5:$T$44,$CU42,AK$57),""),2,1)="(",LEFT(IFERROR(INDEX(醫師週班表!$C$5:$T$44,$CU42,AK$57),""),1),IFERROR(INDEX(醫師週班表!$C$5:$T$44,$CU42,AK$57),"")))))))</f>
        <v/>
      </c>
      <c r="AL42" s="71">
        <f>IF(AL$59="X","",IF(AL$59&lt;&gt;"",AL$59,IF(IFERROR(INDEX(醫師週班表!$C$5:$T$44,$CU42,AL$57),"")=0,"",IF(MID(IFERROR(INDEX(醫師週班表!$C$5:$T$44,$CU42,AL$57),""),2,1)="/",MID(IFERROR(INDEX(醫師週班表!$C$5:$T$44,$CU42,AL$57),""),1+AL$58*2,1),IF(MID(IFERROR(INDEX(醫師週班表!$C$5:$T$44,$CU42,AL$57),""),3,1)="隔",IF(AL$58=0,LEFT(IFERROR(INDEX(醫師週班表!$C$5:$T$44,$CU42,AL$57),""),1),""),IF(MID(IFERROR(INDEX(醫師週班表!$C$5:$T$44,$CU42,AL$57),""),2,1)="(",LEFT(IFERROR(INDEX(醫師週班表!$C$5:$T$44,$CU42,AL$57),""),1),IFERROR(INDEX(醫師週班表!$C$5:$T$44,$CU42,AL$57),"")))))))</f>
        <v/>
      </c>
      <c r="AM42" s="72">
        <f>IF(AM$59="X","",IF(AM$59&lt;&gt;"",AM$59,IF(IFERROR(INDEX(醫師週班表!$C$5:$T$44,$CU42,AM$57),"")=0,"",IF(MID(IFERROR(INDEX(醫師週班表!$C$5:$T$44,$CU42,AM$57),""),2,1)="/",MID(IFERROR(INDEX(醫師週班表!$C$5:$T$44,$CU42,AM$57),""),1+AM$58*2,1),IF(MID(IFERROR(INDEX(醫師週班表!$C$5:$T$44,$CU42,AM$57),""),3,1)="隔",IF(AM$58=0,LEFT(IFERROR(INDEX(醫師週班表!$C$5:$T$44,$CU42,AM$57),""),1),""),IF(MID(IFERROR(INDEX(醫師週班表!$C$5:$T$44,$CU42,AM$57),""),2,1)="(",LEFT(IFERROR(INDEX(醫師週班表!$C$5:$T$44,$CU42,AM$57),""),1),IFERROR(INDEX(醫師週班表!$C$5:$T$44,$CU42,AM$57),"")))))))</f>
        <v/>
      </c>
      <c r="AN42" s="72">
        <f>IF(AN$59="X","",IF(AN$59&lt;&gt;"",AN$59,IF(IFERROR(INDEX(醫師週班表!$C$5:$T$44,$CU42,AN$57),"")=0,"",IF(MID(IFERROR(INDEX(醫師週班表!$C$5:$T$44,$CU42,AN$57),""),2,1)="/",MID(IFERROR(INDEX(醫師週班表!$C$5:$T$44,$CU42,AN$57),""),1+AN$58*2,1),IF(MID(IFERROR(INDEX(醫師週班表!$C$5:$T$44,$CU42,AN$57),""),3,1)="隔",IF(AN$58=0,LEFT(IFERROR(INDEX(醫師週班表!$C$5:$T$44,$CU42,AN$57),""),1),""),IF(MID(IFERROR(INDEX(醫師週班表!$C$5:$T$44,$CU42,AN$57),""),2,1)="(",LEFT(IFERROR(INDEX(醫師週班表!$C$5:$T$44,$CU42,AN$57),""),1),IFERROR(INDEX(醫師週班表!$C$5:$T$44,$CU42,AN$57),"")))))))</f>
        <v/>
      </c>
      <c r="AO42" s="71">
        <f>IF(AO$59="X","",IF(AO$59&lt;&gt;"",AO$59,IF(IFERROR(INDEX(醫師週班表!$C$5:$T$44,$CU42,AO$57),"")=0,"",IF(MID(IFERROR(INDEX(醫師週班表!$C$5:$T$44,$CU42,AO$57),""),2,1)="/",MID(IFERROR(INDEX(醫師週班表!$C$5:$T$44,$CU42,AO$57),""),1+AO$58*2,1),IF(MID(IFERROR(INDEX(醫師週班表!$C$5:$T$44,$CU42,AO$57),""),3,1)="隔",IF(AO$58=0,LEFT(IFERROR(INDEX(醫師週班表!$C$5:$T$44,$CU42,AO$57),""),1),""),IF(MID(IFERROR(INDEX(醫師週班表!$C$5:$T$44,$CU42,AO$57),""),2,1)="(",LEFT(IFERROR(INDEX(醫師週班表!$C$5:$T$44,$CU42,AO$57),""),1),IFERROR(INDEX(醫師週班表!$C$5:$T$44,$CU42,AO$57),"")))))))</f>
        <v/>
      </c>
      <c r="AP42" s="72">
        <f>IF(AP$59="X","",IF(AP$59&lt;&gt;"",AP$59,IF(IFERROR(INDEX(醫師週班表!$C$5:$T$44,$CU42,AP$57),"")=0,"",IF(MID(IFERROR(INDEX(醫師週班表!$C$5:$T$44,$CU42,AP$57),""),2,1)="/",MID(IFERROR(INDEX(醫師週班表!$C$5:$T$44,$CU42,AP$57),""),1+AP$58*2,1),IF(MID(IFERROR(INDEX(醫師週班表!$C$5:$T$44,$CU42,AP$57),""),3,1)="隔",IF(AP$58=0,LEFT(IFERROR(INDEX(醫師週班表!$C$5:$T$44,$CU42,AP$57),""),1),""),IF(MID(IFERROR(INDEX(醫師週班表!$C$5:$T$44,$CU42,AP$57),""),2,1)="(",LEFT(IFERROR(INDEX(醫師週班表!$C$5:$T$44,$CU42,AP$57),""),1),IFERROR(INDEX(醫師週班表!$C$5:$T$44,$CU42,AP$57),"")))))))</f>
        <v/>
      </c>
      <c r="AQ42" s="72">
        <f>IF(AQ$59="X","",IF(AQ$59&lt;&gt;"",AQ$59,IF(IFERROR(INDEX(醫師週班表!$C$5:$T$44,$CU42,AQ$57),"")=0,"",IF(MID(IFERROR(INDEX(醫師週班表!$C$5:$T$44,$CU42,AQ$57),""),2,1)="/",MID(IFERROR(INDEX(醫師週班表!$C$5:$T$44,$CU42,AQ$57),""),1+AQ$58*2,1),IF(MID(IFERROR(INDEX(醫師週班表!$C$5:$T$44,$CU42,AQ$57),""),3,1)="隔",IF(AQ$58=0,LEFT(IFERROR(INDEX(醫師週班表!$C$5:$T$44,$CU42,AQ$57),""),1),""),IF(MID(IFERROR(INDEX(醫師週班表!$C$5:$T$44,$CU42,AQ$57),""),2,1)="(",LEFT(IFERROR(INDEX(醫師週班表!$C$5:$T$44,$CU42,AQ$57),""),1),IFERROR(INDEX(醫師週班表!$C$5:$T$44,$CU42,AQ$57),"")))))))</f>
        <v/>
      </c>
      <c r="AR42" s="71">
        <f>IF(AR$59="X","",IF(AR$59&lt;&gt;"",AR$59,IF(IFERROR(INDEX(醫師週班表!$C$5:$T$44,$CU42,AR$57),"")=0,"",IF(MID(IFERROR(INDEX(醫師週班表!$C$5:$T$44,$CU42,AR$57),""),2,1)="/",MID(IFERROR(INDEX(醫師週班表!$C$5:$T$44,$CU42,AR$57),""),1+AR$58*2,1),IF(MID(IFERROR(INDEX(醫師週班表!$C$5:$T$44,$CU42,AR$57),""),3,1)="隔",IF(AR$58=0,LEFT(IFERROR(INDEX(醫師週班表!$C$5:$T$44,$CU42,AR$57),""),1),""),IF(MID(IFERROR(INDEX(醫師週班表!$C$5:$T$44,$CU42,AR$57),""),2,1)="(",LEFT(IFERROR(INDEX(醫師週班表!$C$5:$T$44,$CU42,AR$57),""),1),IFERROR(INDEX(醫師週班表!$C$5:$T$44,$CU42,AR$57),"")))))))</f>
        <v/>
      </c>
      <c r="AS42" s="72">
        <f>IF(AS$59="X","",IF(AS$59&lt;&gt;"",AS$59,IF(IFERROR(INDEX(醫師週班表!$C$5:$T$44,$CU42,AS$57),"")=0,"",IF(MID(IFERROR(INDEX(醫師週班表!$C$5:$T$44,$CU42,AS$57),""),2,1)="/",MID(IFERROR(INDEX(醫師週班表!$C$5:$T$44,$CU42,AS$57),""),1+AS$58*2,1),IF(MID(IFERROR(INDEX(醫師週班表!$C$5:$T$44,$CU42,AS$57),""),3,1)="隔",IF(AS$58=0,LEFT(IFERROR(INDEX(醫師週班表!$C$5:$T$44,$CU42,AS$57),""),1),""),IF(MID(IFERROR(INDEX(醫師週班表!$C$5:$T$44,$CU42,AS$57),""),2,1)="(",LEFT(IFERROR(INDEX(醫師週班表!$C$5:$T$44,$CU42,AS$57),""),1),IFERROR(INDEX(醫師週班表!$C$5:$T$44,$CU42,AS$57),"")))))))</f>
        <v/>
      </c>
      <c r="AT42" s="72">
        <f>IF(AT$59="X","",IF(AT$59&lt;&gt;"",AT$59,IF(IFERROR(INDEX(醫師週班表!$C$5:$T$44,$CU42,AT$57),"")=0,"",IF(MID(IFERROR(INDEX(醫師週班表!$C$5:$T$44,$CU42,AT$57),""),2,1)="/",MID(IFERROR(INDEX(醫師週班表!$C$5:$T$44,$CU42,AT$57),""),1+AT$58*2,1),IF(MID(IFERROR(INDEX(醫師週班表!$C$5:$T$44,$CU42,AT$57),""),3,1)="隔",IF(AT$58=0,LEFT(IFERROR(INDEX(醫師週班表!$C$5:$T$44,$CU42,AT$57),""),1),""),IF(MID(IFERROR(INDEX(醫師週班表!$C$5:$T$44,$CU42,AT$57),""),2,1)="(",LEFT(IFERROR(INDEX(醫師週班表!$C$5:$T$44,$CU42,AT$57),""),1),IFERROR(INDEX(醫師週班表!$C$5:$T$44,$CU42,AT$57),"")))))))</f>
        <v/>
      </c>
      <c r="AU42" s="71">
        <f>IF(AU$59="X","",IF(AU$59&lt;&gt;"",AU$59,IF(IFERROR(INDEX(醫師週班表!$C$5:$T$44,$CU42,AU$57),"")=0,"",IF(MID(IFERROR(INDEX(醫師週班表!$C$5:$T$44,$CU42,AU$57),""),2,1)="/",MID(IFERROR(INDEX(醫師週班表!$C$5:$T$44,$CU42,AU$57),""),1+AU$58*2,1),IF(MID(IFERROR(INDEX(醫師週班表!$C$5:$T$44,$CU42,AU$57),""),3,1)="隔",IF(AU$58=0,LEFT(IFERROR(INDEX(醫師週班表!$C$5:$T$44,$CU42,AU$57),""),1),""),IF(MID(IFERROR(INDEX(醫師週班表!$C$5:$T$44,$CU42,AU$57),""),2,1)="(",LEFT(IFERROR(INDEX(醫師週班表!$C$5:$T$44,$CU42,AU$57),""),1),IFERROR(INDEX(醫師週班表!$C$5:$T$44,$CU42,AU$57),"")))))))</f>
        <v/>
      </c>
      <c r="AV42" s="72">
        <f>IF(AV$59="X","",IF(AV$59&lt;&gt;"",AV$59,IF(IFERROR(INDEX(醫師週班表!$C$5:$T$44,$CU42,AV$57),"")=0,"",IF(MID(IFERROR(INDEX(醫師週班表!$C$5:$T$44,$CU42,AV$57),""),2,1)="/",MID(IFERROR(INDEX(醫師週班表!$C$5:$T$44,$CU42,AV$57),""),1+AV$58*2,1),IF(MID(IFERROR(INDEX(醫師週班表!$C$5:$T$44,$CU42,AV$57),""),3,1)="隔",IF(AV$58=0,LEFT(IFERROR(INDEX(醫師週班表!$C$5:$T$44,$CU42,AV$57),""),1),""),IF(MID(IFERROR(INDEX(醫師週班表!$C$5:$T$44,$CU42,AV$57),""),2,1)="(",LEFT(IFERROR(INDEX(醫師週班表!$C$5:$T$44,$CU42,AV$57),""),1),IFERROR(INDEX(醫師週班表!$C$5:$T$44,$CU42,AV$57),"")))))))</f>
        <v/>
      </c>
      <c r="AW42" s="72">
        <f>IF(AW$59="X","",IF(AW$59&lt;&gt;"",AW$59,IF(IFERROR(INDEX(醫師週班表!$C$5:$T$44,$CU42,AW$57),"")=0,"",IF(MID(IFERROR(INDEX(醫師週班表!$C$5:$T$44,$CU42,AW$57),""),2,1)="/",MID(IFERROR(INDEX(醫師週班表!$C$5:$T$44,$CU42,AW$57),""),1+AW$58*2,1),IF(MID(IFERROR(INDEX(醫師週班表!$C$5:$T$44,$CU42,AW$57),""),3,1)="隔",IF(AW$58=0,LEFT(IFERROR(INDEX(醫師週班表!$C$5:$T$44,$CU42,AW$57),""),1),""),IF(MID(IFERROR(INDEX(醫師週班表!$C$5:$T$44,$CU42,AW$57),""),2,1)="(",LEFT(IFERROR(INDEX(醫師週班表!$C$5:$T$44,$CU42,AW$57),""),1),IFERROR(INDEX(醫師週班表!$C$5:$T$44,$CU42,AW$57),"")))))))</f>
        <v/>
      </c>
      <c r="AX42" s="71">
        <f>IF(AX$59="X","",IF(AX$59&lt;&gt;"",AX$59,IF(IFERROR(INDEX(醫師週班表!$C$5:$T$44,$CU42,AX$57),"")=0,"",IF(MID(IFERROR(INDEX(醫師週班表!$C$5:$T$44,$CU42,AX$57),""),2,1)="/",MID(IFERROR(INDEX(醫師週班表!$C$5:$T$44,$CU42,AX$57),""),1+AX$58*2,1),IF(MID(IFERROR(INDEX(醫師週班表!$C$5:$T$44,$CU42,AX$57),""),3,1)="隔",IF(AX$58=0,LEFT(IFERROR(INDEX(醫師週班表!$C$5:$T$44,$CU42,AX$57),""),1),""),IF(MID(IFERROR(INDEX(醫師週班表!$C$5:$T$44,$CU42,AX$57),""),2,1)="(",LEFT(IFERROR(INDEX(醫師週班表!$C$5:$T$44,$CU42,AX$57),""),1),IFERROR(INDEX(醫師週班表!$C$5:$T$44,$CU42,AX$57),"")))))))</f>
        <v/>
      </c>
      <c r="AY42" s="72">
        <f>IF(AY$59="X","",IF(AY$59&lt;&gt;"",AY$59,IF(IFERROR(INDEX(醫師週班表!$C$5:$T$44,$CU42,AY$57),"")=0,"",IF(MID(IFERROR(INDEX(醫師週班表!$C$5:$T$44,$CU42,AY$57),""),2,1)="/",MID(IFERROR(INDEX(醫師週班表!$C$5:$T$44,$CU42,AY$57),""),1+AY$58*2,1),IF(MID(IFERROR(INDEX(醫師週班表!$C$5:$T$44,$CU42,AY$57),""),3,1)="隔",IF(AY$58=0,LEFT(IFERROR(INDEX(醫師週班表!$C$5:$T$44,$CU42,AY$57),""),1),""),IF(MID(IFERROR(INDEX(醫師週班表!$C$5:$T$44,$CU42,AY$57),""),2,1)="(",LEFT(IFERROR(INDEX(醫師週班表!$C$5:$T$44,$CU42,AY$57),""),1),IFERROR(INDEX(醫師週班表!$C$5:$T$44,$CU42,AY$57),"")))))))</f>
        <v/>
      </c>
      <c r="AZ42" s="72">
        <f>IF(AZ$59="X","",IF(AZ$59&lt;&gt;"",AZ$59,IF(IFERROR(INDEX(醫師週班表!$C$5:$T$44,$CU42,AZ$57),"")=0,"",IF(MID(IFERROR(INDEX(醫師週班表!$C$5:$T$44,$CU42,AZ$57),""),2,1)="/",MID(IFERROR(INDEX(醫師週班表!$C$5:$T$44,$CU42,AZ$57),""),1+AZ$58*2,1),IF(MID(IFERROR(INDEX(醫師週班表!$C$5:$T$44,$CU42,AZ$57),""),3,1)="隔",IF(AZ$58=0,LEFT(IFERROR(INDEX(醫師週班表!$C$5:$T$44,$CU42,AZ$57),""),1),""),IF(MID(IFERROR(INDEX(醫師週班表!$C$5:$T$44,$CU42,AZ$57),""),2,1)="(",LEFT(IFERROR(INDEX(醫師週班表!$C$5:$T$44,$CU42,AZ$57),""),1),IFERROR(INDEX(醫師週班表!$C$5:$T$44,$CU42,AZ$57),"")))))))</f>
        <v/>
      </c>
      <c r="BA42" s="71">
        <f>IF(BA$59="X","",IF(BA$59&lt;&gt;"",BA$59,IF(IFERROR(INDEX(醫師週班表!$C$5:$T$44,$CU42,BA$57),"")=0,"",IF(MID(IFERROR(INDEX(醫師週班表!$C$5:$T$44,$CU42,BA$57),""),2,1)="/",MID(IFERROR(INDEX(醫師週班表!$C$5:$T$44,$CU42,BA$57),""),1+BA$58*2,1),IF(MID(IFERROR(INDEX(醫師週班表!$C$5:$T$44,$CU42,BA$57),""),3,1)="隔",IF(BA$58=0,LEFT(IFERROR(INDEX(醫師週班表!$C$5:$T$44,$CU42,BA$57),""),1),""),IF(MID(IFERROR(INDEX(醫師週班表!$C$5:$T$44,$CU42,BA$57),""),2,1)="(",LEFT(IFERROR(INDEX(醫師週班表!$C$5:$T$44,$CU42,BA$57),""),1),IFERROR(INDEX(醫師週班表!$C$5:$T$44,$CU42,BA$57),"")))))))</f>
        <v/>
      </c>
      <c r="BB42" s="72">
        <f>IF(BB$59="X","",IF(BB$59&lt;&gt;"",BB$59,IF(IFERROR(INDEX(醫師週班表!$C$5:$T$44,$CU42,BB$57),"")=0,"",IF(MID(IFERROR(INDEX(醫師週班表!$C$5:$T$44,$CU42,BB$57),""),2,1)="/",MID(IFERROR(INDEX(醫師週班表!$C$5:$T$44,$CU42,BB$57),""),1+BB$58*2,1),IF(MID(IFERROR(INDEX(醫師週班表!$C$5:$T$44,$CU42,BB$57),""),3,1)="隔",IF(BB$58=0,LEFT(IFERROR(INDEX(醫師週班表!$C$5:$T$44,$CU42,BB$57),""),1),""),IF(MID(IFERROR(INDEX(醫師週班表!$C$5:$T$44,$CU42,BB$57),""),2,1)="(",LEFT(IFERROR(INDEX(醫師週班表!$C$5:$T$44,$CU42,BB$57),""),1),IFERROR(INDEX(醫師週班表!$C$5:$T$44,$CU42,BB$57),"")))))))</f>
        <v/>
      </c>
      <c r="BC42" s="72">
        <f>IF(BC$59="X","",IF(BC$59&lt;&gt;"",BC$59,IF(IFERROR(INDEX(醫師週班表!$C$5:$T$44,$CU42,BC$57),"")=0,"",IF(MID(IFERROR(INDEX(醫師週班表!$C$5:$T$44,$CU42,BC$57),""),2,1)="/",MID(IFERROR(INDEX(醫師週班表!$C$5:$T$44,$CU42,BC$57),""),1+BC$58*2,1),IF(MID(IFERROR(INDEX(醫師週班表!$C$5:$T$44,$CU42,BC$57),""),3,1)="隔",IF(BC$58=0,LEFT(IFERROR(INDEX(醫師週班表!$C$5:$T$44,$CU42,BC$57),""),1),""),IF(MID(IFERROR(INDEX(醫師週班表!$C$5:$T$44,$CU42,BC$57),""),2,1)="(",LEFT(IFERROR(INDEX(醫師週班表!$C$5:$T$44,$CU42,BC$57),""),1),IFERROR(INDEX(醫師週班表!$C$5:$T$44,$CU42,BC$57),"")))))))</f>
        <v/>
      </c>
      <c r="BD42" s="71">
        <f>IF(BD$59="X","",IF(BD$59&lt;&gt;"",BD$59,IF(IFERROR(INDEX(醫師週班表!$C$5:$T$44,$CU42,BD$57),"")=0,"",IF(MID(IFERROR(INDEX(醫師週班表!$C$5:$T$44,$CU42,BD$57),""),2,1)="/",MID(IFERROR(INDEX(醫師週班表!$C$5:$T$44,$CU42,BD$57),""),1+BD$58*2,1),IF(MID(IFERROR(INDEX(醫師週班表!$C$5:$T$44,$CU42,BD$57),""),3,1)="隔",IF(BD$58=0,LEFT(IFERROR(INDEX(醫師週班表!$C$5:$T$44,$CU42,BD$57),""),1),""),IF(MID(IFERROR(INDEX(醫師週班表!$C$5:$T$44,$CU42,BD$57),""),2,1)="(",LEFT(IFERROR(INDEX(醫師週班表!$C$5:$T$44,$CU42,BD$57),""),1),IFERROR(INDEX(醫師週班表!$C$5:$T$44,$CU42,BD$57),"")))))))</f>
        <v/>
      </c>
      <c r="BE42" s="72">
        <f>IF(BE$59="X","",IF(BE$59&lt;&gt;"",BE$59,IF(IFERROR(INDEX(醫師週班表!$C$5:$T$44,$CU42,BE$57),"")=0,"",IF(MID(IFERROR(INDEX(醫師週班表!$C$5:$T$44,$CU42,BE$57),""),2,1)="/",MID(IFERROR(INDEX(醫師週班表!$C$5:$T$44,$CU42,BE$57),""),1+BE$58*2,1),IF(MID(IFERROR(INDEX(醫師週班表!$C$5:$T$44,$CU42,BE$57),""),3,1)="隔",IF(BE$58=0,LEFT(IFERROR(INDEX(醫師週班表!$C$5:$T$44,$CU42,BE$57),""),1),""),IF(MID(IFERROR(INDEX(醫師週班表!$C$5:$T$44,$CU42,BE$57),""),2,1)="(",LEFT(IFERROR(INDEX(醫師週班表!$C$5:$T$44,$CU42,BE$57),""),1),IFERROR(INDEX(醫師週班表!$C$5:$T$44,$CU42,BE$57),"")))))))</f>
        <v/>
      </c>
      <c r="BF42" s="72">
        <f>IF(BF$59="X","",IF(BF$59&lt;&gt;"",BF$59,IF(IFERROR(INDEX(醫師週班表!$C$5:$T$44,$CU42,BF$57),"")=0,"",IF(MID(IFERROR(INDEX(醫師週班表!$C$5:$T$44,$CU42,BF$57),""),2,1)="/",MID(IFERROR(INDEX(醫師週班表!$C$5:$T$44,$CU42,BF$57),""),1+BF$58*2,1),IF(MID(IFERROR(INDEX(醫師週班表!$C$5:$T$44,$CU42,BF$57),""),3,1)="隔",IF(BF$58=0,LEFT(IFERROR(INDEX(醫師週班表!$C$5:$T$44,$CU42,BF$57),""),1),""),IF(MID(IFERROR(INDEX(醫師週班表!$C$5:$T$44,$CU42,BF$57),""),2,1)="(",LEFT(IFERROR(INDEX(醫師週班表!$C$5:$T$44,$CU42,BF$57),""),1),IFERROR(INDEX(醫師週班表!$C$5:$T$44,$CU42,BF$57),"")))))))</f>
        <v/>
      </c>
      <c r="BG42" s="71">
        <f>IF(BG$59="X","",IF(BG$59&lt;&gt;"",BG$59,IF(IFERROR(INDEX(醫師週班表!$C$5:$T$44,$CU42,BG$57),"")=0,"",IF(MID(IFERROR(INDEX(醫師週班表!$C$5:$T$44,$CU42,BG$57),""),2,1)="/",MID(IFERROR(INDEX(醫師週班表!$C$5:$T$44,$CU42,BG$57),""),1+BG$58*2,1),IF(MID(IFERROR(INDEX(醫師週班表!$C$5:$T$44,$CU42,BG$57),""),3,1)="隔",IF(BG$58=0,LEFT(IFERROR(INDEX(醫師週班表!$C$5:$T$44,$CU42,BG$57),""),1),""),IF(MID(IFERROR(INDEX(醫師週班表!$C$5:$T$44,$CU42,BG$57),""),2,1)="(",LEFT(IFERROR(INDEX(醫師週班表!$C$5:$T$44,$CU42,BG$57),""),1),IFERROR(INDEX(醫師週班表!$C$5:$T$44,$CU42,BG$57),"")))))))</f>
        <v/>
      </c>
      <c r="BH42" s="72">
        <f>IF(BH$59="X","",IF(BH$59&lt;&gt;"",BH$59,IF(IFERROR(INDEX(醫師週班表!$C$5:$T$44,$CU42,BH$57),"")=0,"",IF(MID(IFERROR(INDEX(醫師週班表!$C$5:$T$44,$CU42,BH$57),""),2,1)="/",MID(IFERROR(INDEX(醫師週班表!$C$5:$T$44,$CU42,BH$57),""),1+BH$58*2,1),IF(MID(IFERROR(INDEX(醫師週班表!$C$5:$T$44,$CU42,BH$57),""),3,1)="隔",IF(BH$58=0,LEFT(IFERROR(INDEX(醫師週班表!$C$5:$T$44,$CU42,BH$57),""),1),""),IF(MID(IFERROR(INDEX(醫師週班表!$C$5:$T$44,$CU42,BH$57),""),2,1)="(",LEFT(IFERROR(INDEX(醫師週班表!$C$5:$T$44,$CU42,BH$57),""),1),IFERROR(INDEX(醫師週班表!$C$5:$T$44,$CU42,BH$57),"")))))))</f>
        <v/>
      </c>
      <c r="BI42" s="72">
        <f>IF(BI$59="X","",IF(BI$59&lt;&gt;"",BI$59,IF(IFERROR(INDEX(醫師週班表!$C$5:$T$44,$CU42,BI$57),"")=0,"",IF(MID(IFERROR(INDEX(醫師週班表!$C$5:$T$44,$CU42,BI$57),""),2,1)="/",MID(IFERROR(INDEX(醫師週班表!$C$5:$T$44,$CU42,BI$57),""),1+BI$58*2,1),IF(MID(IFERROR(INDEX(醫師週班表!$C$5:$T$44,$CU42,BI$57),""),3,1)="隔",IF(BI$58=0,LEFT(IFERROR(INDEX(醫師週班表!$C$5:$T$44,$CU42,BI$57),""),1),""),IF(MID(IFERROR(INDEX(醫師週班表!$C$5:$T$44,$CU42,BI$57),""),2,1)="(",LEFT(IFERROR(INDEX(醫師週班表!$C$5:$T$44,$CU42,BI$57),""),1),IFERROR(INDEX(醫師週班表!$C$5:$T$44,$CU42,BI$57),"")))))))</f>
        <v/>
      </c>
      <c r="BJ42" s="71">
        <f>IF(BJ$59="X","",IF(BJ$59&lt;&gt;"",BJ$59,IF(IFERROR(INDEX(醫師週班表!$C$5:$T$44,$CU42,BJ$57),"")=0,"",IF(MID(IFERROR(INDEX(醫師週班表!$C$5:$T$44,$CU42,BJ$57),""),2,1)="/",MID(IFERROR(INDEX(醫師週班表!$C$5:$T$44,$CU42,BJ$57),""),1+BJ$58*2,1),IF(MID(IFERROR(INDEX(醫師週班表!$C$5:$T$44,$CU42,BJ$57),""),3,1)="隔",IF(BJ$58=0,LEFT(IFERROR(INDEX(醫師週班表!$C$5:$T$44,$CU42,BJ$57),""),1),""),IF(MID(IFERROR(INDEX(醫師週班表!$C$5:$T$44,$CU42,BJ$57),""),2,1)="(",LEFT(IFERROR(INDEX(醫師週班表!$C$5:$T$44,$CU42,BJ$57),""),1),IFERROR(INDEX(醫師週班表!$C$5:$T$44,$CU42,BJ$57),"")))))))</f>
        <v/>
      </c>
      <c r="BK42" s="72">
        <f>IF(BK$59="X","",IF(BK$59&lt;&gt;"",BK$59,IF(IFERROR(INDEX(醫師週班表!$C$5:$T$44,$CU42,BK$57),"")=0,"",IF(MID(IFERROR(INDEX(醫師週班表!$C$5:$T$44,$CU42,BK$57),""),2,1)="/",MID(IFERROR(INDEX(醫師週班表!$C$5:$T$44,$CU42,BK$57),""),1+BK$58*2,1),IF(MID(IFERROR(INDEX(醫師週班表!$C$5:$T$44,$CU42,BK$57),""),3,1)="隔",IF(BK$58=0,LEFT(IFERROR(INDEX(醫師週班表!$C$5:$T$44,$CU42,BK$57),""),1),""),IF(MID(IFERROR(INDEX(醫師週班表!$C$5:$T$44,$CU42,BK$57),""),2,1)="(",LEFT(IFERROR(INDEX(醫師週班表!$C$5:$T$44,$CU42,BK$57),""),1),IFERROR(INDEX(醫師週班表!$C$5:$T$44,$CU42,BK$57),"")))))))</f>
        <v/>
      </c>
      <c r="BL42" s="72">
        <f>IF(BL$59="X","",IF(BL$59&lt;&gt;"",BL$59,IF(IFERROR(INDEX(醫師週班表!$C$5:$T$44,$CU42,BL$57),"")=0,"",IF(MID(IFERROR(INDEX(醫師週班表!$C$5:$T$44,$CU42,BL$57),""),2,1)="/",MID(IFERROR(INDEX(醫師週班表!$C$5:$T$44,$CU42,BL$57),""),1+BL$58*2,1),IF(MID(IFERROR(INDEX(醫師週班表!$C$5:$T$44,$CU42,BL$57),""),3,1)="隔",IF(BL$58=0,LEFT(IFERROR(INDEX(醫師週班表!$C$5:$T$44,$CU42,BL$57),""),1),""),IF(MID(IFERROR(INDEX(醫師週班表!$C$5:$T$44,$CU42,BL$57),""),2,1)="(",LEFT(IFERROR(INDEX(醫師週班表!$C$5:$T$44,$CU42,BL$57),""),1),IFERROR(INDEX(醫師週班表!$C$5:$T$44,$CU42,BL$57),"")))))))</f>
        <v/>
      </c>
      <c r="BM42" s="71">
        <f>IF(BM$59="X","",IF(BM$59&lt;&gt;"",BM$59,IF(IFERROR(INDEX(醫師週班表!$C$5:$T$44,$CU42,BM$57),"")=0,"",IF(MID(IFERROR(INDEX(醫師週班表!$C$5:$T$44,$CU42,BM$57),""),2,1)="/",MID(IFERROR(INDEX(醫師週班表!$C$5:$T$44,$CU42,BM$57),""),1+BM$58*2,1),IF(MID(IFERROR(INDEX(醫師週班表!$C$5:$T$44,$CU42,BM$57),""),3,1)="隔",IF(BM$58=0,LEFT(IFERROR(INDEX(醫師週班表!$C$5:$T$44,$CU42,BM$57),""),1),""),IF(MID(IFERROR(INDEX(醫師週班表!$C$5:$T$44,$CU42,BM$57),""),2,1)="(",LEFT(IFERROR(INDEX(醫師週班表!$C$5:$T$44,$CU42,BM$57),""),1),IFERROR(INDEX(醫師週班表!$C$5:$T$44,$CU42,BM$57),"")))))))</f>
        <v/>
      </c>
      <c r="BN42" s="72">
        <f>IF(BN$59="X","",IF(BN$59&lt;&gt;"",BN$59,IF(IFERROR(INDEX(醫師週班表!$C$5:$T$44,$CU42,BN$57),"")=0,"",IF(MID(IFERROR(INDEX(醫師週班表!$C$5:$T$44,$CU42,BN$57),""),2,1)="/",MID(IFERROR(INDEX(醫師週班表!$C$5:$T$44,$CU42,BN$57),""),1+BN$58*2,1),IF(MID(IFERROR(INDEX(醫師週班表!$C$5:$T$44,$CU42,BN$57),""),3,1)="隔",IF(BN$58=0,LEFT(IFERROR(INDEX(醫師週班表!$C$5:$T$44,$CU42,BN$57),""),1),""),IF(MID(IFERROR(INDEX(醫師週班表!$C$5:$T$44,$CU42,BN$57),""),2,1)="(",LEFT(IFERROR(INDEX(醫師週班表!$C$5:$T$44,$CU42,BN$57),""),1),IFERROR(INDEX(醫師週班表!$C$5:$T$44,$CU42,BN$57),"")))))))</f>
        <v/>
      </c>
      <c r="BO42" s="72">
        <f>IF(BO$59="X","",IF(BO$59&lt;&gt;"",BO$59,IF(IFERROR(INDEX(醫師週班表!$C$5:$T$44,$CU42,BO$57),"")=0,"",IF(MID(IFERROR(INDEX(醫師週班表!$C$5:$T$44,$CU42,BO$57),""),2,1)="/",MID(IFERROR(INDEX(醫師週班表!$C$5:$T$44,$CU42,BO$57),""),1+BO$58*2,1),IF(MID(IFERROR(INDEX(醫師週班表!$C$5:$T$44,$CU42,BO$57),""),3,1)="隔",IF(BO$58=0,LEFT(IFERROR(INDEX(醫師週班表!$C$5:$T$44,$CU42,BO$57),""),1),""),IF(MID(IFERROR(INDEX(醫師週班表!$C$5:$T$44,$CU42,BO$57),""),2,1)="(",LEFT(IFERROR(INDEX(醫師週班表!$C$5:$T$44,$CU42,BO$57),""),1),IFERROR(INDEX(醫師週班表!$C$5:$T$44,$CU42,BO$57),"")))))))</f>
        <v/>
      </c>
      <c r="BP42" s="71">
        <f>IF(BP$59="X","",IF(BP$59&lt;&gt;"",BP$59,IF(IFERROR(INDEX(醫師週班表!$C$5:$T$44,$CU42,BP$57),"")=0,"",IF(MID(IFERROR(INDEX(醫師週班表!$C$5:$T$44,$CU42,BP$57),""),2,1)="/",MID(IFERROR(INDEX(醫師週班表!$C$5:$T$44,$CU42,BP$57),""),1+BP$58*2,1),IF(MID(IFERROR(INDEX(醫師週班表!$C$5:$T$44,$CU42,BP$57),""),3,1)="隔",IF(BP$58=0,LEFT(IFERROR(INDEX(醫師週班表!$C$5:$T$44,$CU42,BP$57),""),1),""),IF(MID(IFERROR(INDEX(醫師週班表!$C$5:$T$44,$CU42,BP$57),""),2,1)="(",LEFT(IFERROR(INDEX(醫師週班表!$C$5:$T$44,$CU42,BP$57),""),1),IFERROR(INDEX(醫師週班表!$C$5:$T$44,$CU42,BP$57),"")))))))</f>
        <v/>
      </c>
      <c r="BQ42" s="72">
        <f>IF(BQ$59="X","",IF(BQ$59&lt;&gt;"",BQ$59,IF(IFERROR(INDEX(醫師週班表!$C$5:$T$44,$CU42,BQ$57),"")=0,"",IF(MID(IFERROR(INDEX(醫師週班表!$C$5:$T$44,$CU42,BQ$57),""),2,1)="/",MID(IFERROR(INDEX(醫師週班表!$C$5:$T$44,$CU42,BQ$57),""),1+BQ$58*2,1),IF(MID(IFERROR(INDEX(醫師週班表!$C$5:$T$44,$CU42,BQ$57),""),3,1)="隔",IF(BQ$58=0,LEFT(IFERROR(INDEX(醫師週班表!$C$5:$T$44,$CU42,BQ$57),""),1),""),IF(MID(IFERROR(INDEX(醫師週班表!$C$5:$T$44,$CU42,BQ$57),""),2,1)="(",LEFT(IFERROR(INDEX(醫師週班表!$C$5:$T$44,$CU42,BQ$57),""),1),IFERROR(INDEX(醫師週班表!$C$5:$T$44,$CU42,BQ$57),"")))))))</f>
        <v/>
      </c>
      <c r="BR42" s="72">
        <f>IF(BR$59="X","",IF(BR$59&lt;&gt;"",BR$59,IF(IFERROR(INDEX(醫師週班表!$C$5:$T$44,$CU42,BR$57),"")=0,"",IF(MID(IFERROR(INDEX(醫師週班表!$C$5:$T$44,$CU42,BR$57),""),2,1)="/",MID(IFERROR(INDEX(醫師週班表!$C$5:$T$44,$CU42,BR$57),""),1+BR$58*2,1),IF(MID(IFERROR(INDEX(醫師週班表!$C$5:$T$44,$CU42,BR$57),""),3,1)="隔",IF(BR$58=0,LEFT(IFERROR(INDEX(醫師週班表!$C$5:$T$44,$CU42,BR$57),""),1),""),IF(MID(IFERROR(INDEX(醫師週班表!$C$5:$T$44,$CU42,BR$57),""),2,1)="(",LEFT(IFERROR(INDEX(醫師週班表!$C$5:$T$44,$CU42,BR$57),""),1),IFERROR(INDEX(醫師週班表!$C$5:$T$44,$CU42,BR$57),"")))))))</f>
        <v/>
      </c>
      <c r="BS42" s="71">
        <f>IF(BS$59="X","",IF(BS$59&lt;&gt;"",BS$59,IF(IFERROR(INDEX(醫師週班表!$C$5:$T$44,$CU42,BS$57),"")=0,"",IF(MID(IFERROR(INDEX(醫師週班表!$C$5:$T$44,$CU42,BS$57),""),2,1)="/",MID(IFERROR(INDEX(醫師週班表!$C$5:$T$44,$CU42,BS$57),""),1+BS$58*2,1),IF(MID(IFERROR(INDEX(醫師週班表!$C$5:$T$44,$CU42,BS$57),""),3,1)="隔",IF(BS$58=0,LEFT(IFERROR(INDEX(醫師週班表!$C$5:$T$44,$CU42,BS$57),""),1),""),IF(MID(IFERROR(INDEX(醫師週班表!$C$5:$T$44,$CU42,BS$57),""),2,1)="(",LEFT(IFERROR(INDEX(醫師週班表!$C$5:$T$44,$CU42,BS$57),""),1),IFERROR(INDEX(醫師週班表!$C$5:$T$44,$CU42,BS$57),"")))))))</f>
        <v/>
      </c>
      <c r="BT42" s="72">
        <f>IF(BT$59="X","",IF(BT$59&lt;&gt;"",BT$59,IF(IFERROR(INDEX(醫師週班表!$C$5:$T$44,$CU42,BT$57),"")=0,"",IF(MID(IFERROR(INDEX(醫師週班表!$C$5:$T$44,$CU42,BT$57),""),2,1)="/",MID(IFERROR(INDEX(醫師週班表!$C$5:$T$44,$CU42,BT$57),""),1+BT$58*2,1),IF(MID(IFERROR(INDEX(醫師週班表!$C$5:$T$44,$CU42,BT$57),""),3,1)="隔",IF(BT$58=0,LEFT(IFERROR(INDEX(醫師週班表!$C$5:$T$44,$CU42,BT$57),""),1),""),IF(MID(IFERROR(INDEX(醫師週班表!$C$5:$T$44,$CU42,BT$57),""),2,1)="(",LEFT(IFERROR(INDEX(醫師週班表!$C$5:$T$44,$CU42,BT$57),""),1),IFERROR(INDEX(醫師週班表!$C$5:$T$44,$CU42,BT$57),"")))))))</f>
        <v/>
      </c>
      <c r="BU42" s="72">
        <f>IF(BU$59="X","",IF(BU$59&lt;&gt;"",BU$59,IF(IFERROR(INDEX(醫師週班表!$C$5:$T$44,$CU42,BU$57),"")=0,"",IF(MID(IFERROR(INDEX(醫師週班表!$C$5:$T$44,$CU42,BU$57),""),2,1)="/",MID(IFERROR(INDEX(醫師週班表!$C$5:$T$44,$CU42,BU$57),""),1+BU$58*2,1),IF(MID(IFERROR(INDEX(醫師週班表!$C$5:$T$44,$CU42,BU$57),""),3,1)="隔",IF(BU$58=0,LEFT(IFERROR(INDEX(醫師週班表!$C$5:$T$44,$CU42,BU$57),""),1),""),IF(MID(IFERROR(INDEX(醫師週班表!$C$5:$T$44,$CU42,BU$57),""),2,1)="(",LEFT(IFERROR(INDEX(醫師週班表!$C$5:$T$44,$CU42,BU$57),""),1),IFERROR(INDEX(醫師週班表!$C$5:$T$44,$CU42,BU$57),"")))))))</f>
        <v/>
      </c>
      <c r="BV42" s="71">
        <f>IF(BV$59="X","",IF(BV$59&lt;&gt;"",BV$59,IF(IFERROR(INDEX(醫師週班表!$C$5:$T$44,$CU42,BV$57),"")=0,"",IF(MID(IFERROR(INDEX(醫師週班表!$C$5:$T$44,$CU42,BV$57),""),2,1)="/",MID(IFERROR(INDEX(醫師週班表!$C$5:$T$44,$CU42,BV$57),""),1+BV$58*2,1),IF(MID(IFERROR(INDEX(醫師週班表!$C$5:$T$44,$CU42,BV$57),""),3,1)="隔",IF(BV$58=0,LEFT(IFERROR(INDEX(醫師週班表!$C$5:$T$44,$CU42,BV$57),""),1),""),IF(MID(IFERROR(INDEX(醫師週班表!$C$5:$T$44,$CU42,BV$57),""),2,1)="(",LEFT(IFERROR(INDEX(醫師週班表!$C$5:$T$44,$CU42,BV$57),""),1),IFERROR(INDEX(醫師週班表!$C$5:$T$44,$CU42,BV$57),"")))))))</f>
        <v/>
      </c>
      <c r="BW42" s="72">
        <f>IF(BW$59="X","",IF(BW$59&lt;&gt;"",BW$59,IF(IFERROR(INDEX(醫師週班表!$C$5:$T$44,$CU42,BW$57),"")=0,"",IF(MID(IFERROR(INDEX(醫師週班表!$C$5:$T$44,$CU42,BW$57),""),2,1)="/",MID(IFERROR(INDEX(醫師週班表!$C$5:$T$44,$CU42,BW$57),""),1+BW$58*2,1),IF(MID(IFERROR(INDEX(醫師週班表!$C$5:$T$44,$CU42,BW$57),""),3,1)="隔",IF(BW$58=0,LEFT(IFERROR(INDEX(醫師週班表!$C$5:$T$44,$CU42,BW$57),""),1),""),IF(MID(IFERROR(INDEX(醫師週班表!$C$5:$T$44,$CU42,BW$57),""),2,1)="(",LEFT(IFERROR(INDEX(醫師週班表!$C$5:$T$44,$CU42,BW$57),""),1),IFERROR(INDEX(醫師週班表!$C$5:$T$44,$CU42,BW$57),"")))))))</f>
        <v/>
      </c>
      <c r="BX42" s="72">
        <f>IF(BX$59="X","",IF(BX$59&lt;&gt;"",BX$59,IF(IFERROR(INDEX(醫師週班表!$C$5:$T$44,$CU42,BX$57),"")=0,"",IF(MID(IFERROR(INDEX(醫師週班表!$C$5:$T$44,$CU42,BX$57),""),2,1)="/",MID(IFERROR(INDEX(醫師週班表!$C$5:$T$44,$CU42,BX$57),""),1+BX$58*2,1),IF(MID(IFERROR(INDEX(醫師週班表!$C$5:$T$44,$CU42,BX$57),""),3,1)="隔",IF(BX$58=0,LEFT(IFERROR(INDEX(醫師週班表!$C$5:$T$44,$CU42,BX$57),""),1),""),IF(MID(IFERROR(INDEX(醫師週班表!$C$5:$T$44,$CU42,BX$57),""),2,1)="(",LEFT(IFERROR(INDEX(醫師週班表!$C$5:$T$44,$CU42,BX$57),""),1),IFERROR(INDEX(醫師週班表!$C$5:$T$44,$CU42,BX$57),"")))))))</f>
        <v/>
      </c>
      <c r="BY42" s="71">
        <f>IF(BY$59="X","",IF(BY$59&lt;&gt;"",BY$59,IF(IFERROR(INDEX(醫師週班表!$C$5:$T$44,$CU42,BY$57),"")=0,"",IF(MID(IFERROR(INDEX(醫師週班表!$C$5:$T$44,$CU42,BY$57),""),2,1)="/",MID(IFERROR(INDEX(醫師週班表!$C$5:$T$44,$CU42,BY$57),""),1+BY$58*2,1),IF(MID(IFERROR(INDEX(醫師週班表!$C$5:$T$44,$CU42,BY$57),""),3,1)="隔",IF(BY$58=0,LEFT(IFERROR(INDEX(醫師週班表!$C$5:$T$44,$CU42,BY$57),""),1),""),IF(MID(IFERROR(INDEX(醫師週班表!$C$5:$T$44,$CU42,BY$57),""),2,1)="(",LEFT(IFERROR(INDEX(醫師週班表!$C$5:$T$44,$CU42,BY$57),""),1),IFERROR(INDEX(醫師週班表!$C$5:$T$44,$CU42,BY$57),"")))))))</f>
        <v/>
      </c>
      <c r="BZ42" s="72">
        <f>IF(BZ$59="X","",IF(BZ$59&lt;&gt;"",BZ$59,IF(IFERROR(INDEX(醫師週班表!$C$5:$T$44,$CU42,BZ$57),"")=0,"",IF(MID(IFERROR(INDEX(醫師週班表!$C$5:$T$44,$CU42,BZ$57),""),2,1)="/",MID(IFERROR(INDEX(醫師週班表!$C$5:$T$44,$CU42,BZ$57),""),1+BZ$58*2,1),IF(MID(IFERROR(INDEX(醫師週班表!$C$5:$T$44,$CU42,BZ$57),""),3,1)="隔",IF(BZ$58=0,LEFT(IFERROR(INDEX(醫師週班表!$C$5:$T$44,$CU42,BZ$57),""),1),""),IF(MID(IFERROR(INDEX(醫師週班表!$C$5:$T$44,$CU42,BZ$57),""),2,1)="(",LEFT(IFERROR(INDEX(醫師週班表!$C$5:$T$44,$CU42,BZ$57),""),1),IFERROR(INDEX(醫師週班表!$C$5:$T$44,$CU42,BZ$57),"")))))))</f>
        <v/>
      </c>
      <c r="CA42" s="72">
        <f>IF(CA$59="X","",IF(CA$59&lt;&gt;"",CA$59,IF(IFERROR(INDEX(醫師週班表!$C$5:$T$44,$CU42,CA$57),"")=0,"",IF(MID(IFERROR(INDEX(醫師週班表!$C$5:$T$44,$CU42,CA$57),""),2,1)="/",MID(IFERROR(INDEX(醫師週班表!$C$5:$T$44,$CU42,CA$57),""),1+CA$58*2,1),IF(MID(IFERROR(INDEX(醫師週班表!$C$5:$T$44,$CU42,CA$57),""),3,1)="隔",IF(CA$58=0,LEFT(IFERROR(INDEX(醫師週班表!$C$5:$T$44,$CU42,CA$57),""),1),""),IF(MID(IFERROR(INDEX(醫師週班表!$C$5:$T$44,$CU42,CA$57),""),2,1)="(",LEFT(IFERROR(INDEX(醫師週班表!$C$5:$T$44,$CU42,CA$57),""),1),IFERROR(INDEX(醫師週班表!$C$5:$T$44,$CU42,CA$57),"")))))))</f>
        <v/>
      </c>
      <c r="CB42" s="71">
        <f>IF(CB$59="X","",IF(CB$59&lt;&gt;"",CB$59,IF(IFERROR(INDEX(醫師週班表!$C$5:$T$44,$CU42,CB$57),"")=0,"",IF(MID(IFERROR(INDEX(醫師週班表!$C$5:$T$44,$CU42,CB$57),""),2,1)="/",MID(IFERROR(INDEX(醫師週班表!$C$5:$T$44,$CU42,CB$57),""),1+CB$58*2,1),IF(MID(IFERROR(INDEX(醫師週班表!$C$5:$T$44,$CU42,CB$57),""),3,1)="隔",IF(CB$58=0,LEFT(IFERROR(INDEX(醫師週班表!$C$5:$T$44,$CU42,CB$57),""),1),""),IF(MID(IFERROR(INDEX(醫師週班表!$C$5:$T$44,$CU42,CB$57),""),2,1)="(",LEFT(IFERROR(INDEX(醫師週班表!$C$5:$T$44,$CU42,CB$57),""),1),IFERROR(INDEX(醫師週班表!$C$5:$T$44,$CU42,CB$57),"")))))))</f>
        <v/>
      </c>
      <c r="CC42" s="72">
        <f>IF(CC$59="X","",IF(CC$59&lt;&gt;"",CC$59,IF(IFERROR(INDEX(醫師週班表!$C$5:$T$44,$CU42,CC$57),"")=0,"",IF(MID(IFERROR(INDEX(醫師週班表!$C$5:$T$44,$CU42,CC$57),""),2,1)="/",MID(IFERROR(INDEX(醫師週班表!$C$5:$T$44,$CU42,CC$57),""),1+CC$58*2,1),IF(MID(IFERROR(INDEX(醫師週班表!$C$5:$T$44,$CU42,CC$57),""),3,1)="隔",IF(CC$58=0,LEFT(IFERROR(INDEX(醫師週班表!$C$5:$T$44,$CU42,CC$57),""),1),""),IF(MID(IFERROR(INDEX(醫師週班表!$C$5:$T$44,$CU42,CC$57),""),2,1)="(",LEFT(IFERROR(INDEX(醫師週班表!$C$5:$T$44,$CU42,CC$57),""),1),IFERROR(INDEX(醫師週班表!$C$5:$T$44,$CU42,CC$57),"")))))))</f>
        <v/>
      </c>
      <c r="CD42" s="72">
        <f>IF(CD$59="X","",IF(CD$59&lt;&gt;"",CD$59,IF(IFERROR(INDEX(醫師週班表!$C$5:$T$44,$CU42,CD$57),"")=0,"",IF(MID(IFERROR(INDEX(醫師週班表!$C$5:$T$44,$CU42,CD$57),""),2,1)="/",MID(IFERROR(INDEX(醫師週班表!$C$5:$T$44,$CU42,CD$57),""),1+CD$58*2,1),IF(MID(IFERROR(INDEX(醫師週班表!$C$5:$T$44,$CU42,CD$57),""),3,1)="隔",IF(CD$58=0,LEFT(IFERROR(INDEX(醫師週班表!$C$5:$T$44,$CU42,CD$57),""),1),""),IF(MID(IFERROR(INDEX(醫師週班表!$C$5:$T$44,$CU42,CD$57),""),2,1)="(",LEFT(IFERROR(INDEX(醫師週班表!$C$5:$T$44,$CU42,CD$57),""),1),IFERROR(INDEX(醫師週班表!$C$5:$T$44,$CU42,CD$57),"")))))))</f>
        <v/>
      </c>
      <c r="CE42" s="71">
        <f>IF(CE$59="X","",IF(CE$59&lt;&gt;"",CE$59,IF(IFERROR(INDEX(醫師週班表!$C$5:$T$44,$CU42,CE$57),"")=0,"",IF(MID(IFERROR(INDEX(醫師週班表!$C$5:$T$44,$CU42,CE$57),""),2,1)="/",MID(IFERROR(INDEX(醫師週班表!$C$5:$T$44,$CU42,CE$57),""),1+CE$58*2,1),IF(MID(IFERROR(INDEX(醫師週班表!$C$5:$T$44,$CU42,CE$57),""),3,1)="隔",IF(CE$58=0,LEFT(IFERROR(INDEX(醫師週班表!$C$5:$T$44,$CU42,CE$57),""),1),""),IF(MID(IFERROR(INDEX(醫師週班表!$C$5:$T$44,$CU42,CE$57),""),2,1)="(",LEFT(IFERROR(INDEX(醫師週班表!$C$5:$T$44,$CU42,CE$57),""),1),IFERROR(INDEX(醫師週班表!$C$5:$T$44,$CU42,CE$57),"")))))))</f>
        <v/>
      </c>
      <c r="CF42" s="72">
        <f>IF(CF$59="X","",IF(CF$59&lt;&gt;"",CF$59,IF(IFERROR(INDEX(醫師週班表!$C$5:$T$44,$CU42,CF$57),"")=0,"",IF(MID(IFERROR(INDEX(醫師週班表!$C$5:$T$44,$CU42,CF$57),""),2,1)="/",MID(IFERROR(INDEX(醫師週班表!$C$5:$T$44,$CU42,CF$57),""),1+CF$58*2,1),IF(MID(IFERROR(INDEX(醫師週班表!$C$5:$T$44,$CU42,CF$57),""),3,1)="隔",IF(CF$58=0,LEFT(IFERROR(INDEX(醫師週班表!$C$5:$T$44,$CU42,CF$57),""),1),""),IF(MID(IFERROR(INDEX(醫師週班表!$C$5:$T$44,$CU42,CF$57),""),2,1)="(",LEFT(IFERROR(INDEX(醫師週班表!$C$5:$T$44,$CU42,CF$57),""),1),IFERROR(INDEX(醫師週班表!$C$5:$T$44,$CU42,CF$57),"")))))))</f>
        <v/>
      </c>
      <c r="CG42" s="72">
        <f>IF(CG$59="X","",IF(CG$59&lt;&gt;"",CG$59,IF(IFERROR(INDEX(醫師週班表!$C$5:$T$44,$CU42,CG$57),"")=0,"",IF(MID(IFERROR(INDEX(醫師週班表!$C$5:$T$44,$CU42,CG$57),""),2,1)="/",MID(IFERROR(INDEX(醫師週班表!$C$5:$T$44,$CU42,CG$57),""),1+CG$58*2,1),IF(MID(IFERROR(INDEX(醫師週班表!$C$5:$T$44,$CU42,CG$57),""),3,1)="隔",IF(CG$58=0,LEFT(IFERROR(INDEX(醫師週班表!$C$5:$T$44,$CU42,CG$57),""),1),""),IF(MID(IFERROR(INDEX(醫師週班表!$C$5:$T$44,$CU42,CG$57),""),2,1)="(",LEFT(IFERROR(INDEX(醫師週班表!$C$5:$T$44,$CU42,CG$57),""),1),IFERROR(INDEX(醫師週班表!$C$5:$T$44,$CU42,CG$57),"")))))))</f>
        <v/>
      </c>
      <c r="CH42" s="71">
        <f>IF(CH$59="X","",IF(CH$59&lt;&gt;"",CH$59,IF(IFERROR(INDEX(醫師週班表!$C$5:$T$44,$CU42,CH$57),"")=0,"",IF(MID(IFERROR(INDEX(醫師週班表!$C$5:$T$44,$CU42,CH$57),""),2,1)="/",MID(IFERROR(INDEX(醫師週班表!$C$5:$T$44,$CU42,CH$57),""),1+CH$58*2,1),IF(MID(IFERROR(INDEX(醫師週班表!$C$5:$T$44,$CU42,CH$57),""),3,1)="隔",IF(CH$58=0,LEFT(IFERROR(INDEX(醫師週班表!$C$5:$T$44,$CU42,CH$57),""),1),""),IF(MID(IFERROR(INDEX(醫師週班表!$C$5:$T$44,$CU42,CH$57),""),2,1)="(",LEFT(IFERROR(INDEX(醫師週班表!$C$5:$T$44,$CU42,CH$57),""),1),IFERROR(INDEX(醫師週班表!$C$5:$T$44,$CU42,CH$57),"")))))))</f>
        <v/>
      </c>
      <c r="CI42" s="72">
        <f>IF(CI$59="X","",IF(CI$59&lt;&gt;"",CI$59,IF(IFERROR(INDEX(醫師週班表!$C$5:$T$44,$CU42,CI$57),"")=0,"",IF(MID(IFERROR(INDEX(醫師週班表!$C$5:$T$44,$CU42,CI$57),""),2,1)="/",MID(IFERROR(INDEX(醫師週班表!$C$5:$T$44,$CU42,CI$57),""),1+CI$58*2,1),IF(MID(IFERROR(INDEX(醫師週班表!$C$5:$T$44,$CU42,CI$57),""),3,1)="隔",IF(CI$58=0,LEFT(IFERROR(INDEX(醫師週班表!$C$5:$T$44,$CU42,CI$57),""),1),""),IF(MID(IFERROR(INDEX(醫師週班表!$C$5:$T$44,$CU42,CI$57),""),2,1)="(",LEFT(IFERROR(INDEX(醫師週班表!$C$5:$T$44,$CU42,CI$57),""),1),IFERROR(INDEX(醫師週班表!$C$5:$T$44,$CU42,CI$57),"")))))))</f>
        <v/>
      </c>
      <c r="CJ42" s="72">
        <f>IF(CJ$59="X","",IF(CJ$59&lt;&gt;"",CJ$59,IF(IFERROR(INDEX(醫師週班表!$C$5:$T$44,$CU42,CJ$57),"")=0,"",IF(MID(IFERROR(INDEX(醫師週班表!$C$5:$T$44,$CU42,CJ$57),""),2,1)="/",MID(IFERROR(INDEX(醫師週班表!$C$5:$T$44,$CU42,CJ$57),""),1+CJ$58*2,1),IF(MID(IFERROR(INDEX(醫師週班表!$C$5:$T$44,$CU42,CJ$57),""),3,1)="隔",IF(CJ$58=0,LEFT(IFERROR(INDEX(醫師週班表!$C$5:$T$44,$CU42,CJ$57),""),1),""),IF(MID(IFERROR(INDEX(醫師週班表!$C$5:$T$44,$CU42,CJ$57),""),2,1)="(",LEFT(IFERROR(INDEX(醫師週班表!$C$5:$T$44,$CU42,CJ$57),""),1),IFERROR(INDEX(醫師週班表!$C$5:$T$44,$CU42,CJ$57),"")))))))</f>
        <v/>
      </c>
      <c r="CK42" s="71">
        <f>IF(CK$59="X","",IF(CK$59&lt;&gt;"",CK$59,IF(IFERROR(INDEX(醫師週班表!$C$5:$T$44,$CU42,CK$57),"")=0,"",IF(MID(IFERROR(INDEX(醫師週班表!$C$5:$T$44,$CU42,CK$57),""),2,1)="/",MID(IFERROR(INDEX(醫師週班表!$C$5:$T$44,$CU42,CK$57),""),1+CK$58*2,1),IF(MID(IFERROR(INDEX(醫師週班表!$C$5:$T$44,$CU42,CK$57),""),3,1)="隔",IF(CK$58=0,LEFT(IFERROR(INDEX(醫師週班表!$C$5:$T$44,$CU42,CK$57),""),1),""),IF(MID(IFERROR(INDEX(醫師週班表!$C$5:$T$44,$CU42,CK$57),""),2,1)="(",LEFT(IFERROR(INDEX(醫師週班表!$C$5:$T$44,$CU42,CK$57),""),1),IFERROR(INDEX(醫師週班表!$C$5:$T$44,$CU42,CK$57),"")))))))</f>
        <v/>
      </c>
      <c r="CL42" s="72">
        <f>IF(CL$59="X","",IF(CL$59&lt;&gt;"",CL$59,IF(IFERROR(INDEX(醫師週班表!$C$5:$T$44,$CU42,CL$57),"")=0,"",IF(MID(IFERROR(INDEX(醫師週班表!$C$5:$T$44,$CU42,CL$57),""),2,1)="/",MID(IFERROR(INDEX(醫師週班表!$C$5:$T$44,$CU42,CL$57),""),1+CL$58*2,1),IF(MID(IFERROR(INDEX(醫師週班表!$C$5:$T$44,$CU42,CL$57),""),3,1)="隔",IF(CL$58=0,LEFT(IFERROR(INDEX(醫師週班表!$C$5:$T$44,$CU42,CL$57),""),1),""),IF(MID(IFERROR(INDEX(醫師週班表!$C$5:$T$44,$CU42,CL$57),""),2,1)="(",LEFT(IFERROR(INDEX(醫師週班表!$C$5:$T$44,$CU42,CL$57),""),1),IFERROR(INDEX(醫師週班表!$C$5:$T$44,$CU42,CL$57),"")))))))</f>
        <v/>
      </c>
      <c r="CM42" s="72">
        <f>IF(CM$59="X","",IF(CM$59&lt;&gt;"",CM$59,IF(IFERROR(INDEX(醫師週班表!$C$5:$T$44,$CU42,CM$57),"")=0,"",IF(MID(IFERROR(INDEX(醫師週班表!$C$5:$T$44,$CU42,CM$57),""),2,1)="/",MID(IFERROR(INDEX(醫師週班表!$C$5:$T$44,$CU42,CM$57),""),1+CM$58*2,1),IF(MID(IFERROR(INDEX(醫師週班表!$C$5:$T$44,$CU42,CM$57),""),3,1)="隔",IF(CM$58=0,LEFT(IFERROR(INDEX(醫師週班表!$C$5:$T$44,$CU42,CM$57),""),1),""),IF(MID(IFERROR(INDEX(醫師週班表!$C$5:$T$44,$CU42,CM$57),""),2,1)="(",LEFT(IFERROR(INDEX(醫師週班表!$C$5:$T$44,$CU42,CM$57),""),1),IFERROR(INDEX(醫師週班表!$C$5:$T$44,$CU42,CM$57),"")))))))</f>
        <v/>
      </c>
      <c r="CN42" s="71">
        <f>IF(CN$59="X","",IF(CN$59&lt;&gt;"",CN$59,IF(IFERROR(INDEX(醫師週班表!$C$5:$T$44,$CU42,CN$57),"")=0,"",IF(MID(IFERROR(INDEX(醫師週班表!$C$5:$T$44,$CU42,CN$57),""),2,1)="/",MID(IFERROR(INDEX(醫師週班表!$C$5:$T$44,$CU42,CN$57),""),1+CN$58*2,1),IF(MID(IFERROR(INDEX(醫師週班表!$C$5:$T$44,$CU42,CN$57),""),3,1)="隔",IF(CN$58=0,LEFT(IFERROR(INDEX(醫師週班表!$C$5:$T$44,$CU42,CN$57),""),1),""),IF(MID(IFERROR(INDEX(醫師週班表!$C$5:$T$44,$CU42,CN$57),""),2,1)="(",LEFT(IFERROR(INDEX(醫師週班表!$C$5:$T$44,$CU42,CN$57),""),1),IFERROR(INDEX(醫師週班表!$C$5:$T$44,$CU42,CN$57),"")))))))</f>
        <v/>
      </c>
      <c r="CO42" s="72">
        <f>IF(CO$59="X","",IF(CO$59&lt;&gt;"",CO$59,IF(IFERROR(INDEX(醫師週班表!$C$5:$T$44,$CU42,CO$57),"")=0,"",IF(MID(IFERROR(INDEX(醫師週班表!$C$5:$T$44,$CU42,CO$57),""),2,1)="/",MID(IFERROR(INDEX(醫師週班表!$C$5:$T$44,$CU42,CO$57),""),1+CO$58*2,1),IF(MID(IFERROR(INDEX(醫師週班表!$C$5:$T$44,$CU42,CO$57),""),3,1)="隔",IF(CO$58=0,LEFT(IFERROR(INDEX(醫師週班表!$C$5:$T$44,$CU42,CO$57),""),1),""),IF(MID(IFERROR(INDEX(醫師週班表!$C$5:$T$44,$CU42,CO$57),""),2,1)="(",LEFT(IFERROR(INDEX(醫師週班表!$C$5:$T$44,$CU42,CO$57),""),1),IFERROR(INDEX(醫師週班表!$C$5:$T$44,$CU42,CO$57),"")))))))</f>
        <v/>
      </c>
      <c r="CP42" s="72">
        <f>IF(CP$59="X","",IF(CP$59&lt;&gt;"",CP$59,IF(IFERROR(INDEX(醫師週班表!$C$5:$T$44,$CU42,CP$57),"")=0,"",IF(MID(IFERROR(INDEX(醫師週班表!$C$5:$T$44,$CU42,CP$57),""),2,1)="/",MID(IFERROR(INDEX(醫師週班表!$C$5:$T$44,$CU42,CP$57),""),1+CP$58*2,1),IF(MID(IFERROR(INDEX(醫師週班表!$C$5:$T$44,$CU42,CP$57),""),3,1)="隔",IF(CP$58=0,LEFT(IFERROR(INDEX(醫師週班表!$C$5:$T$44,$CU42,CP$57),""),1),""),IF(MID(IFERROR(INDEX(醫師週班表!$C$5:$T$44,$CU42,CP$57),""),2,1)="(",LEFT(IFERROR(INDEX(醫師週班表!$C$5:$T$44,$CU42,CP$57),""),1),IFERROR(INDEX(醫師週班表!$C$5:$T$44,$CU42,CP$57),"")))))))</f>
        <v/>
      </c>
      <c r="CQ42" s="71">
        <f>IF(CQ$59="X","",IF(CQ$59&lt;&gt;"",CQ$59,IF(IFERROR(INDEX(醫師週班表!$C$5:$T$44,$CU42,CQ$57),"")=0,"",IF(MID(IFERROR(INDEX(醫師週班表!$C$5:$T$44,$CU42,CQ$57),""),2,1)="/",MID(IFERROR(INDEX(醫師週班表!$C$5:$T$44,$CU42,CQ$57),""),1+CQ$58*2,1),IF(MID(IFERROR(INDEX(醫師週班表!$C$5:$T$44,$CU42,CQ$57),""),3,1)="隔",IF(CQ$58=0,LEFT(IFERROR(INDEX(醫師週班表!$C$5:$T$44,$CU42,CQ$57),""),1),""),IF(MID(IFERROR(INDEX(醫師週班表!$C$5:$T$44,$CU42,CQ$57),""),2,1)="(",LEFT(IFERROR(INDEX(醫師週班表!$C$5:$T$44,$CU42,CQ$57),""),1),IFERROR(INDEX(醫師週班表!$C$5:$T$44,$CU42,CQ$57),"")))))))</f>
        <v/>
      </c>
      <c r="CR42" s="72">
        <f>IF(CR$59="X","",IF(CR$59&lt;&gt;"",CR$59,IF(IFERROR(INDEX(醫師週班表!$C$5:$T$44,$CU42,CR$57),"")=0,"",IF(MID(IFERROR(INDEX(醫師週班表!$C$5:$T$44,$CU42,CR$57),""),2,1)="/",MID(IFERROR(INDEX(醫師週班表!$C$5:$T$44,$CU42,CR$57),""),1+CR$58*2,1),IF(MID(IFERROR(INDEX(醫師週班表!$C$5:$T$44,$CU42,CR$57),""),3,1)="隔",IF(CR$58=0,LEFT(IFERROR(INDEX(醫師週班表!$C$5:$T$44,$CU42,CR$57),""),1),""),IF(MID(IFERROR(INDEX(醫師週班表!$C$5:$T$44,$CU42,CR$57),""),2,1)="(",LEFT(IFERROR(INDEX(醫師週班表!$C$5:$T$44,$CU42,CR$57),""),1),IFERROR(INDEX(醫師週班表!$C$5:$T$44,$CU42,CR$57),"")))))))</f>
        <v/>
      </c>
      <c r="CS42" s="72">
        <f>IF(CS$59="X","",IF(CS$59&lt;&gt;"",CS$59,IF(IFERROR(INDEX(醫師週班表!$C$5:$T$44,$CU42,CS$57),"")=0,"",IF(MID(IFERROR(INDEX(醫師週班表!$C$5:$T$44,$CU42,CS$57),""),2,1)="/",MID(IFERROR(INDEX(醫師週班表!$C$5:$T$44,$CU42,CS$57),""),1+CS$58*2,1),IF(MID(IFERROR(INDEX(醫師週班表!$C$5:$T$44,$CU42,CS$57),""),3,1)="隔",IF(CS$58=0,LEFT(IFERROR(INDEX(醫師週班表!$C$5:$T$44,$CU42,CS$57),""),1),""),IF(MID(IFERROR(INDEX(醫師週班表!$C$5:$T$44,$CU42,CS$57),""),2,1)="(",LEFT(IFERROR(INDEX(醫師週班表!$C$5:$T$44,$CU42,CS$57),""),1),IFERROR(INDEX(醫師週班表!$C$5:$T$44,$CU42,CS$57),"")))))))</f>
        <v/>
      </c>
      <c r="CU42" s="73">
        <f>IFERROR(MATCH($A42,醫師週班表!$A$5:$A$44,0),0)</f>
        <v/>
      </c>
    </row>
    <row r="43" ht="17" customHeight="1">
      <c r="A43" s="19" t="n"/>
      <c r="B43" s="16">
        <f>IFERROR(INDEX(設定!$C$64:$C$203,MATCH($A43,設定!$B$64:$B$203,0)),"")</f>
        <v/>
      </c>
      <c r="C43" s="70">
        <f>IFERROR(INDEX(設定!$E$64:$E$203,MATCH($A43,設定!$B$64:$B$203,0)),"")</f>
        <v/>
      </c>
      <c r="D43" s="16">
        <f>IFERROR(INDEX(設定!$F$64:$F$203,MATCH($A43,設定!$B$64:$B$203,0)),"")</f>
        <v/>
      </c>
      <c r="E43" s="71">
        <f>IF(E$59="X","",IF(E$59&lt;&gt;"",E$59,IF(IFERROR(INDEX(醫師週班表!$C$5:$T$44,$CU43,E$57),"")=0,"",IF(MID(IFERROR(INDEX(醫師週班表!$C$5:$T$44,$CU43,E$57),""),2,1)="/",MID(IFERROR(INDEX(醫師週班表!$C$5:$T$44,$CU43,E$57),""),1+E$58*2,1),IF(MID(IFERROR(INDEX(醫師週班表!$C$5:$T$44,$CU43,E$57),""),3,1)="隔",IF(E$58=0,LEFT(IFERROR(INDEX(醫師週班表!$C$5:$T$44,$CU43,E$57),""),1),""),IF(MID(IFERROR(INDEX(醫師週班表!$C$5:$T$44,$CU43,E$57),""),2,1)="(",LEFT(IFERROR(INDEX(醫師週班表!$C$5:$T$44,$CU43,E$57),""),1),IFERROR(INDEX(醫師週班表!$C$5:$T$44,$CU43,E$57),"")))))))</f>
        <v/>
      </c>
      <c r="F43" s="72">
        <f>IF(F$59="X","",IF(F$59&lt;&gt;"",F$59,IF(IFERROR(INDEX(醫師週班表!$C$5:$T$44,$CU43,F$57),"")=0,"",IF(MID(IFERROR(INDEX(醫師週班表!$C$5:$T$44,$CU43,F$57),""),2,1)="/",MID(IFERROR(INDEX(醫師週班表!$C$5:$T$44,$CU43,F$57),""),1+F$58*2,1),IF(MID(IFERROR(INDEX(醫師週班表!$C$5:$T$44,$CU43,F$57),""),3,1)="隔",IF(F$58=0,LEFT(IFERROR(INDEX(醫師週班表!$C$5:$T$44,$CU43,F$57),""),1),""),IF(MID(IFERROR(INDEX(醫師週班表!$C$5:$T$44,$CU43,F$57),""),2,1)="(",LEFT(IFERROR(INDEX(醫師週班表!$C$5:$T$44,$CU43,F$57),""),1),IFERROR(INDEX(醫師週班表!$C$5:$T$44,$CU43,F$57),"")))))))</f>
        <v/>
      </c>
      <c r="G43" s="72">
        <f>IF(G$59="X","",IF(G$59&lt;&gt;"",G$59,IF(IFERROR(INDEX(醫師週班表!$C$5:$T$44,$CU43,G$57),"")=0,"",IF(MID(IFERROR(INDEX(醫師週班表!$C$5:$T$44,$CU43,G$57),""),2,1)="/",MID(IFERROR(INDEX(醫師週班表!$C$5:$T$44,$CU43,G$57),""),1+G$58*2,1),IF(MID(IFERROR(INDEX(醫師週班表!$C$5:$T$44,$CU43,G$57),""),3,1)="隔",IF(G$58=0,LEFT(IFERROR(INDEX(醫師週班表!$C$5:$T$44,$CU43,G$57),""),1),""),IF(MID(IFERROR(INDEX(醫師週班表!$C$5:$T$44,$CU43,G$57),""),2,1)="(",LEFT(IFERROR(INDEX(醫師週班表!$C$5:$T$44,$CU43,G$57),""),1),IFERROR(INDEX(醫師週班表!$C$5:$T$44,$CU43,G$57),"")))))))</f>
        <v/>
      </c>
      <c r="H43" s="71">
        <f>IF(H$59="X","",IF(H$59&lt;&gt;"",H$59,IF(IFERROR(INDEX(醫師週班表!$C$5:$T$44,$CU43,H$57),"")=0,"",IF(MID(IFERROR(INDEX(醫師週班表!$C$5:$T$44,$CU43,H$57),""),2,1)="/",MID(IFERROR(INDEX(醫師週班表!$C$5:$T$44,$CU43,H$57),""),1+H$58*2,1),IF(MID(IFERROR(INDEX(醫師週班表!$C$5:$T$44,$CU43,H$57),""),3,1)="隔",IF(H$58=0,LEFT(IFERROR(INDEX(醫師週班表!$C$5:$T$44,$CU43,H$57),""),1),""),IF(MID(IFERROR(INDEX(醫師週班表!$C$5:$T$44,$CU43,H$57),""),2,1)="(",LEFT(IFERROR(INDEX(醫師週班表!$C$5:$T$44,$CU43,H$57),""),1),IFERROR(INDEX(醫師週班表!$C$5:$T$44,$CU43,H$57),"")))))))</f>
        <v/>
      </c>
      <c r="I43" s="72">
        <f>IF(I$59="X","",IF(I$59&lt;&gt;"",I$59,IF(IFERROR(INDEX(醫師週班表!$C$5:$T$44,$CU43,I$57),"")=0,"",IF(MID(IFERROR(INDEX(醫師週班表!$C$5:$T$44,$CU43,I$57),""),2,1)="/",MID(IFERROR(INDEX(醫師週班表!$C$5:$T$44,$CU43,I$57),""),1+I$58*2,1),IF(MID(IFERROR(INDEX(醫師週班表!$C$5:$T$44,$CU43,I$57),""),3,1)="隔",IF(I$58=0,LEFT(IFERROR(INDEX(醫師週班表!$C$5:$T$44,$CU43,I$57),""),1),""),IF(MID(IFERROR(INDEX(醫師週班表!$C$5:$T$44,$CU43,I$57),""),2,1)="(",LEFT(IFERROR(INDEX(醫師週班表!$C$5:$T$44,$CU43,I$57),""),1),IFERROR(INDEX(醫師週班表!$C$5:$T$44,$CU43,I$57),"")))))))</f>
        <v/>
      </c>
      <c r="J43" s="72">
        <f>IF(J$59="X","",IF(J$59&lt;&gt;"",J$59,IF(IFERROR(INDEX(醫師週班表!$C$5:$T$44,$CU43,J$57),"")=0,"",IF(MID(IFERROR(INDEX(醫師週班表!$C$5:$T$44,$CU43,J$57),""),2,1)="/",MID(IFERROR(INDEX(醫師週班表!$C$5:$T$44,$CU43,J$57),""),1+J$58*2,1),IF(MID(IFERROR(INDEX(醫師週班表!$C$5:$T$44,$CU43,J$57),""),3,1)="隔",IF(J$58=0,LEFT(IFERROR(INDEX(醫師週班表!$C$5:$T$44,$CU43,J$57),""),1),""),IF(MID(IFERROR(INDEX(醫師週班表!$C$5:$T$44,$CU43,J$57),""),2,1)="(",LEFT(IFERROR(INDEX(醫師週班表!$C$5:$T$44,$CU43,J$57),""),1),IFERROR(INDEX(醫師週班表!$C$5:$T$44,$CU43,J$57),"")))))))</f>
        <v/>
      </c>
      <c r="K43" s="71">
        <f>IF(K$59="X","",IF(K$59&lt;&gt;"",K$59,IF(IFERROR(INDEX(醫師週班表!$C$5:$T$44,$CU43,K$57),"")=0,"",IF(MID(IFERROR(INDEX(醫師週班表!$C$5:$T$44,$CU43,K$57),""),2,1)="/",MID(IFERROR(INDEX(醫師週班表!$C$5:$T$44,$CU43,K$57),""),1+K$58*2,1),IF(MID(IFERROR(INDEX(醫師週班表!$C$5:$T$44,$CU43,K$57),""),3,1)="隔",IF(K$58=0,LEFT(IFERROR(INDEX(醫師週班表!$C$5:$T$44,$CU43,K$57),""),1),""),IF(MID(IFERROR(INDEX(醫師週班表!$C$5:$T$44,$CU43,K$57),""),2,1)="(",LEFT(IFERROR(INDEX(醫師週班表!$C$5:$T$44,$CU43,K$57),""),1),IFERROR(INDEX(醫師週班表!$C$5:$T$44,$CU43,K$57),"")))))))</f>
        <v/>
      </c>
      <c r="L43" s="72">
        <f>IF(L$59="X","",IF(L$59&lt;&gt;"",L$59,IF(IFERROR(INDEX(醫師週班表!$C$5:$T$44,$CU43,L$57),"")=0,"",IF(MID(IFERROR(INDEX(醫師週班表!$C$5:$T$44,$CU43,L$57),""),2,1)="/",MID(IFERROR(INDEX(醫師週班表!$C$5:$T$44,$CU43,L$57),""),1+L$58*2,1),IF(MID(IFERROR(INDEX(醫師週班表!$C$5:$T$44,$CU43,L$57),""),3,1)="隔",IF(L$58=0,LEFT(IFERROR(INDEX(醫師週班表!$C$5:$T$44,$CU43,L$57),""),1),""),IF(MID(IFERROR(INDEX(醫師週班表!$C$5:$T$44,$CU43,L$57),""),2,1)="(",LEFT(IFERROR(INDEX(醫師週班表!$C$5:$T$44,$CU43,L$57),""),1),IFERROR(INDEX(醫師週班表!$C$5:$T$44,$CU43,L$57),"")))))))</f>
        <v/>
      </c>
      <c r="M43" s="72">
        <f>IF(M$59="X","",IF(M$59&lt;&gt;"",M$59,IF(IFERROR(INDEX(醫師週班表!$C$5:$T$44,$CU43,M$57),"")=0,"",IF(MID(IFERROR(INDEX(醫師週班表!$C$5:$T$44,$CU43,M$57),""),2,1)="/",MID(IFERROR(INDEX(醫師週班表!$C$5:$T$44,$CU43,M$57),""),1+M$58*2,1),IF(MID(IFERROR(INDEX(醫師週班表!$C$5:$T$44,$CU43,M$57),""),3,1)="隔",IF(M$58=0,LEFT(IFERROR(INDEX(醫師週班表!$C$5:$T$44,$CU43,M$57),""),1),""),IF(MID(IFERROR(INDEX(醫師週班表!$C$5:$T$44,$CU43,M$57),""),2,1)="(",LEFT(IFERROR(INDEX(醫師週班表!$C$5:$T$44,$CU43,M$57),""),1),IFERROR(INDEX(醫師週班表!$C$5:$T$44,$CU43,M$57),"")))))))</f>
        <v/>
      </c>
      <c r="N43" s="71">
        <f>IF(N$59="X","",IF(N$59&lt;&gt;"",N$59,IF(IFERROR(INDEX(醫師週班表!$C$5:$T$44,$CU43,N$57),"")=0,"",IF(MID(IFERROR(INDEX(醫師週班表!$C$5:$T$44,$CU43,N$57),""),2,1)="/",MID(IFERROR(INDEX(醫師週班表!$C$5:$T$44,$CU43,N$57),""),1+N$58*2,1),IF(MID(IFERROR(INDEX(醫師週班表!$C$5:$T$44,$CU43,N$57),""),3,1)="隔",IF(N$58=0,LEFT(IFERROR(INDEX(醫師週班表!$C$5:$T$44,$CU43,N$57),""),1),""),IF(MID(IFERROR(INDEX(醫師週班表!$C$5:$T$44,$CU43,N$57),""),2,1)="(",LEFT(IFERROR(INDEX(醫師週班表!$C$5:$T$44,$CU43,N$57),""),1),IFERROR(INDEX(醫師週班表!$C$5:$T$44,$CU43,N$57),"")))))))</f>
        <v/>
      </c>
      <c r="O43" s="72">
        <f>IF(O$59="X","",IF(O$59&lt;&gt;"",O$59,IF(IFERROR(INDEX(醫師週班表!$C$5:$T$44,$CU43,O$57),"")=0,"",IF(MID(IFERROR(INDEX(醫師週班表!$C$5:$T$44,$CU43,O$57),""),2,1)="/",MID(IFERROR(INDEX(醫師週班表!$C$5:$T$44,$CU43,O$57),""),1+O$58*2,1),IF(MID(IFERROR(INDEX(醫師週班表!$C$5:$T$44,$CU43,O$57),""),3,1)="隔",IF(O$58=0,LEFT(IFERROR(INDEX(醫師週班表!$C$5:$T$44,$CU43,O$57),""),1),""),IF(MID(IFERROR(INDEX(醫師週班表!$C$5:$T$44,$CU43,O$57),""),2,1)="(",LEFT(IFERROR(INDEX(醫師週班表!$C$5:$T$44,$CU43,O$57),""),1),IFERROR(INDEX(醫師週班表!$C$5:$T$44,$CU43,O$57),"")))))))</f>
        <v/>
      </c>
      <c r="P43" s="72">
        <f>IF(P$59="X","",IF(P$59&lt;&gt;"",P$59,IF(IFERROR(INDEX(醫師週班表!$C$5:$T$44,$CU43,P$57),"")=0,"",IF(MID(IFERROR(INDEX(醫師週班表!$C$5:$T$44,$CU43,P$57),""),2,1)="/",MID(IFERROR(INDEX(醫師週班表!$C$5:$T$44,$CU43,P$57),""),1+P$58*2,1),IF(MID(IFERROR(INDEX(醫師週班表!$C$5:$T$44,$CU43,P$57),""),3,1)="隔",IF(P$58=0,LEFT(IFERROR(INDEX(醫師週班表!$C$5:$T$44,$CU43,P$57),""),1),""),IF(MID(IFERROR(INDEX(醫師週班表!$C$5:$T$44,$CU43,P$57),""),2,1)="(",LEFT(IFERROR(INDEX(醫師週班表!$C$5:$T$44,$CU43,P$57),""),1),IFERROR(INDEX(醫師週班表!$C$5:$T$44,$CU43,P$57),"")))))))</f>
        <v/>
      </c>
      <c r="Q43" s="71">
        <f>IF(Q$59="X","",IF(Q$59&lt;&gt;"",Q$59,IF(IFERROR(INDEX(醫師週班表!$C$5:$T$44,$CU43,Q$57),"")=0,"",IF(MID(IFERROR(INDEX(醫師週班表!$C$5:$T$44,$CU43,Q$57),""),2,1)="/",MID(IFERROR(INDEX(醫師週班表!$C$5:$T$44,$CU43,Q$57),""),1+Q$58*2,1),IF(MID(IFERROR(INDEX(醫師週班表!$C$5:$T$44,$CU43,Q$57),""),3,1)="隔",IF(Q$58=0,LEFT(IFERROR(INDEX(醫師週班表!$C$5:$T$44,$CU43,Q$57),""),1),""),IF(MID(IFERROR(INDEX(醫師週班表!$C$5:$T$44,$CU43,Q$57),""),2,1)="(",LEFT(IFERROR(INDEX(醫師週班表!$C$5:$T$44,$CU43,Q$57),""),1),IFERROR(INDEX(醫師週班表!$C$5:$T$44,$CU43,Q$57),"")))))))</f>
        <v/>
      </c>
      <c r="R43" s="72">
        <f>IF(R$59="X","",IF(R$59&lt;&gt;"",R$59,IF(IFERROR(INDEX(醫師週班表!$C$5:$T$44,$CU43,R$57),"")=0,"",IF(MID(IFERROR(INDEX(醫師週班表!$C$5:$T$44,$CU43,R$57),""),2,1)="/",MID(IFERROR(INDEX(醫師週班表!$C$5:$T$44,$CU43,R$57),""),1+R$58*2,1),IF(MID(IFERROR(INDEX(醫師週班表!$C$5:$T$44,$CU43,R$57),""),3,1)="隔",IF(R$58=0,LEFT(IFERROR(INDEX(醫師週班表!$C$5:$T$44,$CU43,R$57),""),1),""),IF(MID(IFERROR(INDEX(醫師週班表!$C$5:$T$44,$CU43,R$57),""),2,1)="(",LEFT(IFERROR(INDEX(醫師週班表!$C$5:$T$44,$CU43,R$57),""),1),IFERROR(INDEX(醫師週班表!$C$5:$T$44,$CU43,R$57),"")))))))</f>
        <v/>
      </c>
      <c r="S43" s="72">
        <f>IF(S$59="X","",IF(S$59&lt;&gt;"",S$59,IF(IFERROR(INDEX(醫師週班表!$C$5:$T$44,$CU43,S$57),"")=0,"",IF(MID(IFERROR(INDEX(醫師週班表!$C$5:$T$44,$CU43,S$57),""),2,1)="/",MID(IFERROR(INDEX(醫師週班表!$C$5:$T$44,$CU43,S$57),""),1+S$58*2,1),IF(MID(IFERROR(INDEX(醫師週班表!$C$5:$T$44,$CU43,S$57),""),3,1)="隔",IF(S$58=0,LEFT(IFERROR(INDEX(醫師週班表!$C$5:$T$44,$CU43,S$57),""),1),""),IF(MID(IFERROR(INDEX(醫師週班表!$C$5:$T$44,$CU43,S$57),""),2,1)="(",LEFT(IFERROR(INDEX(醫師週班表!$C$5:$T$44,$CU43,S$57),""),1),IFERROR(INDEX(醫師週班表!$C$5:$T$44,$CU43,S$57),"")))))))</f>
        <v/>
      </c>
      <c r="T43" s="71">
        <f>IF(T$59="X","",IF(T$59&lt;&gt;"",T$59,IF(IFERROR(INDEX(醫師週班表!$C$5:$T$44,$CU43,T$57),"")=0,"",IF(MID(IFERROR(INDEX(醫師週班表!$C$5:$T$44,$CU43,T$57),""),2,1)="/",MID(IFERROR(INDEX(醫師週班表!$C$5:$T$44,$CU43,T$57),""),1+T$58*2,1),IF(MID(IFERROR(INDEX(醫師週班表!$C$5:$T$44,$CU43,T$57),""),3,1)="隔",IF(T$58=0,LEFT(IFERROR(INDEX(醫師週班表!$C$5:$T$44,$CU43,T$57),""),1),""),IF(MID(IFERROR(INDEX(醫師週班表!$C$5:$T$44,$CU43,T$57),""),2,1)="(",LEFT(IFERROR(INDEX(醫師週班表!$C$5:$T$44,$CU43,T$57),""),1),IFERROR(INDEX(醫師週班表!$C$5:$T$44,$CU43,T$57),"")))))))</f>
        <v/>
      </c>
      <c r="U43" s="72">
        <f>IF(U$59="X","",IF(U$59&lt;&gt;"",U$59,IF(IFERROR(INDEX(醫師週班表!$C$5:$T$44,$CU43,U$57),"")=0,"",IF(MID(IFERROR(INDEX(醫師週班表!$C$5:$T$44,$CU43,U$57),""),2,1)="/",MID(IFERROR(INDEX(醫師週班表!$C$5:$T$44,$CU43,U$57),""),1+U$58*2,1),IF(MID(IFERROR(INDEX(醫師週班表!$C$5:$T$44,$CU43,U$57),""),3,1)="隔",IF(U$58=0,LEFT(IFERROR(INDEX(醫師週班表!$C$5:$T$44,$CU43,U$57),""),1),""),IF(MID(IFERROR(INDEX(醫師週班表!$C$5:$T$44,$CU43,U$57),""),2,1)="(",LEFT(IFERROR(INDEX(醫師週班表!$C$5:$T$44,$CU43,U$57),""),1),IFERROR(INDEX(醫師週班表!$C$5:$T$44,$CU43,U$57),"")))))))</f>
        <v/>
      </c>
      <c r="V43" s="72">
        <f>IF(V$59="X","",IF(V$59&lt;&gt;"",V$59,IF(IFERROR(INDEX(醫師週班表!$C$5:$T$44,$CU43,V$57),"")=0,"",IF(MID(IFERROR(INDEX(醫師週班表!$C$5:$T$44,$CU43,V$57),""),2,1)="/",MID(IFERROR(INDEX(醫師週班表!$C$5:$T$44,$CU43,V$57),""),1+V$58*2,1),IF(MID(IFERROR(INDEX(醫師週班表!$C$5:$T$44,$CU43,V$57),""),3,1)="隔",IF(V$58=0,LEFT(IFERROR(INDEX(醫師週班表!$C$5:$T$44,$CU43,V$57),""),1),""),IF(MID(IFERROR(INDEX(醫師週班表!$C$5:$T$44,$CU43,V$57),""),2,1)="(",LEFT(IFERROR(INDEX(醫師週班表!$C$5:$T$44,$CU43,V$57),""),1),IFERROR(INDEX(醫師週班表!$C$5:$T$44,$CU43,V$57),"")))))))</f>
        <v/>
      </c>
      <c r="W43" s="71">
        <f>IF(W$59="X","",IF(W$59&lt;&gt;"",W$59,IF(IFERROR(INDEX(醫師週班表!$C$5:$T$44,$CU43,W$57),"")=0,"",IF(MID(IFERROR(INDEX(醫師週班表!$C$5:$T$44,$CU43,W$57),""),2,1)="/",MID(IFERROR(INDEX(醫師週班表!$C$5:$T$44,$CU43,W$57),""),1+W$58*2,1),IF(MID(IFERROR(INDEX(醫師週班表!$C$5:$T$44,$CU43,W$57),""),3,1)="隔",IF(W$58=0,LEFT(IFERROR(INDEX(醫師週班表!$C$5:$T$44,$CU43,W$57),""),1),""),IF(MID(IFERROR(INDEX(醫師週班表!$C$5:$T$44,$CU43,W$57),""),2,1)="(",LEFT(IFERROR(INDEX(醫師週班表!$C$5:$T$44,$CU43,W$57),""),1),IFERROR(INDEX(醫師週班表!$C$5:$T$44,$CU43,W$57),"")))))))</f>
        <v/>
      </c>
      <c r="X43" s="72">
        <f>IF(X$59="X","",IF(X$59&lt;&gt;"",X$59,IF(IFERROR(INDEX(醫師週班表!$C$5:$T$44,$CU43,X$57),"")=0,"",IF(MID(IFERROR(INDEX(醫師週班表!$C$5:$T$44,$CU43,X$57),""),2,1)="/",MID(IFERROR(INDEX(醫師週班表!$C$5:$T$44,$CU43,X$57),""),1+X$58*2,1),IF(MID(IFERROR(INDEX(醫師週班表!$C$5:$T$44,$CU43,X$57),""),3,1)="隔",IF(X$58=0,LEFT(IFERROR(INDEX(醫師週班表!$C$5:$T$44,$CU43,X$57),""),1),""),IF(MID(IFERROR(INDEX(醫師週班表!$C$5:$T$44,$CU43,X$57),""),2,1)="(",LEFT(IFERROR(INDEX(醫師週班表!$C$5:$T$44,$CU43,X$57),""),1),IFERROR(INDEX(醫師週班表!$C$5:$T$44,$CU43,X$57),"")))))))</f>
        <v/>
      </c>
      <c r="Y43" s="72">
        <f>IF(Y$59="X","",IF(Y$59&lt;&gt;"",Y$59,IF(IFERROR(INDEX(醫師週班表!$C$5:$T$44,$CU43,Y$57),"")=0,"",IF(MID(IFERROR(INDEX(醫師週班表!$C$5:$T$44,$CU43,Y$57),""),2,1)="/",MID(IFERROR(INDEX(醫師週班表!$C$5:$T$44,$CU43,Y$57),""),1+Y$58*2,1),IF(MID(IFERROR(INDEX(醫師週班表!$C$5:$T$44,$CU43,Y$57),""),3,1)="隔",IF(Y$58=0,LEFT(IFERROR(INDEX(醫師週班表!$C$5:$T$44,$CU43,Y$57),""),1),""),IF(MID(IFERROR(INDEX(醫師週班表!$C$5:$T$44,$CU43,Y$57),""),2,1)="(",LEFT(IFERROR(INDEX(醫師週班表!$C$5:$T$44,$CU43,Y$57),""),1),IFERROR(INDEX(醫師週班表!$C$5:$T$44,$CU43,Y$57),"")))))))</f>
        <v/>
      </c>
      <c r="Z43" s="71">
        <f>IF(Z$59="X","",IF(Z$59&lt;&gt;"",Z$59,IF(IFERROR(INDEX(醫師週班表!$C$5:$T$44,$CU43,Z$57),"")=0,"",IF(MID(IFERROR(INDEX(醫師週班表!$C$5:$T$44,$CU43,Z$57),""),2,1)="/",MID(IFERROR(INDEX(醫師週班表!$C$5:$T$44,$CU43,Z$57),""),1+Z$58*2,1),IF(MID(IFERROR(INDEX(醫師週班表!$C$5:$T$44,$CU43,Z$57),""),3,1)="隔",IF(Z$58=0,LEFT(IFERROR(INDEX(醫師週班表!$C$5:$T$44,$CU43,Z$57),""),1),""),IF(MID(IFERROR(INDEX(醫師週班表!$C$5:$T$44,$CU43,Z$57),""),2,1)="(",LEFT(IFERROR(INDEX(醫師週班表!$C$5:$T$44,$CU43,Z$57),""),1),IFERROR(INDEX(醫師週班表!$C$5:$T$44,$CU43,Z$57),"")))))))</f>
        <v/>
      </c>
      <c r="AA43" s="72">
        <f>IF(AA$59="X","",IF(AA$59&lt;&gt;"",AA$59,IF(IFERROR(INDEX(醫師週班表!$C$5:$T$44,$CU43,AA$57),"")=0,"",IF(MID(IFERROR(INDEX(醫師週班表!$C$5:$T$44,$CU43,AA$57),""),2,1)="/",MID(IFERROR(INDEX(醫師週班表!$C$5:$T$44,$CU43,AA$57),""),1+AA$58*2,1),IF(MID(IFERROR(INDEX(醫師週班表!$C$5:$T$44,$CU43,AA$57),""),3,1)="隔",IF(AA$58=0,LEFT(IFERROR(INDEX(醫師週班表!$C$5:$T$44,$CU43,AA$57),""),1),""),IF(MID(IFERROR(INDEX(醫師週班表!$C$5:$T$44,$CU43,AA$57),""),2,1)="(",LEFT(IFERROR(INDEX(醫師週班表!$C$5:$T$44,$CU43,AA$57),""),1),IFERROR(INDEX(醫師週班表!$C$5:$T$44,$CU43,AA$57),"")))))))</f>
        <v/>
      </c>
      <c r="AB43" s="72">
        <f>IF(AB$59="X","",IF(AB$59&lt;&gt;"",AB$59,IF(IFERROR(INDEX(醫師週班表!$C$5:$T$44,$CU43,AB$57),"")=0,"",IF(MID(IFERROR(INDEX(醫師週班表!$C$5:$T$44,$CU43,AB$57),""),2,1)="/",MID(IFERROR(INDEX(醫師週班表!$C$5:$T$44,$CU43,AB$57),""),1+AB$58*2,1),IF(MID(IFERROR(INDEX(醫師週班表!$C$5:$T$44,$CU43,AB$57),""),3,1)="隔",IF(AB$58=0,LEFT(IFERROR(INDEX(醫師週班表!$C$5:$T$44,$CU43,AB$57),""),1),""),IF(MID(IFERROR(INDEX(醫師週班表!$C$5:$T$44,$CU43,AB$57),""),2,1)="(",LEFT(IFERROR(INDEX(醫師週班表!$C$5:$T$44,$CU43,AB$57),""),1),IFERROR(INDEX(醫師週班表!$C$5:$T$44,$CU43,AB$57),"")))))))</f>
        <v/>
      </c>
      <c r="AC43" s="71">
        <f>IF(AC$59="X","",IF(AC$59&lt;&gt;"",AC$59,IF(IFERROR(INDEX(醫師週班表!$C$5:$T$44,$CU43,AC$57),"")=0,"",IF(MID(IFERROR(INDEX(醫師週班表!$C$5:$T$44,$CU43,AC$57),""),2,1)="/",MID(IFERROR(INDEX(醫師週班表!$C$5:$T$44,$CU43,AC$57),""),1+AC$58*2,1),IF(MID(IFERROR(INDEX(醫師週班表!$C$5:$T$44,$CU43,AC$57),""),3,1)="隔",IF(AC$58=0,LEFT(IFERROR(INDEX(醫師週班表!$C$5:$T$44,$CU43,AC$57),""),1),""),IF(MID(IFERROR(INDEX(醫師週班表!$C$5:$T$44,$CU43,AC$57),""),2,1)="(",LEFT(IFERROR(INDEX(醫師週班表!$C$5:$T$44,$CU43,AC$57),""),1),IFERROR(INDEX(醫師週班表!$C$5:$T$44,$CU43,AC$57),"")))))))</f>
        <v/>
      </c>
      <c r="AD43" s="72">
        <f>IF(AD$59="X","",IF(AD$59&lt;&gt;"",AD$59,IF(IFERROR(INDEX(醫師週班表!$C$5:$T$44,$CU43,AD$57),"")=0,"",IF(MID(IFERROR(INDEX(醫師週班表!$C$5:$T$44,$CU43,AD$57),""),2,1)="/",MID(IFERROR(INDEX(醫師週班表!$C$5:$T$44,$CU43,AD$57),""),1+AD$58*2,1),IF(MID(IFERROR(INDEX(醫師週班表!$C$5:$T$44,$CU43,AD$57),""),3,1)="隔",IF(AD$58=0,LEFT(IFERROR(INDEX(醫師週班表!$C$5:$T$44,$CU43,AD$57),""),1),""),IF(MID(IFERROR(INDEX(醫師週班表!$C$5:$T$44,$CU43,AD$57),""),2,1)="(",LEFT(IFERROR(INDEX(醫師週班表!$C$5:$T$44,$CU43,AD$57),""),1),IFERROR(INDEX(醫師週班表!$C$5:$T$44,$CU43,AD$57),"")))))))</f>
        <v/>
      </c>
      <c r="AE43" s="72">
        <f>IF(AE$59="X","",IF(AE$59&lt;&gt;"",AE$59,IF(IFERROR(INDEX(醫師週班表!$C$5:$T$44,$CU43,AE$57),"")=0,"",IF(MID(IFERROR(INDEX(醫師週班表!$C$5:$T$44,$CU43,AE$57),""),2,1)="/",MID(IFERROR(INDEX(醫師週班表!$C$5:$T$44,$CU43,AE$57),""),1+AE$58*2,1),IF(MID(IFERROR(INDEX(醫師週班表!$C$5:$T$44,$CU43,AE$57),""),3,1)="隔",IF(AE$58=0,LEFT(IFERROR(INDEX(醫師週班表!$C$5:$T$44,$CU43,AE$57),""),1),""),IF(MID(IFERROR(INDEX(醫師週班表!$C$5:$T$44,$CU43,AE$57),""),2,1)="(",LEFT(IFERROR(INDEX(醫師週班表!$C$5:$T$44,$CU43,AE$57),""),1),IFERROR(INDEX(醫師週班表!$C$5:$T$44,$CU43,AE$57),"")))))))</f>
        <v/>
      </c>
      <c r="AF43" s="71">
        <f>IF(AF$59="X","",IF(AF$59&lt;&gt;"",AF$59,IF(IFERROR(INDEX(醫師週班表!$C$5:$T$44,$CU43,AF$57),"")=0,"",IF(MID(IFERROR(INDEX(醫師週班表!$C$5:$T$44,$CU43,AF$57),""),2,1)="/",MID(IFERROR(INDEX(醫師週班表!$C$5:$T$44,$CU43,AF$57),""),1+AF$58*2,1),IF(MID(IFERROR(INDEX(醫師週班表!$C$5:$T$44,$CU43,AF$57),""),3,1)="隔",IF(AF$58=0,LEFT(IFERROR(INDEX(醫師週班表!$C$5:$T$44,$CU43,AF$57),""),1),""),IF(MID(IFERROR(INDEX(醫師週班表!$C$5:$T$44,$CU43,AF$57),""),2,1)="(",LEFT(IFERROR(INDEX(醫師週班表!$C$5:$T$44,$CU43,AF$57),""),1),IFERROR(INDEX(醫師週班表!$C$5:$T$44,$CU43,AF$57),"")))))))</f>
        <v/>
      </c>
      <c r="AG43" s="72">
        <f>IF(AG$59="X","",IF(AG$59&lt;&gt;"",AG$59,IF(IFERROR(INDEX(醫師週班表!$C$5:$T$44,$CU43,AG$57),"")=0,"",IF(MID(IFERROR(INDEX(醫師週班表!$C$5:$T$44,$CU43,AG$57),""),2,1)="/",MID(IFERROR(INDEX(醫師週班表!$C$5:$T$44,$CU43,AG$57),""),1+AG$58*2,1),IF(MID(IFERROR(INDEX(醫師週班表!$C$5:$T$44,$CU43,AG$57),""),3,1)="隔",IF(AG$58=0,LEFT(IFERROR(INDEX(醫師週班表!$C$5:$T$44,$CU43,AG$57),""),1),""),IF(MID(IFERROR(INDEX(醫師週班表!$C$5:$T$44,$CU43,AG$57),""),2,1)="(",LEFT(IFERROR(INDEX(醫師週班表!$C$5:$T$44,$CU43,AG$57),""),1),IFERROR(INDEX(醫師週班表!$C$5:$T$44,$CU43,AG$57),"")))))))</f>
        <v/>
      </c>
      <c r="AH43" s="72">
        <f>IF(AH$59="X","",IF(AH$59&lt;&gt;"",AH$59,IF(IFERROR(INDEX(醫師週班表!$C$5:$T$44,$CU43,AH$57),"")=0,"",IF(MID(IFERROR(INDEX(醫師週班表!$C$5:$T$44,$CU43,AH$57),""),2,1)="/",MID(IFERROR(INDEX(醫師週班表!$C$5:$T$44,$CU43,AH$57),""),1+AH$58*2,1),IF(MID(IFERROR(INDEX(醫師週班表!$C$5:$T$44,$CU43,AH$57),""),3,1)="隔",IF(AH$58=0,LEFT(IFERROR(INDEX(醫師週班表!$C$5:$T$44,$CU43,AH$57),""),1),""),IF(MID(IFERROR(INDEX(醫師週班表!$C$5:$T$44,$CU43,AH$57),""),2,1)="(",LEFT(IFERROR(INDEX(醫師週班表!$C$5:$T$44,$CU43,AH$57),""),1),IFERROR(INDEX(醫師週班表!$C$5:$T$44,$CU43,AH$57),"")))))))</f>
        <v/>
      </c>
      <c r="AI43" s="71">
        <f>IF(AI$59="X","",IF(AI$59&lt;&gt;"",AI$59,IF(IFERROR(INDEX(醫師週班表!$C$5:$T$44,$CU43,AI$57),"")=0,"",IF(MID(IFERROR(INDEX(醫師週班表!$C$5:$T$44,$CU43,AI$57),""),2,1)="/",MID(IFERROR(INDEX(醫師週班表!$C$5:$T$44,$CU43,AI$57),""),1+AI$58*2,1),IF(MID(IFERROR(INDEX(醫師週班表!$C$5:$T$44,$CU43,AI$57),""),3,1)="隔",IF(AI$58=0,LEFT(IFERROR(INDEX(醫師週班表!$C$5:$T$44,$CU43,AI$57),""),1),""),IF(MID(IFERROR(INDEX(醫師週班表!$C$5:$T$44,$CU43,AI$57),""),2,1)="(",LEFT(IFERROR(INDEX(醫師週班表!$C$5:$T$44,$CU43,AI$57),""),1),IFERROR(INDEX(醫師週班表!$C$5:$T$44,$CU43,AI$57),"")))))))</f>
        <v/>
      </c>
      <c r="AJ43" s="72">
        <f>IF(AJ$59="X","",IF(AJ$59&lt;&gt;"",AJ$59,IF(IFERROR(INDEX(醫師週班表!$C$5:$T$44,$CU43,AJ$57),"")=0,"",IF(MID(IFERROR(INDEX(醫師週班表!$C$5:$T$44,$CU43,AJ$57),""),2,1)="/",MID(IFERROR(INDEX(醫師週班表!$C$5:$T$44,$CU43,AJ$57),""),1+AJ$58*2,1),IF(MID(IFERROR(INDEX(醫師週班表!$C$5:$T$44,$CU43,AJ$57),""),3,1)="隔",IF(AJ$58=0,LEFT(IFERROR(INDEX(醫師週班表!$C$5:$T$44,$CU43,AJ$57),""),1),""),IF(MID(IFERROR(INDEX(醫師週班表!$C$5:$T$44,$CU43,AJ$57),""),2,1)="(",LEFT(IFERROR(INDEX(醫師週班表!$C$5:$T$44,$CU43,AJ$57),""),1),IFERROR(INDEX(醫師週班表!$C$5:$T$44,$CU43,AJ$57),"")))))))</f>
        <v/>
      </c>
      <c r="AK43" s="72">
        <f>IF(AK$59="X","",IF(AK$59&lt;&gt;"",AK$59,IF(IFERROR(INDEX(醫師週班表!$C$5:$T$44,$CU43,AK$57),"")=0,"",IF(MID(IFERROR(INDEX(醫師週班表!$C$5:$T$44,$CU43,AK$57),""),2,1)="/",MID(IFERROR(INDEX(醫師週班表!$C$5:$T$44,$CU43,AK$57),""),1+AK$58*2,1),IF(MID(IFERROR(INDEX(醫師週班表!$C$5:$T$44,$CU43,AK$57),""),3,1)="隔",IF(AK$58=0,LEFT(IFERROR(INDEX(醫師週班表!$C$5:$T$44,$CU43,AK$57),""),1),""),IF(MID(IFERROR(INDEX(醫師週班表!$C$5:$T$44,$CU43,AK$57),""),2,1)="(",LEFT(IFERROR(INDEX(醫師週班表!$C$5:$T$44,$CU43,AK$57),""),1),IFERROR(INDEX(醫師週班表!$C$5:$T$44,$CU43,AK$57),"")))))))</f>
        <v/>
      </c>
      <c r="AL43" s="71">
        <f>IF(AL$59="X","",IF(AL$59&lt;&gt;"",AL$59,IF(IFERROR(INDEX(醫師週班表!$C$5:$T$44,$CU43,AL$57),"")=0,"",IF(MID(IFERROR(INDEX(醫師週班表!$C$5:$T$44,$CU43,AL$57),""),2,1)="/",MID(IFERROR(INDEX(醫師週班表!$C$5:$T$44,$CU43,AL$57),""),1+AL$58*2,1),IF(MID(IFERROR(INDEX(醫師週班表!$C$5:$T$44,$CU43,AL$57),""),3,1)="隔",IF(AL$58=0,LEFT(IFERROR(INDEX(醫師週班表!$C$5:$T$44,$CU43,AL$57),""),1),""),IF(MID(IFERROR(INDEX(醫師週班表!$C$5:$T$44,$CU43,AL$57),""),2,1)="(",LEFT(IFERROR(INDEX(醫師週班表!$C$5:$T$44,$CU43,AL$57),""),1),IFERROR(INDEX(醫師週班表!$C$5:$T$44,$CU43,AL$57),"")))))))</f>
        <v/>
      </c>
      <c r="AM43" s="72">
        <f>IF(AM$59="X","",IF(AM$59&lt;&gt;"",AM$59,IF(IFERROR(INDEX(醫師週班表!$C$5:$T$44,$CU43,AM$57),"")=0,"",IF(MID(IFERROR(INDEX(醫師週班表!$C$5:$T$44,$CU43,AM$57),""),2,1)="/",MID(IFERROR(INDEX(醫師週班表!$C$5:$T$44,$CU43,AM$57),""),1+AM$58*2,1),IF(MID(IFERROR(INDEX(醫師週班表!$C$5:$T$44,$CU43,AM$57),""),3,1)="隔",IF(AM$58=0,LEFT(IFERROR(INDEX(醫師週班表!$C$5:$T$44,$CU43,AM$57),""),1),""),IF(MID(IFERROR(INDEX(醫師週班表!$C$5:$T$44,$CU43,AM$57),""),2,1)="(",LEFT(IFERROR(INDEX(醫師週班表!$C$5:$T$44,$CU43,AM$57),""),1),IFERROR(INDEX(醫師週班表!$C$5:$T$44,$CU43,AM$57),"")))))))</f>
        <v/>
      </c>
      <c r="AN43" s="72">
        <f>IF(AN$59="X","",IF(AN$59&lt;&gt;"",AN$59,IF(IFERROR(INDEX(醫師週班表!$C$5:$T$44,$CU43,AN$57),"")=0,"",IF(MID(IFERROR(INDEX(醫師週班表!$C$5:$T$44,$CU43,AN$57),""),2,1)="/",MID(IFERROR(INDEX(醫師週班表!$C$5:$T$44,$CU43,AN$57),""),1+AN$58*2,1),IF(MID(IFERROR(INDEX(醫師週班表!$C$5:$T$44,$CU43,AN$57),""),3,1)="隔",IF(AN$58=0,LEFT(IFERROR(INDEX(醫師週班表!$C$5:$T$44,$CU43,AN$57),""),1),""),IF(MID(IFERROR(INDEX(醫師週班表!$C$5:$T$44,$CU43,AN$57),""),2,1)="(",LEFT(IFERROR(INDEX(醫師週班表!$C$5:$T$44,$CU43,AN$57),""),1),IFERROR(INDEX(醫師週班表!$C$5:$T$44,$CU43,AN$57),"")))))))</f>
        <v/>
      </c>
      <c r="AO43" s="71">
        <f>IF(AO$59="X","",IF(AO$59&lt;&gt;"",AO$59,IF(IFERROR(INDEX(醫師週班表!$C$5:$T$44,$CU43,AO$57),"")=0,"",IF(MID(IFERROR(INDEX(醫師週班表!$C$5:$T$44,$CU43,AO$57),""),2,1)="/",MID(IFERROR(INDEX(醫師週班表!$C$5:$T$44,$CU43,AO$57),""),1+AO$58*2,1),IF(MID(IFERROR(INDEX(醫師週班表!$C$5:$T$44,$CU43,AO$57),""),3,1)="隔",IF(AO$58=0,LEFT(IFERROR(INDEX(醫師週班表!$C$5:$T$44,$CU43,AO$57),""),1),""),IF(MID(IFERROR(INDEX(醫師週班表!$C$5:$T$44,$CU43,AO$57),""),2,1)="(",LEFT(IFERROR(INDEX(醫師週班表!$C$5:$T$44,$CU43,AO$57),""),1),IFERROR(INDEX(醫師週班表!$C$5:$T$44,$CU43,AO$57),"")))))))</f>
        <v/>
      </c>
      <c r="AP43" s="72">
        <f>IF(AP$59="X","",IF(AP$59&lt;&gt;"",AP$59,IF(IFERROR(INDEX(醫師週班表!$C$5:$T$44,$CU43,AP$57),"")=0,"",IF(MID(IFERROR(INDEX(醫師週班表!$C$5:$T$44,$CU43,AP$57),""),2,1)="/",MID(IFERROR(INDEX(醫師週班表!$C$5:$T$44,$CU43,AP$57),""),1+AP$58*2,1),IF(MID(IFERROR(INDEX(醫師週班表!$C$5:$T$44,$CU43,AP$57),""),3,1)="隔",IF(AP$58=0,LEFT(IFERROR(INDEX(醫師週班表!$C$5:$T$44,$CU43,AP$57),""),1),""),IF(MID(IFERROR(INDEX(醫師週班表!$C$5:$T$44,$CU43,AP$57),""),2,1)="(",LEFT(IFERROR(INDEX(醫師週班表!$C$5:$T$44,$CU43,AP$57),""),1),IFERROR(INDEX(醫師週班表!$C$5:$T$44,$CU43,AP$57),"")))))))</f>
        <v/>
      </c>
      <c r="AQ43" s="72">
        <f>IF(AQ$59="X","",IF(AQ$59&lt;&gt;"",AQ$59,IF(IFERROR(INDEX(醫師週班表!$C$5:$T$44,$CU43,AQ$57),"")=0,"",IF(MID(IFERROR(INDEX(醫師週班表!$C$5:$T$44,$CU43,AQ$57),""),2,1)="/",MID(IFERROR(INDEX(醫師週班表!$C$5:$T$44,$CU43,AQ$57),""),1+AQ$58*2,1),IF(MID(IFERROR(INDEX(醫師週班表!$C$5:$T$44,$CU43,AQ$57),""),3,1)="隔",IF(AQ$58=0,LEFT(IFERROR(INDEX(醫師週班表!$C$5:$T$44,$CU43,AQ$57),""),1),""),IF(MID(IFERROR(INDEX(醫師週班表!$C$5:$T$44,$CU43,AQ$57),""),2,1)="(",LEFT(IFERROR(INDEX(醫師週班表!$C$5:$T$44,$CU43,AQ$57),""),1),IFERROR(INDEX(醫師週班表!$C$5:$T$44,$CU43,AQ$57),"")))))))</f>
        <v/>
      </c>
      <c r="AR43" s="71">
        <f>IF(AR$59="X","",IF(AR$59&lt;&gt;"",AR$59,IF(IFERROR(INDEX(醫師週班表!$C$5:$T$44,$CU43,AR$57),"")=0,"",IF(MID(IFERROR(INDEX(醫師週班表!$C$5:$T$44,$CU43,AR$57),""),2,1)="/",MID(IFERROR(INDEX(醫師週班表!$C$5:$T$44,$CU43,AR$57),""),1+AR$58*2,1),IF(MID(IFERROR(INDEX(醫師週班表!$C$5:$T$44,$CU43,AR$57),""),3,1)="隔",IF(AR$58=0,LEFT(IFERROR(INDEX(醫師週班表!$C$5:$T$44,$CU43,AR$57),""),1),""),IF(MID(IFERROR(INDEX(醫師週班表!$C$5:$T$44,$CU43,AR$57),""),2,1)="(",LEFT(IFERROR(INDEX(醫師週班表!$C$5:$T$44,$CU43,AR$57),""),1),IFERROR(INDEX(醫師週班表!$C$5:$T$44,$CU43,AR$57),"")))))))</f>
        <v/>
      </c>
      <c r="AS43" s="72">
        <f>IF(AS$59="X","",IF(AS$59&lt;&gt;"",AS$59,IF(IFERROR(INDEX(醫師週班表!$C$5:$T$44,$CU43,AS$57),"")=0,"",IF(MID(IFERROR(INDEX(醫師週班表!$C$5:$T$44,$CU43,AS$57),""),2,1)="/",MID(IFERROR(INDEX(醫師週班表!$C$5:$T$44,$CU43,AS$57),""),1+AS$58*2,1),IF(MID(IFERROR(INDEX(醫師週班表!$C$5:$T$44,$CU43,AS$57),""),3,1)="隔",IF(AS$58=0,LEFT(IFERROR(INDEX(醫師週班表!$C$5:$T$44,$CU43,AS$57),""),1),""),IF(MID(IFERROR(INDEX(醫師週班表!$C$5:$T$44,$CU43,AS$57),""),2,1)="(",LEFT(IFERROR(INDEX(醫師週班表!$C$5:$T$44,$CU43,AS$57),""),1),IFERROR(INDEX(醫師週班表!$C$5:$T$44,$CU43,AS$57),"")))))))</f>
        <v/>
      </c>
      <c r="AT43" s="72">
        <f>IF(AT$59="X","",IF(AT$59&lt;&gt;"",AT$59,IF(IFERROR(INDEX(醫師週班表!$C$5:$T$44,$CU43,AT$57),"")=0,"",IF(MID(IFERROR(INDEX(醫師週班表!$C$5:$T$44,$CU43,AT$57),""),2,1)="/",MID(IFERROR(INDEX(醫師週班表!$C$5:$T$44,$CU43,AT$57),""),1+AT$58*2,1),IF(MID(IFERROR(INDEX(醫師週班表!$C$5:$T$44,$CU43,AT$57),""),3,1)="隔",IF(AT$58=0,LEFT(IFERROR(INDEX(醫師週班表!$C$5:$T$44,$CU43,AT$57),""),1),""),IF(MID(IFERROR(INDEX(醫師週班表!$C$5:$T$44,$CU43,AT$57),""),2,1)="(",LEFT(IFERROR(INDEX(醫師週班表!$C$5:$T$44,$CU43,AT$57),""),1),IFERROR(INDEX(醫師週班表!$C$5:$T$44,$CU43,AT$57),"")))))))</f>
        <v/>
      </c>
      <c r="AU43" s="71">
        <f>IF(AU$59="X","",IF(AU$59&lt;&gt;"",AU$59,IF(IFERROR(INDEX(醫師週班表!$C$5:$T$44,$CU43,AU$57),"")=0,"",IF(MID(IFERROR(INDEX(醫師週班表!$C$5:$T$44,$CU43,AU$57),""),2,1)="/",MID(IFERROR(INDEX(醫師週班表!$C$5:$T$44,$CU43,AU$57),""),1+AU$58*2,1),IF(MID(IFERROR(INDEX(醫師週班表!$C$5:$T$44,$CU43,AU$57),""),3,1)="隔",IF(AU$58=0,LEFT(IFERROR(INDEX(醫師週班表!$C$5:$T$44,$CU43,AU$57),""),1),""),IF(MID(IFERROR(INDEX(醫師週班表!$C$5:$T$44,$CU43,AU$57),""),2,1)="(",LEFT(IFERROR(INDEX(醫師週班表!$C$5:$T$44,$CU43,AU$57),""),1),IFERROR(INDEX(醫師週班表!$C$5:$T$44,$CU43,AU$57),"")))))))</f>
        <v/>
      </c>
      <c r="AV43" s="72">
        <f>IF(AV$59="X","",IF(AV$59&lt;&gt;"",AV$59,IF(IFERROR(INDEX(醫師週班表!$C$5:$T$44,$CU43,AV$57),"")=0,"",IF(MID(IFERROR(INDEX(醫師週班表!$C$5:$T$44,$CU43,AV$57),""),2,1)="/",MID(IFERROR(INDEX(醫師週班表!$C$5:$T$44,$CU43,AV$57),""),1+AV$58*2,1),IF(MID(IFERROR(INDEX(醫師週班表!$C$5:$T$44,$CU43,AV$57),""),3,1)="隔",IF(AV$58=0,LEFT(IFERROR(INDEX(醫師週班表!$C$5:$T$44,$CU43,AV$57),""),1),""),IF(MID(IFERROR(INDEX(醫師週班表!$C$5:$T$44,$CU43,AV$57),""),2,1)="(",LEFT(IFERROR(INDEX(醫師週班表!$C$5:$T$44,$CU43,AV$57),""),1),IFERROR(INDEX(醫師週班表!$C$5:$T$44,$CU43,AV$57),"")))))))</f>
        <v/>
      </c>
      <c r="AW43" s="72">
        <f>IF(AW$59="X","",IF(AW$59&lt;&gt;"",AW$59,IF(IFERROR(INDEX(醫師週班表!$C$5:$T$44,$CU43,AW$57),"")=0,"",IF(MID(IFERROR(INDEX(醫師週班表!$C$5:$T$44,$CU43,AW$57),""),2,1)="/",MID(IFERROR(INDEX(醫師週班表!$C$5:$T$44,$CU43,AW$57),""),1+AW$58*2,1),IF(MID(IFERROR(INDEX(醫師週班表!$C$5:$T$44,$CU43,AW$57),""),3,1)="隔",IF(AW$58=0,LEFT(IFERROR(INDEX(醫師週班表!$C$5:$T$44,$CU43,AW$57),""),1),""),IF(MID(IFERROR(INDEX(醫師週班表!$C$5:$T$44,$CU43,AW$57),""),2,1)="(",LEFT(IFERROR(INDEX(醫師週班表!$C$5:$T$44,$CU43,AW$57),""),1),IFERROR(INDEX(醫師週班表!$C$5:$T$44,$CU43,AW$57),"")))))))</f>
        <v/>
      </c>
      <c r="AX43" s="71">
        <f>IF(AX$59="X","",IF(AX$59&lt;&gt;"",AX$59,IF(IFERROR(INDEX(醫師週班表!$C$5:$T$44,$CU43,AX$57),"")=0,"",IF(MID(IFERROR(INDEX(醫師週班表!$C$5:$T$44,$CU43,AX$57),""),2,1)="/",MID(IFERROR(INDEX(醫師週班表!$C$5:$T$44,$CU43,AX$57),""),1+AX$58*2,1),IF(MID(IFERROR(INDEX(醫師週班表!$C$5:$T$44,$CU43,AX$57),""),3,1)="隔",IF(AX$58=0,LEFT(IFERROR(INDEX(醫師週班表!$C$5:$T$44,$CU43,AX$57),""),1),""),IF(MID(IFERROR(INDEX(醫師週班表!$C$5:$T$44,$CU43,AX$57),""),2,1)="(",LEFT(IFERROR(INDEX(醫師週班表!$C$5:$T$44,$CU43,AX$57),""),1),IFERROR(INDEX(醫師週班表!$C$5:$T$44,$CU43,AX$57),"")))))))</f>
        <v/>
      </c>
      <c r="AY43" s="72">
        <f>IF(AY$59="X","",IF(AY$59&lt;&gt;"",AY$59,IF(IFERROR(INDEX(醫師週班表!$C$5:$T$44,$CU43,AY$57),"")=0,"",IF(MID(IFERROR(INDEX(醫師週班表!$C$5:$T$44,$CU43,AY$57),""),2,1)="/",MID(IFERROR(INDEX(醫師週班表!$C$5:$T$44,$CU43,AY$57),""),1+AY$58*2,1),IF(MID(IFERROR(INDEX(醫師週班表!$C$5:$T$44,$CU43,AY$57),""),3,1)="隔",IF(AY$58=0,LEFT(IFERROR(INDEX(醫師週班表!$C$5:$T$44,$CU43,AY$57),""),1),""),IF(MID(IFERROR(INDEX(醫師週班表!$C$5:$T$44,$CU43,AY$57),""),2,1)="(",LEFT(IFERROR(INDEX(醫師週班表!$C$5:$T$44,$CU43,AY$57),""),1),IFERROR(INDEX(醫師週班表!$C$5:$T$44,$CU43,AY$57),"")))))))</f>
        <v/>
      </c>
      <c r="AZ43" s="72">
        <f>IF(AZ$59="X","",IF(AZ$59&lt;&gt;"",AZ$59,IF(IFERROR(INDEX(醫師週班表!$C$5:$T$44,$CU43,AZ$57),"")=0,"",IF(MID(IFERROR(INDEX(醫師週班表!$C$5:$T$44,$CU43,AZ$57),""),2,1)="/",MID(IFERROR(INDEX(醫師週班表!$C$5:$T$44,$CU43,AZ$57),""),1+AZ$58*2,1),IF(MID(IFERROR(INDEX(醫師週班表!$C$5:$T$44,$CU43,AZ$57),""),3,1)="隔",IF(AZ$58=0,LEFT(IFERROR(INDEX(醫師週班表!$C$5:$T$44,$CU43,AZ$57),""),1),""),IF(MID(IFERROR(INDEX(醫師週班表!$C$5:$T$44,$CU43,AZ$57),""),2,1)="(",LEFT(IFERROR(INDEX(醫師週班表!$C$5:$T$44,$CU43,AZ$57),""),1),IFERROR(INDEX(醫師週班表!$C$5:$T$44,$CU43,AZ$57),"")))))))</f>
        <v/>
      </c>
      <c r="BA43" s="71">
        <f>IF(BA$59="X","",IF(BA$59&lt;&gt;"",BA$59,IF(IFERROR(INDEX(醫師週班表!$C$5:$T$44,$CU43,BA$57),"")=0,"",IF(MID(IFERROR(INDEX(醫師週班表!$C$5:$T$44,$CU43,BA$57),""),2,1)="/",MID(IFERROR(INDEX(醫師週班表!$C$5:$T$44,$CU43,BA$57),""),1+BA$58*2,1),IF(MID(IFERROR(INDEX(醫師週班表!$C$5:$T$44,$CU43,BA$57),""),3,1)="隔",IF(BA$58=0,LEFT(IFERROR(INDEX(醫師週班表!$C$5:$T$44,$CU43,BA$57),""),1),""),IF(MID(IFERROR(INDEX(醫師週班表!$C$5:$T$44,$CU43,BA$57),""),2,1)="(",LEFT(IFERROR(INDEX(醫師週班表!$C$5:$T$44,$CU43,BA$57),""),1),IFERROR(INDEX(醫師週班表!$C$5:$T$44,$CU43,BA$57),"")))))))</f>
        <v/>
      </c>
      <c r="BB43" s="72">
        <f>IF(BB$59="X","",IF(BB$59&lt;&gt;"",BB$59,IF(IFERROR(INDEX(醫師週班表!$C$5:$T$44,$CU43,BB$57),"")=0,"",IF(MID(IFERROR(INDEX(醫師週班表!$C$5:$T$44,$CU43,BB$57),""),2,1)="/",MID(IFERROR(INDEX(醫師週班表!$C$5:$T$44,$CU43,BB$57),""),1+BB$58*2,1),IF(MID(IFERROR(INDEX(醫師週班表!$C$5:$T$44,$CU43,BB$57),""),3,1)="隔",IF(BB$58=0,LEFT(IFERROR(INDEX(醫師週班表!$C$5:$T$44,$CU43,BB$57),""),1),""),IF(MID(IFERROR(INDEX(醫師週班表!$C$5:$T$44,$CU43,BB$57),""),2,1)="(",LEFT(IFERROR(INDEX(醫師週班表!$C$5:$T$44,$CU43,BB$57),""),1),IFERROR(INDEX(醫師週班表!$C$5:$T$44,$CU43,BB$57),"")))))))</f>
        <v/>
      </c>
      <c r="BC43" s="72">
        <f>IF(BC$59="X","",IF(BC$59&lt;&gt;"",BC$59,IF(IFERROR(INDEX(醫師週班表!$C$5:$T$44,$CU43,BC$57),"")=0,"",IF(MID(IFERROR(INDEX(醫師週班表!$C$5:$T$44,$CU43,BC$57),""),2,1)="/",MID(IFERROR(INDEX(醫師週班表!$C$5:$T$44,$CU43,BC$57),""),1+BC$58*2,1),IF(MID(IFERROR(INDEX(醫師週班表!$C$5:$T$44,$CU43,BC$57),""),3,1)="隔",IF(BC$58=0,LEFT(IFERROR(INDEX(醫師週班表!$C$5:$T$44,$CU43,BC$57),""),1),""),IF(MID(IFERROR(INDEX(醫師週班表!$C$5:$T$44,$CU43,BC$57),""),2,1)="(",LEFT(IFERROR(INDEX(醫師週班表!$C$5:$T$44,$CU43,BC$57),""),1),IFERROR(INDEX(醫師週班表!$C$5:$T$44,$CU43,BC$57),"")))))))</f>
        <v/>
      </c>
      <c r="BD43" s="71">
        <f>IF(BD$59="X","",IF(BD$59&lt;&gt;"",BD$59,IF(IFERROR(INDEX(醫師週班表!$C$5:$T$44,$CU43,BD$57),"")=0,"",IF(MID(IFERROR(INDEX(醫師週班表!$C$5:$T$44,$CU43,BD$57),""),2,1)="/",MID(IFERROR(INDEX(醫師週班表!$C$5:$T$44,$CU43,BD$57),""),1+BD$58*2,1),IF(MID(IFERROR(INDEX(醫師週班表!$C$5:$T$44,$CU43,BD$57),""),3,1)="隔",IF(BD$58=0,LEFT(IFERROR(INDEX(醫師週班表!$C$5:$T$44,$CU43,BD$57),""),1),""),IF(MID(IFERROR(INDEX(醫師週班表!$C$5:$T$44,$CU43,BD$57),""),2,1)="(",LEFT(IFERROR(INDEX(醫師週班表!$C$5:$T$44,$CU43,BD$57),""),1),IFERROR(INDEX(醫師週班表!$C$5:$T$44,$CU43,BD$57),"")))))))</f>
        <v/>
      </c>
      <c r="BE43" s="72">
        <f>IF(BE$59="X","",IF(BE$59&lt;&gt;"",BE$59,IF(IFERROR(INDEX(醫師週班表!$C$5:$T$44,$CU43,BE$57),"")=0,"",IF(MID(IFERROR(INDEX(醫師週班表!$C$5:$T$44,$CU43,BE$57),""),2,1)="/",MID(IFERROR(INDEX(醫師週班表!$C$5:$T$44,$CU43,BE$57),""),1+BE$58*2,1),IF(MID(IFERROR(INDEX(醫師週班表!$C$5:$T$44,$CU43,BE$57),""),3,1)="隔",IF(BE$58=0,LEFT(IFERROR(INDEX(醫師週班表!$C$5:$T$44,$CU43,BE$57),""),1),""),IF(MID(IFERROR(INDEX(醫師週班表!$C$5:$T$44,$CU43,BE$57),""),2,1)="(",LEFT(IFERROR(INDEX(醫師週班表!$C$5:$T$44,$CU43,BE$57),""),1),IFERROR(INDEX(醫師週班表!$C$5:$T$44,$CU43,BE$57),"")))))))</f>
        <v/>
      </c>
      <c r="BF43" s="72">
        <f>IF(BF$59="X","",IF(BF$59&lt;&gt;"",BF$59,IF(IFERROR(INDEX(醫師週班表!$C$5:$T$44,$CU43,BF$57),"")=0,"",IF(MID(IFERROR(INDEX(醫師週班表!$C$5:$T$44,$CU43,BF$57),""),2,1)="/",MID(IFERROR(INDEX(醫師週班表!$C$5:$T$44,$CU43,BF$57),""),1+BF$58*2,1),IF(MID(IFERROR(INDEX(醫師週班表!$C$5:$T$44,$CU43,BF$57),""),3,1)="隔",IF(BF$58=0,LEFT(IFERROR(INDEX(醫師週班表!$C$5:$T$44,$CU43,BF$57),""),1),""),IF(MID(IFERROR(INDEX(醫師週班表!$C$5:$T$44,$CU43,BF$57),""),2,1)="(",LEFT(IFERROR(INDEX(醫師週班表!$C$5:$T$44,$CU43,BF$57),""),1),IFERROR(INDEX(醫師週班表!$C$5:$T$44,$CU43,BF$57),"")))))))</f>
        <v/>
      </c>
      <c r="BG43" s="71">
        <f>IF(BG$59="X","",IF(BG$59&lt;&gt;"",BG$59,IF(IFERROR(INDEX(醫師週班表!$C$5:$T$44,$CU43,BG$57),"")=0,"",IF(MID(IFERROR(INDEX(醫師週班表!$C$5:$T$44,$CU43,BG$57),""),2,1)="/",MID(IFERROR(INDEX(醫師週班表!$C$5:$T$44,$CU43,BG$57),""),1+BG$58*2,1),IF(MID(IFERROR(INDEX(醫師週班表!$C$5:$T$44,$CU43,BG$57),""),3,1)="隔",IF(BG$58=0,LEFT(IFERROR(INDEX(醫師週班表!$C$5:$T$44,$CU43,BG$57),""),1),""),IF(MID(IFERROR(INDEX(醫師週班表!$C$5:$T$44,$CU43,BG$57),""),2,1)="(",LEFT(IFERROR(INDEX(醫師週班表!$C$5:$T$44,$CU43,BG$57),""),1),IFERROR(INDEX(醫師週班表!$C$5:$T$44,$CU43,BG$57),"")))))))</f>
        <v/>
      </c>
      <c r="BH43" s="72">
        <f>IF(BH$59="X","",IF(BH$59&lt;&gt;"",BH$59,IF(IFERROR(INDEX(醫師週班表!$C$5:$T$44,$CU43,BH$57),"")=0,"",IF(MID(IFERROR(INDEX(醫師週班表!$C$5:$T$44,$CU43,BH$57),""),2,1)="/",MID(IFERROR(INDEX(醫師週班表!$C$5:$T$44,$CU43,BH$57),""),1+BH$58*2,1),IF(MID(IFERROR(INDEX(醫師週班表!$C$5:$T$44,$CU43,BH$57),""),3,1)="隔",IF(BH$58=0,LEFT(IFERROR(INDEX(醫師週班表!$C$5:$T$44,$CU43,BH$57),""),1),""),IF(MID(IFERROR(INDEX(醫師週班表!$C$5:$T$44,$CU43,BH$57),""),2,1)="(",LEFT(IFERROR(INDEX(醫師週班表!$C$5:$T$44,$CU43,BH$57),""),1),IFERROR(INDEX(醫師週班表!$C$5:$T$44,$CU43,BH$57),"")))))))</f>
        <v/>
      </c>
      <c r="BI43" s="72">
        <f>IF(BI$59="X","",IF(BI$59&lt;&gt;"",BI$59,IF(IFERROR(INDEX(醫師週班表!$C$5:$T$44,$CU43,BI$57),"")=0,"",IF(MID(IFERROR(INDEX(醫師週班表!$C$5:$T$44,$CU43,BI$57),""),2,1)="/",MID(IFERROR(INDEX(醫師週班表!$C$5:$T$44,$CU43,BI$57),""),1+BI$58*2,1),IF(MID(IFERROR(INDEX(醫師週班表!$C$5:$T$44,$CU43,BI$57),""),3,1)="隔",IF(BI$58=0,LEFT(IFERROR(INDEX(醫師週班表!$C$5:$T$44,$CU43,BI$57),""),1),""),IF(MID(IFERROR(INDEX(醫師週班表!$C$5:$T$44,$CU43,BI$57),""),2,1)="(",LEFT(IFERROR(INDEX(醫師週班表!$C$5:$T$44,$CU43,BI$57),""),1),IFERROR(INDEX(醫師週班表!$C$5:$T$44,$CU43,BI$57),"")))))))</f>
        <v/>
      </c>
      <c r="BJ43" s="71">
        <f>IF(BJ$59="X","",IF(BJ$59&lt;&gt;"",BJ$59,IF(IFERROR(INDEX(醫師週班表!$C$5:$T$44,$CU43,BJ$57),"")=0,"",IF(MID(IFERROR(INDEX(醫師週班表!$C$5:$T$44,$CU43,BJ$57),""),2,1)="/",MID(IFERROR(INDEX(醫師週班表!$C$5:$T$44,$CU43,BJ$57),""),1+BJ$58*2,1),IF(MID(IFERROR(INDEX(醫師週班表!$C$5:$T$44,$CU43,BJ$57),""),3,1)="隔",IF(BJ$58=0,LEFT(IFERROR(INDEX(醫師週班表!$C$5:$T$44,$CU43,BJ$57),""),1),""),IF(MID(IFERROR(INDEX(醫師週班表!$C$5:$T$44,$CU43,BJ$57),""),2,1)="(",LEFT(IFERROR(INDEX(醫師週班表!$C$5:$T$44,$CU43,BJ$57),""),1),IFERROR(INDEX(醫師週班表!$C$5:$T$44,$CU43,BJ$57),"")))))))</f>
        <v/>
      </c>
      <c r="BK43" s="72">
        <f>IF(BK$59="X","",IF(BK$59&lt;&gt;"",BK$59,IF(IFERROR(INDEX(醫師週班表!$C$5:$T$44,$CU43,BK$57),"")=0,"",IF(MID(IFERROR(INDEX(醫師週班表!$C$5:$T$44,$CU43,BK$57),""),2,1)="/",MID(IFERROR(INDEX(醫師週班表!$C$5:$T$44,$CU43,BK$57),""),1+BK$58*2,1),IF(MID(IFERROR(INDEX(醫師週班表!$C$5:$T$44,$CU43,BK$57),""),3,1)="隔",IF(BK$58=0,LEFT(IFERROR(INDEX(醫師週班表!$C$5:$T$44,$CU43,BK$57),""),1),""),IF(MID(IFERROR(INDEX(醫師週班表!$C$5:$T$44,$CU43,BK$57),""),2,1)="(",LEFT(IFERROR(INDEX(醫師週班表!$C$5:$T$44,$CU43,BK$57),""),1),IFERROR(INDEX(醫師週班表!$C$5:$T$44,$CU43,BK$57),"")))))))</f>
        <v/>
      </c>
      <c r="BL43" s="72">
        <f>IF(BL$59="X","",IF(BL$59&lt;&gt;"",BL$59,IF(IFERROR(INDEX(醫師週班表!$C$5:$T$44,$CU43,BL$57),"")=0,"",IF(MID(IFERROR(INDEX(醫師週班表!$C$5:$T$44,$CU43,BL$57),""),2,1)="/",MID(IFERROR(INDEX(醫師週班表!$C$5:$T$44,$CU43,BL$57),""),1+BL$58*2,1),IF(MID(IFERROR(INDEX(醫師週班表!$C$5:$T$44,$CU43,BL$57),""),3,1)="隔",IF(BL$58=0,LEFT(IFERROR(INDEX(醫師週班表!$C$5:$T$44,$CU43,BL$57),""),1),""),IF(MID(IFERROR(INDEX(醫師週班表!$C$5:$T$44,$CU43,BL$57),""),2,1)="(",LEFT(IFERROR(INDEX(醫師週班表!$C$5:$T$44,$CU43,BL$57),""),1),IFERROR(INDEX(醫師週班表!$C$5:$T$44,$CU43,BL$57),"")))))))</f>
        <v/>
      </c>
      <c r="BM43" s="71">
        <f>IF(BM$59="X","",IF(BM$59&lt;&gt;"",BM$59,IF(IFERROR(INDEX(醫師週班表!$C$5:$T$44,$CU43,BM$57),"")=0,"",IF(MID(IFERROR(INDEX(醫師週班表!$C$5:$T$44,$CU43,BM$57),""),2,1)="/",MID(IFERROR(INDEX(醫師週班表!$C$5:$T$44,$CU43,BM$57),""),1+BM$58*2,1),IF(MID(IFERROR(INDEX(醫師週班表!$C$5:$T$44,$CU43,BM$57),""),3,1)="隔",IF(BM$58=0,LEFT(IFERROR(INDEX(醫師週班表!$C$5:$T$44,$CU43,BM$57),""),1),""),IF(MID(IFERROR(INDEX(醫師週班表!$C$5:$T$44,$CU43,BM$57),""),2,1)="(",LEFT(IFERROR(INDEX(醫師週班表!$C$5:$T$44,$CU43,BM$57),""),1),IFERROR(INDEX(醫師週班表!$C$5:$T$44,$CU43,BM$57),"")))))))</f>
        <v/>
      </c>
      <c r="BN43" s="72">
        <f>IF(BN$59="X","",IF(BN$59&lt;&gt;"",BN$59,IF(IFERROR(INDEX(醫師週班表!$C$5:$T$44,$CU43,BN$57),"")=0,"",IF(MID(IFERROR(INDEX(醫師週班表!$C$5:$T$44,$CU43,BN$57),""),2,1)="/",MID(IFERROR(INDEX(醫師週班表!$C$5:$T$44,$CU43,BN$57),""),1+BN$58*2,1),IF(MID(IFERROR(INDEX(醫師週班表!$C$5:$T$44,$CU43,BN$57),""),3,1)="隔",IF(BN$58=0,LEFT(IFERROR(INDEX(醫師週班表!$C$5:$T$44,$CU43,BN$57),""),1),""),IF(MID(IFERROR(INDEX(醫師週班表!$C$5:$T$44,$CU43,BN$57),""),2,1)="(",LEFT(IFERROR(INDEX(醫師週班表!$C$5:$T$44,$CU43,BN$57),""),1),IFERROR(INDEX(醫師週班表!$C$5:$T$44,$CU43,BN$57),"")))))))</f>
        <v/>
      </c>
      <c r="BO43" s="72">
        <f>IF(BO$59="X","",IF(BO$59&lt;&gt;"",BO$59,IF(IFERROR(INDEX(醫師週班表!$C$5:$T$44,$CU43,BO$57),"")=0,"",IF(MID(IFERROR(INDEX(醫師週班表!$C$5:$T$44,$CU43,BO$57),""),2,1)="/",MID(IFERROR(INDEX(醫師週班表!$C$5:$T$44,$CU43,BO$57),""),1+BO$58*2,1),IF(MID(IFERROR(INDEX(醫師週班表!$C$5:$T$44,$CU43,BO$57),""),3,1)="隔",IF(BO$58=0,LEFT(IFERROR(INDEX(醫師週班表!$C$5:$T$44,$CU43,BO$57),""),1),""),IF(MID(IFERROR(INDEX(醫師週班表!$C$5:$T$44,$CU43,BO$57),""),2,1)="(",LEFT(IFERROR(INDEX(醫師週班表!$C$5:$T$44,$CU43,BO$57),""),1),IFERROR(INDEX(醫師週班表!$C$5:$T$44,$CU43,BO$57),"")))))))</f>
        <v/>
      </c>
      <c r="BP43" s="71">
        <f>IF(BP$59="X","",IF(BP$59&lt;&gt;"",BP$59,IF(IFERROR(INDEX(醫師週班表!$C$5:$T$44,$CU43,BP$57),"")=0,"",IF(MID(IFERROR(INDEX(醫師週班表!$C$5:$T$44,$CU43,BP$57),""),2,1)="/",MID(IFERROR(INDEX(醫師週班表!$C$5:$T$44,$CU43,BP$57),""),1+BP$58*2,1),IF(MID(IFERROR(INDEX(醫師週班表!$C$5:$T$44,$CU43,BP$57),""),3,1)="隔",IF(BP$58=0,LEFT(IFERROR(INDEX(醫師週班表!$C$5:$T$44,$CU43,BP$57),""),1),""),IF(MID(IFERROR(INDEX(醫師週班表!$C$5:$T$44,$CU43,BP$57),""),2,1)="(",LEFT(IFERROR(INDEX(醫師週班表!$C$5:$T$44,$CU43,BP$57),""),1),IFERROR(INDEX(醫師週班表!$C$5:$T$44,$CU43,BP$57),"")))))))</f>
        <v/>
      </c>
      <c r="BQ43" s="72">
        <f>IF(BQ$59="X","",IF(BQ$59&lt;&gt;"",BQ$59,IF(IFERROR(INDEX(醫師週班表!$C$5:$T$44,$CU43,BQ$57),"")=0,"",IF(MID(IFERROR(INDEX(醫師週班表!$C$5:$T$44,$CU43,BQ$57),""),2,1)="/",MID(IFERROR(INDEX(醫師週班表!$C$5:$T$44,$CU43,BQ$57),""),1+BQ$58*2,1),IF(MID(IFERROR(INDEX(醫師週班表!$C$5:$T$44,$CU43,BQ$57),""),3,1)="隔",IF(BQ$58=0,LEFT(IFERROR(INDEX(醫師週班表!$C$5:$T$44,$CU43,BQ$57),""),1),""),IF(MID(IFERROR(INDEX(醫師週班表!$C$5:$T$44,$CU43,BQ$57),""),2,1)="(",LEFT(IFERROR(INDEX(醫師週班表!$C$5:$T$44,$CU43,BQ$57),""),1),IFERROR(INDEX(醫師週班表!$C$5:$T$44,$CU43,BQ$57),"")))))))</f>
        <v/>
      </c>
      <c r="BR43" s="72">
        <f>IF(BR$59="X","",IF(BR$59&lt;&gt;"",BR$59,IF(IFERROR(INDEX(醫師週班表!$C$5:$T$44,$CU43,BR$57),"")=0,"",IF(MID(IFERROR(INDEX(醫師週班表!$C$5:$T$44,$CU43,BR$57),""),2,1)="/",MID(IFERROR(INDEX(醫師週班表!$C$5:$T$44,$CU43,BR$57),""),1+BR$58*2,1),IF(MID(IFERROR(INDEX(醫師週班表!$C$5:$T$44,$CU43,BR$57),""),3,1)="隔",IF(BR$58=0,LEFT(IFERROR(INDEX(醫師週班表!$C$5:$T$44,$CU43,BR$57),""),1),""),IF(MID(IFERROR(INDEX(醫師週班表!$C$5:$T$44,$CU43,BR$57),""),2,1)="(",LEFT(IFERROR(INDEX(醫師週班表!$C$5:$T$44,$CU43,BR$57),""),1),IFERROR(INDEX(醫師週班表!$C$5:$T$44,$CU43,BR$57),"")))))))</f>
        <v/>
      </c>
      <c r="BS43" s="71">
        <f>IF(BS$59="X","",IF(BS$59&lt;&gt;"",BS$59,IF(IFERROR(INDEX(醫師週班表!$C$5:$T$44,$CU43,BS$57),"")=0,"",IF(MID(IFERROR(INDEX(醫師週班表!$C$5:$T$44,$CU43,BS$57),""),2,1)="/",MID(IFERROR(INDEX(醫師週班表!$C$5:$T$44,$CU43,BS$57),""),1+BS$58*2,1),IF(MID(IFERROR(INDEX(醫師週班表!$C$5:$T$44,$CU43,BS$57),""),3,1)="隔",IF(BS$58=0,LEFT(IFERROR(INDEX(醫師週班表!$C$5:$T$44,$CU43,BS$57),""),1),""),IF(MID(IFERROR(INDEX(醫師週班表!$C$5:$T$44,$CU43,BS$57),""),2,1)="(",LEFT(IFERROR(INDEX(醫師週班表!$C$5:$T$44,$CU43,BS$57),""),1),IFERROR(INDEX(醫師週班表!$C$5:$T$44,$CU43,BS$57),"")))))))</f>
        <v/>
      </c>
      <c r="BT43" s="72">
        <f>IF(BT$59="X","",IF(BT$59&lt;&gt;"",BT$59,IF(IFERROR(INDEX(醫師週班表!$C$5:$T$44,$CU43,BT$57),"")=0,"",IF(MID(IFERROR(INDEX(醫師週班表!$C$5:$T$44,$CU43,BT$57),""),2,1)="/",MID(IFERROR(INDEX(醫師週班表!$C$5:$T$44,$CU43,BT$57),""),1+BT$58*2,1),IF(MID(IFERROR(INDEX(醫師週班表!$C$5:$T$44,$CU43,BT$57),""),3,1)="隔",IF(BT$58=0,LEFT(IFERROR(INDEX(醫師週班表!$C$5:$T$44,$CU43,BT$57),""),1),""),IF(MID(IFERROR(INDEX(醫師週班表!$C$5:$T$44,$CU43,BT$57),""),2,1)="(",LEFT(IFERROR(INDEX(醫師週班表!$C$5:$T$44,$CU43,BT$57),""),1),IFERROR(INDEX(醫師週班表!$C$5:$T$44,$CU43,BT$57),"")))))))</f>
        <v/>
      </c>
      <c r="BU43" s="72">
        <f>IF(BU$59="X","",IF(BU$59&lt;&gt;"",BU$59,IF(IFERROR(INDEX(醫師週班表!$C$5:$T$44,$CU43,BU$57),"")=0,"",IF(MID(IFERROR(INDEX(醫師週班表!$C$5:$T$44,$CU43,BU$57),""),2,1)="/",MID(IFERROR(INDEX(醫師週班表!$C$5:$T$44,$CU43,BU$57),""),1+BU$58*2,1),IF(MID(IFERROR(INDEX(醫師週班表!$C$5:$T$44,$CU43,BU$57),""),3,1)="隔",IF(BU$58=0,LEFT(IFERROR(INDEX(醫師週班表!$C$5:$T$44,$CU43,BU$57),""),1),""),IF(MID(IFERROR(INDEX(醫師週班表!$C$5:$T$44,$CU43,BU$57),""),2,1)="(",LEFT(IFERROR(INDEX(醫師週班表!$C$5:$T$44,$CU43,BU$57),""),1),IFERROR(INDEX(醫師週班表!$C$5:$T$44,$CU43,BU$57),"")))))))</f>
        <v/>
      </c>
      <c r="BV43" s="71">
        <f>IF(BV$59="X","",IF(BV$59&lt;&gt;"",BV$59,IF(IFERROR(INDEX(醫師週班表!$C$5:$T$44,$CU43,BV$57),"")=0,"",IF(MID(IFERROR(INDEX(醫師週班表!$C$5:$T$44,$CU43,BV$57),""),2,1)="/",MID(IFERROR(INDEX(醫師週班表!$C$5:$T$44,$CU43,BV$57),""),1+BV$58*2,1),IF(MID(IFERROR(INDEX(醫師週班表!$C$5:$T$44,$CU43,BV$57),""),3,1)="隔",IF(BV$58=0,LEFT(IFERROR(INDEX(醫師週班表!$C$5:$T$44,$CU43,BV$57),""),1),""),IF(MID(IFERROR(INDEX(醫師週班表!$C$5:$T$44,$CU43,BV$57),""),2,1)="(",LEFT(IFERROR(INDEX(醫師週班表!$C$5:$T$44,$CU43,BV$57),""),1),IFERROR(INDEX(醫師週班表!$C$5:$T$44,$CU43,BV$57),"")))))))</f>
        <v/>
      </c>
      <c r="BW43" s="72">
        <f>IF(BW$59="X","",IF(BW$59&lt;&gt;"",BW$59,IF(IFERROR(INDEX(醫師週班表!$C$5:$T$44,$CU43,BW$57),"")=0,"",IF(MID(IFERROR(INDEX(醫師週班表!$C$5:$T$44,$CU43,BW$57),""),2,1)="/",MID(IFERROR(INDEX(醫師週班表!$C$5:$T$44,$CU43,BW$57),""),1+BW$58*2,1),IF(MID(IFERROR(INDEX(醫師週班表!$C$5:$T$44,$CU43,BW$57),""),3,1)="隔",IF(BW$58=0,LEFT(IFERROR(INDEX(醫師週班表!$C$5:$T$44,$CU43,BW$57),""),1),""),IF(MID(IFERROR(INDEX(醫師週班表!$C$5:$T$44,$CU43,BW$57),""),2,1)="(",LEFT(IFERROR(INDEX(醫師週班表!$C$5:$T$44,$CU43,BW$57),""),1),IFERROR(INDEX(醫師週班表!$C$5:$T$44,$CU43,BW$57),"")))))))</f>
        <v/>
      </c>
      <c r="BX43" s="72">
        <f>IF(BX$59="X","",IF(BX$59&lt;&gt;"",BX$59,IF(IFERROR(INDEX(醫師週班表!$C$5:$T$44,$CU43,BX$57),"")=0,"",IF(MID(IFERROR(INDEX(醫師週班表!$C$5:$T$44,$CU43,BX$57),""),2,1)="/",MID(IFERROR(INDEX(醫師週班表!$C$5:$T$44,$CU43,BX$57),""),1+BX$58*2,1),IF(MID(IFERROR(INDEX(醫師週班表!$C$5:$T$44,$CU43,BX$57),""),3,1)="隔",IF(BX$58=0,LEFT(IFERROR(INDEX(醫師週班表!$C$5:$T$44,$CU43,BX$57),""),1),""),IF(MID(IFERROR(INDEX(醫師週班表!$C$5:$T$44,$CU43,BX$57),""),2,1)="(",LEFT(IFERROR(INDEX(醫師週班表!$C$5:$T$44,$CU43,BX$57),""),1),IFERROR(INDEX(醫師週班表!$C$5:$T$44,$CU43,BX$57),"")))))))</f>
        <v/>
      </c>
      <c r="BY43" s="71">
        <f>IF(BY$59="X","",IF(BY$59&lt;&gt;"",BY$59,IF(IFERROR(INDEX(醫師週班表!$C$5:$T$44,$CU43,BY$57),"")=0,"",IF(MID(IFERROR(INDEX(醫師週班表!$C$5:$T$44,$CU43,BY$57),""),2,1)="/",MID(IFERROR(INDEX(醫師週班表!$C$5:$T$44,$CU43,BY$57),""),1+BY$58*2,1),IF(MID(IFERROR(INDEX(醫師週班表!$C$5:$T$44,$CU43,BY$57),""),3,1)="隔",IF(BY$58=0,LEFT(IFERROR(INDEX(醫師週班表!$C$5:$T$44,$CU43,BY$57),""),1),""),IF(MID(IFERROR(INDEX(醫師週班表!$C$5:$T$44,$CU43,BY$57),""),2,1)="(",LEFT(IFERROR(INDEX(醫師週班表!$C$5:$T$44,$CU43,BY$57),""),1),IFERROR(INDEX(醫師週班表!$C$5:$T$44,$CU43,BY$57),"")))))))</f>
        <v/>
      </c>
      <c r="BZ43" s="72">
        <f>IF(BZ$59="X","",IF(BZ$59&lt;&gt;"",BZ$59,IF(IFERROR(INDEX(醫師週班表!$C$5:$T$44,$CU43,BZ$57),"")=0,"",IF(MID(IFERROR(INDEX(醫師週班表!$C$5:$T$44,$CU43,BZ$57),""),2,1)="/",MID(IFERROR(INDEX(醫師週班表!$C$5:$T$44,$CU43,BZ$57),""),1+BZ$58*2,1),IF(MID(IFERROR(INDEX(醫師週班表!$C$5:$T$44,$CU43,BZ$57),""),3,1)="隔",IF(BZ$58=0,LEFT(IFERROR(INDEX(醫師週班表!$C$5:$T$44,$CU43,BZ$57),""),1),""),IF(MID(IFERROR(INDEX(醫師週班表!$C$5:$T$44,$CU43,BZ$57),""),2,1)="(",LEFT(IFERROR(INDEX(醫師週班表!$C$5:$T$44,$CU43,BZ$57),""),1),IFERROR(INDEX(醫師週班表!$C$5:$T$44,$CU43,BZ$57),"")))))))</f>
        <v/>
      </c>
      <c r="CA43" s="72">
        <f>IF(CA$59="X","",IF(CA$59&lt;&gt;"",CA$59,IF(IFERROR(INDEX(醫師週班表!$C$5:$T$44,$CU43,CA$57),"")=0,"",IF(MID(IFERROR(INDEX(醫師週班表!$C$5:$T$44,$CU43,CA$57),""),2,1)="/",MID(IFERROR(INDEX(醫師週班表!$C$5:$T$44,$CU43,CA$57),""),1+CA$58*2,1),IF(MID(IFERROR(INDEX(醫師週班表!$C$5:$T$44,$CU43,CA$57),""),3,1)="隔",IF(CA$58=0,LEFT(IFERROR(INDEX(醫師週班表!$C$5:$T$44,$CU43,CA$57),""),1),""),IF(MID(IFERROR(INDEX(醫師週班表!$C$5:$T$44,$CU43,CA$57),""),2,1)="(",LEFT(IFERROR(INDEX(醫師週班表!$C$5:$T$44,$CU43,CA$57),""),1),IFERROR(INDEX(醫師週班表!$C$5:$T$44,$CU43,CA$57),"")))))))</f>
        <v/>
      </c>
      <c r="CB43" s="71">
        <f>IF(CB$59="X","",IF(CB$59&lt;&gt;"",CB$59,IF(IFERROR(INDEX(醫師週班表!$C$5:$T$44,$CU43,CB$57),"")=0,"",IF(MID(IFERROR(INDEX(醫師週班表!$C$5:$T$44,$CU43,CB$57),""),2,1)="/",MID(IFERROR(INDEX(醫師週班表!$C$5:$T$44,$CU43,CB$57),""),1+CB$58*2,1),IF(MID(IFERROR(INDEX(醫師週班表!$C$5:$T$44,$CU43,CB$57),""),3,1)="隔",IF(CB$58=0,LEFT(IFERROR(INDEX(醫師週班表!$C$5:$T$44,$CU43,CB$57),""),1),""),IF(MID(IFERROR(INDEX(醫師週班表!$C$5:$T$44,$CU43,CB$57),""),2,1)="(",LEFT(IFERROR(INDEX(醫師週班表!$C$5:$T$44,$CU43,CB$57),""),1),IFERROR(INDEX(醫師週班表!$C$5:$T$44,$CU43,CB$57),"")))))))</f>
        <v/>
      </c>
      <c r="CC43" s="72">
        <f>IF(CC$59="X","",IF(CC$59&lt;&gt;"",CC$59,IF(IFERROR(INDEX(醫師週班表!$C$5:$T$44,$CU43,CC$57),"")=0,"",IF(MID(IFERROR(INDEX(醫師週班表!$C$5:$T$44,$CU43,CC$57),""),2,1)="/",MID(IFERROR(INDEX(醫師週班表!$C$5:$T$44,$CU43,CC$57),""),1+CC$58*2,1),IF(MID(IFERROR(INDEX(醫師週班表!$C$5:$T$44,$CU43,CC$57),""),3,1)="隔",IF(CC$58=0,LEFT(IFERROR(INDEX(醫師週班表!$C$5:$T$44,$CU43,CC$57),""),1),""),IF(MID(IFERROR(INDEX(醫師週班表!$C$5:$T$44,$CU43,CC$57),""),2,1)="(",LEFT(IFERROR(INDEX(醫師週班表!$C$5:$T$44,$CU43,CC$57),""),1),IFERROR(INDEX(醫師週班表!$C$5:$T$44,$CU43,CC$57),"")))))))</f>
        <v/>
      </c>
      <c r="CD43" s="72">
        <f>IF(CD$59="X","",IF(CD$59&lt;&gt;"",CD$59,IF(IFERROR(INDEX(醫師週班表!$C$5:$T$44,$CU43,CD$57),"")=0,"",IF(MID(IFERROR(INDEX(醫師週班表!$C$5:$T$44,$CU43,CD$57),""),2,1)="/",MID(IFERROR(INDEX(醫師週班表!$C$5:$T$44,$CU43,CD$57),""),1+CD$58*2,1),IF(MID(IFERROR(INDEX(醫師週班表!$C$5:$T$44,$CU43,CD$57),""),3,1)="隔",IF(CD$58=0,LEFT(IFERROR(INDEX(醫師週班表!$C$5:$T$44,$CU43,CD$57),""),1),""),IF(MID(IFERROR(INDEX(醫師週班表!$C$5:$T$44,$CU43,CD$57),""),2,1)="(",LEFT(IFERROR(INDEX(醫師週班表!$C$5:$T$44,$CU43,CD$57),""),1),IFERROR(INDEX(醫師週班表!$C$5:$T$44,$CU43,CD$57),"")))))))</f>
        <v/>
      </c>
      <c r="CE43" s="71">
        <f>IF(CE$59="X","",IF(CE$59&lt;&gt;"",CE$59,IF(IFERROR(INDEX(醫師週班表!$C$5:$T$44,$CU43,CE$57),"")=0,"",IF(MID(IFERROR(INDEX(醫師週班表!$C$5:$T$44,$CU43,CE$57),""),2,1)="/",MID(IFERROR(INDEX(醫師週班表!$C$5:$T$44,$CU43,CE$57),""),1+CE$58*2,1),IF(MID(IFERROR(INDEX(醫師週班表!$C$5:$T$44,$CU43,CE$57),""),3,1)="隔",IF(CE$58=0,LEFT(IFERROR(INDEX(醫師週班表!$C$5:$T$44,$CU43,CE$57),""),1),""),IF(MID(IFERROR(INDEX(醫師週班表!$C$5:$T$44,$CU43,CE$57),""),2,1)="(",LEFT(IFERROR(INDEX(醫師週班表!$C$5:$T$44,$CU43,CE$57),""),1),IFERROR(INDEX(醫師週班表!$C$5:$T$44,$CU43,CE$57),"")))))))</f>
        <v/>
      </c>
      <c r="CF43" s="72">
        <f>IF(CF$59="X","",IF(CF$59&lt;&gt;"",CF$59,IF(IFERROR(INDEX(醫師週班表!$C$5:$T$44,$CU43,CF$57),"")=0,"",IF(MID(IFERROR(INDEX(醫師週班表!$C$5:$T$44,$CU43,CF$57),""),2,1)="/",MID(IFERROR(INDEX(醫師週班表!$C$5:$T$44,$CU43,CF$57),""),1+CF$58*2,1),IF(MID(IFERROR(INDEX(醫師週班表!$C$5:$T$44,$CU43,CF$57),""),3,1)="隔",IF(CF$58=0,LEFT(IFERROR(INDEX(醫師週班表!$C$5:$T$44,$CU43,CF$57),""),1),""),IF(MID(IFERROR(INDEX(醫師週班表!$C$5:$T$44,$CU43,CF$57),""),2,1)="(",LEFT(IFERROR(INDEX(醫師週班表!$C$5:$T$44,$CU43,CF$57),""),1),IFERROR(INDEX(醫師週班表!$C$5:$T$44,$CU43,CF$57),"")))))))</f>
        <v/>
      </c>
      <c r="CG43" s="72">
        <f>IF(CG$59="X","",IF(CG$59&lt;&gt;"",CG$59,IF(IFERROR(INDEX(醫師週班表!$C$5:$T$44,$CU43,CG$57),"")=0,"",IF(MID(IFERROR(INDEX(醫師週班表!$C$5:$T$44,$CU43,CG$57),""),2,1)="/",MID(IFERROR(INDEX(醫師週班表!$C$5:$T$44,$CU43,CG$57),""),1+CG$58*2,1),IF(MID(IFERROR(INDEX(醫師週班表!$C$5:$T$44,$CU43,CG$57),""),3,1)="隔",IF(CG$58=0,LEFT(IFERROR(INDEX(醫師週班表!$C$5:$T$44,$CU43,CG$57),""),1),""),IF(MID(IFERROR(INDEX(醫師週班表!$C$5:$T$44,$CU43,CG$57),""),2,1)="(",LEFT(IFERROR(INDEX(醫師週班表!$C$5:$T$44,$CU43,CG$57),""),1),IFERROR(INDEX(醫師週班表!$C$5:$T$44,$CU43,CG$57),"")))))))</f>
        <v/>
      </c>
      <c r="CH43" s="71">
        <f>IF(CH$59="X","",IF(CH$59&lt;&gt;"",CH$59,IF(IFERROR(INDEX(醫師週班表!$C$5:$T$44,$CU43,CH$57),"")=0,"",IF(MID(IFERROR(INDEX(醫師週班表!$C$5:$T$44,$CU43,CH$57),""),2,1)="/",MID(IFERROR(INDEX(醫師週班表!$C$5:$T$44,$CU43,CH$57),""),1+CH$58*2,1),IF(MID(IFERROR(INDEX(醫師週班表!$C$5:$T$44,$CU43,CH$57),""),3,1)="隔",IF(CH$58=0,LEFT(IFERROR(INDEX(醫師週班表!$C$5:$T$44,$CU43,CH$57),""),1),""),IF(MID(IFERROR(INDEX(醫師週班表!$C$5:$T$44,$CU43,CH$57),""),2,1)="(",LEFT(IFERROR(INDEX(醫師週班表!$C$5:$T$44,$CU43,CH$57),""),1),IFERROR(INDEX(醫師週班表!$C$5:$T$44,$CU43,CH$57),"")))))))</f>
        <v/>
      </c>
      <c r="CI43" s="72">
        <f>IF(CI$59="X","",IF(CI$59&lt;&gt;"",CI$59,IF(IFERROR(INDEX(醫師週班表!$C$5:$T$44,$CU43,CI$57),"")=0,"",IF(MID(IFERROR(INDEX(醫師週班表!$C$5:$T$44,$CU43,CI$57),""),2,1)="/",MID(IFERROR(INDEX(醫師週班表!$C$5:$T$44,$CU43,CI$57),""),1+CI$58*2,1),IF(MID(IFERROR(INDEX(醫師週班表!$C$5:$T$44,$CU43,CI$57),""),3,1)="隔",IF(CI$58=0,LEFT(IFERROR(INDEX(醫師週班表!$C$5:$T$44,$CU43,CI$57),""),1),""),IF(MID(IFERROR(INDEX(醫師週班表!$C$5:$T$44,$CU43,CI$57),""),2,1)="(",LEFT(IFERROR(INDEX(醫師週班表!$C$5:$T$44,$CU43,CI$57),""),1),IFERROR(INDEX(醫師週班表!$C$5:$T$44,$CU43,CI$57),"")))))))</f>
        <v/>
      </c>
      <c r="CJ43" s="72">
        <f>IF(CJ$59="X","",IF(CJ$59&lt;&gt;"",CJ$59,IF(IFERROR(INDEX(醫師週班表!$C$5:$T$44,$CU43,CJ$57),"")=0,"",IF(MID(IFERROR(INDEX(醫師週班表!$C$5:$T$44,$CU43,CJ$57),""),2,1)="/",MID(IFERROR(INDEX(醫師週班表!$C$5:$T$44,$CU43,CJ$57),""),1+CJ$58*2,1),IF(MID(IFERROR(INDEX(醫師週班表!$C$5:$T$44,$CU43,CJ$57),""),3,1)="隔",IF(CJ$58=0,LEFT(IFERROR(INDEX(醫師週班表!$C$5:$T$44,$CU43,CJ$57),""),1),""),IF(MID(IFERROR(INDEX(醫師週班表!$C$5:$T$44,$CU43,CJ$57),""),2,1)="(",LEFT(IFERROR(INDEX(醫師週班表!$C$5:$T$44,$CU43,CJ$57),""),1),IFERROR(INDEX(醫師週班表!$C$5:$T$44,$CU43,CJ$57),"")))))))</f>
        <v/>
      </c>
      <c r="CK43" s="71">
        <f>IF(CK$59="X","",IF(CK$59&lt;&gt;"",CK$59,IF(IFERROR(INDEX(醫師週班表!$C$5:$T$44,$CU43,CK$57),"")=0,"",IF(MID(IFERROR(INDEX(醫師週班表!$C$5:$T$44,$CU43,CK$57),""),2,1)="/",MID(IFERROR(INDEX(醫師週班表!$C$5:$T$44,$CU43,CK$57),""),1+CK$58*2,1),IF(MID(IFERROR(INDEX(醫師週班表!$C$5:$T$44,$CU43,CK$57),""),3,1)="隔",IF(CK$58=0,LEFT(IFERROR(INDEX(醫師週班表!$C$5:$T$44,$CU43,CK$57),""),1),""),IF(MID(IFERROR(INDEX(醫師週班表!$C$5:$T$44,$CU43,CK$57),""),2,1)="(",LEFT(IFERROR(INDEX(醫師週班表!$C$5:$T$44,$CU43,CK$57),""),1),IFERROR(INDEX(醫師週班表!$C$5:$T$44,$CU43,CK$57),"")))))))</f>
        <v/>
      </c>
      <c r="CL43" s="72">
        <f>IF(CL$59="X","",IF(CL$59&lt;&gt;"",CL$59,IF(IFERROR(INDEX(醫師週班表!$C$5:$T$44,$CU43,CL$57),"")=0,"",IF(MID(IFERROR(INDEX(醫師週班表!$C$5:$T$44,$CU43,CL$57),""),2,1)="/",MID(IFERROR(INDEX(醫師週班表!$C$5:$T$44,$CU43,CL$57),""),1+CL$58*2,1),IF(MID(IFERROR(INDEX(醫師週班表!$C$5:$T$44,$CU43,CL$57),""),3,1)="隔",IF(CL$58=0,LEFT(IFERROR(INDEX(醫師週班表!$C$5:$T$44,$CU43,CL$57),""),1),""),IF(MID(IFERROR(INDEX(醫師週班表!$C$5:$T$44,$CU43,CL$57),""),2,1)="(",LEFT(IFERROR(INDEX(醫師週班表!$C$5:$T$44,$CU43,CL$57),""),1),IFERROR(INDEX(醫師週班表!$C$5:$T$44,$CU43,CL$57),"")))))))</f>
        <v/>
      </c>
      <c r="CM43" s="72">
        <f>IF(CM$59="X","",IF(CM$59&lt;&gt;"",CM$59,IF(IFERROR(INDEX(醫師週班表!$C$5:$T$44,$CU43,CM$57),"")=0,"",IF(MID(IFERROR(INDEX(醫師週班表!$C$5:$T$44,$CU43,CM$57),""),2,1)="/",MID(IFERROR(INDEX(醫師週班表!$C$5:$T$44,$CU43,CM$57),""),1+CM$58*2,1),IF(MID(IFERROR(INDEX(醫師週班表!$C$5:$T$44,$CU43,CM$57),""),3,1)="隔",IF(CM$58=0,LEFT(IFERROR(INDEX(醫師週班表!$C$5:$T$44,$CU43,CM$57),""),1),""),IF(MID(IFERROR(INDEX(醫師週班表!$C$5:$T$44,$CU43,CM$57),""),2,1)="(",LEFT(IFERROR(INDEX(醫師週班表!$C$5:$T$44,$CU43,CM$57),""),1),IFERROR(INDEX(醫師週班表!$C$5:$T$44,$CU43,CM$57),"")))))))</f>
        <v/>
      </c>
      <c r="CN43" s="71">
        <f>IF(CN$59="X","",IF(CN$59&lt;&gt;"",CN$59,IF(IFERROR(INDEX(醫師週班表!$C$5:$T$44,$CU43,CN$57),"")=0,"",IF(MID(IFERROR(INDEX(醫師週班表!$C$5:$T$44,$CU43,CN$57),""),2,1)="/",MID(IFERROR(INDEX(醫師週班表!$C$5:$T$44,$CU43,CN$57),""),1+CN$58*2,1),IF(MID(IFERROR(INDEX(醫師週班表!$C$5:$T$44,$CU43,CN$57),""),3,1)="隔",IF(CN$58=0,LEFT(IFERROR(INDEX(醫師週班表!$C$5:$T$44,$CU43,CN$57),""),1),""),IF(MID(IFERROR(INDEX(醫師週班表!$C$5:$T$44,$CU43,CN$57),""),2,1)="(",LEFT(IFERROR(INDEX(醫師週班表!$C$5:$T$44,$CU43,CN$57),""),1),IFERROR(INDEX(醫師週班表!$C$5:$T$44,$CU43,CN$57),"")))))))</f>
        <v/>
      </c>
      <c r="CO43" s="72">
        <f>IF(CO$59="X","",IF(CO$59&lt;&gt;"",CO$59,IF(IFERROR(INDEX(醫師週班表!$C$5:$T$44,$CU43,CO$57),"")=0,"",IF(MID(IFERROR(INDEX(醫師週班表!$C$5:$T$44,$CU43,CO$57),""),2,1)="/",MID(IFERROR(INDEX(醫師週班表!$C$5:$T$44,$CU43,CO$57),""),1+CO$58*2,1),IF(MID(IFERROR(INDEX(醫師週班表!$C$5:$T$44,$CU43,CO$57),""),3,1)="隔",IF(CO$58=0,LEFT(IFERROR(INDEX(醫師週班表!$C$5:$T$44,$CU43,CO$57),""),1),""),IF(MID(IFERROR(INDEX(醫師週班表!$C$5:$T$44,$CU43,CO$57),""),2,1)="(",LEFT(IFERROR(INDEX(醫師週班表!$C$5:$T$44,$CU43,CO$57),""),1),IFERROR(INDEX(醫師週班表!$C$5:$T$44,$CU43,CO$57),"")))))))</f>
        <v/>
      </c>
      <c r="CP43" s="72">
        <f>IF(CP$59="X","",IF(CP$59&lt;&gt;"",CP$59,IF(IFERROR(INDEX(醫師週班表!$C$5:$T$44,$CU43,CP$57),"")=0,"",IF(MID(IFERROR(INDEX(醫師週班表!$C$5:$T$44,$CU43,CP$57),""),2,1)="/",MID(IFERROR(INDEX(醫師週班表!$C$5:$T$44,$CU43,CP$57),""),1+CP$58*2,1),IF(MID(IFERROR(INDEX(醫師週班表!$C$5:$T$44,$CU43,CP$57),""),3,1)="隔",IF(CP$58=0,LEFT(IFERROR(INDEX(醫師週班表!$C$5:$T$44,$CU43,CP$57),""),1),""),IF(MID(IFERROR(INDEX(醫師週班表!$C$5:$T$44,$CU43,CP$57),""),2,1)="(",LEFT(IFERROR(INDEX(醫師週班表!$C$5:$T$44,$CU43,CP$57),""),1),IFERROR(INDEX(醫師週班表!$C$5:$T$44,$CU43,CP$57),"")))))))</f>
        <v/>
      </c>
      <c r="CQ43" s="71">
        <f>IF(CQ$59="X","",IF(CQ$59&lt;&gt;"",CQ$59,IF(IFERROR(INDEX(醫師週班表!$C$5:$T$44,$CU43,CQ$57),"")=0,"",IF(MID(IFERROR(INDEX(醫師週班表!$C$5:$T$44,$CU43,CQ$57),""),2,1)="/",MID(IFERROR(INDEX(醫師週班表!$C$5:$T$44,$CU43,CQ$57),""),1+CQ$58*2,1),IF(MID(IFERROR(INDEX(醫師週班表!$C$5:$T$44,$CU43,CQ$57),""),3,1)="隔",IF(CQ$58=0,LEFT(IFERROR(INDEX(醫師週班表!$C$5:$T$44,$CU43,CQ$57),""),1),""),IF(MID(IFERROR(INDEX(醫師週班表!$C$5:$T$44,$CU43,CQ$57),""),2,1)="(",LEFT(IFERROR(INDEX(醫師週班表!$C$5:$T$44,$CU43,CQ$57),""),1),IFERROR(INDEX(醫師週班表!$C$5:$T$44,$CU43,CQ$57),"")))))))</f>
        <v/>
      </c>
      <c r="CR43" s="72">
        <f>IF(CR$59="X","",IF(CR$59&lt;&gt;"",CR$59,IF(IFERROR(INDEX(醫師週班表!$C$5:$T$44,$CU43,CR$57),"")=0,"",IF(MID(IFERROR(INDEX(醫師週班表!$C$5:$T$44,$CU43,CR$57),""),2,1)="/",MID(IFERROR(INDEX(醫師週班表!$C$5:$T$44,$CU43,CR$57),""),1+CR$58*2,1),IF(MID(IFERROR(INDEX(醫師週班表!$C$5:$T$44,$CU43,CR$57),""),3,1)="隔",IF(CR$58=0,LEFT(IFERROR(INDEX(醫師週班表!$C$5:$T$44,$CU43,CR$57),""),1),""),IF(MID(IFERROR(INDEX(醫師週班表!$C$5:$T$44,$CU43,CR$57),""),2,1)="(",LEFT(IFERROR(INDEX(醫師週班表!$C$5:$T$44,$CU43,CR$57),""),1),IFERROR(INDEX(醫師週班表!$C$5:$T$44,$CU43,CR$57),"")))))))</f>
        <v/>
      </c>
      <c r="CS43" s="72">
        <f>IF(CS$59="X","",IF(CS$59&lt;&gt;"",CS$59,IF(IFERROR(INDEX(醫師週班表!$C$5:$T$44,$CU43,CS$57),"")=0,"",IF(MID(IFERROR(INDEX(醫師週班表!$C$5:$T$44,$CU43,CS$57),""),2,1)="/",MID(IFERROR(INDEX(醫師週班表!$C$5:$T$44,$CU43,CS$57),""),1+CS$58*2,1),IF(MID(IFERROR(INDEX(醫師週班表!$C$5:$T$44,$CU43,CS$57),""),3,1)="隔",IF(CS$58=0,LEFT(IFERROR(INDEX(醫師週班表!$C$5:$T$44,$CU43,CS$57),""),1),""),IF(MID(IFERROR(INDEX(醫師週班表!$C$5:$T$44,$CU43,CS$57),""),2,1)="(",LEFT(IFERROR(INDEX(醫師週班表!$C$5:$T$44,$CU43,CS$57),""),1),IFERROR(INDEX(醫師週班表!$C$5:$T$44,$CU43,CS$57),"")))))))</f>
        <v/>
      </c>
      <c r="CU43" s="73">
        <f>IFERROR(MATCH($A43,醫師週班表!$A$5:$A$44,0),0)</f>
        <v/>
      </c>
    </row>
    <row r="44" ht="17" customHeight="1">
      <c r="A44" s="19" t="n"/>
      <c r="B44" s="16">
        <f>IFERROR(INDEX(設定!$C$64:$C$203,MATCH($A44,設定!$B$64:$B$203,0)),"")</f>
        <v/>
      </c>
      <c r="C44" s="70">
        <f>IFERROR(INDEX(設定!$E$64:$E$203,MATCH($A44,設定!$B$64:$B$203,0)),"")</f>
        <v/>
      </c>
      <c r="D44" s="16">
        <f>IFERROR(INDEX(設定!$F$64:$F$203,MATCH($A44,設定!$B$64:$B$203,0)),"")</f>
        <v/>
      </c>
      <c r="E44" s="71">
        <f>IF(E$59="X","",IF(E$59&lt;&gt;"",E$59,IF(IFERROR(INDEX(醫師週班表!$C$5:$T$44,$CU44,E$57),"")=0,"",IF(MID(IFERROR(INDEX(醫師週班表!$C$5:$T$44,$CU44,E$57),""),2,1)="/",MID(IFERROR(INDEX(醫師週班表!$C$5:$T$44,$CU44,E$57),""),1+E$58*2,1),IF(MID(IFERROR(INDEX(醫師週班表!$C$5:$T$44,$CU44,E$57),""),3,1)="隔",IF(E$58=0,LEFT(IFERROR(INDEX(醫師週班表!$C$5:$T$44,$CU44,E$57),""),1),""),IF(MID(IFERROR(INDEX(醫師週班表!$C$5:$T$44,$CU44,E$57),""),2,1)="(",LEFT(IFERROR(INDEX(醫師週班表!$C$5:$T$44,$CU44,E$57),""),1),IFERROR(INDEX(醫師週班表!$C$5:$T$44,$CU44,E$57),"")))))))</f>
        <v/>
      </c>
      <c r="F44" s="72">
        <f>IF(F$59="X","",IF(F$59&lt;&gt;"",F$59,IF(IFERROR(INDEX(醫師週班表!$C$5:$T$44,$CU44,F$57),"")=0,"",IF(MID(IFERROR(INDEX(醫師週班表!$C$5:$T$44,$CU44,F$57),""),2,1)="/",MID(IFERROR(INDEX(醫師週班表!$C$5:$T$44,$CU44,F$57),""),1+F$58*2,1),IF(MID(IFERROR(INDEX(醫師週班表!$C$5:$T$44,$CU44,F$57),""),3,1)="隔",IF(F$58=0,LEFT(IFERROR(INDEX(醫師週班表!$C$5:$T$44,$CU44,F$57),""),1),""),IF(MID(IFERROR(INDEX(醫師週班表!$C$5:$T$44,$CU44,F$57),""),2,1)="(",LEFT(IFERROR(INDEX(醫師週班表!$C$5:$T$44,$CU44,F$57),""),1),IFERROR(INDEX(醫師週班表!$C$5:$T$44,$CU44,F$57),"")))))))</f>
        <v/>
      </c>
      <c r="G44" s="72">
        <f>IF(G$59="X","",IF(G$59&lt;&gt;"",G$59,IF(IFERROR(INDEX(醫師週班表!$C$5:$T$44,$CU44,G$57),"")=0,"",IF(MID(IFERROR(INDEX(醫師週班表!$C$5:$T$44,$CU44,G$57),""),2,1)="/",MID(IFERROR(INDEX(醫師週班表!$C$5:$T$44,$CU44,G$57),""),1+G$58*2,1),IF(MID(IFERROR(INDEX(醫師週班表!$C$5:$T$44,$CU44,G$57),""),3,1)="隔",IF(G$58=0,LEFT(IFERROR(INDEX(醫師週班表!$C$5:$T$44,$CU44,G$57),""),1),""),IF(MID(IFERROR(INDEX(醫師週班表!$C$5:$T$44,$CU44,G$57),""),2,1)="(",LEFT(IFERROR(INDEX(醫師週班表!$C$5:$T$44,$CU44,G$57),""),1),IFERROR(INDEX(醫師週班表!$C$5:$T$44,$CU44,G$57),"")))))))</f>
        <v/>
      </c>
      <c r="H44" s="71">
        <f>IF(H$59="X","",IF(H$59&lt;&gt;"",H$59,IF(IFERROR(INDEX(醫師週班表!$C$5:$T$44,$CU44,H$57),"")=0,"",IF(MID(IFERROR(INDEX(醫師週班表!$C$5:$T$44,$CU44,H$57),""),2,1)="/",MID(IFERROR(INDEX(醫師週班表!$C$5:$T$44,$CU44,H$57),""),1+H$58*2,1),IF(MID(IFERROR(INDEX(醫師週班表!$C$5:$T$44,$CU44,H$57),""),3,1)="隔",IF(H$58=0,LEFT(IFERROR(INDEX(醫師週班表!$C$5:$T$44,$CU44,H$57),""),1),""),IF(MID(IFERROR(INDEX(醫師週班表!$C$5:$T$44,$CU44,H$57),""),2,1)="(",LEFT(IFERROR(INDEX(醫師週班表!$C$5:$T$44,$CU44,H$57),""),1),IFERROR(INDEX(醫師週班表!$C$5:$T$44,$CU44,H$57),"")))))))</f>
        <v/>
      </c>
      <c r="I44" s="72">
        <f>IF(I$59="X","",IF(I$59&lt;&gt;"",I$59,IF(IFERROR(INDEX(醫師週班表!$C$5:$T$44,$CU44,I$57),"")=0,"",IF(MID(IFERROR(INDEX(醫師週班表!$C$5:$T$44,$CU44,I$57),""),2,1)="/",MID(IFERROR(INDEX(醫師週班表!$C$5:$T$44,$CU44,I$57),""),1+I$58*2,1),IF(MID(IFERROR(INDEX(醫師週班表!$C$5:$T$44,$CU44,I$57),""),3,1)="隔",IF(I$58=0,LEFT(IFERROR(INDEX(醫師週班表!$C$5:$T$44,$CU44,I$57),""),1),""),IF(MID(IFERROR(INDEX(醫師週班表!$C$5:$T$44,$CU44,I$57),""),2,1)="(",LEFT(IFERROR(INDEX(醫師週班表!$C$5:$T$44,$CU44,I$57),""),1),IFERROR(INDEX(醫師週班表!$C$5:$T$44,$CU44,I$57),"")))))))</f>
        <v/>
      </c>
      <c r="J44" s="72">
        <f>IF(J$59="X","",IF(J$59&lt;&gt;"",J$59,IF(IFERROR(INDEX(醫師週班表!$C$5:$T$44,$CU44,J$57),"")=0,"",IF(MID(IFERROR(INDEX(醫師週班表!$C$5:$T$44,$CU44,J$57),""),2,1)="/",MID(IFERROR(INDEX(醫師週班表!$C$5:$T$44,$CU44,J$57),""),1+J$58*2,1),IF(MID(IFERROR(INDEX(醫師週班表!$C$5:$T$44,$CU44,J$57),""),3,1)="隔",IF(J$58=0,LEFT(IFERROR(INDEX(醫師週班表!$C$5:$T$44,$CU44,J$57),""),1),""),IF(MID(IFERROR(INDEX(醫師週班表!$C$5:$T$44,$CU44,J$57),""),2,1)="(",LEFT(IFERROR(INDEX(醫師週班表!$C$5:$T$44,$CU44,J$57),""),1),IFERROR(INDEX(醫師週班表!$C$5:$T$44,$CU44,J$57),"")))))))</f>
        <v/>
      </c>
      <c r="K44" s="71">
        <f>IF(K$59="X","",IF(K$59&lt;&gt;"",K$59,IF(IFERROR(INDEX(醫師週班表!$C$5:$T$44,$CU44,K$57),"")=0,"",IF(MID(IFERROR(INDEX(醫師週班表!$C$5:$T$44,$CU44,K$57),""),2,1)="/",MID(IFERROR(INDEX(醫師週班表!$C$5:$T$44,$CU44,K$57),""),1+K$58*2,1),IF(MID(IFERROR(INDEX(醫師週班表!$C$5:$T$44,$CU44,K$57),""),3,1)="隔",IF(K$58=0,LEFT(IFERROR(INDEX(醫師週班表!$C$5:$T$44,$CU44,K$57),""),1),""),IF(MID(IFERROR(INDEX(醫師週班表!$C$5:$T$44,$CU44,K$57),""),2,1)="(",LEFT(IFERROR(INDEX(醫師週班表!$C$5:$T$44,$CU44,K$57),""),1),IFERROR(INDEX(醫師週班表!$C$5:$T$44,$CU44,K$57),"")))))))</f>
        <v/>
      </c>
      <c r="L44" s="72">
        <f>IF(L$59="X","",IF(L$59&lt;&gt;"",L$59,IF(IFERROR(INDEX(醫師週班表!$C$5:$T$44,$CU44,L$57),"")=0,"",IF(MID(IFERROR(INDEX(醫師週班表!$C$5:$T$44,$CU44,L$57),""),2,1)="/",MID(IFERROR(INDEX(醫師週班表!$C$5:$T$44,$CU44,L$57),""),1+L$58*2,1),IF(MID(IFERROR(INDEX(醫師週班表!$C$5:$T$44,$CU44,L$57),""),3,1)="隔",IF(L$58=0,LEFT(IFERROR(INDEX(醫師週班表!$C$5:$T$44,$CU44,L$57),""),1),""),IF(MID(IFERROR(INDEX(醫師週班表!$C$5:$T$44,$CU44,L$57),""),2,1)="(",LEFT(IFERROR(INDEX(醫師週班表!$C$5:$T$44,$CU44,L$57),""),1),IFERROR(INDEX(醫師週班表!$C$5:$T$44,$CU44,L$57),"")))))))</f>
        <v/>
      </c>
      <c r="M44" s="72">
        <f>IF(M$59="X","",IF(M$59&lt;&gt;"",M$59,IF(IFERROR(INDEX(醫師週班表!$C$5:$T$44,$CU44,M$57),"")=0,"",IF(MID(IFERROR(INDEX(醫師週班表!$C$5:$T$44,$CU44,M$57),""),2,1)="/",MID(IFERROR(INDEX(醫師週班表!$C$5:$T$44,$CU44,M$57),""),1+M$58*2,1),IF(MID(IFERROR(INDEX(醫師週班表!$C$5:$T$44,$CU44,M$57),""),3,1)="隔",IF(M$58=0,LEFT(IFERROR(INDEX(醫師週班表!$C$5:$T$44,$CU44,M$57),""),1),""),IF(MID(IFERROR(INDEX(醫師週班表!$C$5:$T$44,$CU44,M$57),""),2,1)="(",LEFT(IFERROR(INDEX(醫師週班表!$C$5:$T$44,$CU44,M$57),""),1),IFERROR(INDEX(醫師週班表!$C$5:$T$44,$CU44,M$57),"")))))))</f>
        <v/>
      </c>
      <c r="N44" s="71">
        <f>IF(N$59="X","",IF(N$59&lt;&gt;"",N$59,IF(IFERROR(INDEX(醫師週班表!$C$5:$T$44,$CU44,N$57),"")=0,"",IF(MID(IFERROR(INDEX(醫師週班表!$C$5:$T$44,$CU44,N$57),""),2,1)="/",MID(IFERROR(INDEX(醫師週班表!$C$5:$T$44,$CU44,N$57),""),1+N$58*2,1),IF(MID(IFERROR(INDEX(醫師週班表!$C$5:$T$44,$CU44,N$57),""),3,1)="隔",IF(N$58=0,LEFT(IFERROR(INDEX(醫師週班表!$C$5:$T$44,$CU44,N$57),""),1),""),IF(MID(IFERROR(INDEX(醫師週班表!$C$5:$T$44,$CU44,N$57),""),2,1)="(",LEFT(IFERROR(INDEX(醫師週班表!$C$5:$T$44,$CU44,N$57),""),1),IFERROR(INDEX(醫師週班表!$C$5:$T$44,$CU44,N$57),"")))))))</f>
        <v/>
      </c>
      <c r="O44" s="72">
        <f>IF(O$59="X","",IF(O$59&lt;&gt;"",O$59,IF(IFERROR(INDEX(醫師週班表!$C$5:$T$44,$CU44,O$57),"")=0,"",IF(MID(IFERROR(INDEX(醫師週班表!$C$5:$T$44,$CU44,O$57),""),2,1)="/",MID(IFERROR(INDEX(醫師週班表!$C$5:$T$44,$CU44,O$57),""),1+O$58*2,1),IF(MID(IFERROR(INDEX(醫師週班表!$C$5:$T$44,$CU44,O$57),""),3,1)="隔",IF(O$58=0,LEFT(IFERROR(INDEX(醫師週班表!$C$5:$T$44,$CU44,O$57),""),1),""),IF(MID(IFERROR(INDEX(醫師週班表!$C$5:$T$44,$CU44,O$57),""),2,1)="(",LEFT(IFERROR(INDEX(醫師週班表!$C$5:$T$44,$CU44,O$57),""),1),IFERROR(INDEX(醫師週班表!$C$5:$T$44,$CU44,O$57),"")))))))</f>
        <v/>
      </c>
      <c r="P44" s="72">
        <f>IF(P$59="X","",IF(P$59&lt;&gt;"",P$59,IF(IFERROR(INDEX(醫師週班表!$C$5:$T$44,$CU44,P$57),"")=0,"",IF(MID(IFERROR(INDEX(醫師週班表!$C$5:$T$44,$CU44,P$57),""),2,1)="/",MID(IFERROR(INDEX(醫師週班表!$C$5:$T$44,$CU44,P$57),""),1+P$58*2,1),IF(MID(IFERROR(INDEX(醫師週班表!$C$5:$T$44,$CU44,P$57),""),3,1)="隔",IF(P$58=0,LEFT(IFERROR(INDEX(醫師週班表!$C$5:$T$44,$CU44,P$57),""),1),""),IF(MID(IFERROR(INDEX(醫師週班表!$C$5:$T$44,$CU44,P$57),""),2,1)="(",LEFT(IFERROR(INDEX(醫師週班表!$C$5:$T$44,$CU44,P$57),""),1),IFERROR(INDEX(醫師週班表!$C$5:$T$44,$CU44,P$57),"")))))))</f>
        <v/>
      </c>
      <c r="Q44" s="71">
        <f>IF(Q$59="X","",IF(Q$59&lt;&gt;"",Q$59,IF(IFERROR(INDEX(醫師週班表!$C$5:$T$44,$CU44,Q$57),"")=0,"",IF(MID(IFERROR(INDEX(醫師週班表!$C$5:$T$44,$CU44,Q$57),""),2,1)="/",MID(IFERROR(INDEX(醫師週班表!$C$5:$T$44,$CU44,Q$57),""),1+Q$58*2,1),IF(MID(IFERROR(INDEX(醫師週班表!$C$5:$T$44,$CU44,Q$57),""),3,1)="隔",IF(Q$58=0,LEFT(IFERROR(INDEX(醫師週班表!$C$5:$T$44,$CU44,Q$57),""),1),""),IF(MID(IFERROR(INDEX(醫師週班表!$C$5:$T$44,$CU44,Q$57),""),2,1)="(",LEFT(IFERROR(INDEX(醫師週班表!$C$5:$T$44,$CU44,Q$57),""),1),IFERROR(INDEX(醫師週班表!$C$5:$T$44,$CU44,Q$57),"")))))))</f>
        <v/>
      </c>
      <c r="R44" s="72">
        <f>IF(R$59="X","",IF(R$59&lt;&gt;"",R$59,IF(IFERROR(INDEX(醫師週班表!$C$5:$T$44,$CU44,R$57),"")=0,"",IF(MID(IFERROR(INDEX(醫師週班表!$C$5:$T$44,$CU44,R$57),""),2,1)="/",MID(IFERROR(INDEX(醫師週班表!$C$5:$T$44,$CU44,R$57),""),1+R$58*2,1),IF(MID(IFERROR(INDEX(醫師週班表!$C$5:$T$44,$CU44,R$57),""),3,1)="隔",IF(R$58=0,LEFT(IFERROR(INDEX(醫師週班表!$C$5:$T$44,$CU44,R$57),""),1),""),IF(MID(IFERROR(INDEX(醫師週班表!$C$5:$T$44,$CU44,R$57),""),2,1)="(",LEFT(IFERROR(INDEX(醫師週班表!$C$5:$T$44,$CU44,R$57),""),1),IFERROR(INDEX(醫師週班表!$C$5:$T$44,$CU44,R$57),"")))))))</f>
        <v/>
      </c>
      <c r="S44" s="72">
        <f>IF(S$59="X","",IF(S$59&lt;&gt;"",S$59,IF(IFERROR(INDEX(醫師週班表!$C$5:$T$44,$CU44,S$57),"")=0,"",IF(MID(IFERROR(INDEX(醫師週班表!$C$5:$T$44,$CU44,S$57),""),2,1)="/",MID(IFERROR(INDEX(醫師週班表!$C$5:$T$44,$CU44,S$57),""),1+S$58*2,1),IF(MID(IFERROR(INDEX(醫師週班表!$C$5:$T$44,$CU44,S$57),""),3,1)="隔",IF(S$58=0,LEFT(IFERROR(INDEX(醫師週班表!$C$5:$T$44,$CU44,S$57),""),1),""),IF(MID(IFERROR(INDEX(醫師週班表!$C$5:$T$44,$CU44,S$57),""),2,1)="(",LEFT(IFERROR(INDEX(醫師週班表!$C$5:$T$44,$CU44,S$57),""),1),IFERROR(INDEX(醫師週班表!$C$5:$T$44,$CU44,S$57),"")))))))</f>
        <v/>
      </c>
      <c r="T44" s="71">
        <f>IF(T$59="X","",IF(T$59&lt;&gt;"",T$59,IF(IFERROR(INDEX(醫師週班表!$C$5:$T$44,$CU44,T$57),"")=0,"",IF(MID(IFERROR(INDEX(醫師週班表!$C$5:$T$44,$CU44,T$57),""),2,1)="/",MID(IFERROR(INDEX(醫師週班表!$C$5:$T$44,$CU44,T$57),""),1+T$58*2,1),IF(MID(IFERROR(INDEX(醫師週班表!$C$5:$T$44,$CU44,T$57),""),3,1)="隔",IF(T$58=0,LEFT(IFERROR(INDEX(醫師週班表!$C$5:$T$44,$CU44,T$57),""),1),""),IF(MID(IFERROR(INDEX(醫師週班表!$C$5:$T$44,$CU44,T$57),""),2,1)="(",LEFT(IFERROR(INDEX(醫師週班表!$C$5:$T$44,$CU44,T$57),""),1),IFERROR(INDEX(醫師週班表!$C$5:$T$44,$CU44,T$57),"")))))))</f>
        <v/>
      </c>
      <c r="U44" s="72">
        <f>IF(U$59="X","",IF(U$59&lt;&gt;"",U$59,IF(IFERROR(INDEX(醫師週班表!$C$5:$T$44,$CU44,U$57),"")=0,"",IF(MID(IFERROR(INDEX(醫師週班表!$C$5:$T$44,$CU44,U$57),""),2,1)="/",MID(IFERROR(INDEX(醫師週班表!$C$5:$T$44,$CU44,U$57),""),1+U$58*2,1),IF(MID(IFERROR(INDEX(醫師週班表!$C$5:$T$44,$CU44,U$57),""),3,1)="隔",IF(U$58=0,LEFT(IFERROR(INDEX(醫師週班表!$C$5:$T$44,$CU44,U$57),""),1),""),IF(MID(IFERROR(INDEX(醫師週班表!$C$5:$T$44,$CU44,U$57),""),2,1)="(",LEFT(IFERROR(INDEX(醫師週班表!$C$5:$T$44,$CU44,U$57),""),1),IFERROR(INDEX(醫師週班表!$C$5:$T$44,$CU44,U$57),"")))))))</f>
        <v/>
      </c>
      <c r="V44" s="72">
        <f>IF(V$59="X","",IF(V$59&lt;&gt;"",V$59,IF(IFERROR(INDEX(醫師週班表!$C$5:$T$44,$CU44,V$57),"")=0,"",IF(MID(IFERROR(INDEX(醫師週班表!$C$5:$T$44,$CU44,V$57),""),2,1)="/",MID(IFERROR(INDEX(醫師週班表!$C$5:$T$44,$CU44,V$57),""),1+V$58*2,1),IF(MID(IFERROR(INDEX(醫師週班表!$C$5:$T$44,$CU44,V$57),""),3,1)="隔",IF(V$58=0,LEFT(IFERROR(INDEX(醫師週班表!$C$5:$T$44,$CU44,V$57),""),1),""),IF(MID(IFERROR(INDEX(醫師週班表!$C$5:$T$44,$CU44,V$57),""),2,1)="(",LEFT(IFERROR(INDEX(醫師週班表!$C$5:$T$44,$CU44,V$57),""),1),IFERROR(INDEX(醫師週班表!$C$5:$T$44,$CU44,V$57),"")))))))</f>
        <v/>
      </c>
      <c r="W44" s="71">
        <f>IF(W$59="X","",IF(W$59&lt;&gt;"",W$59,IF(IFERROR(INDEX(醫師週班表!$C$5:$T$44,$CU44,W$57),"")=0,"",IF(MID(IFERROR(INDEX(醫師週班表!$C$5:$T$44,$CU44,W$57),""),2,1)="/",MID(IFERROR(INDEX(醫師週班表!$C$5:$T$44,$CU44,W$57),""),1+W$58*2,1),IF(MID(IFERROR(INDEX(醫師週班表!$C$5:$T$44,$CU44,W$57),""),3,1)="隔",IF(W$58=0,LEFT(IFERROR(INDEX(醫師週班表!$C$5:$T$44,$CU44,W$57),""),1),""),IF(MID(IFERROR(INDEX(醫師週班表!$C$5:$T$44,$CU44,W$57),""),2,1)="(",LEFT(IFERROR(INDEX(醫師週班表!$C$5:$T$44,$CU44,W$57),""),1),IFERROR(INDEX(醫師週班表!$C$5:$T$44,$CU44,W$57),"")))))))</f>
        <v/>
      </c>
      <c r="X44" s="72">
        <f>IF(X$59="X","",IF(X$59&lt;&gt;"",X$59,IF(IFERROR(INDEX(醫師週班表!$C$5:$T$44,$CU44,X$57),"")=0,"",IF(MID(IFERROR(INDEX(醫師週班表!$C$5:$T$44,$CU44,X$57),""),2,1)="/",MID(IFERROR(INDEX(醫師週班表!$C$5:$T$44,$CU44,X$57),""),1+X$58*2,1),IF(MID(IFERROR(INDEX(醫師週班表!$C$5:$T$44,$CU44,X$57),""),3,1)="隔",IF(X$58=0,LEFT(IFERROR(INDEX(醫師週班表!$C$5:$T$44,$CU44,X$57),""),1),""),IF(MID(IFERROR(INDEX(醫師週班表!$C$5:$T$44,$CU44,X$57),""),2,1)="(",LEFT(IFERROR(INDEX(醫師週班表!$C$5:$T$44,$CU44,X$57),""),1),IFERROR(INDEX(醫師週班表!$C$5:$T$44,$CU44,X$57),"")))))))</f>
        <v/>
      </c>
      <c r="Y44" s="72">
        <f>IF(Y$59="X","",IF(Y$59&lt;&gt;"",Y$59,IF(IFERROR(INDEX(醫師週班表!$C$5:$T$44,$CU44,Y$57),"")=0,"",IF(MID(IFERROR(INDEX(醫師週班表!$C$5:$T$44,$CU44,Y$57),""),2,1)="/",MID(IFERROR(INDEX(醫師週班表!$C$5:$T$44,$CU44,Y$57),""),1+Y$58*2,1),IF(MID(IFERROR(INDEX(醫師週班表!$C$5:$T$44,$CU44,Y$57),""),3,1)="隔",IF(Y$58=0,LEFT(IFERROR(INDEX(醫師週班表!$C$5:$T$44,$CU44,Y$57),""),1),""),IF(MID(IFERROR(INDEX(醫師週班表!$C$5:$T$44,$CU44,Y$57),""),2,1)="(",LEFT(IFERROR(INDEX(醫師週班表!$C$5:$T$44,$CU44,Y$57),""),1),IFERROR(INDEX(醫師週班表!$C$5:$T$44,$CU44,Y$57),"")))))))</f>
        <v/>
      </c>
      <c r="Z44" s="71">
        <f>IF(Z$59="X","",IF(Z$59&lt;&gt;"",Z$59,IF(IFERROR(INDEX(醫師週班表!$C$5:$T$44,$CU44,Z$57),"")=0,"",IF(MID(IFERROR(INDEX(醫師週班表!$C$5:$T$44,$CU44,Z$57),""),2,1)="/",MID(IFERROR(INDEX(醫師週班表!$C$5:$T$44,$CU44,Z$57),""),1+Z$58*2,1),IF(MID(IFERROR(INDEX(醫師週班表!$C$5:$T$44,$CU44,Z$57),""),3,1)="隔",IF(Z$58=0,LEFT(IFERROR(INDEX(醫師週班表!$C$5:$T$44,$CU44,Z$57),""),1),""),IF(MID(IFERROR(INDEX(醫師週班表!$C$5:$T$44,$CU44,Z$57),""),2,1)="(",LEFT(IFERROR(INDEX(醫師週班表!$C$5:$T$44,$CU44,Z$57),""),1),IFERROR(INDEX(醫師週班表!$C$5:$T$44,$CU44,Z$57),"")))))))</f>
        <v/>
      </c>
      <c r="AA44" s="72">
        <f>IF(AA$59="X","",IF(AA$59&lt;&gt;"",AA$59,IF(IFERROR(INDEX(醫師週班表!$C$5:$T$44,$CU44,AA$57),"")=0,"",IF(MID(IFERROR(INDEX(醫師週班表!$C$5:$T$44,$CU44,AA$57),""),2,1)="/",MID(IFERROR(INDEX(醫師週班表!$C$5:$T$44,$CU44,AA$57),""),1+AA$58*2,1),IF(MID(IFERROR(INDEX(醫師週班表!$C$5:$T$44,$CU44,AA$57),""),3,1)="隔",IF(AA$58=0,LEFT(IFERROR(INDEX(醫師週班表!$C$5:$T$44,$CU44,AA$57),""),1),""),IF(MID(IFERROR(INDEX(醫師週班表!$C$5:$T$44,$CU44,AA$57),""),2,1)="(",LEFT(IFERROR(INDEX(醫師週班表!$C$5:$T$44,$CU44,AA$57),""),1),IFERROR(INDEX(醫師週班表!$C$5:$T$44,$CU44,AA$57),"")))))))</f>
        <v/>
      </c>
      <c r="AB44" s="72">
        <f>IF(AB$59="X","",IF(AB$59&lt;&gt;"",AB$59,IF(IFERROR(INDEX(醫師週班表!$C$5:$T$44,$CU44,AB$57),"")=0,"",IF(MID(IFERROR(INDEX(醫師週班表!$C$5:$T$44,$CU44,AB$57),""),2,1)="/",MID(IFERROR(INDEX(醫師週班表!$C$5:$T$44,$CU44,AB$57),""),1+AB$58*2,1),IF(MID(IFERROR(INDEX(醫師週班表!$C$5:$T$44,$CU44,AB$57),""),3,1)="隔",IF(AB$58=0,LEFT(IFERROR(INDEX(醫師週班表!$C$5:$T$44,$CU44,AB$57),""),1),""),IF(MID(IFERROR(INDEX(醫師週班表!$C$5:$T$44,$CU44,AB$57),""),2,1)="(",LEFT(IFERROR(INDEX(醫師週班表!$C$5:$T$44,$CU44,AB$57),""),1),IFERROR(INDEX(醫師週班表!$C$5:$T$44,$CU44,AB$57),"")))))))</f>
        <v/>
      </c>
      <c r="AC44" s="71">
        <f>IF(AC$59="X","",IF(AC$59&lt;&gt;"",AC$59,IF(IFERROR(INDEX(醫師週班表!$C$5:$T$44,$CU44,AC$57),"")=0,"",IF(MID(IFERROR(INDEX(醫師週班表!$C$5:$T$44,$CU44,AC$57),""),2,1)="/",MID(IFERROR(INDEX(醫師週班表!$C$5:$T$44,$CU44,AC$57),""),1+AC$58*2,1),IF(MID(IFERROR(INDEX(醫師週班表!$C$5:$T$44,$CU44,AC$57),""),3,1)="隔",IF(AC$58=0,LEFT(IFERROR(INDEX(醫師週班表!$C$5:$T$44,$CU44,AC$57),""),1),""),IF(MID(IFERROR(INDEX(醫師週班表!$C$5:$T$44,$CU44,AC$57),""),2,1)="(",LEFT(IFERROR(INDEX(醫師週班表!$C$5:$T$44,$CU44,AC$57),""),1),IFERROR(INDEX(醫師週班表!$C$5:$T$44,$CU44,AC$57),"")))))))</f>
        <v/>
      </c>
      <c r="AD44" s="72">
        <f>IF(AD$59="X","",IF(AD$59&lt;&gt;"",AD$59,IF(IFERROR(INDEX(醫師週班表!$C$5:$T$44,$CU44,AD$57),"")=0,"",IF(MID(IFERROR(INDEX(醫師週班表!$C$5:$T$44,$CU44,AD$57),""),2,1)="/",MID(IFERROR(INDEX(醫師週班表!$C$5:$T$44,$CU44,AD$57),""),1+AD$58*2,1),IF(MID(IFERROR(INDEX(醫師週班表!$C$5:$T$44,$CU44,AD$57),""),3,1)="隔",IF(AD$58=0,LEFT(IFERROR(INDEX(醫師週班表!$C$5:$T$44,$CU44,AD$57),""),1),""),IF(MID(IFERROR(INDEX(醫師週班表!$C$5:$T$44,$CU44,AD$57),""),2,1)="(",LEFT(IFERROR(INDEX(醫師週班表!$C$5:$T$44,$CU44,AD$57),""),1),IFERROR(INDEX(醫師週班表!$C$5:$T$44,$CU44,AD$57),"")))))))</f>
        <v/>
      </c>
      <c r="AE44" s="72">
        <f>IF(AE$59="X","",IF(AE$59&lt;&gt;"",AE$59,IF(IFERROR(INDEX(醫師週班表!$C$5:$T$44,$CU44,AE$57),"")=0,"",IF(MID(IFERROR(INDEX(醫師週班表!$C$5:$T$44,$CU44,AE$57),""),2,1)="/",MID(IFERROR(INDEX(醫師週班表!$C$5:$T$44,$CU44,AE$57),""),1+AE$58*2,1),IF(MID(IFERROR(INDEX(醫師週班表!$C$5:$T$44,$CU44,AE$57),""),3,1)="隔",IF(AE$58=0,LEFT(IFERROR(INDEX(醫師週班表!$C$5:$T$44,$CU44,AE$57),""),1),""),IF(MID(IFERROR(INDEX(醫師週班表!$C$5:$T$44,$CU44,AE$57),""),2,1)="(",LEFT(IFERROR(INDEX(醫師週班表!$C$5:$T$44,$CU44,AE$57),""),1),IFERROR(INDEX(醫師週班表!$C$5:$T$44,$CU44,AE$57),"")))))))</f>
        <v/>
      </c>
      <c r="AF44" s="71">
        <f>IF(AF$59="X","",IF(AF$59&lt;&gt;"",AF$59,IF(IFERROR(INDEX(醫師週班表!$C$5:$T$44,$CU44,AF$57),"")=0,"",IF(MID(IFERROR(INDEX(醫師週班表!$C$5:$T$44,$CU44,AF$57),""),2,1)="/",MID(IFERROR(INDEX(醫師週班表!$C$5:$T$44,$CU44,AF$57),""),1+AF$58*2,1),IF(MID(IFERROR(INDEX(醫師週班表!$C$5:$T$44,$CU44,AF$57),""),3,1)="隔",IF(AF$58=0,LEFT(IFERROR(INDEX(醫師週班表!$C$5:$T$44,$CU44,AF$57),""),1),""),IF(MID(IFERROR(INDEX(醫師週班表!$C$5:$T$44,$CU44,AF$57),""),2,1)="(",LEFT(IFERROR(INDEX(醫師週班表!$C$5:$T$44,$CU44,AF$57),""),1),IFERROR(INDEX(醫師週班表!$C$5:$T$44,$CU44,AF$57),"")))))))</f>
        <v/>
      </c>
      <c r="AG44" s="72">
        <f>IF(AG$59="X","",IF(AG$59&lt;&gt;"",AG$59,IF(IFERROR(INDEX(醫師週班表!$C$5:$T$44,$CU44,AG$57),"")=0,"",IF(MID(IFERROR(INDEX(醫師週班表!$C$5:$T$44,$CU44,AG$57),""),2,1)="/",MID(IFERROR(INDEX(醫師週班表!$C$5:$T$44,$CU44,AG$57),""),1+AG$58*2,1),IF(MID(IFERROR(INDEX(醫師週班表!$C$5:$T$44,$CU44,AG$57),""),3,1)="隔",IF(AG$58=0,LEFT(IFERROR(INDEX(醫師週班表!$C$5:$T$44,$CU44,AG$57),""),1),""),IF(MID(IFERROR(INDEX(醫師週班表!$C$5:$T$44,$CU44,AG$57),""),2,1)="(",LEFT(IFERROR(INDEX(醫師週班表!$C$5:$T$44,$CU44,AG$57),""),1),IFERROR(INDEX(醫師週班表!$C$5:$T$44,$CU44,AG$57),"")))))))</f>
        <v/>
      </c>
      <c r="AH44" s="72">
        <f>IF(AH$59="X","",IF(AH$59&lt;&gt;"",AH$59,IF(IFERROR(INDEX(醫師週班表!$C$5:$T$44,$CU44,AH$57),"")=0,"",IF(MID(IFERROR(INDEX(醫師週班表!$C$5:$T$44,$CU44,AH$57),""),2,1)="/",MID(IFERROR(INDEX(醫師週班表!$C$5:$T$44,$CU44,AH$57),""),1+AH$58*2,1),IF(MID(IFERROR(INDEX(醫師週班表!$C$5:$T$44,$CU44,AH$57),""),3,1)="隔",IF(AH$58=0,LEFT(IFERROR(INDEX(醫師週班表!$C$5:$T$44,$CU44,AH$57),""),1),""),IF(MID(IFERROR(INDEX(醫師週班表!$C$5:$T$44,$CU44,AH$57),""),2,1)="(",LEFT(IFERROR(INDEX(醫師週班表!$C$5:$T$44,$CU44,AH$57),""),1),IFERROR(INDEX(醫師週班表!$C$5:$T$44,$CU44,AH$57),"")))))))</f>
        <v/>
      </c>
      <c r="AI44" s="71">
        <f>IF(AI$59="X","",IF(AI$59&lt;&gt;"",AI$59,IF(IFERROR(INDEX(醫師週班表!$C$5:$T$44,$CU44,AI$57),"")=0,"",IF(MID(IFERROR(INDEX(醫師週班表!$C$5:$T$44,$CU44,AI$57),""),2,1)="/",MID(IFERROR(INDEX(醫師週班表!$C$5:$T$44,$CU44,AI$57),""),1+AI$58*2,1),IF(MID(IFERROR(INDEX(醫師週班表!$C$5:$T$44,$CU44,AI$57),""),3,1)="隔",IF(AI$58=0,LEFT(IFERROR(INDEX(醫師週班表!$C$5:$T$44,$CU44,AI$57),""),1),""),IF(MID(IFERROR(INDEX(醫師週班表!$C$5:$T$44,$CU44,AI$57),""),2,1)="(",LEFT(IFERROR(INDEX(醫師週班表!$C$5:$T$44,$CU44,AI$57),""),1),IFERROR(INDEX(醫師週班表!$C$5:$T$44,$CU44,AI$57),"")))))))</f>
        <v/>
      </c>
      <c r="AJ44" s="72">
        <f>IF(AJ$59="X","",IF(AJ$59&lt;&gt;"",AJ$59,IF(IFERROR(INDEX(醫師週班表!$C$5:$T$44,$CU44,AJ$57),"")=0,"",IF(MID(IFERROR(INDEX(醫師週班表!$C$5:$T$44,$CU44,AJ$57),""),2,1)="/",MID(IFERROR(INDEX(醫師週班表!$C$5:$T$44,$CU44,AJ$57),""),1+AJ$58*2,1),IF(MID(IFERROR(INDEX(醫師週班表!$C$5:$T$44,$CU44,AJ$57),""),3,1)="隔",IF(AJ$58=0,LEFT(IFERROR(INDEX(醫師週班表!$C$5:$T$44,$CU44,AJ$57),""),1),""),IF(MID(IFERROR(INDEX(醫師週班表!$C$5:$T$44,$CU44,AJ$57),""),2,1)="(",LEFT(IFERROR(INDEX(醫師週班表!$C$5:$T$44,$CU44,AJ$57),""),1),IFERROR(INDEX(醫師週班表!$C$5:$T$44,$CU44,AJ$57),"")))))))</f>
        <v/>
      </c>
      <c r="AK44" s="72">
        <f>IF(AK$59="X","",IF(AK$59&lt;&gt;"",AK$59,IF(IFERROR(INDEX(醫師週班表!$C$5:$T$44,$CU44,AK$57),"")=0,"",IF(MID(IFERROR(INDEX(醫師週班表!$C$5:$T$44,$CU44,AK$57),""),2,1)="/",MID(IFERROR(INDEX(醫師週班表!$C$5:$T$44,$CU44,AK$57),""),1+AK$58*2,1),IF(MID(IFERROR(INDEX(醫師週班表!$C$5:$T$44,$CU44,AK$57),""),3,1)="隔",IF(AK$58=0,LEFT(IFERROR(INDEX(醫師週班表!$C$5:$T$44,$CU44,AK$57),""),1),""),IF(MID(IFERROR(INDEX(醫師週班表!$C$5:$T$44,$CU44,AK$57),""),2,1)="(",LEFT(IFERROR(INDEX(醫師週班表!$C$5:$T$44,$CU44,AK$57),""),1),IFERROR(INDEX(醫師週班表!$C$5:$T$44,$CU44,AK$57),"")))))))</f>
        <v/>
      </c>
      <c r="AL44" s="71">
        <f>IF(AL$59="X","",IF(AL$59&lt;&gt;"",AL$59,IF(IFERROR(INDEX(醫師週班表!$C$5:$T$44,$CU44,AL$57),"")=0,"",IF(MID(IFERROR(INDEX(醫師週班表!$C$5:$T$44,$CU44,AL$57),""),2,1)="/",MID(IFERROR(INDEX(醫師週班表!$C$5:$T$44,$CU44,AL$57),""),1+AL$58*2,1),IF(MID(IFERROR(INDEX(醫師週班表!$C$5:$T$44,$CU44,AL$57),""),3,1)="隔",IF(AL$58=0,LEFT(IFERROR(INDEX(醫師週班表!$C$5:$T$44,$CU44,AL$57),""),1),""),IF(MID(IFERROR(INDEX(醫師週班表!$C$5:$T$44,$CU44,AL$57),""),2,1)="(",LEFT(IFERROR(INDEX(醫師週班表!$C$5:$T$44,$CU44,AL$57),""),1),IFERROR(INDEX(醫師週班表!$C$5:$T$44,$CU44,AL$57),"")))))))</f>
        <v/>
      </c>
      <c r="AM44" s="72">
        <f>IF(AM$59="X","",IF(AM$59&lt;&gt;"",AM$59,IF(IFERROR(INDEX(醫師週班表!$C$5:$T$44,$CU44,AM$57),"")=0,"",IF(MID(IFERROR(INDEX(醫師週班表!$C$5:$T$44,$CU44,AM$57),""),2,1)="/",MID(IFERROR(INDEX(醫師週班表!$C$5:$T$44,$CU44,AM$57),""),1+AM$58*2,1),IF(MID(IFERROR(INDEX(醫師週班表!$C$5:$T$44,$CU44,AM$57),""),3,1)="隔",IF(AM$58=0,LEFT(IFERROR(INDEX(醫師週班表!$C$5:$T$44,$CU44,AM$57),""),1),""),IF(MID(IFERROR(INDEX(醫師週班表!$C$5:$T$44,$CU44,AM$57),""),2,1)="(",LEFT(IFERROR(INDEX(醫師週班表!$C$5:$T$44,$CU44,AM$57),""),1),IFERROR(INDEX(醫師週班表!$C$5:$T$44,$CU44,AM$57),"")))))))</f>
        <v/>
      </c>
      <c r="AN44" s="72">
        <f>IF(AN$59="X","",IF(AN$59&lt;&gt;"",AN$59,IF(IFERROR(INDEX(醫師週班表!$C$5:$T$44,$CU44,AN$57),"")=0,"",IF(MID(IFERROR(INDEX(醫師週班表!$C$5:$T$44,$CU44,AN$57),""),2,1)="/",MID(IFERROR(INDEX(醫師週班表!$C$5:$T$44,$CU44,AN$57),""),1+AN$58*2,1),IF(MID(IFERROR(INDEX(醫師週班表!$C$5:$T$44,$CU44,AN$57),""),3,1)="隔",IF(AN$58=0,LEFT(IFERROR(INDEX(醫師週班表!$C$5:$T$44,$CU44,AN$57),""),1),""),IF(MID(IFERROR(INDEX(醫師週班表!$C$5:$T$44,$CU44,AN$57),""),2,1)="(",LEFT(IFERROR(INDEX(醫師週班表!$C$5:$T$44,$CU44,AN$57),""),1),IFERROR(INDEX(醫師週班表!$C$5:$T$44,$CU44,AN$57),"")))))))</f>
        <v/>
      </c>
      <c r="AO44" s="71">
        <f>IF(AO$59="X","",IF(AO$59&lt;&gt;"",AO$59,IF(IFERROR(INDEX(醫師週班表!$C$5:$T$44,$CU44,AO$57),"")=0,"",IF(MID(IFERROR(INDEX(醫師週班表!$C$5:$T$44,$CU44,AO$57),""),2,1)="/",MID(IFERROR(INDEX(醫師週班表!$C$5:$T$44,$CU44,AO$57),""),1+AO$58*2,1),IF(MID(IFERROR(INDEX(醫師週班表!$C$5:$T$44,$CU44,AO$57),""),3,1)="隔",IF(AO$58=0,LEFT(IFERROR(INDEX(醫師週班表!$C$5:$T$44,$CU44,AO$57),""),1),""),IF(MID(IFERROR(INDEX(醫師週班表!$C$5:$T$44,$CU44,AO$57),""),2,1)="(",LEFT(IFERROR(INDEX(醫師週班表!$C$5:$T$44,$CU44,AO$57),""),1),IFERROR(INDEX(醫師週班表!$C$5:$T$44,$CU44,AO$57),"")))))))</f>
        <v/>
      </c>
      <c r="AP44" s="72">
        <f>IF(AP$59="X","",IF(AP$59&lt;&gt;"",AP$59,IF(IFERROR(INDEX(醫師週班表!$C$5:$T$44,$CU44,AP$57),"")=0,"",IF(MID(IFERROR(INDEX(醫師週班表!$C$5:$T$44,$CU44,AP$57),""),2,1)="/",MID(IFERROR(INDEX(醫師週班表!$C$5:$T$44,$CU44,AP$57),""),1+AP$58*2,1),IF(MID(IFERROR(INDEX(醫師週班表!$C$5:$T$44,$CU44,AP$57),""),3,1)="隔",IF(AP$58=0,LEFT(IFERROR(INDEX(醫師週班表!$C$5:$T$44,$CU44,AP$57),""),1),""),IF(MID(IFERROR(INDEX(醫師週班表!$C$5:$T$44,$CU44,AP$57),""),2,1)="(",LEFT(IFERROR(INDEX(醫師週班表!$C$5:$T$44,$CU44,AP$57),""),1),IFERROR(INDEX(醫師週班表!$C$5:$T$44,$CU44,AP$57),"")))))))</f>
        <v/>
      </c>
      <c r="AQ44" s="72">
        <f>IF(AQ$59="X","",IF(AQ$59&lt;&gt;"",AQ$59,IF(IFERROR(INDEX(醫師週班表!$C$5:$T$44,$CU44,AQ$57),"")=0,"",IF(MID(IFERROR(INDEX(醫師週班表!$C$5:$T$44,$CU44,AQ$57),""),2,1)="/",MID(IFERROR(INDEX(醫師週班表!$C$5:$T$44,$CU44,AQ$57),""),1+AQ$58*2,1),IF(MID(IFERROR(INDEX(醫師週班表!$C$5:$T$44,$CU44,AQ$57),""),3,1)="隔",IF(AQ$58=0,LEFT(IFERROR(INDEX(醫師週班表!$C$5:$T$44,$CU44,AQ$57),""),1),""),IF(MID(IFERROR(INDEX(醫師週班表!$C$5:$T$44,$CU44,AQ$57),""),2,1)="(",LEFT(IFERROR(INDEX(醫師週班表!$C$5:$T$44,$CU44,AQ$57),""),1),IFERROR(INDEX(醫師週班表!$C$5:$T$44,$CU44,AQ$57),"")))))))</f>
        <v/>
      </c>
      <c r="AR44" s="71">
        <f>IF(AR$59="X","",IF(AR$59&lt;&gt;"",AR$59,IF(IFERROR(INDEX(醫師週班表!$C$5:$T$44,$CU44,AR$57),"")=0,"",IF(MID(IFERROR(INDEX(醫師週班表!$C$5:$T$44,$CU44,AR$57),""),2,1)="/",MID(IFERROR(INDEX(醫師週班表!$C$5:$T$44,$CU44,AR$57),""),1+AR$58*2,1),IF(MID(IFERROR(INDEX(醫師週班表!$C$5:$T$44,$CU44,AR$57),""),3,1)="隔",IF(AR$58=0,LEFT(IFERROR(INDEX(醫師週班表!$C$5:$T$44,$CU44,AR$57),""),1),""),IF(MID(IFERROR(INDEX(醫師週班表!$C$5:$T$44,$CU44,AR$57),""),2,1)="(",LEFT(IFERROR(INDEX(醫師週班表!$C$5:$T$44,$CU44,AR$57),""),1),IFERROR(INDEX(醫師週班表!$C$5:$T$44,$CU44,AR$57),"")))))))</f>
        <v/>
      </c>
      <c r="AS44" s="72">
        <f>IF(AS$59="X","",IF(AS$59&lt;&gt;"",AS$59,IF(IFERROR(INDEX(醫師週班表!$C$5:$T$44,$CU44,AS$57),"")=0,"",IF(MID(IFERROR(INDEX(醫師週班表!$C$5:$T$44,$CU44,AS$57),""),2,1)="/",MID(IFERROR(INDEX(醫師週班表!$C$5:$T$44,$CU44,AS$57),""),1+AS$58*2,1),IF(MID(IFERROR(INDEX(醫師週班表!$C$5:$T$44,$CU44,AS$57),""),3,1)="隔",IF(AS$58=0,LEFT(IFERROR(INDEX(醫師週班表!$C$5:$T$44,$CU44,AS$57),""),1),""),IF(MID(IFERROR(INDEX(醫師週班表!$C$5:$T$44,$CU44,AS$57),""),2,1)="(",LEFT(IFERROR(INDEX(醫師週班表!$C$5:$T$44,$CU44,AS$57),""),1),IFERROR(INDEX(醫師週班表!$C$5:$T$44,$CU44,AS$57),"")))))))</f>
        <v/>
      </c>
      <c r="AT44" s="72">
        <f>IF(AT$59="X","",IF(AT$59&lt;&gt;"",AT$59,IF(IFERROR(INDEX(醫師週班表!$C$5:$T$44,$CU44,AT$57),"")=0,"",IF(MID(IFERROR(INDEX(醫師週班表!$C$5:$T$44,$CU44,AT$57),""),2,1)="/",MID(IFERROR(INDEX(醫師週班表!$C$5:$T$44,$CU44,AT$57),""),1+AT$58*2,1),IF(MID(IFERROR(INDEX(醫師週班表!$C$5:$T$44,$CU44,AT$57),""),3,1)="隔",IF(AT$58=0,LEFT(IFERROR(INDEX(醫師週班表!$C$5:$T$44,$CU44,AT$57),""),1),""),IF(MID(IFERROR(INDEX(醫師週班表!$C$5:$T$44,$CU44,AT$57),""),2,1)="(",LEFT(IFERROR(INDEX(醫師週班表!$C$5:$T$44,$CU44,AT$57),""),1),IFERROR(INDEX(醫師週班表!$C$5:$T$44,$CU44,AT$57),"")))))))</f>
        <v/>
      </c>
      <c r="AU44" s="71">
        <f>IF(AU$59="X","",IF(AU$59&lt;&gt;"",AU$59,IF(IFERROR(INDEX(醫師週班表!$C$5:$T$44,$CU44,AU$57),"")=0,"",IF(MID(IFERROR(INDEX(醫師週班表!$C$5:$T$44,$CU44,AU$57),""),2,1)="/",MID(IFERROR(INDEX(醫師週班表!$C$5:$T$44,$CU44,AU$57),""),1+AU$58*2,1),IF(MID(IFERROR(INDEX(醫師週班表!$C$5:$T$44,$CU44,AU$57),""),3,1)="隔",IF(AU$58=0,LEFT(IFERROR(INDEX(醫師週班表!$C$5:$T$44,$CU44,AU$57),""),1),""),IF(MID(IFERROR(INDEX(醫師週班表!$C$5:$T$44,$CU44,AU$57),""),2,1)="(",LEFT(IFERROR(INDEX(醫師週班表!$C$5:$T$44,$CU44,AU$57),""),1),IFERROR(INDEX(醫師週班表!$C$5:$T$44,$CU44,AU$57),"")))))))</f>
        <v/>
      </c>
      <c r="AV44" s="72">
        <f>IF(AV$59="X","",IF(AV$59&lt;&gt;"",AV$59,IF(IFERROR(INDEX(醫師週班表!$C$5:$T$44,$CU44,AV$57),"")=0,"",IF(MID(IFERROR(INDEX(醫師週班表!$C$5:$T$44,$CU44,AV$57),""),2,1)="/",MID(IFERROR(INDEX(醫師週班表!$C$5:$T$44,$CU44,AV$57),""),1+AV$58*2,1),IF(MID(IFERROR(INDEX(醫師週班表!$C$5:$T$44,$CU44,AV$57),""),3,1)="隔",IF(AV$58=0,LEFT(IFERROR(INDEX(醫師週班表!$C$5:$T$44,$CU44,AV$57),""),1),""),IF(MID(IFERROR(INDEX(醫師週班表!$C$5:$T$44,$CU44,AV$57),""),2,1)="(",LEFT(IFERROR(INDEX(醫師週班表!$C$5:$T$44,$CU44,AV$57),""),1),IFERROR(INDEX(醫師週班表!$C$5:$T$44,$CU44,AV$57),"")))))))</f>
        <v/>
      </c>
      <c r="AW44" s="72">
        <f>IF(AW$59="X","",IF(AW$59&lt;&gt;"",AW$59,IF(IFERROR(INDEX(醫師週班表!$C$5:$T$44,$CU44,AW$57),"")=0,"",IF(MID(IFERROR(INDEX(醫師週班表!$C$5:$T$44,$CU44,AW$57),""),2,1)="/",MID(IFERROR(INDEX(醫師週班表!$C$5:$T$44,$CU44,AW$57),""),1+AW$58*2,1),IF(MID(IFERROR(INDEX(醫師週班表!$C$5:$T$44,$CU44,AW$57),""),3,1)="隔",IF(AW$58=0,LEFT(IFERROR(INDEX(醫師週班表!$C$5:$T$44,$CU44,AW$57),""),1),""),IF(MID(IFERROR(INDEX(醫師週班表!$C$5:$T$44,$CU44,AW$57),""),2,1)="(",LEFT(IFERROR(INDEX(醫師週班表!$C$5:$T$44,$CU44,AW$57),""),1),IFERROR(INDEX(醫師週班表!$C$5:$T$44,$CU44,AW$57),"")))))))</f>
        <v/>
      </c>
      <c r="AX44" s="71">
        <f>IF(AX$59="X","",IF(AX$59&lt;&gt;"",AX$59,IF(IFERROR(INDEX(醫師週班表!$C$5:$T$44,$CU44,AX$57),"")=0,"",IF(MID(IFERROR(INDEX(醫師週班表!$C$5:$T$44,$CU44,AX$57),""),2,1)="/",MID(IFERROR(INDEX(醫師週班表!$C$5:$T$44,$CU44,AX$57),""),1+AX$58*2,1),IF(MID(IFERROR(INDEX(醫師週班表!$C$5:$T$44,$CU44,AX$57),""),3,1)="隔",IF(AX$58=0,LEFT(IFERROR(INDEX(醫師週班表!$C$5:$T$44,$CU44,AX$57),""),1),""),IF(MID(IFERROR(INDEX(醫師週班表!$C$5:$T$44,$CU44,AX$57),""),2,1)="(",LEFT(IFERROR(INDEX(醫師週班表!$C$5:$T$44,$CU44,AX$57),""),1),IFERROR(INDEX(醫師週班表!$C$5:$T$44,$CU44,AX$57),"")))))))</f>
        <v/>
      </c>
      <c r="AY44" s="72">
        <f>IF(AY$59="X","",IF(AY$59&lt;&gt;"",AY$59,IF(IFERROR(INDEX(醫師週班表!$C$5:$T$44,$CU44,AY$57),"")=0,"",IF(MID(IFERROR(INDEX(醫師週班表!$C$5:$T$44,$CU44,AY$57),""),2,1)="/",MID(IFERROR(INDEX(醫師週班表!$C$5:$T$44,$CU44,AY$57),""),1+AY$58*2,1),IF(MID(IFERROR(INDEX(醫師週班表!$C$5:$T$44,$CU44,AY$57),""),3,1)="隔",IF(AY$58=0,LEFT(IFERROR(INDEX(醫師週班表!$C$5:$T$44,$CU44,AY$57),""),1),""),IF(MID(IFERROR(INDEX(醫師週班表!$C$5:$T$44,$CU44,AY$57),""),2,1)="(",LEFT(IFERROR(INDEX(醫師週班表!$C$5:$T$44,$CU44,AY$57),""),1),IFERROR(INDEX(醫師週班表!$C$5:$T$44,$CU44,AY$57),"")))))))</f>
        <v/>
      </c>
      <c r="AZ44" s="72">
        <f>IF(AZ$59="X","",IF(AZ$59&lt;&gt;"",AZ$59,IF(IFERROR(INDEX(醫師週班表!$C$5:$T$44,$CU44,AZ$57),"")=0,"",IF(MID(IFERROR(INDEX(醫師週班表!$C$5:$T$44,$CU44,AZ$57),""),2,1)="/",MID(IFERROR(INDEX(醫師週班表!$C$5:$T$44,$CU44,AZ$57),""),1+AZ$58*2,1),IF(MID(IFERROR(INDEX(醫師週班表!$C$5:$T$44,$CU44,AZ$57),""),3,1)="隔",IF(AZ$58=0,LEFT(IFERROR(INDEX(醫師週班表!$C$5:$T$44,$CU44,AZ$57),""),1),""),IF(MID(IFERROR(INDEX(醫師週班表!$C$5:$T$44,$CU44,AZ$57),""),2,1)="(",LEFT(IFERROR(INDEX(醫師週班表!$C$5:$T$44,$CU44,AZ$57),""),1),IFERROR(INDEX(醫師週班表!$C$5:$T$44,$CU44,AZ$57),"")))))))</f>
        <v/>
      </c>
      <c r="BA44" s="71">
        <f>IF(BA$59="X","",IF(BA$59&lt;&gt;"",BA$59,IF(IFERROR(INDEX(醫師週班表!$C$5:$T$44,$CU44,BA$57),"")=0,"",IF(MID(IFERROR(INDEX(醫師週班表!$C$5:$T$44,$CU44,BA$57),""),2,1)="/",MID(IFERROR(INDEX(醫師週班表!$C$5:$T$44,$CU44,BA$57),""),1+BA$58*2,1),IF(MID(IFERROR(INDEX(醫師週班表!$C$5:$T$44,$CU44,BA$57),""),3,1)="隔",IF(BA$58=0,LEFT(IFERROR(INDEX(醫師週班表!$C$5:$T$44,$CU44,BA$57),""),1),""),IF(MID(IFERROR(INDEX(醫師週班表!$C$5:$T$44,$CU44,BA$57),""),2,1)="(",LEFT(IFERROR(INDEX(醫師週班表!$C$5:$T$44,$CU44,BA$57),""),1),IFERROR(INDEX(醫師週班表!$C$5:$T$44,$CU44,BA$57),"")))))))</f>
        <v/>
      </c>
      <c r="BB44" s="72">
        <f>IF(BB$59="X","",IF(BB$59&lt;&gt;"",BB$59,IF(IFERROR(INDEX(醫師週班表!$C$5:$T$44,$CU44,BB$57),"")=0,"",IF(MID(IFERROR(INDEX(醫師週班表!$C$5:$T$44,$CU44,BB$57),""),2,1)="/",MID(IFERROR(INDEX(醫師週班表!$C$5:$T$44,$CU44,BB$57),""),1+BB$58*2,1),IF(MID(IFERROR(INDEX(醫師週班表!$C$5:$T$44,$CU44,BB$57),""),3,1)="隔",IF(BB$58=0,LEFT(IFERROR(INDEX(醫師週班表!$C$5:$T$44,$CU44,BB$57),""),1),""),IF(MID(IFERROR(INDEX(醫師週班表!$C$5:$T$44,$CU44,BB$57),""),2,1)="(",LEFT(IFERROR(INDEX(醫師週班表!$C$5:$T$44,$CU44,BB$57),""),1),IFERROR(INDEX(醫師週班表!$C$5:$T$44,$CU44,BB$57),"")))))))</f>
        <v/>
      </c>
      <c r="BC44" s="72">
        <f>IF(BC$59="X","",IF(BC$59&lt;&gt;"",BC$59,IF(IFERROR(INDEX(醫師週班表!$C$5:$T$44,$CU44,BC$57),"")=0,"",IF(MID(IFERROR(INDEX(醫師週班表!$C$5:$T$44,$CU44,BC$57),""),2,1)="/",MID(IFERROR(INDEX(醫師週班表!$C$5:$T$44,$CU44,BC$57),""),1+BC$58*2,1),IF(MID(IFERROR(INDEX(醫師週班表!$C$5:$T$44,$CU44,BC$57),""),3,1)="隔",IF(BC$58=0,LEFT(IFERROR(INDEX(醫師週班表!$C$5:$T$44,$CU44,BC$57),""),1),""),IF(MID(IFERROR(INDEX(醫師週班表!$C$5:$T$44,$CU44,BC$57),""),2,1)="(",LEFT(IFERROR(INDEX(醫師週班表!$C$5:$T$44,$CU44,BC$57),""),1),IFERROR(INDEX(醫師週班表!$C$5:$T$44,$CU44,BC$57),"")))))))</f>
        <v/>
      </c>
      <c r="BD44" s="71">
        <f>IF(BD$59="X","",IF(BD$59&lt;&gt;"",BD$59,IF(IFERROR(INDEX(醫師週班表!$C$5:$T$44,$CU44,BD$57),"")=0,"",IF(MID(IFERROR(INDEX(醫師週班表!$C$5:$T$44,$CU44,BD$57),""),2,1)="/",MID(IFERROR(INDEX(醫師週班表!$C$5:$T$44,$CU44,BD$57),""),1+BD$58*2,1),IF(MID(IFERROR(INDEX(醫師週班表!$C$5:$T$44,$CU44,BD$57),""),3,1)="隔",IF(BD$58=0,LEFT(IFERROR(INDEX(醫師週班表!$C$5:$T$44,$CU44,BD$57),""),1),""),IF(MID(IFERROR(INDEX(醫師週班表!$C$5:$T$44,$CU44,BD$57),""),2,1)="(",LEFT(IFERROR(INDEX(醫師週班表!$C$5:$T$44,$CU44,BD$57),""),1),IFERROR(INDEX(醫師週班表!$C$5:$T$44,$CU44,BD$57),"")))))))</f>
        <v/>
      </c>
      <c r="BE44" s="72">
        <f>IF(BE$59="X","",IF(BE$59&lt;&gt;"",BE$59,IF(IFERROR(INDEX(醫師週班表!$C$5:$T$44,$CU44,BE$57),"")=0,"",IF(MID(IFERROR(INDEX(醫師週班表!$C$5:$T$44,$CU44,BE$57),""),2,1)="/",MID(IFERROR(INDEX(醫師週班表!$C$5:$T$44,$CU44,BE$57),""),1+BE$58*2,1),IF(MID(IFERROR(INDEX(醫師週班表!$C$5:$T$44,$CU44,BE$57),""),3,1)="隔",IF(BE$58=0,LEFT(IFERROR(INDEX(醫師週班表!$C$5:$T$44,$CU44,BE$57),""),1),""),IF(MID(IFERROR(INDEX(醫師週班表!$C$5:$T$44,$CU44,BE$57),""),2,1)="(",LEFT(IFERROR(INDEX(醫師週班表!$C$5:$T$44,$CU44,BE$57),""),1),IFERROR(INDEX(醫師週班表!$C$5:$T$44,$CU44,BE$57),"")))))))</f>
        <v/>
      </c>
      <c r="BF44" s="72">
        <f>IF(BF$59="X","",IF(BF$59&lt;&gt;"",BF$59,IF(IFERROR(INDEX(醫師週班表!$C$5:$T$44,$CU44,BF$57),"")=0,"",IF(MID(IFERROR(INDEX(醫師週班表!$C$5:$T$44,$CU44,BF$57),""),2,1)="/",MID(IFERROR(INDEX(醫師週班表!$C$5:$T$44,$CU44,BF$57),""),1+BF$58*2,1),IF(MID(IFERROR(INDEX(醫師週班表!$C$5:$T$44,$CU44,BF$57),""),3,1)="隔",IF(BF$58=0,LEFT(IFERROR(INDEX(醫師週班表!$C$5:$T$44,$CU44,BF$57),""),1),""),IF(MID(IFERROR(INDEX(醫師週班表!$C$5:$T$44,$CU44,BF$57),""),2,1)="(",LEFT(IFERROR(INDEX(醫師週班表!$C$5:$T$44,$CU44,BF$57),""),1),IFERROR(INDEX(醫師週班表!$C$5:$T$44,$CU44,BF$57),"")))))))</f>
        <v/>
      </c>
      <c r="BG44" s="71">
        <f>IF(BG$59="X","",IF(BG$59&lt;&gt;"",BG$59,IF(IFERROR(INDEX(醫師週班表!$C$5:$T$44,$CU44,BG$57),"")=0,"",IF(MID(IFERROR(INDEX(醫師週班表!$C$5:$T$44,$CU44,BG$57),""),2,1)="/",MID(IFERROR(INDEX(醫師週班表!$C$5:$T$44,$CU44,BG$57),""),1+BG$58*2,1),IF(MID(IFERROR(INDEX(醫師週班表!$C$5:$T$44,$CU44,BG$57),""),3,1)="隔",IF(BG$58=0,LEFT(IFERROR(INDEX(醫師週班表!$C$5:$T$44,$CU44,BG$57),""),1),""),IF(MID(IFERROR(INDEX(醫師週班表!$C$5:$T$44,$CU44,BG$57),""),2,1)="(",LEFT(IFERROR(INDEX(醫師週班表!$C$5:$T$44,$CU44,BG$57),""),1),IFERROR(INDEX(醫師週班表!$C$5:$T$44,$CU44,BG$57),"")))))))</f>
        <v/>
      </c>
      <c r="BH44" s="72">
        <f>IF(BH$59="X","",IF(BH$59&lt;&gt;"",BH$59,IF(IFERROR(INDEX(醫師週班表!$C$5:$T$44,$CU44,BH$57),"")=0,"",IF(MID(IFERROR(INDEX(醫師週班表!$C$5:$T$44,$CU44,BH$57),""),2,1)="/",MID(IFERROR(INDEX(醫師週班表!$C$5:$T$44,$CU44,BH$57),""),1+BH$58*2,1),IF(MID(IFERROR(INDEX(醫師週班表!$C$5:$T$44,$CU44,BH$57),""),3,1)="隔",IF(BH$58=0,LEFT(IFERROR(INDEX(醫師週班表!$C$5:$T$44,$CU44,BH$57),""),1),""),IF(MID(IFERROR(INDEX(醫師週班表!$C$5:$T$44,$CU44,BH$57),""),2,1)="(",LEFT(IFERROR(INDEX(醫師週班表!$C$5:$T$44,$CU44,BH$57),""),1),IFERROR(INDEX(醫師週班表!$C$5:$T$44,$CU44,BH$57),"")))))))</f>
        <v/>
      </c>
      <c r="BI44" s="72">
        <f>IF(BI$59="X","",IF(BI$59&lt;&gt;"",BI$59,IF(IFERROR(INDEX(醫師週班表!$C$5:$T$44,$CU44,BI$57),"")=0,"",IF(MID(IFERROR(INDEX(醫師週班表!$C$5:$T$44,$CU44,BI$57),""),2,1)="/",MID(IFERROR(INDEX(醫師週班表!$C$5:$T$44,$CU44,BI$57),""),1+BI$58*2,1),IF(MID(IFERROR(INDEX(醫師週班表!$C$5:$T$44,$CU44,BI$57),""),3,1)="隔",IF(BI$58=0,LEFT(IFERROR(INDEX(醫師週班表!$C$5:$T$44,$CU44,BI$57),""),1),""),IF(MID(IFERROR(INDEX(醫師週班表!$C$5:$T$44,$CU44,BI$57),""),2,1)="(",LEFT(IFERROR(INDEX(醫師週班表!$C$5:$T$44,$CU44,BI$57),""),1),IFERROR(INDEX(醫師週班表!$C$5:$T$44,$CU44,BI$57),"")))))))</f>
        <v/>
      </c>
      <c r="BJ44" s="71">
        <f>IF(BJ$59="X","",IF(BJ$59&lt;&gt;"",BJ$59,IF(IFERROR(INDEX(醫師週班表!$C$5:$T$44,$CU44,BJ$57),"")=0,"",IF(MID(IFERROR(INDEX(醫師週班表!$C$5:$T$44,$CU44,BJ$57),""),2,1)="/",MID(IFERROR(INDEX(醫師週班表!$C$5:$T$44,$CU44,BJ$57),""),1+BJ$58*2,1),IF(MID(IFERROR(INDEX(醫師週班表!$C$5:$T$44,$CU44,BJ$57),""),3,1)="隔",IF(BJ$58=0,LEFT(IFERROR(INDEX(醫師週班表!$C$5:$T$44,$CU44,BJ$57),""),1),""),IF(MID(IFERROR(INDEX(醫師週班表!$C$5:$T$44,$CU44,BJ$57),""),2,1)="(",LEFT(IFERROR(INDEX(醫師週班表!$C$5:$T$44,$CU44,BJ$57),""),1),IFERROR(INDEX(醫師週班表!$C$5:$T$44,$CU44,BJ$57),"")))))))</f>
        <v/>
      </c>
      <c r="BK44" s="72">
        <f>IF(BK$59="X","",IF(BK$59&lt;&gt;"",BK$59,IF(IFERROR(INDEX(醫師週班表!$C$5:$T$44,$CU44,BK$57),"")=0,"",IF(MID(IFERROR(INDEX(醫師週班表!$C$5:$T$44,$CU44,BK$57),""),2,1)="/",MID(IFERROR(INDEX(醫師週班表!$C$5:$T$44,$CU44,BK$57),""),1+BK$58*2,1),IF(MID(IFERROR(INDEX(醫師週班表!$C$5:$T$44,$CU44,BK$57),""),3,1)="隔",IF(BK$58=0,LEFT(IFERROR(INDEX(醫師週班表!$C$5:$T$44,$CU44,BK$57),""),1),""),IF(MID(IFERROR(INDEX(醫師週班表!$C$5:$T$44,$CU44,BK$57),""),2,1)="(",LEFT(IFERROR(INDEX(醫師週班表!$C$5:$T$44,$CU44,BK$57),""),1),IFERROR(INDEX(醫師週班表!$C$5:$T$44,$CU44,BK$57),"")))))))</f>
        <v/>
      </c>
      <c r="BL44" s="72">
        <f>IF(BL$59="X","",IF(BL$59&lt;&gt;"",BL$59,IF(IFERROR(INDEX(醫師週班表!$C$5:$T$44,$CU44,BL$57),"")=0,"",IF(MID(IFERROR(INDEX(醫師週班表!$C$5:$T$44,$CU44,BL$57),""),2,1)="/",MID(IFERROR(INDEX(醫師週班表!$C$5:$T$44,$CU44,BL$57),""),1+BL$58*2,1),IF(MID(IFERROR(INDEX(醫師週班表!$C$5:$T$44,$CU44,BL$57),""),3,1)="隔",IF(BL$58=0,LEFT(IFERROR(INDEX(醫師週班表!$C$5:$T$44,$CU44,BL$57),""),1),""),IF(MID(IFERROR(INDEX(醫師週班表!$C$5:$T$44,$CU44,BL$57),""),2,1)="(",LEFT(IFERROR(INDEX(醫師週班表!$C$5:$T$44,$CU44,BL$57),""),1),IFERROR(INDEX(醫師週班表!$C$5:$T$44,$CU44,BL$57),"")))))))</f>
        <v/>
      </c>
      <c r="BM44" s="71">
        <f>IF(BM$59="X","",IF(BM$59&lt;&gt;"",BM$59,IF(IFERROR(INDEX(醫師週班表!$C$5:$T$44,$CU44,BM$57),"")=0,"",IF(MID(IFERROR(INDEX(醫師週班表!$C$5:$T$44,$CU44,BM$57),""),2,1)="/",MID(IFERROR(INDEX(醫師週班表!$C$5:$T$44,$CU44,BM$57),""),1+BM$58*2,1),IF(MID(IFERROR(INDEX(醫師週班表!$C$5:$T$44,$CU44,BM$57),""),3,1)="隔",IF(BM$58=0,LEFT(IFERROR(INDEX(醫師週班表!$C$5:$T$44,$CU44,BM$57),""),1),""),IF(MID(IFERROR(INDEX(醫師週班表!$C$5:$T$44,$CU44,BM$57),""),2,1)="(",LEFT(IFERROR(INDEX(醫師週班表!$C$5:$T$44,$CU44,BM$57),""),1),IFERROR(INDEX(醫師週班表!$C$5:$T$44,$CU44,BM$57),"")))))))</f>
        <v/>
      </c>
      <c r="BN44" s="72">
        <f>IF(BN$59="X","",IF(BN$59&lt;&gt;"",BN$59,IF(IFERROR(INDEX(醫師週班表!$C$5:$T$44,$CU44,BN$57),"")=0,"",IF(MID(IFERROR(INDEX(醫師週班表!$C$5:$T$44,$CU44,BN$57),""),2,1)="/",MID(IFERROR(INDEX(醫師週班表!$C$5:$T$44,$CU44,BN$57),""),1+BN$58*2,1),IF(MID(IFERROR(INDEX(醫師週班表!$C$5:$T$44,$CU44,BN$57),""),3,1)="隔",IF(BN$58=0,LEFT(IFERROR(INDEX(醫師週班表!$C$5:$T$44,$CU44,BN$57),""),1),""),IF(MID(IFERROR(INDEX(醫師週班表!$C$5:$T$44,$CU44,BN$57),""),2,1)="(",LEFT(IFERROR(INDEX(醫師週班表!$C$5:$T$44,$CU44,BN$57),""),1),IFERROR(INDEX(醫師週班表!$C$5:$T$44,$CU44,BN$57),"")))))))</f>
        <v/>
      </c>
      <c r="BO44" s="72">
        <f>IF(BO$59="X","",IF(BO$59&lt;&gt;"",BO$59,IF(IFERROR(INDEX(醫師週班表!$C$5:$T$44,$CU44,BO$57),"")=0,"",IF(MID(IFERROR(INDEX(醫師週班表!$C$5:$T$44,$CU44,BO$57),""),2,1)="/",MID(IFERROR(INDEX(醫師週班表!$C$5:$T$44,$CU44,BO$57),""),1+BO$58*2,1),IF(MID(IFERROR(INDEX(醫師週班表!$C$5:$T$44,$CU44,BO$57),""),3,1)="隔",IF(BO$58=0,LEFT(IFERROR(INDEX(醫師週班表!$C$5:$T$44,$CU44,BO$57),""),1),""),IF(MID(IFERROR(INDEX(醫師週班表!$C$5:$T$44,$CU44,BO$57),""),2,1)="(",LEFT(IFERROR(INDEX(醫師週班表!$C$5:$T$44,$CU44,BO$57),""),1),IFERROR(INDEX(醫師週班表!$C$5:$T$44,$CU44,BO$57),"")))))))</f>
        <v/>
      </c>
      <c r="BP44" s="71">
        <f>IF(BP$59="X","",IF(BP$59&lt;&gt;"",BP$59,IF(IFERROR(INDEX(醫師週班表!$C$5:$T$44,$CU44,BP$57),"")=0,"",IF(MID(IFERROR(INDEX(醫師週班表!$C$5:$T$44,$CU44,BP$57),""),2,1)="/",MID(IFERROR(INDEX(醫師週班表!$C$5:$T$44,$CU44,BP$57),""),1+BP$58*2,1),IF(MID(IFERROR(INDEX(醫師週班表!$C$5:$T$44,$CU44,BP$57),""),3,1)="隔",IF(BP$58=0,LEFT(IFERROR(INDEX(醫師週班表!$C$5:$T$44,$CU44,BP$57),""),1),""),IF(MID(IFERROR(INDEX(醫師週班表!$C$5:$T$44,$CU44,BP$57),""),2,1)="(",LEFT(IFERROR(INDEX(醫師週班表!$C$5:$T$44,$CU44,BP$57),""),1),IFERROR(INDEX(醫師週班表!$C$5:$T$44,$CU44,BP$57),"")))))))</f>
        <v/>
      </c>
      <c r="BQ44" s="72">
        <f>IF(BQ$59="X","",IF(BQ$59&lt;&gt;"",BQ$59,IF(IFERROR(INDEX(醫師週班表!$C$5:$T$44,$CU44,BQ$57),"")=0,"",IF(MID(IFERROR(INDEX(醫師週班表!$C$5:$T$44,$CU44,BQ$57),""),2,1)="/",MID(IFERROR(INDEX(醫師週班表!$C$5:$T$44,$CU44,BQ$57),""),1+BQ$58*2,1),IF(MID(IFERROR(INDEX(醫師週班表!$C$5:$T$44,$CU44,BQ$57),""),3,1)="隔",IF(BQ$58=0,LEFT(IFERROR(INDEX(醫師週班表!$C$5:$T$44,$CU44,BQ$57),""),1),""),IF(MID(IFERROR(INDEX(醫師週班表!$C$5:$T$44,$CU44,BQ$57),""),2,1)="(",LEFT(IFERROR(INDEX(醫師週班表!$C$5:$T$44,$CU44,BQ$57),""),1),IFERROR(INDEX(醫師週班表!$C$5:$T$44,$CU44,BQ$57),"")))))))</f>
        <v/>
      </c>
      <c r="BR44" s="72">
        <f>IF(BR$59="X","",IF(BR$59&lt;&gt;"",BR$59,IF(IFERROR(INDEX(醫師週班表!$C$5:$T$44,$CU44,BR$57),"")=0,"",IF(MID(IFERROR(INDEX(醫師週班表!$C$5:$T$44,$CU44,BR$57),""),2,1)="/",MID(IFERROR(INDEX(醫師週班表!$C$5:$T$44,$CU44,BR$57),""),1+BR$58*2,1),IF(MID(IFERROR(INDEX(醫師週班表!$C$5:$T$44,$CU44,BR$57),""),3,1)="隔",IF(BR$58=0,LEFT(IFERROR(INDEX(醫師週班表!$C$5:$T$44,$CU44,BR$57),""),1),""),IF(MID(IFERROR(INDEX(醫師週班表!$C$5:$T$44,$CU44,BR$57),""),2,1)="(",LEFT(IFERROR(INDEX(醫師週班表!$C$5:$T$44,$CU44,BR$57),""),1),IFERROR(INDEX(醫師週班表!$C$5:$T$44,$CU44,BR$57),"")))))))</f>
        <v/>
      </c>
      <c r="BS44" s="71">
        <f>IF(BS$59="X","",IF(BS$59&lt;&gt;"",BS$59,IF(IFERROR(INDEX(醫師週班表!$C$5:$T$44,$CU44,BS$57),"")=0,"",IF(MID(IFERROR(INDEX(醫師週班表!$C$5:$T$44,$CU44,BS$57),""),2,1)="/",MID(IFERROR(INDEX(醫師週班表!$C$5:$T$44,$CU44,BS$57),""),1+BS$58*2,1),IF(MID(IFERROR(INDEX(醫師週班表!$C$5:$T$44,$CU44,BS$57),""),3,1)="隔",IF(BS$58=0,LEFT(IFERROR(INDEX(醫師週班表!$C$5:$T$44,$CU44,BS$57),""),1),""),IF(MID(IFERROR(INDEX(醫師週班表!$C$5:$T$44,$CU44,BS$57),""),2,1)="(",LEFT(IFERROR(INDEX(醫師週班表!$C$5:$T$44,$CU44,BS$57),""),1),IFERROR(INDEX(醫師週班表!$C$5:$T$44,$CU44,BS$57),"")))))))</f>
        <v/>
      </c>
      <c r="BT44" s="72">
        <f>IF(BT$59="X","",IF(BT$59&lt;&gt;"",BT$59,IF(IFERROR(INDEX(醫師週班表!$C$5:$T$44,$CU44,BT$57),"")=0,"",IF(MID(IFERROR(INDEX(醫師週班表!$C$5:$T$44,$CU44,BT$57),""),2,1)="/",MID(IFERROR(INDEX(醫師週班表!$C$5:$T$44,$CU44,BT$57),""),1+BT$58*2,1),IF(MID(IFERROR(INDEX(醫師週班表!$C$5:$T$44,$CU44,BT$57),""),3,1)="隔",IF(BT$58=0,LEFT(IFERROR(INDEX(醫師週班表!$C$5:$T$44,$CU44,BT$57),""),1),""),IF(MID(IFERROR(INDEX(醫師週班表!$C$5:$T$44,$CU44,BT$57),""),2,1)="(",LEFT(IFERROR(INDEX(醫師週班表!$C$5:$T$44,$CU44,BT$57),""),1),IFERROR(INDEX(醫師週班表!$C$5:$T$44,$CU44,BT$57),"")))))))</f>
        <v/>
      </c>
      <c r="BU44" s="72">
        <f>IF(BU$59="X","",IF(BU$59&lt;&gt;"",BU$59,IF(IFERROR(INDEX(醫師週班表!$C$5:$T$44,$CU44,BU$57),"")=0,"",IF(MID(IFERROR(INDEX(醫師週班表!$C$5:$T$44,$CU44,BU$57),""),2,1)="/",MID(IFERROR(INDEX(醫師週班表!$C$5:$T$44,$CU44,BU$57),""),1+BU$58*2,1),IF(MID(IFERROR(INDEX(醫師週班表!$C$5:$T$44,$CU44,BU$57),""),3,1)="隔",IF(BU$58=0,LEFT(IFERROR(INDEX(醫師週班表!$C$5:$T$44,$CU44,BU$57),""),1),""),IF(MID(IFERROR(INDEX(醫師週班表!$C$5:$T$44,$CU44,BU$57),""),2,1)="(",LEFT(IFERROR(INDEX(醫師週班表!$C$5:$T$44,$CU44,BU$57),""),1),IFERROR(INDEX(醫師週班表!$C$5:$T$44,$CU44,BU$57),"")))))))</f>
        <v/>
      </c>
      <c r="BV44" s="71">
        <f>IF(BV$59="X","",IF(BV$59&lt;&gt;"",BV$59,IF(IFERROR(INDEX(醫師週班表!$C$5:$T$44,$CU44,BV$57),"")=0,"",IF(MID(IFERROR(INDEX(醫師週班表!$C$5:$T$44,$CU44,BV$57),""),2,1)="/",MID(IFERROR(INDEX(醫師週班表!$C$5:$T$44,$CU44,BV$57),""),1+BV$58*2,1),IF(MID(IFERROR(INDEX(醫師週班表!$C$5:$T$44,$CU44,BV$57),""),3,1)="隔",IF(BV$58=0,LEFT(IFERROR(INDEX(醫師週班表!$C$5:$T$44,$CU44,BV$57),""),1),""),IF(MID(IFERROR(INDEX(醫師週班表!$C$5:$T$44,$CU44,BV$57),""),2,1)="(",LEFT(IFERROR(INDEX(醫師週班表!$C$5:$T$44,$CU44,BV$57),""),1),IFERROR(INDEX(醫師週班表!$C$5:$T$44,$CU44,BV$57),"")))))))</f>
        <v/>
      </c>
      <c r="BW44" s="72">
        <f>IF(BW$59="X","",IF(BW$59&lt;&gt;"",BW$59,IF(IFERROR(INDEX(醫師週班表!$C$5:$T$44,$CU44,BW$57),"")=0,"",IF(MID(IFERROR(INDEX(醫師週班表!$C$5:$T$44,$CU44,BW$57),""),2,1)="/",MID(IFERROR(INDEX(醫師週班表!$C$5:$T$44,$CU44,BW$57),""),1+BW$58*2,1),IF(MID(IFERROR(INDEX(醫師週班表!$C$5:$T$44,$CU44,BW$57),""),3,1)="隔",IF(BW$58=0,LEFT(IFERROR(INDEX(醫師週班表!$C$5:$T$44,$CU44,BW$57),""),1),""),IF(MID(IFERROR(INDEX(醫師週班表!$C$5:$T$44,$CU44,BW$57),""),2,1)="(",LEFT(IFERROR(INDEX(醫師週班表!$C$5:$T$44,$CU44,BW$57),""),1),IFERROR(INDEX(醫師週班表!$C$5:$T$44,$CU44,BW$57),"")))))))</f>
        <v/>
      </c>
      <c r="BX44" s="72">
        <f>IF(BX$59="X","",IF(BX$59&lt;&gt;"",BX$59,IF(IFERROR(INDEX(醫師週班表!$C$5:$T$44,$CU44,BX$57),"")=0,"",IF(MID(IFERROR(INDEX(醫師週班表!$C$5:$T$44,$CU44,BX$57),""),2,1)="/",MID(IFERROR(INDEX(醫師週班表!$C$5:$T$44,$CU44,BX$57),""),1+BX$58*2,1),IF(MID(IFERROR(INDEX(醫師週班表!$C$5:$T$44,$CU44,BX$57),""),3,1)="隔",IF(BX$58=0,LEFT(IFERROR(INDEX(醫師週班表!$C$5:$T$44,$CU44,BX$57),""),1),""),IF(MID(IFERROR(INDEX(醫師週班表!$C$5:$T$44,$CU44,BX$57),""),2,1)="(",LEFT(IFERROR(INDEX(醫師週班表!$C$5:$T$44,$CU44,BX$57),""),1),IFERROR(INDEX(醫師週班表!$C$5:$T$44,$CU44,BX$57),"")))))))</f>
        <v/>
      </c>
      <c r="BY44" s="71">
        <f>IF(BY$59="X","",IF(BY$59&lt;&gt;"",BY$59,IF(IFERROR(INDEX(醫師週班表!$C$5:$T$44,$CU44,BY$57),"")=0,"",IF(MID(IFERROR(INDEX(醫師週班表!$C$5:$T$44,$CU44,BY$57),""),2,1)="/",MID(IFERROR(INDEX(醫師週班表!$C$5:$T$44,$CU44,BY$57),""),1+BY$58*2,1),IF(MID(IFERROR(INDEX(醫師週班表!$C$5:$T$44,$CU44,BY$57),""),3,1)="隔",IF(BY$58=0,LEFT(IFERROR(INDEX(醫師週班表!$C$5:$T$44,$CU44,BY$57),""),1),""),IF(MID(IFERROR(INDEX(醫師週班表!$C$5:$T$44,$CU44,BY$57),""),2,1)="(",LEFT(IFERROR(INDEX(醫師週班表!$C$5:$T$44,$CU44,BY$57),""),1),IFERROR(INDEX(醫師週班表!$C$5:$T$44,$CU44,BY$57),"")))))))</f>
        <v/>
      </c>
      <c r="BZ44" s="72">
        <f>IF(BZ$59="X","",IF(BZ$59&lt;&gt;"",BZ$59,IF(IFERROR(INDEX(醫師週班表!$C$5:$T$44,$CU44,BZ$57),"")=0,"",IF(MID(IFERROR(INDEX(醫師週班表!$C$5:$T$44,$CU44,BZ$57),""),2,1)="/",MID(IFERROR(INDEX(醫師週班表!$C$5:$T$44,$CU44,BZ$57),""),1+BZ$58*2,1),IF(MID(IFERROR(INDEX(醫師週班表!$C$5:$T$44,$CU44,BZ$57),""),3,1)="隔",IF(BZ$58=0,LEFT(IFERROR(INDEX(醫師週班表!$C$5:$T$44,$CU44,BZ$57),""),1),""),IF(MID(IFERROR(INDEX(醫師週班表!$C$5:$T$44,$CU44,BZ$57),""),2,1)="(",LEFT(IFERROR(INDEX(醫師週班表!$C$5:$T$44,$CU44,BZ$57),""),1),IFERROR(INDEX(醫師週班表!$C$5:$T$44,$CU44,BZ$57),"")))))))</f>
        <v/>
      </c>
      <c r="CA44" s="72">
        <f>IF(CA$59="X","",IF(CA$59&lt;&gt;"",CA$59,IF(IFERROR(INDEX(醫師週班表!$C$5:$T$44,$CU44,CA$57),"")=0,"",IF(MID(IFERROR(INDEX(醫師週班表!$C$5:$T$44,$CU44,CA$57),""),2,1)="/",MID(IFERROR(INDEX(醫師週班表!$C$5:$T$44,$CU44,CA$57),""),1+CA$58*2,1),IF(MID(IFERROR(INDEX(醫師週班表!$C$5:$T$44,$CU44,CA$57),""),3,1)="隔",IF(CA$58=0,LEFT(IFERROR(INDEX(醫師週班表!$C$5:$T$44,$CU44,CA$57),""),1),""),IF(MID(IFERROR(INDEX(醫師週班表!$C$5:$T$44,$CU44,CA$57),""),2,1)="(",LEFT(IFERROR(INDEX(醫師週班表!$C$5:$T$44,$CU44,CA$57),""),1),IFERROR(INDEX(醫師週班表!$C$5:$T$44,$CU44,CA$57),"")))))))</f>
        <v/>
      </c>
      <c r="CB44" s="71">
        <f>IF(CB$59="X","",IF(CB$59&lt;&gt;"",CB$59,IF(IFERROR(INDEX(醫師週班表!$C$5:$T$44,$CU44,CB$57),"")=0,"",IF(MID(IFERROR(INDEX(醫師週班表!$C$5:$T$44,$CU44,CB$57),""),2,1)="/",MID(IFERROR(INDEX(醫師週班表!$C$5:$T$44,$CU44,CB$57),""),1+CB$58*2,1),IF(MID(IFERROR(INDEX(醫師週班表!$C$5:$T$44,$CU44,CB$57),""),3,1)="隔",IF(CB$58=0,LEFT(IFERROR(INDEX(醫師週班表!$C$5:$T$44,$CU44,CB$57),""),1),""),IF(MID(IFERROR(INDEX(醫師週班表!$C$5:$T$44,$CU44,CB$57),""),2,1)="(",LEFT(IFERROR(INDEX(醫師週班表!$C$5:$T$44,$CU44,CB$57),""),1),IFERROR(INDEX(醫師週班表!$C$5:$T$44,$CU44,CB$57),"")))))))</f>
        <v/>
      </c>
      <c r="CC44" s="72">
        <f>IF(CC$59="X","",IF(CC$59&lt;&gt;"",CC$59,IF(IFERROR(INDEX(醫師週班表!$C$5:$T$44,$CU44,CC$57),"")=0,"",IF(MID(IFERROR(INDEX(醫師週班表!$C$5:$T$44,$CU44,CC$57),""),2,1)="/",MID(IFERROR(INDEX(醫師週班表!$C$5:$T$44,$CU44,CC$57),""),1+CC$58*2,1),IF(MID(IFERROR(INDEX(醫師週班表!$C$5:$T$44,$CU44,CC$57),""),3,1)="隔",IF(CC$58=0,LEFT(IFERROR(INDEX(醫師週班表!$C$5:$T$44,$CU44,CC$57),""),1),""),IF(MID(IFERROR(INDEX(醫師週班表!$C$5:$T$44,$CU44,CC$57),""),2,1)="(",LEFT(IFERROR(INDEX(醫師週班表!$C$5:$T$44,$CU44,CC$57),""),1),IFERROR(INDEX(醫師週班表!$C$5:$T$44,$CU44,CC$57),"")))))))</f>
        <v/>
      </c>
      <c r="CD44" s="72">
        <f>IF(CD$59="X","",IF(CD$59&lt;&gt;"",CD$59,IF(IFERROR(INDEX(醫師週班表!$C$5:$T$44,$CU44,CD$57),"")=0,"",IF(MID(IFERROR(INDEX(醫師週班表!$C$5:$T$44,$CU44,CD$57),""),2,1)="/",MID(IFERROR(INDEX(醫師週班表!$C$5:$T$44,$CU44,CD$57),""),1+CD$58*2,1),IF(MID(IFERROR(INDEX(醫師週班表!$C$5:$T$44,$CU44,CD$57),""),3,1)="隔",IF(CD$58=0,LEFT(IFERROR(INDEX(醫師週班表!$C$5:$T$44,$CU44,CD$57),""),1),""),IF(MID(IFERROR(INDEX(醫師週班表!$C$5:$T$44,$CU44,CD$57),""),2,1)="(",LEFT(IFERROR(INDEX(醫師週班表!$C$5:$T$44,$CU44,CD$57),""),1),IFERROR(INDEX(醫師週班表!$C$5:$T$44,$CU44,CD$57),"")))))))</f>
        <v/>
      </c>
      <c r="CE44" s="71">
        <f>IF(CE$59="X","",IF(CE$59&lt;&gt;"",CE$59,IF(IFERROR(INDEX(醫師週班表!$C$5:$T$44,$CU44,CE$57),"")=0,"",IF(MID(IFERROR(INDEX(醫師週班表!$C$5:$T$44,$CU44,CE$57),""),2,1)="/",MID(IFERROR(INDEX(醫師週班表!$C$5:$T$44,$CU44,CE$57),""),1+CE$58*2,1),IF(MID(IFERROR(INDEX(醫師週班表!$C$5:$T$44,$CU44,CE$57),""),3,1)="隔",IF(CE$58=0,LEFT(IFERROR(INDEX(醫師週班表!$C$5:$T$44,$CU44,CE$57),""),1),""),IF(MID(IFERROR(INDEX(醫師週班表!$C$5:$T$44,$CU44,CE$57),""),2,1)="(",LEFT(IFERROR(INDEX(醫師週班表!$C$5:$T$44,$CU44,CE$57),""),1),IFERROR(INDEX(醫師週班表!$C$5:$T$44,$CU44,CE$57),"")))))))</f>
        <v/>
      </c>
      <c r="CF44" s="72">
        <f>IF(CF$59="X","",IF(CF$59&lt;&gt;"",CF$59,IF(IFERROR(INDEX(醫師週班表!$C$5:$T$44,$CU44,CF$57),"")=0,"",IF(MID(IFERROR(INDEX(醫師週班表!$C$5:$T$44,$CU44,CF$57),""),2,1)="/",MID(IFERROR(INDEX(醫師週班表!$C$5:$T$44,$CU44,CF$57),""),1+CF$58*2,1),IF(MID(IFERROR(INDEX(醫師週班表!$C$5:$T$44,$CU44,CF$57),""),3,1)="隔",IF(CF$58=0,LEFT(IFERROR(INDEX(醫師週班表!$C$5:$T$44,$CU44,CF$57),""),1),""),IF(MID(IFERROR(INDEX(醫師週班表!$C$5:$T$44,$CU44,CF$57),""),2,1)="(",LEFT(IFERROR(INDEX(醫師週班表!$C$5:$T$44,$CU44,CF$57),""),1),IFERROR(INDEX(醫師週班表!$C$5:$T$44,$CU44,CF$57),"")))))))</f>
        <v/>
      </c>
      <c r="CG44" s="72">
        <f>IF(CG$59="X","",IF(CG$59&lt;&gt;"",CG$59,IF(IFERROR(INDEX(醫師週班表!$C$5:$T$44,$CU44,CG$57),"")=0,"",IF(MID(IFERROR(INDEX(醫師週班表!$C$5:$T$44,$CU44,CG$57),""),2,1)="/",MID(IFERROR(INDEX(醫師週班表!$C$5:$T$44,$CU44,CG$57),""),1+CG$58*2,1),IF(MID(IFERROR(INDEX(醫師週班表!$C$5:$T$44,$CU44,CG$57),""),3,1)="隔",IF(CG$58=0,LEFT(IFERROR(INDEX(醫師週班表!$C$5:$T$44,$CU44,CG$57),""),1),""),IF(MID(IFERROR(INDEX(醫師週班表!$C$5:$T$44,$CU44,CG$57),""),2,1)="(",LEFT(IFERROR(INDEX(醫師週班表!$C$5:$T$44,$CU44,CG$57),""),1),IFERROR(INDEX(醫師週班表!$C$5:$T$44,$CU44,CG$57),"")))))))</f>
        <v/>
      </c>
      <c r="CH44" s="71">
        <f>IF(CH$59="X","",IF(CH$59&lt;&gt;"",CH$59,IF(IFERROR(INDEX(醫師週班表!$C$5:$T$44,$CU44,CH$57),"")=0,"",IF(MID(IFERROR(INDEX(醫師週班表!$C$5:$T$44,$CU44,CH$57),""),2,1)="/",MID(IFERROR(INDEX(醫師週班表!$C$5:$T$44,$CU44,CH$57),""),1+CH$58*2,1),IF(MID(IFERROR(INDEX(醫師週班表!$C$5:$T$44,$CU44,CH$57),""),3,1)="隔",IF(CH$58=0,LEFT(IFERROR(INDEX(醫師週班表!$C$5:$T$44,$CU44,CH$57),""),1),""),IF(MID(IFERROR(INDEX(醫師週班表!$C$5:$T$44,$CU44,CH$57),""),2,1)="(",LEFT(IFERROR(INDEX(醫師週班表!$C$5:$T$44,$CU44,CH$57),""),1),IFERROR(INDEX(醫師週班表!$C$5:$T$44,$CU44,CH$57),"")))))))</f>
        <v/>
      </c>
      <c r="CI44" s="72">
        <f>IF(CI$59="X","",IF(CI$59&lt;&gt;"",CI$59,IF(IFERROR(INDEX(醫師週班表!$C$5:$T$44,$CU44,CI$57),"")=0,"",IF(MID(IFERROR(INDEX(醫師週班表!$C$5:$T$44,$CU44,CI$57),""),2,1)="/",MID(IFERROR(INDEX(醫師週班表!$C$5:$T$44,$CU44,CI$57),""),1+CI$58*2,1),IF(MID(IFERROR(INDEX(醫師週班表!$C$5:$T$44,$CU44,CI$57),""),3,1)="隔",IF(CI$58=0,LEFT(IFERROR(INDEX(醫師週班表!$C$5:$T$44,$CU44,CI$57),""),1),""),IF(MID(IFERROR(INDEX(醫師週班表!$C$5:$T$44,$CU44,CI$57),""),2,1)="(",LEFT(IFERROR(INDEX(醫師週班表!$C$5:$T$44,$CU44,CI$57),""),1),IFERROR(INDEX(醫師週班表!$C$5:$T$44,$CU44,CI$57),"")))))))</f>
        <v/>
      </c>
      <c r="CJ44" s="72">
        <f>IF(CJ$59="X","",IF(CJ$59&lt;&gt;"",CJ$59,IF(IFERROR(INDEX(醫師週班表!$C$5:$T$44,$CU44,CJ$57),"")=0,"",IF(MID(IFERROR(INDEX(醫師週班表!$C$5:$T$44,$CU44,CJ$57),""),2,1)="/",MID(IFERROR(INDEX(醫師週班表!$C$5:$T$44,$CU44,CJ$57),""),1+CJ$58*2,1),IF(MID(IFERROR(INDEX(醫師週班表!$C$5:$T$44,$CU44,CJ$57),""),3,1)="隔",IF(CJ$58=0,LEFT(IFERROR(INDEX(醫師週班表!$C$5:$T$44,$CU44,CJ$57),""),1),""),IF(MID(IFERROR(INDEX(醫師週班表!$C$5:$T$44,$CU44,CJ$57),""),2,1)="(",LEFT(IFERROR(INDEX(醫師週班表!$C$5:$T$44,$CU44,CJ$57),""),1),IFERROR(INDEX(醫師週班表!$C$5:$T$44,$CU44,CJ$57),"")))))))</f>
        <v/>
      </c>
      <c r="CK44" s="71">
        <f>IF(CK$59="X","",IF(CK$59&lt;&gt;"",CK$59,IF(IFERROR(INDEX(醫師週班表!$C$5:$T$44,$CU44,CK$57),"")=0,"",IF(MID(IFERROR(INDEX(醫師週班表!$C$5:$T$44,$CU44,CK$57),""),2,1)="/",MID(IFERROR(INDEX(醫師週班表!$C$5:$T$44,$CU44,CK$57),""),1+CK$58*2,1),IF(MID(IFERROR(INDEX(醫師週班表!$C$5:$T$44,$CU44,CK$57),""),3,1)="隔",IF(CK$58=0,LEFT(IFERROR(INDEX(醫師週班表!$C$5:$T$44,$CU44,CK$57),""),1),""),IF(MID(IFERROR(INDEX(醫師週班表!$C$5:$T$44,$CU44,CK$57),""),2,1)="(",LEFT(IFERROR(INDEX(醫師週班表!$C$5:$T$44,$CU44,CK$57),""),1),IFERROR(INDEX(醫師週班表!$C$5:$T$44,$CU44,CK$57),"")))))))</f>
        <v/>
      </c>
      <c r="CL44" s="72">
        <f>IF(CL$59="X","",IF(CL$59&lt;&gt;"",CL$59,IF(IFERROR(INDEX(醫師週班表!$C$5:$T$44,$CU44,CL$57),"")=0,"",IF(MID(IFERROR(INDEX(醫師週班表!$C$5:$T$44,$CU44,CL$57),""),2,1)="/",MID(IFERROR(INDEX(醫師週班表!$C$5:$T$44,$CU44,CL$57),""),1+CL$58*2,1),IF(MID(IFERROR(INDEX(醫師週班表!$C$5:$T$44,$CU44,CL$57),""),3,1)="隔",IF(CL$58=0,LEFT(IFERROR(INDEX(醫師週班表!$C$5:$T$44,$CU44,CL$57),""),1),""),IF(MID(IFERROR(INDEX(醫師週班表!$C$5:$T$44,$CU44,CL$57),""),2,1)="(",LEFT(IFERROR(INDEX(醫師週班表!$C$5:$T$44,$CU44,CL$57),""),1),IFERROR(INDEX(醫師週班表!$C$5:$T$44,$CU44,CL$57),"")))))))</f>
        <v/>
      </c>
      <c r="CM44" s="72">
        <f>IF(CM$59="X","",IF(CM$59&lt;&gt;"",CM$59,IF(IFERROR(INDEX(醫師週班表!$C$5:$T$44,$CU44,CM$57),"")=0,"",IF(MID(IFERROR(INDEX(醫師週班表!$C$5:$T$44,$CU44,CM$57),""),2,1)="/",MID(IFERROR(INDEX(醫師週班表!$C$5:$T$44,$CU44,CM$57),""),1+CM$58*2,1),IF(MID(IFERROR(INDEX(醫師週班表!$C$5:$T$44,$CU44,CM$57),""),3,1)="隔",IF(CM$58=0,LEFT(IFERROR(INDEX(醫師週班表!$C$5:$T$44,$CU44,CM$57),""),1),""),IF(MID(IFERROR(INDEX(醫師週班表!$C$5:$T$44,$CU44,CM$57),""),2,1)="(",LEFT(IFERROR(INDEX(醫師週班表!$C$5:$T$44,$CU44,CM$57),""),1),IFERROR(INDEX(醫師週班表!$C$5:$T$44,$CU44,CM$57),"")))))))</f>
        <v/>
      </c>
      <c r="CN44" s="71">
        <f>IF(CN$59="X","",IF(CN$59&lt;&gt;"",CN$59,IF(IFERROR(INDEX(醫師週班表!$C$5:$T$44,$CU44,CN$57),"")=0,"",IF(MID(IFERROR(INDEX(醫師週班表!$C$5:$T$44,$CU44,CN$57),""),2,1)="/",MID(IFERROR(INDEX(醫師週班表!$C$5:$T$44,$CU44,CN$57),""),1+CN$58*2,1),IF(MID(IFERROR(INDEX(醫師週班表!$C$5:$T$44,$CU44,CN$57),""),3,1)="隔",IF(CN$58=0,LEFT(IFERROR(INDEX(醫師週班表!$C$5:$T$44,$CU44,CN$57),""),1),""),IF(MID(IFERROR(INDEX(醫師週班表!$C$5:$T$44,$CU44,CN$57),""),2,1)="(",LEFT(IFERROR(INDEX(醫師週班表!$C$5:$T$44,$CU44,CN$57),""),1),IFERROR(INDEX(醫師週班表!$C$5:$T$44,$CU44,CN$57),"")))))))</f>
        <v/>
      </c>
      <c r="CO44" s="72">
        <f>IF(CO$59="X","",IF(CO$59&lt;&gt;"",CO$59,IF(IFERROR(INDEX(醫師週班表!$C$5:$T$44,$CU44,CO$57),"")=0,"",IF(MID(IFERROR(INDEX(醫師週班表!$C$5:$T$44,$CU44,CO$57),""),2,1)="/",MID(IFERROR(INDEX(醫師週班表!$C$5:$T$44,$CU44,CO$57),""),1+CO$58*2,1),IF(MID(IFERROR(INDEX(醫師週班表!$C$5:$T$44,$CU44,CO$57),""),3,1)="隔",IF(CO$58=0,LEFT(IFERROR(INDEX(醫師週班表!$C$5:$T$44,$CU44,CO$57),""),1),""),IF(MID(IFERROR(INDEX(醫師週班表!$C$5:$T$44,$CU44,CO$57),""),2,1)="(",LEFT(IFERROR(INDEX(醫師週班表!$C$5:$T$44,$CU44,CO$57),""),1),IFERROR(INDEX(醫師週班表!$C$5:$T$44,$CU44,CO$57),"")))))))</f>
        <v/>
      </c>
      <c r="CP44" s="72">
        <f>IF(CP$59="X","",IF(CP$59&lt;&gt;"",CP$59,IF(IFERROR(INDEX(醫師週班表!$C$5:$T$44,$CU44,CP$57),"")=0,"",IF(MID(IFERROR(INDEX(醫師週班表!$C$5:$T$44,$CU44,CP$57),""),2,1)="/",MID(IFERROR(INDEX(醫師週班表!$C$5:$T$44,$CU44,CP$57),""),1+CP$58*2,1),IF(MID(IFERROR(INDEX(醫師週班表!$C$5:$T$44,$CU44,CP$57),""),3,1)="隔",IF(CP$58=0,LEFT(IFERROR(INDEX(醫師週班表!$C$5:$T$44,$CU44,CP$57),""),1),""),IF(MID(IFERROR(INDEX(醫師週班表!$C$5:$T$44,$CU44,CP$57),""),2,1)="(",LEFT(IFERROR(INDEX(醫師週班表!$C$5:$T$44,$CU44,CP$57),""),1),IFERROR(INDEX(醫師週班表!$C$5:$T$44,$CU44,CP$57),"")))))))</f>
        <v/>
      </c>
      <c r="CQ44" s="71">
        <f>IF(CQ$59="X","",IF(CQ$59&lt;&gt;"",CQ$59,IF(IFERROR(INDEX(醫師週班表!$C$5:$T$44,$CU44,CQ$57),"")=0,"",IF(MID(IFERROR(INDEX(醫師週班表!$C$5:$T$44,$CU44,CQ$57),""),2,1)="/",MID(IFERROR(INDEX(醫師週班表!$C$5:$T$44,$CU44,CQ$57),""),1+CQ$58*2,1),IF(MID(IFERROR(INDEX(醫師週班表!$C$5:$T$44,$CU44,CQ$57),""),3,1)="隔",IF(CQ$58=0,LEFT(IFERROR(INDEX(醫師週班表!$C$5:$T$44,$CU44,CQ$57),""),1),""),IF(MID(IFERROR(INDEX(醫師週班表!$C$5:$T$44,$CU44,CQ$57),""),2,1)="(",LEFT(IFERROR(INDEX(醫師週班表!$C$5:$T$44,$CU44,CQ$57),""),1),IFERROR(INDEX(醫師週班表!$C$5:$T$44,$CU44,CQ$57),"")))))))</f>
        <v/>
      </c>
      <c r="CR44" s="72">
        <f>IF(CR$59="X","",IF(CR$59&lt;&gt;"",CR$59,IF(IFERROR(INDEX(醫師週班表!$C$5:$T$44,$CU44,CR$57),"")=0,"",IF(MID(IFERROR(INDEX(醫師週班表!$C$5:$T$44,$CU44,CR$57),""),2,1)="/",MID(IFERROR(INDEX(醫師週班表!$C$5:$T$44,$CU44,CR$57),""),1+CR$58*2,1),IF(MID(IFERROR(INDEX(醫師週班表!$C$5:$T$44,$CU44,CR$57),""),3,1)="隔",IF(CR$58=0,LEFT(IFERROR(INDEX(醫師週班表!$C$5:$T$44,$CU44,CR$57),""),1),""),IF(MID(IFERROR(INDEX(醫師週班表!$C$5:$T$44,$CU44,CR$57),""),2,1)="(",LEFT(IFERROR(INDEX(醫師週班表!$C$5:$T$44,$CU44,CR$57),""),1),IFERROR(INDEX(醫師週班表!$C$5:$T$44,$CU44,CR$57),"")))))))</f>
        <v/>
      </c>
      <c r="CS44" s="72">
        <f>IF(CS$59="X","",IF(CS$59&lt;&gt;"",CS$59,IF(IFERROR(INDEX(醫師週班表!$C$5:$T$44,$CU44,CS$57),"")=0,"",IF(MID(IFERROR(INDEX(醫師週班表!$C$5:$T$44,$CU44,CS$57),""),2,1)="/",MID(IFERROR(INDEX(醫師週班表!$C$5:$T$44,$CU44,CS$57),""),1+CS$58*2,1),IF(MID(IFERROR(INDEX(醫師週班表!$C$5:$T$44,$CU44,CS$57),""),3,1)="隔",IF(CS$58=0,LEFT(IFERROR(INDEX(醫師週班表!$C$5:$T$44,$CU44,CS$57),""),1),""),IF(MID(IFERROR(INDEX(醫師週班表!$C$5:$T$44,$CU44,CS$57),""),2,1)="(",LEFT(IFERROR(INDEX(醫師週班表!$C$5:$T$44,$CU44,CS$57),""),1),IFERROR(INDEX(醫師週班表!$C$5:$T$44,$CU44,CS$57),"")))))))</f>
        <v/>
      </c>
      <c r="CU44" s="73">
        <f>IFERROR(MATCH($A44,醫師週班表!$A$5:$A$44,0),0)</f>
        <v/>
      </c>
    </row>
    <row r="45" ht="17" customHeight="1">
      <c r="A45" s="19" t="n"/>
      <c r="B45" s="16">
        <f>IFERROR(INDEX(設定!$C$64:$C$203,MATCH($A45,設定!$B$64:$B$203,0)),"")</f>
        <v/>
      </c>
      <c r="C45" s="70">
        <f>IFERROR(INDEX(設定!$E$64:$E$203,MATCH($A45,設定!$B$64:$B$203,0)),"")</f>
        <v/>
      </c>
      <c r="D45" s="16">
        <f>IFERROR(INDEX(設定!$F$64:$F$203,MATCH($A45,設定!$B$64:$B$203,0)),"")</f>
        <v/>
      </c>
      <c r="E45" s="71">
        <f>IF(E$59="X","",IF(E$59&lt;&gt;"",E$59,IF(IFERROR(INDEX(醫師週班表!$C$5:$T$44,$CU45,E$57),"")=0,"",IF(MID(IFERROR(INDEX(醫師週班表!$C$5:$T$44,$CU45,E$57),""),2,1)="/",MID(IFERROR(INDEX(醫師週班表!$C$5:$T$44,$CU45,E$57),""),1+E$58*2,1),IF(MID(IFERROR(INDEX(醫師週班表!$C$5:$T$44,$CU45,E$57),""),3,1)="隔",IF(E$58=0,LEFT(IFERROR(INDEX(醫師週班表!$C$5:$T$44,$CU45,E$57),""),1),""),IF(MID(IFERROR(INDEX(醫師週班表!$C$5:$T$44,$CU45,E$57),""),2,1)="(",LEFT(IFERROR(INDEX(醫師週班表!$C$5:$T$44,$CU45,E$57),""),1),IFERROR(INDEX(醫師週班表!$C$5:$T$44,$CU45,E$57),"")))))))</f>
        <v/>
      </c>
      <c r="F45" s="72">
        <f>IF(F$59="X","",IF(F$59&lt;&gt;"",F$59,IF(IFERROR(INDEX(醫師週班表!$C$5:$T$44,$CU45,F$57),"")=0,"",IF(MID(IFERROR(INDEX(醫師週班表!$C$5:$T$44,$CU45,F$57),""),2,1)="/",MID(IFERROR(INDEX(醫師週班表!$C$5:$T$44,$CU45,F$57),""),1+F$58*2,1),IF(MID(IFERROR(INDEX(醫師週班表!$C$5:$T$44,$CU45,F$57),""),3,1)="隔",IF(F$58=0,LEFT(IFERROR(INDEX(醫師週班表!$C$5:$T$44,$CU45,F$57),""),1),""),IF(MID(IFERROR(INDEX(醫師週班表!$C$5:$T$44,$CU45,F$57),""),2,1)="(",LEFT(IFERROR(INDEX(醫師週班表!$C$5:$T$44,$CU45,F$57),""),1),IFERROR(INDEX(醫師週班表!$C$5:$T$44,$CU45,F$57),"")))))))</f>
        <v/>
      </c>
      <c r="G45" s="72">
        <f>IF(G$59="X","",IF(G$59&lt;&gt;"",G$59,IF(IFERROR(INDEX(醫師週班表!$C$5:$T$44,$CU45,G$57),"")=0,"",IF(MID(IFERROR(INDEX(醫師週班表!$C$5:$T$44,$CU45,G$57),""),2,1)="/",MID(IFERROR(INDEX(醫師週班表!$C$5:$T$44,$CU45,G$57),""),1+G$58*2,1),IF(MID(IFERROR(INDEX(醫師週班表!$C$5:$T$44,$CU45,G$57),""),3,1)="隔",IF(G$58=0,LEFT(IFERROR(INDEX(醫師週班表!$C$5:$T$44,$CU45,G$57),""),1),""),IF(MID(IFERROR(INDEX(醫師週班表!$C$5:$T$44,$CU45,G$57),""),2,1)="(",LEFT(IFERROR(INDEX(醫師週班表!$C$5:$T$44,$CU45,G$57),""),1),IFERROR(INDEX(醫師週班表!$C$5:$T$44,$CU45,G$57),"")))))))</f>
        <v/>
      </c>
      <c r="H45" s="71">
        <f>IF(H$59="X","",IF(H$59&lt;&gt;"",H$59,IF(IFERROR(INDEX(醫師週班表!$C$5:$T$44,$CU45,H$57),"")=0,"",IF(MID(IFERROR(INDEX(醫師週班表!$C$5:$T$44,$CU45,H$57),""),2,1)="/",MID(IFERROR(INDEX(醫師週班表!$C$5:$T$44,$CU45,H$57),""),1+H$58*2,1),IF(MID(IFERROR(INDEX(醫師週班表!$C$5:$T$44,$CU45,H$57),""),3,1)="隔",IF(H$58=0,LEFT(IFERROR(INDEX(醫師週班表!$C$5:$T$44,$CU45,H$57),""),1),""),IF(MID(IFERROR(INDEX(醫師週班表!$C$5:$T$44,$CU45,H$57),""),2,1)="(",LEFT(IFERROR(INDEX(醫師週班表!$C$5:$T$44,$CU45,H$57),""),1),IFERROR(INDEX(醫師週班表!$C$5:$T$44,$CU45,H$57),"")))))))</f>
        <v/>
      </c>
      <c r="I45" s="72">
        <f>IF(I$59="X","",IF(I$59&lt;&gt;"",I$59,IF(IFERROR(INDEX(醫師週班表!$C$5:$T$44,$CU45,I$57),"")=0,"",IF(MID(IFERROR(INDEX(醫師週班表!$C$5:$T$44,$CU45,I$57),""),2,1)="/",MID(IFERROR(INDEX(醫師週班表!$C$5:$T$44,$CU45,I$57),""),1+I$58*2,1),IF(MID(IFERROR(INDEX(醫師週班表!$C$5:$T$44,$CU45,I$57),""),3,1)="隔",IF(I$58=0,LEFT(IFERROR(INDEX(醫師週班表!$C$5:$T$44,$CU45,I$57),""),1),""),IF(MID(IFERROR(INDEX(醫師週班表!$C$5:$T$44,$CU45,I$57),""),2,1)="(",LEFT(IFERROR(INDEX(醫師週班表!$C$5:$T$44,$CU45,I$57),""),1),IFERROR(INDEX(醫師週班表!$C$5:$T$44,$CU45,I$57),"")))))))</f>
        <v/>
      </c>
      <c r="J45" s="72">
        <f>IF(J$59="X","",IF(J$59&lt;&gt;"",J$59,IF(IFERROR(INDEX(醫師週班表!$C$5:$T$44,$CU45,J$57),"")=0,"",IF(MID(IFERROR(INDEX(醫師週班表!$C$5:$T$44,$CU45,J$57),""),2,1)="/",MID(IFERROR(INDEX(醫師週班表!$C$5:$T$44,$CU45,J$57),""),1+J$58*2,1),IF(MID(IFERROR(INDEX(醫師週班表!$C$5:$T$44,$CU45,J$57),""),3,1)="隔",IF(J$58=0,LEFT(IFERROR(INDEX(醫師週班表!$C$5:$T$44,$CU45,J$57),""),1),""),IF(MID(IFERROR(INDEX(醫師週班表!$C$5:$T$44,$CU45,J$57),""),2,1)="(",LEFT(IFERROR(INDEX(醫師週班表!$C$5:$T$44,$CU45,J$57),""),1),IFERROR(INDEX(醫師週班表!$C$5:$T$44,$CU45,J$57),"")))))))</f>
        <v/>
      </c>
      <c r="K45" s="71">
        <f>IF(K$59="X","",IF(K$59&lt;&gt;"",K$59,IF(IFERROR(INDEX(醫師週班表!$C$5:$T$44,$CU45,K$57),"")=0,"",IF(MID(IFERROR(INDEX(醫師週班表!$C$5:$T$44,$CU45,K$57),""),2,1)="/",MID(IFERROR(INDEX(醫師週班表!$C$5:$T$44,$CU45,K$57),""),1+K$58*2,1),IF(MID(IFERROR(INDEX(醫師週班表!$C$5:$T$44,$CU45,K$57),""),3,1)="隔",IF(K$58=0,LEFT(IFERROR(INDEX(醫師週班表!$C$5:$T$44,$CU45,K$57),""),1),""),IF(MID(IFERROR(INDEX(醫師週班表!$C$5:$T$44,$CU45,K$57),""),2,1)="(",LEFT(IFERROR(INDEX(醫師週班表!$C$5:$T$44,$CU45,K$57),""),1),IFERROR(INDEX(醫師週班表!$C$5:$T$44,$CU45,K$57),"")))))))</f>
        <v/>
      </c>
      <c r="L45" s="72">
        <f>IF(L$59="X","",IF(L$59&lt;&gt;"",L$59,IF(IFERROR(INDEX(醫師週班表!$C$5:$T$44,$CU45,L$57),"")=0,"",IF(MID(IFERROR(INDEX(醫師週班表!$C$5:$T$44,$CU45,L$57),""),2,1)="/",MID(IFERROR(INDEX(醫師週班表!$C$5:$T$44,$CU45,L$57),""),1+L$58*2,1),IF(MID(IFERROR(INDEX(醫師週班表!$C$5:$T$44,$CU45,L$57),""),3,1)="隔",IF(L$58=0,LEFT(IFERROR(INDEX(醫師週班表!$C$5:$T$44,$CU45,L$57),""),1),""),IF(MID(IFERROR(INDEX(醫師週班表!$C$5:$T$44,$CU45,L$57),""),2,1)="(",LEFT(IFERROR(INDEX(醫師週班表!$C$5:$T$44,$CU45,L$57),""),1),IFERROR(INDEX(醫師週班表!$C$5:$T$44,$CU45,L$57),"")))))))</f>
        <v/>
      </c>
      <c r="M45" s="72">
        <f>IF(M$59="X","",IF(M$59&lt;&gt;"",M$59,IF(IFERROR(INDEX(醫師週班表!$C$5:$T$44,$CU45,M$57),"")=0,"",IF(MID(IFERROR(INDEX(醫師週班表!$C$5:$T$44,$CU45,M$57),""),2,1)="/",MID(IFERROR(INDEX(醫師週班表!$C$5:$T$44,$CU45,M$57),""),1+M$58*2,1),IF(MID(IFERROR(INDEX(醫師週班表!$C$5:$T$44,$CU45,M$57),""),3,1)="隔",IF(M$58=0,LEFT(IFERROR(INDEX(醫師週班表!$C$5:$T$44,$CU45,M$57),""),1),""),IF(MID(IFERROR(INDEX(醫師週班表!$C$5:$T$44,$CU45,M$57),""),2,1)="(",LEFT(IFERROR(INDEX(醫師週班表!$C$5:$T$44,$CU45,M$57),""),1),IFERROR(INDEX(醫師週班表!$C$5:$T$44,$CU45,M$57),"")))))))</f>
        <v/>
      </c>
      <c r="N45" s="71">
        <f>IF(N$59="X","",IF(N$59&lt;&gt;"",N$59,IF(IFERROR(INDEX(醫師週班表!$C$5:$T$44,$CU45,N$57),"")=0,"",IF(MID(IFERROR(INDEX(醫師週班表!$C$5:$T$44,$CU45,N$57),""),2,1)="/",MID(IFERROR(INDEX(醫師週班表!$C$5:$T$44,$CU45,N$57),""),1+N$58*2,1),IF(MID(IFERROR(INDEX(醫師週班表!$C$5:$T$44,$CU45,N$57),""),3,1)="隔",IF(N$58=0,LEFT(IFERROR(INDEX(醫師週班表!$C$5:$T$44,$CU45,N$57),""),1),""),IF(MID(IFERROR(INDEX(醫師週班表!$C$5:$T$44,$CU45,N$57),""),2,1)="(",LEFT(IFERROR(INDEX(醫師週班表!$C$5:$T$44,$CU45,N$57),""),1),IFERROR(INDEX(醫師週班表!$C$5:$T$44,$CU45,N$57),"")))))))</f>
        <v/>
      </c>
      <c r="O45" s="72">
        <f>IF(O$59="X","",IF(O$59&lt;&gt;"",O$59,IF(IFERROR(INDEX(醫師週班表!$C$5:$T$44,$CU45,O$57),"")=0,"",IF(MID(IFERROR(INDEX(醫師週班表!$C$5:$T$44,$CU45,O$57),""),2,1)="/",MID(IFERROR(INDEX(醫師週班表!$C$5:$T$44,$CU45,O$57),""),1+O$58*2,1),IF(MID(IFERROR(INDEX(醫師週班表!$C$5:$T$44,$CU45,O$57),""),3,1)="隔",IF(O$58=0,LEFT(IFERROR(INDEX(醫師週班表!$C$5:$T$44,$CU45,O$57),""),1),""),IF(MID(IFERROR(INDEX(醫師週班表!$C$5:$T$44,$CU45,O$57),""),2,1)="(",LEFT(IFERROR(INDEX(醫師週班表!$C$5:$T$44,$CU45,O$57),""),1),IFERROR(INDEX(醫師週班表!$C$5:$T$44,$CU45,O$57),"")))))))</f>
        <v/>
      </c>
      <c r="P45" s="72">
        <f>IF(P$59="X","",IF(P$59&lt;&gt;"",P$59,IF(IFERROR(INDEX(醫師週班表!$C$5:$T$44,$CU45,P$57),"")=0,"",IF(MID(IFERROR(INDEX(醫師週班表!$C$5:$T$44,$CU45,P$57),""),2,1)="/",MID(IFERROR(INDEX(醫師週班表!$C$5:$T$44,$CU45,P$57),""),1+P$58*2,1),IF(MID(IFERROR(INDEX(醫師週班表!$C$5:$T$44,$CU45,P$57),""),3,1)="隔",IF(P$58=0,LEFT(IFERROR(INDEX(醫師週班表!$C$5:$T$44,$CU45,P$57),""),1),""),IF(MID(IFERROR(INDEX(醫師週班表!$C$5:$T$44,$CU45,P$57),""),2,1)="(",LEFT(IFERROR(INDEX(醫師週班表!$C$5:$T$44,$CU45,P$57),""),1),IFERROR(INDEX(醫師週班表!$C$5:$T$44,$CU45,P$57),"")))))))</f>
        <v/>
      </c>
      <c r="Q45" s="71">
        <f>IF(Q$59="X","",IF(Q$59&lt;&gt;"",Q$59,IF(IFERROR(INDEX(醫師週班表!$C$5:$T$44,$CU45,Q$57),"")=0,"",IF(MID(IFERROR(INDEX(醫師週班表!$C$5:$T$44,$CU45,Q$57),""),2,1)="/",MID(IFERROR(INDEX(醫師週班表!$C$5:$T$44,$CU45,Q$57),""),1+Q$58*2,1),IF(MID(IFERROR(INDEX(醫師週班表!$C$5:$T$44,$CU45,Q$57),""),3,1)="隔",IF(Q$58=0,LEFT(IFERROR(INDEX(醫師週班表!$C$5:$T$44,$CU45,Q$57),""),1),""),IF(MID(IFERROR(INDEX(醫師週班表!$C$5:$T$44,$CU45,Q$57),""),2,1)="(",LEFT(IFERROR(INDEX(醫師週班表!$C$5:$T$44,$CU45,Q$57),""),1),IFERROR(INDEX(醫師週班表!$C$5:$T$44,$CU45,Q$57),"")))))))</f>
        <v/>
      </c>
      <c r="R45" s="72">
        <f>IF(R$59="X","",IF(R$59&lt;&gt;"",R$59,IF(IFERROR(INDEX(醫師週班表!$C$5:$T$44,$CU45,R$57),"")=0,"",IF(MID(IFERROR(INDEX(醫師週班表!$C$5:$T$44,$CU45,R$57),""),2,1)="/",MID(IFERROR(INDEX(醫師週班表!$C$5:$T$44,$CU45,R$57),""),1+R$58*2,1),IF(MID(IFERROR(INDEX(醫師週班表!$C$5:$T$44,$CU45,R$57),""),3,1)="隔",IF(R$58=0,LEFT(IFERROR(INDEX(醫師週班表!$C$5:$T$44,$CU45,R$57),""),1),""),IF(MID(IFERROR(INDEX(醫師週班表!$C$5:$T$44,$CU45,R$57),""),2,1)="(",LEFT(IFERROR(INDEX(醫師週班表!$C$5:$T$44,$CU45,R$57),""),1),IFERROR(INDEX(醫師週班表!$C$5:$T$44,$CU45,R$57),"")))))))</f>
        <v/>
      </c>
      <c r="S45" s="72">
        <f>IF(S$59="X","",IF(S$59&lt;&gt;"",S$59,IF(IFERROR(INDEX(醫師週班表!$C$5:$T$44,$CU45,S$57),"")=0,"",IF(MID(IFERROR(INDEX(醫師週班表!$C$5:$T$44,$CU45,S$57),""),2,1)="/",MID(IFERROR(INDEX(醫師週班表!$C$5:$T$44,$CU45,S$57),""),1+S$58*2,1),IF(MID(IFERROR(INDEX(醫師週班表!$C$5:$T$44,$CU45,S$57),""),3,1)="隔",IF(S$58=0,LEFT(IFERROR(INDEX(醫師週班表!$C$5:$T$44,$CU45,S$57),""),1),""),IF(MID(IFERROR(INDEX(醫師週班表!$C$5:$T$44,$CU45,S$57),""),2,1)="(",LEFT(IFERROR(INDEX(醫師週班表!$C$5:$T$44,$CU45,S$57),""),1),IFERROR(INDEX(醫師週班表!$C$5:$T$44,$CU45,S$57),"")))))))</f>
        <v/>
      </c>
      <c r="T45" s="71">
        <f>IF(T$59="X","",IF(T$59&lt;&gt;"",T$59,IF(IFERROR(INDEX(醫師週班表!$C$5:$T$44,$CU45,T$57),"")=0,"",IF(MID(IFERROR(INDEX(醫師週班表!$C$5:$T$44,$CU45,T$57),""),2,1)="/",MID(IFERROR(INDEX(醫師週班表!$C$5:$T$44,$CU45,T$57),""),1+T$58*2,1),IF(MID(IFERROR(INDEX(醫師週班表!$C$5:$T$44,$CU45,T$57),""),3,1)="隔",IF(T$58=0,LEFT(IFERROR(INDEX(醫師週班表!$C$5:$T$44,$CU45,T$57),""),1),""),IF(MID(IFERROR(INDEX(醫師週班表!$C$5:$T$44,$CU45,T$57),""),2,1)="(",LEFT(IFERROR(INDEX(醫師週班表!$C$5:$T$44,$CU45,T$57),""),1),IFERROR(INDEX(醫師週班表!$C$5:$T$44,$CU45,T$57),"")))))))</f>
        <v/>
      </c>
      <c r="U45" s="72">
        <f>IF(U$59="X","",IF(U$59&lt;&gt;"",U$59,IF(IFERROR(INDEX(醫師週班表!$C$5:$T$44,$CU45,U$57),"")=0,"",IF(MID(IFERROR(INDEX(醫師週班表!$C$5:$T$44,$CU45,U$57),""),2,1)="/",MID(IFERROR(INDEX(醫師週班表!$C$5:$T$44,$CU45,U$57),""),1+U$58*2,1),IF(MID(IFERROR(INDEX(醫師週班表!$C$5:$T$44,$CU45,U$57),""),3,1)="隔",IF(U$58=0,LEFT(IFERROR(INDEX(醫師週班表!$C$5:$T$44,$CU45,U$57),""),1),""),IF(MID(IFERROR(INDEX(醫師週班表!$C$5:$T$44,$CU45,U$57),""),2,1)="(",LEFT(IFERROR(INDEX(醫師週班表!$C$5:$T$44,$CU45,U$57),""),1),IFERROR(INDEX(醫師週班表!$C$5:$T$44,$CU45,U$57),"")))))))</f>
        <v/>
      </c>
      <c r="V45" s="72">
        <f>IF(V$59="X","",IF(V$59&lt;&gt;"",V$59,IF(IFERROR(INDEX(醫師週班表!$C$5:$T$44,$CU45,V$57),"")=0,"",IF(MID(IFERROR(INDEX(醫師週班表!$C$5:$T$44,$CU45,V$57),""),2,1)="/",MID(IFERROR(INDEX(醫師週班表!$C$5:$T$44,$CU45,V$57),""),1+V$58*2,1),IF(MID(IFERROR(INDEX(醫師週班表!$C$5:$T$44,$CU45,V$57),""),3,1)="隔",IF(V$58=0,LEFT(IFERROR(INDEX(醫師週班表!$C$5:$T$44,$CU45,V$57),""),1),""),IF(MID(IFERROR(INDEX(醫師週班表!$C$5:$T$44,$CU45,V$57),""),2,1)="(",LEFT(IFERROR(INDEX(醫師週班表!$C$5:$T$44,$CU45,V$57),""),1),IFERROR(INDEX(醫師週班表!$C$5:$T$44,$CU45,V$57),"")))))))</f>
        <v/>
      </c>
      <c r="W45" s="71">
        <f>IF(W$59="X","",IF(W$59&lt;&gt;"",W$59,IF(IFERROR(INDEX(醫師週班表!$C$5:$T$44,$CU45,W$57),"")=0,"",IF(MID(IFERROR(INDEX(醫師週班表!$C$5:$T$44,$CU45,W$57),""),2,1)="/",MID(IFERROR(INDEX(醫師週班表!$C$5:$T$44,$CU45,W$57),""),1+W$58*2,1),IF(MID(IFERROR(INDEX(醫師週班表!$C$5:$T$44,$CU45,W$57),""),3,1)="隔",IF(W$58=0,LEFT(IFERROR(INDEX(醫師週班表!$C$5:$T$44,$CU45,W$57),""),1),""),IF(MID(IFERROR(INDEX(醫師週班表!$C$5:$T$44,$CU45,W$57),""),2,1)="(",LEFT(IFERROR(INDEX(醫師週班表!$C$5:$T$44,$CU45,W$57),""),1),IFERROR(INDEX(醫師週班表!$C$5:$T$44,$CU45,W$57),"")))))))</f>
        <v/>
      </c>
      <c r="X45" s="72">
        <f>IF(X$59="X","",IF(X$59&lt;&gt;"",X$59,IF(IFERROR(INDEX(醫師週班表!$C$5:$T$44,$CU45,X$57),"")=0,"",IF(MID(IFERROR(INDEX(醫師週班表!$C$5:$T$44,$CU45,X$57),""),2,1)="/",MID(IFERROR(INDEX(醫師週班表!$C$5:$T$44,$CU45,X$57),""),1+X$58*2,1),IF(MID(IFERROR(INDEX(醫師週班表!$C$5:$T$44,$CU45,X$57),""),3,1)="隔",IF(X$58=0,LEFT(IFERROR(INDEX(醫師週班表!$C$5:$T$44,$CU45,X$57),""),1),""),IF(MID(IFERROR(INDEX(醫師週班表!$C$5:$T$44,$CU45,X$57),""),2,1)="(",LEFT(IFERROR(INDEX(醫師週班表!$C$5:$T$44,$CU45,X$57),""),1),IFERROR(INDEX(醫師週班表!$C$5:$T$44,$CU45,X$57),"")))))))</f>
        <v/>
      </c>
      <c r="Y45" s="72">
        <f>IF(Y$59="X","",IF(Y$59&lt;&gt;"",Y$59,IF(IFERROR(INDEX(醫師週班表!$C$5:$T$44,$CU45,Y$57),"")=0,"",IF(MID(IFERROR(INDEX(醫師週班表!$C$5:$T$44,$CU45,Y$57),""),2,1)="/",MID(IFERROR(INDEX(醫師週班表!$C$5:$T$44,$CU45,Y$57),""),1+Y$58*2,1),IF(MID(IFERROR(INDEX(醫師週班表!$C$5:$T$44,$CU45,Y$57),""),3,1)="隔",IF(Y$58=0,LEFT(IFERROR(INDEX(醫師週班表!$C$5:$T$44,$CU45,Y$57),""),1),""),IF(MID(IFERROR(INDEX(醫師週班表!$C$5:$T$44,$CU45,Y$57),""),2,1)="(",LEFT(IFERROR(INDEX(醫師週班表!$C$5:$T$44,$CU45,Y$57),""),1),IFERROR(INDEX(醫師週班表!$C$5:$T$44,$CU45,Y$57),"")))))))</f>
        <v/>
      </c>
      <c r="Z45" s="71">
        <f>IF(Z$59="X","",IF(Z$59&lt;&gt;"",Z$59,IF(IFERROR(INDEX(醫師週班表!$C$5:$T$44,$CU45,Z$57),"")=0,"",IF(MID(IFERROR(INDEX(醫師週班表!$C$5:$T$44,$CU45,Z$57),""),2,1)="/",MID(IFERROR(INDEX(醫師週班表!$C$5:$T$44,$CU45,Z$57),""),1+Z$58*2,1),IF(MID(IFERROR(INDEX(醫師週班表!$C$5:$T$44,$CU45,Z$57),""),3,1)="隔",IF(Z$58=0,LEFT(IFERROR(INDEX(醫師週班表!$C$5:$T$44,$CU45,Z$57),""),1),""),IF(MID(IFERROR(INDEX(醫師週班表!$C$5:$T$44,$CU45,Z$57),""),2,1)="(",LEFT(IFERROR(INDEX(醫師週班表!$C$5:$T$44,$CU45,Z$57),""),1),IFERROR(INDEX(醫師週班表!$C$5:$T$44,$CU45,Z$57),"")))))))</f>
        <v/>
      </c>
      <c r="AA45" s="72">
        <f>IF(AA$59="X","",IF(AA$59&lt;&gt;"",AA$59,IF(IFERROR(INDEX(醫師週班表!$C$5:$T$44,$CU45,AA$57),"")=0,"",IF(MID(IFERROR(INDEX(醫師週班表!$C$5:$T$44,$CU45,AA$57),""),2,1)="/",MID(IFERROR(INDEX(醫師週班表!$C$5:$T$44,$CU45,AA$57),""),1+AA$58*2,1),IF(MID(IFERROR(INDEX(醫師週班表!$C$5:$T$44,$CU45,AA$57),""),3,1)="隔",IF(AA$58=0,LEFT(IFERROR(INDEX(醫師週班表!$C$5:$T$44,$CU45,AA$57),""),1),""),IF(MID(IFERROR(INDEX(醫師週班表!$C$5:$T$44,$CU45,AA$57),""),2,1)="(",LEFT(IFERROR(INDEX(醫師週班表!$C$5:$T$44,$CU45,AA$57),""),1),IFERROR(INDEX(醫師週班表!$C$5:$T$44,$CU45,AA$57),"")))))))</f>
        <v/>
      </c>
      <c r="AB45" s="72">
        <f>IF(AB$59="X","",IF(AB$59&lt;&gt;"",AB$59,IF(IFERROR(INDEX(醫師週班表!$C$5:$T$44,$CU45,AB$57),"")=0,"",IF(MID(IFERROR(INDEX(醫師週班表!$C$5:$T$44,$CU45,AB$57),""),2,1)="/",MID(IFERROR(INDEX(醫師週班表!$C$5:$T$44,$CU45,AB$57),""),1+AB$58*2,1),IF(MID(IFERROR(INDEX(醫師週班表!$C$5:$T$44,$CU45,AB$57),""),3,1)="隔",IF(AB$58=0,LEFT(IFERROR(INDEX(醫師週班表!$C$5:$T$44,$CU45,AB$57),""),1),""),IF(MID(IFERROR(INDEX(醫師週班表!$C$5:$T$44,$CU45,AB$57),""),2,1)="(",LEFT(IFERROR(INDEX(醫師週班表!$C$5:$T$44,$CU45,AB$57),""),1),IFERROR(INDEX(醫師週班表!$C$5:$T$44,$CU45,AB$57),"")))))))</f>
        <v/>
      </c>
      <c r="AC45" s="71">
        <f>IF(AC$59="X","",IF(AC$59&lt;&gt;"",AC$59,IF(IFERROR(INDEX(醫師週班表!$C$5:$T$44,$CU45,AC$57),"")=0,"",IF(MID(IFERROR(INDEX(醫師週班表!$C$5:$T$44,$CU45,AC$57),""),2,1)="/",MID(IFERROR(INDEX(醫師週班表!$C$5:$T$44,$CU45,AC$57),""),1+AC$58*2,1),IF(MID(IFERROR(INDEX(醫師週班表!$C$5:$T$44,$CU45,AC$57),""),3,1)="隔",IF(AC$58=0,LEFT(IFERROR(INDEX(醫師週班表!$C$5:$T$44,$CU45,AC$57),""),1),""),IF(MID(IFERROR(INDEX(醫師週班表!$C$5:$T$44,$CU45,AC$57),""),2,1)="(",LEFT(IFERROR(INDEX(醫師週班表!$C$5:$T$44,$CU45,AC$57),""),1),IFERROR(INDEX(醫師週班表!$C$5:$T$44,$CU45,AC$57),"")))))))</f>
        <v/>
      </c>
      <c r="AD45" s="72">
        <f>IF(AD$59="X","",IF(AD$59&lt;&gt;"",AD$59,IF(IFERROR(INDEX(醫師週班表!$C$5:$T$44,$CU45,AD$57),"")=0,"",IF(MID(IFERROR(INDEX(醫師週班表!$C$5:$T$44,$CU45,AD$57),""),2,1)="/",MID(IFERROR(INDEX(醫師週班表!$C$5:$T$44,$CU45,AD$57),""),1+AD$58*2,1),IF(MID(IFERROR(INDEX(醫師週班表!$C$5:$T$44,$CU45,AD$57),""),3,1)="隔",IF(AD$58=0,LEFT(IFERROR(INDEX(醫師週班表!$C$5:$T$44,$CU45,AD$57),""),1),""),IF(MID(IFERROR(INDEX(醫師週班表!$C$5:$T$44,$CU45,AD$57),""),2,1)="(",LEFT(IFERROR(INDEX(醫師週班表!$C$5:$T$44,$CU45,AD$57),""),1),IFERROR(INDEX(醫師週班表!$C$5:$T$44,$CU45,AD$57),"")))))))</f>
        <v/>
      </c>
      <c r="AE45" s="72">
        <f>IF(AE$59="X","",IF(AE$59&lt;&gt;"",AE$59,IF(IFERROR(INDEX(醫師週班表!$C$5:$T$44,$CU45,AE$57),"")=0,"",IF(MID(IFERROR(INDEX(醫師週班表!$C$5:$T$44,$CU45,AE$57),""),2,1)="/",MID(IFERROR(INDEX(醫師週班表!$C$5:$T$44,$CU45,AE$57),""),1+AE$58*2,1),IF(MID(IFERROR(INDEX(醫師週班表!$C$5:$T$44,$CU45,AE$57),""),3,1)="隔",IF(AE$58=0,LEFT(IFERROR(INDEX(醫師週班表!$C$5:$T$44,$CU45,AE$57),""),1),""),IF(MID(IFERROR(INDEX(醫師週班表!$C$5:$T$44,$CU45,AE$57),""),2,1)="(",LEFT(IFERROR(INDEX(醫師週班表!$C$5:$T$44,$CU45,AE$57),""),1),IFERROR(INDEX(醫師週班表!$C$5:$T$44,$CU45,AE$57),"")))))))</f>
        <v/>
      </c>
      <c r="AF45" s="71">
        <f>IF(AF$59="X","",IF(AF$59&lt;&gt;"",AF$59,IF(IFERROR(INDEX(醫師週班表!$C$5:$T$44,$CU45,AF$57),"")=0,"",IF(MID(IFERROR(INDEX(醫師週班表!$C$5:$T$44,$CU45,AF$57),""),2,1)="/",MID(IFERROR(INDEX(醫師週班表!$C$5:$T$44,$CU45,AF$57),""),1+AF$58*2,1),IF(MID(IFERROR(INDEX(醫師週班表!$C$5:$T$44,$CU45,AF$57),""),3,1)="隔",IF(AF$58=0,LEFT(IFERROR(INDEX(醫師週班表!$C$5:$T$44,$CU45,AF$57),""),1),""),IF(MID(IFERROR(INDEX(醫師週班表!$C$5:$T$44,$CU45,AF$57),""),2,1)="(",LEFT(IFERROR(INDEX(醫師週班表!$C$5:$T$44,$CU45,AF$57),""),1),IFERROR(INDEX(醫師週班表!$C$5:$T$44,$CU45,AF$57),"")))))))</f>
        <v/>
      </c>
      <c r="AG45" s="72">
        <f>IF(AG$59="X","",IF(AG$59&lt;&gt;"",AG$59,IF(IFERROR(INDEX(醫師週班表!$C$5:$T$44,$CU45,AG$57),"")=0,"",IF(MID(IFERROR(INDEX(醫師週班表!$C$5:$T$44,$CU45,AG$57),""),2,1)="/",MID(IFERROR(INDEX(醫師週班表!$C$5:$T$44,$CU45,AG$57),""),1+AG$58*2,1),IF(MID(IFERROR(INDEX(醫師週班表!$C$5:$T$44,$CU45,AG$57),""),3,1)="隔",IF(AG$58=0,LEFT(IFERROR(INDEX(醫師週班表!$C$5:$T$44,$CU45,AG$57),""),1),""),IF(MID(IFERROR(INDEX(醫師週班表!$C$5:$T$44,$CU45,AG$57),""),2,1)="(",LEFT(IFERROR(INDEX(醫師週班表!$C$5:$T$44,$CU45,AG$57),""),1),IFERROR(INDEX(醫師週班表!$C$5:$T$44,$CU45,AG$57),"")))))))</f>
        <v/>
      </c>
      <c r="AH45" s="72">
        <f>IF(AH$59="X","",IF(AH$59&lt;&gt;"",AH$59,IF(IFERROR(INDEX(醫師週班表!$C$5:$T$44,$CU45,AH$57),"")=0,"",IF(MID(IFERROR(INDEX(醫師週班表!$C$5:$T$44,$CU45,AH$57),""),2,1)="/",MID(IFERROR(INDEX(醫師週班表!$C$5:$T$44,$CU45,AH$57),""),1+AH$58*2,1),IF(MID(IFERROR(INDEX(醫師週班表!$C$5:$T$44,$CU45,AH$57),""),3,1)="隔",IF(AH$58=0,LEFT(IFERROR(INDEX(醫師週班表!$C$5:$T$44,$CU45,AH$57),""),1),""),IF(MID(IFERROR(INDEX(醫師週班表!$C$5:$T$44,$CU45,AH$57),""),2,1)="(",LEFT(IFERROR(INDEX(醫師週班表!$C$5:$T$44,$CU45,AH$57),""),1),IFERROR(INDEX(醫師週班表!$C$5:$T$44,$CU45,AH$57),"")))))))</f>
        <v/>
      </c>
      <c r="AI45" s="71">
        <f>IF(AI$59="X","",IF(AI$59&lt;&gt;"",AI$59,IF(IFERROR(INDEX(醫師週班表!$C$5:$T$44,$CU45,AI$57),"")=0,"",IF(MID(IFERROR(INDEX(醫師週班表!$C$5:$T$44,$CU45,AI$57),""),2,1)="/",MID(IFERROR(INDEX(醫師週班表!$C$5:$T$44,$CU45,AI$57),""),1+AI$58*2,1),IF(MID(IFERROR(INDEX(醫師週班表!$C$5:$T$44,$CU45,AI$57),""),3,1)="隔",IF(AI$58=0,LEFT(IFERROR(INDEX(醫師週班表!$C$5:$T$44,$CU45,AI$57),""),1),""),IF(MID(IFERROR(INDEX(醫師週班表!$C$5:$T$44,$CU45,AI$57),""),2,1)="(",LEFT(IFERROR(INDEX(醫師週班表!$C$5:$T$44,$CU45,AI$57),""),1),IFERROR(INDEX(醫師週班表!$C$5:$T$44,$CU45,AI$57),"")))))))</f>
        <v/>
      </c>
      <c r="AJ45" s="72">
        <f>IF(AJ$59="X","",IF(AJ$59&lt;&gt;"",AJ$59,IF(IFERROR(INDEX(醫師週班表!$C$5:$T$44,$CU45,AJ$57),"")=0,"",IF(MID(IFERROR(INDEX(醫師週班表!$C$5:$T$44,$CU45,AJ$57),""),2,1)="/",MID(IFERROR(INDEX(醫師週班表!$C$5:$T$44,$CU45,AJ$57),""),1+AJ$58*2,1),IF(MID(IFERROR(INDEX(醫師週班表!$C$5:$T$44,$CU45,AJ$57),""),3,1)="隔",IF(AJ$58=0,LEFT(IFERROR(INDEX(醫師週班表!$C$5:$T$44,$CU45,AJ$57),""),1),""),IF(MID(IFERROR(INDEX(醫師週班表!$C$5:$T$44,$CU45,AJ$57),""),2,1)="(",LEFT(IFERROR(INDEX(醫師週班表!$C$5:$T$44,$CU45,AJ$57),""),1),IFERROR(INDEX(醫師週班表!$C$5:$T$44,$CU45,AJ$57),"")))))))</f>
        <v/>
      </c>
      <c r="AK45" s="72">
        <f>IF(AK$59="X","",IF(AK$59&lt;&gt;"",AK$59,IF(IFERROR(INDEX(醫師週班表!$C$5:$T$44,$CU45,AK$57),"")=0,"",IF(MID(IFERROR(INDEX(醫師週班表!$C$5:$T$44,$CU45,AK$57),""),2,1)="/",MID(IFERROR(INDEX(醫師週班表!$C$5:$T$44,$CU45,AK$57),""),1+AK$58*2,1),IF(MID(IFERROR(INDEX(醫師週班表!$C$5:$T$44,$CU45,AK$57),""),3,1)="隔",IF(AK$58=0,LEFT(IFERROR(INDEX(醫師週班表!$C$5:$T$44,$CU45,AK$57),""),1),""),IF(MID(IFERROR(INDEX(醫師週班表!$C$5:$T$44,$CU45,AK$57),""),2,1)="(",LEFT(IFERROR(INDEX(醫師週班表!$C$5:$T$44,$CU45,AK$57),""),1),IFERROR(INDEX(醫師週班表!$C$5:$T$44,$CU45,AK$57),"")))))))</f>
        <v/>
      </c>
      <c r="AL45" s="71">
        <f>IF(AL$59="X","",IF(AL$59&lt;&gt;"",AL$59,IF(IFERROR(INDEX(醫師週班表!$C$5:$T$44,$CU45,AL$57),"")=0,"",IF(MID(IFERROR(INDEX(醫師週班表!$C$5:$T$44,$CU45,AL$57),""),2,1)="/",MID(IFERROR(INDEX(醫師週班表!$C$5:$T$44,$CU45,AL$57),""),1+AL$58*2,1),IF(MID(IFERROR(INDEX(醫師週班表!$C$5:$T$44,$CU45,AL$57),""),3,1)="隔",IF(AL$58=0,LEFT(IFERROR(INDEX(醫師週班表!$C$5:$T$44,$CU45,AL$57),""),1),""),IF(MID(IFERROR(INDEX(醫師週班表!$C$5:$T$44,$CU45,AL$57),""),2,1)="(",LEFT(IFERROR(INDEX(醫師週班表!$C$5:$T$44,$CU45,AL$57),""),1),IFERROR(INDEX(醫師週班表!$C$5:$T$44,$CU45,AL$57),"")))))))</f>
        <v/>
      </c>
      <c r="AM45" s="72">
        <f>IF(AM$59="X","",IF(AM$59&lt;&gt;"",AM$59,IF(IFERROR(INDEX(醫師週班表!$C$5:$T$44,$CU45,AM$57),"")=0,"",IF(MID(IFERROR(INDEX(醫師週班表!$C$5:$T$44,$CU45,AM$57),""),2,1)="/",MID(IFERROR(INDEX(醫師週班表!$C$5:$T$44,$CU45,AM$57),""),1+AM$58*2,1),IF(MID(IFERROR(INDEX(醫師週班表!$C$5:$T$44,$CU45,AM$57),""),3,1)="隔",IF(AM$58=0,LEFT(IFERROR(INDEX(醫師週班表!$C$5:$T$44,$CU45,AM$57),""),1),""),IF(MID(IFERROR(INDEX(醫師週班表!$C$5:$T$44,$CU45,AM$57),""),2,1)="(",LEFT(IFERROR(INDEX(醫師週班表!$C$5:$T$44,$CU45,AM$57),""),1),IFERROR(INDEX(醫師週班表!$C$5:$T$44,$CU45,AM$57),"")))))))</f>
        <v/>
      </c>
      <c r="AN45" s="72">
        <f>IF(AN$59="X","",IF(AN$59&lt;&gt;"",AN$59,IF(IFERROR(INDEX(醫師週班表!$C$5:$T$44,$CU45,AN$57),"")=0,"",IF(MID(IFERROR(INDEX(醫師週班表!$C$5:$T$44,$CU45,AN$57),""),2,1)="/",MID(IFERROR(INDEX(醫師週班表!$C$5:$T$44,$CU45,AN$57),""),1+AN$58*2,1),IF(MID(IFERROR(INDEX(醫師週班表!$C$5:$T$44,$CU45,AN$57),""),3,1)="隔",IF(AN$58=0,LEFT(IFERROR(INDEX(醫師週班表!$C$5:$T$44,$CU45,AN$57),""),1),""),IF(MID(IFERROR(INDEX(醫師週班表!$C$5:$T$44,$CU45,AN$57),""),2,1)="(",LEFT(IFERROR(INDEX(醫師週班表!$C$5:$T$44,$CU45,AN$57),""),1),IFERROR(INDEX(醫師週班表!$C$5:$T$44,$CU45,AN$57),"")))))))</f>
        <v/>
      </c>
      <c r="AO45" s="71">
        <f>IF(AO$59="X","",IF(AO$59&lt;&gt;"",AO$59,IF(IFERROR(INDEX(醫師週班表!$C$5:$T$44,$CU45,AO$57),"")=0,"",IF(MID(IFERROR(INDEX(醫師週班表!$C$5:$T$44,$CU45,AO$57),""),2,1)="/",MID(IFERROR(INDEX(醫師週班表!$C$5:$T$44,$CU45,AO$57),""),1+AO$58*2,1),IF(MID(IFERROR(INDEX(醫師週班表!$C$5:$T$44,$CU45,AO$57),""),3,1)="隔",IF(AO$58=0,LEFT(IFERROR(INDEX(醫師週班表!$C$5:$T$44,$CU45,AO$57),""),1),""),IF(MID(IFERROR(INDEX(醫師週班表!$C$5:$T$44,$CU45,AO$57),""),2,1)="(",LEFT(IFERROR(INDEX(醫師週班表!$C$5:$T$44,$CU45,AO$57),""),1),IFERROR(INDEX(醫師週班表!$C$5:$T$44,$CU45,AO$57),"")))))))</f>
        <v/>
      </c>
      <c r="AP45" s="72">
        <f>IF(AP$59="X","",IF(AP$59&lt;&gt;"",AP$59,IF(IFERROR(INDEX(醫師週班表!$C$5:$T$44,$CU45,AP$57),"")=0,"",IF(MID(IFERROR(INDEX(醫師週班表!$C$5:$T$44,$CU45,AP$57),""),2,1)="/",MID(IFERROR(INDEX(醫師週班表!$C$5:$T$44,$CU45,AP$57),""),1+AP$58*2,1),IF(MID(IFERROR(INDEX(醫師週班表!$C$5:$T$44,$CU45,AP$57),""),3,1)="隔",IF(AP$58=0,LEFT(IFERROR(INDEX(醫師週班表!$C$5:$T$44,$CU45,AP$57),""),1),""),IF(MID(IFERROR(INDEX(醫師週班表!$C$5:$T$44,$CU45,AP$57),""),2,1)="(",LEFT(IFERROR(INDEX(醫師週班表!$C$5:$T$44,$CU45,AP$57),""),1),IFERROR(INDEX(醫師週班表!$C$5:$T$44,$CU45,AP$57),"")))))))</f>
        <v/>
      </c>
      <c r="AQ45" s="72">
        <f>IF(AQ$59="X","",IF(AQ$59&lt;&gt;"",AQ$59,IF(IFERROR(INDEX(醫師週班表!$C$5:$T$44,$CU45,AQ$57),"")=0,"",IF(MID(IFERROR(INDEX(醫師週班表!$C$5:$T$44,$CU45,AQ$57),""),2,1)="/",MID(IFERROR(INDEX(醫師週班表!$C$5:$T$44,$CU45,AQ$57),""),1+AQ$58*2,1),IF(MID(IFERROR(INDEX(醫師週班表!$C$5:$T$44,$CU45,AQ$57),""),3,1)="隔",IF(AQ$58=0,LEFT(IFERROR(INDEX(醫師週班表!$C$5:$T$44,$CU45,AQ$57),""),1),""),IF(MID(IFERROR(INDEX(醫師週班表!$C$5:$T$44,$CU45,AQ$57),""),2,1)="(",LEFT(IFERROR(INDEX(醫師週班表!$C$5:$T$44,$CU45,AQ$57),""),1),IFERROR(INDEX(醫師週班表!$C$5:$T$44,$CU45,AQ$57),"")))))))</f>
        <v/>
      </c>
      <c r="AR45" s="71">
        <f>IF(AR$59="X","",IF(AR$59&lt;&gt;"",AR$59,IF(IFERROR(INDEX(醫師週班表!$C$5:$T$44,$CU45,AR$57),"")=0,"",IF(MID(IFERROR(INDEX(醫師週班表!$C$5:$T$44,$CU45,AR$57),""),2,1)="/",MID(IFERROR(INDEX(醫師週班表!$C$5:$T$44,$CU45,AR$57),""),1+AR$58*2,1),IF(MID(IFERROR(INDEX(醫師週班表!$C$5:$T$44,$CU45,AR$57),""),3,1)="隔",IF(AR$58=0,LEFT(IFERROR(INDEX(醫師週班表!$C$5:$T$44,$CU45,AR$57),""),1),""),IF(MID(IFERROR(INDEX(醫師週班表!$C$5:$T$44,$CU45,AR$57),""),2,1)="(",LEFT(IFERROR(INDEX(醫師週班表!$C$5:$T$44,$CU45,AR$57),""),1),IFERROR(INDEX(醫師週班表!$C$5:$T$44,$CU45,AR$57),"")))))))</f>
        <v/>
      </c>
      <c r="AS45" s="72">
        <f>IF(AS$59="X","",IF(AS$59&lt;&gt;"",AS$59,IF(IFERROR(INDEX(醫師週班表!$C$5:$T$44,$CU45,AS$57),"")=0,"",IF(MID(IFERROR(INDEX(醫師週班表!$C$5:$T$44,$CU45,AS$57),""),2,1)="/",MID(IFERROR(INDEX(醫師週班表!$C$5:$T$44,$CU45,AS$57),""),1+AS$58*2,1),IF(MID(IFERROR(INDEX(醫師週班表!$C$5:$T$44,$CU45,AS$57),""),3,1)="隔",IF(AS$58=0,LEFT(IFERROR(INDEX(醫師週班表!$C$5:$T$44,$CU45,AS$57),""),1),""),IF(MID(IFERROR(INDEX(醫師週班表!$C$5:$T$44,$CU45,AS$57),""),2,1)="(",LEFT(IFERROR(INDEX(醫師週班表!$C$5:$T$44,$CU45,AS$57),""),1),IFERROR(INDEX(醫師週班表!$C$5:$T$44,$CU45,AS$57),"")))))))</f>
        <v/>
      </c>
      <c r="AT45" s="72">
        <f>IF(AT$59="X","",IF(AT$59&lt;&gt;"",AT$59,IF(IFERROR(INDEX(醫師週班表!$C$5:$T$44,$CU45,AT$57),"")=0,"",IF(MID(IFERROR(INDEX(醫師週班表!$C$5:$T$44,$CU45,AT$57),""),2,1)="/",MID(IFERROR(INDEX(醫師週班表!$C$5:$T$44,$CU45,AT$57),""),1+AT$58*2,1),IF(MID(IFERROR(INDEX(醫師週班表!$C$5:$T$44,$CU45,AT$57),""),3,1)="隔",IF(AT$58=0,LEFT(IFERROR(INDEX(醫師週班表!$C$5:$T$44,$CU45,AT$57),""),1),""),IF(MID(IFERROR(INDEX(醫師週班表!$C$5:$T$44,$CU45,AT$57),""),2,1)="(",LEFT(IFERROR(INDEX(醫師週班表!$C$5:$T$44,$CU45,AT$57),""),1),IFERROR(INDEX(醫師週班表!$C$5:$T$44,$CU45,AT$57),"")))))))</f>
        <v/>
      </c>
      <c r="AU45" s="71">
        <f>IF(AU$59="X","",IF(AU$59&lt;&gt;"",AU$59,IF(IFERROR(INDEX(醫師週班表!$C$5:$T$44,$CU45,AU$57),"")=0,"",IF(MID(IFERROR(INDEX(醫師週班表!$C$5:$T$44,$CU45,AU$57),""),2,1)="/",MID(IFERROR(INDEX(醫師週班表!$C$5:$T$44,$CU45,AU$57),""),1+AU$58*2,1),IF(MID(IFERROR(INDEX(醫師週班表!$C$5:$T$44,$CU45,AU$57),""),3,1)="隔",IF(AU$58=0,LEFT(IFERROR(INDEX(醫師週班表!$C$5:$T$44,$CU45,AU$57),""),1),""),IF(MID(IFERROR(INDEX(醫師週班表!$C$5:$T$44,$CU45,AU$57),""),2,1)="(",LEFT(IFERROR(INDEX(醫師週班表!$C$5:$T$44,$CU45,AU$57),""),1),IFERROR(INDEX(醫師週班表!$C$5:$T$44,$CU45,AU$57),"")))))))</f>
        <v/>
      </c>
      <c r="AV45" s="72">
        <f>IF(AV$59="X","",IF(AV$59&lt;&gt;"",AV$59,IF(IFERROR(INDEX(醫師週班表!$C$5:$T$44,$CU45,AV$57),"")=0,"",IF(MID(IFERROR(INDEX(醫師週班表!$C$5:$T$44,$CU45,AV$57),""),2,1)="/",MID(IFERROR(INDEX(醫師週班表!$C$5:$T$44,$CU45,AV$57),""),1+AV$58*2,1),IF(MID(IFERROR(INDEX(醫師週班表!$C$5:$T$44,$CU45,AV$57),""),3,1)="隔",IF(AV$58=0,LEFT(IFERROR(INDEX(醫師週班表!$C$5:$T$44,$CU45,AV$57),""),1),""),IF(MID(IFERROR(INDEX(醫師週班表!$C$5:$T$44,$CU45,AV$57),""),2,1)="(",LEFT(IFERROR(INDEX(醫師週班表!$C$5:$T$44,$CU45,AV$57),""),1),IFERROR(INDEX(醫師週班表!$C$5:$T$44,$CU45,AV$57),"")))))))</f>
        <v/>
      </c>
      <c r="AW45" s="72">
        <f>IF(AW$59="X","",IF(AW$59&lt;&gt;"",AW$59,IF(IFERROR(INDEX(醫師週班表!$C$5:$T$44,$CU45,AW$57),"")=0,"",IF(MID(IFERROR(INDEX(醫師週班表!$C$5:$T$44,$CU45,AW$57),""),2,1)="/",MID(IFERROR(INDEX(醫師週班表!$C$5:$T$44,$CU45,AW$57),""),1+AW$58*2,1),IF(MID(IFERROR(INDEX(醫師週班表!$C$5:$T$44,$CU45,AW$57),""),3,1)="隔",IF(AW$58=0,LEFT(IFERROR(INDEX(醫師週班表!$C$5:$T$44,$CU45,AW$57),""),1),""),IF(MID(IFERROR(INDEX(醫師週班表!$C$5:$T$44,$CU45,AW$57),""),2,1)="(",LEFT(IFERROR(INDEX(醫師週班表!$C$5:$T$44,$CU45,AW$57),""),1),IFERROR(INDEX(醫師週班表!$C$5:$T$44,$CU45,AW$57),"")))))))</f>
        <v/>
      </c>
      <c r="AX45" s="71">
        <f>IF(AX$59="X","",IF(AX$59&lt;&gt;"",AX$59,IF(IFERROR(INDEX(醫師週班表!$C$5:$T$44,$CU45,AX$57),"")=0,"",IF(MID(IFERROR(INDEX(醫師週班表!$C$5:$T$44,$CU45,AX$57),""),2,1)="/",MID(IFERROR(INDEX(醫師週班表!$C$5:$T$44,$CU45,AX$57),""),1+AX$58*2,1),IF(MID(IFERROR(INDEX(醫師週班表!$C$5:$T$44,$CU45,AX$57),""),3,1)="隔",IF(AX$58=0,LEFT(IFERROR(INDEX(醫師週班表!$C$5:$T$44,$CU45,AX$57),""),1),""),IF(MID(IFERROR(INDEX(醫師週班表!$C$5:$T$44,$CU45,AX$57),""),2,1)="(",LEFT(IFERROR(INDEX(醫師週班表!$C$5:$T$44,$CU45,AX$57),""),1),IFERROR(INDEX(醫師週班表!$C$5:$T$44,$CU45,AX$57),"")))))))</f>
        <v/>
      </c>
      <c r="AY45" s="72">
        <f>IF(AY$59="X","",IF(AY$59&lt;&gt;"",AY$59,IF(IFERROR(INDEX(醫師週班表!$C$5:$T$44,$CU45,AY$57),"")=0,"",IF(MID(IFERROR(INDEX(醫師週班表!$C$5:$T$44,$CU45,AY$57),""),2,1)="/",MID(IFERROR(INDEX(醫師週班表!$C$5:$T$44,$CU45,AY$57),""),1+AY$58*2,1),IF(MID(IFERROR(INDEX(醫師週班表!$C$5:$T$44,$CU45,AY$57),""),3,1)="隔",IF(AY$58=0,LEFT(IFERROR(INDEX(醫師週班表!$C$5:$T$44,$CU45,AY$57),""),1),""),IF(MID(IFERROR(INDEX(醫師週班表!$C$5:$T$44,$CU45,AY$57),""),2,1)="(",LEFT(IFERROR(INDEX(醫師週班表!$C$5:$T$44,$CU45,AY$57),""),1),IFERROR(INDEX(醫師週班表!$C$5:$T$44,$CU45,AY$57),"")))))))</f>
        <v/>
      </c>
      <c r="AZ45" s="72">
        <f>IF(AZ$59="X","",IF(AZ$59&lt;&gt;"",AZ$59,IF(IFERROR(INDEX(醫師週班表!$C$5:$T$44,$CU45,AZ$57),"")=0,"",IF(MID(IFERROR(INDEX(醫師週班表!$C$5:$T$44,$CU45,AZ$57),""),2,1)="/",MID(IFERROR(INDEX(醫師週班表!$C$5:$T$44,$CU45,AZ$57),""),1+AZ$58*2,1),IF(MID(IFERROR(INDEX(醫師週班表!$C$5:$T$44,$CU45,AZ$57),""),3,1)="隔",IF(AZ$58=0,LEFT(IFERROR(INDEX(醫師週班表!$C$5:$T$44,$CU45,AZ$57),""),1),""),IF(MID(IFERROR(INDEX(醫師週班表!$C$5:$T$44,$CU45,AZ$57),""),2,1)="(",LEFT(IFERROR(INDEX(醫師週班表!$C$5:$T$44,$CU45,AZ$57),""),1),IFERROR(INDEX(醫師週班表!$C$5:$T$44,$CU45,AZ$57),"")))))))</f>
        <v/>
      </c>
      <c r="BA45" s="71">
        <f>IF(BA$59="X","",IF(BA$59&lt;&gt;"",BA$59,IF(IFERROR(INDEX(醫師週班表!$C$5:$T$44,$CU45,BA$57),"")=0,"",IF(MID(IFERROR(INDEX(醫師週班表!$C$5:$T$44,$CU45,BA$57),""),2,1)="/",MID(IFERROR(INDEX(醫師週班表!$C$5:$T$44,$CU45,BA$57),""),1+BA$58*2,1),IF(MID(IFERROR(INDEX(醫師週班表!$C$5:$T$44,$CU45,BA$57),""),3,1)="隔",IF(BA$58=0,LEFT(IFERROR(INDEX(醫師週班表!$C$5:$T$44,$CU45,BA$57),""),1),""),IF(MID(IFERROR(INDEX(醫師週班表!$C$5:$T$44,$CU45,BA$57),""),2,1)="(",LEFT(IFERROR(INDEX(醫師週班表!$C$5:$T$44,$CU45,BA$57),""),1),IFERROR(INDEX(醫師週班表!$C$5:$T$44,$CU45,BA$57),"")))))))</f>
        <v/>
      </c>
      <c r="BB45" s="72">
        <f>IF(BB$59="X","",IF(BB$59&lt;&gt;"",BB$59,IF(IFERROR(INDEX(醫師週班表!$C$5:$T$44,$CU45,BB$57),"")=0,"",IF(MID(IFERROR(INDEX(醫師週班表!$C$5:$T$44,$CU45,BB$57),""),2,1)="/",MID(IFERROR(INDEX(醫師週班表!$C$5:$T$44,$CU45,BB$57),""),1+BB$58*2,1),IF(MID(IFERROR(INDEX(醫師週班表!$C$5:$T$44,$CU45,BB$57),""),3,1)="隔",IF(BB$58=0,LEFT(IFERROR(INDEX(醫師週班表!$C$5:$T$44,$CU45,BB$57),""),1),""),IF(MID(IFERROR(INDEX(醫師週班表!$C$5:$T$44,$CU45,BB$57),""),2,1)="(",LEFT(IFERROR(INDEX(醫師週班表!$C$5:$T$44,$CU45,BB$57),""),1),IFERROR(INDEX(醫師週班表!$C$5:$T$44,$CU45,BB$57),"")))))))</f>
        <v/>
      </c>
      <c r="BC45" s="72">
        <f>IF(BC$59="X","",IF(BC$59&lt;&gt;"",BC$59,IF(IFERROR(INDEX(醫師週班表!$C$5:$T$44,$CU45,BC$57),"")=0,"",IF(MID(IFERROR(INDEX(醫師週班表!$C$5:$T$44,$CU45,BC$57),""),2,1)="/",MID(IFERROR(INDEX(醫師週班表!$C$5:$T$44,$CU45,BC$57),""),1+BC$58*2,1),IF(MID(IFERROR(INDEX(醫師週班表!$C$5:$T$44,$CU45,BC$57),""),3,1)="隔",IF(BC$58=0,LEFT(IFERROR(INDEX(醫師週班表!$C$5:$T$44,$CU45,BC$57),""),1),""),IF(MID(IFERROR(INDEX(醫師週班表!$C$5:$T$44,$CU45,BC$57),""),2,1)="(",LEFT(IFERROR(INDEX(醫師週班表!$C$5:$T$44,$CU45,BC$57),""),1),IFERROR(INDEX(醫師週班表!$C$5:$T$44,$CU45,BC$57),"")))))))</f>
        <v/>
      </c>
      <c r="BD45" s="71">
        <f>IF(BD$59="X","",IF(BD$59&lt;&gt;"",BD$59,IF(IFERROR(INDEX(醫師週班表!$C$5:$T$44,$CU45,BD$57),"")=0,"",IF(MID(IFERROR(INDEX(醫師週班表!$C$5:$T$44,$CU45,BD$57),""),2,1)="/",MID(IFERROR(INDEX(醫師週班表!$C$5:$T$44,$CU45,BD$57),""),1+BD$58*2,1),IF(MID(IFERROR(INDEX(醫師週班表!$C$5:$T$44,$CU45,BD$57),""),3,1)="隔",IF(BD$58=0,LEFT(IFERROR(INDEX(醫師週班表!$C$5:$T$44,$CU45,BD$57),""),1),""),IF(MID(IFERROR(INDEX(醫師週班表!$C$5:$T$44,$CU45,BD$57),""),2,1)="(",LEFT(IFERROR(INDEX(醫師週班表!$C$5:$T$44,$CU45,BD$57),""),1),IFERROR(INDEX(醫師週班表!$C$5:$T$44,$CU45,BD$57),"")))))))</f>
        <v/>
      </c>
      <c r="BE45" s="72">
        <f>IF(BE$59="X","",IF(BE$59&lt;&gt;"",BE$59,IF(IFERROR(INDEX(醫師週班表!$C$5:$T$44,$CU45,BE$57),"")=0,"",IF(MID(IFERROR(INDEX(醫師週班表!$C$5:$T$44,$CU45,BE$57),""),2,1)="/",MID(IFERROR(INDEX(醫師週班表!$C$5:$T$44,$CU45,BE$57),""),1+BE$58*2,1),IF(MID(IFERROR(INDEX(醫師週班表!$C$5:$T$44,$CU45,BE$57),""),3,1)="隔",IF(BE$58=0,LEFT(IFERROR(INDEX(醫師週班表!$C$5:$T$44,$CU45,BE$57),""),1),""),IF(MID(IFERROR(INDEX(醫師週班表!$C$5:$T$44,$CU45,BE$57),""),2,1)="(",LEFT(IFERROR(INDEX(醫師週班表!$C$5:$T$44,$CU45,BE$57),""),1),IFERROR(INDEX(醫師週班表!$C$5:$T$44,$CU45,BE$57),"")))))))</f>
        <v/>
      </c>
      <c r="BF45" s="72">
        <f>IF(BF$59="X","",IF(BF$59&lt;&gt;"",BF$59,IF(IFERROR(INDEX(醫師週班表!$C$5:$T$44,$CU45,BF$57),"")=0,"",IF(MID(IFERROR(INDEX(醫師週班表!$C$5:$T$44,$CU45,BF$57),""),2,1)="/",MID(IFERROR(INDEX(醫師週班表!$C$5:$T$44,$CU45,BF$57),""),1+BF$58*2,1),IF(MID(IFERROR(INDEX(醫師週班表!$C$5:$T$44,$CU45,BF$57),""),3,1)="隔",IF(BF$58=0,LEFT(IFERROR(INDEX(醫師週班表!$C$5:$T$44,$CU45,BF$57),""),1),""),IF(MID(IFERROR(INDEX(醫師週班表!$C$5:$T$44,$CU45,BF$57),""),2,1)="(",LEFT(IFERROR(INDEX(醫師週班表!$C$5:$T$44,$CU45,BF$57),""),1),IFERROR(INDEX(醫師週班表!$C$5:$T$44,$CU45,BF$57),"")))))))</f>
        <v/>
      </c>
      <c r="BG45" s="71">
        <f>IF(BG$59="X","",IF(BG$59&lt;&gt;"",BG$59,IF(IFERROR(INDEX(醫師週班表!$C$5:$T$44,$CU45,BG$57),"")=0,"",IF(MID(IFERROR(INDEX(醫師週班表!$C$5:$T$44,$CU45,BG$57),""),2,1)="/",MID(IFERROR(INDEX(醫師週班表!$C$5:$T$44,$CU45,BG$57),""),1+BG$58*2,1),IF(MID(IFERROR(INDEX(醫師週班表!$C$5:$T$44,$CU45,BG$57),""),3,1)="隔",IF(BG$58=0,LEFT(IFERROR(INDEX(醫師週班表!$C$5:$T$44,$CU45,BG$57),""),1),""),IF(MID(IFERROR(INDEX(醫師週班表!$C$5:$T$44,$CU45,BG$57),""),2,1)="(",LEFT(IFERROR(INDEX(醫師週班表!$C$5:$T$44,$CU45,BG$57),""),1),IFERROR(INDEX(醫師週班表!$C$5:$T$44,$CU45,BG$57),"")))))))</f>
        <v/>
      </c>
      <c r="BH45" s="72">
        <f>IF(BH$59="X","",IF(BH$59&lt;&gt;"",BH$59,IF(IFERROR(INDEX(醫師週班表!$C$5:$T$44,$CU45,BH$57),"")=0,"",IF(MID(IFERROR(INDEX(醫師週班表!$C$5:$T$44,$CU45,BH$57),""),2,1)="/",MID(IFERROR(INDEX(醫師週班表!$C$5:$T$44,$CU45,BH$57),""),1+BH$58*2,1),IF(MID(IFERROR(INDEX(醫師週班表!$C$5:$T$44,$CU45,BH$57),""),3,1)="隔",IF(BH$58=0,LEFT(IFERROR(INDEX(醫師週班表!$C$5:$T$44,$CU45,BH$57),""),1),""),IF(MID(IFERROR(INDEX(醫師週班表!$C$5:$T$44,$CU45,BH$57),""),2,1)="(",LEFT(IFERROR(INDEX(醫師週班表!$C$5:$T$44,$CU45,BH$57),""),1),IFERROR(INDEX(醫師週班表!$C$5:$T$44,$CU45,BH$57),"")))))))</f>
        <v/>
      </c>
      <c r="BI45" s="72">
        <f>IF(BI$59="X","",IF(BI$59&lt;&gt;"",BI$59,IF(IFERROR(INDEX(醫師週班表!$C$5:$T$44,$CU45,BI$57),"")=0,"",IF(MID(IFERROR(INDEX(醫師週班表!$C$5:$T$44,$CU45,BI$57),""),2,1)="/",MID(IFERROR(INDEX(醫師週班表!$C$5:$T$44,$CU45,BI$57),""),1+BI$58*2,1),IF(MID(IFERROR(INDEX(醫師週班表!$C$5:$T$44,$CU45,BI$57),""),3,1)="隔",IF(BI$58=0,LEFT(IFERROR(INDEX(醫師週班表!$C$5:$T$44,$CU45,BI$57),""),1),""),IF(MID(IFERROR(INDEX(醫師週班表!$C$5:$T$44,$CU45,BI$57),""),2,1)="(",LEFT(IFERROR(INDEX(醫師週班表!$C$5:$T$44,$CU45,BI$57),""),1),IFERROR(INDEX(醫師週班表!$C$5:$T$44,$CU45,BI$57),"")))))))</f>
        <v/>
      </c>
      <c r="BJ45" s="71">
        <f>IF(BJ$59="X","",IF(BJ$59&lt;&gt;"",BJ$59,IF(IFERROR(INDEX(醫師週班表!$C$5:$T$44,$CU45,BJ$57),"")=0,"",IF(MID(IFERROR(INDEX(醫師週班表!$C$5:$T$44,$CU45,BJ$57),""),2,1)="/",MID(IFERROR(INDEX(醫師週班表!$C$5:$T$44,$CU45,BJ$57),""),1+BJ$58*2,1),IF(MID(IFERROR(INDEX(醫師週班表!$C$5:$T$44,$CU45,BJ$57),""),3,1)="隔",IF(BJ$58=0,LEFT(IFERROR(INDEX(醫師週班表!$C$5:$T$44,$CU45,BJ$57),""),1),""),IF(MID(IFERROR(INDEX(醫師週班表!$C$5:$T$44,$CU45,BJ$57),""),2,1)="(",LEFT(IFERROR(INDEX(醫師週班表!$C$5:$T$44,$CU45,BJ$57),""),1),IFERROR(INDEX(醫師週班表!$C$5:$T$44,$CU45,BJ$57),"")))))))</f>
        <v/>
      </c>
      <c r="BK45" s="72">
        <f>IF(BK$59="X","",IF(BK$59&lt;&gt;"",BK$59,IF(IFERROR(INDEX(醫師週班表!$C$5:$T$44,$CU45,BK$57),"")=0,"",IF(MID(IFERROR(INDEX(醫師週班表!$C$5:$T$44,$CU45,BK$57),""),2,1)="/",MID(IFERROR(INDEX(醫師週班表!$C$5:$T$44,$CU45,BK$57),""),1+BK$58*2,1),IF(MID(IFERROR(INDEX(醫師週班表!$C$5:$T$44,$CU45,BK$57),""),3,1)="隔",IF(BK$58=0,LEFT(IFERROR(INDEX(醫師週班表!$C$5:$T$44,$CU45,BK$57),""),1),""),IF(MID(IFERROR(INDEX(醫師週班表!$C$5:$T$44,$CU45,BK$57),""),2,1)="(",LEFT(IFERROR(INDEX(醫師週班表!$C$5:$T$44,$CU45,BK$57),""),1),IFERROR(INDEX(醫師週班表!$C$5:$T$44,$CU45,BK$57),"")))))))</f>
        <v/>
      </c>
      <c r="BL45" s="72">
        <f>IF(BL$59="X","",IF(BL$59&lt;&gt;"",BL$59,IF(IFERROR(INDEX(醫師週班表!$C$5:$T$44,$CU45,BL$57),"")=0,"",IF(MID(IFERROR(INDEX(醫師週班表!$C$5:$T$44,$CU45,BL$57),""),2,1)="/",MID(IFERROR(INDEX(醫師週班表!$C$5:$T$44,$CU45,BL$57),""),1+BL$58*2,1),IF(MID(IFERROR(INDEX(醫師週班表!$C$5:$T$44,$CU45,BL$57),""),3,1)="隔",IF(BL$58=0,LEFT(IFERROR(INDEX(醫師週班表!$C$5:$T$44,$CU45,BL$57),""),1),""),IF(MID(IFERROR(INDEX(醫師週班表!$C$5:$T$44,$CU45,BL$57),""),2,1)="(",LEFT(IFERROR(INDEX(醫師週班表!$C$5:$T$44,$CU45,BL$57),""),1),IFERROR(INDEX(醫師週班表!$C$5:$T$44,$CU45,BL$57),"")))))))</f>
        <v/>
      </c>
      <c r="BM45" s="71">
        <f>IF(BM$59="X","",IF(BM$59&lt;&gt;"",BM$59,IF(IFERROR(INDEX(醫師週班表!$C$5:$T$44,$CU45,BM$57),"")=0,"",IF(MID(IFERROR(INDEX(醫師週班表!$C$5:$T$44,$CU45,BM$57),""),2,1)="/",MID(IFERROR(INDEX(醫師週班表!$C$5:$T$44,$CU45,BM$57),""),1+BM$58*2,1),IF(MID(IFERROR(INDEX(醫師週班表!$C$5:$T$44,$CU45,BM$57),""),3,1)="隔",IF(BM$58=0,LEFT(IFERROR(INDEX(醫師週班表!$C$5:$T$44,$CU45,BM$57),""),1),""),IF(MID(IFERROR(INDEX(醫師週班表!$C$5:$T$44,$CU45,BM$57),""),2,1)="(",LEFT(IFERROR(INDEX(醫師週班表!$C$5:$T$44,$CU45,BM$57),""),1),IFERROR(INDEX(醫師週班表!$C$5:$T$44,$CU45,BM$57),"")))))))</f>
        <v/>
      </c>
      <c r="BN45" s="72">
        <f>IF(BN$59="X","",IF(BN$59&lt;&gt;"",BN$59,IF(IFERROR(INDEX(醫師週班表!$C$5:$T$44,$CU45,BN$57),"")=0,"",IF(MID(IFERROR(INDEX(醫師週班表!$C$5:$T$44,$CU45,BN$57),""),2,1)="/",MID(IFERROR(INDEX(醫師週班表!$C$5:$T$44,$CU45,BN$57),""),1+BN$58*2,1),IF(MID(IFERROR(INDEX(醫師週班表!$C$5:$T$44,$CU45,BN$57),""),3,1)="隔",IF(BN$58=0,LEFT(IFERROR(INDEX(醫師週班表!$C$5:$T$44,$CU45,BN$57),""),1),""),IF(MID(IFERROR(INDEX(醫師週班表!$C$5:$T$44,$CU45,BN$57),""),2,1)="(",LEFT(IFERROR(INDEX(醫師週班表!$C$5:$T$44,$CU45,BN$57),""),1),IFERROR(INDEX(醫師週班表!$C$5:$T$44,$CU45,BN$57),"")))))))</f>
        <v/>
      </c>
      <c r="BO45" s="72">
        <f>IF(BO$59="X","",IF(BO$59&lt;&gt;"",BO$59,IF(IFERROR(INDEX(醫師週班表!$C$5:$T$44,$CU45,BO$57),"")=0,"",IF(MID(IFERROR(INDEX(醫師週班表!$C$5:$T$44,$CU45,BO$57),""),2,1)="/",MID(IFERROR(INDEX(醫師週班表!$C$5:$T$44,$CU45,BO$57),""),1+BO$58*2,1),IF(MID(IFERROR(INDEX(醫師週班表!$C$5:$T$44,$CU45,BO$57),""),3,1)="隔",IF(BO$58=0,LEFT(IFERROR(INDEX(醫師週班表!$C$5:$T$44,$CU45,BO$57),""),1),""),IF(MID(IFERROR(INDEX(醫師週班表!$C$5:$T$44,$CU45,BO$57),""),2,1)="(",LEFT(IFERROR(INDEX(醫師週班表!$C$5:$T$44,$CU45,BO$57),""),1),IFERROR(INDEX(醫師週班表!$C$5:$T$44,$CU45,BO$57),"")))))))</f>
        <v/>
      </c>
      <c r="BP45" s="71">
        <f>IF(BP$59="X","",IF(BP$59&lt;&gt;"",BP$59,IF(IFERROR(INDEX(醫師週班表!$C$5:$T$44,$CU45,BP$57),"")=0,"",IF(MID(IFERROR(INDEX(醫師週班表!$C$5:$T$44,$CU45,BP$57),""),2,1)="/",MID(IFERROR(INDEX(醫師週班表!$C$5:$T$44,$CU45,BP$57),""),1+BP$58*2,1),IF(MID(IFERROR(INDEX(醫師週班表!$C$5:$T$44,$CU45,BP$57),""),3,1)="隔",IF(BP$58=0,LEFT(IFERROR(INDEX(醫師週班表!$C$5:$T$44,$CU45,BP$57),""),1),""),IF(MID(IFERROR(INDEX(醫師週班表!$C$5:$T$44,$CU45,BP$57),""),2,1)="(",LEFT(IFERROR(INDEX(醫師週班表!$C$5:$T$44,$CU45,BP$57),""),1),IFERROR(INDEX(醫師週班表!$C$5:$T$44,$CU45,BP$57),"")))))))</f>
        <v/>
      </c>
      <c r="BQ45" s="72">
        <f>IF(BQ$59="X","",IF(BQ$59&lt;&gt;"",BQ$59,IF(IFERROR(INDEX(醫師週班表!$C$5:$T$44,$CU45,BQ$57),"")=0,"",IF(MID(IFERROR(INDEX(醫師週班表!$C$5:$T$44,$CU45,BQ$57),""),2,1)="/",MID(IFERROR(INDEX(醫師週班表!$C$5:$T$44,$CU45,BQ$57),""),1+BQ$58*2,1),IF(MID(IFERROR(INDEX(醫師週班表!$C$5:$T$44,$CU45,BQ$57),""),3,1)="隔",IF(BQ$58=0,LEFT(IFERROR(INDEX(醫師週班表!$C$5:$T$44,$CU45,BQ$57),""),1),""),IF(MID(IFERROR(INDEX(醫師週班表!$C$5:$T$44,$CU45,BQ$57),""),2,1)="(",LEFT(IFERROR(INDEX(醫師週班表!$C$5:$T$44,$CU45,BQ$57),""),1),IFERROR(INDEX(醫師週班表!$C$5:$T$44,$CU45,BQ$57),"")))))))</f>
        <v/>
      </c>
      <c r="BR45" s="72">
        <f>IF(BR$59="X","",IF(BR$59&lt;&gt;"",BR$59,IF(IFERROR(INDEX(醫師週班表!$C$5:$T$44,$CU45,BR$57),"")=0,"",IF(MID(IFERROR(INDEX(醫師週班表!$C$5:$T$44,$CU45,BR$57),""),2,1)="/",MID(IFERROR(INDEX(醫師週班表!$C$5:$T$44,$CU45,BR$57),""),1+BR$58*2,1),IF(MID(IFERROR(INDEX(醫師週班表!$C$5:$T$44,$CU45,BR$57),""),3,1)="隔",IF(BR$58=0,LEFT(IFERROR(INDEX(醫師週班表!$C$5:$T$44,$CU45,BR$57),""),1),""),IF(MID(IFERROR(INDEX(醫師週班表!$C$5:$T$44,$CU45,BR$57),""),2,1)="(",LEFT(IFERROR(INDEX(醫師週班表!$C$5:$T$44,$CU45,BR$57),""),1),IFERROR(INDEX(醫師週班表!$C$5:$T$44,$CU45,BR$57),"")))))))</f>
        <v/>
      </c>
      <c r="BS45" s="71">
        <f>IF(BS$59="X","",IF(BS$59&lt;&gt;"",BS$59,IF(IFERROR(INDEX(醫師週班表!$C$5:$T$44,$CU45,BS$57),"")=0,"",IF(MID(IFERROR(INDEX(醫師週班表!$C$5:$T$44,$CU45,BS$57),""),2,1)="/",MID(IFERROR(INDEX(醫師週班表!$C$5:$T$44,$CU45,BS$57),""),1+BS$58*2,1),IF(MID(IFERROR(INDEX(醫師週班表!$C$5:$T$44,$CU45,BS$57),""),3,1)="隔",IF(BS$58=0,LEFT(IFERROR(INDEX(醫師週班表!$C$5:$T$44,$CU45,BS$57),""),1),""),IF(MID(IFERROR(INDEX(醫師週班表!$C$5:$T$44,$CU45,BS$57),""),2,1)="(",LEFT(IFERROR(INDEX(醫師週班表!$C$5:$T$44,$CU45,BS$57),""),1),IFERROR(INDEX(醫師週班表!$C$5:$T$44,$CU45,BS$57),"")))))))</f>
        <v/>
      </c>
      <c r="BT45" s="72">
        <f>IF(BT$59="X","",IF(BT$59&lt;&gt;"",BT$59,IF(IFERROR(INDEX(醫師週班表!$C$5:$T$44,$CU45,BT$57),"")=0,"",IF(MID(IFERROR(INDEX(醫師週班表!$C$5:$T$44,$CU45,BT$57),""),2,1)="/",MID(IFERROR(INDEX(醫師週班表!$C$5:$T$44,$CU45,BT$57),""),1+BT$58*2,1),IF(MID(IFERROR(INDEX(醫師週班表!$C$5:$T$44,$CU45,BT$57),""),3,1)="隔",IF(BT$58=0,LEFT(IFERROR(INDEX(醫師週班表!$C$5:$T$44,$CU45,BT$57),""),1),""),IF(MID(IFERROR(INDEX(醫師週班表!$C$5:$T$44,$CU45,BT$57),""),2,1)="(",LEFT(IFERROR(INDEX(醫師週班表!$C$5:$T$44,$CU45,BT$57),""),1),IFERROR(INDEX(醫師週班表!$C$5:$T$44,$CU45,BT$57),"")))))))</f>
        <v/>
      </c>
      <c r="BU45" s="72">
        <f>IF(BU$59="X","",IF(BU$59&lt;&gt;"",BU$59,IF(IFERROR(INDEX(醫師週班表!$C$5:$T$44,$CU45,BU$57),"")=0,"",IF(MID(IFERROR(INDEX(醫師週班表!$C$5:$T$44,$CU45,BU$57),""),2,1)="/",MID(IFERROR(INDEX(醫師週班表!$C$5:$T$44,$CU45,BU$57),""),1+BU$58*2,1),IF(MID(IFERROR(INDEX(醫師週班表!$C$5:$T$44,$CU45,BU$57),""),3,1)="隔",IF(BU$58=0,LEFT(IFERROR(INDEX(醫師週班表!$C$5:$T$44,$CU45,BU$57),""),1),""),IF(MID(IFERROR(INDEX(醫師週班表!$C$5:$T$44,$CU45,BU$57),""),2,1)="(",LEFT(IFERROR(INDEX(醫師週班表!$C$5:$T$44,$CU45,BU$57),""),1),IFERROR(INDEX(醫師週班表!$C$5:$T$44,$CU45,BU$57),"")))))))</f>
        <v/>
      </c>
      <c r="BV45" s="71">
        <f>IF(BV$59="X","",IF(BV$59&lt;&gt;"",BV$59,IF(IFERROR(INDEX(醫師週班表!$C$5:$T$44,$CU45,BV$57),"")=0,"",IF(MID(IFERROR(INDEX(醫師週班表!$C$5:$T$44,$CU45,BV$57),""),2,1)="/",MID(IFERROR(INDEX(醫師週班表!$C$5:$T$44,$CU45,BV$57),""),1+BV$58*2,1),IF(MID(IFERROR(INDEX(醫師週班表!$C$5:$T$44,$CU45,BV$57),""),3,1)="隔",IF(BV$58=0,LEFT(IFERROR(INDEX(醫師週班表!$C$5:$T$44,$CU45,BV$57),""),1),""),IF(MID(IFERROR(INDEX(醫師週班表!$C$5:$T$44,$CU45,BV$57),""),2,1)="(",LEFT(IFERROR(INDEX(醫師週班表!$C$5:$T$44,$CU45,BV$57),""),1),IFERROR(INDEX(醫師週班表!$C$5:$T$44,$CU45,BV$57),"")))))))</f>
        <v/>
      </c>
      <c r="BW45" s="72">
        <f>IF(BW$59="X","",IF(BW$59&lt;&gt;"",BW$59,IF(IFERROR(INDEX(醫師週班表!$C$5:$T$44,$CU45,BW$57),"")=0,"",IF(MID(IFERROR(INDEX(醫師週班表!$C$5:$T$44,$CU45,BW$57),""),2,1)="/",MID(IFERROR(INDEX(醫師週班表!$C$5:$T$44,$CU45,BW$57),""),1+BW$58*2,1),IF(MID(IFERROR(INDEX(醫師週班表!$C$5:$T$44,$CU45,BW$57),""),3,1)="隔",IF(BW$58=0,LEFT(IFERROR(INDEX(醫師週班表!$C$5:$T$44,$CU45,BW$57),""),1),""),IF(MID(IFERROR(INDEX(醫師週班表!$C$5:$T$44,$CU45,BW$57),""),2,1)="(",LEFT(IFERROR(INDEX(醫師週班表!$C$5:$T$44,$CU45,BW$57),""),1),IFERROR(INDEX(醫師週班表!$C$5:$T$44,$CU45,BW$57),"")))))))</f>
        <v/>
      </c>
      <c r="BX45" s="72">
        <f>IF(BX$59="X","",IF(BX$59&lt;&gt;"",BX$59,IF(IFERROR(INDEX(醫師週班表!$C$5:$T$44,$CU45,BX$57),"")=0,"",IF(MID(IFERROR(INDEX(醫師週班表!$C$5:$T$44,$CU45,BX$57),""),2,1)="/",MID(IFERROR(INDEX(醫師週班表!$C$5:$T$44,$CU45,BX$57),""),1+BX$58*2,1),IF(MID(IFERROR(INDEX(醫師週班表!$C$5:$T$44,$CU45,BX$57),""),3,1)="隔",IF(BX$58=0,LEFT(IFERROR(INDEX(醫師週班表!$C$5:$T$44,$CU45,BX$57),""),1),""),IF(MID(IFERROR(INDEX(醫師週班表!$C$5:$T$44,$CU45,BX$57),""),2,1)="(",LEFT(IFERROR(INDEX(醫師週班表!$C$5:$T$44,$CU45,BX$57),""),1),IFERROR(INDEX(醫師週班表!$C$5:$T$44,$CU45,BX$57),"")))))))</f>
        <v/>
      </c>
      <c r="BY45" s="71">
        <f>IF(BY$59="X","",IF(BY$59&lt;&gt;"",BY$59,IF(IFERROR(INDEX(醫師週班表!$C$5:$T$44,$CU45,BY$57),"")=0,"",IF(MID(IFERROR(INDEX(醫師週班表!$C$5:$T$44,$CU45,BY$57),""),2,1)="/",MID(IFERROR(INDEX(醫師週班表!$C$5:$T$44,$CU45,BY$57),""),1+BY$58*2,1),IF(MID(IFERROR(INDEX(醫師週班表!$C$5:$T$44,$CU45,BY$57),""),3,1)="隔",IF(BY$58=0,LEFT(IFERROR(INDEX(醫師週班表!$C$5:$T$44,$CU45,BY$57),""),1),""),IF(MID(IFERROR(INDEX(醫師週班表!$C$5:$T$44,$CU45,BY$57),""),2,1)="(",LEFT(IFERROR(INDEX(醫師週班表!$C$5:$T$44,$CU45,BY$57),""),1),IFERROR(INDEX(醫師週班表!$C$5:$T$44,$CU45,BY$57),"")))))))</f>
        <v/>
      </c>
      <c r="BZ45" s="72">
        <f>IF(BZ$59="X","",IF(BZ$59&lt;&gt;"",BZ$59,IF(IFERROR(INDEX(醫師週班表!$C$5:$T$44,$CU45,BZ$57),"")=0,"",IF(MID(IFERROR(INDEX(醫師週班表!$C$5:$T$44,$CU45,BZ$57),""),2,1)="/",MID(IFERROR(INDEX(醫師週班表!$C$5:$T$44,$CU45,BZ$57),""),1+BZ$58*2,1),IF(MID(IFERROR(INDEX(醫師週班表!$C$5:$T$44,$CU45,BZ$57),""),3,1)="隔",IF(BZ$58=0,LEFT(IFERROR(INDEX(醫師週班表!$C$5:$T$44,$CU45,BZ$57),""),1),""),IF(MID(IFERROR(INDEX(醫師週班表!$C$5:$T$44,$CU45,BZ$57),""),2,1)="(",LEFT(IFERROR(INDEX(醫師週班表!$C$5:$T$44,$CU45,BZ$57),""),1),IFERROR(INDEX(醫師週班表!$C$5:$T$44,$CU45,BZ$57),"")))))))</f>
        <v/>
      </c>
      <c r="CA45" s="72">
        <f>IF(CA$59="X","",IF(CA$59&lt;&gt;"",CA$59,IF(IFERROR(INDEX(醫師週班表!$C$5:$T$44,$CU45,CA$57),"")=0,"",IF(MID(IFERROR(INDEX(醫師週班表!$C$5:$T$44,$CU45,CA$57),""),2,1)="/",MID(IFERROR(INDEX(醫師週班表!$C$5:$T$44,$CU45,CA$57),""),1+CA$58*2,1),IF(MID(IFERROR(INDEX(醫師週班表!$C$5:$T$44,$CU45,CA$57),""),3,1)="隔",IF(CA$58=0,LEFT(IFERROR(INDEX(醫師週班表!$C$5:$T$44,$CU45,CA$57),""),1),""),IF(MID(IFERROR(INDEX(醫師週班表!$C$5:$T$44,$CU45,CA$57),""),2,1)="(",LEFT(IFERROR(INDEX(醫師週班表!$C$5:$T$44,$CU45,CA$57),""),1),IFERROR(INDEX(醫師週班表!$C$5:$T$44,$CU45,CA$57),"")))))))</f>
        <v/>
      </c>
      <c r="CB45" s="71">
        <f>IF(CB$59="X","",IF(CB$59&lt;&gt;"",CB$59,IF(IFERROR(INDEX(醫師週班表!$C$5:$T$44,$CU45,CB$57),"")=0,"",IF(MID(IFERROR(INDEX(醫師週班表!$C$5:$T$44,$CU45,CB$57),""),2,1)="/",MID(IFERROR(INDEX(醫師週班表!$C$5:$T$44,$CU45,CB$57),""),1+CB$58*2,1),IF(MID(IFERROR(INDEX(醫師週班表!$C$5:$T$44,$CU45,CB$57),""),3,1)="隔",IF(CB$58=0,LEFT(IFERROR(INDEX(醫師週班表!$C$5:$T$44,$CU45,CB$57),""),1),""),IF(MID(IFERROR(INDEX(醫師週班表!$C$5:$T$44,$CU45,CB$57),""),2,1)="(",LEFT(IFERROR(INDEX(醫師週班表!$C$5:$T$44,$CU45,CB$57),""),1),IFERROR(INDEX(醫師週班表!$C$5:$T$44,$CU45,CB$57),"")))))))</f>
        <v/>
      </c>
      <c r="CC45" s="72">
        <f>IF(CC$59="X","",IF(CC$59&lt;&gt;"",CC$59,IF(IFERROR(INDEX(醫師週班表!$C$5:$T$44,$CU45,CC$57),"")=0,"",IF(MID(IFERROR(INDEX(醫師週班表!$C$5:$T$44,$CU45,CC$57),""),2,1)="/",MID(IFERROR(INDEX(醫師週班表!$C$5:$T$44,$CU45,CC$57),""),1+CC$58*2,1),IF(MID(IFERROR(INDEX(醫師週班表!$C$5:$T$44,$CU45,CC$57),""),3,1)="隔",IF(CC$58=0,LEFT(IFERROR(INDEX(醫師週班表!$C$5:$T$44,$CU45,CC$57),""),1),""),IF(MID(IFERROR(INDEX(醫師週班表!$C$5:$T$44,$CU45,CC$57),""),2,1)="(",LEFT(IFERROR(INDEX(醫師週班表!$C$5:$T$44,$CU45,CC$57),""),1),IFERROR(INDEX(醫師週班表!$C$5:$T$44,$CU45,CC$57),"")))))))</f>
        <v/>
      </c>
      <c r="CD45" s="72">
        <f>IF(CD$59="X","",IF(CD$59&lt;&gt;"",CD$59,IF(IFERROR(INDEX(醫師週班表!$C$5:$T$44,$CU45,CD$57),"")=0,"",IF(MID(IFERROR(INDEX(醫師週班表!$C$5:$T$44,$CU45,CD$57),""),2,1)="/",MID(IFERROR(INDEX(醫師週班表!$C$5:$T$44,$CU45,CD$57),""),1+CD$58*2,1),IF(MID(IFERROR(INDEX(醫師週班表!$C$5:$T$44,$CU45,CD$57),""),3,1)="隔",IF(CD$58=0,LEFT(IFERROR(INDEX(醫師週班表!$C$5:$T$44,$CU45,CD$57),""),1),""),IF(MID(IFERROR(INDEX(醫師週班表!$C$5:$T$44,$CU45,CD$57),""),2,1)="(",LEFT(IFERROR(INDEX(醫師週班表!$C$5:$T$44,$CU45,CD$57),""),1),IFERROR(INDEX(醫師週班表!$C$5:$T$44,$CU45,CD$57),"")))))))</f>
        <v/>
      </c>
      <c r="CE45" s="71">
        <f>IF(CE$59="X","",IF(CE$59&lt;&gt;"",CE$59,IF(IFERROR(INDEX(醫師週班表!$C$5:$T$44,$CU45,CE$57),"")=0,"",IF(MID(IFERROR(INDEX(醫師週班表!$C$5:$T$44,$CU45,CE$57),""),2,1)="/",MID(IFERROR(INDEX(醫師週班表!$C$5:$T$44,$CU45,CE$57),""),1+CE$58*2,1),IF(MID(IFERROR(INDEX(醫師週班表!$C$5:$T$44,$CU45,CE$57),""),3,1)="隔",IF(CE$58=0,LEFT(IFERROR(INDEX(醫師週班表!$C$5:$T$44,$CU45,CE$57),""),1),""),IF(MID(IFERROR(INDEX(醫師週班表!$C$5:$T$44,$CU45,CE$57),""),2,1)="(",LEFT(IFERROR(INDEX(醫師週班表!$C$5:$T$44,$CU45,CE$57),""),1),IFERROR(INDEX(醫師週班表!$C$5:$T$44,$CU45,CE$57),"")))))))</f>
        <v/>
      </c>
      <c r="CF45" s="72">
        <f>IF(CF$59="X","",IF(CF$59&lt;&gt;"",CF$59,IF(IFERROR(INDEX(醫師週班表!$C$5:$T$44,$CU45,CF$57),"")=0,"",IF(MID(IFERROR(INDEX(醫師週班表!$C$5:$T$44,$CU45,CF$57),""),2,1)="/",MID(IFERROR(INDEX(醫師週班表!$C$5:$T$44,$CU45,CF$57),""),1+CF$58*2,1),IF(MID(IFERROR(INDEX(醫師週班表!$C$5:$T$44,$CU45,CF$57),""),3,1)="隔",IF(CF$58=0,LEFT(IFERROR(INDEX(醫師週班表!$C$5:$T$44,$CU45,CF$57),""),1),""),IF(MID(IFERROR(INDEX(醫師週班表!$C$5:$T$44,$CU45,CF$57),""),2,1)="(",LEFT(IFERROR(INDEX(醫師週班表!$C$5:$T$44,$CU45,CF$57),""),1),IFERROR(INDEX(醫師週班表!$C$5:$T$44,$CU45,CF$57),"")))))))</f>
        <v/>
      </c>
      <c r="CG45" s="72">
        <f>IF(CG$59="X","",IF(CG$59&lt;&gt;"",CG$59,IF(IFERROR(INDEX(醫師週班表!$C$5:$T$44,$CU45,CG$57),"")=0,"",IF(MID(IFERROR(INDEX(醫師週班表!$C$5:$T$44,$CU45,CG$57),""),2,1)="/",MID(IFERROR(INDEX(醫師週班表!$C$5:$T$44,$CU45,CG$57),""),1+CG$58*2,1),IF(MID(IFERROR(INDEX(醫師週班表!$C$5:$T$44,$CU45,CG$57),""),3,1)="隔",IF(CG$58=0,LEFT(IFERROR(INDEX(醫師週班表!$C$5:$T$44,$CU45,CG$57),""),1),""),IF(MID(IFERROR(INDEX(醫師週班表!$C$5:$T$44,$CU45,CG$57),""),2,1)="(",LEFT(IFERROR(INDEX(醫師週班表!$C$5:$T$44,$CU45,CG$57),""),1),IFERROR(INDEX(醫師週班表!$C$5:$T$44,$CU45,CG$57),"")))))))</f>
        <v/>
      </c>
      <c r="CH45" s="71">
        <f>IF(CH$59="X","",IF(CH$59&lt;&gt;"",CH$59,IF(IFERROR(INDEX(醫師週班表!$C$5:$T$44,$CU45,CH$57),"")=0,"",IF(MID(IFERROR(INDEX(醫師週班表!$C$5:$T$44,$CU45,CH$57),""),2,1)="/",MID(IFERROR(INDEX(醫師週班表!$C$5:$T$44,$CU45,CH$57),""),1+CH$58*2,1),IF(MID(IFERROR(INDEX(醫師週班表!$C$5:$T$44,$CU45,CH$57),""),3,1)="隔",IF(CH$58=0,LEFT(IFERROR(INDEX(醫師週班表!$C$5:$T$44,$CU45,CH$57),""),1),""),IF(MID(IFERROR(INDEX(醫師週班表!$C$5:$T$44,$CU45,CH$57),""),2,1)="(",LEFT(IFERROR(INDEX(醫師週班表!$C$5:$T$44,$CU45,CH$57),""),1),IFERROR(INDEX(醫師週班表!$C$5:$T$44,$CU45,CH$57),"")))))))</f>
        <v/>
      </c>
      <c r="CI45" s="72">
        <f>IF(CI$59="X","",IF(CI$59&lt;&gt;"",CI$59,IF(IFERROR(INDEX(醫師週班表!$C$5:$T$44,$CU45,CI$57),"")=0,"",IF(MID(IFERROR(INDEX(醫師週班表!$C$5:$T$44,$CU45,CI$57),""),2,1)="/",MID(IFERROR(INDEX(醫師週班表!$C$5:$T$44,$CU45,CI$57),""),1+CI$58*2,1),IF(MID(IFERROR(INDEX(醫師週班表!$C$5:$T$44,$CU45,CI$57),""),3,1)="隔",IF(CI$58=0,LEFT(IFERROR(INDEX(醫師週班表!$C$5:$T$44,$CU45,CI$57),""),1),""),IF(MID(IFERROR(INDEX(醫師週班表!$C$5:$T$44,$CU45,CI$57),""),2,1)="(",LEFT(IFERROR(INDEX(醫師週班表!$C$5:$T$44,$CU45,CI$57),""),1),IFERROR(INDEX(醫師週班表!$C$5:$T$44,$CU45,CI$57),"")))))))</f>
        <v/>
      </c>
      <c r="CJ45" s="72">
        <f>IF(CJ$59="X","",IF(CJ$59&lt;&gt;"",CJ$59,IF(IFERROR(INDEX(醫師週班表!$C$5:$T$44,$CU45,CJ$57),"")=0,"",IF(MID(IFERROR(INDEX(醫師週班表!$C$5:$T$44,$CU45,CJ$57),""),2,1)="/",MID(IFERROR(INDEX(醫師週班表!$C$5:$T$44,$CU45,CJ$57),""),1+CJ$58*2,1),IF(MID(IFERROR(INDEX(醫師週班表!$C$5:$T$44,$CU45,CJ$57),""),3,1)="隔",IF(CJ$58=0,LEFT(IFERROR(INDEX(醫師週班表!$C$5:$T$44,$CU45,CJ$57),""),1),""),IF(MID(IFERROR(INDEX(醫師週班表!$C$5:$T$44,$CU45,CJ$57),""),2,1)="(",LEFT(IFERROR(INDEX(醫師週班表!$C$5:$T$44,$CU45,CJ$57),""),1),IFERROR(INDEX(醫師週班表!$C$5:$T$44,$CU45,CJ$57),"")))))))</f>
        <v/>
      </c>
      <c r="CK45" s="71">
        <f>IF(CK$59="X","",IF(CK$59&lt;&gt;"",CK$59,IF(IFERROR(INDEX(醫師週班表!$C$5:$T$44,$CU45,CK$57),"")=0,"",IF(MID(IFERROR(INDEX(醫師週班表!$C$5:$T$44,$CU45,CK$57),""),2,1)="/",MID(IFERROR(INDEX(醫師週班表!$C$5:$T$44,$CU45,CK$57),""),1+CK$58*2,1),IF(MID(IFERROR(INDEX(醫師週班表!$C$5:$T$44,$CU45,CK$57),""),3,1)="隔",IF(CK$58=0,LEFT(IFERROR(INDEX(醫師週班表!$C$5:$T$44,$CU45,CK$57),""),1),""),IF(MID(IFERROR(INDEX(醫師週班表!$C$5:$T$44,$CU45,CK$57),""),2,1)="(",LEFT(IFERROR(INDEX(醫師週班表!$C$5:$T$44,$CU45,CK$57),""),1),IFERROR(INDEX(醫師週班表!$C$5:$T$44,$CU45,CK$57),"")))))))</f>
        <v/>
      </c>
      <c r="CL45" s="72">
        <f>IF(CL$59="X","",IF(CL$59&lt;&gt;"",CL$59,IF(IFERROR(INDEX(醫師週班表!$C$5:$T$44,$CU45,CL$57),"")=0,"",IF(MID(IFERROR(INDEX(醫師週班表!$C$5:$T$44,$CU45,CL$57),""),2,1)="/",MID(IFERROR(INDEX(醫師週班表!$C$5:$T$44,$CU45,CL$57),""),1+CL$58*2,1),IF(MID(IFERROR(INDEX(醫師週班表!$C$5:$T$44,$CU45,CL$57),""),3,1)="隔",IF(CL$58=0,LEFT(IFERROR(INDEX(醫師週班表!$C$5:$T$44,$CU45,CL$57),""),1),""),IF(MID(IFERROR(INDEX(醫師週班表!$C$5:$T$44,$CU45,CL$57),""),2,1)="(",LEFT(IFERROR(INDEX(醫師週班表!$C$5:$T$44,$CU45,CL$57),""),1),IFERROR(INDEX(醫師週班表!$C$5:$T$44,$CU45,CL$57),"")))))))</f>
        <v/>
      </c>
      <c r="CM45" s="72">
        <f>IF(CM$59="X","",IF(CM$59&lt;&gt;"",CM$59,IF(IFERROR(INDEX(醫師週班表!$C$5:$T$44,$CU45,CM$57),"")=0,"",IF(MID(IFERROR(INDEX(醫師週班表!$C$5:$T$44,$CU45,CM$57),""),2,1)="/",MID(IFERROR(INDEX(醫師週班表!$C$5:$T$44,$CU45,CM$57),""),1+CM$58*2,1),IF(MID(IFERROR(INDEX(醫師週班表!$C$5:$T$44,$CU45,CM$57),""),3,1)="隔",IF(CM$58=0,LEFT(IFERROR(INDEX(醫師週班表!$C$5:$T$44,$CU45,CM$57),""),1),""),IF(MID(IFERROR(INDEX(醫師週班表!$C$5:$T$44,$CU45,CM$57),""),2,1)="(",LEFT(IFERROR(INDEX(醫師週班表!$C$5:$T$44,$CU45,CM$57),""),1),IFERROR(INDEX(醫師週班表!$C$5:$T$44,$CU45,CM$57),"")))))))</f>
        <v/>
      </c>
      <c r="CN45" s="71">
        <f>IF(CN$59="X","",IF(CN$59&lt;&gt;"",CN$59,IF(IFERROR(INDEX(醫師週班表!$C$5:$T$44,$CU45,CN$57),"")=0,"",IF(MID(IFERROR(INDEX(醫師週班表!$C$5:$T$44,$CU45,CN$57),""),2,1)="/",MID(IFERROR(INDEX(醫師週班表!$C$5:$T$44,$CU45,CN$57),""),1+CN$58*2,1),IF(MID(IFERROR(INDEX(醫師週班表!$C$5:$T$44,$CU45,CN$57),""),3,1)="隔",IF(CN$58=0,LEFT(IFERROR(INDEX(醫師週班表!$C$5:$T$44,$CU45,CN$57),""),1),""),IF(MID(IFERROR(INDEX(醫師週班表!$C$5:$T$44,$CU45,CN$57),""),2,1)="(",LEFT(IFERROR(INDEX(醫師週班表!$C$5:$T$44,$CU45,CN$57),""),1),IFERROR(INDEX(醫師週班表!$C$5:$T$44,$CU45,CN$57),"")))))))</f>
        <v/>
      </c>
      <c r="CO45" s="72">
        <f>IF(CO$59="X","",IF(CO$59&lt;&gt;"",CO$59,IF(IFERROR(INDEX(醫師週班表!$C$5:$T$44,$CU45,CO$57),"")=0,"",IF(MID(IFERROR(INDEX(醫師週班表!$C$5:$T$44,$CU45,CO$57),""),2,1)="/",MID(IFERROR(INDEX(醫師週班表!$C$5:$T$44,$CU45,CO$57),""),1+CO$58*2,1),IF(MID(IFERROR(INDEX(醫師週班表!$C$5:$T$44,$CU45,CO$57),""),3,1)="隔",IF(CO$58=0,LEFT(IFERROR(INDEX(醫師週班表!$C$5:$T$44,$CU45,CO$57),""),1),""),IF(MID(IFERROR(INDEX(醫師週班表!$C$5:$T$44,$CU45,CO$57),""),2,1)="(",LEFT(IFERROR(INDEX(醫師週班表!$C$5:$T$44,$CU45,CO$57),""),1),IFERROR(INDEX(醫師週班表!$C$5:$T$44,$CU45,CO$57),"")))))))</f>
        <v/>
      </c>
      <c r="CP45" s="72">
        <f>IF(CP$59="X","",IF(CP$59&lt;&gt;"",CP$59,IF(IFERROR(INDEX(醫師週班表!$C$5:$T$44,$CU45,CP$57),"")=0,"",IF(MID(IFERROR(INDEX(醫師週班表!$C$5:$T$44,$CU45,CP$57),""),2,1)="/",MID(IFERROR(INDEX(醫師週班表!$C$5:$T$44,$CU45,CP$57),""),1+CP$58*2,1),IF(MID(IFERROR(INDEX(醫師週班表!$C$5:$T$44,$CU45,CP$57),""),3,1)="隔",IF(CP$58=0,LEFT(IFERROR(INDEX(醫師週班表!$C$5:$T$44,$CU45,CP$57),""),1),""),IF(MID(IFERROR(INDEX(醫師週班表!$C$5:$T$44,$CU45,CP$57),""),2,1)="(",LEFT(IFERROR(INDEX(醫師週班表!$C$5:$T$44,$CU45,CP$57),""),1),IFERROR(INDEX(醫師週班表!$C$5:$T$44,$CU45,CP$57),"")))))))</f>
        <v/>
      </c>
      <c r="CQ45" s="71">
        <f>IF(CQ$59="X","",IF(CQ$59&lt;&gt;"",CQ$59,IF(IFERROR(INDEX(醫師週班表!$C$5:$T$44,$CU45,CQ$57),"")=0,"",IF(MID(IFERROR(INDEX(醫師週班表!$C$5:$T$44,$CU45,CQ$57),""),2,1)="/",MID(IFERROR(INDEX(醫師週班表!$C$5:$T$44,$CU45,CQ$57),""),1+CQ$58*2,1),IF(MID(IFERROR(INDEX(醫師週班表!$C$5:$T$44,$CU45,CQ$57),""),3,1)="隔",IF(CQ$58=0,LEFT(IFERROR(INDEX(醫師週班表!$C$5:$T$44,$CU45,CQ$57),""),1),""),IF(MID(IFERROR(INDEX(醫師週班表!$C$5:$T$44,$CU45,CQ$57),""),2,1)="(",LEFT(IFERROR(INDEX(醫師週班表!$C$5:$T$44,$CU45,CQ$57),""),1),IFERROR(INDEX(醫師週班表!$C$5:$T$44,$CU45,CQ$57),"")))))))</f>
        <v/>
      </c>
      <c r="CR45" s="72">
        <f>IF(CR$59="X","",IF(CR$59&lt;&gt;"",CR$59,IF(IFERROR(INDEX(醫師週班表!$C$5:$T$44,$CU45,CR$57),"")=0,"",IF(MID(IFERROR(INDEX(醫師週班表!$C$5:$T$44,$CU45,CR$57),""),2,1)="/",MID(IFERROR(INDEX(醫師週班表!$C$5:$T$44,$CU45,CR$57),""),1+CR$58*2,1),IF(MID(IFERROR(INDEX(醫師週班表!$C$5:$T$44,$CU45,CR$57),""),3,1)="隔",IF(CR$58=0,LEFT(IFERROR(INDEX(醫師週班表!$C$5:$T$44,$CU45,CR$57),""),1),""),IF(MID(IFERROR(INDEX(醫師週班表!$C$5:$T$44,$CU45,CR$57),""),2,1)="(",LEFT(IFERROR(INDEX(醫師週班表!$C$5:$T$44,$CU45,CR$57),""),1),IFERROR(INDEX(醫師週班表!$C$5:$T$44,$CU45,CR$57),"")))))))</f>
        <v/>
      </c>
      <c r="CS45" s="72">
        <f>IF(CS$59="X","",IF(CS$59&lt;&gt;"",CS$59,IF(IFERROR(INDEX(醫師週班表!$C$5:$T$44,$CU45,CS$57),"")=0,"",IF(MID(IFERROR(INDEX(醫師週班表!$C$5:$T$44,$CU45,CS$57),""),2,1)="/",MID(IFERROR(INDEX(醫師週班表!$C$5:$T$44,$CU45,CS$57),""),1+CS$58*2,1),IF(MID(IFERROR(INDEX(醫師週班表!$C$5:$T$44,$CU45,CS$57),""),3,1)="隔",IF(CS$58=0,LEFT(IFERROR(INDEX(醫師週班表!$C$5:$T$44,$CU45,CS$57),""),1),""),IF(MID(IFERROR(INDEX(醫師週班表!$C$5:$T$44,$CU45,CS$57),""),2,1)="(",LEFT(IFERROR(INDEX(醫師週班表!$C$5:$T$44,$CU45,CS$57),""),1),IFERROR(INDEX(醫師週班表!$C$5:$T$44,$CU45,CS$57),"")))))))</f>
        <v/>
      </c>
      <c r="CU45" s="73">
        <f>IFERROR(MATCH($A45,醫師週班表!$A$5:$A$44,0),0)</f>
        <v/>
      </c>
    </row>
    <row r="46">
      <c r="A46" s="2" t="inlineStr">
        <is>
          <t>各院所每診次醫師數(自動計算,0 表示該診次沒有醫師)</t>
        </is>
      </c>
      <c r="B46" s="8" t="n"/>
      <c r="C46" s="8" t="n"/>
      <c r="D46" s="9" t="n"/>
    </row>
    <row r="47">
      <c r="A47" s="74" t="inlineStr">
        <is>
          <t>悅 晶悅</t>
        </is>
      </c>
      <c r="B47" s="8" t="n"/>
      <c r="C47" s="8" t="n"/>
      <c r="D47" s="9" t="n"/>
      <c r="E47" s="75">
        <f>IF(E$4="","",IF(COUNTIF(設定!$W$6:$W$40,DATE(設定!$C$2,設定!$D$2,1))&gt;0,"假",IF(INDEX(設定!$U$54:$AO$54,(WEEKDAY(DATE(設定!$C$2,設定!$D$2,1),2)-1)*3+1)=0,"休",COUNTIF(E$6:E$45,"悅"))))</f>
        <v/>
      </c>
      <c r="F47" s="76">
        <f>IF(F$4="","",IF(COUNTIF(設定!$W$6:$W$40,DATE(設定!$C$2,設定!$D$2,1))&gt;0,"假",IF(INDEX(設定!$U$54:$AO$54,(WEEKDAY(DATE(設定!$C$2,設定!$D$2,1),2)-1)*3+2)=0,"休",COUNTIF(F$6:F$45,"悅"))))</f>
        <v/>
      </c>
      <c r="G47" s="76">
        <f>IF(G$4="","",IF(COUNTIF(設定!$W$6:$W$40,DATE(設定!$C$2,設定!$D$2,1))&gt;0,"假",IF(INDEX(設定!$U$54:$AO$54,(WEEKDAY(DATE(設定!$C$2,設定!$D$2,1),2)-1)*3+3)=0,"休",COUNTIF(G$6:G$45,"悅"))))</f>
        <v/>
      </c>
      <c r="H47" s="75">
        <f>IF(H$4="","",IF(COUNTIF(設定!$W$6:$W$40,DATE(設定!$C$2,設定!$D$2,2))&gt;0,"假",IF(INDEX(設定!$U$54:$AO$54,(WEEKDAY(DATE(設定!$C$2,設定!$D$2,2),2)-1)*3+1)=0,"休",COUNTIF(H$6:H$45,"悅"))))</f>
        <v/>
      </c>
      <c r="I47" s="76">
        <f>IF(I$4="","",IF(COUNTIF(設定!$W$6:$W$40,DATE(設定!$C$2,設定!$D$2,2))&gt;0,"假",IF(INDEX(設定!$U$54:$AO$54,(WEEKDAY(DATE(設定!$C$2,設定!$D$2,2),2)-1)*3+2)=0,"休",COUNTIF(I$6:I$45,"悅"))))</f>
        <v/>
      </c>
      <c r="J47" s="76">
        <f>IF(J$4="","",IF(COUNTIF(設定!$W$6:$W$40,DATE(設定!$C$2,設定!$D$2,2))&gt;0,"假",IF(INDEX(設定!$U$54:$AO$54,(WEEKDAY(DATE(設定!$C$2,設定!$D$2,2),2)-1)*3+3)=0,"休",COUNTIF(J$6:J$45,"悅"))))</f>
        <v/>
      </c>
      <c r="K47" s="75">
        <f>IF(K$4="","",IF(COUNTIF(設定!$W$6:$W$40,DATE(設定!$C$2,設定!$D$2,3))&gt;0,"假",IF(INDEX(設定!$U$54:$AO$54,(WEEKDAY(DATE(設定!$C$2,設定!$D$2,3),2)-1)*3+1)=0,"休",COUNTIF(K$6:K$45,"悅"))))</f>
        <v/>
      </c>
      <c r="L47" s="76">
        <f>IF(L$4="","",IF(COUNTIF(設定!$W$6:$W$40,DATE(設定!$C$2,設定!$D$2,3))&gt;0,"假",IF(INDEX(設定!$U$54:$AO$54,(WEEKDAY(DATE(設定!$C$2,設定!$D$2,3),2)-1)*3+2)=0,"休",COUNTIF(L$6:L$45,"悅"))))</f>
        <v/>
      </c>
      <c r="M47" s="76">
        <f>IF(M$4="","",IF(COUNTIF(設定!$W$6:$W$40,DATE(設定!$C$2,設定!$D$2,3))&gt;0,"假",IF(INDEX(設定!$U$54:$AO$54,(WEEKDAY(DATE(設定!$C$2,設定!$D$2,3),2)-1)*3+3)=0,"休",COUNTIF(M$6:M$45,"悅"))))</f>
        <v/>
      </c>
      <c r="N47" s="75">
        <f>IF(N$4="","",IF(COUNTIF(設定!$W$6:$W$40,DATE(設定!$C$2,設定!$D$2,4))&gt;0,"假",IF(INDEX(設定!$U$54:$AO$54,(WEEKDAY(DATE(設定!$C$2,設定!$D$2,4),2)-1)*3+1)=0,"休",COUNTIF(N$6:N$45,"悅"))))</f>
        <v/>
      </c>
      <c r="O47" s="76">
        <f>IF(O$4="","",IF(COUNTIF(設定!$W$6:$W$40,DATE(設定!$C$2,設定!$D$2,4))&gt;0,"假",IF(INDEX(設定!$U$54:$AO$54,(WEEKDAY(DATE(設定!$C$2,設定!$D$2,4),2)-1)*3+2)=0,"休",COUNTIF(O$6:O$45,"悅"))))</f>
        <v/>
      </c>
      <c r="P47" s="76">
        <f>IF(P$4="","",IF(COUNTIF(設定!$W$6:$W$40,DATE(設定!$C$2,設定!$D$2,4))&gt;0,"假",IF(INDEX(設定!$U$54:$AO$54,(WEEKDAY(DATE(設定!$C$2,設定!$D$2,4),2)-1)*3+3)=0,"休",COUNTIF(P$6:P$45,"悅"))))</f>
        <v/>
      </c>
      <c r="Q47" s="75">
        <f>IF(Q$4="","",IF(COUNTIF(設定!$W$6:$W$40,DATE(設定!$C$2,設定!$D$2,5))&gt;0,"假",IF(INDEX(設定!$U$54:$AO$54,(WEEKDAY(DATE(設定!$C$2,設定!$D$2,5),2)-1)*3+1)=0,"休",COUNTIF(Q$6:Q$45,"悅"))))</f>
        <v/>
      </c>
      <c r="R47" s="76">
        <f>IF(R$4="","",IF(COUNTIF(設定!$W$6:$W$40,DATE(設定!$C$2,設定!$D$2,5))&gt;0,"假",IF(INDEX(設定!$U$54:$AO$54,(WEEKDAY(DATE(設定!$C$2,設定!$D$2,5),2)-1)*3+2)=0,"休",COUNTIF(R$6:R$45,"悅"))))</f>
        <v/>
      </c>
      <c r="S47" s="76">
        <f>IF(S$4="","",IF(COUNTIF(設定!$W$6:$W$40,DATE(設定!$C$2,設定!$D$2,5))&gt;0,"假",IF(INDEX(設定!$U$54:$AO$54,(WEEKDAY(DATE(設定!$C$2,設定!$D$2,5),2)-1)*3+3)=0,"休",COUNTIF(S$6:S$45,"悅"))))</f>
        <v/>
      </c>
      <c r="T47" s="75">
        <f>IF(T$4="","",IF(COUNTIF(設定!$W$6:$W$40,DATE(設定!$C$2,設定!$D$2,6))&gt;0,"假",IF(INDEX(設定!$U$54:$AO$54,(WEEKDAY(DATE(設定!$C$2,設定!$D$2,6),2)-1)*3+1)=0,"休",COUNTIF(T$6:T$45,"悅"))))</f>
        <v/>
      </c>
      <c r="U47" s="76">
        <f>IF(U$4="","",IF(COUNTIF(設定!$W$6:$W$40,DATE(設定!$C$2,設定!$D$2,6))&gt;0,"假",IF(INDEX(設定!$U$54:$AO$54,(WEEKDAY(DATE(設定!$C$2,設定!$D$2,6),2)-1)*3+2)=0,"休",COUNTIF(U$6:U$45,"悅"))))</f>
        <v/>
      </c>
      <c r="V47" s="76">
        <f>IF(V$4="","",IF(COUNTIF(設定!$W$6:$W$40,DATE(設定!$C$2,設定!$D$2,6))&gt;0,"假",IF(INDEX(設定!$U$54:$AO$54,(WEEKDAY(DATE(設定!$C$2,設定!$D$2,6),2)-1)*3+3)=0,"休",COUNTIF(V$6:V$45,"悅"))))</f>
        <v/>
      </c>
      <c r="W47" s="75">
        <f>IF(W$4="","",IF(COUNTIF(設定!$W$6:$W$40,DATE(設定!$C$2,設定!$D$2,7))&gt;0,"假",IF(INDEX(設定!$U$54:$AO$54,(WEEKDAY(DATE(設定!$C$2,設定!$D$2,7),2)-1)*3+1)=0,"休",COUNTIF(W$6:W$45,"悅"))))</f>
        <v/>
      </c>
      <c r="X47" s="76">
        <f>IF(X$4="","",IF(COUNTIF(設定!$W$6:$W$40,DATE(設定!$C$2,設定!$D$2,7))&gt;0,"假",IF(INDEX(設定!$U$54:$AO$54,(WEEKDAY(DATE(設定!$C$2,設定!$D$2,7),2)-1)*3+2)=0,"休",COUNTIF(X$6:X$45,"悅"))))</f>
        <v/>
      </c>
      <c r="Y47" s="76">
        <f>IF(Y$4="","",IF(COUNTIF(設定!$W$6:$W$40,DATE(設定!$C$2,設定!$D$2,7))&gt;0,"假",IF(INDEX(設定!$U$54:$AO$54,(WEEKDAY(DATE(設定!$C$2,設定!$D$2,7),2)-1)*3+3)=0,"休",COUNTIF(Y$6:Y$45,"悅"))))</f>
        <v/>
      </c>
      <c r="Z47" s="75">
        <f>IF(Z$4="","",IF(COUNTIF(設定!$W$6:$W$40,DATE(設定!$C$2,設定!$D$2,8))&gt;0,"假",IF(INDEX(設定!$U$54:$AO$54,(WEEKDAY(DATE(設定!$C$2,設定!$D$2,8),2)-1)*3+1)=0,"休",COUNTIF(Z$6:Z$45,"悅"))))</f>
        <v/>
      </c>
      <c r="AA47" s="76">
        <f>IF(AA$4="","",IF(COUNTIF(設定!$W$6:$W$40,DATE(設定!$C$2,設定!$D$2,8))&gt;0,"假",IF(INDEX(設定!$U$54:$AO$54,(WEEKDAY(DATE(設定!$C$2,設定!$D$2,8),2)-1)*3+2)=0,"休",COUNTIF(AA$6:AA$45,"悅"))))</f>
        <v/>
      </c>
      <c r="AB47" s="76">
        <f>IF(AB$4="","",IF(COUNTIF(設定!$W$6:$W$40,DATE(設定!$C$2,設定!$D$2,8))&gt;0,"假",IF(INDEX(設定!$U$54:$AO$54,(WEEKDAY(DATE(設定!$C$2,設定!$D$2,8),2)-1)*3+3)=0,"休",COUNTIF(AB$6:AB$45,"悅"))))</f>
        <v/>
      </c>
      <c r="AC47" s="75">
        <f>IF(AC$4="","",IF(COUNTIF(設定!$W$6:$W$40,DATE(設定!$C$2,設定!$D$2,9))&gt;0,"假",IF(INDEX(設定!$U$54:$AO$54,(WEEKDAY(DATE(設定!$C$2,設定!$D$2,9),2)-1)*3+1)=0,"休",COUNTIF(AC$6:AC$45,"悅"))))</f>
        <v/>
      </c>
      <c r="AD47" s="76">
        <f>IF(AD$4="","",IF(COUNTIF(設定!$W$6:$W$40,DATE(設定!$C$2,設定!$D$2,9))&gt;0,"假",IF(INDEX(設定!$U$54:$AO$54,(WEEKDAY(DATE(設定!$C$2,設定!$D$2,9),2)-1)*3+2)=0,"休",COUNTIF(AD$6:AD$45,"悅"))))</f>
        <v/>
      </c>
      <c r="AE47" s="76">
        <f>IF(AE$4="","",IF(COUNTIF(設定!$W$6:$W$40,DATE(設定!$C$2,設定!$D$2,9))&gt;0,"假",IF(INDEX(設定!$U$54:$AO$54,(WEEKDAY(DATE(設定!$C$2,設定!$D$2,9),2)-1)*3+3)=0,"休",COUNTIF(AE$6:AE$45,"悅"))))</f>
        <v/>
      </c>
      <c r="AF47" s="75">
        <f>IF(AF$4="","",IF(COUNTIF(設定!$W$6:$W$40,DATE(設定!$C$2,設定!$D$2,10))&gt;0,"假",IF(INDEX(設定!$U$54:$AO$54,(WEEKDAY(DATE(設定!$C$2,設定!$D$2,10),2)-1)*3+1)=0,"休",COUNTIF(AF$6:AF$45,"悅"))))</f>
        <v/>
      </c>
      <c r="AG47" s="76">
        <f>IF(AG$4="","",IF(COUNTIF(設定!$W$6:$W$40,DATE(設定!$C$2,設定!$D$2,10))&gt;0,"假",IF(INDEX(設定!$U$54:$AO$54,(WEEKDAY(DATE(設定!$C$2,設定!$D$2,10),2)-1)*3+2)=0,"休",COUNTIF(AG$6:AG$45,"悅"))))</f>
        <v/>
      </c>
      <c r="AH47" s="76">
        <f>IF(AH$4="","",IF(COUNTIF(設定!$W$6:$W$40,DATE(設定!$C$2,設定!$D$2,10))&gt;0,"假",IF(INDEX(設定!$U$54:$AO$54,(WEEKDAY(DATE(設定!$C$2,設定!$D$2,10),2)-1)*3+3)=0,"休",COUNTIF(AH$6:AH$45,"悅"))))</f>
        <v/>
      </c>
      <c r="AI47" s="75">
        <f>IF(AI$4="","",IF(COUNTIF(設定!$W$6:$W$40,DATE(設定!$C$2,設定!$D$2,11))&gt;0,"假",IF(INDEX(設定!$U$54:$AO$54,(WEEKDAY(DATE(設定!$C$2,設定!$D$2,11),2)-1)*3+1)=0,"休",COUNTIF(AI$6:AI$45,"悅"))))</f>
        <v/>
      </c>
      <c r="AJ47" s="76">
        <f>IF(AJ$4="","",IF(COUNTIF(設定!$W$6:$W$40,DATE(設定!$C$2,設定!$D$2,11))&gt;0,"假",IF(INDEX(設定!$U$54:$AO$54,(WEEKDAY(DATE(設定!$C$2,設定!$D$2,11),2)-1)*3+2)=0,"休",COUNTIF(AJ$6:AJ$45,"悅"))))</f>
        <v/>
      </c>
      <c r="AK47" s="76">
        <f>IF(AK$4="","",IF(COUNTIF(設定!$W$6:$W$40,DATE(設定!$C$2,設定!$D$2,11))&gt;0,"假",IF(INDEX(設定!$U$54:$AO$54,(WEEKDAY(DATE(設定!$C$2,設定!$D$2,11),2)-1)*3+3)=0,"休",COUNTIF(AK$6:AK$45,"悅"))))</f>
        <v/>
      </c>
      <c r="AL47" s="75">
        <f>IF(AL$4="","",IF(COUNTIF(設定!$W$6:$W$40,DATE(設定!$C$2,設定!$D$2,12))&gt;0,"假",IF(INDEX(設定!$U$54:$AO$54,(WEEKDAY(DATE(設定!$C$2,設定!$D$2,12),2)-1)*3+1)=0,"休",COUNTIF(AL$6:AL$45,"悅"))))</f>
        <v/>
      </c>
      <c r="AM47" s="76">
        <f>IF(AM$4="","",IF(COUNTIF(設定!$W$6:$W$40,DATE(設定!$C$2,設定!$D$2,12))&gt;0,"假",IF(INDEX(設定!$U$54:$AO$54,(WEEKDAY(DATE(設定!$C$2,設定!$D$2,12),2)-1)*3+2)=0,"休",COUNTIF(AM$6:AM$45,"悅"))))</f>
        <v/>
      </c>
      <c r="AN47" s="76">
        <f>IF(AN$4="","",IF(COUNTIF(設定!$W$6:$W$40,DATE(設定!$C$2,設定!$D$2,12))&gt;0,"假",IF(INDEX(設定!$U$54:$AO$54,(WEEKDAY(DATE(設定!$C$2,設定!$D$2,12),2)-1)*3+3)=0,"休",COUNTIF(AN$6:AN$45,"悅"))))</f>
        <v/>
      </c>
      <c r="AO47" s="75">
        <f>IF(AO$4="","",IF(COUNTIF(設定!$W$6:$W$40,DATE(設定!$C$2,設定!$D$2,13))&gt;0,"假",IF(INDEX(設定!$U$54:$AO$54,(WEEKDAY(DATE(設定!$C$2,設定!$D$2,13),2)-1)*3+1)=0,"休",COUNTIF(AO$6:AO$45,"悅"))))</f>
        <v/>
      </c>
      <c r="AP47" s="76">
        <f>IF(AP$4="","",IF(COUNTIF(設定!$W$6:$W$40,DATE(設定!$C$2,設定!$D$2,13))&gt;0,"假",IF(INDEX(設定!$U$54:$AO$54,(WEEKDAY(DATE(設定!$C$2,設定!$D$2,13),2)-1)*3+2)=0,"休",COUNTIF(AP$6:AP$45,"悅"))))</f>
        <v/>
      </c>
      <c r="AQ47" s="76">
        <f>IF(AQ$4="","",IF(COUNTIF(設定!$W$6:$W$40,DATE(設定!$C$2,設定!$D$2,13))&gt;0,"假",IF(INDEX(設定!$U$54:$AO$54,(WEEKDAY(DATE(設定!$C$2,設定!$D$2,13),2)-1)*3+3)=0,"休",COUNTIF(AQ$6:AQ$45,"悅"))))</f>
        <v/>
      </c>
      <c r="AR47" s="75">
        <f>IF(AR$4="","",IF(COUNTIF(設定!$W$6:$W$40,DATE(設定!$C$2,設定!$D$2,14))&gt;0,"假",IF(INDEX(設定!$U$54:$AO$54,(WEEKDAY(DATE(設定!$C$2,設定!$D$2,14),2)-1)*3+1)=0,"休",COUNTIF(AR$6:AR$45,"悅"))))</f>
        <v/>
      </c>
      <c r="AS47" s="76">
        <f>IF(AS$4="","",IF(COUNTIF(設定!$W$6:$W$40,DATE(設定!$C$2,設定!$D$2,14))&gt;0,"假",IF(INDEX(設定!$U$54:$AO$54,(WEEKDAY(DATE(設定!$C$2,設定!$D$2,14),2)-1)*3+2)=0,"休",COUNTIF(AS$6:AS$45,"悅"))))</f>
        <v/>
      </c>
      <c r="AT47" s="76">
        <f>IF(AT$4="","",IF(COUNTIF(設定!$W$6:$W$40,DATE(設定!$C$2,設定!$D$2,14))&gt;0,"假",IF(INDEX(設定!$U$54:$AO$54,(WEEKDAY(DATE(設定!$C$2,設定!$D$2,14),2)-1)*3+3)=0,"休",COUNTIF(AT$6:AT$45,"悅"))))</f>
        <v/>
      </c>
      <c r="AU47" s="75">
        <f>IF(AU$4="","",IF(COUNTIF(設定!$W$6:$W$40,DATE(設定!$C$2,設定!$D$2,15))&gt;0,"假",IF(INDEX(設定!$U$54:$AO$54,(WEEKDAY(DATE(設定!$C$2,設定!$D$2,15),2)-1)*3+1)=0,"休",COUNTIF(AU$6:AU$45,"悅"))))</f>
        <v/>
      </c>
      <c r="AV47" s="76">
        <f>IF(AV$4="","",IF(COUNTIF(設定!$W$6:$W$40,DATE(設定!$C$2,設定!$D$2,15))&gt;0,"假",IF(INDEX(設定!$U$54:$AO$54,(WEEKDAY(DATE(設定!$C$2,設定!$D$2,15),2)-1)*3+2)=0,"休",COUNTIF(AV$6:AV$45,"悅"))))</f>
        <v/>
      </c>
      <c r="AW47" s="76">
        <f>IF(AW$4="","",IF(COUNTIF(設定!$W$6:$W$40,DATE(設定!$C$2,設定!$D$2,15))&gt;0,"假",IF(INDEX(設定!$U$54:$AO$54,(WEEKDAY(DATE(設定!$C$2,設定!$D$2,15),2)-1)*3+3)=0,"休",COUNTIF(AW$6:AW$45,"悅"))))</f>
        <v/>
      </c>
      <c r="AX47" s="75">
        <f>IF(AX$4="","",IF(COUNTIF(設定!$W$6:$W$40,DATE(設定!$C$2,設定!$D$2,16))&gt;0,"假",IF(INDEX(設定!$U$54:$AO$54,(WEEKDAY(DATE(設定!$C$2,設定!$D$2,16),2)-1)*3+1)=0,"休",COUNTIF(AX$6:AX$45,"悅"))))</f>
        <v/>
      </c>
      <c r="AY47" s="76">
        <f>IF(AY$4="","",IF(COUNTIF(設定!$W$6:$W$40,DATE(設定!$C$2,設定!$D$2,16))&gt;0,"假",IF(INDEX(設定!$U$54:$AO$54,(WEEKDAY(DATE(設定!$C$2,設定!$D$2,16),2)-1)*3+2)=0,"休",COUNTIF(AY$6:AY$45,"悅"))))</f>
        <v/>
      </c>
      <c r="AZ47" s="76">
        <f>IF(AZ$4="","",IF(COUNTIF(設定!$W$6:$W$40,DATE(設定!$C$2,設定!$D$2,16))&gt;0,"假",IF(INDEX(設定!$U$54:$AO$54,(WEEKDAY(DATE(設定!$C$2,設定!$D$2,16),2)-1)*3+3)=0,"休",COUNTIF(AZ$6:AZ$45,"悅"))))</f>
        <v/>
      </c>
      <c r="BA47" s="75">
        <f>IF(BA$4="","",IF(COUNTIF(設定!$W$6:$W$40,DATE(設定!$C$2,設定!$D$2,17))&gt;0,"假",IF(INDEX(設定!$U$54:$AO$54,(WEEKDAY(DATE(設定!$C$2,設定!$D$2,17),2)-1)*3+1)=0,"休",COUNTIF(BA$6:BA$45,"悅"))))</f>
        <v/>
      </c>
      <c r="BB47" s="76">
        <f>IF(BB$4="","",IF(COUNTIF(設定!$W$6:$W$40,DATE(設定!$C$2,設定!$D$2,17))&gt;0,"假",IF(INDEX(設定!$U$54:$AO$54,(WEEKDAY(DATE(設定!$C$2,設定!$D$2,17),2)-1)*3+2)=0,"休",COUNTIF(BB$6:BB$45,"悅"))))</f>
        <v/>
      </c>
      <c r="BC47" s="76">
        <f>IF(BC$4="","",IF(COUNTIF(設定!$W$6:$W$40,DATE(設定!$C$2,設定!$D$2,17))&gt;0,"假",IF(INDEX(設定!$U$54:$AO$54,(WEEKDAY(DATE(設定!$C$2,設定!$D$2,17),2)-1)*3+3)=0,"休",COUNTIF(BC$6:BC$45,"悅"))))</f>
        <v/>
      </c>
      <c r="BD47" s="75">
        <f>IF(BD$4="","",IF(COUNTIF(設定!$W$6:$W$40,DATE(設定!$C$2,設定!$D$2,18))&gt;0,"假",IF(INDEX(設定!$U$54:$AO$54,(WEEKDAY(DATE(設定!$C$2,設定!$D$2,18),2)-1)*3+1)=0,"休",COUNTIF(BD$6:BD$45,"悅"))))</f>
        <v/>
      </c>
      <c r="BE47" s="76">
        <f>IF(BE$4="","",IF(COUNTIF(設定!$W$6:$W$40,DATE(設定!$C$2,設定!$D$2,18))&gt;0,"假",IF(INDEX(設定!$U$54:$AO$54,(WEEKDAY(DATE(設定!$C$2,設定!$D$2,18),2)-1)*3+2)=0,"休",COUNTIF(BE$6:BE$45,"悅"))))</f>
        <v/>
      </c>
      <c r="BF47" s="76">
        <f>IF(BF$4="","",IF(COUNTIF(設定!$W$6:$W$40,DATE(設定!$C$2,設定!$D$2,18))&gt;0,"假",IF(INDEX(設定!$U$54:$AO$54,(WEEKDAY(DATE(設定!$C$2,設定!$D$2,18),2)-1)*3+3)=0,"休",COUNTIF(BF$6:BF$45,"悅"))))</f>
        <v/>
      </c>
      <c r="BG47" s="75">
        <f>IF(BG$4="","",IF(COUNTIF(設定!$W$6:$W$40,DATE(設定!$C$2,設定!$D$2,19))&gt;0,"假",IF(INDEX(設定!$U$54:$AO$54,(WEEKDAY(DATE(設定!$C$2,設定!$D$2,19),2)-1)*3+1)=0,"休",COUNTIF(BG$6:BG$45,"悅"))))</f>
        <v/>
      </c>
      <c r="BH47" s="76">
        <f>IF(BH$4="","",IF(COUNTIF(設定!$W$6:$W$40,DATE(設定!$C$2,設定!$D$2,19))&gt;0,"假",IF(INDEX(設定!$U$54:$AO$54,(WEEKDAY(DATE(設定!$C$2,設定!$D$2,19),2)-1)*3+2)=0,"休",COUNTIF(BH$6:BH$45,"悅"))))</f>
        <v/>
      </c>
      <c r="BI47" s="76">
        <f>IF(BI$4="","",IF(COUNTIF(設定!$W$6:$W$40,DATE(設定!$C$2,設定!$D$2,19))&gt;0,"假",IF(INDEX(設定!$U$54:$AO$54,(WEEKDAY(DATE(設定!$C$2,設定!$D$2,19),2)-1)*3+3)=0,"休",COUNTIF(BI$6:BI$45,"悅"))))</f>
        <v/>
      </c>
      <c r="BJ47" s="75">
        <f>IF(BJ$4="","",IF(COUNTIF(設定!$W$6:$W$40,DATE(設定!$C$2,設定!$D$2,20))&gt;0,"假",IF(INDEX(設定!$U$54:$AO$54,(WEEKDAY(DATE(設定!$C$2,設定!$D$2,20),2)-1)*3+1)=0,"休",COUNTIF(BJ$6:BJ$45,"悅"))))</f>
        <v/>
      </c>
      <c r="BK47" s="76">
        <f>IF(BK$4="","",IF(COUNTIF(設定!$W$6:$W$40,DATE(設定!$C$2,設定!$D$2,20))&gt;0,"假",IF(INDEX(設定!$U$54:$AO$54,(WEEKDAY(DATE(設定!$C$2,設定!$D$2,20),2)-1)*3+2)=0,"休",COUNTIF(BK$6:BK$45,"悅"))))</f>
        <v/>
      </c>
      <c r="BL47" s="76">
        <f>IF(BL$4="","",IF(COUNTIF(設定!$W$6:$W$40,DATE(設定!$C$2,設定!$D$2,20))&gt;0,"假",IF(INDEX(設定!$U$54:$AO$54,(WEEKDAY(DATE(設定!$C$2,設定!$D$2,20),2)-1)*3+3)=0,"休",COUNTIF(BL$6:BL$45,"悅"))))</f>
        <v/>
      </c>
      <c r="BM47" s="75">
        <f>IF(BM$4="","",IF(COUNTIF(設定!$W$6:$W$40,DATE(設定!$C$2,設定!$D$2,21))&gt;0,"假",IF(INDEX(設定!$U$54:$AO$54,(WEEKDAY(DATE(設定!$C$2,設定!$D$2,21),2)-1)*3+1)=0,"休",COUNTIF(BM$6:BM$45,"悅"))))</f>
        <v/>
      </c>
      <c r="BN47" s="76">
        <f>IF(BN$4="","",IF(COUNTIF(設定!$W$6:$W$40,DATE(設定!$C$2,設定!$D$2,21))&gt;0,"假",IF(INDEX(設定!$U$54:$AO$54,(WEEKDAY(DATE(設定!$C$2,設定!$D$2,21),2)-1)*3+2)=0,"休",COUNTIF(BN$6:BN$45,"悅"))))</f>
        <v/>
      </c>
      <c r="BO47" s="76">
        <f>IF(BO$4="","",IF(COUNTIF(設定!$W$6:$W$40,DATE(設定!$C$2,設定!$D$2,21))&gt;0,"假",IF(INDEX(設定!$U$54:$AO$54,(WEEKDAY(DATE(設定!$C$2,設定!$D$2,21),2)-1)*3+3)=0,"休",COUNTIF(BO$6:BO$45,"悅"))))</f>
        <v/>
      </c>
      <c r="BP47" s="75">
        <f>IF(BP$4="","",IF(COUNTIF(設定!$W$6:$W$40,DATE(設定!$C$2,設定!$D$2,22))&gt;0,"假",IF(INDEX(設定!$U$54:$AO$54,(WEEKDAY(DATE(設定!$C$2,設定!$D$2,22),2)-1)*3+1)=0,"休",COUNTIF(BP$6:BP$45,"悅"))))</f>
        <v/>
      </c>
      <c r="BQ47" s="76">
        <f>IF(BQ$4="","",IF(COUNTIF(設定!$W$6:$W$40,DATE(設定!$C$2,設定!$D$2,22))&gt;0,"假",IF(INDEX(設定!$U$54:$AO$54,(WEEKDAY(DATE(設定!$C$2,設定!$D$2,22),2)-1)*3+2)=0,"休",COUNTIF(BQ$6:BQ$45,"悅"))))</f>
        <v/>
      </c>
      <c r="BR47" s="76">
        <f>IF(BR$4="","",IF(COUNTIF(設定!$W$6:$W$40,DATE(設定!$C$2,設定!$D$2,22))&gt;0,"假",IF(INDEX(設定!$U$54:$AO$54,(WEEKDAY(DATE(設定!$C$2,設定!$D$2,22),2)-1)*3+3)=0,"休",COUNTIF(BR$6:BR$45,"悅"))))</f>
        <v/>
      </c>
      <c r="BS47" s="75">
        <f>IF(BS$4="","",IF(COUNTIF(設定!$W$6:$W$40,DATE(設定!$C$2,設定!$D$2,23))&gt;0,"假",IF(INDEX(設定!$U$54:$AO$54,(WEEKDAY(DATE(設定!$C$2,設定!$D$2,23),2)-1)*3+1)=0,"休",COUNTIF(BS$6:BS$45,"悅"))))</f>
        <v/>
      </c>
      <c r="BT47" s="76">
        <f>IF(BT$4="","",IF(COUNTIF(設定!$W$6:$W$40,DATE(設定!$C$2,設定!$D$2,23))&gt;0,"假",IF(INDEX(設定!$U$54:$AO$54,(WEEKDAY(DATE(設定!$C$2,設定!$D$2,23),2)-1)*3+2)=0,"休",COUNTIF(BT$6:BT$45,"悅"))))</f>
        <v/>
      </c>
      <c r="BU47" s="76">
        <f>IF(BU$4="","",IF(COUNTIF(設定!$W$6:$W$40,DATE(設定!$C$2,設定!$D$2,23))&gt;0,"假",IF(INDEX(設定!$U$54:$AO$54,(WEEKDAY(DATE(設定!$C$2,設定!$D$2,23),2)-1)*3+3)=0,"休",COUNTIF(BU$6:BU$45,"悅"))))</f>
        <v/>
      </c>
      <c r="BV47" s="75">
        <f>IF(BV$4="","",IF(COUNTIF(設定!$W$6:$W$40,DATE(設定!$C$2,設定!$D$2,24))&gt;0,"假",IF(INDEX(設定!$U$54:$AO$54,(WEEKDAY(DATE(設定!$C$2,設定!$D$2,24),2)-1)*3+1)=0,"休",COUNTIF(BV$6:BV$45,"悅"))))</f>
        <v/>
      </c>
      <c r="BW47" s="76">
        <f>IF(BW$4="","",IF(COUNTIF(設定!$W$6:$W$40,DATE(設定!$C$2,設定!$D$2,24))&gt;0,"假",IF(INDEX(設定!$U$54:$AO$54,(WEEKDAY(DATE(設定!$C$2,設定!$D$2,24),2)-1)*3+2)=0,"休",COUNTIF(BW$6:BW$45,"悅"))))</f>
        <v/>
      </c>
      <c r="BX47" s="76">
        <f>IF(BX$4="","",IF(COUNTIF(設定!$W$6:$W$40,DATE(設定!$C$2,設定!$D$2,24))&gt;0,"假",IF(INDEX(設定!$U$54:$AO$54,(WEEKDAY(DATE(設定!$C$2,設定!$D$2,24),2)-1)*3+3)=0,"休",COUNTIF(BX$6:BX$45,"悅"))))</f>
        <v/>
      </c>
      <c r="BY47" s="75">
        <f>IF(BY$4="","",IF(COUNTIF(設定!$W$6:$W$40,DATE(設定!$C$2,設定!$D$2,25))&gt;0,"假",IF(INDEX(設定!$U$54:$AO$54,(WEEKDAY(DATE(設定!$C$2,設定!$D$2,25),2)-1)*3+1)=0,"休",COUNTIF(BY$6:BY$45,"悅"))))</f>
        <v/>
      </c>
      <c r="BZ47" s="76">
        <f>IF(BZ$4="","",IF(COUNTIF(設定!$W$6:$W$40,DATE(設定!$C$2,設定!$D$2,25))&gt;0,"假",IF(INDEX(設定!$U$54:$AO$54,(WEEKDAY(DATE(設定!$C$2,設定!$D$2,25),2)-1)*3+2)=0,"休",COUNTIF(BZ$6:BZ$45,"悅"))))</f>
        <v/>
      </c>
      <c r="CA47" s="76">
        <f>IF(CA$4="","",IF(COUNTIF(設定!$W$6:$W$40,DATE(設定!$C$2,設定!$D$2,25))&gt;0,"假",IF(INDEX(設定!$U$54:$AO$54,(WEEKDAY(DATE(設定!$C$2,設定!$D$2,25),2)-1)*3+3)=0,"休",COUNTIF(CA$6:CA$45,"悅"))))</f>
        <v/>
      </c>
      <c r="CB47" s="75">
        <f>IF(CB$4="","",IF(COUNTIF(設定!$W$6:$W$40,DATE(設定!$C$2,設定!$D$2,26))&gt;0,"假",IF(INDEX(設定!$U$54:$AO$54,(WEEKDAY(DATE(設定!$C$2,設定!$D$2,26),2)-1)*3+1)=0,"休",COUNTIF(CB$6:CB$45,"悅"))))</f>
        <v/>
      </c>
      <c r="CC47" s="76">
        <f>IF(CC$4="","",IF(COUNTIF(設定!$W$6:$W$40,DATE(設定!$C$2,設定!$D$2,26))&gt;0,"假",IF(INDEX(設定!$U$54:$AO$54,(WEEKDAY(DATE(設定!$C$2,設定!$D$2,26),2)-1)*3+2)=0,"休",COUNTIF(CC$6:CC$45,"悅"))))</f>
        <v/>
      </c>
      <c r="CD47" s="76">
        <f>IF(CD$4="","",IF(COUNTIF(設定!$W$6:$W$40,DATE(設定!$C$2,設定!$D$2,26))&gt;0,"假",IF(INDEX(設定!$U$54:$AO$54,(WEEKDAY(DATE(設定!$C$2,設定!$D$2,26),2)-1)*3+3)=0,"休",COUNTIF(CD$6:CD$45,"悅"))))</f>
        <v/>
      </c>
      <c r="CE47" s="75">
        <f>IF(CE$4="","",IF(COUNTIF(設定!$W$6:$W$40,DATE(設定!$C$2,設定!$D$2,27))&gt;0,"假",IF(INDEX(設定!$U$54:$AO$54,(WEEKDAY(DATE(設定!$C$2,設定!$D$2,27),2)-1)*3+1)=0,"休",COUNTIF(CE$6:CE$45,"悅"))))</f>
        <v/>
      </c>
      <c r="CF47" s="76">
        <f>IF(CF$4="","",IF(COUNTIF(設定!$W$6:$W$40,DATE(設定!$C$2,設定!$D$2,27))&gt;0,"假",IF(INDEX(設定!$U$54:$AO$54,(WEEKDAY(DATE(設定!$C$2,設定!$D$2,27),2)-1)*3+2)=0,"休",COUNTIF(CF$6:CF$45,"悅"))))</f>
        <v/>
      </c>
      <c r="CG47" s="76">
        <f>IF(CG$4="","",IF(COUNTIF(設定!$W$6:$W$40,DATE(設定!$C$2,設定!$D$2,27))&gt;0,"假",IF(INDEX(設定!$U$54:$AO$54,(WEEKDAY(DATE(設定!$C$2,設定!$D$2,27),2)-1)*3+3)=0,"休",COUNTIF(CG$6:CG$45,"悅"))))</f>
        <v/>
      </c>
      <c r="CH47" s="75">
        <f>IF(CH$4="","",IF(COUNTIF(設定!$W$6:$W$40,DATE(設定!$C$2,設定!$D$2,28))&gt;0,"假",IF(INDEX(設定!$U$54:$AO$54,(WEEKDAY(DATE(設定!$C$2,設定!$D$2,28),2)-1)*3+1)=0,"休",COUNTIF(CH$6:CH$45,"悅"))))</f>
        <v/>
      </c>
      <c r="CI47" s="76">
        <f>IF(CI$4="","",IF(COUNTIF(設定!$W$6:$W$40,DATE(設定!$C$2,設定!$D$2,28))&gt;0,"假",IF(INDEX(設定!$U$54:$AO$54,(WEEKDAY(DATE(設定!$C$2,設定!$D$2,28),2)-1)*3+2)=0,"休",COUNTIF(CI$6:CI$45,"悅"))))</f>
        <v/>
      </c>
      <c r="CJ47" s="76">
        <f>IF(CJ$4="","",IF(COUNTIF(設定!$W$6:$W$40,DATE(設定!$C$2,設定!$D$2,28))&gt;0,"假",IF(INDEX(設定!$U$54:$AO$54,(WEEKDAY(DATE(設定!$C$2,設定!$D$2,28),2)-1)*3+3)=0,"休",COUNTIF(CJ$6:CJ$45,"悅"))))</f>
        <v/>
      </c>
      <c r="CK47" s="75">
        <f>IF(CK$4="","",IF(COUNTIF(設定!$W$6:$W$40,DATE(設定!$C$2,設定!$D$2,29))&gt;0,"假",IF(INDEX(設定!$U$54:$AO$54,(WEEKDAY(DATE(設定!$C$2,設定!$D$2,29),2)-1)*3+1)=0,"休",COUNTIF(CK$6:CK$45,"悅"))))</f>
        <v/>
      </c>
      <c r="CL47" s="76">
        <f>IF(CL$4="","",IF(COUNTIF(設定!$W$6:$W$40,DATE(設定!$C$2,設定!$D$2,29))&gt;0,"假",IF(INDEX(設定!$U$54:$AO$54,(WEEKDAY(DATE(設定!$C$2,設定!$D$2,29),2)-1)*3+2)=0,"休",COUNTIF(CL$6:CL$45,"悅"))))</f>
        <v/>
      </c>
      <c r="CM47" s="76">
        <f>IF(CM$4="","",IF(COUNTIF(設定!$W$6:$W$40,DATE(設定!$C$2,設定!$D$2,29))&gt;0,"假",IF(INDEX(設定!$U$54:$AO$54,(WEEKDAY(DATE(設定!$C$2,設定!$D$2,29),2)-1)*3+3)=0,"休",COUNTIF(CM$6:CM$45,"悅"))))</f>
        <v/>
      </c>
      <c r="CN47" s="75">
        <f>IF(CN$4="","",IF(COUNTIF(設定!$W$6:$W$40,DATE(設定!$C$2,設定!$D$2,30))&gt;0,"假",IF(INDEX(設定!$U$54:$AO$54,(WEEKDAY(DATE(設定!$C$2,設定!$D$2,30),2)-1)*3+1)=0,"休",COUNTIF(CN$6:CN$45,"悅"))))</f>
        <v/>
      </c>
      <c r="CO47" s="76">
        <f>IF(CO$4="","",IF(COUNTIF(設定!$W$6:$W$40,DATE(設定!$C$2,設定!$D$2,30))&gt;0,"假",IF(INDEX(設定!$U$54:$AO$54,(WEEKDAY(DATE(設定!$C$2,設定!$D$2,30),2)-1)*3+2)=0,"休",COUNTIF(CO$6:CO$45,"悅"))))</f>
        <v/>
      </c>
      <c r="CP47" s="76">
        <f>IF(CP$4="","",IF(COUNTIF(設定!$W$6:$W$40,DATE(設定!$C$2,設定!$D$2,30))&gt;0,"假",IF(INDEX(設定!$U$54:$AO$54,(WEEKDAY(DATE(設定!$C$2,設定!$D$2,30),2)-1)*3+3)=0,"休",COUNTIF(CP$6:CP$45,"悅"))))</f>
        <v/>
      </c>
      <c r="CQ47" s="75">
        <f>IF(CQ$4="","",IF(COUNTIF(設定!$W$6:$W$40,DATE(設定!$C$2,設定!$D$2,31))&gt;0,"假",IF(INDEX(設定!$U$54:$AO$54,(WEEKDAY(DATE(設定!$C$2,設定!$D$2,31),2)-1)*3+1)=0,"休",COUNTIF(CQ$6:CQ$45,"悅"))))</f>
        <v/>
      </c>
      <c r="CR47" s="76">
        <f>IF(CR$4="","",IF(COUNTIF(設定!$W$6:$W$40,DATE(設定!$C$2,設定!$D$2,31))&gt;0,"假",IF(INDEX(設定!$U$54:$AO$54,(WEEKDAY(DATE(設定!$C$2,設定!$D$2,31),2)-1)*3+2)=0,"休",COUNTIF(CR$6:CR$45,"悅"))))</f>
        <v/>
      </c>
      <c r="CS47" s="76">
        <f>IF(CS$4="","",IF(COUNTIF(設定!$W$6:$W$40,DATE(設定!$C$2,設定!$D$2,31))&gt;0,"假",IF(INDEX(設定!$U$54:$AO$54,(WEEKDAY(DATE(設定!$C$2,設定!$D$2,31),2)-1)*3+3)=0,"休",COUNTIF(CS$6:CS$45,"悅"))))</f>
        <v/>
      </c>
    </row>
    <row r="48">
      <c r="A48" s="77" t="inlineStr">
        <is>
          <t>睿 晶睿</t>
        </is>
      </c>
      <c r="B48" s="8" t="n"/>
      <c r="C48" s="8" t="n"/>
      <c r="D48" s="9" t="n"/>
      <c r="E48" s="75">
        <f>IF(E$4="","",IF(COUNTIF(設定!$W$6:$W$40,DATE(設定!$C$2,設定!$D$2,1))&gt;0,"假",IF(INDEX(設定!$U$55:$AO$55,(WEEKDAY(DATE(設定!$C$2,設定!$D$2,1),2)-1)*3+1)=0,"休",COUNTIF(E$6:E$45,"睿"))))</f>
        <v/>
      </c>
      <c r="F48" s="76">
        <f>IF(F$4="","",IF(COUNTIF(設定!$W$6:$W$40,DATE(設定!$C$2,設定!$D$2,1))&gt;0,"假",IF(INDEX(設定!$U$55:$AO$55,(WEEKDAY(DATE(設定!$C$2,設定!$D$2,1),2)-1)*3+2)=0,"休",COUNTIF(F$6:F$45,"睿"))))</f>
        <v/>
      </c>
      <c r="G48" s="76">
        <f>IF(G$4="","",IF(COUNTIF(設定!$W$6:$W$40,DATE(設定!$C$2,設定!$D$2,1))&gt;0,"假",IF(INDEX(設定!$U$55:$AO$55,(WEEKDAY(DATE(設定!$C$2,設定!$D$2,1),2)-1)*3+3)=0,"休",COUNTIF(G$6:G$45,"睿"))))</f>
        <v/>
      </c>
      <c r="H48" s="75">
        <f>IF(H$4="","",IF(COUNTIF(設定!$W$6:$W$40,DATE(設定!$C$2,設定!$D$2,2))&gt;0,"假",IF(INDEX(設定!$U$55:$AO$55,(WEEKDAY(DATE(設定!$C$2,設定!$D$2,2),2)-1)*3+1)=0,"休",COUNTIF(H$6:H$45,"睿"))))</f>
        <v/>
      </c>
      <c r="I48" s="76">
        <f>IF(I$4="","",IF(COUNTIF(設定!$W$6:$W$40,DATE(設定!$C$2,設定!$D$2,2))&gt;0,"假",IF(INDEX(設定!$U$55:$AO$55,(WEEKDAY(DATE(設定!$C$2,設定!$D$2,2),2)-1)*3+2)=0,"休",COUNTIF(I$6:I$45,"睿"))))</f>
        <v/>
      </c>
      <c r="J48" s="76">
        <f>IF(J$4="","",IF(COUNTIF(設定!$W$6:$W$40,DATE(設定!$C$2,設定!$D$2,2))&gt;0,"假",IF(INDEX(設定!$U$55:$AO$55,(WEEKDAY(DATE(設定!$C$2,設定!$D$2,2),2)-1)*3+3)=0,"休",COUNTIF(J$6:J$45,"睿"))))</f>
        <v/>
      </c>
      <c r="K48" s="75">
        <f>IF(K$4="","",IF(COUNTIF(設定!$W$6:$W$40,DATE(設定!$C$2,設定!$D$2,3))&gt;0,"假",IF(INDEX(設定!$U$55:$AO$55,(WEEKDAY(DATE(設定!$C$2,設定!$D$2,3),2)-1)*3+1)=0,"休",COUNTIF(K$6:K$45,"睿"))))</f>
        <v/>
      </c>
      <c r="L48" s="76">
        <f>IF(L$4="","",IF(COUNTIF(設定!$W$6:$W$40,DATE(設定!$C$2,設定!$D$2,3))&gt;0,"假",IF(INDEX(設定!$U$55:$AO$55,(WEEKDAY(DATE(設定!$C$2,設定!$D$2,3),2)-1)*3+2)=0,"休",COUNTIF(L$6:L$45,"睿"))))</f>
        <v/>
      </c>
      <c r="M48" s="76">
        <f>IF(M$4="","",IF(COUNTIF(設定!$W$6:$W$40,DATE(設定!$C$2,設定!$D$2,3))&gt;0,"假",IF(INDEX(設定!$U$55:$AO$55,(WEEKDAY(DATE(設定!$C$2,設定!$D$2,3),2)-1)*3+3)=0,"休",COUNTIF(M$6:M$45,"睿"))))</f>
        <v/>
      </c>
      <c r="N48" s="75">
        <f>IF(N$4="","",IF(COUNTIF(設定!$W$6:$W$40,DATE(設定!$C$2,設定!$D$2,4))&gt;0,"假",IF(INDEX(設定!$U$55:$AO$55,(WEEKDAY(DATE(設定!$C$2,設定!$D$2,4),2)-1)*3+1)=0,"休",COUNTIF(N$6:N$45,"睿"))))</f>
        <v/>
      </c>
      <c r="O48" s="76">
        <f>IF(O$4="","",IF(COUNTIF(設定!$W$6:$W$40,DATE(設定!$C$2,設定!$D$2,4))&gt;0,"假",IF(INDEX(設定!$U$55:$AO$55,(WEEKDAY(DATE(設定!$C$2,設定!$D$2,4),2)-1)*3+2)=0,"休",COUNTIF(O$6:O$45,"睿"))))</f>
        <v/>
      </c>
      <c r="P48" s="76">
        <f>IF(P$4="","",IF(COUNTIF(設定!$W$6:$W$40,DATE(設定!$C$2,設定!$D$2,4))&gt;0,"假",IF(INDEX(設定!$U$55:$AO$55,(WEEKDAY(DATE(設定!$C$2,設定!$D$2,4),2)-1)*3+3)=0,"休",COUNTIF(P$6:P$45,"睿"))))</f>
        <v/>
      </c>
      <c r="Q48" s="75">
        <f>IF(Q$4="","",IF(COUNTIF(設定!$W$6:$W$40,DATE(設定!$C$2,設定!$D$2,5))&gt;0,"假",IF(INDEX(設定!$U$55:$AO$55,(WEEKDAY(DATE(設定!$C$2,設定!$D$2,5),2)-1)*3+1)=0,"休",COUNTIF(Q$6:Q$45,"睿"))))</f>
        <v/>
      </c>
      <c r="R48" s="76">
        <f>IF(R$4="","",IF(COUNTIF(設定!$W$6:$W$40,DATE(設定!$C$2,設定!$D$2,5))&gt;0,"假",IF(INDEX(設定!$U$55:$AO$55,(WEEKDAY(DATE(設定!$C$2,設定!$D$2,5),2)-1)*3+2)=0,"休",COUNTIF(R$6:R$45,"睿"))))</f>
        <v/>
      </c>
      <c r="S48" s="76">
        <f>IF(S$4="","",IF(COUNTIF(設定!$W$6:$W$40,DATE(設定!$C$2,設定!$D$2,5))&gt;0,"假",IF(INDEX(設定!$U$55:$AO$55,(WEEKDAY(DATE(設定!$C$2,設定!$D$2,5),2)-1)*3+3)=0,"休",COUNTIF(S$6:S$45,"睿"))))</f>
        <v/>
      </c>
      <c r="T48" s="75">
        <f>IF(T$4="","",IF(COUNTIF(設定!$W$6:$W$40,DATE(設定!$C$2,設定!$D$2,6))&gt;0,"假",IF(INDEX(設定!$U$55:$AO$55,(WEEKDAY(DATE(設定!$C$2,設定!$D$2,6),2)-1)*3+1)=0,"休",COUNTIF(T$6:T$45,"睿"))))</f>
        <v/>
      </c>
      <c r="U48" s="76">
        <f>IF(U$4="","",IF(COUNTIF(設定!$W$6:$W$40,DATE(設定!$C$2,設定!$D$2,6))&gt;0,"假",IF(INDEX(設定!$U$55:$AO$55,(WEEKDAY(DATE(設定!$C$2,設定!$D$2,6),2)-1)*3+2)=0,"休",COUNTIF(U$6:U$45,"睿"))))</f>
        <v/>
      </c>
      <c r="V48" s="76">
        <f>IF(V$4="","",IF(COUNTIF(設定!$W$6:$W$40,DATE(設定!$C$2,設定!$D$2,6))&gt;0,"假",IF(INDEX(設定!$U$55:$AO$55,(WEEKDAY(DATE(設定!$C$2,設定!$D$2,6),2)-1)*3+3)=0,"休",COUNTIF(V$6:V$45,"睿"))))</f>
        <v/>
      </c>
      <c r="W48" s="75">
        <f>IF(W$4="","",IF(COUNTIF(設定!$W$6:$W$40,DATE(設定!$C$2,設定!$D$2,7))&gt;0,"假",IF(INDEX(設定!$U$55:$AO$55,(WEEKDAY(DATE(設定!$C$2,設定!$D$2,7),2)-1)*3+1)=0,"休",COUNTIF(W$6:W$45,"睿"))))</f>
        <v/>
      </c>
      <c r="X48" s="76">
        <f>IF(X$4="","",IF(COUNTIF(設定!$W$6:$W$40,DATE(設定!$C$2,設定!$D$2,7))&gt;0,"假",IF(INDEX(設定!$U$55:$AO$55,(WEEKDAY(DATE(設定!$C$2,設定!$D$2,7),2)-1)*3+2)=0,"休",COUNTIF(X$6:X$45,"睿"))))</f>
        <v/>
      </c>
      <c r="Y48" s="76">
        <f>IF(Y$4="","",IF(COUNTIF(設定!$W$6:$W$40,DATE(設定!$C$2,設定!$D$2,7))&gt;0,"假",IF(INDEX(設定!$U$55:$AO$55,(WEEKDAY(DATE(設定!$C$2,設定!$D$2,7),2)-1)*3+3)=0,"休",COUNTIF(Y$6:Y$45,"睿"))))</f>
        <v/>
      </c>
      <c r="Z48" s="75">
        <f>IF(Z$4="","",IF(COUNTIF(設定!$W$6:$W$40,DATE(設定!$C$2,設定!$D$2,8))&gt;0,"假",IF(INDEX(設定!$U$55:$AO$55,(WEEKDAY(DATE(設定!$C$2,設定!$D$2,8),2)-1)*3+1)=0,"休",COUNTIF(Z$6:Z$45,"睿"))))</f>
        <v/>
      </c>
      <c r="AA48" s="76">
        <f>IF(AA$4="","",IF(COUNTIF(設定!$W$6:$W$40,DATE(設定!$C$2,設定!$D$2,8))&gt;0,"假",IF(INDEX(設定!$U$55:$AO$55,(WEEKDAY(DATE(設定!$C$2,設定!$D$2,8),2)-1)*3+2)=0,"休",COUNTIF(AA$6:AA$45,"睿"))))</f>
        <v/>
      </c>
      <c r="AB48" s="76">
        <f>IF(AB$4="","",IF(COUNTIF(設定!$W$6:$W$40,DATE(設定!$C$2,設定!$D$2,8))&gt;0,"假",IF(INDEX(設定!$U$55:$AO$55,(WEEKDAY(DATE(設定!$C$2,設定!$D$2,8),2)-1)*3+3)=0,"休",COUNTIF(AB$6:AB$45,"睿"))))</f>
        <v/>
      </c>
      <c r="AC48" s="75">
        <f>IF(AC$4="","",IF(COUNTIF(設定!$W$6:$W$40,DATE(設定!$C$2,設定!$D$2,9))&gt;0,"假",IF(INDEX(設定!$U$55:$AO$55,(WEEKDAY(DATE(設定!$C$2,設定!$D$2,9),2)-1)*3+1)=0,"休",COUNTIF(AC$6:AC$45,"睿"))))</f>
        <v/>
      </c>
      <c r="AD48" s="76">
        <f>IF(AD$4="","",IF(COUNTIF(設定!$W$6:$W$40,DATE(設定!$C$2,設定!$D$2,9))&gt;0,"假",IF(INDEX(設定!$U$55:$AO$55,(WEEKDAY(DATE(設定!$C$2,設定!$D$2,9),2)-1)*3+2)=0,"休",COUNTIF(AD$6:AD$45,"睿"))))</f>
        <v/>
      </c>
      <c r="AE48" s="76">
        <f>IF(AE$4="","",IF(COUNTIF(設定!$W$6:$W$40,DATE(設定!$C$2,設定!$D$2,9))&gt;0,"假",IF(INDEX(設定!$U$55:$AO$55,(WEEKDAY(DATE(設定!$C$2,設定!$D$2,9),2)-1)*3+3)=0,"休",COUNTIF(AE$6:AE$45,"睿"))))</f>
        <v/>
      </c>
      <c r="AF48" s="75">
        <f>IF(AF$4="","",IF(COUNTIF(設定!$W$6:$W$40,DATE(設定!$C$2,設定!$D$2,10))&gt;0,"假",IF(INDEX(設定!$U$55:$AO$55,(WEEKDAY(DATE(設定!$C$2,設定!$D$2,10),2)-1)*3+1)=0,"休",COUNTIF(AF$6:AF$45,"睿"))))</f>
        <v/>
      </c>
      <c r="AG48" s="76">
        <f>IF(AG$4="","",IF(COUNTIF(設定!$W$6:$W$40,DATE(設定!$C$2,設定!$D$2,10))&gt;0,"假",IF(INDEX(設定!$U$55:$AO$55,(WEEKDAY(DATE(設定!$C$2,設定!$D$2,10),2)-1)*3+2)=0,"休",COUNTIF(AG$6:AG$45,"睿"))))</f>
        <v/>
      </c>
      <c r="AH48" s="76">
        <f>IF(AH$4="","",IF(COUNTIF(設定!$W$6:$W$40,DATE(設定!$C$2,設定!$D$2,10))&gt;0,"假",IF(INDEX(設定!$U$55:$AO$55,(WEEKDAY(DATE(設定!$C$2,設定!$D$2,10),2)-1)*3+3)=0,"休",COUNTIF(AH$6:AH$45,"睿"))))</f>
        <v/>
      </c>
      <c r="AI48" s="75">
        <f>IF(AI$4="","",IF(COUNTIF(設定!$W$6:$W$40,DATE(設定!$C$2,設定!$D$2,11))&gt;0,"假",IF(INDEX(設定!$U$55:$AO$55,(WEEKDAY(DATE(設定!$C$2,設定!$D$2,11),2)-1)*3+1)=0,"休",COUNTIF(AI$6:AI$45,"睿"))))</f>
        <v/>
      </c>
      <c r="AJ48" s="76">
        <f>IF(AJ$4="","",IF(COUNTIF(設定!$W$6:$W$40,DATE(設定!$C$2,設定!$D$2,11))&gt;0,"假",IF(INDEX(設定!$U$55:$AO$55,(WEEKDAY(DATE(設定!$C$2,設定!$D$2,11),2)-1)*3+2)=0,"休",COUNTIF(AJ$6:AJ$45,"睿"))))</f>
        <v/>
      </c>
      <c r="AK48" s="76">
        <f>IF(AK$4="","",IF(COUNTIF(設定!$W$6:$W$40,DATE(設定!$C$2,設定!$D$2,11))&gt;0,"假",IF(INDEX(設定!$U$55:$AO$55,(WEEKDAY(DATE(設定!$C$2,設定!$D$2,11),2)-1)*3+3)=0,"休",COUNTIF(AK$6:AK$45,"睿"))))</f>
        <v/>
      </c>
      <c r="AL48" s="75">
        <f>IF(AL$4="","",IF(COUNTIF(設定!$W$6:$W$40,DATE(設定!$C$2,設定!$D$2,12))&gt;0,"假",IF(INDEX(設定!$U$55:$AO$55,(WEEKDAY(DATE(設定!$C$2,設定!$D$2,12),2)-1)*3+1)=0,"休",COUNTIF(AL$6:AL$45,"睿"))))</f>
        <v/>
      </c>
      <c r="AM48" s="76">
        <f>IF(AM$4="","",IF(COUNTIF(設定!$W$6:$W$40,DATE(設定!$C$2,設定!$D$2,12))&gt;0,"假",IF(INDEX(設定!$U$55:$AO$55,(WEEKDAY(DATE(設定!$C$2,設定!$D$2,12),2)-1)*3+2)=0,"休",COUNTIF(AM$6:AM$45,"睿"))))</f>
        <v/>
      </c>
      <c r="AN48" s="76">
        <f>IF(AN$4="","",IF(COUNTIF(設定!$W$6:$W$40,DATE(設定!$C$2,設定!$D$2,12))&gt;0,"假",IF(INDEX(設定!$U$55:$AO$55,(WEEKDAY(DATE(設定!$C$2,設定!$D$2,12),2)-1)*3+3)=0,"休",COUNTIF(AN$6:AN$45,"睿"))))</f>
        <v/>
      </c>
      <c r="AO48" s="75">
        <f>IF(AO$4="","",IF(COUNTIF(設定!$W$6:$W$40,DATE(設定!$C$2,設定!$D$2,13))&gt;0,"假",IF(INDEX(設定!$U$55:$AO$55,(WEEKDAY(DATE(設定!$C$2,設定!$D$2,13),2)-1)*3+1)=0,"休",COUNTIF(AO$6:AO$45,"睿"))))</f>
        <v/>
      </c>
      <c r="AP48" s="76">
        <f>IF(AP$4="","",IF(COUNTIF(設定!$W$6:$W$40,DATE(設定!$C$2,設定!$D$2,13))&gt;0,"假",IF(INDEX(設定!$U$55:$AO$55,(WEEKDAY(DATE(設定!$C$2,設定!$D$2,13),2)-1)*3+2)=0,"休",COUNTIF(AP$6:AP$45,"睿"))))</f>
        <v/>
      </c>
      <c r="AQ48" s="76">
        <f>IF(AQ$4="","",IF(COUNTIF(設定!$W$6:$W$40,DATE(設定!$C$2,設定!$D$2,13))&gt;0,"假",IF(INDEX(設定!$U$55:$AO$55,(WEEKDAY(DATE(設定!$C$2,設定!$D$2,13),2)-1)*3+3)=0,"休",COUNTIF(AQ$6:AQ$45,"睿"))))</f>
        <v/>
      </c>
      <c r="AR48" s="75">
        <f>IF(AR$4="","",IF(COUNTIF(設定!$W$6:$W$40,DATE(設定!$C$2,設定!$D$2,14))&gt;0,"假",IF(INDEX(設定!$U$55:$AO$55,(WEEKDAY(DATE(設定!$C$2,設定!$D$2,14),2)-1)*3+1)=0,"休",COUNTIF(AR$6:AR$45,"睿"))))</f>
        <v/>
      </c>
      <c r="AS48" s="76">
        <f>IF(AS$4="","",IF(COUNTIF(設定!$W$6:$W$40,DATE(設定!$C$2,設定!$D$2,14))&gt;0,"假",IF(INDEX(設定!$U$55:$AO$55,(WEEKDAY(DATE(設定!$C$2,設定!$D$2,14),2)-1)*3+2)=0,"休",COUNTIF(AS$6:AS$45,"睿"))))</f>
        <v/>
      </c>
      <c r="AT48" s="76">
        <f>IF(AT$4="","",IF(COUNTIF(設定!$W$6:$W$40,DATE(設定!$C$2,設定!$D$2,14))&gt;0,"假",IF(INDEX(設定!$U$55:$AO$55,(WEEKDAY(DATE(設定!$C$2,設定!$D$2,14),2)-1)*3+3)=0,"休",COUNTIF(AT$6:AT$45,"睿"))))</f>
        <v/>
      </c>
      <c r="AU48" s="75">
        <f>IF(AU$4="","",IF(COUNTIF(設定!$W$6:$W$40,DATE(設定!$C$2,設定!$D$2,15))&gt;0,"假",IF(INDEX(設定!$U$55:$AO$55,(WEEKDAY(DATE(設定!$C$2,設定!$D$2,15),2)-1)*3+1)=0,"休",COUNTIF(AU$6:AU$45,"睿"))))</f>
        <v/>
      </c>
      <c r="AV48" s="76">
        <f>IF(AV$4="","",IF(COUNTIF(設定!$W$6:$W$40,DATE(設定!$C$2,設定!$D$2,15))&gt;0,"假",IF(INDEX(設定!$U$55:$AO$55,(WEEKDAY(DATE(設定!$C$2,設定!$D$2,15),2)-1)*3+2)=0,"休",COUNTIF(AV$6:AV$45,"睿"))))</f>
        <v/>
      </c>
      <c r="AW48" s="76">
        <f>IF(AW$4="","",IF(COUNTIF(設定!$W$6:$W$40,DATE(設定!$C$2,設定!$D$2,15))&gt;0,"假",IF(INDEX(設定!$U$55:$AO$55,(WEEKDAY(DATE(設定!$C$2,設定!$D$2,15),2)-1)*3+3)=0,"休",COUNTIF(AW$6:AW$45,"睿"))))</f>
        <v/>
      </c>
      <c r="AX48" s="75">
        <f>IF(AX$4="","",IF(COUNTIF(設定!$W$6:$W$40,DATE(設定!$C$2,設定!$D$2,16))&gt;0,"假",IF(INDEX(設定!$U$55:$AO$55,(WEEKDAY(DATE(設定!$C$2,設定!$D$2,16),2)-1)*3+1)=0,"休",COUNTIF(AX$6:AX$45,"睿"))))</f>
        <v/>
      </c>
      <c r="AY48" s="76">
        <f>IF(AY$4="","",IF(COUNTIF(設定!$W$6:$W$40,DATE(設定!$C$2,設定!$D$2,16))&gt;0,"假",IF(INDEX(設定!$U$55:$AO$55,(WEEKDAY(DATE(設定!$C$2,設定!$D$2,16),2)-1)*3+2)=0,"休",COUNTIF(AY$6:AY$45,"睿"))))</f>
        <v/>
      </c>
      <c r="AZ48" s="76">
        <f>IF(AZ$4="","",IF(COUNTIF(設定!$W$6:$W$40,DATE(設定!$C$2,設定!$D$2,16))&gt;0,"假",IF(INDEX(設定!$U$55:$AO$55,(WEEKDAY(DATE(設定!$C$2,設定!$D$2,16),2)-1)*3+3)=0,"休",COUNTIF(AZ$6:AZ$45,"睿"))))</f>
        <v/>
      </c>
      <c r="BA48" s="75">
        <f>IF(BA$4="","",IF(COUNTIF(設定!$W$6:$W$40,DATE(設定!$C$2,設定!$D$2,17))&gt;0,"假",IF(INDEX(設定!$U$55:$AO$55,(WEEKDAY(DATE(設定!$C$2,設定!$D$2,17),2)-1)*3+1)=0,"休",COUNTIF(BA$6:BA$45,"睿"))))</f>
        <v/>
      </c>
      <c r="BB48" s="76">
        <f>IF(BB$4="","",IF(COUNTIF(設定!$W$6:$W$40,DATE(設定!$C$2,設定!$D$2,17))&gt;0,"假",IF(INDEX(設定!$U$55:$AO$55,(WEEKDAY(DATE(設定!$C$2,設定!$D$2,17),2)-1)*3+2)=0,"休",COUNTIF(BB$6:BB$45,"睿"))))</f>
        <v/>
      </c>
      <c r="BC48" s="76">
        <f>IF(BC$4="","",IF(COUNTIF(設定!$W$6:$W$40,DATE(設定!$C$2,設定!$D$2,17))&gt;0,"假",IF(INDEX(設定!$U$55:$AO$55,(WEEKDAY(DATE(設定!$C$2,設定!$D$2,17),2)-1)*3+3)=0,"休",COUNTIF(BC$6:BC$45,"睿"))))</f>
        <v/>
      </c>
      <c r="BD48" s="75">
        <f>IF(BD$4="","",IF(COUNTIF(設定!$W$6:$W$40,DATE(設定!$C$2,設定!$D$2,18))&gt;0,"假",IF(INDEX(設定!$U$55:$AO$55,(WEEKDAY(DATE(設定!$C$2,設定!$D$2,18),2)-1)*3+1)=0,"休",COUNTIF(BD$6:BD$45,"睿"))))</f>
        <v/>
      </c>
      <c r="BE48" s="76">
        <f>IF(BE$4="","",IF(COUNTIF(設定!$W$6:$W$40,DATE(設定!$C$2,設定!$D$2,18))&gt;0,"假",IF(INDEX(設定!$U$55:$AO$55,(WEEKDAY(DATE(設定!$C$2,設定!$D$2,18),2)-1)*3+2)=0,"休",COUNTIF(BE$6:BE$45,"睿"))))</f>
        <v/>
      </c>
      <c r="BF48" s="76">
        <f>IF(BF$4="","",IF(COUNTIF(設定!$W$6:$W$40,DATE(設定!$C$2,設定!$D$2,18))&gt;0,"假",IF(INDEX(設定!$U$55:$AO$55,(WEEKDAY(DATE(設定!$C$2,設定!$D$2,18),2)-1)*3+3)=0,"休",COUNTIF(BF$6:BF$45,"睿"))))</f>
        <v/>
      </c>
      <c r="BG48" s="75">
        <f>IF(BG$4="","",IF(COUNTIF(設定!$W$6:$W$40,DATE(設定!$C$2,設定!$D$2,19))&gt;0,"假",IF(INDEX(設定!$U$55:$AO$55,(WEEKDAY(DATE(設定!$C$2,設定!$D$2,19),2)-1)*3+1)=0,"休",COUNTIF(BG$6:BG$45,"睿"))))</f>
        <v/>
      </c>
      <c r="BH48" s="76">
        <f>IF(BH$4="","",IF(COUNTIF(設定!$W$6:$W$40,DATE(設定!$C$2,設定!$D$2,19))&gt;0,"假",IF(INDEX(設定!$U$55:$AO$55,(WEEKDAY(DATE(設定!$C$2,設定!$D$2,19),2)-1)*3+2)=0,"休",COUNTIF(BH$6:BH$45,"睿"))))</f>
        <v/>
      </c>
      <c r="BI48" s="76">
        <f>IF(BI$4="","",IF(COUNTIF(設定!$W$6:$W$40,DATE(設定!$C$2,設定!$D$2,19))&gt;0,"假",IF(INDEX(設定!$U$55:$AO$55,(WEEKDAY(DATE(設定!$C$2,設定!$D$2,19),2)-1)*3+3)=0,"休",COUNTIF(BI$6:BI$45,"睿"))))</f>
        <v/>
      </c>
      <c r="BJ48" s="75">
        <f>IF(BJ$4="","",IF(COUNTIF(設定!$W$6:$W$40,DATE(設定!$C$2,設定!$D$2,20))&gt;0,"假",IF(INDEX(設定!$U$55:$AO$55,(WEEKDAY(DATE(設定!$C$2,設定!$D$2,20),2)-1)*3+1)=0,"休",COUNTIF(BJ$6:BJ$45,"睿"))))</f>
        <v/>
      </c>
      <c r="BK48" s="76">
        <f>IF(BK$4="","",IF(COUNTIF(設定!$W$6:$W$40,DATE(設定!$C$2,設定!$D$2,20))&gt;0,"假",IF(INDEX(設定!$U$55:$AO$55,(WEEKDAY(DATE(設定!$C$2,設定!$D$2,20),2)-1)*3+2)=0,"休",COUNTIF(BK$6:BK$45,"睿"))))</f>
        <v/>
      </c>
      <c r="BL48" s="76">
        <f>IF(BL$4="","",IF(COUNTIF(設定!$W$6:$W$40,DATE(設定!$C$2,設定!$D$2,20))&gt;0,"假",IF(INDEX(設定!$U$55:$AO$55,(WEEKDAY(DATE(設定!$C$2,設定!$D$2,20),2)-1)*3+3)=0,"休",COUNTIF(BL$6:BL$45,"睿"))))</f>
        <v/>
      </c>
      <c r="BM48" s="75">
        <f>IF(BM$4="","",IF(COUNTIF(設定!$W$6:$W$40,DATE(設定!$C$2,設定!$D$2,21))&gt;0,"假",IF(INDEX(設定!$U$55:$AO$55,(WEEKDAY(DATE(設定!$C$2,設定!$D$2,21),2)-1)*3+1)=0,"休",COUNTIF(BM$6:BM$45,"睿"))))</f>
        <v/>
      </c>
      <c r="BN48" s="76">
        <f>IF(BN$4="","",IF(COUNTIF(設定!$W$6:$W$40,DATE(設定!$C$2,設定!$D$2,21))&gt;0,"假",IF(INDEX(設定!$U$55:$AO$55,(WEEKDAY(DATE(設定!$C$2,設定!$D$2,21),2)-1)*3+2)=0,"休",COUNTIF(BN$6:BN$45,"睿"))))</f>
        <v/>
      </c>
      <c r="BO48" s="76">
        <f>IF(BO$4="","",IF(COUNTIF(設定!$W$6:$W$40,DATE(設定!$C$2,設定!$D$2,21))&gt;0,"假",IF(INDEX(設定!$U$55:$AO$55,(WEEKDAY(DATE(設定!$C$2,設定!$D$2,21),2)-1)*3+3)=0,"休",COUNTIF(BO$6:BO$45,"睿"))))</f>
        <v/>
      </c>
      <c r="BP48" s="75">
        <f>IF(BP$4="","",IF(COUNTIF(設定!$W$6:$W$40,DATE(設定!$C$2,設定!$D$2,22))&gt;0,"假",IF(INDEX(設定!$U$55:$AO$55,(WEEKDAY(DATE(設定!$C$2,設定!$D$2,22),2)-1)*3+1)=0,"休",COUNTIF(BP$6:BP$45,"睿"))))</f>
        <v/>
      </c>
      <c r="BQ48" s="76">
        <f>IF(BQ$4="","",IF(COUNTIF(設定!$W$6:$W$40,DATE(設定!$C$2,設定!$D$2,22))&gt;0,"假",IF(INDEX(設定!$U$55:$AO$55,(WEEKDAY(DATE(設定!$C$2,設定!$D$2,22),2)-1)*3+2)=0,"休",COUNTIF(BQ$6:BQ$45,"睿"))))</f>
        <v/>
      </c>
      <c r="BR48" s="76">
        <f>IF(BR$4="","",IF(COUNTIF(設定!$W$6:$W$40,DATE(設定!$C$2,設定!$D$2,22))&gt;0,"假",IF(INDEX(設定!$U$55:$AO$55,(WEEKDAY(DATE(設定!$C$2,設定!$D$2,22),2)-1)*3+3)=0,"休",COUNTIF(BR$6:BR$45,"睿"))))</f>
        <v/>
      </c>
      <c r="BS48" s="75">
        <f>IF(BS$4="","",IF(COUNTIF(設定!$W$6:$W$40,DATE(設定!$C$2,設定!$D$2,23))&gt;0,"假",IF(INDEX(設定!$U$55:$AO$55,(WEEKDAY(DATE(設定!$C$2,設定!$D$2,23),2)-1)*3+1)=0,"休",COUNTIF(BS$6:BS$45,"睿"))))</f>
        <v/>
      </c>
      <c r="BT48" s="76">
        <f>IF(BT$4="","",IF(COUNTIF(設定!$W$6:$W$40,DATE(設定!$C$2,設定!$D$2,23))&gt;0,"假",IF(INDEX(設定!$U$55:$AO$55,(WEEKDAY(DATE(設定!$C$2,設定!$D$2,23),2)-1)*3+2)=0,"休",COUNTIF(BT$6:BT$45,"睿"))))</f>
        <v/>
      </c>
      <c r="BU48" s="76">
        <f>IF(BU$4="","",IF(COUNTIF(設定!$W$6:$W$40,DATE(設定!$C$2,設定!$D$2,23))&gt;0,"假",IF(INDEX(設定!$U$55:$AO$55,(WEEKDAY(DATE(設定!$C$2,設定!$D$2,23),2)-1)*3+3)=0,"休",COUNTIF(BU$6:BU$45,"睿"))))</f>
        <v/>
      </c>
      <c r="BV48" s="75">
        <f>IF(BV$4="","",IF(COUNTIF(設定!$W$6:$W$40,DATE(設定!$C$2,設定!$D$2,24))&gt;0,"假",IF(INDEX(設定!$U$55:$AO$55,(WEEKDAY(DATE(設定!$C$2,設定!$D$2,24),2)-1)*3+1)=0,"休",COUNTIF(BV$6:BV$45,"睿"))))</f>
        <v/>
      </c>
      <c r="BW48" s="76">
        <f>IF(BW$4="","",IF(COUNTIF(設定!$W$6:$W$40,DATE(設定!$C$2,設定!$D$2,24))&gt;0,"假",IF(INDEX(設定!$U$55:$AO$55,(WEEKDAY(DATE(設定!$C$2,設定!$D$2,24),2)-1)*3+2)=0,"休",COUNTIF(BW$6:BW$45,"睿"))))</f>
        <v/>
      </c>
      <c r="BX48" s="76">
        <f>IF(BX$4="","",IF(COUNTIF(設定!$W$6:$W$40,DATE(設定!$C$2,設定!$D$2,24))&gt;0,"假",IF(INDEX(設定!$U$55:$AO$55,(WEEKDAY(DATE(設定!$C$2,設定!$D$2,24),2)-1)*3+3)=0,"休",COUNTIF(BX$6:BX$45,"睿"))))</f>
        <v/>
      </c>
      <c r="BY48" s="75">
        <f>IF(BY$4="","",IF(COUNTIF(設定!$W$6:$W$40,DATE(設定!$C$2,設定!$D$2,25))&gt;0,"假",IF(INDEX(設定!$U$55:$AO$55,(WEEKDAY(DATE(設定!$C$2,設定!$D$2,25),2)-1)*3+1)=0,"休",COUNTIF(BY$6:BY$45,"睿"))))</f>
        <v/>
      </c>
      <c r="BZ48" s="76">
        <f>IF(BZ$4="","",IF(COUNTIF(設定!$W$6:$W$40,DATE(設定!$C$2,設定!$D$2,25))&gt;0,"假",IF(INDEX(設定!$U$55:$AO$55,(WEEKDAY(DATE(設定!$C$2,設定!$D$2,25),2)-1)*3+2)=0,"休",COUNTIF(BZ$6:BZ$45,"睿"))))</f>
        <v/>
      </c>
      <c r="CA48" s="76">
        <f>IF(CA$4="","",IF(COUNTIF(設定!$W$6:$W$40,DATE(設定!$C$2,設定!$D$2,25))&gt;0,"假",IF(INDEX(設定!$U$55:$AO$55,(WEEKDAY(DATE(設定!$C$2,設定!$D$2,25),2)-1)*3+3)=0,"休",COUNTIF(CA$6:CA$45,"睿"))))</f>
        <v/>
      </c>
      <c r="CB48" s="75">
        <f>IF(CB$4="","",IF(COUNTIF(設定!$W$6:$W$40,DATE(設定!$C$2,設定!$D$2,26))&gt;0,"假",IF(INDEX(設定!$U$55:$AO$55,(WEEKDAY(DATE(設定!$C$2,設定!$D$2,26),2)-1)*3+1)=0,"休",COUNTIF(CB$6:CB$45,"睿"))))</f>
        <v/>
      </c>
      <c r="CC48" s="76">
        <f>IF(CC$4="","",IF(COUNTIF(設定!$W$6:$W$40,DATE(設定!$C$2,設定!$D$2,26))&gt;0,"假",IF(INDEX(設定!$U$55:$AO$55,(WEEKDAY(DATE(設定!$C$2,設定!$D$2,26),2)-1)*3+2)=0,"休",COUNTIF(CC$6:CC$45,"睿"))))</f>
        <v/>
      </c>
      <c r="CD48" s="76">
        <f>IF(CD$4="","",IF(COUNTIF(設定!$W$6:$W$40,DATE(設定!$C$2,設定!$D$2,26))&gt;0,"假",IF(INDEX(設定!$U$55:$AO$55,(WEEKDAY(DATE(設定!$C$2,設定!$D$2,26),2)-1)*3+3)=0,"休",COUNTIF(CD$6:CD$45,"睿"))))</f>
        <v/>
      </c>
      <c r="CE48" s="75">
        <f>IF(CE$4="","",IF(COUNTIF(設定!$W$6:$W$40,DATE(設定!$C$2,設定!$D$2,27))&gt;0,"假",IF(INDEX(設定!$U$55:$AO$55,(WEEKDAY(DATE(設定!$C$2,設定!$D$2,27),2)-1)*3+1)=0,"休",COUNTIF(CE$6:CE$45,"睿"))))</f>
        <v/>
      </c>
      <c r="CF48" s="76">
        <f>IF(CF$4="","",IF(COUNTIF(設定!$W$6:$W$40,DATE(設定!$C$2,設定!$D$2,27))&gt;0,"假",IF(INDEX(設定!$U$55:$AO$55,(WEEKDAY(DATE(設定!$C$2,設定!$D$2,27),2)-1)*3+2)=0,"休",COUNTIF(CF$6:CF$45,"睿"))))</f>
        <v/>
      </c>
      <c r="CG48" s="76">
        <f>IF(CG$4="","",IF(COUNTIF(設定!$W$6:$W$40,DATE(設定!$C$2,設定!$D$2,27))&gt;0,"假",IF(INDEX(設定!$U$55:$AO$55,(WEEKDAY(DATE(設定!$C$2,設定!$D$2,27),2)-1)*3+3)=0,"休",COUNTIF(CG$6:CG$45,"睿"))))</f>
        <v/>
      </c>
      <c r="CH48" s="75">
        <f>IF(CH$4="","",IF(COUNTIF(設定!$W$6:$W$40,DATE(設定!$C$2,設定!$D$2,28))&gt;0,"假",IF(INDEX(設定!$U$55:$AO$55,(WEEKDAY(DATE(設定!$C$2,設定!$D$2,28),2)-1)*3+1)=0,"休",COUNTIF(CH$6:CH$45,"睿"))))</f>
        <v/>
      </c>
      <c r="CI48" s="76">
        <f>IF(CI$4="","",IF(COUNTIF(設定!$W$6:$W$40,DATE(設定!$C$2,設定!$D$2,28))&gt;0,"假",IF(INDEX(設定!$U$55:$AO$55,(WEEKDAY(DATE(設定!$C$2,設定!$D$2,28),2)-1)*3+2)=0,"休",COUNTIF(CI$6:CI$45,"睿"))))</f>
        <v/>
      </c>
      <c r="CJ48" s="76">
        <f>IF(CJ$4="","",IF(COUNTIF(設定!$W$6:$W$40,DATE(設定!$C$2,設定!$D$2,28))&gt;0,"假",IF(INDEX(設定!$U$55:$AO$55,(WEEKDAY(DATE(設定!$C$2,設定!$D$2,28),2)-1)*3+3)=0,"休",COUNTIF(CJ$6:CJ$45,"睿"))))</f>
        <v/>
      </c>
      <c r="CK48" s="75">
        <f>IF(CK$4="","",IF(COUNTIF(設定!$W$6:$W$40,DATE(設定!$C$2,設定!$D$2,29))&gt;0,"假",IF(INDEX(設定!$U$55:$AO$55,(WEEKDAY(DATE(設定!$C$2,設定!$D$2,29),2)-1)*3+1)=0,"休",COUNTIF(CK$6:CK$45,"睿"))))</f>
        <v/>
      </c>
      <c r="CL48" s="76">
        <f>IF(CL$4="","",IF(COUNTIF(設定!$W$6:$W$40,DATE(設定!$C$2,設定!$D$2,29))&gt;0,"假",IF(INDEX(設定!$U$55:$AO$55,(WEEKDAY(DATE(設定!$C$2,設定!$D$2,29),2)-1)*3+2)=0,"休",COUNTIF(CL$6:CL$45,"睿"))))</f>
        <v/>
      </c>
      <c r="CM48" s="76">
        <f>IF(CM$4="","",IF(COUNTIF(設定!$W$6:$W$40,DATE(設定!$C$2,設定!$D$2,29))&gt;0,"假",IF(INDEX(設定!$U$55:$AO$55,(WEEKDAY(DATE(設定!$C$2,設定!$D$2,29),2)-1)*3+3)=0,"休",COUNTIF(CM$6:CM$45,"睿"))))</f>
        <v/>
      </c>
      <c r="CN48" s="75">
        <f>IF(CN$4="","",IF(COUNTIF(設定!$W$6:$W$40,DATE(設定!$C$2,設定!$D$2,30))&gt;0,"假",IF(INDEX(設定!$U$55:$AO$55,(WEEKDAY(DATE(設定!$C$2,設定!$D$2,30),2)-1)*3+1)=0,"休",COUNTIF(CN$6:CN$45,"睿"))))</f>
        <v/>
      </c>
      <c r="CO48" s="76">
        <f>IF(CO$4="","",IF(COUNTIF(設定!$W$6:$W$40,DATE(設定!$C$2,設定!$D$2,30))&gt;0,"假",IF(INDEX(設定!$U$55:$AO$55,(WEEKDAY(DATE(設定!$C$2,設定!$D$2,30),2)-1)*3+2)=0,"休",COUNTIF(CO$6:CO$45,"睿"))))</f>
        <v/>
      </c>
      <c r="CP48" s="76">
        <f>IF(CP$4="","",IF(COUNTIF(設定!$W$6:$W$40,DATE(設定!$C$2,設定!$D$2,30))&gt;0,"假",IF(INDEX(設定!$U$55:$AO$55,(WEEKDAY(DATE(設定!$C$2,設定!$D$2,30),2)-1)*3+3)=0,"休",COUNTIF(CP$6:CP$45,"睿"))))</f>
        <v/>
      </c>
      <c r="CQ48" s="75">
        <f>IF(CQ$4="","",IF(COUNTIF(設定!$W$6:$W$40,DATE(設定!$C$2,設定!$D$2,31))&gt;0,"假",IF(INDEX(設定!$U$55:$AO$55,(WEEKDAY(DATE(設定!$C$2,設定!$D$2,31),2)-1)*3+1)=0,"休",COUNTIF(CQ$6:CQ$45,"睿"))))</f>
        <v/>
      </c>
      <c r="CR48" s="76">
        <f>IF(CR$4="","",IF(COUNTIF(設定!$W$6:$W$40,DATE(設定!$C$2,設定!$D$2,31))&gt;0,"假",IF(INDEX(設定!$U$55:$AO$55,(WEEKDAY(DATE(設定!$C$2,設定!$D$2,31),2)-1)*3+2)=0,"休",COUNTIF(CR$6:CR$45,"睿"))))</f>
        <v/>
      </c>
      <c r="CS48" s="76">
        <f>IF(CS$4="","",IF(COUNTIF(設定!$W$6:$W$40,DATE(設定!$C$2,設定!$D$2,31))&gt;0,"假",IF(INDEX(設定!$U$55:$AO$55,(WEEKDAY(DATE(設定!$C$2,設定!$D$2,31),2)-1)*3+3)=0,"休",COUNTIF(CS$6:CS$45,"睿"))))</f>
        <v/>
      </c>
    </row>
    <row r="49">
      <c r="A49" s="78" t="inlineStr">
        <is>
          <t>匯 晶匯</t>
        </is>
      </c>
      <c r="B49" s="8" t="n"/>
      <c r="C49" s="8" t="n"/>
      <c r="D49" s="9" t="n"/>
      <c r="E49" s="75">
        <f>IF(E$4="","",IF(COUNTIF(設定!$W$6:$W$40,DATE(設定!$C$2,設定!$D$2,1))&gt;0,"假",IF(INDEX(設定!$U$56:$AO$56,(WEEKDAY(DATE(設定!$C$2,設定!$D$2,1),2)-1)*3+1)=0,"休",COUNTIF(E$6:E$45,"匯"))))</f>
        <v/>
      </c>
      <c r="F49" s="76">
        <f>IF(F$4="","",IF(COUNTIF(設定!$W$6:$W$40,DATE(設定!$C$2,設定!$D$2,1))&gt;0,"假",IF(INDEX(設定!$U$56:$AO$56,(WEEKDAY(DATE(設定!$C$2,設定!$D$2,1),2)-1)*3+2)=0,"休",COUNTIF(F$6:F$45,"匯"))))</f>
        <v/>
      </c>
      <c r="G49" s="76">
        <f>IF(G$4="","",IF(COUNTIF(設定!$W$6:$W$40,DATE(設定!$C$2,設定!$D$2,1))&gt;0,"假",IF(INDEX(設定!$U$56:$AO$56,(WEEKDAY(DATE(設定!$C$2,設定!$D$2,1),2)-1)*3+3)=0,"休",COUNTIF(G$6:G$45,"匯"))))</f>
        <v/>
      </c>
      <c r="H49" s="75">
        <f>IF(H$4="","",IF(COUNTIF(設定!$W$6:$W$40,DATE(設定!$C$2,設定!$D$2,2))&gt;0,"假",IF(INDEX(設定!$U$56:$AO$56,(WEEKDAY(DATE(設定!$C$2,設定!$D$2,2),2)-1)*3+1)=0,"休",COUNTIF(H$6:H$45,"匯"))))</f>
        <v/>
      </c>
      <c r="I49" s="76">
        <f>IF(I$4="","",IF(COUNTIF(設定!$W$6:$W$40,DATE(設定!$C$2,設定!$D$2,2))&gt;0,"假",IF(INDEX(設定!$U$56:$AO$56,(WEEKDAY(DATE(設定!$C$2,設定!$D$2,2),2)-1)*3+2)=0,"休",COUNTIF(I$6:I$45,"匯"))))</f>
        <v/>
      </c>
      <c r="J49" s="76">
        <f>IF(J$4="","",IF(COUNTIF(設定!$W$6:$W$40,DATE(設定!$C$2,設定!$D$2,2))&gt;0,"假",IF(INDEX(設定!$U$56:$AO$56,(WEEKDAY(DATE(設定!$C$2,設定!$D$2,2),2)-1)*3+3)=0,"休",COUNTIF(J$6:J$45,"匯"))))</f>
        <v/>
      </c>
      <c r="K49" s="75">
        <f>IF(K$4="","",IF(COUNTIF(設定!$W$6:$W$40,DATE(設定!$C$2,設定!$D$2,3))&gt;0,"假",IF(INDEX(設定!$U$56:$AO$56,(WEEKDAY(DATE(設定!$C$2,設定!$D$2,3),2)-1)*3+1)=0,"休",COUNTIF(K$6:K$45,"匯"))))</f>
        <v/>
      </c>
      <c r="L49" s="76">
        <f>IF(L$4="","",IF(COUNTIF(設定!$W$6:$W$40,DATE(設定!$C$2,設定!$D$2,3))&gt;0,"假",IF(INDEX(設定!$U$56:$AO$56,(WEEKDAY(DATE(設定!$C$2,設定!$D$2,3),2)-1)*3+2)=0,"休",COUNTIF(L$6:L$45,"匯"))))</f>
        <v/>
      </c>
      <c r="M49" s="76">
        <f>IF(M$4="","",IF(COUNTIF(設定!$W$6:$W$40,DATE(設定!$C$2,設定!$D$2,3))&gt;0,"假",IF(INDEX(設定!$U$56:$AO$56,(WEEKDAY(DATE(設定!$C$2,設定!$D$2,3),2)-1)*3+3)=0,"休",COUNTIF(M$6:M$45,"匯"))))</f>
        <v/>
      </c>
      <c r="N49" s="75">
        <f>IF(N$4="","",IF(COUNTIF(設定!$W$6:$W$40,DATE(設定!$C$2,設定!$D$2,4))&gt;0,"假",IF(INDEX(設定!$U$56:$AO$56,(WEEKDAY(DATE(設定!$C$2,設定!$D$2,4),2)-1)*3+1)=0,"休",COUNTIF(N$6:N$45,"匯"))))</f>
        <v/>
      </c>
      <c r="O49" s="76">
        <f>IF(O$4="","",IF(COUNTIF(設定!$W$6:$W$40,DATE(設定!$C$2,設定!$D$2,4))&gt;0,"假",IF(INDEX(設定!$U$56:$AO$56,(WEEKDAY(DATE(設定!$C$2,設定!$D$2,4),2)-1)*3+2)=0,"休",COUNTIF(O$6:O$45,"匯"))))</f>
        <v/>
      </c>
      <c r="P49" s="76">
        <f>IF(P$4="","",IF(COUNTIF(設定!$W$6:$W$40,DATE(設定!$C$2,設定!$D$2,4))&gt;0,"假",IF(INDEX(設定!$U$56:$AO$56,(WEEKDAY(DATE(設定!$C$2,設定!$D$2,4),2)-1)*3+3)=0,"休",COUNTIF(P$6:P$45,"匯"))))</f>
        <v/>
      </c>
      <c r="Q49" s="75">
        <f>IF(Q$4="","",IF(COUNTIF(設定!$W$6:$W$40,DATE(設定!$C$2,設定!$D$2,5))&gt;0,"假",IF(INDEX(設定!$U$56:$AO$56,(WEEKDAY(DATE(設定!$C$2,設定!$D$2,5),2)-1)*3+1)=0,"休",COUNTIF(Q$6:Q$45,"匯"))))</f>
        <v/>
      </c>
      <c r="R49" s="76">
        <f>IF(R$4="","",IF(COUNTIF(設定!$W$6:$W$40,DATE(設定!$C$2,設定!$D$2,5))&gt;0,"假",IF(INDEX(設定!$U$56:$AO$56,(WEEKDAY(DATE(設定!$C$2,設定!$D$2,5),2)-1)*3+2)=0,"休",COUNTIF(R$6:R$45,"匯"))))</f>
        <v/>
      </c>
      <c r="S49" s="76">
        <f>IF(S$4="","",IF(COUNTIF(設定!$W$6:$W$40,DATE(設定!$C$2,設定!$D$2,5))&gt;0,"假",IF(INDEX(設定!$U$56:$AO$56,(WEEKDAY(DATE(設定!$C$2,設定!$D$2,5),2)-1)*3+3)=0,"休",COUNTIF(S$6:S$45,"匯"))))</f>
        <v/>
      </c>
      <c r="T49" s="75">
        <f>IF(T$4="","",IF(COUNTIF(設定!$W$6:$W$40,DATE(設定!$C$2,設定!$D$2,6))&gt;0,"假",IF(INDEX(設定!$U$56:$AO$56,(WEEKDAY(DATE(設定!$C$2,設定!$D$2,6),2)-1)*3+1)=0,"休",COUNTIF(T$6:T$45,"匯"))))</f>
        <v/>
      </c>
      <c r="U49" s="76">
        <f>IF(U$4="","",IF(COUNTIF(設定!$W$6:$W$40,DATE(設定!$C$2,設定!$D$2,6))&gt;0,"假",IF(INDEX(設定!$U$56:$AO$56,(WEEKDAY(DATE(設定!$C$2,設定!$D$2,6),2)-1)*3+2)=0,"休",COUNTIF(U$6:U$45,"匯"))))</f>
        <v/>
      </c>
      <c r="V49" s="76">
        <f>IF(V$4="","",IF(COUNTIF(設定!$W$6:$W$40,DATE(設定!$C$2,設定!$D$2,6))&gt;0,"假",IF(INDEX(設定!$U$56:$AO$56,(WEEKDAY(DATE(設定!$C$2,設定!$D$2,6),2)-1)*3+3)=0,"休",COUNTIF(V$6:V$45,"匯"))))</f>
        <v/>
      </c>
      <c r="W49" s="75">
        <f>IF(W$4="","",IF(COUNTIF(設定!$W$6:$W$40,DATE(設定!$C$2,設定!$D$2,7))&gt;0,"假",IF(INDEX(設定!$U$56:$AO$56,(WEEKDAY(DATE(設定!$C$2,設定!$D$2,7),2)-1)*3+1)=0,"休",COUNTIF(W$6:W$45,"匯"))))</f>
        <v/>
      </c>
      <c r="X49" s="76">
        <f>IF(X$4="","",IF(COUNTIF(設定!$W$6:$W$40,DATE(設定!$C$2,設定!$D$2,7))&gt;0,"假",IF(INDEX(設定!$U$56:$AO$56,(WEEKDAY(DATE(設定!$C$2,設定!$D$2,7),2)-1)*3+2)=0,"休",COUNTIF(X$6:X$45,"匯"))))</f>
        <v/>
      </c>
      <c r="Y49" s="76">
        <f>IF(Y$4="","",IF(COUNTIF(設定!$W$6:$W$40,DATE(設定!$C$2,設定!$D$2,7))&gt;0,"假",IF(INDEX(設定!$U$56:$AO$56,(WEEKDAY(DATE(設定!$C$2,設定!$D$2,7),2)-1)*3+3)=0,"休",COUNTIF(Y$6:Y$45,"匯"))))</f>
        <v/>
      </c>
      <c r="Z49" s="75">
        <f>IF(Z$4="","",IF(COUNTIF(設定!$W$6:$W$40,DATE(設定!$C$2,設定!$D$2,8))&gt;0,"假",IF(INDEX(設定!$U$56:$AO$56,(WEEKDAY(DATE(設定!$C$2,設定!$D$2,8),2)-1)*3+1)=0,"休",COUNTIF(Z$6:Z$45,"匯"))))</f>
        <v/>
      </c>
      <c r="AA49" s="76">
        <f>IF(AA$4="","",IF(COUNTIF(設定!$W$6:$W$40,DATE(設定!$C$2,設定!$D$2,8))&gt;0,"假",IF(INDEX(設定!$U$56:$AO$56,(WEEKDAY(DATE(設定!$C$2,設定!$D$2,8),2)-1)*3+2)=0,"休",COUNTIF(AA$6:AA$45,"匯"))))</f>
        <v/>
      </c>
      <c r="AB49" s="76">
        <f>IF(AB$4="","",IF(COUNTIF(設定!$W$6:$W$40,DATE(設定!$C$2,設定!$D$2,8))&gt;0,"假",IF(INDEX(設定!$U$56:$AO$56,(WEEKDAY(DATE(設定!$C$2,設定!$D$2,8),2)-1)*3+3)=0,"休",COUNTIF(AB$6:AB$45,"匯"))))</f>
        <v/>
      </c>
      <c r="AC49" s="75">
        <f>IF(AC$4="","",IF(COUNTIF(設定!$W$6:$W$40,DATE(設定!$C$2,設定!$D$2,9))&gt;0,"假",IF(INDEX(設定!$U$56:$AO$56,(WEEKDAY(DATE(設定!$C$2,設定!$D$2,9),2)-1)*3+1)=0,"休",COUNTIF(AC$6:AC$45,"匯"))))</f>
        <v/>
      </c>
      <c r="AD49" s="76">
        <f>IF(AD$4="","",IF(COUNTIF(設定!$W$6:$W$40,DATE(設定!$C$2,設定!$D$2,9))&gt;0,"假",IF(INDEX(設定!$U$56:$AO$56,(WEEKDAY(DATE(設定!$C$2,設定!$D$2,9),2)-1)*3+2)=0,"休",COUNTIF(AD$6:AD$45,"匯"))))</f>
        <v/>
      </c>
      <c r="AE49" s="76">
        <f>IF(AE$4="","",IF(COUNTIF(設定!$W$6:$W$40,DATE(設定!$C$2,設定!$D$2,9))&gt;0,"假",IF(INDEX(設定!$U$56:$AO$56,(WEEKDAY(DATE(設定!$C$2,設定!$D$2,9),2)-1)*3+3)=0,"休",COUNTIF(AE$6:AE$45,"匯"))))</f>
        <v/>
      </c>
      <c r="AF49" s="75">
        <f>IF(AF$4="","",IF(COUNTIF(設定!$W$6:$W$40,DATE(設定!$C$2,設定!$D$2,10))&gt;0,"假",IF(INDEX(設定!$U$56:$AO$56,(WEEKDAY(DATE(設定!$C$2,設定!$D$2,10),2)-1)*3+1)=0,"休",COUNTIF(AF$6:AF$45,"匯"))))</f>
        <v/>
      </c>
      <c r="AG49" s="76">
        <f>IF(AG$4="","",IF(COUNTIF(設定!$W$6:$W$40,DATE(設定!$C$2,設定!$D$2,10))&gt;0,"假",IF(INDEX(設定!$U$56:$AO$56,(WEEKDAY(DATE(設定!$C$2,設定!$D$2,10),2)-1)*3+2)=0,"休",COUNTIF(AG$6:AG$45,"匯"))))</f>
        <v/>
      </c>
      <c r="AH49" s="76">
        <f>IF(AH$4="","",IF(COUNTIF(設定!$W$6:$W$40,DATE(設定!$C$2,設定!$D$2,10))&gt;0,"假",IF(INDEX(設定!$U$56:$AO$56,(WEEKDAY(DATE(設定!$C$2,設定!$D$2,10),2)-1)*3+3)=0,"休",COUNTIF(AH$6:AH$45,"匯"))))</f>
        <v/>
      </c>
      <c r="AI49" s="75">
        <f>IF(AI$4="","",IF(COUNTIF(設定!$W$6:$W$40,DATE(設定!$C$2,設定!$D$2,11))&gt;0,"假",IF(INDEX(設定!$U$56:$AO$56,(WEEKDAY(DATE(設定!$C$2,設定!$D$2,11),2)-1)*3+1)=0,"休",COUNTIF(AI$6:AI$45,"匯"))))</f>
        <v/>
      </c>
      <c r="AJ49" s="76">
        <f>IF(AJ$4="","",IF(COUNTIF(設定!$W$6:$W$40,DATE(設定!$C$2,設定!$D$2,11))&gt;0,"假",IF(INDEX(設定!$U$56:$AO$56,(WEEKDAY(DATE(設定!$C$2,設定!$D$2,11),2)-1)*3+2)=0,"休",COUNTIF(AJ$6:AJ$45,"匯"))))</f>
        <v/>
      </c>
      <c r="AK49" s="76">
        <f>IF(AK$4="","",IF(COUNTIF(設定!$W$6:$W$40,DATE(設定!$C$2,設定!$D$2,11))&gt;0,"假",IF(INDEX(設定!$U$56:$AO$56,(WEEKDAY(DATE(設定!$C$2,設定!$D$2,11),2)-1)*3+3)=0,"休",COUNTIF(AK$6:AK$45,"匯"))))</f>
        <v/>
      </c>
      <c r="AL49" s="75">
        <f>IF(AL$4="","",IF(COUNTIF(設定!$W$6:$W$40,DATE(設定!$C$2,設定!$D$2,12))&gt;0,"假",IF(INDEX(設定!$U$56:$AO$56,(WEEKDAY(DATE(設定!$C$2,設定!$D$2,12),2)-1)*3+1)=0,"休",COUNTIF(AL$6:AL$45,"匯"))))</f>
        <v/>
      </c>
      <c r="AM49" s="76">
        <f>IF(AM$4="","",IF(COUNTIF(設定!$W$6:$W$40,DATE(設定!$C$2,設定!$D$2,12))&gt;0,"假",IF(INDEX(設定!$U$56:$AO$56,(WEEKDAY(DATE(設定!$C$2,設定!$D$2,12),2)-1)*3+2)=0,"休",COUNTIF(AM$6:AM$45,"匯"))))</f>
        <v/>
      </c>
      <c r="AN49" s="76">
        <f>IF(AN$4="","",IF(COUNTIF(設定!$W$6:$W$40,DATE(設定!$C$2,設定!$D$2,12))&gt;0,"假",IF(INDEX(設定!$U$56:$AO$56,(WEEKDAY(DATE(設定!$C$2,設定!$D$2,12),2)-1)*3+3)=0,"休",COUNTIF(AN$6:AN$45,"匯"))))</f>
        <v/>
      </c>
      <c r="AO49" s="75">
        <f>IF(AO$4="","",IF(COUNTIF(設定!$W$6:$W$40,DATE(設定!$C$2,設定!$D$2,13))&gt;0,"假",IF(INDEX(設定!$U$56:$AO$56,(WEEKDAY(DATE(設定!$C$2,設定!$D$2,13),2)-1)*3+1)=0,"休",COUNTIF(AO$6:AO$45,"匯"))))</f>
        <v/>
      </c>
      <c r="AP49" s="76">
        <f>IF(AP$4="","",IF(COUNTIF(設定!$W$6:$W$40,DATE(設定!$C$2,設定!$D$2,13))&gt;0,"假",IF(INDEX(設定!$U$56:$AO$56,(WEEKDAY(DATE(設定!$C$2,設定!$D$2,13),2)-1)*3+2)=0,"休",COUNTIF(AP$6:AP$45,"匯"))))</f>
        <v/>
      </c>
      <c r="AQ49" s="76">
        <f>IF(AQ$4="","",IF(COUNTIF(設定!$W$6:$W$40,DATE(設定!$C$2,設定!$D$2,13))&gt;0,"假",IF(INDEX(設定!$U$56:$AO$56,(WEEKDAY(DATE(設定!$C$2,設定!$D$2,13),2)-1)*3+3)=0,"休",COUNTIF(AQ$6:AQ$45,"匯"))))</f>
        <v/>
      </c>
      <c r="AR49" s="75">
        <f>IF(AR$4="","",IF(COUNTIF(設定!$W$6:$W$40,DATE(設定!$C$2,設定!$D$2,14))&gt;0,"假",IF(INDEX(設定!$U$56:$AO$56,(WEEKDAY(DATE(設定!$C$2,設定!$D$2,14),2)-1)*3+1)=0,"休",COUNTIF(AR$6:AR$45,"匯"))))</f>
        <v/>
      </c>
      <c r="AS49" s="76">
        <f>IF(AS$4="","",IF(COUNTIF(設定!$W$6:$W$40,DATE(設定!$C$2,設定!$D$2,14))&gt;0,"假",IF(INDEX(設定!$U$56:$AO$56,(WEEKDAY(DATE(設定!$C$2,設定!$D$2,14),2)-1)*3+2)=0,"休",COUNTIF(AS$6:AS$45,"匯"))))</f>
        <v/>
      </c>
      <c r="AT49" s="76">
        <f>IF(AT$4="","",IF(COUNTIF(設定!$W$6:$W$40,DATE(設定!$C$2,設定!$D$2,14))&gt;0,"假",IF(INDEX(設定!$U$56:$AO$56,(WEEKDAY(DATE(設定!$C$2,設定!$D$2,14),2)-1)*3+3)=0,"休",COUNTIF(AT$6:AT$45,"匯"))))</f>
        <v/>
      </c>
      <c r="AU49" s="75">
        <f>IF(AU$4="","",IF(COUNTIF(設定!$W$6:$W$40,DATE(設定!$C$2,設定!$D$2,15))&gt;0,"假",IF(INDEX(設定!$U$56:$AO$56,(WEEKDAY(DATE(設定!$C$2,設定!$D$2,15),2)-1)*3+1)=0,"休",COUNTIF(AU$6:AU$45,"匯"))))</f>
        <v/>
      </c>
      <c r="AV49" s="76">
        <f>IF(AV$4="","",IF(COUNTIF(設定!$W$6:$W$40,DATE(設定!$C$2,設定!$D$2,15))&gt;0,"假",IF(INDEX(設定!$U$56:$AO$56,(WEEKDAY(DATE(設定!$C$2,設定!$D$2,15),2)-1)*3+2)=0,"休",COUNTIF(AV$6:AV$45,"匯"))))</f>
        <v/>
      </c>
      <c r="AW49" s="76">
        <f>IF(AW$4="","",IF(COUNTIF(設定!$W$6:$W$40,DATE(設定!$C$2,設定!$D$2,15))&gt;0,"假",IF(INDEX(設定!$U$56:$AO$56,(WEEKDAY(DATE(設定!$C$2,設定!$D$2,15),2)-1)*3+3)=0,"休",COUNTIF(AW$6:AW$45,"匯"))))</f>
        <v/>
      </c>
      <c r="AX49" s="75">
        <f>IF(AX$4="","",IF(COUNTIF(設定!$W$6:$W$40,DATE(設定!$C$2,設定!$D$2,16))&gt;0,"假",IF(INDEX(設定!$U$56:$AO$56,(WEEKDAY(DATE(設定!$C$2,設定!$D$2,16),2)-1)*3+1)=0,"休",COUNTIF(AX$6:AX$45,"匯"))))</f>
        <v/>
      </c>
      <c r="AY49" s="76">
        <f>IF(AY$4="","",IF(COUNTIF(設定!$W$6:$W$40,DATE(設定!$C$2,設定!$D$2,16))&gt;0,"假",IF(INDEX(設定!$U$56:$AO$56,(WEEKDAY(DATE(設定!$C$2,設定!$D$2,16),2)-1)*3+2)=0,"休",COUNTIF(AY$6:AY$45,"匯"))))</f>
        <v/>
      </c>
      <c r="AZ49" s="76">
        <f>IF(AZ$4="","",IF(COUNTIF(設定!$W$6:$W$40,DATE(設定!$C$2,設定!$D$2,16))&gt;0,"假",IF(INDEX(設定!$U$56:$AO$56,(WEEKDAY(DATE(設定!$C$2,設定!$D$2,16),2)-1)*3+3)=0,"休",COUNTIF(AZ$6:AZ$45,"匯"))))</f>
        <v/>
      </c>
      <c r="BA49" s="75">
        <f>IF(BA$4="","",IF(COUNTIF(設定!$W$6:$W$40,DATE(設定!$C$2,設定!$D$2,17))&gt;0,"假",IF(INDEX(設定!$U$56:$AO$56,(WEEKDAY(DATE(設定!$C$2,設定!$D$2,17),2)-1)*3+1)=0,"休",COUNTIF(BA$6:BA$45,"匯"))))</f>
        <v/>
      </c>
      <c r="BB49" s="76">
        <f>IF(BB$4="","",IF(COUNTIF(設定!$W$6:$W$40,DATE(設定!$C$2,設定!$D$2,17))&gt;0,"假",IF(INDEX(設定!$U$56:$AO$56,(WEEKDAY(DATE(設定!$C$2,設定!$D$2,17),2)-1)*3+2)=0,"休",COUNTIF(BB$6:BB$45,"匯"))))</f>
        <v/>
      </c>
      <c r="BC49" s="76">
        <f>IF(BC$4="","",IF(COUNTIF(設定!$W$6:$W$40,DATE(設定!$C$2,設定!$D$2,17))&gt;0,"假",IF(INDEX(設定!$U$56:$AO$56,(WEEKDAY(DATE(設定!$C$2,設定!$D$2,17),2)-1)*3+3)=0,"休",COUNTIF(BC$6:BC$45,"匯"))))</f>
        <v/>
      </c>
      <c r="BD49" s="75">
        <f>IF(BD$4="","",IF(COUNTIF(設定!$W$6:$W$40,DATE(設定!$C$2,設定!$D$2,18))&gt;0,"假",IF(INDEX(設定!$U$56:$AO$56,(WEEKDAY(DATE(設定!$C$2,設定!$D$2,18),2)-1)*3+1)=0,"休",COUNTIF(BD$6:BD$45,"匯"))))</f>
        <v/>
      </c>
      <c r="BE49" s="76">
        <f>IF(BE$4="","",IF(COUNTIF(設定!$W$6:$W$40,DATE(設定!$C$2,設定!$D$2,18))&gt;0,"假",IF(INDEX(設定!$U$56:$AO$56,(WEEKDAY(DATE(設定!$C$2,設定!$D$2,18),2)-1)*3+2)=0,"休",COUNTIF(BE$6:BE$45,"匯"))))</f>
        <v/>
      </c>
      <c r="BF49" s="76">
        <f>IF(BF$4="","",IF(COUNTIF(設定!$W$6:$W$40,DATE(設定!$C$2,設定!$D$2,18))&gt;0,"假",IF(INDEX(設定!$U$56:$AO$56,(WEEKDAY(DATE(設定!$C$2,設定!$D$2,18),2)-1)*3+3)=0,"休",COUNTIF(BF$6:BF$45,"匯"))))</f>
        <v/>
      </c>
      <c r="BG49" s="75">
        <f>IF(BG$4="","",IF(COUNTIF(設定!$W$6:$W$40,DATE(設定!$C$2,設定!$D$2,19))&gt;0,"假",IF(INDEX(設定!$U$56:$AO$56,(WEEKDAY(DATE(設定!$C$2,設定!$D$2,19),2)-1)*3+1)=0,"休",COUNTIF(BG$6:BG$45,"匯"))))</f>
        <v/>
      </c>
      <c r="BH49" s="76">
        <f>IF(BH$4="","",IF(COUNTIF(設定!$W$6:$W$40,DATE(設定!$C$2,設定!$D$2,19))&gt;0,"假",IF(INDEX(設定!$U$56:$AO$56,(WEEKDAY(DATE(設定!$C$2,設定!$D$2,19),2)-1)*3+2)=0,"休",COUNTIF(BH$6:BH$45,"匯"))))</f>
        <v/>
      </c>
      <c r="BI49" s="76">
        <f>IF(BI$4="","",IF(COUNTIF(設定!$W$6:$W$40,DATE(設定!$C$2,設定!$D$2,19))&gt;0,"假",IF(INDEX(設定!$U$56:$AO$56,(WEEKDAY(DATE(設定!$C$2,設定!$D$2,19),2)-1)*3+3)=0,"休",COUNTIF(BI$6:BI$45,"匯"))))</f>
        <v/>
      </c>
      <c r="BJ49" s="75">
        <f>IF(BJ$4="","",IF(COUNTIF(設定!$W$6:$W$40,DATE(設定!$C$2,設定!$D$2,20))&gt;0,"假",IF(INDEX(設定!$U$56:$AO$56,(WEEKDAY(DATE(設定!$C$2,設定!$D$2,20),2)-1)*3+1)=0,"休",COUNTIF(BJ$6:BJ$45,"匯"))))</f>
        <v/>
      </c>
      <c r="BK49" s="76">
        <f>IF(BK$4="","",IF(COUNTIF(設定!$W$6:$W$40,DATE(設定!$C$2,設定!$D$2,20))&gt;0,"假",IF(INDEX(設定!$U$56:$AO$56,(WEEKDAY(DATE(設定!$C$2,設定!$D$2,20),2)-1)*3+2)=0,"休",COUNTIF(BK$6:BK$45,"匯"))))</f>
        <v/>
      </c>
      <c r="BL49" s="76">
        <f>IF(BL$4="","",IF(COUNTIF(設定!$W$6:$W$40,DATE(設定!$C$2,設定!$D$2,20))&gt;0,"假",IF(INDEX(設定!$U$56:$AO$56,(WEEKDAY(DATE(設定!$C$2,設定!$D$2,20),2)-1)*3+3)=0,"休",COUNTIF(BL$6:BL$45,"匯"))))</f>
        <v/>
      </c>
      <c r="BM49" s="75">
        <f>IF(BM$4="","",IF(COUNTIF(設定!$W$6:$W$40,DATE(設定!$C$2,設定!$D$2,21))&gt;0,"假",IF(INDEX(設定!$U$56:$AO$56,(WEEKDAY(DATE(設定!$C$2,設定!$D$2,21),2)-1)*3+1)=0,"休",COUNTIF(BM$6:BM$45,"匯"))))</f>
        <v/>
      </c>
      <c r="BN49" s="76">
        <f>IF(BN$4="","",IF(COUNTIF(設定!$W$6:$W$40,DATE(設定!$C$2,設定!$D$2,21))&gt;0,"假",IF(INDEX(設定!$U$56:$AO$56,(WEEKDAY(DATE(設定!$C$2,設定!$D$2,21),2)-1)*3+2)=0,"休",COUNTIF(BN$6:BN$45,"匯"))))</f>
        <v/>
      </c>
      <c r="BO49" s="76">
        <f>IF(BO$4="","",IF(COUNTIF(設定!$W$6:$W$40,DATE(設定!$C$2,設定!$D$2,21))&gt;0,"假",IF(INDEX(設定!$U$56:$AO$56,(WEEKDAY(DATE(設定!$C$2,設定!$D$2,21),2)-1)*3+3)=0,"休",COUNTIF(BO$6:BO$45,"匯"))))</f>
        <v/>
      </c>
      <c r="BP49" s="75">
        <f>IF(BP$4="","",IF(COUNTIF(設定!$W$6:$W$40,DATE(設定!$C$2,設定!$D$2,22))&gt;0,"假",IF(INDEX(設定!$U$56:$AO$56,(WEEKDAY(DATE(設定!$C$2,設定!$D$2,22),2)-1)*3+1)=0,"休",COUNTIF(BP$6:BP$45,"匯"))))</f>
        <v/>
      </c>
      <c r="BQ49" s="76">
        <f>IF(BQ$4="","",IF(COUNTIF(設定!$W$6:$W$40,DATE(設定!$C$2,設定!$D$2,22))&gt;0,"假",IF(INDEX(設定!$U$56:$AO$56,(WEEKDAY(DATE(設定!$C$2,設定!$D$2,22),2)-1)*3+2)=0,"休",COUNTIF(BQ$6:BQ$45,"匯"))))</f>
        <v/>
      </c>
      <c r="BR49" s="76">
        <f>IF(BR$4="","",IF(COUNTIF(設定!$W$6:$W$40,DATE(設定!$C$2,設定!$D$2,22))&gt;0,"假",IF(INDEX(設定!$U$56:$AO$56,(WEEKDAY(DATE(設定!$C$2,設定!$D$2,22),2)-1)*3+3)=0,"休",COUNTIF(BR$6:BR$45,"匯"))))</f>
        <v/>
      </c>
      <c r="BS49" s="75">
        <f>IF(BS$4="","",IF(COUNTIF(設定!$W$6:$W$40,DATE(設定!$C$2,設定!$D$2,23))&gt;0,"假",IF(INDEX(設定!$U$56:$AO$56,(WEEKDAY(DATE(設定!$C$2,設定!$D$2,23),2)-1)*3+1)=0,"休",COUNTIF(BS$6:BS$45,"匯"))))</f>
        <v/>
      </c>
      <c r="BT49" s="76">
        <f>IF(BT$4="","",IF(COUNTIF(設定!$W$6:$W$40,DATE(設定!$C$2,設定!$D$2,23))&gt;0,"假",IF(INDEX(設定!$U$56:$AO$56,(WEEKDAY(DATE(設定!$C$2,設定!$D$2,23),2)-1)*3+2)=0,"休",COUNTIF(BT$6:BT$45,"匯"))))</f>
        <v/>
      </c>
      <c r="BU49" s="76">
        <f>IF(BU$4="","",IF(COUNTIF(設定!$W$6:$W$40,DATE(設定!$C$2,設定!$D$2,23))&gt;0,"假",IF(INDEX(設定!$U$56:$AO$56,(WEEKDAY(DATE(設定!$C$2,設定!$D$2,23),2)-1)*3+3)=0,"休",COUNTIF(BU$6:BU$45,"匯"))))</f>
        <v/>
      </c>
      <c r="BV49" s="75">
        <f>IF(BV$4="","",IF(COUNTIF(設定!$W$6:$W$40,DATE(設定!$C$2,設定!$D$2,24))&gt;0,"假",IF(INDEX(設定!$U$56:$AO$56,(WEEKDAY(DATE(設定!$C$2,設定!$D$2,24),2)-1)*3+1)=0,"休",COUNTIF(BV$6:BV$45,"匯"))))</f>
        <v/>
      </c>
      <c r="BW49" s="76">
        <f>IF(BW$4="","",IF(COUNTIF(設定!$W$6:$W$40,DATE(設定!$C$2,設定!$D$2,24))&gt;0,"假",IF(INDEX(設定!$U$56:$AO$56,(WEEKDAY(DATE(設定!$C$2,設定!$D$2,24),2)-1)*3+2)=0,"休",COUNTIF(BW$6:BW$45,"匯"))))</f>
        <v/>
      </c>
      <c r="BX49" s="76">
        <f>IF(BX$4="","",IF(COUNTIF(設定!$W$6:$W$40,DATE(設定!$C$2,設定!$D$2,24))&gt;0,"假",IF(INDEX(設定!$U$56:$AO$56,(WEEKDAY(DATE(設定!$C$2,設定!$D$2,24),2)-1)*3+3)=0,"休",COUNTIF(BX$6:BX$45,"匯"))))</f>
        <v/>
      </c>
      <c r="BY49" s="75">
        <f>IF(BY$4="","",IF(COUNTIF(設定!$W$6:$W$40,DATE(設定!$C$2,設定!$D$2,25))&gt;0,"假",IF(INDEX(設定!$U$56:$AO$56,(WEEKDAY(DATE(設定!$C$2,設定!$D$2,25),2)-1)*3+1)=0,"休",COUNTIF(BY$6:BY$45,"匯"))))</f>
        <v/>
      </c>
      <c r="BZ49" s="76">
        <f>IF(BZ$4="","",IF(COUNTIF(設定!$W$6:$W$40,DATE(設定!$C$2,設定!$D$2,25))&gt;0,"假",IF(INDEX(設定!$U$56:$AO$56,(WEEKDAY(DATE(設定!$C$2,設定!$D$2,25),2)-1)*3+2)=0,"休",COUNTIF(BZ$6:BZ$45,"匯"))))</f>
        <v/>
      </c>
      <c r="CA49" s="76">
        <f>IF(CA$4="","",IF(COUNTIF(設定!$W$6:$W$40,DATE(設定!$C$2,設定!$D$2,25))&gt;0,"假",IF(INDEX(設定!$U$56:$AO$56,(WEEKDAY(DATE(設定!$C$2,設定!$D$2,25),2)-1)*3+3)=0,"休",COUNTIF(CA$6:CA$45,"匯"))))</f>
        <v/>
      </c>
      <c r="CB49" s="75">
        <f>IF(CB$4="","",IF(COUNTIF(設定!$W$6:$W$40,DATE(設定!$C$2,設定!$D$2,26))&gt;0,"假",IF(INDEX(設定!$U$56:$AO$56,(WEEKDAY(DATE(設定!$C$2,設定!$D$2,26),2)-1)*3+1)=0,"休",COUNTIF(CB$6:CB$45,"匯"))))</f>
        <v/>
      </c>
      <c r="CC49" s="76">
        <f>IF(CC$4="","",IF(COUNTIF(設定!$W$6:$W$40,DATE(設定!$C$2,設定!$D$2,26))&gt;0,"假",IF(INDEX(設定!$U$56:$AO$56,(WEEKDAY(DATE(設定!$C$2,設定!$D$2,26),2)-1)*3+2)=0,"休",COUNTIF(CC$6:CC$45,"匯"))))</f>
        <v/>
      </c>
      <c r="CD49" s="76">
        <f>IF(CD$4="","",IF(COUNTIF(設定!$W$6:$W$40,DATE(設定!$C$2,設定!$D$2,26))&gt;0,"假",IF(INDEX(設定!$U$56:$AO$56,(WEEKDAY(DATE(設定!$C$2,設定!$D$2,26),2)-1)*3+3)=0,"休",COUNTIF(CD$6:CD$45,"匯"))))</f>
        <v/>
      </c>
      <c r="CE49" s="75">
        <f>IF(CE$4="","",IF(COUNTIF(設定!$W$6:$W$40,DATE(設定!$C$2,設定!$D$2,27))&gt;0,"假",IF(INDEX(設定!$U$56:$AO$56,(WEEKDAY(DATE(設定!$C$2,設定!$D$2,27),2)-1)*3+1)=0,"休",COUNTIF(CE$6:CE$45,"匯"))))</f>
        <v/>
      </c>
      <c r="CF49" s="76">
        <f>IF(CF$4="","",IF(COUNTIF(設定!$W$6:$W$40,DATE(設定!$C$2,設定!$D$2,27))&gt;0,"假",IF(INDEX(設定!$U$56:$AO$56,(WEEKDAY(DATE(設定!$C$2,設定!$D$2,27),2)-1)*3+2)=0,"休",COUNTIF(CF$6:CF$45,"匯"))))</f>
        <v/>
      </c>
      <c r="CG49" s="76">
        <f>IF(CG$4="","",IF(COUNTIF(設定!$W$6:$W$40,DATE(設定!$C$2,設定!$D$2,27))&gt;0,"假",IF(INDEX(設定!$U$56:$AO$56,(WEEKDAY(DATE(設定!$C$2,設定!$D$2,27),2)-1)*3+3)=0,"休",COUNTIF(CG$6:CG$45,"匯"))))</f>
        <v/>
      </c>
      <c r="CH49" s="75">
        <f>IF(CH$4="","",IF(COUNTIF(設定!$W$6:$W$40,DATE(設定!$C$2,設定!$D$2,28))&gt;0,"假",IF(INDEX(設定!$U$56:$AO$56,(WEEKDAY(DATE(設定!$C$2,設定!$D$2,28),2)-1)*3+1)=0,"休",COUNTIF(CH$6:CH$45,"匯"))))</f>
        <v/>
      </c>
      <c r="CI49" s="76">
        <f>IF(CI$4="","",IF(COUNTIF(設定!$W$6:$W$40,DATE(設定!$C$2,設定!$D$2,28))&gt;0,"假",IF(INDEX(設定!$U$56:$AO$56,(WEEKDAY(DATE(設定!$C$2,設定!$D$2,28),2)-1)*3+2)=0,"休",COUNTIF(CI$6:CI$45,"匯"))))</f>
        <v/>
      </c>
      <c r="CJ49" s="76">
        <f>IF(CJ$4="","",IF(COUNTIF(設定!$W$6:$W$40,DATE(設定!$C$2,設定!$D$2,28))&gt;0,"假",IF(INDEX(設定!$U$56:$AO$56,(WEEKDAY(DATE(設定!$C$2,設定!$D$2,28),2)-1)*3+3)=0,"休",COUNTIF(CJ$6:CJ$45,"匯"))))</f>
        <v/>
      </c>
      <c r="CK49" s="75">
        <f>IF(CK$4="","",IF(COUNTIF(設定!$W$6:$W$40,DATE(設定!$C$2,設定!$D$2,29))&gt;0,"假",IF(INDEX(設定!$U$56:$AO$56,(WEEKDAY(DATE(設定!$C$2,設定!$D$2,29),2)-1)*3+1)=0,"休",COUNTIF(CK$6:CK$45,"匯"))))</f>
        <v/>
      </c>
      <c r="CL49" s="76">
        <f>IF(CL$4="","",IF(COUNTIF(設定!$W$6:$W$40,DATE(設定!$C$2,設定!$D$2,29))&gt;0,"假",IF(INDEX(設定!$U$56:$AO$56,(WEEKDAY(DATE(設定!$C$2,設定!$D$2,29),2)-1)*3+2)=0,"休",COUNTIF(CL$6:CL$45,"匯"))))</f>
        <v/>
      </c>
      <c r="CM49" s="76">
        <f>IF(CM$4="","",IF(COUNTIF(設定!$W$6:$W$40,DATE(設定!$C$2,設定!$D$2,29))&gt;0,"假",IF(INDEX(設定!$U$56:$AO$56,(WEEKDAY(DATE(設定!$C$2,設定!$D$2,29),2)-1)*3+3)=0,"休",COUNTIF(CM$6:CM$45,"匯"))))</f>
        <v/>
      </c>
      <c r="CN49" s="75">
        <f>IF(CN$4="","",IF(COUNTIF(設定!$W$6:$W$40,DATE(設定!$C$2,設定!$D$2,30))&gt;0,"假",IF(INDEX(設定!$U$56:$AO$56,(WEEKDAY(DATE(設定!$C$2,設定!$D$2,30),2)-1)*3+1)=0,"休",COUNTIF(CN$6:CN$45,"匯"))))</f>
        <v/>
      </c>
      <c r="CO49" s="76">
        <f>IF(CO$4="","",IF(COUNTIF(設定!$W$6:$W$40,DATE(設定!$C$2,設定!$D$2,30))&gt;0,"假",IF(INDEX(設定!$U$56:$AO$56,(WEEKDAY(DATE(設定!$C$2,設定!$D$2,30),2)-1)*3+2)=0,"休",COUNTIF(CO$6:CO$45,"匯"))))</f>
        <v/>
      </c>
      <c r="CP49" s="76">
        <f>IF(CP$4="","",IF(COUNTIF(設定!$W$6:$W$40,DATE(設定!$C$2,設定!$D$2,30))&gt;0,"假",IF(INDEX(設定!$U$56:$AO$56,(WEEKDAY(DATE(設定!$C$2,設定!$D$2,30),2)-1)*3+3)=0,"休",COUNTIF(CP$6:CP$45,"匯"))))</f>
        <v/>
      </c>
      <c r="CQ49" s="75">
        <f>IF(CQ$4="","",IF(COUNTIF(設定!$W$6:$W$40,DATE(設定!$C$2,設定!$D$2,31))&gt;0,"假",IF(INDEX(設定!$U$56:$AO$56,(WEEKDAY(DATE(設定!$C$2,設定!$D$2,31),2)-1)*3+1)=0,"休",COUNTIF(CQ$6:CQ$45,"匯"))))</f>
        <v/>
      </c>
      <c r="CR49" s="76">
        <f>IF(CR$4="","",IF(COUNTIF(設定!$W$6:$W$40,DATE(設定!$C$2,設定!$D$2,31))&gt;0,"假",IF(INDEX(設定!$U$56:$AO$56,(WEEKDAY(DATE(設定!$C$2,設定!$D$2,31),2)-1)*3+2)=0,"休",COUNTIF(CR$6:CR$45,"匯"))))</f>
        <v/>
      </c>
      <c r="CS49" s="76">
        <f>IF(CS$4="","",IF(COUNTIF(設定!$W$6:$W$40,DATE(設定!$C$2,設定!$D$2,31))&gt;0,"假",IF(INDEX(設定!$U$56:$AO$56,(WEEKDAY(DATE(設定!$C$2,設定!$D$2,31),2)-1)*3+3)=0,"休",COUNTIF(CS$6:CS$45,"匯"))))</f>
        <v/>
      </c>
    </row>
    <row r="50">
      <c r="A50" s="79" t="inlineStr">
        <is>
          <t>曜 晶曜</t>
        </is>
      </c>
      <c r="B50" s="8" t="n"/>
      <c r="C50" s="8" t="n"/>
      <c r="D50" s="9" t="n"/>
      <c r="E50" s="75">
        <f>IF(E$4="","",IF(COUNTIF(設定!$W$6:$W$40,DATE(設定!$C$2,設定!$D$2,1))&gt;0,"假",IF(INDEX(設定!$U$57:$AO$57,(WEEKDAY(DATE(設定!$C$2,設定!$D$2,1),2)-1)*3+1)=0,"休",COUNTIF(E$6:E$45,"曜"))))</f>
        <v/>
      </c>
      <c r="F50" s="76">
        <f>IF(F$4="","",IF(COUNTIF(設定!$W$6:$W$40,DATE(設定!$C$2,設定!$D$2,1))&gt;0,"假",IF(INDEX(設定!$U$57:$AO$57,(WEEKDAY(DATE(設定!$C$2,設定!$D$2,1),2)-1)*3+2)=0,"休",COUNTIF(F$6:F$45,"曜"))))</f>
        <v/>
      </c>
      <c r="G50" s="76">
        <f>IF(G$4="","",IF(COUNTIF(設定!$W$6:$W$40,DATE(設定!$C$2,設定!$D$2,1))&gt;0,"假",IF(INDEX(設定!$U$57:$AO$57,(WEEKDAY(DATE(設定!$C$2,設定!$D$2,1),2)-1)*3+3)=0,"休",COUNTIF(G$6:G$45,"曜"))))</f>
        <v/>
      </c>
      <c r="H50" s="75">
        <f>IF(H$4="","",IF(COUNTIF(設定!$W$6:$W$40,DATE(設定!$C$2,設定!$D$2,2))&gt;0,"假",IF(INDEX(設定!$U$57:$AO$57,(WEEKDAY(DATE(設定!$C$2,設定!$D$2,2),2)-1)*3+1)=0,"休",COUNTIF(H$6:H$45,"曜"))))</f>
        <v/>
      </c>
      <c r="I50" s="76">
        <f>IF(I$4="","",IF(COUNTIF(設定!$W$6:$W$40,DATE(設定!$C$2,設定!$D$2,2))&gt;0,"假",IF(INDEX(設定!$U$57:$AO$57,(WEEKDAY(DATE(設定!$C$2,設定!$D$2,2),2)-1)*3+2)=0,"休",COUNTIF(I$6:I$45,"曜"))))</f>
        <v/>
      </c>
      <c r="J50" s="76">
        <f>IF(J$4="","",IF(COUNTIF(設定!$W$6:$W$40,DATE(設定!$C$2,設定!$D$2,2))&gt;0,"假",IF(INDEX(設定!$U$57:$AO$57,(WEEKDAY(DATE(設定!$C$2,設定!$D$2,2),2)-1)*3+3)=0,"休",COUNTIF(J$6:J$45,"曜"))))</f>
        <v/>
      </c>
      <c r="K50" s="75">
        <f>IF(K$4="","",IF(COUNTIF(設定!$W$6:$W$40,DATE(設定!$C$2,設定!$D$2,3))&gt;0,"假",IF(INDEX(設定!$U$57:$AO$57,(WEEKDAY(DATE(設定!$C$2,設定!$D$2,3),2)-1)*3+1)=0,"休",COUNTIF(K$6:K$45,"曜"))))</f>
        <v/>
      </c>
      <c r="L50" s="76">
        <f>IF(L$4="","",IF(COUNTIF(設定!$W$6:$W$40,DATE(設定!$C$2,設定!$D$2,3))&gt;0,"假",IF(INDEX(設定!$U$57:$AO$57,(WEEKDAY(DATE(設定!$C$2,設定!$D$2,3),2)-1)*3+2)=0,"休",COUNTIF(L$6:L$45,"曜"))))</f>
        <v/>
      </c>
      <c r="M50" s="76">
        <f>IF(M$4="","",IF(COUNTIF(設定!$W$6:$W$40,DATE(設定!$C$2,設定!$D$2,3))&gt;0,"假",IF(INDEX(設定!$U$57:$AO$57,(WEEKDAY(DATE(設定!$C$2,設定!$D$2,3),2)-1)*3+3)=0,"休",COUNTIF(M$6:M$45,"曜"))))</f>
        <v/>
      </c>
      <c r="N50" s="75">
        <f>IF(N$4="","",IF(COUNTIF(設定!$W$6:$W$40,DATE(設定!$C$2,設定!$D$2,4))&gt;0,"假",IF(INDEX(設定!$U$57:$AO$57,(WEEKDAY(DATE(設定!$C$2,設定!$D$2,4),2)-1)*3+1)=0,"休",COUNTIF(N$6:N$45,"曜"))))</f>
        <v/>
      </c>
      <c r="O50" s="76">
        <f>IF(O$4="","",IF(COUNTIF(設定!$W$6:$W$40,DATE(設定!$C$2,設定!$D$2,4))&gt;0,"假",IF(INDEX(設定!$U$57:$AO$57,(WEEKDAY(DATE(設定!$C$2,設定!$D$2,4),2)-1)*3+2)=0,"休",COUNTIF(O$6:O$45,"曜"))))</f>
        <v/>
      </c>
      <c r="P50" s="76">
        <f>IF(P$4="","",IF(COUNTIF(設定!$W$6:$W$40,DATE(設定!$C$2,設定!$D$2,4))&gt;0,"假",IF(INDEX(設定!$U$57:$AO$57,(WEEKDAY(DATE(設定!$C$2,設定!$D$2,4),2)-1)*3+3)=0,"休",COUNTIF(P$6:P$45,"曜"))))</f>
        <v/>
      </c>
      <c r="Q50" s="75">
        <f>IF(Q$4="","",IF(COUNTIF(設定!$W$6:$W$40,DATE(設定!$C$2,設定!$D$2,5))&gt;0,"假",IF(INDEX(設定!$U$57:$AO$57,(WEEKDAY(DATE(設定!$C$2,設定!$D$2,5),2)-1)*3+1)=0,"休",COUNTIF(Q$6:Q$45,"曜"))))</f>
        <v/>
      </c>
      <c r="R50" s="76">
        <f>IF(R$4="","",IF(COUNTIF(設定!$W$6:$W$40,DATE(設定!$C$2,設定!$D$2,5))&gt;0,"假",IF(INDEX(設定!$U$57:$AO$57,(WEEKDAY(DATE(設定!$C$2,設定!$D$2,5),2)-1)*3+2)=0,"休",COUNTIF(R$6:R$45,"曜"))))</f>
        <v/>
      </c>
      <c r="S50" s="76">
        <f>IF(S$4="","",IF(COUNTIF(設定!$W$6:$W$40,DATE(設定!$C$2,設定!$D$2,5))&gt;0,"假",IF(INDEX(設定!$U$57:$AO$57,(WEEKDAY(DATE(設定!$C$2,設定!$D$2,5),2)-1)*3+3)=0,"休",COUNTIF(S$6:S$45,"曜"))))</f>
        <v/>
      </c>
      <c r="T50" s="75">
        <f>IF(T$4="","",IF(COUNTIF(設定!$W$6:$W$40,DATE(設定!$C$2,設定!$D$2,6))&gt;0,"假",IF(INDEX(設定!$U$57:$AO$57,(WEEKDAY(DATE(設定!$C$2,設定!$D$2,6),2)-1)*3+1)=0,"休",COUNTIF(T$6:T$45,"曜"))))</f>
        <v/>
      </c>
      <c r="U50" s="76">
        <f>IF(U$4="","",IF(COUNTIF(設定!$W$6:$W$40,DATE(設定!$C$2,設定!$D$2,6))&gt;0,"假",IF(INDEX(設定!$U$57:$AO$57,(WEEKDAY(DATE(設定!$C$2,設定!$D$2,6),2)-1)*3+2)=0,"休",COUNTIF(U$6:U$45,"曜"))))</f>
        <v/>
      </c>
      <c r="V50" s="76">
        <f>IF(V$4="","",IF(COUNTIF(設定!$W$6:$W$40,DATE(設定!$C$2,設定!$D$2,6))&gt;0,"假",IF(INDEX(設定!$U$57:$AO$57,(WEEKDAY(DATE(設定!$C$2,設定!$D$2,6),2)-1)*3+3)=0,"休",COUNTIF(V$6:V$45,"曜"))))</f>
        <v/>
      </c>
      <c r="W50" s="75">
        <f>IF(W$4="","",IF(COUNTIF(設定!$W$6:$W$40,DATE(設定!$C$2,設定!$D$2,7))&gt;0,"假",IF(INDEX(設定!$U$57:$AO$57,(WEEKDAY(DATE(設定!$C$2,設定!$D$2,7),2)-1)*3+1)=0,"休",COUNTIF(W$6:W$45,"曜"))))</f>
        <v/>
      </c>
      <c r="X50" s="76">
        <f>IF(X$4="","",IF(COUNTIF(設定!$W$6:$W$40,DATE(設定!$C$2,設定!$D$2,7))&gt;0,"假",IF(INDEX(設定!$U$57:$AO$57,(WEEKDAY(DATE(設定!$C$2,設定!$D$2,7),2)-1)*3+2)=0,"休",COUNTIF(X$6:X$45,"曜"))))</f>
        <v/>
      </c>
      <c r="Y50" s="76">
        <f>IF(Y$4="","",IF(COUNTIF(設定!$W$6:$W$40,DATE(設定!$C$2,設定!$D$2,7))&gt;0,"假",IF(INDEX(設定!$U$57:$AO$57,(WEEKDAY(DATE(設定!$C$2,設定!$D$2,7),2)-1)*3+3)=0,"休",COUNTIF(Y$6:Y$45,"曜"))))</f>
        <v/>
      </c>
      <c r="Z50" s="75">
        <f>IF(Z$4="","",IF(COUNTIF(設定!$W$6:$W$40,DATE(設定!$C$2,設定!$D$2,8))&gt;0,"假",IF(INDEX(設定!$U$57:$AO$57,(WEEKDAY(DATE(設定!$C$2,設定!$D$2,8),2)-1)*3+1)=0,"休",COUNTIF(Z$6:Z$45,"曜"))))</f>
        <v/>
      </c>
      <c r="AA50" s="76">
        <f>IF(AA$4="","",IF(COUNTIF(設定!$W$6:$W$40,DATE(設定!$C$2,設定!$D$2,8))&gt;0,"假",IF(INDEX(設定!$U$57:$AO$57,(WEEKDAY(DATE(設定!$C$2,設定!$D$2,8),2)-1)*3+2)=0,"休",COUNTIF(AA$6:AA$45,"曜"))))</f>
        <v/>
      </c>
      <c r="AB50" s="76">
        <f>IF(AB$4="","",IF(COUNTIF(設定!$W$6:$W$40,DATE(設定!$C$2,設定!$D$2,8))&gt;0,"假",IF(INDEX(設定!$U$57:$AO$57,(WEEKDAY(DATE(設定!$C$2,設定!$D$2,8),2)-1)*3+3)=0,"休",COUNTIF(AB$6:AB$45,"曜"))))</f>
        <v/>
      </c>
      <c r="AC50" s="75">
        <f>IF(AC$4="","",IF(COUNTIF(設定!$W$6:$W$40,DATE(設定!$C$2,設定!$D$2,9))&gt;0,"假",IF(INDEX(設定!$U$57:$AO$57,(WEEKDAY(DATE(設定!$C$2,設定!$D$2,9),2)-1)*3+1)=0,"休",COUNTIF(AC$6:AC$45,"曜"))))</f>
        <v/>
      </c>
      <c r="AD50" s="76">
        <f>IF(AD$4="","",IF(COUNTIF(設定!$W$6:$W$40,DATE(設定!$C$2,設定!$D$2,9))&gt;0,"假",IF(INDEX(設定!$U$57:$AO$57,(WEEKDAY(DATE(設定!$C$2,設定!$D$2,9),2)-1)*3+2)=0,"休",COUNTIF(AD$6:AD$45,"曜"))))</f>
        <v/>
      </c>
      <c r="AE50" s="76">
        <f>IF(AE$4="","",IF(COUNTIF(設定!$W$6:$W$40,DATE(設定!$C$2,設定!$D$2,9))&gt;0,"假",IF(INDEX(設定!$U$57:$AO$57,(WEEKDAY(DATE(設定!$C$2,設定!$D$2,9),2)-1)*3+3)=0,"休",COUNTIF(AE$6:AE$45,"曜"))))</f>
        <v/>
      </c>
      <c r="AF50" s="75">
        <f>IF(AF$4="","",IF(COUNTIF(設定!$W$6:$W$40,DATE(設定!$C$2,設定!$D$2,10))&gt;0,"假",IF(INDEX(設定!$U$57:$AO$57,(WEEKDAY(DATE(設定!$C$2,設定!$D$2,10),2)-1)*3+1)=0,"休",COUNTIF(AF$6:AF$45,"曜"))))</f>
        <v/>
      </c>
      <c r="AG50" s="76">
        <f>IF(AG$4="","",IF(COUNTIF(設定!$W$6:$W$40,DATE(設定!$C$2,設定!$D$2,10))&gt;0,"假",IF(INDEX(設定!$U$57:$AO$57,(WEEKDAY(DATE(設定!$C$2,設定!$D$2,10),2)-1)*3+2)=0,"休",COUNTIF(AG$6:AG$45,"曜"))))</f>
        <v/>
      </c>
      <c r="AH50" s="76">
        <f>IF(AH$4="","",IF(COUNTIF(設定!$W$6:$W$40,DATE(設定!$C$2,設定!$D$2,10))&gt;0,"假",IF(INDEX(設定!$U$57:$AO$57,(WEEKDAY(DATE(設定!$C$2,設定!$D$2,10),2)-1)*3+3)=0,"休",COUNTIF(AH$6:AH$45,"曜"))))</f>
        <v/>
      </c>
      <c r="AI50" s="75">
        <f>IF(AI$4="","",IF(COUNTIF(設定!$W$6:$W$40,DATE(設定!$C$2,設定!$D$2,11))&gt;0,"假",IF(INDEX(設定!$U$57:$AO$57,(WEEKDAY(DATE(設定!$C$2,設定!$D$2,11),2)-1)*3+1)=0,"休",COUNTIF(AI$6:AI$45,"曜"))))</f>
        <v/>
      </c>
      <c r="AJ50" s="76">
        <f>IF(AJ$4="","",IF(COUNTIF(設定!$W$6:$W$40,DATE(設定!$C$2,設定!$D$2,11))&gt;0,"假",IF(INDEX(設定!$U$57:$AO$57,(WEEKDAY(DATE(設定!$C$2,設定!$D$2,11),2)-1)*3+2)=0,"休",COUNTIF(AJ$6:AJ$45,"曜"))))</f>
        <v/>
      </c>
      <c r="AK50" s="76">
        <f>IF(AK$4="","",IF(COUNTIF(設定!$W$6:$W$40,DATE(設定!$C$2,設定!$D$2,11))&gt;0,"假",IF(INDEX(設定!$U$57:$AO$57,(WEEKDAY(DATE(設定!$C$2,設定!$D$2,11),2)-1)*3+3)=0,"休",COUNTIF(AK$6:AK$45,"曜"))))</f>
        <v/>
      </c>
      <c r="AL50" s="75">
        <f>IF(AL$4="","",IF(COUNTIF(設定!$W$6:$W$40,DATE(設定!$C$2,設定!$D$2,12))&gt;0,"假",IF(INDEX(設定!$U$57:$AO$57,(WEEKDAY(DATE(設定!$C$2,設定!$D$2,12),2)-1)*3+1)=0,"休",COUNTIF(AL$6:AL$45,"曜"))))</f>
        <v/>
      </c>
      <c r="AM50" s="76">
        <f>IF(AM$4="","",IF(COUNTIF(設定!$W$6:$W$40,DATE(設定!$C$2,設定!$D$2,12))&gt;0,"假",IF(INDEX(設定!$U$57:$AO$57,(WEEKDAY(DATE(設定!$C$2,設定!$D$2,12),2)-1)*3+2)=0,"休",COUNTIF(AM$6:AM$45,"曜"))))</f>
        <v/>
      </c>
      <c r="AN50" s="76">
        <f>IF(AN$4="","",IF(COUNTIF(設定!$W$6:$W$40,DATE(設定!$C$2,設定!$D$2,12))&gt;0,"假",IF(INDEX(設定!$U$57:$AO$57,(WEEKDAY(DATE(設定!$C$2,設定!$D$2,12),2)-1)*3+3)=0,"休",COUNTIF(AN$6:AN$45,"曜"))))</f>
        <v/>
      </c>
      <c r="AO50" s="75">
        <f>IF(AO$4="","",IF(COUNTIF(設定!$W$6:$W$40,DATE(設定!$C$2,設定!$D$2,13))&gt;0,"假",IF(INDEX(設定!$U$57:$AO$57,(WEEKDAY(DATE(設定!$C$2,設定!$D$2,13),2)-1)*3+1)=0,"休",COUNTIF(AO$6:AO$45,"曜"))))</f>
        <v/>
      </c>
      <c r="AP50" s="76">
        <f>IF(AP$4="","",IF(COUNTIF(設定!$W$6:$W$40,DATE(設定!$C$2,設定!$D$2,13))&gt;0,"假",IF(INDEX(設定!$U$57:$AO$57,(WEEKDAY(DATE(設定!$C$2,設定!$D$2,13),2)-1)*3+2)=0,"休",COUNTIF(AP$6:AP$45,"曜"))))</f>
        <v/>
      </c>
      <c r="AQ50" s="76">
        <f>IF(AQ$4="","",IF(COUNTIF(設定!$W$6:$W$40,DATE(設定!$C$2,設定!$D$2,13))&gt;0,"假",IF(INDEX(設定!$U$57:$AO$57,(WEEKDAY(DATE(設定!$C$2,設定!$D$2,13),2)-1)*3+3)=0,"休",COUNTIF(AQ$6:AQ$45,"曜"))))</f>
        <v/>
      </c>
      <c r="AR50" s="75">
        <f>IF(AR$4="","",IF(COUNTIF(設定!$W$6:$W$40,DATE(設定!$C$2,設定!$D$2,14))&gt;0,"假",IF(INDEX(設定!$U$57:$AO$57,(WEEKDAY(DATE(設定!$C$2,設定!$D$2,14),2)-1)*3+1)=0,"休",COUNTIF(AR$6:AR$45,"曜"))))</f>
        <v/>
      </c>
      <c r="AS50" s="76">
        <f>IF(AS$4="","",IF(COUNTIF(設定!$W$6:$W$40,DATE(設定!$C$2,設定!$D$2,14))&gt;0,"假",IF(INDEX(設定!$U$57:$AO$57,(WEEKDAY(DATE(設定!$C$2,設定!$D$2,14),2)-1)*3+2)=0,"休",COUNTIF(AS$6:AS$45,"曜"))))</f>
        <v/>
      </c>
      <c r="AT50" s="76">
        <f>IF(AT$4="","",IF(COUNTIF(設定!$W$6:$W$40,DATE(設定!$C$2,設定!$D$2,14))&gt;0,"假",IF(INDEX(設定!$U$57:$AO$57,(WEEKDAY(DATE(設定!$C$2,設定!$D$2,14),2)-1)*3+3)=0,"休",COUNTIF(AT$6:AT$45,"曜"))))</f>
        <v/>
      </c>
      <c r="AU50" s="75">
        <f>IF(AU$4="","",IF(COUNTIF(設定!$W$6:$W$40,DATE(設定!$C$2,設定!$D$2,15))&gt;0,"假",IF(INDEX(設定!$U$57:$AO$57,(WEEKDAY(DATE(設定!$C$2,設定!$D$2,15),2)-1)*3+1)=0,"休",COUNTIF(AU$6:AU$45,"曜"))))</f>
        <v/>
      </c>
      <c r="AV50" s="76">
        <f>IF(AV$4="","",IF(COUNTIF(設定!$W$6:$W$40,DATE(設定!$C$2,設定!$D$2,15))&gt;0,"假",IF(INDEX(設定!$U$57:$AO$57,(WEEKDAY(DATE(設定!$C$2,設定!$D$2,15),2)-1)*3+2)=0,"休",COUNTIF(AV$6:AV$45,"曜"))))</f>
        <v/>
      </c>
      <c r="AW50" s="76">
        <f>IF(AW$4="","",IF(COUNTIF(設定!$W$6:$W$40,DATE(設定!$C$2,設定!$D$2,15))&gt;0,"假",IF(INDEX(設定!$U$57:$AO$57,(WEEKDAY(DATE(設定!$C$2,設定!$D$2,15),2)-1)*3+3)=0,"休",COUNTIF(AW$6:AW$45,"曜"))))</f>
        <v/>
      </c>
      <c r="AX50" s="75">
        <f>IF(AX$4="","",IF(COUNTIF(設定!$W$6:$W$40,DATE(設定!$C$2,設定!$D$2,16))&gt;0,"假",IF(INDEX(設定!$U$57:$AO$57,(WEEKDAY(DATE(設定!$C$2,設定!$D$2,16),2)-1)*3+1)=0,"休",COUNTIF(AX$6:AX$45,"曜"))))</f>
        <v/>
      </c>
      <c r="AY50" s="76">
        <f>IF(AY$4="","",IF(COUNTIF(設定!$W$6:$W$40,DATE(設定!$C$2,設定!$D$2,16))&gt;0,"假",IF(INDEX(設定!$U$57:$AO$57,(WEEKDAY(DATE(設定!$C$2,設定!$D$2,16),2)-1)*3+2)=0,"休",COUNTIF(AY$6:AY$45,"曜"))))</f>
        <v/>
      </c>
      <c r="AZ50" s="76">
        <f>IF(AZ$4="","",IF(COUNTIF(設定!$W$6:$W$40,DATE(設定!$C$2,設定!$D$2,16))&gt;0,"假",IF(INDEX(設定!$U$57:$AO$57,(WEEKDAY(DATE(設定!$C$2,設定!$D$2,16),2)-1)*3+3)=0,"休",COUNTIF(AZ$6:AZ$45,"曜"))))</f>
        <v/>
      </c>
      <c r="BA50" s="75">
        <f>IF(BA$4="","",IF(COUNTIF(設定!$W$6:$W$40,DATE(設定!$C$2,設定!$D$2,17))&gt;0,"假",IF(INDEX(設定!$U$57:$AO$57,(WEEKDAY(DATE(設定!$C$2,設定!$D$2,17),2)-1)*3+1)=0,"休",COUNTIF(BA$6:BA$45,"曜"))))</f>
        <v/>
      </c>
      <c r="BB50" s="76">
        <f>IF(BB$4="","",IF(COUNTIF(設定!$W$6:$W$40,DATE(設定!$C$2,設定!$D$2,17))&gt;0,"假",IF(INDEX(設定!$U$57:$AO$57,(WEEKDAY(DATE(設定!$C$2,設定!$D$2,17),2)-1)*3+2)=0,"休",COUNTIF(BB$6:BB$45,"曜"))))</f>
        <v/>
      </c>
      <c r="BC50" s="76">
        <f>IF(BC$4="","",IF(COUNTIF(設定!$W$6:$W$40,DATE(設定!$C$2,設定!$D$2,17))&gt;0,"假",IF(INDEX(設定!$U$57:$AO$57,(WEEKDAY(DATE(設定!$C$2,設定!$D$2,17),2)-1)*3+3)=0,"休",COUNTIF(BC$6:BC$45,"曜"))))</f>
        <v/>
      </c>
      <c r="BD50" s="75">
        <f>IF(BD$4="","",IF(COUNTIF(設定!$W$6:$W$40,DATE(設定!$C$2,設定!$D$2,18))&gt;0,"假",IF(INDEX(設定!$U$57:$AO$57,(WEEKDAY(DATE(設定!$C$2,設定!$D$2,18),2)-1)*3+1)=0,"休",COUNTIF(BD$6:BD$45,"曜"))))</f>
        <v/>
      </c>
      <c r="BE50" s="76">
        <f>IF(BE$4="","",IF(COUNTIF(設定!$W$6:$W$40,DATE(設定!$C$2,設定!$D$2,18))&gt;0,"假",IF(INDEX(設定!$U$57:$AO$57,(WEEKDAY(DATE(設定!$C$2,設定!$D$2,18),2)-1)*3+2)=0,"休",COUNTIF(BE$6:BE$45,"曜"))))</f>
        <v/>
      </c>
      <c r="BF50" s="76">
        <f>IF(BF$4="","",IF(COUNTIF(設定!$W$6:$W$40,DATE(設定!$C$2,設定!$D$2,18))&gt;0,"假",IF(INDEX(設定!$U$57:$AO$57,(WEEKDAY(DATE(設定!$C$2,設定!$D$2,18),2)-1)*3+3)=0,"休",COUNTIF(BF$6:BF$45,"曜"))))</f>
        <v/>
      </c>
      <c r="BG50" s="75">
        <f>IF(BG$4="","",IF(COUNTIF(設定!$W$6:$W$40,DATE(設定!$C$2,設定!$D$2,19))&gt;0,"假",IF(INDEX(設定!$U$57:$AO$57,(WEEKDAY(DATE(設定!$C$2,設定!$D$2,19),2)-1)*3+1)=0,"休",COUNTIF(BG$6:BG$45,"曜"))))</f>
        <v/>
      </c>
      <c r="BH50" s="76">
        <f>IF(BH$4="","",IF(COUNTIF(設定!$W$6:$W$40,DATE(設定!$C$2,設定!$D$2,19))&gt;0,"假",IF(INDEX(設定!$U$57:$AO$57,(WEEKDAY(DATE(設定!$C$2,設定!$D$2,19),2)-1)*3+2)=0,"休",COUNTIF(BH$6:BH$45,"曜"))))</f>
        <v/>
      </c>
      <c r="BI50" s="76">
        <f>IF(BI$4="","",IF(COUNTIF(設定!$W$6:$W$40,DATE(設定!$C$2,設定!$D$2,19))&gt;0,"假",IF(INDEX(設定!$U$57:$AO$57,(WEEKDAY(DATE(設定!$C$2,設定!$D$2,19),2)-1)*3+3)=0,"休",COUNTIF(BI$6:BI$45,"曜"))))</f>
        <v/>
      </c>
      <c r="BJ50" s="75">
        <f>IF(BJ$4="","",IF(COUNTIF(設定!$W$6:$W$40,DATE(設定!$C$2,設定!$D$2,20))&gt;0,"假",IF(INDEX(設定!$U$57:$AO$57,(WEEKDAY(DATE(設定!$C$2,設定!$D$2,20),2)-1)*3+1)=0,"休",COUNTIF(BJ$6:BJ$45,"曜"))))</f>
        <v/>
      </c>
      <c r="BK50" s="76">
        <f>IF(BK$4="","",IF(COUNTIF(設定!$W$6:$W$40,DATE(設定!$C$2,設定!$D$2,20))&gt;0,"假",IF(INDEX(設定!$U$57:$AO$57,(WEEKDAY(DATE(設定!$C$2,設定!$D$2,20),2)-1)*3+2)=0,"休",COUNTIF(BK$6:BK$45,"曜"))))</f>
        <v/>
      </c>
      <c r="BL50" s="76">
        <f>IF(BL$4="","",IF(COUNTIF(設定!$W$6:$W$40,DATE(設定!$C$2,設定!$D$2,20))&gt;0,"假",IF(INDEX(設定!$U$57:$AO$57,(WEEKDAY(DATE(設定!$C$2,設定!$D$2,20),2)-1)*3+3)=0,"休",COUNTIF(BL$6:BL$45,"曜"))))</f>
        <v/>
      </c>
      <c r="BM50" s="75">
        <f>IF(BM$4="","",IF(COUNTIF(設定!$W$6:$W$40,DATE(設定!$C$2,設定!$D$2,21))&gt;0,"假",IF(INDEX(設定!$U$57:$AO$57,(WEEKDAY(DATE(設定!$C$2,設定!$D$2,21),2)-1)*3+1)=0,"休",COUNTIF(BM$6:BM$45,"曜"))))</f>
        <v/>
      </c>
      <c r="BN50" s="76">
        <f>IF(BN$4="","",IF(COUNTIF(設定!$W$6:$W$40,DATE(設定!$C$2,設定!$D$2,21))&gt;0,"假",IF(INDEX(設定!$U$57:$AO$57,(WEEKDAY(DATE(設定!$C$2,設定!$D$2,21),2)-1)*3+2)=0,"休",COUNTIF(BN$6:BN$45,"曜"))))</f>
        <v/>
      </c>
      <c r="BO50" s="76">
        <f>IF(BO$4="","",IF(COUNTIF(設定!$W$6:$W$40,DATE(設定!$C$2,設定!$D$2,21))&gt;0,"假",IF(INDEX(設定!$U$57:$AO$57,(WEEKDAY(DATE(設定!$C$2,設定!$D$2,21),2)-1)*3+3)=0,"休",COUNTIF(BO$6:BO$45,"曜"))))</f>
        <v/>
      </c>
      <c r="BP50" s="75">
        <f>IF(BP$4="","",IF(COUNTIF(設定!$W$6:$W$40,DATE(設定!$C$2,設定!$D$2,22))&gt;0,"假",IF(INDEX(設定!$U$57:$AO$57,(WEEKDAY(DATE(設定!$C$2,設定!$D$2,22),2)-1)*3+1)=0,"休",COUNTIF(BP$6:BP$45,"曜"))))</f>
        <v/>
      </c>
      <c r="BQ50" s="76">
        <f>IF(BQ$4="","",IF(COUNTIF(設定!$W$6:$W$40,DATE(設定!$C$2,設定!$D$2,22))&gt;0,"假",IF(INDEX(設定!$U$57:$AO$57,(WEEKDAY(DATE(設定!$C$2,設定!$D$2,22),2)-1)*3+2)=0,"休",COUNTIF(BQ$6:BQ$45,"曜"))))</f>
        <v/>
      </c>
      <c r="BR50" s="76">
        <f>IF(BR$4="","",IF(COUNTIF(設定!$W$6:$W$40,DATE(設定!$C$2,設定!$D$2,22))&gt;0,"假",IF(INDEX(設定!$U$57:$AO$57,(WEEKDAY(DATE(設定!$C$2,設定!$D$2,22),2)-1)*3+3)=0,"休",COUNTIF(BR$6:BR$45,"曜"))))</f>
        <v/>
      </c>
      <c r="BS50" s="75">
        <f>IF(BS$4="","",IF(COUNTIF(設定!$W$6:$W$40,DATE(設定!$C$2,設定!$D$2,23))&gt;0,"假",IF(INDEX(設定!$U$57:$AO$57,(WEEKDAY(DATE(設定!$C$2,設定!$D$2,23),2)-1)*3+1)=0,"休",COUNTIF(BS$6:BS$45,"曜"))))</f>
        <v/>
      </c>
      <c r="BT50" s="76">
        <f>IF(BT$4="","",IF(COUNTIF(設定!$W$6:$W$40,DATE(設定!$C$2,設定!$D$2,23))&gt;0,"假",IF(INDEX(設定!$U$57:$AO$57,(WEEKDAY(DATE(設定!$C$2,設定!$D$2,23),2)-1)*3+2)=0,"休",COUNTIF(BT$6:BT$45,"曜"))))</f>
        <v/>
      </c>
      <c r="BU50" s="76">
        <f>IF(BU$4="","",IF(COUNTIF(設定!$W$6:$W$40,DATE(設定!$C$2,設定!$D$2,23))&gt;0,"假",IF(INDEX(設定!$U$57:$AO$57,(WEEKDAY(DATE(設定!$C$2,設定!$D$2,23),2)-1)*3+3)=0,"休",COUNTIF(BU$6:BU$45,"曜"))))</f>
        <v/>
      </c>
      <c r="BV50" s="75">
        <f>IF(BV$4="","",IF(COUNTIF(設定!$W$6:$W$40,DATE(設定!$C$2,設定!$D$2,24))&gt;0,"假",IF(INDEX(設定!$U$57:$AO$57,(WEEKDAY(DATE(設定!$C$2,設定!$D$2,24),2)-1)*3+1)=0,"休",COUNTIF(BV$6:BV$45,"曜"))))</f>
        <v/>
      </c>
      <c r="BW50" s="76">
        <f>IF(BW$4="","",IF(COUNTIF(設定!$W$6:$W$40,DATE(設定!$C$2,設定!$D$2,24))&gt;0,"假",IF(INDEX(設定!$U$57:$AO$57,(WEEKDAY(DATE(設定!$C$2,設定!$D$2,24),2)-1)*3+2)=0,"休",COUNTIF(BW$6:BW$45,"曜"))))</f>
        <v/>
      </c>
      <c r="BX50" s="76">
        <f>IF(BX$4="","",IF(COUNTIF(設定!$W$6:$W$40,DATE(設定!$C$2,設定!$D$2,24))&gt;0,"假",IF(INDEX(設定!$U$57:$AO$57,(WEEKDAY(DATE(設定!$C$2,設定!$D$2,24),2)-1)*3+3)=0,"休",COUNTIF(BX$6:BX$45,"曜"))))</f>
        <v/>
      </c>
      <c r="BY50" s="75">
        <f>IF(BY$4="","",IF(COUNTIF(設定!$W$6:$W$40,DATE(設定!$C$2,設定!$D$2,25))&gt;0,"假",IF(INDEX(設定!$U$57:$AO$57,(WEEKDAY(DATE(設定!$C$2,設定!$D$2,25),2)-1)*3+1)=0,"休",COUNTIF(BY$6:BY$45,"曜"))))</f>
        <v/>
      </c>
      <c r="BZ50" s="76">
        <f>IF(BZ$4="","",IF(COUNTIF(設定!$W$6:$W$40,DATE(設定!$C$2,設定!$D$2,25))&gt;0,"假",IF(INDEX(設定!$U$57:$AO$57,(WEEKDAY(DATE(設定!$C$2,設定!$D$2,25),2)-1)*3+2)=0,"休",COUNTIF(BZ$6:BZ$45,"曜"))))</f>
        <v/>
      </c>
      <c r="CA50" s="76">
        <f>IF(CA$4="","",IF(COUNTIF(設定!$W$6:$W$40,DATE(設定!$C$2,設定!$D$2,25))&gt;0,"假",IF(INDEX(設定!$U$57:$AO$57,(WEEKDAY(DATE(設定!$C$2,設定!$D$2,25),2)-1)*3+3)=0,"休",COUNTIF(CA$6:CA$45,"曜"))))</f>
        <v/>
      </c>
      <c r="CB50" s="75">
        <f>IF(CB$4="","",IF(COUNTIF(設定!$W$6:$W$40,DATE(設定!$C$2,設定!$D$2,26))&gt;0,"假",IF(INDEX(設定!$U$57:$AO$57,(WEEKDAY(DATE(設定!$C$2,設定!$D$2,26),2)-1)*3+1)=0,"休",COUNTIF(CB$6:CB$45,"曜"))))</f>
        <v/>
      </c>
      <c r="CC50" s="76">
        <f>IF(CC$4="","",IF(COUNTIF(設定!$W$6:$W$40,DATE(設定!$C$2,設定!$D$2,26))&gt;0,"假",IF(INDEX(設定!$U$57:$AO$57,(WEEKDAY(DATE(設定!$C$2,設定!$D$2,26),2)-1)*3+2)=0,"休",COUNTIF(CC$6:CC$45,"曜"))))</f>
        <v/>
      </c>
      <c r="CD50" s="76">
        <f>IF(CD$4="","",IF(COUNTIF(設定!$W$6:$W$40,DATE(設定!$C$2,設定!$D$2,26))&gt;0,"假",IF(INDEX(設定!$U$57:$AO$57,(WEEKDAY(DATE(設定!$C$2,設定!$D$2,26),2)-1)*3+3)=0,"休",COUNTIF(CD$6:CD$45,"曜"))))</f>
        <v/>
      </c>
      <c r="CE50" s="75">
        <f>IF(CE$4="","",IF(COUNTIF(設定!$W$6:$W$40,DATE(設定!$C$2,設定!$D$2,27))&gt;0,"假",IF(INDEX(設定!$U$57:$AO$57,(WEEKDAY(DATE(設定!$C$2,設定!$D$2,27),2)-1)*3+1)=0,"休",COUNTIF(CE$6:CE$45,"曜"))))</f>
        <v/>
      </c>
      <c r="CF50" s="76">
        <f>IF(CF$4="","",IF(COUNTIF(設定!$W$6:$W$40,DATE(設定!$C$2,設定!$D$2,27))&gt;0,"假",IF(INDEX(設定!$U$57:$AO$57,(WEEKDAY(DATE(設定!$C$2,設定!$D$2,27),2)-1)*3+2)=0,"休",COUNTIF(CF$6:CF$45,"曜"))))</f>
        <v/>
      </c>
      <c r="CG50" s="76">
        <f>IF(CG$4="","",IF(COUNTIF(設定!$W$6:$W$40,DATE(設定!$C$2,設定!$D$2,27))&gt;0,"假",IF(INDEX(設定!$U$57:$AO$57,(WEEKDAY(DATE(設定!$C$2,設定!$D$2,27),2)-1)*3+3)=0,"休",COUNTIF(CG$6:CG$45,"曜"))))</f>
        <v/>
      </c>
      <c r="CH50" s="75">
        <f>IF(CH$4="","",IF(COUNTIF(設定!$W$6:$W$40,DATE(設定!$C$2,設定!$D$2,28))&gt;0,"假",IF(INDEX(設定!$U$57:$AO$57,(WEEKDAY(DATE(設定!$C$2,設定!$D$2,28),2)-1)*3+1)=0,"休",COUNTIF(CH$6:CH$45,"曜"))))</f>
        <v/>
      </c>
      <c r="CI50" s="76">
        <f>IF(CI$4="","",IF(COUNTIF(設定!$W$6:$W$40,DATE(設定!$C$2,設定!$D$2,28))&gt;0,"假",IF(INDEX(設定!$U$57:$AO$57,(WEEKDAY(DATE(設定!$C$2,設定!$D$2,28),2)-1)*3+2)=0,"休",COUNTIF(CI$6:CI$45,"曜"))))</f>
        <v/>
      </c>
      <c r="CJ50" s="76">
        <f>IF(CJ$4="","",IF(COUNTIF(設定!$W$6:$W$40,DATE(設定!$C$2,設定!$D$2,28))&gt;0,"假",IF(INDEX(設定!$U$57:$AO$57,(WEEKDAY(DATE(設定!$C$2,設定!$D$2,28),2)-1)*3+3)=0,"休",COUNTIF(CJ$6:CJ$45,"曜"))))</f>
        <v/>
      </c>
      <c r="CK50" s="75">
        <f>IF(CK$4="","",IF(COUNTIF(設定!$W$6:$W$40,DATE(設定!$C$2,設定!$D$2,29))&gt;0,"假",IF(INDEX(設定!$U$57:$AO$57,(WEEKDAY(DATE(設定!$C$2,設定!$D$2,29),2)-1)*3+1)=0,"休",COUNTIF(CK$6:CK$45,"曜"))))</f>
        <v/>
      </c>
      <c r="CL50" s="76">
        <f>IF(CL$4="","",IF(COUNTIF(設定!$W$6:$W$40,DATE(設定!$C$2,設定!$D$2,29))&gt;0,"假",IF(INDEX(設定!$U$57:$AO$57,(WEEKDAY(DATE(設定!$C$2,設定!$D$2,29),2)-1)*3+2)=0,"休",COUNTIF(CL$6:CL$45,"曜"))))</f>
        <v/>
      </c>
      <c r="CM50" s="76">
        <f>IF(CM$4="","",IF(COUNTIF(設定!$W$6:$W$40,DATE(設定!$C$2,設定!$D$2,29))&gt;0,"假",IF(INDEX(設定!$U$57:$AO$57,(WEEKDAY(DATE(設定!$C$2,設定!$D$2,29),2)-1)*3+3)=0,"休",COUNTIF(CM$6:CM$45,"曜"))))</f>
        <v/>
      </c>
      <c r="CN50" s="75">
        <f>IF(CN$4="","",IF(COUNTIF(設定!$W$6:$W$40,DATE(設定!$C$2,設定!$D$2,30))&gt;0,"假",IF(INDEX(設定!$U$57:$AO$57,(WEEKDAY(DATE(設定!$C$2,設定!$D$2,30),2)-1)*3+1)=0,"休",COUNTIF(CN$6:CN$45,"曜"))))</f>
        <v/>
      </c>
      <c r="CO50" s="76">
        <f>IF(CO$4="","",IF(COUNTIF(設定!$W$6:$W$40,DATE(設定!$C$2,設定!$D$2,30))&gt;0,"假",IF(INDEX(設定!$U$57:$AO$57,(WEEKDAY(DATE(設定!$C$2,設定!$D$2,30),2)-1)*3+2)=0,"休",COUNTIF(CO$6:CO$45,"曜"))))</f>
        <v/>
      </c>
      <c r="CP50" s="76">
        <f>IF(CP$4="","",IF(COUNTIF(設定!$W$6:$W$40,DATE(設定!$C$2,設定!$D$2,30))&gt;0,"假",IF(INDEX(設定!$U$57:$AO$57,(WEEKDAY(DATE(設定!$C$2,設定!$D$2,30),2)-1)*3+3)=0,"休",COUNTIF(CP$6:CP$45,"曜"))))</f>
        <v/>
      </c>
      <c r="CQ50" s="75">
        <f>IF(CQ$4="","",IF(COUNTIF(設定!$W$6:$W$40,DATE(設定!$C$2,設定!$D$2,31))&gt;0,"假",IF(INDEX(設定!$U$57:$AO$57,(WEEKDAY(DATE(設定!$C$2,設定!$D$2,31),2)-1)*3+1)=0,"休",COUNTIF(CQ$6:CQ$45,"曜"))))</f>
        <v/>
      </c>
      <c r="CR50" s="76">
        <f>IF(CR$4="","",IF(COUNTIF(設定!$W$6:$W$40,DATE(設定!$C$2,設定!$D$2,31))&gt;0,"假",IF(INDEX(設定!$U$57:$AO$57,(WEEKDAY(DATE(設定!$C$2,設定!$D$2,31),2)-1)*3+2)=0,"休",COUNTIF(CR$6:CR$45,"曜"))))</f>
        <v/>
      </c>
      <c r="CS50" s="76">
        <f>IF(CS$4="","",IF(COUNTIF(設定!$W$6:$W$40,DATE(設定!$C$2,設定!$D$2,31))&gt;0,"假",IF(INDEX(設定!$U$57:$AO$57,(WEEKDAY(DATE(設定!$C$2,設定!$D$2,31),2)-1)*3+3)=0,"休",COUNTIF(CS$6:CS$45,"曜"))))</f>
        <v/>
      </c>
    </row>
    <row r="51">
      <c r="A51" s="80" t="inlineStr">
        <is>
          <t>寶 寶貝牙</t>
        </is>
      </c>
      <c r="B51" s="8" t="n"/>
      <c r="C51" s="8" t="n"/>
      <c r="D51" s="9" t="n"/>
      <c r="E51" s="75">
        <f>IF(E$4="","",IF(COUNTIF(設定!$W$6:$W$40,DATE(設定!$C$2,設定!$D$2,1))&gt;0,"假",IF(INDEX(設定!$U$58:$AO$58,(WEEKDAY(DATE(設定!$C$2,設定!$D$2,1),2)-1)*3+1)=0,"休",COUNTIF(E$6:E$45,"寶"))))</f>
        <v/>
      </c>
      <c r="F51" s="76">
        <f>IF(F$4="","",IF(COUNTIF(設定!$W$6:$W$40,DATE(設定!$C$2,設定!$D$2,1))&gt;0,"假",IF(INDEX(設定!$U$58:$AO$58,(WEEKDAY(DATE(設定!$C$2,設定!$D$2,1),2)-1)*3+2)=0,"休",COUNTIF(F$6:F$45,"寶"))))</f>
        <v/>
      </c>
      <c r="G51" s="76">
        <f>IF(G$4="","",IF(COUNTIF(設定!$W$6:$W$40,DATE(設定!$C$2,設定!$D$2,1))&gt;0,"假",IF(INDEX(設定!$U$58:$AO$58,(WEEKDAY(DATE(設定!$C$2,設定!$D$2,1),2)-1)*3+3)=0,"休",COUNTIF(G$6:G$45,"寶"))))</f>
        <v/>
      </c>
      <c r="H51" s="75">
        <f>IF(H$4="","",IF(COUNTIF(設定!$W$6:$W$40,DATE(設定!$C$2,設定!$D$2,2))&gt;0,"假",IF(INDEX(設定!$U$58:$AO$58,(WEEKDAY(DATE(設定!$C$2,設定!$D$2,2),2)-1)*3+1)=0,"休",COUNTIF(H$6:H$45,"寶"))))</f>
        <v/>
      </c>
      <c r="I51" s="76">
        <f>IF(I$4="","",IF(COUNTIF(設定!$W$6:$W$40,DATE(設定!$C$2,設定!$D$2,2))&gt;0,"假",IF(INDEX(設定!$U$58:$AO$58,(WEEKDAY(DATE(設定!$C$2,設定!$D$2,2),2)-1)*3+2)=0,"休",COUNTIF(I$6:I$45,"寶"))))</f>
        <v/>
      </c>
      <c r="J51" s="76">
        <f>IF(J$4="","",IF(COUNTIF(設定!$W$6:$W$40,DATE(設定!$C$2,設定!$D$2,2))&gt;0,"假",IF(INDEX(設定!$U$58:$AO$58,(WEEKDAY(DATE(設定!$C$2,設定!$D$2,2),2)-1)*3+3)=0,"休",COUNTIF(J$6:J$45,"寶"))))</f>
        <v/>
      </c>
      <c r="K51" s="75">
        <f>IF(K$4="","",IF(COUNTIF(設定!$W$6:$W$40,DATE(設定!$C$2,設定!$D$2,3))&gt;0,"假",IF(INDEX(設定!$U$58:$AO$58,(WEEKDAY(DATE(設定!$C$2,設定!$D$2,3),2)-1)*3+1)=0,"休",COUNTIF(K$6:K$45,"寶"))))</f>
        <v/>
      </c>
      <c r="L51" s="76">
        <f>IF(L$4="","",IF(COUNTIF(設定!$W$6:$W$40,DATE(設定!$C$2,設定!$D$2,3))&gt;0,"假",IF(INDEX(設定!$U$58:$AO$58,(WEEKDAY(DATE(設定!$C$2,設定!$D$2,3),2)-1)*3+2)=0,"休",COUNTIF(L$6:L$45,"寶"))))</f>
        <v/>
      </c>
      <c r="M51" s="76">
        <f>IF(M$4="","",IF(COUNTIF(設定!$W$6:$W$40,DATE(設定!$C$2,設定!$D$2,3))&gt;0,"假",IF(INDEX(設定!$U$58:$AO$58,(WEEKDAY(DATE(設定!$C$2,設定!$D$2,3),2)-1)*3+3)=0,"休",COUNTIF(M$6:M$45,"寶"))))</f>
        <v/>
      </c>
      <c r="N51" s="75">
        <f>IF(N$4="","",IF(COUNTIF(設定!$W$6:$W$40,DATE(設定!$C$2,設定!$D$2,4))&gt;0,"假",IF(INDEX(設定!$U$58:$AO$58,(WEEKDAY(DATE(設定!$C$2,設定!$D$2,4),2)-1)*3+1)=0,"休",COUNTIF(N$6:N$45,"寶"))))</f>
        <v/>
      </c>
      <c r="O51" s="76">
        <f>IF(O$4="","",IF(COUNTIF(設定!$W$6:$W$40,DATE(設定!$C$2,設定!$D$2,4))&gt;0,"假",IF(INDEX(設定!$U$58:$AO$58,(WEEKDAY(DATE(設定!$C$2,設定!$D$2,4),2)-1)*3+2)=0,"休",COUNTIF(O$6:O$45,"寶"))))</f>
        <v/>
      </c>
      <c r="P51" s="76">
        <f>IF(P$4="","",IF(COUNTIF(設定!$W$6:$W$40,DATE(設定!$C$2,設定!$D$2,4))&gt;0,"假",IF(INDEX(設定!$U$58:$AO$58,(WEEKDAY(DATE(設定!$C$2,設定!$D$2,4),2)-1)*3+3)=0,"休",COUNTIF(P$6:P$45,"寶"))))</f>
        <v/>
      </c>
      <c r="Q51" s="75">
        <f>IF(Q$4="","",IF(COUNTIF(設定!$W$6:$W$40,DATE(設定!$C$2,設定!$D$2,5))&gt;0,"假",IF(INDEX(設定!$U$58:$AO$58,(WEEKDAY(DATE(設定!$C$2,設定!$D$2,5),2)-1)*3+1)=0,"休",COUNTIF(Q$6:Q$45,"寶"))))</f>
        <v/>
      </c>
      <c r="R51" s="76">
        <f>IF(R$4="","",IF(COUNTIF(設定!$W$6:$W$40,DATE(設定!$C$2,設定!$D$2,5))&gt;0,"假",IF(INDEX(設定!$U$58:$AO$58,(WEEKDAY(DATE(設定!$C$2,設定!$D$2,5),2)-1)*3+2)=0,"休",COUNTIF(R$6:R$45,"寶"))))</f>
        <v/>
      </c>
      <c r="S51" s="76">
        <f>IF(S$4="","",IF(COUNTIF(設定!$W$6:$W$40,DATE(設定!$C$2,設定!$D$2,5))&gt;0,"假",IF(INDEX(設定!$U$58:$AO$58,(WEEKDAY(DATE(設定!$C$2,設定!$D$2,5),2)-1)*3+3)=0,"休",COUNTIF(S$6:S$45,"寶"))))</f>
        <v/>
      </c>
      <c r="T51" s="75">
        <f>IF(T$4="","",IF(COUNTIF(設定!$W$6:$W$40,DATE(設定!$C$2,設定!$D$2,6))&gt;0,"假",IF(INDEX(設定!$U$58:$AO$58,(WEEKDAY(DATE(設定!$C$2,設定!$D$2,6),2)-1)*3+1)=0,"休",COUNTIF(T$6:T$45,"寶"))))</f>
        <v/>
      </c>
      <c r="U51" s="76">
        <f>IF(U$4="","",IF(COUNTIF(設定!$W$6:$W$40,DATE(設定!$C$2,設定!$D$2,6))&gt;0,"假",IF(INDEX(設定!$U$58:$AO$58,(WEEKDAY(DATE(設定!$C$2,設定!$D$2,6),2)-1)*3+2)=0,"休",COUNTIF(U$6:U$45,"寶"))))</f>
        <v/>
      </c>
      <c r="V51" s="76">
        <f>IF(V$4="","",IF(COUNTIF(設定!$W$6:$W$40,DATE(設定!$C$2,設定!$D$2,6))&gt;0,"假",IF(INDEX(設定!$U$58:$AO$58,(WEEKDAY(DATE(設定!$C$2,設定!$D$2,6),2)-1)*3+3)=0,"休",COUNTIF(V$6:V$45,"寶"))))</f>
        <v/>
      </c>
      <c r="W51" s="75">
        <f>IF(W$4="","",IF(COUNTIF(設定!$W$6:$W$40,DATE(設定!$C$2,設定!$D$2,7))&gt;0,"假",IF(INDEX(設定!$U$58:$AO$58,(WEEKDAY(DATE(設定!$C$2,設定!$D$2,7),2)-1)*3+1)=0,"休",COUNTIF(W$6:W$45,"寶"))))</f>
        <v/>
      </c>
      <c r="X51" s="76">
        <f>IF(X$4="","",IF(COUNTIF(設定!$W$6:$W$40,DATE(設定!$C$2,設定!$D$2,7))&gt;0,"假",IF(INDEX(設定!$U$58:$AO$58,(WEEKDAY(DATE(設定!$C$2,設定!$D$2,7),2)-1)*3+2)=0,"休",COUNTIF(X$6:X$45,"寶"))))</f>
        <v/>
      </c>
      <c r="Y51" s="76">
        <f>IF(Y$4="","",IF(COUNTIF(設定!$W$6:$W$40,DATE(設定!$C$2,設定!$D$2,7))&gt;0,"假",IF(INDEX(設定!$U$58:$AO$58,(WEEKDAY(DATE(設定!$C$2,設定!$D$2,7),2)-1)*3+3)=0,"休",COUNTIF(Y$6:Y$45,"寶"))))</f>
        <v/>
      </c>
      <c r="Z51" s="75">
        <f>IF(Z$4="","",IF(COUNTIF(設定!$W$6:$W$40,DATE(設定!$C$2,設定!$D$2,8))&gt;0,"假",IF(INDEX(設定!$U$58:$AO$58,(WEEKDAY(DATE(設定!$C$2,設定!$D$2,8),2)-1)*3+1)=0,"休",COUNTIF(Z$6:Z$45,"寶"))))</f>
        <v/>
      </c>
      <c r="AA51" s="76">
        <f>IF(AA$4="","",IF(COUNTIF(設定!$W$6:$W$40,DATE(設定!$C$2,設定!$D$2,8))&gt;0,"假",IF(INDEX(設定!$U$58:$AO$58,(WEEKDAY(DATE(設定!$C$2,設定!$D$2,8),2)-1)*3+2)=0,"休",COUNTIF(AA$6:AA$45,"寶"))))</f>
        <v/>
      </c>
      <c r="AB51" s="76">
        <f>IF(AB$4="","",IF(COUNTIF(設定!$W$6:$W$40,DATE(設定!$C$2,設定!$D$2,8))&gt;0,"假",IF(INDEX(設定!$U$58:$AO$58,(WEEKDAY(DATE(設定!$C$2,設定!$D$2,8),2)-1)*3+3)=0,"休",COUNTIF(AB$6:AB$45,"寶"))))</f>
        <v/>
      </c>
      <c r="AC51" s="75">
        <f>IF(AC$4="","",IF(COUNTIF(設定!$W$6:$W$40,DATE(設定!$C$2,設定!$D$2,9))&gt;0,"假",IF(INDEX(設定!$U$58:$AO$58,(WEEKDAY(DATE(設定!$C$2,設定!$D$2,9),2)-1)*3+1)=0,"休",COUNTIF(AC$6:AC$45,"寶"))))</f>
        <v/>
      </c>
      <c r="AD51" s="76">
        <f>IF(AD$4="","",IF(COUNTIF(設定!$W$6:$W$40,DATE(設定!$C$2,設定!$D$2,9))&gt;0,"假",IF(INDEX(設定!$U$58:$AO$58,(WEEKDAY(DATE(設定!$C$2,設定!$D$2,9),2)-1)*3+2)=0,"休",COUNTIF(AD$6:AD$45,"寶"))))</f>
        <v/>
      </c>
      <c r="AE51" s="76">
        <f>IF(AE$4="","",IF(COUNTIF(設定!$W$6:$W$40,DATE(設定!$C$2,設定!$D$2,9))&gt;0,"假",IF(INDEX(設定!$U$58:$AO$58,(WEEKDAY(DATE(設定!$C$2,設定!$D$2,9),2)-1)*3+3)=0,"休",COUNTIF(AE$6:AE$45,"寶"))))</f>
        <v/>
      </c>
      <c r="AF51" s="75">
        <f>IF(AF$4="","",IF(COUNTIF(設定!$W$6:$W$40,DATE(設定!$C$2,設定!$D$2,10))&gt;0,"假",IF(INDEX(設定!$U$58:$AO$58,(WEEKDAY(DATE(設定!$C$2,設定!$D$2,10),2)-1)*3+1)=0,"休",COUNTIF(AF$6:AF$45,"寶"))))</f>
        <v/>
      </c>
      <c r="AG51" s="76">
        <f>IF(AG$4="","",IF(COUNTIF(設定!$W$6:$W$40,DATE(設定!$C$2,設定!$D$2,10))&gt;0,"假",IF(INDEX(設定!$U$58:$AO$58,(WEEKDAY(DATE(設定!$C$2,設定!$D$2,10),2)-1)*3+2)=0,"休",COUNTIF(AG$6:AG$45,"寶"))))</f>
        <v/>
      </c>
      <c r="AH51" s="76">
        <f>IF(AH$4="","",IF(COUNTIF(設定!$W$6:$W$40,DATE(設定!$C$2,設定!$D$2,10))&gt;0,"假",IF(INDEX(設定!$U$58:$AO$58,(WEEKDAY(DATE(設定!$C$2,設定!$D$2,10),2)-1)*3+3)=0,"休",COUNTIF(AH$6:AH$45,"寶"))))</f>
        <v/>
      </c>
      <c r="AI51" s="75">
        <f>IF(AI$4="","",IF(COUNTIF(設定!$W$6:$W$40,DATE(設定!$C$2,設定!$D$2,11))&gt;0,"假",IF(INDEX(設定!$U$58:$AO$58,(WEEKDAY(DATE(設定!$C$2,設定!$D$2,11),2)-1)*3+1)=0,"休",COUNTIF(AI$6:AI$45,"寶"))))</f>
        <v/>
      </c>
      <c r="AJ51" s="76">
        <f>IF(AJ$4="","",IF(COUNTIF(設定!$W$6:$W$40,DATE(設定!$C$2,設定!$D$2,11))&gt;0,"假",IF(INDEX(設定!$U$58:$AO$58,(WEEKDAY(DATE(設定!$C$2,設定!$D$2,11),2)-1)*3+2)=0,"休",COUNTIF(AJ$6:AJ$45,"寶"))))</f>
        <v/>
      </c>
      <c r="AK51" s="76">
        <f>IF(AK$4="","",IF(COUNTIF(設定!$W$6:$W$40,DATE(設定!$C$2,設定!$D$2,11))&gt;0,"假",IF(INDEX(設定!$U$58:$AO$58,(WEEKDAY(DATE(設定!$C$2,設定!$D$2,11),2)-1)*3+3)=0,"休",COUNTIF(AK$6:AK$45,"寶"))))</f>
        <v/>
      </c>
      <c r="AL51" s="75">
        <f>IF(AL$4="","",IF(COUNTIF(設定!$W$6:$W$40,DATE(設定!$C$2,設定!$D$2,12))&gt;0,"假",IF(INDEX(設定!$U$58:$AO$58,(WEEKDAY(DATE(設定!$C$2,設定!$D$2,12),2)-1)*3+1)=0,"休",COUNTIF(AL$6:AL$45,"寶"))))</f>
        <v/>
      </c>
      <c r="AM51" s="76">
        <f>IF(AM$4="","",IF(COUNTIF(設定!$W$6:$W$40,DATE(設定!$C$2,設定!$D$2,12))&gt;0,"假",IF(INDEX(設定!$U$58:$AO$58,(WEEKDAY(DATE(設定!$C$2,設定!$D$2,12),2)-1)*3+2)=0,"休",COUNTIF(AM$6:AM$45,"寶"))))</f>
        <v/>
      </c>
      <c r="AN51" s="76">
        <f>IF(AN$4="","",IF(COUNTIF(設定!$W$6:$W$40,DATE(設定!$C$2,設定!$D$2,12))&gt;0,"假",IF(INDEX(設定!$U$58:$AO$58,(WEEKDAY(DATE(設定!$C$2,設定!$D$2,12),2)-1)*3+3)=0,"休",COUNTIF(AN$6:AN$45,"寶"))))</f>
        <v/>
      </c>
      <c r="AO51" s="75">
        <f>IF(AO$4="","",IF(COUNTIF(設定!$W$6:$W$40,DATE(設定!$C$2,設定!$D$2,13))&gt;0,"假",IF(INDEX(設定!$U$58:$AO$58,(WEEKDAY(DATE(設定!$C$2,設定!$D$2,13),2)-1)*3+1)=0,"休",COUNTIF(AO$6:AO$45,"寶"))))</f>
        <v/>
      </c>
      <c r="AP51" s="76">
        <f>IF(AP$4="","",IF(COUNTIF(設定!$W$6:$W$40,DATE(設定!$C$2,設定!$D$2,13))&gt;0,"假",IF(INDEX(設定!$U$58:$AO$58,(WEEKDAY(DATE(設定!$C$2,設定!$D$2,13),2)-1)*3+2)=0,"休",COUNTIF(AP$6:AP$45,"寶"))))</f>
        <v/>
      </c>
      <c r="AQ51" s="76">
        <f>IF(AQ$4="","",IF(COUNTIF(設定!$W$6:$W$40,DATE(設定!$C$2,設定!$D$2,13))&gt;0,"假",IF(INDEX(設定!$U$58:$AO$58,(WEEKDAY(DATE(設定!$C$2,設定!$D$2,13),2)-1)*3+3)=0,"休",COUNTIF(AQ$6:AQ$45,"寶"))))</f>
        <v/>
      </c>
      <c r="AR51" s="75">
        <f>IF(AR$4="","",IF(COUNTIF(設定!$W$6:$W$40,DATE(設定!$C$2,設定!$D$2,14))&gt;0,"假",IF(INDEX(設定!$U$58:$AO$58,(WEEKDAY(DATE(設定!$C$2,設定!$D$2,14),2)-1)*3+1)=0,"休",COUNTIF(AR$6:AR$45,"寶"))))</f>
        <v/>
      </c>
      <c r="AS51" s="76">
        <f>IF(AS$4="","",IF(COUNTIF(設定!$W$6:$W$40,DATE(設定!$C$2,設定!$D$2,14))&gt;0,"假",IF(INDEX(設定!$U$58:$AO$58,(WEEKDAY(DATE(設定!$C$2,設定!$D$2,14),2)-1)*3+2)=0,"休",COUNTIF(AS$6:AS$45,"寶"))))</f>
        <v/>
      </c>
      <c r="AT51" s="76">
        <f>IF(AT$4="","",IF(COUNTIF(設定!$W$6:$W$40,DATE(設定!$C$2,設定!$D$2,14))&gt;0,"假",IF(INDEX(設定!$U$58:$AO$58,(WEEKDAY(DATE(設定!$C$2,設定!$D$2,14),2)-1)*3+3)=0,"休",COUNTIF(AT$6:AT$45,"寶"))))</f>
        <v/>
      </c>
      <c r="AU51" s="75">
        <f>IF(AU$4="","",IF(COUNTIF(設定!$W$6:$W$40,DATE(設定!$C$2,設定!$D$2,15))&gt;0,"假",IF(INDEX(設定!$U$58:$AO$58,(WEEKDAY(DATE(設定!$C$2,設定!$D$2,15),2)-1)*3+1)=0,"休",COUNTIF(AU$6:AU$45,"寶"))))</f>
        <v/>
      </c>
      <c r="AV51" s="76">
        <f>IF(AV$4="","",IF(COUNTIF(設定!$W$6:$W$40,DATE(設定!$C$2,設定!$D$2,15))&gt;0,"假",IF(INDEX(設定!$U$58:$AO$58,(WEEKDAY(DATE(設定!$C$2,設定!$D$2,15),2)-1)*3+2)=0,"休",COUNTIF(AV$6:AV$45,"寶"))))</f>
        <v/>
      </c>
      <c r="AW51" s="76">
        <f>IF(AW$4="","",IF(COUNTIF(設定!$W$6:$W$40,DATE(設定!$C$2,設定!$D$2,15))&gt;0,"假",IF(INDEX(設定!$U$58:$AO$58,(WEEKDAY(DATE(設定!$C$2,設定!$D$2,15),2)-1)*3+3)=0,"休",COUNTIF(AW$6:AW$45,"寶"))))</f>
        <v/>
      </c>
      <c r="AX51" s="75">
        <f>IF(AX$4="","",IF(COUNTIF(設定!$W$6:$W$40,DATE(設定!$C$2,設定!$D$2,16))&gt;0,"假",IF(INDEX(設定!$U$58:$AO$58,(WEEKDAY(DATE(設定!$C$2,設定!$D$2,16),2)-1)*3+1)=0,"休",COUNTIF(AX$6:AX$45,"寶"))))</f>
        <v/>
      </c>
      <c r="AY51" s="76">
        <f>IF(AY$4="","",IF(COUNTIF(設定!$W$6:$W$40,DATE(設定!$C$2,設定!$D$2,16))&gt;0,"假",IF(INDEX(設定!$U$58:$AO$58,(WEEKDAY(DATE(設定!$C$2,設定!$D$2,16),2)-1)*3+2)=0,"休",COUNTIF(AY$6:AY$45,"寶"))))</f>
        <v/>
      </c>
      <c r="AZ51" s="76">
        <f>IF(AZ$4="","",IF(COUNTIF(設定!$W$6:$W$40,DATE(設定!$C$2,設定!$D$2,16))&gt;0,"假",IF(INDEX(設定!$U$58:$AO$58,(WEEKDAY(DATE(設定!$C$2,設定!$D$2,16),2)-1)*3+3)=0,"休",COUNTIF(AZ$6:AZ$45,"寶"))))</f>
        <v/>
      </c>
      <c r="BA51" s="75">
        <f>IF(BA$4="","",IF(COUNTIF(設定!$W$6:$W$40,DATE(設定!$C$2,設定!$D$2,17))&gt;0,"假",IF(INDEX(設定!$U$58:$AO$58,(WEEKDAY(DATE(設定!$C$2,設定!$D$2,17),2)-1)*3+1)=0,"休",COUNTIF(BA$6:BA$45,"寶"))))</f>
        <v/>
      </c>
      <c r="BB51" s="76">
        <f>IF(BB$4="","",IF(COUNTIF(設定!$W$6:$W$40,DATE(設定!$C$2,設定!$D$2,17))&gt;0,"假",IF(INDEX(設定!$U$58:$AO$58,(WEEKDAY(DATE(設定!$C$2,設定!$D$2,17),2)-1)*3+2)=0,"休",COUNTIF(BB$6:BB$45,"寶"))))</f>
        <v/>
      </c>
      <c r="BC51" s="76">
        <f>IF(BC$4="","",IF(COUNTIF(設定!$W$6:$W$40,DATE(設定!$C$2,設定!$D$2,17))&gt;0,"假",IF(INDEX(設定!$U$58:$AO$58,(WEEKDAY(DATE(設定!$C$2,設定!$D$2,17),2)-1)*3+3)=0,"休",COUNTIF(BC$6:BC$45,"寶"))))</f>
        <v/>
      </c>
      <c r="BD51" s="75">
        <f>IF(BD$4="","",IF(COUNTIF(設定!$W$6:$W$40,DATE(設定!$C$2,設定!$D$2,18))&gt;0,"假",IF(INDEX(設定!$U$58:$AO$58,(WEEKDAY(DATE(設定!$C$2,設定!$D$2,18),2)-1)*3+1)=0,"休",COUNTIF(BD$6:BD$45,"寶"))))</f>
        <v/>
      </c>
      <c r="BE51" s="76">
        <f>IF(BE$4="","",IF(COUNTIF(設定!$W$6:$W$40,DATE(設定!$C$2,設定!$D$2,18))&gt;0,"假",IF(INDEX(設定!$U$58:$AO$58,(WEEKDAY(DATE(設定!$C$2,設定!$D$2,18),2)-1)*3+2)=0,"休",COUNTIF(BE$6:BE$45,"寶"))))</f>
        <v/>
      </c>
      <c r="BF51" s="76">
        <f>IF(BF$4="","",IF(COUNTIF(設定!$W$6:$W$40,DATE(設定!$C$2,設定!$D$2,18))&gt;0,"假",IF(INDEX(設定!$U$58:$AO$58,(WEEKDAY(DATE(設定!$C$2,設定!$D$2,18),2)-1)*3+3)=0,"休",COUNTIF(BF$6:BF$45,"寶"))))</f>
        <v/>
      </c>
      <c r="BG51" s="75">
        <f>IF(BG$4="","",IF(COUNTIF(設定!$W$6:$W$40,DATE(設定!$C$2,設定!$D$2,19))&gt;0,"假",IF(INDEX(設定!$U$58:$AO$58,(WEEKDAY(DATE(設定!$C$2,設定!$D$2,19),2)-1)*3+1)=0,"休",COUNTIF(BG$6:BG$45,"寶"))))</f>
        <v/>
      </c>
      <c r="BH51" s="76">
        <f>IF(BH$4="","",IF(COUNTIF(設定!$W$6:$W$40,DATE(設定!$C$2,設定!$D$2,19))&gt;0,"假",IF(INDEX(設定!$U$58:$AO$58,(WEEKDAY(DATE(設定!$C$2,設定!$D$2,19),2)-1)*3+2)=0,"休",COUNTIF(BH$6:BH$45,"寶"))))</f>
        <v/>
      </c>
      <c r="BI51" s="76">
        <f>IF(BI$4="","",IF(COUNTIF(設定!$W$6:$W$40,DATE(設定!$C$2,設定!$D$2,19))&gt;0,"假",IF(INDEX(設定!$U$58:$AO$58,(WEEKDAY(DATE(設定!$C$2,設定!$D$2,19),2)-1)*3+3)=0,"休",COUNTIF(BI$6:BI$45,"寶"))))</f>
        <v/>
      </c>
      <c r="BJ51" s="75">
        <f>IF(BJ$4="","",IF(COUNTIF(設定!$W$6:$W$40,DATE(設定!$C$2,設定!$D$2,20))&gt;0,"假",IF(INDEX(設定!$U$58:$AO$58,(WEEKDAY(DATE(設定!$C$2,設定!$D$2,20),2)-1)*3+1)=0,"休",COUNTIF(BJ$6:BJ$45,"寶"))))</f>
        <v/>
      </c>
      <c r="BK51" s="76">
        <f>IF(BK$4="","",IF(COUNTIF(設定!$W$6:$W$40,DATE(設定!$C$2,設定!$D$2,20))&gt;0,"假",IF(INDEX(設定!$U$58:$AO$58,(WEEKDAY(DATE(設定!$C$2,設定!$D$2,20),2)-1)*3+2)=0,"休",COUNTIF(BK$6:BK$45,"寶"))))</f>
        <v/>
      </c>
      <c r="BL51" s="76">
        <f>IF(BL$4="","",IF(COUNTIF(設定!$W$6:$W$40,DATE(設定!$C$2,設定!$D$2,20))&gt;0,"假",IF(INDEX(設定!$U$58:$AO$58,(WEEKDAY(DATE(設定!$C$2,設定!$D$2,20),2)-1)*3+3)=0,"休",COUNTIF(BL$6:BL$45,"寶"))))</f>
        <v/>
      </c>
      <c r="BM51" s="75">
        <f>IF(BM$4="","",IF(COUNTIF(設定!$W$6:$W$40,DATE(設定!$C$2,設定!$D$2,21))&gt;0,"假",IF(INDEX(設定!$U$58:$AO$58,(WEEKDAY(DATE(設定!$C$2,設定!$D$2,21),2)-1)*3+1)=0,"休",COUNTIF(BM$6:BM$45,"寶"))))</f>
        <v/>
      </c>
      <c r="BN51" s="76">
        <f>IF(BN$4="","",IF(COUNTIF(設定!$W$6:$W$40,DATE(設定!$C$2,設定!$D$2,21))&gt;0,"假",IF(INDEX(設定!$U$58:$AO$58,(WEEKDAY(DATE(設定!$C$2,設定!$D$2,21),2)-1)*3+2)=0,"休",COUNTIF(BN$6:BN$45,"寶"))))</f>
        <v/>
      </c>
      <c r="BO51" s="76">
        <f>IF(BO$4="","",IF(COUNTIF(設定!$W$6:$W$40,DATE(設定!$C$2,設定!$D$2,21))&gt;0,"假",IF(INDEX(設定!$U$58:$AO$58,(WEEKDAY(DATE(設定!$C$2,設定!$D$2,21),2)-1)*3+3)=0,"休",COUNTIF(BO$6:BO$45,"寶"))))</f>
        <v/>
      </c>
      <c r="BP51" s="75">
        <f>IF(BP$4="","",IF(COUNTIF(設定!$W$6:$W$40,DATE(設定!$C$2,設定!$D$2,22))&gt;0,"假",IF(INDEX(設定!$U$58:$AO$58,(WEEKDAY(DATE(設定!$C$2,設定!$D$2,22),2)-1)*3+1)=0,"休",COUNTIF(BP$6:BP$45,"寶"))))</f>
        <v/>
      </c>
      <c r="BQ51" s="76">
        <f>IF(BQ$4="","",IF(COUNTIF(設定!$W$6:$W$40,DATE(設定!$C$2,設定!$D$2,22))&gt;0,"假",IF(INDEX(設定!$U$58:$AO$58,(WEEKDAY(DATE(設定!$C$2,設定!$D$2,22),2)-1)*3+2)=0,"休",COUNTIF(BQ$6:BQ$45,"寶"))))</f>
        <v/>
      </c>
      <c r="BR51" s="76">
        <f>IF(BR$4="","",IF(COUNTIF(設定!$W$6:$W$40,DATE(設定!$C$2,設定!$D$2,22))&gt;0,"假",IF(INDEX(設定!$U$58:$AO$58,(WEEKDAY(DATE(設定!$C$2,設定!$D$2,22),2)-1)*3+3)=0,"休",COUNTIF(BR$6:BR$45,"寶"))))</f>
        <v/>
      </c>
      <c r="BS51" s="75">
        <f>IF(BS$4="","",IF(COUNTIF(設定!$W$6:$W$40,DATE(設定!$C$2,設定!$D$2,23))&gt;0,"假",IF(INDEX(設定!$U$58:$AO$58,(WEEKDAY(DATE(設定!$C$2,設定!$D$2,23),2)-1)*3+1)=0,"休",COUNTIF(BS$6:BS$45,"寶"))))</f>
        <v/>
      </c>
      <c r="BT51" s="76">
        <f>IF(BT$4="","",IF(COUNTIF(設定!$W$6:$W$40,DATE(設定!$C$2,設定!$D$2,23))&gt;0,"假",IF(INDEX(設定!$U$58:$AO$58,(WEEKDAY(DATE(設定!$C$2,設定!$D$2,23),2)-1)*3+2)=0,"休",COUNTIF(BT$6:BT$45,"寶"))))</f>
        <v/>
      </c>
      <c r="BU51" s="76">
        <f>IF(BU$4="","",IF(COUNTIF(設定!$W$6:$W$40,DATE(設定!$C$2,設定!$D$2,23))&gt;0,"假",IF(INDEX(設定!$U$58:$AO$58,(WEEKDAY(DATE(設定!$C$2,設定!$D$2,23),2)-1)*3+3)=0,"休",COUNTIF(BU$6:BU$45,"寶"))))</f>
        <v/>
      </c>
      <c r="BV51" s="75">
        <f>IF(BV$4="","",IF(COUNTIF(設定!$W$6:$W$40,DATE(設定!$C$2,設定!$D$2,24))&gt;0,"假",IF(INDEX(設定!$U$58:$AO$58,(WEEKDAY(DATE(設定!$C$2,設定!$D$2,24),2)-1)*3+1)=0,"休",COUNTIF(BV$6:BV$45,"寶"))))</f>
        <v/>
      </c>
      <c r="BW51" s="76">
        <f>IF(BW$4="","",IF(COUNTIF(設定!$W$6:$W$40,DATE(設定!$C$2,設定!$D$2,24))&gt;0,"假",IF(INDEX(設定!$U$58:$AO$58,(WEEKDAY(DATE(設定!$C$2,設定!$D$2,24),2)-1)*3+2)=0,"休",COUNTIF(BW$6:BW$45,"寶"))))</f>
        <v/>
      </c>
      <c r="BX51" s="76">
        <f>IF(BX$4="","",IF(COUNTIF(設定!$W$6:$W$40,DATE(設定!$C$2,設定!$D$2,24))&gt;0,"假",IF(INDEX(設定!$U$58:$AO$58,(WEEKDAY(DATE(設定!$C$2,設定!$D$2,24),2)-1)*3+3)=0,"休",COUNTIF(BX$6:BX$45,"寶"))))</f>
        <v/>
      </c>
      <c r="BY51" s="75">
        <f>IF(BY$4="","",IF(COUNTIF(設定!$W$6:$W$40,DATE(設定!$C$2,設定!$D$2,25))&gt;0,"假",IF(INDEX(設定!$U$58:$AO$58,(WEEKDAY(DATE(設定!$C$2,設定!$D$2,25),2)-1)*3+1)=0,"休",COUNTIF(BY$6:BY$45,"寶"))))</f>
        <v/>
      </c>
      <c r="BZ51" s="76">
        <f>IF(BZ$4="","",IF(COUNTIF(設定!$W$6:$W$40,DATE(設定!$C$2,設定!$D$2,25))&gt;0,"假",IF(INDEX(設定!$U$58:$AO$58,(WEEKDAY(DATE(設定!$C$2,設定!$D$2,25),2)-1)*3+2)=0,"休",COUNTIF(BZ$6:BZ$45,"寶"))))</f>
        <v/>
      </c>
      <c r="CA51" s="76">
        <f>IF(CA$4="","",IF(COUNTIF(設定!$W$6:$W$40,DATE(設定!$C$2,設定!$D$2,25))&gt;0,"假",IF(INDEX(設定!$U$58:$AO$58,(WEEKDAY(DATE(設定!$C$2,設定!$D$2,25),2)-1)*3+3)=0,"休",COUNTIF(CA$6:CA$45,"寶"))))</f>
        <v/>
      </c>
      <c r="CB51" s="75">
        <f>IF(CB$4="","",IF(COUNTIF(設定!$W$6:$W$40,DATE(設定!$C$2,設定!$D$2,26))&gt;0,"假",IF(INDEX(設定!$U$58:$AO$58,(WEEKDAY(DATE(設定!$C$2,設定!$D$2,26),2)-1)*3+1)=0,"休",COUNTIF(CB$6:CB$45,"寶"))))</f>
        <v/>
      </c>
      <c r="CC51" s="76">
        <f>IF(CC$4="","",IF(COUNTIF(設定!$W$6:$W$40,DATE(設定!$C$2,設定!$D$2,26))&gt;0,"假",IF(INDEX(設定!$U$58:$AO$58,(WEEKDAY(DATE(設定!$C$2,設定!$D$2,26),2)-1)*3+2)=0,"休",COUNTIF(CC$6:CC$45,"寶"))))</f>
        <v/>
      </c>
      <c r="CD51" s="76">
        <f>IF(CD$4="","",IF(COUNTIF(設定!$W$6:$W$40,DATE(設定!$C$2,設定!$D$2,26))&gt;0,"假",IF(INDEX(設定!$U$58:$AO$58,(WEEKDAY(DATE(設定!$C$2,設定!$D$2,26),2)-1)*3+3)=0,"休",COUNTIF(CD$6:CD$45,"寶"))))</f>
        <v/>
      </c>
      <c r="CE51" s="75">
        <f>IF(CE$4="","",IF(COUNTIF(設定!$W$6:$W$40,DATE(設定!$C$2,設定!$D$2,27))&gt;0,"假",IF(INDEX(設定!$U$58:$AO$58,(WEEKDAY(DATE(設定!$C$2,設定!$D$2,27),2)-1)*3+1)=0,"休",COUNTIF(CE$6:CE$45,"寶"))))</f>
        <v/>
      </c>
      <c r="CF51" s="76">
        <f>IF(CF$4="","",IF(COUNTIF(設定!$W$6:$W$40,DATE(設定!$C$2,設定!$D$2,27))&gt;0,"假",IF(INDEX(設定!$U$58:$AO$58,(WEEKDAY(DATE(設定!$C$2,設定!$D$2,27),2)-1)*3+2)=0,"休",COUNTIF(CF$6:CF$45,"寶"))))</f>
        <v/>
      </c>
      <c r="CG51" s="76">
        <f>IF(CG$4="","",IF(COUNTIF(設定!$W$6:$W$40,DATE(設定!$C$2,設定!$D$2,27))&gt;0,"假",IF(INDEX(設定!$U$58:$AO$58,(WEEKDAY(DATE(設定!$C$2,設定!$D$2,27),2)-1)*3+3)=0,"休",COUNTIF(CG$6:CG$45,"寶"))))</f>
        <v/>
      </c>
      <c r="CH51" s="75">
        <f>IF(CH$4="","",IF(COUNTIF(設定!$W$6:$W$40,DATE(設定!$C$2,設定!$D$2,28))&gt;0,"假",IF(INDEX(設定!$U$58:$AO$58,(WEEKDAY(DATE(設定!$C$2,設定!$D$2,28),2)-1)*3+1)=0,"休",COUNTIF(CH$6:CH$45,"寶"))))</f>
        <v/>
      </c>
      <c r="CI51" s="76">
        <f>IF(CI$4="","",IF(COUNTIF(設定!$W$6:$W$40,DATE(設定!$C$2,設定!$D$2,28))&gt;0,"假",IF(INDEX(設定!$U$58:$AO$58,(WEEKDAY(DATE(設定!$C$2,設定!$D$2,28),2)-1)*3+2)=0,"休",COUNTIF(CI$6:CI$45,"寶"))))</f>
        <v/>
      </c>
      <c r="CJ51" s="76">
        <f>IF(CJ$4="","",IF(COUNTIF(設定!$W$6:$W$40,DATE(設定!$C$2,設定!$D$2,28))&gt;0,"假",IF(INDEX(設定!$U$58:$AO$58,(WEEKDAY(DATE(設定!$C$2,設定!$D$2,28),2)-1)*3+3)=0,"休",COUNTIF(CJ$6:CJ$45,"寶"))))</f>
        <v/>
      </c>
      <c r="CK51" s="75">
        <f>IF(CK$4="","",IF(COUNTIF(設定!$W$6:$W$40,DATE(設定!$C$2,設定!$D$2,29))&gt;0,"假",IF(INDEX(設定!$U$58:$AO$58,(WEEKDAY(DATE(設定!$C$2,設定!$D$2,29),2)-1)*3+1)=0,"休",COUNTIF(CK$6:CK$45,"寶"))))</f>
        <v/>
      </c>
      <c r="CL51" s="76">
        <f>IF(CL$4="","",IF(COUNTIF(設定!$W$6:$W$40,DATE(設定!$C$2,設定!$D$2,29))&gt;0,"假",IF(INDEX(設定!$U$58:$AO$58,(WEEKDAY(DATE(設定!$C$2,設定!$D$2,29),2)-1)*3+2)=0,"休",COUNTIF(CL$6:CL$45,"寶"))))</f>
        <v/>
      </c>
      <c r="CM51" s="76">
        <f>IF(CM$4="","",IF(COUNTIF(設定!$W$6:$W$40,DATE(設定!$C$2,設定!$D$2,29))&gt;0,"假",IF(INDEX(設定!$U$58:$AO$58,(WEEKDAY(DATE(設定!$C$2,設定!$D$2,29),2)-1)*3+3)=0,"休",COUNTIF(CM$6:CM$45,"寶"))))</f>
        <v/>
      </c>
      <c r="CN51" s="75">
        <f>IF(CN$4="","",IF(COUNTIF(設定!$W$6:$W$40,DATE(設定!$C$2,設定!$D$2,30))&gt;0,"假",IF(INDEX(設定!$U$58:$AO$58,(WEEKDAY(DATE(設定!$C$2,設定!$D$2,30),2)-1)*3+1)=0,"休",COUNTIF(CN$6:CN$45,"寶"))))</f>
        <v/>
      </c>
      <c r="CO51" s="76">
        <f>IF(CO$4="","",IF(COUNTIF(設定!$W$6:$W$40,DATE(設定!$C$2,設定!$D$2,30))&gt;0,"假",IF(INDEX(設定!$U$58:$AO$58,(WEEKDAY(DATE(設定!$C$2,設定!$D$2,30),2)-1)*3+2)=0,"休",COUNTIF(CO$6:CO$45,"寶"))))</f>
        <v/>
      </c>
      <c r="CP51" s="76">
        <f>IF(CP$4="","",IF(COUNTIF(設定!$W$6:$W$40,DATE(設定!$C$2,設定!$D$2,30))&gt;0,"假",IF(INDEX(設定!$U$58:$AO$58,(WEEKDAY(DATE(設定!$C$2,設定!$D$2,30),2)-1)*3+3)=0,"休",COUNTIF(CP$6:CP$45,"寶"))))</f>
        <v/>
      </c>
      <c r="CQ51" s="75">
        <f>IF(CQ$4="","",IF(COUNTIF(設定!$W$6:$W$40,DATE(設定!$C$2,設定!$D$2,31))&gt;0,"假",IF(INDEX(設定!$U$58:$AO$58,(WEEKDAY(DATE(設定!$C$2,設定!$D$2,31),2)-1)*3+1)=0,"休",COUNTIF(CQ$6:CQ$45,"寶"))))</f>
        <v/>
      </c>
      <c r="CR51" s="76">
        <f>IF(CR$4="","",IF(COUNTIF(設定!$W$6:$W$40,DATE(設定!$C$2,設定!$D$2,31))&gt;0,"假",IF(INDEX(設定!$U$58:$AO$58,(WEEKDAY(DATE(設定!$C$2,設定!$D$2,31),2)-1)*3+2)=0,"休",COUNTIF(CR$6:CR$45,"寶"))))</f>
        <v/>
      </c>
      <c r="CS51" s="76">
        <f>IF(CS$4="","",IF(COUNTIF(設定!$W$6:$W$40,DATE(設定!$C$2,設定!$D$2,31))&gt;0,"假",IF(INDEX(設定!$U$58:$AO$58,(WEEKDAY(DATE(設定!$C$2,設定!$D$2,31),2)-1)*3+3)=0,"休",COUNTIF(CS$6:CS$45,"寶"))))</f>
        <v/>
      </c>
    </row>
    <row r="53">
      <c r="A53" s="6" t="inlineStr">
        <is>
          <t>※ 一格只容得下一間院所,所以同一位醫師同一診次被排到兩間院所在結構上不可能發生。上面五列是反向檢查:某間院所某個診次掛 0,表示那個時段沒有醫師。</t>
        </is>
      </c>
    </row>
    <row r="54">
      <c r="A54" s="6" t="inlineStr">
        <is>
          <t>※ 本表已依「醫師週班表」把固定門診展開成本月的值,可以直接改。請假就把該格改成假別代碼。</t>
        </is>
      </c>
    </row>
    <row r="55">
      <c r="A55" s="6" t="inlineStr">
        <is>
          <t>※ 姓名、專科、日期、星期都是實際文字不是公式,任何檢視器都看得到;底下的人力檢核列是公式,不重算的檢視器會空白。</t>
        </is>
      </c>
    </row>
    <row r="56">
      <c r="A56" s="6" t="inlineStr">
        <is>
          <t>※ 格子是公式,從「醫師週班表」自動展開。改週班表、改設定的本期年月,這裡都會立刻跟著變。</t>
        </is>
      </c>
    </row>
    <row r="57" hidden="1">
      <c r="A57" s="6" t="inlineStr">
        <is>
          <t>※ 要改單次例外(請假、臨時調班)直接在格子上打字即可,月結一樣立刻反映——但那一格的公式會被蓋掉、不再跟著週班表走,所以會自動加上紅色外框提醒。要恢復連動,從旁邊沒被改過的格子複製一格貼回來。</t>
        </is>
      </c>
      <c r="E57">
        <f>IF(1&gt;DAY(EOMONTH(DATE(設定!$C$2,設定!$D$2,1),0)),1,(WEEKDAY(DATE(設定!$C$2,設定!$D$2,1),2)-1)*3+1)</f>
        <v/>
      </c>
      <c r="F57">
        <f>IF(1&gt;DAY(EOMONTH(DATE(設定!$C$2,設定!$D$2,1),0)),1,(WEEKDAY(DATE(設定!$C$2,設定!$D$2,1),2)-1)*3+2)</f>
        <v/>
      </c>
      <c r="G57">
        <f>IF(1&gt;DAY(EOMONTH(DATE(設定!$C$2,設定!$D$2,1),0)),1,(WEEKDAY(DATE(設定!$C$2,設定!$D$2,1),2)-1)*3+3)</f>
        <v/>
      </c>
      <c r="H57">
        <f>IF(2&gt;DAY(EOMONTH(DATE(設定!$C$2,設定!$D$2,1),0)),1,(WEEKDAY(DATE(設定!$C$2,設定!$D$2,2),2)-1)*3+1)</f>
        <v/>
      </c>
      <c r="I57">
        <f>IF(2&gt;DAY(EOMONTH(DATE(設定!$C$2,設定!$D$2,1),0)),1,(WEEKDAY(DATE(設定!$C$2,設定!$D$2,2),2)-1)*3+2)</f>
        <v/>
      </c>
      <c r="J57">
        <f>IF(2&gt;DAY(EOMONTH(DATE(設定!$C$2,設定!$D$2,1),0)),1,(WEEKDAY(DATE(設定!$C$2,設定!$D$2,2),2)-1)*3+3)</f>
        <v/>
      </c>
      <c r="K57">
        <f>IF(3&gt;DAY(EOMONTH(DATE(設定!$C$2,設定!$D$2,1),0)),1,(WEEKDAY(DATE(設定!$C$2,設定!$D$2,3),2)-1)*3+1)</f>
        <v/>
      </c>
      <c r="L57">
        <f>IF(3&gt;DAY(EOMONTH(DATE(設定!$C$2,設定!$D$2,1),0)),1,(WEEKDAY(DATE(設定!$C$2,設定!$D$2,3),2)-1)*3+2)</f>
        <v/>
      </c>
      <c r="M57">
        <f>IF(3&gt;DAY(EOMONTH(DATE(設定!$C$2,設定!$D$2,1),0)),1,(WEEKDAY(DATE(設定!$C$2,設定!$D$2,3),2)-1)*3+3)</f>
        <v/>
      </c>
      <c r="N57">
        <f>IF(4&gt;DAY(EOMONTH(DATE(設定!$C$2,設定!$D$2,1),0)),1,(WEEKDAY(DATE(設定!$C$2,設定!$D$2,4),2)-1)*3+1)</f>
        <v/>
      </c>
      <c r="O57">
        <f>IF(4&gt;DAY(EOMONTH(DATE(設定!$C$2,設定!$D$2,1),0)),1,(WEEKDAY(DATE(設定!$C$2,設定!$D$2,4),2)-1)*3+2)</f>
        <v/>
      </c>
      <c r="P57">
        <f>IF(4&gt;DAY(EOMONTH(DATE(設定!$C$2,設定!$D$2,1),0)),1,(WEEKDAY(DATE(設定!$C$2,設定!$D$2,4),2)-1)*3+3)</f>
        <v/>
      </c>
      <c r="Q57">
        <f>IF(5&gt;DAY(EOMONTH(DATE(設定!$C$2,設定!$D$2,1),0)),1,(WEEKDAY(DATE(設定!$C$2,設定!$D$2,5),2)-1)*3+1)</f>
        <v/>
      </c>
      <c r="R57">
        <f>IF(5&gt;DAY(EOMONTH(DATE(設定!$C$2,設定!$D$2,1),0)),1,(WEEKDAY(DATE(設定!$C$2,設定!$D$2,5),2)-1)*3+2)</f>
        <v/>
      </c>
      <c r="S57">
        <f>IF(5&gt;DAY(EOMONTH(DATE(設定!$C$2,設定!$D$2,1),0)),1,(WEEKDAY(DATE(設定!$C$2,設定!$D$2,5),2)-1)*3+3)</f>
        <v/>
      </c>
      <c r="T57">
        <f>IF(6&gt;DAY(EOMONTH(DATE(設定!$C$2,設定!$D$2,1),0)),1,(WEEKDAY(DATE(設定!$C$2,設定!$D$2,6),2)-1)*3+1)</f>
        <v/>
      </c>
      <c r="U57">
        <f>IF(6&gt;DAY(EOMONTH(DATE(設定!$C$2,設定!$D$2,1),0)),1,(WEEKDAY(DATE(設定!$C$2,設定!$D$2,6),2)-1)*3+2)</f>
        <v/>
      </c>
      <c r="V57">
        <f>IF(6&gt;DAY(EOMONTH(DATE(設定!$C$2,設定!$D$2,1),0)),1,(WEEKDAY(DATE(設定!$C$2,設定!$D$2,6),2)-1)*3+3)</f>
        <v/>
      </c>
      <c r="W57">
        <f>IF(7&gt;DAY(EOMONTH(DATE(設定!$C$2,設定!$D$2,1),0)),1,(WEEKDAY(DATE(設定!$C$2,設定!$D$2,7),2)-1)*3+1)</f>
        <v/>
      </c>
      <c r="X57">
        <f>IF(7&gt;DAY(EOMONTH(DATE(設定!$C$2,設定!$D$2,1),0)),1,(WEEKDAY(DATE(設定!$C$2,設定!$D$2,7),2)-1)*3+2)</f>
        <v/>
      </c>
      <c r="Y57">
        <f>IF(7&gt;DAY(EOMONTH(DATE(設定!$C$2,設定!$D$2,1),0)),1,(WEEKDAY(DATE(設定!$C$2,設定!$D$2,7),2)-1)*3+3)</f>
        <v/>
      </c>
      <c r="Z57">
        <f>IF(8&gt;DAY(EOMONTH(DATE(設定!$C$2,設定!$D$2,1),0)),1,(WEEKDAY(DATE(設定!$C$2,設定!$D$2,8),2)-1)*3+1)</f>
        <v/>
      </c>
      <c r="AA57">
        <f>IF(8&gt;DAY(EOMONTH(DATE(設定!$C$2,設定!$D$2,1),0)),1,(WEEKDAY(DATE(設定!$C$2,設定!$D$2,8),2)-1)*3+2)</f>
        <v/>
      </c>
      <c r="AB57">
        <f>IF(8&gt;DAY(EOMONTH(DATE(設定!$C$2,設定!$D$2,1),0)),1,(WEEKDAY(DATE(設定!$C$2,設定!$D$2,8),2)-1)*3+3)</f>
        <v/>
      </c>
      <c r="AC57">
        <f>IF(9&gt;DAY(EOMONTH(DATE(設定!$C$2,設定!$D$2,1),0)),1,(WEEKDAY(DATE(設定!$C$2,設定!$D$2,9),2)-1)*3+1)</f>
        <v/>
      </c>
      <c r="AD57">
        <f>IF(9&gt;DAY(EOMONTH(DATE(設定!$C$2,設定!$D$2,1),0)),1,(WEEKDAY(DATE(設定!$C$2,設定!$D$2,9),2)-1)*3+2)</f>
        <v/>
      </c>
      <c r="AE57">
        <f>IF(9&gt;DAY(EOMONTH(DATE(設定!$C$2,設定!$D$2,1),0)),1,(WEEKDAY(DATE(設定!$C$2,設定!$D$2,9),2)-1)*3+3)</f>
        <v/>
      </c>
      <c r="AF57">
        <f>IF(10&gt;DAY(EOMONTH(DATE(設定!$C$2,設定!$D$2,1),0)),1,(WEEKDAY(DATE(設定!$C$2,設定!$D$2,10),2)-1)*3+1)</f>
        <v/>
      </c>
      <c r="AG57">
        <f>IF(10&gt;DAY(EOMONTH(DATE(設定!$C$2,設定!$D$2,1),0)),1,(WEEKDAY(DATE(設定!$C$2,設定!$D$2,10),2)-1)*3+2)</f>
        <v/>
      </c>
      <c r="AH57">
        <f>IF(10&gt;DAY(EOMONTH(DATE(設定!$C$2,設定!$D$2,1),0)),1,(WEEKDAY(DATE(設定!$C$2,設定!$D$2,10),2)-1)*3+3)</f>
        <v/>
      </c>
      <c r="AI57">
        <f>IF(11&gt;DAY(EOMONTH(DATE(設定!$C$2,設定!$D$2,1),0)),1,(WEEKDAY(DATE(設定!$C$2,設定!$D$2,11),2)-1)*3+1)</f>
        <v/>
      </c>
      <c r="AJ57">
        <f>IF(11&gt;DAY(EOMONTH(DATE(設定!$C$2,設定!$D$2,1),0)),1,(WEEKDAY(DATE(設定!$C$2,設定!$D$2,11),2)-1)*3+2)</f>
        <v/>
      </c>
      <c r="AK57">
        <f>IF(11&gt;DAY(EOMONTH(DATE(設定!$C$2,設定!$D$2,1),0)),1,(WEEKDAY(DATE(設定!$C$2,設定!$D$2,11),2)-1)*3+3)</f>
        <v/>
      </c>
      <c r="AL57">
        <f>IF(12&gt;DAY(EOMONTH(DATE(設定!$C$2,設定!$D$2,1),0)),1,(WEEKDAY(DATE(設定!$C$2,設定!$D$2,12),2)-1)*3+1)</f>
        <v/>
      </c>
      <c r="AM57">
        <f>IF(12&gt;DAY(EOMONTH(DATE(設定!$C$2,設定!$D$2,1),0)),1,(WEEKDAY(DATE(設定!$C$2,設定!$D$2,12),2)-1)*3+2)</f>
        <v/>
      </c>
      <c r="AN57">
        <f>IF(12&gt;DAY(EOMONTH(DATE(設定!$C$2,設定!$D$2,1),0)),1,(WEEKDAY(DATE(設定!$C$2,設定!$D$2,12),2)-1)*3+3)</f>
        <v/>
      </c>
      <c r="AO57">
        <f>IF(13&gt;DAY(EOMONTH(DATE(設定!$C$2,設定!$D$2,1),0)),1,(WEEKDAY(DATE(設定!$C$2,設定!$D$2,13),2)-1)*3+1)</f>
        <v/>
      </c>
      <c r="AP57">
        <f>IF(13&gt;DAY(EOMONTH(DATE(設定!$C$2,設定!$D$2,1),0)),1,(WEEKDAY(DATE(設定!$C$2,設定!$D$2,13),2)-1)*3+2)</f>
        <v/>
      </c>
      <c r="AQ57">
        <f>IF(13&gt;DAY(EOMONTH(DATE(設定!$C$2,設定!$D$2,1),0)),1,(WEEKDAY(DATE(設定!$C$2,設定!$D$2,13),2)-1)*3+3)</f>
        <v/>
      </c>
      <c r="AR57">
        <f>IF(14&gt;DAY(EOMONTH(DATE(設定!$C$2,設定!$D$2,1),0)),1,(WEEKDAY(DATE(設定!$C$2,設定!$D$2,14),2)-1)*3+1)</f>
        <v/>
      </c>
      <c r="AS57">
        <f>IF(14&gt;DAY(EOMONTH(DATE(設定!$C$2,設定!$D$2,1),0)),1,(WEEKDAY(DATE(設定!$C$2,設定!$D$2,14),2)-1)*3+2)</f>
        <v/>
      </c>
      <c r="AT57">
        <f>IF(14&gt;DAY(EOMONTH(DATE(設定!$C$2,設定!$D$2,1),0)),1,(WEEKDAY(DATE(設定!$C$2,設定!$D$2,14),2)-1)*3+3)</f>
        <v/>
      </c>
      <c r="AU57">
        <f>IF(15&gt;DAY(EOMONTH(DATE(設定!$C$2,設定!$D$2,1),0)),1,(WEEKDAY(DATE(設定!$C$2,設定!$D$2,15),2)-1)*3+1)</f>
        <v/>
      </c>
      <c r="AV57">
        <f>IF(15&gt;DAY(EOMONTH(DATE(設定!$C$2,設定!$D$2,1),0)),1,(WEEKDAY(DATE(設定!$C$2,設定!$D$2,15),2)-1)*3+2)</f>
        <v/>
      </c>
      <c r="AW57">
        <f>IF(15&gt;DAY(EOMONTH(DATE(設定!$C$2,設定!$D$2,1),0)),1,(WEEKDAY(DATE(設定!$C$2,設定!$D$2,15),2)-1)*3+3)</f>
        <v/>
      </c>
      <c r="AX57">
        <f>IF(16&gt;DAY(EOMONTH(DATE(設定!$C$2,設定!$D$2,1),0)),1,(WEEKDAY(DATE(設定!$C$2,設定!$D$2,16),2)-1)*3+1)</f>
        <v/>
      </c>
      <c r="AY57">
        <f>IF(16&gt;DAY(EOMONTH(DATE(設定!$C$2,設定!$D$2,1),0)),1,(WEEKDAY(DATE(設定!$C$2,設定!$D$2,16),2)-1)*3+2)</f>
        <v/>
      </c>
      <c r="AZ57">
        <f>IF(16&gt;DAY(EOMONTH(DATE(設定!$C$2,設定!$D$2,1),0)),1,(WEEKDAY(DATE(設定!$C$2,設定!$D$2,16),2)-1)*3+3)</f>
        <v/>
      </c>
      <c r="BA57">
        <f>IF(17&gt;DAY(EOMONTH(DATE(設定!$C$2,設定!$D$2,1),0)),1,(WEEKDAY(DATE(設定!$C$2,設定!$D$2,17),2)-1)*3+1)</f>
        <v/>
      </c>
      <c r="BB57">
        <f>IF(17&gt;DAY(EOMONTH(DATE(設定!$C$2,設定!$D$2,1),0)),1,(WEEKDAY(DATE(設定!$C$2,設定!$D$2,17),2)-1)*3+2)</f>
        <v/>
      </c>
      <c r="BC57">
        <f>IF(17&gt;DAY(EOMONTH(DATE(設定!$C$2,設定!$D$2,1),0)),1,(WEEKDAY(DATE(設定!$C$2,設定!$D$2,17),2)-1)*3+3)</f>
        <v/>
      </c>
      <c r="BD57">
        <f>IF(18&gt;DAY(EOMONTH(DATE(設定!$C$2,設定!$D$2,1),0)),1,(WEEKDAY(DATE(設定!$C$2,設定!$D$2,18),2)-1)*3+1)</f>
        <v/>
      </c>
      <c r="BE57">
        <f>IF(18&gt;DAY(EOMONTH(DATE(設定!$C$2,設定!$D$2,1),0)),1,(WEEKDAY(DATE(設定!$C$2,設定!$D$2,18),2)-1)*3+2)</f>
        <v/>
      </c>
      <c r="BF57">
        <f>IF(18&gt;DAY(EOMONTH(DATE(設定!$C$2,設定!$D$2,1),0)),1,(WEEKDAY(DATE(設定!$C$2,設定!$D$2,18),2)-1)*3+3)</f>
        <v/>
      </c>
      <c r="BG57">
        <f>IF(19&gt;DAY(EOMONTH(DATE(設定!$C$2,設定!$D$2,1),0)),1,(WEEKDAY(DATE(設定!$C$2,設定!$D$2,19),2)-1)*3+1)</f>
        <v/>
      </c>
      <c r="BH57">
        <f>IF(19&gt;DAY(EOMONTH(DATE(設定!$C$2,設定!$D$2,1),0)),1,(WEEKDAY(DATE(設定!$C$2,設定!$D$2,19),2)-1)*3+2)</f>
        <v/>
      </c>
      <c r="BI57">
        <f>IF(19&gt;DAY(EOMONTH(DATE(設定!$C$2,設定!$D$2,1),0)),1,(WEEKDAY(DATE(設定!$C$2,設定!$D$2,19),2)-1)*3+3)</f>
        <v/>
      </c>
      <c r="BJ57">
        <f>IF(20&gt;DAY(EOMONTH(DATE(設定!$C$2,設定!$D$2,1),0)),1,(WEEKDAY(DATE(設定!$C$2,設定!$D$2,20),2)-1)*3+1)</f>
        <v/>
      </c>
      <c r="BK57">
        <f>IF(20&gt;DAY(EOMONTH(DATE(設定!$C$2,設定!$D$2,1),0)),1,(WEEKDAY(DATE(設定!$C$2,設定!$D$2,20),2)-1)*3+2)</f>
        <v/>
      </c>
      <c r="BL57">
        <f>IF(20&gt;DAY(EOMONTH(DATE(設定!$C$2,設定!$D$2,1),0)),1,(WEEKDAY(DATE(設定!$C$2,設定!$D$2,20),2)-1)*3+3)</f>
        <v/>
      </c>
      <c r="BM57">
        <f>IF(21&gt;DAY(EOMONTH(DATE(設定!$C$2,設定!$D$2,1),0)),1,(WEEKDAY(DATE(設定!$C$2,設定!$D$2,21),2)-1)*3+1)</f>
        <v/>
      </c>
      <c r="BN57">
        <f>IF(21&gt;DAY(EOMONTH(DATE(設定!$C$2,設定!$D$2,1),0)),1,(WEEKDAY(DATE(設定!$C$2,設定!$D$2,21),2)-1)*3+2)</f>
        <v/>
      </c>
      <c r="BO57">
        <f>IF(21&gt;DAY(EOMONTH(DATE(設定!$C$2,設定!$D$2,1),0)),1,(WEEKDAY(DATE(設定!$C$2,設定!$D$2,21),2)-1)*3+3)</f>
        <v/>
      </c>
      <c r="BP57">
        <f>IF(22&gt;DAY(EOMONTH(DATE(設定!$C$2,設定!$D$2,1),0)),1,(WEEKDAY(DATE(設定!$C$2,設定!$D$2,22),2)-1)*3+1)</f>
        <v/>
      </c>
      <c r="BQ57">
        <f>IF(22&gt;DAY(EOMONTH(DATE(設定!$C$2,設定!$D$2,1),0)),1,(WEEKDAY(DATE(設定!$C$2,設定!$D$2,22),2)-1)*3+2)</f>
        <v/>
      </c>
      <c r="BR57">
        <f>IF(22&gt;DAY(EOMONTH(DATE(設定!$C$2,設定!$D$2,1),0)),1,(WEEKDAY(DATE(設定!$C$2,設定!$D$2,22),2)-1)*3+3)</f>
        <v/>
      </c>
      <c r="BS57">
        <f>IF(23&gt;DAY(EOMONTH(DATE(設定!$C$2,設定!$D$2,1),0)),1,(WEEKDAY(DATE(設定!$C$2,設定!$D$2,23),2)-1)*3+1)</f>
        <v/>
      </c>
      <c r="BT57">
        <f>IF(23&gt;DAY(EOMONTH(DATE(設定!$C$2,設定!$D$2,1),0)),1,(WEEKDAY(DATE(設定!$C$2,設定!$D$2,23),2)-1)*3+2)</f>
        <v/>
      </c>
      <c r="BU57">
        <f>IF(23&gt;DAY(EOMONTH(DATE(設定!$C$2,設定!$D$2,1),0)),1,(WEEKDAY(DATE(設定!$C$2,設定!$D$2,23),2)-1)*3+3)</f>
        <v/>
      </c>
      <c r="BV57">
        <f>IF(24&gt;DAY(EOMONTH(DATE(設定!$C$2,設定!$D$2,1),0)),1,(WEEKDAY(DATE(設定!$C$2,設定!$D$2,24),2)-1)*3+1)</f>
        <v/>
      </c>
      <c r="BW57">
        <f>IF(24&gt;DAY(EOMONTH(DATE(設定!$C$2,設定!$D$2,1),0)),1,(WEEKDAY(DATE(設定!$C$2,設定!$D$2,24),2)-1)*3+2)</f>
        <v/>
      </c>
      <c r="BX57">
        <f>IF(24&gt;DAY(EOMONTH(DATE(設定!$C$2,設定!$D$2,1),0)),1,(WEEKDAY(DATE(設定!$C$2,設定!$D$2,24),2)-1)*3+3)</f>
        <v/>
      </c>
      <c r="BY57">
        <f>IF(25&gt;DAY(EOMONTH(DATE(設定!$C$2,設定!$D$2,1),0)),1,(WEEKDAY(DATE(設定!$C$2,設定!$D$2,25),2)-1)*3+1)</f>
        <v/>
      </c>
      <c r="BZ57">
        <f>IF(25&gt;DAY(EOMONTH(DATE(設定!$C$2,設定!$D$2,1),0)),1,(WEEKDAY(DATE(設定!$C$2,設定!$D$2,25),2)-1)*3+2)</f>
        <v/>
      </c>
      <c r="CA57">
        <f>IF(25&gt;DAY(EOMONTH(DATE(設定!$C$2,設定!$D$2,1),0)),1,(WEEKDAY(DATE(設定!$C$2,設定!$D$2,25),2)-1)*3+3)</f>
        <v/>
      </c>
      <c r="CB57">
        <f>IF(26&gt;DAY(EOMONTH(DATE(設定!$C$2,設定!$D$2,1),0)),1,(WEEKDAY(DATE(設定!$C$2,設定!$D$2,26),2)-1)*3+1)</f>
        <v/>
      </c>
      <c r="CC57">
        <f>IF(26&gt;DAY(EOMONTH(DATE(設定!$C$2,設定!$D$2,1),0)),1,(WEEKDAY(DATE(設定!$C$2,設定!$D$2,26),2)-1)*3+2)</f>
        <v/>
      </c>
      <c r="CD57">
        <f>IF(26&gt;DAY(EOMONTH(DATE(設定!$C$2,設定!$D$2,1),0)),1,(WEEKDAY(DATE(設定!$C$2,設定!$D$2,26),2)-1)*3+3)</f>
        <v/>
      </c>
      <c r="CE57">
        <f>IF(27&gt;DAY(EOMONTH(DATE(設定!$C$2,設定!$D$2,1),0)),1,(WEEKDAY(DATE(設定!$C$2,設定!$D$2,27),2)-1)*3+1)</f>
        <v/>
      </c>
      <c r="CF57">
        <f>IF(27&gt;DAY(EOMONTH(DATE(設定!$C$2,設定!$D$2,1),0)),1,(WEEKDAY(DATE(設定!$C$2,設定!$D$2,27),2)-1)*3+2)</f>
        <v/>
      </c>
      <c r="CG57">
        <f>IF(27&gt;DAY(EOMONTH(DATE(設定!$C$2,設定!$D$2,1),0)),1,(WEEKDAY(DATE(設定!$C$2,設定!$D$2,27),2)-1)*3+3)</f>
        <v/>
      </c>
      <c r="CH57">
        <f>IF(28&gt;DAY(EOMONTH(DATE(設定!$C$2,設定!$D$2,1),0)),1,(WEEKDAY(DATE(設定!$C$2,設定!$D$2,28),2)-1)*3+1)</f>
        <v/>
      </c>
      <c r="CI57">
        <f>IF(28&gt;DAY(EOMONTH(DATE(設定!$C$2,設定!$D$2,1),0)),1,(WEEKDAY(DATE(設定!$C$2,設定!$D$2,28),2)-1)*3+2)</f>
        <v/>
      </c>
      <c r="CJ57">
        <f>IF(28&gt;DAY(EOMONTH(DATE(設定!$C$2,設定!$D$2,1),0)),1,(WEEKDAY(DATE(設定!$C$2,設定!$D$2,28),2)-1)*3+3)</f>
        <v/>
      </c>
      <c r="CK57">
        <f>IF(29&gt;DAY(EOMONTH(DATE(設定!$C$2,設定!$D$2,1),0)),1,(WEEKDAY(DATE(設定!$C$2,設定!$D$2,29),2)-1)*3+1)</f>
        <v/>
      </c>
      <c r="CL57">
        <f>IF(29&gt;DAY(EOMONTH(DATE(設定!$C$2,設定!$D$2,1),0)),1,(WEEKDAY(DATE(設定!$C$2,設定!$D$2,29),2)-1)*3+2)</f>
        <v/>
      </c>
      <c r="CM57">
        <f>IF(29&gt;DAY(EOMONTH(DATE(設定!$C$2,設定!$D$2,1),0)),1,(WEEKDAY(DATE(設定!$C$2,設定!$D$2,29),2)-1)*3+3)</f>
        <v/>
      </c>
      <c r="CN57">
        <f>IF(30&gt;DAY(EOMONTH(DATE(設定!$C$2,設定!$D$2,1),0)),1,(WEEKDAY(DATE(設定!$C$2,設定!$D$2,30),2)-1)*3+1)</f>
        <v/>
      </c>
      <c r="CO57">
        <f>IF(30&gt;DAY(EOMONTH(DATE(設定!$C$2,設定!$D$2,1),0)),1,(WEEKDAY(DATE(設定!$C$2,設定!$D$2,30),2)-1)*3+2)</f>
        <v/>
      </c>
      <c r="CP57">
        <f>IF(30&gt;DAY(EOMONTH(DATE(設定!$C$2,設定!$D$2,1),0)),1,(WEEKDAY(DATE(設定!$C$2,設定!$D$2,30),2)-1)*3+3)</f>
        <v/>
      </c>
      <c r="CQ57">
        <f>IF(31&gt;DAY(EOMONTH(DATE(設定!$C$2,設定!$D$2,1),0)),1,(WEEKDAY(DATE(設定!$C$2,設定!$D$2,31),2)-1)*3+1)</f>
        <v/>
      </c>
      <c r="CR57">
        <f>IF(31&gt;DAY(EOMONTH(DATE(設定!$C$2,設定!$D$2,1),0)),1,(WEEKDAY(DATE(設定!$C$2,設定!$D$2,31),2)-1)*3+2)</f>
        <v/>
      </c>
      <c r="CS57">
        <f>IF(31&gt;DAY(EOMONTH(DATE(設定!$C$2,設定!$D$2,1),0)),1,(WEEKDAY(DATE(設定!$C$2,設定!$D$2,31),2)-1)*3+3)</f>
        <v/>
      </c>
    </row>
    <row r="58" hidden="1">
      <c r="A58" s="81" t="inlineStr">
        <is>
          <t>↓運算用,請勿刪</t>
        </is>
      </c>
      <c r="E58">
        <f>IF(1&gt;DAY(EOMONTH(DATE(設定!$C$2,設定!$D$2,1),0)),0,MOD(INT((DATE(設定!$C$2,設定!$D$2,1)-設定!$C$49)/7),2))</f>
        <v/>
      </c>
      <c r="F58">
        <f>IF(1&gt;DAY(EOMONTH(DATE(設定!$C$2,設定!$D$2,1),0)),0,MOD(INT((DATE(設定!$C$2,設定!$D$2,1)-設定!$C$49)/7),2))</f>
        <v/>
      </c>
      <c r="G58">
        <f>IF(1&gt;DAY(EOMONTH(DATE(設定!$C$2,設定!$D$2,1),0)),0,MOD(INT((DATE(設定!$C$2,設定!$D$2,1)-設定!$C$49)/7),2))</f>
        <v/>
      </c>
      <c r="H58">
        <f>IF(2&gt;DAY(EOMONTH(DATE(設定!$C$2,設定!$D$2,1),0)),0,MOD(INT((DATE(設定!$C$2,設定!$D$2,2)-設定!$C$49)/7),2))</f>
        <v/>
      </c>
      <c r="I58">
        <f>IF(2&gt;DAY(EOMONTH(DATE(設定!$C$2,設定!$D$2,1),0)),0,MOD(INT((DATE(設定!$C$2,設定!$D$2,2)-設定!$C$49)/7),2))</f>
        <v/>
      </c>
      <c r="J58">
        <f>IF(2&gt;DAY(EOMONTH(DATE(設定!$C$2,設定!$D$2,1),0)),0,MOD(INT((DATE(設定!$C$2,設定!$D$2,2)-設定!$C$49)/7),2))</f>
        <v/>
      </c>
      <c r="K58">
        <f>IF(3&gt;DAY(EOMONTH(DATE(設定!$C$2,設定!$D$2,1),0)),0,MOD(INT((DATE(設定!$C$2,設定!$D$2,3)-設定!$C$49)/7),2))</f>
        <v/>
      </c>
      <c r="L58">
        <f>IF(3&gt;DAY(EOMONTH(DATE(設定!$C$2,設定!$D$2,1),0)),0,MOD(INT((DATE(設定!$C$2,設定!$D$2,3)-設定!$C$49)/7),2))</f>
        <v/>
      </c>
      <c r="M58">
        <f>IF(3&gt;DAY(EOMONTH(DATE(設定!$C$2,設定!$D$2,1),0)),0,MOD(INT((DATE(設定!$C$2,設定!$D$2,3)-設定!$C$49)/7),2))</f>
        <v/>
      </c>
      <c r="N58">
        <f>IF(4&gt;DAY(EOMONTH(DATE(設定!$C$2,設定!$D$2,1),0)),0,MOD(INT((DATE(設定!$C$2,設定!$D$2,4)-設定!$C$49)/7),2))</f>
        <v/>
      </c>
      <c r="O58">
        <f>IF(4&gt;DAY(EOMONTH(DATE(設定!$C$2,設定!$D$2,1),0)),0,MOD(INT((DATE(設定!$C$2,設定!$D$2,4)-設定!$C$49)/7),2))</f>
        <v/>
      </c>
      <c r="P58">
        <f>IF(4&gt;DAY(EOMONTH(DATE(設定!$C$2,設定!$D$2,1),0)),0,MOD(INT((DATE(設定!$C$2,設定!$D$2,4)-設定!$C$49)/7),2))</f>
        <v/>
      </c>
      <c r="Q58">
        <f>IF(5&gt;DAY(EOMONTH(DATE(設定!$C$2,設定!$D$2,1),0)),0,MOD(INT((DATE(設定!$C$2,設定!$D$2,5)-設定!$C$49)/7),2))</f>
        <v/>
      </c>
      <c r="R58">
        <f>IF(5&gt;DAY(EOMONTH(DATE(設定!$C$2,設定!$D$2,1),0)),0,MOD(INT((DATE(設定!$C$2,設定!$D$2,5)-設定!$C$49)/7),2))</f>
        <v/>
      </c>
      <c r="S58">
        <f>IF(5&gt;DAY(EOMONTH(DATE(設定!$C$2,設定!$D$2,1),0)),0,MOD(INT((DATE(設定!$C$2,設定!$D$2,5)-設定!$C$49)/7),2))</f>
        <v/>
      </c>
      <c r="T58">
        <f>IF(6&gt;DAY(EOMONTH(DATE(設定!$C$2,設定!$D$2,1),0)),0,MOD(INT((DATE(設定!$C$2,設定!$D$2,6)-設定!$C$49)/7),2))</f>
        <v/>
      </c>
      <c r="U58">
        <f>IF(6&gt;DAY(EOMONTH(DATE(設定!$C$2,設定!$D$2,1),0)),0,MOD(INT((DATE(設定!$C$2,設定!$D$2,6)-設定!$C$49)/7),2))</f>
        <v/>
      </c>
      <c r="V58">
        <f>IF(6&gt;DAY(EOMONTH(DATE(設定!$C$2,設定!$D$2,1),0)),0,MOD(INT((DATE(設定!$C$2,設定!$D$2,6)-設定!$C$49)/7),2))</f>
        <v/>
      </c>
      <c r="W58">
        <f>IF(7&gt;DAY(EOMONTH(DATE(設定!$C$2,設定!$D$2,1),0)),0,MOD(INT((DATE(設定!$C$2,設定!$D$2,7)-設定!$C$49)/7),2))</f>
        <v/>
      </c>
      <c r="X58">
        <f>IF(7&gt;DAY(EOMONTH(DATE(設定!$C$2,設定!$D$2,1),0)),0,MOD(INT((DATE(設定!$C$2,設定!$D$2,7)-設定!$C$49)/7),2))</f>
        <v/>
      </c>
      <c r="Y58">
        <f>IF(7&gt;DAY(EOMONTH(DATE(設定!$C$2,設定!$D$2,1),0)),0,MOD(INT((DATE(設定!$C$2,設定!$D$2,7)-設定!$C$49)/7),2))</f>
        <v/>
      </c>
      <c r="Z58">
        <f>IF(8&gt;DAY(EOMONTH(DATE(設定!$C$2,設定!$D$2,1),0)),0,MOD(INT((DATE(設定!$C$2,設定!$D$2,8)-設定!$C$49)/7),2))</f>
        <v/>
      </c>
      <c r="AA58">
        <f>IF(8&gt;DAY(EOMONTH(DATE(設定!$C$2,設定!$D$2,1),0)),0,MOD(INT((DATE(設定!$C$2,設定!$D$2,8)-設定!$C$49)/7),2))</f>
        <v/>
      </c>
      <c r="AB58">
        <f>IF(8&gt;DAY(EOMONTH(DATE(設定!$C$2,設定!$D$2,1),0)),0,MOD(INT((DATE(設定!$C$2,設定!$D$2,8)-設定!$C$49)/7),2))</f>
        <v/>
      </c>
      <c r="AC58">
        <f>IF(9&gt;DAY(EOMONTH(DATE(設定!$C$2,設定!$D$2,1),0)),0,MOD(INT((DATE(設定!$C$2,設定!$D$2,9)-設定!$C$49)/7),2))</f>
        <v/>
      </c>
      <c r="AD58">
        <f>IF(9&gt;DAY(EOMONTH(DATE(設定!$C$2,設定!$D$2,1),0)),0,MOD(INT((DATE(設定!$C$2,設定!$D$2,9)-設定!$C$49)/7),2))</f>
        <v/>
      </c>
      <c r="AE58">
        <f>IF(9&gt;DAY(EOMONTH(DATE(設定!$C$2,設定!$D$2,1),0)),0,MOD(INT((DATE(設定!$C$2,設定!$D$2,9)-設定!$C$49)/7),2))</f>
        <v/>
      </c>
      <c r="AF58">
        <f>IF(10&gt;DAY(EOMONTH(DATE(設定!$C$2,設定!$D$2,1),0)),0,MOD(INT((DATE(設定!$C$2,設定!$D$2,10)-設定!$C$49)/7),2))</f>
        <v/>
      </c>
      <c r="AG58">
        <f>IF(10&gt;DAY(EOMONTH(DATE(設定!$C$2,設定!$D$2,1),0)),0,MOD(INT((DATE(設定!$C$2,設定!$D$2,10)-設定!$C$49)/7),2))</f>
        <v/>
      </c>
      <c r="AH58">
        <f>IF(10&gt;DAY(EOMONTH(DATE(設定!$C$2,設定!$D$2,1),0)),0,MOD(INT((DATE(設定!$C$2,設定!$D$2,10)-設定!$C$49)/7),2))</f>
        <v/>
      </c>
      <c r="AI58">
        <f>IF(11&gt;DAY(EOMONTH(DATE(設定!$C$2,設定!$D$2,1),0)),0,MOD(INT((DATE(設定!$C$2,設定!$D$2,11)-設定!$C$49)/7),2))</f>
        <v/>
      </c>
      <c r="AJ58">
        <f>IF(11&gt;DAY(EOMONTH(DATE(設定!$C$2,設定!$D$2,1),0)),0,MOD(INT((DATE(設定!$C$2,設定!$D$2,11)-設定!$C$49)/7),2))</f>
        <v/>
      </c>
      <c r="AK58">
        <f>IF(11&gt;DAY(EOMONTH(DATE(設定!$C$2,設定!$D$2,1),0)),0,MOD(INT((DATE(設定!$C$2,設定!$D$2,11)-設定!$C$49)/7),2))</f>
        <v/>
      </c>
      <c r="AL58">
        <f>IF(12&gt;DAY(EOMONTH(DATE(設定!$C$2,設定!$D$2,1),0)),0,MOD(INT((DATE(設定!$C$2,設定!$D$2,12)-設定!$C$49)/7),2))</f>
        <v/>
      </c>
      <c r="AM58">
        <f>IF(12&gt;DAY(EOMONTH(DATE(設定!$C$2,設定!$D$2,1),0)),0,MOD(INT((DATE(設定!$C$2,設定!$D$2,12)-設定!$C$49)/7),2))</f>
        <v/>
      </c>
      <c r="AN58">
        <f>IF(12&gt;DAY(EOMONTH(DATE(設定!$C$2,設定!$D$2,1),0)),0,MOD(INT((DATE(設定!$C$2,設定!$D$2,12)-設定!$C$49)/7),2))</f>
        <v/>
      </c>
      <c r="AO58">
        <f>IF(13&gt;DAY(EOMONTH(DATE(設定!$C$2,設定!$D$2,1),0)),0,MOD(INT((DATE(設定!$C$2,設定!$D$2,13)-設定!$C$49)/7),2))</f>
        <v/>
      </c>
      <c r="AP58">
        <f>IF(13&gt;DAY(EOMONTH(DATE(設定!$C$2,設定!$D$2,1),0)),0,MOD(INT((DATE(設定!$C$2,設定!$D$2,13)-設定!$C$49)/7),2))</f>
        <v/>
      </c>
      <c r="AQ58">
        <f>IF(13&gt;DAY(EOMONTH(DATE(設定!$C$2,設定!$D$2,1),0)),0,MOD(INT((DATE(設定!$C$2,設定!$D$2,13)-設定!$C$49)/7),2))</f>
        <v/>
      </c>
      <c r="AR58">
        <f>IF(14&gt;DAY(EOMONTH(DATE(設定!$C$2,設定!$D$2,1),0)),0,MOD(INT((DATE(設定!$C$2,設定!$D$2,14)-設定!$C$49)/7),2))</f>
        <v/>
      </c>
      <c r="AS58">
        <f>IF(14&gt;DAY(EOMONTH(DATE(設定!$C$2,設定!$D$2,1),0)),0,MOD(INT((DATE(設定!$C$2,設定!$D$2,14)-設定!$C$49)/7),2))</f>
        <v/>
      </c>
      <c r="AT58">
        <f>IF(14&gt;DAY(EOMONTH(DATE(設定!$C$2,設定!$D$2,1),0)),0,MOD(INT((DATE(設定!$C$2,設定!$D$2,14)-設定!$C$49)/7),2))</f>
        <v/>
      </c>
      <c r="AU58">
        <f>IF(15&gt;DAY(EOMONTH(DATE(設定!$C$2,設定!$D$2,1),0)),0,MOD(INT((DATE(設定!$C$2,設定!$D$2,15)-設定!$C$49)/7),2))</f>
        <v/>
      </c>
      <c r="AV58">
        <f>IF(15&gt;DAY(EOMONTH(DATE(設定!$C$2,設定!$D$2,1),0)),0,MOD(INT((DATE(設定!$C$2,設定!$D$2,15)-設定!$C$49)/7),2))</f>
        <v/>
      </c>
      <c r="AW58">
        <f>IF(15&gt;DAY(EOMONTH(DATE(設定!$C$2,設定!$D$2,1),0)),0,MOD(INT((DATE(設定!$C$2,設定!$D$2,15)-設定!$C$49)/7),2))</f>
        <v/>
      </c>
      <c r="AX58">
        <f>IF(16&gt;DAY(EOMONTH(DATE(設定!$C$2,設定!$D$2,1),0)),0,MOD(INT((DATE(設定!$C$2,設定!$D$2,16)-設定!$C$49)/7),2))</f>
        <v/>
      </c>
      <c r="AY58">
        <f>IF(16&gt;DAY(EOMONTH(DATE(設定!$C$2,設定!$D$2,1),0)),0,MOD(INT((DATE(設定!$C$2,設定!$D$2,16)-設定!$C$49)/7),2))</f>
        <v/>
      </c>
      <c r="AZ58">
        <f>IF(16&gt;DAY(EOMONTH(DATE(設定!$C$2,設定!$D$2,1),0)),0,MOD(INT((DATE(設定!$C$2,設定!$D$2,16)-設定!$C$49)/7),2))</f>
        <v/>
      </c>
      <c r="BA58">
        <f>IF(17&gt;DAY(EOMONTH(DATE(設定!$C$2,設定!$D$2,1),0)),0,MOD(INT((DATE(設定!$C$2,設定!$D$2,17)-設定!$C$49)/7),2))</f>
        <v/>
      </c>
      <c r="BB58">
        <f>IF(17&gt;DAY(EOMONTH(DATE(設定!$C$2,設定!$D$2,1),0)),0,MOD(INT((DATE(設定!$C$2,設定!$D$2,17)-設定!$C$49)/7),2))</f>
        <v/>
      </c>
      <c r="BC58">
        <f>IF(17&gt;DAY(EOMONTH(DATE(設定!$C$2,設定!$D$2,1),0)),0,MOD(INT((DATE(設定!$C$2,設定!$D$2,17)-設定!$C$49)/7),2))</f>
        <v/>
      </c>
      <c r="BD58">
        <f>IF(18&gt;DAY(EOMONTH(DATE(設定!$C$2,設定!$D$2,1),0)),0,MOD(INT((DATE(設定!$C$2,設定!$D$2,18)-設定!$C$49)/7),2))</f>
        <v/>
      </c>
      <c r="BE58">
        <f>IF(18&gt;DAY(EOMONTH(DATE(設定!$C$2,設定!$D$2,1),0)),0,MOD(INT((DATE(設定!$C$2,設定!$D$2,18)-設定!$C$49)/7),2))</f>
        <v/>
      </c>
      <c r="BF58">
        <f>IF(18&gt;DAY(EOMONTH(DATE(設定!$C$2,設定!$D$2,1),0)),0,MOD(INT((DATE(設定!$C$2,設定!$D$2,18)-設定!$C$49)/7),2))</f>
        <v/>
      </c>
      <c r="BG58">
        <f>IF(19&gt;DAY(EOMONTH(DATE(設定!$C$2,設定!$D$2,1),0)),0,MOD(INT((DATE(設定!$C$2,設定!$D$2,19)-設定!$C$49)/7),2))</f>
        <v/>
      </c>
      <c r="BH58">
        <f>IF(19&gt;DAY(EOMONTH(DATE(設定!$C$2,設定!$D$2,1),0)),0,MOD(INT((DATE(設定!$C$2,設定!$D$2,19)-設定!$C$49)/7),2))</f>
        <v/>
      </c>
      <c r="BI58">
        <f>IF(19&gt;DAY(EOMONTH(DATE(設定!$C$2,設定!$D$2,1),0)),0,MOD(INT((DATE(設定!$C$2,設定!$D$2,19)-設定!$C$49)/7),2))</f>
        <v/>
      </c>
      <c r="BJ58">
        <f>IF(20&gt;DAY(EOMONTH(DATE(設定!$C$2,設定!$D$2,1),0)),0,MOD(INT((DATE(設定!$C$2,設定!$D$2,20)-設定!$C$49)/7),2))</f>
        <v/>
      </c>
      <c r="BK58">
        <f>IF(20&gt;DAY(EOMONTH(DATE(設定!$C$2,設定!$D$2,1),0)),0,MOD(INT((DATE(設定!$C$2,設定!$D$2,20)-設定!$C$49)/7),2))</f>
        <v/>
      </c>
      <c r="BL58">
        <f>IF(20&gt;DAY(EOMONTH(DATE(設定!$C$2,設定!$D$2,1),0)),0,MOD(INT((DATE(設定!$C$2,設定!$D$2,20)-設定!$C$49)/7),2))</f>
        <v/>
      </c>
      <c r="BM58">
        <f>IF(21&gt;DAY(EOMONTH(DATE(設定!$C$2,設定!$D$2,1),0)),0,MOD(INT((DATE(設定!$C$2,設定!$D$2,21)-設定!$C$49)/7),2))</f>
        <v/>
      </c>
      <c r="BN58">
        <f>IF(21&gt;DAY(EOMONTH(DATE(設定!$C$2,設定!$D$2,1),0)),0,MOD(INT((DATE(設定!$C$2,設定!$D$2,21)-設定!$C$49)/7),2))</f>
        <v/>
      </c>
      <c r="BO58">
        <f>IF(21&gt;DAY(EOMONTH(DATE(設定!$C$2,設定!$D$2,1),0)),0,MOD(INT((DATE(設定!$C$2,設定!$D$2,21)-設定!$C$49)/7),2))</f>
        <v/>
      </c>
      <c r="BP58">
        <f>IF(22&gt;DAY(EOMONTH(DATE(設定!$C$2,設定!$D$2,1),0)),0,MOD(INT((DATE(設定!$C$2,設定!$D$2,22)-設定!$C$49)/7),2))</f>
        <v/>
      </c>
      <c r="BQ58">
        <f>IF(22&gt;DAY(EOMONTH(DATE(設定!$C$2,設定!$D$2,1),0)),0,MOD(INT((DATE(設定!$C$2,設定!$D$2,22)-設定!$C$49)/7),2))</f>
        <v/>
      </c>
      <c r="BR58">
        <f>IF(22&gt;DAY(EOMONTH(DATE(設定!$C$2,設定!$D$2,1),0)),0,MOD(INT((DATE(設定!$C$2,設定!$D$2,22)-設定!$C$49)/7),2))</f>
        <v/>
      </c>
      <c r="BS58">
        <f>IF(23&gt;DAY(EOMONTH(DATE(設定!$C$2,設定!$D$2,1),0)),0,MOD(INT((DATE(設定!$C$2,設定!$D$2,23)-設定!$C$49)/7),2))</f>
        <v/>
      </c>
      <c r="BT58">
        <f>IF(23&gt;DAY(EOMONTH(DATE(設定!$C$2,設定!$D$2,1),0)),0,MOD(INT((DATE(設定!$C$2,設定!$D$2,23)-設定!$C$49)/7),2))</f>
        <v/>
      </c>
      <c r="BU58">
        <f>IF(23&gt;DAY(EOMONTH(DATE(設定!$C$2,設定!$D$2,1),0)),0,MOD(INT((DATE(設定!$C$2,設定!$D$2,23)-設定!$C$49)/7),2))</f>
        <v/>
      </c>
      <c r="BV58">
        <f>IF(24&gt;DAY(EOMONTH(DATE(設定!$C$2,設定!$D$2,1),0)),0,MOD(INT((DATE(設定!$C$2,設定!$D$2,24)-設定!$C$49)/7),2))</f>
        <v/>
      </c>
      <c r="BW58">
        <f>IF(24&gt;DAY(EOMONTH(DATE(設定!$C$2,設定!$D$2,1),0)),0,MOD(INT((DATE(設定!$C$2,設定!$D$2,24)-設定!$C$49)/7),2))</f>
        <v/>
      </c>
      <c r="BX58">
        <f>IF(24&gt;DAY(EOMONTH(DATE(設定!$C$2,設定!$D$2,1),0)),0,MOD(INT((DATE(設定!$C$2,設定!$D$2,24)-設定!$C$49)/7),2))</f>
        <v/>
      </c>
      <c r="BY58">
        <f>IF(25&gt;DAY(EOMONTH(DATE(設定!$C$2,設定!$D$2,1),0)),0,MOD(INT((DATE(設定!$C$2,設定!$D$2,25)-設定!$C$49)/7),2))</f>
        <v/>
      </c>
      <c r="BZ58">
        <f>IF(25&gt;DAY(EOMONTH(DATE(設定!$C$2,設定!$D$2,1),0)),0,MOD(INT((DATE(設定!$C$2,設定!$D$2,25)-設定!$C$49)/7),2))</f>
        <v/>
      </c>
      <c r="CA58">
        <f>IF(25&gt;DAY(EOMONTH(DATE(設定!$C$2,設定!$D$2,1),0)),0,MOD(INT((DATE(設定!$C$2,設定!$D$2,25)-設定!$C$49)/7),2))</f>
        <v/>
      </c>
      <c r="CB58">
        <f>IF(26&gt;DAY(EOMONTH(DATE(設定!$C$2,設定!$D$2,1),0)),0,MOD(INT((DATE(設定!$C$2,設定!$D$2,26)-設定!$C$49)/7),2))</f>
        <v/>
      </c>
      <c r="CC58">
        <f>IF(26&gt;DAY(EOMONTH(DATE(設定!$C$2,設定!$D$2,1),0)),0,MOD(INT((DATE(設定!$C$2,設定!$D$2,26)-設定!$C$49)/7),2))</f>
        <v/>
      </c>
      <c r="CD58">
        <f>IF(26&gt;DAY(EOMONTH(DATE(設定!$C$2,設定!$D$2,1),0)),0,MOD(INT((DATE(設定!$C$2,設定!$D$2,26)-設定!$C$49)/7),2))</f>
        <v/>
      </c>
      <c r="CE58">
        <f>IF(27&gt;DAY(EOMONTH(DATE(設定!$C$2,設定!$D$2,1),0)),0,MOD(INT((DATE(設定!$C$2,設定!$D$2,27)-設定!$C$49)/7),2))</f>
        <v/>
      </c>
      <c r="CF58">
        <f>IF(27&gt;DAY(EOMONTH(DATE(設定!$C$2,設定!$D$2,1),0)),0,MOD(INT((DATE(設定!$C$2,設定!$D$2,27)-設定!$C$49)/7),2))</f>
        <v/>
      </c>
      <c r="CG58">
        <f>IF(27&gt;DAY(EOMONTH(DATE(設定!$C$2,設定!$D$2,1),0)),0,MOD(INT((DATE(設定!$C$2,設定!$D$2,27)-設定!$C$49)/7),2))</f>
        <v/>
      </c>
      <c r="CH58">
        <f>IF(28&gt;DAY(EOMONTH(DATE(設定!$C$2,設定!$D$2,1),0)),0,MOD(INT((DATE(設定!$C$2,設定!$D$2,28)-設定!$C$49)/7),2))</f>
        <v/>
      </c>
      <c r="CI58">
        <f>IF(28&gt;DAY(EOMONTH(DATE(設定!$C$2,設定!$D$2,1),0)),0,MOD(INT((DATE(設定!$C$2,設定!$D$2,28)-設定!$C$49)/7),2))</f>
        <v/>
      </c>
      <c r="CJ58">
        <f>IF(28&gt;DAY(EOMONTH(DATE(設定!$C$2,設定!$D$2,1),0)),0,MOD(INT((DATE(設定!$C$2,設定!$D$2,28)-設定!$C$49)/7),2))</f>
        <v/>
      </c>
      <c r="CK58">
        <f>IF(29&gt;DAY(EOMONTH(DATE(設定!$C$2,設定!$D$2,1),0)),0,MOD(INT((DATE(設定!$C$2,設定!$D$2,29)-設定!$C$49)/7),2))</f>
        <v/>
      </c>
      <c r="CL58">
        <f>IF(29&gt;DAY(EOMONTH(DATE(設定!$C$2,設定!$D$2,1),0)),0,MOD(INT((DATE(設定!$C$2,設定!$D$2,29)-設定!$C$49)/7),2))</f>
        <v/>
      </c>
      <c r="CM58">
        <f>IF(29&gt;DAY(EOMONTH(DATE(設定!$C$2,設定!$D$2,1),0)),0,MOD(INT((DATE(設定!$C$2,設定!$D$2,29)-設定!$C$49)/7),2))</f>
        <v/>
      </c>
      <c r="CN58">
        <f>IF(30&gt;DAY(EOMONTH(DATE(設定!$C$2,設定!$D$2,1),0)),0,MOD(INT((DATE(設定!$C$2,設定!$D$2,30)-設定!$C$49)/7),2))</f>
        <v/>
      </c>
      <c r="CO58">
        <f>IF(30&gt;DAY(EOMONTH(DATE(設定!$C$2,設定!$D$2,1),0)),0,MOD(INT((DATE(設定!$C$2,設定!$D$2,30)-設定!$C$49)/7),2))</f>
        <v/>
      </c>
      <c r="CP58">
        <f>IF(30&gt;DAY(EOMONTH(DATE(設定!$C$2,設定!$D$2,1),0)),0,MOD(INT((DATE(設定!$C$2,設定!$D$2,30)-設定!$C$49)/7),2))</f>
        <v/>
      </c>
      <c r="CQ58">
        <f>IF(31&gt;DAY(EOMONTH(DATE(設定!$C$2,設定!$D$2,1),0)),0,MOD(INT((DATE(設定!$C$2,設定!$D$2,31)-設定!$C$49)/7),2))</f>
        <v/>
      </c>
      <c r="CR58">
        <f>IF(31&gt;DAY(EOMONTH(DATE(設定!$C$2,設定!$D$2,1),0)),0,MOD(INT((DATE(設定!$C$2,設定!$D$2,31)-設定!$C$49)/7),2))</f>
        <v/>
      </c>
      <c r="CS58">
        <f>IF(31&gt;DAY(EOMONTH(DATE(設定!$C$2,設定!$D$2,1),0)),0,MOD(INT((DATE(設定!$C$2,設定!$D$2,31)-設定!$C$49)/7),2))</f>
        <v/>
      </c>
    </row>
    <row r="59" hidden="1">
      <c r="A59" s="81" t="inlineStr">
        <is>
          <t>↓運算用,請勿刪</t>
        </is>
      </c>
      <c r="E59">
        <f>IF(1&gt;DAY(EOMONTH(DATE(設定!$C$2,設定!$D$2,1),0)),"X",IF(COUNTIF(設定!$W$6:$W$40,DATE(設定!$C$2,設定!$D$2,1))&gt;0,"國",IF(SUMPRODUCT(INDEX(設定!$U$54:$AO$58,0,E$57))=0,"休","")))</f>
        <v/>
      </c>
      <c r="F59">
        <f>IF(1&gt;DAY(EOMONTH(DATE(設定!$C$2,設定!$D$2,1),0)),"X",IF(COUNTIF(設定!$W$6:$W$40,DATE(設定!$C$2,設定!$D$2,1))&gt;0,"國",IF(SUMPRODUCT(INDEX(設定!$U$54:$AO$58,0,F$57))=0,"休","")))</f>
        <v/>
      </c>
      <c r="G59">
        <f>IF(1&gt;DAY(EOMONTH(DATE(設定!$C$2,設定!$D$2,1),0)),"X",IF(COUNTIF(設定!$W$6:$W$40,DATE(設定!$C$2,設定!$D$2,1))&gt;0,"國",IF(SUMPRODUCT(INDEX(設定!$U$54:$AO$58,0,G$57))=0,"休","")))</f>
        <v/>
      </c>
      <c r="H59">
        <f>IF(2&gt;DAY(EOMONTH(DATE(設定!$C$2,設定!$D$2,1),0)),"X",IF(COUNTIF(設定!$W$6:$W$40,DATE(設定!$C$2,設定!$D$2,2))&gt;0,"國",IF(SUMPRODUCT(INDEX(設定!$U$54:$AO$58,0,H$57))=0,"休","")))</f>
        <v/>
      </c>
      <c r="I59">
        <f>IF(2&gt;DAY(EOMONTH(DATE(設定!$C$2,設定!$D$2,1),0)),"X",IF(COUNTIF(設定!$W$6:$W$40,DATE(設定!$C$2,設定!$D$2,2))&gt;0,"國",IF(SUMPRODUCT(INDEX(設定!$U$54:$AO$58,0,I$57))=0,"休","")))</f>
        <v/>
      </c>
      <c r="J59">
        <f>IF(2&gt;DAY(EOMONTH(DATE(設定!$C$2,設定!$D$2,1),0)),"X",IF(COUNTIF(設定!$W$6:$W$40,DATE(設定!$C$2,設定!$D$2,2))&gt;0,"國",IF(SUMPRODUCT(INDEX(設定!$U$54:$AO$58,0,J$57))=0,"休","")))</f>
        <v/>
      </c>
      <c r="K59">
        <f>IF(3&gt;DAY(EOMONTH(DATE(設定!$C$2,設定!$D$2,1),0)),"X",IF(COUNTIF(設定!$W$6:$W$40,DATE(設定!$C$2,設定!$D$2,3))&gt;0,"國",IF(SUMPRODUCT(INDEX(設定!$U$54:$AO$58,0,K$57))=0,"休","")))</f>
        <v/>
      </c>
      <c r="L59">
        <f>IF(3&gt;DAY(EOMONTH(DATE(設定!$C$2,設定!$D$2,1),0)),"X",IF(COUNTIF(設定!$W$6:$W$40,DATE(設定!$C$2,設定!$D$2,3))&gt;0,"國",IF(SUMPRODUCT(INDEX(設定!$U$54:$AO$58,0,L$57))=0,"休","")))</f>
        <v/>
      </c>
      <c r="M59">
        <f>IF(3&gt;DAY(EOMONTH(DATE(設定!$C$2,設定!$D$2,1),0)),"X",IF(COUNTIF(設定!$W$6:$W$40,DATE(設定!$C$2,設定!$D$2,3))&gt;0,"國",IF(SUMPRODUCT(INDEX(設定!$U$54:$AO$58,0,M$57))=0,"休","")))</f>
        <v/>
      </c>
      <c r="N59">
        <f>IF(4&gt;DAY(EOMONTH(DATE(設定!$C$2,設定!$D$2,1),0)),"X",IF(COUNTIF(設定!$W$6:$W$40,DATE(設定!$C$2,設定!$D$2,4))&gt;0,"國",IF(SUMPRODUCT(INDEX(設定!$U$54:$AO$58,0,N$57))=0,"休","")))</f>
        <v/>
      </c>
      <c r="O59">
        <f>IF(4&gt;DAY(EOMONTH(DATE(設定!$C$2,設定!$D$2,1),0)),"X",IF(COUNTIF(設定!$W$6:$W$40,DATE(設定!$C$2,設定!$D$2,4))&gt;0,"國",IF(SUMPRODUCT(INDEX(設定!$U$54:$AO$58,0,O$57))=0,"休","")))</f>
        <v/>
      </c>
      <c r="P59">
        <f>IF(4&gt;DAY(EOMONTH(DATE(設定!$C$2,設定!$D$2,1),0)),"X",IF(COUNTIF(設定!$W$6:$W$40,DATE(設定!$C$2,設定!$D$2,4))&gt;0,"國",IF(SUMPRODUCT(INDEX(設定!$U$54:$AO$58,0,P$57))=0,"休","")))</f>
        <v/>
      </c>
      <c r="Q59">
        <f>IF(5&gt;DAY(EOMONTH(DATE(設定!$C$2,設定!$D$2,1),0)),"X",IF(COUNTIF(設定!$W$6:$W$40,DATE(設定!$C$2,設定!$D$2,5))&gt;0,"國",IF(SUMPRODUCT(INDEX(設定!$U$54:$AO$58,0,Q$57))=0,"休","")))</f>
        <v/>
      </c>
      <c r="R59">
        <f>IF(5&gt;DAY(EOMONTH(DATE(設定!$C$2,設定!$D$2,1),0)),"X",IF(COUNTIF(設定!$W$6:$W$40,DATE(設定!$C$2,設定!$D$2,5))&gt;0,"國",IF(SUMPRODUCT(INDEX(設定!$U$54:$AO$58,0,R$57))=0,"休","")))</f>
        <v/>
      </c>
      <c r="S59">
        <f>IF(5&gt;DAY(EOMONTH(DATE(設定!$C$2,設定!$D$2,1),0)),"X",IF(COUNTIF(設定!$W$6:$W$40,DATE(設定!$C$2,設定!$D$2,5))&gt;0,"國",IF(SUMPRODUCT(INDEX(設定!$U$54:$AO$58,0,S$57))=0,"休","")))</f>
        <v/>
      </c>
      <c r="T59">
        <f>IF(6&gt;DAY(EOMONTH(DATE(設定!$C$2,設定!$D$2,1),0)),"X",IF(COUNTIF(設定!$W$6:$W$40,DATE(設定!$C$2,設定!$D$2,6))&gt;0,"國",IF(SUMPRODUCT(INDEX(設定!$U$54:$AO$58,0,T$57))=0,"休","")))</f>
        <v/>
      </c>
      <c r="U59">
        <f>IF(6&gt;DAY(EOMONTH(DATE(設定!$C$2,設定!$D$2,1),0)),"X",IF(COUNTIF(設定!$W$6:$W$40,DATE(設定!$C$2,設定!$D$2,6))&gt;0,"國",IF(SUMPRODUCT(INDEX(設定!$U$54:$AO$58,0,U$57))=0,"休","")))</f>
        <v/>
      </c>
      <c r="V59">
        <f>IF(6&gt;DAY(EOMONTH(DATE(設定!$C$2,設定!$D$2,1),0)),"X",IF(COUNTIF(設定!$W$6:$W$40,DATE(設定!$C$2,設定!$D$2,6))&gt;0,"國",IF(SUMPRODUCT(INDEX(設定!$U$54:$AO$58,0,V$57))=0,"休","")))</f>
        <v/>
      </c>
      <c r="W59">
        <f>IF(7&gt;DAY(EOMONTH(DATE(設定!$C$2,設定!$D$2,1),0)),"X",IF(COUNTIF(設定!$W$6:$W$40,DATE(設定!$C$2,設定!$D$2,7))&gt;0,"國",IF(SUMPRODUCT(INDEX(設定!$U$54:$AO$58,0,W$57))=0,"休","")))</f>
        <v/>
      </c>
      <c r="X59">
        <f>IF(7&gt;DAY(EOMONTH(DATE(設定!$C$2,設定!$D$2,1),0)),"X",IF(COUNTIF(設定!$W$6:$W$40,DATE(設定!$C$2,設定!$D$2,7))&gt;0,"國",IF(SUMPRODUCT(INDEX(設定!$U$54:$AO$58,0,X$57))=0,"休","")))</f>
        <v/>
      </c>
      <c r="Y59">
        <f>IF(7&gt;DAY(EOMONTH(DATE(設定!$C$2,設定!$D$2,1),0)),"X",IF(COUNTIF(設定!$W$6:$W$40,DATE(設定!$C$2,設定!$D$2,7))&gt;0,"國",IF(SUMPRODUCT(INDEX(設定!$U$54:$AO$58,0,Y$57))=0,"休","")))</f>
        <v/>
      </c>
      <c r="Z59">
        <f>IF(8&gt;DAY(EOMONTH(DATE(設定!$C$2,設定!$D$2,1),0)),"X",IF(COUNTIF(設定!$W$6:$W$40,DATE(設定!$C$2,設定!$D$2,8))&gt;0,"國",IF(SUMPRODUCT(INDEX(設定!$U$54:$AO$58,0,Z$57))=0,"休","")))</f>
        <v/>
      </c>
      <c r="AA59">
        <f>IF(8&gt;DAY(EOMONTH(DATE(設定!$C$2,設定!$D$2,1),0)),"X",IF(COUNTIF(設定!$W$6:$W$40,DATE(設定!$C$2,設定!$D$2,8))&gt;0,"國",IF(SUMPRODUCT(INDEX(設定!$U$54:$AO$58,0,AA$57))=0,"休","")))</f>
        <v/>
      </c>
      <c r="AB59">
        <f>IF(8&gt;DAY(EOMONTH(DATE(設定!$C$2,設定!$D$2,1),0)),"X",IF(COUNTIF(設定!$W$6:$W$40,DATE(設定!$C$2,設定!$D$2,8))&gt;0,"國",IF(SUMPRODUCT(INDEX(設定!$U$54:$AO$58,0,AB$57))=0,"休","")))</f>
        <v/>
      </c>
      <c r="AC59">
        <f>IF(9&gt;DAY(EOMONTH(DATE(設定!$C$2,設定!$D$2,1),0)),"X",IF(COUNTIF(設定!$W$6:$W$40,DATE(設定!$C$2,設定!$D$2,9))&gt;0,"國",IF(SUMPRODUCT(INDEX(設定!$U$54:$AO$58,0,AC$57))=0,"休","")))</f>
        <v/>
      </c>
      <c r="AD59">
        <f>IF(9&gt;DAY(EOMONTH(DATE(設定!$C$2,設定!$D$2,1),0)),"X",IF(COUNTIF(設定!$W$6:$W$40,DATE(設定!$C$2,設定!$D$2,9))&gt;0,"國",IF(SUMPRODUCT(INDEX(設定!$U$54:$AO$58,0,AD$57))=0,"休","")))</f>
        <v/>
      </c>
      <c r="AE59">
        <f>IF(9&gt;DAY(EOMONTH(DATE(設定!$C$2,設定!$D$2,1),0)),"X",IF(COUNTIF(設定!$W$6:$W$40,DATE(設定!$C$2,設定!$D$2,9))&gt;0,"國",IF(SUMPRODUCT(INDEX(設定!$U$54:$AO$58,0,AE$57))=0,"休","")))</f>
        <v/>
      </c>
      <c r="AF59">
        <f>IF(10&gt;DAY(EOMONTH(DATE(設定!$C$2,設定!$D$2,1),0)),"X",IF(COUNTIF(設定!$W$6:$W$40,DATE(設定!$C$2,設定!$D$2,10))&gt;0,"國",IF(SUMPRODUCT(INDEX(設定!$U$54:$AO$58,0,AF$57))=0,"休","")))</f>
        <v/>
      </c>
      <c r="AG59">
        <f>IF(10&gt;DAY(EOMONTH(DATE(設定!$C$2,設定!$D$2,1),0)),"X",IF(COUNTIF(設定!$W$6:$W$40,DATE(設定!$C$2,設定!$D$2,10))&gt;0,"國",IF(SUMPRODUCT(INDEX(設定!$U$54:$AO$58,0,AG$57))=0,"休","")))</f>
        <v/>
      </c>
      <c r="AH59">
        <f>IF(10&gt;DAY(EOMONTH(DATE(設定!$C$2,設定!$D$2,1),0)),"X",IF(COUNTIF(設定!$W$6:$W$40,DATE(設定!$C$2,設定!$D$2,10))&gt;0,"國",IF(SUMPRODUCT(INDEX(設定!$U$54:$AO$58,0,AH$57))=0,"休","")))</f>
        <v/>
      </c>
      <c r="AI59">
        <f>IF(11&gt;DAY(EOMONTH(DATE(設定!$C$2,設定!$D$2,1),0)),"X",IF(COUNTIF(設定!$W$6:$W$40,DATE(設定!$C$2,設定!$D$2,11))&gt;0,"國",IF(SUMPRODUCT(INDEX(設定!$U$54:$AO$58,0,AI$57))=0,"休","")))</f>
        <v/>
      </c>
      <c r="AJ59">
        <f>IF(11&gt;DAY(EOMONTH(DATE(設定!$C$2,設定!$D$2,1),0)),"X",IF(COUNTIF(設定!$W$6:$W$40,DATE(設定!$C$2,設定!$D$2,11))&gt;0,"國",IF(SUMPRODUCT(INDEX(設定!$U$54:$AO$58,0,AJ$57))=0,"休","")))</f>
        <v/>
      </c>
      <c r="AK59">
        <f>IF(11&gt;DAY(EOMONTH(DATE(設定!$C$2,設定!$D$2,1),0)),"X",IF(COUNTIF(設定!$W$6:$W$40,DATE(設定!$C$2,設定!$D$2,11))&gt;0,"國",IF(SUMPRODUCT(INDEX(設定!$U$54:$AO$58,0,AK$57))=0,"休","")))</f>
        <v/>
      </c>
      <c r="AL59">
        <f>IF(12&gt;DAY(EOMONTH(DATE(設定!$C$2,設定!$D$2,1),0)),"X",IF(COUNTIF(設定!$W$6:$W$40,DATE(設定!$C$2,設定!$D$2,12))&gt;0,"國",IF(SUMPRODUCT(INDEX(設定!$U$54:$AO$58,0,AL$57))=0,"休","")))</f>
        <v/>
      </c>
      <c r="AM59">
        <f>IF(12&gt;DAY(EOMONTH(DATE(設定!$C$2,設定!$D$2,1),0)),"X",IF(COUNTIF(設定!$W$6:$W$40,DATE(設定!$C$2,設定!$D$2,12))&gt;0,"國",IF(SUMPRODUCT(INDEX(設定!$U$54:$AO$58,0,AM$57))=0,"休","")))</f>
        <v/>
      </c>
      <c r="AN59">
        <f>IF(12&gt;DAY(EOMONTH(DATE(設定!$C$2,設定!$D$2,1),0)),"X",IF(COUNTIF(設定!$W$6:$W$40,DATE(設定!$C$2,設定!$D$2,12))&gt;0,"國",IF(SUMPRODUCT(INDEX(設定!$U$54:$AO$58,0,AN$57))=0,"休","")))</f>
        <v/>
      </c>
      <c r="AO59">
        <f>IF(13&gt;DAY(EOMONTH(DATE(設定!$C$2,設定!$D$2,1),0)),"X",IF(COUNTIF(設定!$W$6:$W$40,DATE(設定!$C$2,設定!$D$2,13))&gt;0,"國",IF(SUMPRODUCT(INDEX(設定!$U$54:$AO$58,0,AO$57))=0,"休","")))</f>
        <v/>
      </c>
      <c r="AP59">
        <f>IF(13&gt;DAY(EOMONTH(DATE(設定!$C$2,設定!$D$2,1),0)),"X",IF(COUNTIF(設定!$W$6:$W$40,DATE(設定!$C$2,設定!$D$2,13))&gt;0,"國",IF(SUMPRODUCT(INDEX(設定!$U$54:$AO$58,0,AP$57))=0,"休","")))</f>
        <v/>
      </c>
      <c r="AQ59">
        <f>IF(13&gt;DAY(EOMONTH(DATE(設定!$C$2,設定!$D$2,1),0)),"X",IF(COUNTIF(設定!$W$6:$W$40,DATE(設定!$C$2,設定!$D$2,13))&gt;0,"國",IF(SUMPRODUCT(INDEX(設定!$U$54:$AO$58,0,AQ$57))=0,"休","")))</f>
        <v/>
      </c>
      <c r="AR59">
        <f>IF(14&gt;DAY(EOMONTH(DATE(設定!$C$2,設定!$D$2,1),0)),"X",IF(COUNTIF(設定!$W$6:$W$40,DATE(設定!$C$2,設定!$D$2,14))&gt;0,"國",IF(SUMPRODUCT(INDEX(設定!$U$54:$AO$58,0,AR$57))=0,"休","")))</f>
        <v/>
      </c>
      <c r="AS59">
        <f>IF(14&gt;DAY(EOMONTH(DATE(設定!$C$2,設定!$D$2,1),0)),"X",IF(COUNTIF(設定!$W$6:$W$40,DATE(設定!$C$2,設定!$D$2,14))&gt;0,"國",IF(SUMPRODUCT(INDEX(設定!$U$54:$AO$58,0,AS$57))=0,"休","")))</f>
        <v/>
      </c>
      <c r="AT59">
        <f>IF(14&gt;DAY(EOMONTH(DATE(設定!$C$2,設定!$D$2,1),0)),"X",IF(COUNTIF(設定!$W$6:$W$40,DATE(設定!$C$2,設定!$D$2,14))&gt;0,"國",IF(SUMPRODUCT(INDEX(設定!$U$54:$AO$58,0,AT$57))=0,"休","")))</f>
        <v/>
      </c>
      <c r="AU59">
        <f>IF(15&gt;DAY(EOMONTH(DATE(設定!$C$2,設定!$D$2,1),0)),"X",IF(COUNTIF(設定!$W$6:$W$40,DATE(設定!$C$2,設定!$D$2,15))&gt;0,"國",IF(SUMPRODUCT(INDEX(設定!$U$54:$AO$58,0,AU$57))=0,"休","")))</f>
        <v/>
      </c>
      <c r="AV59">
        <f>IF(15&gt;DAY(EOMONTH(DATE(設定!$C$2,設定!$D$2,1),0)),"X",IF(COUNTIF(設定!$W$6:$W$40,DATE(設定!$C$2,設定!$D$2,15))&gt;0,"國",IF(SUMPRODUCT(INDEX(設定!$U$54:$AO$58,0,AV$57))=0,"休","")))</f>
        <v/>
      </c>
      <c r="AW59">
        <f>IF(15&gt;DAY(EOMONTH(DATE(設定!$C$2,設定!$D$2,1),0)),"X",IF(COUNTIF(設定!$W$6:$W$40,DATE(設定!$C$2,設定!$D$2,15))&gt;0,"國",IF(SUMPRODUCT(INDEX(設定!$U$54:$AO$58,0,AW$57))=0,"休","")))</f>
        <v/>
      </c>
      <c r="AX59">
        <f>IF(16&gt;DAY(EOMONTH(DATE(設定!$C$2,設定!$D$2,1),0)),"X",IF(COUNTIF(設定!$W$6:$W$40,DATE(設定!$C$2,設定!$D$2,16))&gt;0,"國",IF(SUMPRODUCT(INDEX(設定!$U$54:$AO$58,0,AX$57))=0,"休","")))</f>
        <v/>
      </c>
      <c r="AY59">
        <f>IF(16&gt;DAY(EOMONTH(DATE(設定!$C$2,設定!$D$2,1),0)),"X",IF(COUNTIF(設定!$W$6:$W$40,DATE(設定!$C$2,設定!$D$2,16))&gt;0,"國",IF(SUMPRODUCT(INDEX(設定!$U$54:$AO$58,0,AY$57))=0,"休","")))</f>
        <v/>
      </c>
      <c r="AZ59">
        <f>IF(16&gt;DAY(EOMONTH(DATE(設定!$C$2,設定!$D$2,1),0)),"X",IF(COUNTIF(設定!$W$6:$W$40,DATE(設定!$C$2,設定!$D$2,16))&gt;0,"國",IF(SUMPRODUCT(INDEX(設定!$U$54:$AO$58,0,AZ$57))=0,"休","")))</f>
        <v/>
      </c>
      <c r="BA59">
        <f>IF(17&gt;DAY(EOMONTH(DATE(設定!$C$2,設定!$D$2,1),0)),"X",IF(COUNTIF(設定!$W$6:$W$40,DATE(設定!$C$2,設定!$D$2,17))&gt;0,"國",IF(SUMPRODUCT(INDEX(設定!$U$54:$AO$58,0,BA$57))=0,"休","")))</f>
        <v/>
      </c>
      <c r="BB59">
        <f>IF(17&gt;DAY(EOMONTH(DATE(設定!$C$2,設定!$D$2,1),0)),"X",IF(COUNTIF(設定!$W$6:$W$40,DATE(設定!$C$2,設定!$D$2,17))&gt;0,"國",IF(SUMPRODUCT(INDEX(設定!$U$54:$AO$58,0,BB$57))=0,"休","")))</f>
        <v/>
      </c>
      <c r="BC59">
        <f>IF(17&gt;DAY(EOMONTH(DATE(設定!$C$2,設定!$D$2,1),0)),"X",IF(COUNTIF(設定!$W$6:$W$40,DATE(設定!$C$2,設定!$D$2,17))&gt;0,"國",IF(SUMPRODUCT(INDEX(設定!$U$54:$AO$58,0,BC$57))=0,"休","")))</f>
        <v/>
      </c>
      <c r="BD59">
        <f>IF(18&gt;DAY(EOMONTH(DATE(設定!$C$2,設定!$D$2,1),0)),"X",IF(COUNTIF(設定!$W$6:$W$40,DATE(設定!$C$2,設定!$D$2,18))&gt;0,"國",IF(SUMPRODUCT(INDEX(設定!$U$54:$AO$58,0,BD$57))=0,"休","")))</f>
        <v/>
      </c>
      <c r="BE59">
        <f>IF(18&gt;DAY(EOMONTH(DATE(設定!$C$2,設定!$D$2,1),0)),"X",IF(COUNTIF(設定!$W$6:$W$40,DATE(設定!$C$2,設定!$D$2,18))&gt;0,"國",IF(SUMPRODUCT(INDEX(設定!$U$54:$AO$58,0,BE$57))=0,"休","")))</f>
        <v/>
      </c>
      <c r="BF59">
        <f>IF(18&gt;DAY(EOMONTH(DATE(設定!$C$2,設定!$D$2,1),0)),"X",IF(COUNTIF(設定!$W$6:$W$40,DATE(設定!$C$2,設定!$D$2,18))&gt;0,"國",IF(SUMPRODUCT(INDEX(設定!$U$54:$AO$58,0,BF$57))=0,"休","")))</f>
        <v/>
      </c>
      <c r="BG59">
        <f>IF(19&gt;DAY(EOMONTH(DATE(設定!$C$2,設定!$D$2,1),0)),"X",IF(COUNTIF(設定!$W$6:$W$40,DATE(設定!$C$2,設定!$D$2,19))&gt;0,"國",IF(SUMPRODUCT(INDEX(設定!$U$54:$AO$58,0,BG$57))=0,"休","")))</f>
        <v/>
      </c>
      <c r="BH59">
        <f>IF(19&gt;DAY(EOMONTH(DATE(設定!$C$2,設定!$D$2,1),0)),"X",IF(COUNTIF(設定!$W$6:$W$40,DATE(設定!$C$2,設定!$D$2,19))&gt;0,"國",IF(SUMPRODUCT(INDEX(設定!$U$54:$AO$58,0,BH$57))=0,"休","")))</f>
        <v/>
      </c>
      <c r="BI59">
        <f>IF(19&gt;DAY(EOMONTH(DATE(設定!$C$2,設定!$D$2,1),0)),"X",IF(COUNTIF(設定!$W$6:$W$40,DATE(設定!$C$2,設定!$D$2,19))&gt;0,"國",IF(SUMPRODUCT(INDEX(設定!$U$54:$AO$58,0,BI$57))=0,"休","")))</f>
        <v/>
      </c>
      <c r="BJ59">
        <f>IF(20&gt;DAY(EOMONTH(DATE(設定!$C$2,設定!$D$2,1),0)),"X",IF(COUNTIF(設定!$W$6:$W$40,DATE(設定!$C$2,設定!$D$2,20))&gt;0,"國",IF(SUMPRODUCT(INDEX(設定!$U$54:$AO$58,0,BJ$57))=0,"休","")))</f>
        <v/>
      </c>
      <c r="BK59">
        <f>IF(20&gt;DAY(EOMONTH(DATE(設定!$C$2,設定!$D$2,1),0)),"X",IF(COUNTIF(設定!$W$6:$W$40,DATE(設定!$C$2,設定!$D$2,20))&gt;0,"國",IF(SUMPRODUCT(INDEX(設定!$U$54:$AO$58,0,BK$57))=0,"休","")))</f>
        <v/>
      </c>
      <c r="BL59">
        <f>IF(20&gt;DAY(EOMONTH(DATE(設定!$C$2,設定!$D$2,1),0)),"X",IF(COUNTIF(設定!$W$6:$W$40,DATE(設定!$C$2,設定!$D$2,20))&gt;0,"國",IF(SUMPRODUCT(INDEX(設定!$U$54:$AO$58,0,BL$57))=0,"休","")))</f>
        <v/>
      </c>
      <c r="BM59">
        <f>IF(21&gt;DAY(EOMONTH(DATE(設定!$C$2,設定!$D$2,1),0)),"X",IF(COUNTIF(設定!$W$6:$W$40,DATE(設定!$C$2,設定!$D$2,21))&gt;0,"國",IF(SUMPRODUCT(INDEX(設定!$U$54:$AO$58,0,BM$57))=0,"休","")))</f>
        <v/>
      </c>
      <c r="BN59">
        <f>IF(21&gt;DAY(EOMONTH(DATE(設定!$C$2,設定!$D$2,1),0)),"X",IF(COUNTIF(設定!$W$6:$W$40,DATE(設定!$C$2,設定!$D$2,21))&gt;0,"國",IF(SUMPRODUCT(INDEX(設定!$U$54:$AO$58,0,BN$57))=0,"休","")))</f>
        <v/>
      </c>
      <c r="BO59">
        <f>IF(21&gt;DAY(EOMONTH(DATE(設定!$C$2,設定!$D$2,1),0)),"X",IF(COUNTIF(設定!$W$6:$W$40,DATE(設定!$C$2,設定!$D$2,21))&gt;0,"國",IF(SUMPRODUCT(INDEX(設定!$U$54:$AO$58,0,BO$57))=0,"休","")))</f>
        <v/>
      </c>
      <c r="BP59">
        <f>IF(22&gt;DAY(EOMONTH(DATE(設定!$C$2,設定!$D$2,1),0)),"X",IF(COUNTIF(設定!$W$6:$W$40,DATE(設定!$C$2,設定!$D$2,22))&gt;0,"國",IF(SUMPRODUCT(INDEX(設定!$U$54:$AO$58,0,BP$57))=0,"休","")))</f>
        <v/>
      </c>
      <c r="BQ59">
        <f>IF(22&gt;DAY(EOMONTH(DATE(設定!$C$2,設定!$D$2,1),0)),"X",IF(COUNTIF(設定!$W$6:$W$40,DATE(設定!$C$2,設定!$D$2,22))&gt;0,"國",IF(SUMPRODUCT(INDEX(設定!$U$54:$AO$58,0,BQ$57))=0,"休","")))</f>
        <v/>
      </c>
      <c r="BR59">
        <f>IF(22&gt;DAY(EOMONTH(DATE(設定!$C$2,設定!$D$2,1),0)),"X",IF(COUNTIF(設定!$W$6:$W$40,DATE(設定!$C$2,設定!$D$2,22))&gt;0,"國",IF(SUMPRODUCT(INDEX(設定!$U$54:$AO$58,0,BR$57))=0,"休","")))</f>
        <v/>
      </c>
      <c r="BS59">
        <f>IF(23&gt;DAY(EOMONTH(DATE(設定!$C$2,設定!$D$2,1),0)),"X",IF(COUNTIF(設定!$W$6:$W$40,DATE(設定!$C$2,設定!$D$2,23))&gt;0,"國",IF(SUMPRODUCT(INDEX(設定!$U$54:$AO$58,0,BS$57))=0,"休","")))</f>
        <v/>
      </c>
      <c r="BT59">
        <f>IF(23&gt;DAY(EOMONTH(DATE(設定!$C$2,設定!$D$2,1),0)),"X",IF(COUNTIF(設定!$W$6:$W$40,DATE(設定!$C$2,設定!$D$2,23))&gt;0,"國",IF(SUMPRODUCT(INDEX(設定!$U$54:$AO$58,0,BT$57))=0,"休","")))</f>
        <v/>
      </c>
      <c r="BU59">
        <f>IF(23&gt;DAY(EOMONTH(DATE(設定!$C$2,設定!$D$2,1),0)),"X",IF(COUNTIF(設定!$W$6:$W$40,DATE(設定!$C$2,設定!$D$2,23))&gt;0,"國",IF(SUMPRODUCT(INDEX(設定!$U$54:$AO$58,0,BU$57))=0,"休","")))</f>
        <v/>
      </c>
      <c r="BV59">
        <f>IF(24&gt;DAY(EOMONTH(DATE(設定!$C$2,設定!$D$2,1),0)),"X",IF(COUNTIF(設定!$W$6:$W$40,DATE(設定!$C$2,設定!$D$2,24))&gt;0,"國",IF(SUMPRODUCT(INDEX(設定!$U$54:$AO$58,0,BV$57))=0,"休","")))</f>
        <v/>
      </c>
      <c r="BW59">
        <f>IF(24&gt;DAY(EOMONTH(DATE(設定!$C$2,設定!$D$2,1),0)),"X",IF(COUNTIF(設定!$W$6:$W$40,DATE(設定!$C$2,設定!$D$2,24))&gt;0,"國",IF(SUMPRODUCT(INDEX(設定!$U$54:$AO$58,0,BW$57))=0,"休","")))</f>
        <v/>
      </c>
      <c r="BX59">
        <f>IF(24&gt;DAY(EOMONTH(DATE(設定!$C$2,設定!$D$2,1),0)),"X",IF(COUNTIF(設定!$W$6:$W$40,DATE(設定!$C$2,設定!$D$2,24))&gt;0,"國",IF(SUMPRODUCT(INDEX(設定!$U$54:$AO$58,0,BX$57))=0,"休","")))</f>
        <v/>
      </c>
      <c r="BY59">
        <f>IF(25&gt;DAY(EOMONTH(DATE(設定!$C$2,設定!$D$2,1),0)),"X",IF(COUNTIF(設定!$W$6:$W$40,DATE(設定!$C$2,設定!$D$2,25))&gt;0,"國",IF(SUMPRODUCT(INDEX(設定!$U$54:$AO$58,0,BY$57))=0,"休","")))</f>
        <v/>
      </c>
      <c r="BZ59">
        <f>IF(25&gt;DAY(EOMONTH(DATE(設定!$C$2,設定!$D$2,1),0)),"X",IF(COUNTIF(設定!$W$6:$W$40,DATE(設定!$C$2,設定!$D$2,25))&gt;0,"國",IF(SUMPRODUCT(INDEX(設定!$U$54:$AO$58,0,BZ$57))=0,"休","")))</f>
        <v/>
      </c>
      <c r="CA59">
        <f>IF(25&gt;DAY(EOMONTH(DATE(設定!$C$2,設定!$D$2,1),0)),"X",IF(COUNTIF(設定!$W$6:$W$40,DATE(設定!$C$2,設定!$D$2,25))&gt;0,"國",IF(SUMPRODUCT(INDEX(設定!$U$54:$AO$58,0,CA$57))=0,"休","")))</f>
        <v/>
      </c>
      <c r="CB59">
        <f>IF(26&gt;DAY(EOMONTH(DATE(設定!$C$2,設定!$D$2,1),0)),"X",IF(COUNTIF(設定!$W$6:$W$40,DATE(設定!$C$2,設定!$D$2,26))&gt;0,"國",IF(SUMPRODUCT(INDEX(設定!$U$54:$AO$58,0,CB$57))=0,"休","")))</f>
        <v/>
      </c>
      <c r="CC59">
        <f>IF(26&gt;DAY(EOMONTH(DATE(設定!$C$2,設定!$D$2,1),0)),"X",IF(COUNTIF(設定!$W$6:$W$40,DATE(設定!$C$2,設定!$D$2,26))&gt;0,"國",IF(SUMPRODUCT(INDEX(設定!$U$54:$AO$58,0,CC$57))=0,"休","")))</f>
        <v/>
      </c>
      <c r="CD59">
        <f>IF(26&gt;DAY(EOMONTH(DATE(設定!$C$2,設定!$D$2,1),0)),"X",IF(COUNTIF(設定!$W$6:$W$40,DATE(設定!$C$2,設定!$D$2,26))&gt;0,"國",IF(SUMPRODUCT(INDEX(設定!$U$54:$AO$58,0,CD$57))=0,"休","")))</f>
        <v/>
      </c>
      <c r="CE59">
        <f>IF(27&gt;DAY(EOMONTH(DATE(設定!$C$2,設定!$D$2,1),0)),"X",IF(COUNTIF(設定!$W$6:$W$40,DATE(設定!$C$2,設定!$D$2,27))&gt;0,"國",IF(SUMPRODUCT(INDEX(設定!$U$54:$AO$58,0,CE$57))=0,"休","")))</f>
        <v/>
      </c>
      <c r="CF59">
        <f>IF(27&gt;DAY(EOMONTH(DATE(設定!$C$2,設定!$D$2,1),0)),"X",IF(COUNTIF(設定!$W$6:$W$40,DATE(設定!$C$2,設定!$D$2,27))&gt;0,"國",IF(SUMPRODUCT(INDEX(設定!$U$54:$AO$58,0,CF$57))=0,"休","")))</f>
        <v/>
      </c>
      <c r="CG59">
        <f>IF(27&gt;DAY(EOMONTH(DATE(設定!$C$2,設定!$D$2,1),0)),"X",IF(COUNTIF(設定!$W$6:$W$40,DATE(設定!$C$2,設定!$D$2,27))&gt;0,"國",IF(SUMPRODUCT(INDEX(設定!$U$54:$AO$58,0,CG$57))=0,"休","")))</f>
        <v/>
      </c>
      <c r="CH59">
        <f>IF(28&gt;DAY(EOMONTH(DATE(設定!$C$2,設定!$D$2,1),0)),"X",IF(COUNTIF(設定!$W$6:$W$40,DATE(設定!$C$2,設定!$D$2,28))&gt;0,"國",IF(SUMPRODUCT(INDEX(設定!$U$54:$AO$58,0,CH$57))=0,"休","")))</f>
        <v/>
      </c>
      <c r="CI59">
        <f>IF(28&gt;DAY(EOMONTH(DATE(設定!$C$2,設定!$D$2,1),0)),"X",IF(COUNTIF(設定!$W$6:$W$40,DATE(設定!$C$2,設定!$D$2,28))&gt;0,"國",IF(SUMPRODUCT(INDEX(設定!$U$54:$AO$58,0,CI$57))=0,"休","")))</f>
        <v/>
      </c>
      <c r="CJ59">
        <f>IF(28&gt;DAY(EOMONTH(DATE(設定!$C$2,設定!$D$2,1),0)),"X",IF(COUNTIF(設定!$W$6:$W$40,DATE(設定!$C$2,設定!$D$2,28))&gt;0,"國",IF(SUMPRODUCT(INDEX(設定!$U$54:$AO$58,0,CJ$57))=0,"休","")))</f>
        <v/>
      </c>
      <c r="CK59">
        <f>IF(29&gt;DAY(EOMONTH(DATE(設定!$C$2,設定!$D$2,1),0)),"X",IF(COUNTIF(設定!$W$6:$W$40,DATE(設定!$C$2,設定!$D$2,29))&gt;0,"國",IF(SUMPRODUCT(INDEX(設定!$U$54:$AO$58,0,CK$57))=0,"休","")))</f>
        <v/>
      </c>
      <c r="CL59">
        <f>IF(29&gt;DAY(EOMONTH(DATE(設定!$C$2,設定!$D$2,1),0)),"X",IF(COUNTIF(設定!$W$6:$W$40,DATE(設定!$C$2,設定!$D$2,29))&gt;0,"國",IF(SUMPRODUCT(INDEX(設定!$U$54:$AO$58,0,CL$57))=0,"休","")))</f>
        <v/>
      </c>
      <c r="CM59">
        <f>IF(29&gt;DAY(EOMONTH(DATE(設定!$C$2,設定!$D$2,1),0)),"X",IF(COUNTIF(設定!$W$6:$W$40,DATE(設定!$C$2,設定!$D$2,29))&gt;0,"國",IF(SUMPRODUCT(INDEX(設定!$U$54:$AO$58,0,CM$57))=0,"休","")))</f>
        <v/>
      </c>
      <c r="CN59">
        <f>IF(30&gt;DAY(EOMONTH(DATE(設定!$C$2,設定!$D$2,1),0)),"X",IF(COUNTIF(設定!$W$6:$W$40,DATE(設定!$C$2,設定!$D$2,30))&gt;0,"國",IF(SUMPRODUCT(INDEX(設定!$U$54:$AO$58,0,CN$57))=0,"休","")))</f>
        <v/>
      </c>
      <c r="CO59">
        <f>IF(30&gt;DAY(EOMONTH(DATE(設定!$C$2,設定!$D$2,1),0)),"X",IF(COUNTIF(設定!$W$6:$W$40,DATE(設定!$C$2,設定!$D$2,30))&gt;0,"國",IF(SUMPRODUCT(INDEX(設定!$U$54:$AO$58,0,CO$57))=0,"休","")))</f>
        <v/>
      </c>
      <c r="CP59">
        <f>IF(30&gt;DAY(EOMONTH(DATE(設定!$C$2,設定!$D$2,1),0)),"X",IF(COUNTIF(設定!$W$6:$W$40,DATE(設定!$C$2,設定!$D$2,30))&gt;0,"國",IF(SUMPRODUCT(INDEX(設定!$U$54:$AO$58,0,CP$57))=0,"休","")))</f>
        <v/>
      </c>
      <c r="CQ59">
        <f>IF(31&gt;DAY(EOMONTH(DATE(設定!$C$2,設定!$D$2,1),0)),"X",IF(COUNTIF(設定!$W$6:$W$40,DATE(設定!$C$2,設定!$D$2,31))&gt;0,"國",IF(SUMPRODUCT(INDEX(設定!$U$54:$AO$58,0,CQ$57))=0,"休","")))</f>
        <v/>
      </c>
      <c r="CR59">
        <f>IF(31&gt;DAY(EOMONTH(DATE(設定!$C$2,設定!$D$2,1),0)),"X",IF(COUNTIF(設定!$W$6:$W$40,DATE(設定!$C$2,設定!$D$2,31))&gt;0,"國",IF(SUMPRODUCT(INDEX(設定!$U$54:$AO$58,0,CR$57))=0,"休","")))</f>
        <v/>
      </c>
      <c r="CS59">
        <f>IF(31&gt;DAY(EOMONTH(DATE(設定!$C$2,設定!$D$2,1),0)),"X",IF(COUNTIF(設定!$W$6:$W$40,DATE(設定!$C$2,設定!$D$2,31))&gt;0,"國",IF(SUMPRODUCT(INDEX(設定!$U$54:$AO$58,0,CS$57))=0,"休","")))</f>
        <v/>
      </c>
    </row>
  </sheetData>
  <mergeCells count="47">
    <mergeCell ref="CE3:CG3"/>
    <mergeCell ref="CQ3:CS3"/>
    <mergeCell ref="BP3:BR3"/>
    <mergeCell ref="CB3:CD3"/>
    <mergeCell ref="W3:Y3"/>
    <mergeCell ref="Q2:T2"/>
    <mergeCell ref="Z3:AB3"/>
    <mergeCell ref="BA3:BC3"/>
    <mergeCell ref="AL3:AN3"/>
    <mergeCell ref="CN3:CP3"/>
    <mergeCell ref="A48:D48"/>
    <mergeCell ref="C3:C5"/>
    <mergeCell ref="AX3:AZ3"/>
    <mergeCell ref="B3:B5"/>
    <mergeCell ref="I2:L2"/>
    <mergeCell ref="H3:J3"/>
    <mergeCell ref="AI3:AK3"/>
    <mergeCell ref="A49:D49"/>
    <mergeCell ref="A51:D51"/>
    <mergeCell ref="BJ3:BL3"/>
    <mergeCell ref="CK3:CM3"/>
    <mergeCell ref="AU3:AW3"/>
    <mergeCell ref="BV3:BX3"/>
    <mergeCell ref="AR3:AT3"/>
    <mergeCell ref="U2:X2"/>
    <mergeCell ref="T3:V3"/>
    <mergeCell ref="M2:P2"/>
    <mergeCell ref="E3:G3"/>
    <mergeCell ref="K3:M3"/>
    <mergeCell ref="AF3:AH3"/>
    <mergeCell ref="A46:D46"/>
    <mergeCell ref="A1:AN1"/>
    <mergeCell ref="BG3:BI3"/>
    <mergeCell ref="Q3:S3"/>
    <mergeCell ref="CH3:CJ3"/>
    <mergeCell ref="BM3:BO3"/>
    <mergeCell ref="BS3:BU3"/>
    <mergeCell ref="A50:D50"/>
    <mergeCell ref="AO3:AQ3"/>
    <mergeCell ref="A3:A5"/>
    <mergeCell ref="AC3:AE3"/>
    <mergeCell ref="D3:D5"/>
    <mergeCell ref="A47:D47"/>
    <mergeCell ref="BD3:BF3"/>
    <mergeCell ref="E2:H2"/>
    <mergeCell ref="N3:P3"/>
    <mergeCell ref="BY3:CA3"/>
  </mergeCells>
  <conditionalFormatting sqref="E6:CS45">
    <cfRule type="expression" priority="1" dxfId="0" stopIfTrue="1">
      <formula>E6="悅"</formula>
    </cfRule>
    <cfRule type="expression" priority="2" dxfId="1" stopIfTrue="1">
      <formula>E6="睿"</formula>
    </cfRule>
    <cfRule type="expression" priority="3" dxfId="2" stopIfTrue="1">
      <formula>E6="匯"</formula>
    </cfRule>
    <cfRule type="expression" priority="4" dxfId="3" stopIfTrue="1">
      <formula>E6="曜"</formula>
    </cfRule>
    <cfRule type="expression" priority="5" dxfId="4" stopIfTrue="1">
      <formula>E6="寶"</formula>
    </cfRule>
    <cfRule type="expression" priority="6" dxfId="5" stopIfTrue="1">
      <formula>COUNTIF(設定!$B$28:$B$40,E6)&gt;0</formula>
    </cfRule>
    <cfRule type="expression" priority="7" dxfId="6">
      <formula>OR(E$4="六",E$4="日")</formula>
    </cfRule>
    <cfRule type="expression" priority="9" dxfId="7">
      <formula>AND(E$4&lt;&gt;"",NOT(_xlfn.ISFORMULA(E6)))</formula>
    </cfRule>
  </conditionalFormatting>
  <conditionalFormatting sqref="E4:CS5">
    <cfRule type="expression" priority="8" dxfId="6">
      <formula>OR(E$4="六",E$4="日")</formula>
    </cfRule>
  </conditionalFormatting>
  <conditionalFormatting sqref="E47:CS47">
    <cfRule type="expression" priority="10" dxfId="8">
      <formula>AND(E$4&lt;&gt;"",ISNUMBER(E47),E47=0)</formula>
    </cfRule>
  </conditionalFormatting>
  <conditionalFormatting sqref="E48:CS48">
    <cfRule type="expression" priority="11" dxfId="8">
      <formula>AND(E$4&lt;&gt;"",ISNUMBER(E48),E48=0)</formula>
    </cfRule>
  </conditionalFormatting>
  <conditionalFormatting sqref="E49:CS49">
    <cfRule type="expression" priority="12" dxfId="8">
      <formula>AND(E$4&lt;&gt;"",ISNUMBER(E49),E49=0)</formula>
    </cfRule>
  </conditionalFormatting>
  <conditionalFormatting sqref="E50:CS50">
    <cfRule type="expression" priority="13" dxfId="8">
      <formula>AND(E$4&lt;&gt;"",ISNUMBER(E50),E50=0)</formula>
    </cfRule>
  </conditionalFormatting>
  <conditionalFormatting sqref="E51:CS51">
    <cfRule type="expression" priority="14" dxfId="8">
      <formula>AND(E$4&lt;&gt;"",ISNUMBER(E51),E51=0)</formula>
    </cfRule>
  </conditionalFormatting>
  <dataValidations count="2">
    <dataValidation sqref="E6:CS45" showDropDown="0" showInputMessage="0" showErrorMessage="1" allowBlank="1" errorTitle="診次代碼無效" error="請填院所代碼(悅睿匯曜寶)或休假代碼。" type="list">
      <formula1>設定!$B$28:$B$40</formula1>
    </dataValidation>
    <dataValidation sqref="A6:A45" showDropDown="0" showInputMessage="0" showErrorMessage="1" allowBlank="1" errorTitle="不在醫師名冊中" error="這個編號不在醫師名冊裡。確定要用請按「是」,但建議先到「設定」分頁把人加進名冊。" type="list" errorStyle="warning">
      <formula1>設定!$Q$6:$Q$45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9" customWidth="1" min="10" max="10"/>
    <col width="11" customWidth="1" min="11" max="11"/>
    <col width="9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9" customWidth="1" min="18" max="18"/>
    <col width="7" customWidth="1" min="19" max="19"/>
    <col width="12" customWidth="1" min="20" max="20"/>
    <col width="10" customWidth="1" min="21" max="21"/>
  </cols>
  <sheetData>
    <row r="1">
      <c r="A1" s="1" t="inlineStr">
        <is>
          <t>醫師月結(全自動 · 以診次為單位)</t>
        </is>
      </c>
    </row>
    <row r="2">
      <c r="A2" s="4" t="inlineStr">
        <is>
          <t>期間</t>
        </is>
      </c>
      <c r="B2" s="27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專科</t>
        </is>
      </c>
      <c r="D4" s="10" t="inlineStr">
        <is>
          <t>職務</t>
        </is>
      </c>
      <c r="E4" s="10" t="inlineStr">
        <is>
          <t>晶悅診次</t>
        </is>
      </c>
      <c r="F4" s="10" t="inlineStr">
        <is>
          <t>晶睿診次</t>
        </is>
      </c>
      <c r="G4" s="10" t="inlineStr">
        <is>
          <t>晶匯診次</t>
        </is>
      </c>
      <c r="H4" s="10" t="inlineStr">
        <is>
          <t>晶曜診次</t>
        </is>
      </c>
      <c r="I4" s="10" t="inlineStr">
        <is>
          <t>寶貝牙診次</t>
        </is>
      </c>
      <c r="J4" s="10" t="inlineStr">
        <is>
          <t>總診次</t>
        </is>
      </c>
      <c r="K4" s="10" t="inlineStr">
        <is>
          <t>服務院所數</t>
        </is>
      </c>
      <c r="L4" s="10" t="inlineStr">
        <is>
          <t>教育訓練</t>
        </is>
      </c>
      <c r="M4" s="10" t="inlineStr">
        <is>
          <t>排休</t>
        </is>
      </c>
      <c r="N4" s="10" t="inlineStr">
        <is>
          <t>特休</t>
        </is>
      </c>
      <c r="O4" s="10" t="inlineStr">
        <is>
          <t>病假</t>
        </is>
      </c>
      <c r="P4" s="10" t="inlineStr">
        <is>
          <t>事假</t>
        </is>
      </c>
      <c r="Q4" s="10" t="inlineStr">
        <is>
          <t>公假</t>
        </is>
      </c>
      <c r="R4" s="10" t="inlineStr">
        <is>
          <t>國定假日</t>
        </is>
      </c>
      <c r="S4" s="10" t="inlineStr">
        <is>
          <t>休診</t>
        </is>
      </c>
      <c r="T4" s="10" t="inlineStr">
        <is>
          <t>休假/休診合計</t>
        </is>
      </c>
      <c r="U4" s="10" t="inlineStr">
        <is>
          <t>未排診次</t>
        </is>
      </c>
    </row>
    <row r="5">
      <c r="A5" s="16" t="inlineStr">
        <is>
          <t>D001</t>
        </is>
      </c>
      <c r="B5" s="16" t="inlineStr">
        <is>
          <t>林智俊</t>
        </is>
      </c>
      <c r="C5" s="70" t="inlineStr">
        <is>
          <t>牙周植牙專科</t>
        </is>
      </c>
      <c r="D5" s="16" t="inlineStr">
        <is>
          <t>晶悅院長</t>
        </is>
      </c>
      <c r="E5" s="62">
        <f>IF($A5="","",COUNTIF(醫師班表!$E6:$CS6,"悅"))</f>
        <v/>
      </c>
      <c r="F5" s="63">
        <f>IF($A5="","",COUNTIF(醫師班表!$E6:$CS6,"睿"))</f>
        <v/>
      </c>
      <c r="G5" s="64">
        <f>IF($A5="","",COUNTIF(醫師班表!$E6:$CS6,"匯"))</f>
        <v/>
      </c>
      <c r="H5" s="65">
        <f>IF($A5="","",COUNTIF(醫師班表!$E6:$CS6,"曜"))</f>
        <v/>
      </c>
      <c r="I5" s="66">
        <f>IF($A5="","",COUNTIF(醫師班表!$E6:$CS6,"寶"))</f>
        <v/>
      </c>
      <c r="J5" s="16">
        <f>IF($A5="","",SUM($E5:$I5))</f>
        <v/>
      </c>
      <c r="K5" s="16">
        <f>IF($A5="","",SUMPRODUCT(($E5:$I5&gt;0)*1))</f>
        <v/>
      </c>
      <c r="L5" s="16">
        <f>IF($A5="","",COUNTIF(醫師班表!$E6:$CS6,"訓"))</f>
        <v/>
      </c>
      <c r="M5" s="16">
        <f>IF($A5="","",COUNTIF(醫師班表!$E6:$CS6,"OFF"))</f>
        <v/>
      </c>
      <c r="N5" s="16">
        <f>IF($A5="","",COUNTIF(醫師班表!$E6:$CS6,"特"))</f>
        <v/>
      </c>
      <c r="O5" s="16">
        <f>IF($A5="","",COUNTIF(醫師班表!$E6:$CS6,"病"))</f>
        <v/>
      </c>
      <c r="P5" s="16">
        <f>IF($A5="","",COUNTIF(醫師班表!$E6:$CS6,"事"))</f>
        <v/>
      </c>
      <c r="Q5" s="16">
        <f>IF($A5="","",COUNTIF(醫師班表!$E6:$CS6,"公"))</f>
        <v/>
      </c>
      <c r="R5" s="16">
        <f>IF($A5="","",COUNTIF(醫師班表!$E6:$CS6,"國"))</f>
        <v/>
      </c>
      <c r="S5" s="16">
        <f>IF($A5="","",COUNTIF(醫師班表!$E6:$CS6,"休"))</f>
        <v/>
      </c>
      <c r="T5" s="16">
        <f>IF($A5="","",SUM($M5:$S5))</f>
        <v/>
      </c>
      <c r="U5" s="16">
        <f>IF($A5="","",DAY(EOMONTH(DATE(設定!$C$2,設定!$D$2,1),0))*3-COUNTIF(醫師班表!$E6:$CS6,"?*"))</f>
        <v/>
      </c>
    </row>
    <row r="6">
      <c r="A6" s="16" t="inlineStr">
        <is>
          <t>D002</t>
        </is>
      </c>
      <c r="B6" s="16" t="inlineStr">
        <is>
          <t>劉立德</t>
        </is>
      </c>
      <c r="C6" s="70" t="inlineStr">
        <is>
          <t>植牙專科 家庭牙醫專科</t>
        </is>
      </c>
      <c r="D6" s="16" t="inlineStr">
        <is>
          <t>晶曜院長</t>
        </is>
      </c>
      <c r="E6" s="62">
        <f>IF($A6="","",COUNTIF(醫師班表!$E7:$CS7,"悅"))</f>
        <v/>
      </c>
      <c r="F6" s="63">
        <f>IF($A6="","",COUNTIF(醫師班表!$E7:$CS7,"睿"))</f>
        <v/>
      </c>
      <c r="G6" s="64">
        <f>IF($A6="","",COUNTIF(醫師班表!$E7:$CS7,"匯"))</f>
        <v/>
      </c>
      <c r="H6" s="65">
        <f>IF($A6="","",COUNTIF(醫師班表!$E7:$CS7,"曜"))</f>
        <v/>
      </c>
      <c r="I6" s="66">
        <f>IF($A6="","",COUNTIF(醫師班表!$E7:$CS7,"寶"))</f>
        <v/>
      </c>
      <c r="J6" s="16">
        <f>IF($A6="","",SUM($E6:$I6))</f>
        <v/>
      </c>
      <c r="K6" s="16">
        <f>IF($A6="","",SUMPRODUCT(($E6:$I6&gt;0)*1))</f>
        <v/>
      </c>
      <c r="L6" s="16">
        <f>IF($A6="","",COUNTIF(醫師班表!$E7:$CS7,"訓"))</f>
        <v/>
      </c>
      <c r="M6" s="16">
        <f>IF($A6="","",COUNTIF(醫師班表!$E7:$CS7,"OFF"))</f>
        <v/>
      </c>
      <c r="N6" s="16">
        <f>IF($A6="","",COUNTIF(醫師班表!$E7:$CS7,"特"))</f>
        <v/>
      </c>
      <c r="O6" s="16">
        <f>IF($A6="","",COUNTIF(醫師班表!$E7:$CS7,"病"))</f>
        <v/>
      </c>
      <c r="P6" s="16">
        <f>IF($A6="","",COUNTIF(醫師班表!$E7:$CS7,"事"))</f>
        <v/>
      </c>
      <c r="Q6" s="16">
        <f>IF($A6="","",COUNTIF(醫師班表!$E7:$CS7,"公"))</f>
        <v/>
      </c>
      <c r="R6" s="16">
        <f>IF($A6="","",COUNTIF(醫師班表!$E7:$CS7,"國"))</f>
        <v/>
      </c>
      <c r="S6" s="16">
        <f>IF($A6="","",COUNTIF(醫師班表!$E7:$CS7,"休"))</f>
        <v/>
      </c>
      <c r="T6" s="16">
        <f>IF($A6="","",SUM($M6:$S6))</f>
        <v/>
      </c>
      <c r="U6" s="16">
        <f>IF($A6="","",DAY(EOMONTH(DATE(設定!$C$2,設定!$D$2,1),0))*3-COUNTIF(醫師班表!$E7:$CS7,"?*"))</f>
        <v/>
      </c>
    </row>
    <row r="7">
      <c r="A7" s="16" t="inlineStr">
        <is>
          <t>D003</t>
        </is>
      </c>
      <c r="B7" s="16" t="inlineStr">
        <is>
          <t>王泳泉</t>
        </is>
      </c>
      <c r="C7" s="70" t="inlineStr">
        <is>
          <t>矯正專科</t>
        </is>
      </c>
      <c r="D7" s="16" t="inlineStr"/>
      <c r="E7" s="62">
        <f>IF($A7="","",COUNTIF(醫師班表!$E8:$CS8,"悅"))</f>
        <v/>
      </c>
      <c r="F7" s="63">
        <f>IF($A7="","",COUNTIF(醫師班表!$E8:$CS8,"睿"))</f>
        <v/>
      </c>
      <c r="G7" s="64">
        <f>IF($A7="","",COUNTIF(醫師班表!$E8:$CS8,"匯"))</f>
        <v/>
      </c>
      <c r="H7" s="65">
        <f>IF($A7="","",COUNTIF(醫師班表!$E8:$CS8,"曜"))</f>
        <v/>
      </c>
      <c r="I7" s="66">
        <f>IF($A7="","",COUNTIF(醫師班表!$E8:$CS8,"寶"))</f>
        <v/>
      </c>
      <c r="J7" s="16">
        <f>IF($A7="","",SUM($E7:$I7))</f>
        <v/>
      </c>
      <c r="K7" s="16">
        <f>IF($A7="","",SUMPRODUCT(($E7:$I7&gt;0)*1))</f>
        <v/>
      </c>
      <c r="L7" s="16">
        <f>IF($A7="","",COUNTIF(醫師班表!$E8:$CS8,"訓"))</f>
        <v/>
      </c>
      <c r="M7" s="16">
        <f>IF($A7="","",COUNTIF(醫師班表!$E8:$CS8,"OFF"))</f>
        <v/>
      </c>
      <c r="N7" s="16">
        <f>IF($A7="","",COUNTIF(醫師班表!$E8:$CS8,"特"))</f>
        <v/>
      </c>
      <c r="O7" s="16">
        <f>IF($A7="","",COUNTIF(醫師班表!$E8:$CS8,"病"))</f>
        <v/>
      </c>
      <c r="P7" s="16">
        <f>IF($A7="","",COUNTIF(醫師班表!$E8:$CS8,"事"))</f>
        <v/>
      </c>
      <c r="Q7" s="16">
        <f>IF($A7="","",COUNTIF(醫師班表!$E8:$CS8,"公"))</f>
        <v/>
      </c>
      <c r="R7" s="16">
        <f>IF($A7="","",COUNTIF(醫師班表!$E8:$CS8,"國"))</f>
        <v/>
      </c>
      <c r="S7" s="16">
        <f>IF($A7="","",COUNTIF(醫師班表!$E8:$CS8,"休"))</f>
        <v/>
      </c>
      <c r="T7" s="16">
        <f>IF($A7="","",SUM($M7:$S7))</f>
        <v/>
      </c>
      <c r="U7" s="16">
        <f>IF($A7="","",DAY(EOMONTH(DATE(設定!$C$2,設定!$D$2,1),0))*3-COUNTIF(醫師班表!$E8:$CS8,"?*"))</f>
        <v/>
      </c>
    </row>
    <row r="8">
      <c r="A8" s="16" t="inlineStr">
        <is>
          <t>D004</t>
        </is>
      </c>
      <c r="B8" s="16" t="inlineStr">
        <is>
          <t>劉玠旻</t>
        </is>
      </c>
      <c r="C8" s="70" t="inlineStr">
        <is>
          <t>兒童專科</t>
        </is>
      </c>
      <c r="D8" s="16" t="inlineStr"/>
      <c r="E8" s="62">
        <f>IF($A8="","",COUNTIF(醫師班表!$E9:$CS9,"悅"))</f>
        <v/>
      </c>
      <c r="F8" s="63">
        <f>IF($A8="","",COUNTIF(醫師班表!$E9:$CS9,"睿"))</f>
        <v/>
      </c>
      <c r="G8" s="64">
        <f>IF($A8="","",COUNTIF(醫師班表!$E9:$CS9,"匯"))</f>
        <v/>
      </c>
      <c r="H8" s="65">
        <f>IF($A8="","",COUNTIF(醫師班表!$E9:$CS9,"曜"))</f>
        <v/>
      </c>
      <c r="I8" s="66">
        <f>IF($A8="","",COUNTIF(醫師班表!$E9:$CS9,"寶"))</f>
        <v/>
      </c>
      <c r="J8" s="16">
        <f>IF($A8="","",SUM($E8:$I8))</f>
        <v/>
      </c>
      <c r="K8" s="16">
        <f>IF($A8="","",SUMPRODUCT(($E8:$I8&gt;0)*1))</f>
        <v/>
      </c>
      <c r="L8" s="16">
        <f>IF($A8="","",COUNTIF(醫師班表!$E9:$CS9,"訓"))</f>
        <v/>
      </c>
      <c r="M8" s="16">
        <f>IF($A8="","",COUNTIF(醫師班表!$E9:$CS9,"OFF"))</f>
        <v/>
      </c>
      <c r="N8" s="16">
        <f>IF($A8="","",COUNTIF(醫師班表!$E9:$CS9,"特"))</f>
        <v/>
      </c>
      <c r="O8" s="16">
        <f>IF($A8="","",COUNTIF(醫師班表!$E9:$CS9,"病"))</f>
        <v/>
      </c>
      <c r="P8" s="16">
        <f>IF($A8="","",COUNTIF(醫師班表!$E9:$CS9,"事"))</f>
        <v/>
      </c>
      <c r="Q8" s="16">
        <f>IF($A8="","",COUNTIF(醫師班表!$E9:$CS9,"公"))</f>
        <v/>
      </c>
      <c r="R8" s="16">
        <f>IF($A8="","",COUNTIF(醫師班表!$E9:$CS9,"國"))</f>
        <v/>
      </c>
      <c r="S8" s="16">
        <f>IF($A8="","",COUNTIF(醫師班表!$E9:$CS9,"休"))</f>
        <v/>
      </c>
      <c r="T8" s="16">
        <f>IF($A8="","",SUM($M8:$S8))</f>
        <v/>
      </c>
      <c r="U8" s="16">
        <f>IF($A8="","",DAY(EOMONTH(DATE(設定!$C$2,設定!$D$2,1),0))*3-COUNTIF(醫師班表!$E9:$CS9,"?*"))</f>
        <v/>
      </c>
    </row>
    <row r="9">
      <c r="A9" s="16" t="inlineStr">
        <is>
          <t>D005</t>
        </is>
      </c>
      <c r="B9" s="16" t="inlineStr">
        <is>
          <t>陳志僑</t>
        </is>
      </c>
      <c r="C9" s="70" t="inlineStr">
        <is>
          <t>口外專科</t>
        </is>
      </c>
      <c r="D9" s="16" t="inlineStr"/>
      <c r="E9" s="62">
        <f>IF($A9="","",COUNTIF(醫師班表!$E10:$CS10,"悅"))</f>
        <v/>
      </c>
      <c r="F9" s="63">
        <f>IF($A9="","",COUNTIF(醫師班表!$E10:$CS10,"睿"))</f>
        <v/>
      </c>
      <c r="G9" s="64">
        <f>IF($A9="","",COUNTIF(醫師班表!$E10:$CS10,"匯"))</f>
        <v/>
      </c>
      <c r="H9" s="65">
        <f>IF($A9="","",COUNTIF(醫師班表!$E10:$CS10,"曜"))</f>
        <v/>
      </c>
      <c r="I9" s="66">
        <f>IF($A9="","",COUNTIF(醫師班表!$E10:$CS10,"寶"))</f>
        <v/>
      </c>
      <c r="J9" s="16">
        <f>IF($A9="","",SUM($E9:$I9))</f>
        <v/>
      </c>
      <c r="K9" s="16">
        <f>IF($A9="","",SUMPRODUCT(($E9:$I9&gt;0)*1))</f>
        <v/>
      </c>
      <c r="L9" s="16">
        <f>IF($A9="","",COUNTIF(醫師班表!$E10:$CS10,"訓"))</f>
        <v/>
      </c>
      <c r="M9" s="16">
        <f>IF($A9="","",COUNTIF(醫師班表!$E10:$CS10,"OFF"))</f>
        <v/>
      </c>
      <c r="N9" s="16">
        <f>IF($A9="","",COUNTIF(醫師班表!$E10:$CS10,"特"))</f>
        <v/>
      </c>
      <c r="O9" s="16">
        <f>IF($A9="","",COUNTIF(醫師班表!$E10:$CS10,"病"))</f>
        <v/>
      </c>
      <c r="P9" s="16">
        <f>IF($A9="","",COUNTIF(醫師班表!$E10:$CS10,"事"))</f>
        <v/>
      </c>
      <c r="Q9" s="16">
        <f>IF($A9="","",COUNTIF(醫師班表!$E10:$CS10,"公"))</f>
        <v/>
      </c>
      <c r="R9" s="16">
        <f>IF($A9="","",COUNTIF(醫師班表!$E10:$CS10,"國"))</f>
        <v/>
      </c>
      <c r="S9" s="16">
        <f>IF($A9="","",COUNTIF(醫師班表!$E10:$CS10,"休"))</f>
        <v/>
      </c>
      <c r="T9" s="16">
        <f>IF($A9="","",SUM($M9:$S9))</f>
        <v/>
      </c>
      <c r="U9" s="16">
        <f>IF($A9="","",DAY(EOMONTH(DATE(設定!$C$2,設定!$D$2,1),0))*3-COUNTIF(醫師班表!$E10:$CS10,"?*"))</f>
        <v/>
      </c>
    </row>
    <row r="10">
      <c r="A10" s="16" t="inlineStr">
        <is>
          <t>D006</t>
        </is>
      </c>
      <c r="B10" s="16" t="inlineStr">
        <is>
          <t>黃榆鈞</t>
        </is>
      </c>
      <c r="C10" s="70" t="inlineStr">
        <is>
          <t>矯正專科</t>
        </is>
      </c>
      <c r="D10" s="16" t="inlineStr"/>
      <c r="E10" s="62">
        <f>IF($A10="","",COUNTIF(醫師班表!$E11:$CS11,"悅"))</f>
        <v/>
      </c>
      <c r="F10" s="63">
        <f>IF($A10="","",COUNTIF(醫師班表!$E11:$CS11,"睿"))</f>
        <v/>
      </c>
      <c r="G10" s="64">
        <f>IF($A10="","",COUNTIF(醫師班表!$E11:$CS11,"匯"))</f>
        <v/>
      </c>
      <c r="H10" s="65">
        <f>IF($A10="","",COUNTIF(醫師班表!$E11:$CS11,"曜"))</f>
        <v/>
      </c>
      <c r="I10" s="66">
        <f>IF($A10="","",COUNTIF(醫師班表!$E11:$CS11,"寶"))</f>
        <v/>
      </c>
      <c r="J10" s="16">
        <f>IF($A10="","",SUM($E10:$I10))</f>
        <v/>
      </c>
      <c r="K10" s="16">
        <f>IF($A10="","",SUMPRODUCT(($E10:$I10&gt;0)*1))</f>
        <v/>
      </c>
      <c r="L10" s="16">
        <f>IF($A10="","",COUNTIF(醫師班表!$E11:$CS11,"訓"))</f>
        <v/>
      </c>
      <c r="M10" s="16">
        <f>IF($A10="","",COUNTIF(醫師班表!$E11:$CS11,"OFF"))</f>
        <v/>
      </c>
      <c r="N10" s="16">
        <f>IF($A10="","",COUNTIF(醫師班表!$E11:$CS11,"特"))</f>
        <v/>
      </c>
      <c r="O10" s="16">
        <f>IF($A10="","",COUNTIF(醫師班表!$E11:$CS11,"病"))</f>
        <v/>
      </c>
      <c r="P10" s="16">
        <f>IF($A10="","",COUNTIF(醫師班表!$E11:$CS11,"事"))</f>
        <v/>
      </c>
      <c r="Q10" s="16">
        <f>IF($A10="","",COUNTIF(醫師班表!$E11:$CS11,"公"))</f>
        <v/>
      </c>
      <c r="R10" s="16">
        <f>IF($A10="","",COUNTIF(醫師班表!$E11:$CS11,"國"))</f>
        <v/>
      </c>
      <c r="S10" s="16">
        <f>IF($A10="","",COUNTIF(醫師班表!$E11:$CS11,"休"))</f>
        <v/>
      </c>
      <c r="T10" s="16">
        <f>IF($A10="","",SUM($M10:$S10))</f>
        <v/>
      </c>
      <c r="U10" s="16">
        <f>IF($A10="","",DAY(EOMONTH(DATE(設定!$C$2,設定!$D$2,1),0))*3-COUNTIF(醫師班表!$E11:$CS11,"?*"))</f>
        <v/>
      </c>
    </row>
    <row r="11">
      <c r="A11" s="16" t="inlineStr">
        <is>
          <t>D007</t>
        </is>
      </c>
      <c r="B11" s="16" t="inlineStr">
        <is>
          <t>温翊君</t>
        </is>
      </c>
      <c r="C11" s="70" t="inlineStr">
        <is>
          <t>根管治療專科</t>
        </is>
      </c>
      <c r="D11" s="16" t="inlineStr"/>
      <c r="E11" s="62">
        <f>IF($A11="","",COUNTIF(醫師班表!$E12:$CS12,"悅"))</f>
        <v/>
      </c>
      <c r="F11" s="63">
        <f>IF($A11="","",COUNTIF(醫師班表!$E12:$CS12,"睿"))</f>
        <v/>
      </c>
      <c r="G11" s="64">
        <f>IF($A11="","",COUNTIF(醫師班表!$E12:$CS12,"匯"))</f>
        <v/>
      </c>
      <c r="H11" s="65">
        <f>IF($A11="","",COUNTIF(醫師班表!$E12:$CS12,"曜"))</f>
        <v/>
      </c>
      <c r="I11" s="66">
        <f>IF($A11="","",COUNTIF(醫師班表!$E12:$CS12,"寶"))</f>
        <v/>
      </c>
      <c r="J11" s="16">
        <f>IF($A11="","",SUM($E11:$I11))</f>
        <v/>
      </c>
      <c r="K11" s="16">
        <f>IF($A11="","",SUMPRODUCT(($E11:$I11&gt;0)*1))</f>
        <v/>
      </c>
      <c r="L11" s="16">
        <f>IF($A11="","",COUNTIF(醫師班表!$E12:$CS12,"訓"))</f>
        <v/>
      </c>
      <c r="M11" s="16">
        <f>IF($A11="","",COUNTIF(醫師班表!$E12:$CS12,"OFF"))</f>
        <v/>
      </c>
      <c r="N11" s="16">
        <f>IF($A11="","",COUNTIF(醫師班表!$E12:$CS12,"特"))</f>
        <v/>
      </c>
      <c r="O11" s="16">
        <f>IF($A11="","",COUNTIF(醫師班表!$E12:$CS12,"病"))</f>
        <v/>
      </c>
      <c r="P11" s="16">
        <f>IF($A11="","",COUNTIF(醫師班表!$E12:$CS12,"事"))</f>
        <v/>
      </c>
      <c r="Q11" s="16">
        <f>IF($A11="","",COUNTIF(醫師班表!$E12:$CS12,"公"))</f>
        <v/>
      </c>
      <c r="R11" s="16">
        <f>IF($A11="","",COUNTIF(醫師班表!$E12:$CS12,"國"))</f>
        <v/>
      </c>
      <c r="S11" s="16">
        <f>IF($A11="","",COUNTIF(醫師班表!$E12:$CS12,"休"))</f>
        <v/>
      </c>
      <c r="T11" s="16">
        <f>IF($A11="","",SUM($M11:$S11))</f>
        <v/>
      </c>
      <c r="U11" s="16">
        <f>IF($A11="","",DAY(EOMONTH(DATE(設定!$C$2,設定!$D$2,1),0))*3-COUNTIF(醫師班表!$E12:$CS12,"?*"))</f>
        <v/>
      </c>
    </row>
    <row r="12">
      <c r="A12" s="16" t="inlineStr">
        <is>
          <t>D008</t>
        </is>
      </c>
      <c r="B12" s="16" t="inlineStr">
        <is>
          <t>林紫亭</t>
        </is>
      </c>
      <c r="C12" s="70" t="inlineStr"/>
      <c r="D12" s="16" t="inlineStr"/>
      <c r="E12" s="62">
        <f>IF($A12="","",COUNTIF(醫師班表!$E13:$CS13,"悅"))</f>
        <v/>
      </c>
      <c r="F12" s="63">
        <f>IF($A12="","",COUNTIF(醫師班表!$E13:$CS13,"睿"))</f>
        <v/>
      </c>
      <c r="G12" s="64">
        <f>IF($A12="","",COUNTIF(醫師班表!$E13:$CS13,"匯"))</f>
        <v/>
      </c>
      <c r="H12" s="65">
        <f>IF($A12="","",COUNTIF(醫師班表!$E13:$CS13,"曜"))</f>
        <v/>
      </c>
      <c r="I12" s="66">
        <f>IF($A12="","",COUNTIF(醫師班表!$E13:$CS13,"寶"))</f>
        <v/>
      </c>
      <c r="J12" s="16">
        <f>IF($A12="","",SUM($E12:$I12))</f>
        <v/>
      </c>
      <c r="K12" s="16">
        <f>IF($A12="","",SUMPRODUCT(($E12:$I12&gt;0)*1))</f>
        <v/>
      </c>
      <c r="L12" s="16">
        <f>IF($A12="","",COUNTIF(醫師班表!$E13:$CS13,"訓"))</f>
        <v/>
      </c>
      <c r="M12" s="16">
        <f>IF($A12="","",COUNTIF(醫師班表!$E13:$CS13,"OFF"))</f>
        <v/>
      </c>
      <c r="N12" s="16">
        <f>IF($A12="","",COUNTIF(醫師班表!$E13:$CS13,"特"))</f>
        <v/>
      </c>
      <c r="O12" s="16">
        <f>IF($A12="","",COUNTIF(醫師班表!$E13:$CS13,"病"))</f>
        <v/>
      </c>
      <c r="P12" s="16">
        <f>IF($A12="","",COUNTIF(醫師班表!$E13:$CS13,"事"))</f>
        <v/>
      </c>
      <c r="Q12" s="16">
        <f>IF($A12="","",COUNTIF(醫師班表!$E13:$CS13,"公"))</f>
        <v/>
      </c>
      <c r="R12" s="16">
        <f>IF($A12="","",COUNTIF(醫師班表!$E13:$CS13,"國"))</f>
        <v/>
      </c>
      <c r="S12" s="16">
        <f>IF($A12="","",COUNTIF(醫師班表!$E13:$CS13,"休"))</f>
        <v/>
      </c>
      <c r="T12" s="16">
        <f>IF($A12="","",SUM($M12:$S12))</f>
        <v/>
      </c>
      <c r="U12" s="16">
        <f>IF($A12="","",DAY(EOMONTH(DATE(設定!$C$2,設定!$D$2,1),0))*3-COUNTIF(醫師班表!$E13:$CS13,"?*"))</f>
        <v/>
      </c>
    </row>
    <row r="13">
      <c r="A13" s="16" t="inlineStr">
        <is>
          <t>D009</t>
        </is>
      </c>
      <c r="B13" s="16" t="inlineStr">
        <is>
          <t>陳昺元</t>
        </is>
      </c>
      <c r="C13" s="70" t="inlineStr">
        <is>
          <t>美學植牙專科</t>
        </is>
      </c>
      <c r="D13" s="16" t="inlineStr">
        <is>
          <t>晶匯院長</t>
        </is>
      </c>
      <c r="E13" s="62">
        <f>IF($A13="","",COUNTIF(醫師班表!$E14:$CS14,"悅"))</f>
        <v/>
      </c>
      <c r="F13" s="63">
        <f>IF($A13="","",COUNTIF(醫師班表!$E14:$CS14,"睿"))</f>
        <v/>
      </c>
      <c r="G13" s="64">
        <f>IF($A13="","",COUNTIF(醫師班表!$E14:$CS14,"匯"))</f>
        <v/>
      </c>
      <c r="H13" s="65">
        <f>IF($A13="","",COUNTIF(醫師班表!$E14:$CS14,"曜"))</f>
        <v/>
      </c>
      <c r="I13" s="66">
        <f>IF($A13="","",COUNTIF(醫師班表!$E14:$CS14,"寶"))</f>
        <v/>
      </c>
      <c r="J13" s="16">
        <f>IF($A13="","",SUM($E13:$I13))</f>
        <v/>
      </c>
      <c r="K13" s="16">
        <f>IF($A13="","",SUMPRODUCT(($E13:$I13&gt;0)*1))</f>
        <v/>
      </c>
      <c r="L13" s="16">
        <f>IF($A13="","",COUNTIF(醫師班表!$E14:$CS14,"訓"))</f>
        <v/>
      </c>
      <c r="M13" s="16">
        <f>IF($A13="","",COUNTIF(醫師班表!$E14:$CS14,"OFF"))</f>
        <v/>
      </c>
      <c r="N13" s="16">
        <f>IF($A13="","",COUNTIF(醫師班表!$E14:$CS14,"特"))</f>
        <v/>
      </c>
      <c r="O13" s="16">
        <f>IF($A13="","",COUNTIF(醫師班表!$E14:$CS14,"病"))</f>
        <v/>
      </c>
      <c r="P13" s="16">
        <f>IF($A13="","",COUNTIF(醫師班表!$E14:$CS14,"事"))</f>
        <v/>
      </c>
      <c r="Q13" s="16">
        <f>IF($A13="","",COUNTIF(醫師班表!$E14:$CS14,"公"))</f>
        <v/>
      </c>
      <c r="R13" s="16">
        <f>IF($A13="","",COUNTIF(醫師班表!$E14:$CS14,"國"))</f>
        <v/>
      </c>
      <c r="S13" s="16">
        <f>IF($A13="","",COUNTIF(醫師班表!$E14:$CS14,"休"))</f>
        <v/>
      </c>
      <c r="T13" s="16">
        <f>IF($A13="","",SUM($M13:$S13))</f>
        <v/>
      </c>
      <c r="U13" s="16">
        <f>IF($A13="","",DAY(EOMONTH(DATE(設定!$C$2,設定!$D$2,1),0))*3-COUNTIF(醫師班表!$E14:$CS14,"?*"))</f>
        <v/>
      </c>
    </row>
    <row r="14">
      <c r="A14" s="16" t="inlineStr">
        <is>
          <t>D010</t>
        </is>
      </c>
      <c r="B14" s="16" t="inlineStr">
        <is>
          <t>蔡季軒</t>
        </is>
      </c>
      <c r="C14" s="70" t="inlineStr"/>
      <c r="D14" s="16" t="inlineStr"/>
      <c r="E14" s="62">
        <f>IF($A14="","",COUNTIF(醫師班表!$E15:$CS15,"悅"))</f>
        <v/>
      </c>
      <c r="F14" s="63">
        <f>IF($A14="","",COUNTIF(醫師班表!$E15:$CS15,"睿"))</f>
        <v/>
      </c>
      <c r="G14" s="64">
        <f>IF($A14="","",COUNTIF(醫師班表!$E15:$CS15,"匯"))</f>
        <v/>
      </c>
      <c r="H14" s="65">
        <f>IF($A14="","",COUNTIF(醫師班表!$E15:$CS15,"曜"))</f>
        <v/>
      </c>
      <c r="I14" s="66">
        <f>IF($A14="","",COUNTIF(醫師班表!$E15:$CS15,"寶"))</f>
        <v/>
      </c>
      <c r="J14" s="16">
        <f>IF($A14="","",SUM($E14:$I14))</f>
        <v/>
      </c>
      <c r="K14" s="16">
        <f>IF($A14="","",SUMPRODUCT(($E14:$I14&gt;0)*1))</f>
        <v/>
      </c>
      <c r="L14" s="16">
        <f>IF($A14="","",COUNTIF(醫師班表!$E15:$CS15,"訓"))</f>
        <v/>
      </c>
      <c r="M14" s="16">
        <f>IF($A14="","",COUNTIF(醫師班表!$E15:$CS15,"OFF"))</f>
        <v/>
      </c>
      <c r="N14" s="16">
        <f>IF($A14="","",COUNTIF(醫師班表!$E15:$CS15,"特"))</f>
        <v/>
      </c>
      <c r="O14" s="16">
        <f>IF($A14="","",COUNTIF(醫師班表!$E15:$CS15,"病"))</f>
        <v/>
      </c>
      <c r="P14" s="16">
        <f>IF($A14="","",COUNTIF(醫師班表!$E15:$CS15,"事"))</f>
        <v/>
      </c>
      <c r="Q14" s="16">
        <f>IF($A14="","",COUNTIF(醫師班表!$E15:$CS15,"公"))</f>
        <v/>
      </c>
      <c r="R14" s="16">
        <f>IF($A14="","",COUNTIF(醫師班表!$E15:$CS15,"國"))</f>
        <v/>
      </c>
      <c r="S14" s="16">
        <f>IF($A14="","",COUNTIF(醫師班表!$E15:$CS15,"休"))</f>
        <v/>
      </c>
      <c r="T14" s="16">
        <f>IF($A14="","",SUM($M14:$S14))</f>
        <v/>
      </c>
      <c r="U14" s="16">
        <f>IF($A14="","",DAY(EOMONTH(DATE(設定!$C$2,設定!$D$2,1),0))*3-COUNTIF(醫師班表!$E15:$CS15,"?*"))</f>
        <v/>
      </c>
    </row>
    <row r="15">
      <c r="A15" s="16" t="inlineStr">
        <is>
          <t>D011</t>
        </is>
      </c>
      <c r="B15" s="16" t="inlineStr">
        <is>
          <t>温健成</t>
        </is>
      </c>
      <c r="C15" s="70" t="inlineStr"/>
      <c r="D15" s="16" t="inlineStr">
        <is>
          <t>晶睿院長</t>
        </is>
      </c>
      <c r="E15" s="62">
        <f>IF($A15="","",COUNTIF(醫師班表!$E16:$CS16,"悅"))</f>
        <v/>
      </c>
      <c r="F15" s="63">
        <f>IF($A15="","",COUNTIF(醫師班表!$E16:$CS16,"睿"))</f>
        <v/>
      </c>
      <c r="G15" s="64">
        <f>IF($A15="","",COUNTIF(醫師班表!$E16:$CS16,"匯"))</f>
        <v/>
      </c>
      <c r="H15" s="65">
        <f>IF($A15="","",COUNTIF(醫師班表!$E16:$CS16,"曜"))</f>
        <v/>
      </c>
      <c r="I15" s="66">
        <f>IF($A15="","",COUNTIF(醫師班表!$E16:$CS16,"寶"))</f>
        <v/>
      </c>
      <c r="J15" s="16">
        <f>IF($A15="","",SUM($E15:$I15))</f>
        <v/>
      </c>
      <c r="K15" s="16">
        <f>IF($A15="","",SUMPRODUCT(($E15:$I15&gt;0)*1))</f>
        <v/>
      </c>
      <c r="L15" s="16">
        <f>IF($A15="","",COUNTIF(醫師班表!$E16:$CS16,"訓"))</f>
        <v/>
      </c>
      <c r="M15" s="16">
        <f>IF($A15="","",COUNTIF(醫師班表!$E16:$CS16,"OFF"))</f>
        <v/>
      </c>
      <c r="N15" s="16">
        <f>IF($A15="","",COUNTIF(醫師班表!$E16:$CS16,"特"))</f>
        <v/>
      </c>
      <c r="O15" s="16">
        <f>IF($A15="","",COUNTIF(醫師班表!$E16:$CS16,"病"))</f>
        <v/>
      </c>
      <c r="P15" s="16">
        <f>IF($A15="","",COUNTIF(醫師班表!$E16:$CS16,"事"))</f>
        <v/>
      </c>
      <c r="Q15" s="16">
        <f>IF($A15="","",COUNTIF(醫師班表!$E16:$CS16,"公"))</f>
        <v/>
      </c>
      <c r="R15" s="16">
        <f>IF($A15="","",COUNTIF(醫師班表!$E16:$CS16,"國"))</f>
        <v/>
      </c>
      <c r="S15" s="16">
        <f>IF($A15="","",COUNTIF(醫師班表!$E16:$CS16,"休"))</f>
        <v/>
      </c>
      <c r="T15" s="16">
        <f>IF($A15="","",SUM($M15:$S15))</f>
        <v/>
      </c>
      <c r="U15" s="16">
        <f>IF($A15="","",DAY(EOMONTH(DATE(設定!$C$2,設定!$D$2,1),0))*3-COUNTIF(醫師班表!$E16:$CS16,"?*"))</f>
        <v/>
      </c>
    </row>
    <row r="16">
      <c r="A16" s="16" t="inlineStr">
        <is>
          <t>D012</t>
        </is>
      </c>
      <c r="B16" s="16" t="inlineStr">
        <is>
          <t>陳立軒</t>
        </is>
      </c>
      <c r="C16" s="70" t="inlineStr"/>
      <c r="D16" s="16" t="inlineStr"/>
      <c r="E16" s="62">
        <f>IF($A16="","",COUNTIF(醫師班表!$E17:$CS17,"悅"))</f>
        <v/>
      </c>
      <c r="F16" s="63">
        <f>IF($A16="","",COUNTIF(醫師班表!$E17:$CS17,"睿"))</f>
        <v/>
      </c>
      <c r="G16" s="64">
        <f>IF($A16="","",COUNTIF(醫師班表!$E17:$CS17,"匯"))</f>
        <v/>
      </c>
      <c r="H16" s="65">
        <f>IF($A16="","",COUNTIF(醫師班表!$E17:$CS17,"曜"))</f>
        <v/>
      </c>
      <c r="I16" s="66">
        <f>IF($A16="","",COUNTIF(醫師班表!$E17:$CS17,"寶"))</f>
        <v/>
      </c>
      <c r="J16" s="16">
        <f>IF($A16="","",SUM($E16:$I16))</f>
        <v/>
      </c>
      <c r="K16" s="16">
        <f>IF($A16="","",SUMPRODUCT(($E16:$I16&gt;0)*1))</f>
        <v/>
      </c>
      <c r="L16" s="16">
        <f>IF($A16="","",COUNTIF(醫師班表!$E17:$CS17,"訓"))</f>
        <v/>
      </c>
      <c r="M16" s="16">
        <f>IF($A16="","",COUNTIF(醫師班表!$E17:$CS17,"OFF"))</f>
        <v/>
      </c>
      <c r="N16" s="16">
        <f>IF($A16="","",COUNTIF(醫師班表!$E17:$CS17,"特"))</f>
        <v/>
      </c>
      <c r="O16" s="16">
        <f>IF($A16="","",COUNTIF(醫師班表!$E17:$CS17,"病"))</f>
        <v/>
      </c>
      <c r="P16" s="16">
        <f>IF($A16="","",COUNTIF(醫師班表!$E17:$CS17,"事"))</f>
        <v/>
      </c>
      <c r="Q16" s="16">
        <f>IF($A16="","",COUNTIF(醫師班表!$E17:$CS17,"公"))</f>
        <v/>
      </c>
      <c r="R16" s="16">
        <f>IF($A16="","",COUNTIF(醫師班表!$E17:$CS17,"國"))</f>
        <v/>
      </c>
      <c r="S16" s="16">
        <f>IF($A16="","",COUNTIF(醫師班表!$E17:$CS17,"休"))</f>
        <v/>
      </c>
      <c r="T16" s="16">
        <f>IF($A16="","",SUM($M16:$S16))</f>
        <v/>
      </c>
      <c r="U16" s="16">
        <f>IF($A16="","",DAY(EOMONTH(DATE(設定!$C$2,設定!$D$2,1),0))*3-COUNTIF(醫師班表!$E17:$CS17,"?*"))</f>
        <v/>
      </c>
    </row>
    <row r="17">
      <c r="A17" s="16" t="inlineStr">
        <is>
          <t>D013</t>
        </is>
      </c>
      <c r="B17" s="16" t="inlineStr">
        <is>
          <t>朱柏非</t>
        </is>
      </c>
      <c r="C17" s="70" t="inlineStr"/>
      <c r="D17" s="16" t="inlineStr"/>
      <c r="E17" s="62">
        <f>IF($A17="","",COUNTIF(醫師班表!$E18:$CS18,"悅"))</f>
        <v/>
      </c>
      <c r="F17" s="63">
        <f>IF($A17="","",COUNTIF(醫師班表!$E18:$CS18,"睿"))</f>
        <v/>
      </c>
      <c r="G17" s="64">
        <f>IF($A17="","",COUNTIF(醫師班表!$E18:$CS18,"匯"))</f>
        <v/>
      </c>
      <c r="H17" s="65">
        <f>IF($A17="","",COUNTIF(醫師班表!$E18:$CS18,"曜"))</f>
        <v/>
      </c>
      <c r="I17" s="66">
        <f>IF($A17="","",COUNTIF(醫師班表!$E18:$CS18,"寶"))</f>
        <v/>
      </c>
      <c r="J17" s="16">
        <f>IF($A17="","",SUM($E17:$I17))</f>
        <v/>
      </c>
      <c r="K17" s="16">
        <f>IF($A17="","",SUMPRODUCT(($E17:$I17&gt;0)*1))</f>
        <v/>
      </c>
      <c r="L17" s="16">
        <f>IF($A17="","",COUNTIF(醫師班表!$E18:$CS18,"訓"))</f>
        <v/>
      </c>
      <c r="M17" s="16">
        <f>IF($A17="","",COUNTIF(醫師班表!$E18:$CS18,"OFF"))</f>
        <v/>
      </c>
      <c r="N17" s="16">
        <f>IF($A17="","",COUNTIF(醫師班表!$E18:$CS18,"特"))</f>
        <v/>
      </c>
      <c r="O17" s="16">
        <f>IF($A17="","",COUNTIF(醫師班表!$E18:$CS18,"病"))</f>
        <v/>
      </c>
      <c r="P17" s="16">
        <f>IF($A17="","",COUNTIF(醫師班表!$E18:$CS18,"事"))</f>
        <v/>
      </c>
      <c r="Q17" s="16">
        <f>IF($A17="","",COUNTIF(醫師班表!$E18:$CS18,"公"))</f>
        <v/>
      </c>
      <c r="R17" s="16">
        <f>IF($A17="","",COUNTIF(醫師班表!$E18:$CS18,"國"))</f>
        <v/>
      </c>
      <c r="S17" s="16">
        <f>IF($A17="","",COUNTIF(醫師班表!$E18:$CS18,"休"))</f>
        <v/>
      </c>
      <c r="T17" s="16">
        <f>IF($A17="","",SUM($M17:$S17))</f>
        <v/>
      </c>
      <c r="U17" s="16">
        <f>IF($A17="","",DAY(EOMONTH(DATE(設定!$C$2,設定!$D$2,1),0))*3-COUNTIF(醫師班表!$E18:$CS18,"?*"))</f>
        <v/>
      </c>
    </row>
    <row r="18">
      <c r="A18" s="16" t="inlineStr">
        <is>
          <t>D014</t>
        </is>
      </c>
      <c r="B18" s="16" t="inlineStr">
        <is>
          <t>鄭漢賢</t>
        </is>
      </c>
      <c r="C18" s="70" t="inlineStr"/>
      <c r="D18" s="16" t="inlineStr"/>
      <c r="E18" s="62">
        <f>IF($A18="","",COUNTIF(醫師班表!$E19:$CS19,"悅"))</f>
        <v/>
      </c>
      <c r="F18" s="63">
        <f>IF($A18="","",COUNTIF(醫師班表!$E19:$CS19,"睿"))</f>
        <v/>
      </c>
      <c r="G18" s="64">
        <f>IF($A18="","",COUNTIF(醫師班表!$E19:$CS19,"匯"))</f>
        <v/>
      </c>
      <c r="H18" s="65">
        <f>IF($A18="","",COUNTIF(醫師班表!$E19:$CS19,"曜"))</f>
        <v/>
      </c>
      <c r="I18" s="66">
        <f>IF($A18="","",COUNTIF(醫師班表!$E19:$CS19,"寶"))</f>
        <v/>
      </c>
      <c r="J18" s="16">
        <f>IF($A18="","",SUM($E18:$I18))</f>
        <v/>
      </c>
      <c r="K18" s="16">
        <f>IF($A18="","",SUMPRODUCT(($E18:$I18&gt;0)*1))</f>
        <v/>
      </c>
      <c r="L18" s="16">
        <f>IF($A18="","",COUNTIF(醫師班表!$E19:$CS19,"訓"))</f>
        <v/>
      </c>
      <c r="M18" s="16">
        <f>IF($A18="","",COUNTIF(醫師班表!$E19:$CS19,"OFF"))</f>
        <v/>
      </c>
      <c r="N18" s="16">
        <f>IF($A18="","",COUNTIF(醫師班表!$E19:$CS19,"特"))</f>
        <v/>
      </c>
      <c r="O18" s="16">
        <f>IF($A18="","",COUNTIF(醫師班表!$E19:$CS19,"病"))</f>
        <v/>
      </c>
      <c r="P18" s="16">
        <f>IF($A18="","",COUNTIF(醫師班表!$E19:$CS19,"事"))</f>
        <v/>
      </c>
      <c r="Q18" s="16">
        <f>IF($A18="","",COUNTIF(醫師班表!$E19:$CS19,"公"))</f>
        <v/>
      </c>
      <c r="R18" s="16">
        <f>IF($A18="","",COUNTIF(醫師班表!$E19:$CS19,"國"))</f>
        <v/>
      </c>
      <c r="S18" s="16">
        <f>IF($A18="","",COUNTIF(醫師班表!$E19:$CS19,"休"))</f>
        <v/>
      </c>
      <c r="T18" s="16">
        <f>IF($A18="","",SUM($M18:$S18))</f>
        <v/>
      </c>
      <c r="U18" s="16">
        <f>IF($A18="","",DAY(EOMONTH(DATE(設定!$C$2,設定!$D$2,1),0))*3-COUNTIF(醫師班表!$E19:$CS19,"?*"))</f>
        <v/>
      </c>
    </row>
    <row r="19">
      <c r="A19" s="16" t="inlineStr">
        <is>
          <t>D015</t>
        </is>
      </c>
      <c r="B19" s="16" t="inlineStr">
        <is>
          <t>徐平</t>
        </is>
      </c>
      <c r="C19" s="70" t="inlineStr"/>
      <c r="D19" s="16" t="inlineStr"/>
      <c r="E19" s="62">
        <f>IF($A19="","",COUNTIF(醫師班表!$E20:$CS20,"悅"))</f>
        <v/>
      </c>
      <c r="F19" s="63">
        <f>IF($A19="","",COUNTIF(醫師班表!$E20:$CS20,"睿"))</f>
        <v/>
      </c>
      <c r="G19" s="64">
        <f>IF($A19="","",COUNTIF(醫師班表!$E20:$CS20,"匯"))</f>
        <v/>
      </c>
      <c r="H19" s="65">
        <f>IF($A19="","",COUNTIF(醫師班表!$E20:$CS20,"曜"))</f>
        <v/>
      </c>
      <c r="I19" s="66">
        <f>IF($A19="","",COUNTIF(醫師班表!$E20:$CS20,"寶"))</f>
        <v/>
      </c>
      <c r="J19" s="16">
        <f>IF($A19="","",SUM($E19:$I19))</f>
        <v/>
      </c>
      <c r="K19" s="16">
        <f>IF($A19="","",SUMPRODUCT(($E19:$I19&gt;0)*1))</f>
        <v/>
      </c>
      <c r="L19" s="16">
        <f>IF($A19="","",COUNTIF(醫師班表!$E20:$CS20,"訓"))</f>
        <v/>
      </c>
      <c r="M19" s="16">
        <f>IF($A19="","",COUNTIF(醫師班表!$E20:$CS20,"OFF"))</f>
        <v/>
      </c>
      <c r="N19" s="16">
        <f>IF($A19="","",COUNTIF(醫師班表!$E20:$CS20,"特"))</f>
        <v/>
      </c>
      <c r="O19" s="16">
        <f>IF($A19="","",COUNTIF(醫師班表!$E20:$CS20,"病"))</f>
        <v/>
      </c>
      <c r="P19" s="16">
        <f>IF($A19="","",COUNTIF(醫師班表!$E20:$CS20,"事"))</f>
        <v/>
      </c>
      <c r="Q19" s="16">
        <f>IF($A19="","",COUNTIF(醫師班表!$E20:$CS20,"公"))</f>
        <v/>
      </c>
      <c r="R19" s="16">
        <f>IF($A19="","",COUNTIF(醫師班表!$E20:$CS20,"國"))</f>
        <v/>
      </c>
      <c r="S19" s="16">
        <f>IF($A19="","",COUNTIF(醫師班表!$E20:$CS20,"休"))</f>
        <v/>
      </c>
      <c r="T19" s="16">
        <f>IF($A19="","",SUM($M19:$S19))</f>
        <v/>
      </c>
      <c r="U19" s="16">
        <f>IF($A19="","",DAY(EOMONTH(DATE(設定!$C$2,設定!$D$2,1),0))*3-COUNTIF(醫師班表!$E20:$CS20,"?*"))</f>
        <v/>
      </c>
    </row>
    <row r="20">
      <c r="A20" s="16" t="inlineStr">
        <is>
          <t>D016</t>
        </is>
      </c>
      <c r="B20" s="16" t="inlineStr">
        <is>
          <t>賴敏傑</t>
        </is>
      </c>
      <c r="C20" s="70" t="inlineStr"/>
      <c r="D20" s="16" t="inlineStr"/>
      <c r="E20" s="62">
        <f>IF($A20="","",COUNTIF(醫師班表!$E21:$CS21,"悅"))</f>
        <v/>
      </c>
      <c r="F20" s="63">
        <f>IF($A20="","",COUNTIF(醫師班表!$E21:$CS21,"睿"))</f>
        <v/>
      </c>
      <c r="G20" s="64">
        <f>IF($A20="","",COUNTIF(醫師班表!$E21:$CS21,"匯"))</f>
        <v/>
      </c>
      <c r="H20" s="65">
        <f>IF($A20="","",COUNTIF(醫師班表!$E21:$CS21,"曜"))</f>
        <v/>
      </c>
      <c r="I20" s="66">
        <f>IF($A20="","",COUNTIF(醫師班表!$E21:$CS21,"寶"))</f>
        <v/>
      </c>
      <c r="J20" s="16">
        <f>IF($A20="","",SUM($E20:$I20))</f>
        <v/>
      </c>
      <c r="K20" s="16">
        <f>IF($A20="","",SUMPRODUCT(($E20:$I20&gt;0)*1))</f>
        <v/>
      </c>
      <c r="L20" s="16">
        <f>IF($A20="","",COUNTIF(醫師班表!$E21:$CS21,"訓"))</f>
        <v/>
      </c>
      <c r="M20" s="16">
        <f>IF($A20="","",COUNTIF(醫師班表!$E21:$CS21,"OFF"))</f>
        <v/>
      </c>
      <c r="N20" s="16">
        <f>IF($A20="","",COUNTIF(醫師班表!$E21:$CS21,"特"))</f>
        <v/>
      </c>
      <c r="O20" s="16">
        <f>IF($A20="","",COUNTIF(醫師班表!$E21:$CS21,"病"))</f>
        <v/>
      </c>
      <c r="P20" s="16">
        <f>IF($A20="","",COUNTIF(醫師班表!$E21:$CS21,"事"))</f>
        <v/>
      </c>
      <c r="Q20" s="16">
        <f>IF($A20="","",COUNTIF(醫師班表!$E21:$CS21,"公"))</f>
        <v/>
      </c>
      <c r="R20" s="16">
        <f>IF($A20="","",COUNTIF(醫師班表!$E21:$CS21,"國"))</f>
        <v/>
      </c>
      <c r="S20" s="16">
        <f>IF($A20="","",COUNTIF(醫師班表!$E21:$CS21,"休"))</f>
        <v/>
      </c>
      <c r="T20" s="16">
        <f>IF($A20="","",SUM($M20:$S20))</f>
        <v/>
      </c>
      <c r="U20" s="16">
        <f>IF($A20="","",DAY(EOMONTH(DATE(設定!$C$2,設定!$D$2,1),0))*3-COUNTIF(醫師班表!$E21:$CS21,"?*"))</f>
        <v/>
      </c>
    </row>
    <row r="21">
      <c r="A21" s="16" t="inlineStr">
        <is>
          <t>D017</t>
        </is>
      </c>
      <c r="B21" s="16" t="inlineStr">
        <is>
          <t>吳柏賢</t>
        </is>
      </c>
      <c r="C21" s="70" t="inlineStr"/>
      <c r="D21" s="16" t="inlineStr"/>
      <c r="E21" s="62">
        <f>IF($A21="","",COUNTIF(醫師班表!$E22:$CS22,"悅"))</f>
        <v/>
      </c>
      <c r="F21" s="63">
        <f>IF($A21="","",COUNTIF(醫師班表!$E22:$CS22,"睿"))</f>
        <v/>
      </c>
      <c r="G21" s="64">
        <f>IF($A21="","",COUNTIF(醫師班表!$E22:$CS22,"匯"))</f>
        <v/>
      </c>
      <c r="H21" s="65">
        <f>IF($A21="","",COUNTIF(醫師班表!$E22:$CS22,"曜"))</f>
        <v/>
      </c>
      <c r="I21" s="66">
        <f>IF($A21="","",COUNTIF(醫師班表!$E22:$CS22,"寶"))</f>
        <v/>
      </c>
      <c r="J21" s="16">
        <f>IF($A21="","",SUM($E21:$I21))</f>
        <v/>
      </c>
      <c r="K21" s="16">
        <f>IF($A21="","",SUMPRODUCT(($E21:$I21&gt;0)*1))</f>
        <v/>
      </c>
      <c r="L21" s="16">
        <f>IF($A21="","",COUNTIF(醫師班表!$E22:$CS22,"訓"))</f>
        <v/>
      </c>
      <c r="M21" s="16">
        <f>IF($A21="","",COUNTIF(醫師班表!$E22:$CS22,"OFF"))</f>
        <v/>
      </c>
      <c r="N21" s="16">
        <f>IF($A21="","",COUNTIF(醫師班表!$E22:$CS22,"特"))</f>
        <v/>
      </c>
      <c r="O21" s="16">
        <f>IF($A21="","",COUNTIF(醫師班表!$E22:$CS22,"病"))</f>
        <v/>
      </c>
      <c r="P21" s="16">
        <f>IF($A21="","",COUNTIF(醫師班表!$E22:$CS22,"事"))</f>
        <v/>
      </c>
      <c r="Q21" s="16">
        <f>IF($A21="","",COUNTIF(醫師班表!$E22:$CS22,"公"))</f>
        <v/>
      </c>
      <c r="R21" s="16">
        <f>IF($A21="","",COUNTIF(醫師班表!$E22:$CS22,"國"))</f>
        <v/>
      </c>
      <c r="S21" s="16">
        <f>IF($A21="","",COUNTIF(醫師班表!$E22:$CS22,"休"))</f>
        <v/>
      </c>
      <c r="T21" s="16">
        <f>IF($A21="","",SUM($M21:$S21))</f>
        <v/>
      </c>
      <c r="U21" s="16">
        <f>IF($A21="","",DAY(EOMONTH(DATE(設定!$C$2,設定!$D$2,1),0))*3-COUNTIF(醫師班表!$E22:$CS22,"?*"))</f>
        <v/>
      </c>
    </row>
    <row r="22">
      <c r="A22" s="16" t="inlineStr">
        <is>
          <t>D018</t>
        </is>
      </c>
      <c r="B22" s="16" t="inlineStr">
        <is>
          <t>許博諺</t>
        </is>
      </c>
      <c r="C22" s="70" t="inlineStr"/>
      <c r="D22" s="16" t="inlineStr"/>
      <c r="E22" s="62">
        <f>IF($A22="","",COUNTIF(醫師班表!$E23:$CS23,"悅"))</f>
        <v/>
      </c>
      <c r="F22" s="63">
        <f>IF($A22="","",COUNTIF(醫師班表!$E23:$CS23,"睿"))</f>
        <v/>
      </c>
      <c r="G22" s="64">
        <f>IF($A22="","",COUNTIF(醫師班表!$E23:$CS23,"匯"))</f>
        <v/>
      </c>
      <c r="H22" s="65">
        <f>IF($A22="","",COUNTIF(醫師班表!$E23:$CS23,"曜"))</f>
        <v/>
      </c>
      <c r="I22" s="66">
        <f>IF($A22="","",COUNTIF(醫師班表!$E23:$CS23,"寶"))</f>
        <v/>
      </c>
      <c r="J22" s="16">
        <f>IF($A22="","",SUM($E22:$I22))</f>
        <v/>
      </c>
      <c r="K22" s="16">
        <f>IF($A22="","",SUMPRODUCT(($E22:$I22&gt;0)*1))</f>
        <v/>
      </c>
      <c r="L22" s="16">
        <f>IF($A22="","",COUNTIF(醫師班表!$E23:$CS23,"訓"))</f>
        <v/>
      </c>
      <c r="M22" s="16">
        <f>IF($A22="","",COUNTIF(醫師班表!$E23:$CS23,"OFF"))</f>
        <v/>
      </c>
      <c r="N22" s="16">
        <f>IF($A22="","",COUNTIF(醫師班表!$E23:$CS23,"特"))</f>
        <v/>
      </c>
      <c r="O22" s="16">
        <f>IF($A22="","",COUNTIF(醫師班表!$E23:$CS23,"病"))</f>
        <v/>
      </c>
      <c r="P22" s="16">
        <f>IF($A22="","",COUNTIF(醫師班表!$E23:$CS23,"事"))</f>
        <v/>
      </c>
      <c r="Q22" s="16">
        <f>IF($A22="","",COUNTIF(醫師班表!$E23:$CS23,"公"))</f>
        <v/>
      </c>
      <c r="R22" s="16">
        <f>IF($A22="","",COUNTIF(醫師班表!$E23:$CS23,"國"))</f>
        <v/>
      </c>
      <c r="S22" s="16">
        <f>IF($A22="","",COUNTIF(醫師班表!$E23:$CS23,"休"))</f>
        <v/>
      </c>
      <c r="T22" s="16">
        <f>IF($A22="","",SUM($M22:$S22))</f>
        <v/>
      </c>
      <c r="U22" s="16">
        <f>IF($A22="","",DAY(EOMONTH(DATE(設定!$C$2,設定!$D$2,1),0))*3-COUNTIF(醫師班表!$E23:$CS23,"?*"))</f>
        <v/>
      </c>
    </row>
    <row r="23">
      <c r="A23" s="16" t="inlineStr">
        <is>
          <t>D019</t>
        </is>
      </c>
      <c r="B23" s="16" t="inlineStr">
        <is>
          <t>翁崎紘</t>
        </is>
      </c>
      <c r="C23" s="70" t="inlineStr"/>
      <c r="D23" s="16" t="inlineStr"/>
      <c r="E23" s="62">
        <f>IF($A23="","",COUNTIF(醫師班表!$E24:$CS24,"悅"))</f>
        <v/>
      </c>
      <c r="F23" s="63">
        <f>IF($A23="","",COUNTIF(醫師班表!$E24:$CS24,"睿"))</f>
        <v/>
      </c>
      <c r="G23" s="64">
        <f>IF($A23="","",COUNTIF(醫師班表!$E24:$CS24,"匯"))</f>
        <v/>
      </c>
      <c r="H23" s="65">
        <f>IF($A23="","",COUNTIF(醫師班表!$E24:$CS24,"曜"))</f>
        <v/>
      </c>
      <c r="I23" s="66">
        <f>IF($A23="","",COUNTIF(醫師班表!$E24:$CS24,"寶"))</f>
        <v/>
      </c>
      <c r="J23" s="16">
        <f>IF($A23="","",SUM($E23:$I23))</f>
        <v/>
      </c>
      <c r="K23" s="16">
        <f>IF($A23="","",SUMPRODUCT(($E23:$I23&gt;0)*1))</f>
        <v/>
      </c>
      <c r="L23" s="16">
        <f>IF($A23="","",COUNTIF(醫師班表!$E24:$CS24,"訓"))</f>
        <v/>
      </c>
      <c r="M23" s="16">
        <f>IF($A23="","",COUNTIF(醫師班表!$E24:$CS24,"OFF"))</f>
        <v/>
      </c>
      <c r="N23" s="16">
        <f>IF($A23="","",COUNTIF(醫師班表!$E24:$CS24,"特"))</f>
        <v/>
      </c>
      <c r="O23" s="16">
        <f>IF($A23="","",COUNTIF(醫師班表!$E24:$CS24,"病"))</f>
        <v/>
      </c>
      <c r="P23" s="16">
        <f>IF($A23="","",COUNTIF(醫師班表!$E24:$CS24,"事"))</f>
        <v/>
      </c>
      <c r="Q23" s="16">
        <f>IF($A23="","",COUNTIF(醫師班表!$E24:$CS24,"公"))</f>
        <v/>
      </c>
      <c r="R23" s="16">
        <f>IF($A23="","",COUNTIF(醫師班表!$E24:$CS24,"國"))</f>
        <v/>
      </c>
      <c r="S23" s="16">
        <f>IF($A23="","",COUNTIF(醫師班表!$E24:$CS24,"休"))</f>
        <v/>
      </c>
      <c r="T23" s="16">
        <f>IF($A23="","",SUM($M23:$S23))</f>
        <v/>
      </c>
      <c r="U23" s="16">
        <f>IF($A23="","",DAY(EOMONTH(DATE(設定!$C$2,設定!$D$2,1),0))*3-COUNTIF(醫師班表!$E24:$CS24,"?*"))</f>
        <v/>
      </c>
    </row>
    <row r="24">
      <c r="A24" s="16" t="inlineStr">
        <is>
          <t>D020</t>
        </is>
      </c>
      <c r="B24" s="16" t="inlineStr">
        <is>
          <t>余柏萱</t>
        </is>
      </c>
      <c r="C24" s="70" t="inlineStr"/>
      <c r="D24" s="16" t="inlineStr"/>
      <c r="E24" s="62">
        <f>IF($A24="","",COUNTIF(醫師班表!$E25:$CS25,"悅"))</f>
        <v/>
      </c>
      <c r="F24" s="63">
        <f>IF($A24="","",COUNTIF(醫師班表!$E25:$CS25,"睿"))</f>
        <v/>
      </c>
      <c r="G24" s="64">
        <f>IF($A24="","",COUNTIF(醫師班表!$E25:$CS25,"匯"))</f>
        <v/>
      </c>
      <c r="H24" s="65">
        <f>IF($A24="","",COUNTIF(醫師班表!$E25:$CS25,"曜"))</f>
        <v/>
      </c>
      <c r="I24" s="66">
        <f>IF($A24="","",COUNTIF(醫師班表!$E25:$CS25,"寶"))</f>
        <v/>
      </c>
      <c r="J24" s="16">
        <f>IF($A24="","",SUM($E24:$I24))</f>
        <v/>
      </c>
      <c r="K24" s="16">
        <f>IF($A24="","",SUMPRODUCT(($E24:$I24&gt;0)*1))</f>
        <v/>
      </c>
      <c r="L24" s="16">
        <f>IF($A24="","",COUNTIF(醫師班表!$E25:$CS25,"訓"))</f>
        <v/>
      </c>
      <c r="M24" s="16">
        <f>IF($A24="","",COUNTIF(醫師班表!$E25:$CS25,"OFF"))</f>
        <v/>
      </c>
      <c r="N24" s="16">
        <f>IF($A24="","",COUNTIF(醫師班表!$E25:$CS25,"特"))</f>
        <v/>
      </c>
      <c r="O24" s="16">
        <f>IF($A24="","",COUNTIF(醫師班表!$E25:$CS25,"病"))</f>
        <v/>
      </c>
      <c r="P24" s="16">
        <f>IF($A24="","",COUNTIF(醫師班表!$E25:$CS25,"事"))</f>
        <v/>
      </c>
      <c r="Q24" s="16">
        <f>IF($A24="","",COUNTIF(醫師班表!$E25:$CS25,"公"))</f>
        <v/>
      </c>
      <c r="R24" s="16">
        <f>IF($A24="","",COUNTIF(醫師班表!$E25:$CS25,"國"))</f>
        <v/>
      </c>
      <c r="S24" s="16">
        <f>IF($A24="","",COUNTIF(醫師班表!$E25:$CS25,"休"))</f>
        <v/>
      </c>
      <c r="T24" s="16">
        <f>IF($A24="","",SUM($M24:$S24))</f>
        <v/>
      </c>
      <c r="U24" s="16">
        <f>IF($A24="","",DAY(EOMONTH(DATE(設定!$C$2,設定!$D$2,1),0))*3-COUNTIF(醫師班表!$E25:$CS25,"?*"))</f>
        <v/>
      </c>
    </row>
    <row r="25">
      <c r="A25" s="16" t="inlineStr">
        <is>
          <t>D021</t>
        </is>
      </c>
      <c r="B25" s="16" t="inlineStr">
        <is>
          <t>鄭博文</t>
        </is>
      </c>
      <c r="C25" s="70" t="inlineStr"/>
      <c r="D25" s="16" t="inlineStr"/>
      <c r="E25" s="62">
        <f>IF($A25="","",COUNTIF(醫師班表!$E26:$CS26,"悅"))</f>
        <v/>
      </c>
      <c r="F25" s="63">
        <f>IF($A25="","",COUNTIF(醫師班表!$E26:$CS26,"睿"))</f>
        <v/>
      </c>
      <c r="G25" s="64">
        <f>IF($A25="","",COUNTIF(醫師班表!$E26:$CS26,"匯"))</f>
        <v/>
      </c>
      <c r="H25" s="65">
        <f>IF($A25="","",COUNTIF(醫師班表!$E26:$CS26,"曜"))</f>
        <v/>
      </c>
      <c r="I25" s="66">
        <f>IF($A25="","",COUNTIF(醫師班表!$E26:$CS26,"寶"))</f>
        <v/>
      </c>
      <c r="J25" s="16">
        <f>IF($A25="","",SUM($E25:$I25))</f>
        <v/>
      </c>
      <c r="K25" s="16">
        <f>IF($A25="","",SUMPRODUCT(($E25:$I25&gt;0)*1))</f>
        <v/>
      </c>
      <c r="L25" s="16">
        <f>IF($A25="","",COUNTIF(醫師班表!$E26:$CS26,"訓"))</f>
        <v/>
      </c>
      <c r="M25" s="16">
        <f>IF($A25="","",COUNTIF(醫師班表!$E26:$CS26,"OFF"))</f>
        <v/>
      </c>
      <c r="N25" s="16">
        <f>IF($A25="","",COUNTIF(醫師班表!$E26:$CS26,"特"))</f>
        <v/>
      </c>
      <c r="O25" s="16">
        <f>IF($A25="","",COUNTIF(醫師班表!$E26:$CS26,"病"))</f>
        <v/>
      </c>
      <c r="P25" s="16">
        <f>IF($A25="","",COUNTIF(醫師班表!$E26:$CS26,"事"))</f>
        <v/>
      </c>
      <c r="Q25" s="16">
        <f>IF($A25="","",COUNTIF(醫師班表!$E26:$CS26,"公"))</f>
        <v/>
      </c>
      <c r="R25" s="16">
        <f>IF($A25="","",COUNTIF(醫師班表!$E26:$CS26,"國"))</f>
        <v/>
      </c>
      <c r="S25" s="16">
        <f>IF($A25="","",COUNTIF(醫師班表!$E26:$CS26,"休"))</f>
        <v/>
      </c>
      <c r="T25" s="16">
        <f>IF($A25="","",SUM($M25:$S25))</f>
        <v/>
      </c>
      <c r="U25" s="16">
        <f>IF($A25="","",DAY(EOMONTH(DATE(設定!$C$2,設定!$D$2,1),0))*3-COUNTIF(醫師班表!$E26:$CS26,"?*"))</f>
        <v/>
      </c>
    </row>
    <row r="26">
      <c r="A26" s="16" t="inlineStr">
        <is>
          <t>D022</t>
        </is>
      </c>
      <c r="B26" s="16" t="inlineStr">
        <is>
          <t>黃育亭</t>
        </is>
      </c>
      <c r="C26" s="70" t="inlineStr">
        <is>
          <t>兒童</t>
        </is>
      </c>
      <c r="D26" s="16" t="inlineStr">
        <is>
          <t>寶貝牙院長</t>
        </is>
      </c>
      <c r="E26" s="62">
        <f>IF($A26="","",COUNTIF(醫師班表!$E27:$CS27,"悅"))</f>
        <v/>
      </c>
      <c r="F26" s="63">
        <f>IF($A26="","",COUNTIF(醫師班表!$E27:$CS27,"睿"))</f>
        <v/>
      </c>
      <c r="G26" s="64">
        <f>IF($A26="","",COUNTIF(醫師班表!$E27:$CS27,"匯"))</f>
        <v/>
      </c>
      <c r="H26" s="65">
        <f>IF($A26="","",COUNTIF(醫師班表!$E27:$CS27,"曜"))</f>
        <v/>
      </c>
      <c r="I26" s="66">
        <f>IF($A26="","",COUNTIF(醫師班表!$E27:$CS27,"寶"))</f>
        <v/>
      </c>
      <c r="J26" s="16">
        <f>IF($A26="","",SUM($E26:$I26))</f>
        <v/>
      </c>
      <c r="K26" s="16">
        <f>IF($A26="","",SUMPRODUCT(($E26:$I26&gt;0)*1))</f>
        <v/>
      </c>
      <c r="L26" s="16">
        <f>IF($A26="","",COUNTIF(醫師班表!$E27:$CS27,"訓"))</f>
        <v/>
      </c>
      <c r="M26" s="16">
        <f>IF($A26="","",COUNTIF(醫師班表!$E27:$CS27,"OFF"))</f>
        <v/>
      </c>
      <c r="N26" s="16">
        <f>IF($A26="","",COUNTIF(醫師班表!$E27:$CS27,"特"))</f>
        <v/>
      </c>
      <c r="O26" s="16">
        <f>IF($A26="","",COUNTIF(醫師班表!$E27:$CS27,"病"))</f>
        <v/>
      </c>
      <c r="P26" s="16">
        <f>IF($A26="","",COUNTIF(醫師班表!$E27:$CS27,"事"))</f>
        <v/>
      </c>
      <c r="Q26" s="16">
        <f>IF($A26="","",COUNTIF(醫師班表!$E27:$CS27,"公"))</f>
        <v/>
      </c>
      <c r="R26" s="16">
        <f>IF($A26="","",COUNTIF(醫師班表!$E27:$CS27,"國"))</f>
        <v/>
      </c>
      <c r="S26" s="16">
        <f>IF($A26="","",COUNTIF(醫師班表!$E27:$CS27,"休"))</f>
        <v/>
      </c>
      <c r="T26" s="16">
        <f>IF($A26="","",SUM($M26:$S26))</f>
        <v/>
      </c>
      <c r="U26" s="16">
        <f>IF($A26="","",DAY(EOMONTH(DATE(設定!$C$2,設定!$D$2,1),0))*3-COUNTIF(醫師班表!$E27:$CS27,"?*"))</f>
        <v/>
      </c>
    </row>
    <row r="27">
      <c r="A27" s="16" t="inlineStr">
        <is>
          <t>D023</t>
        </is>
      </c>
      <c r="B27" s="16" t="inlineStr">
        <is>
          <t>黃婷愉</t>
        </is>
      </c>
      <c r="C27" s="70" t="inlineStr">
        <is>
          <t>口外</t>
        </is>
      </c>
      <c r="D27" s="16" t="inlineStr"/>
      <c r="E27" s="62">
        <f>IF($A27="","",COUNTIF(醫師班表!$E28:$CS28,"悅"))</f>
        <v/>
      </c>
      <c r="F27" s="63">
        <f>IF($A27="","",COUNTIF(醫師班表!$E28:$CS28,"睿"))</f>
        <v/>
      </c>
      <c r="G27" s="64">
        <f>IF($A27="","",COUNTIF(醫師班表!$E28:$CS28,"匯"))</f>
        <v/>
      </c>
      <c r="H27" s="65">
        <f>IF($A27="","",COUNTIF(醫師班表!$E28:$CS28,"曜"))</f>
        <v/>
      </c>
      <c r="I27" s="66">
        <f>IF($A27="","",COUNTIF(醫師班表!$E28:$CS28,"寶"))</f>
        <v/>
      </c>
      <c r="J27" s="16">
        <f>IF($A27="","",SUM($E27:$I27))</f>
        <v/>
      </c>
      <c r="K27" s="16">
        <f>IF($A27="","",SUMPRODUCT(($E27:$I27&gt;0)*1))</f>
        <v/>
      </c>
      <c r="L27" s="16">
        <f>IF($A27="","",COUNTIF(醫師班表!$E28:$CS28,"訓"))</f>
        <v/>
      </c>
      <c r="M27" s="16">
        <f>IF($A27="","",COUNTIF(醫師班表!$E28:$CS28,"OFF"))</f>
        <v/>
      </c>
      <c r="N27" s="16">
        <f>IF($A27="","",COUNTIF(醫師班表!$E28:$CS28,"特"))</f>
        <v/>
      </c>
      <c r="O27" s="16">
        <f>IF($A27="","",COUNTIF(醫師班表!$E28:$CS28,"病"))</f>
        <v/>
      </c>
      <c r="P27" s="16">
        <f>IF($A27="","",COUNTIF(醫師班表!$E28:$CS28,"事"))</f>
        <v/>
      </c>
      <c r="Q27" s="16">
        <f>IF($A27="","",COUNTIF(醫師班表!$E28:$CS28,"公"))</f>
        <v/>
      </c>
      <c r="R27" s="16">
        <f>IF($A27="","",COUNTIF(醫師班表!$E28:$CS28,"國"))</f>
        <v/>
      </c>
      <c r="S27" s="16">
        <f>IF($A27="","",COUNTIF(醫師班表!$E28:$CS28,"休"))</f>
        <v/>
      </c>
      <c r="T27" s="16">
        <f>IF($A27="","",SUM($M27:$S27))</f>
        <v/>
      </c>
      <c r="U27" s="16">
        <f>IF($A27="","",DAY(EOMONTH(DATE(設定!$C$2,設定!$D$2,1),0))*3-COUNTIF(醫師班表!$E28:$CS28,"?*"))</f>
        <v/>
      </c>
    </row>
    <row r="28">
      <c r="A28" s="16" t="inlineStr">
        <is>
          <t>D024</t>
        </is>
      </c>
      <c r="B28" s="16" t="inlineStr">
        <is>
          <t>林紓安</t>
        </is>
      </c>
      <c r="C28" s="70" t="inlineStr">
        <is>
          <t>兒童</t>
        </is>
      </c>
      <c r="D28" s="16" t="inlineStr"/>
      <c r="E28" s="62">
        <f>IF($A28="","",COUNTIF(醫師班表!$E29:$CS29,"悅"))</f>
        <v/>
      </c>
      <c r="F28" s="63">
        <f>IF($A28="","",COUNTIF(醫師班表!$E29:$CS29,"睿"))</f>
        <v/>
      </c>
      <c r="G28" s="64">
        <f>IF($A28="","",COUNTIF(醫師班表!$E29:$CS29,"匯"))</f>
        <v/>
      </c>
      <c r="H28" s="65">
        <f>IF($A28="","",COUNTIF(醫師班表!$E29:$CS29,"曜"))</f>
        <v/>
      </c>
      <c r="I28" s="66">
        <f>IF($A28="","",COUNTIF(醫師班表!$E29:$CS29,"寶"))</f>
        <v/>
      </c>
      <c r="J28" s="16">
        <f>IF($A28="","",SUM($E28:$I28))</f>
        <v/>
      </c>
      <c r="K28" s="16">
        <f>IF($A28="","",SUMPRODUCT(($E28:$I28&gt;0)*1))</f>
        <v/>
      </c>
      <c r="L28" s="16">
        <f>IF($A28="","",COUNTIF(醫師班表!$E29:$CS29,"訓"))</f>
        <v/>
      </c>
      <c r="M28" s="16">
        <f>IF($A28="","",COUNTIF(醫師班表!$E29:$CS29,"OFF"))</f>
        <v/>
      </c>
      <c r="N28" s="16">
        <f>IF($A28="","",COUNTIF(醫師班表!$E29:$CS29,"特"))</f>
        <v/>
      </c>
      <c r="O28" s="16">
        <f>IF($A28="","",COUNTIF(醫師班表!$E29:$CS29,"病"))</f>
        <v/>
      </c>
      <c r="P28" s="16">
        <f>IF($A28="","",COUNTIF(醫師班表!$E29:$CS29,"事"))</f>
        <v/>
      </c>
      <c r="Q28" s="16">
        <f>IF($A28="","",COUNTIF(醫師班表!$E29:$CS29,"公"))</f>
        <v/>
      </c>
      <c r="R28" s="16">
        <f>IF($A28="","",COUNTIF(醫師班表!$E29:$CS29,"國"))</f>
        <v/>
      </c>
      <c r="S28" s="16">
        <f>IF($A28="","",COUNTIF(醫師班表!$E29:$CS29,"休"))</f>
        <v/>
      </c>
      <c r="T28" s="16">
        <f>IF($A28="","",SUM($M28:$S28))</f>
        <v/>
      </c>
      <c r="U28" s="16">
        <f>IF($A28="","",DAY(EOMONTH(DATE(設定!$C$2,設定!$D$2,1),0))*3-COUNTIF(醫師班表!$E29:$CS29,"?*"))</f>
        <v/>
      </c>
    </row>
    <row r="29">
      <c r="A29" s="16" t="inlineStr">
        <is>
          <t>D025</t>
        </is>
      </c>
      <c r="B29" s="16" t="inlineStr">
        <is>
          <t>陳爵安</t>
        </is>
      </c>
      <c r="C29" s="70" t="inlineStr"/>
      <c r="D29" s="16" t="inlineStr"/>
      <c r="E29" s="62">
        <f>IF($A29="","",COUNTIF(醫師班表!$E30:$CS30,"悅"))</f>
        <v/>
      </c>
      <c r="F29" s="63">
        <f>IF($A29="","",COUNTIF(醫師班表!$E30:$CS30,"睿"))</f>
        <v/>
      </c>
      <c r="G29" s="64">
        <f>IF($A29="","",COUNTIF(醫師班表!$E30:$CS30,"匯"))</f>
        <v/>
      </c>
      <c r="H29" s="65">
        <f>IF($A29="","",COUNTIF(醫師班表!$E30:$CS30,"曜"))</f>
        <v/>
      </c>
      <c r="I29" s="66">
        <f>IF($A29="","",COUNTIF(醫師班表!$E30:$CS30,"寶"))</f>
        <v/>
      </c>
      <c r="J29" s="16">
        <f>IF($A29="","",SUM($E29:$I29))</f>
        <v/>
      </c>
      <c r="K29" s="16">
        <f>IF($A29="","",SUMPRODUCT(($E29:$I29&gt;0)*1))</f>
        <v/>
      </c>
      <c r="L29" s="16">
        <f>IF($A29="","",COUNTIF(醫師班表!$E30:$CS30,"訓"))</f>
        <v/>
      </c>
      <c r="M29" s="16">
        <f>IF($A29="","",COUNTIF(醫師班表!$E30:$CS30,"OFF"))</f>
        <v/>
      </c>
      <c r="N29" s="16">
        <f>IF($A29="","",COUNTIF(醫師班表!$E30:$CS30,"特"))</f>
        <v/>
      </c>
      <c r="O29" s="16">
        <f>IF($A29="","",COUNTIF(醫師班表!$E30:$CS30,"病"))</f>
        <v/>
      </c>
      <c r="P29" s="16">
        <f>IF($A29="","",COUNTIF(醫師班表!$E30:$CS30,"事"))</f>
        <v/>
      </c>
      <c r="Q29" s="16">
        <f>IF($A29="","",COUNTIF(醫師班表!$E30:$CS30,"公"))</f>
        <v/>
      </c>
      <c r="R29" s="16">
        <f>IF($A29="","",COUNTIF(醫師班表!$E30:$CS30,"國"))</f>
        <v/>
      </c>
      <c r="S29" s="16">
        <f>IF($A29="","",COUNTIF(醫師班表!$E30:$CS30,"休"))</f>
        <v/>
      </c>
      <c r="T29" s="16">
        <f>IF($A29="","",SUM($M29:$S29))</f>
        <v/>
      </c>
      <c r="U29" s="16">
        <f>IF($A29="","",DAY(EOMONTH(DATE(設定!$C$2,設定!$D$2,1),0))*3-COUNTIF(醫師班表!$E30:$CS30,"?*"))</f>
        <v/>
      </c>
    </row>
    <row r="30">
      <c r="A30" s="16" t="inlineStr">
        <is>
          <t>D026</t>
        </is>
      </c>
      <c r="B30" s="16" t="inlineStr">
        <is>
          <t>吳冠廷</t>
        </is>
      </c>
      <c r="C30" s="70" t="inlineStr"/>
      <c r="D30" s="16" t="inlineStr"/>
      <c r="E30" s="62">
        <f>IF($A30="","",COUNTIF(醫師班表!$E31:$CS31,"悅"))</f>
        <v/>
      </c>
      <c r="F30" s="63">
        <f>IF($A30="","",COUNTIF(醫師班表!$E31:$CS31,"睿"))</f>
        <v/>
      </c>
      <c r="G30" s="64">
        <f>IF($A30="","",COUNTIF(醫師班表!$E31:$CS31,"匯"))</f>
        <v/>
      </c>
      <c r="H30" s="65">
        <f>IF($A30="","",COUNTIF(醫師班表!$E31:$CS31,"曜"))</f>
        <v/>
      </c>
      <c r="I30" s="66">
        <f>IF($A30="","",COUNTIF(醫師班表!$E31:$CS31,"寶"))</f>
        <v/>
      </c>
      <c r="J30" s="16">
        <f>IF($A30="","",SUM($E30:$I30))</f>
        <v/>
      </c>
      <c r="K30" s="16">
        <f>IF($A30="","",SUMPRODUCT(($E30:$I30&gt;0)*1))</f>
        <v/>
      </c>
      <c r="L30" s="16">
        <f>IF($A30="","",COUNTIF(醫師班表!$E31:$CS31,"訓"))</f>
        <v/>
      </c>
      <c r="M30" s="16">
        <f>IF($A30="","",COUNTIF(醫師班表!$E31:$CS31,"OFF"))</f>
        <v/>
      </c>
      <c r="N30" s="16">
        <f>IF($A30="","",COUNTIF(醫師班表!$E31:$CS31,"特"))</f>
        <v/>
      </c>
      <c r="O30" s="16">
        <f>IF($A30="","",COUNTIF(醫師班表!$E31:$CS31,"病"))</f>
        <v/>
      </c>
      <c r="P30" s="16">
        <f>IF($A30="","",COUNTIF(醫師班表!$E31:$CS31,"事"))</f>
        <v/>
      </c>
      <c r="Q30" s="16">
        <f>IF($A30="","",COUNTIF(醫師班表!$E31:$CS31,"公"))</f>
        <v/>
      </c>
      <c r="R30" s="16">
        <f>IF($A30="","",COUNTIF(醫師班表!$E31:$CS31,"國"))</f>
        <v/>
      </c>
      <c r="S30" s="16">
        <f>IF($A30="","",COUNTIF(醫師班表!$E31:$CS31,"休"))</f>
        <v/>
      </c>
      <c r="T30" s="16">
        <f>IF($A30="","",SUM($M30:$S30))</f>
        <v/>
      </c>
      <c r="U30" s="16">
        <f>IF($A30="","",DAY(EOMONTH(DATE(設定!$C$2,設定!$D$2,1),0))*3-COUNTIF(醫師班表!$E31:$CS31,"?*"))</f>
        <v/>
      </c>
    </row>
    <row r="31">
      <c r="A31" s="16" t="inlineStr">
        <is>
          <t>D027</t>
        </is>
      </c>
      <c r="B31" s="16" t="inlineStr">
        <is>
          <t>楊孟庭</t>
        </is>
      </c>
      <c r="C31" s="70" t="inlineStr"/>
      <c r="D31" s="16" t="inlineStr"/>
      <c r="E31" s="62">
        <f>IF($A31="","",COUNTIF(醫師班表!$E32:$CS32,"悅"))</f>
        <v/>
      </c>
      <c r="F31" s="63">
        <f>IF($A31="","",COUNTIF(醫師班表!$E32:$CS32,"睿"))</f>
        <v/>
      </c>
      <c r="G31" s="64">
        <f>IF($A31="","",COUNTIF(醫師班表!$E32:$CS32,"匯"))</f>
        <v/>
      </c>
      <c r="H31" s="65">
        <f>IF($A31="","",COUNTIF(醫師班表!$E32:$CS32,"曜"))</f>
        <v/>
      </c>
      <c r="I31" s="66">
        <f>IF($A31="","",COUNTIF(醫師班表!$E32:$CS32,"寶"))</f>
        <v/>
      </c>
      <c r="J31" s="16">
        <f>IF($A31="","",SUM($E31:$I31))</f>
        <v/>
      </c>
      <c r="K31" s="16">
        <f>IF($A31="","",SUMPRODUCT(($E31:$I31&gt;0)*1))</f>
        <v/>
      </c>
      <c r="L31" s="16">
        <f>IF($A31="","",COUNTIF(醫師班表!$E32:$CS32,"訓"))</f>
        <v/>
      </c>
      <c r="M31" s="16">
        <f>IF($A31="","",COUNTIF(醫師班表!$E32:$CS32,"OFF"))</f>
        <v/>
      </c>
      <c r="N31" s="16">
        <f>IF($A31="","",COUNTIF(醫師班表!$E32:$CS32,"特"))</f>
        <v/>
      </c>
      <c r="O31" s="16">
        <f>IF($A31="","",COUNTIF(醫師班表!$E32:$CS32,"病"))</f>
        <v/>
      </c>
      <c r="P31" s="16">
        <f>IF($A31="","",COUNTIF(醫師班表!$E32:$CS32,"事"))</f>
        <v/>
      </c>
      <c r="Q31" s="16">
        <f>IF($A31="","",COUNTIF(醫師班表!$E32:$CS32,"公"))</f>
        <v/>
      </c>
      <c r="R31" s="16">
        <f>IF($A31="","",COUNTIF(醫師班表!$E32:$CS32,"國"))</f>
        <v/>
      </c>
      <c r="S31" s="16">
        <f>IF($A31="","",COUNTIF(醫師班表!$E32:$CS32,"休"))</f>
        <v/>
      </c>
      <c r="T31" s="16">
        <f>IF($A31="","",SUM($M31:$S31))</f>
        <v/>
      </c>
      <c r="U31" s="16">
        <f>IF($A31="","",DAY(EOMONTH(DATE(設定!$C$2,設定!$D$2,1),0))*3-COUNTIF(醫師班表!$E32:$CS32,"?*"))</f>
        <v/>
      </c>
    </row>
    <row r="32">
      <c r="A32" s="16">
        <f>IF(醫師班表!$A33="","",醫師班表!$A33)</f>
        <v/>
      </c>
      <c r="B32" s="16">
        <f>IF($A32="","",醫師班表!$B33)</f>
        <v/>
      </c>
      <c r="C32" s="70">
        <f>IF($A32="","",醫師班表!$C33)</f>
        <v/>
      </c>
      <c r="D32" s="16">
        <f>IF($A32="","",醫師班表!$D33)</f>
        <v/>
      </c>
      <c r="E32" s="62">
        <f>IF($A32="","",COUNTIF(醫師班表!$E33:$CS33,"悅"))</f>
        <v/>
      </c>
      <c r="F32" s="63">
        <f>IF($A32="","",COUNTIF(醫師班表!$E33:$CS33,"睿"))</f>
        <v/>
      </c>
      <c r="G32" s="64">
        <f>IF($A32="","",COUNTIF(醫師班表!$E33:$CS33,"匯"))</f>
        <v/>
      </c>
      <c r="H32" s="65">
        <f>IF($A32="","",COUNTIF(醫師班表!$E33:$CS33,"曜"))</f>
        <v/>
      </c>
      <c r="I32" s="66">
        <f>IF($A32="","",COUNTIF(醫師班表!$E33:$CS33,"寶"))</f>
        <v/>
      </c>
      <c r="J32" s="16">
        <f>IF($A32="","",SUM($E32:$I32))</f>
        <v/>
      </c>
      <c r="K32" s="16">
        <f>IF($A32="","",SUMPRODUCT(($E32:$I32&gt;0)*1))</f>
        <v/>
      </c>
      <c r="L32" s="16">
        <f>IF($A32="","",COUNTIF(醫師班表!$E33:$CS33,"訓"))</f>
        <v/>
      </c>
      <c r="M32" s="16">
        <f>IF($A32="","",COUNTIF(醫師班表!$E33:$CS33,"OFF"))</f>
        <v/>
      </c>
      <c r="N32" s="16">
        <f>IF($A32="","",COUNTIF(醫師班表!$E33:$CS33,"特"))</f>
        <v/>
      </c>
      <c r="O32" s="16">
        <f>IF($A32="","",COUNTIF(醫師班表!$E33:$CS33,"病"))</f>
        <v/>
      </c>
      <c r="P32" s="16">
        <f>IF($A32="","",COUNTIF(醫師班表!$E33:$CS33,"事"))</f>
        <v/>
      </c>
      <c r="Q32" s="16">
        <f>IF($A32="","",COUNTIF(醫師班表!$E33:$CS33,"公"))</f>
        <v/>
      </c>
      <c r="R32" s="16">
        <f>IF($A32="","",COUNTIF(醫師班表!$E33:$CS33,"國"))</f>
        <v/>
      </c>
      <c r="S32" s="16">
        <f>IF($A32="","",COUNTIF(醫師班表!$E33:$CS33,"休"))</f>
        <v/>
      </c>
      <c r="T32" s="16">
        <f>IF($A32="","",SUM($M32:$S32))</f>
        <v/>
      </c>
      <c r="U32" s="16">
        <f>IF($A32="","",DAY(EOMONTH(DATE(設定!$C$2,設定!$D$2,1),0))*3-COUNTIF(醫師班表!$E33:$CS33,"?*"))</f>
        <v/>
      </c>
    </row>
    <row r="33">
      <c r="A33" s="16">
        <f>IF(醫師班表!$A34="","",醫師班表!$A34)</f>
        <v/>
      </c>
      <c r="B33" s="16">
        <f>IF($A33="","",醫師班表!$B34)</f>
        <v/>
      </c>
      <c r="C33" s="70">
        <f>IF($A33="","",醫師班表!$C34)</f>
        <v/>
      </c>
      <c r="D33" s="16">
        <f>IF($A33="","",醫師班表!$D34)</f>
        <v/>
      </c>
      <c r="E33" s="62">
        <f>IF($A33="","",COUNTIF(醫師班表!$E34:$CS34,"悅"))</f>
        <v/>
      </c>
      <c r="F33" s="63">
        <f>IF($A33="","",COUNTIF(醫師班表!$E34:$CS34,"睿"))</f>
        <v/>
      </c>
      <c r="G33" s="64">
        <f>IF($A33="","",COUNTIF(醫師班表!$E34:$CS34,"匯"))</f>
        <v/>
      </c>
      <c r="H33" s="65">
        <f>IF($A33="","",COUNTIF(醫師班表!$E34:$CS34,"曜"))</f>
        <v/>
      </c>
      <c r="I33" s="66">
        <f>IF($A33="","",COUNTIF(醫師班表!$E34:$CS34,"寶"))</f>
        <v/>
      </c>
      <c r="J33" s="16">
        <f>IF($A33="","",SUM($E33:$I33))</f>
        <v/>
      </c>
      <c r="K33" s="16">
        <f>IF($A33="","",SUMPRODUCT(($E33:$I33&gt;0)*1))</f>
        <v/>
      </c>
      <c r="L33" s="16">
        <f>IF($A33="","",COUNTIF(醫師班表!$E34:$CS34,"訓"))</f>
        <v/>
      </c>
      <c r="M33" s="16">
        <f>IF($A33="","",COUNTIF(醫師班表!$E34:$CS34,"OFF"))</f>
        <v/>
      </c>
      <c r="N33" s="16">
        <f>IF($A33="","",COUNTIF(醫師班表!$E34:$CS34,"特"))</f>
        <v/>
      </c>
      <c r="O33" s="16">
        <f>IF($A33="","",COUNTIF(醫師班表!$E34:$CS34,"病"))</f>
        <v/>
      </c>
      <c r="P33" s="16">
        <f>IF($A33="","",COUNTIF(醫師班表!$E34:$CS34,"事"))</f>
        <v/>
      </c>
      <c r="Q33" s="16">
        <f>IF($A33="","",COUNTIF(醫師班表!$E34:$CS34,"公"))</f>
        <v/>
      </c>
      <c r="R33" s="16">
        <f>IF($A33="","",COUNTIF(醫師班表!$E34:$CS34,"國"))</f>
        <v/>
      </c>
      <c r="S33" s="16">
        <f>IF($A33="","",COUNTIF(醫師班表!$E34:$CS34,"休"))</f>
        <v/>
      </c>
      <c r="T33" s="16">
        <f>IF($A33="","",SUM($M33:$S33))</f>
        <v/>
      </c>
      <c r="U33" s="16">
        <f>IF($A33="","",DAY(EOMONTH(DATE(設定!$C$2,設定!$D$2,1),0))*3-COUNTIF(醫師班表!$E34:$CS34,"?*"))</f>
        <v/>
      </c>
    </row>
    <row r="34">
      <c r="A34" s="16">
        <f>IF(醫師班表!$A35="","",醫師班表!$A35)</f>
        <v/>
      </c>
      <c r="B34" s="16">
        <f>IF($A34="","",醫師班表!$B35)</f>
        <v/>
      </c>
      <c r="C34" s="70">
        <f>IF($A34="","",醫師班表!$C35)</f>
        <v/>
      </c>
      <c r="D34" s="16">
        <f>IF($A34="","",醫師班表!$D35)</f>
        <v/>
      </c>
      <c r="E34" s="62">
        <f>IF($A34="","",COUNTIF(醫師班表!$E35:$CS35,"悅"))</f>
        <v/>
      </c>
      <c r="F34" s="63">
        <f>IF($A34="","",COUNTIF(醫師班表!$E35:$CS35,"睿"))</f>
        <v/>
      </c>
      <c r="G34" s="64">
        <f>IF($A34="","",COUNTIF(醫師班表!$E35:$CS35,"匯"))</f>
        <v/>
      </c>
      <c r="H34" s="65">
        <f>IF($A34="","",COUNTIF(醫師班表!$E35:$CS35,"曜"))</f>
        <v/>
      </c>
      <c r="I34" s="66">
        <f>IF($A34="","",COUNTIF(醫師班表!$E35:$CS35,"寶"))</f>
        <v/>
      </c>
      <c r="J34" s="16">
        <f>IF($A34="","",SUM($E34:$I34))</f>
        <v/>
      </c>
      <c r="K34" s="16">
        <f>IF($A34="","",SUMPRODUCT(($E34:$I34&gt;0)*1))</f>
        <v/>
      </c>
      <c r="L34" s="16">
        <f>IF($A34="","",COUNTIF(醫師班表!$E35:$CS35,"訓"))</f>
        <v/>
      </c>
      <c r="M34" s="16">
        <f>IF($A34="","",COUNTIF(醫師班表!$E35:$CS35,"OFF"))</f>
        <v/>
      </c>
      <c r="N34" s="16">
        <f>IF($A34="","",COUNTIF(醫師班表!$E35:$CS35,"特"))</f>
        <v/>
      </c>
      <c r="O34" s="16">
        <f>IF($A34="","",COUNTIF(醫師班表!$E35:$CS35,"病"))</f>
        <v/>
      </c>
      <c r="P34" s="16">
        <f>IF($A34="","",COUNTIF(醫師班表!$E35:$CS35,"事"))</f>
        <v/>
      </c>
      <c r="Q34" s="16">
        <f>IF($A34="","",COUNTIF(醫師班表!$E35:$CS35,"公"))</f>
        <v/>
      </c>
      <c r="R34" s="16">
        <f>IF($A34="","",COUNTIF(醫師班表!$E35:$CS35,"國"))</f>
        <v/>
      </c>
      <c r="S34" s="16">
        <f>IF($A34="","",COUNTIF(醫師班表!$E35:$CS35,"休"))</f>
        <v/>
      </c>
      <c r="T34" s="16">
        <f>IF($A34="","",SUM($M34:$S34))</f>
        <v/>
      </c>
      <c r="U34" s="16">
        <f>IF($A34="","",DAY(EOMONTH(DATE(設定!$C$2,設定!$D$2,1),0))*3-COUNTIF(醫師班表!$E35:$CS35,"?*"))</f>
        <v/>
      </c>
    </row>
    <row r="35">
      <c r="A35" s="16">
        <f>IF(醫師班表!$A36="","",醫師班表!$A36)</f>
        <v/>
      </c>
      <c r="B35" s="16">
        <f>IF($A35="","",醫師班表!$B36)</f>
        <v/>
      </c>
      <c r="C35" s="70">
        <f>IF($A35="","",醫師班表!$C36)</f>
        <v/>
      </c>
      <c r="D35" s="16">
        <f>IF($A35="","",醫師班表!$D36)</f>
        <v/>
      </c>
      <c r="E35" s="62">
        <f>IF($A35="","",COUNTIF(醫師班表!$E36:$CS36,"悅"))</f>
        <v/>
      </c>
      <c r="F35" s="63">
        <f>IF($A35="","",COUNTIF(醫師班表!$E36:$CS36,"睿"))</f>
        <v/>
      </c>
      <c r="G35" s="64">
        <f>IF($A35="","",COUNTIF(醫師班表!$E36:$CS36,"匯"))</f>
        <v/>
      </c>
      <c r="H35" s="65">
        <f>IF($A35="","",COUNTIF(醫師班表!$E36:$CS36,"曜"))</f>
        <v/>
      </c>
      <c r="I35" s="66">
        <f>IF($A35="","",COUNTIF(醫師班表!$E36:$CS36,"寶"))</f>
        <v/>
      </c>
      <c r="J35" s="16">
        <f>IF($A35="","",SUM($E35:$I35))</f>
        <v/>
      </c>
      <c r="K35" s="16">
        <f>IF($A35="","",SUMPRODUCT(($E35:$I35&gt;0)*1))</f>
        <v/>
      </c>
      <c r="L35" s="16">
        <f>IF($A35="","",COUNTIF(醫師班表!$E36:$CS36,"訓"))</f>
        <v/>
      </c>
      <c r="M35" s="16">
        <f>IF($A35="","",COUNTIF(醫師班表!$E36:$CS36,"OFF"))</f>
        <v/>
      </c>
      <c r="N35" s="16">
        <f>IF($A35="","",COUNTIF(醫師班表!$E36:$CS36,"特"))</f>
        <v/>
      </c>
      <c r="O35" s="16">
        <f>IF($A35="","",COUNTIF(醫師班表!$E36:$CS36,"病"))</f>
        <v/>
      </c>
      <c r="P35" s="16">
        <f>IF($A35="","",COUNTIF(醫師班表!$E36:$CS36,"事"))</f>
        <v/>
      </c>
      <c r="Q35" s="16">
        <f>IF($A35="","",COUNTIF(醫師班表!$E36:$CS36,"公"))</f>
        <v/>
      </c>
      <c r="R35" s="16">
        <f>IF($A35="","",COUNTIF(醫師班表!$E36:$CS36,"國"))</f>
        <v/>
      </c>
      <c r="S35" s="16">
        <f>IF($A35="","",COUNTIF(醫師班表!$E36:$CS36,"休"))</f>
        <v/>
      </c>
      <c r="T35" s="16">
        <f>IF($A35="","",SUM($M35:$S35))</f>
        <v/>
      </c>
      <c r="U35" s="16">
        <f>IF($A35="","",DAY(EOMONTH(DATE(設定!$C$2,設定!$D$2,1),0))*3-COUNTIF(醫師班表!$E36:$CS36,"?*"))</f>
        <v/>
      </c>
    </row>
    <row r="36">
      <c r="A36" s="16">
        <f>IF(醫師班表!$A37="","",醫師班表!$A37)</f>
        <v/>
      </c>
      <c r="B36" s="16">
        <f>IF($A36="","",醫師班表!$B37)</f>
        <v/>
      </c>
      <c r="C36" s="70">
        <f>IF($A36="","",醫師班表!$C37)</f>
        <v/>
      </c>
      <c r="D36" s="16">
        <f>IF($A36="","",醫師班表!$D37)</f>
        <v/>
      </c>
      <c r="E36" s="62">
        <f>IF($A36="","",COUNTIF(醫師班表!$E37:$CS37,"悅"))</f>
        <v/>
      </c>
      <c r="F36" s="63">
        <f>IF($A36="","",COUNTIF(醫師班表!$E37:$CS37,"睿"))</f>
        <v/>
      </c>
      <c r="G36" s="64">
        <f>IF($A36="","",COUNTIF(醫師班表!$E37:$CS37,"匯"))</f>
        <v/>
      </c>
      <c r="H36" s="65">
        <f>IF($A36="","",COUNTIF(醫師班表!$E37:$CS37,"曜"))</f>
        <v/>
      </c>
      <c r="I36" s="66">
        <f>IF($A36="","",COUNTIF(醫師班表!$E37:$CS37,"寶"))</f>
        <v/>
      </c>
      <c r="J36" s="16">
        <f>IF($A36="","",SUM($E36:$I36))</f>
        <v/>
      </c>
      <c r="K36" s="16">
        <f>IF($A36="","",SUMPRODUCT(($E36:$I36&gt;0)*1))</f>
        <v/>
      </c>
      <c r="L36" s="16">
        <f>IF($A36="","",COUNTIF(醫師班表!$E37:$CS37,"訓"))</f>
        <v/>
      </c>
      <c r="M36" s="16">
        <f>IF($A36="","",COUNTIF(醫師班表!$E37:$CS37,"OFF"))</f>
        <v/>
      </c>
      <c r="N36" s="16">
        <f>IF($A36="","",COUNTIF(醫師班表!$E37:$CS37,"特"))</f>
        <v/>
      </c>
      <c r="O36" s="16">
        <f>IF($A36="","",COUNTIF(醫師班表!$E37:$CS37,"病"))</f>
        <v/>
      </c>
      <c r="P36" s="16">
        <f>IF($A36="","",COUNTIF(醫師班表!$E37:$CS37,"事"))</f>
        <v/>
      </c>
      <c r="Q36" s="16">
        <f>IF($A36="","",COUNTIF(醫師班表!$E37:$CS37,"公"))</f>
        <v/>
      </c>
      <c r="R36" s="16">
        <f>IF($A36="","",COUNTIF(醫師班表!$E37:$CS37,"國"))</f>
        <v/>
      </c>
      <c r="S36" s="16">
        <f>IF($A36="","",COUNTIF(醫師班表!$E37:$CS37,"休"))</f>
        <v/>
      </c>
      <c r="T36" s="16">
        <f>IF($A36="","",SUM($M36:$S36))</f>
        <v/>
      </c>
      <c r="U36" s="16">
        <f>IF($A36="","",DAY(EOMONTH(DATE(設定!$C$2,設定!$D$2,1),0))*3-COUNTIF(醫師班表!$E37:$CS37,"?*"))</f>
        <v/>
      </c>
    </row>
    <row r="37">
      <c r="A37" s="16">
        <f>IF(醫師班表!$A38="","",醫師班表!$A38)</f>
        <v/>
      </c>
      <c r="B37" s="16">
        <f>IF($A37="","",醫師班表!$B38)</f>
        <v/>
      </c>
      <c r="C37" s="70">
        <f>IF($A37="","",醫師班表!$C38)</f>
        <v/>
      </c>
      <c r="D37" s="16">
        <f>IF($A37="","",醫師班表!$D38)</f>
        <v/>
      </c>
      <c r="E37" s="62">
        <f>IF($A37="","",COUNTIF(醫師班表!$E38:$CS38,"悅"))</f>
        <v/>
      </c>
      <c r="F37" s="63">
        <f>IF($A37="","",COUNTIF(醫師班表!$E38:$CS38,"睿"))</f>
        <v/>
      </c>
      <c r="G37" s="64">
        <f>IF($A37="","",COUNTIF(醫師班表!$E38:$CS38,"匯"))</f>
        <v/>
      </c>
      <c r="H37" s="65">
        <f>IF($A37="","",COUNTIF(醫師班表!$E38:$CS38,"曜"))</f>
        <v/>
      </c>
      <c r="I37" s="66">
        <f>IF($A37="","",COUNTIF(醫師班表!$E38:$CS38,"寶"))</f>
        <v/>
      </c>
      <c r="J37" s="16">
        <f>IF($A37="","",SUM($E37:$I37))</f>
        <v/>
      </c>
      <c r="K37" s="16">
        <f>IF($A37="","",SUMPRODUCT(($E37:$I37&gt;0)*1))</f>
        <v/>
      </c>
      <c r="L37" s="16">
        <f>IF($A37="","",COUNTIF(醫師班表!$E38:$CS38,"訓"))</f>
        <v/>
      </c>
      <c r="M37" s="16">
        <f>IF($A37="","",COUNTIF(醫師班表!$E38:$CS38,"OFF"))</f>
        <v/>
      </c>
      <c r="N37" s="16">
        <f>IF($A37="","",COUNTIF(醫師班表!$E38:$CS38,"特"))</f>
        <v/>
      </c>
      <c r="O37" s="16">
        <f>IF($A37="","",COUNTIF(醫師班表!$E38:$CS38,"病"))</f>
        <v/>
      </c>
      <c r="P37" s="16">
        <f>IF($A37="","",COUNTIF(醫師班表!$E38:$CS38,"事"))</f>
        <v/>
      </c>
      <c r="Q37" s="16">
        <f>IF($A37="","",COUNTIF(醫師班表!$E38:$CS38,"公"))</f>
        <v/>
      </c>
      <c r="R37" s="16">
        <f>IF($A37="","",COUNTIF(醫師班表!$E38:$CS38,"國"))</f>
        <v/>
      </c>
      <c r="S37" s="16">
        <f>IF($A37="","",COUNTIF(醫師班表!$E38:$CS38,"休"))</f>
        <v/>
      </c>
      <c r="T37" s="16">
        <f>IF($A37="","",SUM($M37:$S37))</f>
        <v/>
      </c>
      <c r="U37" s="16">
        <f>IF($A37="","",DAY(EOMONTH(DATE(設定!$C$2,設定!$D$2,1),0))*3-COUNTIF(醫師班表!$E38:$CS38,"?*"))</f>
        <v/>
      </c>
    </row>
    <row r="38">
      <c r="A38" s="16">
        <f>IF(醫師班表!$A39="","",醫師班表!$A39)</f>
        <v/>
      </c>
      <c r="B38" s="16">
        <f>IF($A38="","",醫師班表!$B39)</f>
        <v/>
      </c>
      <c r="C38" s="70">
        <f>IF($A38="","",醫師班表!$C39)</f>
        <v/>
      </c>
      <c r="D38" s="16">
        <f>IF($A38="","",醫師班表!$D39)</f>
        <v/>
      </c>
      <c r="E38" s="62">
        <f>IF($A38="","",COUNTIF(醫師班表!$E39:$CS39,"悅"))</f>
        <v/>
      </c>
      <c r="F38" s="63">
        <f>IF($A38="","",COUNTIF(醫師班表!$E39:$CS39,"睿"))</f>
        <v/>
      </c>
      <c r="G38" s="64">
        <f>IF($A38="","",COUNTIF(醫師班表!$E39:$CS39,"匯"))</f>
        <v/>
      </c>
      <c r="H38" s="65">
        <f>IF($A38="","",COUNTIF(醫師班表!$E39:$CS39,"曜"))</f>
        <v/>
      </c>
      <c r="I38" s="66">
        <f>IF($A38="","",COUNTIF(醫師班表!$E39:$CS39,"寶"))</f>
        <v/>
      </c>
      <c r="J38" s="16">
        <f>IF($A38="","",SUM($E38:$I38))</f>
        <v/>
      </c>
      <c r="K38" s="16">
        <f>IF($A38="","",SUMPRODUCT(($E38:$I38&gt;0)*1))</f>
        <v/>
      </c>
      <c r="L38" s="16">
        <f>IF($A38="","",COUNTIF(醫師班表!$E39:$CS39,"訓"))</f>
        <v/>
      </c>
      <c r="M38" s="16">
        <f>IF($A38="","",COUNTIF(醫師班表!$E39:$CS39,"OFF"))</f>
        <v/>
      </c>
      <c r="N38" s="16">
        <f>IF($A38="","",COUNTIF(醫師班表!$E39:$CS39,"特"))</f>
        <v/>
      </c>
      <c r="O38" s="16">
        <f>IF($A38="","",COUNTIF(醫師班表!$E39:$CS39,"病"))</f>
        <v/>
      </c>
      <c r="P38" s="16">
        <f>IF($A38="","",COUNTIF(醫師班表!$E39:$CS39,"事"))</f>
        <v/>
      </c>
      <c r="Q38" s="16">
        <f>IF($A38="","",COUNTIF(醫師班表!$E39:$CS39,"公"))</f>
        <v/>
      </c>
      <c r="R38" s="16">
        <f>IF($A38="","",COUNTIF(醫師班表!$E39:$CS39,"國"))</f>
        <v/>
      </c>
      <c r="S38" s="16">
        <f>IF($A38="","",COUNTIF(醫師班表!$E39:$CS39,"休"))</f>
        <v/>
      </c>
      <c r="T38" s="16">
        <f>IF($A38="","",SUM($M38:$S38))</f>
        <v/>
      </c>
      <c r="U38" s="16">
        <f>IF($A38="","",DAY(EOMONTH(DATE(設定!$C$2,設定!$D$2,1),0))*3-COUNTIF(醫師班表!$E39:$CS39,"?*"))</f>
        <v/>
      </c>
    </row>
    <row r="39">
      <c r="A39" s="16">
        <f>IF(醫師班表!$A40="","",醫師班表!$A40)</f>
        <v/>
      </c>
      <c r="B39" s="16">
        <f>IF($A39="","",醫師班表!$B40)</f>
        <v/>
      </c>
      <c r="C39" s="70">
        <f>IF($A39="","",醫師班表!$C40)</f>
        <v/>
      </c>
      <c r="D39" s="16">
        <f>IF($A39="","",醫師班表!$D40)</f>
        <v/>
      </c>
      <c r="E39" s="62">
        <f>IF($A39="","",COUNTIF(醫師班表!$E40:$CS40,"悅"))</f>
        <v/>
      </c>
      <c r="F39" s="63">
        <f>IF($A39="","",COUNTIF(醫師班表!$E40:$CS40,"睿"))</f>
        <v/>
      </c>
      <c r="G39" s="64">
        <f>IF($A39="","",COUNTIF(醫師班表!$E40:$CS40,"匯"))</f>
        <v/>
      </c>
      <c r="H39" s="65">
        <f>IF($A39="","",COUNTIF(醫師班表!$E40:$CS40,"曜"))</f>
        <v/>
      </c>
      <c r="I39" s="66">
        <f>IF($A39="","",COUNTIF(醫師班表!$E40:$CS40,"寶"))</f>
        <v/>
      </c>
      <c r="J39" s="16">
        <f>IF($A39="","",SUM($E39:$I39))</f>
        <v/>
      </c>
      <c r="K39" s="16">
        <f>IF($A39="","",SUMPRODUCT(($E39:$I39&gt;0)*1))</f>
        <v/>
      </c>
      <c r="L39" s="16">
        <f>IF($A39="","",COUNTIF(醫師班表!$E40:$CS40,"訓"))</f>
        <v/>
      </c>
      <c r="M39" s="16">
        <f>IF($A39="","",COUNTIF(醫師班表!$E40:$CS40,"OFF"))</f>
        <v/>
      </c>
      <c r="N39" s="16">
        <f>IF($A39="","",COUNTIF(醫師班表!$E40:$CS40,"特"))</f>
        <v/>
      </c>
      <c r="O39" s="16">
        <f>IF($A39="","",COUNTIF(醫師班表!$E40:$CS40,"病"))</f>
        <v/>
      </c>
      <c r="P39" s="16">
        <f>IF($A39="","",COUNTIF(醫師班表!$E40:$CS40,"事"))</f>
        <v/>
      </c>
      <c r="Q39" s="16">
        <f>IF($A39="","",COUNTIF(醫師班表!$E40:$CS40,"公"))</f>
        <v/>
      </c>
      <c r="R39" s="16">
        <f>IF($A39="","",COUNTIF(醫師班表!$E40:$CS40,"國"))</f>
        <v/>
      </c>
      <c r="S39" s="16">
        <f>IF($A39="","",COUNTIF(醫師班表!$E40:$CS40,"休"))</f>
        <v/>
      </c>
      <c r="T39" s="16">
        <f>IF($A39="","",SUM($M39:$S39))</f>
        <v/>
      </c>
      <c r="U39" s="16">
        <f>IF($A39="","",DAY(EOMONTH(DATE(設定!$C$2,設定!$D$2,1),0))*3-COUNTIF(醫師班表!$E40:$CS40,"?*"))</f>
        <v/>
      </c>
    </row>
    <row r="40">
      <c r="A40" s="16">
        <f>IF(醫師班表!$A41="","",醫師班表!$A41)</f>
        <v/>
      </c>
      <c r="B40" s="16">
        <f>IF($A40="","",醫師班表!$B41)</f>
        <v/>
      </c>
      <c r="C40" s="70">
        <f>IF($A40="","",醫師班表!$C41)</f>
        <v/>
      </c>
      <c r="D40" s="16">
        <f>IF($A40="","",醫師班表!$D41)</f>
        <v/>
      </c>
      <c r="E40" s="62">
        <f>IF($A40="","",COUNTIF(醫師班表!$E41:$CS41,"悅"))</f>
        <v/>
      </c>
      <c r="F40" s="63">
        <f>IF($A40="","",COUNTIF(醫師班表!$E41:$CS41,"睿"))</f>
        <v/>
      </c>
      <c r="G40" s="64">
        <f>IF($A40="","",COUNTIF(醫師班表!$E41:$CS41,"匯"))</f>
        <v/>
      </c>
      <c r="H40" s="65">
        <f>IF($A40="","",COUNTIF(醫師班表!$E41:$CS41,"曜"))</f>
        <v/>
      </c>
      <c r="I40" s="66">
        <f>IF($A40="","",COUNTIF(醫師班表!$E41:$CS41,"寶"))</f>
        <v/>
      </c>
      <c r="J40" s="16">
        <f>IF($A40="","",SUM($E40:$I40))</f>
        <v/>
      </c>
      <c r="K40" s="16">
        <f>IF($A40="","",SUMPRODUCT(($E40:$I40&gt;0)*1))</f>
        <v/>
      </c>
      <c r="L40" s="16">
        <f>IF($A40="","",COUNTIF(醫師班表!$E41:$CS41,"訓"))</f>
        <v/>
      </c>
      <c r="M40" s="16">
        <f>IF($A40="","",COUNTIF(醫師班表!$E41:$CS41,"OFF"))</f>
        <v/>
      </c>
      <c r="N40" s="16">
        <f>IF($A40="","",COUNTIF(醫師班表!$E41:$CS41,"特"))</f>
        <v/>
      </c>
      <c r="O40" s="16">
        <f>IF($A40="","",COUNTIF(醫師班表!$E41:$CS41,"病"))</f>
        <v/>
      </c>
      <c r="P40" s="16">
        <f>IF($A40="","",COUNTIF(醫師班表!$E41:$CS41,"事"))</f>
        <v/>
      </c>
      <c r="Q40" s="16">
        <f>IF($A40="","",COUNTIF(醫師班表!$E41:$CS41,"公"))</f>
        <v/>
      </c>
      <c r="R40" s="16">
        <f>IF($A40="","",COUNTIF(醫師班表!$E41:$CS41,"國"))</f>
        <v/>
      </c>
      <c r="S40" s="16">
        <f>IF($A40="","",COUNTIF(醫師班表!$E41:$CS41,"休"))</f>
        <v/>
      </c>
      <c r="T40" s="16">
        <f>IF($A40="","",SUM($M40:$S40))</f>
        <v/>
      </c>
      <c r="U40" s="16">
        <f>IF($A40="","",DAY(EOMONTH(DATE(設定!$C$2,設定!$D$2,1),0))*3-COUNTIF(醫師班表!$E41:$CS41,"?*"))</f>
        <v/>
      </c>
    </row>
    <row r="41">
      <c r="A41" s="16">
        <f>IF(醫師班表!$A42="","",醫師班表!$A42)</f>
        <v/>
      </c>
      <c r="B41" s="16">
        <f>IF($A41="","",醫師班表!$B42)</f>
        <v/>
      </c>
      <c r="C41" s="70">
        <f>IF($A41="","",醫師班表!$C42)</f>
        <v/>
      </c>
      <c r="D41" s="16">
        <f>IF($A41="","",醫師班表!$D42)</f>
        <v/>
      </c>
      <c r="E41" s="62">
        <f>IF($A41="","",COUNTIF(醫師班表!$E42:$CS42,"悅"))</f>
        <v/>
      </c>
      <c r="F41" s="63">
        <f>IF($A41="","",COUNTIF(醫師班表!$E42:$CS42,"睿"))</f>
        <v/>
      </c>
      <c r="G41" s="64">
        <f>IF($A41="","",COUNTIF(醫師班表!$E42:$CS42,"匯"))</f>
        <v/>
      </c>
      <c r="H41" s="65">
        <f>IF($A41="","",COUNTIF(醫師班表!$E42:$CS42,"曜"))</f>
        <v/>
      </c>
      <c r="I41" s="66">
        <f>IF($A41="","",COUNTIF(醫師班表!$E42:$CS42,"寶"))</f>
        <v/>
      </c>
      <c r="J41" s="16">
        <f>IF($A41="","",SUM($E41:$I41))</f>
        <v/>
      </c>
      <c r="K41" s="16">
        <f>IF($A41="","",SUMPRODUCT(($E41:$I41&gt;0)*1))</f>
        <v/>
      </c>
      <c r="L41" s="16">
        <f>IF($A41="","",COUNTIF(醫師班表!$E42:$CS42,"訓"))</f>
        <v/>
      </c>
      <c r="M41" s="16">
        <f>IF($A41="","",COUNTIF(醫師班表!$E42:$CS42,"OFF"))</f>
        <v/>
      </c>
      <c r="N41" s="16">
        <f>IF($A41="","",COUNTIF(醫師班表!$E42:$CS42,"特"))</f>
        <v/>
      </c>
      <c r="O41" s="16">
        <f>IF($A41="","",COUNTIF(醫師班表!$E42:$CS42,"病"))</f>
        <v/>
      </c>
      <c r="P41" s="16">
        <f>IF($A41="","",COUNTIF(醫師班表!$E42:$CS42,"事"))</f>
        <v/>
      </c>
      <c r="Q41" s="16">
        <f>IF($A41="","",COUNTIF(醫師班表!$E42:$CS42,"公"))</f>
        <v/>
      </c>
      <c r="R41" s="16">
        <f>IF($A41="","",COUNTIF(醫師班表!$E42:$CS42,"國"))</f>
        <v/>
      </c>
      <c r="S41" s="16">
        <f>IF($A41="","",COUNTIF(醫師班表!$E42:$CS42,"休"))</f>
        <v/>
      </c>
      <c r="T41" s="16">
        <f>IF($A41="","",SUM($M41:$S41))</f>
        <v/>
      </c>
      <c r="U41" s="16">
        <f>IF($A41="","",DAY(EOMONTH(DATE(設定!$C$2,設定!$D$2,1),0))*3-COUNTIF(醫師班表!$E42:$CS42,"?*"))</f>
        <v/>
      </c>
    </row>
    <row r="42">
      <c r="A42" s="16">
        <f>IF(醫師班表!$A43="","",醫師班表!$A43)</f>
        <v/>
      </c>
      <c r="B42" s="16">
        <f>IF($A42="","",醫師班表!$B43)</f>
        <v/>
      </c>
      <c r="C42" s="70">
        <f>IF($A42="","",醫師班表!$C43)</f>
        <v/>
      </c>
      <c r="D42" s="16">
        <f>IF($A42="","",醫師班表!$D43)</f>
        <v/>
      </c>
      <c r="E42" s="62">
        <f>IF($A42="","",COUNTIF(醫師班表!$E43:$CS43,"悅"))</f>
        <v/>
      </c>
      <c r="F42" s="63">
        <f>IF($A42="","",COUNTIF(醫師班表!$E43:$CS43,"睿"))</f>
        <v/>
      </c>
      <c r="G42" s="64">
        <f>IF($A42="","",COUNTIF(醫師班表!$E43:$CS43,"匯"))</f>
        <v/>
      </c>
      <c r="H42" s="65">
        <f>IF($A42="","",COUNTIF(醫師班表!$E43:$CS43,"曜"))</f>
        <v/>
      </c>
      <c r="I42" s="66">
        <f>IF($A42="","",COUNTIF(醫師班表!$E43:$CS43,"寶"))</f>
        <v/>
      </c>
      <c r="J42" s="16">
        <f>IF($A42="","",SUM($E42:$I42))</f>
        <v/>
      </c>
      <c r="K42" s="16">
        <f>IF($A42="","",SUMPRODUCT(($E42:$I42&gt;0)*1))</f>
        <v/>
      </c>
      <c r="L42" s="16">
        <f>IF($A42="","",COUNTIF(醫師班表!$E43:$CS43,"訓"))</f>
        <v/>
      </c>
      <c r="M42" s="16">
        <f>IF($A42="","",COUNTIF(醫師班表!$E43:$CS43,"OFF"))</f>
        <v/>
      </c>
      <c r="N42" s="16">
        <f>IF($A42="","",COUNTIF(醫師班表!$E43:$CS43,"特"))</f>
        <v/>
      </c>
      <c r="O42" s="16">
        <f>IF($A42="","",COUNTIF(醫師班表!$E43:$CS43,"病"))</f>
        <v/>
      </c>
      <c r="P42" s="16">
        <f>IF($A42="","",COUNTIF(醫師班表!$E43:$CS43,"事"))</f>
        <v/>
      </c>
      <c r="Q42" s="16">
        <f>IF($A42="","",COUNTIF(醫師班表!$E43:$CS43,"公"))</f>
        <v/>
      </c>
      <c r="R42" s="16">
        <f>IF($A42="","",COUNTIF(醫師班表!$E43:$CS43,"國"))</f>
        <v/>
      </c>
      <c r="S42" s="16">
        <f>IF($A42="","",COUNTIF(醫師班表!$E43:$CS43,"休"))</f>
        <v/>
      </c>
      <c r="T42" s="16">
        <f>IF($A42="","",SUM($M42:$S42))</f>
        <v/>
      </c>
      <c r="U42" s="16">
        <f>IF($A42="","",DAY(EOMONTH(DATE(設定!$C$2,設定!$D$2,1),0))*3-COUNTIF(醫師班表!$E43:$CS43,"?*"))</f>
        <v/>
      </c>
    </row>
    <row r="43">
      <c r="A43" s="16">
        <f>IF(醫師班表!$A44="","",醫師班表!$A44)</f>
        <v/>
      </c>
      <c r="B43" s="16">
        <f>IF($A43="","",醫師班表!$B44)</f>
        <v/>
      </c>
      <c r="C43" s="70">
        <f>IF($A43="","",醫師班表!$C44)</f>
        <v/>
      </c>
      <c r="D43" s="16">
        <f>IF($A43="","",醫師班表!$D44)</f>
        <v/>
      </c>
      <c r="E43" s="62">
        <f>IF($A43="","",COUNTIF(醫師班表!$E44:$CS44,"悅"))</f>
        <v/>
      </c>
      <c r="F43" s="63">
        <f>IF($A43="","",COUNTIF(醫師班表!$E44:$CS44,"睿"))</f>
        <v/>
      </c>
      <c r="G43" s="64">
        <f>IF($A43="","",COUNTIF(醫師班表!$E44:$CS44,"匯"))</f>
        <v/>
      </c>
      <c r="H43" s="65">
        <f>IF($A43="","",COUNTIF(醫師班表!$E44:$CS44,"曜"))</f>
        <v/>
      </c>
      <c r="I43" s="66">
        <f>IF($A43="","",COUNTIF(醫師班表!$E44:$CS44,"寶"))</f>
        <v/>
      </c>
      <c r="J43" s="16">
        <f>IF($A43="","",SUM($E43:$I43))</f>
        <v/>
      </c>
      <c r="K43" s="16">
        <f>IF($A43="","",SUMPRODUCT(($E43:$I43&gt;0)*1))</f>
        <v/>
      </c>
      <c r="L43" s="16">
        <f>IF($A43="","",COUNTIF(醫師班表!$E44:$CS44,"訓"))</f>
        <v/>
      </c>
      <c r="M43" s="16">
        <f>IF($A43="","",COUNTIF(醫師班表!$E44:$CS44,"OFF"))</f>
        <v/>
      </c>
      <c r="N43" s="16">
        <f>IF($A43="","",COUNTIF(醫師班表!$E44:$CS44,"特"))</f>
        <v/>
      </c>
      <c r="O43" s="16">
        <f>IF($A43="","",COUNTIF(醫師班表!$E44:$CS44,"病"))</f>
        <v/>
      </c>
      <c r="P43" s="16">
        <f>IF($A43="","",COUNTIF(醫師班表!$E44:$CS44,"事"))</f>
        <v/>
      </c>
      <c r="Q43" s="16">
        <f>IF($A43="","",COUNTIF(醫師班表!$E44:$CS44,"公"))</f>
        <v/>
      </c>
      <c r="R43" s="16">
        <f>IF($A43="","",COUNTIF(醫師班表!$E44:$CS44,"國"))</f>
        <v/>
      </c>
      <c r="S43" s="16">
        <f>IF($A43="","",COUNTIF(醫師班表!$E44:$CS44,"休"))</f>
        <v/>
      </c>
      <c r="T43" s="16">
        <f>IF($A43="","",SUM($M43:$S43))</f>
        <v/>
      </c>
      <c r="U43" s="16">
        <f>IF($A43="","",DAY(EOMONTH(DATE(設定!$C$2,設定!$D$2,1),0))*3-COUNTIF(醫師班表!$E44:$CS44,"?*"))</f>
        <v/>
      </c>
    </row>
    <row r="44">
      <c r="A44" s="16">
        <f>IF(醫師班表!$A45="","",醫師班表!$A45)</f>
        <v/>
      </c>
      <c r="B44" s="16">
        <f>IF($A44="","",醫師班表!$B45)</f>
        <v/>
      </c>
      <c r="C44" s="70">
        <f>IF($A44="","",醫師班表!$C45)</f>
        <v/>
      </c>
      <c r="D44" s="16">
        <f>IF($A44="","",醫師班表!$D45)</f>
        <v/>
      </c>
      <c r="E44" s="62">
        <f>IF($A44="","",COUNTIF(醫師班表!$E45:$CS45,"悅"))</f>
        <v/>
      </c>
      <c r="F44" s="63">
        <f>IF($A44="","",COUNTIF(醫師班表!$E45:$CS45,"睿"))</f>
        <v/>
      </c>
      <c r="G44" s="64">
        <f>IF($A44="","",COUNTIF(醫師班表!$E45:$CS45,"匯"))</f>
        <v/>
      </c>
      <c r="H44" s="65">
        <f>IF($A44="","",COUNTIF(醫師班表!$E45:$CS45,"曜"))</f>
        <v/>
      </c>
      <c r="I44" s="66">
        <f>IF($A44="","",COUNTIF(醫師班表!$E45:$CS45,"寶"))</f>
        <v/>
      </c>
      <c r="J44" s="16">
        <f>IF($A44="","",SUM($E44:$I44))</f>
        <v/>
      </c>
      <c r="K44" s="16">
        <f>IF($A44="","",SUMPRODUCT(($E44:$I44&gt;0)*1))</f>
        <v/>
      </c>
      <c r="L44" s="16">
        <f>IF($A44="","",COUNTIF(醫師班表!$E45:$CS45,"訓"))</f>
        <v/>
      </c>
      <c r="M44" s="16">
        <f>IF($A44="","",COUNTIF(醫師班表!$E45:$CS45,"OFF"))</f>
        <v/>
      </c>
      <c r="N44" s="16">
        <f>IF($A44="","",COUNTIF(醫師班表!$E45:$CS45,"特"))</f>
        <v/>
      </c>
      <c r="O44" s="16">
        <f>IF($A44="","",COUNTIF(醫師班表!$E45:$CS45,"病"))</f>
        <v/>
      </c>
      <c r="P44" s="16">
        <f>IF($A44="","",COUNTIF(醫師班表!$E45:$CS45,"事"))</f>
        <v/>
      </c>
      <c r="Q44" s="16">
        <f>IF($A44="","",COUNTIF(醫師班表!$E45:$CS45,"公"))</f>
        <v/>
      </c>
      <c r="R44" s="16">
        <f>IF($A44="","",COUNTIF(醫師班表!$E45:$CS45,"國"))</f>
        <v/>
      </c>
      <c r="S44" s="16">
        <f>IF($A44="","",COUNTIF(醫師班表!$E45:$CS45,"休"))</f>
        <v/>
      </c>
      <c r="T44" s="16">
        <f>IF($A44="","",SUM($M44:$S44))</f>
        <v/>
      </c>
      <c r="U44" s="16">
        <f>IF($A44="","",DAY(EOMONTH(DATE(設定!$C$2,設定!$D$2,1),0))*3-COUNTIF(醫師班表!$E45:$CS45,"?*"))</f>
        <v/>
      </c>
    </row>
    <row r="45">
      <c r="A45" s="4" t="inlineStr">
        <is>
          <t>合計</t>
        </is>
      </c>
      <c r="B45" s="8" t="n"/>
      <c r="C45" s="8" t="n"/>
      <c r="D45" s="9" t="n"/>
      <c r="E45" s="4">
        <f>SUM(E5:E44)</f>
        <v/>
      </c>
      <c r="F45" s="4">
        <f>SUM(F5:F44)</f>
        <v/>
      </c>
      <c r="G45" s="4">
        <f>SUM(G5:G44)</f>
        <v/>
      </c>
      <c r="H45" s="4">
        <f>SUM(H5:H44)</f>
        <v/>
      </c>
      <c r="I45" s="4">
        <f>SUM(I5:I44)</f>
        <v/>
      </c>
      <c r="J45" s="4">
        <f>SUM(J5:J44)</f>
        <v/>
      </c>
      <c r="K45" s="4">
        <f>SUM(K5:K44)</f>
        <v/>
      </c>
      <c r="L45" s="4">
        <f>SUM(L5:L44)</f>
        <v/>
      </c>
      <c r="M45" s="4">
        <f>SUM(M5:M44)</f>
        <v/>
      </c>
      <c r="N45" s="4">
        <f>SUM(N5:N44)</f>
        <v/>
      </c>
      <c r="O45" s="4">
        <f>SUM(O5:O44)</f>
        <v/>
      </c>
      <c r="P45" s="4">
        <f>SUM(P5:P44)</f>
        <v/>
      </c>
      <c r="Q45" s="4">
        <f>SUM(Q5:Q44)</f>
        <v/>
      </c>
      <c r="R45" s="4">
        <f>SUM(R5:R44)</f>
        <v/>
      </c>
      <c r="S45" s="4">
        <f>SUM(S5:S44)</f>
        <v/>
      </c>
      <c r="T45" s="4">
        <f>SUM(T5:T44)</f>
        <v/>
      </c>
      <c r="U45" s="4">
        <f>SUM(U5:U44)</f>
        <v/>
      </c>
    </row>
    <row r="47">
      <c r="A47" s="6" t="inlineStr">
        <is>
          <t>※ 醫師以「診次」為單位,不是天數。請假 3 個診次等於請一天。</t>
        </is>
      </c>
    </row>
    <row r="48">
      <c r="A48" s="6" t="inlineStr">
        <is>
          <t>※ 本頁全部由「醫師班表」計算而來。改週班表或改醫師班表,這裡都會立刻跟著變。</t>
        </is>
      </c>
    </row>
    <row r="49">
      <c r="A49" s="6" t="inlineStr">
        <is>
          <t>※ 服務院所數 = 本月實際有排診的院所家數,可用來看跨院負荷。</t>
        </is>
      </c>
    </row>
    <row r="50">
      <c r="A50" s="6" t="inlineStr">
        <is>
          <t>※ 未排診次 = 當月總診次格數(天數 × 3)扣掉已填格數,不代表應該排滿。</t>
        </is>
      </c>
    </row>
  </sheetData>
  <mergeCells count="2">
    <mergeCell ref="A45:D45"/>
    <mergeCell ref="A1:U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2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0" customWidth="1" min="4" max="4"/>
    <col width="5.6" customWidth="1" min="5" max="5"/>
    <col width="5.6" customWidth="1" min="6" max="6"/>
    <col width="5.6" customWidth="1" min="7" max="7"/>
    <col width="5.6" customWidth="1" min="8" max="8"/>
    <col width="5.6" customWidth="1" min="9" max="9"/>
    <col width="5.6" customWidth="1" min="10" max="10"/>
    <col width="5.6" customWidth="1" min="11" max="11"/>
    <col width="5.6" customWidth="1" min="12" max="12"/>
    <col width="5.6" customWidth="1" min="13" max="13"/>
    <col width="5.6" customWidth="1" min="14" max="14"/>
    <col width="5.6" customWidth="1" min="15" max="15"/>
    <col width="5.6" customWidth="1" min="16" max="16"/>
    <col width="5.6" customWidth="1" min="17" max="17"/>
    <col width="5.6" customWidth="1" min="18" max="18"/>
    <col width="5.6" customWidth="1" min="19" max="19"/>
    <col width="5.6" customWidth="1" min="20" max="20"/>
    <col width="5.6" customWidth="1" min="21" max="21"/>
    <col width="5.6" customWidth="1" min="22" max="22"/>
    <col width="5.6" customWidth="1" min="23" max="23"/>
    <col width="5.6" customWidth="1" min="24" max="24"/>
    <col width="5.6" customWidth="1" min="25" max="25"/>
    <col width="5.6" customWidth="1" min="26" max="26"/>
    <col width="5.6" customWidth="1" min="27" max="27"/>
    <col width="5.6" customWidth="1" min="28" max="28"/>
    <col width="5.6" customWidth="1" min="29" max="29"/>
    <col width="5.6" customWidth="1" min="30" max="30"/>
    <col width="5.6" customWidth="1" min="31" max="31"/>
    <col width="5.6" customWidth="1" min="32" max="32"/>
    <col width="5.6" customWidth="1" min="33" max="33"/>
    <col width="5.6" customWidth="1" min="34" max="34"/>
    <col width="5.6" customWidth="1" min="35" max="35"/>
  </cols>
  <sheetData>
    <row r="1">
      <c r="A1" s="82" t="inlineStr">
        <is>
          <t>醫護長與管理部班表(工時制)</t>
        </is>
      </c>
    </row>
    <row r="2">
      <c r="A2" s="4" t="inlineStr">
        <is>
          <t>期間</t>
        </is>
      </c>
      <c r="B2" s="27" t="inlineStr">
        <is>
          <t>2026 年 10 月</t>
        </is>
      </c>
      <c r="E2" s="6" t="inlineStr">
        <is>
          <t>← 各院所醫護長與管理部各填自己那一列。院所欄由人員名冊自動帶出。要選員工編號請點「資料列」的格子(第 5 列以下),標題列上的箭頭是篩選鈕不是選單。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職類</t>
        </is>
      </c>
      <c r="D3" s="10" t="inlineStr">
        <is>
          <t>院所</t>
        </is>
      </c>
      <c r="E3" s="10" t="n">
        <v>1</v>
      </c>
      <c r="F3" s="10" t="n">
        <v>2</v>
      </c>
      <c r="G3" s="10" t="n">
        <v>3</v>
      </c>
      <c r="H3" s="10" t="n">
        <v>4</v>
      </c>
      <c r="I3" s="10" t="n">
        <v>5</v>
      </c>
      <c r="J3" s="10" t="n">
        <v>6</v>
      </c>
      <c r="K3" s="10" t="n">
        <v>7</v>
      </c>
      <c r="L3" s="10" t="n">
        <v>8</v>
      </c>
      <c r="M3" s="10" t="n">
        <v>9</v>
      </c>
      <c r="N3" s="10" t="n">
        <v>10</v>
      </c>
      <c r="O3" s="10" t="n">
        <v>11</v>
      </c>
      <c r="P3" s="10" t="n">
        <v>12</v>
      </c>
      <c r="Q3" s="10" t="n">
        <v>13</v>
      </c>
      <c r="R3" s="10" t="n">
        <v>14</v>
      </c>
      <c r="S3" s="10" t="n">
        <v>15</v>
      </c>
      <c r="T3" s="10" t="n">
        <v>16</v>
      </c>
      <c r="U3" s="10" t="n">
        <v>17</v>
      </c>
      <c r="V3" s="10" t="n">
        <v>18</v>
      </c>
      <c r="W3" s="10" t="n">
        <v>19</v>
      </c>
      <c r="X3" s="10" t="n">
        <v>20</v>
      </c>
      <c r="Y3" s="10" t="n">
        <v>21</v>
      </c>
      <c r="Z3" s="10" t="n">
        <v>22</v>
      </c>
      <c r="AA3" s="10" t="n">
        <v>23</v>
      </c>
      <c r="AB3" s="10" t="n">
        <v>24</v>
      </c>
      <c r="AC3" s="10" t="n">
        <v>25</v>
      </c>
      <c r="AD3" s="10" t="n">
        <v>26</v>
      </c>
      <c r="AE3" s="10" t="n">
        <v>27</v>
      </c>
      <c r="AF3" s="10" t="n">
        <v>28</v>
      </c>
      <c r="AG3" s="10" t="n">
        <v>29</v>
      </c>
      <c r="AH3" s="10" t="n">
        <v>30</v>
      </c>
      <c r="AI3" s="10" t="n">
        <v>31</v>
      </c>
    </row>
    <row r="4">
      <c r="A4" s="45" t="n"/>
      <c r="B4" s="45" t="n"/>
      <c r="C4" s="45" t="n"/>
      <c r="D4" s="45" t="n"/>
      <c r="E4" s="11" t="inlineStr">
        <is>
          <t>四</t>
        </is>
      </c>
      <c r="F4" s="11" t="inlineStr">
        <is>
          <t>五</t>
        </is>
      </c>
      <c r="G4" s="11" t="inlineStr">
        <is>
          <t>六</t>
        </is>
      </c>
      <c r="H4" s="11" t="inlineStr">
        <is>
          <t>日</t>
        </is>
      </c>
      <c r="I4" s="11" t="inlineStr">
        <is>
          <t>一</t>
        </is>
      </c>
      <c r="J4" s="11" t="inlineStr">
        <is>
          <t>二</t>
        </is>
      </c>
      <c r="K4" s="11" t="inlineStr">
        <is>
          <t>三</t>
        </is>
      </c>
      <c r="L4" s="11" t="inlineStr">
        <is>
          <t>四</t>
        </is>
      </c>
      <c r="M4" s="11" t="inlineStr">
        <is>
          <t>五</t>
        </is>
      </c>
      <c r="N4" s="11" t="inlineStr">
        <is>
          <t>六</t>
        </is>
      </c>
      <c r="O4" s="11" t="inlineStr">
        <is>
          <t>日</t>
        </is>
      </c>
      <c r="P4" s="11" t="inlineStr">
        <is>
          <t>一</t>
        </is>
      </c>
      <c r="Q4" s="11" t="inlineStr">
        <is>
          <t>二</t>
        </is>
      </c>
      <c r="R4" s="11" t="inlineStr">
        <is>
          <t>三</t>
        </is>
      </c>
      <c r="S4" s="11" t="inlineStr">
        <is>
          <t>四</t>
        </is>
      </c>
      <c r="T4" s="11" t="inlineStr">
        <is>
          <t>五</t>
        </is>
      </c>
      <c r="U4" s="11" t="inlineStr">
        <is>
          <t>六</t>
        </is>
      </c>
      <c r="V4" s="11" t="inlineStr">
        <is>
          <t>日</t>
        </is>
      </c>
      <c r="W4" s="11" t="inlineStr">
        <is>
          <t>一</t>
        </is>
      </c>
      <c r="X4" s="11" t="inlineStr">
        <is>
          <t>二</t>
        </is>
      </c>
      <c r="Y4" s="11" t="inlineStr">
        <is>
          <t>三</t>
        </is>
      </c>
      <c r="Z4" s="11" t="inlineStr">
        <is>
          <t>四</t>
        </is>
      </c>
      <c r="AA4" s="11" t="inlineStr">
        <is>
          <t>五</t>
        </is>
      </c>
      <c r="AB4" s="11" t="inlineStr">
        <is>
          <t>六</t>
        </is>
      </c>
      <c r="AC4" s="11" t="inlineStr">
        <is>
          <t>日</t>
        </is>
      </c>
      <c r="AD4" s="11" t="inlineStr">
        <is>
          <t>一</t>
        </is>
      </c>
      <c r="AE4" s="11" t="inlineStr">
        <is>
          <t>二</t>
        </is>
      </c>
      <c r="AF4" s="11" t="inlineStr">
        <is>
          <t>三</t>
        </is>
      </c>
      <c r="AG4" s="11" t="inlineStr">
        <is>
          <t>四</t>
        </is>
      </c>
      <c r="AH4" s="11" t="inlineStr">
        <is>
          <t>五</t>
        </is>
      </c>
      <c r="AI4" s="11" t="inlineStr">
        <is>
          <t>六</t>
        </is>
      </c>
    </row>
    <row r="5" ht="17" customHeight="1">
      <c r="A5" s="19" t="inlineStr">
        <is>
          <t>N001</t>
        </is>
      </c>
      <c r="B5" s="16" t="inlineStr">
        <is>
          <t>ivy</t>
        </is>
      </c>
      <c r="C5" s="16" t="inlineStr">
        <is>
          <t>醫護長</t>
        </is>
      </c>
      <c r="D5" s="16" t="inlineStr">
        <is>
          <t>晶悅</t>
        </is>
      </c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  <c r="AE5" s="20" t="n"/>
      <c r="AF5" s="20" t="n"/>
      <c r="AG5" s="20" t="n"/>
      <c r="AH5" s="20" t="n"/>
      <c r="AI5" s="20" t="n"/>
    </row>
    <row r="6" ht="17" customHeight="1">
      <c r="A6" s="19" t="inlineStr">
        <is>
          <t>N002</t>
        </is>
      </c>
      <c r="B6" s="16" t="inlineStr">
        <is>
          <t>文君</t>
        </is>
      </c>
      <c r="C6" s="16" t="inlineStr">
        <is>
          <t>醫護長</t>
        </is>
      </c>
      <c r="D6" s="16" t="inlineStr">
        <is>
          <t>晶睿·晶曜</t>
        </is>
      </c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  <c r="AE6" s="20" t="n"/>
      <c r="AF6" s="20" t="n"/>
      <c r="AG6" s="20" t="n"/>
      <c r="AH6" s="20" t="n"/>
      <c r="AI6" s="20" t="n"/>
    </row>
    <row r="7" ht="17" customHeight="1">
      <c r="A7" s="19" t="inlineStr">
        <is>
          <t>N003</t>
        </is>
      </c>
      <c r="B7" s="16" t="inlineStr">
        <is>
          <t>小玲</t>
        </is>
      </c>
      <c r="C7" s="16" t="inlineStr">
        <is>
          <t>醫護長</t>
        </is>
      </c>
      <c r="D7" s="16" t="inlineStr">
        <is>
          <t>晶匯</t>
        </is>
      </c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  <c r="AE7" s="20" t="n"/>
      <c r="AF7" s="20" t="n"/>
      <c r="AG7" s="20" t="n"/>
      <c r="AH7" s="20" t="n"/>
      <c r="AI7" s="20" t="n"/>
    </row>
    <row r="8" ht="17" customHeight="1">
      <c r="A8" s="19" t="inlineStr">
        <is>
          <t>N004</t>
        </is>
      </c>
      <c r="B8" s="16" t="inlineStr">
        <is>
          <t>娜娜</t>
        </is>
      </c>
      <c r="C8" s="16" t="inlineStr">
        <is>
          <t>醫護長</t>
        </is>
      </c>
      <c r="D8" s="16" t="inlineStr">
        <is>
          <t>寶貝牙</t>
        </is>
      </c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  <c r="AF8" s="20" t="n"/>
      <c r="AG8" s="20" t="n"/>
      <c r="AH8" s="20" t="n"/>
      <c r="AI8" s="20" t="n"/>
    </row>
    <row r="9" ht="17" customHeight="1">
      <c r="A9" s="19" t="inlineStr">
        <is>
          <t>M001</t>
        </is>
      </c>
      <c r="B9" s="16" t="inlineStr">
        <is>
          <t>孟諭</t>
        </is>
      </c>
      <c r="C9" s="16" t="inlineStr">
        <is>
          <t>管理部</t>
        </is>
      </c>
      <c r="D9" s="16" t="inlineStr">
        <is>
          <t>晶匯</t>
        </is>
      </c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20" t="n"/>
      <c r="AI9" s="20" t="n"/>
    </row>
    <row r="10" ht="17" customHeight="1">
      <c r="A10" s="19" t="inlineStr">
        <is>
          <t>M002</t>
        </is>
      </c>
      <c r="B10" s="16" t="inlineStr">
        <is>
          <t>怡雯</t>
        </is>
      </c>
      <c r="C10" s="16" t="inlineStr">
        <is>
          <t>管理部</t>
        </is>
      </c>
      <c r="D10" s="16" t="inlineStr">
        <is>
          <t>晶匯</t>
        </is>
      </c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</row>
    <row r="11" ht="17" customHeight="1">
      <c r="A11" s="19" t="inlineStr">
        <is>
          <t>M003</t>
        </is>
      </c>
      <c r="B11" s="16" t="inlineStr">
        <is>
          <t>小華</t>
        </is>
      </c>
      <c r="C11" s="16" t="inlineStr">
        <is>
          <t>管理部</t>
        </is>
      </c>
      <c r="D11" s="16" t="inlineStr">
        <is>
          <t>晶匯</t>
        </is>
      </c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20" t="n"/>
      <c r="AI11" s="20" t="n"/>
    </row>
    <row r="12" ht="17" customHeight="1">
      <c r="A12" s="19" t="n"/>
      <c r="B12" s="16">
        <f>IFERROR(INDEX(設定!$C$64:$C$203,MATCH($A12,設定!$B$64:$B$203,0)),"")</f>
        <v/>
      </c>
      <c r="C12" s="16">
        <f>IFERROR(INDEX(設定!$D$64:$D$203,MATCH($A12,設定!$B$64:$B$203,0)),"")</f>
        <v/>
      </c>
      <c r="D12" s="16">
        <f>IFERROR(INDEX(設定!$G$64:$G$203,MATCH($A12,設定!$B$64:$B$203,0)),"")</f>
        <v/>
      </c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</row>
    <row r="13" ht="17" customHeight="1">
      <c r="A13" s="19" t="n"/>
      <c r="B13" s="16">
        <f>IFERROR(INDEX(設定!$C$64:$C$203,MATCH($A13,設定!$B$64:$B$203,0)),"")</f>
        <v/>
      </c>
      <c r="C13" s="16">
        <f>IFERROR(INDEX(設定!$D$64:$D$203,MATCH($A13,設定!$B$64:$B$203,0)),"")</f>
        <v/>
      </c>
      <c r="D13" s="16">
        <f>IFERROR(INDEX(設定!$G$64:$G$203,MATCH($A13,設定!$B$64:$B$203,0)),"")</f>
        <v/>
      </c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  <c r="AF13" s="20" t="n"/>
      <c r="AG13" s="20" t="n"/>
      <c r="AH13" s="20" t="n"/>
      <c r="AI13" s="20" t="n"/>
    </row>
    <row r="14" ht="17" customHeight="1">
      <c r="A14" s="19" t="n"/>
      <c r="B14" s="16">
        <f>IFERROR(INDEX(設定!$C$64:$C$203,MATCH($A14,設定!$B$64:$B$203,0)),"")</f>
        <v/>
      </c>
      <c r="C14" s="16">
        <f>IFERROR(INDEX(設定!$D$64:$D$203,MATCH($A14,設定!$B$64:$B$203,0)),"")</f>
        <v/>
      </c>
      <c r="D14" s="16">
        <f>IFERROR(INDEX(設定!$G$64:$G$203,MATCH($A14,設定!$B$64:$B$203,0)),"")</f>
        <v/>
      </c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  <c r="AE14" s="20" t="n"/>
      <c r="AF14" s="20" t="n"/>
      <c r="AG14" s="20" t="n"/>
      <c r="AH14" s="20" t="n"/>
      <c r="AI14" s="20" t="n"/>
    </row>
    <row r="15" ht="17" customHeight="1">
      <c r="A15" s="19" t="n"/>
      <c r="B15" s="16">
        <f>IFERROR(INDEX(設定!$C$64:$C$203,MATCH($A15,設定!$B$64:$B$203,0)),"")</f>
        <v/>
      </c>
      <c r="C15" s="16">
        <f>IFERROR(INDEX(設定!$D$64:$D$203,MATCH($A15,設定!$B$64:$B$203,0)),"")</f>
        <v/>
      </c>
      <c r="D15" s="16">
        <f>IFERROR(INDEX(設定!$G$64:$G$203,MATCH($A15,設定!$B$64:$B$203,0)),"")</f>
        <v/>
      </c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20" t="n"/>
      <c r="AI15" s="20" t="n"/>
    </row>
    <row r="16" ht="17" customHeight="1">
      <c r="A16" s="19" t="n"/>
      <c r="B16" s="16">
        <f>IFERROR(INDEX(設定!$C$64:$C$203,MATCH($A16,設定!$B$64:$B$203,0)),"")</f>
        <v/>
      </c>
      <c r="C16" s="16">
        <f>IFERROR(INDEX(設定!$D$64:$D$203,MATCH($A16,設定!$B$64:$B$203,0)),"")</f>
        <v/>
      </c>
      <c r="D16" s="16">
        <f>IFERROR(INDEX(設定!$G$64:$G$203,MATCH($A16,設定!$B$64:$B$203,0)),"")</f>
        <v/>
      </c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20" t="n"/>
      <c r="AI16" s="20" t="n"/>
    </row>
    <row r="17">
      <c r="A17" s="2" t="inlineStr">
        <is>
          <t>當日在班人數(自動計算)</t>
        </is>
      </c>
      <c r="B17" s="8" t="n"/>
      <c r="C17" s="8" t="n"/>
      <c r="D17" s="9" t="n"/>
    </row>
    <row r="18">
      <c r="A18" s="74" t="inlineStr">
        <is>
          <t>悅 晶悅</t>
        </is>
      </c>
      <c r="B18" s="8" t="n"/>
      <c r="C18" s="8" t="n"/>
      <c r="D18" s="9" t="n"/>
      <c r="E18" s="83">
        <f>IF(E$3="","",IF(COUNTIF(設定!$W$6:$W$40,DATE(設定!$C$2,設定!$D$2,1))&gt;0,"假",IF(E$4="日","休",SUMPRODUCT(ISNUMBER(SEARCH("晶悅",$D$5:$D$16))*($C$5:$C$16="醫護長")*(COUNTIF(設定!$B$6:$B$14,E$5:E$16)&gt;0)))))</f>
        <v/>
      </c>
      <c r="F18" s="83">
        <f>IF(F$3="","",IF(COUNTIF(設定!$W$6:$W$40,DATE(設定!$C$2,設定!$D$2,2))&gt;0,"假",IF(F$4="日","休",SUMPRODUCT(ISNUMBER(SEARCH("晶悅",$D$5:$D$16))*($C$5:$C$16="醫護長")*(COUNTIF(設定!$B$6:$B$14,F$5:F$16)&gt;0)))))</f>
        <v/>
      </c>
      <c r="G18" s="83">
        <f>IF(G$3="","",IF(COUNTIF(設定!$W$6:$W$40,DATE(設定!$C$2,設定!$D$2,3))&gt;0,"假",IF(G$4="日","休",SUMPRODUCT(ISNUMBER(SEARCH("晶悅",$D$5:$D$16))*($C$5:$C$16="醫護長")*(COUNTIF(設定!$B$6:$B$14,G$5:G$16)&gt;0)))))</f>
        <v/>
      </c>
      <c r="H18" s="83">
        <f>IF(H$3="","",IF(COUNTIF(設定!$W$6:$W$40,DATE(設定!$C$2,設定!$D$2,4))&gt;0,"假",IF(H$4="日","休",SUMPRODUCT(ISNUMBER(SEARCH("晶悅",$D$5:$D$16))*($C$5:$C$16="醫護長")*(COUNTIF(設定!$B$6:$B$14,H$5:H$16)&gt;0)))))</f>
        <v/>
      </c>
      <c r="I18" s="83">
        <f>IF(I$3="","",IF(COUNTIF(設定!$W$6:$W$40,DATE(設定!$C$2,設定!$D$2,5))&gt;0,"假",IF(I$4="日","休",SUMPRODUCT(ISNUMBER(SEARCH("晶悅",$D$5:$D$16))*($C$5:$C$16="醫護長")*(COUNTIF(設定!$B$6:$B$14,I$5:I$16)&gt;0)))))</f>
        <v/>
      </c>
      <c r="J18" s="83">
        <f>IF(J$3="","",IF(COUNTIF(設定!$W$6:$W$40,DATE(設定!$C$2,設定!$D$2,6))&gt;0,"假",IF(J$4="日","休",SUMPRODUCT(ISNUMBER(SEARCH("晶悅",$D$5:$D$16))*($C$5:$C$16="醫護長")*(COUNTIF(設定!$B$6:$B$14,J$5:J$16)&gt;0)))))</f>
        <v/>
      </c>
      <c r="K18" s="83">
        <f>IF(K$3="","",IF(COUNTIF(設定!$W$6:$W$40,DATE(設定!$C$2,設定!$D$2,7))&gt;0,"假",IF(K$4="日","休",SUMPRODUCT(ISNUMBER(SEARCH("晶悅",$D$5:$D$16))*($C$5:$C$16="醫護長")*(COUNTIF(設定!$B$6:$B$14,K$5:K$16)&gt;0)))))</f>
        <v/>
      </c>
      <c r="L18" s="83">
        <f>IF(L$3="","",IF(COUNTIF(設定!$W$6:$W$40,DATE(設定!$C$2,設定!$D$2,8))&gt;0,"假",IF(L$4="日","休",SUMPRODUCT(ISNUMBER(SEARCH("晶悅",$D$5:$D$16))*($C$5:$C$16="醫護長")*(COUNTIF(設定!$B$6:$B$14,L$5:L$16)&gt;0)))))</f>
        <v/>
      </c>
      <c r="M18" s="83">
        <f>IF(M$3="","",IF(COUNTIF(設定!$W$6:$W$40,DATE(設定!$C$2,設定!$D$2,9))&gt;0,"假",IF(M$4="日","休",SUMPRODUCT(ISNUMBER(SEARCH("晶悅",$D$5:$D$16))*($C$5:$C$16="醫護長")*(COUNTIF(設定!$B$6:$B$14,M$5:M$16)&gt;0)))))</f>
        <v/>
      </c>
      <c r="N18" s="83">
        <f>IF(N$3="","",IF(COUNTIF(設定!$W$6:$W$40,DATE(設定!$C$2,設定!$D$2,10))&gt;0,"假",IF(N$4="日","休",SUMPRODUCT(ISNUMBER(SEARCH("晶悅",$D$5:$D$16))*($C$5:$C$16="醫護長")*(COUNTIF(設定!$B$6:$B$14,N$5:N$16)&gt;0)))))</f>
        <v/>
      </c>
      <c r="O18" s="83">
        <f>IF(O$3="","",IF(COUNTIF(設定!$W$6:$W$40,DATE(設定!$C$2,設定!$D$2,11))&gt;0,"假",IF(O$4="日","休",SUMPRODUCT(ISNUMBER(SEARCH("晶悅",$D$5:$D$16))*($C$5:$C$16="醫護長")*(COUNTIF(設定!$B$6:$B$14,O$5:O$16)&gt;0)))))</f>
        <v/>
      </c>
      <c r="P18" s="83">
        <f>IF(P$3="","",IF(COUNTIF(設定!$W$6:$W$40,DATE(設定!$C$2,設定!$D$2,12))&gt;0,"假",IF(P$4="日","休",SUMPRODUCT(ISNUMBER(SEARCH("晶悅",$D$5:$D$16))*($C$5:$C$16="醫護長")*(COUNTIF(設定!$B$6:$B$14,P$5:P$16)&gt;0)))))</f>
        <v/>
      </c>
      <c r="Q18" s="83">
        <f>IF(Q$3="","",IF(COUNTIF(設定!$W$6:$W$40,DATE(設定!$C$2,設定!$D$2,13))&gt;0,"假",IF(Q$4="日","休",SUMPRODUCT(ISNUMBER(SEARCH("晶悅",$D$5:$D$16))*($C$5:$C$16="醫護長")*(COUNTIF(設定!$B$6:$B$14,Q$5:Q$16)&gt;0)))))</f>
        <v/>
      </c>
      <c r="R18" s="83">
        <f>IF(R$3="","",IF(COUNTIF(設定!$W$6:$W$40,DATE(設定!$C$2,設定!$D$2,14))&gt;0,"假",IF(R$4="日","休",SUMPRODUCT(ISNUMBER(SEARCH("晶悅",$D$5:$D$16))*($C$5:$C$16="醫護長")*(COUNTIF(設定!$B$6:$B$14,R$5:R$16)&gt;0)))))</f>
        <v/>
      </c>
      <c r="S18" s="83">
        <f>IF(S$3="","",IF(COUNTIF(設定!$W$6:$W$40,DATE(設定!$C$2,設定!$D$2,15))&gt;0,"假",IF(S$4="日","休",SUMPRODUCT(ISNUMBER(SEARCH("晶悅",$D$5:$D$16))*($C$5:$C$16="醫護長")*(COUNTIF(設定!$B$6:$B$14,S$5:S$16)&gt;0)))))</f>
        <v/>
      </c>
      <c r="T18" s="83">
        <f>IF(T$3="","",IF(COUNTIF(設定!$W$6:$W$40,DATE(設定!$C$2,設定!$D$2,16))&gt;0,"假",IF(T$4="日","休",SUMPRODUCT(ISNUMBER(SEARCH("晶悅",$D$5:$D$16))*($C$5:$C$16="醫護長")*(COUNTIF(設定!$B$6:$B$14,T$5:T$16)&gt;0)))))</f>
        <v/>
      </c>
      <c r="U18" s="83">
        <f>IF(U$3="","",IF(COUNTIF(設定!$W$6:$W$40,DATE(設定!$C$2,設定!$D$2,17))&gt;0,"假",IF(U$4="日","休",SUMPRODUCT(ISNUMBER(SEARCH("晶悅",$D$5:$D$16))*($C$5:$C$16="醫護長")*(COUNTIF(設定!$B$6:$B$14,U$5:U$16)&gt;0)))))</f>
        <v/>
      </c>
      <c r="V18" s="83">
        <f>IF(V$3="","",IF(COUNTIF(設定!$W$6:$W$40,DATE(設定!$C$2,設定!$D$2,18))&gt;0,"假",IF(V$4="日","休",SUMPRODUCT(ISNUMBER(SEARCH("晶悅",$D$5:$D$16))*($C$5:$C$16="醫護長")*(COUNTIF(設定!$B$6:$B$14,V$5:V$16)&gt;0)))))</f>
        <v/>
      </c>
      <c r="W18" s="83">
        <f>IF(W$3="","",IF(COUNTIF(設定!$W$6:$W$40,DATE(設定!$C$2,設定!$D$2,19))&gt;0,"假",IF(W$4="日","休",SUMPRODUCT(ISNUMBER(SEARCH("晶悅",$D$5:$D$16))*($C$5:$C$16="醫護長")*(COUNTIF(設定!$B$6:$B$14,W$5:W$16)&gt;0)))))</f>
        <v/>
      </c>
      <c r="X18" s="83">
        <f>IF(X$3="","",IF(COUNTIF(設定!$W$6:$W$40,DATE(設定!$C$2,設定!$D$2,20))&gt;0,"假",IF(X$4="日","休",SUMPRODUCT(ISNUMBER(SEARCH("晶悅",$D$5:$D$16))*($C$5:$C$16="醫護長")*(COUNTIF(設定!$B$6:$B$14,X$5:X$16)&gt;0)))))</f>
        <v/>
      </c>
      <c r="Y18" s="83">
        <f>IF(Y$3="","",IF(COUNTIF(設定!$W$6:$W$40,DATE(設定!$C$2,設定!$D$2,21))&gt;0,"假",IF(Y$4="日","休",SUMPRODUCT(ISNUMBER(SEARCH("晶悅",$D$5:$D$16))*($C$5:$C$16="醫護長")*(COUNTIF(設定!$B$6:$B$14,Y$5:Y$16)&gt;0)))))</f>
        <v/>
      </c>
      <c r="Z18" s="83">
        <f>IF(Z$3="","",IF(COUNTIF(設定!$W$6:$W$40,DATE(設定!$C$2,設定!$D$2,22))&gt;0,"假",IF(Z$4="日","休",SUMPRODUCT(ISNUMBER(SEARCH("晶悅",$D$5:$D$16))*($C$5:$C$16="醫護長")*(COUNTIF(設定!$B$6:$B$14,Z$5:Z$16)&gt;0)))))</f>
        <v/>
      </c>
      <c r="AA18" s="83">
        <f>IF(AA$3="","",IF(COUNTIF(設定!$W$6:$W$40,DATE(設定!$C$2,設定!$D$2,23))&gt;0,"假",IF(AA$4="日","休",SUMPRODUCT(ISNUMBER(SEARCH("晶悅",$D$5:$D$16))*($C$5:$C$16="醫護長")*(COUNTIF(設定!$B$6:$B$14,AA$5:AA$16)&gt;0)))))</f>
        <v/>
      </c>
      <c r="AB18" s="83">
        <f>IF(AB$3="","",IF(COUNTIF(設定!$W$6:$W$40,DATE(設定!$C$2,設定!$D$2,24))&gt;0,"假",IF(AB$4="日","休",SUMPRODUCT(ISNUMBER(SEARCH("晶悅",$D$5:$D$16))*($C$5:$C$16="醫護長")*(COUNTIF(設定!$B$6:$B$14,AB$5:AB$16)&gt;0)))))</f>
        <v/>
      </c>
      <c r="AC18" s="83">
        <f>IF(AC$3="","",IF(COUNTIF(設定!$W$6:$W$40,DATE(設定!$C$2,設定!$D$2,25))&gt;0,"假",IF(AC$4="日","休",SUMPRODUCT(ISNUMBER(SEARCH("晶悅",$D$5:$D$16))*($C$5:$C$16="醫護長")*(COUNTIF(設定!$B$6:$B$14,AC$5:AC$16)&gt;0)))))</f>
        <v/>
      </c>
      <c r="AD18" s="83">
        <f>IF(AD$3="","",IF(COUNTIF(設定!$W$6:$W$40,DATE(設定!$C$2,設定!$D$2,26))&gt;0,"假",IF(AD$4="日","休",SUMPRODUCT(ISNUMBER(SEARCH("晶悅",$D$5:$D$16))*($C$5:$C$16="醫護長")*(COUNTIF(設定!$B$6:$B$14,AD$5:AD$16)&gt;0)))))</f>
        <v/>
      </c>
      <c r="AE18" s="83">
        <f>IF(AE$3="","",IF(COUNTIF(設定!$W$6:$W$40,DATE(設定!$C$2,設定!$D$2,27))&gt;0,"假",IF(AE$4="日","休",SUMPRODUCT(ISNUMBER(SEARCH("晶悅",$D$5:$D$16))*($C$5:$C$16="醫護長")*(COUNTIF(設定!$B$6:$B$14,AE$5:AE$16)&gt;0)))))</f>
        <v/>
      </c>
      <c r="AF18" s="83">
        <f>IF(AF$3="","",IF(COUNTIF(設定!$W$6:$W$40,DATE(設定!$C$2,設定!$D$2,28))&gt;0,"假",IF(AF$4="日","休",SUMPRODUCT(ISNUMBER(SEARCH("晶悅",$D$5:$D$16))*($C$5:$C$16="醫護長")*(COUNTIF(設定!$B$6:$B$14,AF$5:AF$16)&gt;0)))))</f>
        <v/>
      </c>
      <c r="AG18" s="83">
        <f>IF(AG$3="","",IF(COUNTIF(設定!$W$6:$W$40,DATE(設定!$C$2,設定!$D$2,29))&gt;0,"假",IF(AG$4="日","休",SUMPRODUCT(ISNUMBER(SEARCH("晶悅",$D$5:$D$16))*($C$5:$C$16="醫護長")*(COUNTIF(設定!$B$6:$B$14,AG$5:AG$16)&gt;0)))))</f>
        <v/>
      </c>
      <c r="AH18" s="83">
        <f>IF(AH$3="","",IF(COUNTIF(設定!$W$6:$W$40,DATE(設定!$C$2,設定!$D$2,30))&gt;0,"假",IF(AH$4="日","休",SUMPRODUCT(ISNUMBER(SEARCH("晶悅",$D$5:$D$16))*($C$5:$C$16="醫護長")*(COUNTIF(設定!$B$6:$B$14,AH$5:AH$16)&gt;0)))))</f>
        <v/>
      </c>
      <c r="AI18" s="83">
        <f>IF(AI$3="","",IF(COUNTIF(設定!$W$6:$W$40,DATE(設定!$C$2,設定!$D$2,31))&gt;0,"假",IF(AI$4="日","休",SUMPRODUCT(ISNUMBER(SEARCH("晶悅",$D$5:$D$16))*($C$5:$C$16="醫護長")*(COUNTIF(設定!$B$6:$B$14,AI$5:AI$16)&gt;0)))))</f>
        <v/>
      </c>
    </row>
    <row r="19">
      <c r="A19" s="77" t="inlineStr">
        <is>
          <t>睿 晶睿</t>
        </is>
      </c>
      <c r="B19" s="8" t="n"/>
      <c r="C19" s="8" t="n"/>
      <c r="D19" s="9" t="n"/>
      <c r="E19" s="83">
        <f>IF(E$3="","",IF(COUNTIF(設定!$W$6:$W$40,DATE(設定!$C$2,設定!$D$2,1))&gt;0,"假",IF(E$4="日","休",SUMPRODUCT(ISNUMBER(SEARCH("晶睿",$D$5:$D$16))*($C$5:$C$16="醫護長")*(COUNTIF(設定!$B$6:$B$14,E$5:E$16)&gt;0)))))</f>
        <v/>
      </c>
      <c r="F19" s="83">
        <f>IF(F$3="","",IF(COUNTIF(設定!$W$6:$W$40,DATE(設定!$C$2,設定!$D$2,2))&gt;0,"假",IF(F$4="日","休",SUMPRODUCT(ISNUMBER(SEARCH("晶睿",$D$5:$D$16))*($C$5:$C$16="醫護長")*(COUNTIF(設定!$B$6:$B$14,F$5:F$16)&gt;0)))))</f>
        <v/>
      </c>
      <c r="G19" s="83">
        <f>IF(G$3="","",IF(COUNTIF(設定!$W$6:$W$40,DATE(設定!$C$2,設定!$D$2,3))&gt;0,"假",IF(G$4="日","休",SUMPRODUCT(ISNUMBER(SEARCH("晶睿",$D$5:$D$16))*($C$5:$C$16="醫護長")*(COUNTIF(設定!$B$6:$B$14,G$5:G$16)&gt;0)))))</f>
        <v/>
      </c>
      <c r="H19" s="83">
        <f>IF(H$3="","",IF(COUNTIF(設定!$W$6:$W$40,DATE(設定!$C$2,設定!$D$2,4))&gt;0,"假",IF(H$4="日","休",SUMPRODUCT(ISNUMBER(SEARCH("晶睿",$D$5:$D$16))*($C$5:$C$16="醫護長")*(COUNTIF(設定!$B$6:$B$14,H$5:H$16)&gt;0)))))</f>
        <v/>
      </c>
      <c r="I19" s="83">
        <f>IF(I$3="","",IF(COUNTIF(設定!$W$6:$W$40,DATE(設定!$C$2,設定!$D$2,5))&gt;0,"假",IF(I$4="日","休",SUMPRODUCT(ISNUMBER(SEARCH("晶睿",$D$5:$D$16))*($C$5:$C$16="醫護長")*(COUNTIF(設定!$B$6:$B$14,I$5:I$16)&gt;0)))))</f>
        <v/>
      </c>
      <c r="J19" s="83">
        <f>IF(J$3="","",IF(COUNTIF(設定!$W$6:$W$40,DATE(設定!$C$2,設定!$D$2,6))&gt;0,"假",IF(J$4="日","休",SUMPRODUCT(ISNUMBER(SEARCH("晶睿",$D$5:$D$16))*($C$5:$C$16="醫護長")*(COUNTIF(設定!$B$6:$B$14,J$5:J$16)&gt;0)))))</f>
        <v/>
      </c>
      <c r="K19" s="83">
        <f>IF(K$3="","",IF(COUNTIF(設定!$W$6:$W$40,DATE(設定!$C$2,設定!$D$2,7))&gt;0,"假",IF(K$4="日","休",SUMPRODUCT(ISNUMBER(SEARCH("晶睿",$D$5:$D$16))*($C$5:$C$16="醫護長")*(COUNTIF(設定!$B$6:$B$14,K$5:K$16)&gt;0)))))</f>
        <v/>
      </c>
      <c r="L19" s="83">
        <f>IF(L$3="","",IF(COUNTIF(設定!$W$6:$W$40,DATE(設定!$C$2,設定!$D$2,8))&gt;0,"假",IF(L$4="日","休",SUMPRODUCT(ISNUMBER(SEARCH("晶睿",$D$5:$D$16))*($C$5:$C$16="醫護長")*(COUNTIF(設定!$B$6:$B$14,L$5:L$16)&gt;0)))))</f>
        <v/>
      </c>
      <c r="M19" s="83">
        <f>IF(M$3="","",IF(COUNTIF(設定!$W$6:$W$40,DATE(設定!$C$2,設定!$D$2,9))&gt;0,"假",IF(M$4="日","休",SUMPRODUCT(ISNUMBER(SEARCH("晶睿",$D$5:$D$16))*($C$5:$C$16="醫護長")*(COUNTIF(設定!$B$6:$B$14,M$5:M$16)&gt;0)))))</f>
        <v/>
      </c>
      <c r="N19" s="83">
        <f>IF(N$3="","",IF(COUNTIF(設定!$W$6:$W$40,DATE(設定!$C$2,設定!$D$2,10))&gt;0,"假",IF(N$4="日","休",SUMPRODUCT(ISNUMBER(SEARCH("晶睿",$D$5:$D$16))*($C$5:$C$16="醫護長")*(COUNTIF(設定!$B$6:$B$14,N$5:N$16)&gt;0)))))</f>
        <v/>
      </c>
      <c r="O19" s="83">
        <f>IF(O$3="","",IF(COUNTIF(設定!$W$6:$W$40,DATE(設定!$C$2,設定!$D$2,11))&gt;0,"假",IF(O$4="日","休",SUMPRODUCT(ISNUMBER(SEARCH("晶睿",$D$5:$D$16))*($C$5:$C$16="醫護長")*(COUNTIF(設定!$B$6:$B$14,O$5:O$16)&gt;0)))))</f>
        <v/>
      </c>
      <c r="P19" s="83">
        <f>IF(P$3="","",IF(COUNTIF(設定!$W$6:$W$40,DATE(設定!$C$2,設定!$D$2,12))&gt;0,"假",IF(P$4="日","休",SUMPRODUCT(ISNUMBER(SEARCH("晶睿",$D$5:$D$16))*($C$5:$C$16="醫護長")*(COUNTIF(設定!$B$6:$B$14,P$5:P$16)&gt;0)))))</f>
        <v/>
      </c>
      <c r="Q19" s="83">
        <f>IF(Q$3="","",IF(COUNTIF(設定!$W$6:$W$40,DATE(設定!$C$2,設定!$D$2,13))&gt;0,"假",IF(Q$4="日","休",SUMPRODUCT(ISNUMBER(SEARCH("晶睿",$D$5:$D$16))*($C$5:$C$16="醫護長")*(COUNTIF(設定!$B$6:$B$14,Q$5:Q$16)&gt;0)))))</f>
        <v/>
      </c>
      <c r="R19" s="83">
        <f>IF(R$3="","",IF(COUNTIF(設定!$W$6:$W$40,DATE(設定!$C$2,設定!$D$2,14))&gt;0,"假",IF(R$4="日","休",SUMPRODUCT(ISNUMBER(SEARCH("晶睿",$D$5:$D$16))*($C$5:$C$16="醫護長")*(COUNTIF(設定!$B$6:$B$14,R$5:R$16)&gt;0)))))</f>
        <v/>
      </c>
      <c r="S19" s="83">
        <f>IF(S$3="","",IF(COUNTIF(設定!$W$6:$W$40,DATE(設定!$C$2,設定!$D$2,15))&gt;0,"假",IF(S$4="日","休",SUMPRODUCT(ISNUMBER(SEARCH("晶睿",$D$5:$D$16))*($C$5:$C$16="醫護長")*(COUNTIF(設定!$B$6:$B$14,S$5:S$16)&gt;0)))))</f>
        <v/>
      </c>
      <c r="T19" s="83">
        <f>IF(T$3="","",IF(COUNTIF(設定!$W$6:$W$40,DATE(設定!$C$2,設定!$D$2,16))&gt;0,"假",IF(T$4="日","休",SUMPRODUCT(ISNUMBER(SEARCH("晶睿",$D$5:$D$16))*($C$5:$C$16="醫護長")*(COUNTIF(設定!$B$6:$B$14,T$5:T$16)&gt;0)))))</f>
        <v/>
      </c>
      <c r="U19" s="83">
        <f>IF(U$3="","",IF(COUNTIF(設定!$W$6:$W$40,DATE(設定!$C$2,設定!$D$2,17))&gt;0,"假",IF(U$4="日","休",SUMPRODUCT(ISNUMBER(SEARCH("晶睿",$D$5:$D$16))*($C$5:$C$16="醫護長")*(COUNTIF(設定!$B$6:$B$14,U$5:U$16)&gt;0)))))</f>
        <v/>
      </c>
      <c r="V19" s="83">
        <f>IF(V$3="","",IF(COUNTIF(設定!$W$6:$W$40,DATE(設定!$C$2,設定!$D$2,18))&gt;0,"假",IF(V$4="日","休",SUMPRODUCT(ISNUMBER(SEARCH("晶睿",$D$5:$D$16))*($C$5:$C$16="醫護長")*(COUNTIF(設定!$B$6:$B$14,V$5:V$16)&gt;0)))))</f>
        <v/>
      </c>
      <c r="W19" s="83">
        <f>IF(W$3="","",IF(COUNTIF(設定!$W$6:$W$40,DATE(設定!$C$2,設定!$D$2,19))&gt;0,"假",IF(W$4="日","休",SUMPRODUCT(ISNUMBER(SEARCH("晶睿",$D$5:$D$16))*($C$5:$C$16="醫護長")*(COUNTIF(設定!$B$6:$B$14,W$5:W$16)&gt;0)))))</f>
        <v/>
      </c>
      <c r="X19" s="83">
        <f>IF(X$3="","",IF(COUNTIF(設定!$W$6:$W$40,DATE(設定!$C$2,設定!$D$2,20))&gt;0,"假",IF(X$4="日","休",SUMPRODUCT(ISNUMBER(SEARCH("晶睿",$D$5:$D$16))*($C$5:$C$16="醫護長")*(COUNTIF(設定!$B$6:$B$14,X$5:X$16)&gt;0)))))</f>
        <v/>
      </c>
      <c r="Y19" s="83">
        <f>IF(Y$3="","",IF(COUNTIF(設定!$W$6:$W$40,DATE(設定!$C$2,設定!$D$2,21))&gt;0,"假",IF(Y$4="日","休",SUMPRODUCT(ISNUMBER(SEARCH("晶睿",$D$5:$D$16))*($C$5:$C$16="醫護長")*(COUNTIF(設定!$B$6:$B$14,Y$5:Y$16)&gt;0)))))</f>
        <v/>
      </c>
      <c r="Z19" s="83">
        <f>IF(Z$3="","",IF(COUNTIF(設定!$W$6:$W$40,DATE(設定!$C$2,設定!$D$2,22))&gt;0,"假",IF(Z$4="日","休",SUMPRODUCT(ISNUMBER(SEARCH("晶睿",$D$5:$D$16))*($C$5:$C$16="醫護長")*(COUNTIF(設定!$B$6:$B$14,Z$5:Z$16)&gt;0)))))</f>
        <v/>
      </c>
      <c r="AA19" s="83">
        <f>IF(AA$3="","",IF(COUNTIF(設定!$W$6:$W$40,DATE(設定!$C$2,設定!$D$2,23))&gt;0,"假",IF(AA$4="日","休",SUMPRODUCT(ISNUMBER(SEARCH("晶睿",$D$5:$D$16))*($C$5:$C$16="醫護長")*(COUNTIF(設定!$B$6:$B$14,AA$5:AA$16)&gt;0)))))</f>
        <v/>
      </c>
      <c r="AB19" s="83">
        <f>IF(AB$3="","",IF(COUNTIF(設定!$W$6:$W$40,DATE(設定!$C$2,設定!$D$2,24))&gt;0,"假",IF(AB$4="日","休",SUMPRODUCT(ISNUMBER(SEARCH("晶睿",$D$5:$D$16))*($C$5:$C$16="醫護長")*(COUNTIF(設定!$B$6:$B$14,AB$5:AB$16)&gt;0)))))</f>
        <v/>
      </c>
      <c r="AC19" s="83">
        <f>IF(AC$3="","",IF(COUNTIF(設定!$W$6:$W$40,DATE(設定!$C$2,設定!$D$2,25))&gt;0,"假",IF(AC$4="日","休",SUMPRODUCT(ISNUMBER(SEARCH("晶睿",$D$5:$D$16))*($C$5:$C$16="醫護長")*(COUNTIF(設定!$B$6:$B$14,AC$5:AC$16)&gt;0)))))</f>
        <v/>
      </c>
      <c r="AD19" s="83">
        <f>IF(AD$3="","",IF(COUNTIF(設定!$W$6:$W$40,DATE(設定!$C$2,設定!$D$2,26))&gt;0,"假",IF(AD$4="日","休",SUMPRODUCT(ISNUMBER(SEARCH("晶睿",$D$5:$D$16))*($C$5:$C$16="醫護長")*(COUNTIF(設定!$B$6:$B$14,AD$5:AD$16)&gt;0)))))</f>
        <v/>
      </c>
      <c r="AE19" s="83">
        <f>IF(AE$3="","",IF(COUNTIF(設定!$W$6:$W$40,DATE(設定!$C$2,設定!$D$2,27))&gt;0,"假",IF(AE$4="日","休",SUMPRODUCT(ISNUMBER(SEARCH("晶睿",$D$5:$D$16))*($C$5:$C$16="醫護長")*(COUNTIF(設定!$B$6:$B$14,AE$5:AE$16)&gt;0)))))</f>
        <v/>
      </c>
      <c r="AF19" s="83">
        <f>IF(AF$3="","",IF(COUNTIF(設定!$W$6:$W$40,DATE(設定!$C$2,設定!$D$2,28))&gt;0,"假",IF(AF$4="日","休",SUMPRODUCT(ISNUMBER(SEARCH("晶睿",$D$5:$D$16))*($C$5:$C$16="醫護長")*(COUNTIF(設定!$B$6:$B$14,AF$5:AF$16)&gt;0)))))</f>
        <v/>
      </c>
      <c r="AG19" s="83">
        <f>IF(AG$3="","",IF(COUNTIF(設定!$W$6:$W$40,DATE(設定!$C$2,設定!$D$2,29))&gt;0,"假",IF(AG$4="日","休",SUMPRODUCT(ISNUMBER(SEARCH("晶睿",$D$5:$D$16))*($C$5:$C$16="醫護長")*(COUNTIF(設定!$B$6:$B$14,AG$5:AG$16)&gt;0)))))</f>
        <v/>
      </c>
      <c r="AH19" s="83">
        <f>IF(AH$3="","",IF(COUNTIF(設定!$W$6:$W$40,DATE(設定!$C$2,設定!$D$2,30))&gt;0,"假",IF(AH$4="日","休",SUMPRODUCT(ISNUMBER(SEARCH("晶睿",$D$5:$D$16))*($C$5:$C$16="醫護長")*(COUNTIF(設定!$B$6:$B$14,AH$5:AH$16)&gt;0)))))</f>
        <v/>
      </c>
      <c r="AI19" s="83">
        <f>IF(AI$3="","",IF(COUNTIF(設定!$W$6:$W$40,DATE(設定!$C$2,設定!$D$2,31))&gt;0,"假",IF(AI$4="日","休",SUMPRODUCT(ISNUMBER(SEARCH("晶睿",$D$5:$D$16))*($C$5:$C$16="醫護長")*(COUNTIF(設定!$B$6:$B$14,AI$5:AI$16)&gt;0)))))</f>
        <v/>
      </c>
    </row>
    <row r="20">
      <c r="A20" s="78" t="inlineStr">
        <is>
          <t>匯 晶匯</t>
        </is>
      </c>
      <c r="B20" s="8" t="n"/>
      <c r="C20" s="8" t="n"/>
      <c r="D20" s="9" t="n"/>
      <c r="E20" s="83">
        <f>IF(E$3="","",IF(COUNTIF(設定!$W$6:$W$40,DATE(設定!$C$2,設定!$D$2,1))&gt;0,"假",IF(E$4="日","休",SUMPRODUCT(ISNUMBER(SEARCH("晶匯",$D$5:$D$16))*($C$5:$C$16="醫護長")*(COUNTIF(設定!$B$6:$B$14,E$5:E$16)&gt;0)))))</f>
        <v/>
      </c>
      <c r="F20" s="83">
        <f>IF(F$3="","",IF(COUNTIF(設定!$W$6:$W$40,DATE(設定!$C$2,設定!$D$2,2))&gt;0,"假",IF(F$4="日","休",SUMPRODUCT(ISNUMBER(SEARCH("晶匯",$D$5:$D$16))*($C$5:$C$16="醫護長")*(COUNTIF(設定!$B$6:$B$14,F$5:F$16)&gt;0)))))</f>
        <v/>
      </c>
      <c r="G20" s="83">
        <f>IF(G$3="","",IF(COUNTIF(設定!$W$6:$W$40,DATE(設定!$C$2,設定!$D$2,3))&gt;0,"假",IF(G$4="日","休",SUMPRODUCT(ISNUMBER(SEARCH("晶匯",$D$5:$D$16))*($C$5:$C$16="醫護長")*(COUNTIF(設定!$B$6:$B$14,G$5:G$16)&gt;0)))))</f>
        <v/>
      </c>
      <c r="H20" s="83">
        <f>IF(H$3="","",IF(COUNTIF(設定!$W$6:$W$40,DATE(設定!$C$2,設定!$D$2,4))&gt;0,"假",IF(H$4="日","休",SUMPRODUCT(ISNUMBER(SEARCH("晶匯",$D$5:$D$16))*($C$5:$C$16="醫護長")*(COUNTIF(設定!$B$6:$B$14,H$5:H$16)&gt;0)))))</f>
        <v/>
      </c>
      <c r="I20" s="83">
        <f>IF(I$3="","",IF(COUNTIF(設定!$W$6:$W$40,DATE(設定!$C$2,設定!$D$2,5))&gt;0,"假",IF(I$4="日","休",SUMPRODUCT(ISNUMBER(SEARCH("晶匯",$D$5:$D$16))*($C$5:$C$16="醫護長")*(COUNTIF(設定!$B$6:$B$14,I$5:I$16)&gt;0)))))</f>
        <v/>
      </c>
      <c r="J20" s="83">
        <f>IF(J$3="","",IF(COUNTIF(設定!$W$6:$W$40,DATE(設定!$C$2,設定!$D$2,6))&gt;0,"假",IF(J$4="日","休",SUMPRODUCT(ISNUMBER(SEARCH("晶匯",$D$5:$D$16))*($C$5:$C$16="醫護長")*(COUNTIF(設定!$B$6:$B$14,J$5:J$16)&gt;0)))))</f>
        <v/>
      </c>
      <c r="K20" s="83">
        <f>IF(K$3="","",IF(COUNTIF(設定!$W$6:$W$40,DATE(設定!$C$2,設定!$D$2,7))&gt;0,"假",IF(K$4="日","休",SUMPRODUCT(ISNUMBER(SEARCH("晶匯",$D$5:$D$16))*($C$5:$C$16="醫護長")*(COUNTIF(設定!$B$6:$B$14,K$5:K$16)&gt;0)))))</f>
        <v/>
      </c>
      <c r="L20" s="83">
        <f>IF(L$3="","",IF(COUNTIF(設定!$W$6:$W$40,DATE(設定!$C$2,設定!$D$2,8))&gt;0,"假",IF(L$4="日","休",SUMPRODUCT(ISNUMBER(SEARCH("晶匯",$D$5:$D$16))*($C$5:$C$16="醫護長")*(COUNTIF(設定!$B$6:$B$14,L$5:L$16)&gt;0)))))</f>
        <v/>
      </c>
      <c r="M20" s="83">
        <f>IF(M$3="","",IF(COUNTIF(設定!$W$6:$W$40,DATE(設定!$C$2,設定!$D$2,9))&gt;0,"假",IF(M$4="日","休",SUMPRODUCT(ISNUMBER(SEARCH("晶匯",$D$5:$D$16))*($C$5:$C$16="醫護長")*(COUNTIF(設定!$B$6:$B$14,M$5:M$16)&gt;0)))))</f>
        <v/>
      </c>
      <c r="N20" s="83">
        <f>IF(N$3="","",IF(COUNTIF(設定!$W$6:$W$40,DATE(設定!$C$2,設定!$D$2,10))&gt;0,"假",IF(N$4="日","休",SUMPRODUCT(ISNUMBER(SEARCH("晶匯",$D$5:$D$16))*($C$5:$C$16="醫護長")*(COUNTIF(設定!$B$6:$B$14,N$5:N$16)&gt;0)))))</f>
        <v/>
      </c>
      <c r="O20" s="83">
        <f>IF(O$3="","",IF(COUNTIF(設定!$W$6:$W$40,DATE(設定!$C$2,設定!$D$2,11))&gt;0,"假",IF(O$4="日","休",SUMPRODUCT(ISNUMBER(SEARCH("晶匯",$D$5:$D$16))*($C$5:$C$16="醫護長")*(COUNTIF(設定!$B$6:$B$14,O$5:O$16)&gt;0)))))</f>
        <v/>
      </c>
      <c r="P20" s="83">
        <f>IF(P$3="","",IF(COUNTIF(設定!$W$6:$W$40,DATE(設定!$C$2,設定!$D$2,12))&gt;0,"假",IF(P$4="日","休",SUMPRODUCT(ISNUMBER(SEARCH("晶匯",$D$5:$D$16))*($C$5:$C$16="醫護長")*(COUNTIF(設定!$B$6:$B$14,P$5:P$16)&gt;0)))))</f>
        <v/>
      </c>
      <c r="Q20" s="83">
        <f>IF(Q$3="","",IF(COUNTIF(設定!$W$6:$W$40,DATE(設定!$C$2,設定!$D$2,13))&gt;0,"假",IF(Q$4="日","休",SUMPRODUCT(ISNUMBER(SEARCH("晶匯",$D$5:$D$16))*($C$5:$C$16="醫護長")*(COUNTIF(設定!$B$6:$B$14,Q$5:Q$16)&gt;0)))))</f>
        <v/>
      </c>
      <c r="R20" s="83">
        <f>IF(R$3="","",IF(COUNTIF(設定!$W$6:$W$40,DATE(設定!$C$2,設定!$D$2,14))&gt;0,"假",IF(R$4="日","休",SUMPRODUCT(ISNUMBER(SEARCH("晶匯",$D$5:$D$16))*($C$5:$C$16="醫護長")*(COUNTIF(設定!$B$6:$B$14,R$5:R$16)&gt;0)))))</f>
        <v/>
      </c>
      <c r="S20" s="83">
        <f>IF(S$3="","",IF(COUNTIF(設定!$W$6:$W$40,DATE(設定!$C$2,設定!$D$2,15))&gt;0,"假",IF(S$4="日","休",SUMPRODUCT(ISNUMBER(SEARCH("晶匯",$D$5:$D$16))*($C$5:$C$16="醫護長")*(COUNTIF(設定!$B$6:$B$14,S$5:S$16)&gt;0)))))</f>
        <v/>
      </c>
      <c r="T20" s="83">
        <f>IF(T$3="","",IF(COUNTIF(設定!$W$6:$W$40,DATE(設定!$C$2,設定!$D$2,16))&gt;0,"假",IF(T$4="日","休",SUMPRODUCT(ISNUMBER(SEARCH("晶匯",$D$5:$D$16))*($C$5:$C$16="醫護長")*(COUNTIF(設定!$B$6:$B$14,T$5:T$16)&gt;0)))))</f>
        <v/>
      </c>
      <c r="U20" s="83">
        <f>IF(U$3="","",IF(COUNTIF(設定!$W$6:$W$40,DATE(設定!$C$2,設定!$D$2,17))&gt;0,"假",IF(U$4="日","休",SUMPRODUCT(ISNUMBER(SEARCH("晶匯",$D$5:$D$16))*($C$5:$C$16="醫護長")*(COUNTIF(設定!$B$6:$B$14,U$5:U$16)&gt;0)))))</f>
        <v/>
      </c>
      <c r="V20" s="83">
        <f>IF(V$3="","",IF(COUNTIF(設定!$W$6:$W$40,DATE(設定!$C$2,設定!$D$2,18))&gt;0,"假",IF(V$4="日","休",SUMPRODUCT(ISNUMBER(SEARCH("晶匯",$D$5:$D$16))*($C$5:$C$16="醫護長")*(COUNTIF(設定!$B$6:$B$14,V$5:V$16)&gt;0)))))</f>
        <v/>
      </c>
      <c r="W20" s="83">
        <f>IF(W$3="","",IF(COUNTIF(設定!$W$6:$W$40,DATE(設定!$C$2,設定!$D$2,19))&gt;0,"假",IF(W$4="日","休",SUMPRODUCT(ISNUMBER(SEARCH("晶匯",$D$5:$D$16))*($C$5:$C$16="醫護長")*(COUNTIF(設定!$B$6:$B$14,W$5:W$16)&gt;0)))))</f>
        <v/>
      </c>
      <c r="X20" s="83">
        <f>IF(X$3="","",IF(COUNTIF(設定!$W$6:$W$40,DATE(設定!$C$2,設定!$D$2,20))&gt;0,"假",IF(X$4="日","休",SUMPRODUCT(ISNUMBER(SEARCH("晶匯",$D$5:$D$16))*($C$5:$C$16="醫護長")*(COUNTIF(設定!$B$6:$B$14,X$5:X$16)&gt;0)))))</f>
        <v/>
      </c>
      <c r="Y20" s="83">
        <f>IF(Y$3="","",IF(COUNTIF(設定!$W$6:$W$40,DATE(設定!$C$2,設定!$D$2,21))&gt;0,"假",IF(Y$4="日","休",SUMPRODUCT(ISNUMBER(SEARCH("晶匯",$D$5:$D$16))*($C$5:$C$16="醫護長")*(COUNTIF(設定!$B$6:$B$14,Y$5:Y$16)&gt;0)))))</f>
        <v/>
      </c>
      <c r="Z20" s="83">
        <f>IF(Z$3="","",IF(COUNTIF(設定!$W$6:$W$40,DATE(設定!$C$2,設定!$D$2,22))&gt;0,"假",IF(Z$4="日","休",SUMPRODUCT(ISNUMBER(SEARCH("晶匯",$D$5:$D$16))*($C$5:$C$16="醫護長")*(COUNTIF(設定!$B$6:$B$14,Z$5:Z$16)&gt;0)))))</f>
        <v/>
      </c>
      <c r="AA20" s="83">
        <f>IF(AA$3="","",IF(COUNTIF(設定!$W$6:$W$40,DATE(設定!$C$2,設定!$D$2,23))&gt;0,"假",IF(AA$4="日","休",SUMPRODUCT(ISNUMBER(SEARCH("晶匯",$D$5:$D$16))*($C$5:$C$16="醫護長")*(COUNTIF(設定!$B$6:$B$14,AA$5:AA$16)&gt;0)))))</f>
        <v/>
      </c>
      <c r="AB20" s="83">
        <f>IF(AB$3="","",IF(COUNTIF(設定!$W$6:$W$40,DATE(設定!$C$2,設定!$D$2,24))&gt;0,"假",IF(AB$4="日","休",SUMPRODUCT(ISNUMBER(SEARCH("晶匯",$D$5:$D$16))*($C$5:$C$16="醫護長")*(COUNTIF(設定!$B$6:$B$14,AB$5:AB$16)&gt;0)))))</f>
        <v/>
      </c>
      <c r="AC20" s="83">
        <f>IF(AC$3="","",IF(COUNTIF(設定!$W$6:$W$40,DATE(設定!$C$2,設定!$D$2,25))&gt;0,"假",IF(AC$4="日","休",SUMPRODUCT(ISNUMBER(SEARCH("晶匯",$D$5:$D$16))*($C$5:$C$16="醫護長")*(COUNTIF(設定!$B$6:$B$14,AC$5:AC$16)&gt;0)))))</f>
        <v/>
      </c>
      <c r="AD20" s="83">
        <f>IF(AD$3="","",IF(COUNTIF(設定!$W$6:$W$40,DATE(設定!$C$2,設定!$D$2,26))&gt;0,"假",IF(AD$4="日","休",SUMPRODUCT(ISNUMBER(SEARCH("晶匯",$D$5:$D$16))*($C$5:$C$16="醫護長")*(COUNTIF(設定!$B$6:$B$14,AD$5:AD$16)&gt;0)))))</f>
        <v/>
      </c>
      <c r="AE20" s="83">
        <f>IF(AE$3="","",IF(COUNTIF(設定!$W$6:$W$40,DATE(設定!$C$2,設定!$D$2,27))&gt;0,"假",IF(AE$4="日","休",SUMPRODUCT(ISNUMBER(SEARCH("晶匯",$D$5:$D$16))*($C$5:$C$16="醫護長")*(COUNTIF(設定!$B$6:$B$14,AE$5:AE$16)&gt;0)))))</f>
        <v/>
      </c>
      <c r="AF20" s="83">
        <f>IF(AF$3="","",IF(COUNTIF(設定!$W$6:$W$40,DATE(設定!$C$2,設定!$D$2,28))&gt;0,"假",IF(AF$4="日","休",SUMPRODUCT(ISNUMBER(SEARCH("晶匯",$D$5:$D$16))*($C$5:$C$16="醫護長")*(COUNTIF(設定!$B$6:$B$14,AF$5:AF$16)&gt;0)))))</f>
        <v/>
      </c>
      <c r="AG20" s="83">
        <f>IF(AG$3="","",IF(COUNTIF(設定!$W$6:$W$40,DATE(設定!$C$2,設定!$D$2,29))&gt;0,"假",IF(AG$4="日","休",SUMPRODUCT(ISNUMBER(SEARCH("晶匯",$D$5:$D$16))*($C$5:$C$16="醫護長")*(COUNTIF(設定!$B$6:$B$14,AG$5:AG$16)&gt;0)))))</f>
        <v/>
      </c>
      <c r="AH20" s="83">
        <f>IF(AH$3="","",IF(COUNTIF(設定!$W$6:$W$40,DATE(設定!$C$2,設定!$D$2,30))&gt;0,"假",IF(AH$4="日","休",SUMPRODUCT(ISNUMBER(SEARCH("晶匯",$D$5:$D$16))*($C$5:$C$16="醫護長")*(COUNTIF(設定!$B$6:$B$14,AH$5:AH$16)&gt;0)))))</f>
        <v/>
      </c>
      <c r="AI20" s="83">
        <f>IF(AI$3="","",IF(COUNTIF(設定!$W$6:$W$40,DATE(設定!$C$2,設定!$D$2,31))&gt;0,"假",IF(AI$4="日","休",SUMPRODUCT(ISNUMBER(SEARCH("晶匯",$D$5:$D$16))*($C$5:$C$16="醫護長")*(COUNTIF(設定!$B$6:$B$14,AI$5:AI$16)&gt;0)))))</f>
        <v/>
      </c>
    </row>
    <row r="21">
      <c r="A21" s="79" t="inlineStr">
        <is>
          <t>曜 晶曜</t>
        </is>
      </c>
      <c r="B21" s="8" t="n"/>
      <c r="C21" s="8" t="n"/>
      <c r="D21" s="9" t="n"/>
      <c r="E21" s="83">
        <f>IF(E$3="","",IF(COUNTIF(設定!$W$6:$W$40,DATE(設定!$C$2,設定!$D$2,1))&gt;0,"假",IF(E$4="日","休",SUMPRODUCT(ISNUMBER(SEARCH("晶曜",$D$5:$D$16))*($C$5:$C$16="醫護長")*(COUNTIF(設定!$B$6:$B$14,E$5:E$16)&gt;0)))))</f>
        <v/>
      </c>
      <c r="F21" s="83">
        <f>IF(F$3="","",IF(COUNTIF(設定!$W$6:$W$40,DATE(設定!$C$2,設定!$D$2,2))&gt;0,"假",IF(F$4="日","休",SUMPRODUCT(ISNUMBER(SEARCH("晶曜",$D$5:$D$16))*($C$5:$C$16="醫護長")*(COUNTIF(設定!$B$6:$B$14,F$5:F$16)&gt;0)))))</f>
        <v/>
      </c>
      <c r="G21" s="83">
        <f>IF(G$3="","",IF(COUNTIF(設定!$W$6:$W$40,DATE(設定!$C$2,設定!$D$2,3))&gt;0,"假",IF(G$4="日","休",SUMPRODUCT(ISNUMBER(SEARCH("晶曜",$D$5:$D$16))*($C$5:$C$16="醫護長")*(COUNTIF(設定!$B$6:$B$14,G$5:G$16)&gt;0)))))</f>
        <v/>
      </c>
      <c r="H21" s="83">
        <f>IF(H$3="","",IF(COUNTIF(設定!$W$6:$W$40,DATE(設定!$C$2,設定!$D$2,4))&gt;0,"假",IF(H$4="日","休",SUMPRODUCT(ISNUMBER(SEARCH("晶曜",$D$5:$D$16))*($C$5:$C$16="醫護長")*(COUNTIF(設定!$B$6:$B$14,H$5:H$16)&gt;0)))))</f>
        <v/>
      </c>
      <c r="I21" s="83">
        <f>IF(I$3="","",IF(COUNTIF(設定!$W$6:$W$40,DATE(設定!$C$2,設定!$D$2,5))&gt;0,"假",IF(I$4="日","休",SUMPRODUCT(ISNUMBER(SEARCH("晶曜",$D$5:$D$16))*($C$5:$C$16="醫護長")*(COUNTIF(設定!$B$6:$B$14,I$5:I$16)&gt;0)))))</f>
        <v/>
      </c>
      <c r="J21" s="83">
        <f>IF(J$3="","",IF(COUNTIF(設定!$W$6:$W$40,DATE(設定!$C$2,設定!$D$2,6))&gt;0,"假",IF(J$4="日","休",SUMPRODUCT(ISNUMBER(SEARCH("晶曜",$D$5:$D$16))*($C$5:$C$16="醫護長")*(COUNTIF(設定!$B$6:$B$14,J$5:J$16)&gt;0)))))</f>
        <v/>
      </c>
      <c r="K21" s="83">
        <f>IF(K$3="","",IF(COUNTIF(設定!$W$6:$W$40,DATE(設定!$C$2,設定!$D$2,7))&gt;0,"假",IF(K$4="日","休",SUMPRODUCT(ISNUMBER(SEARCH("晶曜",$D$5:$D$16))*($C$5:$C$16="醫護長")*(COUNTIF(設定!$B$6:$B$14,K$5:K$16)&gt;0)))))</f>
        <v/>
      </c>
      <c r="L21" s="83">
        <f>IF(L$3="","",IF(COUNTIF(設定!$W$6:$W$40,DATE(設定!$C$2,設定!$D$2,8))&gt;0,"假",IF(L$4="日","休",SUMPRODUCT(ISNUMBER(SEARCH("晶曜",$D$5:$D$16))*($C$5:$C$16="醫護長")*(COUNTIF(設定!$B$6:$B$14,L$5:L$16)&gt;0)))))</f>
        <v/>
      </c>
      <c r="M21" s="83">
        <f>IF(M$3="","",IF(COUNTIF(設定!$W$6:$W$40,DATE(設定!$C$2,設定!$D$2,9))&gt;0,"假",IF(M$4="日","休",SUMPRODUCT(ISNUMBER(SEARCH("晶曜",$D$5:$D$16))*($C$5:$C$16="醫護長")*(COUNTIF(設定!$B$6:$B$14,M$5:M$16)&gt;0)))))</f>
        <v/>
      </c>
      <c r="N21" s="83">
        <f>IF(N$3="","",IF(COUNTIF(設定!$W$6:$W$40,DATE(設定!$C$2,設定!$D$2,10))&gt;0,"假",IF(N$4="日","休",SUMPRODUCT(ISNUMBER(SEARCH("晶曜",$D$5:$D$16))*($C$5:$C$16="醫護長")*(COUNTIF(設定!$B$6:$B$14,N$5:N$16)&gt;0)))))</f>
        <v/>
      </c>
      <c r="O21" s="83">
        <f>IF(O$3="","",IF(COUNTIF(設定!$W$6:$W$40,DATE(設定!$C$2,設定!$D$2,11))&gt;0,"假",IF(O$4="日","休",SUMPRODUCT(ISNUMBER(SEARCH("晶曜",$D$5:$D$16))*($C$5:$C$16="醫護長")*(COUNTIF(設定!$B$6:$B$14,O$5:O$16)&gt;0)))))</f>
        <v/>
      </c>
      <c r="P21" s="83">
        <f>IF(P$3="","",IF(COUNTIF(設定!$W$6:$W$40,DATE(設定!$C$2,設定!$D$2,12))&gt;0,"假",IF(P$4="日","休",SUMPRODUCT(ISNUMBER(SEARCH("晶曜",$D$5:$D$16))*($C$5:$C$16="醫護長")*(COUNTIF(設定!$B$6:$B$14,P$5:P$16)&gt;0)))))</f>
        <v/>
      </c>
      <c r="Q21" s="83">
        <f>IF(Q$3="","",IF(COUNTIF(設定!$W$6:$W$40,DATE(設定!$C$2,設定!$D$2,13))&gt;0,"假",IF(Q$4="日","休",SUMPRODUCT(ISNUMBER(SEARCH("晶曜",$D$5:$D$16))*($C$5:$C$16="醫護長")*(COUNTIF(設定!$B$6:$B$14,Q$5:Q$16)&gt;0)))))</f>
        <v/>
      </c>
      <c r="R21" s="83">
        <f>IF(R$3="","",IF(COUNTIF(設定!$W$6:$W$40,DATE(設定!$C$2,設定!$D$2,14))&gt;0,"假",IF(R$4="日","休",SUMPRODUCT(ISNUMBER(SEARCH("晶曜",$D$5:$D$16))*($C$5:$C$16="醫護長")*(COUNTIF(設定!$B$6:$B$14,R$5:R$16)&gt;0)))))</f>
        <v/>
      </c>
      <c r="S21" s="83">
        <f>IF(S$3="","",IF(COUNTIF(設定!$W$6:$W$40,DATE(設定!$C$2,設定!$D$2,15))&gt;0,"假",IF(S$4="日","休",SUMPRODUCT(ISNUMBER(SEARCH("晶曜",$D$5:$D$16))*($C$5:$C$16="醫護長")*(COUNTIF(設定!$B$6:$B$14,S$5:S$16)&gt;0)))))</f>
        <v/>
      </c>
      <c r="T21" s="83">
        <f>IF(T$3="","",IF(COUNTIF(設定!$W$6:$W$40,DATE(設定!$C$2,設定!$D$2,16))&gt;0,"假",IF(T$4="日","休",SUMPRODUCT(ISNUMBER(SEARCH("晶曜",$D$5:$D$16))*($C$5:$C$16="醫護長")*(COUNTIF(設定!$B$6:$B$14,T$5:T$16)&gt;0)))))</f>
        <v/>
      </c>
      <c r="U21" s="83">
        <f>IF(U$3="","",IF(COUNTIF(設定!$W$6:$W$40,DATE(設定!$C$2,設定!$D$2,17))&gt;0,"假",IF(U$4="日","休",SUMPRODUCT(ISNUMBER(SEARCH("晶曜",$D$5:$D$16))*($C$5:$C$16="醫護長")*(COUNTIF(設定!$B$6:$B$14,U$5:U$16)&gt;0)))))</f>
        <v/>
      </c>
      <c r="V21" s="83">
        <f>IF(V$3="","",IF(COUNTIF(設定!$W$6:$W$40,DATE(設定!$C$2,設定!$D$2,18))&gt;0,"假",IF(V$4="日","休",SUMPRODUCT(ISNUMBER(SEARCH("晶曜",$D$5:$D$16))*($C$5:$C$16="醫護長")*(COUNTIF(設定!$B$6:$B$14,V$5:V$16)&gt;0)))))</f>
        <v/>
      </c>
      <c r="W21" s="83">
        <f>IF(W$3="","",IF(COUNTIF(設定!$W$6:$W$40,DATE(設定!$C$2,設定!$D$2,19))&gt;0,"假",IF(W$4="日","休",SUMPRODUCT(ISNUMBER(SEARCH("晶曜",$D$5:$D$16))*($C$5:$C$16="醫護長")*(COUNTIF(設定!$B$6:$B$14,W$5:W$16)&gt;0)))))</f>
        <v/>
      </c>
      <c r="X21" s="83">
        <f>IF(X$3="","",IF(COUNTIF(設定!$W$6:$W$40,DATE(設定!$C$2,設定!$D$2,20))&gt;0,"假",IF(X$4="日","休",SUMPRODUCT(ISNUMBER(SEARCH("晶曜",$D$5:$D$16))*($C$5:$C$16="醫護長")*(COUNTIF(設定!$B$6:$B$14,X$5:X$16)&gt;0)))))</f>
        <v/>
      </c>
      <c r="Y21" s="83">
        <f>IF(Y$3="","",IF(COUNTIF(設定!$W$6:$W$40,DATE(設定!$C$2,設定!$D$2,21))&gt;0,"假",IF(Y$4="日","休",SUMPRODUCT(ISNUMBER(SEARCH("晶曜",$D$5:$D$16))*($C$5:$C$16="醫護長")*(COUNTIF(設定!$B$6:$B$14,Y$5:Y$16)&gt;0)))))</f>
        <v/>
      </c>
      <c r="Z21" s="83">
        <f>IF(Z$3="","",IF(COUNTIF(設定!$W$6:$W$40,DATE(設定!$C$2,設定!$D$2,22))&gt;0,"假",IF(Z$4="日","休",SUMPRODUCT(ISNUMBER(SEARCH("晶曜",$D$5:$D$16))*($C$5:$C$16="醫護長")*(COUNTIF(設定!$B$6:$B$14,Z$5:Z$16)&gt;0)))))</f>
        <v/>
      </c>
      <c r="AA21" s="83">
        <f>IF(AA$3="","",IF(COUNTIF(設定!$W$6:$W$40,DATE(設定!$C$2,設定!$D$2,23))&gt;0,"假",IF(AA$4="日","休",SUMPRODUCT(ISNUMBER(SEARCH("晶曜",$D$5:$D$16))*($C$5:$C$16="醫護長")*(COUNTIF(設定!$B$6:$B$14,AA$5:AA$16)&gt;0)))))</f>
        <v/>
      </c>
      <c r="AB21" s="83">
        <f>IF(AB$3="","",IF(COUNTIF(設定!$W$6:$W$40,DATE(設定!$C$2,設定!$D$2,24))&gt;0,"假",IF(AB$4="日","休",SUMPRODUCT(ISNUMBER(SEARCH("晶曜",$D$5:$D$16))*($C$5:$C$16="醫護長")*(COUNTIF(設定!$B$6:$B$14,AB$5:AB$16)&gt;0)))))</f>
        <v/>
      </c>
      <c r="AC21" s="83">
        <f>IF(AC$3="","",IF(COUNTIF(設定!$W$6:$W$40,DATE(設定!$C$2,設定!$D$2,25))&gt;0,"假",IF(AC$4="日","休",SUMPRODUCT(ISNUMBER(SEARCH("晶曜",$D$5:$D$16))*($C$5:$C$16="醫護長")*(COUNTIF(設定!$B$6:$B$14,AC$5:AC$16)&gt;0)))))</f>
        <v/>
      </c>
      <c r="AD21" s="83">
        <f>IF(AD$3="","",IF(COUNTIF(設定!$W$6:$W$40,DATE(設定!$C$2,設定!$D$2,26))&gt;0,"假",IF(AD$4="日","休",SUMPRODUCT(ISNUMBER(SEARCH("晶曜",$D$5:$D$16))*($C$5:$C$16="醫護長")*(COUNTIF(設定!$B$6:$B$14,AD$5:AD$16)&gt;0)))))</f>
        <v/>
      </c>
      <c r="AE21" s="83">
        <f>IF(AE$3="","",IF(COUNTIF(設定!$W$6:$W$40,DATE(設定!$C$2,設定!$D$2,27))&gt;0,"假",IF(AE$4="日","休",SUMPRODUCT(ISNUMBER(SEARCH("晶曜",$D$5:$D$16))*($C$5:$C$16="醫護長")*(COUNTIF(設定!$B$6:$B$14,AE$5:AE$16)&gt;0)))))</f>
        <v/>
      </c>
      <c r="AF21" s="83">
        <f>IF(AF$3="","",IF(COUNTIF(設定!$W$6:$W$40,DATE(設定!$C$2,設定!$D$2,28))&gt;0,"假",IF(AF$4="日","休",SUMPRODUCT(ISNUMBER(SEARCH("晶曜",$D$5:$D$16))*($C$5:$C$16="醫護長")*(COUNTIF(設定!$B$6:$B$14,AF$5:AF$16)&gt;0)))))</f>
        <v/>
      </c>
      <c r="AG21" s="83">
        <f>IF(AG$3="","",IF(COUNTIF(設定!$W$6:$W$40,DATE(設定!$C$2,設定!$D$2,29))&gt;0,"假",IF(AG$4="日","休",SUMPRODUCT(ISNUMBER(SEARCH("晶曜",$D$5:$D$16))*($C$5:$C$16="醫護長")*(COUNTIF(設定!$B$6:$B$14,AG$5:AG$16)&gt;0)))))</f>
        <v/>
      </c>
      <c r="AH21" s="83">
        <f>IF(AH$3="","",IF(COUNTIF(設定!$W$6:$W$40,DATE(設定!$C$2,設定!$D$2,30))&gt;0,"假",IF(AH$4="日","休",SUMPRODUCT(ISNUMBER(SEARCH("晶曜",$D$5:$D$16))*($C$5:$C$16="醫護長")*(COUNTIF(設定!$B$6:$B$14,AH$5:AH$16)&gt;0)))))</f>
        <v/>
      </c>
      <c r="AI21" s="83">
        <f>IF(AI$3="","",IF(COUNTIF(設定!$W$6:$W$40,DATE(設定!$C$2,設定!$D$2,31))&gt;0,"假",IF(AI$4="日","休",SUMPRODUCT(ISNUMBER(SEARCH("晶曜",$D$5:$D$16))*($C$5:$C$16="醫護長")*(COUNTIF(設定!$B$6:$B$14,AI$5:AI$16)&gt;0)))))</f>
        <v/>
      </c>
    </row>
    <row r="22">
      <c r="A22" s="80" t="inlineStr">
        <is>
          <t>寶 寶貝牙</t>
        </is>
      </c>
      <c r="B22" s="8" t="n"/>
      <c r="C22" s="8" t="n"/>
      <c r="D22" s="9" t="n"/>
      <c r="E22" s="83">
        <f>IF(E$3="","",IF(COUNTIF(設定!$W$6:$W$40,DATE(設定!$C$2,設定!$D$2,1))&gt;0,"假",IF(E$4="日","休",SUMPRODUCT(ISNUMBER(SEARCH("寶貝牙",$D$5:$D$16))*($C$5:$C$16="醫護長")*(COUNTIF(設定!$B$6:$B$14,E$5:E$16)&gt;0)))))</f>
        <v/>
      </c>
      <c r="F22" s="83">
        <f>IF(F$3="","",IF(COUNTIF(設定!$W$6:$W$40,DATE(設定!$C$2,設定!$D$2,2))&gt;0,"假",IF(F$4="日","休",SUMPRODUCT(ISNUMBER(SEARCH("寶貝牙",$D$5:$D$16))*($C$5:$C$16="醫護長")*(COUNTIF(設定!$B$6:$B$14,F$5:F$16)&gt;0)))))</f>
        <v/>
      </c>
      <c r="G22" s="83">
        <f>IF(G$3="","",IF(COUNTIF(設定!$W$6:$W$40,DATE(設定!$C$2,設定!$D$2,3))&gt;0,"假",IF(G$4="日","休",SUMPRODUCT(ISNUMBER(SEARCH("寶貝牙",$D$5:$D$16))*($C$5:$C$16="醫護長")*(COUNTIF(設定!$B$6:$B$14,G$5:G$16)&gt;0)))))</f>
        <v/>
      </c>
      <c r="H22" s="83">
        <f>IF(H$3="","",IF(COUNTIF(設定!$W$6:$W$40,DATE(設定!$C$2,設定!$D$2,4))&gt;0,"假",IF(H$4="日","休",SUMPRODUCT(ISNUMBER(SEARCH("寶貝牙",$D$5:$D$16))*($C$5:$C$16="醫護長")*(COUNTIF(設定!$B$6:$B$14,H$5:H$16)&gt;0)))))</f>
        <v/>
      </c>
      <c r="I22" s="83">
        <f>IF(I$3="","",IF(COUNTIF(設定!$W$6:$W$40,DATE(設定!$C$2,設定!$D$2,5))&gt;0,"假",IF(I$4="日","休",SUMPRODUCT(ISNUMBER(SEARCH("寶貝牙",$D$5:$D$16))*($C$5:$C$16="醫護長")*(COUNTIF(設定!$B$6:$B$14,I$5:I$16)&gt;0)))))</f>
        <v/>
      </c>
      <c r="J22" s="83">
        <f>IF(J$3="","",IF(COUNTIF(設定!$W$6:$W$40,DATE(設定!$C$2,設定!$D$2,6))&gt;0,"假",IF(J$4="日","休",SUMPRODUCT(ISNUMBER(SEARCH("寶貝牙",$D$5:$D$16))*($C$5:$C$16="醫護長")*(COUNTIF(設定!$B$6:$B$14,J$5:J$16)&gt;0)))))</f>
        <v/>
      </c>
      <c r="K22" s="83">
        <f>IF(K$3="","",IF(COUNTIF(設定!$W$6:$W$40,DATE(設定!$C$2,設定!$D$2,7))&gt;0,"假",IF(K$4="日","休",SUMPRODUCT(ISNUMBER(SEARCH("寶貝牙",$D$5:$D$16))*($C$5:$C$16="醫護長")*(COUNTIF(設定!$B$6:$B$14,K$5:K$16)&gt;0)))))</f>
        <v/>
      </c>
      <c r="L22" s="83">
        <f>IF(L$3="","",IF(COUNTIF(設定!$W$6:$W$40,DATE(設定!$C$2,設定!$D$2,8))&gt;0,"假",IF(L$4="日","休",SUMPRODUCT(ISNUMBER(SEARCH("寶貝牙",$D$5:$D$16))*($C$5:$C$16="醫護長")*(COUNTIF(設定!$B$6:$B$14,L$5:L$16)&gt;0)))))</f>
        <v/>
      </c>
      <c r="M22" s="83">
        <f>IF(M$3="","",IF(COUNTIF(設定!$W$6:$W$40,DATE(設定!$C$2,設定!$D$2,9))&gt;0,"假",IF(M$4="日","休",SUMPRODUCT(ISNUMBER(SEARCH("寶貝牙",$D$5:$D$16))*($C$5:$C$16="醫護長")*(COUNTIF(設定!$B$6:$B$14,M$5:M$16)&gt;0)))))</f>
        <v/>
      </c>
      <c r="N22" s="83">
        <f>IF(N$3="","",IF(COUNTIF(設定!$W$6:$W$40,DATE(設定!$C$2,設定!$D$2,10))&gt;0,"假",IF(N$4="日","休",SUMPRODUCT(ISNUMBER(SEARCH("寶貝牙",$D$5:$D$16))*($C$5:$C$16="醫護長")*(COUNTIF(設定!$B$6:$B$14,N$5:N$16)&gt;0)))))</f>
        <v/>
      </c>
      <c r="O22" s="83">
        <f>IF(O$3="","",IF(COUNTIF(設定!$W$6:$W$40,DATE(設定!$C$2,設定!$D$2,11))&gt;0,"假",IF(O$4="日","休",SUMPRODUCT(ISNUMBER(SEARCH("寶貝牙",$D$5:$D$16))*($C$5:$C$16="醫護長")*(COUNTIF(設定!$B$6:$B$14,O$5:O$16)&gt;0)))))</f>
        <v/>
      </c>
      <c r="P22" s="83">
        <f>IF(P$3="","",IF(COUNTIF(設定!$W$6:$W$40,DATE(設定!$C$2,設定!$D$2,12))&gt;0,"假",IF(P$4="日","休",SUMPRODUCT(ISNUMBER(SEARCH("寶貝牙",$D$5:$D$16))*($C$5:$C$16="醫護長")*(COUNTIF(設定!$B$6:$B$14,P$5:P$16)&gt;0)))))</f>
        <v/>
      </c>
      <c r="Q22" s="83">
        <f>IF(Q$3="","",IF(COUNTIF(設定!$W$6:$W$40,DATE(設定!$C$2,設定!$D$2,13))&gt;0,"假",IF(Q$4="日","休",SUMPRODUCT(ISNUMBER(SEARCH("寶貝牙",$D$5:$D$16))*($C$5:$C$16="醫護長")*(COUNTIF(設定!$B$6:$B$14,Q$5:Q$16)&gt;0)))))</f>
        <v/>
      </c>
      <c r="R22" s="83">
        <f>IF(R$3="","",IF(COUNTIF(設定!$W$6:$W$40,DATE(設定!$C$2,設定!$D$2,14))&gt;0,"假",IF(R$4="日","休",SUMPRODUCT(ISNUMBER(SEARCH("寶貝牙",$D$5:$D$16))*($C$5:$C$16="醫護長")*(COUNTIF(設定!$B$6:$B$14,R$5:R$16)&gt;0)))))</f>
        <v/>
      </c>
      <c r="S22" s="83">
        <f>IF(S$3="","",IF(COUNTIF(設定!$W$6:$W$40,DATE(設定!$C$2,設定!$D$2,15))&gt;0,"假",IF(S$4="日","休",SUMPRODUCT(ISNUMBER(SEARCH("寶貝牙",$D$5:$D$16))*($C$5:$C$16="醫護長")*(COUNTIF(設定!$B$6:$B$14,S$5:S$16)&gt;0)))))</f>
        <v/>
      </c>
      <c r="T22" s="83">
        <f>IF(T$3="","",IF(COUNTIF(設定!$W$6:$W$40,DATE(設定!$C$2,設定!$D$2,16))&gt;0,"假",IF(T$4="日","休",SUMPRODUCT(ISNUMBER(SEARCH("寶貝牙",$D$5:$D$16))*($C$5:$C$16="醫護長")*(COUNTIF(設定!$B$6:$B$14,T$5:T$16)&gt;0)))))</f>
        <v/>
      </c>
      <c r="U22" s="83">
        <f>IF(U$3="","",IF(COUNTIF(設定!$W$6:$W$40,DATE(設定!$C$2,設定!$D$2,17))&gt;0,"假",IF(U$4="日","休",SUMPRODUCT(ISNUMBER(SEARCH("寶貝牙",$D$5:$D$16))*($C$5:$C$16="醫護長")*(COUNTIF(設定!$B$6:$B$14,U$5:U$16)&gt;0)))))</f>
        <v/>
      </c>
      <c r="V22" s="83">
        <f>IF(V$3="","",IF(COUNTIF(設定!$W$6:$W$40,DATE(設定!$C$2,設定!$D$2,18))&gt;0,"假",IF(V$4="日","休",SUMPRODUCT(ISNUMBER(SEARCH("寶貝牙",$D$5:$D$16))*($C$5:$C$16="醫護長")*(COUNTIF(設定!$B$6:$B$14,V$5:V$16)&gt;0)))))</f>
        <v/>
      </c>
      <c r="W22" s="83">
        <f>IF(W$3="","",IF(COUNTIF(設定!$W$6:$W$40,DATE(設定!$C$2,設定!$D$2,19))&gt;0,"假",IF(W$4="日","休",SUMPRODUCT(ISNUMBER(SEARCH("寶貝牙",$D$5:$D$16))*($C$5:$C$16="醫護長")*(COUNTIF(設定!$B$6:$B$14,W$5:W$16)&gt;0)))))</f>
        <v/>
      </c>
      <c r="X22" s="83">
        <f>IF(X$3="","",IF(COUNTIF(設定!$W$6:$W$40,DATE(設定!$C$2,設定!$D$2,20))&gt;0,"假",IF(X$4="日","休",SUMPRODUCT(ISNUMBER(SEARCH("寶貝牙",$D$5:$D$16))*($C$5:$C$16="醫護長")*(COUNTIF(設定!$B$6:$B$14,X$5:X$16)&gt;0)))))</f>
        <v/>
      </c>
      <c r="Y22" s="83">
        <f>IF(Y$3="","",IF(COUNTIF(設定!$W$6:$W$40,DATE(設定!$C$2,設定!$D$2,21))&gt;0,"假",IF(Y$4="日","休",SUMPRODUCT(ISNUMBER(SEARCH("寶貝牙",$D$5:$D$16))*($C$5:$C$16="醫護長")*(COUNTIF(設定!$B$6:$B$14,Y$5:Y$16)&gt;0)))))</f>
        <v/>
      </c>
      <c r="Z22" s="83">
        <f>IF(Z$3="","",IF(COUNTIF(設定!$W$6:$W$40,DATE(設定!$C$2,設定!$D$2,22))&gt;0,"假",IF(Z$4="日","休",SUMPRODUCT(ISNUMBER(SEARCH("寶貝牙",$D$5:$D$16))*($C$5:$C$16="醫護長")*(COUNTIF(設定!$B$6:$B$14,Z$5:Z$16)&gt;0)))))</f>
        <v/>
      </c>
      <c r="AA22" s="83">
        <f>IF(AA$3="","",IF(COUNTIF(設定!$W$6:$W$40,DATE(設定!$C$2,設定!$D$2,23))&gt;0,"假",IF(AA$4="日","休",SUMPRODUCT(ISNUMBER(SEARCH("寶貝牙",$D$5:$D$16))*($C$5:$C$16="醫護長")*(COUNTIF(設定!$B$6:$B$14,AA$5:AA$16)&gt;0)))))</f>
        <v/>
      </c>
      <c r="AB22" s="83">
        <f>IF(AB$3="","",IF(COUNTIF(設定!$W$6:$W$40,DATE(設定!$C$2,設定!$D$2,24))&gt;0,"假",IF(AB$4="日","休",SUMPRODUCT(ISNUMBER(SEARCH("寶貝牙",$D$5:$D$16))*($C$5:$C$16="醫護長")*(COUNTIF(設定!$B$6:$B$14,AB$5:AB$16)&gt;0)))))</f>
        <v/>
      </c>
      <c r="AC22" s="83">
        <f>IF(AC$3="","",IF(COUNTIF(設定!$W$6:$W$40,DATE(設定!$C$2,設定!$D$2,25))&gt;0,"假",IF(AC$4="日","休",SUMPRODUCT(ISNUMBER(SEARCH("寶貝牙",$D$5:$D$16))*($C$5:$C$16="醫護長")*(COUNTIF(設定!$B$6:$B$14,AC$5:AC$16)&gt;0)))))</f>
        <v/>
      </c>
      <c r="AD22" s="83">
        <f>IF(AD$3="","",IF(COUNTIF(設定!$W$6:$W$40,DATE(設定!$C$2,設定!$D$2,26))&gt;0,"假",IF(AD$4="日","休",SUMPRODUCT(ISNUMBER(SEARCH("寶貝牙",$D$5:$D$16))*($C$5:$C$16="醫護長")*(COUNTIF(設定!$B$6:$B$14,AD$5:AD$16)&gt;0)))))</f>
        <v/>
      </c>
      <c r="AE22" s="83">
        <f>IF(AE$3="","",IF(COUNTIF(設定!$W$6:$W$40,DATE(設定!$C$2,設定!$D$2,27))&gt;0,"假",IF(AE$4="日","休",SUMPRODUCT(ISNUMBER(SEARCH("寶貝牙",$D$5:$D$16))*($C$5:$C$16="醫護長")*(COUNTIF(設定!$B$6:$B$14,AE$5:AE$16)&gt;0)))))</f>
        <v/>
      </c>
      <c r="AF22" s="83">
        <f>IF(AF$3="","",IF(COUNTIF(設定!$W$6:$W$40,DATE(設定!$C$2,設定!$D$2,28))&gt;0,"假",IF(AF$4="日","休",SUMPRODUCT(ISNUMBER(SEARCH("寶貝牙",$D$5:$D$16))*($C$5:$C$16="醫護長")*(COUNTIF(設定!$B$6:$B$14,AF$5:AF$16)&gt;0)))))</f>
        <v/>
      </c>
      <c r="AG22" s="83">
        <f>IF(AG$3="","",IF(COUNTIF(設定!$W$6:$W$40,DATE(設定!$C$2,設定!$D$2,29))&gt;0,"假",IF(AG$4="日","休",SUMPRODUCT(ISNUMBER(SEARCH("寶貝牙",$D$5:$D$16))*($C$5:$C$16="醫護長")*(COUNTIF(設定!$B$6:$B$14,AG$5:AG$16)&gt;0)))))</f>
        <v/>
      </c>
      <c r="AH22" s="83">
        <f>IF(AH$3="","",IF(COUNTIF(設定!$W$6:$W$40,DATE(設定!$C$2,設定!$D$2,30))&gt;0,"假",IF(AH$4="日","休",SUMPRODUCT(ISNUMBER(SEARCH("寶貝牙",$D$5:$D$16))*($C$5:$C$16="醫護長")*(COUNTIF(設定!$B$6:$B$14,AH$5:AH$16)&gt;0)))))</f>
        <v/>
      </c>
      <c r="AI22" s="83">
        <f>IF(AI$3="","",IF(COUNTIF(設定!$W$6:$W$40,DATE(設定!$C$2,設定!$D$2,31))&gt;0,"假",IF(AI$4="日","休",SUMPRODUCT(ISNUMBER(SEARCH("寶貝牙",$D$5:$D$16))*($C$5:$C$16="醫護長")*(COUNTIF(設定!$B$6:$B$14,AI$5:AI$16)&gt;0)))))</f>
        <v/>
      </c>
    </row>
    <row r="23">
      <c r="A23" s="11" t="inlineStr">
        <is>
          <t>管 管理部</t>
        </is>
      </c>
      <c r="B23" s="8" t="n"/>
      <c r="C23" s="8" t="n"/>
      <c r="D23" s="9" t="n"/>
      <c r="E23" s="83">
        <f>IF(E$3="","",IF(COUNTIF(設定!$W$6:$W$40,DATE(設定!$C$2,設定!$D$2,1))&gt;0,"假",IF(E$4="日","休",SUMPRODUCT(($C$5:$C$16="管理部")*(COUNTIF(設定!$B$6:$B$14,E$5:E$16)&gt;0)))))</f>
        <v/>
      </c>
      <c r="F23" s="83">
        <f>IF(F$3="","",IF(COUNTIF(設定!$W$6:$W$40,DATE(設定!$C$2,設定!$D$2,2))&gt;0,"假",IF(F$4="日","休",SUMPRODUCT(($C$5:$C$16="管理部")*(COUNTIF(設定!$B$6:$B$14,F$5:F$16)&gt;0)))))</f>
        <v/>
      </c>
      <c r="G23" s="83">
        <f>IF(G$3="","",IF(COUNTIF(設定!$W$6:$W$40,DATE(設定!$C$2,設定!$D$2,3))&gt;0,"假",IF(G$4="日","休",SUMPRODUCT(($C$5:$C$16="管理部")*(COUNTIF(設定!$B$6:$B$14,G$5:G$16)&gt;0)))))</f>
        <v/>
      </c>
      <c r="H23" s="83">
        <f>IF(H$3="","",IF(COUNTIF(設定!$W$6:$W$40,DATE(設定!$C$2,設定!$D$2,4))&gt;0,"假",IF(H$4="日","休",SUMPRODUCT(($C$5:$C$16="管理部")*(COUNTIF(設定!$B$6:$B$14,H$5:H$16)&gt;0)))))</f>
        <v/>
      </c>
      <c r="I23" s="83">
        <f>IF(I$3="","",IF(COUNTIF(設定!$W$6:$W$40,DATE(設定!$C$2,設定!$D$2,5))&gt;0,"假",IF(I$4="日","休",SUMPRODUCT(($C$5:$C$16="管理部")*(COUNTIF(設定!$B$6:$B$14,I$5:I$16)&gt;0)))))</f>
        <v/>
      </c>
      <c r="J23" s="83">
        <f>IF(J$3="","",IF(COUNTIF(設定!$W$6:$W$40,DATE(設定!$C$2,設定!$D$2,6))&gt;0,"假",IF(J$4="日","休",SUMPRODUCT(($C$5:$C$16="管理部")*(COUNTIF(設定!$B$6:$B$14,J$5:J$16)&gt;0)))))</f>
        <v/>
      </c>
      <c r="K23" s="83">
        <f>IF(K$3="","",IF(COUNTIF(設定!$W$6:$W$40,DATE(設定!$C$2,設定!$D$2,7))&gt;0,"假",IF(K$4="日","休",SUMPRODUCT(($C$5:$C$16="管理部")*(COUNTIF(設定!$B$6:$B$14,K$5:K$16)&gt;0)))))</f>
        <v/>
      </c>
      <c r="L23" s="83">
        <f>IF(L$3="","",IF(COUNTIF(設定!$W$6:$W$40,DATE(設定!$C$2,設定!$D$2,8))&gt;0,"假",IF(L$4="日","休",SUMPRODUCT(($C$5:$C$16="管理部")*(COUNTIF(設定!$B$6:$B$14,L$5:L$16)&gt;0)))))</f>
        <v/>
      </c>
      <c r="M23" s="83">
        <f>IF(M$3="","",IF(COUNTIF(設定!$W$6:$W$40,DATE(設定!$C$2,設定!$D$2,9))&gt;0,"假",IF(M$4="日","休",SUMPRODUCT(($C$5:$C$16="管理部")*(COUNTIF(設定!$B$6:$B$14,M$5:M$16)&gt;0)))))</f>
        <v/>
      </c>
      <c r="N23" s="83">
        <f>IF(N$3="","",IF(COUNTIF(設定!$W$6:$W$40,DATE(設定!$C$2,設定!$D$2,10))&gt;0,"假",IF(N$4="日","休",SUMPRODUCT(($C$5:$C$16="管理部")*(COUNTIF(設定!$B$6:$B$14,N$5:N$16)&gt;0)))))</f>
        <v/>
      </c>
      <c r="O23" s="83">
        <f>IF(O$3="","",IF(COUNTIF(設定!$W$6:$W$40,DATE(設定!$C$2,設定!$D$2,11))&gt;0,"假",IF(O$4="日","休",SUMPRODUCT(($C$5:$C$16="管理部")*(COUNTIF(設定!$B$6:$B$14,O$5:O$16)&gt;0)))))</f>
        <v/>
      </c>
      <c r="P23" s="83">
        <f>IF(P$3="","",IF(COUNTIF(設定!$W$6:$W$40,DATE(設定!$C$2,設定!$D$2,12))&gt;0,"假",IF(P$4="日","休",SUMPRODUCT(($C$5:$C$16="管理部")*(COUNTIF(設定!$B$6:$B$14,P$5:P$16)&gt;0)))))</f>
        <v/>
      </c>
      <c r="Q23" s="83">
        <f>IF(Q$3="","",IF(COUNTIF(設定!$W$6:$W$40,DATE(設定!$C$2,設定!$D$2,13))&gt;0,"假",IF(Q$4="日","休",SUMPRODUCT(($C$5:$C$16="管理部")*(COUNTIF(設定!$B$6:$B$14,Q$5:Q$16)&gt;0)))))</f>
        <v/>
      </c>
      <c r="R23" s="83">
        <f>IF(R$3="","",IF(COUNTIF(設定!$W$6:$W$40,DATE(設定!$C$2,設定!$D$2,14))&gt;0,"假",IF(R$4="日","休",SUMPRODUCT(($C$5:$C$16="管理部")*(COUNTIF(設定!$B$6:$B$14,R$5:R$16)&gt;0)))))</f>
        <v/>
      </c>
      <c r="S23" s="83">
        <f>IF(S$3="","",IF(COUNTIF(設定!$W$6:$W$40,DATE(設定!$C$2,設定!$D$2,15))&gt;0,"假",IF(S$4="日","休",SUMPRODUCT(($C$5:$C$16="管理部")*(COUNTIF(設定!$B$6:$B$14,S$5:S$16)&gt;0)))))</f>
        <v/>
      </c>
      <c r="T23" s="83">
        <f>IF(T$3="","",IF(COUNTIF(設定!$W$6:$W$40,DATE(設定!$C$2,設定!$D$2,16))&gt;0,"假",IF(T$4="日","休",SUMPRODUCT(($C$5:$C$16="管理部")*(COUNTIF(設定!$B$6:$B$14,T$5:T$16)&gt;0)))))</f>
        <v/>
      </c>
      <c r="U23" s="83">
        <f>IF(U$3="","",IF(COUNTIF(設定!$W$6:$W$40,DATE(設定!$C$2,設定!$D$2,17))&gt;0,"假",IF(U$4="日","休",SUMPRODUCT(($C$5:$C$16="管理部")*(COUNTIF(設定!$B$6:$B$14,U$5:U$16)&gt;0)))))</f>
        <v/>
      </c>
      <c r="V23" s="83">
        <f>IF(V$3="","",IF(COUNTIF(設定!$W$6:$W$40,DATE(設定!$C$2,設定!$D$2,18))&gt;0,"假",IF(V$4="日","休",SUMPRODUCT(($C$5:$C$16="管理部")*(COUNTIF(設定!$B$6:$B$14,V$5:V$16)&gt;0)))))</f>
        <v/>
      </c>
      <c r="W23" s="83">
        <f>IF(W$3="","",IF(COUNTIF(設定!$W$6:$W$40,DATE(設定!$C$2,設定!$D$2,19))&gt;0,"假",IF(W$4="日","休",SUMPRODUCT(($C$5:$C$16="管理部")*(COUNTIF(設定!$B$6:$B$14,W$5:W$16)&gt;0)))))</f>
        <v/>
      </c>
      <c r="X23" s="83">
        <f>IF(X$3="","",IF(COUNTIF(設定!$W$6:$W$40,DATE(設定!$C$2,設定!$D$2,20))&gt;0,"假",IF(X$4="日","休",SUMPRODUCT(($C$5:$C$16="管理部")*(COUNTIF(設定!$B$6:$B$14,X$5:X$16)&gt;0)))))</f>
        <v/>
      </c>
      <c r="Y23" s="83">
        <f>IF(Y$3="","",IF(COUNTIF(設定!$W$6:$W$40,DATE(設定!$C$2,設定!$D$2,21))&gt;0,"假",IF(Y$4="日","休",SUMPRODUCT(($C$5:$C$16="管理部")*(COUNTIF(設定!$B$6:$B$14,Y$5:Y$16)&gt;0)))))</f>
        <v/>
      </c>
      <c r="Z23" s="83">
        <f>IF(Z$3="","",IF(COUNTIF(設定!$W$6:$W$40,DATE(設定!$C$2,設定!$D$2,22))&gt;0,"假",IF(Z$4="日","休",SUMPRODUCT(($C$5:$C$16="管理部")*(COUNTIF(設定!$B$6:$B$14,Z$5:Z$16)&gt;0)))))</f>
        <v/>
      </c>
      <c r="AA23" s="83">
        <f>IF(AA$3="","",IF(COUNTIF(設定!$W$6:$W$40,DATE(設定!$C$2,設定!$D$2,23))&gt;0,"假",IF(AA$4="日","休",SUMPRODUCT(($C$5:$C$16="管理部")*(COUNTIF(設定!$B$6:$B$14,AA$5:AA$16)&gt;0)))))</f>
        <v/>
      </c>
      <c r="AB23" s="83">
        <f>IF(AB$3="","",IF(COUNTIF(設定!$W$6:$W$40,DATE(設定!$C$2,設定!$D$2,24))&gt;0,"假",IF(AB$4="日","休",SUMPRODUCT(($C$5:$C$16="管理部")*(COUNTIF(設定!$B$6:$B$14,AB$5:AB$16)&gt;0)))))</f>
        <v/>
      </c>
      <c r="AC23" s="83">
        <f>IF(AC$3="","",IF(COUNTIF(設定!$W$6:$W$40,DATE(設定!$C$2,設定!$D$2,25))&gt;0,"假",IF(AC$4="日","休",SUMPRODUCT(($C$5:$C$16="管理部")*(COUNTIF(設定!$B$6:$B$14,AC$5:AC$16)&gt;0)))))</f>
        <v/>
      </c>
      <c r="AD23" s="83">
        <f>IF(AD$3="","",IF(COUNTIF(設定!$W$6:$W$40,DATE(設定!$C$2,設定!$D$2,26))&gt;0,"假",IF(AD$4="日","休",SUMPRODUCT(($C$5:$C$16="管理部")*(COUNTIF(設定!$B$6:$B$14,AD$5:AD$16)&gt;0)))))</f>
        <v/>
      </c>
      <c r="AE23" s="83">
        <f>IF(AE$3="","",IF(COUNTIF(設定!$W$6:$W$40,DATE(設定!$C$2,設定!$D$2,27))&gt;0,"假",IF(AE$4="日","休",SUMPRODUCT(($C$5:$C$16="管理部")*(COUNTIF(設定!$B$6:$B$14,AE$5:AE$16)&gt;0)))))</f>
        <v/>
      </c>
      <c r="AF23" s="83">
        <f>IF(AF$3="","",IF(COUNTIF(設定!$W$6:$W$40,DATE(設定!$C$2,設定!$D$2,28))&gt;0,"假",IF(AF$4="日","休",SUMPRODUCT(($C$5:$C$16="管理部")*(COUNTIF(設定!$B$6:$B$14,AF$5:AF$16)&gt;0)))))</f>
        <v/>
      </c>
      <c r="AG23" s="83">
        <f>IF(AG$3="","",IF(COUNTIF(設定!$W$6:$W$40,DATE(設定!$C$2,設定!$D$2,29))&gt;0,"假",IF(AG$4="日","休",SUMPRODUCT(($C$5:$C$16="管理部")*(COUNTIF(設定!$B$6:$B$14,AG$5:AG$16)&gt;0)))))</f>
        <v/>
      </c>
      <c r="AH23" s="83">
        <f>IF(AH$3="","",IF(COUNTIF(設定!$W$6:$W$40,DATE(設定!$C$2,設定!$D$2,30))&gt;0,"假",IF(AH$4="日","休",SUMPRODUCT(($C$5:$C$16="管理部")*(COUNTIF(設定!$B$6:$B$14,AH$5:AH$16)&gt;0)))))</f>
        <v/>
      </c>
      <c r="AI23" s="83">
        <f>IF(AI$3="","",IF(COUNTIF(設定!$W$6:$W$40,DATE(設定!$C$2,設定!$D$2,31))&gt;0,"假",IF(AI$4="日","休",SUMPRODUCT(($C$5:$C$16="管理部")*(COUNTIF(設定!$B$6:$B$14,AI$5:AI$16)&gt;0)))))</f>
        <v/>
      </c>
    </row>
    <row r="25">
      <c r="A25" s="6" t="inlineStr">
        <is>
          <t>※ 一間院所一位醫護長,所以檢核的是「當天有沒有醫護長在」:掛 0 會變紅。國定假日顯示「假」、週日顯示「休」,都不示警。文君兼管晶睿與晶曜,兩間都會算到她。管理部三位也在晶匯,但不列入晶匯那一列——他們代替不了醫護長,混在一起數會讓「醫護長請假、管理部在」看起來像有人顧。他們自己在最後一列。門檻要調請改這幾列的條件式格式。</t>
        </is>
      </c>
    </row>
  </sheetData>
  <mergeCells count="12">
    <mergeCell ref="A17:D17"/>
    <mergeCell ref="A18:D18"/>
    <mergeCell ref="A23:D23"/>
    <mergeCell ref="A22:D22"/>
    <mergeCell ref="C3:C4"/>
    <mergeCell ref="B3:B4"/>
    <mergeCell ref="A3:A4"/>
    <mergeCell ref="A1:AI1"/>
    <mergeCell ref="A20:D20"/>
    <mergeCell ref="A21:D21"/>
    <mergeCell ref="D3:D4"/>
    <mergeCell ref="A19:D19"/>
  </mergeCells>
  <conditionalFormatting sqref="E5:AI16">
    <cfRule type="expression" priority="1" dxfId="9" stopIfTrue="1">
      <formula>AND(E$3&lt;&gt;"",$A5&lt;&gt;"",E5="")</formula>
    </cfRule>
    <cfRule type="expression" priority="2" dxfId="10" stopIfTrue="1">
      <formula>E5="支"</formula>
    </cfRule>
    <cfRule type="expression" priority="3" dxfId="5" stopIfTrue="1">
      <formula>COUNTIF(設定!$B$15:$B$21,E5)&gt;0</formula>
    </cfRule>
    <cfRule type="expression" priority="4" dxfId="6">
      <formula>OR(E$4="六",E$4="日")</formula>
    </cfRule>
  </conditionalFormatting>
  <conditionalFormatting sqref="E3:AI4">
    <cfRule type="expression" priority="5" dxfId="6">
      <formula>OR(E$4="六",E$4="日")</formula>
    </cfRule>
  </conditionalFormatting>
  <conditionalFormatting sqref="E18:AI18">
    <cfRule type="expression" priority="6" dxfId="8">
      <formula>AND(E$3&lt;&gt;"",ISNUMBER(E18),E18=0)</formula>
    </cfRule>
  </conditionalFormatting>
  <conditionalFormatting sqref="E19:AI19">
    <cfRule type="expression" priority="7" dxfId="8">
      <formula>AND(E$3&lt;&gt;"",ISNUMBER(E19),E19=0)</formula>
    </cfRule>
  </conditionalFormatting>
  <conditionalFormatting sqref="E20:AI20">
    <cfRule type="expression" priority="8" dxfId="8">
      <formula>AND(E$3&lt;&gt;"",ISNUMBER(E20),E20=0)</formula>
    </cfRule>
  </conditionalFormatting>
  <conditionalFormatting sqref="E21:AI21">
    <cfRule type="expression" priority="9" dxfId="8">
      <formula>AND(E$3&lt;&gt;"",ISNUMBER(E21),E21=0)</formula>
    </cfRule>
  </conditionalFormatting>
  <conditionalFormatting sqref="E22:AI22">
    <cfRule type="expression" priority="10" dxfId="8">
      <formula>AND(E$3&lt;&gt;"",ISNUMBER(E22),E22=0)</formula>
    </cfRule>
  </conditionalFormatting>
  <conditionalFormatting sqref="E23:AI23">
    <cfRule type="expression" priority="11" dxfId="8">
      <formula>AND(E$3&lt;&gt;"",ISNUMBER(E23),E23=0)</formula>
    </cfRule>
  </conditionalFormatting>
  <dataValidations count="2">
    <dataValidation sqref="E5:AI16" showDropDown="0" showInputMessage="0" showErrorMessage="1" allowBlank="1" errorTitle="班別代碼無效" error="這不是「設定」分頁定義的班別代碼。確定要用請按「是」。" type="list" errorStyle="warning">
      <formula1>"早,午,晚,早午,午晚,早晚,全日,支,訓,OFF,特,病,事,公,國,休"</formula1>
    </dataValidation>
    <dataValidation sqref="A5:A16" showDropDown="0" showInputMessage="0" showErrorMessage="1" allowBlank="1" errorTitle="不在人員名冊中" error="這個編號不在工時制人員名冊裡。確定要用請按「是」。" type="list" errorStyle="warning">
      <formula1>設定!$S$6:$S$17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2" customWidth="1" min="3" max="3"/>
    <col width="12" customWidth="1" min="4" max="4"/>
    <col width="16" customWidth="1" min="5" max="5"/>
    <col width="16" customWidth="1" min="6" max="6"/>
    <col width="2" customWidth="1" min="7" max="7"/>
    <col width="76" customWidth="1" min="8" max="8"/>
  </cols>
  <sheetData>
    <row r="1">
      <c r="A1" s="82" t="inlineStr">
        <is>
          <t>打卡匯入(把打卡機匯出的資料貼在下面四欄)</t>
        </is>
      </c>
      <c r="H1" s="84" t="inlineStr">
        <is>
          <t>貼上規則:一天一列。日期要是真正的日期格式、時間要是真正的時間格式,不能是文字。E、F 欄是公式,不要覆蓋。</t>
        </is>
      </c>
    </row>
    <row r="2" ht="24" customHeight="1">
      <c r="A2" s="10" t="inlineStr">
        <is>
          <t>員工編號</t>
        </is>
      </c>
      <c r="B2" s="10" t="inlineStr">
        <is>
          <t>日期</t>
        </is>
      </c>
      <c r="C2" s="10" t="inlineStr">
        <is>
          <t>上班時間</t>
        </is>
      </c>
      <c r="D2" s="10" t="inlineStr">
        <is>
          <t>下班時間</t>
        </is>
      </c>
      <c r="E2" s="10" t="inlineStr">
        <is>
          <t>對照鍵(自動)</t>
        </is>
      </c>
      <c r="F2" s="10" t="inlineStr">
        <is>
          <t>檢核(自動)</t>
        </is>
      </c>
    </row>
    <row r="3">
      <c r="A3" s="19" t="n"/>
      <c r="B3" s="17" t="n"/>
      <c r="C3" s="85" t="n"/>
      <c r="D3" s="85" t="n"/>
      <c r="E3" s="16">
        <f>IF($A3="","",$A3&amp;"|"&amp;DAY($B3))</f>
        <v/>
      </c>
      <c r="F3" s="16">
        <f>IF($A3="","",IF(COUNTIF(設定!$B$64:$B$203,$A3)=0,"⚠ 查無員編",IF(COUNTIF($E$3:$E$502,$E3)&gt;1,"⚠ 重複打卡","OK")))</f>
        <v/>
      </c>
    </row>
    <row r="4">
      <c r="A4" s="19" t="n"/>
      <c r="B4" s="17" t="n"/>
      <c r="C4" s="85" t="n"/>
      <c r="D4" s="85" t="n"/>
      <c r="E4" s="16">
        <f>IF($A4="","",$A4&amp;"|"&amp;DAY($B4))</f>
        <v/>
      </c>
      <c r="F4" s="16">
        <f>IF($A4="","",IF(COUNTIF(設定!$B$64:$B$203,$A4)=0,"⚠ 查無員編",IF(COUNTIF($E$3:$E$502,$E4)&gt;1,"⚠ 重複打卡","OK")))</f>
        <v/>
      </c>
    </row>
    <row r="5">
      <c r="A5" s="19" t="n"/>
      <c r="B5" s="17" t="n"/>
      <c r="C5" s="85" t="n"/>
      <c r="D5" s="85" t="n"/>
      <c r="E5" s="16">
        <f>IF($A5="","",$A5&amp;"|"&amp;DAY($B5))</f>
        <v/>
      </c>
      <c r="F5" s="16">
        <f>IF($A5="","",IF(COUNTIF(設定!$B$64:$B$203,$A5)=0,"⚠ 查無員編",IF(COUNTIF($E$3:$E$502,$E5)&gt;1,"⚠ 重複打卡","OK")))</f>
        <v/>
      </c>
    </row>
    <row r="6">
      <c r="A6" s="19" t="n"/>
      <c r="B6" s="17" t="n"/>
      <c r="C6" s="85" t="n"/>
      <c r="D6" s="85" t="n"/>
      <c r="E6" s="16">
        <f>IF($A6="","",$A6&amp;"|"&amp;DAY($B6))</f>
        <v/>
      </c>
      <c r="F6" s="16">
        <f>IF($A6="","",IF(COUNTIF(設定!$B$64:$B$203,$A6)=0,"⚠ 查無員編",IF(COUNTIF($E$3:$E$502,$E6)&gt;1,"⚠ 重複打卡","OK")))</f>
        <v/>
      </c>
    </row>
    <row r="7">
      <c r="A7" s="19" t="n"/>
      <c r="B7" s="17" t="n"/>
      <c r="C7" s="85" t="n"/>
      <c r="D7" s="85" t="n"/>
      <c r="E7" s="16">
        <f>IF($A7="","",$A7&amp;"|"&amp;DAY($B7))</f>
        <v/>
      </c>
      <c r="F7" s="16">
        <f>IF($A7="","",IF(COUNTIF(設定!$B$64:$B$203,$A7)=0,"⚠ 查無員編",IF(COUNTIF($E$3:$E$502,$E7)&gt;1,"⚠ 重複打卡","OK")))</f>
        <v/>
      </c>
    </row>
    <row r="8">
      <c r="A8" s="19" t="n"/>
      <c r="B8" s="17" t="n"/>
      <c r="C8" s="85" t="n"/>
      <c r="D8" s="85" t="n"/>
      <c r="E8" s="16">
        <f>IF($A8="","",$A8&amp;"|"&amp;DAY($B8))</f>
        <v/>
      </c>
      <c r="F8" s="16">
        <f>IF($A8="","",IF(COUNTIF(設定!$B$64:$B$203,$A8)=0,"⚠ 查無員編",IF(COUNTIF($E$3:$E$502,$E8)&gt;1,"⚠ 重複打卡","OK")))</f>
        <v/>
      </c>
    </row>
    <row r="9">
      <c r="A9" s="19" t="n"/>
      <c r="B9" s="17" t="n"/>
      <c r="C9" s="85" t="n"/>
      <c r="D9" s="85" t="n"/>
      <c r="E9" s="16">
        <f>IF($A9="","",$A9&amp;"|"&amp;DAY($B9))</f>
        <v/>
      </c>
      <c r="F9" s="16">
        <f>IF($A9="","",IF(COUNTIF(設定!$B$64:$B$203,$A9)=0,"⚠ 查無員編",IF(COUNTIF($E$3:$E$502,$E9)&gt;1,"⚠ 重複打卡","OK")))</f>
        <v/>
      </c>
    </row>
    <row r="10">
      <c r="A10" s="19" t="n"/>
      <c r="B10" s="17" t="n"/>
      <c r="C10" s="85" t="n"/>
      <c r="D10" s="85" t="n"/>
      <c r="E10" s="16">
        <f>IF($A10="","",$A10&amp;"|"&amp;DAY($B10))</f>
        <v/>
      </c>
      <c r="F10" s="16">
        <f>IF($A10="","",IF(COUNTIF(設定!$B$64:$B$203,$A10)=0,"⚠ 查無員編",IF(COUNTIF($E$3:$E$502,$E10)&gt;1,"⚠ 重複打卡","OK")))</f>
        <v/>
      </c>
    </row>
    <row r="11">
      <c r="A11" s="19" t="n"/>
      <c r="B11" s="17" t="n"/>
      <c r="C11" s="85" t="n"/>
      <c r="D11" s="85" t="n"/>
      <c r="E11" s="16">
        <f>IF($A11="","",$A11&amp;"|"&amp;DAY($B11))</f>
        <v/>
      </c>
      <c r="F11" s="16">
        <f>IF($A11="","",IF(COUNTIF(設定!$B$64:$B$203,$A11)=0,"⚠ 查無員編",IF(COUNTIF($E$3:$E$502,$E11)&gt;1,"⚠ 重複打卡","OK")))</f>
        <v/>
      </c>
    </row>
    <row r="12">
      <c r="A12" s="19" t="n"/>
      <c r="B12" s="17" t="n"/>
      <c r="C12" s="85" t="n"/>
      <c r="D12" s="85" t="n"/>
      <c r="E12" s="16">
        <f>IF($A12="","",$A12&amp;"|"&amp;DAY($B12))</f>
        <v/>
      </c>
      <c r="F12" s="16">
        <f>IF($A12="","",IF(COUNTIF(設定!$B$64:$B$203,$A12)=0,"⚠ 查無員編",IF(COUNTIF($E$3:$E$502,$E12)&gt;1,"⚠ 重複打卡","OK")))</f>
        <v/>
      </c>
    </row>
    <row r="13">
      <c r="A13" s="19" t="n"/>
      <c r="B13" s="17" t="n"/>
      <c r="C13" s="85" t="n"/>
      <c r="D13" s="85" t="n"/>
      <c r="E13" s="16">
        <f>IF($A13="","",$A13&amp;"|"&amp;DAY($B13))</f>
        <v/>
      </c>
      <c r="F13" s="16">
        <f>IF($A13="","",IF(COUNTIF(設定!$B$64:$B$203,$A13)=0,"⚠ 查無員編",IF(COUNTIF($E$3:$E$502,$E13)&gt;1,"⚠ 重複打卡","OK")))</f>
        <v/>
      </c>
    </row>
    <row r="14">
      <c r="A14" s="19" t="n"/>
      <c r="B14" s="17" t="n"/>
      <c r="C14" s="85" t="n"/>
      <c r="D14" s="85" t="n"/>
      <c r="E14" s="16">
        <f>IF($A14="","",$A14&amp;"|"&amp;DAY($B14))</f>
        <v/>
      </c>
      <c r="F14" s="16">
        <f>IF($A14="","",IF(COUNTIF(設定!$B$64:$B$203,$A14)=0,"⚠ 查無員編",IF(COUNTIF($E$3:$E$502,$E14)&gt;1,"⚠ 重複打卡","OK")))</f>
        <v/>
      </c>
    </row>
    <row r="15">
      <c r="A15" s="19" t="n"/>
      <c r="B15" s="17" t="n"/>
      <c r="C15" s="85" t="n"/>
      <c r="D15" s="85" t="n"/>
      <c r="E15" s="16">
        <f>IF($A15="","",$A15&amp;"|"&amp;DAY($B15))</f>
        <v/>
      </c>
      <c r="F15" s="16">
        <f>IF($A15="","",IF(COUNTIF(設定!$B$64:$B$203,$A15)=0,"⚠ 查無員編",IF(COUNTIF($E$3:$E$502,$E15)&gt;1,"⚠ 重複打卡","OK")))</f>
        <v/>
      </c>
    </row>
    <row r="16">
      <c r="A16" s="19" t="n"/>
      <c r="B16" s="17" t="n"/>
      <c r="C16" s="85" t="n"/>
      <c r="D16" s="85" t="n"/>
      <c r="E16" s="16">
        <f>IF($A16="","",$A16&amp;"|"&amp;DAY($B16))</f>
        <v/>
      </c>
      <c r="F16" s="16">
        <f>IF($A16="","",IF(COUNTIF(設定!$B$64:$B$203,$A16)=0,"⚠ 查無員編",IF(COUNTIF($E$3:$E$502,$E16)&gt;1,"⚠ 重複打卡","OK")))</f>
        <v/>
      </c>
    </row>
    <row r="17">
      <c r="A17" s="19" t="n"/>
      <c r="B17" s="17" t="n"/>
      <c r="C17" s="85" t="n"/>
      <c r="D17" s="85" t="n"/>
      <c r="E17" s="16">
        <f>IF($A17="","",$A17&amp;"|"&amp;DAY($B17))</f>
        <v/>
      </c>
      <c r="F17" s="16">
        <f>IF($A17="","",IF(COUNTIF(設定!$B$64:$B$203,$A17)=0,"⚠ 查無員編",IF(COUNTIF($E$3:$E$502,$E17)&gt;1,"⚠ 重複打卡","OK")))</f>
        <v/>
      </c>
    </row>
    <row r="18">
      <c r="A18" s="19" t="n"/>
      <c r="B18" s="17" t="n"/>
      <c r="C18" s="85" t="n"/>
      <c r="D18" s="85" t="n"/>
      <c r="E18" s="16">
        <f>IF($A18="","",$A18&amp;"|"&amp;DAY($B18))</f>
        <v/>
      </c>
      <c r="F18" s="16">
        <f>IF($A18="","",IF(COUNTIF(設定!$B$64:$B$203,$A18)=0,"⚠ 查無員編",IF(COUNTIF($E$3:$E$502,$E18)&gt;1,"⚠ 重複打卡","OK")))</f>
        <v/>
      </c>
    </row>
    <row r="19">
      <c r="A19" s="19" t="n"/>
      <c r="B19" s="17" t="n"/>
      <c r="C19" s="85" t="n"/>
      <c r="D19" s="85" t="n"/>
      <c r="E19" s="16">
        <f>IF($A19="","",$A19&amp;"|"&amp;DAY($B19))</f>
        <v/>
      </c>
      <c r="F19" s="16">
        <f>IF($A19="","",IF(COUNTIF(設定!$B$64:$B$203,$A19)=0,"⚠ 查無員編",IF(COUNTIF($E$3:$E$502,$E19)&gt;1,"⚠ 重複打卡","OK")))</f>
        <v/>
      </c>
    </row>
    <row r="20">
      <c r="A20" s="19" t="n"/>
      <c r="B20" s="17" t="n"/>
      <c r="C20" s="85" t="n"/>
      <c r="D20" s="85" t="n"/>
      <c r="E20" s="16">
        <f>IF($A20="","",$A20&amp;"|"&amp;DAY($B20))</f>
        <v/>
      </c>
      <c r="F20" s="16">
        <f>IF($A20="","",IF(COUNTIF(設定!$B$64:$B$203,$A20)=0,"⚠ 查無員編",IF(COUNTIF($E$3:$E$502,$E20)&gt;1,"⚠ 重複打卡","OK")))</f>
        <v/>
      </c>
    </row>
    <row r="21">
      <c r="A21" s="19" t="n"/>
      <c r="B21" s="17" t="n"/>
      <c r="C21" s="85" t="n"/>
      <c r="D21" s="85" t="n"/>
      <c r="E21" s="16">
        <f>IF($A21="","",$A21&amp;"|"&amp;DAY($B21))</f>
        <v/>
      </c>
      <c r="F21" s="16">
        <f>IF($A21="","",IF(COUNTIF(設定!$B$64:$B$203,$A21)=0,"⚠ 查無員編",IF(COUNTIF($E$3:$E$502,$E21)&gt;1,"⚠ 重複打卡","OK")))</f>
        <v/>
      </c>
    </row>
    <row r="22">
      <c r="A22" s="19" t="n"/>
      <c r="B22" s="17" t="n"/>
      <c r="C22" s="85" t="n"/>
      <c r="D22" s="85" t="n"/>
      <c r="E22" s="16">
        <f>IF($A22="","",$A22&amp;"|"&amp;DAY($B22))</f>
        <v/>
      </c>
      <c r="F22" s="16">
        <f>IF($A22="","",IF(COUNTIF(設定!$B$64:$B$203,$A22)=0,"⚠ 查無員編",IF(COUNTIF($E$3:$E$502,$E22)&gt;1,"⚠ 重複打卡","OK")))</f>
        <v/>
      </c>
    </row>
    <row r="23">
      <c r="A23" s="19" t="n"/>
      <c r="B23" s="17" t="n"/>
      <c r="C23" s="85" t="n"/>
      <c r="D23" s="85" t="n"/>
      <c r="E23" s="16">
        <f>IF($A23="","",$A23&amp;"|"&amp;DAY($B23))</f>
        <v/>
      </c>
      <c r="F23" s="16">
        <f>IF($A23="","",IF(COUNTIF(設定!$B$64:$B$203,$A23)=0,"⚠ 查無員編",IF(COUNTIF($E$3:$E$502,$E23)&gt;1,"⚠ 重複打卡","OK")))</f>
        <v/>
      </c>
    </row>
    <row r="24">
      <c r="A24" s="19" t="n"/>
      <c r="B24" s="17" t="n"/>
      <c r="C24" s="85" t="n"/>
      <c r="D24" s="85" t="n"/>
      <c r="E24" s="16">
        <f>IF($A24="","",$A24&amp;"|"&amp;DAY($B24))</f>
        <v/>
      </c>
      <c r="F24" s="16">
        <f>IF($A24="","",IF(COUNTIF(設定!$B$64:$B$203,$A24)=0,"⚠ 查無員編",IF(COUNTIF($E$3:$E$502,$E24)&gt;1,"⚠ 重複打卡","OK")))</f>
        <v/>
      </c>
    </row>
    <row r="25">
      <c r="A25" s="19" t="n"/>
      <c r="B25" s="17" t="n"/>
      <c r="C25" s="85" t="n"/>
      <c r="D25" s="85" t="n"/>
      <c r="E25" s="16">
        <f>IF($A25="","",$A25&amp;"|"&amp;DAY($B25))</f>
        <v/>
      </c>
      <c r="F25" s="16">
        <f>IF($A25="","",IF(COUNTIF(設定!$B$64:$B$203,$A25)=0,"⚠ 查無員編",IF(COUNTIF($E$3:$E$502,$E25)&gt;1,"⚠ 重複打卡","OK")))</f>
        <v/>
      </c>
    </row>
    <row r="26">
      <c r="A26" s="19" t="n"/>
      <c r="B26" s="17" t="n"/>
      <c r="C26" s="85" t="n"/>
      <c r="D26" s="85" t="n"/>
      <c r="E26" s="16">
        <f>IF($A26="","",$A26&amp;"|"&amp;DAY($B26))</f>
        <v/>
      </c>
      <c r="F26" s="16">
        <f>IF($A26="","",IF(COUNTIF(設定!$B$64:$B$203,$A26)=0,"⚠ 查無員編",IF(COUNTIF($E$3:$E$502,$E26)&gt;1,"⚠ 重複打卡","OK")))</f>
        <v/>
      </c>
    </row>
    <row r="27">
      <c r="A27" s="19" t="n"/>
      <c r="B27" s="17" t="n"/>
      <c r="C27" s="85" t="n"/>
      <c r="D27" s="85" t="n"/>
      <c r="E27" s="16">
        <f>IF($A27="","",$A27&amp;"|"&amp;DAY($B27))</f>
        <v/>
      </c>
      <c r="F27" s="16">
        <f>IF($A27="","",IF(COUNTIF(設定!$B$64:$B$203,$A27)=0,"⚠ 查無員編",IF(COUNTIF($E$3:$E$502,$E27)&gt;1,"⚠ 重複打卡","OK")))</f>
        <v/>
      </c>
    </row>
    <row r="28">
      <c r="A28" s="19" t="n"/>
      <c r="B28" s="17" t="n"/>
      <c r="C28" s="85" t="n"/>
      <c r="D28" s="85" t="n"/>
      <c r="E28" s="16">
        <f>IF($A28="","",$A28&amp;"|"&amp;DAY($B28))</f>
        <v/>
      </c>
      <c r="F28" s="16">
        <f>IF($A28="","",IF(COUNTIF(設定!$B$64:$B$203,$A28)=0,"⚠ 查無員編",IF(COUNTIF($E$3:$E$502,$E28)&gt;1,"⚠ 重複打卡","OK")))</f>
        <v/>
      </c>
    </row>
    <row r="29">
      <c r="A29" s="19" t="n"/>
      <c r="B29" s="17" t="n"/>
      <c r="C29" s="85" t="n"/>
      <c r="D29" s="85" t="n"/>
      <c r="E29" s="16">
        <f>IF($A29="","",$A29&amp;"|"&amp;DAY($B29))</f>
        <v/>
      </c>
      <c r="F29" s="16">
        <f>IF($A29="","",IF(COUNTIF(設定!$B$64:$B$203,$A29)=0,"⚠ 查無員編",IF(COUNTIF($E$3:$E$502,$E29)&gt;1,"⚠ 重複打卡","OK")))</f>
        <v/>
      </c>
    </row>
    <row r="30">
      <c r="A30" s="19" t="n"/>
      <c r="B30" s="17" t="n"/>
      <c r="C30" s="85" t="n"/>
      <c r="D30" s="85" t="n"/>
      <c r="E30" s="16">
        <f>IF($A30="","",$A30&amp;"|"&amp;DAY($B30))</f>
        <v/>
      </c>
      <c r="F30" s="16">
        <f>IF($A30="","",IF(COUNTIF(設定!$B$64:$B$203,$A30)=0,"⚠ 查無員編",IF(COUNTIF($E$3:$E$502,$E30)&gt;1,"⚠ 重複打卡","OK")))</f>
        <v/>
      </c>
    </row>
    <row r="31">
      <c r="A31" s="19" t="n"/>
      <c r="B31" s="17" t="n"/>
      <c r="C31" s="85" t="n"/>
      <c r="D31" s="85" t="n"/>
      <c r="E31" s="16">
        <f>IF($A31="","",$A31&amp;"|"&amp;DAY($B31))</f>
        <v/>
      </c>
      <c r="F31" s="16">
        <f>IF($A31="","",IF(COUNTIF(設定!$B$64:$B$203,$A31)=0,"⚠ 查無員編",IF(COUNTIF($E$3:$E$502,$E31)&gt;1,"⚠ 重複打卡","OK")))</f>
        <v/>
      </c>
    </row>
    <row r="32">
      <c r="A32" s="19" t="n"/>
      <c r="B32" s="17" t="n"/>
      <c r="C32" s="85" t="n"/>
      <c r="D32" s="85" t="n"/>
      <c r="E32" s="16">
        <f>IF($A32="","",$A32&amp;"|"&amp;DAY($B32))</f>
        <v/>
      </c>
      <c r="F32" s="16">
        <f>IF($A32="","",IF(COUNTIF(設定!$B$64:$B$203,$A32)=0,"⚠ 查無員編",IF(COUNTIF($E$3:$E$502,$E32)&gt;1,"⚠ 重複打卡","OK")))</f>
        <v/>
      </c>
    </row>
    <row r="33">
      <c r="A33" s="19" t="n"/>
      <c r="B33" s="17" t="n"/>
      <c r="C33" s="85" t="n"/>
      <c r="D33" s="85" t="n"/>
      <c r="E33" s="16">
        <f>IF($A33="","",$A33&amp;"|"&amp;DAY($B33))</f>
        <v/>
      </c>
      <c r="F33" s="16">
        <f>IF($A33="","",IF(COUNTIF(設定!$B$64:$B$203,$A33)=0,"⚠ 查無員編",IF(COUNTIF($E$3:$E$502,$E33)&gt;1,"⚠ 重複打卡","OK")))</f>
        <v/>
      </c>
    </row>
    <row r="34">
      <c r="A34" s="19" t="n"/>
      <c r="B34" s="17" t="n"/>
      <c r="C34" s="85" t="n"/>
      <c r="D34" s="85" t="n"/>
      <c r="E34" s="16">
        <f>IF($A34="","",$A34&amp;"|"&amp;DAY($B34))</f>
        <v/>
      </c>
      <c r="F34" s="16">
        <f>IF($A34="","",IF(COUNTIF(設定!$B$64:$B$203,$A34)=0,"⚠ 查無員編",IF(COUNTIF($E$3:$E$502,$E34)&gt;1,"⚠ 重複打卡","OK")))</f>
        <v/>
      </c>
    </row>
    <row r="35">
      <c r="A35" s="19" t="n"/>
      <c r="B35" s="17" t="n"/>
      <c r="C35" s="85" t="n"/>
      <c r="D35" s="85" t="n"/>
      <c r="E35" s="16">
        <f>IF($A35="","",$A35&amp;"|"&amp;DAY($B35))</f>
        <v/>
      </c>
      <c r="F35" s="16">
        <f>IF($A35="","",IF(COUNTIF(設定!$B$64:$B$203,$A35)=0,"⚠ 查無員編",IF(COUNTIF($E$3:$E$502,$E35)&gt;1,"⚠ 重複打卡","OK")))</f>
        <v/>
      </c>
    </row>
    <row r="36">
      <c r="A36" s="19" t="n"/>
      <c r="B36" s="17" t="n"/>
      <c r="C36" s="85" t="n"/>
      <c r="D36" s="85" t="n"/>
      <c r="E36" s="16">
        <f>IF($A36="","",$A36&amp;"|"&amp;DAY($B36))</f>
        <v/>
      </c>
      <c r="F36" s="16">
        <f>IF($A36="","",IF(COUNTIF(設定!$B$64:$B$203,$A36)=0,"⚠ 查無員編",IF(COUNTIF($E$3:$E$502,$E36)&gt;1,"⚠ 重複打卡","OK")))</f>
        <v/>
      </c>
    </row>
    <row r="37">
      <c r="A37" s="19" t="n"/>
      <c r="B37" s="17" t="n"/>
      <c r="C37" s="85" t="n"/>
      <c r="D37" s="85" t="n"/>
      <c r="E37" s="16">
        <f>IF($A37="","",$A37&amp;"|"&amp;DAY($B37))</f>
        <v/>
      </c>
      <c r="F37" s="16">
        <f>IF($A37="","",IF(COUNTIF(設定!$B$64:$B$203,$A37)=0,"⚠ 查無員編",IF(COUNTIF($E$3:$E$502,$E37)&gt;1,"⚠ 重複打卡","OK")))</f>
        <v/>
      </c>
    </row>
    <row r="38">
      <c r="A38" s="19" t="n"/>
      <c r="B38" s="17" t="n"/>
      <c r="C38" s="85" t="n"/>
      <c r="D38" s="85" t="n"/>
      <c r="E38" s="16">
        <f>IF($A38="","",$A38&amp;"|"&amp;DAY($B38))</f>
        <v/>
      </c>
      <c r="F38" s="16">
        <f>IF($A38="","",IF(COUNTIF(設定!$B$64:$B$203,$A38)=0,"⚠ 查無員編",IF(COUNTIF($E$3:$E$502,$E38)&gt;1,"⚠ 重複打卡","OK")))</f>
        <v/>
      </c>
    </row>
    <row r="39">
      <c r="A39" s="19" t="n"/>
      <c r="B39" s="17" t="n"/>
      <c r="C39" s="85" t="n"/>
      <c r="D39" s="85" t="n"/>
      <c r="E39" s="16">
        <f>IF($A39="","",$A39&amp;"|"&amp;DAY($B39))</f>
        <v/>
      </c>
      <c r="F39" s="16">
        <f>IF($A39="","",IF(COUNTIF(設定!$B$64:$B$203,$A39)=0,"⚠ 查無員編",IF(COUNTIF($E$3:$E$502,$E39)&gt;1,"⚠ 重複打卡","OK")))</f>
        <v/>
      </c>
    </row>
    <row r="40">
      <c r="A40" s="19" t="n"/>
      <c r="B40" s="17" t="n"/>
      <c r="C40" s="85" t="n"/>
      <c r="D40" s="85" t="n"/>
      <c r="E40" s="16">
        <f>IF($A40="","",$A40&amp;"|"&amp;DAY($B40))</f>
        <v/>
      </c>
      <c r="F40" s="16">
        <f>IF($A40="","",IF(COUNTIF(設定!$B$64:$B$203,$A40)=0,"⚠ 查無員編",IF(COUNTIF($E$3:$E$502,$E40)&gt;1,"⚠ 重複打卡","OK")))</f>
        <v/>
      </c>
    </row>
    <row r="41">
      <c r="A41" s="19" t="n"/>
      <c r="B41" s="17" t="n"/>
      <c r="C41" s="85" t="n"/>
      <c r="D41" s="85" t="n"/>
      <c r="E41" s="16">
        <f>IF($A41="","",$A41&amp;"|"&amp;DAY($B41))</f>
        <v/>
      </c>
      <c r="F41" s="16">
        <f>IF($A41="","",IF(COUNTIF(設定!$B$64:$B$203,$A41)=0,"⚠ 查無員編",IF(COUNTIF($E$3:$E$502,$E41)&gt;1,"⚠ 重複打卡","OK")))</f>
        <v/>
      </c>
    </row>
    <row r="42">
      <c r="A42" s="19" t="n"/>
      <c r="B42" s="17" t="n"/>
      <c r="C42" s="85" t="n"/>
      <c r="D42" s="85" t="n"/>
      <c r="E42" s="16">
        <f>IF($A42="","",$A42&amp;"|"&amp;DAY($B42))</f>
        <v/>
      </c>
      <c r="F42" s="16">
        <f>IF($A42="","",IF(COUNTIF(設定!$B$64:$B$203,$A42)=0,"⚠ 查無員編",IF(COUNTIF($E$3:$E$502,$E42)&gt;1,"⚠ 重複打卡","OK")))</f>
        <v/>
      </c>
    </row>
    <row r="43">
      <c r="A43" s="19" t="n"/>
      <c r="B43" s="17" t="n"/>
      <c r="C43" s="85" t="n"/>
      <c r="D43" s="85" t="n"/>
      <c r="E43" s="16">
        <f>IF($A43="","",$A43&amp;"|"&amp;DAY($B43))</f>
        <v/>
      </c>
      <c r="F43" s="16">
        <f>IF($A43="","",IF(COUNTIF(設定!$B$64:$B$203,$A43)=0,"⚠ 查無員編",IF(COUNTIF($E$3:$E$502,$E43)&gt;1,"⚠ 重複打卡","OK")))</f>
        <v/>
      </c>
    </row>
    <row r="44">
      <c r="A44" s="19" t="n"/>
      <c r="B44" s="17" t="n"/>
      <c r="C44" s="85" t="n"/>
      <c r="D44" s="85" t="n"/>
      <c r="E44" s="16">
        <f>IF($A44="","",$A44&amp;"|"&amp;DAY($B44))</f>
        <v/>
      </c>
      <c r="F44" s="16">
        <f>IF($A44="","",IF(COUNTIF(設定!$B$64:$B$203,$A44)=0,"⚠ 查無員編",IF(COUNTIF($E$3:$E$502,$E44)&gt;1,"⚠ 重複打卡","OK")))</f>
        <v/>
      </c>
    </row>
    <row r="45">
      <c r="A45" s="19" t="n"/>
      <c r="B45" s="17" t="n"/>
      <c r="C45" s="85" t="n"/>
      <c r="D45" s="85" t="n"/>
      <c r="E45" s="16">
        <f>IF($A45="","",$A45&amp;"|"&amp;DAY($B45))</f>
        <v/>
      </c>
      <c r="F45" s="16">
        <f>IF($A45="","",IF(COUNTIF(設定!$B$64:$B$203,$A45)=0,"⚠ 查無員編",IF(COUNTIF($E$3:$E$502,$E45)&gt;1,"⚠ 重複打卡","OK")))</f>
        <v/>
      </c>
    </row>
    <row r="46">
      <c r="A46" s="19" t="n"/>
      <c r="B46" s="17" t="n"/>
      <c r="C46" s="85" t="n"/>
      <c r="D46" s="85" t="n"/>
      <c r="E46" s="16">
        <f>IF($A46="","",$A46&amp;"|"&amp;DAY($B46))</f>
        <v/>
      </c>
      <c r="F46" s="16">
        <f>IF($A46="","",IF(COUNTIF(設定!$B$64:$B$203,$A46)=0,"⚠ 查無員編",IF(COUNTIF($E$3:$E$502,$E46)&gt;1,"⚠ 重複打卡","OK")))</f>
        <v/>
      </c>
    </row>
    <row r="47">
      <c r="A47" s="19" t="n"/>
      <c r="B47" s="17" t="n"/>
      <c r="C47" s="85" t="n"/>
      <c r="D47" s="85" t="n"/>
      <c r="E47" s="16">
        <f>IF($A47="","",$A47&amp;"|"&amp;DAY($B47))</f>
        <v/>
      </c>
      <c r="F47" s="16">
        <f>IF($A47="","",IF(COUNTIF(設定!$B$64:$B$203,$A47)=0,"⚠ 查無員編",IF(COUNTIF($E$3:$E$502,$E47)&gt;1,"⚠ 重複打卡","OK")))</f>
        <v/>
      </c>
    </row>
    <row r="48">
      <c r="A48" s="19" t="n"/>
      <c r="B48" s="17" t="n"/>
      <c r="C48" s="85" t="n"/>
      <c r="D48" s="85" t="n"/>
      <c r="E48" s="16">
        <f>IF($A48="","",$A48&amp;"|"&amp;DAY($B48))</f>
        <v/>
      </c>
      <c r="F48" s="16">
        <f>IF($A48="","",IF(COUNTIF(設定!$B$64:$B$203,$A48)=0,"⚠ 查無員編",IF(COUNTIF($E$3:$E$502,$E48)&gt;1,"⚠ 重複打卡","OK")))</f>
        <v/>
      </c>
    </row>
    <row r="49">
      <c r="A49" s="19" t="n"/>
      <c r="B49" s="17" t="n"/>
      <c r="C49" s="85" t="n"/>
      <c r="D49" s="85" t="n"/>
      <c r="E49" s="16">
        <f>IF($A49="","",$A49&amp;"|"&amp;DAY($B49))</f>
        <v/>
      </c>
      <c r="F49" s="16">
        <f>IF($A49="","",IF(COUNTIF(設定!$B$64:$B$203,$A49)=0,"⚠ 查無員編",IF(COUNTIF($E$3:$E$502,$E49)&gt;1,"⚠ 重複打卡","OK")))</f>
        <v/>
      </c>
    </row>
    <row r="50">
      <c r="A50" s="19" t="n"/>
      <c r="B50" s="17" t="n"/>
      <c r="C50" s="85" t="n"/>
      <c r="D50" s="85" t="n"/>
      <c r="E50" s="16">
        <f>IF($A50="","",$A50&amp;"|"&amp;DAY($B50))</f>
        <v/>
      </c>
      <c r="F50" s="16">
        <f>IF($A50="","",IF(COUNTIF(設定!$B$64:$B$203,$A50)=0,"⚠ 查無員編",IF(COUNTIF($E$3:$E$502,$E50)&gt;1,"⚠ 重複打卡","OK")))</f>
        <v/>
      </c>
    </row>
    <row r="51">
      <c r="A51" s="19" t="n"/>
      <c r="B51" s="17" t="n"/>
      <c r="C51" s="85" t="n"/>
      <c r="D51" s="85" t="n"/>
      <c r="E51" s="16">
        <f>IF($A51="","",$A51&amp;"|"&amp;DAY($B51))</f>
        <v/>
      </c>
      <c r="F51" s="16">
        <f>IF($A51="","",IF(COUNTIF(設定!$B$64:$B$203,$A51)=0,"⚠ 查無員編",IF(COUNTIF($E$3:$E$502,$E51)&gt;1,"⚠ 重複打卡","OK")))</f>
        <v/>
      </c>
    </row>
    <row r="52">
      <c r="A52" s="19" t="n"/>
      <c r="B52" s="17" t="n"/>
      <c r="C52" s="85" t="n"/>
      <c r="D52" s="85" t="n"/>
      <c r="E52" s="16">
        <f>IF($A52="","",$A52&amp;"|"&amp;DAY($B52))</f>
        <v/>
      </c>
      <c r="F52" s="16">
        <f>IF($A52="","",IF(COUNTIF(設定!$B$64:$B$203,$A52)=0,"⚠ 查無員編",IF(COUNTIF($E$3:$E$502,$E52)&gt;1,"⚠ 重複打卡","OK")))</f>
        <v/>
      </c>
    </row>
    <row r="53">
      <c r="A53" s="19" t="n"/>
      <c r="B53" s="17" t="n"/>
      <c r="C53" s="85" t="n"/>
      <c r="D53" s="85" t="n"/>
      <c r="E53" s="16">
        <f>IF($A53="","",$A53&amp;"|"&amp;DAY($B53))</f>
        <v/>
      </c>
      <c r="F53" s="16">
        <f>IF($A53="","",IF(COUNTIF(設定!$B$64:$B$203,$A53)=0,"⚠ 查無員編",IF(COUNTIF($E$3:$E$502,$E53)&gt;1,"⚠ 重複打卡","OK")))</f>
        <v/>
      </c>
    </row>
    <row r="54">
      <c r="A54" s="19" t="n"/>
      <c r="B54" s="17" t="n"/>
      <c r="C54" s="85" t="n"/>
      <c r="D54" s="85" t="n"/>
      <c r="E54" s="16">
        <f>IF($A54="","",$A54&amp;"|"&amp;DAY($B54))</f>
        <v/>
      </c>
      <c r="F54" s="16">
        <f>IF($A54="","",IF(COUNTIF(設定!$B$64:$B$203,$A54)=0,"⚠ 查無員編",IF(COUNTIF($E$3:$E$502,$E54)&gt;1,"⚠ 重複打卡","OK")))</f>
        <v/>
      </c>
    </row>
    <row r="55">
      <c r="A55" s="19" t="n"/>
      <c r="B55" s="17" t="n"/>
      <c r="C55" s="85" t="n"/>
      <c r="D55" s="85" t="n"/>
      <c r="E55" s="16">
        <f>IF($A55="","",$A55&amp;"|"&amp;DAY($B55))</f>
        <v/>
      </c>
      <c r="F55" s="16">
        <f>IF($A55="","",IF(COUNTIF(設定!$B$64:$B$203,$A55)=0,"⚠ 查無員編",IF(COUNTIF($E$3:$E$502,$E55)&gt;1,"⚠ 重複打卡","OK")))</f>
        <v/>
      </c>
    </row>
    <row r="56">
      <c r="A56" s="19" t="n"/>
      <c r="B56" s="17" t="n"/>
      <c r="C56" s="85" t="n"/>
      <c r="D56" s="85" t="n"/>
      <c r="E56" s="16">
        <f>IF($A56="","",$A56&amp;"|"&amp;DAY($B56))</f>
        <v/>
      </c>
      <c r="F56" s="16">
        <f>IF($A56="","",IF(COUNTIF(設定!$B$64:$B$203,$A56)=0,"⚠ 查無員編",IF(COUNTIF($E$3:$E$502,$E56)&gt;1,"⚠ 重複打卡","OK")))</f>
        <v/>
      </c>
    </row>
    <row r="57">
      <c r="A57" s="19" t="n"/>
      <c r="B57" s="17" t="n"/>
      <c r="C57" s="85" t="n"/>
      <c r="D57" s="85" t="n"/>
      <c r="E57" s="16">
        <f>IF($A57="","",$A57&amp;"|"&amp;DAY($B57))</f>
        <v/>
      </c>
      <c r="F57" s="16">
        <f>IF($A57="","",IF(COUNTIF(設定!$B$64:$B$203,$A57)=0,"⚠ 查無員編",IF(COUNTIF($E$3:$E$502,$E57)&gt;1,"⚠ 重複打卡","OK")))</f>
        <v/>
      </c>
    </row>
    <row r="58">
      <c r="A58" s="19" t="n"/>
      <c r="B58" s="17" t="n"/>
      <c r="C58" s="85" t="n"/>
      <c r="D58" s="85" t="n"/>
      <c r="E58" s="16">
        <f>IF($A58="","",$A58&amp;"|"&amp;DAY($B58))</f>
        <v/>
      </c>
      <c r="F58" s="16">
        <f>IF($A58="","",IF(COUNTIF(設定!$B$64:$B$203,$A58)=0,"⚠ 查無員編",IF(COUNTIF($E$3:$E$502,$E58)&gt;1,"⚠ 重複打卡","OK")))</f>
        <v/>
      </c>
    </row>
    <row r="59">
      <c r="A59" s="19" t="n"/>
      <c r="B59" s="17" t="n"/>
      <c r="C59" s="85" t="n"/>
      <c r="D59" s="85" t="n"/>
      <c r="E59" s="16">
        <f>IF($A59="","",$A59&amp;"|"&amp;DAY($B59))</f>
        <v/>
      </c>
      <c r="F59" s="16">
        <f>IF($A59="","",IF(COUNTIF(設定!$B$64:$B$203,$A59)=0,"⚠ 查無員編",IF(COUNTIF($E$3:$E$502,$E59)&gt;1,"⚠ 重複打卡","OK")))</f>
        <v/>
      </c>
    </row>
    <row r="60">
      <c r="A60" s="19" t="n"/>
      <c r="B60" s="17" t="n"/>
      <c r="C60" s="85" t="n"/>
      <c r="D60" s="85" t="n"/>
      <c r="E60" s="16">
        <f>IF($A60="","",$A60&amp;"|"&amp;DAY($B60))</f>
        <v/>
      </c>
      <c r="F60" s="16">
        <f>IF($A60="","",IF(COUNTIF(設定!$B$64:$B$203,$A60)=0,"⚠ 查無員編",IF(COUNTIF($E$3:$E$502,$E60)&gt;1,"⚠ 重複打卡","OK")))</f>
        <v/>
      </c>
    </row>
    <row r="61">
      <c r="A61" s="19" t="n"/>
      <c r="B61" s="17" t="n"/>
      <c r="C61" s="85" t="n"/>
      <c r="D61" s="85" t="n"/>
      <c r="E61" s="16">
        <f>IF($A61="","",$A61&amp;"|"&amp;DAY($B61))</f>
        <v/>
      </c>
      <c r="F61" s="16">
        <f>IF($A61="","",IF(COUNTIF(設定!$B$64:$B$203,$A61)=0,"⚠ 查無員編",IF(COUNTIF($E$3:$E$502,$E61)&gt;1,"⚠ 重複打卡","OK")))</f>
        <v/>
      </c>
    </row>
    <row r="62">
      <c r="A62" s="19" t="n"/>
      <c r="B62" s="17" t="n"/>
      <c r="C62" s="85" t="n"/>
      <c r="D62" s="85" t="n"/>
      <c r="E62" s="16">
        <f>IF($A62="","",$A62&amp;"|"&amp;DAY($B62))</f>
        <v/>
      </c>
      <c r="F62" s="16">
        <f>IF($A62="","",IF(COUNTIF(設定!$B$64:$B$203,$A62)=0,"⚠ 查無員編",IF(COUNTIF($E$3:$E$502,$E62)&gt;1,"⚠ 重複打卡","OK")))</f>
        <v/>
      </c>
    </row>
    <row r="63">
      <c r="A63" s="19" t="n"/>
      <c r="B63" s="17" t="n"/>
      <c r="C63" s="85" t="n"/>
      <c r="D63" s="85" t="n"/>
      <c r="E63" s="16">
        <f>IF($A63="","",$A63&amp;"|"&amp;DAY($B63))</f>
        <v/>
      </c>
      <c r="F63" s="16">
        <f>IF($A63="","",IF(COUNTIF(設定!$B$64:$B$203,$A63)=0,"⚠ 查無員編",IF(COUNTIF($E$3:$E$502,$E63)&gt;1,"⚠ 重複打卡","OK")))</f>
        <v/>
      </c>
    </row>
    <row r="64">
      <c r="A64" s="19" t="n"/>
      <c r="B64" s="17" t="n"/>
      <c r="C64" s="85" t="n"/>
      <c r="D64" s="85" t="n"/>
      <c r="E64" s="16">
        <f>IF($A64="","",$A64&amp;"|"&amp;DAY($B64))</f>
        <v/>
      </c>
      <c r="F64" s="16">
        <f>IF($A64="","",IF(COUNTIF(設定!$B$64:$B$203,$A64)=0,"⚠ 查無員編",IF(COUNTIF($E$3:$E$502,$E64)&gt;1,"⚠ 重複打卡","OK")))</f>
        <v/>
      </c>
    </row>
    <row r="65">
      <c r="A65" s="19" t="n"/>
      <c r="B65" s="17" t="n"/>
      <c r="C65" s="85" t="n"/>
      <c r="D65" s="85" t="n"/>
      <c r="E65" s="16">
        <f>IF($A65="","",$A65&amp;"|"&amp;DAY($B65))</f>
        <v/>
      </c>
      <c r="F65" s="16">
        <f>IF($A65="","",IF(COUNTIF(設定!$B$64:$B$203,$A65)=0,"⚠ 查無員編",IF(COUNTIF($E$3:$E$502,$E65)&gt;1,"⚠ 重複打卡","OK")))</f>
        <v/>
      </c>
    </row>
    <row r="66">
      <c r="A66" s="19" t="n"/>
      <c r="B66" s="17" t="n"/>
      <c r="C66" s="85" t="n"/>
      <c r="D66" s="85" t="n"/>
      <c r="E66" s="16">
        <f>IF($A66="","",$A66&amp;"|"&amp;DAY($B66))</f>
        <v/>
      </c>
      <c r="F66" s="16">
        <f>IF($A66="","",IF(COUNTIF(設定!$B$64:$B$203,$A66)=0,"⚠ 查無員編",IF(COUNTIF($E$3:$E$502,$E66)&gt;1,"⚠ 重複打卡","OK")))</f>
        <v/>
      </c>
    </row>
    <row r="67">
      <c r="A67" s="19" t="n"/>
      <c r="B67" s="17" t="n"/>
      <c r="C67" s="85" t="n"/>
      <c r="D67" s="85" t="n"/>
      <c r="E67" s="16">
        <f>IF($A67="","",$A67&amp;"|"&amp;DAY($B67))</f>
        <v/>
      </c>
      <c r="F67" s="16">
        <f>IF($A67="","",IF(COUNTIF(設定!$B$64:$B$203,$A67)=0,"⚠ 查無員編",IF(COUNTIF($E$3:$E$502,$E67)&gt;1,"⚠ 重複打卡","OK")))</f>
        <v/>
      </c>
    </row>
    <row r="68">
      <c r="A68" s="19" t="n"/>
      <c r="B68" s="17" t="n"/>
      <c r="C68" s="85" t="n"/>
      <c r="D68" s="85" t="n"/>
      <c r="E68" s="16">
        <f>IF($A68="","",$A68&amp;"|"&amp;DAY($B68))</f>
        <v/>
      </c>
      <c r="F68" s="16">
        <f>IF($A68="","",IF(COUNTIF(設定!$B$64:$B$203,$A68)=0,"⚠ 查無員編",IF(COUNTIF($E$3:$E$502,$E68)&gt;1,"⚠ 重複打卡","OK")))</f>
        <v/>
      </c>
    </row>
    <row r="69">
      <c r="A69" s="19" t="n"/>
      <c r="B69" s="17" t="n"/>
      <c r="C69" s="85" t="n"/>
      <c r="D69" s="85" t="n"/>
      <c r="E69" s="16">
        <f>IF($A69="","",$A69&amp;"|"&amp;DAY($B69))</f>
        <v/>
      </c>
      <c r="F69" s="16">
        <f>IF($A69="","",IF(COUNTIF(設定!$B$64:$B$203,$A69)=0,"⚠ 查無員編",IF(COUNTIF($E$3:$E$502,$E69)&gt;1,"⚠ 重複打卡","OK")))</f>
        <v/>
      </c>
    </row>
    <row r="70">
      <c r="A70" s="19" t="n"/>
      <c r="B70" s="17" t="n"/>
      <c r="C70" s="85" t="n"/>
      <c r="D70" s="85" t="n"/>
      <c r="E70" s="16">
        <f>IF($A70="","",$A70&amp;"|"&amp;DAY($B70))</f>
        <v/>
      </c>
      <c r="F70" s="16">
        <f>IF($A70="","",IF(COUNTIF(設定!$B$64:$B$203,$A70)=0,"⚠ 查無員編",IF(COUNTIF($E$3:$E$502,$E70)&gt;1,"⚠ 重複打卡","OK")))</f>
        <v/>
      </c>
    </row>
    <row r="71">
      <c r="A71" s="19" t="n"/>
      <c r="B71" s="17" t="n"/>
      <c r="C71" s="85" t="n"/>
      <c r="D71" s="85" t="n"/>
      <c r="E71" s="16">
        <f>IF($A71="","",$A71&amp;"|"&amp;DAY($B71))</f>
        <v/>
      </c>
      <c r="F71" s="16">
        <f>IF($A71="","",IF(COUNTIF(設定!$B$64:$B$203,$A71)=0,"⚠ 查無員編",IF(COUNTIF($E$3:$E$502,$E71)&gt;1,"⚠ 重複打卡","OK")))</f>
        <v/>
      </c>
    </row>
    <row r="72">
      <c r="A72" s="19" t="n"/>
      <c r="B72" s="17" t="n"/>
      <c r="C72" s="85" t="n"/>
      <c r="D72" s="85" t="n"/>
      <c r="E72" s="16">
        <f>IF($A72="","",$A72&amp;"|"&amp;DAY($B72))</f>
        <v/>
      </c>
      <c r="F72" s="16">
        <f>IF($A72="","",IF(COUNTIF(設定!$B$64:$B$203,$A72)=0,"⚠ 查無員編",IF(COUNTIF($E$3:$E$502,$E72)&gt;1,"⚠ 重複打卡","OK")))</f>
        <v/>
      </c>
    </row>
    <row r="73">
      <c r="A73" s="19" t="n"/>
      <c r="B73" s="17" t="n"/>
      <c r="C73" s="85" t="n"/>
      <c r="D73" s="85" t="n"/>
      <c r="E73" s="16">
        <f>IF($A73="","",$A73&amp;"|"&amp;DAY($B73))</f>
        <v/>
      </c>
      <c r="F73" s="16">
        <f>IF($A73="","",IF(COUNTIF(設定!$B$64:$B$203,$A73)=0,"⚠ 查無員編",IF(COUNTIF($E$3:$E$502,$E73)&gt;1,"⚠ 重複打卡","OK")))</f>
        <v/>
      </c>
    </row>
    <row r="74">
      <c r="A74" s="19" t="n"/>
      <c r="B74" s="17" t="n"/>
      <c r="C74" s="85" t="n"/>
      <c r="D74" s="85" t="n"/>
      <c r="E74" s="16">
        <f>IF($A74="","",$A74&amp;"|"&amp;DAY($B74))</f>
        <v/>
      </c>
      <c r="F74" s="16">
        <f>IF($A74="","",IF(COUNTIF(設定!$B$64:$B$203,$A74)=0,"⚠ 查無員編",IF(COUNTIF($E$3:$E$502,$E74)&gt;1,"⚠ 重複打卡","OK")))</f>
        <v/>
      </c>
    </row>
    <row r="75">
      <c r="A75" s="19" t="n"/>
      <c r="B75" s="17" t="n"/>
      <c r="C75" s="85" t="n"/>
      <c r="D75" s="85" t="n"/>
      <c r="E75" s="16">
        <f>IF($A75="","",$A75&amp;"|"&amp;DAY($B75))</f>
        <v/>
      </c>
      <c r="F75" s="16">
        <f>IF($A75="","",IF(COUNTIF(設定!$B$64:$B$203,$A75)=0,"⚠ 查無員編",IF(COUNTIF($E$3:$E$502,$E75)&gt;1,"⚠ 重複打卡","OK")))</f>
        <v/>
      </c>
    </row>
    <row r="76">
      <c r="A76" s="19" t="n"/>
      <c r="B76" s="17" t="n"/>
      <c r="C76" s="85" t="n"/>
      <c r="D76" s="85" t="n"/>
      <c r="E76" s="16">
        <f>IF($A76="","",$A76&amp;"|"&amp;DAY($B76))</f>
        <v/>
      </c>
      <c r="F76" s="16">
        <f>IF($A76="","",IF(COUNTIF(設定!$B$64:$B$203,$A76)=0,"⚠ 查無員編",IF(COUNTIF($E$3:$E$502,$E76)&gt;1,"⚠ 重複打卡","OK")))</f>
        <v/>
      </c>
    </row>
    <row r="77">
      <c r="A77" s="19" t="n"/>
      <c r="B77" s="17" t="n"/>
      <c r="C77" s="85" t="n"/>
      <c r="D77" s="85" t="n"/>
      <c r="E77" s="16">
        <f>IF($A77="","",$A77&amp;"|"&amp;DAY($B77))</f>
        <v/>
      </c>
      <c r="F77" s="16">
        <f>IF($A77="","",IF(COUNTIF(設定!$B$64:$B$203,$A77)=0,"⚠ 查無員編",IF(COUNTIF($E$3:$E$502,$E77)&gt;1,"⚠ 重複打卡","OK")))</f>
        <v/>
      </c>
    </row>
    <row r="78">
      <c r="A78" s="19" t="n"/>
      <c r="B78" s="17" t="n"/>
      <c r="C78" s="85" t="n"/>
      <c r="D78" s="85" t="n"/>
      <c r="E78" s="16">
        <f>IF($A78="","",$A78&amp;"|"&amp;DAY($B78))</f>
        <v/>
      </c>
      <c r="F78" s="16">
        <f>IF($A78="","",IF(COUNTIF(設定!$B$64:$B$203,$A78)=0,"⚠ 查無員編",IF(COUNTIF($E$3:$E$502,$E78)&gt;1,"⚠ 重複打卡","OK")))</f>
        <v/>
      </c>
    </row>
    <row r="79">
      <c r="A79" s="19" t="n"/>
      <c r="B79" s="17" t="n"/>
      <c r="C79" s="85" t="n"/>
      <c r="D79" s="85" t="n"/>
      <c r="E79" s="16">
        <f>IF($A79="","",$A79&amp;"|"&amp;DAY($B79))</f>
        <v/>
      </c>
      <c r="F79" s="16">
        <f>IF($A79="","",IF(COUNTIF(設定!$B$64:$B$203,$A79)=0,"⚠ 查無員編",IF(COUNTIF($E$3:$E$502,$E79)&gt;1,"⚠ 重複打卡","OK")))</f>
        <v/>
      </c>
    </row>
    <row r="80">
      <c r="A80" s="19" t="n"/>
      <c r="B80" s="17" t="n"/>
      <c r="C80" s="85" t="n"/>
      <c r="D80" s="85" t="n"/>
      <c r="E80" s="16">
        <f>IF($A80="","",$A80&amp;"|"&amp;DAY($B80))</f>
        <v/>
      </c>
      <c r="F80" s="16">
        <f>IF($A80="","",IF(COUNTIF(設定!$B$64:$B$203,$A80)=0,"⚠ 查無員編",IF(COUNTIF($E$3:$E$502,$E80)&gt;1,"⚠ 重複打卡","OK")))</f>
        <v/>
      </c>
    </row>
    <row r="81">
      <c r="A81" s="19" t="n"/>
      <c r="B81" s="17" t="n"/>
      <c r="C81" s="85" t="n"/>
      <c r="D81" s="85" t="n"/>
      <c r="E81" s="16">
        <f>IF($A81="","",$A81&amp;"|"&amp;DAY($B81))</f>
        <v/>
      </c>
      <c r="F81" s="16">
        <f>IF($A81="","",IF(COUNTIF(設定!$B$64:$B$203,$A81)=0,"⚠ 查無員編",IF(COUNTIF($E$3:$E$502,$E81)&gt;1,"⚠ 重複打卡","OK")))</f>
        <v/>
      </c>
    </row>
    <row r="82">
      <c r="A82" s="19" t="n"/>
      <c r="B82" s="17" t="n"/>
      <c r="C82" s="85" t="n"/>
      <c r="D82" s="85" t="n"/>
      <c r="E82" s="16">
        <f>IF($A82="","",$A82&amp;"|"&amp;DAY($B82))</f>
        <v/>
      </c>
      <c r="F82" s="16">
        <f>IF($A82="","",IF(COUNTIF(設定!$B$64:$B$203,$A82)=0,"⚠ 查無員編",IF(COUNTIF($E$3:$E$502,$E82)&gt;1,"⚠ 重複打卡","OK")))</f>
        <v/>
      </c>
    </row>
    <row r="83">
      <c r="A83" s="19" t="n"/>
      <c r="B83" s="17" t="n"/>
      <c r="C83" s="85" t="n"/>
      <c r="D83" s="85" t="n"/>
      <c r="E83" s="16">
        <f>IF($A83="","",$A83&amp;"|"&amp;DAY($B83))</f>
        <v/>
      </c>
      <c r="F83" s="16">
        <f>IF($A83="","",IF(COUNTIF(設定!$B$64:$B$203,$A83)=0,"⚠ 查無員編",IF(COUNTIF($E$3:$E$502,$E83)&gt;1,"⚠ 重複打卡","OK")))</f>
        <v/>
      </c>
    </row>
    <row r="84">
      <c r="A84" s="19" t="n"/>
      <c r="B84" s="17" t="n"/>
      <c r="C84" s="85" t="n"/>
      <c r="D84" s="85" t="n"/>
      <c r="E84" s="16">
        <f>IF($A84="","",$A84&amp;"|"&amp;DAY($B84))</f>
        <v/>
      </c>
      <c r="F84" s="16">
        <f>IF($A84="","",IF(COUNTIF(設定!$B$64:$B$203,$A84)=0,"⚠ 查無員編",IF(COUNTIF($E$3:$E$502,$E84)&gt;1,"⚠ 重複打卡","OK")))</f>
        <v/>
      </c>
    </row>
    <row r="85">
      <c r="A85" s="19" t="n"/>
      <c r="B85" s="17" t="n"/>
      <c r="C85" s="85" t="n"/>
      <c r="D85" s="85" t="n"/>
      <c r="E85" s="16">
        <f>IF($A85="","",$A85&amp;"|"&amp;DAY($B85))</f>
        <v/>
      </c>
      <c r="F85" s="16">
        <f>IF($A85="","",IF(COUNTIF(設定!$B$64:$B$203,$A85)=0,"⚠ 查無員編",IF(COUNTIF($E$3:$E$502,$E85)&gt;1,"⚠ 重複打卡","OK")))</f>
        <v/>
      </c>
    </row>
    <row r="86">
      <c r="A86" s="19" t="n"/>
      <c r="B86" s="17" t="n"/>
      <c r="C86" s="85" t="n"/>
      <c r="D86" s="85" t="n"/>
      <c r="E86" s="16">
        <f>IF($A86="","",$A86&amp;"|"&amp;DAY($B86))</f>
        <v/>
      </c>
      <c r="F86" s="16">
        <f>IF($A86="","",IF(COUNTIF(設定!$B$64:$B$203,$A86)=0,"⚠ 查無員編",IF(COUNTIF($E$3:$E$502,$E86)&gt;1,"⚠ 重複打卡","OK")))</f>
        <v/>
      </c>
    </row>
    <row r="87">
      <c r="A87" s="19" t="n"/>
      <c r="B87" s="17" t="n"/>
      <c r="C87" s="85" t="n"/>
      <c r="D87" s="85" t="n"/>
      <c r="E87" s="16">
        <f>IF($A87="","",$A87&amp;"|"&amp;DAY($B87))</f>
        <v/>
      </c>
      <c r="F87" s="16">
        <f>IF($A87="","",IF(COUNTIF(設定!$B$64:$B$203,$A87)=0,"⚠ 查無員編",IF(COUNTIF($E$3:$E$502,$E87)&gt;1,"⚠ 重複打卡","OK")))</f>
        <v/>
      </c>
    </row>
    <row r="88">
      <c r="A88" s="19" t="n"/>
      <c r="B88" s="17" t="n"/>
      <c r="C88" s="85" t="n"/>
      <c r="D88" s="85" t="n"/>
      <c r="E88" s="16">
        <f>IF($A88="","",$A88&amp;"|"&amp;DAY($B88))</f>
        <v/>
      </c>
      <c r="F88" s="16">
        <f>IF($A88="","",IF(COUNTIF(設定!$B$64:$B$203,$A88)=0,"⚠ 查無員編",IF(COUNTIF($E$3:$E$502,$E88)&gt;1,"⚠ 重複打卡","OK")))</f>
        <v/>
      </c>
    </row>
    <row r="89">
      <c r="A89" s="19" t="n"/>
      <c r="B89" s="17" t="n"/>
      <c r="C89" s="85" t="n"/>
      <c r="D89" s="85" t="n"/>
      <c r="E89" s="16">
        <f>IF($A89="","",$A89&amp;"|"&amp;DAY($B89))</f>
        <v/>
      </c>
      <c r="F89" s="16">
        <f>IF($A89="","",IF(COUNTIF(設定!$B$64:$B$203,$A89)=0,"⚠ 查無員編",IF(COUNTIF($E$3:$E$502,$E89)&gt;1,"⚠ 重複打卡","OK")))</f>
        <v/>
      </c>
    </row>
    <row r="90">
      <c r="A90" s="19" t="n"/>
      <c r="B90" s="17" t="n"/>
      <c r="C90" s="85" t="n"/>
      <c r="D90" s="85" t="n"/>
      <c r="E90" s="16">
        <f>IF($A90="","",$A90&amp;"|"&amp;DAY($B90))</f>
        <v/>
      </c>
      <c r="F90" s="16">
        <f>IF($A90="","",IF(COUNTIF(設定!$B$64:$B$203,$A90)=0,"⚠ 查無員編",IF(COUNTIF($E$3:$E$502,$E90)&gt;1,"⚠ 重複打卡","OK")))</f>
        <v/>
      </c>
    </row>
    <row r="91">
      <c r="A91" s="19" t="n"/>
      <c r="B91" s="17" t="n"/>
      <c r="C91" s="85" t="n"/>
      <c r="D91" s="85" t="n"/>
      <c r="E91" s="16">
        <f>IF($A91="","",$A91&amp;"|"&amp;DAY($B91))</f>
        <v/>
      </c>
      <c r="F91" s="16">
        <f>IF($A91="","",IF(COUNTIF(設定!$B$64:$B$203,$A91)=0,"⚠ 查無員編",IF(COUNTIF($E$3:$E$502,$E91)&gt;1,"⚠ 重複打卡","OK")))</f>
        <v/>
      </c>
    </row>
    <row r="92">
      <c r="A92" s="19" t="n"/>
      <c r="B92" s="17" t="n"/>
      <c r="C92" s="85" t="n"/>
      <c r="D92" s="85" t="n"/>
      <c r="E92" s="16">
        <f>IF($A92="","",$A92&amp;"|"&amp;DAY($B92))</f>
        <v/>
      </c>
      <c r="F92" s="16">
        <f>IF($A92="","",IF(COUNTIF(設定!$B$64:$B$203,$A92)=0,"⚠ 查無員編",IF(COUNTIF($E$3:$E$502,$E92)&gt;1,"⚠ 重複打卡","OK")))</f>
        <v/>
      </c>
    </row>
    <row r="93">
      <c r="A93" s="19" t="n"/>
      <c r="B93" s="17" t="n"/>
      <c r="C93" s="85" t="n"/>
      <c r="D93" s="85" t="n"/>
      <c r="E93" s="16">
        <f>IF($A93="","",$A93&amp;"|"&amp;DAY($B93))</f>
        <v/>
      </c>
      <c r="F93" s="16">
        <f>IF($A93="","",IF(COUNTIF(設定!$B$64:$B$203,$A93)=0,"⚠ 查無員編",IF(COUNTIF($E$3:$E$502,$E93)&gt;1,"⚠ 重複打卡","OK")))</f>
        <v/>
      </c>
    </row>
    <row r="94">
      <c r="A94" s="19" t="n"/>
      <c r="B94" s="17" t="n"/>
      <c r="C94" s="85" t="n"/>
      <c r="D94" s="85" t="n"/>
      <c r="E94" s="16">
        <f>IF($A94="","",$A94&amp;"|"&amp;DAY($B94))</f>
        <v/>
      </c>
      <c r="F94" s="16">
        <f>IF($A94="","",IF(COUNTIF(設定!$B$64:$B$203,$A94)=0,"⚠ 查無員編",IF(COUNTIF($E$3:$E$502,$E94)&gt;1,"⚠ 重複打卡","OK")))</f>
        <v/>
      </c>
    </row>
    <row r="95">
      <c r="A95" s="19" t="n"/>
      <c r="B95" s="17" t="n"/>
      <c r="C95" s="85" t="n"/>
      <c r="D95" s="85" t="n"/>
      <c r="E95" s="16">
        <f>IF($A95="","",$A95&amp;"|"&amp;DAY($B95))</f>
        <v/>
      </c>
      <c r="F95" s="16">
        <f>IF($A95="","",IF(COUNTIF(設定!$B$64:$B$203,$A95)=0,"⚠ 查無員編",IF(COUNTIF($E$3:$E$502,$E95)&gt;1,"⚠ 重複打卡","OK")))</f>
        <v/>
      </c>
    </row>
    <row r="96">
      <c r="A96" s="19" t="n"/>
      <c r="B96" s="17" t="n"/>
      <c r="C96" s="85" t="n"/>
      <c r="D96" s="85" t="n"/>
      <c r="E96" s="16">
        <f>IF($A96="","",$A96&amp;"|"&amp;DAY($B96))</f>
        <v/>
      </c>
      <c r="F96" s="16">
        <f>IF($A96="","",IF(COUNTIF(設定!$B$64:$B$203,$A96)=0,"⚠ 查無員編",IF(COUNTIF($E$3:$E$502,$E96)&gt;1,"⚠ 重複打卡","OK")))</f>
        <v/>
      </c>
    </row>
    <row r="97">
      <c r="A97" s="19" t="n"/>
      <c r="B97" s="17" t="n"/>
      <c r="C97" s="85" t="n"/>
      <c r="D97" s="85" t="n"/>
      <c r="E97" s="16">
        <f>IF($A97="","",$A97&amp;"|"&amp;DAY($B97))</f>
        <v/>
      </c>
      <c r="F97" s="16">
        <f>IF($A97="","",IF(COUNTIF(設定!$B$64:$B$203,$A97)=0,"⚠ 查無員編",IF(COUNTIF($E$3:$E$502,$E97)&gt;1,"⚠ 重複打卡","OK")))</f>
        <v/>
      </c>
    </row>
    <row r="98">
      <c r="A98" s="19" t="n"/>
      <c r="B98" s="17" t="n"/>
      <c r="C98" s="85" t="n"/>
      <c r="D98" s="85" t="n"/>
      <c r="E98" s="16">
        <f>IF($A98="","",$A98&amp;"|"&amp;DAY($B98))</f>
        <v/>
      </c>
      <c r="F98" s="16">
        <f>IF($A98="","",IF(COUNTIF(設定!$B$64:$B$203,$A98)=0,"⚠ 查無員編",IF(COUNTIF($E$3:$E$502,$E98)&gt;1,"⚠ 重複打卡","OK")))</f>
        <v/>
      </c>
    </row>
    <row r="99">
      <c r="A99" s="19" t="n"/>
      <c r="B99" s="17" t="n"/>
      <c r="C99" s="85" t="n"/>
      <c r="D99" s="85" t="n"/>
      <c r="E99" s="16">
        <f>IF($A99="","",$A99&amp;"|"&amp;DAY($B99))</f>
        <v/>
      </c>
      <c r="F99" s="16">
        <f>IF($A99="","",IF(COUNTIF(設定!$B$64:$B$203,$A99)=0,"⚠ 查無員編",IF(COUNTIF($E$3:$E$502,$E99)&gt;1,"⚠ 重複打卡","OK")))</f>
        <v/>
      </c>
    </row>
    <row r="100">
      <c r="A100" s="19" t="n"/>
      <c r="B100" s="17" t="n"/>
      <c r="C100" s="85" t="n"/>
      <c r="D100" s="85" t="n"/>
      <c r="E100" s="16">
        <f>IF($A100="","",$A100&amp;"|"&amp;DAY($B100))</f>
        <v/>
      </c>
      <c r="F100" s="16">
        <f>IF($A100="","",IF(COUNTIF(設定!$B$64:$B$203,$A100)=0,"⚠ 查無員編",IF(COUNTIF($E$3:$E$502,$E100)&gt;1,"⚠ 重複打卡","OK")))</f>
        <v/>
      </c>
    </row>
    <row r="101">
      <c r="A101" s="19" t="n"/>
      <c r="B101" s="17" t="n"/>
      <c r="C101" s="85" t="n"/>
      <c r="D101" s="85" t="n"/>
      <c r="E101" s="16">
        <f>IF($A101="","",$A101&amp;"|"&amp;DAY($B101))</f>
        <v/>
      </c>
      <c r="F101" s="16">
        <f>IF($A101="","",IF(COUNTIF(設定!$B$64:$B$203,$A101)=0,"⚠ 查無員編",IF(COUNTIF($E$3:$E$502,$E101)&gt;1,"⚠ 重複打卡","OK")))</f>
        <v/>
      </c>
    </row>
    <row r="102">
      <c r="A102" s="19" t="n"/>
      <c r="B102" s="17" t="n"/>
      <c r="C102" s="85" t="n"/>
      <c r="D102" s="85" t="n"/>
      <c r="E102" s="16">
        <f>IF($A102="","",$A102&amp;"|"&amp;DAY($B102))</f>
        <v/>
      </c>
      <c r="F102" s="16">
        <f>IF($A102="","",IF(COUNTIF(設定!$B$64:$B$203,$A102)=0,"⚠ 查無員編",IF(COUNTIF($E$3:$E$502,$E102)&gt;1,"⚠ 重複打卡","OK")))</f>
        <v/>
      </c>
    </row>
    <row r="103">
      <c r="A103" s="19" t="n"/>
      <c r="B103" s="17" t="n"/>
      <c r="C103" s="85" t="n"/>
      <c r="D103" s="85" t="n"/>
      <c r="E103" s="16">
        <f>IF($A103="","",$A103&amp;"|"&amp;DAY($B103))</f>
        <v/>
      </c>
      <c r="F103" s="16">
        <f>IF($A103="","",IF(COUNTIF(設定!$B$64:$B$203,$A103)=0,"⚠ 查無員編",IF(COUNTIF($E$3:$E$502,$E103)&gt;1,"⚠ 重複打卡","OK")))</f>
        <v/>
      </c>
    </row>
    <row r="104">
      <c r="A104" s="19" t="n"/>
      <c r="B104" s="17" t="n"/>
      <c r="C104" s="85" t="n"/>
      <c r="D104" s="85" t="n"/>
      <c r="E104" s="16">
        <f>IF($A104="","",$A104&amp;"|"&amp;DAY($B104))</f>
        <v/>
      </c>
      <c r="F104" s="16">
        <f>IF($A104="","",IF(COUNTIF(設定!$B$64:$B$203,$A104)=0,"⚠ 查無員編",IF(COUNTIF($E$3:$E$502,$E104)&gt;1,"⚠ 重複打卡","OK")))</f>
        <v/>
      </c>
    </row>
    <row r="105">
      <c r="A105" s="19" t="n"/>
      <c r="B105" s="17" t="n"/>
      <c r="C105" s="85" t="n"/>
      <c r="D105" s="85" t="n"/>
      <c r="E105" s="16">
        <f>IF($A105="","",$A105&amp;"|"&amp;DAY($B105))</f>
        <v/>
      </c>
      <c r="F105" s="16">
        <f>IF($A105="","",IF(COUNTIF(設定!$B$64:$B$203,$A105)=0,"⚠ 查無員編",IF(COUNTIF($E$3:$E$502,$E105)&gt;1,"⚠ 重複打卡","OK")))</f>
        <v/>
      </c>
    </row>
    <row r="106">
      <c r="A106" s="19" t="n"/>
      <c r="B106" s="17" t="n"/>
      <c r="C106" s="85" t="n"/>
      <c r="D106" s="85" t="n"/>
      <c r="E106" s="16">
        <f>IF($A106="","",$A106&amp;"|"&amp;DAY($B106))</f>
        <v/>
      </c>
      <c r="F106" s="16">
        <f>IF($A106="","",IF(COUNTIF(設定!$B$64:$B$203,$A106)=0,"⚠ 查無員編",IF(COUNTIF($E$3:$E$502,$E106)&gt;1,"⚠ 重複打卡","OK")))</f>
        <v/>
      </c>
    </row>
    <row r="107">
      <c r="A107" s="19" t="n"/>
      <c r="B107" s="17" t="n"/>
      <c r="C107" s="85" t="n"/>
      <c r="D107" s="85" t="n"/>
      <c r="E107" s="16">
        <f>IF($A107="","",$A107&amp;"|"&amp;DAY($B107))</f>
        <v/>
      </c>
      <c r="F107" s="16">
        <f>IF($A107="","",IF(COUNTIF(設定!$B$64:$B$203,$A107)=0,"⚠ 查無員編",IF(COUNTIF($E$3:$E$502,$E107)&gt;1,"⚠ 重複打卡","OK")))</f>
        <v/>
      </c>
    </row>
    <row r="108">
      <c r="A108" s="19" t="n"/>
      <c r="B108" s="17" t="n"/>
      <c r="C108" s="85" t="n"/>
      <c r="D108" s="85" t="n"/>
      <c r="E108" s="16">
        <f>IF($A108="","",$A108&amp;"|"&amp;DAY($B108))</f>
        <v/>
      </c>
      <c r="F108" s="16">
        <f>IF($A108="","",IF(COUNTIF(設定!$B$64:$B$203,$A108)=0,"⚠ 查無員編",IF(COUNTIF($E$3:$E$502,$E108)&gt;1,"⚠ 重複打卡","OK")))</f>
        <v/>
      </c>
    </row>
    <row r="109">
      <c r="A109" s="19" t="n"/>
      <c r="B109" s="17" t="n"/>
      <c r="C109" s="85" t="n"/>
      <c r="D109" s="85" t="n"/>
      <c r="E109" s="16">
        <f>IF($A109="","",$A109&amp;"|"&amp;DAY($B109))</f>
        <v/>
      </c>
      <c r="F109" s="16">
        <f>IF($A109="","",IF(COUNTIF(設定!$B$64:$B$203,$A109)=0,"⚠ 查無員編",IF(COUNTIF($E$3:$E$502,$E109)&gt;1,"⚠ 重複打卡","OK")))</f>
        <v/>
      </c>
    </row>
    <row r="110">
      <c r="A110" s="19" t="n"/>
      <c r="B110" s="17" t="n"/>
      <c r="C110" s="85" t="n"/>
      <c r="D110" s="85" t="n"/>
      <c r="E110" s="16">
        <f>IF($A110="","",$A110&amp;"|"&amp;DAY($B110))</f>
        <v/>
      </c>
      <c r="F110" s="16">
        <f>IF($A110="","",IF(COUNTIF(設定!$B$64:$B$203,$A110)=0,"⚠ 查無員編",IF(COUNTIF($E$3:$E$502,$E110)&gt;1,"⚠ 重複打卡","OK")))</f>
        <v/>
      </c>
    </row>
    <row r="111">
      <c r="A111" s="19" t="n"/>
      <c r="B111" s="17" t="n"/>
      <c r="C111" s="85" t="n"/>
      <c r="D111" s="85" t="n"/>
      <c r="E111" s="16">
        <f>IF($A111="","",$A111&amp;"|"&amp;DAY($B111))</f>
        <v/>
      </c>
      <c r="F111" s="16">
        <f>IF($A111="","",IF(COUNTIF(設定!$B$64:$B$203,$A111)=0,"⚠ 查無員編",IF(COUNTIF($E$3:$E$502,$E111)&gt;1,"⚠ 重複打卡","OK")))</f>
        <v/>
      </c>
    </row>
    <row r="112">
      <c r="A112" s="19" t="n"/>
      <c r="B112" s="17" t="n"/>
      <c r="C112" s="85" t="n"/>
      <c r="D112" s="85" t="n"/>
      <c r="E112" s="16">
        <f>IF($A112="","",$A112&amp;"|"&amp;DAY($B112))</f>
        <v/>
      </c>
      <c r="F112" s="16">
        <f>IF($A112="","",IF(COUNTIF(設定!$B$64:$B$203,$A112)=0,"⚠ 查無員編",IF(COUNTIF($E$3:$E$502,$E112)&gt;1,"⚠ 重複打卡","OK")))</f>
        <v/>
      </c>
    </row>
    <row r="113">
      <c r="A113" s="19" t="n"/>
      <c r="B113" s="17" t="n"/>
      <c r="C113" s="85" t="n"/>
      <c r="D113" s="85" t="n"/>
      <c r="E113" s="16">
        <f>IF($A113="","",$A113&amp;"|"&amp;DAY($B113))</f>
        <v/>
      </c>
      <c r="F113" s="16">
        <f>IF($A113="","",IF(COUNTIF(設定!$B$64:$B$203,$A113)=0,"⚠ 查無員編",IF(COUNTIF($E$3:$E$502,$E113)&gt;1,"⚠ 重複打卡","OK")))</f>
        <v/>
      </c>
    </row>
    <row r="114">
      <c r="A114" s="19" t="n"/>
      <c r="B114" s="17" t="n"/>
      <c r="C114" s="85" t="n"/>
      <c r="D114" s="85" t="n"/>
      <c r="E114" s="16">
        <f>IF($A114="","",$A114&amp;"|"&amp;DAY($B114))</f>
        <v/>
      </c>
      <c r="F114" s="16">
        <f>IF($A114="","",IF(COUNTIF(設定!$B$64:$B$203,$A114)=0,"⚠ 查無員編",IF(COUNTIF($E$3:$E$502,$E114)&gt;1,"⚠ 重複打卡","OK")))</f>
        <v/>
      </c>
    </row>
    <row r="115">
      <c r="A115" s="19" t="n"/>
      <c r="B115" s="17" t="n"/>
      <c r="C115" s="85" t="n"/>
      <c r="D115" s="85" t="n"/>
      <c r="E115" s="16">
        <f>IF($A115="","",$A115&amp;"|"&amp;DAY($B115))</f>
        <v/>
      </c>
      <c r="F115" s="16">
        <f>IF($A115="","",IF(COUNTIF(設定!$B$64:$B$203,$A115)=0,"⚠ 查無員編",IF(COUNTIF($E$3:$E$502,$E115)&gt;1,"⚠ 重複打卡","OK")))</f>
        <v/>
      </c>
    </row>
    <row r="116">
      <c r="A116" s="19" t="n"/>
      <c r="B116" s="17" t="n"/>
      <c r="C116" s="85" t="n"/>
      <c r="D116" s="85" t="n"/>
      <c r="E116" s="16">
        <f>IF($A116="","",$A116&amp;"|"&amp;DAY($B116))</f>
        <v/>
      </c>
      <c r="F116" s="16">
        <f>IF($A116="","",IF(COUNTIF(設定!$B$64:$B$203,$A116)=0,"⚠ 查無員編",IF(COUNTIF($E$3:$E$502,$E116)&gt;1,"⚠ 重複打卡","OK")))</f>
        <v/>
      </c>
    </row>
    <row r="117">
      <c r="A117" s="19" t="n"/>
      <c r="B117" s="17" t="n"/>
      <c r="C117" s="85" t="n"/>
      <c r="D117" s="85" t="n"/>
      <c r="E117" s="16">
        <f>IF($A117="","",$A117&amp;"|"&amp;DAY($B117))</f>
        <v/>
      </c>
      <c r="F117" s="16">
        <f>IF($A117="","",IF(COUNTIF(設定!$B$64:$B$203,$A117)=0,"⚠ 查無員編",IF(COUNTIF($E$3:$E$502,$E117)&gt;1,"⚠ 重複打卡","OK")))</f>
        <v/>
      </c>
    </row>
    <row r="118">
      <c r="A118" s="19" t="n"/>
      <c r="B118" s="17" t="n"/>
      <c r="C118" s="85" t="n"/>
      <c r="D118" s="85" t="n"/>
      <c r="E118" s="16">
        <f>IF($A118="","",$A118&amp;"|"&amp;DAY($B118))</f>
        <v/>
      </c>
      <c r="F118" s="16">
        <f>IF($A118="","",IF(COUNTIF(設定!$B$64:$B$203,$A118)=0,"⚠ 查無員編",IF(COUNTIF($E$3:$E$502,$E118)&gt;1,"⚠ 重複打卡","OK")))</f>
        <v/>
      </c>
    </row>
    <row r="119">
      <c r="A119" s="19" t="n"/>
      <c r="B119" s="17" t="n"/>
      <c r="C119" s="85" t="n"/>
      <c r="D119" s="85" t="n"/>
      <c r="E119" s="16">
        <f>IF($A119="","",$A119&amp;"|"&amp;DAY($B119))</f>
        <v/>
      </c>
      <c r="F119" s="16">
        <f>IF($A119="","",IF(COUNTIF(設定!$B$64:$B$203,$A119)=0,"⚠ 查無員編",IF(COUNTIF($E$3:$E$502,$E119)&gt;1,"⚠ 重複打卡","OK")))</f>
        <v/>
      </c>
    </row>
    <row r="120">
      <c r="A120" s="19" t="n"/>
      <c r="B120" s="17" t="n"/>
      <c r="C120" s="85" t="n"/>
      <c r="D120" s="85" t="n"/>
      <c r="E120" s="16">
        <f>IF($A120="","",$A120&amp;"|"&amp;DAY($B120))</f>
        <v/>
      </c>
      <c r="F120" s="16">
        <f>IF($A120="","",IF(COUNTIF(設定!$B$64:$B$203,$A120)=0,"⚠ 查無員編",IF(COUNTIF($E$3:$E$502,$E120)&gt;1,"⚠ 重複打卡","OK")))</f>
        <v/>
      </c>
    </row>
    <row r="121">
      <c r="A121" s="19" t="n"/>
      <c r="B121" s="17" t="n"/>
      <c r="C121" s="85" t="n"/>
      <c r="D121" s="85" t="n"/>
      <c r="E121" s="16">
        <f>IF($A121="","",$A121&amp;"|"&amp;DAY($B121))</f>
        <v/>
      </c>
      <c r="F121" s="16">
        <f>IF($A121="","",IF(COUNTIF(設定!$B$64:$B$203,$A121)=0,"⚠ 查無員編",IF(COUNTIF($E$3:$E$502,$E121)&gt;1,"⚠ 重複打卡","OK")))</f>
        <v/>
      </c>
    </row>
    <row r="122">
      <c r="A122" s="19" t="n"/>
      <c r="B122" s="17" t="n"/>
      <c r="C122" s="85" t="n"/>
      <c r="D122" s="85" t="n"/>
      <c r="E122" s="16">
        <f>IF($A122="","",$A122&amp;"|"&amp;DAY($B122))</f>
        <v/>
      </c>
      <c r="F122" s="16">
        <f>IF($A122="","",IF(COUNTIF(設定!$B$64:$B$203,$A122)=0,"⚠ 查無員編",IF(COUNTIF($E$3:$E$502,$E122)&gt;1,"⚠ 重複打卡","OK")))</f>
        <v/>
      </c>
    </row>
    <row r="123">
      <c r="A123" s="19" t="n"/>
      <c r="B123" s="17" t="n"/>
      <c r="C123" s="85" t="n"/>
      <c r="D123" s="85" t="n"/>
      <c r="E123" s="16">
        <f>IF($A123="","",$A123&amp;"|"&amp;DAY($B123))</f>
        <v/>
      </c>
      <c r="F123" s="16">
        <f>IF($A123="","",IF(COUNTIF(設定!$B$64:$B$203,$A123)=0,"⚠ 查無員編",IF(COUNTIF($E$3:$E$502,$E123)&gt;1,"⚠ 重複打卡","OK")))</f>
        <v/>
      </c>
    </row>
    <row r="124">
      <c r="A124" s="19" t="n"/>
      <c r="B124" s="17" t="n"/>
      <c r="C124" s="85" t="n"/>
      <c r="D124" s="85" t="n"/>
      <c r="E124" s="16">
        <f>IF($A124="","",$A124&amp;"|"&amp;DAY($B124))</f>
        <v/>
      </c>
      <c r="F124" s="16">
        <f>IF($A124="","",IF(COUNTIF(設定!$B$64:$B$203,$A124)=0,"⚠ 查無員編",IF(COUNTIF($E$3:$E$502,$E124)&gt;1,"⚠ 重複打卡","OK")))</f>
        <v/>
      </c>
    </row>
    <row r="125">
      <c r="A125" s="19" t="n"/>
      <c r="B125" s="17" t="n"/>
      <c r="C125" s="85" t="n"/>
      <c r="D125" s="85" t="n"/>
      <c r="E125" s="16">
        <f>IF($A125="","",$A125&amp;"|"&amp;DAY($B125))</f>
        <v/>
      </c>
      <c r="F125" s="16">
        <f>IF($A125="","",IF(COUNTIF(設定!$B$64:$B$203,$A125)=0,"⚠ 查無員編",IF(COUNTIF($E$3:$E$502,$E125)&gt;1,"⚠ 重複打卡","OK")))</f>
        <v/>
      </c>
    </row>
    <row r="126">
      <c r="A126" s="19" t="n"/>
      <c r="B126" s="17" t="n"/>
      <c r="C126" s="85" t="n"/>
      <c r="D126" s="85" t="n"/>
      <c r="E126" s="16">
        <f>IF($A126="","",$A126&amp;"|"&amp;DAY($B126))</f>
        <v/>
      </c>
      <c r="F126" s="16">
        <f>IF($A126="","",IF(COUNTIF(設定!$B$64:$B$203,$A126)=0,"⚠ 查無員編",IF(COUNTIF($E$3:$E$502,$E126)&gt;1,"⚠ 重複打卡","OK")))</f>
        <v/>
      </c>
    </row>
    <row r="127">
      <c r="A127" s="19" t="n"/>
      <c r="B127" s="17" t="n"/>
      <c r="C127" s="85" t="n"/>
      <c r="D127" s="85" t="n"/>
      <c r="E127" s="16">
        <f>IF($A127="","",$A127&amp;"|"&amp;DAY($B127))</f>
        <v/>
      </c>
      <c r="F127" s="16">
        <f>IF($A127="","",IF(COUNTIF(設定!$B$64:$B$203,$A127)=0,"⚠ 查無員編",IF(COUNTIF($E$3:$E$502,$E127)&gt;1,"⚠ 重複打卡","OK")))</f>
        <v/>
      </c>
    </row>
    <row r="128">
      <c r="A128" s="19" t="n"/>
      <c r="B128" s="17" t="n"/>
      <c r="C128" s="85" t="n"/>
      <c r="D128" s="85" t="n"/>
      <c r="E128" s="16">
        <f>IF($A128="","",$A128&amp;"|"&amp;DAY($B128))</f>
        <v/>
      </c>
      <c r="F128" s="16">
        <f>IF($A128="","",IF(COUNTIF(設定!$B$64:$B$203,$A128)=0,"⚠ 查無員編",IF(COUNTIF($E$3:$E$502,$E128)&gt;1,"⚠ 重複打卡","OK")))</f>
        <v/>
      </c>
    </row>
    <row r="129">
      <c r="A129" s="19" t="n"/>
      <c r="B129" s="17" t="n"/>
      <c r="C129" s="85" t="n"/>
      <c r="D129" s="85" t="n"/>
      <c r="E129" s="16">
        <f>IF($A129="","",$A129&amp;"|"&amp;DAY($B129))</f>
        <v/>
      </c>
      <c r="F129" s="16">
        <f>IF($A129="","",IF(COUNTIF(設定!$B$64:$B$203,$A129)=0,"⚠ 查無員編",IF(COUNTIF($E$3:$E$502,$E129)&gt;1,"⚠ 重複打卡","OK")))</f>
        <v/>
      </c>
    </row>
    <row r="130">
      <c r="A130" s="19" t="n"/>
      <c r="B130" s="17" t="n"/>
      <c r="C130" s="85" t="n"/>
      <c r="D130" s="85" t="n"/>
      <c r="E130" s="16">
        <f>IF($A130="","",$A130&amp;"|"&amp;DAY($B130))</f>
        <v/>
      </c>
      <c r="F130" s="16">
        <f>IF($A130="","",IF(COUNTIF(設定!$B$64:$B$203,$A130)=0,"⚠ 查無員編",IF(COUNTIF($E$3:$E$502,$E130)&gt;1,"⚠ 重複打卡","OK")))</f>
        <v/>
      </c>
    </row>
    <row r="131">
      <c r="A131" s="19" t="n"/>
      <c r="B131" s="17" t="n"/>
      <c r="C131" s="85" t="n"/>
      <c r="D131" s="85" t="n"/>
      <c r="E131" s="16">
        <f>IF($A131="","",$A131&amp;"|"&amp;DAY($B131))</f>
        <v/>
      </c>
      <c r="F131" s="16">
        <f>IF($A131="","",IF(COUNTIF(設定!$B$64:$B$203,$A131)=0,"⚠ 查無員編",IF(COUNTIF($E$3:$E$502,$E131)&gt;1,"⚠ 重複打卡","OK")))</f>
        <v/>
      </c>
    </row>
    <row r="132">
      <c r="A132" s="19" t="n"/>
      <c r="B132" s="17" t="n"/>
      <c r="C132" s="85" t="n"/>
      <c r="D132" s="85" t="n"/>
      <c r="E132" s="16">
        <f>IF($A132="","",$A132&amp;"|"&amp;DAY($B132))</f>
        <v/>
      </c>
      <c r="F132" s="16">
        <f>IF($A132="","",IF(COUNTIF(設定!$B$64:$B$203,$A132)=0,"⚠ 查無員編",IF(COUNTIF($E$3:$E$502,$E132)&gt;1,"⚠ 重複打卡","OK")))</f>
        <v/>
      </c>
    </row>
    <row r="133">
      <c r="A133" s="19" t="n"/>
      <c r="B133" s="17" t="n"/>
      <c r="C133" s="85" t="n"/>
      <c r="D133" s="85" t="n"/>
      <c r="E133" s="16">
        <f>IF($A133="","",$A133&amp;"|"&amp;DAY($B133))</f>
        <v/>
      </c>
      <c r="F133" s="16">
        <f>IF($A133="","",IF(COUNTIF(設定!$B$64:$B$203,$A133)=0,"⚠ 查無員編",IF(COUNTIF($E$3:$E$502,$E133)&gt;1,"⚠ 重複打卡","OK")))</f>
        <v/>
      </c>
    </row>
    <row r="134">
      <c r="A134" s="19" t="n"/>
      <c r="B134" s="17" t="n"/>
      <c r="C134" s="85" t="n"/>
      <c r="D134" s="85" t="n"/>
      <c r="E134" s="16">
        <f>IF($A134="","",$A134&amp;"|"&amp;DAY($B134))</f>
        <v/>
      </c>
      <c r="F134" s="16">
        <f>IF($A134="","",IF(COUNTIF(設定!$B$64:$B$203,$A134)=0,"⚠ 查無員編",IF(COUNTIF($E$3:$E$502,$E134)&gt;1,"⚠ 重複打卡","OK")))</f>
        <v/>
      </c>
    </row>
    <row r="135">
      <c r="A135" s="19" t="n"/>
      <c r="B135" s="17" t="n"/>
      <c r="C135" s="85" t="n"/>
      <c r="D135" s="85" t="n"/>
      <c r="E135" s="16">
        <f>IF($A135="","",$A135&amp;"|"&amp;DAY($B135))</f>
        <v/>
      </c>
      <c r="F135" s="16">
        <f>IF($A135="","",IF(COUNTIF(設定!$B$64:$B$203,$A135)=0,"⚠ 查無員編",IF(COUNTIF($E$3:$E$502,$E135)&gt;1,"⚠ 重複打卡","OK")))</f>
        <v/>
      </c>
    </row>
    <row r="136">
      <c r="A136" s="19" t="n"/>
      <c r="B136" s="17" t="n"/>
      <c r="C136" s="85" t="n"/>
      <c r="D136" s="85" t="n"/>
      <c r="E136" s="16">
        <f>IF($A136="","",$A136&amp;"|"&amp;DAY($B136))</f>
        <v/>
      </c>
      <c r="F136" s="16">
        <f>IF($A136="","",IF(COUNTIF(設定!$B$64:$B$203,$A136)=0,"⚠ 查無員編",IF(COUNTIF($E$3:$E$502,$E136)&gt;1,"⚠ 重複打卡","OK")))</f>
        <v/>
      </c>
    </row>
    <row r="137">
      <c r="A137" s="19" t="n"/>
      <c r="B137" s="17" t="n"/>
      <c r="C137" s="85" t="n"/>
      <c r="D137" s="85" t="n"/>
      <c r="E137" s="16">
        <f>IF($A137="","",$A137&amp;"|"&amp;DAY($B137))</f>
        <v/>
      </c>
      <c r="F137" s="16">
        <f>IF($A137="","",IF(COUNTIF(設定!$B$64:$B$203,$A137)=0,"⚠ 查無員編",IF(COUNTIF($E$3:$E$502,$E137)&gt;1,"⚠ 重複打卡","OK")))</f>
        <v/>
      </c>
    </row>
    <row r="138">
      <c r="A138" s="19" t="n"/>
      <c r="B138" s="17" t="n"/>
      <c r="C138" s="85" t="n"/>
      <c r="D138" s="85" t="n"/>
      <c r="E138" s="16">
        <f>IF($A138="","",$A138&amp;"|"&amp;DAY($B138))</f>
        <v/>
      </c>
      <c r="F138" s="16">
        <f>IF($A138="","",IF(COUNTIF(設定!$B$64:$B$203,$A138)=0,"⚠ 查無員編",IF(COUNTIF($E$3:$E$502,$E138)&gt;1,"⚠ 重複打卡","OK")))</f>
        <v/>
      </c>
    </row>
    <row r="139">
      <c r="A139" s="19" t="n"/>
      <c r="B139" s="17" t="n"/>
      <c r="C139" s="85" t="n"/>
      <c r="D139" s="85" t="n"/>
      <c r="E139" s="16">
        <f>IF($A139="","",$A139&amp;"|"&amp;DAY($B139))</f>
        <v/>
      </c>
      <c r="F139" s="16">
        <f>IF($A139="","",IF(COUNTIF(設定!$B$64:$B$203,$A139)=0,"⚠ 查無員編",IF(COUNTIF($E$3:$E$502,$E139)&gt;1,"⚠ 重複打卡","OK")))</f>
        <v/>
      </c>
    </row>
    <row r="140">
      <c r="A140" s="19" t="n"/>
      <c r="B140" s="17" t="n"/>
      <c r="C140" s="85" t="n"/>
      <c r="D140" s="85" t="n"/>
      <c r="E140" s="16">
        <f>IF($A140="","",$A140&amp;"|"&amp;DAY($B140))</f>
        <v/>
      </c>
      <c r="F140" s="16">
        <f>IF($A140="","",IF(COUNTIF(設定!$B$64:$B$203,$A140)=0,"⚠ 查無員編",IF(COUNTIF($E$3:$E$502,$E140)&gt;1,"⚠ 重複打卡","OK")))</f>
        <v/>
      </c>
    </row>
    <row r="141">
      <c r="A141" s="19" t="n"/>
      <c r="B141" s="17" t="n"/>
      <c r="C141" s="85" t="n"/>
      <c r="D141" s="85" t="n"/>
      <c r="E141" s="16">
        <f>IF($A141="","",$A141&amp;"|"&amp;DAY($B141))</f>
        <v/>
      </c>
      <c r="F141" s="16">
        <f>IF($A141="","",IF(COUNTIF(設定!$B$64:$B$203,$A141)=0,"⚠ 查無員編",IF(COUNTIF($E$3:$E$502,$E141)&gt;1,"⚠ 重複打卡","OK")))</f>
        <v/>
      </c>
    </row>
    <row r="142">
      <c r="A142" s="19" t="n"/>
      <c r="B142" s="17" t="n"/>
      <c r="C142" s="85" t="n"/>
      <c r="D142" s="85" t="n"/>
      <c r="E142" s="16">
        <f>IF($A142="","",$A142&amp;"|"&amp;DAY($B142))</f>
        <v/>
      </c>
      <c r="F142" s="16">
        <f>IF($A142="","",IF(COUNTIF(設定!$B$64:$B$203,$A142)=0,"⚠ 查無員編",IF(COUNTIF($E$3:$E$502,$E142)&gt;1,"⚠ 重複打卡","OK")))</f>
        <v/>
      </c>
    </row>
    <row r="143">
      <c r="A143" s="19" t="n"/>
      <c r="B143" s="17" t="n"/>
      <c r="C143" s="85" t="n"/>
      <c r="D143" s="85" t="n"/>
      <c r="E143" s="16">
        <f>IF($A143="","",$A143&amp;"|"&amp;DAY($B143))</f>
        <v/>
      </c>
      <c r="F143" s="16">
        <f>IF($A143="","",IF(COUNTIF(設定!$B$64:$B$203,$A143)=0,"⚠ 查無員編",IF(COUNTIF($E$3:$E$502,$E143)&gt;1,"⚠ 重複打卡","OK")))</f>
        <v/>
      </c>
    </row>
    <row r="144">
      <c r="A144" s="19" t="n"/>
      <c r="B144" s="17" t="n"/>
      <c r="C144" s="85" t="n"/>
      <c r="D144" s="85" t="n"/>
      <c r="E144" s="16">
        <f>IF($A144="","",$A144&amp;"|"&amp;DAY($B144))</f>
        <v/>
      </c>
      <c r="F144" s="16">
        <f>IF($A144="","",IF(COUNTIF(設定!$B$64:$B$203,$A144)=0,"⚠ 查無員編",IF(COUNTIF($E$3:$E$502,$E144)&gt;1,"⚠ 重複打卡","OK")))</f>
        <v/>
      </c>
    </row>
    <row r="145">
      <c r="A145" s="19" t="n"/>
      <c r="B145" s="17" t="n"/>
      <c r="C145" s="85" t="n"/>
      <c r="D145" s="85" t="n"/>
      <c r="E145" s="16">
        <f>IF($A145="","",$A145&amp;"|"&amp;DAY($B145))</f>
        <v/>
      </c>
      <c r="F145" s="16">
        <f>IF($A145="","",IF(COUNTIF(設定!$B$64:$B$203,$A145)=0,"⚠ 查無員編",IF(COUNTIF($E$3:$E$502,$E145)&gt;1,"⚠ 重複打卡","OK")))</f>
        <v/>
      </c>
    </row>
    <row r="146">
      <c r="A146" s="19" t="n"/>
      <c r="B146" s="17" t="n"/>
      <c r="C146" s="85" t="n"/>
      <c r="D146" s="85" t="n"/>
      <c r="E146" s="16">
        <f>IF($A146="","",$A146&amp;"|"&amp;DAY($B146))</f>
        <v/>
      </c>
      <c r="F146" s="16">
        <f>IF($A146="","",IF(COUNTIF(設定!$B$64:$B$203,$A146)=0,"⚠ 查無員編",IF(COUNTIF($E$3:$E$502,$E146)&gt;1,"⚠ 重複打卡","OK")))</f>
        <v/>
      </c>
    </row>
    <row r="147">
      <c r="A147" s="19" t="n"/>
      <c r="B147" s="17" t="n"/>
      <c r="C147" s="85" t="n"/>
      <c r="D147" s="85" t="n"/>
      <c r="E147" s="16">
        <f>IF($A147="","",$A147&amp;"|"&amp;DAY($B147))</f>
        <v/>
      </c>
      <c r="F147" s="16">
        <f>IF($A147="","",IF(COUNTIF(設定!$B$64:$B$203,$A147)=0,"⚠ 查無員編",IF(COUNTIF($E$3:$E$502,$E147)&gt;1,"⚠ 重複打卡","OK")))</f>
        <v/>
      </c>
    </row>
    <row r="148">
      <c r="A148" s="19" t="n"/>
      <c r="B148" s="17" t="n"/>
      <c r="C148" s="85" t="n"/>
      <c r="D148" s="85" t="n"/>
      <c r="E148" s="16">
        <f>IF($A148="","",$A148&amp;"|"&amp;DAY($B148))</f>
        <v/>
      </c>
      <c r="F148" s="16">
        <f>IF($A148="","",IF(COUNTIF(設定!$B$64:$B$203,$A148)=0,"⚠ 查無員編",IF(COUNTIF($E$3:$E$502,$E148)&gt;1,"⚠ 重複打卡","OK")))</f>
        <v/>
      </c>
    </row>
    <row r="149">
      <c r="A149" s="19" t="n"/>
      <c r="B149" s="17" t="n"/>
      <c r="C149" s="85" t="n"/>
      <c r="D149" s="85" t="n"/>
      <c r="E149" s="16">
        <f>IF($A149="","",$A149&amp;"|"&amp;DAY($B149))</f>
        <v/>
      </c>
      <c r="F149" s="16">
        <f>IF($A149="","",IF(COUNTIF(設定!$B$64:$B$203,$A149)=0,"⚠ 查無員編",IF(COUNTIF($E$3:$E$502,$E149)&gt;1,"⚠ 重複打卡","OK")))</f>
        <v/>
      </c>
    </row>
    <row r="150">
      <c r="A150" s="19" t="n"/>
      <c r="B150" s="17" t="n"/>
      <c r="C150" s="85" t="n"/>
      <c r="D150" s="85" t="n"/>
      <c r="E150" s="16">
        <f>IF($A150="","",$A150&amp;"|"&amp;DAY($B150))</f>
        <v/>
      </c>
      <c r="F150" s="16">
        <f>IF($A150="","",IF(COUNTIF(設定!$B$64:$B$203,$A150)=0,"⚠ 查無員編",IF(COUNTIF($E$3:$E$502,$E150)&gt;1,"⚠ 重複打卡","OK")))</f>
        <v/>
      </c>
    </row>
    <row r="151">
      <c r="A151" s="19" t="n"/>
      <c r="B151" s="17" t="n"/>
      <c r="C151" s="85" t="n"/>
      <c r="D151" s="85" t="n"/>
      <c r="E151" s="16">
        <f>IF($A151="","",$A151&amp;"|"&amp;DAY($B151))</f>
        <v/>
      </c>
      <c r="F151" s="16">
        <f>IF($A151="","",IF(COUNTIF(設定!$B$64:$B$203,$A151)=0,"⚠ 查無員編",IF(COUNTIF($E$3:$E$502,$E151)&gt;1,"⚠ 重複打卡","OK")))</f>
        <v/>
      </c>
    </row>
    <row r="152">
      <c r="A152" s="19" t="n"/>
      <c r="B152" s="17" t="n"/>
      <c r="C152" s="85" t="n"/>
      <c r="D152" s="85" t="n"/>
      <c r="E152" s="16">
        <f>IF($A152="","",$A152&amp;"|"&amp;DAY($B152))</f>
        <v/>
      </c>
      <c r="F152" s="16">
        <f>IF($A152="","",IF(COUNTIF(設定!$B$64:$B$203,$A152)=0,"⚠ 查無員編",IF(COUNTIF($E$3:$E$502,$E152)&gt;1,"⚠ 重複打卡","OK")))</f>
        <v/>
      </c>
    </row>
    <row r="153">
      <c r="A153" s="19" t="n"/>
      <c r="B153" s="17" t="n"/>
      <c r="C153" s="85" t="n"/>
      <c r="D153" s="85" t="n"/>
      <c r="E153" s="16">
        <f>IF($A153="","",$A153&amp;"|"&amp;DAY($B153))</f>
        <v/>
      </c>
      <c r="F153" s="16">
        <f>IF($A153="","",IF(COUNTIF(設定!$B$64:$B$203,$A153)=0,"⚠ 查無員編",IF(COUNTIF($E$3:$E$502,$E153)&gt;1,"⚠ 重複打卡","OK")))</f>
        <v/>
      </c>
    </row>
    <row r="154">
      <c r="A154" s="19" t="n"/>
      <c r="B154" s="17" t="n"/>
      <c r="C154" s="85" t="n"/>
      <c r="D154" s="85" t="n"/>
      <c r="E154" s="16">
        <f>IF($A154="","",$A154&amp;"|"&amp;DAY($B154))</f>
        <v/>
      </c>
      <c r="F154" s="16">
        <f>IF($A154="","",IF(COUNTIF(設定!$B$64:$B$203,$A154)=0,"⚠ 查無員編",IF(COUNTIF($E$3:$E$502,$E154)&gt;1,"⚠ 重複打卡","OK")))</f>
        <v/>
      </c>
    </row>
    <row r="155">
      <c r="A155" s="19" t="n"/>
      <c r="B155" s="17" t="n"/>
      <c r="C155" s="85" t="n"/>
      <c r="D155" s="85" t="n"/>
      <c r="E155" s="16">
        <f>IF($A155="","",$A155&amp;"|"&amp;DAY($B155))</f>
        <v/>
      </c>
      <c r="F155" s="16">
        <f>IF($A155="","",IF(COUNTIF(設定!$B$64:$B$203,$A155)=0,"⚠ 查無員編",IF(COUNTIF($E$3:$E$502,$E155)&gt;1,"⚠ 重複打卡","OK")))</f>
        <v/>
      </c>
    </row>
    <row r="156">
      <c r="A156" s="19" t="n"/>
      <c r="B156" s="17" t="n"/>
      <c r="C156" s="85" t="n"/>
      <c r="D156" s="85" t="n"/>
      <c r="E156" s="16">
        <f>IF($A156="","",$A156&amp;"|"&amp;DAY($B156))</f>
        <v/>
      </c>
      <c r="F156" s="16">
        <f>IF($A156="","",IF(COUNTIF(設定!$B$64:$B$203,$A156)=0,"⚠ 查無員編",IF(COUNTIF($E$3:$E$502,$E156)&gt;1,"⚠ 重複打卡","OK")))</f>
        <v/>
      </c>
    </row>
    <row r="157">
      <c r="A157" s="19" t="n"/>
      <c r="B157" s="17" t="n"/>
      <c r="C157" s="85" t="n"/>
      <c r="D157" s="85" t="n"/>
      <c r="E157" s="16">
        <f>IF($A157="","",$A157&amp;"|"&amp;DAY($B157))</f>
        <v/>
      </c>
      <c r="F157" s="16">
        <f>IF($A157="","",IF(COUNTIF(設定!$B$64:$B$203,$A157)=0,"⚠ 查無員編",IF(COUNTIF($E$3:$E$502,$E157)&gt;1,"⚠ 重複打卡","OK")))</f>
        <v/>
      </c>
    </row>
    <row r="158">
      <c r="A158" s="19" t="n"/>
      <c r="B158" s="17" t="n"/>
      <c r="C158" s="85" t="n"/>
      <c r="D158" s="85" t="n"/>
      <c r="E158" s="16">
        <f>IF($A158="","",$A158&amp;"|"&amp;DAY($B158))</f>
        <v/>
      </c>
      <c r="F158" s="16">
        <f>IF($A158="","",IF(COUNTIF(設定!$B$64:$B$203,$A158)=0,"⚠ 查無員編",IF(COUNTIF($E$3:$E$502,$E158)&gt;1,"⚠ 重複打卡","OK")))</f>
        <v/>
      </c>
    </row>
    <row r="159">
      <c r="A159" s="19" t="n"/>
      <c r="B159" s="17" t="n"/>
      <c r="C159" s="85" t="n"/>
      <c r="D159" s="85" t="n"/>
      <c r="E159" s="16">
        <f>IF($A159="","",$A159&amp;"|"&amp;DAY($B159))</f>
        <v/>
      </c>
      <c r="F159" s="16">
        <f>IF($A159="","",IF(COUNTIF(設定!$B$64:$B$203,$A159)=0,"⚠ 查無員編",IF(COUNTIF($E$3:$E$502,$E159)&gt;1,"⚠ 重複打卡","OK")))</f>
        <v/>
      </c>
    </row>
    <row r="160">
      <c r="A160" s="19" t="n"/>
      <c r="B160" s="17" t="n"/>
      <c r="C160" s="85" t="n"/>
      <c r="D160" s="85" t="n"/>
      <c r="E160" s="16">
        <f>IF($A160="","",$A160&amp;"|"&amp;DAY($B160))</f>
        <v/>
      </c>
      <c r="F160" s="16">
        <f>IF($A160="","",IF(COUNTIF(設定!$B$64:$B$203,$A160)=0,"⚠ 查無員編",IF(COUNTIF($E$3:$E$502,$E160)&gt;1,"⚠ 重複打卡","OK")))</f>
        <v/>
      </c>
    </row>
    <row r="161">
      <c r="A161" s="19" t="n"/>
      <c r="B161" s="17" t="n"/>
      <c r="C161" s="85" t="n"/>
      <c r="D161" s="85" t="n"/>
      <c r="E161" s="16">
        <f>IF($A161="","",$A161&amp;"|"&amp;DAY($B161))</f>
        <v/>
      </c>
      <c r="F161" s="16">
        <f>IF($A161="","",IF(COUNTIF(設定!$B$64:$B$203,$A161)=0,"⚠ 查無員編",IF(COUNTIF($E$3:$E$502,$E161)&gt;1,"⚠ 重複打卡","OK")))</f>
        <v/>
      </c>
    </row>
    <row r="162">
      <c r="A162" s="19" t="n"/>
      <c r="B162" s="17" t="n"/>
      <c r="C162" s="85" t="n"/>
      <c r="D162" s="85" t="n"/>
      <c r="E162" s="16">
        <f>IF($A162="","",$A162&amp;"|"&amp;DAY($B162))</f>
        <v/>
      </c>
      <c r="F162" s="16">
        <f>IF($A162="","",IF(COUNTIF(設定!$B$64:$B$203,$A162)=0,"⚠ 查無員編",IF(COUNTIF($E$3:$E$502,$E162)&gt;1,"⚠ 重複打卡","OK")))</f>
        <v/>
      </c>
    </row>
    <row r="163">
      <c r="A163" s="19" t="n"/>
      <c r="B163" s="17" t="n"/>
      <c r="C163" s="85" t="n"/>
      <c r="D163" s="85" t="n"/>
      <c r="E163" s="16">
        <f>IF($A163="","",$A163&amp;"|"&amp;DAY($B163))</f>
        <v/>
      </c>
      <c r="F163" s="16">
        <f>IF($A163="","",IF(COUNTIF(設定!$B$64:$B$203,$A163)=0,"⚠ 查無員編",IF(COUNTIF($E$3:$E$502,$E163)&gt;1,"⚠ 重複打卡","OK")))</f>
        <v/>
      </c>
    </row>
    <row r="164">
      <c r="A164" s="19" t="n"/>
      <c r="B164" s="17" t="n"/>
      <c r="C164" s="85" t="n"/>
      <c r="D164" s="85" t="n"/>
      <c r="E164" s="16">
        <f>IF($A164="","",$A164&amp;"|"&amp;DAY($B164))</f>
        <v/>
      </c>
      <c r="F164" s="16">
        <f>IF($A164="","",IF(COUNTIF(設定!$B$64:$B$203,$A164)=0,"⚠ 查無員編",IF(COUNTIF($E$3:$E$502,$E164)&gt;1,"⚠ 重複打卡","OK")))</f>
        <v/>
      </c>
    </row>
    <row r="165">
      <c r="A165" s="19" t="n"/>
      <c r="B165" s="17" t="n"/>
      <c r="C165" s="85" t="n"/>
      <c r="D165" s="85" t="n"/>
      <c r="E165" s="16">
        <f>IF($A165="","",$A165&amp;"|"&amp;DAY($B165))</f>
        <v/>
      </c>
      <c r="F165" s="16">
        <f>IF($A165="","",IF(COUNTIF(設定!$B$64:$B$203,$A165)=0,"⚠ 查無員編",IF(COUNTIF($E$3:$E$502,$E165)&gt;1,"⚠ 重複打卡","OK")))</f>
        <v/>
      </c>
    </row>
    <row r="166">
      <c r="A166" s="19" t="n"/>
      <c r="B166" s="17" t="n"/>
      <c r="C166" s="85" t="n"/>
      <c r="D166" s="85" t="n"/>
      <c r="E166" s="16">
        <f>IF($A166="","",$A166&amp;"|"&amp;DAY($B166))</f>
        <v/>
      </c>
      <c r="F166" s="16">
        <f>IF($A166="","",IF(COUNTIF(設定!$B$64:$B$203,$A166)=0,"⚠ 查無員編",IF(COUNTIF($E$3:$E$502,$E166)&gt;1,"⚠ 重複打卡","OK")))</f>
        <v/>
      </c>
    </row>
    <row r="167">
      <c r="A167" s="19" t="n"/>
      <c r="B167" s="17" t="n"/>
      <c r="C167" s="85" t="n"/>
      <c r="D167" s="85" t="n"/>
      <c r="E167" s="16">
        <f>IF($A167="","",$A167&amp;"|"&amp;DAY($B167))</f>
        <v/>
      </c>
      <c r="F167" s="16">
        <f>IF($A167="","",IF(COUNTIF(設定!$B$64:$B$203,$A167)=0,"⚠ 查無員編",IF(COUNTIF($E$3:$E$502,$E167)&gt;1,"⚠ 重複打卡","OK")))</f>
        <v/>
      </c>
    </row>
    <row r="168">
      <c r="A168" s="19" t="n"/>
      <c r="B168" s="17" t="n"/>
      <c r="C168" s="85" t="n"/>
      <c r="D168" s="85" t="n"/>
      <c r="E168" s="16">
        <f>IF($A168="","",$A168&amp;"|"&amp;DAY($B168))</f>
        <v/>
      </c>
      <c r="F168" s="16">
        <f>IF($A168="","",IF(COUNTIF(設定!$B$64:$B$203,$A168)=0,"⚠ 查無員編",IF(COUNTIF($E$3:$E$502,$E168)&gt;1,"⚠ 重複打卡","OK")))</f>
        <v/>
      </c>
    </row>
    <row r="169">
      <c r="A169" s="19" t="n"/>
      <c r="B169" s="17" t="n"/>
      <c r="C169" s="85" t="n"/>
      <c r="D169" s="85" t="n"/>
      <c r="E169" s="16">
        <f>IF($A169="","",$A169&amp;"|"&amp;DAY($B169))</f>
        <v/>
      </c>
      <c r="F169" s="16">
        <f>IF($A169="","",IF(COUNTIF(設定!$B$64:$B$203,$A169)=0,"⚠ 查無員編",IF(COUNTIF($E$3:$E$502,$E169)&gt;1,"⚠ 重複打卡","OK")))</f>
        <v/>
      </c>
    </row>
    <row r="170">
      <c r="A170" s="19" t="n"/>
      <c r="B170" s="17" t="n"/>
      <c r="C170" s="85" t="n"/>
      <c r="D170" s="85" t="n"/>
      <c r="E170" s="16">
        <f>IF($A170="","",$A170&amp;"|"&amp;DAY($B170))</f>
        <v/>
      </c>
      <c r="F170" s="16">
        <f>IF($A170="","",IF(COUNTIF(設定!$B$64:$B$203,$A170)=0,"⚠ 查無員編",IF(COUNTIF($E$3:$E$502,$E170)&gt;1,"⚠ 重複打卡","OK")))</f>
        <v/>
      </c>
    </row>
    <row r="171">
      <c r="A171" s="19" t="n"/>
      <c r="B171" s="17" t="n"/>
      <c r="C171" s="85" t="n"/>
      <c r="D171" s="85" t="n"/>
      <c r="E171" s="16">
        <f>IF($A171="","",$A171&amp;"|"&amp;DAY($B171))</f>
        <v/>
      </c>
      <c r="F171" s="16">
        <f>IF($A171="","",IF(COUNTIF(設定!$B$64:$B$203,$A171)=0,"⚠ 查無員編",IF(COUNTIF($E$3:$E$502,$E171)&gt;1,"⚠ 重複打卡","OK")))</f>
        <v/>
      </c>
    </row>
    <row r="172">
      <c r="A172" s="19" t="n"/>
      <c r="B172" s="17" t="n"/>
      <c r="C172" s="85" t="n"/>
      <c r="D172" s="85" t="n"/>
      <c r="E172" s="16">
        <f>IF($A172="","",$A172&amp;"|"&amp;DAY($B172))</f>
        <v/>
      </c>
      <c r="F172" s="16">
        <f>IF($A172="","",IF(COUNTIF(設定!$B$64:$B$203,$A172)=0,"⚠ 查無員編",IF(COUNTIF($E$3:$E$502,$E172)&gt;1,"⚠ 重複打卡","OK")))</f>
        <v/>
      </c>
    </row>
    <row r="173">
      <c r="A173" s="19" t="n"/>
      <c r="B173" s="17" t="n"/>
      <c r="C173" s="85" t="n"/>
      <c r="D173" s="85" t="n"/>
      <c r="E173" s="16">
        <f>IF($A173="","",$A173&amp;"|"&amp;DAY($B173))</f>
        <v/>
      </c>
      <c r="F173" s="16">
        <f>IF($A173="","",IF(COUNTIF(設定!$B$64:$B$203,$A173)=0,"⚠ 查無員編",IF(COUNTIF($E$3:$E$502,$E173)&gt;1,"⚠ 重複打卡","OK")))</f>
        <v/>
      </c>
    </row>
    <row r="174">
      <c r="A174" s="19" t="n"/>
      <c r="B174" s="17" t="n"/>
      <c r="C174" s="85" t="n"/>
      <c r="D174" s="85" t="n"/>
      <c r="E174" s="16">
        <f>IF($A174="","",$A174&amp;"|"&amp;DAY($B174))</f>
        <v/>
      </c>
      <c r="F174" s="16">
        <f>IF($A174="","",IF(COUNTIF(設定!$B$64:$B$203,$A174)=0,"⚠ 查無員編",IF(COUNTIF($E$3:$E$502,$E174)&gt;1,"⚠ 重複打卡","OK")))</f>
        <v/>
      </c>
    </row>
    <row r="175">
      <c r="A175" s="19" t="n"/>
      <c r="B175" s="17" t="n"/>
      <c r="C175" s="85" t="n"/>
      <c r="D175" s="85" t="n"/>
      <c r="E175" s="16">
        <f>IF($A175="","",$A175&amp;"|"&amp;DAY($B175))</f>
        <v/>
      </c>
      <c r="F175" s="16">
        <f>IF($A175="","",IF(COUNTIF(設定!$B$64:$B$203,$A175)=0,"⚠ 查無員編",IF(COUNTIF($E$3:$E$502,$E175)&gt;1,"⚠ 重複打卡","OK")))</f>
        <v/>
      </c>
    </row>
    <row r="176">
      <c r="A176" s="19" t="n"/>
      <c r="B176" s="17" t="n"/>
      <c r="C176" s="85" t="n"/>
      <c r="D176" s="85" t="n"/>
      <c r="E176" s="16">
        <f>IF($A176="","",$A176&amp;"|"&amp;DAY($B176))</f>
        <v/>
      </c>
      <c r="F176" s="16">
        <f>IF($A176="","",IF(COUNTIF(設定!$B$64:$B$203,$A176)=0,"⚠ 查無員編",IF(COUNTIF($E$3:$E$502,$E176)&gt;1,"⚠ 重複打卡","OK")))</f>
        <v/>
      </c>
    </row>
    <row r="177">
      <c r="A177" s="19" t="n"/>
      <c r="B177" s="17" t="n"/>
      <c r="C177" s="85" t="n"/>
      <c r="D177" s="85" t="n"/>
      <c r="E177" s="16">
        <f>IF($A177="","",$A177&amp;"|"&amp;DAY($B177))</f>
        <v/>
      </c>
      <c r="F177" s="16">
        <f>IF($A177="","",IF(COUNTIF(設定!$B$64:$B$203,$A177)=0,"⚠ 查無員編",IF(COUNTIF($E$3:$E$502,$E177)&gt;1,"⚠ 重複打卡","OK")))</f>
        <v/>
      </c>
    </row>
    <row r="178">
      <c r="A178" s="19" t="n"/>
      <c r="B178" s="17" t="n"/>
      <c r="C178" s="85" t="n"/>
      <c r="D178" s="85" t="n"/>
      <c r="E178" s="16">
        <f>IF($A178="","",$A178&amp;"|"&amp;DAY($B178))</f>
        <v/>
      </c>
      <c r="F178" s="16">
        <f>IF($A178="","",IF(COUNTIF(設定!$B$64:$B$203,$A178)=0,"⚠ 查無員編",IF(COUNTIF($E$3:$E$502,$E178)&gt;1,"⚠ 重複打卡","OK")))</f>
        <v/>
      </c>
    </row>
    <row r="179">
      <c r="A179" s="19" t="n"/>
      <c r="B179" s="17" t="n"/>
      <c r="C179" s="85" t="n"/>
      <c r="D179" s="85" t="n"/>
      <c r="E179" s="16">
        <f>IF($A179="","",$A179&amp;"|"&amp;DAY($B179))</f>
        <v/>
      </c>
      <c r="F179" s="16">
        <f>IF($A179="","",IF(COUNTIF(設定!$B$64:$B$203,$A179)=0,"⚠ 查無員編",IF(COUNTIF($E$3:$E$502,$E179)&gt;1,"⚠ 重複打卡","OK")))</f>
        <v/>
      </c>
    </row>
    <row r="180">
      <c r="A180" s="19" t="n"/>
      <c r="B180" s="17" t="n"/>
      <c r="C180" s="85" t="n"/>
      <c r="D180" s="85" t="n"/>
      <c r="E180" s="16">
        <f>IF($A180="","",$A180&amp;"|"&amp;DAY($B180))</f>
        <v/>
      </c>
      <c r="F180" s="16">
        <f>IF($A180="","",IF(COUNTIF(設定!$B$64:$B$203,$A180)=0,"⚠ 查無員編",IF(COUNTIF($E$3:$E$502,$E180)&gt;1,"⚠ 重複打卡","OK")))</f>
        <v/>
      </c>
    </row>
    <row r="181">
      <c r="A181" s="19" t="n"/>
      <c r="B181" s="17" t="n"/>
      <c r="C181" s="85" t="n"/>
      <c r="D181" s="85" t="n"/>
      <c r="E181" s="16">
        <f>IF($A181="","",$A181&amp;"|"&amp;DAY($B181))</f>
        <v/>
      </c>
      <c r="F181" s="16">
        <f>IF($A181="","",IF(COUNTIF(設定!$B$64:$B$203,$A181)=0,"⚠ 查無員編",IF(COUNTIF($E$3:$E$502,$E181)&gt;1,"⚠ 重複打卡","OK")))</f>
        <v/>
      </c>
    </row>
    <row r="182">
      <c r="A182" s="19" t="n"/>
      <c r="B182" s="17" t="n"/>
      <c r="C182" s="85" t="n"/>
      <c r="D182" s="85" t="n"/>
      <c r="E182" s="16">
        <f>IF($A182="","",$A182&amp;"|"&amp;DAY($B182))</f>
        <v/>
      </c>
      <c r="F182" s="16">
        <f>IF($A182="","",IF(COUNTIF(設定!$B$64:$B$203,$A182)=0,"⚠ 查無員編",IF(COUNTIF($E$3:$E$502,$E182)&gt;1,"⚠ 重複打卡","OK")))</f>
        <v/>
      </c>
    </row>
    <row r="183">
      <c r="A183" s="19" t="n"/>
      <c r="B183" s="17" t="n"/>
      <c r="C183" s="85" t="n"/>
      <c r="D183" s="85" t="n"/>
      <c r="E183" s="16">
        <f>IF($A183="","",$A183&amp;"|"&amp;DAY($B183))</f>
        <v/>
      </c>
      <c r="F183" s="16">
        <f>IF($A183="","",IF(COUNTIF(設定!$B$64:$B$203,$A183)=0,"⚠ 查無員編",IF(COUNTIF($E$3:$E$502,$E183)&gt;1,"⚠ 重複打卡","OK")))</f>
        <v/>
      </c>
    </row>
    <row r="184">
      <c r="A184" s="19" t="n"/>
      <c r="B184" s="17" t="n"/>
      <c r="C184" s="85" t="n"/>
      <c r="D184" s="85" t="n"/>
      <c r="E184" s="16">
        <f>IF($A184="","",$A184&amp;"|"&amp;DAY($B184))</f>
        <v/>
      </c>
      <c r="F184" s="16">
        <f>IF($A184="","",IF(COUNTIF(設定!$B$64:$B$203,$A184)=0,"⚠ 查無員編",IF(COUNTIF($E$3:$E$502,$E184)&gt;1,"⚠ 重複打卡","OK")))</f>
        <v/>
      </c>
    </row>
    <row r="185">
      <c r="A185" s="19" t="n"/>
      <c r="B185" s="17" t="n"/>
      <c r="C185" s="85" t="n"/>
      <c r="D185" s="85" t="n"/>
      <c r="E185" s="16">
        <f>IF($A185="","",$A185&amp;"|"&amp;DAY($B185))</f>
        <v/>
      </c>
      <c r="F185" s="16">
        <f>IF($A185="","",IF(COUNTIF(設定!$B$64:$B$203,$A185)=0,"⚠ 查無員編",IF(COUNTIF($E$3:$E$502,$E185)&gt;1,"⚠ 重複打卡","OK")))</f>
        <v/>
      </c>
    </row>
    <row r="186">
      <c r="A186" s="19" t="n"/>
      <c r="B186" s="17" t="n"/>
      <c r="C186" s="85" t="n"/>
      <c r="D186" s="85" t="n"/>
      <c r="E186" s="16">
        <f>IF($A186="","",$A186&amp;"|"&amp;DAY($B186))</f>
        <v/>
      </c>
      <c r="F186" s="16">
        <f>IF($A186="","",IF(COUNTIF(設定!$B$64:$B$203,$A186)=0,"⚠ 查無員編",IF(COUNTIF($E$3:$E$502,$E186)&gt;1,"⚠ 重複打卡","OK")))</f>
        <v/>
      </c>
    </row>
    <row r="187">
      <c r="A187" s="19" t="n"/>
      <c r="B187" s="17" t="n"/>
      <c r="C187" s="85" t="n"/>
      <c r="D187" s="85" t="n"/>
      <c r="E187" s="16">
        <f>IF($A187="","",$A187&amp;"|"&amp;DAY($B187))</f>
        <v/>
      </c>
      <c r="F187" s="16">
        <f>IF($A187="","",IF(COUNTIF(設定!$B$64:$B$203,$A187)=0,"⚠ 查無員編",IF(COUNTIF($E$3:$E$502,$E187)&gt;1,"⚠ 重複打卡","OK")))</f>
        <v/>
      </c>
    </row>
    <row r="188">
      <c r="A188" s="19" t="n"/>
      <c r="B188" s="17" t="n"/>
      <c r="C188" s="85" t="n"/>
      <c r="D188" s="85" t="n"/>
      <c r="E188" s="16">
        <f>IF($A188="","",$A188&amp;"|"&amp;DAY($B188))</f>
        <v/>
      </c>
      <c r="F188" s="16">
        <f>IF($A188="","",IF(COUNTIF(設定!$B$64:$B$203,$A188)=0,"⚠ 查無員編",IF(COUNTIF($E$3:$E$502,$E188)&gt;1,"⚠ 重複打卡","OK")))</f>
        <v/>
      </c>
    </row>
    <row r="189">
      <c r="A189" s="19" t="n"/>
      <c r="B189" s="17" t="n"/>
      <c r="C189" s="85" t="n"/>
      <c r="D189" s="85" t="n"/>
      <c r="E189" s="16">
        <f>IF($A189="","",$A189&amp;"|"&amp;DAY($B189))</f>
        <v/>
      </c>
      <c r="F189" s="16">
        <f>IF($A189="","",IF(COUNTIF(設定!$B$64:$B$203,$A189)=0,"⚠ 查無員編",IF(COUNTIF($E$3:$E$502,$E189)&gt;1,"⚠ 重複打卡","OK")))</f>
        <v/>
      </c>
    </row>
    <row r="190">
      <c r="A190" s="19" t="n"/>
      <c r="B190" s="17" t="n"/>
      <c r="C190" s="85" t="n"/>
      <c r="D190" s="85" t="n"/>
      <c r="E190" s="16">
        <f>IF($A190="","",$A190&amp;"|"&amp;DAY($B190))</f>
        <v/>
      </c>
      <c r="F190" s="16">
        <f>IF($A190="","",IF(COUNTIF(設定!$B$64:$B$203,$A190)=0,"⚠ 查無員編",IF(COUNTIF($E$3:$E$502,$E190)&gt;1,"⚠ 重複打卡","OK")))</f>
        <v/>
      </c>
    </row>
    <row r="191">
      <c r="A191" s="19" t="n"/>
      <c r="B191" s="17" t="n"/>
      <c r="C191" s="85" t="n"/>
      <c r="D191" s="85" t="n"/>
      <c r="E191" s="16">
        <f>IF($A191="","",$A191&amp;"|"&amp;DAY($B191))</f>
        <v/>
      </c>
      <c r="F191" s="16">
        <f>IF($A191="","",IF(COUNTIF(設定!$B$64:$B$203,$A191)=0,"⚠ 查無員編",IF(COUNTIF($E$3:$E$502,$E191)&gt;1,"⚠ 重複打卡","OK")))</f>
        <v/>
      </c>
    </row>
    <row r="192">
      <c r="A192" s="19" t="n"/>
      <c r="B192" s="17" t="n"/>
      <c r="C192" s="85" t="n"/>
      <c r="D192" s="85" t="n"/>
      <c r="E192" s="16">
        <f>IF($A192="","",$A192&amp;"|"&amp;DAY($B192))</f>
        <v/>
      </c>
      <c r="F192" s="16">
        <f>IF($A192="","",IF(COUNTIF(設定!$B$64:$B$203,$A192)=0,"⚠ 查無員編",IF(COUNTIF($E$3:$E$502,$E192)&gt;1,"⚠ 重複打卡","OK")))</f>
        <v/>
      </c>
    </row>
    <row r="193">
      <c r="A193" s="19" t="n"/>
      <c r="B193" s="17" t="n"/>
      <c r="C193" s="85" t="n"/>
      <c r="D193" s="85" t="n"/>
      <c r="E193" s="16">
        <f>IF($A193="","",$A193&amp;"|"&amp;DAY($B193))</f>
        <v/>
      </c>
      <c r="F193" s="16">
        <f>IF($A193="","",IF(COUNTIF(設定!$B$64:$B$203,$A193)=0,"⚠ 查無員編",IF(COUNTIF($E$3:$E$502,$E193)&gt;1,"⚠ 重複打卡","OK")))</f>
        <v/>
      </c>
    </row>
    <row r="194">
      <c r="A194" s="19" t="n"/>
      <c r="B194" s="17" t="n"/>
      <c r="C194" s="85" t="n"/>
      <c r="D194" s="85" t="n"/>
      <c r="E194" s="16">
        <f>IF($A194="","",$A194&amp;"|"&amp;DAY($B194))</f>
        <v/>
      </c>
      <c r="F194" s="16">
        <f>IF($A194="","",IF(COUNTIF(設定!$B$64:$B$203,$A194)=0,"⚠ 查無員編",IF(COUNTIF($E$3:$E$502,$E194)&gt;1,"⚠ 重複打卡","OK")))</f>
        <v/>
      </c>
    </row>
    <row r="195">
      <c r="A195" s="19" t="n"/>
      <c r="B195" s="17" t="n"/>
      <c r="C195" s="85" t="n"/>
      <c r="D195" s="85" t="n"/>
      <c r="E195" s="16">
        <f>IF($A195="","",$A195&amp;"|"&amp;DAY($B195))</f>
        <v/>
      </c>
      <c r="F195" s="16">
        <f>IF($A195="","",IF(COUNTIF(設定!$B$64:$B$203,$A195)=0,"⚠ 查無員編",IF(COUNTIF($E$3:$E$502,$E195)&gt;1,"⚠ 重複打卡","OK")))</f>
        <v/>
      </c>
    </row>
    <row r="196">
      <c r="A196" s="19" t="n"/>
      <c r="B196" s="17" t="n"/>
      <c r="C196" s="85" t="n"/>
      <c r="D196" s="85" t="n"/>
      <c r="E196" s="16">
        <f>IF($A196="","",$A196&amp;"|"&amp;DAY($B196))</f>
        <v/>
      </c>
      <c r="F196" s="16">
        <f>IF($A196="","",IF(COUNTIF(設定!$B$64:$B$203,$A196)=0,"⚠ 查無員編",IF(COUNTIF($E$3:$E$502,$E196)&gt;1,"⚠ 重複打卡","OK")))</f>
        <v/>
      </c>
    </row>
    <row r="197">
      <c r="A197" s="19" t="n"/>
      <c r="B197" s="17" t="n"/>
      <c r="C197" s="85" t="n"/>
      <c r="D197" s="85" t="n"/>
      <c r="E197" s="16">
        <f>IF($A197="","",$A197&amp;"|"&amp;DAY($B197))</f>
        <v/>
      </c>
      <c r="F197" s="16">
        <f>IF($A197="","",IF(COUNTIF(設定!$B$64:$B$203,$A197)=0,"⚠ 查無員編",IF(COUNTIF($E$3:$E$502,$E197)&gt;1,"⚠ 重複打卡","OK")))</f>
        <v/>
      </c>
    </row>
    <row r="198">
      <c r="A198" s="19" t="n"/>
      <c r="B198" s="17" t="n"/>
      <c r="C198" s="85" t="n"/>
      <c r="D198" s="85" t="n"/>
      <c r="E198" s="16">
        <f>IF($A198="","",$A198&amp;"|"&amp;DAY($B198))</f>
        <v/>
      </c>
      <c r="F198" s="16">
        <f>IF($A198="","",IF(COUNTIF(設定!$B$64:$B$203,$A198)=0,"⚠ 查無員編",IF(COUNTIF($E$3:$E$502,$E198)&gt;1,"⚠ 重複打卡","OK")))</f>
        <v/>
      </c>
    </row>
    <row r="199">
      <c r="A199" s="19" t="n"/>
      <c r="B199" s="17" t="n"/>
      <c r="C199" s="85" t="n"/>
      <c r="D199" s="85" t="n"/>
      <c r="E199" s="16">
        <f>IF($A199="","",$A199&amp;"|"&amp;DAY($B199))</f>
        <v/>
      </c>
      <c r="F199" s="16">
        <f>IF($A199="","",IF(COUNTIF(設定!$B$64:$B$203,$A199)=0,"⚠ 查無員編",IF(COUNTIF($E$3:$E$502,$E199)&gt;1,"⚠ 重複打卡","OK")))</f>
        <v/>
      </c>
    </row>
    <row r="200">
      <c r="A200" s="19" t="n"/>
      <c r="B200" s="17" t="n"/>
      <c r="C200" s="85" t="n"/>
      <c r="D200" s="85" t="n"/>
      <c r="E200" s="16">
        <f>IF($A200="","",$A200&amp;"|"&amp;DAY($B200))</f>
        <v/>
      </c>
      <c r="F200" s="16">
        <f>IF($A200="","",IF(COUNTIF(設定!$B$64:$B$203,$A200)=0,"⚠ 查無員編",IF(COUNTIF($E$3:$E$502,$E200)&gt;1,"⚠ 重複打卡","OK")))</f>
        <v/>
      </c>
    </row>
    <row r="201">
      <c r="A201" s="19" t="n"/>
      <c r="B201" s="17" t="n"/>
      <c r="C201" s="85" t="n"/>
      <c r="D201" s="85" t="n"/>
      <c r="E201" s="16">
        <f>IF($A201="","",$A201&amp;"|"&amp;DAY($B201))</f>
        <v/>
      </c>
      <c r="F201" s="16">
        <f>IF($A201="","",IF(COUNTIF(設定!$B$64:$B$203,$A201)=0,"⚠ 查無員編",IF(COUNTIF($E$3:$E$502,$E201)&gt;1,"⚠ 重複打卡","OK")))</f>
        <v/>
      </c>
    </row>
    <row r="202">
      <c r="A202" s="19" t="n"/>
      <c r="B202" s="17" t="n"/>
      <c r="C202" s="85" t="n"/>
      <c r="D202" s="85" t="n"/>
      <c r="E202" s="16">
        <f>IF($A202="","",$A202&amp;"|"&amp;DAY($B202))</f>
        <v/>
      </c>
      <c r="F202" s="16">
        <f>IF($A202="","",IF(COUNTIF(設定!$B$64:$B$203,$A202)=0,"⚠ 查無員編",IF(COUNTIF($E$3:$E$502,$E202)&gt;1,"⚠ 重複打卡","OK")))</f>
        <v/>
      </c>
    </row>
    <row r="203">
      <c r="A203" s="19" t="n"/>
      <c r="B203" s="17" t="n"/>
      <c r="C203" s="85" t="n"/>
      <c r="D203" s="85" t="n"/>
      <c r="E203" s="16">
        <f>IF($A203="","",$A203&amp;"|"&amp;DAY($B203))</f>
        <v/>
      </c>
      <c r="F203" s="16">
        <f>IF($A203="","",IF(COUNTIF(設定!$B$64:$B$203,$A203)=0,"⚠ 查無員編",IF(COUNTIF($E$3:$E$502,$E203)&gt;1,"⚠ 重複打卡","OK")))</f>
        <v/>
      </c>
    </row>
    <row r="204">
      <c r="A204" s="19" t="n"/>
      <c r="B204" s="17" t="n"/>
      <c r="C204" s="85" t="n"/>
      <c r="D204" s="85" t="n"/>
      <c r="E204" s="16">
        <f>IF($A204="","",$A204&amp;"|"&amp;DAY($B204))</f>
        <v/>
      </c>
      <c r="F204" s="16">
        <f>IF($A204="","",IF(COUNTIF(設定!$B$64:$B$203,$A204)=0,"⚠ 查無員編",IF(COUNTIF($E$3:$E$502,$E204)&gt;1,"⚠ 重複打卡","OK")))</f>
        <v/>
      </c>
    </row>
    <row r="205">
      <c r="A205" s="19" t="n"/>
      <c r="B205" s="17" t="n"/>
      <c r="C205" s="85" t="n"/>
      <c r="D205" s="85" t="n"/>
      <c r="E205" s="16">
        <f>IF($A205="","",$A205&amp;"|"&amp;DAY($B205))</f>
        <v/>
      </c>
      <c r="F205" s="16">
        <f>IF($A205="","",IF(COUNTIF(設定!$B$64:$B$203,$A205)=0,"⚠ 查無員編",IF(COUNTIF($E$3:$E$502,$E205)&gt;1,"⚠ 重複打卡","OK")))</f>
        <v/>
      </c>
    </row>
    <row r="206">
      <c r="A206" s="19" t="n"/>
      <c r="B206" s="17" t="n"/>
      <c r="C206" s="85" t="n"/>
      <c r="D206" s="85" t="n"/>
      <c r="E206" s="16">
        <f>IF($A206="","",$A206&amp;"|"&amp;DAY($B206))</f>
        <v/>
      </c>
      <c r="F206" s="16">
        <f>IF($A206="","",IF(COUNTIF(設定!$B$64:$B$203,$A206)=0,"⚠ 查無員編",IF(COUNTIF($E$3:$E$502,$E206)&gt;1,"⚠ 重複打卡","OK")))</f>
        <v/>
      </c>
    </row>
    <row r="207">
      <c r="A207" s="19" t="n"/>
      <c r="B207" s="17" t="n"/>
      <c r="C207" s="85" t="n"/>
      <c r="D207" s="85" t="n"/>
      <c r="E207" s="16">
        <f>IF($A207="","",$A207&amp;"|"&amp;DAY($B207))</f>
        <v/>
      </c>
      <c r="F207" s="16">
        <f>IF($A207="","",IF(COUNTIF(設定!$B$64:$B$203,$A207)=0,"⚠ 查無員編",IF(COUNTIF($E$3:$E$502,$E207)&gt;1,"⚠ 重複打卡","OK")))</f>
        <v/>
      </c>
    </row>
    <row r="208">
      <c r="A208" s="19" t="n"/>
      <c r="B208" s="17" t="n"/>
      <c r="C208" s="85" t="n"/>
      <c r="D208" s="85" t="n"/>
      <c r="E208" s="16">
        <f>IF($A208="","",$A208&amp;"|"&amp;DAY($B208))</f>
        <v/>
      </c>
      <c r="F208" s="16">
        <f>IF($A208="","",IF(COUNTIF(設定!$B$64:$B$203,$A208)=0,"⚠ 查無員編",IF(COUNTIF($E$3:$E$502,$E208)&gt;1,"⚠ 重複打卡","OK")))</f>
        <v/>
      </c>
    </row>
    <row r="209">
      <c r="A209" s="19" t="n"/>
      <c r="B209" s="17" t="n"/>
      <c r="C209" s="85" t="n"/>
      <c r="D209" s="85" t="n"/>
      <c r="E209" s="16">
        <f>IF($A209="","",$A209&amp;"|"&amp;DAY($B209))</f>
        <v/>
      </c>
      <c r="F209" s="16">
        <f>IF($A209="","",IF(COUNTIF(設定!$B$64:$B$203,$A209)=0,"⚠ 查無員編",IF(COUNTIF($E$3:$E$502,$E209)&gt;1,"⚠ 重複打卡","OK")))</f>
        <v/>
      </c>
    </row>
    <row r="210">
      <c r="A210" s="19" t="n"/>
      <c r="B210" s="17" t="n"/>
      <c r="C210" s="85" t="n"/>
      <c r="D210" s="85" t="n"/>
      <c r="E210" s="16">
        <f>IF($A210="","",$A210&amp;"|"&amp;DAY($B210))</f>
        <v/>
      </c>
      <c r="F210" s="16">
        <f>IF($A210="","",IF(COUNTIF(設定!$B$64:$B$203,$A210)=0,"⚠ 查無員編",IF(COUNTIF($E$3:$E$502,$E210)&gt;1,"⚠ 重複打卡","OK")))</f>
        <v/>
      </c>
    </row>
    <row r="211">
      <c r="A211" s="19" t="n"/>
      <c r="B211" s="17" t="n"/>
      <c r="C211" s="85" t="n"/>
      <c r="D211" s="85" t="n"/>
      <c r="E211" s="16">
        <f>IF($A211="","",$A211&amp;"|"&amp;DAY($B211))</f>
        <v/>
      </c>
      <c r="F211" s="16">
        <f>IF($A211="","",IF(COUNTIF(設定!$B$64:$B$203,$A211)=0,"⚠ 查無員編",IF(COUNTIF($E$3:$E$502,$E211)&gt;1,"⚠ 重複打卡","OK")))</f>
        <v/>
      </c>
    </row>
    <row r="212">
      <c r="A212" s="19" t="n"/>
      <c r="B212" s="17" t="n"/>
      <c r="C212" s="85" t="n"/>
      <c r="D212" s="85" t="n"/>
      <c r="E212" s="16">
        <f>IF($A212="","",$A212&amp;"|"&amp;DAY($B212))</f>
        <v/>
      </c>
      <c r="F212" s="16">
        <f>IF($A212="","",IF(COUNTIF(設定!$B$64:$B$203,$A212)=0,"⚠ 查無員編",IF(COUNTIF($E$3:$E$502,$E212)&gt;1,"⚠ 重複打卡","OK")))</f>
        <v/>
      </c>
    </row>
    <row r="213">
      <c r="A213" s="19" t="n"/>
      <c r="B213" s="17" t="n"/>
      <c r="C213" s="85" t="n"/>
      <c r="D213" s="85" t="n"/>
      <c r="E213" s="16">
        <f>IF($A213="","",$A213&amp;"|"&amp;DAY($B213))</f>
        <v/>
      </c>
      <c r="F213" s="16">
        <f>IF($A213="","",IF(COUNTIF(設定!$B$64:$B$203,$A213)=0,"⚠ 查無員編",IF(COUNTIF($E$3:$E$502,$E213)&gt;1,"⚠ 重複打卡","OK")))</f>
        <v/>
      </c>
    </row>
    <row r="214">
      <c r="A214" s="19" t="n"/>
      <c r="B214" s="17" t="n"/>
      <c r="C214" s="85" t="n"/>
      <c r="D214" s="85" t="n"/>
      <c r="E214" s="16">
        <f>IF($A214="","",$A214&amp;"|"&amp;DAY($B214))</f>
        <v/>
      </c>
      <c r="F214" s="16">
        <f>IF($A214="","",IF(COUNTIF(設定!$B$64:$B$203,$A214)=0,"⚠ 查無員編",IF(COUNTIF($E$3:$E$502,$E214)&gt;1,"⚠ 重複打卡","OK")))</f>
        <v/>
      </c>
    </row>
    <row r="215">
      <c r="A215" s="19" t="n"/>
      <c r="B215" s="17" t="n"/>
      <c r="C215" s="85" t="n"/>
      <c r="D215" s="85" t="n"/>
      <c r="E215" s="16">
        <f>IF($A215="","",$A215&amp;"|"&amp;DAY($B215))</f>
        <v/>
      </c>
      <c r="F215" s="16">
        <f>IF($A215="","",IF(COUNTIF(設定!$B$64:$B$203,$A215)=0,"⚠ 查無員編",IF(COUNTIF($E$3:$E$502,$E215)&gt;1,"⚠ 重複打卡","OK")))</f>
        <v/>
      </c>
    </row>
    <row r="216">
      <c r="A216" s="19" t="n"/>
      <c r="B216" s="17" t="n"/>
      <c r="C216" s="85" t="n"/>
      <c r="D216" s="85" t="n"/>
      <c r="E216" s="16">
        <f>IF($A216="","",$A216&amp;"|"&amp;DAY($B216))</f>
        <v/>
      </c>
      <c r="F216" s="16">
        <f>IF($A216="","",IF(COUNTIF(設定!$B$64:$B$203,$A216)=0,"⚠ 查無員編",IF(COUNTIF($E$3:$E$502,$E216)&gt;1,"⚠ 重複打卡","OK")))</f>
        <v/>
      </c>
    </row>
    <row r="217">
      <c r="A217" s="19" t="n"/>
      <c r="B217" s="17" t="n"/>
      <c r="C217" s="85" t="n"/>
      <c r="D217" s="85" t="n"/>
      <c r="E217" s="16">
        <f>IF($A217="","",$A217&amp;"|"&amp;DAY($B217))</f>
        <v/>
      </c>
      <c r="F217" s="16">
        <f>IF($A217="","",IF(COUNTIF(設定!$B$64:$B$203,$A217)=0,"⚠ 查無員編",IF(COUNTIF($E$3:$E$502,$E217)&gt;1,"⚠ 重複打卡","OK")))</f>
        <v/>
      </c>
    </row>
    <row r="218">
      <c r="A218" s="19" t="n"/>
      <c r="B218" s="17" t="n"/>
      <c r="C218" s="85" t="n"/>
      <c r="D218" s="85" t="n"/>
      <c r="E218" s="16">
        <f>IF($A218="","",$A218&amp;"|"&amp;DAY($B218))</f>
        <v/>
      </c>
      <c r="F218" s="16">
        <f>IF($A218="","",IF(COUNTIF(設定!$B$64:$B$203,$A218)=0,"⚠ 查無員編",IF(COUNTIF($E$3:$E$502,$E218)&gt;1,"⚠ 重複打卡","OK")))</f>
        <v/>
      </c>
    </row>
    <row r="219">
      <c r="A219" s="19" t="n"/>
      <c r="B219" s="17" t="n"/>
      <c r="C219" s="85" t="n"/>
      <c r="D219" s="85" t="n"/>
      <c r="E219" s="16">
        <f>IF($A219="","",$A219&amp;"|"&amp;DAY($B219))</f>
        <v/>
      </c>
      <c r="F219" s="16">
        <f>IF($A219="","",IF(COUNTIF(設定!$B$64:$B$203,$A219)=0,"⚠ 查無員編",IF(COUNTIF($E$3:$E$502,$E219)&gt;1,"⚠ 重複打卡","OK")))</f>
        <v/>
      </c>
    </row>
    <row r="220">
      <c r="A220" s="19" t="n"/>
      <c r="B220" s="17" t="n"/>
      <c r="C220" s="85" t="n"/>
      <c r="D220" s="85" t="n"/>
      <c r="E220" s="16">
        <f>IF($A220="","",$A220&amp;"|"&amp;DAY($B220))</f>
        <v/>
      </c>
      <c r="F220" s="16">
        <f>IF($A220="","",IF(COUNTIF(設定!$B$64:$B$203,$A220)=0,"⚠ 查無員編",IF(COUNTIF($E$3:$E$502,$E220)&gt;1,"⚠ 重複打卡","OK")))</f>
        <v/>
      </c>
    </row>
    <row r="221">
      <c r="A221" s="19" t="n"/>
      <c r="B221" s="17" t="n"/>
      <c r="C221" s="85" t="n"/>
      <c r="D221" s="85" t="n"/>
      <c r="E221" s="16">
        <f>IF($A221="","",$A221&amp;"|"&amp;DAY($B221))</f>
        <v/>
      </c>
      <c r="F221" s="16">
        <f>IF($A221="","",IF(COUNTIF(設定!$B$64:$B$203,$A221)=0,"⚠ 查無員編",IF(COUNTIF($E$3:$E$502,$E221)&gt;1,"⚠ 重複打卡","OK")))</f>
        <v/>
      </c>
    </row>
    <row r="222">
      <c r="A222" s="19" t="n"/>
      <c r="B222" s="17" t="n"/>
      <c r="C222" s="85" t="n"/>
      <c r="D222" s="85" t="n"/>
      <c r="E222" s="16">
        <f>IF($A222="","",$A222&amp;"|"&amp;DAY($B222))</f>
        <v/>
      </c>
      <c r="F222" s="16">
        <f>IF($A222="","",IF(COUNTIF(設定!$B$64:$B$203,$A222)=0,"⚠ 查無員編",IF(COUNTIF($E$3:$E$502,$E222)&gt;1,"⚠ 重複打卡","OK")))</f>
        <v/>
      </c>
    </row>
    <row r="223">
      <c r="A223" s="19" t="n"/>
      <c r="B223" s="17" t="n"/>
      <c r="C223" s="85" t="n"/>
      <c r="D223" s="85" t="n"/>
      <c r="E223" s="16">
        <f>IF($A223="","",$A223&amp;"|"&amp;DAY($B223))</f>
        <v/>
      </c>
      <c r="F223" s="16">
        <f>IF($A223="","",IF(COUNTIF(設定!$B$64:$B$203,$A223)=0,"⚠ 查無員編",IF(COUNTIF($E$3:$E$502,$E223)&gt;1,"⚠ 重複打卡","OK")))</f>
        <v/>
      </c>
    </row>
    <row r="224">
      <c r="A224" s="19" t="n"/>
      <c r="B224" s="17" t="n"/>
      <c r="C224" s="85" t="n"/>
      <c r="D224" s="85" t="n"/>
      <c r="E224" s="16">
        <f>IF($A224="","",$A224&amp;"|"&amp;DAY($B224))</f>
        <v/>
      </c>
      <c r="F224" s="16">
        <f>IF($A224="","",IF(COUNTIF(設定!$B$64:$B$203,$A224)=0,"⚠ 查無員編",IF(COUNTIF($E$3:$E$502,$E224)&gt;1,"⚠ 重複打卡","OK")))</f>
        <v/>
      </c>
    </row>
    <row r="225">
      <c r="A225" s="19" t="n"/>
      <c r="B225" s="17" t="n"/>
      <c r="C225" s="85" t="n"/>
      <c r="D225" s="85" t="n"/>
      <c r="E225" s="16">
        <f>IF($A225="","",$A225&amp;"|"&amp;DAY($B225))</f>
        <v/>
      </c>
      <c r="F225" s="16">
        <f>IF($A225="","",IF(COUNTIF(設定!$B$64:$B$203,$A225)=0,"⚠ 查無員編",IF(COUNTIF($E$3:$E$502,$E225)&gt;1,"⚠ 重複打卡","OK")))</f>
        <v/>
      </c>
    </row>
    <row r="226">
      <c r="A226" s="19" t="n"/>
      <c r="B226" s="17" t="n"/>
      <c r="C226" s="85" t="n"/>
      <c r="D226" s="85" t="n"/>
      <c r="E226" s="16">
        <f>IF($A226="","",$A226&amp;"|"&amp;DAY($B226))</f>
        <v/>
      </c>
      <c r="F226" s="16">
        <f>IF($A226="","",IF(COUNTIF(設定!$B$64:$B$203,$A226)=0,"⚠ 查無員編",IF(COUNTIF($E$3:$E$502,$E226)&gt;1,"⚠ 重複打卡","OK")))</f>
        <v/>
      </c>
    </row>
    <row r="227">
      <c r="A227" s="19" t="n"/>
      <c r="B227" s="17" t="n"/>
      <c r="C227" s="85" t="n"/>
      <c r="D227" s="85" t="n"/>
      <c r="E227" s="16">
        <f>IF($A227="","",$A227&amp;"|"&amp;DAY($B227))</f>
        <v/>
      </c>
      <c r="F227" s="16">
        <f>IF($A227="","",IF(COUNTIF(設定!$B$64:$B$203,$A227)=0,"⚠ 查無員編",IF(COUNTIF($E$3:$E$502,$E227)&gt;1,"⚠ 重複打卡","OK")))</f>
        <v/>
      </c>
    </row>
    <row r="228">
      <c r="A228" s="19" t="n"/>
      <c r="B228" s="17" t="n"/>
      <c r="C228" s="85" t="n"/>
      <c r="D228" s="85" t="n"/>
      <c r="E228" s="16">
        <f>IF($A228="","",$A228&amp;"|"&amp;DAY($B228))</f>
        <v/>
      </c>
      <c r="F228" s="16">
        <f>IF($A228="","",IF(COUNTIF(設定!$B$64:$B$203,$A228)=0,"⚠ 查無員編",IF(COUNTIF($E$3:$E$502,$E228)&gt;1,"⚠ 重複打卡","OK")))</f>
        <v/>
      </c>
    </row>
    <row r="229">
      <c r="A229" s="19" t="n"/>
      <c r="B229" s="17" t="n"/>
      <c r="C229" s="85" t="n"/>
      <c r="D229" s="85" t="n"/>
      <c r="E229" s="16">
        <f>IF($A229="","",$A229&amp;"|"&amp;DAY($B229))</f>
        <v/>
      </c>
      <c r="F229" s="16">
        <f>IF($A229="","",IF(COUNTIF(設定!$B$64:$B$203,$A229)=0,"⚠ 查無員編",IF(COUNTIF($E$3:$E$502,$E229)&gt;1,"⚠ 重複打卡","OK")))</f>
        <v/>
      </c>
    </row>
    <row r="230">
      <c r="A230" s="19" t="n"/>
      <c r="B230" s="17" t="n"/>
      <c r="C230" s="85" t="n"/>
      <c r="D230" s="85" t="n"/>
      <c r="E230" s="16">
        <f>IF($A230="","",$A230&amp;"|"&amp;DAY($B230))</f>
        <v/>
      </c>
      <c r="F230" s="16">
        <f>IF($A230="","",IF(COUNTIF(設定!$B$64:$B$203,$A230)=0,"⚠ 查無員編",IF(COUNTIF($E$3:$E$502,$E230)&gt;1,"⚠ 重複打卡","OK")))</f>
        <v/>
      </c>
    </row>
    <row r="231">
      <c r="A231" s="19" t="n"/>
      <c r="B231" s="17" t="n"/>
      <c r="C231" s="85" t="n"/>
      <c r="D231" s="85" t="n"/>
      <c r="E231" s="16">
        <f>IF($A231="","",$A231&amp;"|"&amp;DAY($B231))</f>
        <v/>
      </c>
      <c r="F231" s="16">
        <f>IF($A231="","",IF(COUNTIF(設定!$B$64:$B$203,$A231)=0,"⚠ 查無員編",IF(COUNTIF($E$3:$E$502,$E231)&gt;1,"⚠ 重複打卡","OK")))</f>
        <v/>
      </c>
    </row>
    <row r="232">
      <c r="A232" s="19" t="n"/>
      <c r="B232" s="17" t="n"/>
      <c r="C232" s="85" t="n"/>
      <c r="D232" s="85" t="n"/>
      <c r="E232" s="16">
        <f>IF($A232="","",$A232&amp;"|"&amp;DAY($B232))</f>
        <v/>
      </c>
      <c r="F232" s="16">
        <f>IF($A232="","",IF(COUNTIF(設定!$B$64:$B$203,$A232)=0,"⚠ 查無員編",IF(COUNTIF($E$3:$E$502,$E232)&gt;1,"⚠ 重複打卡","OK")))</f>
        <v/>
      </c>
    </row>
    <row r="233">
      <c r="A233" s="19" t="n"/>
      <c r="B233" s="17" t="n"/>
      <c r="C233" s="85" t="n"/>
      <c r="D233" s="85" t="n"/>
      <c r="E233" s="16">
        <f>IF($A233="","",$A233&amp;"|"&amp;DAY($B233))</f>
        <v/>
      </c>
      <c r="F233" s="16">
        <f>IF($A233="","",IF(COUNTIF(設定!$B$64:$B$203,$A233)=0,"⚠ 查無員編",IF(COUNTIF($E$3:$E$502,$E233)&gt;1,"⚠ 重複打卡","OK")))</f>
        <v/>
      </c>
    </row>
    <row r="234">
      <c r="A234" s="19" t="n"/>
      <c r="B234" s="17" t="n"/>
      <c r="C234" s="85" t="n"/>
      <c r="D234" s="85" t="n"/>
      <c r="E234" s="16">
        <f>IF($A234="","",$A234&amp;"|"&amp;DAY($B234))</f>
        <v/>
      </c>
      <c r="F234" s="16">
        <f>IF($A234="","",IF(COUNTIF(設定!$B$64:$B$203,$A234)=0,"⚠ 查無員編",IF(COUNTIF($E$3:$E$502,$E234)&gt;1,"⚠ 重複打卡","OK")))</f>
        <v/>
      </c>
    </row>
    <row r="235">
      <c r="A235" s="19" t="n"/>
      <c r="B235" s="17" t="n"/>
      <c r="C235" s="85" t="n"/>
      <c r="D235" s="85" t="n"/>
      <c r="E235" s="16">
        <f>IF($A235="","",$A235&amp;"|"&amp;DAY($B235))</f>
        <v/>
      </c>
      <c r="F235" s="16">
        <f>IF($A235="","",IF(COUNTIF(設定!$B$64:$B$203,$A235)=0,"⚠ 查無員編",IF(COUNTIF($E$3:$E$502,$E235)&gt;1,"⚠ 重複打卡","OK")))</f>
        <v/>
      </c>
    </row>
    <row r="236">
      <c r="A236" s="19" t="n"/>
      <c r="B236" s="17" t="n"/>
      <c r="C236" s="85" t="n"/>
      <c r="D236" s="85" t="n"/>
      <c r="E236" s="16">
        <f>IF($A236="","",$A236&amp;"|"&amp;DAY($B236))</f>
        <v/>
      </c>
      <c r="F236" s="16">
        <f>IF($A236="","",IF(COUNTIF(設定!$B$64:$B$203,$A236)=0,"⚠ 查無員編",IF(COUNTIF($E$3:$E$502,$E236)&gt;1,"⚠ 重複打卡","OK")))</f>
        <v/>
      </c>
    </row>
    <row r="237">
      <c r="A237" s="19" t="n"/>
      <c r="B237" s="17" t="n"/>
      <c r="C237" s="85" t="n"/>
      <c r="D237" s="85" t="n"/>
      <c r="E237" s="16">
        <f>IF($A237="","",$A237&amp;"|"&amp;DAY($B237))</f>
        <v/>
      </c>
      <c r="F237" s="16">
        <f>IF($A237="","",IF(COUNTIF(設定!$B$64:$B$203,$A237)=0,"⚠ 查無員編",IF(COUNTIF($E$3:$E$502,$E237)&gt;1,"⚠ 重複打卡","OK")))</f>
        <v/>
      </c>
    </row>
    <row r="238">
      <c r="A238" s="19" t="n"/>
      <c r="B238" s="17" t="n"/>
      <c r="C238" s="85" t="n"/>
      <c r="D238" s="85" t="n"/>
      <c r="E238" s="16">
        <f>IF($A238="","",$A238&amp;"|"&amp;DAY($B238))</f>
        <v/>
      </c>
      <c r="F238" s="16">
        <f>IF($A238="","",IF(COUNTIF(設定!$B$64:$B$203,$A238)=0,"⚠ 查無員編",IF(COUNTIF($E$3:$E$502,$E238)&gt;1,"⚠ 重複打卡","OK")))</f>
        <v/>
      </c>
    </row>
    <row r="239">
      <c r="A239" s="19" t="n"/>
      <c r="B239" s="17" t="n"/>
      <c r="C239" s="85" t="n"/>
      <c r="D239" s="85" t="n"/>
      <c r="E239" s="16">
        <f>IF($A239="","",$A239&amp;"|"&amp;DAY($B239))</f>
        <v/>
      </c>
      <c r="F239" s="16">
        <f>IF($A239="","",IF(COUNTIF(設定!$B$64:$B$203,$A239)=0,"⚠ 查無員編",IF(COUNTIF($E$3:$E$502,$E239)&gt;1,"⚠ 重複打卡","OK")))</f>
        <v/>
      </c>
    </row>
    <row r="240">
      <c r="A240" s="19" t="n"/>
      <c r="B240" s="17" t="n"/>
      <c r="C240" s="85" t="n"/>
      <c r="D240" s="85" t="n"/>
      <c r="E240" s="16">
        <f>IF($A240="","",$A240&amp;"|"&amp;DAY($B240))</f>
        <v/>
      </c>
      <c r="F240" s="16">
        <f>IF($A240="","",IF(COUNTIF(設定!$B$64:$B$203,$A240)=0,"⚠ 查無員編",IF(COUNTIF($E$3:$E$502,$E240)&gt;1,"⚠ 重複打卡","OK")))</f>
        <v/>
      </c>
    </row>
    <row r="241">
      <c r="A241" s="19" t="n"/>
      <c r="B241" s="17" t="n"/>
      <c r="C241" s="85" t="n"/>
      <c r="D241" s="85" t="n"/>
      <c r="E241" s="16">
        <f>IF($A241="","",$A241&amp;"|"&amp;DAY($B241))</f>
        <v/>
      </c>
      <c r="F241" s="16">
        <f>IF($A241="","",IF(COUNTIF(設定!$B$64:$B$203,$A241)=0,"⚠ 查無員編",IF(COUNTIF($E$3:$E$502,$E241)&gt;1,"⚠ 重複打卡","OK")))</f>
        <v/>
      </c>
    </row>
    <row r="242">
      <c r="A242" s="19" t="n"/>
      <c r="B242" s="17" t="n"/>
      <c r="C242" s="85" t="n"/>
      <c r="D242" s="85" t="n"/>
      <c r="E242" s="16">
        <f>IF($A242="","",$A242&amp;"|"&amp;DAY($B242))</f>
        <v/>
      </c>
      <c r="F242" s="16">
        <f>IF($A242="","",IF(COUNTIF(設定!$B$64:$B$203,$A242)=0,"⚠ 查無員編",IF(COUNTIF($E$3:$E$502,$E242)&gt;1,"⚠ 重複打卡","OK")))</f>
        <v/>
      </c>
    </row>
    <row r="243">
      <c r="A243" s="19" t="n"/>
      <c r="B243" s="17" t="n"/>
      <c r="C243" s="85" t="n"/>
      <c r="D243" s="85" t="n"/>
      <c r="E243" s="16">
        <f>IF($A243="","",$A243&amp;"|"&amp;DAY($B243))</f>
        <v/>
      </c>
      <c r="F243" s="16">
        <f>IF($A243="","",IF(COUNTIF(設定!$B$64:$B$203,$A243)=0,"⚠ 查無員編",IF(COUNTIF($E$3:$E$502,$E243)&gt;1,"⚠ 重複打卡","OK")))</f>
        <v/>
      </c>
    </row>
    <row r="244">
      <c r="A244" s="19" t="n"/>
      <c r="B244" s="17" t="n"/>
      <c r="C244" s="85" t="n"/>
      <c r="D244" s="85" t="n"/>
      <c r="E244" s="16">
        <f>IF($A244="","",$A244&amp;"|"&amp;DAY($B244))</f>
        <v/>
      </c>
      <c r="F244" s="16">
        <f>IF($A244="","",IF(COUNTIF(設定!$B$64:$B$203,$A244)=0,"⚠ 查無員編",IF(COUNTIF($E$3:$E$502,$E244)&gt;1,"⚠ 重複打卡","OK")))</f>
        <v/>
      </c>
    </row>
    <row r="245">
      <c r="A245" s="19" t="n"/>
      <c r="B245" s="17" t="n"/>
      <c r="C245" s="85" t="n"/>
      <c r="D245" s="85" t="n"/>
      <c r="E245" s="16">
        <f>IF($A245="","",$A245&amp;"|"&amp;DAY($B245))</f>
        <v/>
      </c>
      <c r="F245" s="16">
        <f>IF($A245="","",IF(COUNTIF(設定!$B$64:$B$203,$A245)=0,"⚠ 查無員編",IF(COUNTIF($E$3:$E$502,$E245)&gt;1,"⚠ 重複打卡","OK")))</f>
        <v/>
      </c>
    </row>
    <row r="246">
      <c r="A246" s="19" t="n"/>
      <c r="B246" s="17" t="n"/>
      <c r="C246" s="85" t="n"/>
      <c r="D246" s="85" t="n"/>
      <c r="E246" s="16">
        <f>IF($A246="","",$A246&amp;"|"&amp;DAY($B246))</f>
        <v/>
      </c>
      <c r="F246" s="16">
        <f>IF($A246="","",IF(COUNTIF(設定!$B$64:$B$203,$A246)=0,"⚠ 查無員編",IF(COUNTIF($E$3:$E$502,$E246)&gt;1,"⚠ 重複打卡","OK")))</f>
        <v/>
      </c>
    </row>
    <row r="247">
      <c r="A247" s="19" t="n"/>
      <c r="B247" s="17" t="n"/>
      <c r="C247" s="85" t="n"/>
      <c r="D247" s="85" t="n"/>
      <c r="E247" s="16">
        <f>IF($A247="","",$A247&amp;"|"&amp;DAY($B247))</f>
        <v/>
      </c>
      <c r="F247" s="16">
        <f>IF($A247="","",IF(COUNTIF(設定!$B$64:$B$203,$A247)=0,"⚠ 查無員編",IF(COUNTIF($E$3:$E$502,$E247)&gt;1,"⚠ 重複打卡","OK")))</f>
        <v/>
      </c>
    </row>
    <row r="248">
      <c r="A248" s="19" t="n"/>
      <c r="B248" s="17" t="n"/>
      <c r="C248" s="85" t="n"/>
      <c r="D248" s="85" t="n"/>
      <c r="E248" s="16">
        <f>IF($A248="","",$A248&amp;"|"&amp;DAY($B248))</f>
        <v/>
      </c>
      <c r="F248" s="16">
        <f>IF($A248="","",IF(COUNTIF(設定!$B$64:$B$203,$A248)=0,"⚠ 查無員編",IF(COUNTIF($E$3:$E$502,$E248)&gt;1,"⚠ 重複打卡","OK")))</f>
        <v/>
      </c>
    </row>
    <row r="249">
      <c r="A249" s="19" t="n"/>
      <c r="B249" s="17" t="n"/>
      <c r="C249" s="85" t="n"/>
      <c r="D249" s="85" t="n"/>
      <c r="E249" s="16">
        <f>IF($A249="","",$A249&amp;"|"&amp;DAY($B249))</f>
        <v/>
      </c>
      <c r="F249" s="16">
        <f>IF($A249="","",IF(COUNTIF(設定!$B$64:$B$203,$A249)=0,"⚠ 查無員編",IF(COUNTIF($E$3:$E$502,$E249)&gt;1,"⚠ 重複打卡","OK")))</f>
        <v/>
      </c>
    </row>
    <row r="250">
      <c r="A250" s="19" t="n"/>
      <c r="B250" s="17" t="n"/>
      <c r="C250" s="85" t="n"/>
      <c r="D250" s="85" t="n"/>
      <c r="E250" s="16">
        <f>IF($A250="","",$A250&amp;"|"&amp;DAY($B250))</f>
        <v/>
      </c>
      <c r="F250" s="16">
        <f>IF($A250="","",IF(COUNTIF(設定!$B$64:$B$203,$A250)=0,"⚠ 查無員編",IF(COUNTIF($E$3:$E$502,$E250)&gt;1,"⚠ 重複打卡","OK")))</f>
        <v/>
      </c>
    </row>
    <row r="251">
      <c r="A251" s="19" t="n"/>
      <c r="B251" s="17" t="n"/>
      <c r="C251" s="85" t="n"/>
      <c r="D251" s="85" t="n"/>
      <c r="E251" s="16">
        <f>IF($A251="","",$A251&amp;"|"&amp;DAY($B251))</f>
        <v/>
      </c>
      <c r="F251" s="16">
        <f>IF($A251="","",IF(COUNTIF(設定!$B$64:$B$203,$A251)=0,"⚠ 查無員編",IF(COUNTIF($E$3:$E$502,$E251)&gt;1,"⚠ 重複打卡","OK")))</f>
        <v/>
      </c>
    </row>
    <row r="252">
      <c r="A252" s="19" t="n"/>
      <c r="B252" s="17" t="n"/>
      <c r="C252" s="85" t="n"/>
      <c r="D252" s="85" t="n"/>
      <c r="E252" s="16">
        <f>IF($A252="","",$A252&amp;"|"&amp;DAY($B252))</f>
        <v/>
      </c>
      <c r="F252" s="16">
        <f>IF($A252="","",IF(COUNTIF(設定!$B$64:$B$203,$A252)=0,"⚠ 查無員編",IF(COUNTIF($E$3:$E$502,$E252)&gt;1,"⚠ 重複打卡","OK")))</f>
        <v/>
      </c>
    </row>
    <row r="253">
      <c r="A253" s="19" t="n"/>
      <c r="B253" s="17" t="n"/>
      <c r="C253" s="85" t="n"/>
      <c r="D253" s="85" t="n"/>
      <c r="E253" s="16">
        <f>IF($A253="","",$A253&amp;"|"&amp;DAY($B253))</f>
        <v/>
      </c>
      <c r="F253" s="16">
        <f>IF($A253="","",IF(COUNTIF(設定!$B$64:$B$203,$A253)=0,"⚠ 查無員編",IF(COUNTIF($E$3:$E$502,$E253)&gt;1,"⚠ 重複打卡","OK")))</f>
        <v/>
      </c>
    </row>
    <row r="254">
      <c r="A254" s="19" t="n"/>
      <c r="B254" s="17" t="n"/>
      <c r="C254" s="85" t="n"/>
      <c r="D254" s="85" t="n"/>
      <c r="E254" s="16">
        <f>IF($A254="","",$A254&amp;"|"&amp;DAY($B254))</f>
        <v/>
      </c>
      <c r="F254" s="16">
        <f>IF($A254="","",IF(COUNTIF(設定!$B$64:$B$203,$A254)=0,"⚠ 查無員編",IF(COUNTIF($E$3:$E$502,$E254)&gt;1,"⚠ 重複打卡","OK")))</f>
        <v/>
      </c>
    </row>
    <row r="255">
      <c r="A255" s="19" t="n"/>
      <c r="B255" s="17" t="n"/>
      <c r="C255" s="85" t="n"/>
      <c r="D255" s="85" t="n"/>
      <c r="E255" s="16">
        <f>IF($A255="","",$A255&amp;"|"&amp;DAY($B255))</f>
        <v/>
      </c>
      <c r="F255" s="16">
        <f>IF($A255="","",IF(COUNTIF(設定!$B$64:$B$203,$A255)=0,"⚠ 查無員編",IF(COUNTIF($E$3:$E$502,$E255)&gt;1,"⚠ 重複打卡","OK")))</f>
        <v/>
      </c>
    </row>
    <row r="256">
      <c r="A256" s="19" t="n"/>
      <c r="B256" s="17" t="n"/>
      <c r="C256" s="85" t="n"/>
      <c r="D256" s="85" t="n"/>
      <c r="E256" s="16">
        <f>IF($A256="","",$A256&amp;"|"&amp;DAY($B256))</f>
        <v/>
      </c>
      <c r="F256" s="16">
        <f>IF($A256="","",IF(COUNTIF(設定!$B$64:$B$203,$A256)=0,"⚠ 查無員編",IF(COUNTIF($E$3:$E$502,$E256)&gt;1,"⚠ 重複打卡","OK")))</f>
        <v/>
      </c>
    </row>
    <row r="257">
      <c r="A257" s="19" t="n"/>
      <c r="B257" s="17" t="n"/>
      <c r="C257" s="85" t="n"/>
      <c r="D257" s="85" t="n"/>
      <c r="E257" s="16">
        <f>IF($A257="","",$A257&amp;"|"&amp;DAY($B257))</f>
        <v/>
      </c>
      <c r="F257" s="16">
        <f>IF($A257="","",IF(COUNTIF(設定!$B$64:$B$203,$A257)=0,"⚠ 查無員編",IF(COUNTIF($E$3:$E$502,$E257)&gt;1,"⚠ 重複打卡","OK")))</f>
        <v/>
      </c>
    </row>
    <row r="258">
      <c r="A258" s="19" t="n"/>
      <c r="B258" s="17" t="n"/>
      <c r="C258" s="85" t="n"/>
      <c r="D258" s="85" t="n"/>
      <c r="E258" s="16">
        <f>IF($A258="","",$A258&amp;"|"&amp;DAY($B258))</f>
        <v/>
      </c>
      <c r="F258" s="16">
        <f>IF($A258="","",IF(COUNTIF(設定!$B$64:$B$203,$A258)=0,"⚠ 查無員編",IF(COUNTIF($E$3:$E$502,$E258)&gt;1,"⚠ 重複打卡","OK")))</f>
        <v/>
      </c>
    </row>
    <row r="259">
      <c r="A259" s="19" t="n"/>
      <c r="B259" s="17" t="n"/>
      <c r="C259" s="85" t="n"/>
      <c r="D259" s="85" t="n"/>
      <c r="E259" s="16">
        <f>IF($A259="","",$A259&amp;"|"&amp;DAY($B259))</f>
        <v/>
      </c>
      <c r="F259" s="16">
        <f>IF($A259="","",IF(COUNTIF(設定!$B$64:$B$203,$A259)=0,"⚠ 查無員編",IF(COUNTIF($E$3:$E$502,$E259)&gt;1,"⚠ 重複打卡","OK")))</f>
        <v/>
      </c>
    </row>
    <row r="260">
      <c r="A260" s="19" t="n"/>
      <c r="B260" s="17" t="n"/>
      <c r="C260" s="85" t="n"/>
      <c r="D260" s="85" t="n"/>
      <c r="E260" s="16">
        <f>IF($A260="","",$A260&amp;"|"&amp;DAY($B260))</f>
        <v/>
      </c>
      <c r="F260" s="16">
        <f>IF($A260="","",IF(COUNTIF(設定!$B$64:$B$203,$A260)=0,"⚠ 查無員編",IF(COUNTIF($E$3:$E$502,$E260)&gt;1,"⚠ 重複打卡","OK")))</f>
        <v/>
      </c>
    </row>
    <row r="261">
      <c r="A261" s="19" t="n"/>
      <c r="B261" s="17" t="n"/>
      <c r="C261" s="85" t="n"/>
      <c r="D261" s="85" t="n"/>
      <c r="E261" s="16">
        <f>IF($A261="","",$A261&amp;"|"&amp;DAY($B261))</f>
        <v/>
      </c>
      <c r="F261" s="16">
        <f>IF($A261="","",IF(COUNTIF(設定!$B$64:$B$203,$A261)=0,"⚠ 查無員編",IF(COUNTIF($E$3:$E$502,$E261)&gt;1,"⚠ 重複打卡","OK")))</f>
        <v/>
      </c>
    </row>
    <row r="262">
      <c r="A262" s="19" t="n"/>
      <c r="B262" s="17" t="n"/>
      <c r="C262" s="85" t="n"/>
      <c r="D262" s="85" t="n"/>
      <c r="E262" s="16">
        <f>IF($A262="","",$A262&amp;"|"&amp;DAY($B262))</f>
        <v/>
      </c>
      <c r="F262" s="16">
        <f>IF($A262="","",IF(COUNTIF(設定!$B$64:$B$203,$A262)=0,"⚠ 查無員編",IF(COUNTIF($E$3:$E$502,$E262)&gt;1,"⚠ 重複打卡","OK")))</f>
        <v/>
      </c>
    </row>
    <row r="263">
      <c r="A263" s="19" t="n"/>
      <c r="B263" s="17" t="n"/>
      <c r="C263" s="85" t="n"/>
      <c r="D263" s="85" t="n"/>
      <c r="E263" s="16">
        <f>IF($A263="","",$A263&amp;"|"&amp;DAY($B263))</f>
        <v/>
      </c>
      <c r="F263" s="16">
        <f>IF($A263="","",IF(COUNTIF(設定!$B$64:$B$203,$A263)=0,"⚠ 查無員編",IF(COUNTIF($E$3:$E$502,$E263)&gt;1,"⚠ 重複打卡","OK")))</f>
        <v/>
      </c>
    </row>
    <row r="264">
      <c r="A264" s="19" t="n"/>
      <c r="B264" s="17" t="n"/>
      <c r="C264" s="85" t="n"/>
      <c r="D264" s="85" t="n"/>
      <c r="E264" s="16">
        <f>IF($A264="","",$A264&amp;"|"&amp;DAY($B264))</f>
        <v/>
      </c>
      <c r="F264" s="16">
        <f>IF($A264="","",IF(COUNTIF(設定!$B$64:$B$203,$A264)=0,"⚠ 查無員編",IF(COUNTIF($E$3:$E$502,$E264)&gt;1,"⚠ 重複打卡","OK")))</f>
        <v/>
      </c>
    </row>
    <row r="265">
      <c r="A265" s="19" t="n"/>
      <c r="B265" s="17" t="n"/>
      <c r="C265" s="85" t="n"/>
      <c r="D265" s="85" t="n"/>
      <c r="E265" s="16">
        <f>IF($A265="","",$A265&amp;"|"&amp;DAY($B265))</f>
        <v/>
      </c>
      <c r="F265" s="16">
        <f>IF($A265="","",IF(COUNTIF(設定!$B$64:$B$203,$A265)=0,"⚠ 查無員編",IF(COUNTIF($E$3:$E$502,$E265)&gt;1,"⚠ 重複打卡","OK")))</f>
        <v/>
      </c>
    </row>
    <row r="266">
      <c r="A266" s="19" t="n"/>
      <c r="B266" s="17" t="n"/>
      <c r="C266" s="85" t="n"/>
      <c r="D266" s="85" t="n"/>
      <c r="E266" s="16">
        <f>IF($A266="","",$A266&amp;"|"&amp;DAY($B266))</f>
        <v/>
      </c>
      <c r="F266" s="16">
        <f>IF($A266="","",IF(COUNTIF(設定!$B$64:$B$203,$A266)=0,"⚠ 查無員編",IF(COUNTIF($E$3:$E$502,$E266)&gt;1,"⚠ 重複打卡","OK")))</f>
        <v/>
      </c>
    </row>
    <row r="267">
      <c r="A267" s="19" t="n"/>
      <c r="B267" s="17" t="n"/>
      <c r="C267" s="85" t="n"/>
      <c r="D267" s="85" t="n"/>
      <c r="E267" s="16">
        <f>IF($A267="","",$A267&amp;"|"&amp;DAY($B267))</f>
        <v/>
      </c>
      <c r="F267" s="16">
        <f>IF($A267="","",IF(COUNTIF(設定!$B$64:$B$203,$A267)=0,"⚠ 查無員編",IF(COUNTIF($E$3:$E$502,$E267)&gt;1,"⚠ 重複打卡","OK")))</f>
        <v/>
      </c>
    </row>
    <row r="268">
      <c r="A268" s="19" t="n"/>
      <c r="B268" s="17" t="n"/>
      <c r="C268" s="85" t="n"/>
      <c r="D268" s="85" t="n"/>
      <c r="E268" s="16">
        <f>IF($A268="","",$A268&amp;"|"&amp;DAY($B268))</f>
        <v/>
      </c>
      <c r="F268" s="16">
        <f>IF($A268="","",IF(COUNTIF(設定!$B$64:$B$203,$A268)=0,"⚠ 查無員編",IF(COUNTIF($E$3:$E$502,$E268)&gt;1,"⚠ 重複打卡","OK")))</f>
        <v/>
      </c>
    </row>
    <row r="269">
      <c r="A269" s="19" t="n"/>
      <c r="B269" s="17" t="n"/>
      <c r="C269" s="85" t="n"/>
      <c r="D269" s="85" t="n"/>
      <c r="E269" s="16">
        <f>IF($A269="","",$A269&amp;"|"&amp;DAY($B269))</f>
        <v/>
      </c>
      <c r="F269" s="16">
        <f>IF($A269="","",IF(COUNTIF(設定!$B$64:$B$203,$A269)=0,"⚠ 查無員編",IF(COUNTIF($E$3:$E$502,$E269)&gt;1,"⚠ 重複打卡","OK")))</f>
        <v/>
      </c>
    </row>
    <row r="270">
      <c r="A270" s="19" t="n"/>
      <c r="B270" s="17" t="n"/>
      <c r="C270" s="85" t="n"/>
      <c r="D270" s="85" t="n"/>
      <c r="E270" s="16">
        <f>IF($A270="","",$A270&amp;"|"&amp;DAY($B270))</f>
        <v/>
      </c>
      <c r="F270" s="16">
        <f>IF($A270="","",IF(COUNTIF(設定!$B$64:$B$203,$A270)=0,"⚠ 查無員編",IF(COUNTIF($E$3:$E$502,$E270)&gt;1,"⚠ 重複打卡","OK")))</f>
        <v/>
      </c>
    </row>
    <row r="271">
      <c r="A271" s="19" t="n"/>
      <c r="B271" s="17" t="n"/>
      <c r="C271" s="85" t="n"/>
      <c r="D271" s="85" t="n"/>
      <c r="E271" s="16">
        <f>IF($A271="","",$A271&amp;"|"&amp;DAY($B271))</f>
        <v/>
      </c>
      <c r="F271" s="16">
        <f>IF($A271="","",IF(COUNTIF(設定!$B$64:$B$203,$A271)=0,"⚠ 查無員編",IF(COUNTIF($E$3:$E$502,$E271)&gt;1,"⚠ 重複打卡","OK")))</f>
        <v/>
      </c>
    </row>
    <row r="272">
      <c r="A272" s="19" t="n"/>
      <c r="B272" s="17" t="n"/>
      <c r="C272" s="85" t="n"/>
      <c r="D272" s="85" t="n"/>
      <c r="E272" s="16">
        <f>IF($A272="","",$A272&amp;"|"&amp;DAY($B272))</f>
        <v/>
      </c>
      <c r="F272" s="16">
        <f>IF($A272="","",IF(COUNTIF(設定!$B$64:$B$203,$A272)=0,"⚠ 查無員編",IF(COUNTIF($E$3:$E$502,$E272)&gt;1,"⚠ 重複打卡","OK")))</f>
        <v/>
      </c>
    </row>
    <row r="273">
      <c r="A273" s="19" t="n"/>
      <c r="B273" s="17" t="n"/>
      <c r="C273" s="85" t="n"/>
      <c r="D273" s="85" t="n"/>
      <c r="E273" s="16">
        <f>IF($A273="","",$A273&amp;"|"&amp;DAY($B273))</f>
        <v/>
      </c>
      <c r="F273" s="16">
        <f>IF($A273="","",IF(COUNTIF(設定!$B$64:$B$203,$A273)=0,"⚠ 查無員編",IF(COUNTIF($E$3:$E$502,$E273)&gt;1,"⚠ 重複打卡","OK")))</f>
        <v/>
      </c>
    </row>
    <row r="274">
      <c r="A274" s="19" t="n"/>
      <c r="B274" s="17" t="n"/>
      <c r="C274" s="85" t="n"/>
      <c r="D274" s="85" t="n"/>
      <c r="E274" s="16">
        <f>IF($A274="","",$A274&amp;"|"&amp;DAY($B274))</f>
        <v/>
      </c>
      <c r="F274" s="16">
        <f>IF($A274="","",IF(COUNTIF(設定!$B$64:$B$203,$A274)=0,"⚠ 查無員編",IF(COUNTIF($E$3:$E$502,$E274)&gt;1,"⚠ 重複打卡","OK")))</f>
        <v/>
      </c>
    </row>
    <row r="275">
      <c r="A275" s="19" t="n"/>
      <c r="B275" s="17" t="n"/>
      <c r="C275" s="85" t="n"/>
      <c r="D275" s="85" t="n"/>
      <c r="E275" s="16">
        <f>IF($A275="","",$A275&amp;"|"&amp;DAY($B275))</f>
        <v/>
      </c>
      <c r="F275" s="16">
        <f>IF($A275="","",IF(COUNTIF(設定!$B$64:$B$203,$A275)=0,"⚠ 查無員編",IF(COUNTIF($E$3:$E$502,$E275)&gt;1,"⚠ 重複打卡","OK")))</f>
        <v/>
      </c>
    </row>
    <row r="276">
      <c r="A276" s="19" t="n"/>
      <c r="B276" s="17" t="n"/>
      <c r="C276" s="85" t="n"/>
      <c r="D276" s="85" t="n"/>
      <c r="E276" s="16">
        <f>IF($A276="","",$A276&amp;"|"&amp;DAY($B276))</f>
        <v/>
      </c>
      <c r="F276" s="16">
        <f>IF($A276="","",IF(COUNTIF(設定!$B$64:$B$203,$A276)=0,"⚠ 查無員編",IF(COUNTIF($E$3:$E$502,$E276)&gt;1,"⚠ 重複打卡","OK")))</f>
        <v/>
      </c>
    </row>
    <row r="277">
      <c r="A277" s="19" t="n"/>
      <c r="B277" s="17" t="n"/>
      <c r="C277" s="85" t="n"/>
      <c r="D277" s="85" t="n"/>
      <c r="E277" s="16">
        <f>IF($A277="","",$A277&amp;"|"&amp;DAY($B277))</f>
        <v/>
      </c>
      <c r="F277" s="16">
        <f>IF($A277="","",IF(COUNTIF(設定!$B$64:$B$203,$A277)=0,"⚠ 查無員編",IF(COUNTIF($E$3:$E$502,$E277)&gt;1,"⚠ 重複打卡","OK")))</f>
        <v/>
      </c>
    </row>
    <row r="278">
      <c r="A278" s="19" t="n"/>
      <c r="B278" s="17" t="n"/>
      <c r="C278" s="85" t="n"/>
      <c r="D278" s="85" t="n"/>
      <c r="E278" s="16">
        <f>IF($A278="","",$A278&amp;"|"&amp;DAY($B278))</f>
        <v/>
      </c>
      <c r="F278" s="16">
        <f>IF($A278="","",IF(COUNTIF(設定!$B$64:$B$203,$A278)=0,"⚠ 查無員編",IF(COUNTIF($E$3:$E$502,$E278)&gt;1,"⚠ 重複打卡","OK")))</f>
        <v/>
      </c>
    </row>
    <row r="279">
      <c r="A279" s="19" t="n"/>
      <c r="B279" s="17" t="n"/>
      <c r="C279" s="85" t="n"/>
      <c r="D279" s="85" t="n"/>
      <c r="E279" s="16">
        <f>IF($A279="","",$A279&amp;"|"&amp;DAY($B279))</f>
        <v/>
      </c>
      <c r="F279" s="16">
        <f>IF($A279="","",IF(COUNTIF(設定!$B$64:$B$203,$A279)=0,"⚠ 查無員編",IF(COUNTIF($E$3:$E$502,$E279)&gt;1,"⚠ 重複打卡","OK")))</f>
        <v/>
      </c>
    </row>
    <row r="280">
      <c r="A280" s="19" t="n"/>
      <c r="B280" s="17" t="n"/>
      <c r="C280" s="85" t="n"/>
      <c r="D280" s="85" t="n"/>
      <c r="E280" s="16">
        <f>IF($A280="","",$A280&amp;"|"&amp;DAY($B280))</f>
        <v/>
      </c>
      <c r="F280" s="16">
        <f>IF($A280="","",IF(COUNTIF(設定!$B$64:$B$203,$A280)=0,"⚠ 查無員編",IF(COUNTIF($E$3:$E$502,$E280)&gt;1,"⚠ 重複打卡","OK")))</f>
        <v/>
      </c>
    </row>
    <row r="281">
      <c r="A281" s="19" t="n"/>
      <c r="B281" s="17" t="n"/>
      <c r="C281" s="85" t="n"/>
      <c r="D281" s="85" t="n"/>
      <c r="E281" s="16">
        <f>IF($A281="","",$A281&amp;"|"&amp;DAY($B281))</f>
        <v/>
      </c>
      <c r="F281" s="16">
        <f>IF($A281="","",IF(COUNTIF(設定!$B$64:$B$203,$A281)=0,"⚠ 查無員編",IF(COUNTIF($E$3:$E$502,$E281)&gt;1,"⚠ 重複打卡","OK")))</f>
        <v/>
      </c>
    </row>
    <row r="282">
      <c r="A282" s="19" t="n"/>
      <c r="B282" s="17" t="n"/>
      <c r="C282" s="85" t="n"/>
      <c r="D282" s="85" t="n"/>
      <c r="E282" s="16">
        <f>IF($A282="","",$A282&amp;"|"&amp;DAY($B282))</f>
        <v/>
      </c>
      <c r="F282" s="16">
        <f>IF($A282="","",IF(COUNTIF(設定!$B$64:$B$203,$A282)=0,"⚠ 查無員編",IF(COUNTIF($E$3:$E$502,$E282)&gt;1,"⚠ 重複打卡","OK")))</f>
        <v/>
      </c>
    </row>
    <row r="283">
      <c r="A283" s="19" t="n"/>
      <c r="B283" s="17" t="n"/>
      <c r="C283" s="85" t="n"/>
      <c r="D283" s="85" t="n"/>
      <c r="E283" s="16">
        <f>IF($A283="","",$A283&amp;"|"&amp;DAY($B283))</f>
        <v/>
      </c>
      <c r="F283" s="16">
        <f>IF($A283="","",IF(COUNTIF(設定!$B$64:$B$203,$A283)=0,"⚠ 查無員編",IF(COUNTIF($E$3:$E$502,$E283)&gt;1,"⚠ 重複打卡","OK")))</f>
        <v/>
      </c>
    </row>
    <row r="284">
      <c r="A284" s="19" t="n"/>
      <c r="B284" s="17" t="n"/>
      <c r="C284" s="85" t="n"/>
      <c r="D284" s="85" t="n"/>
      <c r="E284" s="16">
        <f>IF($A284="","",$A284&amp;"|"&amp;DAY($B284))</f>
        <v/>
      </c>
      <c r="F284" s="16">
        <f>IF($A284="","",IF(COUNTIF(設定!$B$64:$B$203,$A284)=0,"⚠ 查無員編",IF(COUNTIF($E$3:$E$502,$E284)&gt;1,"⚠ 重複打卡","OK")))</f>
        <v/>
      </c>
    </row>
    <row r="285">
      <c r="A285" s="19" t="n"/>
      <c r="B285" s="17" t="n"/>
      <c r="C285" s="85" t="n"/>
      <c r="D285" s="85" t="n"/>
      <c r="E285" s="16">
        <f>IF($A285="","",$A285&amp;"|"&amp;DAY($B285))</f>
        <v/>
      </c>
      <c r="F285" s="16">
        <f>IF($A285="","",IF(COUNTIF(設定!$B$64:$B$203,$A285)=0,"⚠ 查無員編",IF(COUNTIF($E$3:$E$502,$E285)&gt;1,"⚠ 重複打卡","OK")))</f>
        <v/>
      </c>
    </row>
    <row r="286">
      <c r="A286" s="19" t="n"/>
      <c r="B286" s="17" t="n"/>
      <c r="C286" s="85" t="n"/>
      <c r="D286" s="85" t="n"/>
      <c r="E286" s="16">
        <f>IF($A286="","",$A286&amp;"|"&amp;DAY($B286))</f>
        <v/>
      </c>
      <c r="F286" s="16">
        <f>IF($A286="","",IF(COUNTIF(設定!$B$64:$B$203,$A286)=0,"⚠ 查無員編",IF(COUNTIF($E$3:$E$502,$E286)&gt;1,"⚠ 重複打卡","OK")))</f>
        <v/>
      </c>
    </row>
    <row r="287">
      <c r="A287" s="19" t="n"/>
      <c r="B287" s="17" t="n"/>
      <c r="C287" s="85" t="n"/>
      <c r="D287" s="85" t="n"/>
      <c r="E287" s="16">
        <f>IF($A287="","",$A287&amp;"|"&amp;DAY($B287))</f>
        <v/>
      </c>
      <c r="F287" s="16">
        <f>IF($A287="","",IF(COUNTIF(設定!$B$64:$B$203,$A287)=0,"⚠ 查無員編",IF(COUNTIF($E$3:$E$502,$E287)&gt;1,"⚠ 重複打卡","OK")))</f>
        <v/>
      </c>
    </row>
    <row r="288">
      <c r="A288" s="19" t="n"/>
      <c r="B288" s="17" t="n"/>
      <c r="C288" s="85" t="n"/>
      <c r="D288" s="85" t="n"/>
      <c r="E288" s="16">
        <f>IF($A288="","",$A288&amp;"|"&amp;DAY($B288))</f>
        <v/>
      </c>
      <c r="F288" s="16">
        <f>IF($A288="","",IF(COUNTIF(設定!$B$64:$B$203,$A288)=0,"⚠ 查無員編",IF(COUNTIF($E$3:$E$502,$E288)&gt;1,"⚠ 重複打卡","OK")))</f>
        <v/>
      </c>
    </row>
    <row r="289">
      <c r="A289" s="19" t="n"/>
      <c r="B289" s="17" t="n"/>
      <c r="C289" s="85" t="n"/>
      <c r="D289" s="85" t="n"/>
      <c r="E289" s="16">
        <f>IF($A289="","",$A289&amp;"|"&amp;DAY($B289))</f>
        <v/>
      </c>
      <c r="F289" s="16">
        <f>IF($A289="","",IF(COUNTIF(設定!$B$64:$B$203,$A289)=0,"⚠ 查無員編",IF(COUNTIF($E$3:$E$502,$E289)&gt;1,"⚠ 重複打卡","OK")))</f>
        <v/>
      </c>
    </row>
    <row r="290">
      <c r="A290" s="19" t="n"/>
      <c r="B290" s="17" t="n"/>
      <c r="C290" s="85" t="n"/>
      <c r="D290" s="85" t="n"/>
      <c r="E290" s="16">
        <f>IF($A290="","",$A290&amp;"|"&amp;DAY($B290))</f>
        <v/>
      </c>
      <c r="F290" s="16">
        <f>IF($A290="","",IF(COUNTIF(設定!$B$64:$B$203,$A290)=0,"⚠ 查無員編",IF(COUNTIF($E$3:$E$502,$E290)&gt;1,"⚠ 重複打卡","OK")))</f>
        <v/>
      </c>
    </row>
    <row r="291">
      <c r="A291" s="19" t="n"/>
      <c r="B291" s="17" t="n"/>
      <c r="C291" s="85" t="n"/>
      <c r="D291" s="85" t="n"/>
      <c r="E291" s="16">
        <f>IF($A291="","",$A291&amp;"|"&amp;DAY($B291))</f>
        <v/>
      </c>
      <c r="F291" s="16">
        <f>IF($A291="","",IF(COUNTIF(設定!$B$64:$B$203,$A291)=0,"⚠ 查無員編",IF(COUNTIF($E$3:$E$502,$E291)&gt;1,"⚠ 重複打卡","OK")))</f>
        <v/>
      </c>
    </row>
    <row r="292">
      <c r="A292" s="19" t="n"/>
      <c r="B292" s="17" t="n"/>
      <c r="C292" s="85" t="n"/>
      <c r="D292" s="85" t="n"/>
      <c r="E292" s="16">
        <f>IF($A292="","",$A292&amp;"|"&amp;DAY($B292))</f>
        <v/>
      </c>
      <c r="F292" s="16">
        <f>IF($A292="","",IF(COUNTIF(設定!$B$64:$B$203,$A292)=0,"⚠ 查無員編",IF(COUNTIF($E$3:$E$502,$E292)&gt;1,"⚠ 重複打卡","OK")))</f>
        <v/>
      </c>
    </row>
    <row r="293">
      <c r="A293" s="19" t="n"/>
      <c r="B293" s="17" t="n"/>
      <c r="C293" s="85" t="n"/>
      <c r="D293" s="85" t="n"/>
      <c r="E293" s="16">
        <f>IF($A293="","",$A293&amp;"|"&amp;DAY($B293))</f>
        <v/>
      </c>
      <c r="F293" s="16">
        <f>IF($A293="","",IF(COUNTIF(設定!$B$64:$B$203,$A293)=0,"⚠ 查無員編",IF(COUNTIF($E$3:$E$502,$E293)&gt;1,"⚠ 重複打卡","OK")))</f>
        <v/>
      </c>
    </row>
    <row r="294">
      <c r="A294" s="19" t="n"/>
      <c r="B294" s="17" t="n"/>
      <c r="C294" s="85" t="n"/>
      <c r="D294" s="85" t="n"/>
      <c r="E294" s="16">
        <f>IF($A294="","",$A294&amp;"|"&amp;DAY($B294))</f>
        <v/>
      </c>
      <c r="F294" s="16">
        <f>IF($A294="","",IF(COUNTIF(設定!$B$64:$B$203,$A294)=0,"⚠ 查無員編",IF(COUNTIF($E$3:$E$502,$E294)&gt;1,"⚠ 重複打卡","OK")))</f>
        <v/>
      </c>
    </row>
    <row r="295">
      <c r="A295" s="19" t="n"/>
      <c r="B295" s="17" t="n"/>
      <c r="C295" s="85" t="n"/>
      <c r="D295" s="85" t="n"/>
      <c r="E295" s="16">
        <f>IF($A295="","",$A295&amp;"|"&amp;DAY($B295))</f>
        <v/>
      </c>
      <c r="F295" s="16">
        <f>IF($A295="","",IF(COUNTIF(設定!$B$64:$B$203,$A295)=0,"⚠ 查無員編",IF(COUNTIF($E$3:$E$502,$E295)&gt;1,"⚠ 重複打卡","OK")))</f>
        <v/>
      </c>
    </row>
    <row r="296">
      <c r="A296" s="19" t="n"/>
      <c r="B296" s="17" t="n"/>
      <c r="C296" s="85" t="n"/>
      <c r="D296" s="85" t="n"/>
      <c r="E296" s="16">
        <f>IF($A296="","",$A296&amp;"|"&amp;DAY($B296))</f>
        <v/>
      </c>
      <c r="F296" s="16">
        <f>IF($A296="","",IF(COUNTIF(設定!$B$64:$B$203,$A296)=0,"⚠ 查無員編",IF(COUNTIF($E$3:$E$502,$E296)&gt;1,"⚠ 重複打卡","OK")))</f>
        <v/>
      </c>
    </row>
    <row r="297">
      <c r="A297" s="19" t="n"/>
      <c r="B297" s="17" t="n"/>
      <c r="C297" s="85" t="n"/>
      <c r="D297" s="85" t="n"/>
      <c r="E297" s="16">
        <f>IF($A297="","",$A297&amp;"|"&amp;DAY($B297))</f>
        <v/>
      </c>
      <c r="F297" s="16">
        <f>IF($A297="","",IF(COUNTIF(設定!$B$64:$B$203,$A297)=0,"⚠ 查無員編",IF(COUNTIF($E$3:$E$502,$E297)&gt;1,"⚠ 重複打卡","OK")))</f>
        <v/>
      </c>
    </row>
    <row r="298">
      <c r="A298" s="19" t="n"/>
      <c r="B298" s="17" t="n"/>
      <c r="C298" s="85" t="n"/>
      <c r="D298" s="85" t="n"/>
      <c r="E298" s="16">
        <f>IF($A298="","",$A298&amp;"|"&amp;DAY($B298))</f>
        <v/>
      </c>
      <c r="F298" s="16">
        <f>IF($A298="","",IF(COUNTIF(設定!$B$64:$B$203,$A298)=0,"⚠ 查無員編",IF(COUNTIF($E$3:$E$502,$E298)&gt;1,"⚠ 重複打卡","OK")))</f>
        <v/>
      </c>
    </row>
    <row r="299">
      <c r="A299" s="19" t="n"/>
      <c r="B299" s="17" t="n"/>
      <c r="C299" s="85" t="n"/>
      <c r="D299" s="85" t="n"/>
      <c r="E299" s="16">
        <f>IF($A299="","",$A299&amp;"|"&amp;DAY($B299))</f>
        <v/>
      </c>
      <c r="F299" s="16">
        <f>IF($A299="","",IF(COUNTIF(設定!$B$64:$B$203,$A299)=0,"⚠ 查無員編",IF(COUNTIF($E$3:$E$502,$E299)&gt;1,"⚠ 重複打卡","OK")))</f>
        <v/>
      </c>
    </row>
    <row r="300">
      <c r="A300" s="19" t="n"/>
      <c r="B300" s="17" t="n"/>
      <c r="C300" s="85" t="n"/>
      <c r="D300" s="85" t="n"/>
      <c r="E300" s="16">
        <f>IF($A300="","",$A300&amp;"|"&amp;DAY($B300))</f>
        <v/>
      </c>
      <c r="F300" s="16">
        <f>IF($A300="","",IF(COUNTIF(設定!$B$64:$B$203,$A300)=0,"⚠ 查無員編",IF(COUNTIF($E$3:$E$502,$E300)&gt;1,"⚠ 重複打卡","OK")))</f>
        <v/>
      </c>
    </row>
    <row r="301">
      <c r="A301" s="19" t="n"/>
      <c r="B301" s="17" t="n"/>
      <c r="C301" s="85" t="n"/>
      <c r="D301" s="85" t="n"/>
      <c r="E301" s="16">
        <f>IF($A301="","",$A301&amp;"|"&amp;DAY($B301))</f>
        <v/>
      </c>
      <c r="F301" s="16">
        <f>IF($A301="","",IF(COUNTIF(設定!$B$64:$B$203,$A301)=0,"⚠ 查無員編",IF(COUNTIF($E$3:$E$502,$E301)&gt;1,"⚠ 重複打卡","OK")))</f>
        <v/>
      </c>
    </row>
    <row r="302">
      <c r="A302" s="19" t="n"/>
      <c r="B302" s="17" t="n"/>
      <c r="C302" s="85" t="n"/>
      <c r="D302" s="85" t="n"/>
      <c r="E302" s="16">
        <f>IF($A302="","",$A302&amp;"|"&amp;DAY($B302))</f>
        <v/>
      </c>
      <c r="F302" s="16">
        <f>IF($A302="","",IF(COUNTIF(設定!$B$64:$B$203,$A302)=0,"⚠ 查無員編",IF(COUNTIF($E$3:$E$502,$E302)&gt;1,"⚠ 重複打卡","OK")))</f>
        <v/>
      </c>
    </row>
    <row r="303">
      <c r="A303" s="19" t="n"/>
      <c r="B303" s="17" t="n"/>
      <c r="C303" s="85" t="n"/>
      <c r="D303" s="85" t="n"/>
      <c r="E303" s="16">
        <f>IF($A303="","",$A303&amp;"|"&amp;DAY($B303))</f>
        <v/>
      </c>
      <c r="F303" s="16">
        <f>IF($A303="","",IF(COUNTIF(設定!$B$64:$B$203,$A303)=0,"⚠ 查無員編",IF(COUNTIF($E$3:$E$502,$E303)&gt;1,"⚠ 重複打卡","OK")))</f>
        <v/>
      </c>
    </row>
    <row r="304">
      <c r="A304" s="19" t="n"/>
      <c r="B304" s="17" t="n"/>
      <c r="C304" s="85" t="n"/>
      <c r="D304" s="85" t="n"/>
      <c r="E304" s="16">
        <f>IF($A304="","",$A304&amp;"|"&amp;DAY($B304))</f>
        <v/>
      </c>
      <c r="F304" s="16">
        <f>IF($A304="","",IF(COUNTIF(設定!$B$64:$B$203,$A304)=0,"⚠ 查無員編",IF(COUNTIF($E$3:$E$502,$E304)&gt;1,"⚠ 重複打卡","OK")))</f>
        <v/>
      </c>
    </row>
    <row r="305">
      <c r="A305" s="19" t="n"/>
      <c r="B305" s="17" t="n"/>
      <c r="C305" s="85" t="n"/>
      <c r="D305" s="85" t="n"/>
      <c r="E305" s="16">
        <f>IF($A305="","",$A305&amp;"|"&amp;DAY($B305))</f>
        <v/>
      </c>
      <c r="F305" s="16">
        <f>IF($A305="","",IF(COUNTIF(設定!$B$64:$B$203,$A305)=0,"⚠ 查無員編",IF(COUNTIF($E$3:$E$502,$E305)&gt;1,"⚠ 重複打卡","OK")))</f>
        <v/>
      </c>
    </row>
    <row r="306">
      <c r="A306" s="19" t="n"/>
      <c r="B306" s="17" t="n"/>
      <c r="C306" s="85" t="n"/>
      <c r="D306" s="85" t="n"/>
      <c r="E306" s="16">
        <f>IF($A306="","",$A306&amp;"|"&amp;DAY($B306))</f>
        <v/>
      </c>
      <c r="F306" s="16">
        <f>IF($A306="","",IF(COUNTIF(設定!$B$64:$B$203,$A306)=0,"⚠ 查無員編",IF(COUNTIF($E$3:$E$502,$E306)&gt;1,"⚠ 重複打卡","OK")))</f>
        <v/>
      </c>
    </row>
    <row r="307">
      <c r="A307" s="19" t="n"/>
      <c r="B307" s="17" t="n"/>
      <c r="C307" s="85" t="n"/>
      <c r="D307" s="85" t="n"/>
      <c r="E307" s="16">
        <f>IF($A307="","",$A307&amp;"|"&amp;DAY($B307))</f>
        <v/>
      </c>
      <c r="F307" s="16">
        <f>IF($A307="","",IF(COUNTIF(設定!$B$64:$B$203,$A307)=0,"⚠ 查無員編",IF(COUNTIF($E$3:$E$502,$E307)&gt;1,"⚠ 重複打卡","OK")))</f>
        <v/>
      </c>
    </row>
    <row r="308">
      <c r="A308" s="19" t="n"/>
      <c r="B308" s="17" t="n"/>
      <c r="C308" s="85" t="n"/>
      <c r="D308" s="85" t="n"/>
      <c r="E308" s="16">
        <f>IF($A308="","",$A308&amp;"|"&amp;DAY($B308))</f>
        <v/>
      </c>
      <c r="F308" s="16">
        <f>IF($A308="","",IF(COUNTIF(設定!$B$64:$B$203,$A308)=0,"⚠ 查無員編",IF(COUNTIF($E$3:$E$502,$E308)&gt;1,"⚠ 重複打卡","OK")))</f>
        <v/>
      </c>
    </row>
    <row r="309">
      <c r="A309" s="19" t="n"/>
      <c r="B309" s="17" t="n"/>
      <c r="C309" s="85" t="n"/>
      <c r="D309" s="85" t="n"/>
      <c r="E309" s="16">
        <f>IF($A309="","",$A309&amp;"|"&amp;DAY($B309))</f>
        <v/>
      </c>
      <c r="F309" s="16">
        <f>IF($A309="","",IF(COUNTIF(設定!$B$64:$B$203,$A309)=0,"⚠ 查無員編",IF(COUNTIF($E$3:$E$502,$E309)&gt;1,"⚠ 重複打卡","OK")))</f>
        <v/>
      </c>
    </row>
    <row r="310">
      <c r="A310" s="19" t="n"/>
      <c r="B310" s="17" t="n"/>
      <c r="C310" s="85" t="n"/>
      <c r="D310" s="85" t="n"/>
      <c r="E310" s="16">
        <f>IF($A310="","",$A310&amp;"|"&amp;DAY($B310))</f>
        <v/>
      </c>
      <c r="F310" s="16">
        <f>IF($A310="","",IF(COUNTIF(設定!$B$64:$B$203,$A310)=0,"⚠ 查無員編",IF(COUNTIF($E$3:$E$502,$E310)&gt;1,"⚠ 重複打卡","OK")))</f>
        <v/>
      </c>
    </row>
    <row r="311">
      <c r="A311" s="19" t="n"/>
      <c r="B311" s="17" t="n"/>
      <c r="C311" s="85" t="n"/>
      <c r="D311" s="85" t="n"/>
      <c r="E311" s="16">
        <f>IF($A311="","",$A311&amp;"|"&amp;DAY($B311))</f>
        <v/>
      </c>
      <c r="F311" s="16">
        <f>IF($A311="","",IF(COUNTIF(設定!$B$64:$B$203,$A311)=0,"⚠ 查無員編",IF(COUNTIF($E$3:$E$502,$E311)&gt;1,"⚠ 重複打卡","OK")))</f>
        <v/>
      </c>
    </row>
    <row r="312">
      <c r="A312" s="19" t="n"/>
      <c r="B312" s="17" t="n"/>
      <c r="C312" s="85" t="n"/>
      <c r="D312" s="85" t="n"/>
      <c r="E312" s="16">
        <f>IF($A312="","",$A312&amp;"|"&amp;DAY($B312))</f>
        <v/>
      </c>
      <c r="F312" s="16">
        <f>IF($A312="","",IF(COUNTIF(設定!$B$64:$B$203,$A312)=0,"⚠ 查無員編",IF(COUNTIF($E$3:$E$502,$E312)&gt;1,"⚠ 重複打卡","OK")))</f>
        <v/>
      </c>
    </row>
    <row r="313">
      <c r="A313" s="19" t="n"/>
      <c r="B313" s="17" t="n"/>
      <c r="C313" s="85" t="n"/>
      <c r="D313" s="85" t="n"/>
      <c r="E313" s="16">
        <f>IF($A313="","",$A313&amp;"|"&amp;DAY($B313))</f>
        <v/>
      </c>
      <c r="F313" s="16">
        <f>IF($A313="","",IF(COUNTIF(設定!$B$64:$B$203,$A313)=0,"⚠ 查無員編",IF(COUNTIF($E$3:$E$502,$E313)&gt;1,"⚠ 重複打卡","OK")))</f>
        <v/>
      </c>
    </row>
    <row r="314">
      <c r="A314" s="19" t="n"/>
      <c r="B314" s="17" t="n"/>
      <c r="C314" s="85" t="n"/>
      <c r="D314" s="85" t="n"/>
      <c r="E314" s="16">
        <f>IF($A314="","",$A314&amp;"|"&amp;DAY($B314))</f>
        <v/>
      </c>
      <c r="F314" s="16">
        <f>IF($A314="","",IF(COUNTIF(設定!$B$64:$B$203,$A314)=0,"⚠ 查無員編",IF(COUNTIF($E$3:$E$502,$E314)&gt;1,"⚠ 重複打卡","OK")))</f>
        <v/>
      </c>
    </row>
    <row r="315">
      <c r="A315" s="19" t="n"/>
      <c r="B315" s="17" t="n"/>
      <c r="C315" s="85" t="n"/>
      <c r="D315" s="85" t="n"/>
      <c r="E315" s="16">
        <f>IF($A315="","",$A315&amp;"|"&amp;DAY($B315))</f>
        <v/>
      </c>
      <c r="F315" s="16">
        <f>IF($A315="","",IF(COUNTIF(設定!$B$64:$B$203,$A315)=0,"⚠ 查無員編",IF(COUNTIF($E$3:$E$502,$E315)&gt;1,"⚠ 重複打卡","OK")))</f>
        <v/>
      </c>
    </row>
    <row r="316">
      <c r="A316" s="19" t="n"/>
      <c r="B316" s="17" t="n"/>
      <c r="C316" s="85" t="n"/>
      <c r="D316" s="85" t="n"/>
      <c r="E316" s="16">
        <f>IF($A316="","",$A316&amp;"|"&amp;DAY($B316))</f>
        <v/>
      </c>
      <c r="F316" s="16">
        <f>IF($A316="","",IF(COUNTIF(設定!$B$64:$B$203,$A316)=0,"⚠ 查無員編",IF(COUNTIF($E$3:$E$502,$E316)&gt;1,"⚠ 重複打卡","OK")))</f>
        <v/>
      </c>
    </row>
    <row r="317">
      <c r="A317" s="19" t="n"/>
      <c r="B317" s="17" t="n"/>
      <c r="C317" s="85" t="n"/>
      <c r="D317" s="85" t="n"/>
      <c r="E317" s="16">
        <f>IF($A317="","",$A317&amp;"|"&amp;DAY($B317))</f>
        <v/>
      </c>
      <c r="F317" s="16">
        <f>IF($A317="","",IF(COUNTIF(設定!$B$64:$B$203,$A317)=0,"⚠ 查無員編",IF(COUNTIF($E$3:$E$502,$E317)&gt;1,"⚠ 重複打卡","OK")))</f>
        <v/>
      </c>
    </row>
    <row r="318">
      <c r="A318" s="19" t="n"/>
      <c r="B318" s="17" t="n"/>
      <c r="C318" s="85" t="n"/>
      <c r="D318" s="85" t="n"/>
      <c r="E318" s="16">
        <f>IF($A318="","",$A318&amp;"|"&amp;DAY($B318))</f>
        <v/>
      </c>
      <c r="F318" s="16">
        <f>IF($A318="","",IF(COUNTIF(設定!$B$64:$B$203,$A318)=0,"⚠ 查無員編",IF(COUNTIF($E$3:$E$502,$E318)&gt;1,"⚠ 重複打卡","OK")))</f>
        <v/>
      </c>
    </row>
    <row r="319">
      <c r="A319" s="19" t="n"/>
      <c r="B319" s="17" t="n"/>
      <c r="C319" s="85" t="n"/>
      <c r="D319" s="85" t="n"/>
      <c r="E319" s="16">
        <f>IF($A319="","",$A319&amp;"|"&amp;DAY($B319))</f>
        <v/>
      </c>
      <c r="F319" s="16">
        <f>IF($A319="","",IF(COUNTIF(設定!$B$64:$B$203,$A319)=0,"⚠ 查無員編",IF(COUNTIF($E$3:$E$502,$E319)&gt;1,"⚠ 重複打卡","OK")))</f>
        <v/>
      </c>
    </row>
    <row r="320">
      <c r="A320" s="19" t="n"/>
      <c r="B320" s="17" t="n"/>
      <c r="C320" s="85" t="n"/>
      <c r="D320" s="85" t="n"/>
      <c r="E320" s="16">
        <f>IF($A320="","",$A320&amp;"|"&amp;DAY($B320))</f>
        <v/>
      </c>
      <c r="F320" s="16">
        <f>IF($A320="","",IF(COUNTIF(設定!$B$64:$B$203,$A320)=0,"⚠ 查無員編",IF(COUNTIF($E$3:$E$502,$E320)&gt;1,"⚠ 重複打卡","OK")))</f>
        <v/>
      </c>
    </row>
    <row r="321">
      <c r="A321" s="19" t="n"/>
      <c r="B321" s="17" t="n"/>
      <c r="C321" s="85" t="n"/>
      <c r="D321" s="85" t="n"/>
      <c r="E321" s="16">
        <f>IF($A321="","",$A321&amp;"|"&amp;DAY($B321))</f>
        <v/>
      </c>
      <c r="F321" s="16">
        <f>IF($A321="","",IF(COUNTIF(設定!$B$64:$B$203,$A321)=0,"⚠ 查無員編",IF(COUNTIF($E$3:$E$502,$E321)&gt;1,"⚠ 重複打卡","OK")))</f>
        <v/>
      </c>
    </row>
    <row r="322">
      <c r="A322" s="19" t="n"/>
      <c r="B322" s="17" t="n"/>
      <c r="C322" s="85" t="n"/>
      <c r="D322" s="85" t="n"/>
      <c r="E322" s="16">
        <f>IF($A322="","",$A322&amp;"|"&amp;DAY($B322))</f>
        <v/>
      </c>
      <c r="F322" s="16">
        <f>IF($A322="","",IF(COUNTIF(設定!$B$64:$B$203,$A322)=0,"⚠ 查無員編",IF(COUNTIF($E$3:$E$502,$E322)&gt;1,"⚠ 重複打卡","OK")))</f>
        <v/>
      </c>
    </row>
    <row r="323">
      <c r="A323" s="19" t="n"/>
      <c r="B323" s="17" t="n"/>
      <c r="C323" s="85" t="n"/>
      <c r="D323" s="85" t="n"/>
      <c r="E323" s="16">
        <f>IF($A323="","",$A323&amp;"|"&amp;DAY($B323))</f>
        <v/>
      </c>
      <c r="F323" s="16">
        <f>IF($A323="","",IF(COUNTIF(設定!$B$64:$B$203,$A323)=0,"⚠ 查無員編",IF(COUNTIF($E$3:$E$502,$E323)&gt;1,"⚠ 重複打卡","OK")))</f>
        <v/>
      </c>
    </row>
    <row r="324">
      <c r="A324" s="19" t="n"/>
      <c r="B324" s="17" t="n"/>
      <c r="C324" s="85" t="n"/>
      <c r="D324" s="85" t="n"/>
      <c r="E324" s="16">
        <f>IF($A324="","",$A324&amp;"|"&amp;DAY($B324))</f>
        <v/>
      </c>
      <c r="F324" s="16">
        <f>IF($A324="","",IF(COUNTIF(設定!$B$64:$B$203,$A324)=0,"⚠ 查無員編",IF(COUNTIF($E$3:$E$502,$E324)&gt;1,"⚠ 重複打卡","OK")))</f>
        <v/>
      </c>
    </row>
    <row r="325">
      <c r="A325" s="19" t="n"/>
      <c r="B325" s="17" t="n"/>
      <c r="C325" s="85" t="n"/>
      <c r="D325" s="85" t="n"/>
      <c r="E325" s="16">
        <f>IF($A325="","",$A325&amp;"|"&amp;DAY($B325))</f>
        <v/>
      </c>
      <c r="F325" s="16">
        <f>IF($A325="","",IF(COUNTIF(設定!$B$64:$B$203,$A325)=0,"⚠ 查無員編",IF(COUNTIF($E$3:$E$502,$E325)&gt;1,"⚠ 重複打卡","OK")))</f>
        <v/>
      </c>
    </row>
    <row r="326">
      <c r="A326" s="19" t="n"/>
      <c r="B326" s="17" t="n"/>
      <c r="C326" s="85" t="n"/>
      <c r="D326" s="85" t="n"/>
      <c r="E326" s="16">
        <f>IF($A326="","",$A326&amp;"|"&amp;DAY($B326))</f>
        <v/>
      </c>
      <c r="F326" s="16">
        <f>IF($A326="","",IF(COUNTIF(設定!$B$64:$B$203,$A326)=0,"⚠ 查無員編",IF(COUNTIF($E$3:$E$502,$E326)&gt;1,"⚠ 重複打卡","OK")))</f>
        <v/>
      </c>
    </row>
    <row r="327">
      <c r="A327" s="19" t="n"/>
      <c r="B327" s="17" t="n"/>
      <c r="C327" s="85" t="n"/>
      <c r="D327" s="85" t="n"/>
      <c r="E327" s="16">
        <f>IF($A327="","",$A327&amp;"|"&amp;DAY($B327))</f>
        <v/>
      </c>
      <c r="F327" s="16">
        <f>IF($A327="","",IF(COUNTIF(設定!$B$64:$B$203,$A327)=0,"⚠ 查無員編",IF(COUNTIF($E$3:$E$502,$E327)&gt;1,"⚠ 重複打卡","OK")))</f>
        <v/>
      </c>
    </row>
    <row r="328">
      <c r="A328" s="19" t="n"/>
      <c r="B328" s="17" t="n"/>
      <c r="C328" s="85" t="n"/>
      <c r="D328" s="85" t="n"/>
      <c r="E328" s="16">
        <f>IF($A328="","",$A328&amp;"|"&amp;DAY($B328))</f>
        <v/>
      </c>
      <c r="F328" s="16">
        <f>IF($A328="","",IF(COUNTIF(設定!$B$64:$B$203,$A328)=0,"⚠ 查無員編",IF(COUNTIF($E$3:$E$502,$E328)&gt;1,"⚠ 重複打卡","OK")))</f>
        <v/>
      </c>
    </row>
    <row r="329">
      <c r="A329" s="19" t="n"/>
      <c r="B329" s="17" t="n"/>
      <c r="C329" s="85" t="n"/>
      <c r="D329" s="85" t="n"/>
      <c r="E329" s="16">
        <f>IF($A329="","",$A329&amp;"|"&amp;DAY($B329))</f>
        <v/>
      </c>
      <c r="F329" s="16">
        <f>IF($A329="","",IF(COUNTIF(設定!$B$64:$B$203,$A329)=0,"⚠ 查無員編",IF(COUNTIF($E$3:$E$502,$E329)&gt;1,"⚠ 重複打卡","OK")))</f>
        <v/>
      </c>
    </row>
    <row r="330">
      <c r="A330" s="19" t="n"/>
      <c r="B330" s="17" t="n"/>
      <c r="C330" s="85" t="n"/>
      <c r="D330" s="85" t="n"/>
      <c r="E330" s="16">
        <f>IF($A330="","",$A330&amp;"|"&amp;DAY($B330))</f>
        <v/>
      </c>
      <c r="F330" s="16">
        <f>IF($A330="","",IF(COUNTIF(設定!$B$64:$B$203,$A330)=0,"⚠ 查無員編",IF(COUNTIF($E$3:$E$502,$E330)&gt;1,"⚠ 重複打卡","OK")))</f>
        <v/>
      </c>
    </row>
    <row r="331">
      <c r="A331" s="19" t="n"/>
      <c r="B331" s="17" t="n"/>
      <c r="C331" s="85" t="n"/>
      <c r="D331" s="85" t="n"/>
      <c r="E331" s="16">
        <f>IF($A331="","",$A331&amp;"|"&amp;DAY($B331))</f>
        <v/>
      </c>
      <c r="F331" s="16">
        <f>IF($A331="","",IF(COUNTIF(設定!$B$64:$B$203,$A331)=0,"⚠ 查無員編",IF(COUNTIF($E$3:$E$502,$E331)&gt;1,"⚠ 重複打卡","OK")))</f>
        <v/>
      </c>
    </row>
    <row r="332">
      <c r="A332" s="19" t="n"/>
      <c r="B332" s="17" t="n"/>
      <c r="C332" s="85" t="n"/>
      <c r="D332" s="85" t="n"/>
      <c r="E332" s="16">
        <f>IF($A332="","",$A332&amp;"|"&amp;DAY($B332))</f>
        <v/>
      </c>
      <c r="F332" s="16">
        <f>IF($A332="","",IF(COUNTIF(設定!$B$64:$B$203,$A332)=0,"⚠ 查無員編",IF(COUNTIF($E$3:$E$502,$E332)&gt;1,"⚠ 重複打卡","OK")))</f>
        <v/>
      </c>
    </row>
    <row r="333">
      <c r="A333" s="19" t="n"/>
      <c r="B333" s="17" t="n"/>
      <c r="C333" s="85" t="n"/>
      <c r="D333" s="85" t="n"/>
      <c r="E333" s="16">
        <f>IF($A333="","",$A333&amp;"|"&amp;DAY($B333))</f>
        <v/>
      </c>
      <c r="F333" s="16">
        <f>IF($A333="","",IF(COUNTIF(設定!$B$64:$B$203,$A333)=0,"⚠ 查無員編",IF(COUNTIF($E$3:$E$502,$E333)&gt;1,"⚠ 重複打卡","OK")))</f>
        <v/>
      </c>
    </row>
    <row r="334">
      <c r="A334" s="19" t="n"/>
      <c r="B334" s="17" t="n"/>
      <c r="C334" s="85" t="n"/>
      <c r="D334" s="85" t="n"/>
      <c r="E334" s="16">
        <f>IF($A334="","",$A334&amp;"|"&amp;DAY($B334))</f>
        <v/>
      </c>
      <c r="F334" s="16">
        <f>IF($A334="","",IF(COUNTIF(設定!$B$64:$B$203,$A334)=0,"⚠ 查無員編",IF(COUNTIF($E$3:$E$502,$E334)&gt;1,"⚠ 重複打卡","OK")))</f>
        <v/>
      </c>
    </row>
    <row r="335">
      <c r="A335" s="19" t="n"/>
      <c r="B335" s="17" t="n"/>
      <c r="C335" s="85" t="n"/>
      <c r="D335" s="85" t="n"/>
      <c r="E335" s="16">
        <f>IF($A335="","",$A335&amp;"|"&amp;DAY($B335))</f>
        <v/>
      </c>
      <c r="F335" s="16">
        <f>IF($A335="","",IF(COUNTIF(設定!$B$64:$B$203,$A335)=0,"⚠ 查無員編",IF(COUNTIF($E$3:$E$502,$E335)&gt;1,"⚠ 重複打卡","OK")))</f>
        <v/>
      </c>
    </row>
    <row r="336">
      <c r="A336" s="19" t="n"/>
      <c r="B336" s="17" t="n"/>
      <c r="C336" s="85" t="n"/>
      <c r="D336" s="85" t="n"/>
      <c r="E336" s="16">
        <f>IF($A336="","",$A336&amp;"|"&amp;DAY($B336))</f>
        <v/>
      </c>
      <c r="F336" s="16">
        <f>IF($A336="","",IF(COUNTIF(設定!$B$64:$B$203,$A336)=0,"⚠ 查無員編",IF(COUNTIF($E$3:$E$502,$E336)&gt;1,"⚠ 重複打卡","OK")))</f>
        <v/>
      </c>
    </row>
    <row r="337">
      <c r="A337" s="19" t="n"/>
      <c r="B337" s="17" t="n"/>
      <c r="C337" s="85" t="n"/>
      <c r="D337" s="85" t="n"/>
      <c r="E337" s="16">
        <f>IF($A337="","",$A337&amp;"|"&amp;DAY($B337))</f>
        <v/>
      </c>
      <c r="F337" s="16">
        <f>IF($A337="","",IF(COUNTIF(設定!$B$64:$B$203,$A337)=0,"⚠ 查無員編",IF(COUNTIF($E$3:$E$502,$E337)&gt;1,"⚠ 重複打卡","OK")))</f>
        <v/>
      </c>
    </row>
    <row r="338">
      <c r="A338" s="19" t="n"/>
      <c r="B338" s="17" t="n"/>
      <c r="C338" s="85" t="n"/>
      <c r="D338" s="85" t="n"/>
      <c r="E338" s="16">
        <f>IF($A338="","",$A338&amp;"|"&amp;DAY($B338))</f>
        <v/>
      </c>
      <c r="F338" s="16">
        <f>IF($A338="","",IF(COUNTIF(設定!$B$64:$B$203,$A338)=0,"⚠ 查無員編",IF(COUNTIF($E$3:$E$502,$E338)&gt;1,"⚠ 重複打卡","OK")))</f>
        <v/>
      </c>
    </row>
    <row r="339">
      <c r="A339" s="19" t="n"/>
      <c r="B339" s="17" t="n"/>
      <c r="C339" s="85" t="n"/>
      <c r="D339" s="85" t="n"/>
      <c r="E339" s="16">
        <f>IF($A339="","",$A339&amp;"|"&amp;DAY($B339))</f>
        <v/>
      </c>
      <c r="F339" s="16">
        <f>IF($A339="","",IF(COUNTIF(設定!$B$64:$B$203,$A339)=0,"⚠ 查無員編",IF(COUNTIF($E$3:$E$502,$E339)&gt;1,"⚠ 重複打卡","OK")))</f>
        <v/>
      </c>
    </row>
    <row r="340">
      <c r="A340" s="19" t="n"/>
      <c r="B340" s="17" t="n"/>
      <c r="C340" s="85" t="n"/>
      <c r="D340" s="85" t="n"/>
      <c r="E340" s="16">
        <f>IF($A340="","",$A340&amp;"|"&amp;DAY($B340))</f>
        <v/>
      </c>
      <c r="F340" s="16">
        <f>IF($A340="","",IF(COUNTIF(設定!$B$64:$B$203,$A340)=0,"⚠ 查無員編",IF(COUNTIF($E$3:$E$502,$E340)&gt;1,"⚠ 重複打卡","OK")))</f>
        <v/>
      </c>
    </row>
    <row r="341">
      <c r="A341" s="19" t="n"/>
      <c r="B341" s="17" t="n"/>
      <c r="C341" s="85" t="n"/>
      <c r="D341" s="85" t="n"/>
      <c r="E341" s="16">
        <f>IF($A341="","",$A341&amp;"|"&amp;DAY($B341))</f>
        <v/>
      </c>
      <c r="F341" s="16">
        <f>IF($A341="","",IF(COUNTIF(設定!$B$64:$B$203,$A341)=0,"⚠ 查無員編",IF(COUNTIF($E$3:$E$502,$E341)&gt;1,"⚠ 重複打卡","OK")))</f>
        <v/>
      </c>
    </row>
    <row r="342">
      <c r="A342" s="19" t="n"/>
      <c r="B342" s="17" t="n"/>
      <c r="C342" s="85" t="n"/>
      <c r="D342" s="85" t="n"/>
      <c r="E342" s="16">
        <f>IF($A342="","",$A342&amp;"|"&amp;DAY($B342))</f>
        <v/>
      </c>
      <c r="F342" s="16">
        <f>IF($A342="","",IF(COUNTIF(設定!$B$64:$B$203,$A342)=0,"⚠ 查無員編",IF(COUNTIF($E$3:$E$502,$E342)&gt;1,"⚠ 重複打卡","OK")))</f>
        <v/>
      </c>
    </row>
    <row r="343">
      <c r="A343" s="19" t="n"/>
      <c r="B343" s="17" t="n"/>
      <c r="C343" s="85" t="n"/>
      <c r="D343" s="85" t="n"/>
      <c r="E343" s="16">
        <f>IF($A343="","",$A343&amp;"|"&amp;DAY($B343))</f>
        <v/>
      </c>
      <c r="F343" s="16">
        <f>IF($A343="","",IF(COUNTIF(設定!$B$64:$B$203,$A343)=0,"⚠ 查無員編",IF(COUNTIF($E$3:$E$502,$E343)&gt;1,"⚠ 重複打卡","OK")))</f>
        <v/>
      </c>
    </row>
    <row r="344">
      <c r="A344" s="19" t="n"/>
      <c r="B344" s="17" t="n"/>
      <c r="C344" s="85" t="n"/>
      <c r="D344" s="85" t="n"/>
      <c r="E344" s="16">
        <f>IF($A344="","",$A344&amp;"|"&amp;DAY($B344))</f>
        <v/>
      </c>
      <c r="F344" s="16">
        <f>IF($A344="","",IF(COUNTIF(設定!$B$64:$B$203,$A344)=0,"⚠ 查無員編",IF(COUNTIF($E$3:$E$502,$E344)&gt;1,"⚠ 重複打卡","OK")))</f>
        <v/>
      </c>
    </row>
    <row r="345">
      <c r="A345" s="19" t="n"/>
      <c r="B345" s="17" t="n"/>
      <c r="C345" s="85" t="n"/>
      <c r="D345" s="85" t="n"/>
      <c r="E345" s="16">
        <f>IF($A345="","",$A345&amp;"|"&amp;DAY($B345))</f>
        <v/>
      </c>
      <c r="F345" s="16">
        <f>IF($A345="","",IF(COUNTIF(設定!$B$64:$B$203,$A345)=0,"⚠ 查無員編",IF(COUNTIF($E$3:$E$502,$E345)&gt;1,"⚠ 重複打卡","OK")))</f>
        <v/>
      </c>
    </row>
    <row r="346">
      <c r="A346" s="19" t="n"/>
      <c r="B346" s="17" t="n"/>
      <c r="C346" s="85" t="n"/>
      <c r="D346" s="85" t="n"/>
      <c r="E346" s="16">
        <f>IF($A346="","",$A346&amp;"|"&amp;DAY($B346))</f>
        <v/>
      </c>
      <c r="F346" s="16">
        <f>IF($A346="","",IF(COUNTIF(設定!$B$64:$B$203,$A346)=0,"⚠ 查無員編",IF(COUNTIF($E$3:$E$502,$E346)&gt;1,"⚠ 重複打卡","OK")))</f>
        <v/>
      </c>
    </row>
    <row r="347">
      <c r="A347" s="19" t="n"/>
      <c r="B347" s="17" t="n"/>
      <c r="C347" s="85" t="n"/>
      <c r="D347" s="85" t="n"/>
      <c r="E347" s="16">
        <f>IF($A347="","",$A347&amp;"|"&amp;DAY($B347))</f>
        <v/>
      </c>
      <c r="F347" s="16">
        <f>IF($A347="","",IF(COUNTIF(設定!$B$64:$B$203,$A347)=0,"⚠ 查無員編",IF(COUNTIF($E$3:$E$502,$E347)&gt;1,"⚠ 重複打卡","OK")))</f>
        <v/>
      </c>
    </row>
    <row r="348">
      <c r="A348" s="19" t="n"/>
      <c r="B348" s="17" t="n"/>
      <c r="C348" s="85" t="n"/>
      <c r="D348" s="85" t="n"/>
      <c r="E348" s="16">
        <f>IF($A348="","",$A348&amp;"|"&amp;DAY($B348))</f>
        <v/>
      </c>
      <c r="F348" s="16">
        <f>IF($A348="","",IF(COUNTIF(設定!$B$64:$B$203,$A348)=0,"⚠ 查無員編",IF(COUNTIF($E$3:$E$502,$E348)&gt;1,"⚠ 重複打卡","OK")))</f>
        <v/>
      </c>
    </row>
    <row r="349">
      <c r="A349" s="19" t="n"/>
      <c r="B349" s="17" t="n"/>
      <c r="C349" s="85" t="n"/>
      <c r="D349" s="85" t="n"/>
      <c r="E349" s="16">
        <f>IF($A349="","",$A349&amp;"|"&amp;DAY($B349))</f>
        <v/>
      </c>
      <c r="F349" s="16">
        <f>IF($A349="","",IF(COUNTIF(設定!$B$64:$B$203,$A349)=0,"⚠ 查無員編",IF(COUNTIF($E$3:$E$502,$E349)&gt;1,"⚠ 重複打卡","OK")))</f>
        <v/>
      </c>
    </row>
    <row r="350">
      <c r="A350" s="19" t="n"/>
      <c r="B350" s="17" t="n"/>
      <c r="C350" s="85" t="n"/>
      <c r="D350" s="85" t="n"/>
      <c r="E350" s="16">
        <f>IF($A350="","",$A350&amp;"|"&amp;DAY($B350))</f>
        <v/>
      </c>
      <c r="F350" s="16">
        <f>IF($A350="","",IF(COUNTIF(設定!$B$64:$B$203,$A350)=0,"⚠ 查無員編",IF(COUNTIF($E$3:$E$502,$E350)&gt;1,"⚠ 重複打卡","OK")))</f>
        <v/>
      </c>
    </row>
    <row r="351">
      <c r="A351" s="19" t="n"/>
      <c r="B351" s="17" t="n"/>
      <c r="C351" s="85" t="n"/>
      <c r="D351" s="85" t="n"/>
      <c r="E351" s="16">
        <f>IF($A351="","",$A351&amp;"|"&amp;DAY($B351))</f>
        <v/>
      </c>
      <c r="F351" s="16">
        <f>IF($A351="","",IF(COUNTIF(設定!$B$64:$B$203,$A351)=0,"⚠ 查無員編",IF(COUNTIF($E$3:$E$502,$E351)&gt;1,"⚠ 重複打卡","OK")))</f>
        <v/>
      </c>
    </row>
    <row r="352">
      <c r="A352" s="19" t="n"/>
      <c r="B352" s="17" t="n"/>
      <c r="C352" s="85" t="n"/>
      <c r="D352" s="85" t="n"/>
      <c r="E352" s="16">
        <f>IF($A352="","",$A352&amp;"|"&amp;DAY($B352))</f>
        <v/>
      </c>
      <c r="F352" s="16">
        <f>IF($A352="","",IF(COUNTIF(設定!$B$64:$B$203,$A352)=0,"⚠ 查無員編",IF(COUNTIF($E$3:$E$502,$E352)&gt;1,"⚠ 重複打卡","OK")))</f>
        <v/>
      </c>
    </row>
    <row r="353">
      <c r="A353" s="19" t="n"/>
      <c r="B353" s="17" t="n"/>
      <c r="C353" s="85" t="n"/>
      <c r="D353" s="85" t="n"/>
      <c r="E353" s="16">
        <f>IF($A353="","",$A353&amp;"|"&amp;DAY($B353))</f>
        <v/>
      </c>
      <c r="F353" s="16">
        <f>IF($A353="","",IF(COUNTIF(設定!$B$64:$B$203,$A353)=0,"⚠ 查無員編",IF(COUNTIF($E$3:$E$502,$E353)&gt;1,"⚠ 重複打卡","OK")))</f>
        <v/>
      </c>
    </row>
    <row r="354">
      <c r="A354" s="19" t="n"/>
      <c r="B354" s="17" t="n"/>
      <c r="C354" s="85" t="n"/>
      <c r="D354" s="85" t="n"/>
      <c r="E354" s="16">
        <f>IF($A354="","",$A354&amp;"|"&amp;DAY($B354))</f>
        <v/>
      </c>
      <c r="F354" s="16">
        <f>IF($A354="","",IF(COUNTIF(設定!$B$64:$B$203,$A354)=0,"⚠ 查無員編",IF(COUNTIF($E$3:$E$502,$E354)&gt;1,"⚠ 重複打卡","OK")))</f>
        <v/>
      </c>
    </row>
    <row r="355">
      <c r="A355" s="19" t="n"/>
      <c r="B355" s="17" t="n"/>
      <c r="C355" s="85" t="n"/>
      <c r="D355" s="85" t="n"/>
      <c r="E355" s="16">
        <f>IF($A355="","",$A355&amp;"|"&amp;DAY($B355))</f>
        <v/>
      </c>
      <c r="F355" s="16">
        <f>IF($A355="","",IF(COUNTIF(設定!$B$64:$B$203,$A355)=0,"⚠ 查無員編",IF(COUNTIF($E$3:$E$502,$E355)&gt;1,"⚠ 重複打卡","OK")))</f>
        <v/>
      </c>
    </row>
    <row r="356">
      <c r="A356" s="19" t="n"/>
      <c r="B356" s="17" t="n"/>
      <c r="C356" s="85" t="n"/>
      <c r="D356" s="85" t="n"/>
      <c r="E356" s="16">
        <f>IF($A356="","",$A356&amp;"|"&amp;DAY($B356))</f>
        <v/>
      </c>
      <c r="F356" s="16">
        <f>IF($A356="","",IF(COUNTIF(設定!$B$64:$B$203,$A356)=0,"⚠ 查無員編",IF(COUNTIF($E$3:$E$502,$E356)&gt;1,"⚠ 重複打卡","OK")))</f>
        <v/>
      </c>
    </row>
    <row r="357">
      <c r="A357" s="19" t="n"/>
      <c r="B357" s="17" t="n"/>
      <c r="C357" s="85" t="n"/>
      <c r="D357" s="85" t="n"/>
      <c r="E357" s="16">
        <f>IF($A357="","",$A357&amp;"|"&amp;DAY($B357))</f>
        <v/>
      </c>
      <c r="F357" s="16">
        <f>IF($A357="","",IF(COUNTIF(設定!$B$64:$B$203,$A357)=0,"⚠ 查無員編",IF(COUNTIF($E$3:$E$502,$E357)&gt;1,"⚠ 重複打卡","OK")))</f>
        <v/>
      </c>
    </row>
    <row r="358">
      <c r="A358" s="19" t="n"/>
      <c r="B358" s="17" t="n"/>
      <c r="C358" s="85" t="n"/>
      <c r="D358" s="85" t="n"/>
      <c r="E358" s="16">
        <f>IF($A358="","",$A358&amp;"|"&amp;DAY($B358))</f>
        <v/>
      </c>
      <c r="F358" s="16">
        <f>IF($A358="","",IF(COUNTIF(設定!$B$64:$B$203,$A358)=0,"⚠ 查無員編",IF(COUNTIF($E$3:$E$502,$E358)&gt;1,"⚠ 重複打卡","OK")))</f>
        <v/>
      </c>
    </row>
    <row r="359">
      <c r="A359" s="19" t="n"/>
      <c r="B359" s="17" t="n"/>
      <c r="C359" s="85" t="n"/>
      <c r="D359" s="85" t="n"/>
      <c r="E359" s="16">
        <f>IF($A359="","",$A359&amp;"|"&amp;DAY($B359))</f>
        <v/>
      </c>
      <c r="F359" s="16">
        <f>IF($A359="","",IF(COUNTIF(設定!$B$64:$B$203,$A359)=0,"⚠ 查無員編",IF(COUNTIF($E$3:$E$502,$E359)&gt;1,"⚠ 重複打卡","OK")))</f>
        <v/>
      </c>
    </row>
    <row r="360">
      <c r="A360" s="19" t="n"/>
      <c r="B360" s="17" t="n"/>
      <c r="C360" s="85" t="n"/>
      <c r="D360" s="85" t="n"/>
      <c r="E360" s="16">
        <f>IF($A360="","",$A360&amp;"|"&amp;DAY($B360))</f>
        <v/>
      </c>
      <c r="F360" s="16">
        <f>IF($A360="","",IF(COUNTIF(設定!$B$64:$B$203,$A360)=0,"⚠ 查無員編",IF(COUNTIF($E$3:$E$502,$E360)&gt;1,"⚠ 重複打卡","OK")))</f>
        <v/>
      </c>
    </row>
    <row r="361">
      <c r="A361" s="19" t="n"/>
      <c r="B361" s="17" t="n"/>
      <c r="C361" s="85" t="n"/>
      <c r="D361" s="85" t="n"/>
      <c r="E361" s="16">
        <f>IF($A361="","",$A361&amp;"|"&amp;DAY($B361))</f>
        <v/>
      </c>
      <c r="F361" s="16">
        <f>IF($A361="","",IF(COUNTIF(設定!$B$64:$B$203,$A361)=0,"⚠ 查無員編",IF(COUNTIF($E$3:$E$502,$E361)&gt;1,"⚠ 重複打卡","OK")))</f>
        <v/>
      </c>
    </row>
    <row r="362">
      <c r="A362" s="19" t="n"/>
      <c r="B362" s="17" t="n"/>
      <c r="C362" s="85" t="n"/>
      <c r="D362" s="85" t="n"/>
      <c r="E362" s="16">
        <f>IF($A362="","",$A362&amp;"|"&amp;DAY($B362))</f>
        <v/>
      </c>
      <c r="F362" s="16">
        <f>IF($A362="","",IF(COUNTIF(設定!$B$64:$B$203,$A362)=0,"⚠ 查無員編",IF(COUNTIF($E$3:$E$502,$E362)&gt;1,"⚠ 重複打卡","OK")))</f>
        <v/>
      </c>
    </row>
    <row r="363">
      <c r="A363" s="19" t="n"/>
      <c r="B363" s="17" t="n"/>
      <c r="C363" s="85" t="n"/>
      <c r="D363" s="85" t="n"/>
      <c r="E363" s="16">
        <f>IF($A363="","",$A363&amp;"|"&amp;DAY($B363))</f>
        <v/>
      </c>
      <c r="F363" s="16">
        <f>IF($A363="","",IF(COUNTIF(設定!$B$64:$B$203,$A363)=0,"⚠ 查無員編",IF(COUNTIF($E$3:$E$502,$E363)&gt;1,"⚠ 重複打卡","OK")))</f>
        <v/>
      </c>
    </row>
    <row r="364">
      <c r="A364" s="19" t="n"/>
      <c r="B364" s="17" t="n"/>
      <c r="C364" s="85" t="n"/>
      <c r="D364" s="85" t="n"/>
      <c r="E364" s="16">
        <f>IF($A364="","",$A364&amp;"|"&amp;DAY($B364))</f>
        <v/>
      </c>
      <c r="F364" s="16">
        <f>IF($A364="","",IF(COUNTIF(設定!$B$64:$B$203,$A364)=0,"⚠ 查無員編",IF(COUNTIF($E$3:$E$502,$E364)&gt;1,"⚠ 重複打卡","OK")))</f>
        <v/>
      </c>
    </row>
    <row r="365">
      <c r="A365" s="19" t="n"/>
      <c r="B365" s="17" t="n"/>
      <c r="C365" s="85" t="n"/>
      <c r="D365" s="85" t="n"/>
      <c r="E365" s="16">
        <f>IF($A365="","",$A365&amp;"|"&amp;DAY($B365))</f>
        <v/>
      </c>
      <c r="F365" s="16">
        <f>IF($A365="","",IF(COUNTIF(設定!$B$64:$B$203,$A365)=0,"⚠ 查無員編",IF(COUNTIF($E$3:$E$502,$E365)&gt;1,"⚠ 重複打卡","OK")))</f>
        <v/>
      </c>
    </row>
    <row r="366">
      <c r="A366" s="19" t="n"/>
      <c r="B366" s="17" t="n"/>
      <c r="C366" s="85" t="n"/>
      <c r="D366" s="85" t="n"/>
      <c r="E366" s="16">
        <f>IF($A366="","",$A366&amp;"|"&amp;DAY($B366))</f>
        <v/>
      </c>
      <c r="F366" s="16">
        <f>IF($A366="","",IF(COUNTIF(設定!$B$64:$B$203,$A366)=0,"⚠ 查無員編",IF(COUNTIF($E$3:$E$502,$E366)&gt;1,"⚠ 重複打卡","OK")))</f>
        <v/>
      </c>
    </row>
    <row r="367">
      <c r="A367" s="19" t="n"/>
      <c r="B367" s="17" t="n"/>
      <c r="C367" s="85" t="n"/>
      <c r="D367" s="85" t="n"/>
      <c r="E367" s="16">
        <f>IF($A367="","",$A367&amp;"|"&amp;DAY($B367))</f>
        <v/>
      </c>
      <c r="F367" s="16">
        <f>IF($A367="","",IF(COUNTIF(設定!$B$64:$B$203,$A367)=0,"⚠ 查無員編",IF(COUNTIF($E$3:$E$502,$E367)&gt;1,"⚠ 重複打卡","OK")))</f>
        <v/>
      </c>
    </row>
    <row r="368">
      <c r="A368" s="19" t="n"/>
      <c r="B368" s="17" t="n"/>
      <c r="C368" s="85" t="n"/>
      <c r="D368" s="85" t="n"/>
      <c r="E368" s="16">
        <f>IF($A368="","",$A368&amp;"|"&amp;DAY($B368))</f>
        <v/>
      </c>
      <c r="F368" s="16">
        <f>IF($A368="","",IF(COUNTIF(設定!$B$64:$B$203,$A368)=0,"⚠ 查無員編",IF(COUNTIF($E$3:$E$502,$E368)&gt;1,"⚠ 重複打卡","OK")))</f>
        <v/>
      </c>
    </row>
    <row r="369">
      <c r="A369" s="19" t="n"/>
      <c r="B369" s="17" t="n"/>
      <c r="C369" s="85" t="n"/>
      <c r="D369" s="85" t="n"/>
      <c r="E369" s="16">
        <f>IF($A369="","",$A369&amp;"|"&amp;DAY($B369))</f>
        <v/>
      </c>
      <c r="F369" s="16">
        <f>IF($A369="","",IF(COUNTIF(設定!$B$64:$B$203,$A369)=0,"⚠ 查無員編",IF(COUNTIF($E$3:$E$502,$E369)&gt;1,"⚠ 重複打卡","OK")))</f>
        <v/>
      </c>
    </row>
    <row r="370">
      <c r="A370" s="19" t="n"/>
      <c r="B370" s="17" t="n"/>
      <c r="C370" s="85" t="n"/>
      <c r="D370" s="85" t="n"/>
      <c r="E370" s="16">
        <f>IF($A370="","",$A370&amp;"|"&amp;DAY($B370))</f>
        <v/>
      </c>
      <c r="F370" s="16">
        <f>IF($A370="","",IF(COUNTIF(設定!$B$64:$B$203,$A370)=0,"⚠ 查無員編",IF(COUNTIF($E$3:$E$502,$E370)&gt;1,"⚠ 重複打卡","OK")))</f>
        <v/>
      </c>
    </row>
    <row r="371">
      <c r="A371" s="19" t="n"/>
      <c r="B371" s="17" t="n"/>
      <c r="C371" s="85" t="n"/>
      <c r="D371" s="85" t="n"/>
      <c r="E371" s="16">
        <f>IF($A371="","",$A371&amp;"|"&amp;DAY($B371))</f>
        <v/>
      </c>
      <c r="F371" s="16">
        <f>IF($A371="","",IF(COUNTIF(設定!$B$64:$B$203,$A371)=0,"⚠ 查無員編",IF(COUNTIF($E$3:$E$502,$E371)&gt;1,"⚠ 重複打卡","OK")))</f>
        <v/>
      </c>
    </row>
    <row r="372">
      <c r="A372" s="19" t="n"/>
      <c r="B372" s="17" t="n"/>
      <c r="C372" s="85" t="n"/>
      <c r="D372" s="85" t="n"/>
      <c r="E372" s="16">
        <f>IF($A372="","",$A372&amp;"|"&amp;DAY($B372))</f>
        <v/>
      </c>
      <c r="F372" s="16">
        <f>IF($A372="","",IF(COUNTIF(設定!$B$64:$B$203,$A372)=0,"⚠ 查無員編",IF(COUNTIF($E$3:$E$502,$E372)&gt;1,"⚠ 重複打卡","OK")))</f>
        <v/>
      </c>
    </row>
    <row r="373">
      <c r="A373" s="19" t="n"/>
      <c r="B373" s="17" t="n"/>
      <c r="C373" s="85" t="n"/>
      <c r="D373" s="85" t="n"/>
      <c r="E373" s="16">
        <f>IF($A373="","",$A373&amp;"|"&amp;DAY($B373))</f>
        <v/>
      </c>
      <c r="F373" s="16">
        <f>IF($A373="","",IF(COUNTIF(設定!$B$64:$B$203,$A373)=0,"⚠ 查無員編",IF(COUNTIF($E$3:$E$502,$E373)&gt;1,"⚠ 重複打卡","OK")))</f>
        <v/>
      </c>
    </row>
    <row r="374">
      <c r="A374" s="19" t="n"/>
      <c r="B374" s="17" t="n"/>
      <c r="C374" s="85" t="n"/>
      <c r="D374" s="85" t="n"/>
      <c r="E374" s="16">
        <f>IF($A374="","",$A374&amp;"|"&amp;DAY($B374))</f>
        <v/>
      </c>
      <c r="F374" s="16">
        <f>IF($A374="","",IF(COUNTIF(設定!$B$64:$B$203,$A374)=0,"⚠ 查無員編",IF(COUNTIF($E$3:$E$502,$E374)&gt;1,"⚠ 重複打卡","OK")))</f>
        <v/>
      </c>
    </row>
    <row r="375">
      <c r="A375" s="19" t="n"/>
      <c r="B375" s="17" t="n"/>
      <c r="C375" s="85" t="n"/>
      <c r="D375" s="85" t="n"/>
      <c r="E375" s="16">
        <f>IF($A375="","",$A375&amp;"|"&amp;DAY($B375))</f>
        <v/>
      </c>
      <c r="F375" s="16">
        <f>IF($A375="","",IF(COUNTIF(設定!$B$64:$B$203,$A375)=0,"⚠ 查無員編",IF(COUNTIF($E$3:$E$502,$E375)&gt;1,"⚠ 重複打卡","OK")))</f>
        <v/>
      </c>
    </row>
    <row r="376">
      <c r="A376" s="19" t="n"/>
      <c r="B376" s="17" t="n"/>
      <c r="C376" s="85" t="n"/>
      <c r="D376" s="85" t="n"/>
      <c r="E376" s="16">
        <f>IF($A376="","",$A376&amp;"|"&amp;DAY($B376))</f>
        <v/>
      </c>
      <c r="F376" s="16">
        <f>IF($A376="","",IF(COUNTIF(設定!$B$64:$B$203,$A376)=0,"⚠ 查無員編",IF(COUNTIF($E$3:$E$502,$E376)&gt;1,"⚠ 重複打卡","OK")))</f>
        <v/>
      </c>
    </row>
    <row r="377">
      <c r="A377" s="19" t="n"/>
      <c r="B377" s="17" t="n"/>
      <c r="C377" s="85" t="n"/>
      <c r="D377" s="85" t="n"/>
      <c r="E377" s="16">
        <f>IF($A377="","",$A377&amp;"|"&amp;DAY($B377))</f>
        <v/>
      </c>
      <c r="F377" s="16">
        <f>IF($A377="","",IF(COUNTIF(設定!$B$64:$B$203,$A377)=0,"⚠ 查無員編",IF(COUNTIF($E$3:$E$502,$E377)&gt;1,"⚠ 重複打卡","OK")))</f>
        <v/>
      </c>
    </row>
    <row r="378">
      <c r="A378" s="19" t="n"/>
      <c r="B378" s="17" t="n"/>
      <c r="C378" s="85" t="n"/>
      <c r="D378" s="85" t="n"/>
      <c r="E378" s="16">
        <f>IF($A378="","",$A378&amp;"|"&amp;DAY($B378))</f>
        <v/>
      </c>
      <c r="F378" s="16">
        <f>IF($A378="","",IF(COUNTIF(設定!$B$64:$B$203,$A378)=0,"⚠ 查無員編",IF(COUNTIF($E$3:$E$502,$E378)&gt;1,"⚠ 重複打卡","OK")))</f>
        <v/>
      </c>
    </row>
    <row r="379">
      <c r="A379" s="19" t="n"/>
      <c r="B379" s="17" t="n"/>
      <c r="C379" s="85" t="n"/>
      <c r="D379" s="85" t="n"/>
      <c r="E379" s="16">
        <f>IF($A379="","",$A379&amp;"|"&amp;DAY($B379))</f>
        <v/>
      </c>
      <c r="F379" s="16">
        <f>IF($A379="","",IF(COUNTIF(設定!$B$64:$B$203,$A379)=0,"⚠ 查無員編",IF(COUNTIF($E$3:$E$502,$E379)&gt;1,"⚠ 重複打卡","OK")))</f>
        <v/>
      </c>
    </row>
    <row r="380">
      <c r="A380" s="19" t="n"/>
      <c r="B380" s="17" t="n"/>
      <c r="C380" s="85" t="n"/>
      <c r="D380" s="85" t="n"/>
      <c r="E380" s="16">
        <f>IF($A380="","",$A380&amp;"|"&amp;DAY($B380))</f>
        <v/>
      </c>
      <c r="F380" s="16">
        <f>IF($A380="","",IF(COUNTIF(設定!$B$64:$B$203,$A380)=0,"⚠ 查無員編",IF(COUNTIF($E$3:$E$502,$E380)&gt;1,"⚠ 重複打卡","OK")))</f>
        <v/>
      </c>
    </row>
    <row r="381">
      <c r="A381" s="19" t="n"/>
      <c r="B381" s="17" t="n"/>
      <c r="C381" s="85" t="n"/>
      <c r="D381" s="85" t="n"/>
      <c r="E381" s="16">
        <f>IF($A381="","",$A381&amp;"|"&amp;DAY($B381))</f>
        <v/>
      </c>
      <c r="F381" s="16">
        <f>IF($A381="","",IF(COUNTIF(設定!$B$64:$B$203,$A381)=0,"⚠ 查無員編",IF(COUNTIF($E$3:$E$502,$E381)&gt;1,"⚠ 重複打卡","OK")))</f>
        <v/>
      </c>
    </row>
    <row r="382">
      <c r="A382" s="19" t="n"/>
      <c r="B382" s="17" t="n"/>
      <c r="C382" s="85" t="n"/>
      <c r="D382" s="85" t="n"/>
      <c r="E382" s="16">
        <f>IF($A382="","",$A382&amp;"|"&amp;DAY($B382))</f>
        <v/>
      </c>
      <c r="F382" s="16">
        <f>IF($A382="","",IF(COUNTIF(設定!$B$64:$B$203,$A382)=0,"⚠ 查無員編",IF(COUNTIF($E$3:$E$502,$E382)&gt;1,"⚠ 重複打卡","OK")))</f>
        <v/>
      </c>
    </row>
    <row r="383">
      <c r="A383" s="19" t="n"/>
      <c r="B383" s="17" t="n"/>
      <c r="C383" s="85" t="n"/>
      <c r="D383" s="85" t="n"/>
      <c r="E383" s="16">
        <f>IF($A383="","",$A383&amp;"|"&amp;DAY($B383))</f>
        <v/>
      </c>
      <c r="F383" s="16">
        <f>IF($A383="","",IF(COUNTIF(設定!$B$64:$B$203,$A383)=0,"⚠ 查無員編",IF(COUNTIF($E$3:$E$502,$E383)&gt;1,"⚠ 重複打卡","OK")))</f>
        <v/>
      </c>
    </row>
    <row r="384">
      <c r="A384" s="19" t="n"/>
      <c r="B384" s="17" t="n"/>
      <c r="C384" s="85" t="n"/>
      <c r="D384" s="85" t="n"/>
      <c r="E384" s="16">
        <f>IF($A384="","",$A384&amp;"|"&amp;DAY($B384))</f>
        <v/>
      </c>
      <c r="F384" s="16">
        <f>IF($A384="","",IF(COUNTIF(設定!$B$64:$B$203,$A384)=0,"⚠ 查無員編",IF(COUNTIF($E$3:$E$502,$E384)&gt;1,"⚠ 重複打卡","OK")))</f>
        <v/>
      </c>
    </row>
    <row r="385">
      <c r="A385" s="19" t="n"/>
      <c r="B385" s="17" t="n"/>
      <c r="C385" s="85" t="n"/>
      <c r="D385" s="85" t="n"/>
      <c r="E385" s="16">
        <f>IF($A385="","",$A385&amp;"|"&amp;DAY($B385))</f>
        <v/>
      </c>
      <c r="F385" s="16">
        <f>IF($A385="","",IF(COUNTIF(設定!$B$64:$B$203,$A385)=0,"⚠ 查無員編",IF(COUNTIF($E$3:$E$502,$E385)&gt;1,"⚠ 重複打卡","OK")))</f>
        <v/>
      </c>
    </row>
    <row r="386">
      <c r="A386" s="19" t="n"/>
      <c r="B386" s="17" t="n"/>
      <c r="C386" s="85" t="n"/>
      <c r="D386" s="85" t="n"/>
      <c r="E386" s="16">
        <f>IF($A386="","",$A386&amp;"|"&amp;DAY($B386))</f>
        <v/>
      </c>
      <c r="F386" s="16">
        <f>IF($A386="","",IF(COUNTIF(設定!$B$64:$B$203,$A386)=0,"⚠ 查無員編",IF(COUNTIF($E$3:$E$502,$E386)&gt;1,"⚠ 重複打卡","OK")))</f>
        <v/>
      </c>
    </row>
    <row r="387">
      <c r="A387" s="19" t="n"/>
      <c r="B387" s="17" t="n"/>
      <c r="C387" s="85" t="n"/>
      <c r="D387" s="85" t="n"/>
      <c r="E387" s="16">
        <f>IF($A387="","",$A387&amp;"|"&amp;DAY($B387))</f>
        <v/>
      </c>
      <c r="F387" s="16">
        <f>IF($A387="","",IF(COUNTIF(設定!$B$64:$B$203,$A387)=0,"⚠ 查無員編",IF(COUNTIF($E$3:$E$502,$E387)&gt;1,"⚠ 重複打卡","OK")))</f>
        <v/>
      </c>
    </row>
    <row r="388">
      <c r="A388" s="19" t="n"/>
      <c r="B388" s="17" t="n"/>
      <c r="C388" s="85" t="n"/>
      <c r="D388" s="85" t="n"/>
      <c r="E388" s="16">
        <f>IF($A388="","",$A388&amp;"|"&amp;DAY($B388))</f>
        <v/>
      </c>
      <c r="F388" s="16">
        <f>IF($A388="","",IF(COUNTIF(設定!$B$64:$B$203,$A388)=0,"⚠ 查無員編",IF(COUNTIF($E$3:$E$502,$E388)&gt;1,"⚠ 重複打卡","OK")))</f>
        <v/>
      </c>
    </row>
    <row r="389">
      <c r="A389" s="19" t="n"/>
      <c r="B389" s="17" t="n"/>
      <c r="C389" s="85" t="n"/>
      <c r="D389" s="85" t="n"/>
      <c r="E389" s="16">
        <f>IF($A389="","",$A389&amp;"|"&amp;DAY($B389))</f>
        <v/>
      </c>
      <c r="F389" s="16">
        <f>IF($A389="","",IF(COUNTIF(設定!$B$64:$B$203,$A389)=0,"⚠ 查無員編",IF(COUNTIF($E$3:$E$502,$E389)&gt;1,"⚠ 重複打卡","OK")))</f>
        <v/>
      </c>
    </row>
    <row r="390">
      <c r="A390" s="19" t="n"/>
      <c r="B390" s="17" t="n"/>
      <c r="C390" s="85" t="n"/>
      <c r="D390" s="85" t="n"/>
      <c r="E390" s="16">
        <f>IF($A390="","",$A390&amp;"|"&amp;DAY($B390))</f>
        <v/>
      </c>
      <c r="F390" s="16">
        <f>IF($A390="","",IF(COUNTIF(設定!$B$64:$B$203,$A390)=0,"⚠ 查無員編",IF(COUNTIF($E$3:$E$502,$E390)&gt;1,"⚠ 重複打卡","OK")))</f>
        <v/>
      </c>
    </row>
    <row r="391">
      <c r="A391" s="19" t="n"/>
      <c r="B391" s="17" t="n"/>
      <c r="C391" s="85" t="n"/>
      <c r="D391" s="85" t="n"/>
      <c r="E391" s="16">
        <f>IF($A391="","",$A391&amp;"|"&amp;DAY($B391))</f>
        <v/>
      </c>
      <c r="F391" s="16">
        <f>IF($A391="","",IF(COUNTIF(設定!$B$64:$B$203,$A391)=0,"⚠ 查無員編",IF(COUNTIF($E$3:$E$502,$E391)&gt;1,"⚠ 重複打卡","OK")))</f>
        <v/>
      </c>
    </row>
    <row r="392">
      <c r="A392" s="19" t="n"/>
      <c r="B392" s="17" t="n"/>
      <c r="C392" s="85" t="n"/>
      <c r="D392" s="85" t="n"/>
      <c r="E392" s="16">
        <f>IF($A392="","",$A392&amp;"|"&amp;DAY($B392))</f>
        <v/>
      </c>
      <c r="F392" s="16">
        <f>IF($A392="","",IF(COUNTIF(設定!$B$64:$B$203,$A392)=0,"⚠ 查無員編",IF(COUNTIF($E$3:$E$502,$E392)&gt;1,"⚠ 重複打卡","OK")))</f>
        <v/>
      </c>
    </row>
    <row r="393">
      <c r="A393" s="19" t="n"/>
      <c r="B393" s="17" t="n"/>
      <c r="C393" s="85" t="n"/>
      <c r="D393" s="85" t="n"/>
      <c r="E393" s="16">
        <f>IF($A393="","",$A393&amp;"|"&amp;DAY($B393))</f>
        <v/>
      </c>
      <c r="F393" s="16">
        <f>IF($A393="","",IF(COUNTIF(設定!$B$64:$B$203,$A393)=0,"⚠ 查無員編",IF(COUNTIF($E$3:$E$502,$E393)&gt;1,"⚠ 重複打卡","OK")))</f>
        <v/>
      </c>
    </row>
    <row r="394">
      <c r="A394" s="19" t="n"/>
      <c r="B394" s="17" t="n"/>
      <c r="C394" s="85" t="n"/>
      <c r="D394" s="85" t="n"/>
      <c r="E394" s="16">
        <f>IF($A394="","",$A394&amp;"|"&amp;DAY($B394))</f>
        <v/>
      </c>
      <c r="F394" s="16">
        <f>IF($A394="","",IF(COUNTIF(設定!$B$64:$B$203,$A394)=0,"⚠ 查無員編",IF(COUNTIF($E$3:$E$502,$E394)&gt;1,"⚠ 重複打卡","OK")))</f>
        <v/>
      </c>
    </row>
    <row r="395">
      <c r="A395" s="19" t="n"/>
      <c r="B395" s="17" t="n"/>
      <c r="C395" s="85" t="n"/>
      <c r="D395" s="85" t="n"/>
      <c r="E395" s="16">
        <f>IF($A395="","",$A395&amp;"|"&amp;DAY($B395))</f>
        <v/>
      </c>
      <c r="F395" s="16">
        <f>IF($A395="","",IF(COUNTIF(設定!$B$64:$B$203,$A395)=0,"⚠ 查無員編",IF(COUNTIF($E$3:$E$502,$E395)&gt;1,"⚠ 重複打卡","OK")))</f>
        <v/>
      </c>
    </row>
    <row r="396">
      <c r="A396" s="19" t="n"/>
      <c r="B396" s="17" t="n"/>
      <c r="C396" s="85" t="n"/>
      <c r="D396" s="85" t="n"/>
      <c r="E396" s="16">
        <f>IF($A396="","",$A396&amp;"|"&amp;DAY($B396))</f>
        <v/>
      </c>
      <c r="F396" s="16">
        <f>IF($A396="","",IF(COUNTIF(設定!$B$64:$B$203,$A396)=0,"⚠ 查無員編",IF(COUNTIF($E$3:$E$502,$E396)&gt;1,"⚠ 重複打卡","OK")))</f>
        <v/>
      </c>
    </row>
    <row r="397">
      <c r="A397" s="19" t="n"/>
      <c r="B397" s="17" t="n"/>
      <c r="C397" s="85" t="n"/>
      <c r="D397" s="85" t="n"/>
      <c r="E397" s="16">
        <f>IF($A397="","",$A397&amp;"|"&amp;DAY($B397))</f>
        <v/>
      </c>
      <c r="F397" s="16">
        <f>IF($A397="","",IF(COUNTIF(設定!$B$64:$B$203,$A397)=0,"⚠ 查無員編",IF(COUNTIF($E$3:$E$502,$E397)&gt;1,"⚠ 重複打卡","OK")))</f>
        <v/>
      </c>
    </row>
    <row r="398">
      <c r="A398" s="19" t="n"/>
      <c r="B398" s="17" t="n"/>
      <c r="C398" s="85" t="n"/>
      <c r="D398" s="85" t="n"/>
      <c r="E398" s="16">
        <f>IF($A398="","",$A398&amp;"|"&amp;DAY($B398))</f>
        <v/>
      </c>
      <c r="F398" s="16">
        <f>IF($A398="","",IF(COUNTIF(設定!$B$64:$B$203,$A398)=0,"⚠ 查無員編",IF(COUNTIF($E$3:$E$502,$E398)&gt;1,"⚠ 重複打卡","OK")))</f>
        <v/>
      </c>
    </row>
    <row r="399">
      <c r="A399" s="19" t="n"/>
      <c r="B399" s="17" t="n"/>
      <c r="C399" s="85" t="n"/>
      <c r="D399" s="85" t="n"/>
      <c r="E399" s="16">
        <f>IF($A399="","",$A399&amp;"|"&amp;DAY($B399))</f>
        <v/>
      </c>
      <c r="F399" s="16">
        <f>IF($A399="","",IF(COUNTIF(設定!$B$64:$B$203,$A399)=0,"⚠ 查無員編",IF(COUNTIF($E$3:$E$502,$E399)&gt;1,"⚠ 重複打卡","OK")))</f>
        <v/>
      </c>
    </row>
    <row r="400">
      <c r="A400" s="19" t="n"/>
      <c r="B400" s="17" t="n"/>
      <c r="C400" s="85" t="n"/>
      <c r="D400" s="85" t="n"/>
      <c r="E400" s="16">
        <f>IF($A400="","",$A400&amp;"|"&amp;DAY($B400))</f>
        <v/>
      </c>
      <c r="F400" s="16">
        <f>IF($A400="","",IF(COUNTIF(設定!$B$64:$B$203,$A400)=0,"⚠ 查無員編",IF(COUNTIF($E$3:$E$502,$E400)&gt;1,"⚠ 重複打卡","OK")))</f>
        <v/>
      </c>
    </row>
    <row r="401">
      <c r="A401" s="19" t="n"/>
      <c r="B401" s="17" t="n"/>
      <c r="C401" s="85" t="n"/>
      <c r="D401" s="85" t="n"/>
      <c r="E401" s="16">
        <f>IF($A401="","",$A401&amp;"|"&amp;DAY($B401))</f>
        <v/>
      </c>
      <c r="F401" s="16">
        <f>IF($A401="","",IF(COUNTIF(設定!$B$64:$B$203,$A401)=0,"⚠ 查無員編",IF(COUNTIF($E$3:$E$502,$E401)&gt;1,"⚠ 重複打卡","OK")))</f>
        <v/>
      </c>
    </row>
    <row r="402">
      <c r="A402" s="19" t="n"/>
      <c r="B402" s="17" t="n"/>
      <c r="C402" s="85" t="n"/>
      <c r="D402" s="85" t="n"/>
      <c r="E402" s="16">
        <f>IF($A402="","",$A402&amp;"|"&amp;DAY($B402))</f>
        <v/>
      </c>
      <c r="F402" s="16">
        <f>IF($A402="","",IF(COUNTIF(設定!$B$64:$B$203,$A402)=0,"⚠ 查無員編",IF(COUNTIF($E$3:$E$502,$E402)&gt;1,"⚠ 重複打卡","OK")))</f>
        <v/>
      </c>
    </row>
    <row r="403">
      <c r="A403" s="19" t="n"/>
      <c r="B403" s="17" t="n"/>
      <c r="C403" s="85" t="n"/>
      <c r="D403" s="85" t="n"/>
      <c r="E403" s="16">
        <f>IF($A403="","",$A403&amp;"|"&amp;DAY($B403))</f>
        <v/>
      </c>
      <c r="F403" s="16">
        <f>IF($A403="","",IF(COUNTIF(設定!$B$64:$B$203,$A403)=0,"⚠ 查無員編",IF(COUNTIF($E$3:$E$502,$E403)&gt;1,"⚠ 重複打卡","OK")))</f>
        <v/>
      </c>
    </row>
    <row r="404">
      <c r="A404" s="19" t="n"/>
      <c r="B404" s="17" t="n"/>
      <c r="C404" s="85" t="n"/>
      <c r="D404" s="85" t="n"/>
      <c r="E404" s="16">
        <f>IF($A404="","",$A404&amp;"|"&amp;DAY($B404))</f>
        <v/>
      </c>
      <c r="F404" s="16">
        <f>IF($A404="","",IF(COUNTIF(設定!$B$64:$B$203,$A404)=0,"⚠ 查無員編",IF(COUNTIF($E$3:$E$502,$E404)&gt;1,"⚠ 重複打卡","OK")))</f>
        <v/>
      </c>
    </row>
    <row r="405">
      <c r="A405" s="19" t="n"/>
      <c r="B405" s="17" t="n"/>
      <c r="C405" s="85" t="n"/>
      <c r="D405" s="85" t="n"/>
      <c r="E405" s="16">
        <f>IF($A405="","",$A405&amp;"|"&amp;DAY($B405))</f>
        <v/>
      </c>
      <c r="F405" s="16">
        <f>IF($A405="","",IF(COUNTIF(設定!$B$64:$B$203,$A405)=0,"⚠ 查無員編",IF(COUNTIF($E$3:$E$502,$E405)&gt;1,"⚠ 重複打卡","OK")))</f>
        <v/>
      </c>
    </row>
    <row r="406">
      <c r="A406" s="19" t="n"/>
      <c r="B406" s="17" t="n"/>
      <c r="C406" s="85" t="n"/>
      <c r="D406" s="85" t="n"/>
      <c r="E406" s="16">
        <f>IF($A406="","",$A406&amp;"|"&amp;DAY($B406))</f>
        <v/>
      </c>
      <c r="F406" s="16">
        <f>IF($A406="","",IF(COUNTIF(設定!$B$64:$B$203,$A406)=0,"⚠ 查無員編",IF(COUNTIF($E$3:$E$502,$E406)&gt;1,"⚠ 重複打卡","OK")))</f>
        <v/>
      </c>
    </row>
    <row r="407">
      <c r="A407" s="19" t="n"/>
      <c r="B407" s="17" t="n"/>
      <c r="C407" s="85" t="n"/>
      <c r="D407" s="85" t="n"/>
      <c r="E407" s="16">
        <f>IF($A407="","",$A407&amp;"|"&amp;DAY($B407))</f>
        <v/>
      </c>
      <c r="F407" s="16">
        <f>IF($A407="","",IF(COUNTIF(設定!$B$64:$B$203,$A407)=0,"⚠ 查無員編",IF(COUNTIF($E$3:$E$502,$E407)&gt;1,"⚠ 重複打卡","OK")))</f>
        <v/>
      </c>
    </row>
    <row r="408">
      <c r="A408" s="19" t="n"/>
      <c r="B408" s="17" t="n"/>
      <c r="C408" s="85" t="n"/>
      <c r="D408" s="85" t="n"/>
      <c r="E408" s="16">
        <f>IF($A408="","",$A408&amp;"|"&amp;DAY($B408))</f>
        <v/>
      </c>
      <c r="F408" s="16">
        <f>IF($A408="","",IF(COUNTIF(設定!$B$64:$B$203,$A408)=0,"⚠ 查無員編",IF(COUNTIF($E$3:$E$502,$E408)&gt;1,"⚠ 重複打卡","OK")))</f>
        <v/>
      </c>
    </row>
    <row r="409">
      <c r="A409" s="19" t="n"/>
      <c r="B409" s="17" t="n"/>
      <c r="C409" s="85" t="n"/>
      <c r="D409" s="85" t="n"/>
      <c r="E409" s="16">
        <f>IF($A409="","",$A409&amp;"|"&amp;DAY($B409))</f>
        <v/>
      </c>
      <c r="F409" s="16">
        <f>IF($A409="","",IF(COUNTIF(設定!$B$64:$B$203,$A409)=0,"⚠ 查無員編",IF(COUNTIF($E$3:$E$502,$E409)&gt;1,"⚠ 重複打卡","OK")))</f>
        <v/>
      </c>
    </row>
    <row r="410">
      <c r="A410" s="19" t="n"/>
      <c r="B410" s="17" t="n"/>
      <c r="C410" s="85" t="n"/>
      <c r="D410" s="85" t="n"/>
      <c r="E410" s="16">
        <f>IF($A410="","",$A410&amp;"|"&amp;DAY($B410))</f>
        <v/>
      </c>
      <c r="F410" s="16">
        <f>IF($A410="","",IF(COUNTIF(設定!$B$64:$B$203,$A410)=0,"⚠ 查無員編",IF(COUNTIF($E$3:$E$502,$E410)&gt;1,"⚠ 重複打卡","OK")))</f>
        <v/>
      </c>
    </row>
    <row r="411">
      <c r="A411" s="19" t="n"/>
      <c r="B411" s="17" t="n"/>
      <c r="C411" s="85" t="n"/>
      <c r="D411" s="85" t="n"/>
      <c r="E411" s="16">
        <f>IF($A411="","",$A411&amp;"|"&amp;DAY($B411))</f>
        <v/>
      </c>
      <c r="F411" s="16">
        <f>IF($A411="","",IF(COUNTIF(設定!$B$64:$B$203,$A411)=0,"⚠ 查無員編",IF(COUNTIF($E$3:$E$502,$E411)&gt;1,"⚠ 重複打卡","OK")))</f>
        <v/>
      </c>
    </row>
    <row r="412">
      <c r="A412" s="19" t="n"/>
      <c r="B412" s="17" t="n"/>
      <c r="C412" s="85" t="n"/>
      <c r="D412" s="85" t="n"/>
      <c r="E412" s="16">
        <f>IF($A412="","",$A412&amp;"|"&amp;DAY($B412))</f>
        <v/>
      </c>
      <c r="F412" s="16">
        <f>IF($A412="","",IF(COUNTIF(設定!$B$64:$B$203,$A412)=0,"⚠ 查無員編",IF(COUNTIF($E$3:$E$502,$E412)&gt;1,"⚠ 重複打卡","OK")))</f>
        <v/>
      </c>
    </row>
    <row r="413">
      <c r="A413" s="19" t="n"/>
      <c r="B413" s="17" t="n"/>
      <c r="C413" s="85" t="n"/>
      <c r="D413" s="85" t="n"/>
      <c r="E413" s="16">
        <f>IF($A413="","",$A413&amp;"|"&amp;DAY($B413))</f>
        <v/>
      </c>
      <c r="F413" s="16">
        <f>IF($A413="","",IF(COUNTIF(設定!$B$64:$B$203,$A413)=0,"⚠ 查無員編",IF(COUNTIF($E$3:$E$502,$E413)&gt;1,"⚠ 重複打卡","OK")))</f>
        <v/>
      </c>
    </row>
    <row r="414">
      <c r="A414" s="19" t="n"/>
      <c r="B414" s="17" t="n"/>
      <c r="C414" s="85" t="n"/>
      <c r="D414" s="85" t="n"/>
      <c r="E414" s="16">
        <f>IF($A414="","",$A414&amp;"|"&amp;DAY($B414))</f>
        <v/>
      </c>
      <c r="F414" s="16">
        <f>IF($A414="","",IF(COUNTIF(設定!$B$64:$B$203,$A414)=0,"⚠ 查無員編",IF(COUNTIF($E$3:$E$502,$E414)&gt;1,"⚠ 重複打卡","OK")))</f>
        <v/>
      </c>
    </row>
    <row r="415">
      <c r="A415" s="19" t="n"/>
      <c r="B415" s="17" t="n"/>
      <c r="C415" s="85" t="n"/>
      <c r="D415" s="85" t="n"/>
      <c r="E415" s="16">
        <f>IF($A415="","",$A415&amp;"|"&amp;DAY($B415))</f>
        <v/>
      </c>
      <c r="F415" s="16">
        <f>IF($A415="","",IF(COUNTIF(設定!$B$64:$B$203,$A415)=0,"⚠ 查無員編",IF(COUNTIF($E$3:$E$502,$E415)&gt;1,"⚠ 重複打卡","OK")))</f>
        <v/>
      </c>
    </row>
    <row r="416">
      <c r="A416" s="19" t="n"/>
      <c r="B416" s="17" t="n"/>
      <c r="C416" s="85" t="n"/>
      <c r="D416" s="85" t="n"/>
      <c r="E416" s="16">
        <f>IF($A416="","",$A416&amp;"|"&amp;DAY($B416))</f>
        <v/>
      </c>
      <c r="F416" s="16">
        <f>IF($A416="","",IF(COUNTIF(設定!$B$64:$B$203,$A416)=0,"⚠ 查無員編",IF(COUNTIF($E$3:$E$502,$E416)&gt;1,"⚠ 重複打卡","OK")))</f>
        <v/>
      </c>
    </row>
    <row r="417">
      <c r="A417" s="19" t="n"/>
      <c r="B417" s="17" t="n"/>
      <c r="C417" s="85" t="n"/>
      <c r="D417" s="85" t="n"/>
      <c r="E417" s="16">
        <f>IF($A417="","",$A417&amp;"|"&amp;DAY($B417))</f>
        <v/>
      </c>
      <c r="F417" s="16">
        <f>IF($A417="","",IF(COUNTIF(設定!$B$64:$B$203,$A417)=0,"⚠ 查無員編",IF(COUNTIF($E$3:$E$502,$E417)&gt;1,"⚠ 重複打卡","OK")))</f>
        <v/>
      </c>
    </row>
    <row r="418">
      <c r="A418" s="19" t="n"/>
      <c r="B418" s="17" t="n"/>
      <c r="C418" s="85" t="n"/>
      <c r="D418" s="85" t="n"/>
      <c r="E418" s="16">
        <f>IF($A418="","",$A418&amp;"|"&amp;DAY($B418))</f>
        <v/>
      </c>
      <c r="F418" s="16">
        <f>IF($A418="","",IF(COUNTIF(設定!$B$64:$B$203,$A418)=0,"⚠ 查無員編",IF(COUNTIF($E$3:$E$502,$E418)&gt;1,"⚠ 重複打卡","OK")))</f>
        <v/>
      </c>
    </row>
    <row r="419">
      <c r="A419" s="19" t="n"/>
      <c r="B419" s="17" t="n"/>
      <c r="C419" s="85" t="n"/>
      <c r="D419" s="85" t="n"/>
      <c r="E419" s="16">
        <f>IF($A419="","",$A419&amp;"|"&amp;DAY($B419))</f>
        <v/>
      </c>
      <c r="F419" s="16">
        <f>IF($A419="","",IF(COUNTIF(設定!$B$64:$B$203,$A419)=0,"⚠ 查無員編",IF(COUNTIF($E$3:$E$502,$E419)&gt;1,"⚠ 重複打卡","OK")))</f>
        <v/>
      </c>
    </row>
    <row r="420">
      <c r="A420" s="19" t="n"/>
      <c r="B420" s="17" t="n"/>
      <c r="C420" s="85" t="n"/>
      <c r="D420" s="85" t="n"/>
      <c r="E420" s="16">
        <f>IF($A420="","",$A420&amp;"|"&amp;DAY($B420))</f>
        <v/>
      </c>
      <c r="F420" s="16">
        <f>IF($A420="","",IF(COUNTIF(設定!$B$64:$B$203,$A420)=0,"⚠ 查無員編",IF(COUNTIF($E$3:$E$502,$E420)&gt;1,"⚠ 重複打卡","OK")))</f>
        <v/>
      </c>
    </row>
    <row r="421">
      <c r="A421" s="19" t="n"/>
      <c r="B421" s="17" t="n"/>
      <c r="C421" s="85" t="n"/>
      <c r="D421" s="85" t="n"/>
      <c r="E421" s="16">
        <f>IF($A421="","",$A421&amp;"|"&amp;DAY($B421))</f>
        <v/>
      </c>
      <c r="F421" s="16">
        <f>IF($A421="","",IF(COUNTIF(設定!$B$64:$B$203,$A421)=0,"⚠ 查無員編",IF(COUNTIF($E$3:$E$502,$E421)&gt;1,"⚠ 重複打卡","OK")))</f>
        <v/>
      </c>
    </row>
    <row r="422">
      <c r="A422" s="19" t="n"/>
      <c r="B422" s="17" t="n"/>
      <c r="C422" s="85" t="n"/>
      <c r="D422" s="85" t="n"/>
      <c r="E422" s="16">
        <f>IF($A422="","",$A422&amp;"|"&amp;DAY($B422))</f>
        <v/>
      </c>
      <c r="F422" s="16">
        <f>IF($A422="","",IF(COUNTIF(設定!$B$64:$B$203,$A422)=0,"⚠ 查無員編",IF(COUNTIF($E$3:$E$502,$E422)&gt;1,"⚠ 重複打卡","OK")))</f>
        <v/>
      </c>
    </row>
    <row r="423">
      <c r="A423" s="19" t="n"/>
      <c r="B423" s="17" t="n"/>
      <c r="C423" s="85" t="n"/>
      <c r="D423" s="85" t="n"/>
      <c r="E423" s="16">
        <f>IF($A423="","",$A423&amp;"|"&amp;DAY($B423))</f>
        <v/>
      </c>
      <c r="F423" s="16">
        <f>IF($A423="","",IF(COUNTIF(設定!$B$64:$B$203,$A423)=0,"⚠ 查無員編",IF(COUNTIF($E$3:$E$502,$E423)&gt;1,"⚠ 重複打卡","OK")))</f>
        <v/>
      </c>
    </row>
    <row r="424">
      <c r="A424" s="19" t="n"/>
      <c r="B424" s="17" t="n"/>
      <c r="C424" s="85" t="n"/>
      <c r="D424" s="85" t="n"/>
      <c r="E424" s="16">
        <f>IF($A424="","",$A424&amp;"|"&amp;DAY($B424))</f>
        <v/>
      </c>
      <c r="F424" s="16">
        <f>IF($A424="","",IF(COUNTIF(設定!$B$64:$B$203,$A424)=0,"⚠ 查無員編",IF(COUNTIF($E$3:$E$502,$E424)&gt;1,"⚠ 重複打卡","OK")))</f>
        <v/>
      </c>
    </row>
    <row r="425">
      <c r="A425" s="19" t="n"/>
      <c r="B425" s="17" t="n"/>
      <c r="C425" s="85" t="n"/>
      <c r="D425" s="85" t="n"/>
      <c r="E425" s="16">
        <f>IF($A425="","",$A425&amp;"|"&amp;DAY($B425))</f>
        <v/>
      </c>
      <c r="F425" s="16">
        <f>IF($A425="","",IF(COUNTIF(設定!$B$64:$B$203,$A425)=0,"⚠ 查無員編",IF(COUNTIF($E$3:$E$502,$E425)&gt;1,"⚠ 重複打卡","OK")))</f>
        <v/>
      </c>
    </row>
    <row r="426">
      <c r="A426" s="19" t="n"/>
      <c r="B426" s="17" t="n"/>
      <c r="C426" s="85" t="n"/>
      <c r="D426" s="85" t="n"/>
      <c r="E426" s="16">
        <f>IF($A426="","",$A426&amp;"|"&amp;DAY($B426))</f>
        <v/>
      </c>
      <c r="F426" s="16">
        <f>IF($A426="","",IF(COUNTIF(設定!$B$64:$B$203,$A426)=0,"⚠ 查無員編",IF(COUNTIF($E$3:$E$502,$E426)&gt;1,"⚠ 重複打卡","OK")))</f>
        <v/>
      </c>
    </row>
    <row r="427">
      <c r="A427" s="19" t="n"/>
      <c r="B427" s="17" t="n"/>
      <c r="C427" s="85" t="n"/>
      <c r="D427" s="85" t="n"/>
      <c r="E427" s="16">
        <f>IF($A427="","",$A427&amp;"|"&amp;DAY($B427))</f>
        <v/>
      </c>
      <c r="F427" s="16">
        <f>IF($A427="","",IF(COUNTIF(設定!$B$64:$B$203,$A427)=0,"⚠ 查無員編",IF(COUNTIF($E$3:$E$502,$E427)&gt;1,"⚠ 重複打卡","OK")))</f>
        <v/>
      </c>
    </row>
    <row r="428">
      <c r="A428" s="19" t="n"/>
      <c r="B428" s="17" t="n"/>
      <c r="C428" s="85" t="n"/>
      <c r="D428" s="85" t="n"/>
      <c r="E428" s="16">
        <f>IF($A428="","",$A428&amp;"|"&amp;DAY($B428))</f>
        <v/>
      </c>
      <c r="F428" s="16">
        <f>IF($A428="","",IF(COUNTIF(設定!$B$64:$B$203,$A428)=0,"⚠ 查無員編",IF(COUNTIF($E$3:$E$502,$E428)&gt;1,"⚠ 重複打卡","OK")))</f>
        <v/>
      </c>
    </row>
    <row r="429">
      <c r="A429" s="19" t="n"/>
      <c r="B429" s="17" t="n"/>
      <c r="C429" s="85" t="n"/>
      <c r="D429" s="85" t="n"/>
      <c r="E429" s="16">
        <f>IF($A429="","",$A429&amp;"|"&amp;DAY($B429))</f>
        <v/>
      </c>
      <c r="F429" s="16">
        <f>IF($A429="","",IF(COUNTIF(設定!$B$64:$B$203,$A429)=0,"⚠ 查無員編",IF(COUNTIF($E$3:$E$502,$E429)&gt;1,"⚠ 重複打卡","OK")))</f>
        <v/>
      </c>
    </row>
    <row r="430">
      <c r="A430" s="19" t="n"/>
      <c r="B430" s="17" t="n"/>
      <c r="C430" s="85" t="n"/>
      <c r="D430" s="85" t="n"/>
      <c r="E430" s="16">
        <f>IF($A430="","",$A430&amp;"|"&amp;DAY($B430))</f>
        <v/>
      </c>
      <c r="F430" s="16">
        <f>IF($A430="","",IF(COUNTIF(設定!$B$64:$B$203,$A430)=0,"⚠ 查無員編",IF(COUNTIF($E$3:$E$502,$E430)&gt;1,"⚠ 重複打卡","OK")))</f>
        <v/>
      </c>
    </row>
    <row r="431">
      <c r="A431" s="19" t="n"/>
      <c r="B431" s="17" t="n"/>
      <c r="C431" s="85" t="n"/>
      <c r="D431" s="85" t="n"/>
      <c r="E431" s="16">
        <f>IF($A431="","",$A431&amp;"|"&amp;DAY($B431))</f>
        <v/>
      </c>
      <c r="F431" s="16">
        <f>IF($A431="","",IF(COUNTIF(設定!$B$64:$B$203,$A431)=0,"⚠ 查無員編",IF(COUNTIF($E$3:$E$502,$E431)&gt;1,"⚠ 重複打卡","OK")))</f>
        <v/>
      </c>
    </row>
    <row r="432">
      <c r="A432" s="19" t="n"/>
      <c r="B432" s="17" t="n"/>
      <c r="C432" s="85" t="n"/>
      <c r="D432" s="85" t="n"/>
      <c r="E432" s="16">
        <f>IF($A432="","",$A432&amp;"|"&amp;DAY($B432))</f>
        <v/>
      </c>
      <c r="F432" s="16">
        <f>IF($A432="","",IF(COUNTIF(設定!$B$64:$B$203,$A432)=0,"⚠ 查無員編",IF(COUNTIF($E$3:$E$502,$E432)&gt;1,"⚠ 重複打卡","OK")))</f>
        <v/>
      </c>
    </row>
    <row r="433">
      <c r="A433" s="19" t="n"/>
      <c r="B433" s="17" t="n"/>
      <c r="C433" s="85" t="n"/>
      <c r="D433" s="85" t="n"/>
      <c r="E433" s="16">
        <f>IF($A433="","",$A433&amp;"|"&amp;DAY($B433))</f>
        <v/>
      </c>
      <c r="F433" s="16">
        <f>IF($A433="","",IF(COUNTIF(設定!$B$64:$B$203,$A433)=0,"⚠ 查無員編",IF(COUNTIF($E$3:$E$502,$E433)&gt;1,"⚠ 重複打卡","OK")))</f>
        <v/>
      </c>
    </row>
    <row r="434">
      <c r="A434" s="19" t="n"/>
      <c r="B434" s="17" t="n"/>
      <c r="C434" s="85" t="n"/>
      <c r="D434" s="85" t="n"/>
      <c r="E434" s="16">
        <f>IF($A434="","",$A434&amp;"|"&amp;DAY($B434))</f>
        <v/>
      </c>
      <c r="F434" s="16">
        <f>IF($A434="","",IF(COUNTIF(設定!$B$64:$B$203,$A434)=0,"⚠ 查無員編",IF(COUNTIF($E$3:$E$502,$E434)&gt;1,"⚠ 重複打卡","OK")))</f>
        <v/>
      </c>
    </row>
    <row r="435">
      <c r="A435" s="19" t="n"/>
      <c r="B435" s="17" t="n"/>
      <c r="C435" s="85" t="n"/>
      <c r="D435" s="85" t="n"/>
      <c r="E435" s="16">
        <f>IF($A435="","",$A435&amp;"|"&amp;DAY($B435))</f>
        <v/>
      </c>
      <c r="F435" s="16">
        <f>IF($A435="","",IF(COUNTIF(設定!$B$64:$B$203,$A435)=0,"⚠ 查無員編",IF(COUNTIF($E$3:$E$502,$E435)&gt;1,"⚠ 重複打卡","OK")))</f>
        <v/>
      </c>
    </row>
    <row r="436">
      <c r="A436" s="19" t="n"/>
      <c r="B436" s="17" t="n"/>
      <c r="C436" s="85" t="n"/>
      <c r="D436" s="85" t="n"/>
      <c r="E436" s="16">
        <f>IF($A436="","",$A436&amp;"|"&amp;DAY($B436))</f>
        <v/>
      </c>
      <c r="F436" s="16">
        <f>IF($A436="","",IF(COUNTIF(設定!$B$64:$B$203,$A436)=0,"⚠ 查無員編",IF(COUNTIF($E$3:$E$502,$E436)&gt;1,"⚠ 重複打卡","OK")))</f>
        <v/>
      </c>
    </row>
    <row r="437">
      <c r="A437" s="19" t="n"/>
      <c r="B437" s="17" t="n"/>
      <c r="C437" s="85" t="n"/>
      <c r="D437" s="85" t="n"/>
      <c r="E437" s="16">
        <f>IF($A437="","",$A437&amp;"|"&amp;DAY($B437))</f>
        <v/>
      </c>
      <c r="F437" s="16">
        <f>IF($A437="","",IF(COUNTIF(設定!$B$64:$B$203,$A437)=0,"⚠ 查無員編",IF(COUNTIF($E$3:$E$502,$E437)&gt;1,"⚠ 重複打卡","OK")))</f>
        <v/>
      </c>
    </row>
    <row r="438">
      <c r="A438" s="19" t="n"/>
      <c r="B438" s="17" t="n"/>
      <c r="C438" s="85" t="n"/>
      <c r="D438" s="85" t="n"/>
      <c r="E438" s="16">
        <f>IF($A438="","",$A438&amp;"|"&amp;DAY($B438))</f>
        <v/>
      </c>
      <c r="F438" s="16">
        <f>IF($A438="","",IF(COUNTIF(設定!$B$64:$B$203,$A438)=0,"⚠ 查無員編",IF(COUNTIF($E$3:$E$502,$E438)&gt;1,"⚠ 重複打卡","OK")))</f>
        <v/>
      </c>
    </row>
    <row r="439">
      <c r="A439" s="19" t="n"/>
      <c r="B439" s="17" t="n"/>
      <c r="C439" s="85" t="n"/>
      <c r="D439" s="85" t="n"/>
      <c r="E439" s="16">
        <f>IF($A439="","",$A439&amp;"|"&amp;DAY($B439))</f>
        <v/>
      </c>
      <c r="F439" s="16">
        <f>IF($A439="","",IF(COUNTIF(設定!$B$64:$B$203,$A439)=0,"⚠ 查無員編",IF(COUNTIF($E$3:$E$502,$E439)&gt;1,"⚠ 重複打卡","OK")))</f>
        <v/>
      </c>
    </row>
    <row r="440">
      <c r="A440" s="19" t="n"/>
      <c r="B440" s="17" t="n"/>
      <c r="C440" s="85" t="n"/>
      <c r="D440" s="85" t="n"/>
      <c r="E440" s="16">
        <f>IF($A440="","",$A440&amp;"|"&amp;DAY($B440))</f>
        <v/>
      </c>
      <c r="F440" s="16">
        <f>IF($A440="","",IF(COUNTIF(設定!$B$64:$B$203,$A440)=0,"⚠ 查無員編",IF(COUNTIF($E$3:$E$502,$E440)&gt;1,"⚠ 重複打卡","OK")))</f>
        <v/>
      </c>
    </row>
    <row r="441">
      <c r="A441" s="19" t="n"/>
      <c r="B441" s="17" t="n"/>
      <c r="C441" s="85" t="n"/>
      <c r="D441" s="85" t="n"/>
      <c r="E441" s="16">
        <f>IF($A441="","",$A441&amp;"|"&amp;DAY($B441))</f>
        <v/>
      </c>
      <c r="F441" s="16">
        <f>IF($A441="","",IF(COUNTIF(設定!$B$64:$B$203,$A441)=0,"⚠ 查無員編",IF(COUNTIF($E$3:$E$502,$E441)&gt;1,"⚠ 重複打卡","OK")))</f>
        <v/>
      </c>
    </row>
    <row r="442">
      <c r="A442" s="19" t="n"/>
      <c r="B442" s="17" t="n"/>
      <c r="C442" s="85" t="n"/>
      <c r="D442" s="85" t="n"/>
      <c r="E442" s="16">
        <f>IF($A442="","",$A442&amp;"|"&amp;DAY($B442))</f>
        <v/>
      </c>
      <c r="F442" s="16">
        <f>IF($A442="","",IF(COUNTIF(設定!$B$64:$B$203,$A442)=0,"⚠ 查無員編",IF(COUNTIF($E$3:$E$502,$E442)&gt;1,"⚠ 重複打卡","OK")))</f>
        <v/>
      </c>
    </row>
    <row r="443">
      <c r="A443" s="19" t="n"/>
      <c r="B443" s="17" t="n"/>
      <c r="C443" s="85" t="n"/>
      <c r="D443" s="85" t="n"/>
      <c r="E443" s="16">
        <f>IF($A443="","",$A443&amp;"|"&amp;DAY($B443))</f>
        <v/>
      </c>
      <c r="F443" s="16">
        <f>IF($A443="","",IF(COUNTIF(設定!$B$64:$B$203,$A443)=0,"⚠ 查無員編",IF(COUNTIF($E$3:$E$502,$E443)&gt;1,"⚠ 重複打卡","OK")))</f>
        <v/>
      </c>
    </row>
    <row r="444">
      <c r="A444" s="19" t="n"/>
      <c r="B444" s="17" t="n"/>
      <c r="C444" s="85" t="n"/>
      <c r="D444" s="85" t="n"/>
      <c r="E444" s="16">
        <f>IF($A444="","",$A444&amp;"|"&amp;DAY($B444))</f>
        <v/>
      </c>
      <c r="F444" s="16">
        <f>IF($A444="","",IF(COUNTIF(設定!$B$64:$B$203,$A444)=0,"⚠ 查無員編",IF(COUNTIF($E$3:$E$502,$E444)&gt;1,"⚠ 重複打卡","OK")))</f>
        <v/>
      </c>
    </row>
    <row r="445">
      <c r="A445" s="19" t="n"/>
      <c r="B445" s="17" t="n"/>
      <c r="C445" s="85" t="n"/>
      <c r="D445" s="85" t="n"/>
      <c r="E445" s="16">
        <f>IF($A445="","",$A445&amp;"|"&amp;DAY($B445))</f>
        <v/>
      </c>
      <c r="F445" s="16">
        <f>IF($A445="","",IF(COUNTIF(設定!$B$64:$B$203,$A445)=0,"⚠ 查無員編",IF(COUNTIF($E$3:$E$502,$E445)&gt;1,"⚠ 重複打卡","OK")))</f>
        <v/>
      </c>
    </row>
    <row r="446">
      <c r="A446" s="19" t="n"/>
      <c r="B446" s="17" t="n"/>
      <c r="C446" s="85" t="n"/>
      <c r="D446" s="85" t="n"/>
      <c r="E446" s="16">
        <f>IF($A446="","",$A446&amp;"|"&amp;DAY($B446))</f>
        <v/>
      </c>
      <c r="F446" s="16">
        <f>IF($A446="","",IF(COUNTIF(設定!$B$64:$B$203,$A446)=0,"⚠ 查無員編",IF(COUNTIF($E$3:$E$502,$E446)&gt;1,"⚠ 重複打卡","OK")))</f>
        <v/>
      </c>
    </row>
    <row r="447">
      <c r="A447" s="19" t="n"/>
      <c r="B447" s="17" t="n"/>
      <c r="C447" s="85" t="n"/>
      <c r="D447" s="85" t="n"/>
      <c r="E447" s="16">
        <f>IF($A447="","",$A447&amp;"|"&amp;DAY($B447))</f>
        <v/>
      </c>
      <c r="F447" s="16">
        <f>IF($A447="","",IF(COUNTIF(設定!$B$64:$B$203,$A447)=0,"⚠ 查無員編",IF(COUNTIF($E$3:$E$502,$E447)&gt;1,"⚠ 重複打卡","OK")))</f>
        <v/>
      </c>
    </row>
    <row r="448">
      <c r="A448" s="19" t="n"/>
      <c r="B448" s="17" t="n"/>
      <c r="C448" s="85" t="n"/>
      <c r="D448" s="85" t="n"/>
      <c r="E448" s="16">
        <f>IF($A448="","",$A448&amp;"|"&amp;DAY($B448))</f>
        <v/>
      </c>
      <c r="F448" s="16">
        <f>IF($A448="","",IF(COUNTIF(設定!$B$64:$B$203,$A448)=0,"⚠ 查無員編",IF(COUNTIF($E$3:$E$502,$E448)&gt;1,"⚠ 重複打卡","OK")))</f>
        <v/>
      </c>
    </row>
    <row r="449">
      <c r="A449" s="19" t="n"/>
      <c r="B449" s="17" t="n"/>
      <c r="C449" s="85" t="n"/>
      <c r="D449" s="85" t="n"/>
      <c r="E449" s="16">
        <f>IF($A449="","",$A449&amp;"|"&amp;DAY($B449))</f>
        <v/>
      </c>
      <c r="F449" s="16">
        <f>IF($A449="","",IF(COUNTIF(設定!$B$64:$B$203,$A449)=0,"⚠ 查無員編",IF(COUNTIF($E$3:$E$502,$E449)&gt;1,"⚠ 重複打卡","OK")))</f>
        <v/>
      </c>
    </row>
    <row r="450">
      <c r="A450" s="19" t="n"/>
      <c r="B450" s="17" t="n"/>
      <c r="C450" s="85" t="n"/>
      <c r="D450" s="85" t="n"/>
      <c r="E450" s="16">
        <f>IF($A450="","",$A450&amp;"|"&amp;DAY($B450))</f>
        <v/>
      </c>
      <c r="F450" s="16">
        <f>IF($A450="","",IF(COUNTIF(設定!$B$64:$B$203,$A450)=0,"⚠ 查無員編",IF(COUNTIF($E$3:$E$502,$E450)&gt;1,"⚠ 重複打卡","OK")))</f>
        <v/>
      </c>
    </row>
    <row r="451">
      <c r="A451" s="19" t="n"/>
      <c r="B451" s="17" t="n"/>
      <c r="C451" s="85" t="n"/>
      <c r="D451" s="85" t="n"/>
      <c r="E451" s="16">
        <f>IF($A451="","",$A451&amp;"|"&amp;DAY($B451))</f>
        <v/>
      </c>
      <c r="F451" s="16">
        <f>IF($A451="","",IF(COUNTIF(設定!$B$64:$B$203,$A451)=0,"⚠ 查無員編",IF(COUNTIF($E$3:$E$502,$E451)&gt;1,"⚠ 重複打卡","OK")))</f>
        <v/>
      </c>
    </row>
    <row r="452">
      <c r="A452" s="19" t="n"/>
      <c r="B452" s="17" t="n"/>
      <c r="C452" s="85" t="n"/>
      <c r="D452" s="85" t="n"/>
      <c r="E452" s="16">
        <f>IF($A452="","",$A452&amp;"|"&amp;DAY($B452))</f>
        <v/>
      </c>
      <c r="F452" s="16">
        <f>IF($A452="","",IF(COUNTIF(設定!$B$64:$B$203,$A452)=0,"⚠ 查無員編",IF(COUNTIF($E$3:$E$502,$E452)&gt;1,"⚠ 重複打卡","OK")))</f>
        <v/>
      </c>
    </row>
    <row r="453">
      <c r="A453" s="19" t="n"/>
      <c r="B453" s="17" t="n"/>
      <c r="C453" s="85" t="n"/>
      <c r="D453" s="85" t="n"/>
      <c r="E453" s="16">
        <f>IF($A453="","",$A453&amp;"|"&amp;DAY($B453))</f>
        <v/>
      </c>
      <c r="F453" s="16">
        <f>IF($A453="","",IF(COUNTIF(設定!$B$64:$B$203,$A453)=0,"⚠ 查無員編",IF(COUNTIF($E$3:$E$502,$E453)&gt;1,"⚠ 重複打卡","OK")))</f>
        <v/>
      </c>
    </row>
    <row r="454">
      <c r="A454" s="19" t="n"/>
      <c r="B454" s="17" t="n"/>
      <c r="C454" s="85" t="n"/>
      <c r="D454" s="85" t="n"/>
      <c r="E454" s="16">
        <f>IF($A454="","",$A454&amp;"|"&amp;DAY($B454))</f>
        <v/>
      </c>
      <c r="F454" s="16">
        <f>IF($A454="","",IF(COUNTIF(設定!$B$64:$B$203,$A454)=0,"⚠ 查無員編",IF(COUNTIF($E$3:$E$502,$E454)&gt;1,"⚠ 重複打卡","OK")))</f>
        <v/>
      </c>
    </row>
    <row r="455">
      <c r="A455" s="19" t="n"/>
      <c r="B455" s="17" t="n"/>
      <c r="C455" s="85" t="n"/>
      <c r="D455" s="85" t="n"/>
      <c r="E455" s="16">
        <f>IF($A455="","",$A455&amp;"|"&amp;DAY($B455))</f>
        <v/>
      </c>
      <c r="F455" s="16">
        <f>IF($A455="","",IF(COUNTIF(設定!$B$64:$B$203,$A455)=0,"⚠ 查無員編",IF(COUNTIF($E$3:$E$502,$E455)&gt;1,"⚠ 重複打卡","OK")))</f>
        <v/>
      </c>
    </row>
    <row r="456">
      <c r="A456" s="19" t="n"/>
      <c r="B456" s="17" t="n"/>
      <c r="C456" s="85" t="n"/>
      <c r="D456" s="85" t="n"/>
      <c r="E456" s="16">
        <f>IF($A456="","",$A456&amp;"|"&amp;DAY($B456))</f>
        <v/>
      </c>
      <c r="F456" s="16">
        <f>IF($A456="","",IF(COUNTIF(設定!$B$64:$B$203,$A456)=0,"⚠ 查無員編",IF(COUNTIF($E$3:$E$502,$E456)&gt;1,"⚠ 重複打卡","OK")))</f>
        <v/>
      </c>
    </row>
    <row r="457">
      <c r="A457" s="19" t="n"/>
      <c r="B457" s="17" t="n"/>
      <c r="C457" s="85" t="n"/>
      <c r="D457" s="85" t="n"/>
      <c r="E457" s="16">
        <f>IF($A457="","",$A457&amp;"|"&amp;DAY($B457))</f>
        <v/>
      </c>
      <c r="F457" s="16">
        <f>IF($A457="","",IF(COUNTIF(設定!$B$64:$B$203,$A457)=0,"⚠ 查無員編",IF(COUNTIF($E$3:$E$502,$E457)&gt;1,"⚠ 重複打卡","OK")))</f>
        <v/>
      </c>
    </row>
    <row r="458">
      <c r="A458" s="19" t="n"/>
      <c r="B458" s="17" t="n"/>
      <c r="C458" s="85" t="n"/>
      <c r="D458" s="85" t="n"/>
      <c r="E458" s="16">
        <f>IF($A458="","",$A458&amp;"|"&amp;DAY($B458))</f>
        <v/>
      </c>
      <c r="F458" s="16">
        <f>IF($A458="","",IF(COUNTIF(設定!$B$64:$B$203,$A458)=0,"⚠ 查無員編",IF(COUNTIF($E$3:$E$502,$E458)&gt;1,"⚠ 重複打卡","OK")))</f>
        <v/>
      </c>
    </row>
    <row r="459">
      <c r="A459" s="19" t="n"/>
      <c r="B459" s="17" t="n"/>
      <c r="C459" s="85" t="n"/>
      <c r="D459" s="85" t="n"/>
      <c r="E459" s="16">
        <f>IF($A459="","",$A459&amp;"|"&amp;DAY($B459))</f>
        <v/>
      </c>
      <c r="F459" s="16">
        <f>IF($A459="","",IF(COUNTIF(設定!$B$64:$B$203,$A459)=0,"⚠ 查無員編",IF(COUNTIF($E$3:$E$502,$E459)&gt;1,"⚠ 重複打卡","OK")))</f>
        <v/>
      </c>
    </row>
    <row r="460">
      <c r="A460" s="19" t="n"/>
      <c r="B460" s="17" t="n"/>
      <c r="C460" s="85" t="n"/>
      <c r="D460" s="85" t="n"/>
      <c r="E460" s="16">
        <f>IF($A460="","",$A460&amp;"|"&amp;DAY($B460))</f>
        <v/>
      </c>
      <c r="F460" s="16">
        <f>IF($A460="","",IF(COUNTIF(設定!$B$64:$B$203,$A460)=0,"⚠ 查無員編",IF(COUNTIF($E$3:$E$502,$E460)&gt;1,"⚠ 重複打卡","OK")))</f>
        <v/>
      </c>
    </row>
    <row r="461">
      <c r="A461" s="19" t="n"/>
      <c r="B461" s="17" t="n"/>
      <c r="C461" s="85" t="n"/>
      <c r="D461" s="85" t="n"/>
      <c r="E461" s="16">
        <f>IF($A461="","",$A461&amp;"|"&amp;DAY($B461))</f>
        <v/>
      </c>
      <c r="F461" s="16">
        <f>IF($A461="","",IF(COUNTIF(設定!$B$64:$B$203,$A461)=0,"⚠ 查無員編",IF(COUNTIF($E$3:$E$502,$E461)&gt;1,"⚠ 重複打卡","OK")))</f>
        <v/>
      </c>
    </row>
    <row r="462">
      <c r="A462" s="19" t="n"/>
      <c r="B462" s="17" t="n"/>
      <c r="C462" s="85" t="n"/>
      <c r="D462" s="85" t="n"/>
      <c r="E462" s="16">
        <f>IF($A462="","",$A462&amp;"|"&amp;DAY($B462))</f>
        <v/>
      </c>
      <c r="F462" s="16">
        <f>IF($A462="","",IF(COUNTIF(設定!$B$64:$B$203,$A462)=0,"⚠ 查無員編",IF(COUNTIF($E$3:$E$502,$E462)&gt;1,"⚠ 重複打卡","OK")))</f>
        <v/>
      </c>
    </row>
    <row r="463">
      <c r="A463" s="19" t="n"/>
      <c r="B463" s="17" t="n"/>
      <c r="C463" s="85" t="n"/>
      <c r="D463" s="85" t="n"/>
      <c r="E463" s="16">
        <f>IF($A463="","",$A463&amp;"|"&amp;DAY($B463))</f>
        <v/>
      </c>
      <c r="F463" s="16">
        <f>IF($A463="","",IF(COUNTIF(設定!$B$64:$B$203,$A463)=0,"⚠ 查無員編",IF(COUNTIF($E$3:$E$502,$E463)&gt;1,"⚠ 重複打卡","OK")))</f>
        <v/>
      </c>
    </row>
    <row r="464">
      <c r="A464" s="19" t="n"/>
      <c r="B464" s="17" t="n"/>
      <c r="C464" s="85" t="n"/>
      <c r="D464" s="85" t="n"/>
      <c r="E464" s="16">
        <f>IF($A464="","",$A464&amp;"|"&amp;DAY($B464))</f>
        <v/>
      </c>
      <c r="F464" s="16">
        <f>IF($A464="","",IF(COUNTIF(設定!$B$64:$B$203,$A464)=0,"⚠ 查無員編",IF(COUNTIF($E$3:$E$502,$E464)&gt;1,"⚠ 重複打卡","OK")))</f>
        <v/>
      </c>
    </row>
    <row r="465">
      <c r="A465" s="19" t="n"/>
      <c r="B465" s="17" t="n"/>
      <c r="C465" s="85" t="n"/>
      <c r="D465" s="85" t="n"/>
      <c r="E465" s="16">
        <f>IF($A465="","",$A465&amp;"|"&amp;DAY($B465))</f>
        <v/>
      </c>
      <c r="F465" s="16">
        <f>IF($A465="","",IF(COUNTIF(設定!$B$64:$B$203,$A465)=0,"⚠ 查無員編",IF(COUNTIF($E$3:$E$502,$E465)&gt;1,"⚠ 重複打卡","OK")))</f>
        <v/>
      </c>
    </row>
    <row r="466">
      <c r="A466" s="19" t="n"/>
      <c r="B466" s="17" t="n"/>
      <c r="C466" s="85" t="n"/>
      <c r="D466" s="85" t="n"/>
      <c r="E466" s="16">
        <f>IF($A466="","",$A466&amp;"|"&amp;DAY($B466))</f>
        <v/>
      </c>
      <c r="F466" s="16">
        <f>IF($A466="","",IF(COUNTIF(設定!$B$64:$B$203,$A466)=0,"⚠ 查無員編",IF(COUNTIF($E$3:$E$502,$E466)&gt;1,"⚠ 重複打卡","OK")))</f>
        <v/>
      </c>
    </row>
    <row r="467">
      <c r="A467" s="19" t="n"/>
      <c r="B467" s="17" t="n"/>
      <c r="C467" s="85" t="n"/>
      <c r="D467" s="85" t="n"/>
      <c r="E467" s="16">
        <f>IF($A467="","",$A467&amp;"|"&amp;DAY($B467))</f>
        <v/>
      </c>
      <c r="F467" s="16">
        <f>IF($A467="","",IF(COUNTIF(設定!$B$64:$B$203,$A467)=0,"⚠ 查無員編",IF(COUNTIF($E$3:$E$502,$E467)&gt;1,"⚠ 重複打卡","OK")))</f>
        <v/>
      </c>
    </row>
    <row r="468">
      <c r="A468" s="19" t="n"/>
      <c r="B468" s="17" t="n"/>
      <c r="C468" s="85" t="n"/>
      <c r="D468" s="85" t="n"/>
      <c r="E468" s="16">
        <f>IF($A468="","",$A468&amp;"|"&amp;DAY($B468))</f>
        <v/>
      </c>
      <c r="F468" s="16">
        <f>IF($A468="","",IF(COUNTIF(設定!$B$64:$B$203,$A468)=0,"⚠ 查無員編",IF(COUNTIF($E$3:$E$502,$E468)&gt;1,"⚠ 重複打卡","OK")))</f>
        <v/>
      </c>
    </row>
    <row r="469">
      <c r="A469" s="19" t="n"/>
      <c r="B469" s="17" t="n"/>
      <c r="C469" s="85" t="n"/>
      <c r="D469" s="85" t="n"/>
      <c r="E469" s="16">
        <f>IF($A469="","",$A469&amp;"|"&amp;DAY($B469))</f>
        <v/>
      </c>
      <c r="F469" s="16">
        <f>IF($A469="","",IF(COUNTIF(設定!$B$64:$B$203,$A469)=0,"⚠ 查無員編",IF(COUNTIF($E$3:$E$502,$E469)&gt;1,"⚠ 重複打卡","OK")))</f>
        <v/>
      </c>
    </row>
    <row r="470">
      <c r="A470" s="19" t="n"/>
      <c r="B470" s="17" t="n"/>
      <c r="C470" s="85" t="n"/>
      <c r="D470" s="85" t="n"/>
      <c r="E470" s="16">
        <f>IF($A470="","",$A470&amp;"|"&amp;DAY($B470))</f>
        <v/>
      </c>
      <c r="F470" s="16">
        <f>IF($A470="","",IF(COUNTIF(設定!$B$64:$B$203,$A470)=0,"⚠ 查無員編",IF(COUNTIF($E$3:$E$502,$E470)&gt;1,"⚠ 重複打卡","OK")))</f>
        <v/>
      </c>
    </row>
    <row r="471">
      <c r="A471" s="19" t="n"/>
      <c r="B471" s="17" t="n"/>
      <c r="C471" s="85" t="n"/>
      <c r="D471" s="85" t="n"/>
      <c r="E471" s="16">
        <f>IF($A471="","",$A471&amp;"|"&amp;DAY($B471))</f>
        <v/>
      </c>
      <c r="F471" s="16">
        <f>IF($A471="","",IF(COUNTIF(設定!$B$64:$B$203,$A471)=0,"⚠ 查無員編",IF(COUNTIF($E$3:$E$502,$E471)&gt;1,"⚠ 重複打卡","OK")))</f>
        <v/>
      </c>
    </row>
    <row r="472">
      <c r="A472" s="19" t="n"/>
      <c r="B472" s="17" t="n"/>
      <c r="C472" s="85" t="n"/>
      <c r="D472" s="85" t="n"/>
      <c r="E472" s="16">
        <f>IF($A472="","",$A472&amp;"|"&amp;DAY($B472))</f>
        <v/>
      </c>
      <c r="F472" s="16">
        <f>IF($A472="","",IF(COUNTIF(設定!$B$64:$B$203,$A472)=0,"⚠ 查無員編",IF(COUNTIF($E$3:$E$502,$E472)&gt;1,"⚠ 重複打卡","OK")))</f>
        <v/>
      </c>
    </row>
    <row r="473">
      <c r="A473" s="19" t="n"/>
      <c r="B473" s="17" t="n"/>
      <c r="C473" s="85" t="n"/>
      <c r="D473" s="85" t="n"/>
      <c r="E473" s="16">
        <f>IF($A473="","",$A473&amp;"|"&amp;DAY($B473))</f>
        <v/>
      </c>
      <c r="F473" s="16">
        <f>IF($A473="","",IF(COUNTIF(設定!$B$64:$B$203,$A473)=0,"⚠ 查無員編",IF(COUNTIF($E$3:$E$502,$E473)&gt;1,"⚠ 重複打卡","OK")))</f>
        <v/>
      </c>
    </row>
    <row r="474">
      <c r="A474" s="19" t="n"/>
      <c r="B474" s="17" t="n"/>
      <c r="C474" s="85" t="n"/>
      <c r="D474" s="85" t="n"/>
      <c r="E474" s="16">
        <f>IF($A474="","",$A474&amp;"|"&amp;DAY($B474))</f>
        <v/>
      </c>
      <c r="F474" s="16">
        <f>IF($A474="","",IF(COUNTIF(設定!$B$64:$B$203,$A474)=0,"⚠ 查無員編",IF(COUNTIF($E$3:$E$502,$E474)&gt;1,"⚠ 重複打卡","OK")))</f>
        <v/>
      </c>
    </row>
    <row r="475">
      <c r="A475" s="19" t="n"/>
      <c r="B475" s="17" t="n"/>
      <c r="C475" s="85" t="n"/>
      <c r="D475" s="85" t="n"/>
      <c r="E475" s="16">
        <f>IF($A475="","",$A475&amp;"|"&amp;DAY($B475))</f>
        <v/>
      </c>
      <c r="F475" s="16">
        <f>IF($A475="","",IF(COUNTIF(設定!$B$64:$B$203,$A475)=0,"⚠ 查無員編",IF(COUNTIF($E$3:$E$502,$E475)&gt;1,"⚠ 重複打卡","OK")))</f>
        <v/>
      </c>
    </row>
    <row r="476">
      <c r="A476" s="19" t="n"/>
      <c r="B476" s="17" t="n"/>
      <c r="C476" s="85" t="n"/>
      <c r="D476" s="85" t="n"/>
      <c r="E476" s="16">
        <f>IF($A476="","",$A476&amp;"|"&amp;DAY($B476))</f>
        <v/>
      </c>
      <c r="F476" s="16">
        <f>IF($A476="","",IF(COUNTIF(設定!$B$64:$B$203,$A476)=0,"⚠ 查無員編",IF(COUNTIF($E$3:$E$502,$E476)&gt;1,"⚠ 重複打卡","OK")))</f>
        <v/>
      </c>
    </row>
    <row r="477">
      <c r="A477" s="19" t="n"/>
      <c r="B477" s="17" t="n"/>
      <c r="C477" s="85" t="n"/>
      <c r="D477" s="85" t="n"/>
      <c r="E477" s="16">
        <f>IF($A477="","",$A477&amp;"|"&amp;DAY($B477))</f>
        <v/>
      </c>
      <c r="F477" s="16">
        <f>IF($A477="","",IF(COUNTIF(設定!$B$64:$B$203,$A477)=0,"⚠ 查無員編",IF(COUNTIF($E$3:$E$502,$E477)&gt;1,"⚠ 重複打卡","OK")))</f>
        <v/>
      </c>
    </row>
    <row r="478">
      <c r="A478" s="19" t="n"/>
      <c r="B478" s="17" t="n"/>
      <c r="C478" s="85" t="n"/>
      <c r="D478" s="85" t="n"/>
      <c r="E478" s="16">
        <f>IF($A478="","",$A478&amp;"|"&amp;DAY($B478))</f>
        <v/>
      </c>
      <c r="F478" s="16">
        <f>IF($A478="","",IF(COUNTIF(設定!$B$64:$B$203,$A478)=0,"⚠ 查無員編",IF(COUNTIF($E$3:$E$502,$E478)&gt;1,"⚠ 重複打卡","OK")))</f>
        <v/>
      </c>
    </row>
    <row r="479">
      <c r="A479" s="19" t="n"/>
      <c r="B479" s="17" t="n"/>
      <c r="C479" s="85" t="n"/>
      <c r="D479" s="85" t="n"/>
      <c r="E479" s="16">
        <f>IF($A479="","",$A479&amp;"|"&amp;DAY($B479))</f>
        <v/>
      </c>
      <c r="F479" s="16">
        <f>IF($A479="","",IF(COUNTIF(設定!$B$64:$B$203,$A479)=0,"⚠ 查無員編",IF(COUNTIF($E$3:$E$502,$E479)&gt;1,"⚠ 重複打卡","OK")))</f>
        <v/>
      </c>
    </row>
    <row r="480">
      <c r="A480" s="19" t="n"/>
      <c r="B480" s="17" t="n"/>
      <c r="C480" s="85" t="n"/>
      <c r="D480" s="85" t="n"/>
      <c r="E480" s="16">
        <f>IF($A480="","",$A480&amp;"|"&amp;DAY($B480))</f>
        <v/>
      </c>
      <c r="F480" s="16">
        <f>IF($A480="","",IF(COUNTIF(設定!$B$64:$B$203,$A480)=0,"⚠ 查無員編",IF(COUNTIF($E$3:$E$502,$E480)&gt;1,"⚠ 重複打卡","OK")))</f>
        <v/>
      </c>
    </row>
    <row r="481">
      <c r="A481" s="19" t="n"/>
      <c r="B481" s="17" t="n"/>
      <c r="C481" s="85" t="n"/>
      <c r="D481" s="85" t="n"/>
      <c r="E481" s="16">
        <f>IF($A481="","",$A481&amp;"|"&amp;DAY($B481))</f>
        <v/>
      </c>
      <c r="F481" s="16">
        <f>IF($A481="","",IF(COUNTIF(設定!$B$64:$B$203,$A481)=0,"⚠ 查無員編",IF(COUNTIF($E$3:$E$502,$E481)&gt;1,"⚠ 重複打卡","OK")))</f>
        <v/>
      </c>
    </row>
    <row r="482">
      <c r="A482" s="19" t="n"/>
      <c r="B482" s="17" t="n"/>
      <c r="C482" s="85" t="n"/>
      <c r="D482" s="85" t="n"/>
      <c r="E482" s="16">
        <f>IF($A482="","",$A482&amp;"|"&amp;DAY($B482))</f>
        <v/>
      </c>
      <c r="F482" s="16">
        <f>IF($A482="","",IF(COUNTIF(設定!$B$64:$B$203,$A482)=0,"⚠ 查無員編",IF(COUNTIF($E$3:$E$502,$E482)&gt;1,"⚠ 重複打卡","OK")))</f>
        <v/>
      </c>
    </row>
    <row r="483">
      <c r="A483" s="19" t="n"/>
      <c r="B483" s="17" t="n"/>
      <c r="C483" s="85" t="n"/>
      <c r="D483" s="85" t="n"/>
      <c r="E483" s="16">
        <f>IF($A483="","",$A483&amp;"|"&amp;DAY($B483))</f>
        <v/>
      </c>
      <c r="F483" s="16">
        <f>IF($A483="","",IF(COUNTIF(設定!$B$64:$B$203,$A483)=0,"⚠ 查無員編",IF(COUNTIF($E$3:$E$502,$E483)&gt;1,"⚠ 重複打卡","OK")))</f>
        <v/>
      </c>
    </row>
    <row r="484">
      <c r="A484" s="19" t="n"/>
      <c r="B484" s="17" t="n"/>
      <c r="C484" s="85" t="n"/>
      <c r="D484" s="85" t="n"/>
      <c r="E484" s="16">
        <f>IF($A484="","",$A484&amp;"|"&amp;DAY($B484))</f>
        <v/>
      </c>
      <c r="F484" s="16">
        <f>IF($A484="","",IF(COUNTIF(設定!$B$64:$B$203,$A484)=0,"⚠ 查無員編",IF(COUNTIF($E$3:$E$502,$E484)&gt;1,"⚠ 重複打卡","OK")))</f>
        <v/>
      </c>
    </row>
    <row r="485">
      <c r="A485" s="19" t="n"/>
      <c r="B485" s="17" t="n"/>
      <c r="C485" s="85" t="n"/>
      <c r="D485" s="85" t="n"/>
      <c r="E485" s="16">
        <f>IF($A485="","",$A485&amp;"|"&amp;DAY($B485))</f>
        <v/>
      </c>
      <c r="F485" s="16">
        <f>IF($A485="","",IF(COUNTIF(設定!$B$64:$B$203,$A485)=0,"⚠ 查無員編",IF(COUNTIF($E$3:$E$502,$E485)&gt;1,"⚠ 重複打卡","OK")))</f>
        <v/>
      </c>
    </row>
    <row r="486">
      <c r="A486" s="19" t="n"/>
      <c r="B486" s="17" t="n"/>
      <c r="C486" s="85" t="n"/>
      <c r="D486" s="85" t="n"/>
      <c r="E486" s="16">
        <f>IF($A486="","",$A486&amp;"|"&amp;DAY($B486))</f>
        <v/>
      </c>
      <c r="F486" s="16">
        <f>IF($A486="","",IF(COUNTIF(設定!$B$64:$B$203,$A486)=0,"⚠ 查無員編",IF(COUNTIF($E$3:$E$502,$E486)&gt;1,"⚠ 重複打卡","OK")))</f>
        <v/>
      </c>
    </row>
    <row r="487">
      <c r="A487" s="19" t="n"/>
      <c r="B487" s="17" t="n"/>
      <c r="C487" s="85" t="n"/>
      <c r="D487" s="85" t="n"/>
      <c r="E487" s="16">
        <f>IF($A487="","",$A487&amp;"|"&amp;DAY($B487))</f>
        <v/>
      </c>
      <c r="F487" s="16">
        <f>IF($A487="","",IF(COUNTIF(設定!$B$64:$B$203,$A487)=0,"⚠ 查無員編",IF(COUNTIF($E$3:$E$502,$E487)&gt;1,"⚠ 重複打卡","OK")))</f>
        <v/>
      </c>
    </row>
    <row r="488">
      <c r="A488" s="19" t="n"/>
      <c r="B488" s="17" t="n"/>
      <c r="C488" s="85" t="n"/>
      <c r="D488" s="85" t="n"/>
      <c r="E488" s="16">
        <f>IF($A488="","",$A488&amp;"|"&amp;DAY($B488))</f>
        <v/>
      </c>
      <c r="F488" s="16">
        <f>IF($A488="","",IF(COUNTIF(設定!$B$64:$B$203,$A488)=0,"⚠ 查無員編",IF(COUNTIF($E$3:$E$502,$E488)&gt;1,"⚠ 重複打卡","OK")))</f>
        <v/>
      </c>
    </row>
    <row r="489">
      <c r="A489" s="19" t="n"/>
      <c r="B489" s="17" t="n"/>
      <c r="C489" s="85" t="n"/>
      <c r="D489" s="85" t="n"/>
      <c r="E489" s="16">
        <f>IF($A489="","",$A489&amp;"|"&amp;DAY($B489))</f>
        <v/>
      </c>
      <c r="F489" s="16">
        <f>IF($A489="","",IF(COUNTIF(設定!$B$64:$B$203,$A489)=0,"⚠ 查無員編",IF(COUNTIF($E$3:$E$502,$E489)&gt;1,"⚠ 重複打卡","OK")))</f>
        <v/>
      </c>
    </row>
    <row r="490">
      <c r="A490" s="19" t="n"/>
      <c r="B490" s="17" t="n"/>
      <c r="C490" s="85" t="n"/>
      <c r="D490" s="85" t="n"/>
      <c r="E490" s="16">
        <f>IF($A490="","",$A490&amp;"|"&amp;DAY($B490))</f>
        <v/>
      </c>
      <c r="F490" s="16">
        <f>IF($A490="","",IF(COUNTIF(設定!$B$64:$B$203,$A490)=0,"⚠ 查無員編",IF(COUNTIF($E$3:$E$502,$E490)&gt;1,"⚠ 重複打卡","OK")))</f>
        <v/>
      </c>
    </row>
    <row r="491">
      <c r="A491" s="19" t="n"/>
      <c r="B491" s="17" t="n"/>
      <c r="C491" s="85" t="n"/>
      <c r="D491" s="85" t="n"/>
      <c r="E491" s="16">
        <f>IF($A491="","",$A491&amp;"|"&amp;DAY($B491))</f>
        <v/>
      </c>
      <c r="F491" s="16">
        <f>IF($A491="","",IF(COUNTIF(設定!$B$64:$B$203,$A491)=0,"⚠ 查無員編",IF(COUNTIF($E$3:$E$502,$E491)&gt;1,"⚠ 重複打卡","OK")))</f>
        <v/>
      </c>
    </row>
    <row r="492">
      <c r="A492" s="19" t="n"/>
      <c r="B492" s="17" t="n"/>
      <c r="C492" s="85" t="n"/>
      <c r="D492" s="85" t="n"/>
      <c r="E492" s="16">
        <f>IF($A492="","",$A492&amp;"|"&amp;DAY($B492))</f>
        <v/>
      </c>
      <c r="F492" s="16">
        <f>IF($A492="","",IF(COUNTIF(設定!$B$64:$B$203,$A492)=0,"⚠ 查無員編",IF(COUNTIF($E$3:$E$502,$E492)&gt;1,"⚠ 重複打卡","OK")))</f>
        <v/>
      </c>
    </row>
    <row r="493">
      <c r="A493" s="19" t="n"/>
      <c r="B493" s="17" t="n"/>
      <c r="C493" s="85" t="n"/>
      <c r="D493" s="85" t="n"/>
      <c r="E493" s="16">
        <f>IF($A493="","",$A493&amp;"|"&amp;DAY($B493))</f>
        <v/>
      </c>
      <c r="F493" s="16">
        <f>IF($A493="","",IF(COUNTIF(設定!$B$64:$B$203,$A493)=0,"⚠ 查無員編",IF(COUNTIF($E$3:$E$502,$E493)&gt;1,"⚠ 重複打卡","OK")))</f>
        <v/>
      </c>
    </row>
    <row r="494">
      <c r="A494" s="19" t="n"/>
      <c r="B494" s="17" t="n"/>
      <c r="C494" s="85" t="n"/>
      <c r="D494" s="85" t="n"/>
      <c r="E494" s="16">
        <f>IF($A494="","",$A494&amp;"|"&amp;DAY($B494))</f>
        <v/>
      </c>
      <c r="F494" s="16">
        <f>IF($A494="","",IF(COUNTIF(設定!$B$64:$B$203,$A494)=0,"⚠ 查無員編",IF(COUNTIF($E$3:$E$502,$E494)&gt;1,"⚠ 重複打卡","OK")))</f>
        <v/>
      </c>
    </row>
    <row r="495">
      <c r="A495" s="19" t="n"/>
      <c r="B495" s="17" t="n"/>
      <c r="C495" s="85" t="n"/>
      <c r="D495" s="85" t="n"/>
      <c r="E495" s="16">
        <f>IF($A495="","",$A495&amp;"|"&amp;DAY($B495))</f>
        <v/>
      </c>
      <c r="F495" s="16">
        <f>IF($A495="","",IF(COUNTIF(設定!$B$64:$B$203,$A495)=0,"⚠ 查無員編",IF(COUNTIF($E$3:$E$502,$E495)&gt;1,"⚠ 重複打卡","OK")))</f>
        <v/>
      </c>
    </row>
    <row r="496">
      <c r="A496" s="19" t="n"/>
      <c r="B496" s="17" t="n"/>
      <c r="C496" s="85" t="n"/>
      <c r="D496" s="85" t="n"/>
      <c r="E496" s="16">
        <f>IF($A496="","",$A496&amp;"|"&amp;DAY($B496))</f>
        <v/>
      </c>
      <c r="F496" s="16">
        <f>IF($A496="","",IF(COUNTIF(設定!$B$64:$B$203,$A496)=0,"⚠ 查無員編",IF(COUNTIF($E$3:$E$502,$E496)&gt;1,"⚠ 重複打卡","OK")))</f>
        <v/>
      </c>
    </row>
    <row r="497">
      <c r="A497" s="19" t="n"/>
      <c r="B497" s="17" t="n"/>
      <c r="C497" s="85" t="n"/>
      <c r="D497" s="85" t="n"/>
      <c r="E497" s="16">
        <f>IF($A497="","",$A497&amp;"|"&amp;DAY($B497))</f>
        <v/>
      </c>
      <c r="F497" s="16">
        <f>IF($A497="","",IF(COUNTIF(設定!$B$64:$B$203,$A497)=0,"⚠ 查無員編",IF(COUNTIF($E$3:$E$502,$E497)&gt;1,"⚠ 重複打卡","OK")))</f>
        <v/>
      </c>
    </row>
    <row r="498">
      <c r="A498" s="19" t="n"/>
      <c r="B498" s="17" t="n"/>
      <c r="C498" s="85" t="n"/>
      <c r="D498" s="85" t="n"/>
      <c r="E498" s="16">
        <f>IF($A498="","",$A498&amp;"|"&amp;DAY($B498))</f>
        <v/>
      </c>
      <c r="F498" s="16">
        <f>IF($A498="","",IF(COUNTIF(設定!$B$64:$B$203,$A498)=0,"⚠ 查無員編",IF(COUNTIF($E$3:$E$502,$E498)&gt;1,"⚠ 重複打卡","OK")))</f>
        <v/>
      </c>
    </row>
    <row r="499">
      <c r="A499" s="19" t="n"/>
      <c r="B499" s="17" t="n"/>
      <c r="C499" s="85" t="n"/>
      <c r="D499" s="85" t="n"/>
      <c r="E499" s="16">
        <f>IF($A499="","",$A499&amp;"|"&amp;DAY($B499))</f>
        <v/>
      </c>
      <c r="F499" s="16">
        <f>IF($A499="","",IF(COUNTIF(設定!$B$64:$B$203,$A499)=0,"⚠ 查無員編",IF(COUNTIF($E$3:$E$502,$E499)&gt;1,"⚠ 重複打卡","OK")))</f>
        <v/>
      </c>
    </row>
    <row r="500">
      <c r="A500" s="19" t="n"/>
      <c r="B500" s="17" t="n"/>
      <c r="C500" s="85" t="n"/>
      <c r="D500" s="85" t="n"/>
      <c r="E500" s="16">
        <f>IF($A500="","",$A500&amp;"|"&amp;DAY($B500))</f>
        <v/>
      </c>
      <c r="F500" s="16">
        <f>IF($A500="","",IF(COUNTIF(設定!$B$64:$B$203,$A500)=0,"⚠ 查無員編",IF(COUNTIF($E$3:$E$502,$E500)&gt;1,"⚠ 重複打卡","OK")))</f>
        <v/>
      </c>
    </row>
    <row r="501">
      <c r="A501" s="19" t="n"/>
      <c r="B501" s="17" t="n"/>
      <c r="C501" s="85" t="n"/>
      <c r="D501" s="85" t="n"/>
      <c r="E501" s="16">
        <f>IF($A501="","",$A501&amp;"|"&amp;DAY($B501))</f>
        <v/>
      </c>
      <c r="F501" s="16">
        <f>IF($A501="","",IF(COUNTIF(設定!$B$64:$B$203,$A501)=0,"⚠ 查無員編",IF(COUNTIF($E$3:$E$502,$E501)&gt;1,"⚠ 重複打卡","OK")))</f>
        <v/>
      </c>
    </row>
    <row r="502">
      <c r="A502" s="19" t="n"/>
      <c r="B502" s="17" t="n"/>
      <c r="C502" s="85" t="n"/>
      <c r="D502" s="85" t="n"/>
      <c r="E502" s="16">
        <f>IF($A502="","",$A502&amp;"|"&amp;DAY($B502))</f>
        <v/>
      </c>
      <c r="F502" s="16">
        <f>IF($A502="","",IF(COUNTIF(設定!$B$64:$B$203,$A502)=0,"⚠ 查無員編",IF(COUNTIF($E$3:$E$502,$E502)&gt;1,"⚠ 重複打卡","OK")))</f>
        <v/>
      </c>
    </row>
  </sheetData>
  <autoFilter ref="A2:F502"/>
  <mergeCells count="1">
    <mergeCell ref="A1:F1"/>
  </mergeCells>
  <conditionalFormatting sqref="A3:F502">
    <cfRule type="expression" priority="1" dxfId="9">
      <formula>AND($A3&lt;&gt;"",LEFT($F3,1)="⚠")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74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" customWidth="1" min="2" max="2"/>
    <col width="11" customWidth="1" min="3" max="3"/>
    <col width="11" customWidth="1" min="4" max="4"/>
    <col width="10" customWidth="1" min="5" max="5"/>
    <col width="9" customWidth="1" min="6" max="6"/>
    <col width="9" customWidth="1" min="7" max="7"/>
    <col width="8" customWidth="1" min="8" max="8"/>
    <col width="8" customWidth="1" min="9" max="9"/>
    <col width="10" customWidth="1" min="10" max="10"/>
    <col width="10" customWidth="1" min="11" max="11"/>
    <col width="9" customWidth="1" min="12" max="12"/>
    <col width="10" customWidth="1" min="13" max="13"/>
    <col width="11" customWidth="1" min="14" max="14"/>
    <col width="9" customWidth="1" min="15" max="15"/>
    <col width="9" customWidth="1" min="16" max="16"/>
    <col width="10" customWidth="1" min="17" max="17"/>
    <col width="10" customWidth="1" min="18" max="18"/>
    <col width="22" customWidth="1" min="19" max="19"/>
    <col width="2" customWidth="1" min="21" max="21"/>
  </cols>
  <sheetData>
    <row r="1">
      <c r="A1" s="82" t="inlineStr">
        <is>
          <t>出勤紀錄(法定紀錄:逐日記載至分鐘,保存 5 年)</t>
        </is>
      </c>
      <c r="V1" s="6" t="inlineStr">
        <is>
          <t>↑ 表頭上的箭頭是「篩選」鈕,不是下拉選單。這一頁只有最右邊的備註欄要手填,其餘都是公式自動算的。處理異常請點「出勤異常」欄的箭頭,把「正常」取消勾選。</t>
        </is>
      </c>
    </row>
    <row r="2" ht="28" customHeight="1">
      <c r="A2" s="10" t="inlineStr">
        <is>
          <t>日期</t>
        </is>
      </c>
      <c r="B2" s="10" t="inlineStr">
        <is>
          <t>星期</t>
        </is>
      </c>
      <c r="C2" s="10" t="inlineStr">
        <is>
          <t>員工編號</t>
        </is>
      </c>
      <c r="D2" s="10" t="inlineStr">
        <is>
          <t>姓名</t>
        </is>
      </c>
      <c r="E2" s="10" t="inlineStr">
        <is>
          <t>院所</t>
        </is>
      </c>
      <c r="F2" s="10" t="inlineStr">
        <is>
          <t>職類</t>
        </is>
      </c>
      <c r="G2" s="10" t="inlineStr">
        <is>
          <t>排班代碼</t>
        </is>
      </c>
      <c r="H2" s="10" t="inlineStr">
        <is>
          <t>應到</t>
        </is>
      </c>
      <c r="I2" s="10" t="inlineStr">
        <is>
          <t>應退</t>
        </is>
      </c>
      <c r="J2" s="10" t="inlineStr">
        <is>
          <t>實際上班</t>
        </is>
      </c>
      <c r="K2" s="10" t="inlineStr">
        <is>
          <t>實際下班</t>
        </is>
      </c>
      <c r="L2" s="10" t="inlineStr">
        <is>
          <t>休息(分)</t>
        </is>
      </c>
      <c r="M2" s="10" t="inlineStr">
        <is>
          <t>實際工時</t>
        </is>
      </c>
      <c r="N2" s="10" t="inlineStr">
        <is>
          <t>出勤異常</t>
        </is>
      </c>
      <c r="O2" s="10" t="inlineStr">
        <is>
          <t>遲到(分)</t>
        </is>
      </c>
      <c r="P2" s="10" t="inlineStr">
        <is>
          <t>早退(分)</t>
        </is>
      </c>
      <c r="Q2" s="10" t="inlineStr">
        <is>
          <t>加班時數</t>
        </is>
      </c>
      <c r="R2" s="10" t="inlineStr">
        <is>
          <t>加班別</t>
        </is>
      </c>
      <c r="S2" s="10" t="inlineStr">
        <is>
          <t>備註</t>
        </is>
      </c>
    </row>
    <row r="3">
      <c r="A3" s="86">
        <f>IF(OR(醫護長與管理部班表!$A5="",1&gt;DAY(EOMONTH(DATE(設定!$C$2,設定!$D$2,1),0))),"",DATE(設定!$C$2,設定!$D$2,1))</f>
        <v/>
      </c>
      <c r="B3" s="16">
        <f>IF($A3="","",INDEX(設定!$O$6:$O$12,WEEKDAY($A3,1)))</f>
        <v/>
      </c>
      <c r="C3" s="16">
        <f>IF($A3="","",醫護長與管理部班表!$A5)</f>
        <v/>
      </c>
      <c r="D3" s="16">
        <f>IF($C3="","",醫護長與管理部班表!$B5)</f>
        <v/>
      </c>
      <c r="E3" s="16">
        <f>IF($C3="","",醫護長與管理部班表!$D5)</f>
        <v/>
      </c>
      <c r="F3" s="16">
        <f>IF($C3="","",醫護長與管理部班表!$C5)</f>
        <v/>
      </c>
      <c r="G3" s="16">
        <f>IF($C3="","",醫護長與管理部班表!E5)</f>
        <v/>
      </c>
      <c r="H3" s="87">
        <f>IF($G3="","",IFERROR(IF(INDEX(設定!$D$6:$D$21,MATCH($G3,設定!$B$6:$B$21,0))=0,"",INDEX(設定!$D$6:$D$21,MATCH($G3,設定!$B$6:$B$21,0))),""))</f>
        <v/>
      </c>
      <c r="I3" s="87">
        <f>IF($G3="","",IFERROR(IF(INDEX(設定!$E$6:$E$21,MATCH($G3,設定!$B$6:$B$21,0))=0,"",INDEX(設定!$E$6:$E$21,MATCH($G3,設定!$B$6:$B$21,0))),""))</f>
        <v/>
      </c>
      <c r="J3" s="87">
        <f>IFERROR(INDEX(打卡匯入!$C$3:$C$502,MATCH($C3&amp;"|"&amp;DAY($A3),打卡匯入!$E$3:$E$502,0)),"")</f>
        <v/>
      </c>
      <c r="K3" s="87">
        <f>IFERROR(INDEX(打卡匯入!$D$3:$D$502,MATCH($C3&amp;"|"&amp;DAY($A3),打卡匯入!$E$3:$E$502,0)),"")</f>
        <v/>
      </c>
      <c r="L3" s="88">
        <f>IF(OR($J3="",$K3=""),"",IFERROR(INDEX(設定!$F$6:$F$21,MATCH($G3,設定!$B$6:$B$21,0)),0))</f>
        <v/>
      </c>
      <c r="M3" s="89">
        <f>IF(OR($J3="",$K3=""),"",ROUND(($K3-$J3)*24-$L3/60,2))</f>
        <v/>
      </c>
      <c r="N3" s="16">
        <f>IF($C3="","",IF(AND(COUNTIF(設定!$B$15:$B$21,$G3)&gt;0,$J3&lt;&gt;""),"假日出勤",IF(AND(COUNTIF(設定!$B$6:$B$14,$G3)&gt;0,$J3=""),"未打卡",IF($J3="","",IF($O3&gt;0,"遲到",IF($P3&gt;0,"早退","正常"))))))</f>
        <v/>
      </c>
      <c r="O3" s="88">
        <f>IF(OR($C3="",$H3="",$J3=""),0,IF(ROUND(($J3-$H3)*1440,0)&gt;設定!$C$48,ROUND(($J3-$H3)*1440,0),0))</f>
        <v/>
      </c>
      <c r="P3" s="88">
        <f>IF(OR($C3="",$I3="",$K3=""),0,IF(ROUND(($I3-$K3)*1440,0)&gt;設定!$C$48,ROUND(($I3-$K3)*1440,0),0))</f>
        <v/>
      </c>
      <c r="Q3" s="89">
        <f>IF($M3="",0,IF(($M3-IFERROR(INDEX(設定!$G$6:$G$21,MATCH($G3,設定!$B$6:$B$21,0)),0))*60&gt;=設定!$C$46,ROUND(FLOOR(($M3-IFERROR(INDEX(設定!$G$6:$G$21,MATCH($G3,設定!$B$6:$B$21,0)),0))*60,設定!$C$47)/60,2),0))</f>
        <v/>
      </c>
      <c r="R3" s="16">
        <f>IF(OR($C3="",$Q3=0),"",IF($G3="國","國定假日",IF($B3="日","例假",IF($B3="六","休息日","平日"))))</f>
        <v/>
      </c>
      <c r="S3" s="18" t="n"/>
    </row>
    <row r="4">
      <c r="A4" s="86">
        <f>IF(OR(醫護長與管理部班表!$A5="",2&gt;DAY(EOMONTH(DATE(設定!$C$2,設定!$D$2,1),0))),"",DATE(設定!$C$2,設定!$D$2,2))</f>
        <v/>
      </c>
      <c r="B4" s="16">
        <f>IF($A4="","",INDEX(設定!$O$6:$O$12,WEEKDAY($A4,1)))</f>
        <v/>
      </c>
      <c r="C4" s="16">
        <f>IF($A4="","",醫護長與管理部班表!$A5)</f>
        <v/>
      </c>
      <c r="D4" s="16">
        <f>IF($C4="","",醫護長與管理部班表!$B5)</f>
        <v/>
      </c>
      <c r="E4" s="16">
        <f>IF($C4="","",醫護長與管理部班表!$D5)</f>
        <v/>
      </c>
      <c r="F4" s="16">
        <f>IF($C4="","",醫護長與管理部班表!$C5)</f>
        <v/>
      </c>
      <c r="G4" s="16">
        <f>IF($C4="","",醫護長與管理部班表!F5)</f>
        <v/>
      </c>
      <c r="H4" s="87">
        <f>IF($G4="","",IFERROR(IF(INDEX(設定!$D$6:$D$21,MATCH($G4,設定!$B$6:$B$21,0))=0,"",INDEX(設定!$D$6:$D$21,MATCH($G4,設定!$B$6:$B$21,0))),""))</f>
        <v/>
      </c>
      <c r="I4" s="87">
        <f>IF($G4="","",IFERROR(IF(INDEX(設定!$E$6:$E$21,MATCH($G4,設定!$B$6:$B$21,0))=0,"",INDEX(設定!$E$6:$E$21,MATCH($G4,設定!$B$6:$B$21,0))),""))</f>
        <v/>
      </c>
      <c r="J4" s="87">
        <f>IFERROR(INDEX(打卡匯入!$C$3:$C$502,MATCH($C4&amp;"|"&amp;DAY($A4),打卡匯入!$E$3:$E$502,0)),"")</f>
        <v/>
      </c>
      <c r="K4" s="87">
        <f>IFERROR(INDEX(打卡匯入!$D$3:$D$502,MATCH($C4&amp;"|"&amp;DAY($A4),打卡匯入!$E$3:$E$502,0)),"")</f>
        <v/>
      </c>
      <c r="L4" s="88">
        <f>IF(OR($J4="",$K4=""),"",IFERROR(INDEX(設定!$F$6:$F$21,MATCH($G4,設定!$B$6:$B$21,0)),0))</f>
        <v/>
      </c>
      <c r="M4" s="89">
        <f>IF(OR($J4="",$K4=""),"",ROUND(($K4-$J4)*24-$L4/60,2))</f>
        <v/>
      </c>
      <c r="N4" s="16">
        <f>IF($C4="","",IF(AND(COUNTIF(設定!$B$15:$B$21,$G4)&gt;0,$J4&lt;&gt;""),"假日出勤",IF(AND(COUNTIF(設定!$B$6:$B$14,$G4)&gt;0,$J4=""),"未打卡",IF($J4="","",IF($O4&gt;0,"遲到",IF($P4&gt;0,"早退","正常"))))))</f>
        <v/>
      </c>
      <c r="O4" s="88">
        <f>IF(OR($C4="",$H4="",$J4=""),0,IF(ROUND(($J4-$H4)*1440,0)&gt;設定!$C$48,ROUND(($J4-$H4)*1440,0),0))</f>
        <v/>
      </c>
      <c r="P4" s="88">
        <f>IF(OR($C4="",$I4="",$K4=""),0,IF(ROUND(($I4-$K4)*1440,0)&gt;設定!$C$48,ROUND(($I4-$K4)*1440,0),0))</f>
        <v/>
      </c>
      <c r="Q4" s="89">
        <f>IF($M4="",0,IF(($M4-IFERROR(INDEX(設定!$G$6:$G$21,MATCH($G4,設定!$B$6:$B$21,0)),0))*60&gt;=設定!$C$46,ROUND(FLOOR(($M4-IFERROR(INDEX(設定!$G$6:$G$21,MATCH($G4,設定!$B$6:$B$21,0)),0))*60,設定!$C$47)/60,2),0))</f>
        <v/>
      </c>
      <c r="R4" s="16">
        <f>IF(OR($C4="",$Q4=0),"",IF($G4="國","國定假日",IF($B4="日","例假",IF($B4="六","休息日","平日"))))</f>
        <v/>
      </c>
      <c r="S4" s="18" t="n"/>
    </row>
    <row r="5">
      <c r="A5" s="86">
        <f>IF(OR(醫護長與管理部班表!$A5="",3&gt;DAY(EOMONTH(DATE(設定!$C$2,設定!$D$2,1),0))),"",DATE(設定!$C$2,設定!$D$2,3))</f>
        <v/>
      </c>
      <c r="B5" s="16">
        <f>IF($A5="","",INDEX(設定!$O$6:$O$12,WEEKDAY($A5,1)))</f>
        <v/>
      </c>
      <c r="C5" s="16">
        <f>IF($A5="","",醫護長與管理部班表!$A5)</f>
        <v/>
      </c>
      <c r="D5" s="16">
        <f>IF($C5="","",醫護長與管理部班表!$B5)</f>
        <v/>
      </c>
      <c r="E5" s="16">
        <f>IF($C5="","",醫護長與管理部班表!$D5)</f>
        <v/>
      </c>
      <c r="F5" s="16">
        <f>IF($C5="","",醫護長與管理部班表!$C5)</f>
        <v/>
      </c>
      <c r="G5" s="16">
        <f>IF($C5="","",醫護長與管理部班表!G5)</f>
        <v/>
      </c>
      <c r="H5" s="87">
        <f>IF($G5="","",IFERROR(IF(INDEX(設定!$D$6:$D$21,MATCH($G5,設定!$B$6:$B$21,0))=0,"",INDEX(設定!$D$6:$D$21,MATCH($G5,設定!$B$6:$B$21,0))),""))</f>
        <v/>
      </c>
      <c r="I5" s="87">
        <f>IF($G5="","",IFERROR(IF(INDEX(設定!$E$6:$E$21,MATCH($G5,設定!$B$6:$B$21,0))=0,"",INDEX(設定!$E$6:$E$21,MATCH($G5,設定!$B$6:$B$21,0))),""))</f>
        <v/>
      </c>
      <c r="J5" s="87">
        <f>IFERROR(INDEX(打卡匯入!$C$3:$C$502,MATCH($C5&amp;"|"&amp;DAY($A5),打卡匯入!$E$3:$E$502,0)),"")</f>
        <v/>
      </c>
      <c r="K5" s="87">
        <f>IFERROR(INDEX(打卡匯入!$D$3:$D$502,MATCH($C5&amp;"|"&amp;DAY($A5),打卡匯入!$E$3:$E$502,0)),"")</f>
        <v/>
      </c>
      <c r="L5" s="88">
        <f>IF(OR($J5="",$K5=""),"",IFERROR(INDEX(設定!$F$6:$F$21,MATCH($G5,設定!$B$6:$B$21,0)),0))</f>
        <v/>
      </c>
      <c r="M5" s="89">
        <f>IF(OR($J5="",$K5=""),"",ROUND(($K5-$J5)*24-$L5/60,2))</f>
        <v/>
      </c>
      <c r="N5" s="16">
        <f>IF($C5="","",IF(AND(COUNTIF(設定!$B$15:$B$21,$G5)&gt;0,$J5&lt;&gt;""),"假日出勤",IF(AND(COUNTIF(設定!$B$6:$B$14,$G5)&gt;0,$J5=""),"未打卡",IF($J5="","",IF($O5&gt;0,"遲到",IF($P5&gt;0,"早退","正常"))))))</f>
        <v/>
      </c>
      <c r="O5" s="88">
        <f>IF(OR($C5="",$H5="",$J5=""),0,IF(ROUND(($J5-$H5)*1440,0)&gt;設定!$C$48,ROUND(($J5-$H5)*1440,0),0))</f>
        <v/>
      </c>
      <c r="P5" s="88">
        <f>IF(OR($C5="",$I5="",$K5=""),0,IF(ROUND(($I5-$K5)*1440,0)&gt;設定!$C$48,ROUND(($I5-$K5)*1440,0),0))</f>
        <v/>
      </c>
      <c r="Q5" s="89">
        <f>IF($M5="",0,IF(($M5-IFERROR(INDEX(設定!$G$6:$G$21,MATCH($G5,設定!$B$6:$B$21,0)),0))*60&gt;=設定!$C$46,ROUND(FLOOR(($M5-IFERROR(INDEX(設定!$G$6:$G$21,MATCH($G5,設定!$B$6:$B$21,0)),0))*60,設定!$C$47)/60,2),0))</f>
        <v/>
      </c>
      <c r="R5" s="16">
        <f>IF(OR($C5="",$Q5=0),"",IF($G5="國","國定假日",IF($B5="日","例假",IF($B5="六","休息日","平日"))))</f>
        <v/>
      </c>
      <c r="S5" s="18" t="n"/>
    </row>
    <row r="6">
      <c r="A6" s="86">
        <f>IF(OR(醫護長與管理部班表!$A5="",4&gt;DAY(EOMONTH(DATE(設定!$C$2,設定!$D$2,1),0))),"",DATE(設定!$C$2,設定!$D$2,4))</f>
        <v/>
      </c>
      <c r="B6" s="16">
        <f>IF($A6="","",INDEX(設定!$O$6:$O$12,WEEKDAY($A6,1)))</f>
        <v/>
      </c>
      <c r="C6" s="16">
        <f>IF($A6="","",醫護長與管理部班表!$A5)</f>
        <v/>
      </c>
      <c r="D6" s="16">
        <f>IF($C6="","",醫護長與管理部班表!$B5)</f>
        <v/>
      </c>
      <c r="E6" s="16">
        <f>IF($C6="","",醫護長與管理部班表!$D5)</f>
        <v/>
      </c>
      <c r="F6" s="16">
        <f>IF($C6="","",醫護長與管理部班表!$C5)</f>
        <v/>
      </c>
      <c r="G6" s="16">
        <f>IF($C6="","",醫護長與管理部班表!H5)</f>
        <v/>
      </c>
      <c r="H6" s="87">
        <f>IF($G6="","",IFERROR(IF(INDEX(設定!$D$6:$D$21,MATCH($G6,設定!$B$6:$B$21,0))=0,"",INDEX(設定!$D$6:$D$21,MATCH($G6,設定!$B$6:$B$21,0))),""))</f>
        <v/>
      </c>
      <c r="I6" s="87">
        <f>IF($G6="","",IFERROR(IF(INDEX(設定!$E$6:$E$21,MATCH($G6,設定!$B$6:$B$21,0))=0,"",INDEX(設定!$E$6:$E$21,MATCH($G6,設定!$B$6:$B$21,0))),""))</f>
        <v/>
      </c>
      <c r="J6" s="87">
        <f>IFERROR(INDEX(打卡匯入!$C$3:$C$502,MATCH($C6&amp;"|"&amp;DAY($A6),打卡匯入!$E$3:$E$502,0)),"")</f>
        <v/>
      </c>
      <c r="K6" s="87">
        <f>IFERROR(INDEX(打卡匯入!$D$3:$D$502,MATCH($C6&amp;"|"&amp;DAY($A6),打卡匯入!$E$3:$E$502,0)),"")</f>
        <v/>
      </c>
      <c r="L6" s="88">
        <f>IF(OR($J6="",$K6=""),"",IFERROR(INDEX(設定!$F$6:$F$21,MATCH($G6,設定!$B$6:$B$21,0)),0))</f>
        <v/>
      </c>
      <c r="M6" s="89">
        <f>IF(OR($J6="",$K6=""),"",ROUND(($K6-$J6)*24-$L6/60,2))</f>
        <v/>
      </c>
      <c r="N6" s="16">
        <f>IF($C6="","",IF(AND(COUNTIF(設定!$B$15:$B$21,$G6)&gt;0,$J6&lt;&gt;""),"假日出勤",IF(AND(COUNTIF(設定!$B$6:$B$14,$G6)&gt;0,$J6=""),"未打卡",IF($J6="","",IF($O6&gt;0,"遲到",IF($P6&gt;0,"早退","正常"))))))</f>
        <v/>
      </c>
      <c r="O6" s="88">
        <f>IF(OR($C6="",$H6="",$J6=""),0,IF(ROUND(($J6-$H6)*1440,0)&gt;設定!$C$48,ROUND(($J6-$H6)*1440,0),0))</f>
        <v/>
      </c>
      <c r="P6" s="88">
        <f>IF(OR($C6="",$I6="",$K6=""),0,IF(ROUND(($I6-$K6)*1440,0)&gt;設定!$C$48,ROUND(($I6-$K6)*1440,0),0))</f>
        <v/>
      </c>
      <c r="Q6" s="89">
        <f>IF($M6="",0,IF(($M6-IFERROR(INDEX(設定!$G$6:$G$21,MATCH($G6,設定!$B$6:$B$21,0)),0))*60&gt;=設定!$C$46,ROUND(FLOOR(($M6-IFERROR(INDEX(設定!$G$6:$G$21,MATCH($G6,設定!$B$6:$B$21,0)),0))*60,設定!$C$47)/60,2),0))</f>
        <v/>
      </c>
      <c r="R6" s="16">
        <f>IF(OR($C6="",$Q6=0),"",IF($G6="國","國定假日",IF($B6="日","例假",IF($B6="六","休息日","平日"))))</f>
        <v/>
      </c>
      <c r="S6" s="18" t="n"/>
    </row>
    <row r="7">
      <c r="A7" s="86">
        <f>IF(OR(醫護長與管理部班表!$A5="",5&gt;DAY(EOMONTH(DATE(設定!$C$2,設定!$D$2,1),0))),"",DATE(設定!$C$2,設定!$D$2,5))</f>
        <v/>
      </c>
      <c r="B7" s="16">
        <f>IF($A7="","",INDEX(設定!$O$6:$O$12,WEEKDAY($A7,1)))</f>
        <v/>
      </c>
      <c r="C7" s="16">
        <f>IF($A7="","",醫護長與管理部班表!$A5)</f>
        <v/>
      </c>
      <c r="D7" s="16">
        <f>IF($C7="","",醫護長與管理部班表!$B5)</f>
        <v/>
      </c>
      <c r="E7" s="16">
        <f>IF($C7="","",醫護長與管理部班表!$D5)</f>
        <v/>
      </c>
      <c r="F7" s="16">
        <f>IF($C7="","",醫護長與管理部班表!$C5)</f>
        <v/>
      </c>
      <c r="G7" s="16">
        <f>IF($C7="","",醫護長與管理部班表!I5)</f>
        <v/>
      </c>
      <c r="H7" s="87">
        <f>IF($G7="","",IFERROR(IF(INDEX(設定!$D$6:$D$21,MATCH($G7,設定!$B$6:$B$21,0))=0,"",INDEX(設定!$D$6:$D$21,MATCH($G7,設定!$B$6:$B$21,0))),""))</f>
        <v/>
      </c>
      <c r="I7" s="87">
        <f>IF($G7="","",IFERROR(IF(INDEX(設定!$E$6:$E$21,MATCH($G7,設定!$B$6:$B$21,0))=0,"",INDEX(設定!$E$6:$E$21,MATCH($G7,設定!$B$6:$B$21,0))),""))</f>
        <v/>
      </c>
      <c r="J7" s="87">
        <f>IFERROR(INDEX(打卡匯入!$C$3:$C$502,MATCH($C7&amp;"|"&amp;DAY($A7),打卡匯入!$E$3:$E$502,0)),"")</f>
        <v/>
      </c>
      <c r="K7" s="87">
        <f>IFERROR(INDEX(打卡匯入!$D$3:$D$502,MATCH($C7&amp;"|"&amp;DAY($A7),打卡匯入!$E$3:$E$502,0)),"")</f>
        <v/>
      </c>
      <c r="L7" s="88">
        <f>IF(OR($J7="",$K7=""),"",IFERROR(INDEX(設定!$F$6:$F$21,MATCH($G7,設定!$B$6:$B$21,0)),0))</f>
        <v/>
      </c>
      <c r="M7" s="89">
        <f>IF(OR($J7="",$K7=""),"",ROUND(($K7-$J7)*24-$L7/60,2))</f>
        <v/>
      </c>
      <c r="N7" s="16">
        <f>IF($C7="","",IF(AND(COUNTIF(設定!$B$15:$B$21,$G7)&gt;0,$J7&lt;&gt;""),"假日出勤",IF(AND(COUNTIF(設定!$B$6:$B$14,$G7)&gt;0,$J7=""),"未打卡",IF($J7="","",IF($O7&gt;0,"遲到",IF($P7&gt;0,"早退","正常"))))))</f>
        <v/>
      </c>
      <c r="O7" s="88">
        <f>IF(OR($C7="",$H7="",$J7=""),0,IF(ROUND(($J7-$H7)*1440,0)&gt;設定!$C$48,ROUND(($J7-$H7)*1440,0),0))</f>
        <v/>
      </c>
      <c r="P7" s="88">
        <f>IF(OR($C7="",$I7="",$K7=""),0,IF(ROUND(($I7-$K7)*1440,0)&gt;設定!$C$48,ROUND(($I7-$K7)*1440,0),0))</f>
        <v/>
      </c>
      <c r="Q7" s="89">
        <f>IF($M7="",0,IF(($M7-IFERROR(INDEX(設定!$G$6:$G$21,MATCH($G7,設定!$B$6:$B$21,0)),0))*60&gt;=設定!$C$46,ROUND(FLOOR(($M7-IFERROR(INDEX(設定!$G$6:$G$21,MATCH($G7,設定!$B$6:$B$21,0)),0))*60,設定!$C$47)/60,2),0))</f>
        <v/>
      </c>
      <c r="R7" s="16">
        <f>IF(OR($C7="",$Q7=0),"",IF($G7="國","國定假日",IF($B7="日","例假",IF($B7="六","休息日","平日"))))</f>
        <v/>
      </c>
      <c r="S7" s="18" t="n"/>
    </row>
    <row r="8">
      <c r="A8" s="86">
        <f>IF(OR(醫護長與管理部班表!$A5="",6&gt;DAY(EOMONTH(DATE(設定!$C$2,設定!$D$2,1),0))),"",DATE(設定!$C$2,設定!$D$2,6))</f>
        <v/>
      </c>
      <c r="B8" s="16">
        <f>IF($A8="","",INDEX(設定!$O$6:$O$12,WEEKDAY($A8,1)))</f>
        <v/>
      </c>
      <c r="C8" s="16">
        <f>IF($A8="","",醫護長與管理部班表!$A5)</f>
        <v/>
      </c>
      <c r="D8" s="16">
        <f>IF($C8="","",醫護長與管理部班表!$B5)</f>
        <v/>
      </c>
      <c r="E8" s="16">
        <f>IF($C8="","",醫護長與管理部班表!$D5)</f>
        <v/>
      </c>
      <c r="F8" s="16">
        <f>IF($C8="","",醫護長與管理部班表!$C5)</f>
        <v/>
      </c>
      <c r="G8" s="16">
        <f>IF($C8="","",醫護長與管理部班表!J5)</f>
        <v/>
      </c>
      <c r="H8" s="87">
        <f>IF($G8="","",IFERROR(IF(INDEX(設定!$D$6:$D$21,MATCH($G8,設定!$B$6:$B$21,0))=0,"",INDEX(設定!$D$6:$D$21,MATCH($G8,設定!$B$6:$B$21,0))),""))</f>
        <v/>
      </c>
      <c r="I8" s="87">
        <f>IF($G8="","",IFERROR(IF(INDEX(設定!$E$6:$E$21,MATCH($G8,設定!$B$6:$B$21,0))=0,"",INDEX(設定!$E$6:$E$21,MATCH($G8,設定!$B$6:$B$21,0))),""))</f>
        <v/>
      </c>
      <c r="J8" s="87">
        <f>IFERROR(INDEX(打卡匯入!$C$3:$C$502,MATCH($C8&amp;"|"&amp;DAY($A8),打卡匯入!$E$3:$E$502,0)),"")</f>
        <v/>
      </c>
      <c r="K8" s="87">
        <f>IFERROR(INDEX(打卡匯入!$D$3:$D$502,MATCH($C8&amp;"|"&amp;DAY($A8),打卡匯入!$E$3:$E$502,0)),"")</f>
        <v/>
      </c>
      <c r="L8" s="88">
        <f>IF(OR($J8="",$K8=""),"",IFERROR(INDEX(設定!$F$6:$F$21,MATCH($G8,設定!$B$6:$B$21,0)),0))</f>
        <v/>
      </c>
      <c r="M8" s="89">
        <f>IF(OR($J8="",$K8=""),"",ROUND(($K8-$J8)*24-$L8/60,2))</f>
        <v/>
      </c>
      <c r="N8" s="16">
        <f>IF($C8="","",IF(AND(COUNTIF(設定!$B$15:$B$21,$G8)&gt;0,$J8&lt;&gt;""),"假日出勤",IF(AND(COUNTIF(設定!$B$6:$B$14,$G8)&gt;0,$J8=""),"未打卡",IF($J8="","",IF($O8&gt;0,"遲到",IF($P8&gt;0,"早退","正常"))))))</f>
        <v/>
      </c>
      <c r="O8" s="88">
        <f>IF(OR($C8="",$H8="",$J8=""),0,IF(ROUND(($J8-$H8)*1440,0)&gt;設定!$C$48,ROUND(($J8-$H8)*1440,0),0))</f>
        <v/>
      </c>
      <c r="P8" s="88">
        <f>IF(OR($C8="",$I8="",$K8=""),0,IF(ROUND(($I8-$K8)*1440,0)&gt;設定!$C$48,ROUND(($I8-$K8)*1440,0),0))</f>
        <v/>
      </c>
      <c r="Q8" s="89">
        <f>IF($M8="",0,IF(($M8-IFERROR(INDEX(設定!$G$6:$G$21,MATCH($G8,設定!$B$6:$B$21,0)),0))*60&gt;=設定!$C$46,ROUND(FLOOR(($M8-IFERROR(INDEX(設定!$G$6:$G$21,MATCH($G8,設定!$B$6:$B$21,0)),0))*60,設定!$C$47)/60,2),0))</f>
        <v/>
      </c>
      <c r="R8" s="16">
        <f>IF(OR($C8="",$Q8=0),"",IF($G8="國","國定假日",IF($B8="日","例假",IF($B8="六","休息日","平日"))))</f>
        <v/>
      </c>
      <c r="S8" s="18" t="n"/>
    </row>
    <row r="9">
      <c r="A9" s="86">
        <f>IF(OR(醫護長與管理部班表!$A5="",7&gt;DAY(EOMONTH(DATE(設定!$C$2,設定!$D$2,1),0))),"",DATE(設定!$C$2,設定!$D$2,7))</f>
        <v/>
      </c>
      <c r="B9" s="16">
        <f>IF($A9="","",INDEX(設定!$O$6:$O$12,WEEKDAY($A9,1)))</f>
        <v/>
      </c>
      <c r="C9" s="16">
        <f>IF($A9="","",醫護長與管理部班表!$A5)</f>
        <v/>
      </c>
      <c r="D9" s="16">
        <f>IF($C9="","",醫護長與管理部班表!$B5)</f>
        <v/>
      </c>
      <c r="E9" s="16">
        <f>IF($C9="","",醫護長與管理部班表!$D5)</f>
        <v/>
      </c>
      <c r="F9" s="16">
        <f>IF($C9="","",醫護長與管理部班表!$C5)</f>
        <v/>
      </c>
      <c r="G9" s="16">
        <f>IF($C9="","",醫護長與管理部班表!K5)</f>
        <v/>
      </c>
      <c r="H9" s="87">
        <f>IF($G9="","",IFERROR(IF(INDEX(設定!$D$6:$D$21,MATCH($G9,設定!$B$6:$B$21,0))=0,"",INDEX(設定!$D$6:$D$21,MATCH($G9,設定!$B$6:$B$21,0))),""))</f>
        <v/>
      </c>
      <c r="I9" s="87">
        <f>IF($G9="","",IFERROR(IF(INDEX(設定!$E$6:$E$21,MATCH($G9,設定!$B$6:$B$21,0))=0,"",INDEX(設定!$E$6:$E$21,MATCH($G9,設定!$B$6:$B$21,0))),""))</f>
        <v/>
      </c>
      <c r="J9" s="87">
        <f>IFERROR(INDEX(打卡匯入!$C$3:$C$502,MATCH($C9&amp;"|"&amp;DAY($A9),打卡匯入!$E$3:$E$502,0)),"")</f>
        <v/>
      </c>
      <c r="K9" s="87">
        <f>IFERROR(INDEX(打卡匯入!$D$3:$D$502,MATCH($C9&amp;"|"&amp;DAY($A9),打卡匯入!$E$3:$E$502,0)),"")</f>
        <v/>
      </c>
      <c r="L9" s="88">
        <f>IF(OR($J9="",$K9=""),"",IFERROR(INDEX(設定!$F$6:$F$21,MATCH($G9,設定!$B$6:$B$21,0)),0))</f>
        <v/>
      </c>
      <c r="M9" s="89">
        <f>IF(OR($J9="",$K9=""),"",ROUND(($K9-$J9)*24-$L9/60,2))</f>
        <v/>
      </c>
      <c r="N9" s="16">
        <f>IF($C9="","",IF(AND(COUNTIF(設定!$B$15:$B$21,$G9)&gt;0,$J9&lt;&gt;""),"假日出勤",IF(AND(COUNTIF(設定!$B$6:$B$14,$G9)&gt;0,$J9=""),"未打卡",IF($J9="","",IF($O9&gt;0,"遲到",IF($P9&gt;0,"早退","正常"))))))</f>
        <v/>
      </c>
      <c r="O9" s="88">
        <f>IF(OR($C9="",$H9="",$J9=""),0,IF(ROUND(($J9-$H9)*1440,0)&gt;設定!$C$48,ROUND(($J9-$H9)*1440,0),0))</f>
        <v/>
      </c>
      <c r="P9" s="88">
        <f>IF(OR($C9="",$I9="",$K9=""),0,IF(ROUND(($I9-$K9)*1440,0)&gt;設定!$C$48,ROUND(($I9-$K9)*1440,0),0))</f>
        <v/>
      </c>
      <c r="Q9" s="89">
        <f>IF($M9="",0,IF(($M9-IFERROR(INDEX(設定!$G$6:$G$21,MATCH($G9,設定!$B$6:$B$21,0)),0))*60&gt;=設定!$C$46,ROUND(FLOOR(($M9-IFERROR(INDEX(設定!$G$6:$G$21,MATCH($G9,設定!$B$6:$B$21,0)),0))*60,設定!$C$47)/60,2),0))</f>
        <v/>
      </c>
      <c r="R9" s="16">
        <f>IF(OR($C9="",$Q9=0),"",IF($G9="國","國定假日",IF($B9="日","例假",IF($B9="六","休息日","平日"))))</f>
        <v/>
      </c>
      <c r="S9" s="18" t="n"/>
    </row>
    <row r="10">
      <c r="A10" s="86">
        <f>IF(OR(醫護長與管理部班表!$A5="",8&gt;DAY(EOMONTH(DATE(設定!$C$2,設定!$D$2,1),0))),"",DATE(設定!$C$2,設定!$D$2,8))</f>
        <v/>
      </c>
      <c r="B10" s="16">
        <f>IF($A10="","",INDEX(設定!$O$6:$O$12,WEEKDAY($A10,1)))</f>
        <v/>
      </c>
      <c r="C10" s="16">
        <f>IF($A10="","",醫護長與管理部班表!$A5)</f>
        <v/>
      </c>
      <c r="D10" s="16">
        <f>IF($C10="","",醫護長與管理部班表!$B5)</f>
        <v/>
      </c>
      <c r="E10" s="16">
        <f>IF($C10="","",醫護長與管理部班表!$D5)</f>
        <v/>
      </c>
      <c r="F10" s="16">
        <f>IF($C10="","",醫護長與管理部班表!$C5)</f>
        <v/>
      </c>
      <c r="G10" s="16">
        <f>IF($C10="","",醫護長與管理部班表!L5)</f>
        <v/>
      </c>
      <c r="H10" s="87">
        <f>IF($G10="","",IFERROR(IF(INDEX(設定!$D$6:$D$21,MATCH($G10,設定!$B$6:$B$21,0))=0,"",INDEX(設定!$D$6:$D$21,MATCH($G10,設定!$B$6:$B$21,0))),""))</f>
        <v/>
      </c>
      <c r="I10" s="87">
        <f>IF($G10="","",IFERROR(IF(INDEX(設定!$E$6:$E$21,MATCH($G10,設定!$B$6:$B$21,0))=0,"",INDEX(設定!$E$6:$E$21,MATCH($G10,設定!$B$6:$B$21,0))),""))</f>
        <v/>
      </c>
      <c r="J10" s="87">
        <f>IFERROR(INDEX(打卡匯入!$C$3:$C$502,MATCH($C10&amp;"|"&amp;DAY($A10),打卡匯入!$E$3:$E$502,0)),"")</f>
        <v/>
      </c>
      <c r="K10" s="87">
        <f>IFERROR(INDEX(打卡匯入!$D$3:$D$502,MATCH($C10&amp;"|"&amp;DAY($A10),打卡匯入!$E$3:$E$502,0)),"")</f>
        <v/>
      </c>
      <c r="L10" s="88">
        <f>IF(OR($J10="",$K10=""),"",IFERROR(INDEX(設定!$F$6:$F$21,MATCH($G10,設定!$B$6:$B$21,0)),0))</f>
        <v/>
      </c>
      <c r="M10" s="89">
        <f>IF(OR($J10="",$K10=""),"",ROUND(($K10-$J10)*24-$L10/60,2))</f>
        <v/>
      </c>
      <c r="N10" s="16">
        <f>IF($C10="","",IF(AND(COUNTIF(設定!$B$15:$B$21,$G10)&gt;0,$J10&lt;&gt;""),"假日出勤",IF(AND(COUNTIF(設定!$B$6:$B$14,$G10)&gt;0,$J10=""),"未打卡",IF($J10="","",IF($O10&gt;0,"遲到",IF($P10&gt;0,"早退","正常"))))))</f>
        <v/>
      </c>
      <c r="O10" s="88">
        <f>IF(OR($C10="",$H10="",$J10=""),0,IF(ROUND(($J10-$H10)*1440,0)&gt;設定!$C$48,ROUND(($J10-$H10)*1440,0),0))</f>
        <v/>
      </c>
      <c r="P10" s="88">
        <f>IF(OR($C10="",$I10="",$K10=""),0,IF(ROUND(($I10-$K10)*1440,0)&gt;設定!$C$48,ROUND(($I10-$K10)*1440,0),0))</f>
        <v/>
      </c>
      <c r="Q10" s="89">
        <f>IF($M10="",0,IF(($M10-IFERROR(INDEX(設定!$G$6:$G$21,MATCH($G10,設定!$B$6:$B$21,0)),0))*60&gt;=設定!$C$46,ROUND(FLOOR(($M10-IFERROR(INDEX(設定!$G$6:$G$21,MATCH($G10,設定!$B$6:$B$21,0)),0))*60,設定!$C$47)/60,2),0))</f>
        <v/>
      </c>
      <c r="R10" s="16">
        <f>IF(OR($C10="",$Q10=0),"",IF($G10="國","國定假日",IF($B10="日","例假",IF($B10="六","休息日","平日"))))</f>
        <v/>
      </c>
      <c r="S10" s="18" t="n"/>
    </row>
    <row r="11">
      <c r="A11" s="86">
        <f>IF(OR(醫護長與管理部班表!$A5="",9&gt;DAY(EOMONTH(DATE(設定!$C$2,設定!$D$2,1),0))),"",DATE(設定!$C$2,設定!$D$2,9))</f>
        <v/>
      </c>
      <c r="B11" s="16">
        <f>IF($A11="","",INDEX(設定!$O$6:$O$12,WEEKDAY($A11,1)))</f>
        <v/>
      </c>
      <c r="C11" s="16">
        <f>IF($A11="","",醫護長與管理部班表!$A5)</f>
        <v/>
      </c>
      <c r="D11" s="16">
        <f>IF($C11="","",醫護長與管理部班表!$B5)</f>
        <v/>
      </c>
      <c r="E11" s="16">
        <f>IF($C11="","",醫護長與管理部班表!$D5)</f>
        <v/>
      </c>
      <c r="F11" s="16">
        <f>IF($C11="","",醫護長與管理部班表!$C5)</f>
        <v/>
      </c>
      <c r="G11" s="16">
        <f>IF($C11="","",醫護長與管理部班表!M5)</f>
        <v/>
      </c>
      <c r="H11" s="87">
        <f>IF($G11="","",IFERROR(IF(INDEX(設定!$D$6:$D$21,MATCH($G11,設定!$B$6:$B$21,0))=0,"",INDEX(設定!$D$6:$D$21,MATCH($G11,設定!$B$6:$B$21,0))),""))</f>
        <v/>
      </c>
      <c r="I11" s="87">
        <f>IF($G11="","",IFERROR(IF(INDEX(設定!$E$6:$E$21,MATCH($G11,設定!$B$6:$B$21,0))=0,"",INDEX(設定!$E$6:$E$21,MATCH($G11,設定!$B$6:$B$21,0))),""))</f>
        <v/>
      </c>
      <c r="J11" s="87">
        <f>IFERROR(INDEX(打卡匯入!$C$3:$C$502,MATCH($C11&amp;"|"&amp;DAY($A11),打卡匯入!$E$3:$E$502,0)),"")</f>
        <v/>
      </c>
      <c r="K11" s="87">
        <f>IFERROR(INDEX(打卡匯入!$D$3:$D$502,MATCH($C11&amp;"|"&amp;DAY($A11),打卡匯入!$E$3:$E$502,0)),"")</f>
        <v/>
      </c>
      <c r="L11" s="88">
        <f>IF(OR($J11="",$K11=""),"",IFERROR(INDEX(設定!$F$6:$F$21,MATCH($G11,設定!$B$6:$B$21,0)),0))</f>
        <v/>
      </c>
      <c r="M11" s="89">
        <f>IF(OR($J11="",$K11=""),"",ROUND(($K11-$J11)*24-$L11/60,2))</f>
        <v/>
      </c>
      <c r="N11" s="16">
        <f>IF($C11="","",IF(AND(COUNTIF(設定!$B$15:$B$21,$G11)&gt;0,$J11&lt;&gt;""),"假日出勤",IF(AND(COUNTIF(設定!$B$6:$B$14,$G11)&gt;0,$J11=""),"未打卡",IF($J11="","",IF($O11&gt;0,"遲到",IF($P11&gt;0,"早退","正常"))))))</f>
        <v/>
      </c>
      <c r="O11" s="88">
        <f>IF(OR($C11="",$H11="",$J11=""),0,IF(ROUND(($J11-$H11)*1440,0)&gt;設定!$C$48,ROUND(($J11-$H11)*1440,0),0))</f>
        <v/>
      </c>
      <c r="P11" s="88">
        <f>IF(OR($C11="",$I11="",$K11=""),0,IF(ROUND(($I11-$K11)*1440,0)&gt;設定!$C$48,ROUND(($I11-$K11)*1440,0),0))</f>
        <v/>
      </c>
      <c r="Q11" s="89">
        <f>IF($M11="",0,IF(($M11-IFERROR(INDEX(設定!$G$6:$G$21,MATCH($G11,設定!$B$6:$B$21,0)),0))*60&gt;=設定!$C$46,ROUND(FLOOR(($M11-IFERROR(INDEX(設定!$G$6:$G$21,MATCH($G11,設定!$B$6:$B$21,0)),0))*60,設定!$C$47)/60,2),0))</f>
        <v/>
      </c>
      <c r="R11" s="16">
        <f>IF(OR($C11="",$Q11=0),"",IF($G11="國","國定假日",IF($B11="日","例假",IF($B11="六","休息日","平日"))))</f>
        <v/>
      </c>
      <c r="S11" s="18" t="n"/>
    </row>
    <row r="12">
      <c r="A12" s="86">
        <f>IF(OR(醫護長與管理部班表!$A5="",10&gt;DAY(EOMONTH(DATE(設定!$C$2,設定!$D$2,1),0))),"",DATE(設定!$C$2,設定!$D$2,10))</f>
        <v/>
      </c>
      <c r="B12" s="16">
        <f>IF($A12="","",INDEX(設定!$O$6:$O$12,WEEKDAY($A12,1)))</f>
        <v/>
      </c>
      <c r="C12" s="16">
        <f>IF($A12="","",醫護長與管理部班表!$A5)</f>
        <v/>
      </c>
      <c r="D12" s="16">
        <f>IF($C12="","",醫護長與管理部班表!$B5)</f>
        <v/>
      </c>
      <c r="E12" s="16">
        <f>IF($C12="","",醫護長與管理部班表!$D5)</f>
        <v/>
      </c>
      <c r="F12" s="16">
        <f>IF($C12="","",醫護長與管理部班表!$C5)</f>
        <v/>
      </c>
      <c r="G12" s="16">
        <f>IF($C12="","",醫護長與管理部班表!N5)</f>
        <v/>
      </c>
      <c r="H12" s="87">
        <f>IF($G12="","",IFERROR(IF(INDEX(設定!$D$6:$D$21,MATCH($G12,設定!$B$6:$B$21,0))=0,"",INDEX(設定!$D$6:$D$21,MATCH($G12,設定!$B$6:$B$21,0))),""))</f>
        <v/>
      </c>
      <c r="I12" s="87">
        <f>IF($G12="","",IFERROR(IF(INDEX(設定!$E$6:$E$21,MATCH($G12,設定!$B$6:$B$21,0))=0,"",INDEX(設定!$E$6:$E$21,MATCH($G12,設定!$B$6:$B$21,0))),""))</f>
        <v/>
      </c>
      <c r="J12" s="87">
        <f>IFERROR(INDEX(打卡匯入!$C$3:$C$502,MATCH($C12&amp;"|"&amp;DAY($A12),打卡匯入!$E$3:$E$502,0)),"")</f>
        <v/>
      </c>
      <c r="K12" s="87">
        <f>IFERROR(INDEX(打卡匯入!$D$3:$D$502,MATCH($C12&amp;"|"&amp;DAY($A12),打卡匯入!$E$3:$E$502,0)),"")</f>
        <v/>
      </c>
      <c r="L12" s="88">
        <f>IF(OR($J12="",$K12=""),"",IFERROR(INDEX(設定!$F$6:$F$21,MATCH($G12,設定!$B$6:$B$21,0)),0))</f>
        <v/>
      </c>
      <c r="M12" s="89">
        <f>IF(OR($J12="",$K12=""),"",ROUND(($K12-$J12)*24-$L12/60,2))</f>
        <v/>
      </c>
      <c r="N12" s="16">
        <f>IF($C12="","",IF(AND(COUNTIF(設定!$B$15:$B$21,$G12)&gt;0,$J12&lt;&gt;""),"假日出勤",IF(AND(COUNTIF(設定!$B$6:$B$14,$G12)&gt;0,$J12=""),"未打卡",IF($J12="","",IF($O12&gt;0,"遲到",IF($P12&gt;0,"早退","正常"))))))</f>
        <v/>
      </c>
      <c r="O12" s="88">
        <f>IF(OR($C12="",$H12="",$J12=""),0,IF(ROUND(($J12-$H12)*1440,0)&gt;設定!$C$48,ROUND(($J12-$H12)*1440,0),0))</f>
        <v/>
      </c>
      <c r="P12" s="88">
        <f>IF(OR($C12="",$I12="",$K12=""),0,IF(ROUND(($I12-$K12)*1440,0)&gt;設定!$C$48,ROUND(($I12-$K12)*1440,0),0))</f>
        <v/>
      </c>
      <c r="Q12" s="89">
        <f>IF($M12="",0,IF(($M12-IFERROR(INDEX(設定!$G$6:$G$21,MATCH($G12,設定!$B$6:$B$21,0)),0))*60&gt;=設定!$C$46,ROUND(FLOOR(($M12-IFERROR(INDEX(設定!$G$6:$G$21,MATCH($G12,設定!$B$6:$B$21,0)),0))*60,設定!$C$47)/60,2),0))</f>
        <v/>
      </c>
      <c r="R12" s="16">
        <f>IF(OR($C12="",$Q12=0),"",IF($G12="國","國定假日",IF($B12="日","例假",IF($B12="六","休息日","平日"))))</f>
        <v/>
      </c>
      <c r="S12" s="18" t="n"/>
    </row>
    <row r="13">
      <c r="A13" s="86">
        <f>IF(OR(醫護長與管理部班表!$A5="",11&gt;DAY(EOMONTH(DATE(設定!$C$2,設定!$D$2,1),0))),"",DATE(設定!$C$2,設定!$D$2,11))</f>
        <v/>
      </c>
      <c r="B13" s="16">
        <f>IF($A13="","",INDEX(設定!$O$6:$O$12,WEEKDAY($A13,1)))</f>
        <v/>
      </c>
      <c r="C13" s="16">
        <f>IF($A13="","",醫護長與管理部班表!$A5)</f>
        <v/>
      </c>
      <c r="D13" s="16">
        <f>IF($C13="","",醫護長與管理部班表!$B5)</f>
        <v/>
      </c>
      <c r="E13" s="16">
        <f>IF($C13="","",醫護長與管理部班表!$D5)</f>
        <v/>
      </c>
      <c r="F13" s="16">
        <f>IF($C13="","",醫護長與管理部班表!$C5)</f>
        <v/>
      </c>
      <c r="G13" s="16">
        <f>IF($C13="","",醫護長與管理部班表!O5)</f>
        <v/>
      </c>
      <c r="H13" s="87">
        <f>IF($G13="","",IFERROR(IF(INDEX(設定!$D$6:$D$21,MATCH($G13,設定!$B$6:$B$21,0))=0,"",INDEX(設定!$D$6:$D$21,MATCH($G13,設定!$B$6:$B$21,0))),""))</f>
        <v/>
      </c>
      <c r="I13" s="87">
        <f>IF($G13="","",IFERROR(IF(INDEX(設定!$E$6:$E$21,MATCH($G13,設定!$B$6:$B$21,0))=0,"",INDEX(設定!$E$6:$E$21,MATCH($G13,設定!$B$6:$B$21,0))),""))</f>
        <v/>
      </c>
      <c r="J13" s="87">
        <f>IFERROR(INDEX(打卡匯入!$C$3:$C$502,MATCH($C13&amp;"|"&amp;DAY($A13),打卡匯入!$E$3:$E$502,0)),"")</f>
        <v/>
      </c>
      <c r="K13" s="87">
        <f>IFERROR(INDEX(打卡匯入!$D$3:$D$502,MATCH($C13&amp;"|"&amp;DAY($A13),打卡匯入!$E$3:$E$502,0)),"")</f>
        <v/>
      </c>
      <c r="L13" s="88">
        <f>IF(OR($J13="",$K13=""),"",IFERROR(INDEX(設定!$F$6:$F$21,MATCH($G13,設定!$B$6:$B$21,0)),0))</f>
        <v/>
      </c>
      <c r="M13" s="89">
        <f>IF(OR($J13="",$K13=""),"",ROUND(($K13-$J13)*24-$L13/60,2))</f>
        <v/>
      </c>
      <c r="N13" s="16">
        <f>IF($C13="","",IF(AND(COUNTIF(設定!$B$15:$B$21,$G13)&gt;0,$J13&lt;&gt;""),"假日出勤",IF(AND(COUNTIF(設定!$B$6:$B$14,$G13)&gt;0,$J13=""),"未打卡",IF($J13="","",IF($O13&gt;0,"遲到",IF($P13&gt;0,"早退","正常"))))))</f>
        <v/>
      </c>
      <c r="O13" s="88">
        <f>IF(OR($C13="",$H13="",$J13=""),0,IF(ROUND(($J13-$H13)*1440,0)&gt;設定!$C$48,ROUND(($J13-$H13)*1440,0),0))</f>
        <v/>
      </c>
      <c r="P13" s="88">
        <f>IF(OR($C13="",$I13="",$K13=""),0,IF(ROUND(($I13-$K13)*1440,0)&gt;設定!$C$48,ROUND(($I13-$K13)*1440,0),0))</f>
        <v/>
      </c>
      <c r="Q13" s="89">
        <f>IF($M13="",0,IF(($M13-IFERROR(INDEX(設定!$G$6:$G$21,MATCH($G13,設定!$B$6:$B$21,0)),0))*60&gt;=設定!$C$46,ROUND(FLOOR(($M13-IFERROR(INDEX(設定!$G$6:$G$21,MATCH($G13,設定!$B$6:$B$21,0)),0))*60,設定!$C$47)/60,2),0))</f>
        <v/>
      </c>
      <c r="R13" s="16">
        <f>IF(OR($C13="",$Q13=0),"",IF($G13="國","國定假日",IF($B13="日","例假",IF($B13="六","休息日","平日"))))</f>
        <v/>
      </c>
      <c r="S13" s="18" t="n"/>
    </row>
    <row r="14">
      <c r="A14" s="86">
        <f>IF(OR(醫護長與管理部班表!$A5="",12&gt;DAY(EOMONTH(DATE(設定!$C$2,設定!$D$2,1),0))),"",DATE(設定!$C$2,設定!$D$2,12))</f>
        <v/>
      </c>
      <c r="B14" s="16">
        <f>IF($A14="","",INDEX(設定!$O$6:$O$12,WEEKDAY($A14,1)))</f>
        <v/>
      </c>
      <c r="C14" s="16">
        <f>IF($A14="","",醫護長與管理部班表!$A5)</f>
        <v/>
      </c>
      <c r="D14" s="16">
        <f>IF($C14="","",醫護長與管理部班表!$B5)</f>
        <v/>
      </c>
      <c r="E14" s="16">
        <f>IF($C14="","",醫護長與管理部班表!$D5)</f>
        <v/>
      </c>
      <c r="F14" s="16">
        <f>IF($C14="","",醫護長與管理部班表!$C5)</f>
        <v/>
      </c>
      <c r="G14" s="16">
        <f>IF($C14="","",醫護長與管理部班表!P5)</f>
        <v/>
      </c>
      <c r="H14" s="87">
        <f>IF($G14="","",IFERROR(IF(INDEX(設定!$D$6:$D$21,MATCH($G14,設定!$B$6:$B$21,0))=0,"",INDEX(設定!$D$6:$D$21,MATCH($G14,設定!$B$6:$B$21,0))),""))</f>
        <v/>
      </c>
      <c r="I14" s="87">
        <f>IF($G14="","",IFERROR(IF(INDEX(設定!$E$6:$E$21,MATCH($G14,設定!$B$6:$B$21,0))=0,"",INDEX(設定!$E$6:$E$21,MATCH($G14,設定!$B$6:$B$21,0))),""))</f>
        <v/>
      </c>
      <c r="J14" s="87">
        <f>IFERROR(INDEX(打卡匯入!$C$3:$C$502,MATCH($C14&amp;"|"&amp;DAY($A14),打卡匯入!$E$3:$E$502,0)),"")</f>
        <v/>
      </c>
      <c r="K14" s="87">
        <f>IFERROR(INDEX(打卡匯入!$D$3:$D$502,MATCH($C14&amp;"|"&amp;DAY($A14),打卡匯入!$E$3:$E$502,0)),"")</f>
        <v/>
      </c>
      <c r="L14" s="88">
        <f>IF(OR($J14="",$K14=""),"",IFERROR(INDEX(設定!$F$6:$F$21,MATCH($G14,設定!$B$6:$B$21,0)),0))</f>
        <v/>
      </c>
      <c r="M14" s="89">
        <f>IF(OR($J14="",$K14=""),"",ROUND(($K14-$J14)*24-$L14/60,2))</f>
        <v/>
      </c>
      <c r="N14" s="16">
        <f>IF($C14="","",IF(AND(COUNTIF(設定!$B$15:$B$21,$G14)&gt;0,$J14&lt;&gt;""),"假日出勤",IF(AND(COUNTIF(設定!$B$6:$B$14,$G14)&gt;0,$J14=""),"未打卡",IF($J14="","",IF($O14&gt;0,"遲到",IF($P14&gt;0,"早退","正常"))))))</f>
        <v/>
      </c>
      <c r="O14" s="88">
        <f>IF(OR($C14="",$H14="",$J14=""),0,IF(ROUND(($J14-$H14)*1440,0)&gt;設定!$C$48,ROUND(($J14-$H14)*1440,0),0))</f>
        <v/>
      </c>
      <c r="P14" s="88">
        <f>IF(OR($C14="",$I14="",$K14=""),0,IF(ROUND(($I14-$K14)*1440,0)&gt;設定!$C$48,ROUND(($I14-$K14)*1440,0),0))</f>
        <v/>
      </c>
      <c r="Q14" s="89">
        <f>IF($M14="",0,IF(($M14-IFERROR(INDEX(設定!$G$6:$G$21,MATCH($G14,設定!$B$6:$B$21,0)),0))*60&gt;=設定!$C$46,ROUND(FLOOR(($M14-IFERROR(INDEX(設定!$G$6:$G$21,MATCH($G14,設定!$B$6:$B$21,0)),0))*60,設定!$C$47)/60,2),0))</f>
        <v/>
      </c>
      <c r="R14" s="16">
        <f>IF(OR($C14="",$Q14=0),"",IF($G14="國","國定假日",IF($B14="日","例假",IF($B14="六","休息日","平日"))))</f>
        <v/>
      </c>
      <c r="S14" s="18" t="n"/>
    </row>
    <row r="15">
      <c r="A15" s="86">
        <f>IF(OR(醫護長與管理部班表!$A5="",13&gt;DAY(EOMONTH(DATE(設定!$C$2,設定!$D$2,1),0))),"",DATE(設定!$C$2,設定!$D$2,13))</f>
        <v/>
      </c>
      <c r="B15" s="16">
        <f>IF($A15="","",INDEX(設定!$O$6:$O$12,WEEKDAY($A15,1)))</f>
        <v/>
      </c>
      <c r="C15" s="16">
        <f>IF($A15="","",醫護長與管理部班表!$A5)</f>
        <v/>
      </c>
      <c r="D15" s="16">
        <f>IF($C15="","",醫護長與管理部班表!$B5)</f>
        <v/>
      </c>
      <c r="E15" s="16">
        <f>IF($C15="","",醫護長與管理部班表!$D5)</f>
        <v/>
      </c>
      <c r="F15" s="16">
        <f>IF($C15="","",醫護長與管理部班表!$C5)</f>
        <v/>
      </c>
      <c r="G15" s="16">
        <f>IF($C15="","",醫護長與管理部班表!Q5)</f>
        <v/>
      </c>
      <c r="H15" s="87">
        <f>IF($G15="","",IFERROR(IF(INDEX(設定!$D$6:$D$21,MATCH($G15,設定!$B$6:$B$21,0))=0,"",INDEX(設定!$D$6:$D$21,MATCH($G15,設定!$B$6:$B$21,0))),""))</f>
        <v/>
      </c>
      <c r="I15" s="87">
        <f>IF($G15="","",IFERROR(IF(INDEX(設定!$E$6:$E$21,MATCH($G15,設定!$B$6:$B$21,0))=0,"",INDEX(設定!$E$6:$E$21,MATCH($G15,設定!$B$6:$B$21,0))),""))</f>
        <v/>
      </c>
      <c r="J15" s="87">
        <f>IFERROR(INDEX(打卡匯入!$C$3:$C$502,MATCH($C15&amp;"|"&amp;DAY($A15),打卡匯入!$E$3:$E$502,0)),"")</f>
        <v/>
      </c>
      <c r="K15" s="87">
        <f>IFERROR(INDEX(打卡匯入!$D$3:$D$502,MATCH($C15&amp;"|"&amp;DAY($A15),打卡匯入!$E$3:$E$502,0)),"")</f>
        <v/>
      </c>
      <c r="L15" s="88">
        <f>IF(OR($J15="",$K15=""),"",IFERROR(INDEX(設定!$F$6:$F$21,MATCH($G15,設定!$B$6:$B$21,0)),0))</f>
        <v/>
      </c>
      <c r="M15" s="89">
        <f>IF(OR($J15="",$K15=""),"",ROUND(($K15-$J15)*24-$L15/60,2))</f>
        <v/>
      </c>
      <c r="N15" s="16">
        <f>IF($C15="","",IF(AND(COUNTIF(設定!$B$15:$B$21,$G15)&gt;0,$J15&lt;&gt;""),"假日出勤",IF(AND(COUNTIF(設定!$B$6:$B$14,$G15)&gt;0,$J15=""),"未打卡",IF($J15="","",IF($O15&gt;0,"遲到",IF($P15&gt;0,"早退","正常"))))))</f>
        <v/>
      </c>
      <c r="O15" s="88">
        <f>IF(OR($C15="",$H15="",$J15=""),0,IF(ROUND(($J15-$H15)*1440,0)&gt;設定!$C$48,ROUND(($J15-$H15)*1440,0),0))</f>
        <v/>
      </c>
      <c r="P15" s="88">
        <f>IF(OR($C15="",$I15="",$K15=""),0,IF(ROUND(($I15-$K15)*1440,0)&gt;設定!$C$48,ROUND(($I15-$K15)*1440,0),0))</f>
        <v/>
      </c>
      <c r="Q15" s="89">
        <f>IF($M15="",0,IF(($M15-IFERROR(INDEX(設定!$G$6:$G$21,MATCH($G15,設定!$B$6:$B$21,0)),0))*60&gt;=設定!$C$46,ROUND(FLOOR(($M15-IFERROR(INDEX(設定!$G$6:$G$21,MATCH($G15,設定!$B$6:$B$21,0)),0))*60,設定!$C$47)/60,2),0))</f>
        <v/>
      </c>
      <c r="R15" s="16">
        <f>IF(OR($C15="",$Q15=0),"",IF($G15="國","國定假日",IF($B15="日","例假",IF($B15="六","休息日","平日"))))</f>
        <v/>
      </c>
      <c r="S15" s="18" t="n"/>
    </row>
    <row r="16">
      <c r="A16" s="86">
        <f>IF(OR(醫護長與管理部班表!$A5="",14&gt;DAY(EOMONTH(DATE(設定!$C$2,設定!$D$2,1),0))),"",DATE(設定!$C$2,設定!$D$2,14))</f>
        <v/>
      </c>
      <c r="B16" s="16">
        <f>IF($A16="","",INDEX(設定!$O$6:$O$12,WEEKDAY($A16,1)))</f>
        <v/>
      </c>
      <c r="C16" s="16">
        <f>IF($A16="","",醫護長與管理部班表!$A5)</f>
        <v/>
      </c>
      <c r="D16" s="16">
        <f>IF($C16="","",醫護長與管理部班表!$B5)</f>
        <v/>
      </c>
      <c r="E16" s="16">
        <f>IF($C16="","",醫護長與管理部班表!$D5)</f>
        <v/>
      </c>
      <c r="F16" s="16">
        <f>IF($C16="","",醫護長與管理部班表!$C5)</f>
        <v/>
      </c>
      <c r="G16" s="16">
        <f>IF($C16="","",醫護長與管理部班表!R5)</f>
        <v/>
      </c>
      <c r="H16" s="87">
        <f>IF($G16="","",IFERROR(IF(INDEX(設定!$D$6:$D$21,MATCH($G16,設定!$B$6:$B$21,0))=0,"",INDEX(設定!$D$6:$D$21,MATCH($G16,設定!$B$6:$B$21,0))),""))</f>
        <v/>
      </c>
      <c r="I16" s="87">
        <f>IF($G16="","",IFERROR(IF(INDEX(設定!$E$6:$E$21,MATCH($G16,設定!$B$6:$B$21,0))=0,"",INDEX(設定!$E$6:$E$21,MATCH($G16,設定!$B$6:$B$21,0))),""))</f>
        <v/>
      </c>
      <c r="J16" s="87">
        <f>IFERROR(INDEX(打卡匯入!$C$3:$C$502,MATCH($C16&amp;"|"&amp;DAY($A16),打卡匯入!$E$3:$E$502,0)),"")</f>
        <v/>
      </c>
      <c r="K16" s="87">
        <f>IFERROR(INDEX(打卡匯入!$D$3:$D$502,MATCH($C16&amp;"|"&amp;DAY($A16),打卡匯入!$E$3:$E$502,0)),"")</f>
        <v/>
      </c>
      <c r="L16" s="88">
        <f>IF(OR($J16="",$K16=""),"",IFERROR(INDEX(設定!$F$6:$F$21,MATCH($G16,設定!$B$6:$B$21,0)),0))</f>
        <v/>
      </c>
      <c r="M16" s="89">
        <f>IF(OR($J16="",$K16=""),"",ROUND(($K16-$J16)*24-$L16/60,2))</f>
        <v/>
      </c>
      <c r="N16" s="16">
        <f>IF($C16="","",IF(AND(COUNTIF(設定!$B$15:$B$21,$G16)&gt;0,$J16&lt;&gt;""),"假日出勤",IF(AND(COUNTIF(設定!$B$6:$B$14,$G16)&gt;0,$J16=""),"未打卡",IF($J16="","",IF($O16&gt;0,"遲到",IF($P16&gt;0,"早退","正常"))))))</f>
        <v/>
      </c>
      <c r="O16" s="88">
        <f>IF(OR($C16="",$H16="",$J16=""),0,IF(ROUND(($J16-$H16)*1440,0)&gt;設定!$C$48,ROUND(($J16-$H16)*1440,0),0))</f>
        <v/>
      </c>
      <c r="P16" s="88">
        <f>IF(OR($C16="",$I16="",$K16=""),0,IF(ROUND(($I16-$K16)*1440,0)&gt;設定!$C$48,ROUND(($I16-$K16)*1440,0),0))</f>
        <v/>
      </c>
      <c r="Q16" s="89">
        <f>IF($M16="",0,IF(($M16-IFERROR(INDEX(設定!$G$6:$G$21,MATCH($G16,設定!$B$6:$B$21,0)),0))*60&gt;=設定!$C$46,ROUND(FLOOR(($M16-IFERROR(INDEX(設定!$G$6:$G$21,MATCH($G16,設定!$B$6:$B$21,0)),0))*60,設定!$C$47)/60,2),0))</f>
        <v/>
      </c>
      <c r="R16" s="16">
        <f>IF(OR($C16="",$Q16=0),"",IF($G16="國","國定假日",IF($B16="日","例假",IF($B16="六","休息日","平日"))))</f>
        <v/>
      </c>
      <c r="S16" s="18" t="n"/>
    </row>
    <row r="17">
      <c r="A17" s="86">
        <f>IF(OR(醫護長與管理部班表!$A5="",15&gt;DAY(EOMONTH(DATE(設定!$C$2,設定!$D$2,1),0))),"",DATE(設定!$C$2,設定!$D$2,15))</f>
        <v/>
      </c>
      <c r="B17" s="16">
        <f>IF($A17="","",INDEX(設定!$O$6:$O$12,WEEKDAY($A17,1)))</f>
        <v/>
      </c>
      <c r="C17" s="16">
        <f>IF($A17="","",醫護長與管理部班表!$A5)</f>
        <v/>
      </c>
      <c r="D17" s="16">
        <f>IF($C17="","",醫護長與管理部班表!$B5)</f>
        <v/>
      </c>
      <c r="E17" s="16">
        <f>IF($C17="","",醫護長與管理部班表!$D5)</f>
        <v/>
      </c>
      <c r="F17" s="16">
        <f>IF($C17="","",醫護長與管理部班表!$C5)</f>
        <v/>
      </c>
      <c r="G17" s="16">
        <f>IF($C17="","",醫護長與管理部班表!S5)</f>
        <v/>
      </c>
      <c r="H17" s="87">
        <f>IF($G17="","",IFERROR(IF(INDEX(設定!$D$6:$D$21,MATCH($G17,設定!$B$6:$B$21,0))=0,"",INDEX(設定!$D$6:$D$21,MATCH($G17,設定!$B$6:$B$21,0))),""))</f>
        <v/>
      </c>
      <c r="I17" s="87">
        <f>IF($G17="","",IFERROR(IF(INDEX(設定!$E$6:$E$21,MATCH($G17,設定!$B$6:$B$21,0))=0,"",INDEX(設定!$E$6:$E$21,MATCH($G17,設定!$B$6:$B$21,0))),""))</f>
        <v/>
      </c>
      <c r="J17" s="87">
        <f>IFERROR(INDEX(打卡匯入!$C$3:$C$502,MATCH($C17&amp;"|"&amp;DAY($A17),打卡匯入!$E$3:$E$502,0)),"")</f>
        <v/>
      </c>
      <c r="K17" s="87">
        <f>IFERROR(INDEX(打卡匯入!$D$3:$D$502,MATCH($C17&amp;"|"&amp;DAY($A17),打卡匯入!$E$3:$E$502,0)),"")</f>
        <v/>
      </c>
      <c r="L17" s="88">
        <f>IF(OR($J17="",$K17=""),"",IFERROR(INDEX(設定!$F$6:$F$21,MATCH($G17,設定!$B$6:$B$21,0)),0))</f>
        <v/>
      </c>
      <c r="M17" s="89">
        <f>IF(OR($J17="",$K17=""),"",ROUND(($K17-$J17)*24-$L17/60,2))</f>
        <v/>
      </c>
      <c r="N17" s="16">
        <f>IF($C17="","",IF(AND(COUNTIF(設定!$B$15:$B$21,$G17)&gt;0,$J17&lt;&gt;""),"假日出勤",IF(AND(COUNTIF(設定!$B$6:$B$14,$G17)&gt;0,$J17=""),"未打卡",IF($J17="","",IF($O17&gt;0,"遲到",IF($P17&gt;0,"早退","正常"))))))</f>
        <v/>
      </c>
      <c r="O17" s="88">
        <f>IF(OR($C17="",$H17="",$J17=""),0,IF(ROUND(($J17-$H17)*1440,0)&gt;設定!$C$48,ROUND(($J17-$H17)*1440,0),0))</f>
        <v/>
      </c>
      <c r="P17" s="88">
        <f>IF(OR($C17="",$I17="",$K17=""),0,IF(ROUND(($I17-$K17)*1440,0)&gt;設定!$C$48,ROUND(($I17-$K17)*1440,0),0))</f>
        <v/>
      </c>
      <c r="Q17" s="89">
        <f>IF($M17="",0,IF(($M17-IFERROR(INDEX(設定!$G$6:$G$21,MATCH($G17,設定!$B$6:$B$21,0)),0))*60&gt;=設定!$C$46,ROUND(FLOOR(($M17-IFERROR(INDEX(設定!$G$6:$G$21,MATCH($G17,設定!$B$6:$B$21,0)),0))*60,設定!$C$47)/60,2),0))</f>
        <v/>
      </c>
      <c r="R17" s="16">
        <f>IF(OR($C17="",$Q17=0),"",IF($G17="國","國定假日",IF($B17="日","例假",IF($B17="六","休息日","平日"))))</f>
        <v/>
      </c>
      <c r="S17" s="18" t="n"/>
    </row>
    <row r="18">
      <c r="A18" s="86">
        <f>IF(OR(醫護長與管理部班表!$A5="",16&gt;DAY(EOMONTH(DATE(設定!$C$2,設定!$D$2,1),0))),"",DATE(設定!$C$2,設定!$D$2,16))</f>
        <v/>
      </c>
      <c r="B18" s="16">
        <f>IF($A18="","",INDEX(設定!$O$6:$O$12,WEEKDAY($A18,1)))</f>
        <v/>
      </c>
      <c r="C18" s="16">
        <f>IF($A18="","",醫護長與管理部班表!$A5)</f>
        <v/>
      </c>
      <c r="D18" s="16">
        <f>IF($C18="","",醫護長與管理部班表!$B5)</f>
        <v/>
      </c>
      <c r="E18" s="16">
        <f>IF($C18="","",醫護長與管理部班表!$D5)</f>
        <v/>
      </c>
      <c r="F18" s="16">
        <f>IF($C18="","",醫護長與管理部班表!$C5)</f>
        <v/>
      </c>
      <c r="G18" s="16">
        <f>IF($C18="","",醫護長與管理部班表!T5)</f>
        <v/>
      </c>
      <c r="H18" s="87">
        <f>IF($G18="","",IFERROR(IF(INDEX(設定!$D$6:$D$21,MATCH($G18,設定!$B$6:$B$21,0))=0,"",INDEX(設定!$D$6:$D$21,MATCH($G18,設定!$B$6:$B$21,0))),""))</f>
        <v/>
      </c>
      <c r="I18" s="87">
        <f>IF($G18="","",IFERROR(IF(INDEX(設定!$E$6:$E$21,MATCH($G18,設定!$B$6:$B$21,0))=0,"",INDEX(設定!$E$6:$E$21,MATCH($G18,設定!$B$6:$B$21,0))),""))</f>
        <v/>
      </c>
      <c r="J18" s="87">
        <f>IFERROR(INDEX(打卡匯入!$C$3:$C$502,MATCH($C18&amp;"|"&amp;DAY($A18),打卡匯入!$E$3:$E$502,0)),"")</f>
        <v/>
      </c>
      <c r="K18" s="87">
        <f>IFERROR(INDEX(打卡匯入!$D$3:$D$502,MATCH($C18&amp;"|"&amp;DAY($A18),打卡匯入!$E$3:$E$502,0)),"")</f>
        <v/>
      </c>
      <c r="L18" s="88">
        <f>IF(OR($J18="",$K18=""),"",IFERROR(INDEX(設定!$F$6:$F$21,MATCH($G18,設定!$B$6:$B$21,0)),0))</f>
        <v/>
      </c>
      <c r="M18" s="89">
        <f>IF(OR($J18="",$K18=""),"",ROUND(($K18-$J18)*24-$L18/60,2))</f>
        <v/>
      </c>
      <c r="N18" s="16">
        <f>IF($C18="","",IF(AND(COUNTIF(設定!$B$15:$B$21,$G18)&gt;0,$J18&lt;&gt;""),"假日出勤",IF(AND(COUNTIF(設定!$B$6:$B$14,$G18)&gt;0,$J18=""),"未打卡",IF($J18="","",IF($O18&gt;0,"遲到",IF($P18&gt;0,"早退","正常"))))))</f>
        <v/>
      </c>
      <c r="O18" s="88">
        <f>IF(OR($C18="",$H18="",$J18=""),0,IF(ROUND(($J18-$H18)*1440,0)&gt;設定!$C$48,ROUND(($J18-$H18)*1440,0),0))</f>
        <v/>
      </c>
      <c r="P18" s="88">
        <f>IF(OR($C18="",$I18="",$K18=""),0,IF(ROUND(($I18-$K18)*1440,0)&gt;設定!$C$48,ROUND(($I18-$K18)*1440,0),0))</f>
        <v/>
      </c>
      <c r="Q18" s="89">
        <f>IF($M18="",0,IF(($M18-IFERROR(INDEX(設定!$G$6:$G$21,MATCH($G18,設定!$B$6:$B$21,0)),0))*60&gt;=設定!$C$46,ROUND(FLOOR(($M18-IFERROR(INDEX(設定!$G$6:$G$21,MATCH($G18,設定!$B$6:$B$21,0)),0))*60,設定!$C$47)/60,2),0))</f>
        <v/>
      </c>
      <c r="R18" s="16">
        <f>IF(OR($C18="",$Q18=0),"",IF($G18="國","國定假日",IF($B18="日","例假",IF($B18="六","休息日","平日"))))</f>
        <v/>
      </c>
      <c r="S18" s="18" t="n"/>
    </row>
    <row r="19">
      <c r="A19" s="86">
        <f>IF(OR(醫護長與管理部班表!$A5="",17&gt;DAY(EOMONTH(DATE(設定!$C$2,設定!$D$2,1),0))),"",DATE(設定!$C$2,設定!$D$2,17))</f>
        <v/>
      </c>
      <c r="B19" s="16">
        <f>IF($A19="","",INDEX(設定!$O$6:$O$12,WEEKDAY($A19,1)))</f>
        <v/>
      </c>
      <c r="C19" s="16">
        <f>IF($A19="","",醫護長與管理部班表!$A5)</f>
        <v/>
      </c>
      <c r="D19" s="16">
        <f>IF($C19="","",醫護長與管理部班表!$B5)</f>
        <v/>
      </c>
      <c r="E19" s="16">
        <f>IF($C19="","",醫護長與管理部班表!$D5)</f>
        <v/>
      </c>
      <c r="F19" s="16">
        <f>IF($C19="","",醫護長與管理部班表!$C5)</f>
        <v/>
      </c>
      <c r="G19" s="16">
        <f>IF($C19="","",醫護長與管理部班表!U5)</f>
        <v/>
      </c>
      <c r="H19" s="87">
        <f>IF($G19="","",IFERROR(IF(INDEX(設定!$D$6:$D$21,MATCH($G19,設定!$B$6:$B$21,0))=0,"",INDEX(設定!$D$6:$D$21,MATCH($G19,設定!$B$6:$B$21,0))),""))</f>
        <v/>
      </c>
      <c r="I19" s="87">
        <f>IF($G19="","",IFERROR(IF(INDEX(設定!$E$6:$E$21,MATCH($G19,設定!$B$6:$B$21,0))=0,"",INDEX(設定!$E$6:$E$21,MATCH($G19,設定!$B$6:$B$21,0))),""))</f>
        <v/>
      </c>
      <c r="J19" s="87">
        <f>IFERROR(INDEX(打卡匯入!$C$3:$C$502,MATCH($C19&amp;"|"&amp;DAY($A19),打卡匯入!$E$3:$E$502,0)),"")</f>
        <v/>
      </c>
      <c r="K19" s="87">
        <f>IFERROR(INDEX(打卡匯入!$D$3:$D$502,MATCH($C19&amp;"|"&amp;DAY($A19),打卡匯入!$E$3:$E$502,0)),"")</f>
        <v/>
      </c>
      <c r="L19" s="88">
        <f>IF(OR($J19="",$K19=""),"",IFERROR(INDEX(設定!$F$6:$F$21,MATCH($G19,設定!$B$6:$B$21,0)),0))</f>
        <v/>
      </c>
      <c r="M19" s="89">
        <f>IF(OR($J19="",$K19=""),"",ROUND(($K19-$J19)*24-$L19/60,2))</f>
        <v/>
      </c>
      <c r="N19" s="16">
        <f>IF($C19="","",IF(AND(COUNTIF(設定!$B$15:$B$21,$G19)&gt;0,$J19&lt;&gt;""),"假日出勤",IF(AND(COUNTIF(設定!$B$6:$B$14,$G19)&gt;0,$J19=""),"未打卡",IF($J19="","",IF($O19&gt;0,"遲到",IF($P19&gt;0,"早退","正常"))))))</f>
        <v/>
      </c>
      <c r="O19" s="88">
        <f>IF(OR($C19="",$H19="",$J19=""),0,IF(ROUND(($J19-$H19)*1440,0)&gt;設定!$C$48,ROUND(($J19-$H19)*1440,0),0))</f>
        <v/>
      </c>
      <c r="P19" s="88">
        <f>IF(OR($C19="",$I19="",$K19=""),0,IF(ROUND(($I19-$K19)*1440,0)&gt;設定!$C$48,ROUND(($I19-$K19)*1440,0),0))</f>
        <v/>
      </c>
      <c r="Q19" s="89">
        <f>IF($M19="",0,IF(($M19-IFERROR(INDEX(設定!$G$6:$G$21,MATCH($G19,設定!$B$6:$B$21,0)),0))*60&gt;=設定!$C$46,ROUND(FLOOR(($M19-IFERROR(INDEX(設定!$G$6:$G$21,MATCH($G19,設定!$B$6:$B$21,0)),0))*60,設定!$C$47)/60,2),0))</f>
        <v/>
      </c>
      <c r="R19" s="16">
        <f>IF(OR($C19="",$Q19=0),"",IF($G19="國","國定假日",IF($B19="日","例假",IF($B19="六","休息日","平日"))))</f>
        <v/>
      </c>
      <c r="S19" s="18" t="n"/>
    </row>
    <row r="20">
      <c r="A20" s="86">
        <f>IF(OR(醫護長與管理部班表!$A5="",18&gt;DAY(EOMONTH(DATE(設定!$C$2,設定!$D$2,1),0))),"",DATE(設定!$C$2,設定!$D$2,18))</f>
        <v/>
      </c>
      <c r="B20" s="16">
        <f>IF($A20="","",INDEX(設定!$O$6:$O$12,WEEKDAY($A20,1)))</f>
        <v/>
      </c>
      <c r="C20" s="16">
        <f>IF($A20="","",醫護長與管理部班表!$A5)</f>
        <v/>
      </c>
      <c r="D20" s="16">
        <f>IF($C20="","",醫護長與管理部班表!$B5)</f>
        <v/>
      </c>
      <c r="E20" s="16">
        <f>IF($C20="","",醫護長與管理部班表!$D5)</f>
        <v/>
      </c>
      <c r="F20" s="16">
        <f>IF($C20="","",醫護長與管理部班表!$C5)</f>
        <v/>
      </c>
      <c r="G20" s="16">
        <f>IF($C20="","",醫護長與管理部班表!V5)</f>
        <v/>
      </c>
      <c r="H20" s="87">
        <f>IF($G20="","",IFERROR(IF(INDEX(設定!$D$6:$D$21,MATCH($G20,設定!$B$6:$B$21,0))=0,"",INDEX(設定!$D$6:$D$21,MATCH($G20,設定!$B$6:$B$21,0))),""))</f>
        <v/>
      </c>
      <c r="I20" s="87">
        <f>IF($G20="","",IFERROR(IF(INDEX(設定!$E$6:$E$21,MATCH($G20,設定!$B$6:$B$21,0))=0,"",INDEX(設定!$E$6:$E$21,MATCH($G20,設定!$B$6:$B$21,0))),""))</f>
        <v/>
      </c>
      <c r="J20" s="87">
        <f>IFERROR(INDEX(打卡匯入!$C$3:$C$502,MATCH($C20&amp;"|"&amp;DAY($A20),打卡匯入!$E$3:$E$502,0)),"")</f>
        <v/>
      </c>
      <c r="K20" s="87">
        <f>IFERROR(INDEX(打卡匯入!$D$3:$D$502,MATCH($C20&amp;"|"&amp;DAY($A20),打卡匯入!$E$3:$E$502,0)),"")</f>
        <v/>
      </c>
      <c r="L20" s="88">
        <f>IF(OR($J20="",$K20=""),"",IFERROR(INDEX(設定!$F$6:$F$21,MATCH($G20,設定!$B$6:$B$21,0)),0))</f>
        <v/>
      </c>
      <c r="M20" s="89">
        <f>IF(OR($J20="",$K20=""),"",ROUND(($K20-$J20)*24-$L20/60,2))</f>
        <v/>
      </c>
      <c r="N20" s="16">
        <f>IF($C20="","",IF(AND(COUNTIF(設定!$B$15:$B$21,$G20)&gt;0,$J20&lt;&gt;""),"假日出勤",IF(AND(COUNTIF(設定!$B$6:$B$14,$G20)&gt;0,$J20=""),"未打卡",IF($J20="","",IF($O20&gt;0,"遲到",IF($P20&gt;0,"早退","正常"))))))</f>
        <v/>
      </c>
      <c r="O20" s="88">
        <f>IF(OR($C20="",$H20="",$J20=""),0,IF(ROUND(($J20-$H20)*1440,0)&gt;設定!$C$48,ROUND(($J20-$H20)*1440,0),0))</f>
        <v/>
      </c>
      <c r="P20" s="88">
        <f>IF(OR($C20="",$I20="",$K20=""),0,IF(ROUND(($I20-$K20)*1440,0)&gt;設定!$C$48,ROUND(($I20-$K20)*1440,0),0))</f>
        <v/>
      </c>
      <c r="Q20" s="89">
        <f>IF($M20="",0,IF(($M20-IFERROR(INDEX(設定!$G$6:$G$21,MATCH($G20,設定!$B$6:$B$21,0)),0))*60&gt;=設定!$C$46,ROUND(FLOOR(($M20-IFERROR(INDEX(設定!$G$6:$G$21,MATCH($G20,設定!$B$6:$B$21,0)),0))*60,設定!$C$47)/60,2),0))</f>
        <v/>
      </c>
      <c r="R20" s="16">
        <f>IF(OR($C20="",$Q20=0),"",IF($G20="國","國定假日",IF($B20="日","例假",IF($B20="六","休息日","平日"))))</f>
        <v/>
      </c>
      <c r="S20" s="18" t="n"/>
    </row>
    <row r="21">
      <c r="A21" s="86">
        <f>IF(OR(醫護長與管理部班表!$A5="",19&gt;DAY(EOMONTH(DATE(設定!$C$2,設定!$D$2,1),0))),"",DATE(設定!$C$2,設定!$D$2,19))</f>
        <v/>
      </c>
      <c r="B21" s="16">
        <f>IF($A21="","",INDEX(設定!$O$6:$O$12,WEEKDAY($A21,1)))</f>
        <v/>
      </c>
      <c r="C21" s="16">
        <f>IF($A21="","",醫護長與管理部班表!$A5)</f>
        <v/>
      </c>
      <c r="D21" s="16">
        <f>IF($C21="","",醫護長與管理部班表!$B5)</f>
        <v/>
      </c>
      <c r="E21" s="16">
        <f>IF($C21="","",醫護長與管理部班表!$D5)</f>
        <v/>
      </c>
      <c r="F21" s="16">
        <f>IF($C21="","",醫護長與管理部班表!$C5)</f>
        <v/>
      </c>
      <c r="G21" s="16">
        <f>IF($C21="","",醫護長與管理部班表!W5)</f>
        <v/>
      </c>
      <c r="H21" s="87">
        <f>IF($G21="","",IFERROR(IF(INDEX(設定!$D$6:$D$21,MATCH($G21,設定!$B$6:$B$21,0))=0,"",INDEX(設定!$D$6:$D$21,MATCH($G21,設定!$B$6:$B$21,0))),""))</f>
        <v/>
      </c>
      <c r="I21" s="87">
        <f>IF($G21="","",IFERROR(IF(INDEX(設定!$E$6:$E$21,MATCH($G21,設定!$B$6:$B$21,0))=0,"",INDEX(設定!$E$6:$E$21,MATCH($G21,設定!$B$6:$B$21,0))),""))</f>
        <v/>
      </c>
      <c r="J21" s="87">
        <f>IFERROR(INDEX(打卡匯入!$C$3:$C$502,MATCH($C21&amp;"|"&amp;DAY($A21),打卡匯入!$E$3:$E$502,0)),"")</f>
        <v/>
      </c>
      <c r="K21" s="87">
        <f>IFERROR(INDEX(打卡匯入!$D$3:$D$502,MATCH($C21&amp;"|"&amp;DAY($A21),打卡匯入!$E$3:$E$502,0)),"")</f>
        <v/>
      </c>
      <c r="L21" s="88">
        <f>IF(OR($J21="",$K21=""),"",IFERROR(INDEX(設定!$F$6:$F$21,MATCH($G21,設定!$B$6:$B$21,0)),0))</f>
        <v/>
      </c>
      <c r="M21" s="89">
        <f>IF(OR($J21="",$K21=""),"",ROUND(($K21-$J21)*24-$L21/60,2))</f>
        <v/>
      </c>
      <c r="N21" s="16">
        <f>IF($C21="","",IF(AND(COUNTIF(設定!$B$15:$B$21,$G21)&gt;0,$J21&lt;&gt;""),"假日出勤",IF(AND(COUNTIF(設定!$B$6:$B$14,$G21)&gt;0,$J21=""),"未打卡",IF($J21="","",IF($O21&gt;0,"遲到",IF($P21&gt;0,"早退","正常"))))))</f>
        <v/>
      </c>
      <c r="O21" s="88">
        <f>IF(OR($C21="",$H21="",$J21=""),0,IF(ROUND(($J21-$H21)*1440,0)&gt;設定!$C$48,ROUND(($J21-$H21)*1440,0),0))</f>
        <v/>
      </c>
      <c r="P21" s="88">
        <f>IF(OR($C21="",$I21="",$K21=""),0,IF(ROUND(($I21-$K21)*1440,0)&gt;設定!$C$48,ROUND(($I21-$K21)*1440,0),0))</f>
        <v/>
      </c>
      <c r="Q21" s="89">
        <f>IF($M21="",0,IF(($M21-IFERROR(INDEX(設定!$G$6:$G$21,MATCH($G21,設定!$B$6:$B$21,0)),0))*60&gt;=設定!$C$46,ROUND(FLOOR(($M21-IFERROR(INDEX(設定!$G$6:$G$21,MATCH($G21,設定!$B$6:$B$21,0)),0))*60,設定!$C$47)/60,2),0))</f>
        <v/>
      </c>
      <c r="R21" s="16">
        <f>IF(OR($C21="",$Q21=0),"",IF($G21="國","國定假日",IF($B21="日","例假",IF($B21="六","休息日","平日"))))</f>
        <v/>
      </c>
      <c r="S21" s="18" t="n"/>
    </row>
    <row r="22">
      <c r="A22" s="86">
        <f>IF(OR(醫護長與管理部班表!$A5="",20&gt;DAY(EOMONTH(DATE(設定!$C$2,設定!$D$2,1),0))),"",DATE(設定!$C$2,設定!$D$2,20))</f>
        <v/>
      </c>
      <c r="B22" s="16">
        <f>IF($A22="","",INDEX(設定!$O$6:$O$12,WEEKDAY($A22,1)))</f>
        <v/>
      </c>
      <c r="C22" s="16">
        <f>IF($A22="","",醫護長與管理部班表!$A5)</f>
        <v/>
      </c>
      <c r="D22" s="16">
        <f>IF($C22="","",醫護長與管理部班表!$B5)</f>
        <v/>
      </c>
      <c r="E22" s="16">
        <f>IF($C22="","",醫護長與管理部班表!$D5)</f>
        <v/>
      </c>
      <c r="F22" s="16">
        <f>IF($C22="","",醫護長與管理部班表!$C5)</f>
        <v/>
      </c>
      <c r="G22" s="16">
        <f>IF($C22="","",醫護長與管理部班表!X5)</f>
        <v/>
      </c>
      <c r="H22" s="87">
        <f>IF($G22="","",IFERROR(IF(INDEX(設定!$D$6:$D$21,MATCH($G22,設定!$B$6:$B$21,0))=0,"",INDEX(設定!$D$6:$D$21,MATCH($G22,設定!$B$6:$B$21,0))),""))</f>
        <v/>
      </c>
      <c r="I22" s="87">
        <f>IF($G22="","",IFERROR(IF(INDEX(設定!$E$6:$E$21,MATCH($G22,設定!$B$6:$B$21,0))=0,"",INDEX(設定!$E$6:$E$21,MATCH($G22,設定!$B$6:$B$21,0))),""))</f>
        <v/>
      </c>
      <c r="J22" s="87">
        <f>IFERROR(INDEX(打卡匯入!$C$3:$C$502,MATCH($C22&amp;"|"&amp;DAY($A22),打卡匯入!$E$3:$E$502,0)),"")</f>
        <v/>
      </c>
      <c r="K22" s="87">
        <f>IFERROR(INDEX(打卡匯入!$D$3:$D$502,MATCH($C22&amp;"|"&amp;DAY($A22),打卡匯入!$E$3:$E$502,0)),"")</f>
        <v/>
      </c>
      <c r="L22" s="88">
        <f>IF(OR($J22="",$K22=""),"",IFERROR(INDEX(設定!$F$6:$F$21,MATCH($G22,設定!$B$6:$B$21,0)),0))</f>
        <v/>
      </c>
      <c r="M22" s="89">
        <f>IF(OR($J22="",$K22=""),"",ROUND(($K22-$J22)*24-$L22/60,2))</f>
        <v/>
      </c>
      <c r="N22" s="16">
        <f>IF($C22="","",IF(AND(COUNTIF(設定!$B$15:$B$21,$G22)&gt;0,$J22&lt;&gt;""),"假日出勤",IF(AND(COUNTIF(設定!$B$6:$B$14,$G22)&gt;0,$J22=""),"未打卡",IF($J22="","",IF($O22&gt;0,"遲到",IF($P22&gt;0,"早退","正常"))))))</f>
        <v/>
      </c>
      <c r="O22" s="88">
        <f>IF(OR($C22="",$H22="",$J22=""),0,IF(ROUND(($J22-$H22)*1440,0)&gt;設定!$C$48,ROUND(($J22-$H22)*1440,0),0))</f>
        <v/>
      </c>
      <c r="P22" s="88">
        <f>IF(OR($C22="",$I22="",$K22=""),0,IF(ROUND(($I22-$K22)*1440,0)&gt;設定!$C$48,ROUND(($I22-$K22)*1440,0),0))</f>
        <v/>
      </c>
      <c r="Q22" s="89">
        <f>IF($M22="",0,IF(($M22-IFERROR(INDEX(設定!$G$6:$G$21,MATCH($G22,設定!$B$6:$B$21,0)),0))*60&gt;=設定!$C$46,ROUND(FLOOR(($M22-IFERROR(INDEX(設定!$G$6:$G$21,MATCH($G22,設定!$B$6:$B$21,0)),0))*60,設定!$C$47)/60,2),0))</f>
        <v/>
      </c>
      <c r="R22" s="16">
        <f>IF(OR($C22="",$Q22=0),"",IF($G22="國","國定假日",IF($B22="日","例假",IF($B22="六","休息日","平日"))))</f>
        <v/>
      </c>
      <c r="S22" s="18" t="n"/>
    </row>
    <row r="23">
      <c r="A23" s="86">
        <f>IF(OR(醫護長與管理部班表!$A5="",21&gt;DAY(EOMONTH(DATE(設定!$C$2,設定!$D$2,1),0))),"",DATE(設定!$C$2,設定!$D$2,21))</f>
        <v/>
      </c>
      <c r="B23" s="16">
        <f>IF($A23="","",INDEX(設定!$O$6:$O$12,WEEKDAY($A23,1)))</f>
        <v/>
      </c>
      <c r="C23" s="16">
        <f>IF($A23="","",醫護長與管理部班表!$A5)</f>
        <v/>
      </c>
      <c r="D23" s="16">
        <f>IF($C23="","",醫護長與管理部班表!$B5)</f>
        <v/>
      </c>
      <c r="E23" s="16">
        <f>IF($C23="","",醫護長與管理部班表!$D5)</f>
        <v/>
      </c>
      <c r="F23" s="16">
        <f>IF($C23="","",醫護長與管理部班表!$C5)</f>
        <v/>
      </c>
      <c r="G23" s="16">
        <f>IF($C23="","",醫護長與管理部班表!Y5)</f>
        <v/>
      </c>
      <c r="H23" s="87">
        <f>IF($G23="","",IFERROR(IF(INDEX(設定!$D$6:$D$21,MATCH($G23,設定!$B$6:$B$21,0))=0,"",INDEX(設定!$D$6:$D$21,MATCH($G23,設定!$B$6:$B$21,0))),""))</f>
        <v/>
      </c>
      <c r="I23" s="87">
        <f>IF($G23="","",IFERROR(IF(INDEX(設定!$E$6:$E$21,MATCH($G23,設定!$B$6:$B$21,0))=0,"",INDEX(設定!$E$6:$E$21,MATCH($G23,設定!$B$6:$B$21,0))),""))</f>
        <v/>
      </c>
      <c r="J23" s="87">
        <f>IFERROR(INDEX(打卡匯入!$C$3:$C$502,MATCH($C23&amp;"|"&amp;DAY($A23),打卡匯入!$E$3:$E$502,0)),"")</f>
        <v/>
      </c>
      <c r="K23" s="87">
        <f>IFERROR(INDEX(打卡匯入!$D$3:$D$502,MATCH($C23&amp;"|"&amp;DAY($A23),打卡匯入!$E$3:$E$502,0)),"")</f>
        <v/>
      </c>
      <c r="L23" s="88">
        <f>IF(OR($J23="",$K23=""),"",IFERROR(INDEX(設定!$F$6:$F$21,MATCH($G23,設定!$B$6:$B$21,0)),0))</f>
        <v/>
      </c>
      <c r="M23" s="89">
        <f>IF(OR($J23="",$K23=""),"",ROUND(($K23-$J23)*24-$L23/60,2))</f>
        <v/>
      </c>
      <c r="N23" s="16">
        <f>IF($C23="","",IF(AND(COUNTIF(設定!$B$15:$B$21,$G23)&gt;0,$J23&lt;&gt;""),"假日出勤",IF(AND(COUNTIF(設定!$B$6:$B$14,$G23)&gt;0,$J23=""),"未打卡",IF($J23="","",IF($O23&gt;0,"遲到",IF($P23&gt;0,"早退","正常"))))))</f>
        <v/>
      </c>
      <c r="O23" s="88">
        <f>IF(OR($C23="",$H23="",$J23=""),0,IF(ROUND(($J23-$H23)*1440,0)&gt;設定!$C$48,ROUND(($J23-$H23)*1440,0),0))</f>
        <v/>
      </c>
      <c r="P23" s="88">
        <f>IF(OR($C23="",$I23="",$K23=""),0,IF(ROUND(($I23-$K23)*1440,0)&gt;設定!$C$48,ROUND(($I23-$K23)*1440,0),0))</f>
        <v/>
      </c>
      <c r="Q23" s="89">
        <f>IF($M23="",0,IF(($M23-IFERROR(INDEX(設定!$G$6:$G$21,MATCH($G23,設定!$B$6:$B$21,0)),0))*60&gt;=設定!$C$46,ROUND(FLOOR(($M23-IFERROR(INDEX(設定!$G$6:$G$21,MATCH($G23,設定!$B$6:$B$21,0)),0))*60,設定!$C$47)/60,2),0))</f>
        <v/>
      </c>
      <c r="R23" s="16">
        <f>IF(OR($C23="",$Q23=0),"",IF($G23="國","國定假日",IF($B23="日","例假",IF($B23="六","休息日","平日"))))</f>
        <v/>
      </c>
      <c r="S23" s="18" t="n"/>
    </row>
    <row r="24">
      <c r="A24" s="86">
        <f>IF(OR(醫護長與管理部班表!$A5="",22&gt;DAY(EOMONTH(DATE(設定!$C$2,設定!$D$2,1),0))),"",DATE(設定!$C$2,設定!$D$2,22))</f>
        <v/>
      </c>
      <c r="B24" s="16">
        <f>IF($A24="","",INDEX(設定!$O$6:$O$12,WEEKDAY($A24,1)))</f>
        <v/>
      </c>
      <c r="C24" s="16">
        <f>IF($A24="","",醫護長與管理部班表!$A5)</f>
        <v/>
      </c>
      <c r="D24" s="16">
        <f>IF($C24="","",醫護長與管理部班表!$B5)</f>
        <v/>
      </c>
      <c r="E24" s="16">
        <f>IF($C24="","",醫護長與管理部班表!$D5)</f>
        <v/>
      </c>
      <c r="F24" s="16">
        <f>IF($C24="","",醫護長與管理部班表!$C5)</f>
        <v/>
      </c>
      <c r="G24" s="16">
        <f>IF($C24="","",醫護長與管理部班表!Z5)</f>
        <v/>
      </c>
      <c r="H24" s="87">
        <f>IF($G24="","",IFERROR(IF(INDEX(設定!$D$6:$D$21,MATCH($G24,設定!$B$6:$B$21,0))=0,"",INDEX(設定!$D$6:$D$21,MATCH($G24,設定!$B$6:$B$21,0))),""))</f>
        <v/>
      </c>
      <c r="I24" s="87">
        <f>IF($G24="","",IFERROR(IF(INDEX(設定!$E$6:$E$21,MATCH($G24,設定!$B$6:$B$21,0))=0,"",INDEX(設定!$E$6:$E$21,MATCH($G24,設定!$B$6:$B$21,0))),""))</f>
        <v/>
      </c>
      <c r="J24" s="87">
        <f>IFERROR(INDEX(打卡匯入!$C$3:$C$502,MATCH($C24&amp;"|"&amp;DAY($A24),打卡匯入!$E$3:$E$502,0)),"")</f>
        <v/>
      </c>
      <c r="K24" s="87">
        <f>IFERROR(INDEX(打卡匯入!$D$3:$D$502,MATCH($C24&amp;"|"&amp;DAY($A24),打卡匯入!$E$3:$E$502,0)),"")</f>
        <v/>
      </c>
      <c r="L24" s="88">
        <f>IF(OR($J24="",$K24=""),"",IFERROR(INDEX(設定!$F$6:$F$21,MATCH($G24,設定!$B$6:$B$21,0)),0))</f>
        <v/>
      </c>
      <c r="M24" s="89">
        <f>IF(OR($J24="",$K24=""),"",ROUND(($K24-$J24)*24-$L24/60,2))</f>
        <v/>
      </c>
      <c r="N24" s="16">
        <f>IF($C24="","",IF(AND(COUNTIF(設定!$B$15:$B$21,$G24)&gt;0,$J24&lt;&gt;""),"假日出勤",IF(AND(COUNTIF(設定!$B$6:$B$14,$G24)&gt;0,$J24=""),"未打卡",IF($J24="","",IF($O24&gt;0,"遲到",IF($P24&gt;0,"早退","正常"))))))</f>
        <v/>
      </c>
      <c r="O24" s="88">
        <f>IF(OR($C24="",$H24="",$J24=""),0,IF(ROUND(($J24-$H24)*1440,0)&gt;設定!$C$48,ROUND(($J24-$H24)*1440,0),0))</f>
        <v/>
      </c>
      <c r="P24" s="88">
        <f>IF(OR($C24="",$I24="",$K24=""),0,IF(ROUND(($I24-$K24)*1440,0)&gt;設定!$C$48,ROUND(($I24-$K24)*1440,0),0))</f>
        <v/>
      </c>
      <c r="Q24" s="89">
        <f>IF($M24="",0,IF(($M24-IFERROR(INDEX(設定!$G$6:$G$21,MATCH($G24,設定!$B$6:$B$21,0)),0))*60&gt;=設定!$C$46,ROUND(FLOOR(($M24-IFERROR(INDEX(設定!$G$6:$G$21,MATCH($G24,設定!$B$6:$B$21,0)),0))*60,設定!$C$47)/60,2),0))</f>
        <v/>
      </c>
      <c r="R24" s="16">
        <f>IF(OR($C24="",$Q24=0),"",IF($G24="國","國定假日",IF($B24="日","例假",IF($B24="六","休息日","平日"))))</f>
        <v/>
      </c>
      <c r="S24" s="18" t="n"/>
    </row>
    <row r="25">
      <c r="A25" s="86">
        <f>IF(OR(醫護長與管理部班表!$A5="",23&gt;DAY(EOMONTH(DATE(設定!$C$2,設定!$D$2,1),0))),"",DATE(設定!$C$2,設定!$D$2,23))</f>
        <v/>
      </c>
      <c r="B25" s="16">
        <f>IF($A25="","",INDEX(設定!$O$6:$O$12,WEEKDAY($A25,1)))</f>
        <v/>
      </c>
      <c r="C25" s="16">
        <f>IF($A25="","",醫護長與管理部班表!$A5)</f>
        <v/>
      </c>
      <c r="D25" s="16">
        <f>IF($C25="","",醫護長與管理部班表!$B5)</f>
        <v/>
      </c>
      <c r="E25" s="16">
        <f>IF($C25="","",醫護長與管理部班表!$D5)</f>
        <v/>
      </c>
      <c r="F25" s="16">
        <f>IF($C25="","",醫護長與管理部班表!$C5)</f>
        <v/>
      </c>
      <c r="G25" s="16">
        <f>IF($C25="","",醫護長與管理部班表!AA5)</f>
        <v/>
      </c>
      <c r="H25" s="87">
        <f>IF($G25="","",IFERROR(IF(INDEX(設定!$D$6:$D$21,MATCH($G25,設定!$B$6:$B$21,0))=0,"",INDEX(設定!$D$6:$D$21,MATCH($G25,設定!$B$6:$B$21,0))),""))</f>
        <v/>
      </c>
      <c r="I25" s="87">
        <f>IF($G25="","",IFERROR(IF(INDEX(設定!$E$6:$E$21,MATCH($G25,設定!$B$6:$B$21,0))=0,"",INDEX(設定!$E$6:$E$21,MATCH($G25,設定!$B$6:$B$21,0))),""))</f>
        <v/>
      </c>
      <c r="J25" s="87">
        <f>IFERROR(INDEX(打卡匯入!$C$3:$C$502,MATCH($C25&amp;"|"&amp;DAY($A25),打卡匯入!$E$3:$E$502,0)),"")</f>
        <v/>
      </c>
      <c r="K25" s="87">
        <f>IFERROR(INDEX(打卡匯入!$D$3:$D$502,MATCH($C25&amp;"|"&amp;DAY($A25),打卡匯入!$E$3:$E$502,0)),"")</f>
        <v/>
      </c>
      <c r="L25" s="88">
        <f>IF(OR($J25="",$K25=""),"",IFERROR(INDEX(設定!$F$6:$F$21,MATCH($G25,設定!$B$6:$B$21,0)),0))</f>
        <v/>
      </c>
      <c r="M25" s="89">
        <f>IF(OR($J25="",$K25=""),"",ROUND(($K25-$J25)*24-$L25/60,2))</f>
        <v/>
      </c>
      <c r="N25" s="16">
        <f>IF($C25="","",IF(AND(COUNTIF(設定!$B$15:$B$21,$G25)&gt;0,$J25&lt;&gt;""),"假日出勤",IF(AND(COUNTIF(設定!$B$6:$B$14,$G25)&gt;0,$J25=""),"未打卡",IF($J25="","",IF($O25&gt;0,"遲到",IF($P25&gt;0,"早退","正常"))))))</f>
        <v/>
      </c>
      <c r="O25" s="88">
        <f>IF(OR($C25="",$H25="",$J25=""),0,IF(ROUND(($J25-$H25)*1440,0)&gt;設定!$C$48,ROUND(($J25-$H25)*1440,0),0))</f>
        <v/>
      </c>
      <c r="P25" s="88">
        <f>IF(OR($C25="",$I25="",$K25=""),0,IF(ROUND(($I25-$K25)*1440,0)&gt;設定!$C$48,ROUND(($I25-$K25)*1440,0),0))</f>
        <v/>
      </c>
      <c r="Q25" s="89">
        <f>IF($M25="",0,IF(($M25-IFERROR(INDEX(設定!$G$6:$G$21,MATCH($G25,設定!$B$6:$B$21,0)),0))*60&gt;=設定!$C$46,ROUND(FLOOR(($M25-IFERROR(INDEX(設定!$G$6:$G$21,MATCH($G25,設定!$B$6:$B$21,0)),0))*60,設定!$C$47)/60,2),0))</f>
        <v/>
      </c>
      <c r="R25" s="16">
        <f>IF(OR($C25="",$Q25=0),"",IF($G25="國","國定假日",IF($B25="日","例假",IF($B25="六","休息日","平日"))))</f>
        <v/>
      </c>
      <c r="S25" s="18" t="n"/>
    </row>
    <row r="26">
      <c r="A26" s="86">
        <f>IF(OR(醫護長與管理部班表!$A5="",24&gt;DAY(EOMONTH(DATE(設定!$C$2,設定!$D$2,1),0))),"",DATE(設定!$C$2,設定!$D$2,24))</f>
        <v/>
      </c>
      <c r="B26" s="16">
        <f>IF($A26="","",INDEX(設定!$O$6:$O$12,WEEKDAY($A26,1)))</f>
        <v/>
      </c>
      <c r="C26" s="16">
        <f>IF($A26="","",醫護長與管理部班表!$A5)</f>
        <v/>
      </c>
      <c r="D26" s="16">
        <f>IF($C26="","",醫護長與管理部班表!$B5)</f>
        <v/>
      </c>
      <c r="E26" s="16">
        <f>IF($C26="","",醫護長與管理部班表!$D5)</f>
        <v/>
      </c>
      <c r="F26" s="16">
        <f>IF($C26="","",醫護長與管理部班表!$C5)</f>
        <v/>
      </c>
      <c r="G26" s="16">
        <f>IF($C26="","",醫護長與管理部班表!AB5)</f>
        <v/>
      </c>
      <c r="H26" s="87">
        <f>IF($G26="","",IFERROR(IF(INDEX(設定!$D$6:$D$21,MATCH($G26,設定!$B$6:$B$21,0))=0,"",INDEX(設定!$D$6:$D$21,MATCH($G26,設定!$B$6:$B$21,0))),""))</f>
        <v/>
      </c>
      <c r="I26" s="87">
        <f>IF($G26="","",IFERROR(IF(INDEX(設定!$E$6:$E$21,MATCH($G26,設定!$B$6:$B$21,0))=0,"",INDEX(設定!$E$6:$E$21,MATCH($G26,設定!$B$6:$B$21,0))),""))</f>
        <v/>
      </c>
      <c r="J26" s="87">
        <f>IFERROR(INDEX(打卡匯入!$C$3:$C$502,MATCH($C26&amp;"|"&amp;DAY($A26),打卡匯入!$E$3:$E$502,0)),"")</f>
        <v/>
      </c>
      <c r="K26" s="87">
        <f>IFERROR(INDEX(打卡匯入!$D$3:$D$502,MATCH($C26&amp;"|"&amp;DAY($A26),打卡匯入!$E$3:$E$502,0)),"")</f>
        <v/>
      </c>
      <c r="L26" s="88">
        <f>IF(OR($J26="",$K26=""),"",IFERROR(INDEX(設定!$F$6:$F$21,MATCH($G26,設定!$B$6:$B$21,0)),0))</f>
        <v/>
      </c>
      <c r="M26" s="89">
        <f>IF(OR($J26="",$K26=""),"",ROUND(($K26-$J26)*24-$L26/60,2))</f>
        <v/>
      </c>
      <c r="N26" s="16">
        <f>IF($C26="","",IF(AND(COUNTIF(設定!$B$15:$B$21,$G26)&gt;0,$J26&lt;&gt;""),"假日出勤",IF(AND(COUNTIF(設定!$B$6:$B$14,$G26)&gt;0,$J26=""),"未打卡",IF($J26="","",IF($O26&gt;0,"遲到",IF($P26&gt;0,"早退","正常"))))))</f>
        <v/>
      </c>
      <c r="O26" s="88">
        <f>IF(OR($C26="",$H26="",$J26=""),0,IF(ROUND(($J26-$H26)*1440,0)&gt;設定!$C$48,ROUND(($J26-$H26)*1440,0),0))</f>
        <v/>
      </c>
      <c r="P26" s="88">
        <f>IF(OR($C26="",$I26="",$K26=""),0,IF(ROUND(($I26-$K26)*1440,0)&gt;設定!$C$48,ROUND(($I26-$K26)*1440,0),0))</f>
        <v/>
      </c>
      <c r="Q26" s="89">
        <f>IF($M26="",0,IF(($M26-IFERROR(INDEX(設定!$G$6:$G$21,MATCH($G26,設定!$B$6:$B$21,0)),0))*60&gt;=設定!$C$46,ROUND(FLOOR(($M26-IFERROR(INDEX(設定!$G$6:$G$21,MATCH($G26,設定!$B$6:$B$21,0)),0))*60,設定!$C$47)/60,2),0))</f>
        <v/>
      </c>
      <c r="R26" s="16">
        <f>IF(OR($C26="",$Q26=0),"",IF($G26="國","國定假日",IF($B26="日","例假",IF($B26="六","休息日","平日"))))</f>
        <v/>
      </c>
      <c r="S26" s="18" t="n"/>
    </row>
    <row r="27">
      <c r="A27" s="86">
        <f>IF(OR(醫護長與管理部班表!$A5="",25&gt;DAY(EOMONTH(DATE(設定!$C$2,設定!$D$2,1),0))),"",DATE(設定!$C$2,設定!$D$2,25))</f>
        <v/>
      </c>
      <c r="B27" s="16">
        <f>IF($A27="","",INDEX(設定!$O$6:$O$12,WEEKDAY($A27,1)))</f>
        <v/>
      </c>
      <c r="C27" s="16">
        <f>IF($A27="","",醫護長與管理部班表!$A5)</f>
        <v/>
      </c>
      <c r="D27" s="16">
        <f>IF($C27="","",醫護長與管理部班表!$B5)</f>
        <v/>
      </c>
      <c r="E27" s="16">
        <f>IF($C27="","",醫護長與管理部班表!$D5)</f>
        <v/>
      </c>
      <c r="F27" s="16">
        <f>IF($C27="","",醫護長與管理部班表!$C5)</f>
        <v/>
      </c>
      <c r="G27" s="16">
        <f>IF($C27="","",醫護長與管理部班表!AC5)</f>
        <v/>
      </c>
      <c r="H27" s="87">
        <f>IF($G27="","",IFERROR(IF(INDEX(設定!$D$6:$D$21,MATCH($G27,設定!$B$6:$B$21,0))=0,"",INDEX(設定!$D$6:$D$21,MATCH($G27,設定!$B$6:$B$21,0))),""))</f>
        <v/>
      </c>
      <c r="I27" s="87">
        <f>IF($G27="","",IFERROR(IF(INDEX(設定!$E$6:$E$21,MATCH($G27,設定!$B$6:$B$21,0))=0,"",INDEX(設定!$E$6:$E$21,MATCH($G27,設定!$B$6:$B$21,0))),""))</f>
        <v/>
      </c>
      <c r="J27" s="87">
        <f>IFERROR(INDEX(打卡匯入!$C$3:$C$502,MATCH($C27&amp;"|"&amp;DAY($A27),打卡匯入!$E$3:$E$502,0)),"")</f>
        <v/>
      </c>
      <c r="K27" s="87">
        <f>IFERROR(INDEX(打卡匯入!$D$3:$D$502,MATCH($C27&amp;"|"&amp;DAY($A27),打卡匯入!$E$3:$E$502,0)),"")</f>
        <v/>
      </c>
      <c r="L27" s="88">
        <f>IF(OR($J27="",$K27=""),"",IFERROR(INDEX(設定!$F$6:$F$21,MATCH($G27,設定!$B$6:$B$21,0)),0))</f>
        <v/>
      </c>
      <c r="M27" s="89">
        <f>IF(OR($J27="",$K27=""),"",ROUND(($K27-$J27)*24-$L27/60,2))</f>
        <v/>
      </c>
      <c r="N27" s="16">
        <f>IF($C27="","",IF(AND(COUNTIF(設定!$B$15:$B$21,$G27)&gt;0,$J27&lt;&gt;""),"假日出勤",IF(AND(COUNTIF(設定!$B$6:$B$14,$G27)&gt;0,$J27=""),"未打卡",IF($J27="","",IF($O27&gt;0,"遲到",IF($P27&gt;0,"早退","正常"))))))</f>
        <v/>
      </c>
      <c r="O27" s="88">
        <f>IF(OR($C27="",$H27="",$J27=""),0,IF(ROUND(($J27-$H27)*1440,0)&gt;設定!$C$48,ROUND(($J27-$H27)*1440,0),0))</f>
        <v/>
      </c>
      <c r="P27" s="88">
        <f>IF(OR($C27="",$I27="",$K27=""),0,IF(ROUND(($I27-$K27)*1440,0)&gt;設定!$C$48,ROUND(($I27-$K27)*1440,0),0))</f>
        <v/>
      </c>
      <c r="Q27" s="89">
        <f>IF($M27="",0,IF(($M27-IFERROR(INDEX(設定!$G$6:$G$21,MATCH($G27,設定!$B$6:$B$21,0)),0))*60&gt;=設定!$C$46,ROUND(FLOOR(($M27-IFERROR(INDEX(設定!$G$6:$G$21,MATCH($G27,設定!$B$6:$B$21,0)),0))*60,設定!$C$47)/60,2),0))</f>
        <v/>
      </c>
      <c r="R27" s="16">
        <f>IF(OR($C27="",$Q27=0),"",IF($G27="國","國定假日",IF($B27="日","例假",IF($B27="六","休息日","平日"))))</f>
        <v/>
      </c>
      <c r="S27" s="18" t="n"/>
    </row>
    <row r="28">
      <c r="A28" s="86">
        <f>IF(OR(醫護長與管理部班表!$A5="",26&gt;DAY(EOMONTH(DATE(設定!$C$2,設定!$D$2,1),0))),"",DATE(設定!$C$2,設定!$D$2,26))</f>
        <v/>
      </c>
      <c r="B28" s="16">
        <f>IF($A28="","",INDEX(設定!$O$6:$O$12,WEEKDAY($A28,1)))</f>
        <v/>
      </c>
      <c r="C28" s="16">
        <f>IF($A28="","",醫護長與管理部班表!$A5)</f>
        <v/>
      </c>
      <c r="D28" s="16">
        <f>IF($C28="","",醫護長與管理部班表!$B5)</f>
        <v/>
      </c>
      <c r="E28" s="16">
        <f>IF($C28="","",醫護長與管理部班表!$D5)</f>
        <v/>
      </c>
      <c r="F28" s="16">
        <f>IF($C28="","",醫護長與管理部班表!$C5)</f>
        <v/>
      </c>
      <c r="G28" s="16">
        <f>IF($C28="","",醫護長與管理部班表!AD5)</f>
        <v/>
      </c>
      <c r="H28" s="87">
        <f>IF($G28="","",IFERROR(IF(INDEX(設定!$D$6:$D$21,MATCH($G28,設定!$B$6:$B$21,0))=0,"",INDEX(設定!$D$6:$D$21,MATCH($G28,設定!$B$6:$B$21,0))),""))</f>
        <v/>
      </c>
      <c r="I28" s="87">
        <f>IF($G28="","",IFERROR(IF(INDEX(設定!$E$6:$E$21,MATCH($G28,設定!$B$6:$B$21,0))=0,"",INDEX(設定!$E$6:$E$21,MATCH($G28,設定!$B$6:$B$21,0))),""))</f>
        <v/>
      </c>
      <c r="J28" s="87">
        <f>IFERROR(INDEX(打卡匯入!$C$3:$C$502,MATCH($C28&amp;"|"&amp;DAY($A28),打卡匯入!$E$3:$E$502,0)),"")</f>
        <v/>
      </c>
      <c r="K28" s="87">
        <f>IFERROR(INDEX(打卡匯入!$D$3:$D$502,MATCH($C28&amp;"|"&amp;DAY($A28),打卡匯入!$E$3:$E$502,0)),"")</f>
        <v/>
      </c>
      <c r="L28" s="88">
        <f>IF(OR($J28="",$K28=""),"",IFERROR(INDEX(設定!$F$6:$F$21,MATCH($G28,設定!$B$6:$B$21,0)),0))</f>
        <v/>
      </c>
      <c r="M28" s="89">
        <f>IF(OR($J28="",$K28=""),"",ROUND(($K28-$J28)*24-$L28/60,2))</f>
        <v/>
      </c>
      <c r="N28" s="16">
        <f>IF($C28="","",IF(AND(COUNTIF(設定!$B$15:$B$21,$G28)&gt;0,$J28&lt;&gt;""),"假日出勤",IF(AND(COUNTIF(設定!$B$6:$B$14,$G28)&gt;0,$J28=""),"未打卡",IF($J28="","",IF($O28&gt;0,"遲到",IF($P28&gt;0,"早退","正常"))))))</f>
        <v/>
      </c>
      <c r="O28" s="88">
        <f>IF(OR($C28="",$H28="",$J28=""),0,IF(ROUND(($J28-$H28)*1440,0)&gt;設定!$C$48,ROUND(($J28-$H28)*1440,0),0))</f>
        <v/>
      </c>
      <c r="P28" s="88">
        <f>IF(OR($C28="",$I28="",$K28=""),0,IF(ROUND(($I28-$K28)*1440,0)&gt;設定!$C$48,ROUND(($I28-$K28)*1440,0),0))</f>
        <v/>
      </c>
      <c r="Q28" s="89">
        <f>IF($M28="",0,IF(($M28-IFERROR(INDEX(設定!$G$6:$G$21,MATCH($G28,設定!$B$6:$B$21,0)),0))*60&gt;=設定!$C$46,ROUND(FLOOR(($M28-IFERROR(INDEX(設定!$G$6:$G$21,MATCH($G28,設定!$B$6:$B$21,0)),0))*60,設定!$C$47)/60,2),0))</f>
        <v/>
      </c>
      <c r="R28" s="16">
        <f>IF(OR($C28="",$Q28=0),"",IF($G28="國","國定假日",IF($B28="日","例假",IF($B28="六","休息日","平日"))))</f>
        <v/>
      </c>
      <c r="S28" s="18" t="n"/>
    </row>
    <row r="29">
      <c r="A29" s="86">
        <f>IF(OR(醫護長與管理部班表!$A5="",27&gt;DAY(EOMONTH(DATE(設定!$C$2,設定!$D$2,1),0))),"",DATE(設定!$C$2,設定!$D$2,27))</f>
        <v/>
      </c>
      <c r="B29" s="16">
        <f>IF($A29="","",INDEX(設定!$O$6:$O$12,WEEKDAY($A29,1)))</f>
        <v/>
      </c>
      <c r="C29" s="16">
        <f>IF($A29="","",醫護長與管理部班表!$A5)</f>
        <v/>
      </c>
      <c r="D29" s="16">
        <f>IF($C29="","",醫護長與管理部班表!$B5)</f>
        <v/>
      </c>
      <c r="E29" s="16">
        <f>IF($C29="","",醫護長與管理部班表!$D5)</f>
        <v/>
      </c>
      <c r="F29" s="16">
        <f>IF($C29="","",醫護長與管理部班表!$C5)</f>
        <v/>
      </c>
      <c r="G29" s="16">
        <f>IF($C29="","",醫護長與管理部班表!AE5)</f>
        <v/>
      </c>
      <c r="H29" s="87">
        <f>IF($G29="","",IFERROR(IF(INDEX(設定!$D$6:$D$21,MATCH($G29,設定!$B$6:$B$21,0))=0,"",INDEX(設定!$D$6:$D$21,MATCH($G29,設定!$B$6:$B$21,0))),""))</f>
        <v/>
      </c>
      <c r="I29" s="87">
        <f>IF($G29="","",IFERROR(IF(INDEX(設定!$E$6:$E$21,MATCH($G29,設定!$B$6:$B$21,0))=0,"",INDEX(設定!$E$6:$E$21,MATCH($G29,設定!$B$6:$B$21,0))),""))</f>
        <v/>
      </c>
      <c r="J29" s="87">
        <f>IFERROR(INDEX(打卡匯入!$C$3:$C$502,MATCH($C29&amp;"|"&amp;DAY($A29),打卡匯入!$E$3:$E$502,0)),"")</f>
        <v/>
      </c>
      <c r="K29" s="87">
        <f>IFERROR(INDEX(打卡匯入!$D$3:$D$502,MATCH($C29&amp;"|"&amp;DAY($A29),打卡匯入!$E$3:$E$502,0)),"")</f>
        <v/>
      </c>
      <c r="L29" s="88">
        <f>IF(OR($J29="",$K29=""),"",IFERROR(INDEX(設定!$F$6:$F$21,MATCH($G29,設定!$B$6:$B$21,0)),0))</f>
        <v/>
      </c>
      <c r="M29" s="89">
        <f>IF(OR($J29="",$K29=""),"",ROUND(($K29-$J29)*24-$L29/60,2))</f>
        <v/>
      </c>
      <c r="N29" s="16">
        <f>IF($C29="","",IF(AND(COUNTIF(設定!$B$15:$B$21,$G29)&gt;0,$J29&lt;&gt;""),"假日出勤",IF(AND(COUNTIF(設定!$B$6:$B$14,$G29)&gt;0,$J29=""),"未打卡",IF($J29="","",IF($O29&gt;0,"遲到",IF($P29&gt;0,"早退","正常"))))))</f>
        <v/>
      </c>
      <c r="O29" s="88">
        <f>IF(OR($C29="",$H29="",$J29=""),0,IF(ROUND(($J29-$H29)*1440,0)&gt;設定!$C$48,ROUND(($J29-$H29)*1440,0),0))</f>
        <v/>
      </c>
      <c r="P29" s="88">
        <f>IF(OR($C29="",$I29="",$K29=""),0,IF(ROUND(($I29-$K29)*1440,0)&gt;設定!$C$48,ROUND(($I29-$K29)*1440,0),0))</f>
        <v/>
      </c>
      <c r="Q29" s="89">
        <f>IF($M29="",0,IF(($M29-IFERROR(INDEX(設定!$G$6:$G$21,MATCH($G29,設定!$B$6:$B$21,0)),0))*60&gt;=設定!$C$46,ROUND(FLOOR(($M29-IFERROR(INDEX(設定!$G$6:$G$21,MATCH($G29,設定!$B$6:$B$21,0)),0))*60,設定!$C$47)/60,2),0))</f>
        <v/>
      </c>
      <c r="R29" s="16">
        <f>IF(OR($C29="",$Q29=0),"",IF($G29="國","國定假日",IF($B29="日","例假",IF($B29="六","休息日","平日"))))</f>
        <v/>
      </c>
      <c r="S29" s="18" t="n"/>
    </row>
    <row r="30">
      <c r="A30" s="86">
        <f>IF(OR(醫護長與管理部班表!$A5="",28&gt;DAY(EOMONTH(DATE(設定!$C$2,設定!$D$2,1),0))),"",DATE(設定!$C$2,設定!$D$2,28))</f>
        <v/>
      </c>
      <c r="B30" s="16">
        <f>IF($A30="","",INDEX(設定!$O$6:$O$12,WEEKDAY($A30,1)))</f>
        <v/>
      </c>
      <c r="C30" s="16">
        <f>IF($A30="","",醫護長與管理部班表!$A5)</f>
        <v/>
      </c>
      <c r="D30" s="16">
        <f>IF($C30="","",醫護長與管理部班表!$B5)</f>
        <v/>
      </c>
      <c r="E30" s="16">
        <f>IF($C30="","",醫護長與管理部班表!$D5)</f>
        <v/>
      </c>
      <c r="F30" s="16">
        <f>IF($C30="","",醫護長與管理部班表!$C5)</f>
        <v/>
      </c>
      <c r="G30" s="16">
        <f>IF($C30="","",醫護長與管理部班表!AF5)</f>
        <v/>
      </c>
      <c r="H30" s="87">
        <f>IF($G30="","",IFERROR(IF(INDEX(設定!$D$6:$D$21,MATCH($G30,設定!$B$6:$B$21,0))=0,"",INDEX(設定!$D$6:$D$21,MATCH($G30,設定!$B$6:$B$21,0))),""))</f>
        <v/>
      </c>
      <c r="I30" s="87">
        <f>IF($G30="","",IFERROR(IF(INDEX(設定!$E$6:$E$21,MATCH($G30,設定!$B$6:$B$21,0))=0,"",INDEX(設定!$E$6:$E$21,MATCH($G30,設定!$B$6:$B$21,0))),""))</f>
        <v/>
      </c>
      <c r="J30" s="87">
        <f>IFERROR(INDEX(打卡匯入!$C$3:$C$502,MATCH($C30&amp;"|"&amp;DAY($A30),打卡匯入!$E$3:$E$502,0)),"")</f>
        <v/>
      </c>
      <c r="K30" s="87">
        <f>IFERROR(INDEX(打卡匯入!$D$3:$D$502,MATCH($C30&amp;"|"&amp;DAY($A30),打卡匯入!$E$3:$E$502,0)),"")</f>
        <v/>
      </c>
      <c r="L30" s="88">
        <f>IF(OR($J30="",$K30=""),"",IFERROR(INDEX(設定!$F$6:$F$21,MATCH($G30,設定!$B$6:$B$21,0)),0))</f>
        <v/>
      </c>
      <c r="M30" s="89">
        <f>IF(OR($J30="",$K30=""),"",ROUND(($K30-$J30)*24-$L30/60,2))</f>
        <v/>
      </c>
      <c r="N30" s="16">
        <f>IF($C30="","",IF(AND(COUNTIF(設定!$B$15:$B$21,$G30)&gt;0,$J30&lt;&gt;""),"假日出勤",IF(AND(COUNTIF(設定!$B$6:$B$14,$G30)&gt;0,$J30=""),"未打卡",IF($J30="","",IF($O30&gt;0,"遲到",IF($P30&gt;0,"早退","正常"))))))</f>
        <v/>
      </c>
      <c r="O30" s="88">
        <f>IF(OR($C30="",$H30="",$J30=""),0,IF(ROUND(($J30-$H30)*1440,0)&gt;設定!$C$48,ROUND(($J30-$H30)*1440,0),0))</f>
        <v/>
      </c>
      <c r="P30" s="88">
        <f>IF(OR($C30="",$I30="",$K30=""),0,IF(ROUND(($I30-$K30)*1440,0)&gt;設定!$C$48,ROUND(($I30-$K30)*1440,0),0))</f>
        <v/>
      </c>
      <c r="Q30" s="89">
        <f>IF($M30="",0,IF(($M30-IFERROR(INDEX(設定!$G$6:$G$21,MATCH($G30,設定!$B$6:$B$21,0)),0))*60&gt;=設定!$C$46,ROUND(FLOOR(($M30-IFERROR(INDEX(設定!$G$6:$G$21,MATCH($G30,設定!$B$6:$B$21,0)),0))*60,設定!$C$47)/60,2),0))</f>
        <v/>
      </c>
      <c r="R30" s="16">
        <f>IF(OR($C30="",$Q30=0),"",IF($G30="國","國定假日",IF($B30="日","例假",IF($B30="六","休息日","平日"))))</f>
        <v/>
      </c>
      <c r="S30" s="18" t="n"/>
    </row>
    <row r="31">
      <c r="A31" s="86">
        <f>IF(OR(醫護長與管理部班表!$A5="",29&gt;DAY(EOMONTH(DATE(設定!$C$2,設定!$D$2,1),0))),"",DATE(設定!$C$2,設定!$D$2,29))</f>
        <v/>
      </c>
      <c r="B31" s="16">
        <f>IF($A31="","",INDEX(設定!$O$6:$O$12,WEEKDAY($A31,1)))</f>
        <v/>
      </c>
      <c r="C31" s="16">
        <f>IF($A31="","",醫護長與管理部班表!$A5)</f>
        <v/>
      </c>
      <c r="D31" s="16">
        <f>IF($C31="","",醫護長與管理部班表!$B5)</f>
        <v/>
      </c>
      <c r="E31" s="16">
        <f>IF($C31="","",醫護長與管理部班表!$D5)</f>
        <v/>
      </c>
      <c r="F31" s="16">
        <f>IF($C31="","",醫護長與管理部班表!$C5)</f>
        <v/>
      </c>
      <c r="G31" s="16">
        <f>IF($C31="","",醫護長與管理部班表!AG5)</f>
        <v/>
      </c>
      <c r="H31" s="87">
        <f>IF($G31="","",IFERROR(IF(INDEX(設定!$D$6:$D$21,MATCH($G31,設定!$B$6:$B$21,0))=0,"",INDEX(設定!$D$6:$D$21,MATCH($G31,設定!$B$6:$B$21,0))),""))</f>
        <v/>
      </c>
      <c r="I31" s="87">
        <f>IF($G31="","",IFERROR(IF(INDEX(設定!$E$6:$E$21,MATCH($G31,設定!$B$6:$B$21,0))=0,"",INDEX(設定!$E$6:$E$21,MATCH($G31,設定!$B$6:$B$21,0))),""))</f>
        <v/>
      </c>
      <c r="J31" s="87">
        <f>IFERROR(INDEX(打卡匯入!$C$3:$C$502,MATCH($C31&amp;"|"&amp;DAY($A31),打卡匯入!$E$3:$E$502,0)),"")</f>
        <v/>
      </c>
      <c r="K31" s="87">
        <f>IFERROR(INDEX(打卡匯入!$D$3:$D$502,MATCH($C31&amp;"|"&amp;DAY($A31),打卡匯入!$E$3:$E$502,0)),"")</f>
        <v/>
      </c>
      <c r="L31" s="88">
        <f>IF(OR($J31="",$K31=""),"",IFERROR(INDEX(設定!$F$6:$F$21,MATCH($G31,設定!$B$6:$B$21,0)),0))</f>
        <v/>
      </c>
      <c r="M31" s="89">
        <f>IF(OR($J31="",$K31=""),"",ROUND(($K31-$J31)*24-$L31/60,2))</f>
        <v/>
      </c>
      <c r="N31" s="16">
        <f>IF($C31="","",IF(AND(COUNTIF(設定!$B$15:$B$21,$G31)&gt;0,$J31&lt;&gt;""),"假日出勤",IF(AND(COUNTIF(設定!$B$6:$B$14,$G31)&gt;0,$J31=""),"未打卡",IF($J31="","",IF($O31&gt;0,"遲到",IF($P31&gt;0,"早退","正常"))))))</f>
        <v/>
      </c>
      <c r="O31" s="88">
        <f>IF(OR($C31="",$H31="",$J31=""),0,IF(ROUND(($J31-$H31)*1440,0)&gt;設定!$C$48,ROUND(($J31-$H31)*1440,0),0))</f>
        <v/>
      </c>
      <c r="P31" s="88">
        <f>IF(OR($C31="",$I31="",$K31=""),0,IF(ROUND(($I31-$K31)*1440,0)&gt;設定!$C$48,ROUND(($I31-$K31)*1440,0),0))</f>
        <v/>
      </c>
      <c r="Q31" s="89">
        <f>IF($M31="",0,IF(($M31-IFERROR(INDEX(設定!$G$6:$G$21,MATCH($G31,設定!$B$6:$B$21,0)),0))*60&gt;=設定!$C$46,ROUND(FLOOR(($M31-IFERROR(INDEX(設定!$G$6:$G$21,MATCH($G31,設定!$B$6:$B$21,0)),0))*60,設定!$C$47)/60,2),0))</f>
        <v/>
      </c>
      <c r="R31" s="16">
        <f>IF(OR($C31="",$Q31=0),"",IF($G31="國","國定假日",IF($B31="日","例假",IF($B31="六","休息日","平日"))))</f>
        <v/>
      </c>
      <c r="S31" s="18" t="n"/>
    </row>
    <row r="32">
      <c r="A32" s="86">
        <f>IF(OR(醫護長與管理部班表!$A5="",30&gt;DAY(EOMONTH(DATE(設定!$C$2,設定!$D$2,1),0))),"",DATE(設定!$C$2,設定!$D$2,30))</f>
        <v/>
      </c>
      <c r="B32" s="16">
        <f>IF($A32="","",INDEX(設定!$O$6:$O$12,WEEKDAY($A32,1)))</f>
        <v/>
      </c>
      <c r="C32" s="16">
        <f>IF($A32="","",醫護長與管理部班表!$A5)</f>
        <v/>
      </c>
      <c r="D32" s="16">
        <f>IF($C32="","",醫護長與管理部班表!$B5)</f>
        <v/>
      </c>
      <c r="E32" s="16">
        <f>IF($C32="","",醫護長與管理部班表!$D5)</f>
        <v/>
      </c>
      <c r="F32" s="16">
        <f>IF($C32="","",醫護長與管理部班表!$C5)</f>
        <v/>
      </c>
      <c r="G32" s="16">
        <f>IF($C32="","",醫護長與管理部班表!AH5)</f>
        <v/>
      </c>
      <c r="H32" s="87">
        <f>IF($G32="","",IFERROR(IF(INDEX(設定!$D$6:$D$21,MATCH($G32,設定!$B$6:$B$21,0))=0,"",INDEX(設定!$D$6:$D$21,MATCH($G32,設定!$B$6:$B$21,0))),""))</f>
        <v/>
      </c>
      <c r="I32" s="87">
        <f>IF($G32="","",IFERROR(IF(INDEX(設定!$E$6:$E$21,MATCH($G32,設定!$B$6:$B$21,0))=0,"",INDEX(設定!$E$6:$E$21,MATCH($G32,設定!$B$6:$B$21,0))),""))</f>
        <v/>
      </c>
      <c r="J32" s="87">
        <f>IFERROR(INDEX(打卡匯入!$C$3:$C$502,MATCH($C32&amp;"|"&amp;DAY($A32),打卡匯入!$E$3:$E$502,0)),"")</f>
        <v/>
      </c>
      <c r="K32" s="87">
        <f>IFERROR(INDEX(打卡匯入!$D$3:$D$502,MATCH($C32&amp;"|"&amp;DAY($A32),打卡匯入!$E$3:$E$502,0)),"")</f>
        <v/>
      </c>
      <c r="L32" s="88">
        <f>IF(OR($J32="",$K32=""),"",IFERROR(INDEX(設定!$F$6:$F$21,MATCH($G32,設定!$B$6:$B$21,0)),0))</f>
        <v/>
      </c>
      <c r="M32" s="89">
        <f>IF(OR($J32="",$K32=""),"",ROUND(($K32-$J32)*24-$L32/60,2))</f>
        <v/>
      </c>
      <c r="N32" s="16">
        <f>IF($C32="","",IF(AND(COUNTIF(設定!$B$15:$B$21,$G32)&gt;0,$J32&lt;&gt;""),"假日出勤",IF(AND(COUNTIF(設定!$B$6:$B$14,$G32)&gt;0,$J32=""),"未打卡",IF($J32="","",IF($O32&gt;0,"遲到",IF($P32&gt;0,"早退","正常"))))))</f>
        <v/>
      </c>
      <c r="O32" s="88">
        <f>IF(OR($C32="",$H32="",$J32=""),0,IF(ROUND(($J32-$H32)*1440,0)&gt;設定!$C$48,ROUND(($J32-$H32)*1440,0),0))</f>
        <v/>
      </c>
      <c r="P32" s="88">
        <f>IF(OR($C32="",$I32="",$K32=""),0,IF(ROUND(($I32-$K32)*1440,0)&gt;設定!$C$48,ROUND(($I32-$K32)*1440,0),0))</f>
        <v/>
      </c>
      <c r="Q32" s="89">
        <f>IF($M32="",0,IF(($M32-IFERROR(INDEX(設定!$G$6:$G$21,MATCH($G32,設定!$B$6:$B$21,0)),0))*60&gt;=設定!$C$46,ROUND(FLOOR(($M32-IFERROR(INDEX(設定!$G$6:$G$21,MATCH($G32,設定!$B$6:$B$21,0)),0))*60,設定!$C$47)/60,2),0))</f>
        <v/>
      </c>
      <c r="R32" s="16">
        <f>IF(OR($C32="",$Q32=0),"",IF($G32="國","國定假日",IF($B32="日","例假",IF($B32="六","休息日","平日"))))</f>
        <v/>
      </c>
      <c r="S32" s="18" t="n"/>
    </row>
    <row r="33">
      <c r="A33" s="86">
        <f>IF(OR(醫護長與管理部班表!$A5="",31&gt;DAY(EOMONTH(DATE(設定!$C$2,設定!$D$2,1),0))),"",DATE(設定!$C$2,設定!$D$2,31))</f>
        <v/>
      </c>
      <c r="B33" s="16">
        <f>IF($A33="","",INDEX(設定!$O$6:$O$12,WEEKDAY($A33,1)))</f>
        <v/>
      </c>
      <c r="C33" s="16">
        <f>IF($A33="","",醫護長與管理部班表!$A5)</f>
        <v/>
      </c>
      <c r="D33" s="16">
        <f>IF($C33="","",醫護長與管理部班表!$B5)</f>
        <v/>
      </c>
      <c r="E33" s="16">
        <f>IF($C33="","",醫護長與管理部班表!$D5)</f>
        <v/>
      </c>
      <c r="F33" s="16">
        <f>IF($C33="","",醫護長與管理部班表!$C5)</f>
        <v/>
      </c>
      <c r="G33" s="16">
        <f>IF($C33="","",醫護長與管理部班表!AI5)</f>
        <v/>
      </c>
      <c r="H33" s="87">
        <f>IF($G33="","",IFERROR(IF(INDEX(設定!$D$6:$D$21,MATCH($G33,設定!$B$6:$B$21,0))=0,"",INDEX(設定!$D$6:$D$21,MATCH($G33,設定!$B$6:$B$21,0))),""))</f>
        <v/>
      </c>
      <c r="I33" s="87">
        <f>IF($G33="","",IFERROR(IF(INDEX(設定!$E$6:$E$21,MATCH($G33,設定!$B$6:$B$21,0))=0,"",INDEX(設定!$E$6:$E$21,MATCH($G33,設定!$B$6:$B$21,0))),""))</f>
        <v/>
      </c>
      <c r="J33" s="87">
        <f>IFERROR(INDEX(打卡匯入!$C$3:$C$502,MATCH($C33&amp;"|"&amp;DAY($A33),打卡匯入!$E$3:$E$502,0)),"")</f>
        <v/>
      </c>
      <c r="K33" s="87">
        <f>IFERROR(INDEX(打卡匯入!$D$3:$D$502,MATCH($C33&amp;"|"&amp;DAY($A33),打卡匯入!$E$3:$E$502,0)),"")</f>
        <v/>
      </c>
      <c r="L33" s="88">
        <f>IF(OR($J33="",$K33=""),"",IFERROR(INDEX(設定!$F$6:$F$21,MATCH($G33,設定!$B$6:$B$21,0)),0))</f>
        <v/>
      </c>
      <c r="M33" s="89">
        <f>IF(OR($J33="",$K33=""),"",ROUND(($K33-$J33)*24-$L33/60,2))</f>
        <v/>
      </c>
      <c r="N33" s="16">
        <f>IF($C33="","",IF(AND(COUNTIF(設定!$B$15:$B$21,$G33)&gt;0,$J33&lt;&gt;""),"假日出勤",IF(AND(COUNTIF(設定!$B$6:$B$14,$G33)&gt;0,$J33=""),"未打卡",IF($J33="","",IF($O33&gt;0,"遲到",IF($P33&gt;0,"早退","正常"))))))</f>
        <v/>
      </c>
      <c r="O33" s="88">
        <f>IF(OR($C33="",$H33="",$J33=""),0,IF(ROUND(($J33-$H33)*1440,0)&gt;設定!$C$48,ROUND(($J33-$H33)*1440,0),0))</f>
        <v/>
      </c>
      <c r="P33" s="88">
        <f>IF(OR($C33="",$I33="",$K33=""),0,IF(ROUND(($I33-$K33)*1440,0)&gt;設定!$C$48,ROUND(($I33-$K33)*1440,0),0))</f>
        <v/>
      </c>
      <c r="Q33" s="89">
        <f>IF($M33="",0,IF(($M33-IFERROR(INDEX(設定!$G$6:$G$21,MATCH($G33,設定!$B$6:$B$21,0)),0))*60&gt;=設定!$C$46,ROUND(FLOOR(($M33-IFERROR(INDEX(設定!$G$6:$G$21,MATCH($G33,設定!$B$6:$B$21,0)),0))*60,設定!$C$47)/60,2),0))</f>
        <v/>
      </c>
      <c r="R33" s="16">
        <f>IF(OR($C33="",$Q33=0),"",IF($G33="國","國定假日",IF($B33="日","例假",IF($B33="六","休息日","平日"))))</f>
        <v/>
      </c>
      <c r="S33" s="18" t="n"/>
    </row>
    <row r="34">
      <c r="A34" s="86">
        <f>IF(OR(醫護長與管理部班表!$A6="",1&gt;DAY(EOMONTH(DATE(設定!$C$2,設定!$D$2,1),0))),"",DATE(設定!$C$2,設定!$D$2,1))</f>
        <v/>
      </c>
      <c r="B34" s="16">
        <f>IF($A34="","",INDEX(設定!$O$6:$O$12,WEEKDAY($A34,1)))</f>
        <v/>
      </c>
      <c r="C34" s="16">
        <f>IF($A34="","",醫護長與管理部班表!$A6)</f>
        <v/>
      </c>
      <c r="D34" s="16">
        <f>IF($C34="","",醫護長與管理部班表!$B6)</f>
        <v/>
      </c>
      <c r="E34" s="16">
        <f>IF($C34="","",醫護長與管理部班表!$D6)</f>
        <v/>
      </c>
      <c r="F34" s="16">
        <f>IF($C34="","",醫護長與管理部班表!$C6)</f>
        <v/>
      </c>
      <c r="G34" s="16">
        <f>IF($C34="","",醫護長與管理部班表!E6)</f>
        <v/>
      </c>
      <c r="H34" s="87">
        <f>IF($G34="","",IFERROR(IF(INDEX(設定!$D$6:$D$21,MATCH($G34,設定!$B$6:$B$21,0))=0,"",INDEX(設定!$D$6:$D$21,MATCH($G34,設定!$B$6:$B$21,0))),""))</f>
        <v/>
      </c>
      <c r="I34" s="87">
        <f>IF($G34="","",IFERROR(IF(INDEX(設定!$E$6:$E$21,MATCH($G34,設定!$B$6:$B$21,0))=0,"",INDEX(設定!$E$6:$E$21,MATCH($G34,設定!$B$6:$B$21,0))),""))</f>
        <v/>
      </c>
      <c r="J34" s="87">
        <f>IFERROR(INDEX(打卡匯入!$C$3:$C$502,MATCH($C34&amp;"|"&amp;DAY($A34),打卡匯入!$E$3:$E$502,0)),"")</f>
        <v/>
      </c>
      <c r="K34" s="87">
        <f>IFERROR(INDEX(打卡匯入!$D$3:$D$502,MATCH($C34&amp;"|"&amp;DAY($A34),打卡匯入!$E$3:$E$502,0)),"")</f>
        <v/>
      </c>
      <c r="L34" s="88">
        <f>IF(OR($J34="",$K34=""),"",IFERROR(INDEX(設定!$F$6:$F$21,MATCH($G34,設定!$B$6:$B$21,0)),0))</f>
        <v/>
      </c>
      <c r="M34" s="89">
        <f>IF(OR($J34="",$K34=""),"",ROUND(($K34-$J34)*24-$L34/60,2))</f>
        <v/>
      </c>
      <c r="N34" s="16">
        <f>IF($C34="","",IF(AND(COUNTIF(設定!$B$15:$B$21,$G34)&gt;0,$J34&lt;&gt;""),"假日出勤",IF(AND(COUNTIF(設定!$B$6:$B$14,$G34)&gt;0,$J34=""),"未打卡",IF($J34="","",IF($O34&gt;0,"遲到",IF($P34&gt;0,"早退","正常"))))))</f>
        <v/>
      </c>
      <c r="O34" s="88">
        <f>IF(OR($C34="",$H34="",$J34=""),0,IF(ROUND(($J34-$H34)*1440,0)&gt;設定!$C$48,ROUND(($J34-$H34)*1440,0),0))</f>
        <v/>
      </c>
      <c r="P34" s="88">
        <f>IF(OR($C34="",$I34="",$K34=""),0,IF(ROUND(($I34-$K34)*1440,0)&gt;設定!$C$48,ROUND(($I34-$K34)*1440,0),0))</f>
        <v/>
      </c>
      <c r="Q34" s="89">
        <f>IF($M34="",0,IF(($M34-IFERROR(INDEX(設定!$G$6:$G$21,MATCH($G34,設定!$B$6:$B$21,0)),0))*60&gt;=設定!$C$46,ROUND(FLOOR(($M34-IFERROR(INDEX(設定!$G$6:$G$21,MATCH($G34,設定!$B$6:$B$21,0)),0))*60,設定!$C$47)/60,2),0))</f>
        <v/>
      </c>
      <c r="R34" s="16">
        <f>IF(OR($C34="",$Q34=0),"",IF($G34="國","國定假日",IF($B34="日","例假",IF($B34="六","休息日","平日"))))</f>
        <v/>
      </c>
      <c r="S34" s="18" t="n"/>
    </row>
    <row r="35">
      <c r="A35" s="86">
        <f>IF(OR(醫護長與管理部班表!$A6="",2&gt;DAY(EOMONTH(DATE(設定!$C$2,設定!$D$2,1),0))),"",DATE(設定!$C$2,設定!$D$2,2))</f>
        <v/>
      </c>
      <c r="B35" s="16">
        <f>IF($A35="","",INDEX(設定!$O$6:$O$12,WEEKDAY($A35,1)))</f>
        <v/>
      </c>
      <c r="C35" s="16">
        <f>IF($A35="","",醫護長與管理部班表!$A6)</f>
        <v/>
      </c>
      <c r="D35" s="16">
        <f>IF($C35="","",醫護長與管理部班表!$B6)</f>
        <v/>
      </c>
      <c r="E35" s="16">
        <f>IF($C35="","",醫護長與管理部班表!$D6)</f>
        <v/>
      </c>
      <c r="F35" s="16">
        <f>IF($C35="","",醫護長與管理部班表!$C6)</f>
        <v/>
      </c>
      <c r="G35" s="16">
        <f>IF($C35="","",醫護長與管理部班表!F6)</f>
        <v/>
      </c>
      <c r="H35" s="87">
        <f>IF($G35="","",IFERROR(IF(INDEX(設定!$D$6:$D$21,MATCH($G35,設定!$B$6:$B$21,0))=0,"",INDEX(設定!$D$6:$D$21,MATCH($G35,設定!$B$6:$B$21,0))),""))</f>
        <v/>
      </c>
      <c r="I35" s="87">
        <f>IF($G35="","",IFERROR(IF(INDEX(設定!$E$6:$E$21,MATCH($G35,設定!$B$6:$B$21,0))=0,"",INDEX(設定!$E$6:$E$21,MATCH($G35,設定!$B$6:$B$21,0))),""))</f>
        <v/>
      </c>
      <c r="J35" s="87">
        <f>IFERROR(INDEX(打卡匯入!$C$3:$C$502,MATCH($C35&amp;"|"&amp;DAY($A35),打卡匯入!$E$3:$E$502,0)),"")</f>
        <v/>
      </c>
      <c r="K35" s="87">
        <f>IFERROR(INDEX(打卡匯入!$D$3:$D$502,MATCH($C35&amp;"|"&amp;DAY($A35),打卡匯入!$E$3:$E$502,0)),"")</f>
        <v/>
      </c>
      <c r="L35" s="88">
        <f>IF(OR($J35="",$K35=""),"",IFERROR(INDEX(設定!$F$6:$F$21,MATCH($G35,設定!$B$6:$B$21,0)),0))</f>
        <v/>
      </c>
      <c r="M35" s="89">
        <f>IF(OR($J35="",$K35=""),"",ROUND(($K35-$J35)*24-$L35/60,2))</f>
        <v/>
      </c>
      <c r="N35" s="16">
        <f>IF($C35="","",IF(AND(COUNTIF(設定!$B$15:$B$21,$G35)&gt;0,$J35&lt;&gt;""),"假日出勤",IF(AND(COUNTIF(設定!$B$6:$B$14,$G35)&gt;0,$J35=""),"未打卡",IF($J35="","",IF($O35&gt;0,"遲到",IF($P35&gt;0,"早退","正常"))))))</f>
        <v/>
      </c>
      <c r="O35" s="88">
        <f>IF(OR($C35="",$H35="",$J35=""),0,IF(ROUND(($J35-$H35)*1440,0)&gt;設定!$C$48,ROUND(($J35-$H35)*1440,0),0))</f>
        <v/>
      </c>
      <c r="P35" s="88">
        <f>IF(OR($C35="",$I35="",$K35=""),0,IF(ROUND(($I35-$K35)*1440,0)&gt;設定!$C$48,ROUND(($I35-$K35)*1440,0),0))</f>
        <v/>
      </c>
      <c r="Q35" s="89">
        <f>IF($M35="",0,IF(($M35-IFERROR(INDEX(設定!$G$6:$G$21,MATCH($G35,設定!$B$6:$B$21,0)),0))*60&gt;=設定!$C$46,ROUND(FLOOR(($M35-IFERROR(INDEX(設定!$G$6:$G$21,MATCH($G35,設定!$B$6:$B$21,0)),0))*60,設定!$C$47)/60,2),0))</f>
        <v/>
      </c>
      <c r="R35" s="16">
        <f>IF(OR($C35="",$Q35=0),"",IF($G35="國","國定假日",IF($B35="日","例假",IF($B35="六","休息日","平日"))))</f>
        <v/>
      </c>
      <c r="S35" s="18" t="n"/>
    </row>
    <row r="36">
      <c r="A36" s="86">
        <f>IF(OR(醫護長與管理部班表!$A6="",3&gt;DAY(EOMONTH(DATE(設定!$C$2,設定!$D$2,1),0))),"",DATE(設定!$C$2,設定!$D$2,3))</f>
        <v/>
      </c>
      <c r="B36" s="16">
        <f>IF($A36="","",INDEX(設定!$O$6:$O$12,WEEKDAY($A36,1)))</f>
        <v/>
      </c>
      <c r="C36" s="16">
        <f>IF($A36="","",醫護長與管理部班表!$A6)</f>
        <v/>
      </c>
      <c r="D36" s="16">
        <f>IF($C36="","",醫護長與管理部班表!$B6)</f>
        <v/>
      </c>
      <c r="E36" s="16">
        <f>IF($C36="","",醫護長與管理部班表!$D6)</f>
        <v/>
      </c>
      <c r="F36" s="16">
        <f>IF($C36="","",醫護長與管理部班表!$C6)</f>
        <v/>
      </c>
      <c r="G36" s="16">
        <f>IF($C36="","",醫護長與管理部班表!G6)</f>
        <v/>
      </c>
      <c r="H36" s="87">
        <f>IF($G36="","",IFERROR(IF(INDEX(設定!$D$6:$D$21,MATCH($G36,設定!$B$6:$B$21,0))=0,"",INDEX(設定!$D$6:$D$21,MATCH($G36,設定!$B$6:$B$21,0))),""))</f>
        <v/>
      </c>
      <c r="I36" s="87">
        <f>IF($G36="","",IFERROR(IF(INDEX(設定!$E$6:$E$21,MATCH($G36,設定!$B$6:$B$21,0))=0,"",INDEX(設定!$E$6:$E$21,MATCH($G36,設定!$B$6:$B$21,0))),""))</f>
        <v/>
      </c>
      <c r="J36" s="87">
        <f>IFERROR(INDEX(打卡匯入!$C$3:$C$502,MATCH($C36&amp;"|"&amp;DAY($A36),打卡匯入!$E$3:$E$502,0)),"")</f>
        <v/>
      </c>
      <c r="K36" s="87">
        <f>IFERROR(INDEX(打卡匯入!$D$3:$D$502,MATCH($C36&amp;"|"&amp;DAY($A36),打卡匯入!$E$3:$E$502,0)),"")</f>
        <v/>
      </c>
      <c r="L36" s="88">
        <f>IF(OR($J36="",$K36=""),"",IFERROR(INDEX(設定!$F$6:$F$21,MATCH($G36,設定!$B$6:$B$21,0)),0))</f>
        <v/>
      </c>
      <c r="M36" s="89">
        <f>IF(OR($J36="",$K36=""),"",ROUND(($K36-$J36)*24-$L36/60,2))</f>
        <v/>
      </c>
      <c r="N36" s="16">
        <f>IF($C36="","",IF(AND(COUNTIF(設定!$B$15:$B$21,$G36)&gt;0,$J36&lt;&gt;""),"假日出勤",IF(AND(COUNTIF(設定!$B$6:$B$14,$G36)&gt;0,$J36=""),"未打卡",IF($J36="","",IF($O36&gt;0,"遲到",IF($P36&gt;0,"早退","正常"))))))</f>
        <v/>
      </c>
      <c r="O36" s="88">
        <f>IF(OR($C36="",$H36="",$J36=""),0,IF(ROUND(($J36-$H36)*1440,0)&gt;設定!$C$48,ROUND(($J36-$H36)*1440,0),0))</f>
        <v/>
      </c>
      <c r="P36" s="88">
        <f>IF(OR($C36="",$I36="",$K36=""),0,IF(ROUND(($I36-$K36)*1440,0)&gt;設定!$C$48,ROUND(($I36-$K36)*1440,0),0))</f>
        <v/>
      </c>
      <c r="Q36" s="89">
        <f>IF($M36="",0,IF(($M36-IFERROR(INDEX(設定!$G$6:$G$21,MATCH($G36,設定!$B$6:$B$21,0)),0))*60&gt;=設定!$C$46,ROUND(FLOOR(($M36-IFERROR(INDEX(設定!$G$6:$G$21,MATCH($G36,設定!$B$6:$B$21,0)),0))*60,設定!$C$47)/60,2),0))</f>
        <v/>
      </c>
      <c r="R36" s="16">
        <f>IF(OR($C36="",$Q36=0),"",IF($G36="國","國定假日",IF($B36="日","例假",IF($B36="六","休息日","平日"))))</f>
        <v/>
      </c>
      <c r="S36" s="18" t="n"/>
    </row>
    <row r="37">
      <c r="A37" s="86">
        <f>IF(OR(醫護長與管理部班表!$A6="",4&gt;DAY(EOMONTH(DATE(設定!$C$2,設定!$D$2,1),0))),"",DATE(設定!$C$2,設定!$D$2,4))</f>
        <v/>
      </c>
      <c r="B37" s="16">
        <f>IF($A37="","",INDEX(設定!$O$6:$O$12,WEEKDAY($A37,1)))</f>
        <v/>
      </c>
      <c r="C37" s="16">
        <f>IF($A37="","",醫護長與管理部班表!$A6)</f>
        <v/>
      </c>
      <c r="D37" s="16">
        <f>IF($C37="","",醫護長與管理部班表!$B6)</f>
        <v/>
      </c>
      <c r="E37" s="16">
        <f>IF($C37="","",醫護長與管理部班表!$D6)</f>
        <v/>
      </c>
      <c r="F37" s="16">
        <f>IF($C37="","",醫護長與管理部班表!$C6)</f>
        <v/>
      </c>
      <c r="G37" s="16">
        <f>IF($C37="","",醫護長與管理部班表!H6)</f>
        <v/>
      </c>
      <c r="H37" s="87">
        <f>IF($G37="","",IFERROR(IF(INDEX(設定!$D$6:$D$21,MATCH($G37,設定!$B$6:$B$21,0))=0,"",INDEX(設定!$D$6:$D$21,MATCH($G37,設定!$B$6:$B$21,0))),""))</f>
        <v/>
      </c>
      <c r="I37" s="87">
        <f>IF($G37="","",IFERROR(IF(INDEX(設定!$E$6:$E$21,MATCH($G37,設定!$B$6:$B$21,0))=0,"",INDEX(設定!$E$6:$E$21,MATCH($G37,設定!$B$6:$B$21,0))),""))</f>
        <v/>
      </c>
      <c r="J37" s="87">
        <f>IFERROR(INDEX(打卡匯入!$C$3:$C$502,MATCH($C37&amp;"|"&amp;DAY($A37),打卡匯入!$E$3:$E$502,0)),"")</f>
        <v/>
      </c>
      <c r="K37" s="87">
        <f>IFERROR(INDEX(打卡匯入!$D$3:$D$502,MATCH($C37&amp;"|"&amp;DAY($A37),打卡匯入!$E$3:$E$502,0)),"")</f>
        <v/>
      </c>
      <c r="L37" s="88">
        <f>IF(OR($J37="",$K37=""),"",IFERROR(INDEX(設定!$F$6:$F$21,MATCH($G37,設定!$B$6:$B$21,0)),0))</f>
        <v/>
      </c>
      <c r="M37" s="89">
        <f>IF(OR($J37="",$K37=""),"",ROUND(($K37-$J37)*24-$L37/60,2))</f>
        <v/>
      </c>
      <c r="N37" s="16">
        <f>IF($C37="","",IF(AND(COUNTIF(設定!$B$15:$B$21,$G37)&gt;0,$J37&lt;&gt;""),"假日出勤",IF(AND(COUNTIF(設定!$B$6:$B$14,$G37)&gt;0,$J37=""),"未打卡",IF($J37="","",IF($O37&gt;0,"遲到",IF($P37&gt;0,"早退","正常"))))))</f>
        <v/>
      </c>
      <c r="O37" s="88">
        <f>IF(OR($C37="",$H37="",$J37=""),0,IF(ROUND(($J37-$H37)*1440,0)&gt;設定!$C$48,ROUND(($J37-$H37)*1440,0),0))</f>
        <v/>
      </c>
      <c r="P37" s="88">
        <f>IF(OR($C37="",$I37="",$K37=""),0,IF(ROUND(($I37-$K37)*1440,0)&gt;設定!$C$48,ROUND(($I37-$K37)*1440,0),0))</f>
        <v/>
      </c>
      <c r="Q37" s="89">
        <f>IF($M37="",0,IF(($M37-IFERROR(INDEX(設定!$G$6:$G$21,MATCH($G37,設定!$B$6:$B$21,0)),0))*60&gt;=設定!$C$46,ROUND(FLOOR(($M37-IFERROR(INDEX(設定!$G$6:$G$21,MATCH($G37,設定!$B$6:$B$21,0)),0))*60,設定!$C$47)/60,2),0))</f>
        <v/>
      </c>
      <c r="R37" s="16">
        <f>IF(OR($C37="",$Q37=0),"",IF($G37="國","國定假日",IF($B37="日","例假",IF($B37="六","休息日","平日"))))</f>
        <v/>
      </c>
      <c r="S37" s="18" t="n"/>
    </row>
    <row r="38">
      <c r="A38" s="86">
        <f>IF(OR(醫護長與管理部班表!$A6="",5&gt;DAY(EOMONTH(DATE(設定!$C$2,設定!$D$2,1),0))),"",DATE(設定!$C$2,設定!$D$2,5))</f>
        <v/>
      </c>
      <c r="B38" s="16">
        <f>IF($A38="","",INDEX(設定!$O$6:$O$12,WEEKDAY($A38,1)))</f>
        <v/>
      </c>
      <c r="C38" s="16">
        <f>IF($A38="","",醫護長與管理部班表!$A6)</f>
        <v/>
      </c>
      <c r="D38" s="16">
        <f>IF($C38="","",醫護長與管理部班表!$B6)</f>
        <v/>
      </c>
      <c r="E38" s="16">
        <f>IF($C38="","",醫護長與管理部班表!$D6)</f>
        <v/>
      </c>
      <c r="F38" s="16">
        <f>IF($C38="","",醫護長與管理部班表!$C6)</f>
        <v/>
      </c>
      <c r="G38" s="16">
        <f>IF($C38="","",醫護長與管理部班表!I6)</f>
        <v/>
      </c>
      <c r="H38" s="87">
        <f>IF($G38="","",IFERROR(IF(INDEX(設定!$D$6:$D$21,MATCH($G38,設定!$B$6:$B$21,0))=0,"",INDEX(設定!$D$6:$D$21,MATCH($G38,設定!$B$6:$B$21,0))),""))</f>
        <v/>
      </c>
      <c r="I38" s="87">
        <f>IF($G38="","",IFERROR(IF(INDEX(設定!$E$6:$E$21,MATCH($G38,設定!$B$6:$B$21,0))=0,"",INDEX(設定!$E$6:$E$21,MATCH($G38,設定!$B$6:$B$21,0))),""))</f>
        <v/>
      </c>
      <c r="J38" s="87">
        <f>IFERROR(INDEX(打卡匯入!$C$3:$C$502,MATCH($C38&amp;"|"&amp;DAY($A38),打卡匯入!$E$3:$E$502,0)),"")</f>
        <v/>
      </c>
      <c r="K38" s="87">
        <f>IFERROR(INDEX(打卡匯入!$D$3:$D$502,MATCH($C38&amp;"|"&amp;DAY($A38),打卡匯入!$E$3:$E$502,0)),"")</f>
        <v/>
      </c>
      <c r="L38" s="88">
        <f>IF(OR($J38="",$K38=""),"",IFERROR(INDEX(設定!$F$6:$F$21,MATCH($G38,設定!$B$6:$B$21,0)),0))</f>
        <v/>
      </c>
      <c r="M38" s="89">
        <f>IF(OR($J38="",$K38=""),"",ROUND(($K38-$J38)*24-$L38/60,2))</f>
        <v/>
      </c>
      <c r="N38" s="16">
        <f>IF($C38="","",IF(AND(COUNTIF(設定!$B$15:$B$21,$G38)&gt;0,$J38&lt;&gt;""),"假日出勤",IF(AND(COUNTIF(設定!$B$6:$B$14,$G38)&gt;0,$J38=""),"未打卡",IF($J38="","",IF($O38&gt;0,"遲到",IF($P38&gt;0,"早退","正常"))))))</f>
        <v/>
      </c>
      <c r="O38" s="88">
        <f>IF(OR($C38="",$H38="",$J38=""),0,IF(ROUND(($J38-$H38)*1440,0)&gt;設定!$C$48,ROUND(($J38-$H38)*1440,0),0))</f>
        <v/>
      </c>
      <c r="P38" s="88">
        <f>IF(OR($C38="",$I38="",$K38=""),0,IF(ROUND(($I38-$K38)*1440,0)&gt;設定!$C$48,ROUND(($I38-$K38)*1440,0),0))</f>
        <v/>
      </c>
      <c r="Q38" s="89">
        <f>IF($M38="",0,IF(($M38-IFERROR(INDEX(設定!$G$6:$G$21,MATCH($G38,設定!$B$6:$B$21,0)),0))*60&gt;=設定!$C$46,ROUND(FLOOR(($M38-IFERROR(INDEX(設定!$G$6:$G$21,MATCH($G38,設定!$B$6:$B$21,0)),0))*60,設定!$C$47)/60,2),0))</f>
        <v/>
      </c>
      <c r="R38" s="16">
        <f>IF(OR($C38="",$Q38=0),"",IF($G38="國","國定假日",IF($B38="日","例假",IF($B38="六","休息日","平日"))))</f>
        <v/>
      </c>
      <c r="S38" s="18" t="n"/>
    </row>
    <row r="39">
      <c r="A39" s="86">
        <f>IF(OR(醫護長與管理部班表!$A6="",6&gt;DAY(EOMONTH(DATE(設定!$C$2,設定!$D$2,1),0))),"",DATE(設定!$C$2,設定!$D$2,6))</f>
        <v/>
      </c>
      <c r="B39" s="16">
        <f>IF($A39="","",INDEX(設定!$O$6:$O$12,WEEKDAY($A39,1)))</f>
        <v/>
      </c>
      <c r="C39" s="16">
        <f>IF($A39="","",醫護長與管理部班表!$A6)</f>
        <v/>
      </c>
      <c r="D39" s="16">
        <f>IF($C39="","",醫護長與管理部班表!$B6)</f>
        <v/>
      </c>
      <c r="E39" s="16">
        <f>IF($C39="","",醫護長與管理部班表!$D6)</f>
        <v/>
      </c>
      <c r="F39" s="16">
        <f>IF($C39="","",醫護長與管理部班表!$C6)</f>
        <v/>
      </c>
      <c r="G39" s="16">
        <f>IF($C39="","",醫護長與管理部班表!J6)</f>
        <v/>
      </c>
      <c r="H39" s="87">
        <f>IF($G39="","",IFERROR(IF(INDEX(設定!$D$6:$D$21,MATCH($G39,設定!$B$6:$B$21,0))=0,"",INDEX(設定!$D$6:$D$21,MATCH($G39,設定!$B$6:$B$21,0))),""))</f>
        <v/>
      </c>
      <c r="I39" s="87">
        <f>IF($G39="","",IFERROR(IF(INDEX(設定!$E$6:$E$21,MATCH($G39,設定!$B$6:$B$21,0))=0,"",INDEX(設定!$E$6:$E$21,MATCH($G39,設定!$B$6:$B$21,0))),""))</f>
        <v/>
      </c>
      <c r="J39" s="87">
        <f>IFERROR(INDEX(打卡匯入!$C$3:$C$502,MATCH($C39&amp;"|"&amp;DAY($A39),打卡匯入!$E$3:$E$502,0)),"")</f>
        <v/>
      </c>
      <c r="K39" s="87">
        <f>IFERROR(INDEX(打卡匯入!$D$3:$D$502,MATCH($C39&amp;"|"&amp;DAY($A39),打卡匯入!$E$3:$E$502,0)),"")</f>
        <v/>
      </c>
      <c r="L39" s="88">
        <f>IF(OR($J39="",$K39=""),"",IFERROR(INDEX(設定!$F$6:$F$21,MATCH($G39,設定!$B$6:$B$21,0)),0))</f>
        <v/>
      </c>
      <c r="M39" s="89">
        <f>IF(OR($J39="",$K39=""),"",ROUND(($K39-$J39)*24-$L39/60,2))</f>
        <v/>
      </c>
      <c r="N39" s="16">
        <f>IF($C39="","",IF(AND(COUNTIF(設定!$B$15:$B$21,$G39)&gt;0,$J39&lt;&gt;""),"假日出勤",IF(AND(COUNTIF(設定!$B$6:$B$14,$G39)&gt;0,$J39=""),"未打卡",IF($J39="","",IF($O39&gt;0,"遲到",IF($P39&gt;0,"早退","正常"))))))</f>
        <v/>
      </c>
      <c r="O39" s="88">
        <f>IF(OR($C39="",$H39="",$J39=""),0,IF(ROUND(($J39-$H39)*1440,0)&gt;設定!$C$48,ROUND(($J39-$H39)*1440,0),0))</f>
        <v/>
      </c>
      <c r="P39" s="88">
        <f>IF(OR($C39="",$I39="",$K39=""),0,IF(ROUND(($I39-$K39)*1440,0)&gt;設定!$C$48,ROUND(($I39-$K39)*1440,0),0))</f>
        <v/>
      </c>
      <c r="Q39" s="89">
        <f>IF($M39="",0,IF(($M39-IFERROR(INDEX(設定!$G$6:$G$21,MATCH($G39,設定!$B$6:$B$21,0)),0))*60&gt;=設定!$C$46,ROUND(FLOOR(($M39-IFERROR(INDEX(設定!$G$6:$G$21,MATCH($G39,設定!$B$6:$B$21,0)),0))*60,設定!$C$47)/60,2),0))</f>
        <v/>
      </c>
      <c r="R39" s="16">
        <f>IF(OR($C39="",$Q39=0),"",IF($G39="國","國定假日",IF($B39="日","例假",IF($B39="六","休息日","平日"))))</f>
        <v/>
      </c>
      <c r="S39" s="18" t="n"/>
    </row>
    <row r="40">
      <c r="A40" s="86">
        <f>IF(OR(醫護長與管理部班表!$A6="",7&gt;DAY(EOMONTH(DATE(設定!$C$2,設定!$D$2,1),0))),"",DATE(設定!$C$2,設定!$D$2,7))</f>
        <v/>
      </c>
      <c r="B40" s="16">
        <f>IF($A40="","",INDEX(設定!$O$6:$O$12,WEEKDAY($A40,1)))</f>
        <v/>
      </c>
      <c r="C40" s="16">
        <f>IF($A40="","",醫護長與管理部班表!$A6)</f>
        <v/>
      </c>
      <c r="D40" s="16">
        <f>IF($C40="","",醫護長與管理部班表!$B6)</f>
        <v/>
      </c>
      <c r="E40" s="16">
        <f>IF($C40="","",醫護長與管理部班表!$D6)</f>
        <v/>
      </c>
      <c r="F40" s="16">
        <f>IF($C40="","",醫護長與管理部班表!$C6)</f>
        <v/>
      </c>
      <c r="G40" s="16">
        <f>IF($C40="","",醫護長與管理部班表!K6)</f>
        <v/>
      </c>
      <c r="H40" s="87">
        <f>IF($G40="","",IFERROR(IF(INDEX(設定!$D$6:$D$21,MATCH($G40,設定!$B$6:$B$21,0))=0,"",INDEX(設定!$D$6:$D$21,MATCH($G40,設定!$B$6:$B$21,0))),""))</f>
        <v/>
      </c>
      <c r="I40" s="87">
        <f>IF($G40="","",IFERROR(IF(INDEX(設定!$E$6:$E$21,MATCH($G40,設定!$B$6:$B$21,0))=0,"",INDEX(設定!$E$6:$E$21,MATCH($G40,設定!$B$6:$B$21,0))),""))</f>
        <v/>
      </c>
      <c r="J40" s="87">
        <f>IFERROR(INDEX(打卡匯入!$C$3:$C$502,MATCH($C40&amp;"|"&amp;DAY($A40),打卡匯入!$E$3:$E$502,0)),"")</f>
        <v/>
      </c>
      <c r="K40" s="87">
        <f>IFERROR(INDEX(打卡匯入!$D$3:$D$502,MATCH($C40&amp;"|"&amp;DAY($A40),打卡匯入!$E$3:$E$502,0)),"")</f>
        <v/>
      </c>
      <c r="L40" s="88">
        <f>IF(OR($J40="",$K40=""),"",IFERROR(INDEX(設定!$F$6:$F$21,MATCH($G40,設定!$B$6:$B$21,0)),0))</f>
        <v/>
      </c>
      <c r="M40" s="89">
        <f>IF(OR($J40="",$K40=""),"",ROUND(($K40-$J40)*24-$L40/60,2))</f>
        <v/>
      </c>
      <c r="N40" s="16">
        <f>IF($C40="","",IF(AND(COUNTIF(設定!$B$15:$B$21,$G40)&gt;0,$J40&lt;&gt;""),"假日出勤",IF(AND(COUNTIF(設定!$B$6:$B$14,$G40)&gt;0,$J40=""),"未打卡",IF($J40="","",IF($O40&gt;0,"遲到",IF($P40&gt;0,"早退","正常"))))))</f>
        <v/>
      </c>
      <c r="O40" s="88">
        <f>IF(OR($C40="",$H40="",$J40=""),0,IF(ROUND(($J40-$H40)*1440,0)&gt;設定!$C$48,ROUND(($J40-$H40)*1440,0),0))</f>
        <v/>
      </c>
      <c r="P40" s="88">
        <f>IF(OR($C40="",$I40="",$K40=""),0,IF(ROUND(($I40-$K40)*1440,0)&gt;設定!$C$48,ROUND(($I40-$K40)*1440,0),0))</f>
        <v/>
      </c>
      <c r="Q40" s="89">
        <f>IF($M40="",0,IF(($M40-IFERROR(INDEX(設定!$G$6:$G$21,MATCH($G40,設定!$B$6:$B$21,0)),0))*60&gt;=設定!$C$46,ROUND(FLOOR(($M40-IFERROR(INDEX(設定!$G$6:$G$21,MATCH($G40,設定!$B$6:$B$21,0)),0))*60,設定!$C$47)/60,2),0))</f>
        <v/>
      </c>
      <c r="R40" s="16">
        <f>IF(OR($C40="",$Q40=0),"",IF($G40="國","國定假日",IF($B40="日","例假",IF($B40="六","休息日","平日"))))</f>
        <v/>
      </c>
      <c r="S40" s="18" t="n"/>
    </row>
    <row r="41">
      <c r="A41" s="86">
        <f>IF(OR(醫護長與管理部班表!$A6="",8&gt;DAY(EOMONTH(DATE(設定!$C$2,設定!$D$2,1),0))),"",DATE(設定!$C$2,設定!$D$2,8))</f>
        <v/>
      </c>
      <c r="B41" s="16">
        <f>IF($A41="","",INDEX(設定!$O$6:$O$12,WEEKDAY($A41,1)))</f>
        <v/>
      </c>
      <c r="C41" s="16">
        <f>IF($A41="","",醫護長與管理部班表!$A6)</f>
        <v/>
      </c>
      <c r="D41" s="16">
        <f>IF($C41="","",醫護長與管理部班表!$B6)</f>
        <v/>
      </c>
      <c r="E41" s="16">
        <f>IF($C41="","",醫護長與管理部班表!$D6)</f>
        <v/>
      </c>
      <c r="F41" s="16">
        <f>IF($C41="","",醫護長與管理部班表!$C6)</f>
        <v/>
      </c>
      <c r="G41" s="16">
        <f>IF($C41="","",醫護長與管理部班表!L6)</f>
        <v/>
      </c>
      <c r="H41" s="87">
        <f>IF($G41="","",IFERROR(IF(INDEX(設定!$D$6:$D$21,MATCH($G41,設定!$B$6:$B$21,0))=0,"",INDEX(設定!$D$6:$D$21,MATCH($G41,設定!$B$6:$B$21,0))),""))</f>
        <v/>
      </c>
      <c r="I41" s="87">
        <f>IF($G41="","",IFERROR(IF(INDEX(設定!$E$6:$E$21,MATCH($G41,設定!$B$6:$B$21,0))=0,"",INDEX(設定!$E$6:$E$21,MATCH($G41,設定!$B$6:$B$21,0))),""))</f>
        <v/>
      </c>
      <c r="J41" s="87">
        <f>IFERROR(INDEX(打卡匯入!$C$3:$C$502,MATCH($C41&amp;"|"&amp;DAY($A41),打卡匯入!$E$3:$E$502,0)),"")</f>
        <v/>
      </c>
      <c r="K41" s="87">
        <f>IFERROR(INDEX(打卡匯入!$D$3:$D$502,MATCH($C41&amp;"|"&amp;DAY($A41),打卡匯入!$E$3:$E$502,0)),"")</f>
        <v/>
      </c>
      <c r="L41" s="88">
        <f>IF(OR($J41="",$K41=""),"",IFERROR(INDEX(設定!$F$6:$F$21,MATCH($G41,設定!$B$6:$B$21,0)),0))</f>
        <v/>
      </c>
      <c r="M41" s="89">
        <f>IF(OR($J41="",$K41=""),"",ROUND(($K41-$J41)*24-$L41/60,2))</f>
        <v/>
      </c>
      <c r="N41" s="16">
        <f>IF($C41="","",IF(AND(COUNTIF(設定!$B$15:$B$21,$G41)&gt;0,$J41&lt;&gt;""),"假日出勤",IF(AND(COUNTIF(設定!$B$6:$B$14,$G41)&gt;0,$J41=""),"未打卡",IF($J41="","",IF($O41&gt;0,"遲到",IF($P41&gt;0,"早退","正常"))))))</f>
        <v/>
      </c>
      <c r="O41" s="88">
        <f>IF(OR($C41="",$H41="",$J41=""),0,IF(ROUND(($J41-$H41)*1440,0)&gt;設定!$C$48,ROUND(($J41-$H41)*1440,0),0))</f>
        <v/>
      </c>
      <c r="P41" s="88">
        <f>IF(OR($C41="",$I41="",$K41=""),0,IF(ROUND(($I41-$K41)*1440,0)&gt;設定!$C$48,ROUND(($I41-$K41)*1440,0),0))</f>
        <v/>
      </c>
      <c r="Q41" s="89">
        <f>IF($M41="",0,IF(($M41-IFERROR(INDEX(設定!$G$6:$G$21,MATCH($G41,設定!$B$6:$B$21,0)),0))*60&gt;=設定!$C$46,ROUND(FLOOR(($M41-IFERROR(INDEX(設定!$G$6:$G$21,MATCH($G41,設定!$B$6:$B$21,0)),0))*60,設定!$C$47)/60,2),0))</f>
        <v/>
      </c>
      <c r="R41" s="16">
        <f>IF(OR($C41="",$Q41=0),"",IF($G41="國","國定假日",IF($B41="日","例假",IF($B41="六","休息日","平日"))))</f>
        <v/>
      </c>
      <c r="S41" s="18" t="n"/>
    </row>
    <row r="42">
      <c r="A42" s="86">
        <f>IF(OR(醫護長與管理部班表!$A6="",9&gt;DAY(EOMONTH(DATE(設定!$C$2,設定!$D$2,1),0))),"",DATE(設定!$C$2,設定!$D$2,9))</f>
        <v/>
      </c>
      <c r="B42" s="16">
        <f>IF($A42="","",INDEX(設定!$O$6:$O$12,WEEKDAY($A42,1)))</f>
        <v/>
      </c>
      <c r="C42" s="16">
        <f>IF($A42="","",醫護長與管理部班表!$A6)</f>
        <v/>
      </c>
      <c r="D42" s="16">
        <f>IF($C42="","",醫護長與管理部班表!$B6)</f>
        <v/>
      </c>
      <c r="E42" s="16">
        <f>IF($C42="","",醫護長與管理部班表!$D6)</f>
        <v/>
      </c>
      <c r="F42" s="16">
        <f>IF($C42="","",醫護長與管理部班表!$C6)</f>
        <v/>
      </c>
      <c r="G42" s="16">
        <f>IF($C42="","",醫護長與管理部班表!M6)</f>
        <v/>
      </c>
      <c r="H42" s="87">
        <f>IF($G42="","",IFERROR(IF(INDEX(設定!$D$6:$D$21,MATCH($G42,設定!$B$6:$B$21,0))=0,"",INDEX(設定!$D$6:$D$21,MATCH($G42,設定!$B$6:$B$21,0))),""))</f>
        <v/>
      </c>
      <c r="I42" s="87">
        <f>IF($G42="","",IFERROR(IF(INDEX(設定!$E$6:$E$21,MATCH($G42,設定!$B$6:$B$21,0))=0,"",INDEX(設定!$E$6:$E$21,MATCH($G42,設定!$B$6:$B$21,0))),""))</f>
        <v/>
      </c>
      <c r="J42" s="87">
        <f>IFERROR(INDEX(打卡匯入!$C$3:$C$502,MATCH($C42&amp;"|"&amp;DAY($A42),打卡匯入!$E$3:$E$502,0)),"")</f>
        <v/>
      </c>
      <c r="K42" s="87">
        <f>IFERROR(INDEX(打卡匯入!$D$3:$D$502,MATCH($C42&amp;"|"&amp;DAY($A42),打卡匯入!$E$3:$E$502,0)),"")</f>
        <v/>
      </c>
      <c r="L42" s="88">
        <f>IF(OR($J42="",$K42=""),"",IFERROR(INDEX(設定!$F$6:$F$21,MATCH($G42,設定!$B$6:$B$21,0)),0))</f>
        <v/>
      </c>
      <c r="M42" s="89">
        <f>IF(OR($J42="",$K42=""),"",ROUND(($K42-$J42)*24-$L42/60,2))</f>
        <v/>
      </c>
      <c r="N42" s="16">
        <f>IF($C42="","",IF(AND(COUNTIF(設定!$B$15:$B$21,$G42)&gt;0,$J42&lt;&gt;""),"假日出勤",IF(AND(COUNTIF(設定!$B$6:$B$14,$G42)&gt;0,$J42=""),"未打卡",IF($J42="","",IF($O42&gt;0,"遲到",IF($P42&gt;0,"早退","正常"))))))</f>
        <v/>
      </c>
      <c r="O42" s="88">
        <f>IF(OR($C42="",$H42="",$J42=""),0,IF(ROUND(($J42-$H42)*1440,0)&gt;設定!$C$48,ROUND(($J42-$H42)*1440,0),0))</f>
        <v/>
      </c>
      <c r="P42" s="88">
        <f>IF(OR($C42="",$I42="",$K42=""),0,IF(ROUND(($I42-$K42)*1440,0)&gt;設定!$C$48,ROUND(($I42-$K42)*1440,0),0))</f>
        <v/>
      </c>
      <c r="Q42" s="89">
        <f>IF($M42="",0,IF(($M42-IFERROR(INDEX(設定!$G$6:$G$21,MATCH($G42,設定!$B$6:$B$21,0)),0))*60&gt;=設定!$C$46,ROUND(FLOOR(($M42-IFERROR(INDEX(設定!$G$6:$G$21,MATCH($G42,設定!$B$6:$B$21,0)),0))*60,設定!$C$47)/60,2),0))</f>
        <v/>
      </c>
      <c r="R42" s="16">
        <f>IF(OR($C42="",$Q42=0),"",IF($G42="國","國定假日",IF($B42="日","例假",IF($B42="六","休息日","平日"))))</f>
        <v/>
      </c>
      <c r="S42" s="18" t="n"/>
    </row>
    <row r="43">
      <c r="A43" s="86">
        <f>IF(OR(醫護長與管理部班表!$A6="",10&gt;DAY(EOMONTH(DATE(設定!$C$2,設定!$D$2,1),0))),"",DATE(設定!$C$2,設定!$D$2,10))</f>
        <v/>
      </c>
      <c r="B43" s="16">
        <f>IF($A43="","",INDEX(設定!$O$6:$O$12,WEEKDAY($A43,1)))</f>
        <v/>
      </c>
      <c r="C43" s="16">
        <f>IF($A43="","",醫護長與管理部班表!$A6)</f>
        <v/>
      </c>
      <c r="D43" s="16">
        <f>IF($C43="","",醫護長與管理部班表!$B6)</f>
        <v/>
      </c>
      <c r="E43" s="16">
        <f>IF($C43="","",醫護長與管理部班表!$D6)</f>
        <v/>
      </c>
      <c r="F43" s="16">
        <f>IF($C43="","",醫護長與管理部班表!$C6)</f>
        <v/>
      </c>
      <c r="G43" s="16">
        <f>IF($C43="","",醫護長與管理部班表!N6)</f>
        <v/>
      </c>
      <c r="H43" s="87">
        <f>IF($G43="","",IFERROR(IF(INDEX(設定!$D$6:$D$21,MATCH($G43,設定!$B$6:$B$21,0))=0,"",INDEX(設定!$D$6:$D$21,MATCH($G43,設定!$B$6:$B$21,0))),""))</f>
        <v/>
      </c>
      <c r="I43" s="87">
        <f>IF($G43="","",IFERROR(IF(INDEX(設定!$E$6:$E$21,MATCH($G43,設定!$B$6:$B$21,0))=0,"",INDEX(設定!$E$6:$E$21,MATCH($G43,設定!$B$6:$B$21,0))),""))</f>
        <v/>
      </c>
      <c r="J43" s="87">
        <f>IFERROR(INDEX(打卡匯入!$C$3:$C$502,MATCH($C43&amp;"|"&amp;DAY($A43),打卡匯入!$E$3:$E$502,0)),"")</f>
        <v/>
      </c>
      <c r="K43" s="87">
        <f>IFERROR(INDEX(打卡匯入!$D$3:$D$502,MATCH($C43&amp;"|"&amp;DAY($A43),打卡匯入!$E$3:$E$502,0)),"")</f>
        <v/>
      </c>
      <c r="L43" s="88">
        <f>IF(OR($J43="",$K43=""),"",IFERROR(INDEX(設定!$F$6:$F$21,MATCH($G43,設定!$B$6:$B$21,0)),0))</f>
        <v/>
      </c>
      <c r="M43" s="89">
        <f>IF(OR($J43="",$K43=""),"",ROUND(($K43-$J43)*24-$L43/60,2))</f>
        <v/>
      </c>
      <c r="N43" s="16">
        <f>IF($C43="","",IF(AND(COUNTIF(設定!$B$15:$B$21,$G43)&gt;0,$J43&lt;&gt;""),"假日出勤",IF(AND(COUNTIF(設定!$B$6:$B$14,$G43)&gt;0,$J43=""),"未打卡",IF($J43="","",IF($O43&gt;0,"遲到",IF($P43&gt;0,"早退","正常"))))))</f>
        <v/>
      </c>
      <c r="O43" s="88">
        <f>IF(OR($C43="",$H43="",$J43=""),0,IF(ROUND(($J43-$H43)*1440,0)&gt;設定!$C$48,ROUND(($J43-$H43)*1440,0),0))</f>
        <v/>
      </c>
      <c r="P43" s="88">
        <f>IF(OR($C43="",$I43="",$K43=""),0,IF(ROUND(($I43-$K43)*1440,0)&gt;設定!$C$48,ROUND(($I43-$K43)*1440,0),0))</f>
        <v/>
      </c>
      <c r="Q43" s="89">
        <f>IF($M43="",0,IF(($M43-IFERROR(INDEX(設定!$G$6:$G$21,MATCH($G43,設定!$B$6:$B$21,0)),0))*60&gt;=設定!$C$46,ROUND(FLOOR(($M43-IFERROR(INDEX(設定!$G$6:$G$21,MATCH($G43,設定!$B$6:$B$21,0)),0))*60,設定!$C$47)/60,2),0))</f>
        <v/>
      </c>
      <c r="R43" s="16">
        <f>IF(OR($C43="",$Q43=0),"",IF($G43="國","國定假日",IF($B43="日","例假",IF($B43="六","休息日","平日"))))</f>
        <v/>
      </c>
      <c r="S43" s="18" t="n"/>
    </row>
    <row r="44">
      <c r="A44" s="86">
        <f>IF(OR(醫護長與管理部班表!$A6="",11&gt;DAY(EOMONTH(DATE(設定!$C$2,設定!$D$2,1),0))),"",DATE(設定!$C$2,設定!$D$2,11))</f>
        <v/>
      </c>
      <c r="B44" s="16">
        <f>IF($A44="","",INDEX(設定!$O$6:$O$12,WEEKDAY($A44,1)))</f>
        <v/>
      </c>
      <c r="C44" s="16">
        <f>IF($A44="","",醫護長與管理部班表!$A6)</f>
        <v/>
      </c>
      <c r="D44" s="16">
        <f>IF($C44="","",醫護長與管理部班表!$B6)</f>
        <v/>
      </c>
      <c r="E44" s="16">
        <f>IF($C44="","",醫護長與管理部班表!$D6)</f>
        <v/>
      </c>
      <c r="F44" s="16">
        <f>IF($C44="","",醫護長與管理部班表!$C6)</f>
        <v/>
      </c>
      <c r="G44" s="16">
        <f>IF($C44="","",醫護長與管理部班表!O6)</f>
        <v/>
      </c>
      <c r="H44" s="87">
        <f>IF($G44="","",IFERROR(IF(INDEX(設定!$D$6:$D$21,MATCH($G44,設定!$B$6:$B$21,0))=0,"",INDEX(設定!$D$6:$D$21,MATCH($G44,設定!$B$6:$B$21,0))),""))</f>
        <v/>
      </c>
      <c r="I44" s="87">
        <f>IF($G44="","",IFERROR(IF(INDEX(設定!$E$6:$E$21,MATCH($G44,設定!$B$6:$B$21,0))=0,"",INDEX(設定!$E$6:$E$21,MATCH($G44,設定!$B$6:$B$21,0))),""))</f>
        <v/>
      </c>
      <c r="J44" s="87">
        <f>IFERROR(INDEX(打卡匯入!$C$3:$C$502,MATCH($C44&amp;"|"&amp;DAY($A44),打卡匯入!$E$3:$E$502,0)),"")</f>
        <v/>
      </c>
      <c r="K44" s="87">
        <f>IFERROR(INDEX(打卡匯入!$D$3:$D$502,MATCH($C44&amp;"|"&amp;DAY($A44),打卡匯入!$E$3:$E$502,0)),"")</f>
        <v/>
      </c>
      <c r="L44" s="88">
        <f>IF(OR($J44="",$K44=""),"",IFERROR(INDEX(設定!$F$6:$F$21,MATCH($G44,設定!$B$6:$B$21,0)),0))</f>
        <v/>
      </c>
      <c r="M44" s="89">
        <f>IF(OR($J44="",$K44=""),"",ROUND(($K44-$J44)*24-$L44/60,2))</f>
        <v/>
      </c>
      <c r="N44" s="16">
        <f>IF($C44="","",IF(AND(COUNTIF(設定!$B$15:$B$21,$G44)&gt;0,$J44&lt;&gt;""),"假日出勤",IF(AND(COUNTIF(設定!$B$6:$B$14,$G44)&gt;0,$J44=""),"未打卡",IF($J44="","",IF($O44&gt;0,"遲到",IF($P44&gt;0,"早退","正常"))))))</f>
        <v/>
      </c>
      <c r="O44" s="88">
        <f>IF(OR($C44="",$H44="",$J44=""),0,IF(ROUND(($J44-$H44)*1440,0)&gt;設定!$C$48,ROUND(($J44-$H44)*1440,0),0))</f>
        <v/>
      </c>
      <c r="P44" s="88">
        <f>IF(OR($C44="",$I44="",$K44=""),0,IF(ROUND(($I44-$K44)*1440,0)&gt;設定!$C$48,ROUND(($I44-$K44)*1440,0),0))</f>
        <v/>
      </c>
      <c r="Q44" s="89">
        <f>IF($M44="",0,IF(($M44-IFERROR(INDEX(設定!$G$6:$G$21,MATCH($G44,設定!$B$6:$B$21,0)),0))*60&gt;=設定!$C$46,ROUND(FLOOR(($M44-IFERROR(INDEX(設定!$G$6:$G$21,MATCH($G44,設定!$B$6:$B$21,0)),0))*60,設定!$C$47)/60,2),0))</f>
        <v/>
      </c>
      <c r="R44" s="16">
        <f>IF(OR($C44="",$Q44=0),"",IF($G44="國","國定假日",IF($B44="日","例假",IF($B44="六","休息日","平日"))))</f>
        <v/>
      </c>
      <c r="S44" s="18" t="n"/>
    </row>
    <row r="45">
      <c r="A45" s="86">
        <f>IF(OR(醫護長與管理部班表!$A6="",12&gt;DAY(EOMONTH(DATE(設定!$C$2,設定!$D$2,1),0))),"",DATE(設定!$C$2,設定!$D$2,12))</f>
        <v/>
      </c>
      <c r="B45" s="16">
        <f>IF($A45="","",INDEX(設定!$O$6:$O$12,WEEKDAY($A45,1)))</f>
        <v/>
      </c>
      <c r="C45" s="16">
        <f>IF($A45="","",醫護長與管理部班表!$A6)</f>
        <v/>
      </c>
      <c r="D45" s="16">
        <f>IF($C45="","",醫護長與管理部班表!$B6)</f>
        <v/>
      </c>
      <c r="E45" s="16">
        <f>IF($C45="","",醫護長與管理部班表!$D6)</f>
        <v/>
      </c>
      <c r="F45" s="16">
        <f>IF($C45="","",醫護長與管理部班表!$C6)</f>
        <v/>
      </c>
      <c r="G45" s="16">
        <f>IF($C45="","",醫護長與管理部班表!P6)</f>
        <v/>
      </c>
      <c r="H45" s="87">
        <f>IF($G45="","",IFERROR(IF(INDEX(設定!$D$6:$D$21,MATCH($G45,設定!$B$6:$B$21,0))=0,"",INDEX(設定!$D$6:$D$21,MATCH($G45,設定!$B$6:$B$21,0))),""))</f>
        <v/>
      </c>
      <c r="I45" s="87">
        <f>IF($G45="","",IFERROR(IF(INDEX(設定!$E$6:$E$21,MATCH($G45,設定!$B$6:$B$21,0))=0,"",INDEX(設定!$E$6:$E$21,MATCH($G45,設定!$B$6:$B$21,0))),""))</f>
        <v/>
      </c>
      <c r="J45" s="87">
        <f>IFERROR(INDEX(打卡匯入!$C$3:$C$502,MATCH($C45&amp;"|"&amp;DAY($A45),打卡匯入!$E$3:$E$502,0)),"")</f>
        <v/>
      </c>
      <c r="K45" s="87">
        <f>IFERROR(INDEX(打卡匯入!$D$3:$D$502,MATCH($C45&amp;"|"&amp;DAY($A45),打卡匯入!$E$3:$E$502,0)),"")</f>
        <v/>
      </c>
      <c r="L45" s="88">
        <f>IF(OR($J45="",$K45=""),"",IFERROR(INDEX(設定!$F$6:$F$21,MATCH($G45,設定!$B$6:$B$21,0)),0))</f>
        <v/>
      </c>
      <c r="M45" s="89">
        <f>IF(OR($J45="",$K45=""),"",ROUND(($K45-$J45)*24-$L45/60,2))</f>
        <v/>
      </c>
      <c r="N45" s="16">
        <f>IF($C45="","",IF(AND(COUNTIF(設定!$B$15:$B$21,$G45)&gt;0,$J45&lt;&gt;""),"假日出勤",IF(AND(COUNTIF(設定!$B$6:$B$14,$G45)&gt;0,$J45=""),"未打卡",IF($J45="","",IF($O45&gt;0,"遲到",IF($P45&gt;0,"早退","正常"))))))</f>
        <v/>
      </c>
      <c r="O45" s="88">
        <f>IF(OR($C45="",$H45="",$J45=""),0,IF(ROUND(($J45-$H45)*1440,0)&gt;設定!$C$48,ROUND(($J45-$H45)*1440,0),0))</f>
        <v/>
      </c>
      <c r="P45" s="88">
        <f>IF(OR($C45="",$I45="",$K45=""),0,IF(ROUND(($I45-$K45)*1440,0)&gt;設定!$C$48,ROUND(($I45-$K45)*1440,0),0))</f>
        <v/>
      </c>
      <c r="Q45" s="89">
        <f>IF($M45="",0,IF(($M45-IFERROR(INDEX(設定!$G$6:$G$21,MATCH($G45,設定!$B$6:$B$21,0)),0))*60&gt;=設定!$C$46,ROUND(FLOOR(($M45-IFERROR(INDEX(設定!$G$6:$G$21,MATCH($G45,設定!$B$6:$B$21,0)),0))*60,設定!$C$47)/60,2),0))</f>
        <v/>
      </c>
      <c r="R45" s="16">
        <f>IF(OR($C45="",$Q45=0),"",IF($G45="國","國定假日",IF($B45="日","例假",IF($B45="六","休息日","平日"))))</f>
        <v/>
      </c>
      <c r="S45" s="18" t="n"/>
    </row>
    <row r="46">
      <c r="A46" s="86">
        <f>IF(OR(醫護長與管理部班表!$A6="",13&gt;DAY(EOMONTH(DATE(設定!$C$2,設定!$D$2,1),0))),"",DATE(設定!$C$2,設定!$D$2,13))</f>
        <v/>
      </c>
      <c r="B46" s="16">
        <f>IF($A46="","",INDEX(設定!$O$6:$O$12,WEEKDAY($A46,1)))</f>
        <v/>
      </c>
      <c r="C46" s="16">
        <f>IF($A46="","",醫護長與管理部班表!$A6)</f>
        <v/>
      </c>
      <c r="D46" s="16">
        <f>IF($C46="","",醫護長與管理部班表!$B6)</f>
        <v/>
      </c>
      <c r="E46" s="16">
        <f>IF($C46="","",醫護長與管理部班表!$D6)</f>
        <v/>
      </c>
      <c r="F46" s="16">
        <f>IF($C46="","",醫護長與管理部班表!$C6)</f>
        <v/>
      </c>
      <c r="G46" s="16">
        <f>IF($C46="","",醫護長與管理部班表!Q6)</f>
        <v/>
      </c>
      <c r="H46" s="87">
        <f>IF($G46="","",IFERROR(IF(INDEX(設定!$D$6:$D$21,MATCH($G46,設定!$B$6:$B$21,0))=0,"",INDEX(設定!$D$6:$D$21,MATCH($G46,設定!$B$6:$B$21,0))),""))</f>
        <v/>
      </c>
      <c r="I46" s="87">
        <f>IF($G46="","",IFERROR(IF(INDEX(設定!$E$6:$E$21,MATCH($G46,設定!$B$6:$B$21,0))=0,"",INDEX(設定!$E$6:$E$21,MATCH($G46,設定!$B$6:$B$21,0))),""))</f>
        <v/>
      </c>
      <c r="J46" s="87">
        <f>IFERROR(INDEX(打卡匯入!$C$3:$C$502,MATCH($C46&amp;"|"&amp;DAY($A46),打卡匯入!$E$3:$E$502,0)),"")</f>
        <v/>
      </c>
      <c r="K46" s="87">
        <f>IFERROR(INDEX(打卡匯入!$D$3:$D$502,MATCH($C46&amp;"|"&amp;DAY($A46),打卡匯入!$E$3:$E$502,0)),"")</f>
        <v/>
      </c>
      <c r="L46" s="88">
        <f>IF(OR($J46="",$K46=""),"",IFERROR(INDEX(設定!$F$6:$F$21,MATCH($G46,設定!$B$6:$B$21,0)),0))</f>
        <v/>
      </c>
      <c r="M46" s="89">
        <f>IF(OR($J46="",$K46=""),"",ROUND(($K46-$J46)*24-$L46/60,2))</f>
        <v/>
      </c>
      <c r="N46" s="16">
        <f>IF($C46="","",IF(AND(COUNTIF(設定!$B$15:$B$21,$G46)&gt;0,$J46&lt;&gt;""),"假日出勤",IF(AND(COUNTIF(設定!$B$6:$B$14,$G46)&gt;0,$J46=""),"未打卡",IF($J46="","",IF($O46&gt;0,"遲到",IF($P46&gt;0,"早退","正常"))))))</f>
        <v/>
      </c>
      <c r="O46" s="88">
        <f>IF(OR($C46="",$H46="",$J46=""),0,IF(ROUND(($J46-$H46)*1440,0)&gt;設定!$C$48,ROUND(($J46-$H46)*1440,0),0))</f>
        <v/>
      </c>
      <c r="P46" s="88">
        <f>IF(OR($C46="",$I46="",$K46=""),0,IF(ROUND(($I46-$K46)*1440,0)&gt;設定!$C$48,ROUND(($I46-$K46)*1440,0),0))</f>
        <v/>
      </c>
      <c r="Q46" s="89">
        <f>IF($M46="",0,IF(($M46-IFERROR(INDEX(設定!$G$6:$G$21,MATCH($G46,設定!$B$6:$B$21,0)),0))*60&gt;=設定!$C$46,ROUND(FLOOR(($M46-IFERROR(INDEX(設定!$G$6:$G$21,MATCH($G46,設定!$B$6:$B$21,0)),0))*60,設定!$C$47)/60,2),0))</f>
        <v/>
      </c>
      <c r="R46" s="16">
        <f>IF(OR($C46="",$Q46=0),"",IF($G46="國","國定假日",IF($B46="日","例假",IF($B46="六","休息日","平日"))))</f>
        <v/>
      </c>
      <c r="S46" s="18" t="n"/>
    </row>
    <row r="47">
      <c r="A47" s="86">
        <f>IF(OR(醫護長與管理部班表!$A6="",14&gt;DAY(EOMONTH(DATE(設定!$C$2,設定!$D$2,1),0))),"",DATE(設定!$C$2,設定!$D$2,14))</f>
        <v/>
      </c>
      <c r="B47" s="16">
        <f>IF($A47="","",INDEX(設定!$O$6:$O$12,WEEKDAY($A47,1)))</f>
        <v/>
      </c>
      <c r="C47" s="16">
        <f>IF($A47="","",醫護長與管理部班表!$A6)</f>
        <v/>
      </c>
      <c r="D47" s="16">
        <f>IF($C47="","",醫護長與管理部班表!$B6)</f>
        <v/>
      </c>
      <c r="E47" s="16">
        <f>IF($C47="","",醫護長與管理部班表!$D6)</f>
        <v/>
      </c>
      <c r="F47" s="16">
        <f>IF($C47="","",醫護長與管理部班表!$C6)</f>
        <v/>
      </c>
      <c r="G47" s="16">
        <f>IF($C47="","",醫護長與管理部班表!R6)</f>
        <v/>
      </c>
      <c r="H47" s="87">
        <f>IF($G47="","",IFERROR(IF(INDEX(設定!$D$6:$D$21,MATCH($G47,設定!$B$6:$B$21,0))=0,"",INDEX(設定!$D$6:$D$21,MATCH($G47,設定!$B$6:$B$21,0))),""))</f>
        <v/>
      </c>
      <c r="I47" s="87">
        <f>IF($G47="","",IFERROR(IF(INDEX(設定!$E$6:$E$21,MATCH($G47,設定!$B$6:$B$21,0))=0,"",INDEX(設定!$E$6:$E$21,MATCH($G47,設定!$B$6:$B$21,0))),""))</f>
        <v/>
      </c>
      <c r="J47" s="87">
        <f>IFERROR(INDEX(打卡匯入!$C$3:$C$502,MATCH($C47&amp;"|"&amp;DAY($A47),打卡匯入!$E$3:$E$502,0)),"")</f>
        <v/>
      </c>
      <c r="K47" s="87">
        <f>IFERROR(INDEX(打卡匯入!$D$3:$D$502,MATCH($C47&amp;"|"&amp;DAY($A47),打卡匯入!$E$3:$E$502,0)),"")</f>
        <v/>
      </c>
      <c r="L47" s="88">
        <f>IF(OR($J47="",$K47=""),"",IFERROR(INDEX(設定!$F$6:$F$21,MATCH($G47,設定!$B$6:$B$21,0)),0))</f>
        <v/>
      </c>
      <c r="M47" s="89">
        <f>IF(OR($J47="",$K47=""),"",ROUND(($K47-$J47)*24-$L47/60,2))</f>
        <v/>
      </c>
      <c r="N47" s="16">
        <f>IF($C47="","",IF(AND(COUNTIF(設定!$B$15:$B$21,$G47)&gt;0,$J47&lt;&gt;""),"假日出勤",IF(AND(COUNTIF(設定!$B$6:$B$14,$G47)&gt;0,$J47=""),"未打卡",IF($J47="","",IF($O47&gt;0,"遲到",IF($P47&gt;0,"早退","正常"))))))</f>
        <v/>
      </c>
      <c r="O47" s="88">
        <f>IF(OR($C47="",$H47="",$J47=""),0,IF(ROUND(($J47-$H47)*1440,0)&gt;設定!$C$48,ROUND(($J47-$H47)*1440,0),0))</f>
        <v/>
      </c>
      <c r="P47" s="88">
        <f>IF(OR($C47="",$I47="",$K47=""),0,IF(ROUND(($I47-$K47)*1440,0)&gt;設定!$C$48,ROUND(($I47-$K47)*1440,0),0))</f>
        <v/>
      </c>
      <c r="Q47" s="89">
        <f>IF($M47="",0,IF(($M47-IFERROR(INDEX(設定!$G$6:$G$21,MATCH($G47,設定!$B$6:$B$21,0)),0))*60&gt;=設定!$C$46,ROUND(FLOOR(($M47-IFERROR(INDEX(設定!$G$6:$G$21,MATCH($G47,設定!$B$6:$B$21,0)),0))*60,設定!$C$47)/60,2),0))</f>
        <v/>
      </c>
      <c r="R47" s="16">
        <f>IF(OR($C47="",$Q47=0),"",IF($G47="國","國定假日",IF($B47="日","例假",IF($B47="六","休息日","平日"))))</f>
        <v/>
      </c>
      <c r="S47" s="18" t="n"/>
    </row>
    <row r="48">
      <c r="A48" s="86">
        <f>IF(OR(醫護長與管理部班表!$A6="",15&gt;DAY(EOMONTH(DATE(設定!$C$2,設定!$D$2,1),0))),"",DATE(設定!$C$2,設定!$D$2,15))</f>
        <v/>
      </c>
      <c r="B48" s="16">
        <f>IF($A48="","",INDEX(設定!$O$6:$O$12,WEEKDAY($A48,1)))</f>
        <v/>
      </c>
      <c r="C48" s="16">
        <f>IF($A48="","",醫護長與管理部班表!$A6)</f>
        <v/>
      </c>
      <c r="D48" s="16">
        <f>IF($C48="","",醫護長與管理部班表!$B6)</f>
        <v/>
      </c>
      <c r="E48" s="16">
        <f>IF($C48="","",醫護長與管理部班表!$D6)</f>
        <v/>
      </c>
      <c r="F48" s="16">
        <f>IF($C48="","",醫護長與管理部班表!$C6)</f>
        <v/>
      </c>
      <c r="G48" s="16">
        <f>IF($C48="","",醫護長與管理部班表!S6)</f>
        <v/>
      </c>
      <c r="H48" s="87">
        <f>IF($G48="","",IFERROR(IF(INDEX(設定!$D$6:$D$21,MATCH($G48,設定!$B$6:$B$21,0))=0,"",INDEX(設定!$D$6:$D$21,MATCH($G48,設定!$B$6:$B$21,0))),""))</f>
        <v/>
      </c>
      <c r="I48" s="87">
        <f>IF($G48="","",IFERROR(IF(INDEX(設定!$E$6:$E$21,MATCH($G48,設定!$B$6:$B$21,0))=0,"",INDEX(設定!$E$6:$E$21,MATCH($G48,設定!$B$6:$B$21,0))),""))</f>
        <v/>
      </c>
      <c r="J48" s="87">
        <f>IFERROR(INDEX(打卡匯入!$C$3:$C$502,MATCH($C48&amp;"|"&amp;DAY($A48),打卡匯入!$E$3:$E$502,0)),"")</f>
        <v/>
      </c>
      <c r="K48" s="87">
        <f>IFERROR(INDEX(打卡匯入!$D$3:$D$502,MATCH($C48&amp;"|"&amp;DAY($A48),打卡匯入!$E$3:$E$502,0)),"")</f>
        <v/>
      </c>
      <c r="L48" s="88">
        <f>IF(OR($J48="",$K48=""),"",IFERROR(INDEX(設定!$F$6:$F$21,MATCH($G48,設定!$B$6:$B$21,0)),0))</f>
        <v/>
      </c>
      <c r="M48" s="89">
        <f>IF(OR($J48="",$K48=""),"",ROUND(($K48-$J48)*24-$L48/60,2))</f>
        <v/>
      </c>
      <c r="N48" s="16">
        <f>IF($C48="","",IF(AND(COUNTIF(設定!$B$15:$B$21,$G48)&gt;0,$J48&lt;&gt;""),"假日出勤",IF(AND(COUNTIF(設定!$B$6:$B$14,$G48)&gt;0,$J48=""),"未打卡",IF($J48="","",IF($O48&gt;0,"遲到",IF($P48&gt;0,"早退","正常"))))))</f>
        <v/>
      </c>
      <c r="O48" s="88">
        <f>IF(OR($C48="",$H48="",$J48=""),0,IF(ROUND(($J48-$H48)*1440,0)&gt;設定!$C$48,ROUND(($J48-$H48)*1440,0),0))</f>
        <v/>
      </c>
      <c r="P48" s="88">
        <f>IF(OR($C48="",$I48="",$K48=""),0,IF(ROUND(($I48-$K48)*1440,0)&gt;設定!$C$48,ROUND(($I48-$K48)*1440,0),0))</f>
        <v/>
      </c>
      <c r="Q48" s="89">
        <f>IF($M48="",0,IF(($M48-IFERROR(INDEX(設定!$G$6:$G$21,MATCH($G48,設定!$B$6:$B$21,0)),0))*60&gt;=設定!$C$46,ROUND(FLOOR(($M48-IFERROR(INDEX(設定!$G$6:$G$21,MATCH($G48,設定!$B$6:$B$21,0)),0))*60,設定!$C$47)/60,2),0))</f>
        <v/>
      </c>
      <c r="R48" s="16">
        <f>IF(OR($C48="",$Q48=0),"",IF($G48="國","國定假日",IF($B48="日","例假",IF($B48="六","休息日","平日"))))</f>
        <v/>
      </c>
      <c r="S48" s="18" t="n"/>
    </row>
    <row r="49">
      <c r="A49" s="86">
        <f>IF(OR(醫護長與管理部班表!$A6="",16&gt;DAY(EOMONTH(DATE(設定!$C$2,設定!$D$2,1),0))),"",DATE(設定!$C$2,設定!$D$2,16))</f>
        <v/>
      </c>
      <c r="B49" s="16">
        <f>IF($A49="","",INDEX(設定!$O$6:$O$12,WEEKDAY($A49,1)))</f>
        <v/>
      </c>
      <c r="C49" s="16">
        <f>IF($A49="","",醫護長與管理部班表!$A6)</f>
        <v/>
      </c>
      <c r="D49" s="16">
        <f>IF($C49="","",醫護長與管理部班表!$B6)</f>
        <v/>
      </c>
      <c r="E49" s="16">
        <f>IF($C49="","",醫護長與管理部班表!$D6)</f>
        <v/>
      </c>
      <c r="F49" s="16">
        <f>IF($C49="","",醫護長與管理部班表!$C6)</f>
        <v/>
      </c>
      <c r="G49" s="16">
        <f>IF($C49="","",醫護長與管理部班表!T6)</f>
        <v/>
      </c>
      <c r="H49" s="87">
        <f>IF($G49="","",IFERROR(IF(INDEX(設定!$D$6:$D$21,MATCH($G49,設定!$B$6:$B$21,0))=0,"",INDEX(設定!$D$6:$D$21,MATCH($G49,設定!$B$6:$B$21,0))),""))</f>
        <v/>
      </c>
      <c r="I49" s="87">
        <f>IF($G49="","",IFERROR(IF(INDEX(設定!$E$6:$E$21,MATCH($G49,設定!$B$6:$B$21,0))=0,"",INDEX(設定!$E$6:$E$21,MATCH($G49,設定!$B$6:$B$21,0))),""))</f>
        <v/>
      </c>
      <c r="J49" s="87">
        <f>IFERROR(INDEX(打卡匯入!$C$3:$C$502,MATCH($C49&amp;"|"&amp;DAY($A49),打卡匯入!$E$3:$E$502,0)),"")</f>
        <v/>
      </c>
      <c r="K49" s="87">
        <f>IFERROR(INDEX(打卡匯入!$D$3:$D$502,MATCH($C49&amp;"|"&amp;DAY($A49),打卡匯入!$E$3:$E$502,0)),"")</f>
        <v/>
      </c>
      <c r="L49" s="88">
        <f>IF(OR($J49="",$K49=""),"",IFERROR(INDEX(設定!$F$6:$F$21,MATCH($G49,設定!$B$6:$B$21,0)),0))</f>
        <v/>
      </c>
      <c r="M49" s="89">
        <f>IF(OR($J49="",$K49=""),"",ROUND(($K49-$J49)*24-$L49/60,2))</f>
        <v/>
      </c>
      <c r="N49" s="16">
        <f>IF($C49="","",IF(AND(COUNTIF(設定!$B$15:$B$21,$G49)&gt;0,$J49&lt;&gt;""),"假日出勤",IF(AND(COUNTIF(設定!$B$6:$B$14,$G49)&gt;0,$J49=""),"未打卡",IF($J49="","",IF($O49&gt;0,"遲到",IF($P49&gt;0,"早退","正常"))))))</f>
        <v/>
      </c>
      <c r="O49" s="88">
        <f>IF(OR($C49="",$H49="",$J49=""),0,IF(ROUND(($J49-$H49)*1440,0)&gt;設定!$C$48,ROUND(($J49-$H49)*1440,0),0))</f>
        <v/>
      </c>
      <c r="P49" s="88">
        <f>IF(OR($C49="",$I49="",$K49=""),0,IF(ROUND(($I49-$K49)*1440,0)&gt;設定!$C$48,ROUND(($I49-$K49)*1440,0),0))</f>
        <v/>
      </c>
      <c r="Q49" s="89">
        <f>IF($M49="",0,IF(($M49-IFERROR(INDEX(設定!$G$6:$G$21,MATCH($G49,設定!$B$6:$B$21,0)),0))*60&gt;=設定!$C$46,ROUND(FLOOR(($M49-IFERROR(INDEX(設定!$G$6:$G$21,MATCH($G49,設定!$B$6:$B$21,0)),0))*60,設定!$C$47)/60,2),0))</f>
        <v/>
      </c>
      <c r="R49" s="16">
        <f>IF(OR($C49="",$Q49=0),"",IF($G49="國","國定假日",IF($B49="日","例假",IF($B49="六","休息日","平日"))))</f>
        <v/>
      </c>
      <c r="S49" s="18" t="n"/>
    </row>
    <row r="50">
      <c r="A50" s="86">
        <f>IF(OR(醫護長與管理部班表!$A6="",17&gt;DAY(EOMONTH(DATE(設定!$C$2,設定!$D$2,1),0))),"",DATE(設定!$C$2,設定!$D$2,17))</f>
        <v/>
      </c>
      <c r="B50" s="16">
        <f>IF($A50="","",INDEX(設定!$O$6:$O$12,WEEKDAY($A50,1)))</f>
        <v/>
      </c>
      <c r="C50" s="16">
        <f>IF($A50="","",醫護長與管理部班表!$A6)</f>
        <v/>
      </c>
      <c r="D50" s="16">
        <f>IF($C50="","",醫護長與管理部班表!$B6)</f>
        <v/>
      </c>
      <c r="E50" s="16">
        <f>IF($C50="","",醫護長與管理部班表!$D6)</f>
        <v/>
      </c>
      <c r="F50" s="16">
        <f>IF($C50="","",醫護長與管理部班表!$C6)</f>
        <v/>
      </c>
      <c r="G50" s="16">
        <f>IF($C50="","",醫護長與管理部班表!U6)</f>
        <v/>
      </c>
      <c r="H50" s="87">
        <f>IF($G50="","",IFERROR(IF(INDEX(設定!$D$6:$D$21,MATCH($G50,設定!$B$6:$B$21,0))=0,"",INDEX(設定!$D$6:$D$21,MATCH($G50,設定!$B$6:$B$21,0))),""))</f>
        <v/>
      </c>
      <c r="I50" s="87">
        <f>IF($G50="","",IFERROR(IF(INDEX(設定!$E$6:$E$21,MATCH($G50,設定!$B$6:$B$21,0))=0,"",INDEX(設定!$E$6:$E$21,MATCH($G50,設定!$B$6:$B$21,0))),""))</f>
        <v/>
      </c>
      <c r="J50" s="87">
        <f>IFERROR(INDEX(打卡匯入!$C$3:$C$502,MATCH($C50&amp;"|"&amp;DAY($A50),打卡匯入!$E$3:$E$502,0)),"")</f>
        <v/>
      </c>
      <c r="K50" s="87">
        <f>IFERROR(INDEX(打卡匯入!$D$3:$D$502,MATCH($C50&amp;"|"&amp;DAY($A50),打卡匯入!$E$3:$E$502,0)),"")</f>
        <v/>
      </c>
      <c r="L50" s="88">
        <f>IF(OR($J50="",$K50=""),"",IFERROR(INDEX(設定!$F$6:$F$21,MATCH($G50,設定!$B$6:$B$21,0)),0))</f>
        <v/>
      </c>
      <c r="M50" s="89">
        <f>IF(OR($J50="",$K50=""),"",ROUND(($K50-$J50)*24-$L50/60,2))</f>
        <v/>
      </c>
      <c r="N50" s="16">
        <f>IF($C50="","",IF(AND(COUNTIF(設定!$B$15:$B$21,$G50)&gt;0,$J50&lt;&gt;""),"假日出勤",IF(AND(COUNTIF(設定!$B$6:$B$14,$G50)&gt;0,$J50=""),"未打卡",IF($J50="","",IF($O50&gt;0,"遲到",IF($P50&gt;0,"早退","正常"))))))</f>
        <v/>
      </c>
      <c r="O50" s="88">
        <f>IF(OR($C50="",$H50="",$J50=""),0,IF(ROUND(($J50-$H50)*1440,0)&gt;設定!$C$48,ROUND(($J50-$H50)*1440,0),0))</f>
        <v/>
      </c>
      <c r="P50" s="88">
        <f>IF(OR($C50="",$I50="",$K50=""),0,IF(ROUND(($I50-$K50)*1440,0)&gt;設定!$C$48,ROUND(($I50-$K50)*1440,0),0))</f>
        <v/>
      </c>
      <c r="Q50" s="89">
        <f>IF($M50="",0,IF(($M50-IFERROR(INDEX(設定!$G$6:$G$21,MATCH($G50,設定!$B$6:$B$21,0)),0))*60&gt;=設定!$C$46,ROUND(FLOOR(($M50-IFERROR(INDEX(設定!$G$6:$G$21,MATCH($G50,設定!$B$6:$B$21,0)),0))*60,設定!$C$47)/60,2),0))</f>
        <v/>
      </c>
      <c r="R50" s="16">
        <f>IF(OR($C50="",$Q50=0),"",IF($G50="國","國定假日",IF($B50="日","例假",IF($B50="六","休息日","平日"))))</f>
        <v/>
      </c>
      <c r="S50" s="18" t="n"/>
    </row>
    <row r="51">
      <c r="A51" s="86">
        <f>IF(OR(醫護長與管理部班表!$A6="",18&gt;DAY(EOMONTH(DATE(設定!$C$2,設定!$D$2,1),0))),"",DATE(設定!$C$2,設定!$D$2,18))</f>
        <v/>
      </c>
      <c r="B51" s="16">
        <f>IF($A51="","",INDEX(設定!$O$6:$O$12,WEEKDAY($A51,1)))</f>
        <v/>
      </c>
      <c r="C51" s="16">
        <f>IF($A51="","",醫護長與管理部班表!$A6)</f>
        <v/>
      </c>
      <c r="D51" s="16">
        <f>IF($C51="","",醫護長與管理部班表!$B6)</f>
        <v/>
      </c>
      <c r="E51" s="16">
        <f>IF($C51="","",醫護長與管理部班表!$D6)</f>
        <v/>
      </c>
      <c r="F51" s="16">
        <f>IF($C51="","",醫護長與管理部班表!$C6)</f>
        <v/>
      </c>
      <c r="G51" s="16">
        <f>IF($C51="","",醫護長與管理部班表!V6)</f>
        <v/>
      </c>
      <c r="H51" s="87">
        <f>IF($G51="","",IFERROR(IF(INDEX(設定!$D$6:$D$21,MATCH($G51,設定!$B$6:$B$21,0))=0,"",INDEX(設定!$D$6:$D$21,MATCH($G51,設定!$B$6:$B$21,0))),""))</f>
        <v/>
      </c>
      <c r="I51" s="87">
        <f>IF($G51="","",IFERROR(IF(INDEX(設定!$E$6:$E$21,MATCH($G51,設定!$B$6:$B$21,0))=0,"",INDEX(設定!$E$6:$E$21,MATCH($G51,設定!$B$6:$B$21,0))),""))</f>
        <v/>
      </c>
      <c r="J51" s="87">
        <f>IFERROR(INDEX(打卡匯入!$C$3:$C$502,MATCH($C51&amp;"|"&amp;DAY($A51),打卡匯入!$E$3:$E$502,0)),"")</f>
        <v/>
      </c>
      <c r="K51" s="87">
        <f>IFERROR(INDEX(打卡匯入!$D$3:$D$502,MATCH($C51&amp;"|"&amp;DAY($A51),打卡匯入!$E$3:$E$502,0)),"")</f>
        <v/>
      </c>
      <c r="L51" s="88">
        <f>IF(OR($J51="",$K51=""),"",IFERROR(INDEX(設定!$F$6:$F$21,MATCH($G51,設定!$B$6:$B$21,0)),0))</f>
        <v/>
      </c>
      <c r="M51" s="89">
        <f>IF(OR($J51="",$K51=""),"",ROUND(($K51-$J51)*24-$L51/60,2))</f>
        <v/>
      </c>
      <c r="N51" s="16">
        <f>IF($C51="","",IF(AND(COUNTIF(設定!$B$15:$B$21,$G51)&gt;0,$J51&lt;&gt;""),"假日出勤",IF(AND(COUNTIF(設定!$B$6:$B$14,$G51)&gt;0,$J51=""),"未打卡",IF($J51="","",IF($O51&gt;0,"遲到",IF($P51&gt;0,"早退","正常"))))))</f>
        <v/>
      </c>
      <c r="O51" s="88">
        <f>IF(OR($C51="",$H51="",$J51=""),0,IF(ROUND(($J51-$H51)*1440,0)&gt;設定!$C$48,ROUND(($J51-$H51)*1440,0),0))</f>
        <v/>
      </c>
      <c r="P51" s="88">
        <f>IF(OR($C51="",$I51="",$K51=""),0,IF(ROUND(($I51-$K51)*1440,0)&gt;設定!$C$48,ROUND(($I51-$K51)*1440,0),0))</f>
        <v/>
      </c>
      <c r="Q51" s="89">
        <f>IF($M51="",0,IF(($M51-IFERROR(INDEX(設定!$G$6:$G$21,MATCH($G51,設定!$B$6:$B$21,0)),0))*60&gt;=設定!$C$46,ROUND(FLOOR(($M51-IFERROR(INDEX(設定!$G$6:$G$21,MATCH($G51,設定!$B$6:$B$21,0)),0))*60,設定!$C$47)/60,2),0))</f>
        <v/>
      </c>
      <c r="R51" s="16">
        <f>IF(OR($C51="",$Q51=0),"",IF($G51="國","國定假日",IF($B51="日","例假",IF($B51="六","休息日","平日"))))</f>
        <v/>
      </c>
      <c r="S51" s="18" t="n"/>
    </row>
    <row r="52">
      <c r="A52" s="86">
        <f>IF(OR(醫護長與管理部班表!$A6="",19&gt;DAY(EOMONTH(DATE(設定!$C$2,設定!$D$2,1),0))),"",DATE(設定!$C$2,設定!$D$2,19))</f>
        <v/>
      </c>
      <c r="B52" s="16">
        <f>IF($A52="","",INDEX(設定!$O$6:$O$12,WEEKDAY($A52,1)))</f>
        <v/>
      </c>
      <c r="C52" s="16">
        <f>IF($A52="","",醫護長與管理部班表!$A6)</f>
        <v/>
      </c>
      <c r="D52" s="16">
        <f>IF($C52="","",醫護長與管理部班表!$B6)</f>
        <v/>
      </c>
      <c r="E52" s="16">
        <f>IF($C52="","",醫護長與管理部班表!$D6)</f>
        <v/>
      </c>
      <c r="F52" s="16">
        <f>IF($C52="","",醫護長與管理部班表!$C6)</f>
        <v/>
      </c>
      <c r="G52" s="16">
        <f>IF($C52="","",醫護長與管理部班表!W6)</f>
        <v/>
      </c>
      <c r="H52" s="87">
        <f>IF($G52="","",IFERROR(IF(INDEX(設定!$D$6:$D$21,MATCH($G52,設定!$B$6:$B$21,0))=0,"",INDEX(設定!$D$6:$D$21,MATCH($G52,設定!$B$6:$B$21,0))),""))</f>
        <v/>
      </c>
      <c r="I52" s="87">
        <f>IF($G52="","",IFERROR(IF(INDEX(設定!$E$6:$E$21,MATCH($G52,設定!$B$6:$B$21,0))=0,"",INDEX(設定!$E$6:$E$21,MATCH($G52,設定!$B$6:$B$21,0))),""))</f>
        <v/>
      </c>
      <c r="J52" s="87">
        <f>IFERROR(INDEX(打卡匯入!$C$3:$C$502,MATCH($C52&amp;"|"&amp;DAY($A52),打卡匯入!$E$3:$E$502,0)),"")</f>
        <v/>
      </c>
      <c r="K52" s="87">
        <f>IFERROR(INDEX(打卡匯入!$D$3:$D$502,MATCH($C52&amp;"|"&amp;DAY($A52),打卡匯入!$E$3:$E$502,0)),"")</f>
        <v/>
      </c>
      <c r="L52" s="88">
        <f>IF(OR($J52="",$K52=""),"",IFERROR(INDEX(設定!$F$6:$F$21,MATCH($G52,設定!$B$6:$B$21,0)),0))</f>
        <v/>
      </c>
      <c r="M52" s="89">
        <f>IF(OR($J52="",$K52=""),"",ROUND(($K52-$J52)*24-$L52/60,2))</f>
        <v/>
      </c>
      <c r="N52" s="16">
        <f>IF($C52="","",IF(AND(COUNTIF(設定!$B$15:$B$21,$G52)&gt;0,$J52&lt;&gt;""),"假日出勤",IF(AND(COUNTIF(設定!$B$6:$B$14,$G52)&gt;0,$J52=""),"未打卡",IF($J52="","",IF($O52&gt;0,"遲到",IF($P52&gt;0,"早退","正常"))))))</f>
        <v/>
      </c>
      <c r="O52" s="88">
        <f>IF(OR($C52="",$H52="",$J52=""),0,IF(ROUND(($J52-$H52)*1440,0)&gt;設定!$C$48,ROUND(($J52-$H52)*1440,0),0))</f>
        <v/>
      </c>
      <c r="P52" s="88">
        <f>IF(OR($C52="",$I52="",$K52=""),0,IF(ROUND(($I52-$K52)*1440,0)&gt;設定!$C$48,ROUND(($I52-$K52)*1440,0),0))</f>
        <v/>
      </c>
      <c r="Q52" s="89">
        <f>IF($M52="",0,IF(($M52-IFERROR(INDEX(設定!$G$6:$G$21,MATCH($G52,設定!$B$6:$B$21,0)),0))*60&gt;=設定!$C$46,ROUND(FLOOR(($M52-IFERROR(INDEX(設定!$G$6:$G$21,MATCH($G52,設定!$B$6:$B$21,0)),0))*60,設定!$C$47)/60,2),0))</f>
        <v/>
      </c>
      <c r="R52" s="16">
        <f>IF(OR($C52="",$Q52=0),"",IF($G52="國","國定假日",IF($B52="日","例假",IF($B52="六","休息日","平日"))))</f>
        <v/>
      </c>
      <c r="S52" s="18" t="n"/>
    </row>
    <row r="53">
      <c r="A53" s="86">
        <f>IF(OR(醫護長與管理部班表!$A6="",20&gt;DAY(EOMONTH(DATE(設定!$C$2,設定!$D$2,1),0))),"",DATE(設定!$C$2,設定!$D$2,20))</f>
        <v/>
      </c>
      <c r="B53" s="16">
        <f>IF($A53="","",INDEX(設定!$O$6:$O$12,WEEKDAY($A53,1)))</f>
        <v/>
      </c>
      <c r="C53" s="16">
        <f>IF($A53="","",醫護長與管理部班表!$A6)</f>
        <v/>
      </c>
      <c r="D53" s="16">
        <f>IF($C53="","",醫護長與管理部班表!$B6)</f>
        <v/>
      </c>
      <c r="E53" s="16">
        <f>IF($C53="","",醫護長與管理部班表!$D6)</f>
        <v/>
      </c>
      <c r="F53" s="16">
        <f>IF($C53="","",醫護長與管理部班表!$C6)</f>
        <v/>
      </c>
      <c r="G53" s="16">
        <f>IF($C53="","",醫護長與管理部班表!X6)</f>
        <v/>
      </c>
      <c r="H53" s="87">
        <f>IF($G53="","",IFERROR(IF(INDEX(設定!$D$6:$D$21,MATCH($G53,設定!$B$6:$B$21,0))=0,"",INDEX(設定!$D$6:$D$21,MATCH($G53,設定!$B$6:$B$21,0))),""))</f>
        <v/>
      </c>
      <c r="I53" s="87">
        <f>IF($G53="","",IFERROR(IF(INDEX(設定!$E$6:$E$21,MATCH($G53,設定!$B$6:$B$21,0))=0,"",INDEX(設定!$E$6:$E$21,MATCH($G53,設定!$B$6:$B$21,0))),""))</f>
        <v/>
      </c>
      <c r="J53" s="87">
        <f>IFERROR(INDEX(打卡匯入!$C$3:$C$502,MATCH($C53&amp;"|"&amp;DAY($A53),打卡匯入!$E$3:$E$502,0)),"")</f>
        <v/>
      </c>
      <c r="K53" s="87">
        <f>IFERROR(INDEX(打卡匯入!$D$3:$D$502,MATCH($C53&amp;"|"&amp;DAY($A53),打卡匯入!$E$3:$E$502,0)),"")</f>
        <v/>
      </c>
      <c r="L53" s="88">
        <f>IF(OR($J53="",$K53=""),"",IFERROR(INDEX(設定!$F$6:$F$21,MATCH($G53,設定!$B$6:$B$21,0)),0))</f>
        <v/>
      </c>
      <c r="M53" s="89">
        <f>IF(OR($J53="",$K53=""),"",ROUND(($K53-$J53)*24-$L53/60,2))</f>
        <v/>
      </c>
      <c r="N53" s="16">
        <f>IF($C53="","",IF(AND(COUNTIF(設定!$B$15:$B$21,$G53)&gt;0,$J53&lt;&gt;""),"假日出勤",IF(AND(COUNTIF(設定!$B$6:$B$14,$G53)&gt;0,$J53=""),"未打卡",IF($J53="","",IF($O53&gt;0,"遲到",IF($P53&gt;0,"早退","正常"))))))</f>
        <v/>
      </c>
      <c r="O53" s="88">
        <f>IF(OR($C53="",$H53="",$J53=""),0,IF(ROUND(($J53-$H53)*1440,0)&gt;設定!$C$48,ROUND(($J53-$H53)*1440,0),0))</f>
        <v/>
      </c>
      <c r="P53" s="88">
        <f>IF(OR($C53="",$I53="",$K53=""),0,IF(ROUND(($I53-$K53)*1440,0)&gt;設定!$C$48,ROUND(($I53-$K53)*1440,0),0))</f>
        <v/>
      </c>
      <c r="Q53" s="89">
        <f>IF($M53="",0,IF(($M53-IFERROR(INDEX(設定!$G$6:$G$21,MATCH($G53,設定!$B$6:$B$21,0)),0))*60&gt;=設定!$C$46,ROUND(FLOOR(($M53-IFERROR(INDEX(設定!$G$6:$G$21,MATCH($G53,設定!$B$6:$B$21,0)),0))*60,設定!$C$47)/60,2),0))</f>
        <v/>
      </c>
      <c r="R53" s="16">
        <f>IF(OR($C53="",$Q53=0),"",IF($G53="國","國定假日",IF($B53="日","例假",IF($B53="六","休息日","平日"))))</f>
        <v/>
      </c>
      <c r="S53" s="18" t="n"/>
    </row>
    <row r="54">
      <c r="A54" s="86">
        <f>IF(OR(醫護長與管理部班表!$A6="",21&gt;DAY(EOMONTH(DATE(設定!$C$2,設定!$D$2,1),0))),"",DATE(設定!$C$2,設定!$D$2,21))</f>
        <v/>
      </c>
      <c r="B54" s="16">
        <f>IF($A54="","",INDEX(設定!$O$6:$O$12,WEEKDAY($A54,1)))</f>
        <v/>
      </c>
      <c r="C54" s="16">
        <f>IF($A54="","",醫護長與管理部班表!$A6)</f>
        <v/>
      </c>
      <c r="D54" s="16">
        <f>IF($C54="","",醫護長與管理部班表!$B6)</f>
        <v/>
      </c>
      <c r="E54" s="16">
        <f>IF($C54="","",醫護長與管理部班表!$D6)</f>
        <v/>
      </c>
      <c r="F54" s="16">
        <f>IF($C54="","",醫護長與管理部班表!$C6)</f>
        <v/>
      </c>
      <c r="G54" s="16">
        <f>IF($C54="","",醫護長與管理部班表!Y6)</f>
        <v/>
      </c>
      <c r="H54" s="87">
        <f>IF($G54="","",IFERROR(IF(INDEX(設定!$D$6:$D$21,MATCH($G54,設定!$B$6:$B$21,0))=0,"",INDEX(設定!$D$6:$D$21,MATCH($G54,設定!$B$6:$B$21,0))),""))</f>
        <v/>
      </c>
      <c r="I54" s="87">
        <f>IF($G54="","",IFERROR(IF(INDEX(設定!$E$6:$E$21,MATCH($G54,設定!$B$6:$B$21,0))=0,"",INDEX(設定!$E$6:$E$21,MATCH($G54,設定!$B$6:$B$21,0))),""))</f>
        <v/>
      </c>
      <c r="J54" s="87">
        <f>IFERROR(INDEX(打卡匯入!$C$3:$C$502,MATCH($C54&amp;"|"&amp;DAY($A54),打卡匯入!$E$3:$E$502,0)),"")</f>
        <v/>
      </c>
      <c r="K54" s="87">
        <f>IFERROR(INDEX(打卡匯入!$D$3:$D$502,MATCH($C54&amp;"|"&amp;DAY($A54),打卡匯入!$E$3:$E$502,0)),"")</f>
        <v/>
      </c>
      <c r="L54" s="88">
        <f>IF(OR($J54="",$K54=""),"",IFERROR(INDEX(設定!$F$6:$F$21,MATCH($G54,設定!$B$6:$B$21,0)),0))</f>
        <v/>
      </c>
      <c r="M54" s="89">
        <f>IF(OR($J54="",$K54=""),"",ROUND(($K54-$J54)*24-$L54/60,2))</f>
        <v/>
      </c>
      <c r="N54" s="16">
        <f>IF($C54="","",IF(AND(COUNTIF(設定!$B$15:$B$21,$G54)&gt;0,$J54&lt;&gt;""),"假日出勤",IF(AND(COUNTIF(設定!$B$6:$B$14,$G54)&gt;0,$J54=""),"未打卡",IF($J54="","",IF($O54&gt;0,"遲到",IF($P54&gt;0,"早退","正常"))))))</f>
        <v/>
      </c>
      <c r="O54" s="88">
        <f>IF(OR($C54="",$H54="",$J54=""),0,IF(ROUND(($J54-$H54)*1440,0)&gt;設定!$C$48,ROUND(($J54-$H54)*1440,0),0))</f>
        <v/>
      </c>
      <c r="P54" s="88">
        <f>IF(OR($C54="",$I54="",$K54=""),0,IF(ROUND(($I54-$K54)*1440,0)&gt;設定!$C$48,ROUND(($I54-$K54)*1440,0),0))</f>
        <v/>
      </c>
      <c r="Q54" s="89">
        <f>IF($M54="",0,IF(($M54-IFERROR(INDEX(設定!$G$6:$G$21,MATCH($G54,設定!$B$6:$B$21,0)),0))*60&gt;=設定!$C$46,ROUND(FLOOR(($M54-IFERROR(INDEX(設定!$G$6:$G$21,MATCH($G54,設定!$B$6:$B$21,0)),0))*60,設定!$C$47)/60,2),0))</f>
        <v/>
      </c>
      <c r="R54" s="16">
        <f>IF(OR($C54="",$Q54=0),"",IF($G54="國","國定假日",IF($B54="日","例假",IF($B54="六","休息日","平日"))))</f>
        <v/>
      </c>
      <c r="S54" s="18" t="n"/>
    </row>
    <row r="55">
      <c r="A55" s="86">
        <f>IF(OR(醫護長與管理部班表!$A6="",22&gt;DAY(EOMONTH(DATE(設定!$C$2,設定!$D$2,1),0))),"",DATE(設定!$C$2,設定!$D$2,22))</f>
        <v/>
      </c>
      <c r="B55" s="16">
        <f>IF($A55="","",INDEX(設定!$O$6:$O$12,WEEKDAY($A55,1)))</f>
        <v/>
      </c>
      <c r="C55" s="16">
        <f>IF($A55="","",醫護長與管理部班表!$A6)</f>
        <v/>
      </c>
      <c r="D55" s="16">
        <f>IF($C55="","",醫護長與管理部班表!$B6)</f>
        <v/>
      </c>
      <c r="E55" s="16">
        <f>IF($C55="","",醫護長與管理部班表!$D6)</f>
        <v/>
      </c>
      <c r="F55" s="16">
        <f>IF($C55="","",醫護長與管理部班表!$C6)</f>
        <v/>
      </c>
      <c r="G55" s="16">
        <f>IF($C55="","",醫護長與管理部班表!Z6)</f>
        <v/>
      </c>
      <c r="H55" s="87">
        <f>IF($G55="","",IFERROR(IF(INDEX(設定!$D$6:$D$21,MATCH($G55,設定!$B$6:$B$21,0))=0,"",INDEX(設定!$D$6:$D$21,MATCH($G55,設定!$B$6:$B$21,0))),""))</f>
        <v/>
      </c>
      <c r="I55" s="87">
        <f>IF($G55="","",IFERROR(IF(INDEX(設定!$E$6:$E$21,MATCH($G55,設定!$B$6:$B$21,0))=0,"",INDEX(設定!$E$6:$E$21,MATCH($G55,設定!$B$6:$B$21,0))),""))</f>
        <v/>
      </c>
      <c r="J55" s="87">
        <f>IFERROR(INDEX(打卡匯入!$C$3:$C$502,MATCH($C55&amp;"|"&amp;DAY($A55),打卡匯入!$E$3:$E$502,0)),"")</f>
        <v/>
      </c>
      <c r="K55" s="87">
        <f>IFERROR(INDEX(打卡匯入!$D$3:$D$502,MATCH($C55&amp;"|"&amp;DAY($A55),打卡匯入!$E$3:$E$502,0)),"")</f>
        <v/>
      </c>
      <c r="L55" s="88">
        <f>IF(OR($J55="",$K55=""),"",IFERROR(INDEX(設定!$F$6:$F$21,MATCH($G55,設定!$B$6:$B$21,0)),0))</f>
        <v/>
      </c>
      <c r="M55" s="89">
        <f>IF(OR($J55="",$K55=""),"",ROUND(($K55-$J55)*24-$L55/60,2))</f>
        <v/>
      </c>
      <c r="N55" s="16">
        <f>IF($C55="","",IF(AND(COUNTIF(設定!$B$15:$B$21,$G55)&gt;0,$J55&lt;&gt;""),"假日出勤",IF(AND(COUNTIF(設定!$B$6:$B$14,$G55)&gt;0,$J55=""),"未打卡",IF($J55="","",IF($O55&gt;0,"遲到",IF($P55&gt;0,"早退","正常"))))))</f>
        <v/>
      </c>
      <c r="O55" s="88">
        <f>IF(OR($C55="",$H55="",$J55=""),0,IF(ROUND(($J55-$H55)*1440,0)&gt;設定!$C$48,ROUND(($J55-$H55)*1440,0),0))</f>
        <v/>
      </c>
      <c r="P55" s="88">
        <f>IF(OR($C55="",$I55="",$K55=""),0,IF(ROUND(($I55-$K55)*1440,0)&gt;設定!$C$48,ROUND(($I55-$K55)*1440,0),0))</f>
        <v/>
      </c>
      <c r="Q55" s="89">
        <f>IF($M55="",0,IF(($M55-IFERROR(INDEX(設定!$G$6:$G$21,MATCH($G55,設定!$B$6:$B$21,0)),0))*60&gt;=設定!$C$46,ROUND(FLOOR(($M55-IFERROR(INDEX(設定!$G$6:$G$21,MATCH($G55,設定!$B$6:$B$21,0)),0))*60,設定!$C$47)/60,2),0))</f>
        <v/>
      </c>
      <c r="R55" s="16">
        <f>IF(OR($C55="",$Q55=0),"",IF($G55="國","國定假日",IF($B55="日","例假",IF($B55="六","休息日","平日"))))</f>
        <v/>
      </c>
      <c r="S55" s="18" t="n"/>
    </row>
    <row r="56">
      <c r="A56" s="86">
        <f>IF(OR(醫護長與管理部班表!$A6="",23&gt;DAY(EOMONTH(DATE(設定!$C$2,設定!$D$2,1),0))),"",DATE(設定!$C$2,設定!$D$2,23))</f>
        <v/>
      </c>
      <c r="B56" s="16">
        <f>IF($A56="","",INDEX(設定!$O$6:$O$12,WEEKDAY($A56,1)))</f>
        <v/>
      </c>
      <c r="C56" s="16">
        <f>IF($A56="","",醫護長與管理部班表!$A6)</f>
        <v/>
      </c>
      <c r="D56" s="16">
        <f>IF($C56="","",醫護長與管理部班表!$B6)</f>
        <v/>
      </c>
      <c r="E56" s="16">
        <f>IF($C56="","",醫護長與管理部班表!$D6)</f>
        <v/>
      </c>
      <c r="F56" s="16">
        <f>IF($C56="","",醫護長與管理部班表!$C6)</f>
        <v/>
      </c>
      <c r="G56" s="16">
        <f>IF($C56="","",醫護長與管理部班表!AA6)</f>
        <v/>
      </c>
      <c r="H56" s="87">
        <f>IF($G56="","",IFERROR(IF(INDEX(設定!$D$6:$D$21,MATCH($G56,設定!$B$6:$B$21,0))=0,"",INDEX(設定!$D$6:$D$21,MATCH($G56,設定!$B$6:$B$21,0))),""))</f>
        <v/>
      </c>
      <c r="I56" s="87">
        <f>IF($G56="","",IFERROR(IF(INDEX(設定!$E$6:$E$21,MATCH($G56,設定!$B$6:$B$21,0))=0,"",INDEX(設定!$E$6:$E$21,MATCH($G56,設定!$B$6:$B$21,0))),""))</f>
        <v/>
      </c>
      <c r="J56" s="87">
        <f>IFERROR(INDEX(打卡匯入!$C$3:$C$502,MATCH($C56&amp;"|"&amp;DAY($A56),打卡匯入!$E$3:$E$502,0)),"")</f>
        <v/>
      </c>
      <c r="K56" s="87">
        <f>IFERROR(INDEX(打卡匯入!$D$3:$D$502,MATCH($C56&amp;"|"&amp;DAY($A56),打卡匯入!$E$3:$E$502,0)),"")</f>
        <v/>
      </c>
      <c r="L56" s="88">
        <f>IF(OR($J56="",$K56=""),"",IFERROR(INDEX(設定!$F$6:$F$21,MATCH($G56,設定!$B$6:$B$21,0)),0))</f>
        <v/>
      </c>
      <c r="M56" s="89">
        <f>IF(OR($J56="",$K56=""),"",ROUND(($K56-$J56)*24-$L56/60,2))</f>
        <v/>
      </c>
      <c r="N56" s="16">
        <f>IF($C56="","",IF(AND(COUNTIF(設定!$B$15:$B$21,$G56)&gt;0,$J56&lt;&gt;""),"假日出勤",IF(AND(COUNTIF(設定!$B$6:$B$14,$G56)&gt;0,$J56=""),"未打卡",IF($J56="","",IF($O56&gt;0,"遲到",IF($P56&gt;0,"早退","正常"))))))</f>
        <v/>
      </c>
      <c r="O56" s="88">
        <f>IF(OR($C56="",$H56="",$J56=""),0,IF(ROUND(($J56-$H56)*1440,0)&gt;設定!$C$48,ROUND(($J56-$H56)*1440,0),0))</f>
        <v/>
      </c>
      <c r="P56" s="88">
        <f>IF(OR($C56="",$I56="",$K56=""),0,IF(ROUND(($I56-$K56)*1440,0)&gt;設定!$C$48,ROUND(($I56-$K56)*1440,0),0))</f>
        <v/>
      </c>
      <c r="Q56" s="89">
        <f>IF($M56="",0,IF(($M56-IFERROR(INDEX(設定!$G$6:$G$21,MATCH($G56,設定!$B$6:$B$21,0)),0))*60&gt;=設定!$C$46,ROUND(FLOOR(($M56-IFERROR(INDEX(設定!$G$6:$G$21,MATCH($G56,設定!$B$6:$B$21,0)),0))*60,設定!$C$47)/60,2),0))</f>
        <v/>
      </c>
      <c r="R56" s="16">
        <f>IF(OR($C56="",$Q56=0),"",IF($G56="國","國定假日",IF($B56="日","例假",IF($B56="六","休息日","平日"))))</f>
        <v/>
      </c>
      <c r="S56" s="18" t="n"/>
    </row>
    <row r="57">
      <c r="A57" s="86">
        <f>IF(OR(醫護長與管理部班表!$A6="",24&gt;DAY(EOMONTH(DATE(設定!$C$2,設定!$D$2,1),0))),"",DATE(設定!$C$2,設定!$D$2,24))</f>
        <v/>
      </c>
      <c r="B57" s="16">
        <f>IF($A57="","",INDEX(設定!$O$6:$O$12,WEEKDAY($A57,1)))</f>
        <v/>
      </c>
      <c r="C57" s="16">
        <f>IF($A57="","",醫護長與管理部班表!$A6)</f>
        <v/>
      </c>
      <c r="D57" s="16">
        <f>IF($C57="","",醫護長與管理部班表!$B6)</f>
        <v/>
      </c>
      <c r="E57" s="16">
        <f>IF($C57="","",醫護長與管理部班表!$D6)</f>
        <v/>
      </c>
      <c r="F57" s="16">
        <f>IF($C57="","",醫護長與管理部班表!$C6)</f>
        <v/>
      </c>
      <c r="G57" s="16">
        <f>IF($C57="","",醫護長與管理部班表!AB6)</f>
        <v/>
      </c>
      <c r="H57" s="87">
        <f>IF($G57="","",IFERROR(IF(INDEX(設定!$D$6:$D$21,MATCH($G57,設定!$B$6:$B$21,0))=0,"",INDEX(設定!$D$6:$D$21,MATCH($G57,設定!$B$6:$B$21,0))),""))</f>
        <v/>
      </c>
      <c r="I57" s="87">
        <f>IF($G57="","",IFERROR(IF(INDEX(設定!$E$6:$E$21,MATCH($G57,設定!$B$6:$B$21,0))=0,"",INDEX(設定!$E$6:$E$21,MATCH($G57,設定!$B$6:$B$21,0))),""))</f>
        <v/>
      </c>
      <c r="J57" s="87">
        <f>IFERROR(INDEX(打卡匯入!$C$3:$C$502,MATCH($C57&amp;"|"&amp;DAY($A57),打卡匯入!$E$3:$E$502,0)),"")</f>
        <v/>
      </c>
      <c r="K57" s="87">
        <f>IFERROR(INDEX(打卡匯入!$D$3:$D$502,MATCH($C57&amp;"|"&amp;DAY($A57),打卡匯入!$E$3:$E$502,0)),"")</f>
        <v/>
      </c>
      <c r="L57" s="88">
        <f>IF(OR($J57="",$K57=""),"",IFERROR(INDEX(設定!$F$6:$F$21,MATCH($G57,設定!$B$6:$B$21,0)),0))</f>
        <v/>
      </c>
      <c r="M57" s="89">
        <f>IF(OR($J57="",$K57=""),"",ROUND(($K57-$J57)*24-$L57/60,2))</f>
        <v/>
      </c>
      <c r="N57" s="16">
        <f>IF($C57="","",IF(AND(COUNTIF(設定!$B$15:$B$21,$G57)&gt;0,$J57&lt;&gt;""),"假日出勤",IF(AND(COUNTIF(設定!$B$6:$B$14,$G57)&gt;0,$J57=""),"未打卡",IF($J57="","",IF($O57&gt;0,"遲到",IF($P57&gt;0,"早退","正常"))))))</f>
        <v/>
      </c>
      <c r="O57" s="88">
        <f>IF(OR($C57="",$H57="",$J57=""),0,IF(ROUND(($J57-$H57)*1440,0)&gt;設定!$C$48,ROUND(($J57-$H57)*1440,0),0))</f>
        <v/>
      </c>
      <c r="P57" s="88">
        <f>IF(OR($C57="",$I57="",$K57=""),0,IF(ROUND(($I57-$K57)*1440,0)&gt;設定!$C$48,ROUND(($I57-$K57)*1440,0),0))</f>
        <v/>
      </c>
      <c r="Q57" s="89">
        <f>IF($M57="",0,IF(($M57-IFERROR(INDEX(設定!$G$6:$G$21,MATCH($G57,設定!$B$6:$B$21,0)),0))*60&gt;=設定!$C$46,ROUND(FLOOR(($M57-IFERROR(INDEX(設定!$G$6:$G$21,MATCH($G57,設定!$B$6:$B$21,0)),0))*60,設定!$C$47)/60,2),0))</f>
        <v/>
      </c>
      <c r="R57" s="16">
        <f>IF(OR($C57="",$Q57=0),"",IF($G57="國","國定假日",IF($B57="日","例假",IF($B57="六","休息日","平日"))))</f>
        <v/>
      </c>
      <c r="S57" s="18" t="n"/>
    </row>
    <row r="58">
      <c r="A58" s="86">
        <f>IF(OR(醫護長與管理部班表!$A6="",25&gt;DAY(EOMONTH(DATE(設定!$C$2,設定!$D$2,1),0))),"",DATE(設定!$C$2,設定!$D$2,25))</f>
        <v/>
      </c>
      <c r="B58" s="16">
        <f>IF($A58="","",INDEX(設定!$O$6:$O$12,WEEKDAY($A58,1)))</f>
        <v/>
      </c>
      <c r="C58" s="16">
        <f>IF($A58="","",醫護長與管理部班表!$A6)</f>
        <v/>
      </c>
      <c r="D58" s="16">
        <f>IF($C58="","",醫護長與管理部班表!$B6)</f>
        <v/>
      </c>
      <c r="E58" s="16">
        <f>IF($C58="","",醫護長與管理部班表!$D6)</f>
        <v/>
      </c>
      <c r="F58" s="16">
        <f>IF($C58="","",醫護長與管理部班表!$C6)</f>
        <v/>
      </c>
      <c r="G58" s="16">
        <f>IF($C58="","",醫護長與管理部班表!AC6)</f>
        <v/>
      </c>
      <c r="H58" s="87">
        <f>IF($G58="","",IFERROR(IF(INDEX(設定!$D$6:$D$21,MATCH($G58,設定!$B$6:$B$21,0))=0,"",INDEX(設定!$D$6:$D$21,MATCH($G58,設定!$B$6:$B$21,0))),""))</f>
        <v/>
      </c>
      <c r="I58" s="87">
        <f>IF($G58="","",IFERROR(IF(INDEX(設定!$E$6:$E$21,MATCH($G58,設定!$B$6:$B$21,0))=0,"",INDEX(設定!$E$6:$E$21,MATCH($G58,設定!$B$6:$B$21,0))),""))</f>
        <v/>
      </c>
      <c r="J58" s="87">
        <f>IFERROR(INDEX(打卡匯入!$C$3:$C$502,MATCH($C58&amp;"|"&amp;DAY($A58),打卡匯入!$E$3:$E$502,0)),"")</f>
        <v/>
      </c>
      <c r="K58" s="87">
        <f>IFERROR(INDEX(打卡匯入!$D$3:$D$502,MATCH($C58&amp;"|"&amp;DAY($A58),打卡匯入!$E$3:$E$502,0)),"")</f>
        <v/>
      </c>
      <c r="L58" s="88">
        <f>IF(OR($J58="",$K58=""),"",IFERROR(INDEX(設定!$F$6:$F$21,MATCH($G58,設定!$B$6:$B$21,0)),0))</f>
        <v/>
      </c>
      <c r="M58" s="89">
        <f>IF(OR($J58="",$K58=""),"",ROUND(($K58-$J58)*24-$L58/60,2))</f>
        <v/>
      </c>
      <c r="N58" s="16">
        <f>IF($C58="","",IF(AND(COUNTIF(設定!$B$15:$B$21,$G58)&gt;0,$J58&lt;&gt;""),"假日出勤",IF(AND(COUNTIF(設定!$B$6:$B$14,$G58)&gt;0,$J58=""),"未打卡",IF($J58="","",IF($O58&gt;0,"遲到",IF($P58&gt;0,"早退","正常"))))))</f>
        <v/>
      </c>
      <c r="O58" s="88">
        <f>IF(OR($C58="",$H58="",$J58=""),0,IF(ROUND(($J58-$H58)*1440,0)&gt;設定!$C$48,ROUND(($J58-$H58)*1440,0),0))</f>
        <v/>
      </c>
      <c r="P58" s="88">
        <f>IF(OR($C58="",$I58="",$K58=""),0,IF(ROUND(($I58-$K58)*1440,0)&gt;設定!$C$48,ROUND(($I58-$K58)*1440,0),0))</f>
        <v/>
      </c>
      <c r="Q58" s="89">
        <f>IF($M58="",0,IF(($M58-IFERROR(INDEX(設定!$G$6:$G$21,MATCH($G58,設定!$B$6:$B$21,0)),0))*60&gt;=設定!$C$46,ROUND(FLOOR(($M58-IFERROR(INDEX(設定!$G$6:$G$21,MATCH($G58,設定!$B$6:$B$21,0)),0))*60,設定!$C$47)/60,2),0))</f>
        <v/>
      </c>
      <c r="R58" s="16">
        <f>IF(OR($C58="",$Q58=0),"",IF($G58="國","國定假日",IF($B58="日","例假",IF($B58="六","休息日","平日"))))</f>
        <v/>
      </c>
      <c r="S58" s="18" t="n"/>
    </row>
    <row r="59">
      <c r="A59" s="86">
        <f>IF(OR(醫護長與管理部班表!$A6="",26&gt;DAY(EOMONTH(DATE(設定!$C$2,設定!$D$2,1),0))),"",DATE(設定!$C$2,設定!$D$2,26))</f>
        <v/>
      </c>
      <c r="B59" s="16">
        <f>IF($A59="","",INDEX(設定!$O$6:$O$12,WEEKDAY($A59,1)))</f>
        <v/>
      </c>
      <c r="C59" s="16">
        <f>IF($A59="","",醫護長與管理部班表!$A6)</f>
        <v/>
      </c>
      <c r="D59" s="16">
        <f>IF($C59="","",醫護長與管理部班表!$B6)</f>
        <v/>
      </c>
      <c r="E59" s="16">
        <f>IF($C59="","",醫護長與管理部班表!$D6)</f>
        <v/>
      </c>
      <c r="F59" s="16">
        <f>IF($C59="","",醫護長與管理部班表!$C6)</f>
        <v/>
      </c>
      <c r="G59" s="16">
        <f>IF($C59="","",醫護長與管理部班表!AD6)</f>
        <v/>
      </c>
      <c r="H59" s="87">
        <f>IF($G59="","",IFERROR(IF(INDEX(設定!$D$6:$D$21,MATCH($G59,設定!$B$6:$B$21,0))=0,"",INDEX(設定!$D$6:$D$21,MATCH($G59,設定!$B$6:$B$21,0))),""))</f>
        <v/>
      </c>
      <c r="I59" s="87">
        <f>IF($G59="","",IFERROR(IF(INDEX(設定!$E$6:$E$21,MATCH($G59,設定!$B$6:$B$21,0))=0,"",INDEX(設定!$E$6:$E$21,MATCH($G59,設定!$B$6:$B$21,0))),""))</f>
        <v/>
      </c>
      <c r="J59" s="87">
        <f>IFERROR(INDEX(打卡匯入!$C$3:$C$502,MATCH($C59&amp;"|"&amp;DAY($A59),打卡匯入!$E$3:$E$502,0)),"")</f>
        <v/>
      </c>
      <c r="K59" s="87">
        <f>IFERROR(INDEX(打卡匯入!$D$3:$D$502,MATCH($C59&amp;"|"&amp;DAY($A59),打卡匯入!$E$3:$E$502,0)),"")</f>
        <v/>
      </c>
      <c r="L59" s="88">
        <f>IF(OR($J59="",$K59=""),"",IFERROR(INDEX(設定!$F$6:$F$21,MATCH($G59,設定!$B$6:$B$21,0)),0))</f>
        <v/>
      </c>
      <c r="M59" s="89">
        <f>IF(OR($J59="",$K59=""),"",ROUND(($K59-$J59)*24-$L59/60,2))</f>
        <v/>
      </c>
      <c r="N59" s="16">
        <f>IF($C59="","",IF(AND(COUNTIF(設定!$B$15:$B$21,$G59)&gt;0,$J59&lt;&gt;""),"假日出勤",IF(AND(COUNTIF(設定!$B$6:$B$14,$G59)&gt;0,$J59=""),"未打卡",IF($J59="","",IF($O59&gt;0,"遲到",IF($P59&gt;0,"早退","正常"))))))</f>
        <v/>
      </c>
      <c r="O59" s="88">
        <f>IF(OR($C59="",$H59="",$J59=""),0,IF(ROUND(($J59-$H59)*1440,0)&gt;設定!$C$48,ROUND(($J59-$H59)*1440,0),0))</f>
        <v/>
      </c>
      <c r="P59" s="88">
        <f>IF(OR($C59="",$I59="",$K59=""),0,IF(ROUND(($I59-$K59)*1440,0)&gt;設定!$C$48,ROUND(($I59-$K59)*1440,0),0))</f>
        <v/>
      </c>
      <c r="Q59" s="89">
        <f>IF($M59="",0,IF(($M59-IFERROR(INDEX(設定!$G$6:$G$21,MATCH($G59,設定!$B$6:$B$21,0)),0))*60&gt;=設定!$C$46,ROUND(FLOOR(($M59-IFERROR(INDEX(設定!$G$6:$G$21,MATCH($G59,設定!$B$6:$B$21,0)),0))*60,設定!$C$47)/60,2),0))</f>
        <v/>
      </c>
      <c r="R59" s="16">
        <f>IF(OR($C59="",$Q59=0),"",IF($G59="國","國定假日",IF($B59="日","例假",IF($B59="六","休息日","平日"))))</f>
        <v/>
      </c>
      <c r="S59" s="18" t="n"/>
    </row>
    <row r="60">
      <c r="A60" s="86">
        <f>IF(OR(醫護長與管理部班表!$A6="",27&gt;DAY(EOMONTH(DATE(設定!$C$2,設定!$D$2,1),0))),"",DATE(設定!$C$2,設定!$D$2,27))</f>
        <v/>
      </c>
      <c r="B60" s="16">
        <f>IF($A60="","",INDEX(設定!$O$6:$O$12,WEEKDAY($A60,1)))</f>
        <v/>
      </c>
      <c r="C60" s="16">
        <f>IF($A60="","",醫護長與管理部班表!$A6)</f>
        <v/>
      </c>
      <c r="D60" s="16">
        <f>IF($C60="","",醫護長與管理部班表!$B6)</f>
        <v/>
      </c>
      <c r="E60" s="16">
        <f>IF($C60="","",醫護長與管理部班表!$D6)</f>
        <v/>
      </c>
      <c r="F60" s="16">
        <f>IF($C60="","",醫護長與管理部班表!$C6)</f>
        <v/>
      </c>
      <c r="G60" s="16">
        <f>IF($C60="","",醫護長與管理部班表!AE6)</f>
        <v/>
      </c>
      <c r="H60" s="87">
        <f>IF($G60="","",IFERROR(IF(INDEX(設定!$D$6:$D$21,MATCH($G60,設定!$B$6:$B$21,0))=0,"",INDEX(設定!$D$6:$D$21,MATCH($G60,設定!$B$6:$B$21,0))),""))</f>
        <v/>
      </c>
      <c r="I60" s="87">
        <f>IF($G60="","",IFERROR(IF(INDEX(設定!$E$6:$E$21,MATCH($G60,設定!$B$6:$B$21,0))=0,"",INDEX(設定!$E$6:$E$21,MATCH($G60,設定!$B$6:$B$21,0))),""))</f>
        <v/>
      </c>
      <c r="J60" s="87">
        <f>IFERROR(INDEX(打卡匯入!$C$3:$C$502,MATCH($C60&amp;"|"&amp;DAY($A60),打卡匯入!$E$3:$E$502,0)),"")</f>
        <v/>
      </c>
      <c r="K60" s="87">
        <f>IFERROR(INDEX(打卡匯入!$D$3:$D$502,MATCH($C60&amp;"|"&amp;DAY($A60),打卡匯入!$E$3:$E$502,0)),"")</f>
        <v/>
      </c>
      <c r="L60" s="88">
        <f>IF(OR($J60="",$K60=""),"",IFERROR(INDEX(設定!$F$6:$F$21,MATCH($G60,設定!$B$6:$B$21,0)),0))</f>
        <v/>
      </c>
      <c r="M60" s="89">
        <f>IF(OR($J60="",$K60=""),"",ROUND(($K60-$J60)*24-$L60/60,2))</f>
        <v/>
      </c>
      <c r="N60" s="16">
        <f>IF($C60="","",IF(AND(COUNTIF(設定!$B$15:$B$21,$G60)&gt;0,$J60&lt;&gt;""),"假日出勤",IF(AND(COUNTIF(設定!$B$6:$B$14,$G60)&gt;0,$J60=""),"未打卡",IF($J60="","",IF($O60&gt;0,"遲到",IF($P60&gt;0,"早退","正常"))))))</f>
        <v/>
      </c>
      <c r="O60" s="88">
        <f>IF(OR($C60="",$H60="",$J60=""),0,IF(ROUND(($J60-$H60)*1440,0)&gt;設定!$C$48,ROUND(($J60-$H60)*1440,0),0))</f>
        <v/>
      </c>
      <c r="P60" s="88">
        <f>IF(OR($C60="",$I60="",$K60=""),0,IF(ROUND(($I60-$K60)*1440,0)&gt;設定!$C$48,ROUND(($I60-$K60)*1440,0),0))</f>
        <v/>
      </c>
      <c r="Q60" s="89">
        <f>IF($M60="",0,IF(($M60-IFERROR(INDEX(設定!$G$6:$G$21,MATCH($G60,設定!$B$6:$B$21,0)),0))*60&gt;=設定!$C$46,ROUND(FLOOR(($M60-IFERROR(INDEX(設定!$G$6:$G$21,MATCH($G60,設定!$B$6:$B$21,0)),0))*60,設定!$C$47)/60,2),0))</f>
        <v/>
      </c>
      <c r="R60" s="16">
        <f>IF(OR($C60="",$Q60=0),"",IF($G60="國","國定假日",IF($B60="日","例假",IF($B60="六","休息日","平日"))))</f>
        <v/>
      </c>
      <c r="S60" s="18" t="n"/>
    </row>
    <row r="61">
      <c r="A61" s="86">
        <f>IF(OR(醫護長與管理部班表!$A6="",28&gt;DAY(EOMONTH(DATE(設定!$C$2,設定!$D$2,1),0))),"",DATE(設定!$C$2,設定!$D$2,28))</f>
        <v/>
      </c>
      <c r="B61" s="16">
        <f>IF($A61="","",INDEX(設定!$O$6:$O$12,WEEKDAY($A61,1)))</f>
        <v/>
      </c>
      <c r="C61" s="16">
        <f>IF($A61="","",醫護長與管理部班表!$A6)</f>
        <v/>
      </c>
      <c r="D61" s="16">
        <f>IF($C61="","",醫護長與管理部班表!$B6)</f>
        <v/>
      </c>
      <c r="E61" s="16">
        <f>IF($C61="","",醫護長與管理部班表!$D6)</f>
        <v/>
      </c>
      <c r="F61" s="16">
        <f>IF($C61="","",醫護長與管理部班表!$C6)</f>
        <v/>
      </c>
      <c r="G61" s="16">
        <f>IF($C61="","",醫護長與管理部班表!AF6)</f>
        <v/>
      </c>
      <c r="H61" s="87">
        <f>IF($G61="","",IFERROR(IF(INDEX(設定!$D$6:$D$21,MATCH($G61,設定!$B$6:$B$21,0))=0,"",INDEX(設定!$D$6:$D$21,MATCH($G61,設定!$B$6:$B$21,0))),""))</f>
        <v/>
      </c>
      <c r="I61" s="87">
        <f>IF($G61="","",IFERROR(IF(INDEX(設定!$E$6:$E$21,MATCH($G61,設定!$B$6:$B$21,0))=0,"",INDEX(設定!$E$6:$E$21,MATCH($G61,設定!$B$6:$B$21,0))),""))</f>
        <v/>
      </c>
      <c r="J61" s="87">
        <f>IFERROR(INDEX(打卡匯入!$C$3:$C$502,MATCH($C61&amp;"|"&amp;DAY($A61),打卡匯入!$E$3:$E$502,0)),"")</f>
        <v/>
      </c>
      <c r="K61" s="87">
        <f>IFERROR(INDEX(打卡匯入!$D$3:$D$502,MATCH($C61&amp;"|"&amp;DAY($A61),打卡匯入!$E$3:$E$502,0)),"")</f>
        <v/>
      </c>
      <c r="L61" s="88">
        <f>IF(OR($J61="",$K61=""),"",IFERROR(INDEX(設定!$F$6:$F$21,MATCH($G61,設定!$B$6:$B$21,0)),0))</f>
        <v/>
      </c>
      <c r="M61" s="89">
        <f>IF(OR($J61="",$K61=""),"",ROUND(($K61-$J61)*24-$L61/60,2))</f>
        <v/>
      </c>
      <c r="N61" s="16">
        <f>IF($C61="","",IF(AND(COUNTIF(設定!$B$15:$B$21,$G61)&gt;0,$J61&lt;&gt;""),"假日出勤",IF(AND(COUNTIF(設定!$B$6:$B$14,$G61)&gt;0,$J61=""),"未打卡",IF($J61="","",IF($O61&gt;0,"遲到",IF($P61&gt;0,"早退","正常"))))))</f>
        <v/>
      </c>
      <c r="O61" s="88">
        <f>IF(OR($C61="",$H61="",$J61=""),0,IF(ROUND(($J61-$H61)*1440,0)&gt;設定!$C$48,ROUND(($J61-$H61)*1440,0),0))</f>
        <v/>
      </c>
      <c r="P61" s="88">
        <f>IF(OR($C61="",$I61="",$K61=""),0,IF(ROUND(($I61-$K61)*1440,0)&gt;設定!$C$48,ROUND(($I61-$K61)*1440,0),0))</f>
        <v/>
      </c>
      <c r="Q61" s="89">
        <f>IF($M61="",0,IF(($M61-IFERROR(INDEX(設定!$G$6:$G$21,MATCH($G61,設定!$B$6:$B$21,0)),0))*60&gt;=設定!$C$46,ROUND(FLOOR(($M61-IFERROR(INDEX(設定!$G$6:$G$21,MATCH($G61,設定!$B$6:$B$21,0)),0))*60,設定!$C$47)/60,2),0))</f>
        <v/>
      </c>
      <c r="R61" s="16">
        <f>IF(OR($C61="",$Q61=0),"",IF($G61="國","國定假日",IF($B61="日","例假",IF($B61="六","休息日","平日"))))</f>
        <v/>
      </c>
      <c r="S61" s="18" t="n"/>
    </row>
    <row r="62">
      <c r="A62" s="86">
        <f>IF(OR(醫護長與管理部班表!$A6="",29&gt;DAY(EOMONTH(DATE(設定!$C$2,設定!$D$2,1),0))),"",DATE(設定!$C$2,設定!$D$2,29))</f>
        <v/>
      </c>
      <c r="B62" s="16">
        <f>IF($A62="","",INDEX(設定!$O$6:$O$12,WEEKDAY($A62,1)))</f>
        <v/>
      </c>
      <c r="C62" s="16">
        <f>IF($A62="","",醫護長與管理部班表!$A6)</f>
        <v/>
      </c>
      <c r="D62" s="16">
        <f>IF($C62="","",醫護長與管理部班表!$B6)</f>
        <v/>
      </c>
      <c r="E62" s="16">
        <f>IF($C62="","",醫護長與管理部班表!$D6)</f>
        <v/>
      </c>
      <c r="F62" s="16">
        <f>IF($C62="","",醫護長與管理部班表!$C6)</f>
        <v/>
      </c>
      <c r="G62" s="16">
        <f>IF($C62="","",醫護長與管理部班表!AG6)</f>
        <v/>
      </c>
      <c r="H62" s="87">
        <f>IF($G62="","",IFERROR(IF(INDEX(設定!$D$6:$D$21,MATCH($G62,設定!$B$6:$B$21,0))=0,"",INDEX(設定!$D$6:$D$21,MATCH($G62,設定!$B$6:$B$21,0))),""))</f>
        <v/>
      </c>
      <c r="I62" s="87">
        <f>IF($G62="","",IFERROR(IF(INDEX(設定!$E$6:$E$21,MATCH($G62,設定!$B$6:$B$21,0))=0,"",INDEX(設定!$E$6:$E$21,MATCH($G62,設定!$B$6:$B$21,0))),""))</f>
        <v/>
      </c>
      <c r="J62" s="87">
        <f>IFERROR(INDEX(打卡匯入!$C$3:$C$502,MATCH($C62&amp;"|"&amp;DAY($A62),打卡匯入!$E$3:$E$502,0)),"")</f>
        <v/>
      </c>
      <c r="K62" s="87">
        <f>IFERROR(INDEX(打卡匯入!$D$3:$D$502,MATCH($C62&amp;"|"&amp;DAY($A62),打卡匯入!$E$3:$E$502,0)),"")</f>
        <v/>
      </c>
      <c r="L62" s="88">
        <f>IF(OR($J62="",$K62=""),"",IFERROR(INDEX(設定!$F$6:$F$21,MATCH($G62,設定!$B$6:$B$21,0)),0))</f>
        <v/>
      </c>
      <c r="M62" s="89">
        <f>IF(OR($J62="",$K62=""),"",ROUND(($K62-$J62)*24-$L62/60,2))</f>
        <v/>
      </c>
      <c r="N62" s="16">
        <f>IF($C62="","",IF(AND(COUNTIF(設定!$B$15:$B$21,$G62)&gt;0,$J62&lt;&gt;""),"假日出勤",IF(AND(COUNTIF(設定!$B$6:$B$14,$G62)&gt;0,$J62=""),"未打卡",IF($J62="","",IF($O62&gt;0,"遲到",IF($P62&gt;0,"早退","正常"))))))</f>
        <v/>
      </c>
      <c r="O62" s="88">
        <f>IF(OR($C62="",$H62="",$J62=""),0,IF(ROUND(($J62-$H62)*1440,0)&gt;設定!$C$48,ROUND(($J62-$H62)*1440,0),0))</f>
        <v/>
      </c>
      <c r="P62" s="88">
        <f>IF(OR($C62="",$I62="",$K62=""),0,IF(ROUND(($I62-$K62)*1440,0)&gt;設定!$C$48,ROUND(($I62-$K62)*1440,0),0))</f>
        <v/>
      </c>
      <c r="Q62" s="89">
        <f>IF($M62="",0,IF(($M62-IFERROR(INDEX(設定!$G$6:$G$21,MATCH($G62,設定!$B$6:$B$21,0)),0))*60&gt;=設定!$C$46,ROUND(FLOOR(($M62-IFERROR(INDEX(設定!$G$6:$G$21,MATCH($G62,設定!$B$6:$B$21,0)),0))*60,設定!$C$47)/60,2),0))</f>
        <v/>
      </c>
      <c r="R62" s="16">
        <f>IF(OR($C62="",$Q62=0),"",IF($G62="國","國定假日",IF($B62="日","例假",IF($B62="六","休息日","平日"))))</f>
        <v/>
      </c>
      <c r="S62" s="18" t="n"/>
    </row>
    <row r="63">
      <c r="A63" s="86">
        <f>IF(OR(醫護長與管理部班表!$A6="",30&gt;DAY(EOMONTH(DATE(設定!$C$2,設定!$D$2,1),0))),"",DATE(設定!$C$2,設定!$D$2,30))</f>
        <v/>
      </c>
      <c r="B63" s="16">
        <f>IF($A63="","",INDEX(設定!$O$6:$O$12,WEEKDAY($A63,1)))</f>
        <v/>
      </c>
      <c r="C63" s="16">
        <f>IF($A63="","",醫護長與管理部班表!$A6)</f>
        <v/>
      </c>
      <c r="D63" s="16">
        <f>IF($C63="","",醫護長與管理部班表!$B6)</f>
        <v/>
      </c>
      <c r="E63" s="16">
        <f>IF($C63="","",醫護長與管理部班表!$D6)</f>
        <v/>
      </c>
      <c r="F63" s="16">
        <f>IF($C63="","",醫護長與管理部班表!$C6)</f>
        <v/>
      </c>
      <c r="G63" s="16">
        <f>IF($C63="","",醫護長與管理部班表!AH6)</f>
        <v/>
      </c>
      <c r="H63" s="87">
        <f>IF($G63="","",IFERROR(IF(INDEX(設定!$D$6:$D$21,MATCH($G63,設定!$B$6:$B$21,0))=0,"",INDEX(設定!$D$6:$D$21,MATCH($G63,設定!$B$6:$B$21,0))),""))</f>
        <v/>
      </c>
      <c r="I63" s="87">
        <f>IF($G63="","",IFERROR(IF(INDEX(設定!$E$6:$E$21,MATCH($G63,設定!$B$6:$B$21,0))=0,"",INDEX(設定!$E$6:$E$21,MATCH($G63,設定!$B$6:$B$21,0))),""))</f>
        <v/>
      </c>
      <c r="J63" s="87">
        <f>IFERROR(INDEX(打卡匯入!$C$3:$C$502,MATCH($C63&amp;"|"&amp;DAY($A63),打卡匯入!$E$3:$E$502,0)),"")</f>
        <v/>
      </c>
      <c r="K63" s="87">
        <f>IFERROR(INDEX(打卡匯入!$D$3:$D$502,MATCH($C63&amp;"|"&amp;DAY($A63),打卡匯入!$E$3:$E$502,0)),"")</f>
        <v/>
      </c>
      <c r="L63" s="88">
        <f>IF(OR($J63="",$K63=""),"",IFERROR(INDEX(設定!$F$6:$F$21,MATCH($G63,設定!$B$6:$B$21,0)),0))</f>
        <v/>
      </c>
      <c r="M63" s="89">
        <f>IF(OR($J63="",$K63=""),"",ROUND(($K63-$J63)*24-$L63/60,2))</f>
        <v/>
      </c>
      <c r="N63" s="16">
        <f>IF($C63="","",IF(AND(COUNTIF(設定!$B$15:$B$21,$G63)&gt;0,$J63&lt;&gt;""),"假日出勤",IF(AND(COUNTIF(設定!$B$6:$B$14,$G63)&gt;0,$J63=""),"未打卡",IF($J63="","",IF($O63&gt;0,"遲到",IF($P63&gt;0,"早退","正常"))))))</f>
        <v/>
      </c>
      <c r="O63" s="88">
        <f>IF(OR($C63="",$H63="",$J63=""),0,IF(ROUND(($J63-$H63)*1440,0)&gt;設定!$C$48,ROUND(($J63-$H63)*1440,0),0))</f>
        <v/>
      </c>
      <c r="P63" s="88">
        <f>IF(OR($C63="",$I63="",$K63=""),0,IF(ROUND(($I63-$K63)*1440,0)&gt;設定!$C$48,ROUND(($I63-$K63)*1440,0),0))</f>
        <v/>
      </c>
      <c r="Q63" s="89">
        <f>IF($M63="",0,IF(($M63-IFERROR(INDEX(設定!$G$6:$G$21,MATCH($G63,設定!$B$6:$B$21,0)),0))*60&gt;=設定!$C$46,ROUND(FLOOR(($M63-IFERROR(INDEX(設定!$G$6:$G$21,MATCH($G63,設定!$B$6:$B$21,0)),0))*60,設定!$C$47)/60,2),0))</f>
        <v/>
      </c>
      <c r="R63" s="16">
        <f>IF(OR($C63="",$Q63=0),"",IF($G63="國","國定假日",IF($B63="日","例假",IF($B63="六","休息日","平日"))))</f>
        <v/>
      </c>
      <c r="S63" s="18" t="n"/>
    </row>
    <row r="64">
      <c r="A64" s="86">
        <f>IF(OR(醫護長與管理部班表!$A6="",31&gt;DAY(EOMONTH(DATE(設定!$C$2,設定!$D$2,1),0))),"",DATE(設定!$C$2,設定!$D$2,31))</f>
        <v/>
      </c>
      <c r="B64" s="16">
        <f>IF($A64="","",INDEX(設定!$O$6:$O$12,WEEKDAY($A64,1)))</f>
        <v/>
      </c>
      <c r="C64" s="16">
        <f>IF($A64="","",醫護長與管理部班表!$A6)</f>
        <v/>
      </c>
      <c r="D64" s="16">
        <f>IF($C64="","",醫護長與管理部班表!$B6)</f>
        <v/>
      </c>
      <c r="E64" s="16">
        <f>IF($C64="","",醫護長與管理部班表!$D6)</f>
        <v/>
      </c>
      <c r="F64" s="16">
        <f>IF($C64="","",醫護長與管理部班表!$C6)</f>
        <v/>
      </c>
      <c r="G64" s="16">
        <f>IF($C64="","",醫護長與管理部班表!AI6)</f>
        <v/>
      </c>
      <c r="H64" s="87">
        <f>IF($G64="","",IFERROR(IF(INDEX(設定!$D$6:$D$21,MATCH($G64,設定!$B$6:$B$21,0))=0,"",INDEX(設定!$D$6:$D$21,MATCH($G64,設定!$B$6:$B$21,0))),""))</f>
        <v/>
      </c>
      <c r="I64" s="87">
        <f>IF($G64="","",IFERROR(IF(INDEX(設定!$E$6:$E$21,MATCH($G64,設定!$B$6:$B$21,0))=0,"",INDEX(設定!$E$6:$E$21,MATCH($G64,設定!$B$6:$B$21,0))),""))</f>
        <v/>
      </c>
      <c r="J64" s="87">
        <f>IFERROR(INDEX(打卡匯入!$C$3:$C$502,MATCH($C64&amp;"|"&amp;DAY($A64),打卡匯入!$E$3:$E$502,0)),"")</f>
        <v/>
      </c>
      <c r="K64" s="87">
        <f>IFERROR(INDEX(打卡匯入!$D$3:$D$502,MATCH($C64&amp;"|"&amp;DAY($A64),打卡匯入!$E$3:$E$502,0)),"")</f>
        <v/>
      </c>
      <c r="L64" s="88">
        <f>IF(OR($J64="",$K64=""),"",IFERROR(INDEX(設定!$F$6:$F$21,MATCH($G64,設定!$B$6:$B$21,0)),0))</f>
        <v/>
      </c>
      <c r="M64" s="89">
        <f>IF(OR($J64="",$K64=""),"",ROUND(($K64-$J64)*24-$L64/60,2))</f>
        <v/>
      </c>
      <c r="N64" s="16">
        <f>IF($C64="","",IF(AND(COUNTIF(設定!$B$15:$B$21,$G64)&gt;0,$J64&lt;&gt;""),"假日出勤",IF(AND(COUNTIF(設定!$B$6:$B$14,$G64)&gt;0,$J64=""),"未打卡",IF($J64="","",IF($O64&gt;0,"遲到",IF($P64&gt;0,"早退","正常"))))))</f>
        <v/>
      </c>
      <c r="O64" s="88">
        <f>IF(OR($C64="",$H64="",$J64=""),0,IF(ROUND(($J64-$H64)*1440,0)&gt;設定!$C$48,ROUND(($J64-$H64)*1440,0),0))</f>
        <v/>
      </c>
      <c r="P64" s="88">
        <f>IF(OR($C64="",$I64="",$K64=""),0,IF(ROUND(($I64-$K64)*1440,0)&gt;設定!$C$48,ROUND(($I64-$K64)*1440,0),0))</f>
        <v/>
      </c>
      <c r="Q64" s="89">
        <f>IF($M64="",0,IF(($M64-IFERROR(INDEX(設定!$G$6:$G$21,MATCH($G64,設定!$B$6:$B$21,0)),0))*60&gt;=設定!$C$46,ROUND(FLOOR(($M64-IFERROR(INDEX(設定!$G$6:$G$21,MATCH($G64,設定!$B$6:$B$21,0)),0))*60,設定!$C$47)/60,2),0))</f>
        <v/>
      </c>
      <c r="R64" s="16">
        <f>IF(OR($C64="",$Q64=0),"",IF($G64="國","國定假日",IF($B64="日","例假",IF($B64="六","休息日","平日"))))</f>
        <v/>
      </c>
      <c r="S64" s="18" t="n"/>
    </row>
    <row r="65">
      <c r="A65" s="86">
        <f>IF(OR(醫護長與管理部班表!$A7="",1&gt;DAY(EOMONTH(DATE(設定!$C$2,設定!$D$2,1),0))),"",DATE(設定!$C$2,設定!$D$2,1))</f>
        <v/>
      </c>
      <c r="B65" s="16">
        <f>IF($A65="","",INDEX(設定!$O$6:$O$12,WEEKDAY($A65,1)))</f>
        <v/>
      </c>
      <c r="C65" s="16">
        <f>IF($A65="","",醫護長與管理部班表!$A7)</f>
        <v/>
      </c>
      <c r="D65" s="16">
        <f>IF($C65="","",醫護長與管理部班表!$B7)</f>
        <v/>
      </c>
      <c r="E65" s="16">
        <f>IF($C65="","",醫護長與管理部班表!$D7)</f>
        <v/>
      </c>
      <c r="F65" s="16">
        <f>IF($C65="","",醫護長與管理部班表!$C7)</f>
        <v/>
      </c>
      <c r="G65" s="16">
        <f>IF($C65="","",醫護長與管理部班表!E7)</f>
        <v/>
      </c>
      <c r="H65" s="87">
        <f>IF($G65="","",IFERROR(IF(INDEX(設定!$D$6:$D$21,MATCH($G65,設定!$B$6:$B$21,0))=0,"",INDEX(設定!$D$6:$D$21,MATCH($G65,設定!$B$6:$B$21,0))),""))</f>
        <v/>
      </c>
      <c r="I65" s="87">
        <f>IF($G65="","",IFERROR(IF(INDEX(設定!$E$6:$E$21,MATCH($G65,設定!$B$6:$B$21,0))=0,"",INDEX(設定!$E$6:$E$21,MATCH($G65,設定!$B$6:$B$21,0))),""))</f>
        <v/>
      </c>
      <c r="J65" s="87">
        <f>IFERROR(INDEX(打卡匯入!$C$3:$C$502,MATCH($C65&amp;"|"&amp;DAY($A65),打卡匯入!$E$3:$E$502,0)),"")</f>
        <v/>
      </c>
      <c r="K65" s="87">
        <f>IFERROR(INDEX(打卡匯入!$D$3:$D$502,MATCH($C65&amp;"|"&amp;DAY($A65),打卡匯入!$E$3:$E$502,0)),"")</f>
        <v/>
      </c>
      <c r="L65" s="88">
        <f>IF(OR($J65="",$K65=""),"",IFERROR(INDEX(設定!$F$6:$F$21,MATCH($G65,設定!$B$6:$B$21,0)),0))</f>
        <v/>
      </c>
      <c r="M65" s="89">
        <f>IF(OR($J65="",$K65=""),"",ROUND(($K65-$J65)*24-$L65/60,2))</f>
        <v/>
      </c>
      <c r="N65" s="16">
        <f>IF($C65="","",IF(AND(COUNTIF(設定!$B$15:$B$21,$G65)&gt;0,$J65&lt;&gt;""),"假日出勤",IF(AND(COUNTIF(設定!$B$6:$B$14,$G65)&gt;0,$J65=""),"未打卡",IF($J65="","",IF($O65&gt;0,"遲到",IF($P65&gt;0,"早退","正常"))))))</f>
        <v/>
      </c>
      <c r="O65" s="88">
        <f>IF(OR($C65="",$H65="",$J65=""),0,IF(ROUND(($J65-$H65)*1440,0)&gt;設定!$C$48,ROUND(($J65-$H65)*1440,0),0))</f>
        <v/>
      </c>
      <c r="P65" s="88">
        <f>IF(OR($C65="",$I65="",$K65=""),0,IF(ROUND(($I65-$K65)*1440,0)&gt;設定!$C$48,ROUND(($I65-$K65)*1440,0),0))</f>
        <v/>
      </c>
      <c r="Q65" s="89">
        <f>IF($M65="",0,IF(($M65-IFERROR(INDEX(設定!$G$6:$G$21,MATCH($G65,設定!$B$6:$B$21,0)),0))*60&gt;=設定!$C$46,ROUND(FLOOR(($M65-IFERROR(INDEX(設定!$G$6:$G$21,MATCH($G65,設定!$B$6:$B$21,0)),0))*60,設定!$C$47)/60,2),0))</f>
        <v/>
      </c>
      <c r="R65" s="16">
        <f>IF(OR($C65="",$Q65=0),"",IF($G65="國","國定假日",IF($B65="日","例假",IF($B65="六","休息日","平日"))))</f>
        <v/>
      </c>
      <c r="S65" s="18" t="n"/>
    </row>
    <row r="66">
      <c r="A66" s="86">
        <f>IF(OR(醫護長與管理部班表!$A7="",2&gt;DAY(EOMONTH(DATE(設定!$C$2,設定!$D$2,1),0))),"",DATE(設定!$C$2,設定!$D$2,2))</f>
        <v/>
      </c>
      <c r="B66" s="16">
        <f>IF($A66="","",INDEX(設定!$O$6:$O$12,WEEKDAY($A66,1)))</f>
        <v/>
      </c>
      <c r="C66" s="16">
        <f>IF($A66="","",醫護長與管理部班表!$A7)</f>
        <v/>
      </c>
      <c r="D66" s="16">
        <f>IF($C66="","",醫護長與管理部班表!$B7)</f>
        <v/>
      </c>
      <c r="E66" s="16">
        <f>IF($C66="","",醫護長與管理部班表!$D7)</f>
        <v/>
      </c>
      <c r="F66" s="16">
        <f>IF($C66="","",醫護長與管理部班表!$C7)</f>
        <v/>
      </c>
      <c r="G66" s="16">
        <f>IF($C66="","",醫護長與管理部班表!F7)</f>
        <v/>
      </c>
      <c r="H66" s="87">
        <f>IF($G66="","",IFERROR(IF(INDEX(設定!$D$6:$D$21,MATCH($G66,設定!$B$6:$B$21,0))=0,"",INDEX(設定!$D$6:$D$21,MATCH($G66,設定!$B$6:$B$21,0))),""))</f>
        <v/>
      </c>
      <c r="I66" s="87">
        <f>IF($G66="","",IFERROR(IF(INDEX(設定!$E$6:$E$21,MATCH($G66,設定!$B$6:$B$21,0))=0,"",INDEX(設定!$E$6:$E$21,MATCH($G66,設定!$B$6:$B$21,0))),""))</f>
        <v/>
      </c>
      <c r="J66" s="87">
        <f>IFERROR(INDEX(打卡匯入!$C$3:$C$502,MATCH($C66&amp;"|"&amp;DAY($A66),打卡匯入!$E$3:$E$502,0)),"")</f>
        <v/>
      </c>
      <c r="K66" s="87">
        <f>IFERROR(INDEX(打卡匯入!$D$3:$D$502,MATCH($C66&amp;"|"&amp;DAY($A66),打卡匯入!$E$3:$E$502,0)),"")</f>
        <v/>
      </c>
      <c r="L66" s="88">
        <f>IF(OR($J66="",$K66=""),"",IFERROR(INDEX(設定!$F$6:$F$21,MATCH($G66,設定!$B$6:$B$21,0)),0))</f>
        <v/>
      </c>
      <c r="M66" s="89">
        <f>IF(OR($J66="",$K66=""),"",ROUND(($K66-$J66)*24-$L66/60,2))</f>
        <v/>
      </c>
      <c r="N66" s="16">
        <f>IF($C66="","",IF(AND(COUNTIF(設定!$B$15:$B$21,$G66)&gt;0,$J66&lt;&gt;""),"假日出勤",IF(AND(COUNTIF(設定!$B$6:$B$14,$G66)&gt;0,$J66=""),"未打卡",IF($J66="","",IF($O66&gt;0,"遲到",IF($P66&gt;0,"早退","正常"))))))</f>
        <v/>
      </c>
      <c r="O66" s="88">
        <f>IF(OR($C66="",$H66="",$J66=""),0,IF(ROUND(($J66-$H66)*1440,0)&gt;設定!$C$48,ROUND(($J66-$H66)*1440,0),0))</f>
        <v/>
      </c>
      <c r="P66" s="88">
        <f>IF(OR($C66="",$I66="",$K66=""),0,IF(ROUND(($I66-$K66)*1440,0)&gt;設定!$C$48,ROUND(($I66-$K66)*1440,0),0))</f>
        <v/>
      </c>
      <c r="Q66" s="89">
        <f>IF($M66="",0,IF(($M66-IFERROR(INDEX(設定!$G$6:$G$21,MATCH($G66,設定!$B$6:$B$21,0)),0))*60&gt;=設定!$C$46,ROUND(FLOOR(($M66-IFERROR(INDEX(設定!$G$6:$G$21,MATCH($G66,設定!$B$6:$B$21,0)),0))*60,設定!$C$47)/60,2),0))</f>
        <v/>
      </c>
      <c r="R66" s="16">
        <f>IF(OR($C66="",$Q66=0),"",IF($G66="國","國定假日",IF($B66="日","例假",IF($B66="六","休息日","平日"))))</f>
        <v/>
      </c>
      <c r="S66" s="18" t="n"/>
    </row>
    <row r="67">
      <c r="A67" s="86">
        <f>IF(OR(醫護長與管理部班表!$A7="",3&gt;DAY(EOMONTH(DATE(設定!$C$2,設定!$D$2,1),0))),"",DATE(設定!$C$2,設定!$D$2,3))</f>
        <v/>
      </c>
      <c r="B67" s="16">
        <f>IF($A67="","",INDEX(設定!$O$6:$O$12,WEEKDAY($A67,1)))</f>
        <v/>
      </c>
      <c r="C67" s="16">
        <f>IF($A67="","",醫護長與管理部班表!$A7)</f>
        <v/>
      </c>
      <c r="D67" s="16">
        <f>IF($C67="","",醫護長與管理部班表!$B7)</f>
        <v/>
      </c>
      <c r="E67" s="16">
        <f>IF($C67="","",醫護長與管理部班表!$D7)</f>
        <v/>
      </c>
      <c r="F67" s="16">
        <f>IF($C67="","",醫護長與管理部班表!$C7)</f>
        <v/>
      </c>
      <c r="G67" s="16">
        <f>IF($C67="","",醫護長與管理部班表!G7)</f>
        <v/>
      </c>
      <c r="H67" s="87">
        <f>IF($G67="","",IFERROR(IF(INDEX(設定!$D$6:$D$21,MATCH($G67,設定!$B$6:$B$21,0))=0,"",INDEX(設定!$D$6:$D$21,MATCH($G67,設定!$B$6:$B$21,0))),""))</f>
        <v/>
      </c>
      <c r="I67" s="87">
        <f>IF($G67="","",IFERROR(IF(INDEX(設定!$E$6:$E$21,MATCH($G67,設定!$B$6:$B$21,0))=0,"",INDEX(設定!$E$6:$E$21,MATCH($G67,設定!$B$6:$B$21,0))),""))</f>
        <v/>
      </c>
      <c r="J67" s="87">
        <f>IFERROR(INDEX(打卡匯入!$C$3:$C$502,MATCH($C67&amp;"|"&amp;DAY($A67),打卡匯入!$E$3:$E$502,0)),"")</f>
        <v/>
      </c>
      <c r="K67" s="87">
        <f>IFERROR(INDEX(打卡匯入!$D$3:$D$502,MATCH($C67&amp;"|"&amp;DAY($A67),打卡匯入!$E$3:$E$502,0)),"")</f>
        <v/>
      </c>
      <c r="L67" s="88">
        <f>IF(OR($J67="",$K67=""),"",IFERROR(INDEX(設定!$F$6:$F$21,MATCH($G67,設定!$B$6:$B$21,0)),0))</f>
        <v/>
      </c>
      <c r="M67" s="89">
        <f>IF(OR($J67="",$K67=""),"",ROUND(($K67-$J67)*24-$L67/60,2))</f>
        <v/>
      </c>
      <c r="N67" s="16">
        <f>IF($C67="","",IF(AND(COUNTIF(設定!$B$15:$B$21,$G67)&gt;0,$J67&lt;&gt;""),"假日出勤",IF(AND(COUNTIF(設定!$B$6:$B$14,$G67)&gt;0,$J67=""),"未打卡",IF($J67="","",IF($O67&gt;0,"遲到",IF($P67&gt;0,"早退","正常"))))))</f>
        <v/>
      </c>
      <c r="O67" s="88">
        <f>IF(OR($C67="",$H67="",$J67=""),0,IF(ROUND(($J67-$H67)*1440,0)&gt;設定!$C$48,ROUND(($J67-$H67)*1440,0),0))</f>
        <v/>
      </c>
      <c r="P67" s="88">
        <f>IF(OR($C67="",$I67="",$K67=""),0,IF(ROUND(($I67-$K67)*1440,0)&gt;設定!$C$48,ROUND(($I67-$K67)*1440,0),0))</f>
        <v/>
      </c>
      <c r="Q67" s="89">
        <f>IF($M67="",0,IF(($M67-IFERROR(INDEX(設定!$G$6:$G$21,MATCH($G67,設定!$B$6:$B$21,0)),0))*60&gt;=設定!$C$46,ROUND(FLOOR(($M67-IFERROR(INDEX(設定!$G$6:$G$21,MATCH($G67,設定!$B$6:$B$21,0)),0))*60,設定!$C$47)/60,2),0))</f>
        <v/>
      </c>
      <c r="R67" s="16">
        <f>IF(OR($C67="",$Q67=0),"",IF($G67="國","國定假日",IF($B67="日","例假",IF($B67="六","休息日","平日"))))</f>
        <v/>
      </c>
      <c r="S67" s="18" t="n"/>
    </row>
    <row r="68">
      <c r="A68" s="86">
        <f>IF(OR(醫護長與管理部班表!$A7="",4&gt;DAY(EOMONTH(DATE(設定!$C$2,設定!$D$2,1),0))),"",DATE(設定!$C$2,設定!$D$2,4))</f>
        <v/>
      </c>
      <c r="B68" s="16">
        <f>IF($A68="","",INDEX(設定!$O$6:$O$12,WEEKDAY($A68,1)))</f>
        <v/>
      </c>
      <c r="C68" s="16">
        <f>IF($A68="","",醫護長與管理部班表!$A7)</f>
        <v/>
      </c>
      <c r="D68" s="16">
        <f>IF($C68="","",醫護長與管理部班表!$B7)</f>
        <v/>
      </c>
      <c r="E68" s="16">
        <f>IF($C68="","",醫護長與管理部班表!$D7)</f>
        <v/>
      </c>
      <c r="F68" s="16">
        <f>IF($C68="","",醫護長與管理部班表!$C7)</f>
        <v/>
      </c>
      <c r="G68" s="16">
        <f>IF($C68="","",醫護長與管理部班表!H7)</f>
        <v/>
      </c>
      <c r="H68" s="87">
        <f>IF($G68="","",IFERROR(IF(INDEX(設定!$D$6:$D$21,MATCH($G68,設定!$B$6:$B$21,0))=0,"",INDEX(設定!$D$6:$D$21,MATCH($G68,設定!$B$6:$B$21,0))),""))</f>
        <v/>
      </c>
      <c r="I68" s="87">
        <f>IF($G68="","",IFERROR(IF(INDEX(設定!$E$6:$E$21,MATCH($G68,設定!$B$6:$B$21,0))=0,"",INDEX(設定!$E$6:$E$21,MATCH($G68,設定!$B$6:$B$21,0))),""))</f>
        <v/>
      </c>
      <c r="J68" s="87">
        <f>IFERROR(INDEX(打卡匯入!$C$3:$C$502,MATCH($C68&amp;"|"&amp;DAY($A68),打卡匯入!$E$3:$E$502,0)),"")</f>
        <v/>
      </c>
      <c r="K68" s="87">
        <f>IFERROR(INDEX(打卡匯入!$D$3:$D$502,MATCH($C68&amp;"|"&amp;DAY($A68),打卡匯入!$E$3:$E$502,0)),"")</f>
        <v/>
      </c>
      <c r="L68" s="88">
        <f>IF(OR($J68="",$K68=""),"",IFERROR(INDEX(設定!$F$6:$F$21,MATCH($G68,設定!$B$6:$B$21,0)),0))</f>
        <v/>
      </c>
      <c r="M68" s="89">
        <f>IF(OR($J68="",$K68=""),"",ROUND(($K68-$J68)*24-$L68/60,2))</f>
        <v/>
      </c>
      <c r="N68" s="16">
        <f>IF($C68="","",IF(AND(COUNTIF(設定!$B$15:$B$21,$G68)&gt;0,$J68&lt;&gt;""),"假日出勤",IF(AND(COUNTIF(設定!$B$6:$B$14,$G68)&gt;0,$J68=""),"未打卡",IF($J68="","",IF($O68&gt;0,"遲到",IF($P68&gt;0,"早退","正常"))))))</f>
        <v/>
      </c>
      <c r="O68" s="88">
        <f>IF(OR($C68="",$H68="",$J68=""),0,IF(ROUND(($J68-$H68)*1440,0)&gt;設定!$C$48,ROUND(($J68-$H68)*1440,0),0))</f>
        <v/>
      </c>
      <c r="P68" s="88">
        <f>IF(OR($C68="",$I68="",$K68=""),0,IF(ROUND(($I68-$K68)*1440,0)&gt;設定!$C$48,ROUND(($I68-$K68)*1440,0),0))</f>
        <v/>
      </c>
      <c r="Q68" s="89">
        <f>IF($M68="",0,IF(($M68-IFERROR(INDEX(設定!$G$6:$G$21,MATCH($G68,設定!$B$6:$B$21,0)),0))*60&gt;=設定!$C$46,ROUND(FLOOR(($M68-IFERROR(INDEX(設定!$G$6:$G$21,MATCH($G68,設定!$B$6:$B$21,0)),0))*60,設定!$C$47)/60,2),0))</f>
        <v/>
      </c>
      <c r="R68" s="16">
        <f>IF(OR($C68="",$Q68=0),"",IF($G68="國","國定假日",IF($B68="日","例假",IF($B68="六","休息日","平日"))))</f>
        <v/>
      </c>
      <c r="S68" s="18" t="n"/>
    </row>
    <row r="69">
      <c r="A69" s="86">
        <f>IF(OR(醫護長與管理部班表!$A7="",5&gt;DAY(EOMONTH(DATE(設定!$C$2,設定!$D$2,1),0))),"",DATE(設定!$C$2,設定!$D$2,5))</f>
        <v/>
      </c>
      <c r="B69" s="16">
        <f>IF($A69="","",INDEX(設定!$O$6:$O$12,WEEKDAY($A69,1)))</f>
        <v/>
      </c>
      <c r="C69" s="16">
        <f>IF($A69="","",醫護長與管理部班表!$A7)</f>
        <v/>
      </c>
      <c r="D69" s="16">
        <f>IF($C69="","",醫護長與管理部班表!$B7)</f>
        <v/>
      </c>
      <c r="E69" s="16">
        <f>IF($C69="","",醫護長與管理部班表!$D7)</f>
        <v/>
      </c>
      <c r="F69" s="16">
        <f>IF($C69="","",醫護長與管理部班表!$C7)</f>
        <v/>
      </c>
      <c r="G69" s="16">
        <f>IF($C69="","",醫護長與管理部班表!I7)</f>
        <v/>
      </c>
      <c r="H69" s="87">
        <f>IF($G69="","",IFERROR(IF(INDEX(設定!$D$6:$D$21,MATCH($G69,設定!$B$6:$B$21,0))=0,"",INDEX(設定!$D$6:$D$21,MATCH($G69,設定!$B$6:$B$21,0))),""))</f>
        <v/>
      </c>
      <c r="I69" s="87">
        <f>IF($G69="","",IFERROR(IF(INDEX(設定!$E$6:$E$21,MATCH($G69,設定!$B$6:$B$21,0))=0,"",INDEX(設定!$E$6:$E$21,MATCH($G69,設定!$B$6:$B$21,0))),""))</f>
        <v/>
      </c>
      <c r="J69" s="87">
        <f>IFERROR(INDEX(打卡匯入!$C$3:$C$502,MATCH($C69&amp;"|"&amp;DAY($A69),打卡匯入!$E$3:$E$502,0)),"")</f>
        <v/>
      </c>
      <c r="K69" s="87">
        <f>IFERROR(INDEX(打卡匯入!$D$3:$D$502,MATCH($C69&amp;"|"&amp;DAY($A69),打卡匯入!$E$3:$E$502,0)),"")</f>
        <v/>
      </c>
      <c r="L69" s="88">
        <f>IF(OR($J69="",$K69=""),"",IFERROR(INDEX(設定!$F$6:$F$21,MATCH($G69,設定!$B$6:$B$21,0)),0))</f>
        <v/>
      </c>
      <c r="M69" s="89">
        <f>IF(OR($J69="",$K69=""),"",ROUND(($K69-$J69)*24-$L69/60,2))</f>
        <v/>
      </c>
      <c r="N69" s="16">
        <f>IF($C69="","",IF(AND(COUNTIF(設定!$B$15:$B$21,$G69)&gt;0,$J69&lt;&gt;""),"假日出勤",IF(AND(COUNTIF(設定!$B$6:$B$14,$G69)&gt;0,$J69=""),"未打卡",IF($J69="","",IF($O69&gt;0,"遲到",IF($P69&gt;0,"早退","正常"))))))</f>
        <v/>
      </c>
      <c r="O69" s="88">
        <f>IF(OR($C69="",$H69="",$J69=""),0,IF(ROUND(($J69-$H69)*1440,0)&gt;設定!$C$48,ROUND(($J69-$H69)*1440,0),0))</f>
        <v/>
      </c>
      <c r="P69" s="88">
        <f>IF(OR($C69="",$I69="",$K69=""),0,IF(ROUND(($I69-$K69)*1440,0)&gt;設定!$C$48,ROUND(($I69-$K69)*1440,0),0))</f>
        <v/>
      </c>
      <c r="Q69" s="89">
        <f>IF($M69="",0,IF(($M69-IFERROR(INDEX(設定!$G$6:$G$21,MATCH($G69,設定!$B$6:$B$21,0)),0))*60&gt;=設定!$C$46,ROUND(FLOOR(($M69-IFERROR(INDEX(設定!$G$6:$G$21,MATCH($G69,設定!$B$6:$B$21,0)),0))*60,設定!$C$47)/60,2),0))</f>
        <v/>
      </c>
      <c r="R69" s="16">
        <f>IF(OR($C69="",$Q69=0),"",IF($G69="國","國定假日",IF($B69="日","例假",IF($B69="六","休息日","平日"))))</f>
        <v/>
      </c>
      <c r="S69" s="18" t="n"/>
    </row>
    <row r="70">
      <c r="A70" s="86">
        <f>IF(OR(醫護長與管理部班表!$A7="",6&gt;DAY(EOMONTH(DATE(設定!$C$2,設定!$D$2,1),0))),"",DATE(設定!$C$2,設定!$D$2,6))</f>
        <v/>
      </c>
      <c r="B70" s="16">
        <f>IF($A70="","",INDEX(設定!$O$6:$O$12,WEEKDAY($A70,1)))</f>
        <v/>
      </c>
      <c r="C70" s="16">
        <f>IF($A70="","",醫護長與管理部班表!$A7)</f>
        <v/>
      </c>
      <c r="D70" s="16">
        <f>IF($C70="","",醫護長與管理部班表!$B7)</f>
        <v/>
      </c>
      <c r="E70" s="16">
        <f>IF($C70="","",醫護長與管理部班表!$D7)</f>
        <v/>
      </c>
      <c r="F70" s="16">
        <f>IF($C70="","",醫護長與管理部班表!$C7)</f>
        <v/>
      </c>
      <c r="G70" s="16">
        <f>IF($C70="","",醫護長與管理部班表!J7)</f>
        <v/>
      </c>
      <c r="H70" s="87">
        <f>IF($G70="","",IFERROR(IF(INDEX(設定!$D$6:$D$21,MATCH($G70,設定!$B$6:$B$21,0))=0,"",INDEX(設定!$D$6:$D$21,MATCH($G70,設定!$B$6:$B$21,0))),""))</f>
        <v/>
      </c>
      <c r="I70" s="87">
        <f>IF($G70="","",IFERROR(IF(INDEX(設定!$E$6:$E$21,MATCH($G70,設定!$B$6:$B$21,0))=0,"",INDEX(設定!$E$6:$E$21,MATCH($G70,設定!$B$6:$B$21,0))),""))</f>
        <v/>
      </c>
      <c r="J70" s="87">
        <f>IFERROR(INDEX(打卡匯入!$C$3:$C$502,MATCH($C70&amp;"|"&amp;DAY($A70),打卡匯入!$E$3:$E$502,0)),"")</f>
        <v/>
      </c>
      <c r="K70" s="87">
        <f>IFERROR(INDEX(打卡匯入!$D$3:$D$502,MATCH($C70&amp;"|"&amp;DAY($A70),打卡匯入!$E$3:$E$502,0)),"")</f>
        <v/>
      </c>
      <c r="L70" s="88">
        <f>IF(OR($J70="",$K70=""),"",IFERROR(INDEX(設定!$F$6:$F$21,MATCH($G70,設定!$B$6:$B$21,0)),0))</f>
        <v/>
      </c>
      <c r="M70" s="89">
        <f>IF(OR($J70="",$K70=""),"",ROUND(($K70-$J70)*24-$L70/60,2))</f>
        <v/>
      </c>
      <c r="N70" s="16">
        <f>IF($C70="","",IF(AND(COUNTIF(設定!$B$15:$B$21,$G70)&gt;0,$J70&lt;&gt;""),"假日出勤",IF(AND(COUNTIF(設定!$B$6:$B$14,$G70)&gt;0,$J70=""),"未打卡",IF($J70="","",IF($O70&gt;0,"遲到",IF($P70&gt;0,"早退","正常"))))))</f>
        <v/>
      </c>
      <c r="O70" s="88">
        <f>IF(OR($C70="",$H70="",$J70=""),0,IF(ROUND(($J70-$H70)*1440,0)&gt;設定!$C$48,ROUND(($J70-$H70)*1440,0),0))</f>
        <v/>
      </c>
      <c r="P70" s="88">
        <f>IF(OR($C70="",$I70="",$K70=""),0,IF(ROUND(($I70-$K70)*1440,0)&gt;設定!$C$48,ROUND(($I70-$K70)*1440,0),0))</f>
        <v/>
      </c>
      <c r="Q70" s="89">
        <f>IF($M70="",0,IF(($M70-IFERROR(INDEX(設定!$G$6:$G$21,MATCH($G70,設定!$B$6:$B$21,0)),0))*60&gt;=設定!$C$46,ROUND(FLOOR(($M70-IFERROR(INDEX(設定!$G$6:$G$21,MATCH($G70,設定!$B$6:$B$21,0)),0))*60,設定!$C$47)/60,2),0))</f>
        <v/>
      </c>
      <c r="R70" s="16">
        <f>IF(OR($C70="",$Q70=0),"",IF($G70="國","國定假日",IF($B70="日","例假",IF($B70="六","休息日","平日"))))</f>
        <v/>
      </c>
      <c r="S70" s="18" t="n"/>
    </row>
    <row r="71">
      <c r="A71" s="86">
        <f>IF(OR(醫護長與管理部班表!$A7="",7&gt;DAY(EOMONTH(DATE(設定!$C$2,設定!$D$2,1),0))),"",DATE(設定!$C$2,設定!$D$2,7))</f>
        <v/>
      </c>
      <c r="B71" s="16">
        <f>IF($A71="","",INDEX(設定!$O$6:$O$12,WEEKDAY($A71,1)))</f>
        <v/>
      </c>
      <c r="C71" s="16">
        <f>IF($A71="","",醫護長與管理部班表!$A7)</f>
        <v/>
      </c>
      <c r="D71" s="16">
        <f>IF($C71="","",醫護長與管理部班表!$B7)</f>
        <v/>
      </c>
      <c r="E71" s="16">
        <f>IF($C71="","",醫護長與管理部班表!$D7)</f>
        <v/>
      </c>
      <c r="F71" s="16">
        <f>IF($C71="","",醫護長與管理部班表!$C7)</f>
        <v/>
      </c>
      <c r="G71" s="16">
        <f>IF($C71="","",醫護長與管理部班表!K7)</f>
        <v/>
      </c>
      <c r="H71" s="87">
        <f>IF($G71="","",IFERROR(IF(INDEX(設定!$D$6:$D$21,MATCH($G71,設定!$B$6:$B$21,0))=0,"",INDEX(設定!$D$6:$D$21,MATCH($G71,設定!$B$6:$B$21,0))),""))</f>
        <v/>
      </c>
      <c r="I71" s="87">
        <f>IF($G71="","",IFERROR(IF(INDEX(設定!$E$6:$E$21,MATCH($G71,設定!$B$6:$B$21,0))=0,"",INDEX(設定!$E$6:$E$21,MATCH($G71,設定!$B$6:$B$21,0))),""))</f>
        <v/>
      </c>
      <c r="J71" s="87">
        <f>IFERROR(INDEX(打卡匯入!$C$3:$C$502,MATCH($C71&amp;"|"&amp;DAY($A71),打卡匯入!$E$3:$E$502,0)),"")</f>
        <v/>
      </c>
      <c r="K71" s="87">
        <f>IFERROR(INDEX(打卡匯入!$D$3:$D$502,MATCH($C71&amp;"|"&amp;DAY($A71),打卡匯入!$E$3:$E$502,0)),"")</f>
        <v/>
      </c>
      <c r="L71" s="88">
        <f>IF(OR($J71="",$K71=""),"",IFERROR(INDEX(設定!$F$6:$F$21,MATCH($G71,設定!$B$6:$B$21,0)),0))</f>
        <v/>
      </c>
      <c r="M71" s="89">
        <f>IF(OR($J71="",$K71=""),"",ROUND(($K71-$J71)*24-$L71/60,2))</f>
        <v/>
      </c>
      <c r="N71" s="16">
        <f>IF($C71="","",IF(AND(COUNTIF(設定!$B$15:$B$21,$G71)&gt;0,$J71&lt;&gt;""),"假日出勤",IF(AND(COUNTIF(設定!$B$6:$B$14,$G71)&gt;0,$J71=""),"未打卡",IF($J71="","",IF($O71&gt;0,"遲到",IF($P71&gt;0,"早退","正常"))))))</f>
        <v/>
      </c>
      <c r="O71" s="88">
        <f>IF(OR($C71="",$H71="",$J71=""),0,IF(ROUND(($J71-$H71)*1440,0)&gt;設定!$C$48,ROUND(($J71-$H71)*1440,0),0))</f>
        <v/>
      </c>
      <c r="P71" s="88">
        <f>IF(OR($C71="",$I71="",$K71=""),0,IF(ROUND(($I71-$K71)*1440,0)&gt;設定!$C$48,ROUND(($I71-$K71)*1440,0),0))</f>
        <v/>
      </c>
      <c r="Q71" s="89">
        <f>IF($M71="",0,IF(($M71-IFERROR(INDEX(設定!$G$6:$G$21,MATCH($G71,設定!$B$6:$B$21,0)),0))*60&gt;=設定!$C$46,ROUND(FLOOR(($M71-IFERROR(INDEX(設定!$G$6:$G$21,MATCH($G71,設定!$B$6:$B$21,0)),0))*60,設定!$C$47)/60,2),0))</f>
        <v/>
      </c>
      <c r="R71" s="16">
        <f>IF(OR($C71="",$Q71=0),"",IF($G71="國","國定假日",IF($B71="日","例假",IF($B71="六","休息日","平日"))))</f>
        <v/>
      </c>
      <c r="S71" s="18" t="n"/>
    </row>
    <row r="72">
      <c r="A72" s="86">
        <f>IF(OR(醫護長與管理部班表!$A7="",8&gt;DAY(EOMONTH(DATE(設定!$C$2,設定!$D$2,1),0))),"",DATE(設定!$C$2,設定!$D$2,8))</f>
        <v/>
      </c>
      <c r="B72" s="16">
        <f>IF($A72="","",INDEX(設定!$O$6:$O$12,WEEKDAY($A72,1)))</f>
        <v/>
      </c>
      <c r="C72" s="16">
        <f>IF($A72="","",醫護長與管理部班表!$A7)</f>
        <v/>
      </c>
      <c r="D72" s="16">
        <f>IF($C72="","",醫護長與管理部班表!$B7)</f>
        <v/>
      </c>
      <c r="E72" s="16">
        <f>IF($C72="","",醫護長與管理部班表!$D7)</f>
        <v/>
      </c>
      <c r="F72" s="16">
        <f>IF($C72="","",醫護長與管理部班表!$C7)</f>
        <v/>
      </c>
      <c r="G72" s="16">
        <f>IF($C72="","",醫護長與管理部班表!L7)</f>
        <v/>
      </c>
      <c r="H72" s="87">
        <f>IF($G72="","",IFERROR(IF(INDEX(設定!$D$6:$D$21,MATCH($G72,設定!$B$6:$B$21,0))=0,"",INDEX(設定!$D$6:$D$21,MATCH($G72,設定!$B$6:$B$21,0))),""))</f>
        <v/>
      </c>
      <c r="I72" s="87">
        <f>IF($G72="","",IFERROR(IF(INDEX(設定!$E$6:$E$21,MATCH($G72,設定!$B$6:$B$21,0))=0,"",INDEX(設定!$E$6:$E$21,MATCH($G72,設定!$B$6:$B$21,0))),""))</f>
        <v/>
      </c>
      <c r="J72" s="87">
        <f>IFERROR(INDEX(打卡匯入!$C$3:$C$502,MATCH($C72&amp;"|"&amp;DAY($A72),打卡匯入!$E$3:$E$502,0)),"")</f>
        <v/>
      </c>
      <c r="K72" s="87">
        <f>IFERROR(INDEX(打卡匯入!$D$3:$D$502,MATCH($C72&amp;"|"&amp;DAY($A72),打卡匯入!$E$3:$E$502,0)),"")</f>
        <v/>
      </c>
      <c r="L72" s="88">
        <f>IF(OR($J72="",$K72=""),"",IFERROR(INDEX(設定!$F$6:$F$21,MATCH($G72,設定!$B$6:$B$21,0)),0))</f>
        <v/>
      </c>
      <c r="M72" s="89">
        <f>IF(OR($J72="",$K72=""),"",ROUND(($K72-$J72)*24-$L72/60,2))</f>
        <v/>
      </c>
      <c r="N72" s="16">
        <f>IF($C72="","",IF(AND(COUNTIF(設定!$B$15:$B$21,$G72)&gt;0,$J72&lt;&gt;""),"假日出勤",IF(AND(COUNTIF(設定!$B$6:$B$14,$G72)&gt;0,$J72=""),"未打卡",IF($J72="","",IF($O72&gt;0,"遲到",IF($P72&gt;0,"早退","正常"))))))</f>
        <v/>
      </c>
      <c r="O72" s="88">
        <f>IF(OR($C72="",$H72="",$J72=""),0,IF(ROUND(($J72-$H72)*1440,0)&gt;設定!$C$48,ROUND(($J72-$H72)*1440,0),0))</f>
        <v/>
      </c>
      <c r="P72" s="88">
        <f>IF(OR($C72="",$I72="",$K72=""),0,IF(ROUND(($I72-$K72)*1440,0)&gt;設定!$C$48,ROUND(($I72-$K72)*1440,0),0))</f>
        <v/>
      </c>
      <c r="Q72" s="89">
        <f>IF($M72="",0,IF(($M72-IFERROR(INDEX(設定!$G$6:$G$21,MATCH($G72,設定!$B$6:$B$21,0)),0))*60&gt;=設定!$C$46,ROUND(FLOOR(($M72-IFERROR(INDEX(設定!$G$6:$G$21,MATCH($G72,設定!$B$6:$B$21,0)),0))*60,設定!$C$47)/60,2),0))</f>
        <v/>
      </c>
      <c r="R72" s="16">
        <f>IF(OR($C72="",$Q72=0),"",IF($G72="國","國定假日",IF($B72="日","例假",IF($B72="六","休息日","平日"))))</f>
        <v/>
      </c>
      <c r="S72" s="18" t="n"/>
    </row>
    <row r="73">
      <c r="A73" s="86">
        <f>IF(OR(醫護長與管理部班表!$A7="",9&gt;DAY(EOMONTH(DATE(設定!$C$2,設定!$D$2,1),0))),"",DATE(設定!$C$2,設定!$D$2,9))</f>
        <v/>
      </c>
      <c r="B73" s="16">
        <f>IF($A73="","",INDEX(設定!$O$6:$O$12,WEEKDAY($A73,1)))</f>
        <v/>
      </c>
      <c r="C73" s="16">
        <f>IF($A73="","",醫護長與管理部班表!$A7)</f>
        <v/>
      </c>
      <c r="D73" s="16">
        <f>IF($C73="","",醫護長與管理部班表!$B7)</f>
        <v/>
      </c>
      <c r="E73" s="16">
        <f>IF($C73="","",醫護長與管理部班表!$D7)</f>
        <v/>
      </c>
      <c r="F73" s="16">
        <f>IF($C73="","",醫護長與管理部班表!$C7)</f>
        <v/>
      </c>
      <c r="G73" s="16">
        <f>IF($C73="","",醫護長與管理部班表!M7)</f>
        <v/>
      </c>
      <c r="H73" s="87">
        <f>IF($G73="","",IFERROR(IF(INDEX(設定!$D$6:$D$21,MATCH($G73,設定!$B$6:$B$21,0))=0,"",INDEX(設定!$D$6:$D$21,MATCH($G73,設定!$B$6:$B$21,0))),""))</f>
        <v/>
      </c>
      <c r="I73" s="87">
        <f>IF($G73="","",IFERROR(IF(INDEX(設定!$E$6:$E$21,MATCH($G73,設定!$B$6:$B$21,0))=0,"",INDEX(設定!$E$6:$E$21,MATCH($G73,設定!$B$6:$B$21,0))),""))</f>
        <v/>
      </c>
      <c r="J73" s="87">
        <f>IFERROR(INDEX(打卡匯入!$C$3:$C$502,MATCH($C73&amp;"|"&amp;DAY($A73),打卡匯入!$E$3:$E$502,0)),"")</f>
        <v/>
      </c>
      <c r="K73" s="87">
        <f>IFERROR(INDEX(打卡匯入!$D$3:$D$502,MATCH($C73&amp;"|"&amp;DAY($A73),打卡匯入!$E$3:$E$502,0)),"")</f>
        <v/>
      </c>
      <c r="L73" s="88">
        <f>IF(OR($J73="",$K73=""),"",IFERROR(INDEX(設定!$F$6:$F$21,MATCH($G73,設定!$B$6:$B$21,0)),0))</f>
        <v/>
      </c>
      <c r="M73" s="89">
        <f>IF(OR($J73="",$K73=""),"",ROUND(($K73-$J73)*24-$L73/60,2))</f>
        <v/>
      </c>
      <c r="N73" s="16">
        <f>IF($C73="","",IF(AND(COUNTIF(設定!$B$15:$B$21,$G73)&gt;0,$J73&lt;&gt;""),"假日出勤",IF(AND(COUNTIF(設定!$B$6:$B$14,$G73)&gt;0,$J73=""),"未打卡",IF($J73="","",IF($O73&gt;0,"遲到",IF($P73&gt;0,"早退","正常"))))))</f>
        <v/>
      </c>
      <c r="O73" s="88">
        <f>IF(OR($C73="",$H73="",$J73=""),0,IF(ROUND(($J73-$H73)*1440,0)&gt;設定!$C$48,ROUND(($J73-$H73)*1440,0),0))</f>
        <v/>
      </c>
      <c r="P73" s="88">
        <f>IF(OR($C73="",$I73="",$K73=""),0,IF(ROUND(($I73-$K73)*1440,0)&gt;設定!$C$48,ROUND(($I73-$K73)*1440,0),0))</f>
        <v/>
      </c>
      <c r="Q73" s="89">
        <f>IF($M73="",0,IF(($M73-IFERROR(INDEX(設定!$G$6:$G$21,MATCH($G73,設定!$B$6:$B$21,0)),0))*60&gt;=設定!$C$46,ROUND(FLOOR(($M73-IFERROR(INDEX(設定!$G$6:$G$21,MATCH($G73,設定!$B$6:$B$21,0)),0))*60,設定!$C$47)/60,2),0))</f>
        <v/>
      </c>
      <c r="R73" s="16">
        <f>IF(OR($C73="",$Q73=0),"",IF($G73="國","國定假日",IF($B73="日","例假",IF($B73="六","休息日","平日"))))</f>
        <v/>
      </c>
      <c r="S73" s="18" t="n"/>
    </row>
    <row r="74">
      <c r="A74" s="86">
        <f>IF(OR(醫護長與管理部班表!$A7="",10&gt;DAY(EOMONTH(DATE(設定!$C$2,設定!$D$2,1),0))),"",DATE(設定!$C$2,設定!$D$2,10))</f>
        <v/>
      </c>
      <c r="B74" s="16">
        <f>IF($A74="","",INDEX(設定!$O$6:$O$12,WEEKDAY($A74,1)))</f>
        <v/>
      </c>
      <c r="C74" s="16">
        <f>IF($A74="","",醫護長與管理部班表!$A7)</f>
        <v/>
      </c>
      <c r="D74" s="16">
        <f>IF($C74="","",醫護長與管理部班表!$B7)</f>
        <v/>
      </c>
      <c r="E74" s="16">
        <f>IF($C74="","",醫護長與管理部班表!$D7)</f>
        <v/>
      </c>
      <c r="F74" s="16">
        <f>IF($C74="","",醫護長與管理部班表!$C7)</f>
        <v/>
      </c>
      <c r="G74" s="16">
        <f>IF($C74="","",醫護長與管理部班表!N7)</f>
        <v/>
      </c>
      <c r="H74" s="87">
        <f>IF($G74="","",IFERROR(IF(INDEX(設定!$D$6:$D$21,MATCH($G74,設定!$B$6:$B$21,0))=0,"",INDEX(設定!$D$6:$D$21,MATCH($G74,設定!$B$6:$B$21,0))),""))</f>
        <v/>
      </c>
      <c r="I74" s="87">
        <f>IF($G74="","",IFERROR(IF(INDEX(設定!$E$6:$E$21,MATCH($G74,設定!$B$6:$B$21,0))=0,"",INDEX(設定!$E$6:$E$21,MATCH($G74,設定!$B$6:$B$21,0))),""))</f>
        <v/>
      </c>
      <c r="J74" s="87">
        <f>IFERROR(INDEX(打卡匯入!$C$3:$C$502,MATCH($C74&amp;"|"&amp;DAY($A74),打卡匯入!$E$3:$E$502,0)),"")</f>
        <v/>
      </c>
      <c r="K74" s="87">
        <f>IFERROR(INDEX(打卡匯入!$D$3:$D$502,MATCH($C74&amp;"|"&amp;DAY($A74),打卡匯入!$E$3:$E$502,0)),"")</f>
        <v/>
      </c>
      <c r="L74" s="88">
        <f>IF(OR($J74="",$K74=""),"",IFERROR(INDEX(設定!$F$6:$F$21,MATCH($G74,設定!$B$6:$B$21,0)),0))</f>
        <v/>
      </c>
      <c r="M74" s="89">
        <f>IF(OR($J74="",$K74=""),"",ROUND(($K74-$J74)*24-$L74/60,2))</f>
        <v/>
      </c>
      <c r="N74" s="16">
        <f>IF($C74="","",IF(AND(COUNTIF(設定!$B$15:$B$21,$G74)&gt;0,$J74&lt;&gt;""),"假日出勤",IF(AND(COUNTIF(設定!$B$6:$B$14,$G74)&gt;0,$J74=""),"未打卡",IF($J74="","",IF($O74&gt;0,"遲到",IF($P74&gt;0,"早退","正常"))))))</f>
        <v/>
      </c>
      <c r="O74" s="88">
        <f>IF(OR($C74="",$H74="",$J74=""),0,IF(ROUND(($J74-$H74)*1440,0)&gt;設定!$C$48,ROUND(($J74-$H74)*1440,0),0))</f>
        <v/>
      </c>
      <c r="P74" s="88">
        <f>IF(OR($C74="",$I74="",$K74=""),0,IF(ROUND(($I74-$K74)*1440,0)&gt;設定!$C$48,ROUND(($I74-$K74)*1440,0),0))</f>
        <v/>
      </c>
      <c r="Q74" s="89">
        <f>IF($M74="",0,IF(($M74-IFERROR(INDEX(設定!$G$6:$G$21,MATCH($G74,設定!$B$6:$B$21,0)),0))*60&gt;=設定!$C$46,ROUND(FLOOR(($M74-IFERROR(INDEX(設定!$G$6:$G$21,MATCH($G74,設定!$B$6:$B$21,0)),0))*60,設定!$C$47)/60,2),0))</f>
        <v/>
      </c>
      <c r="R74" s="16">
        <f>IF(OR($C74="",$Q74=0),"",IF($G74="國","國定假日",IF($B74="日","例假",IF($B74="六","休息日","平日"))))</f>
        <v/>
      </c>
      <c r="S74" s="18" t="n"/>
    </row>
    <row r="75">
      <c r="A75" s="86">
        <f>IF(OR(醫護長與管理部班表!$A7="",11&gt;DAY(EOMONTH(DATE(設定!$C$2,設定!$D$2,1),0))),"",DATE(設定!$C$2,設定!$D$2,11))</f>
        <v/>
      </c>
      <c r="B75" s="16">
        <f>IF($A75="","",INDEX(設定!$O$6:$O$12,WEEKDAY($A75,1)))</f>
        <v/>
      </c>
      <c r="C75" s="16">
        <f>IF($A75="","",醫護長與管理部班表!$A7)</f>
        <v/>
      </c>
      <c r="D75" s="16">
        <f>IF($C75="","",醫護長與管理部班表!$B7)</f>
        <v/>
      </c>
      <c r="E75" s="16">
        <f>IF($C75="","",醫護長與管理部班表!$D7)</f>
        <v/>
      </c>
      <c r="F75" s="16">
        <f>IF($C75="","",醫護長與管理部班表!$C7)</f>
        <v/>
      </c>
      <c r="G75" s="16">
        <f>IF($C75="","",醫護長與管理部班表!O7)</f>
        <v/>
      </c>
      <c r="H75" s="87">
        <f>IF($G75="","",IFERROR(IF(INDEX(設定!$D$6:$D$21,MATCH($G75,設定!$B$6:$B$21,0))=0,"",INDEX(設定!$D$6:$D$21,MATCH($G75,設定!$B$6:$B$21,0))),""))</f>
        <v/>
      </c>
      <c r="I75" s="87">
        <f>IF($G75="","",IFERROR(IF(INDEX(設定!$E$6:$E$21,MATCH($G75,設定!$B$6:$B$21,0))=0,"",INDEX(設定!$E$6:$E$21,MATCH($G75,設定!$B$6:$B$21,0))),""))</f>
        <v/>
      </c>
      <c r="J75" s="87">
        <f>IFERROR(INDEX(打卡匯入!$C$3:$C$502,MATCH($C75&amp;"|"&amp;DAY($A75),打卡匯入!$E$3:$E$502,0)),"")</f>
        <v/>
      </c>
      <c r="K75" s="87">
        <f>IFERROR(INDEX(打卡匯入!$D$3:$D$502,MATCH($C75&amp;"|"&amp;DAY($A75),打卡匯入!$E$3:$E$502,0)),"")</f>
        <v/>
      </c>
      <c r="L75" s="88">
        <f>IF(OR($J75="",$K75=""),"",IFERROR(INDEX(設定!$F$6:$F$21,MATCH($G75,設定!$B$6:$B$21,0)),0))</f>
        <v/>
      </c>
      <c r="M75" s="89">
        <f>IF(OR($J75="",$K75=""),"",ROUND(($K75-$J75)*24-$L75/60,2))</f>
        <v/>
      </c>
      <c r="N75" s="16">
        <f>IF($C75="","",IF(AND(COUNTIF(設定!$B$15:$B$21,$G75)&gt;0,$J75&lt;&gt;""),"假日出勤",IF(AND(COUNTIF(設定!$B$6:$B$14,$G75)&gt;0,$J75=""),"未打卡",IF($J75="","",IF($O75&gt;0,"遲到",IF($P75&gt;0,"早退","正常"))))))</f>
        <v/>
      </c>
      <c r="O75" s="88">
        <f>IF(OR($C75="",$H75="",$J75=""),0,IF(ROUND(($J75-$H75)*1440,0)&gt;設定!$C$48,ROUND(($J75-$H75)*1440,0),0))</f>
        <v/>
      </c>
      <c r="P75" s="88">
        <f>IF(OR($C75="",$I75="",$K75=""),0,IF(ROUND(($I75-$K75)*1440,0)&gt;設定!$C$48,ROUND(($I75-$K75)*1440,0),0))</f>
        <v/>
      </c>
      <c r="Q75" s="89">
        <f>IF($M75="",0,IF(($M75-IFERROR(INDEX(設定!$G$6:$G$21,MATCH($G75,設定!$B$6:$B$21,0)),0))*60&gt;=設定!$C$46,ROUND(FLOOR(($M75-IFERROR(INDEX(設定!$G$6:$G$21,MATCH($G75,設定!$B$6:$B$21,0)),0))*60,設定!$C$47)/60,2),0))</f>
        <v/>
      </c>
      <c r="R75" s="16">
        <f>IF(OR($C75="",$Q75=0),"",IF($G75="國","國定假日",IF($B75="日","例假",IF($B75="六","休息日","平日"))))</f>
        <v/>
      </c>
      <c r="S75" s="18" t="n"/>
    </row>
    <row r="76">
      <c r="A76" s="86">
        <f>IF(OR(醫護長與管理部班表!$A7="",12&gt;DAY(EOMONTH(DATE(設定!$C$2,設定!$D$2,1),0))),"",DATE(設定!$C$2,設定!$D$2,12))</f>
        <v/>
      </c>
      <c r="B76" s="16">
        <f>IF($A76="","",INDEX(設定!$O$6:$O$12,WEEKDAY($A76,1)))</f>
        <v/>
      </c>
      <c r="C76" s="16">
        <f>IF($A76="","",醫護長與管理部班表!$A7)</f>
        <v/>
      </c>
      <c r="D76" s="16">
        <f>IF($C76="","",醫護長與管理部班表!$B7)</f>
        <v/>
      </c>
      <c r="E76" s="16">
        <f>IF($C76="","",醫護長與管理部班表!$D7)</f>
        <v/>
      </c>
      <c r="F76" s="16">
        <f>IF($C76="","",醫護長與管理部班表!$C7)</f>
        <v/>
      </c>
      <c r="G76" s="16">
        <f>IF($C76="","",醫護長與管理部班表!P7)</f>
        <v/>
      </c>
      <c r="H76" s="87">
        <f>IF($G76="","",IFERROR(IF(INDEX(設定!$D$6:$D$21,MATCH($G76,設定!$B$6:$B$21,0))=0,"",INDEX(設定!$D$6:$D$21,MATCH($G76,設定!$B$6:$B$21,0))),""))</f>
        <v/>
      </c>
      <c r="I76" s="87">
        <f>IF($G76="","",IFERROR(IF(INDEX(設定!$E$6:$E$21,MATCH($G76,設定!$B$6:$B$21,0))=0,"",INDEX(設定!$E$6:$E$21,MATCH($G76,設定!$B$6:$B$21,0))),""))</f>
        <v/>
      </c>
      <c r="J76" s="87">
        <f>IFERROR(INDEX(打卡匯入!$C$3:$C$502,MATCH($C76&amp;"|"&amp;DAY($A76),打卡匯入!$E$3:$E$502,0)),"")</f>
        <v/>
      </c>
      <c r="K76" s="87">
        <f>IFERROR(INDEX(打卡匯入!$D$3:$D$502,MATCH($C76&amp;"|"&amp;DAY($A76),打卡匯入!$E$3:$E$502,0)),"")</f>
        <v/>
      </c>
      <c r="L76" s="88">
        <f>IF(OR($J76="",$K76=""),"",IFERROR(INDEX(設定!$F$6:$F$21,MATCH($G76,設定!$B$6:$B$21,0)),0))</f>
        <v/>
      </c>
      <c r="M76" s="89">
        <f>IF(OR($J76="",$K76=""),"",ROUND(($K76-$J76)*24-$L76/60,2))</f>
        <v/>
      </c>
      <c r="N76" s="16">
        <f>IF($C76="","",IF(AND(COUNTIF(設定!$B$15:$B$21,$G76)&gt;0,$J76&lt;&gt;""),"假日出勤",IF(AND(COUNTIF(設定!$B$6:$B$14,$G76)&gt;0,$J76=""),"未打卡",IF($J76="","",IF($O76&gt;0,"遲到",IF($P76&gt;0,"早退","正常"))))))</f>
        <v/>
      </c>
      <c r="O76" s="88">
        <f>IF(OR($C76="",$H76="",$J76=""),0,IF(ROUND(($J76-$H76)*1440,0)&gt;設定!$C$48,ROUND(($J76-$H76)*1440,0),0))</f>
        <v/>
      </c>
      <c r="P76" s="88">
        <f>IF(OR($C76="",$I76="",$K76=""),0,IF(ROUND(($I76-$K76)*1440,0)&gt;設定!$C$48,ROUND(($I76-$K76)*1440,0),0))</f>
        <v/>
      </c>
      <c r="Q76" s="89">
        <f>IF($M76="",0,IF(($M76-IFERROR(INDEX(設定!$G$6:$G$21,MATCH($G76,設定!$B$6:$B$21,0)),0))*60&gt;=設定!$C$46,ROUND(FLOOR(($M76-IFERROR(INDEX(設定!$G$6:$G$21,MATCH($G76,設定!$B$6:$B$21,0)),0))*60,設定!$C$47)/60,2),0))</f>
        <v/>
      </c>
      <c r="R76" s="16">
        <f>IF(OR($C76="",$Q76=0),"",IF($G76="國","國定假日",IF($B76="日","例假",IF($B76="六","休息日","平日"))))</f>
        <v/>
      </c>
      <c r="S76" s="18" t="n"/>
    </row>
    <row r="77">
      <c r="A77" s="86">
        <f>IF(OR(醫護長與管理部班表!$A7="",13&gt;DAY(EOMONTH(DATE(設定!$C$2,設定!$D$2,1),0))),"",DATE(設定!$C$2,設定!$D$2,13))</f>
        <v/>
      </c>
      <c r="B77" s="16">
        <f>IF($A77="","",INDEX(設定!$O$6:$O$12,WEEKDAY($A77,1)))</f>
        <v/>
      </c>
      <c r="C77" s="16">
        <f>IF($A77="","",醫護長與管理部班表!$A7)</f>
        <v/>
      </c>
      <c r="D77" s="16">
        <f>IF($C77="","",醫護長與管理部班表!$B7)</f>
        <v/>
      </c>
      <c r="E77" s="16">
        <f>IF($C77="","",醫護長與管理部班表!$D7)</f>
        <v/>
      </c>
      <c r="F77" s="16">
        <f>IF($C77="","",醫護長與管理部班表!$C7)</f>
        <v/>
      </c>
      <c r="G77" s="16">
        <f>IF($C77="","",醫護長與管理部班表!Q7)</f>
        <v/>
      </c>
      <c r="H77" s="87">
        <f>IF($G77="","",IFERROR(IF(INDEX(設定!$D$6:$D$21,MATCH($G77,設定!$B$6:$B$21,0))=0,"",INDEX(設定!$D$6:$D$21,MATCH($G77,設定!$B$6:$B$21,0))),""))</f>
        <v/>
      </c>
      <c r="I77" s="87">
        <f>IF($G77="","",IFERROR(IF(INDEX(設定!$E$6:$E$21,MATCH($G77,設定!$B$6:$B$21,0))=0,"",INDEX(設定!$E$6:$E$21,MATCH($G77,設定!$B$6:$B$21,0))),""))</f>
        <v/>
      </c>
      <c r="J77" s="87">
        <f>IFERROR(INDEX(打卡匯入!$C$3:$C$502,MATCH($C77&amp;"|"&amp;DAY($A77),打卡匯入!$E$3:$E$502,0)),"")</f>
        <v/>
      </c>
      <c r="K77" s="87">
        <f>IFERROR(INDEX(打卡匯入!$D$3:$D$502,MATCH($C77&amp;"|"&amp;DAY($A77),打卡匯入!$E$3:$E$502,0)),"")</f>
        <v/>
      </c>
      <c r="L77" s="88">
        <f>IF(OR($J77="",$K77=""),"",IFERROR(INDEX(設定!$F$6:$F$21,MATCH($G77,設定!$B$6:$B$21,0)),0))</f>
        <v/>
      </c>
      <c r="M77" s="89">
        <f>IF(OR($J77="",$K77=""),"",ROUND(($K77-$J77)*24-$L77/60,2))</f>
        <v/>
      </c>
      <c r="N77" s="16">
        <f>IF($C77="","",IF(AND(COUNTIF(設定!$B$15:$B$21,$G77)&gt;0,$J77&lt;&gt;""),"假日出勤",IF(AND(COUNTIF(設定!$B$6:$B$14,$G77)&gt;0,$J77=""),"未打卡",IF($J77="","",IF($O77&gt;0,"遲到",IF($P77&gt;0,"早退","正常"))))))</f>
        <v/>
      </c>
      <c r="O77" s="88">
        <f>IF(OR($C77="",$H77="",$J77=""),0,IF(ROUND(($J77-$H77)*1440,0)&gt;設定!$C$48,ROUND(($J77-$H77)*1440,0),0))</f>
        <v/>
      </c>
      <c r="P77" s="88">
        <f>IF(OR($C77="",$I77="",$K77=""),0,IF(ROUND(($I77-$K77)*1440,0)&gt;設定!$C$48,ROUND(($I77-$K77)*1440,0),0))</f>
        <v/>
      </c>
      <c r="Q77" s="89">
        <f>IF($M77="",0,IF(($M77-IFERROR(INDEX(設定!$G$6:$G$21,MATCH($G77,設定!$B$6:$B$21,0)),0))*60&gt;=設定!$C$46,ROUND(FLOOR(($M77-IFERROR(INDEX(設定!$G$6:$G$21,MATCH($G77,設定!$B$6:$B$21,0)),0))*60,設定!$C$47)/60,2),0))</f>
        <v/>
      </c>
      <c r="R77" s="16">
        <f>IF(OR($C77="",$Q77=0),"",IF($G77="國","國定假日",IF($B77="日","例假",IF($B77="六","休息日","平日"))))</f>
        <v/>
      </c>
      <c r="S77" s="18" t="n"/>
    </row>
    <row r="78">
      <c r="A78" s="86">
        <f>IF(OR(醫護長與管理部班表!$A7="",14&gt;DAY(EOMONTH(DATE(設定!$C$2,設定!$D$2,1),0))),"",DATE(設定!$C$2,設定!$D$2,14))</f>
        <v/>
      </c>
      <c r="B78" s="16">
        <f>IF($A78="","",INDEX(設定!$O$6:$O$12,WEEKDAY($A78,1)))</f>
        <v/>
      </c>
      <c r="C78" s="16">
        <f>IF($A78="","",醫護長與管理部班表!$A7)</f>
        <v/>
      </c>
      <c r="D78" s="16">
        <f>IF($C78="","",醫護長與管理部班表!$B7)</f>
        <v/>
      </c>
      <c r="E78" s="16">
        <f>IF($C78="","",醫護長與管理部班表!$D7)</f>
        <v/>
      </c>
      <c r="F78" s="16">
        <f>IF($C78="","",醫護長與管理部班表!$C7)</f>
        <v/>
      </c>
      <c r="G78" s="16">
        <f>IF($C78="","",醫護長與管理部班表!R7)</f>
        <v/>
      </c>
      <c r="H78" s="87">
        <f>IF($G78="","",IFERROR(IF(INDEX(設定!$D$6:$D$21,MATCH($G78,設定!$B$6:$B$21,0))=0,"",INDEX(設定!$D$6:$D$21,MATCH($G78,設定!$B$6:$B$21,0))),""))</f>
        <v/>
      </c>
      <c r="I78" s="87">
        <f>IF($G78="","",IFERROR(IF(INDEX(設定!$E$6:$E$21,MATCH($G78,設定!$B$6:$B$21,0))=0,"",INDEX(設定!$E$6:$E$21,MATCH($G78,設定!$B$6:$B$21,0))),""))</f>
        <v/>
      </c>
      <c r="J78" s="87">
        <f>IFERROR(INDEX(打卡匯入!$C$3:$C$502,MATCH($C78&amp;"|"&amp;DAY($A78),打卡匯入!$E$3:$E$502,0)),"")</f>
        <v/>
      </c>
      <c r="K78" s="87">
        <f>IFERROR(INDEX(打卡匯入!$D$3:$D$502,MATCH($C78&amp;"|"&amp;DAY($A78),打卡匯入!$E$3:$E$502,0)),"")</f>
        <v/>
      </c>
      <c r="L78" s="88">
        <f>IF(OR($J78="",$K78=""),"",IFERROR(INDEX(設定!$F$6:$F$21,MATCH($G78,設定!$B$6:$B$21,0)),0))</f>
        <v/>
      </c>
      <c r="M78" s="89">
        <f>IF(OR($J78="",$K78=""),"",ROUND(($K78-$J78)*24-$L78/60,2))</f>
        <v/>
      </c>
      <c r="N78" s="16">
        <f>IF($C78="","",IF(AND(COUNTIF(設定!$B$15:$B$21,$G78)&gt;0,$J78&lt;&gt;""),"假日出勤",IF(AND(COUNTIF(設定!$B$6:$B$14,$G78)&gt;0,$J78=""),"未打卡",IF($J78="","",IF($O78&gt;0,"遲到",IF($P78&gt;0,"早退","正常"))))))</f>
        <v/>
      </c>
      <c r="O78" s="88">
        <f>IF(OR($C78="",$H78="",$J78=""),0,IF(ROUND(($J78-$H78)*1440,0)&gt;設定!$C$48,ROUND(($J78-$H78)*1440,0),0))</f>
        <v/>
      </c>
      <c r="P78" s="88">
        <f>IF(OR($C78="",$I78="",$K78=""),0,IF(ROUND(($I78-$K78)*1440,0)&gt;設定!$C$48,ROUND(($I78-$K78)*1440,0),0))</f>
        <v/>
      </c>
      <c r="Q78" s="89">
        <f>IF($M78="",0,IF(($M78-IFERROR(INDEX(設定!$G$6:$G$21,MATCH($G78,設定!$B$6:$B$21,0)),0))*60&gt;=設定!$C$46,ROUND(FLOOR(($M78-IFERROR(INDEX(設定!$G$6:$G$21,MATCH($G78,設定!$B$6:$B$21,0)),0))*60,設定!$C$47)/60,2),0))</f>
        <v/>
      </c>
      <c r="R78" s="16">
        <f>IF(OR($C78="",$Q78=0),"",IF($G78="國","國定假日",IF($B78="日","例假",IF($B78="六","休息日","平日"))))</f>
        <v/>
      </c>
      <c r="S78" s="18" t="n"/>
    </row>
    <row r="79">
      <c r="A79" s="86">
        <f>IF(OR(醫護長與管理部班表!$A7="",15&gt;DAY(EOMONTH(DATE(設定!$C$2,設定!$D$2,1),0))),"",DATE(設定!$C$2,設定!$D$2,15))</f>
        <v/>
      </c>
      <c r="B79" s="16">
        <f>IF($A79="","",INDEX(設定!$O$6:$O$12,WEEKDAY($A79,1)))</f>
        <v/>
      </c>
      <c r="C79" s="16">
        <f>IF($A79="","",醫護長與管理部班表!$A7)</f>
        <v/>
      </c>
      <c r="D79" s="16">
        <f>IF($C79="","",醫護長與管理部班表!$B7)</f>
        <v/>
      </c>
      <c r="E79" s="16">
        <f>IF($C79="","",醫護長與管理部班表!$D7)</f>
        <v/>
      </c>
      <c r="F79" s="16">
        <f>IF($C79="","",醫護長與管理部班表!$C7)</f>
        <v/>
      </c>
      <c r="G79" s="16">
        <f>IF($C79="","",醫護長與管理部班表!S7)</f>
        <v/>
      </c>
      <c r="H79" s="87">
        <f>IF($G79="","",IFERROR(IF(INDEX(設定!$D$6:$D$21,MATCH($G79,設定!$B$6:$B$21,0))=0,"",INDEX(設定!$D$6:$D$21,MATCH($G79,設定!$B$6:$B$21,0))),""))</f>
        <v/>
      </c>
      <c r="I79" s="87">
        <f>IF($G79="","",IFERROR(IF(INDEX(設定!$E$6:$E$21,MATCH($G79,設定!$B$6:$B$21,0))=0,"",INDEX(設定!$E$6:$E$21,MATCH($G79,設定!$B$6:$B$21,0))),""))</f>
        <v/>
      </c>
      <c r="J79" s="87">
        <f>IFERROR(INDEX(打卡匯入!$C$3:$C$502,MATCH($C79&amp;"|"&amp;DAY($A79),打卡匯入!$E$3:$E$502,0)),"")</f>
        <v/>
      </c>
      <c r="K79" s="87">
        <f>IFERROR(INDEX(打卡匯入!$D$3:$D$502,MATCH($C79&amp;"|"&amp;DAY($A79),打卡匯入!$E$3:$E$502,0)),"")</f>
        <v/>
      </c>
      <c r="L79" s="88">
        <f>IF(OR($J79="",$K79=""),"",IFERROR(INDEX(設定!$F$6:$F$21,MATCH($G79,設定!$B$6:$B$21,0)),0))</f>
        <v/>
      </c>
      <c r="M79" s="89">
        <f>IF(OR($J79="",$K79=""),"",ROUND(($K79-$J79)*24-$L79/60,2))</f>
        <v/>
      </c>
      <c r="N79" s="16">
        <f>IF($C79="","",IF(AND(COUNTIF(設定!$B$15:$B$21,$G79)&gt;0,$J79&lt;&gt;""),"假日出勤",IF(AND(COUNTIF(設定!$B$6:$B$14,$G79)&gt;0,$J79=""),"未打卡",IF($J79="","",IF($O79&gt;0,"遲到",IF($P79&gt;0,"早退","正常"))))))</f>
        <v/>
      </c>
      <c r="O79" s="88">
        <f>IF(OR($C79="",$H79="",$J79=""),0,IF(ROUND(($J79-$H79)*1440,0)&gt;設定!$C$48,ROUND(($J79-$H79)*1440,0),0))</f>
        <v/>
      </c>
      <c r="P79" s="88">
        <f>IF(OR($C79="",$I79="",$K79=""),0,IF(ROUND(($I79-$K79)*1440,0)&gt;設定!$C$48,ROUND(($I79-$K79)*1440,0),0))</f>
        <v/>
      </c>
      <c r="Q79" s="89">
        <f>IF($M79="",0,IF(($M79-IFERROR(INDEX(設定!$G$6:$G$21,MATCH($G79,設定!$B$6:$B$21,0)),0))*60&gt;=設定!$C$46,ROUND(FLOOR(($M79-IFERROR(INDEX(設定!$G$6:$G$21,MATCH($G79,設定!$B$6:$B$21,0)),0))*60,設定!$C$47)/60,2),0))</f>
        <v/>
      </c>
      <c r="R79" s="16">
        <f>IF(OR($C79="",$Q79=0),"",IF($G79="國","國定假日",IF($B79="日","例假",IF($B79="六","休息日","平日"))))</f>
        <v/>
      </c>
      <c r="S79" s="18" t="n"/>
    </row>
    <row r="80">
      <c r="A80" s="86">
        <f>IF(OR(醫護長與管理部班表!$A7="",16&gt;DAY(EOMONTH(DATE(設定!$C$2,設定!$D$2,1),0))),"",DATE(設定!$C$2,設定!$D$2,16))</f>
        <v/>
      </c>
      <c r="B80" s="16">
        <f>IF($A80="","",INDEX(設定!$O$6:$O$12,WEEKDAY($A80,1)))</f>
        <v/>
      </c>
      <c r="C80" s="16">
        <f>IF($A80="","",醫護長與管理部班表!$A7)</f>
        <v/>
      </c>
      <c r="D80" s="16">
        <f>IF($C80="","",醫護長與管理部班表!$B7)</f>
        <v/>
      </c>
      <c r="E80" s="16">
        <f>IF($C80="","",醫護長與管理部班表!$D7)</f>
        <v/>
      </c>
      <c r="F80" s="16">
        <f>IF($C80="","",醫護長與管理部班表!$C7)</f>
        <v/>
      </c>
      <c r="G80" s="16">
        <f>IF($C80="","",醫護長與管理部班表!T7)</f>
        <v/>
      </c>
      <c r="H80" s="87">
        <f>IF($G80="","",IFERROR(IF(INDEX(設定!$D$6:$D$21,MATCH($G80,設定!$B$6:$B$21,0))=0,"",INDEX(設定!$D$6:$D$21,MATCH($G80,設定!$B$6:$B$21,0))),""))</f>
        <v/>
      </c>
      <c r="I80" s="87">
        <f>IF($G80="","",IFERROR(IF(INDEX(設定!$E$6:$E$21,MATCH($G80,設定!$B$6:$B$21,0))=0,"",INDEX(設定!$E$6:$E$21,MATCH($G80,設定!$B$6:$B$21,0))),""))</f>
        <v/>
      </c>
      <c r="J80" s="87">
        <f>IFERROR(INDEX(打卡匯入!$C$3:$C$502,MATCH($C80&amp;"|"&amp;DAY($A80),打卡匯入!$E$3:$E$502,0)),"")</f>
        <v/>
      </c>
      <c r="K80" s="87">
        <f>IFERROR(INDEX(打卡匯入!$D$3:$D$502,MATCH($C80&amp;"|"&amp;DAY($A80),打卡匯入!$E$3:$E$502,0)),"")</f>
        <v/>
      </c>
      <c r="L80" s="88">
        <f>IF(OR($J80="",$K80=""),"",IFERROR(INDEX(設定!$F$6:$F$21,MATCH($G80,設定!$B$6:$B$21,0)),0))</f>
        <v/>
      </c>
      <c r="M80" s="89">
        <f>IF(OR($J80="",$K80=""),"",ROUND(($K80-$J80)*24-$L80/60,2))</f>
        <v/>
      </c>
      <c r="N80" s="16">
        <f>IF($C80="","",IF(AND(COUNTIF(設定!$B$15:$B$21,$G80)&gt;0,$J80&lt;&gt;""),"假日出勤",IF(AND(COUNTIF(設定!$B$6:$B$14,$G80)&gt;0,$J80=""),"未打卡",IF($J80="","",IF($O80&gt;0,"遲到",IF($P80&gt;0,"早退","正常"))))))</f>
        <v/>
      </c>
      <c r="O80" s="88">
        <f>IF(OR($C80="",$H80="",$J80=""),0,IF(ROUND(($J80-$H80)*1440,0)&gt;設定!$C$48,ROUND(($J80-$H80)*1440,0),0))</f>
        <v/>
      </c>
      <c r="P80" s="88">
        <f>IF(OR($C80="",$I80="",$K80=""),0,IF(ROUND(($I80-$K80)*1440,0)&gt;設定!$C$48,ROUND(($I80-$K80)*1440,0),0))</f>
        <v/>
      </c>
      <c r="Q80" s="89">
        <f>IF($M80="",0,IF(($M80-IFERROR(INDEX(設定!$G$6:$G$21,MATCH($G80,設定!$B$6:$B$21,0)),0))*60&gt;=設定!$C$46,ROUND(FLOOR(($M80-IFERROR(INDEX(設定!$G$6:$G$21,MATCH($G80,設定!$B$6:$B$21,0)),0))*60,設定!$C$47)/60,2),0))</f>
        <v/>
      </c>
      <c r="R80" s="16">
        <f>IF(OR($C80="",$Q80=0),"",IF($G80="國","國定假日",IF($B80="日","例假",IF($B80="六","休息日","平日"))))</f>
        <v/>
      </c>
      <c r="S80" s="18" t="n"/>
    </row>
    <row r="81">
      <c r="A81" s="86">
        <f>IF(OR(醫護長與管理部班表!$A7="",17&gt;DAY(EOMONTH(DATE(設定!$C$2,設定!$D$2,1),0))),"",DATE(設定!$C$2,設定!$D$2,17))</f>
        <v/>
      </c>
      <c r="B81" s="16">
        <f>IF($A81="","",INDEX(設定!$O$6:$O$12,WEEKDAY($A81,1)))</f>
        <v/>
      </c>
      <c r="C81" s="16">
        <f>IF($A81="","",醫護長與管理部班表!$A7)</f>
        <v/>
      </c>
      <c r="D81" s="16">
        <f>IF($C81="","",醫護長與管理部班表!$B7)</f>
        <v/>
      </c>
      <c r="E81" s="16">
        <f>IF($C81="","",醫護長與管理部班表!$D7)</f>
        <v/>
      </c>
      <c r="F81" s="16">
        <f>IF($C81="","",醫護長與管理部班表!$C7)</f>
        <v/>
      </c>
      <c r="G81" s="16">
        <f>IF($C81="","",醫護長與管理部班表!U7)</f>
        <v/>
      </c>
      <c r="H81" s="87">
        <f>IF($G81="","",IFERROR(IF(INDEX(設定!$D$6:$D$21,MATCH($G81,設定!$B$6:$B$21,0))=0,"",INDEX(設定!$D$6:$D$21,MATCH($G81,設定!$B$6:$B$21,0))),""))</f>
        <v/>
      </c>
      <c r="I81" s="87">
        <f>IF($G81="","",IFERROR(IF(INDEX(設定!$E$6:$E$21,MATCH($G81,設定!$B$6:$B$21,0))=0,"",INDEX(設定!$E$6:$E$21,MATCH($G81,設定!$B$6:$B$21,0))),""))</f>
        <v/>
      </c>
      <c r="J81" s="87">
        <f>IFERROR(INDEX(打卡匯入!$C$3:$C$502,MATCH($C81&amp;"|"&amp;DAY($A81),打卡匯入!$E$3:$E$502,0)),"")</f>
        <v/>
      </c>
      <c r="K81" s="87">
        <f>IFERROR(INDEX(打卡匯入!$D$3:$D$502,MATCH($C81&amp;"|"&amp;DAY($A81),打卡匯入!$E$3:$E$502,0)),"")</f>
        <v/>
      </c>
      <c r="L81" s="88">
        <f>IF(OR($J81="",$K81=""),"",IFERROR(INDEX(設定!$F$6:$F$21,MATCH($G81,設定!$B$6:$B$21,0)),0))</f>
        <v/>
      </c>
      <c r="M81" s="89">
        <f>IF(OR($J81="",$K81=""),"",ROUND(($K81-$J81)*24-$L81/60,2))</f>
        <v/>
      </c>
      <c r="N81" s="16">
        <f>IF($C81="","",IF(AND(COUNTIF(設定!$B$15:$B$21,$G81)&gt;0,$J81&lt;&gt;""),"假日出勤",IF(AND(COUNTIF(設定!$B$6:$B$14,$G81)&gt;0,$J81=""),"未打卡",IF($J81="","",IF($O81&gt;0,"遲到",IF($P81&gt;0,"早退","正常"))))))</f>
        <v/>
      </c>
      <c r="O81" s="88">
        <f>IF(OR($C81="",$H81="",$J81=""),0,IF(ROUND(($J81-$H81)*1440,0)&gt;設定!$C$48,ROUND(($J81-$H81)*1440,0),0))</f>
        <v/>
      </c>
      <c r="P81" s="88">
        <f>IF(OR($C81="",$I81="",$K81=""),0,IF(ROUND(($I81-$K81)*1440,0)&gt;設定!$C$48,ROUND(($I81-$K81)*1440,0),0))</f>
        <v/>
      </c>
      <c r="Q81" s="89">
        <f>IF($M81="",0,IF(($M81-IFERROR(INDEX(設定!$G$6:$G$21,MATCH($G81,設定!$B$6:$B$21,0)),0))*60&gt;=設定!$C$46,ROUND(FLOOR(($M81-IFERROR(INDEX(設定!$G$6:$G$21,MATCH($G81,設定!$B$6:$B$21,0)),0))*60,設定!$C$47)/60,2),0))</f>
        <v/>
      </c>
      <c r="R81" s="16">
        <f>IF(OR($C81="",$Q81=0),"",IF($G81="國","國定假日",IF($B81="日","例假",IF($B81="六","休息日","平日"))))</f>
        <v/>
      </c>
      <c r="S81" s="18" t="n"/>
    </row>
    <row r="82">
      <c r="A82" s="86">
        <f>IF(OR(醫護長與管理部班表!$A7="",18&gt;DAY(EOMONTH(DATE(設定!$C$2,設定!$D$2,1),0))),"",DATE(設定!$C$2,設定!$D$2,18))</f>
        <v/>
      </c>
      <c r="B82" s="16">
        <f>IF($A82="","",INDEX(設定!$O$6:$O$12,WEEKDAY($A82,1)))</f>
        <v/>
      </c>
      <c r="C82" s="16">
        <f>IF($A82="","",醫護長與管理部班表!$A7)</f>
        <v/>
      </c>
      <c r="D82" s="16">
        <f>IF($C82="","",醫護長與管理部班表!$B7)</f>
        <v/>
      </c>
      <c r="E82" s="16">
        <f>IF($C82="","",醫護長與管理部班表!$D7)</f>
        <v/>
      </c>
      <c r="F82" s="16">
        <f>IF($C82="","",醫護長與管理部班表!$C7)</f>
        <v/>
      </c>
      <c r="G82" s="16">
        <f>IF($C82="","",醫護長與管理部班表!V7)</f>
        <v/>
      </c>
      <c r="H82" s="87">
        <f>IF($G82="","",IFERROR(IF(INDEX(設定!$D$6:$D$21,MATCH($G82,設定!$B$6:$B$21,0))=0,"",INDEX(設定!$D$6:$D$21,MATCH($G82,設定!$B$6:$B$21,0))),""))</f>
        <v/>
      </c>
      <c r="I82" s="87">
        <f>IF($G82="","",IFERROR(IF(INDEX(設定!$E$6:$E$21,MATCH($G82,設定!$B$6:$B$21,0))=0,"",INDEX(設定!$E$6:$E$21,MATCH($G82,設定!$B$6:$B$21,0))),""))</f>
        <v/>
      </c>
      <c r="J82" s="87">
        <f>IFERROR(INDEX(打卡匯入!$C$3:$C$502,MATCH($C82&amp;"|"&amp;DAY($A82),打卡匯入!$E$3:$E$502,0)),"")</f>
        <v/>
      </c>
      <c r="K82" s="87">
        <f>IFERROR(INDEX(打卡匯入!$D$3:$D$502,MATCH($C82&amp;"|"&amp;DAY($A82),打卡匯入!$E$3:$E$502,0)),"")</f>
        <v/>
      </c>
      <c r="L82" s="88">
        <f>IF(OR($J82="",$K82=""),"",IFERROR(INDEX(設定!$F$6:$F$21,MATCH($G82,設定!$B$6:$B$21,0)),0))</f>
        <v/>
      </c>
      <c r="M82" s="89">
        <f>IF(OR($J82="",$K82=""),"",ROUND(($K82-$J82)*24-$L82/60,2))</f>
        <v/>
      </c>
      <c r="N82" s="16">
        <f>IF($C82="","",IF(AND(COUNTIF(設定!$B$15:$B$21,$G82)&gt;0,$J82&lt;&gt;""),"假日出勤",IF(AND(COUNTIF(設定!$B$6:$B$14,$G82)&gt;0,$J82=""),"未打卡",IF($J82="","",IF($O82&gt;0,"遲到",IF($P82&gt;0,"早退","正常"))))))</f>
        <v/>
      </c>
      <c r="O82" s="88">
        <f>IF(OR($C82="",$H82="",$J82=""),0,IF(ROUND(($J82-$H82)*1440,0)&gt;設定!$C$48,ROUND(($J82-$H82)*1440,0),0))</f>
        <v/>
      </c>
      <c r="P82" s="88">
        <f>IF(OR($C82="",$I82="",$K82=""),0,IF(ROUND(($I82-$K82)*1440,0)&gt;設定!$C$48,ROUND(($I82-$K82)*1440,0),0))</f>
        <v/>
      </c>
      <c r="Q82" s="89">
        <f>IF($M82="",0,IF(($M82-IFERROR(INDEX(設定!$G$6:$G$21,MATCH($G82,設定!$B$6:$B$21,0)),0))*60&gt;=設定!$C$46,ROUND(FLOOR(($M82-IFERROR(INDEX(設定!$G$6:$G$21,MATCH($G82,設定!$B$6:$B$21,0)),0))*60,設定!$C$47)/60,2),0))</f>
        <v/>
      </c>
      <c r="R82" s="16">
        <f>IF(OR($C82="",$Q82=0),"",IF($G82="國","國定假日",IF($B82="日","例假",IF($B82="六","休息日","平日"))))</f>
        <v/>
      </c>
      <c r="S82" s="18" t="n"/>
    </row>
    <row r="83">
      <c r="A83" s="86">
        <f>IF(OR(醫護長與管理部班表!$A7="",19&gt;DAY(EOMONTH(DATE(設定!$C$2,設定!$D$2,1),0))),"",DATE(設定!$C$2,設定!$D$2,19))</f>
        <v/>
      </c>
      <c r="B83" s="16">
        <f>IF($A83="","",INDEX(設定!$O$6:$O$12,WEEKDAY($A83,1)))</f>
        <v/>
      </c>
      <c r="C83" s="16">
        <f>IF($A83="","",醫護長與管理部班表!$A7)</f>
        <v/>
      </c>
      <c r="D83" s="16">
        <f>IF($C83="","",醫護長與管理部班表!$B7)</f>
        <v/>
      </c>
      <c r="E83" s="16">
        <f>IF($C83="","",醫護長與管理部班表!$D7)</f>
        <v/>
      </c>
      <c r="F83" s="16">
        <f>IF($C83="","",醫護長與管理部班表!$C7)</f>
        <v/>
      </c>
      <c r="G83" s="16">
        <f>IF($C83="","",醫護長與管理部班表!W7)</f>
        <v/>
      </c>
      <c r="H83" s="87">
        <f>IF($G83="","",IFERROR(IF(INDEX(設定!$D$6:$D$21,MATCH($G83,設定!$B$6:$B$21,0))=0,"",INDEX(設定!$D$6:$D$21,MATCH($G83,設定!$B$6:$B$21,0))),""))</f>
        <v/>
      </c>
      <c r="I83" s="87">
        <f>IF($G83="","",IFERROR(IF(INDEX(設定!$E$6:$E$21,MATCH($G83,設定!$B$6:$B$21,0))=0,"",INDEX(設定!$E$6:$E$21,MATCH($G83,設定!$B$6:$B$21,0))),""))</f>
        <v/>
      </c>
      <c r="J83" s="87">
        <f>IFERROR(INDEX(打卡匯入!$C$3:$C$502,MATCH($C83&amp;"|"&amp;DAY($A83),打卡匯入!$E$3:$E$502,0)),"")</f>
        <v/>
      </c>
      <c r="K83" s="87">
        <f>IFERROR(INDEX(打卡匯入!$D$3:$D$502,MATCH($C83&amp;"|"&amp;DAY($A83),打卡匯入!$E$3:$E$502,0)),"")</f>
        <v/>
      </c>
      <c r="L83" s="88">
        <f>IF(OR($J83="",$K83=""),"",IFERROR(INDEX(設定!$F$6:$F$21,MATCH($G83,設定!$B$6:$B$21,0)),0))</f>
        <v/>
      </c>
      <c r="M83" s="89">
        <f>IF(OR($J83="",$K83=""),"",ROUND(($K83-$J83)*24-$L83/60,2))</f>
        <v/>
      </c>
      <c r="N83" s="16">
        <f>IF($C83="","",IF(AND(COUNTIF(設定!$B$15:$B$21,$G83)&gt;0,$J83&lt;&gt;""),"假日出勤",IF(AND(COUNTIF(設定!$B$6:$B$14,$G83)&gt;0,$J83=""),"未打卡",IF($J83="","",IF($O83&gt;0,"遲到",IF($P83&gt;0,"早退","正常"))))))</f>
        <v/>
      </c>
      <c r="O83" s="88">
        <f>IF(OR($C83="",$H83="",$J83=""),0,IF(ROUND(($J83-$H83)*1440,0)&gt;設定!$C$48,ROUND(($J83-$H83)*1440,0),0))</f>
        <v/>
      </c>
      <c r="P83" s="88">
        <f>IF(OR($C83="",$I83="",$K83=""),0,IF(ROUND(($I83-$K83)*1440,0)&gt;設定!$C$48,ROUND(($I83-$K83)*1440,0),0))</f>
        <v/>
      </c>
      <c r="Q83" s="89">
        <f>IF($M83="",0,IF(($M83-IFERROR(INDEX(設定!$G$6:$G$21,MATCH($G83,設定!$B$6:$B$21,0)),0))*60&gt;=設定!$C$46,ROUND(FLOOR(($M83-IFERROR(INDEX(設定!$G$6:$G$21,MATCH($G83,設定!$B$6:$B$21,0)),0))*60,設定!$C$47)/60,2),0))</f>
        <v/>
      </c>
      <c r="R83" s="16">
        <f>IF(OR($C83="",$Q83=0),"",IF($G83="國","國定假日",IF($B83="日","例假",IF($B83="六","休息日","平日"))))</f>
        <v/>
      </c>
      <c r="S83" s="18" t="n"/>
    </row>
    <row r="84">
      <c r="A84" s="86">
        <f>IF(OR(醫護長與管理部班表!$A7="",20&gt;DAY(EOMONTH(DATE(設定!$C$2,設定!$D$2,1),0))),"",DATE(設定!$C$2,設定!$D$2,20))</f>
        <v/>
      </c>
      <c r="B84" s="16">
        <f>IF($A84="","",INDEX(設定!$O$6:$O$12,WEEKDAY($A84,1)))</f>
        <v/>
      </c>
      <c r="C84" s="16">
        <f>IF($A84="","",醫護長與管理部班表!$A7)</f>
        <v/>
      </c>
      <c r="D84" s="16">
        <f>IF($C84="","",醫護長與管理部班表!$B7)</f>
        <v/>
      </c>
      <c r="E84" s="16">
        <f>IF($C84="","",醫護長與管理部班表!$D7)</f>
        <v/>
      </c>
      <c r="F84" s="16">
        <f>IF($C84="","",醫護長與管理部班表!$C7)</f>
        <v/>
      </c>
      <c r="G84" s="16">
        <f>IF($C84="","",醫護長與管理部班表!X7)</f>
        <v/>
      </c>
      <c r="H84" s="87">
        <f>IF($G84="","",IFERROR(IF(INDEX(設定!$D$6:$D$21,MATCH($G84,設定!$B$6:$B$21,0))=0,"",INDEX(設定!$D$6:$D$21,MATCH($G84,設定!$B$6:$B$21,0))),""))</f>
        <v/>
      </c>
      <c r="I84" s="87">
        <f>IF($G84="","",IFERROR(IF(INDEX(設定!$E$6:$E$21,MATCH($G84,設定!$B$6:$B$21,0))=0,"",INDEX(設定!$E$6:$E$21,MATCH($G84,設定!$B$6:$B$21,0))),""))</f>
        <v/>
      </c>
      <c r="J84" s="87">
        <f>IFERROR(INDEX(打卡匯入!$C$3:$C$502,MATCH($C84&amp;"|"&amp;DAY($A84),打卡匯入!$E$3:$E$502,0)),"")</f>
        <v/>
      </c>
      <c r="K84" s="87">
        <f>IFERROR(INDEX(打卡匯入!$D$3:$D$502,MATCH($C84&amp;"|"&amp;DAY($A84),打卡匯入!$E$3:$E$502,0)),"")</f>
        <v/>
      </c>
      <c r="L84" s="88">
        <f>IF(OR($J84="",$K84=""),"",IFERROR(INDEX(設定!$F$6:$F$21,MATCH($G84,設定!$B$6:$B$21,0)),0))</f>
        <v/>
      </c>
      <c r="M84" s="89">
        <f>IF(OR($J84="",$K84=""),"",ROUND(($K84-$J84)*24-$L84/60,2))</f>
        <v/>
      </c>
      <c r="N84" s="16">
        <f>IF($C84="","",IF(AND(COUNTIF(設定!$B$15:$B$21,$G84)&gt;0,$J84&lt;&gt;""),"假日出勤",IF(AND(COUNTIF(設定!$B$6:$B$14,$G84)&gt;0,$J84=""),"未打卡",IF($J84="","",IF($O84&gt;0,"遲到",IF($P84&gt;0,"早退","正常"))))))</f>
        <v/>
      </c>
      <c r="O84" s="88">
        <f>IF(OR($C84="",$H84="",$J84=""),0,IF(ROUND(($J84-$H84)*1440,0)&gt;設定!$C$48,ROUND(($J84-$H84)*1440,0),0))</f>
        <v/>
      </c>
      <c r="P84" s="88">
        <f>IF(OR($C84="",$I84="",$K84=""),0,IF(ROUND(($I84-$K84)*1440,0)&gt;設定!$C$48,ROUND(($I84-$K84)*1440,0),0))</f>
        <v/>
      </c>
      <c r="Q84" s="89">
        <f>IF($M84="",0,IF(($M84-IFERROR(INDEX(設定!$G$6:$G$21,MATCH($G84,設定!$B$6:$B$21,0)),0))*60&gt;=設定!$C$46,ROUND(FLOOR(($M84-IFERROR(INDEX(設定!$G$6:$G$21,MATCH($G84,設定!$B$6:$B$21,0)),0))*60,設定!$C$47)/60,2),0))</f>
        <v/>
      </c>
      <c r="R84" s="16">
        <f>IF(OR($C84="",$Q84=0),"",IF($G84="國","國定假日",IF($B84="日","例假",IF($B84="六","休息日","平日"))))</f>
        <v/>
      </c>
      <c r="S84" s="18" t="n"/>
    </row>
    <row r="85">
      <c r="A85" s="86">
        <f>IF(OR(醫護長與管理部班表!$A7="",21&gt;DAY(EOMONTH(DATE(設定!$C$2,設定!$D$2,1),0))),"",DATE(設定!$C$2,設定!$D$2,21))</f>
        <v/>
      </c>
      <c r="B85" s="16">
        <f>IF($A85="","",INDEX(設定!$O$6:$O$12,WEEKDAY($A85,1)))</f>
        <v/>
      </c>
      <c r="C85" s="16">
        <f>IF($A85="","",醫護長與管理部班表!$A7)</f>
        <v/>
      </c>
      <c r="D85" s="16">
        <f>IF($C85="","",醫護長與管理部班表!$B7)</f>
        <v/>
      </c>
      <c r="E85" s="16">
        <f>IF($C85="","",醫護長與管理部班表!$D7)</f>
        <v/>
      </c>
      <c r="F85" s="16">
        <f>IF($C85="","",醫護長與管理部班表!$C7)</f>
        <v/>
      </c>
      <c r="G85" s="16">
        <f>IF($C85="","",醫護長與管理部班表!Y7)</f>
        <v/>
      </c>
      <c r="H85" s="87">
        <f>IF($G85="","",IFERROR(IF(INDEX(設定!$D$6:$D$21,MATCH($G85,設定!$B$6:$B$21,0))=0,"",INDEX(設定!$D$6:$D$21,MATCH($G85,設定!$B$6:$B$21,0))),""))</f>
        <v/>
      </c>
      <c r="I85" s="87">
        <f>IF($G85="","",IFERROR(IF(INDEX(設定!$E$6:$E$21,MATCH($G85,設定!$B$6:$B$21,0))=0,"",INDEX(設定!$E$6:$E$21,MATCH($G85,設定!$B$6:$B$21,0))),""))</f>
        <v/>
      </c>
      <c r="J85" s="87">
        <f>IFERROR(INDEX(打卡匯入!$C$3:$C$502,MATCH($C85&amp;"|"&amp;DAY($A85),打卡匯入!$E$3:$E$502,0)),"")</f>
        <v/>
      </c>
      <c r="K85" s="87">
        <f>IFERROR(INDEX(打卡匯入!$D$3:$D$502,MATCH($C85&amp;"|"&amp;DAY($A85),打卡匯入!$E$3:$E$502,0)),"")</f>
        <v/>
      </c>
      <c r="L85" s="88">
        <f>IF(OR($J85="",$K85=""),"",IFERROR(INDEX(設定!$F$6:$F$21,MATCH($G85,設定!$B$6:$B$21,0)),0))</f>
        <v/>
      </c>
      <c r="M85" s="89">
        <f>IF(OR($J85="",$K85=""),"",ROUND(($K85-$J85)*24-$L85/60,2))</f>
        <v/>
      </c>
      <c r="N85" s="16">
        <f>IF($C85="","",IF(AND(COUNTIF(設定!$B$15:$B$21,$G85)&gt;0,$J85&lt;&gt;""),"假日出勤",IF(AND(COUNTIF(設定!$B$6:$B$14,$G85)&gt;0,$J85=""),"未打卡",IF($J85="","",IF($O85&gt;0,"遲到",IF($P85&gt;0,"早退","正常"))))))</f>
        <v/>
      </c>
      <c r="O85" s="88">
        <f>IF(OR($C85="",$H85="",$J85=""),0,IF(ROUND(($J85-$H85)*1440,0)&gt;設定!$C$48,ROUND(($J85-$H85)*1440,0),0))</f>
        <v/>
      </c>
      <c r="P85" s="88">
        <f>IF(OR($C85="",$I85="",$K85=""),0,IF(ROUND(($I85-$K85)*1440,0)&gt;設定!$C$48,ROUND(($I85-$K85)*1440,0),0))</f>
        <v/>
      </c>
      <c r="Q85" s="89">
        <f>IF($M85="",0,IF(($M85-IFERROR(INDEX(設定!$G$6:$G$21,MATCH($G85,設定!$B$6:$B$21,0)),0))*60&gt;=設定!$C$46,ROUND(FLOOR(($M85-IFERROR(INDEX(設定!$G$6:$G$21,MATCH($G85,設定!$B$6:$B$21,0)),0))*60,設定!$C$47)/60,2),0))</f>
        <v/>
      </c>
      <c r="R85" s="16">
        <f>IF(OR($C85="",$Q85=0),"",IF($G85="國","國定假日",IF($B85="日","例假",IF($B85="六","休息日","平日"))))</f>
        <v/>
      </c>
      <c r="S85" s="18" t="n"/>
    </row>
    <row r="86">
      <c r="A86" s="86">
        <f>IF(OR(醫護長與管理部班表!$A7="",22&gt;DAY(EOMONTH(DATE(設定!$C$2,設定!$D$2,1),0))),"",DATE(設定!$C$2,設定!$D$2,22))</f>
        <v/>
      </c>
      <c r="B86" s="16">
        <f>IF($A86="","",INDEX(設定!$O$6:$O$12,WEEKDAY($A86,1)))</f>
        <v/>
      </c>
      <c r="C86" s="16">
        <f>IF($A86="","",醫護長與管理部班表!$A7)</f>
        <v/>
      </c>
      <c r="D86" s="16">
        <f>IF($C86="","",醫護長與管理部班表!$B7)</f>
        <v/>
      </c>
      <c r="E86" s="16">
        <f>IF($C86="","",醫護長與管理部班表!$D7)</f>
        <v/>
      </c>
      <c r="F86" s="16">
        <f>IF($C86="","",醫護長與管理部班表!$C7)</f>
        <v/>
      </c>
      <c r="G86" s="16">
        <f>IF($C86="","",醫護長與管理部班表!Z7)</f>
        <v/>
      </c>
      <c r="H86" s="87">
        <f>IF($G86="","",IFERROR(IF(INDEX(設定!$D$6:$D$21,MATCH($G86,設定!$B$6:$B$21,0))=0,"",INDEX(設定!$D$6:$D$21,MATCH($G86,設定!$B$6:$B$21,0))),""))</f>
        <v/>
      </c>
      <c r="I86" s="87">
        <f>IF($G86="","",IFERROR(IF(INDEX(設定!$E$6:$E$21,MATCH($G86,設定!$B$6:$B$21,0))=0,"",INDEX(設定!$E$6:$E$21,MATCH($G86,設定!$B$6:$B$21,0))),""))</f>
        <v/>
      </c>
      <c r="J86" s="87">
        <f>IFERROR(INDEX(打卡匯入!$C$3:$C$502,MATCH($C86&amp;"|"&amp;DAY($A86),打卡匯入!$E$3:$E$502,0)),"")</f>
        <v/>
      </c>
      <c r="K86" s="87">
        <f>IFERROR(INDEX(打卡匯入!$D$3:$D$502,MATCH($C86&amp;"|"&amp;DAY($A86),打卡匯入!$E$3:$E$502,0)),"")</f>
        <v/>
      </c>
      <c r="L86" s="88">
        <f>IF(OR($J86="",$K86=""),"",IFERROR(INDEX(設定!$F$6:$F$21,MATCH($G86,設定!$B$6:$B$21,0)),0))</f>
        <v/>
      </c>
      <c r="M86" s="89">
        <f>IF(OR($J86="",$K86=""),"",ROUND(($K86-$J86)*24-$L86/60,2))</f>
        <v/>
      </c>
      <c r="N86" s="16">
        <f>IF($C86="","",IF(AND(COUNTIF(設定!$B$15:$B$21,$G86)&gt;0,$J86&lt;&gt;""),"假日出勤",IF(AND(COUNTIF(設定!$B$6:$B$14,$G86)&gt;0,$J86=""),"未打卡",IF($J86="","",IF($O86&gt;0,"遲到",IF($P86&gt;0,"早退","正常"))))))</f>
        <v/>
      </c>
      <c r="O86" s="88">
        <f>IF(OR($C86="",$H86="",$J86=""),0,IF(ROUND(($J86-$H86)*1440,0)&gt;設定!$C$48,ROUND(($J86-$H86)*1440,0),0))</f>
        <v/>
      </c>
      <c r="P86" s="88">
        <f>IF(OR($C86="",$I86="",$K86=""),0,IF(ROUND(($I86-$K86)*1440,0)&gt;設定!$C$48,ROUND(($I86-$K86)*1440,0),0))</f>
        <v/>
      </c>
      <c r="Q86" s="89">
        <f>IF($M86="",0,IF(($M86-IFERROR(INDEX(設定!$G$6:$G$21,MATCH($G86,設定!$B$6:$B$21,0)),0))*60&gt;=設定!$C$46,ROUND(FLOOR(($M86-IFERROR(INDEX(設定!$G$6:$G$21,MATCH($G86,設定!$B$6:$B$21,0)),0))*60,設定!$C$47)/60,2),0))</f>
        <v/>
      </c>
      <c r="R86" s="16">
        <f>IF(OR($C86="",$Q86=0),"",IF($G86="國","國定假日",IF($B86="日","例假",IF($B86="六","休息日","平日"))))</f>
        <v/>
      </c>
      <c r="S86" s="18" t="n"/>
    </row>
    <row r="87">
      <c r="A87" s="86">
        <f>IF(OR(醫護長與管理部班表!$A7="",23&gt;DAY(EOMONTH(DATE(設定!$C$2,設定!$D$2,1),0))),"",DATE(設定!$C$2,設定!$D$2,23))</f>
        <v/>
      </c>
      <c r="B87" s="16">
        <f>IF($A87="","",INDEX(設定!$O$6:$O$12,WEEKDAY($A87,1)))</f>
        <v/>
      </c>
      <c r="C87" s="16">
        <f>IF($A87="","",醫護長與管理部班表!$A7)</f>
        <v/>
      </c>
      <c r="D87" s="16">
        <f>IF($C87="","",醫護長與管理部班表!$B7)</f>
        <v/>
      </c>
      <c r="E87" s="16">
        <f>IF($C87="","",醫護長與管理部班表!$D7)</f>
        <v/>
      </c>
      <c r="F87" s="16">
        <f>IF($C87="","",醫護長與管理部班表!$C7)</f>
        <v/>
      </c>
      <c r="G87" s="16">
        <f>IF($C87="","",醫護長與管理部班表!AA7)</f>
        <v/>
      </c>
      <c r="H87" s="87">
        <f>IF($G87="","",IFERROR(IF(INDEX(設定!$D$6:$D$21,MATCH($G87,設定!$B$6:$B$21,0))=0,"",INDEX(設定!$D$6:$D$21,MATCH($G87,設定!$B$6:$B$21,0))),""))</f>
        <v/>
      </c>
      <c r="I87" s="87">
        <f>IF($G87="","",IFERROR(IF(INDEX(設定!$E$6:$E$21,MATCH($G87,設定!$B$6:$B$21,0))=0,"",INDEX(設定!$E$6:$E$21,MATCH($G87,設定!$B$6:$B$21,0))),""))</f>
        <v/>
      </c>
      <c r="J87" s="87">
        <f>IFERROR(INDEX(打卡匯入!$C$3:$C$502,MATCH($C87&amp;"|"&amp;DAY($A87),打卡匯入!$E$3:$E$502,0)),"")</f>
        <v/>
      </c>
      <c r="K87" s="87">
        <f>IFERROR(INDEX(打卡匯入!$D$3:$D$502,MATCH($C87&amp;"|"&amp;DAY($A87),打卡匯入!$E$3:$E$502,0)),"")</f>
        <v/>
      </c>
      <c r="L87" s="88">
        <f>IF(OR($J87="",$K87=""),"",IFERROR(INDEX(設定!$F$6:$F$21,MATCH($G87,設定!$B$6:$B$21,0)),0))</f>
        <v/>
      </c>
      <c r="M87" s="89">
        <f>IF(OR($J87="",$K87=""),"",ROUND(($K87-$J87)*24-$L87/60,2))</f>
        <v/>
      </c>
      <c r="N87" s="16">
        <f>IF($C87="","",IF(AND(COUNTIF(設定!$B$15:$B$21,$G87)&gt;0,$J87&lt;&gt;""),"假日出勤",IF(AND(COUNTIF(設定!$B$6:$B$14,$G87)&gt;0,$J87=""),"未打卡",IF($J87="","",IF($O87&gt;0,"遲到",IF($P87&gt;0,"早退","正常"))))))</f>
        <v/>
      </c>
      <c r="O87" s="88">
        <f>IF(OR($C87="",$H87="",$J87=""),0,IF(ROUND(($J87-$H87)*1440,0)&gt;設定!$C$48,ROUND(($J87-$H87)*1440,0),0))</f>
        <v/>
      </c>
      <c r="P87" s="88">
        <f>IF(OR($C87="",$I87="",$K87=""),0,IF(ROUND(($I87-$K87)*1440,0)&gt;設定!$C$48,ROUND(($I87-$K87)*1440,0),0))</f>
        <v/>
      </c>
      <c r="Q87" s="89">
        <f>IF($M87="",0,IF(($M87-IFERROR(INDEX(設定!$G$6:$G$21,MATCH($G87,設定!$B$6:$B$21,0)),0))*60&gt;=設定!$C$46,ROUND(FLOOR(($M87-IFERROR(INDEX(設定!$G$6:$G$21,MATCH($G87,設定!$B$6:$B$21,0)),0))*60,設定!$C$47)/60,2),0))</f>
        <v/>
      </c>
      <c r="R87" s="16">
        <f>IF(OR($C87="",$Q87=0),"",IF($G87="國","國定假日",IF($B87="日","例假",IF($B87="六","休息日","平日"))))</f>
        <v/>
      </c>
      <c r="S87" s="18" t="n"/>
    </row>
    <row r="88">
      <c r="A88" s="86">
        <f>IF(OR(醫護長與管理部班表!$A7="",24&gt;DAY(EOMONTH(DATE(設定!$C$2,設定!$D$2,1),0))),"",DATE(設定!$C$2,設定!$D$2,24))</f>
        <v/>
      </c>
      <c r="B88" s="16">
        <f>IF($A88="","",INDEX(設定!$O$6:$O$12,WEEKDAY($A88,1)))</f>
        <v/>
      </c>
      <c r="C88" s="16">
        <f>IF($A88="","",醫護長與管理部班表!$A7)</f>
        <v/>
      </c>
      <c r="D88" s="16">
        <f>IF($C88="","",醫護長與管理部班表!$B7)</f>
        <v/>
      </c>
      <c r="E88" s="16">
        <f>IF($C88="","",醫護長與管理部班表!$D7)</f>
        <v/>
      </c>
      <c r="F88" s="16">
        <f>IF($C88="","",醫護長與管理部班表!$C7)</f>
        <v/>
      </c>
      <c r="G88" s="16">
        <f>IF($C88="","",醫護長與管理部班表!AB7)</f>
        <v/>
      </c>
      <c r="H88" s="87">
        <f>IF($G88="","",IFERROR(IF(INDEX(設定!$D$6:$D$21,MATCH($G88,設定!$B$6:$B$21,0))=0,"",INDEX(設定!$D$6:$D$21,MATCH($G88,設定!$B$6:$B$21,0))),""))</f>
        <v/>
      </c>
      <c r="I88" s="87">
        <f>IF($G88="","",IFERROR(IF(INDEX(設定!$E$6:$E$21,MATCH($G88,設定!$B$6:$B$21,0))=0,"",INDEX(設定!$E$6:$E$21,MATCH($G88,設定!$B$6:$B$21,0))),""))</f>
        <v/>
      </c>
      <c r="J88" s="87">
        <f>IFERROR(INDEX(打卡匯入!$C$3:$C$502,MATCH($C88&amp;"|"&amp;DAY($A88),打卡匯入!$E$3:$E$502,0)),"")</f>
        <v/>
      </c>
      <c r="K88" s="87">
        <f>IFERROR(INDEX(打卡匯入!$D$3:$D$502,MATCH($C88&amp;"|"&amp;DAY($A88),打卡匯入!$E$3:$E$502,0)),"")</f>
        <v/>
      </c>
      <c r="L88" s="88">
        <f>IF(OR($J88="",$K88=""),"",IFERROR(INDEX(設定!$F$6:$F$21,MATCH($G88,設定!$B$6:$B$21,0)),0))</f>
        <v/>
      </c>
      <c r="M88" s="89">
        <f>IF(OR($J88="",$K88=""),"",ROUND(($K88-$J88)*24-$L88/60,2))</f>
        <v/>
      </c>
      <c r="N88" s="16">
        <f>IF($C88="","",IF(AND(COUNTIF(設定!$B$15:$B$21,$G88)&gt;0,$J88&lt;&gt;""),"假日出勤",IF(AND(COUNTIF(設定!$B$6:$B$14,$G88)&gt;0,$J88=""),"未打卡",IF($J88="","",IF($O88&gt;0,"遲到",IF($P88&gt;0,"早退","正常"))))))</f>
        <v/>
      </c>
      <c r="O88" s="88">
        <f>IF(OR($C88="",$H88="",$J88=""),0,IF(ROUND(($J88-$H88)*1440,0)&gt;設定!$C$48,ROUND(($J88-$H88)*1440,0),0))</f>
        <v/>
      </c>
      <c r="P88" s="88">
        <f>IF(OR($C88="",$I88="",$K88=""),0,IF(ROUND(($I88-$K88)*1440,0)&gt;設定!$C$48,ROUND(($I88-$K88)*1440,0),0))</f>
        <v/>
      </c>
      <c r="Q88" s="89">
        <f>IF($M88="",0,IF(($M88-IFERROR(INDEX(設定!$G$6:$G$21,MATCH($G88,設定!$B$6:$B$21,0)),0))*60&gt;=設定!$C$46,ROUND(FLOOR(($M88-IFERROR(INDEX(設定!$G$6:$G$21,MATCH($G88,設定!$B$6:$B$21,0)),0))*60,設定!$C$47)/60,2),0))</f>
        <v/>
      </c>
      <c r="R88" s="16">
        <f>IF(OR($C88="",$Q88=0),"",IF($G88="國","國定假日",IF($B88="日","例假",IF($B88="六","休息日","平日"))))</f>
        <v/>
      </c>
      <c r="S88" s="18" t="n"/>
    </row>
    <row r="89">
      <c r="A89" s="86">
        <f>IF(OR(醫護長與管理部班表!$A7="",25&gt;DAY(EOMONTH(DATE(設定!$C$2,設定!$D$2,1),0))),"",DATE(設定!$C$2,設定!$D$2,25))</f>
        <v/>
      </c>
      <c r="B89" s="16">
        <f>IF($A89="","",INDEX(設定!$O$6:$O$12,WEEKDAY($A89,1)))</f>
        <v/>
      </c>
      <c r="C89" s="16">
        <f>IF($A89="","",醫護長與管理部班表!$A7)</f>
        <v/>
      </c>
      <c r="D89" s="16">
        <f>IF($C89="","",醫護長與管理部班表!$B7)</f>
        <v/>
      </c>
      <c r="E89" s="16">
        <f>IF($C89="","",醫護長與管理部班表!$D7)</f>
        <v/>
      </c>
      <c r="F89" s="16">
        <f>IF($C89="","",醫護長與管理部班表!$C7)</f>
        <v/>
      </c>
      <c r="G89" s="16">
        <f>IF($C89="","",醫護長與管理部班表!AC7)</f>
        <v/>
      </c>
      <c r="H89" s="87">
        <f>IF($G89="","",IFERROR(IF(INDEX(設定!$D$6:$D$21,MATCH($G89,設定!$B$6:$B$21,0))=0,"",INDEX(設定!$D$6:$D$21,MATCH($G89,設定!$B$6:$B$21,0))),""))</f>
        <v/>
      </c>
      <c r="I89" s="87">
        <f>IF($G89="","",IFERROR(IF(INDEX(設定!$E$6:$E$21,MATCH($G89,設定!$B$6:$B$21,0))=0,"",INDEX(設定!$E$6:$E$21,MATCH($G89,設定!$B$6:$B$21,0))),""))</f>
        <v/>
      </c>
      <c r="J89" s="87">
        <f>IFERROR(INDEX(打卡匯入!$C$3:$C$502,MATCH($C89&amp;"|"&amp;DAY($A89),打卡匯入!$E$3:$E$502,0)),"")</f>
        <v/>
      </c>
      <c r="K89" s="87">
        <f>IFERROR(INDEX(打卡匯入!$D$3:$D$502,MATCH($C89&amp;"|"&amp;DAY($A89),打卡匯入!$E$3:$E$502,0)),"")</f>
        <v/>
      </c>
      <c r="L89" s="88">
        <f>IF(OR($J89="",$K89=""),"",IFERROR(INDEX(設定!$F$6:$F$21,MATCH($G89,設定!$B$6:$B$21,0)),0))</f>
        <v/>
      </c>
      <c r="M89" s="89">
        <f>IF(OR($J89="",$K89=""),"",ROUND(($K89-$J89)*24-$L89/60,2))</f>
        <v/>
      </c>
      <c r="N89" s="16">
        <f>IF($C89="","",IF(AND(COUNTIF(設定!$B$15:$B$21,$G89)&gt;0,$J89&lt;&gt;""),"假日出勤",IF(AND(COUNTIF(設定!$B$6:$B$14,$G89)&gt;0,$J89=""),"未打卡",IF($J89="","",IF($O89&gt;0,"遲到",IF($P89&gt;0,"早退","正常"))))))</f>
        <v/>
      </c>
      <c r="O89" s="88">
        <f>IF(OR($C89="",$H89="",$J89=""),0,IF(ROUND(($J89-$H89)*1440,0)&gt;設定!$C$48,ROUND(($J89-$H89)*1440,0),0))</f>
        <v/>
      </c>
      <c r="P89" s="88">
        <f>IF(OR($C89="",$I89="",$K89=""),0,IF(ROUND(($I89-$K89)*1440,0)&gt;設定!$C$48,ROUND(($I89-$K89)*1440,0),0))</f>
        <v/>
      </c>
      <c r="Q89" s="89">
        <f>IF($M89="",0,IF(($M89-IFERROR(INDEX(設定!$G$6:$G$21,MATCH($G89,設定!$B$6:$B$21,0)),0))*60&gt;=設定!$C$46,ROUND(FLOOR(($M89-IFERROR(INDEX(設定!$G$6:$G$21,MATCH($G89,設定!$B$6:$B$21,0)),0))*60,設定!$C$47)/60,2),0))</f>
        <v/>
      </c>
      <c r="R89" s="16">
        <f>IF(OR($C89="",$Q89=0),"",IF($G89="國","國定假日",IF($B89="日","例假",IF($B89="六","休息日","平日"))))</f>
        <v/>
      </c>
      <c r="S89" s="18" t="n"/>
    </row>
    <row r="90">
      <c r="A90" s="86">
        <f>IF(OR(醫護長與管理部班表!$A7="",26&gt;DAY(EOMONTH(DATE(設定!$C$2,設定!$D$2,1),0))),"",DATE(設定!$C$2,設定!$D$2,26))</f>
        <v/>
      </c>
      <c r="B90" s="16">
        <f>IF($A90="","",INDEX(設定!$O$6:$O$12,WEEKDAY($A90,1)))</f>
        <v/>
      </c>
      <c r="C90" s="16">
        <f>IF($A90="","",醫護長與管理部班表!$A7)</f>
        <v/>
      </c>
      <c r="D90" s="16">
        <f>IF($C90="","",醫護長與管理部班表!$B7)</f>
        <v/>
      </c>
      <c r="E90" s="16">
        <f>IF($C90="","",醫護長與管理部班表!$D7)</f>
        <v/>
      </c>
      <c r="F90" s="16">
        <f>IF($C90="","",醫護長與管理部班表!$C7)</f>
        <v/>
      </c>
      <c r="G90" s="16">
        <f>IF($C90="","",醫護長與管理部班表!AD7)</f>
        <v/>
      </c>
      <c r="H90" s="87">
        <f>IF($G90="","",IFERROR(IF(INDEX(設定!$D$6:$D$21,MATCH($G90,設定!$B$6:$B$21,0))=0,"",INDEX(設定!$D$6:$D$21,MATCH($G90,設定!$B$6:$B$21,0))),""))</f>
        <v/>
      </c>
      <c r="I90" s="87">
        <f>IF($G90="","",IFERROR(IF(INDEX(設定!$E$6:$E$21,MATCH($G90,設定!$B$6:$B$21,0))=0,"",INDEX(設定!$E$6:$E$21,MATCH($G90,設定!$B$6:$B$21,0))),""))</f>
        <v/>
      </c>
      <c r="J90" s="87">
        <f>IFERROR(INDEX(打卡匯入!$C$3:$C$502,MATCH($C90&amp;"|"&amp;DAY($A90),打卡匯入!$E$3:$E$502,0)),"")</f>
        <v/>
      </c>
      <c r="K90" s="87">
        <f>IFERROR(INDEX(打卡匯入!$D$3:$D$502,MATCH($C90&amp;"|"&amp;DAY($A90),打卡匯入!$E$3:$E$502,0)),"")</f>
        <v/>
      </c>
      <c r="L90" s="88">
        <f>IF(OR($J90="",$K90=""),"",IFERROR(INDEX(設定!$F$6:$F$21,MATCH($G90,設定!$B$6:$B$21,0)),0))</f>
        <v/>
      </c>
      <c r="M90" s="89">
        <f>IF(OR($J90="",$K90=""),"",ROUND(($K90-$J90)*24-$L90/60,2))</f>
        <v/>
      </c>
      <c r="N90" s="16">
        <f>IF($C90="","",IF(AND(COUNTIF(設定!$B$15:$B$21,$G90)&gt;0,$J90&lt;&gt;""),"假日出勤",IF(AND(COUNTIF(設定!$B$6:$B$14,$G90)&gt;0,$J90=""),"未打卡",IF($J90="","",IF($O90&gt;0,"遲到",IF($P90&gt;0,"早退","正常"))))))</f>
        <v/>
      </c>
      <c r="O90" s="88">
        <f>IF(OR($C90="",$H90="",$J90=""),0,IF(ROUND(($J90-$H90)*1440,0)&gt;設定!$C$48,ROUND(($J90-$H90)*1440,0),0))</f>
        <v/>
      </c>
      <c r="P90" s="88">
        <f>IF(OR($C90="",$I90="",$K90=""),0,IF(ROUND(($I90-$K90)*1440,0)&gt;設定!$C$48,ROUND(($I90-$K90)*1440,0),0))</f>
        <v/>
      </c>
      <c r="Q90" s="89">
        <f>IF($M90="",0,IF(($M90-IFERROR(INDEX(設定!$G$6:$G$21,MATCH($G90,設定!$B$6:$B$21,0)),0))*60&gt;=設定!$C$46,ROUND(FLOOR(($M90-IFERROR(INDEX(設定!$G$6:$G$21,MATCH($G90,設定!$B$6:$B$21,0)),0))*60,設定!$C$47)/60,2),0))</f>
        <v/>
      </c>
      <c r="R90" s="16">
        <f>IF(OR($C90="",$Q90=0),"",IF($G90="國","國定假日",IF($B90="日","例假",IF($B90="六","休息日","平日"))))</f>
        <v/>
      </c>
      <c r="S90" s="18" t="n"/>
    </row>
    <row r="91">
      <c r="A91" s="86">
        <f>IF(OR(醫護長與管理部班表!$A7="",27&gt;DAY(EOMONTH(DATE(設定!$C$2,設定!$D$2,1),0))),"",DATE(設定!$C$2,設定!$D$2,27))</f>
        <v/>
      </c>
      <c r="B91" s="16">
        <f>IF($A91="","",INDEX(設定!$O$6:$O$12,WEEKDAY($A91,1)))</f>
        <v/>
      </c>
      <c r="C91" s="16">
        <f>IF($A91="","",醫護長與管理部班表!$A7)</f>
        <v/>
      </c>
      <c r="D91" s="16">
        <f>IF($C91="","",醫護長與管理部班表!$B7)</f>
        <v/>
      </c>
      <c r="E91" s="16">
        <f>IF($C91="","",醫護長與管理部班表!$D7)</f>
        <v/>
      </c>
      <c r="F91" s="16">
        <f>IF($C91="","",醫護長與管理部班表!$C7)</f>
        <v/>
      </c>
      <c r="G91" s="16">
        <f>IF($C91="","",醫護長與管理部班表!AE7)</f>
        <v/>
      </c>
      <c r="H91" s="87">
        <f>IF($G91="","",IFERROR(IF(INDEX(設定!$D$6:$D$21,MATCH($G91,設定!$B$6:$B$21,0))=0,"",INDEX(設定!$D$6:$D$21,MATCH($G91,設定!$B$6:$B$21,0))),""))</f>
        <v/>
      </c>
      <c r="I91" s="87">
        <f>IF($G91="","",IFERROR(IF(INDEX(設定!$E$6:$E$21,MATCH($G91,設定!$B$6:$B$21,0))=0,"",INDEX(設定!$E$6:$E$21,MATCH($G91,設定!$B$6:$B$21,0))),""))</f>
        <v/>
      </c>
      <c r="J91" s="87">
        <f>IFERROR(INDEX(打卡匯入!$C$3:$C$502,MATCH($C91&amp;"|"&amp;DAY($A91),打卡匯入!$E$3:$E$502,0)),"")</f>
        <v/>
      </c>
      <c r="K91" s="87">
        <f>IFERROR(INDEX(打卡匯入!$D$3:$D$502,MATCH($C91&amp;"|"&amp;DAY($A91),打卡匯入!$E$3:$E$502,0)),"")</f>
        <v/>
      </c>
      <c r="L91" s="88">
        <f>IF(OR($J91="",$K91=""),"",IFERROR(INDEX(設定!$F$6:$F$21,MATCH($G91,設定!$B$6:$B$21,0)),0))</f>
        <v/>
      </c>
      <c r="M91" s="89">
        <f>IF(OR($J91="",$K91=""),"",ROUND(($K91-$J91)*24-$L91/60,2))</f>
        <v/>
      </c>
      <c r="N91" s="16">
        <f>IF($C91="","",IF(AND(COUNTIF(設定!$B$15:$B$21,$G91)&gt;0,$J91&lt;&gt;""),"假日出勤",IF(AND(COUNTIF(設定!$B$6:$B$14,$G91)&gt;0,$J91=""),"未打卡",IF($J91="","",IF($O91&gt;0,"遲到",IF($P91&gt;0,"早退","正常"))))))</f>
        <v/>
      </c>
      <c r="O91" s="88">
        <f>IF(OR($C91="",$H91="",$J91=""),0,IF(ROUND(($J91-$H91)*1440,0)&gt;設定!$C$48,ROUND(($J91-$H91)*1440,0),0))</f>
        <v/>
      </c>
      <c r="P91" s="88">
        <f>IF(OR($C91="",$I91="",$K91=""),0,IF(ROUND(($I91-$K91)*1440,0)&gt;設定!$C$48,ROUND(($I91-$K91)*1440,0),0))</f>
        <v/>
      </c>
      <c r="Q91" s="89">
        <f>IF($M91="",0,IF(($M91-IFERROR(INDEX(設定!$G$6:$G$21,MATCH($G91,設定!$B$6:$B$21,0)),0))*60&gt;=設定!$C$46,ROUND(FLOOR(($M91-IFERROR(INDEX(設定!$G$6:$G$21,MATCH($G91,設定!$B$6:$B$21,0)),0))*60,設定!$C$47)/60,2),0))</f>
        <v/>
      </c>
      <c r="R91" s="16">
        <f>IF(OR($C91="",$Q91=0),"",IF($G91="國","國定假日",IF($B91="日","例假",IF($B91="六","休息日","平日"))))</f>
        <v/>
      </c>
      <c r="S91" s="18" t="n"/>
    </row>
    <row r="92">
      <c r="A92" s="86">
        <f>IF(OR(醫護長與管理部班表!$A7="",28&gt;DAY(EOMONTH(DATE(設定!$C$2,設定!$D$2,1),0))),"",DATE(設定!$C$2,設定!$D$2,28))</f>
        <v/>
      </c>
      <c r="B92" s="16">
        <f>IF($A92="","",INDEX(設定!$O$6:$O$12,WEEKDAY($A92,1)))</f>
        <v/>
      </c>
      <c r="C92" s="16">
        <f>IF($A92="","",醫護長與管理部班表!$A7)</f>
        <v/>
      </c>
      <c r="D92" s="16">
        <f>IF($C92="","",醫護長與管理部班表!$B7)</f>
        <v/>
      </c>
      <c r="E92" s="16">
        <f>IF($C92="","",醫護長與管理部班表!$D7)</f>
        <v/>
      </c>
      <c r="F92" s="16">
        <f>IF($C92="","",醫護長與管理部班表!$C7)</f>
        <v/>
      </c>
      <c r="G92" s="16">
        <f>IF($C92="","",醫護長與管理部班表!AF7)</f>
        <v/>
      </c>
      <c r="H92" s="87">
        <f>IF($G92="","",IFERROR(IF(INDEX(設定!$D$6:$D$21,MATCH($G92,設定!$B$6:$B$21,0))=0,"",INDEX(設定!$D$6:$D$21,MATCH($G92,設定!$B$6:$B$21,0))),""))</f>
        <v/>
      </c>
      <c r="I92" s="87">
        <f>IF($G92="","",IFERROR(IF(INDEX(設定!$E$6:$E$21,MATCH($G92,設定!$B$6:$B$21,0))=0,"",INDEX(設定!$E$6:$E$21,MATCH($G92,設定!$B$6:$B$21,0))),""))</f>
        <v/>
      </c>
      <c r="J92" s="87">
        <f>IFERROR(INDEX(打卡匯入!$C$3:$C$502,MATCH($C92&amp;"|"&amp;DAY($A92),打卡匯入!$E$3:$E$502,0)),"")</f>
        <v/>
      </c>
      <c r="K92" s="87">
        <f>IFERROR(INDEX(打卡匯入!$D$3:$D$502,MATCH($C92&amp;"|"&amp;DAY($A92),打卡匯入!$E$3:$E$502,0)),"")</f>
        <v/>
      </c>
      <c r="L92" s="88">
        <f>IF(OR($J92="",$K92=""),"",IFERROR(INDEX(設定!$F$6:$F$21,MATCH($G92,設定!$B$6:$B$21,0)),0))</f>
        <v/>
      </c>
      <c r="M92" s="89">
        <f>IF(OR($J92="",$K92=""),"",ROUND(($K92-$J92)*24-$L92/60,2))</f>
        <v/>
      </c>
      <c r="N92" s="16">
        <f>IF($C92="","",IF(AND(COUNTIF(設定!$B$15:$B$21,$G92)&gt;0,$J92&lt;&gt;""),"假日出勤",IF(AND(COUNTIF(設定!$B$6:$B$14,$G92)&gt;0,$J92=""),"未打卡",IF($J92="","",IF($O92&gt;0,"遲到",IF($P92&gt;0,"早退","正常"))))))</f>
        <v/>
      </c>
      <c r="O92" s="88">
        <f>IF(OR($C92="",$H92="",$J92=""),0,IF(ROUND(($J92-$H92)*1440,0)&gt;設定!$C$48,ROUND(($J92-$H92)*1440,0),0))</f>
        <v/>
      </c>
      <c r="P92" s="88">
        <f>IF(OR($C92="",$I92="",$K92=""),0,IF(ROUND(($I92-$K92)*1440,0)&gt;設定!$C$48,ROUND(($I92-$K92)*1440,0),0))</f>
        <v/>
      </c>
      <c r="Q92" s="89">
        <f>IF($M92="",0,IF(($M92-IFERROR(INDEX(設定!$G$6:$G$21,MATCH($G92,設定!$B$6:$B$21,0)),0))*60&gt;=設定!$C$46,ROUND(FLOOR(($M92-IFERROR(INDEX(設定!$G$6:$G$21,MATCH($G92,設定!$B$6:$B$21,0)),0))*60,設定!$C$47)/60,2),0))</f>
        <v/>
      </c>
      <c r="R92" s="16">
        <f>IF(OR($C92="",$Q92=0),"",IF($G92="國","國定假日",IF($B92="日","例假",IF($B92="六","休息日","平日"))))</f>
        <v/>
      </c>
      <c r="S92" s="18" t="n"/>
    </row>
    <row r="93">
      <c r="A93" s="86">
        <f>IF(OR(醫護長與管理部班表!$A7="",29&gt;DAY(EOMONTH(DATE(設定!$C$2,設定!$D$2,1),0))),"",DATE(設定!$C$2,設定!$D$2,29))</f>
        <v/>
      </c>
      <c r="B93" s="16">
        <f>IF($A93="","",INDEX(設定!$O$6:$O$12,WEEKDAY($A93,1)))</f>
        <v/>
      </c>
      <c r="C93" s="16">
        <f>IF($A93="","",醫護長與管理部班表!$A7)</f>
        <v/>
      </c>
      <c r="D93" s="16">
        <f>IF($C93="","",醫護長與管理部班表!$B7)</f>
        <v/>
      </c>
      <c r="E93" s="16">
        <f>IF($C93="","",醫護長與管理部班表!$D7)</f>
        <v/>
      </c>
      <c r="F93" s="16">
        <f>IF($C93="","",醫護長與管理部班表!$C7)</f>
        <v/>
      </c>
      <c r="G93" s="16">
        <f>IF($C93="","",醫護長與管理部班表!AG7)</f>
        <v/>
      </c>
      <c r="H93" s="87">
        <f>IF($G93="","",IFERROR(IF(INDEX(設定!$D$6:$D$21,MATCH($G93,設定!$B$6:$B$21,0))=0,"",INDEX(設定!$D$6:$D$21,MATCH($G93,設定!$B$6:$B$21,0))),""))</f>
        <v/>
      </c>
      <c r="I93" s="87">
        <f>IF($G93="","",IFERROR(IF(INDEX(設定!$E$6:$E$21,MATCH($G93,設定!$B$6:$B$21,0))=0,"",INDEX(設定!$E$6:$E$21,MATCH($G93,設定!$B$6:$B$21,0))),""))</f>
        <v/>
      </c>
      <c r="J93" s="87">
        <f>IFERROR(INDEX(打卡匯入!$C$3:$C$502,MATCH($C93&amp;"|"&amp;DAY($A93),打卡匯入!$E$3:$E$502,0)),"")</f>
        <v/>
      </c>
      <c r="K93" s="87">
        <f>IFERROR(INDEX(打卡匯入!$D$3:$D$502,MATCH($C93&amp;"|"&amp;DAY($A93),打卡匯入!$E$3:$E$502,0)),"")</f>
        <v/>
      </c>
      <c r="L93" s="88">
        <f>IF(OR($J93="",$K93=""),"",IFERROR(INDEX(設定!$F$6:$F$21,MATCH($G93,設定!$B$6:$B$21,0)),0))</f>
        <v/>
      </c>
      <c r="M93" s="89">
        <f>IF(OR($J93="",$K93=""),"",ROUND(($K93-$J93)*24-$L93/60,2))</f>
        <v/>
      </c>
      <c r="N93" s="16">
        <f>IF($C93="","",IF(AND(COUNTIF(設定!$B$15:$B$21,$G93)&gt;0,$J93&lt;&gt;""),"假日出勤",IF(AND(COUNTIF(設定!$B$6:$B$14,$G93)&gt;0,$J93=""),"未打卡",IF($J93="","",IF($O93&gt;0,"遲到",IF($P93&gt;0,"早退","正常"))))))</f>
        <v/>
      </c>
      <c r="O93" s="88">
        <f>IF(OR($C93="",$H93="",$J93=""),0,IF(ROUND(($J93-$H93)*1440,0)&gt;設定!$C$48,ROUND(($J93-$H93)*1440,0),0))</f>
        <v/>
      </c>
      <c r="P93" s="88">
        <f>IF(OR($C93="",$I93="",$K93=""),0,IF(ROUND(($I93-$K93)*1440,0)&gt;設定!$C$48,ROUND(($I93-$K93)*1440,0),0))</f>
        <v/>
      </c>
      <c r="Q93" s="89">
        <f>IF($M93="",0,IF(($M93-IFERROR(INDEX(設定!$G$6:$G$21,MATCH($G93,設定!$B$6:$B$21,0)),0))*60&gt;=設定!$C$46,ROUND(FLOOR(($M93-IFERROR(INDEX(設定!$G$6:$G$21,MATCH($G93,設定!$B$6:$B$21,0)),0))*60,設定!$C$47)/60,2),0))</f>
        <v/>
      </c>
      <c r="R93" s="16">
        <f>IF(OR($C93="",$Q93=0),"",IF($G93="國","國定假日",IF($B93="日","例假",IF($B93="六","休息日","平日"))))</f>
        <v/>
      </c>
      <c r="S93" s="18" t="n"/>
    </row>
    <row r="94">
      <c r="A94" s="86">
        <f>IF(OR(醫護長與管理部班表!$A7="",30&gt;DAY(EOMONTH(DATE(設定!$C$2,設定!$D$2,1),0))),"",DATE(設定!$C$2,設定!$D$2,30))</f>
        <v/>
      </c>
      <c r="B94" s="16">
        <f>IF($A94="","",INDEX(設定!$O$6:$O$12,WEEKDAY($A94,1)))</f>
        <v/>
      </c>
      <c r="C94" s="16">
        <f>IF($A94="","",醫護長與管理部班表!$A7)</f>
        <v/>
      </c>
      <c r="D94" s="16">
        <f>IF($C94="","",醫護長與管理部班表!$B7)</f>
        <v/>
      </c>
      <c r="E94" s="16">
        <f>IF($C94="","",醫護長與管理部班表!$D7)</f>
        <v/>
      </c>
      <c r="F94" s="16">
        <f>IF($C94="","",醫護長與管理部班表!$C7)</f>
        <v/>
      </c>
      <c r="G94" s="16">
        <f>IF($C94="","",醫護長與管理部班表!AH7)</f>
        <v/>
      </c>
      <c r="H94" s="87">
        <f>IF($G94="","",IFERROR(IF(INDEX(設定!$D$6:$D$21,MATCH($G94,設定!$B$6:$B$21,0))=0,"",INDEX(設定!$D$6:$D$21,MATCH($G94,設定!$B$6:$B$21,0))),""))</f>
        <v/>
      </c>
      <c r="I94" s="87">
        <f>IF($G94="","",IFERROR(IF(INDEX(設定!$E$6:$E$21,MATCH($G94,設定!$B$6:$B$21,0))=0,"",INDEX(設定!$E$6:$E$21,MATCH($G94,設定!$B$6:$B$21,0))),""))</f>
        <v/>
      </c>
      <c r="J94" s="87">
        <f>IFERROR(INDEX(打卡匯入!$C$3:$C$502,MATCH($C94&amp;"|"&amp;DAY($A94),打卡匯入!$E$3:$E$502,0)),"")</f>
        <v/>
      </c>
      <c r="K94" s="87">
        <f>IFERROR(INDEX(打卡匯入!$D$3:$D$502,MATCH($C94&amp;"|"&amp;DAY($A94),打卡匯入!$E$3:$E$502,0)),"")</f>
        <v/>
      </c>
      <c r="L94" s="88">
        <f>IF(OR($J94="",$K94=""),"",IFERROR(INDEX(設定!$F$6:$F$21,MATCH($G94,設定!$B$6:$B$21,0)),0))</f>
        <v/>
      </c>
      <c r="M94" s="89">
        <f>IF(OR($J94="",$K94=""),"",ROUND(($K94-$J94)*24-$L94/60,2))</f>
        <v/>
      </c>
      <c r="N94" s="16">
        <f>IF($C94="","",IF(AND(COUNTIF(設定!$B$15:$B$21,$G94)&gt;0,$J94&lt;&gt;""),"假日出勤",IF(AND(COUNTIF(設定!$B$6:$B$14,$G94)&gt;0,$J94=""),"未打卡",IF($J94="","",IF($O94&gt;0,"遲到",IF($P94&gt;0,"早退","正常"))))))</f>
        <v/>
      </c>
      <c r="O94" s="88">
        <f>IF(OR($C94="",$H94="",$J94=""),0,IF(ROUND(($J94-$H94)*1440,0)&gt;設定!$C$48,ROUND(($J94-$H94)*1440,0),0))</f>
        <v/>
      </c>
      <c r="P94" s="88">
        <f>IF(OR($C94="",$I94="",$K94=""),0,IF(ROUND(($I94-$K94)*1440,0)&gt;設定!$C$48,ROUND(($I94-$K94)*1440,0),0))</f>
        <v/>
      </c>
      <c r="Q94" s="89">
        <f>IF($M94="",0,IF(($M94-IFERROR(INDEX(設定!$G$6:$G$21,MATCH($G94,設定!$B$6:$B$21,0)),0))*60&gt;=設定!$C$46,ROUND(FLOOR(($M94-IFERROR(INDEX(設定!$G$6:$G$21,MATCH($G94,設定!$B$6:$B$21,0)),0))*60,設定!$C$47)/60,2),0))</f>
        <v/>
      </c>
      <c r="R94" s="16">
        <f>IF(OR($C94="",$Q94=0),"",IF($G94="國","國定假日",IF($B94="日","例假",IF($B94="六","休息日","平日"))))</f>
        <v/>
      </c>
      <c r="S94" s="18" t="n"/>
    </row>
    <row r="95">
      <c r="A95" s="86">
        <f>IF(OR(醫護長與管理部班表!$A7="",31&gt;DAY(EOMONTH(DATE(設定!$C$2,設定!$D$2,1),0))),"",DATE(設定!$C$2,設定!$D$2,31))</f>
        <v/>
      </c>
      <c r="B95" s="16">
        <f>IF($A95="","",INDEX(設定!$O$6:$O$12,WEEKDAY($A95,1)))</f>
        <v/>
      </c>
      <c r="C95" s="16">
        <f>IF($A95="","",醫護長與管理部班表!$A7)</f>
        <v/>
      </c>
      <c r="D95" s="16">
        <f>IF($C95="","",醫護長與管理部班表!$B7)</f>
        <v/>
      </c>
      <c r="E95" s="16">
        <f>IF($C95="","",醫護長與管理部班表!$D7)</f>
        <v/>
      </c>
      <c r="F95" s="16">
        <f>IF($C95="","",醫護長與管理部班表!$C7)</f>
        <v/>
      </c>
      <c r="G95" s="16">
        <f>IF($C95="","",醫護長與管理部班表!AI7)</f>
        <v/>
      </c>
      <c r="H95" s="87">
        <f>IF($G95="","",IFERROR(IF(INDEX(設定!$D$6:$D$21,MATCH($G95,設定!$B$6:$B$21,0))=0,"",INDEX(設定!$D$6:$D$21,MATCH($G95,設定!$B$6:$B$21,0))),""))</f>
        <v/>
      </c>
      <c r="I95" s="87">
        <f>IF($G95="","",IFERROR(IF(INDEX(設定!$E$6:$E$21,MATCH($G95,設定!$B$6:$B$21,0))=0,"",INDEX(設定!$E$6:$E$21,MATCH($G95,設定!$B$6:$B$21,0))),""))</f>
        <v/>
      </c>
      <c r="J95" s="87">
        <f>IFERROR(INDEX(打卡匯入!$C$3:$C$502,MATCH($C95&amp;"|"&amp;DAY($A95),打卡匯入!$E$3:$E$502,0)),"")</f>
        <v/>
      </c>
      <c r="K95" s="87">
        <f>IFERROR(INDEX(打卡匯入!$D$3:$D$502,MATCH($C95&amp;"|"&amp;DAY($A95),打卡匯入!$E$3:$E$502,0)),"")</f>
        <v/>
      </c>
      <c r="L95" s="88">
        <f>IF(OR($J95="",$K95=""),"",IFERROR(INDEX(設定!$F$6:$F$21,MATCH($G95,設定!$B$6:$B$21,0)),0))</f>
        <v/>
      </c>
      <c r="M95" s="89">
        <f>IF(OR($J95="",$K95=""),"",ROUND(($K95-$J95)*24-$L95/60,2))</f>
        <v/>
      </c>
      <c r="N95" s="16">
        <f>IF($C95="","",IF(AND(COUNTIF(設定!$B$15:$B$21,$G95)&gt;0,$J95&lt;&gt;""),"假日出勤",IF(AND(COUNTIF(設定!$B$6:$B$14,$G95)&gt;0,$J95=""),"未打卡",IF($J95="","",IF($O95&gt;0,"遲到",IF($P95&gt;0,"早退","正常"))))))</f>
        <v/>
      </c>
      <c r="O95" s="88">
        <f>IF(OR($C95="",$H95="",$J95=""),0,IF(ROUND(($J95-$H95)*1440,0)&gt;設定!$C$48,ROUND(($J95-$H95)*1440,0),0))</f>
        <v/>
      </c>
      <c r="P95" s="88">
        <f>IF(OR($C95="",$I95="",$K95=""),0,IF(ROUND(($I95-$K95)*1440,0)&gt;設定!$C$48,ROUND(($I95-$K95)*1440,0),0))</f>
        <v/>
      </c>
      <c r="Q95" s="89">
        <f>IF($M95="",0,IF(($M95-IFERROR(INDEX(設定!$G$6:$G$21,MATCH($G95,設定!$B$6:$B$21,0)),0))*60&gt;=設定!$C$46,ROUND(FLOOR(($M95-IFERROR(INDEX(設定!$G$6:$G$21,MATCH($G95,設定!$B$6:$B$21,0)),0))*60,設定!$C$47)/60,2),0))</f>
        <v/>
      </c>
      <c r="R95" s="16">
        <f>IF(OR($C95="",$Q95=0),"",IF($G95="國","國定假日",IF($B95="日","例假",IF($B95="六","休息日","平日"))))</f>
        <v/>
      </c>
      <c r="S95" s="18" t="n"/>
    </row>
    <row r="96">
      <c r="A96" s="86">
        <f>IF(OR(醫護長與管理部班表!$A8="",1&gt;DAY(EOMONTH(DATE(設定!$C$2,設定!$D$2,1),0))),"",DATE(設定!$C$2,設定!$D$2,1))</f>
        <v/>
      </c>
      <c r="B96" s="16">
        <f>IF($A96="","",INDEX(設定!$O$6:$O$12,WEEKDAY($A96,1)))</f>
        <v/>
      </c>
      <c r="C96" s="16">
        <f>IF($A96="","",醫護長與管理部班表!$A8)</f>
        <v/>
      </c>
      <c r="D96" s="16">
        <f>IF($C96="","",醫護長與管理部班表!$B8)</f>
        <v/>
      </c>
      <c r="E96" s="16">
        <f>IF($C96="","",醫護長與管理部班表!$D8)</f>
        <v/>
      </c>
      <c r="F96" s="16">
        <f>IF($C96="","",醫護長與管理部班表!$C8)</f>
        <v/>
      </c>
      <c r="G96" s="16">
        <f>IF($C96="","",醫護長與管理部班表!E8)</f>
        <v/>
      </c>
      <c r="H96" s="87">
        <f>IF($G96="","",IFERROR(IF(INDEX(設定!$D$6:$D$21,MATCH($G96,設定!$B$6:$B$21,0))=0,"",INDEX(設定!$D$6:$D$21,MATCH($G96,設定!$B$6:$B$21,0))),""))</f>
        <v/>
      </c>
      <c r="I96" s="87">
        <f>IF($G96="","",IFERROR(IF(INDEX(設定!$E$6:$E$21,MATCH($G96,設定!$B$6:$B$21,0))=0,"",INDEX(設定!$E$6:$E$21,MATCH($G96,設定!$B$6:$B$21,0))),""))</f>
        <v/>
      </c>
      <c r="J96" s="87">
        <f>IFERROR(INDEX(打卡匯入!$C$3:$C$502,MATCH($C96&amp;"|"&amp;DAY($A96),打卡匯入!$E$3:$E$502,0)),"")</f>
        <v/>
      </c>
      <c r="K96" s="87">
        <f>IFERROR(INDEX(打卡匯入!$D$3:$D$502,MATCH($C96&amp;"|"&amp;DAY($A96),打卡匯入!$E$3:$E$502,0)),"")</f>
        <v/>
      </c>
      <c r="L96" s="88">
        <f>IF(OR($J96="",$K96=""),"",IFERROR(INDEX(設定!$F$6:$F$21,MATCH($G96,設定!$B$6:$B$21,0)),0))</f>
        <v/>
      </c>
      <c r="M96" s="89">
        <f>IF(OR($J96="",$K96=""),"",ROUND(($K96-$J96)*24-$L96/60,2))</f>
        <v/>
      </c>
      <c r="N96" s="16">
        <f>IF($C96="","",IF(AND(COUNTIF(設定!$B$15:$B$21,$G96)&gt;0,$J96&lt;&gt;""),"假日出勤",IF(AND(COUNTIF(設定!$B$6:$B$14,$G96)&gt;0,$J96=""),"未打卡",IF($J96="","",IF($O96&gt;0,"遲到",IF($P96&gt;0,"早退","正常"))))))</f>
        <v/>
      </c>
      <c r="O96" s="88">
        <f>IF(OR($C96="",$H96="",$J96=""),0,IF(ROUND(($J96-$H96)*1440,0)&gt;設定!$C$48,ROUND(($J96-$H96)*1440,0),0))</f>
        <v/>
      </c>
      <c r="P96" s="88">
        <f>IF(OR($C96="",$I96="",$K96=""),0,IF(ROUND(($I96-$K96)*1440,0)&gt;設定!$C$48,ROUND(($I96-$K96)*1440,0),0))</f>
        <v/>
      </c>
      <c r="Q96" s="89">
        <f>IF($M96="",0,IF(($M96-IFERROR(INDEX(設定!$G$6:$G$21,MATCH($G96,設定!$B$6:$B$21,0)),0))*60&gt;=設定!$C$46,ROUND(FLOOR(($M96-IFERROR(INDEX(設定!$G$6:$G$21,MATCH($G96,設定!$B$6:$B$21,0)),0))*60,設定!$C$47)/60,2),0))</f>
        <v/>
      </c>
      <c r="R96" s="16">
        <f>IF(OR($C96="",$Q96=0),"",IF($G96="國","國定假日",IF($B96="日","例假",IF($B96="六","休息日","平日"))))</f>
        <v/>
      </c>
      <c r="S96" s="18" t="n"/>
    </row>
    <row r="97">
      <c r="A97" s="86">
        <f>IF(OR(醫護長與管理部班表!$A8="",2&gt;DAY(EOMONTH(DATE(設定!$C$2,設定!$D$2,1),0))),"",DATE(設定!$C$2,設定!$D$2,2))</f>
        <v/>
      </c>
      <c r="B97" s="16">
        <f>IF($A97="","",INDEX(設定!$O$6:$O$12,WEEKDAY($A97,1)))</f>
        <v/>
      </c>
      <c r="C97" s="16">
        <f>IF($A97="","",醫護長與管理部班表!$A8)</f>
        <v/>
      </c>
      <c r="D97" s="16">
        <f>IF($C97="","",醫護長與管理部班表!$B8)</f>
        <v/>
      </c>
      <c r="E97" s="16">
        <f>IF($C97="","",醫護長與管理部班表!$D8)</f>
        <v/>
      </c>
      <c r="F97" s="16">
        <f>IF($C97="","",醫護長與管理部班表!$C8)</f>
        <v/>
      </c>
      <c r="G97" s="16">
        <f>IF($C97="","",醫護長與管理部班表!F8)</f>
        <v/>
      </c>
      <c r="H97" s="87">
        <f>IF($G97="","",IFERROR(IF(INDEX(設定!$D$6:$D$21,MATCH($G97,設定!$B$6:$B$21,0))=0,"",INDEX(設定!$D$6:$D$21,MATCH($G97,設定!$B$6:$B$21,0))),""))</f>
        <v/>
      </c>
      <c r="I97" s="87">
        <f>IF($G97="","",IFERROR(IF(INDEX(設定!$E$6:$E$21,MATCH($G97,設定!$B$6:$B$21,0))=0,"",INDEX(設定!$E$6:$E$21,MATCH($G97,設定!$B$6:$B$21,0))),""))</f>
        <v/>
      </c>
      <c r="J97" s="87">
        <f>IFERROR(INDEX(打卡匯入!$C$3:$C$502,MATCH($C97&amp;"|"&amp;DAY($A97),打卡匯入!$E$3:$E$502,0)),"")</f>
        <v/>
      </c>
      <c r="K97" s="87">
        <f>IFERROR(INDEX(打卡匯入!$D$3:$D$502,MATCH($C97&amp;"|"&amp;DAY($A97),打卡匯入!$E$3:$E$502,0)),"")</f>
        <v/>
      </c>
      <c r="L97" s="88">
        <f>IF(OR($J97="",$K97=""),"",IFERROR(INDEX(設定!$F$6:$F$21,MATCH($G97,設定!$B$6:$B$21,0)),0))</f>
        <v/>
      </c>
      <c r="M97" s="89">
        <f>IF(OR($J97="",$K97=""),"",ROUND(($K97-$J97)*24-$L97/60,2))</f>
        <v/>
      </c>
      <c r="N97" s="16">
        <f>IF($C97="","",IF(AND(COUNTIF(設定!$B$15:$B$21,$G97)&gt;0,$J97&lt;&gt;""),"假日出勤",IF(AND(COUNTIF(設定!$B$6:$B$14,$G97)&gt;0,$J97=""),"未打卡",IF($J97="","",IF($O97&gt;0,"遲到",IF($P97&gt;0,"早退","正常"))))))</f>
        <v/>
      </c>
      <c r="O97" s="88">
        <f>IF(OR($C97="",$H97="",$J97=""),0,IF(ROUND(($J97-$H97)*1440,0)&gt;設定!$C$48,ROUND(($J97-$H97)*1440,0),0))</f>
        <v/>
      </c>
      <c r="P97" s="88">
        <f>IF(OR($C97="",$I97="",$K97=""),0,IF(ROUND(($I97-$K97)*1440,0)&gt;設定!$C$48,ROUND(($I97-$K97)*1440,0),0))</f>
        <v/>
      </c>
      <c r="Q97" s="89">
        <f>IF($M97="",0,IF(($M97-IFERROR(INDEX(設定!$G$6:$G$21,MATCH($G97,設定!$B$6:$B$21,0)),0))*60&gt;=設定!$C$46,ROUND(FLOOR(($M97-IFERROR(INDEX(設定!$G$6:$G$21,MATCH($G97,設定!$B$6:$B$21,0)),0))*60,設定!$C$47)/60,2),0))</f>
        <v/>
      </c>
      <c r="R97" s="16">
        <f>IF(OR($C97="",$Q97=0),"",IF($G97="國","國定假日",IF($B97="日","例假",IF($B97="六","休息日","平日"))))</f>
        <v/>
      </c>
      <c r="S97" s="18" t="n"/>
    </row>
    <row r="98">
      <c r="A98" s="86">
        <f>IF(OR(醫護長與管理部班表!$A8="",3&gt;DAY(EOMONTH(DATE(設定!$C$2,設定!$D$2,1),0))),"",DATE(設定!$C$2,設定!$D$2,3))</f>
        <v/>
      </c>
      <c r="B98" s="16">
        <f>IF($A98="","",INDEX(設定!$O$6:$O$12,WEEKDAY($A98,1)))</f>
        <v/>
      </c>
      <c r="C98" s="16">
        <f>IF($A98="","",醫護長與管理部班表!$A8)</f>
        <v/>
      </c>
      <c r="D98" s="16">
        <f>IF($C98="","",醫護長與管理部班表!$B8)</f>
        <v/>
      </c>
      <c r="E98" s="16">
        <f>IF($C98="","",醫護長與管理部班表!$D8)</f>
        <v/>
      </c>
      <c r="F98" s="16">
        <f>IF($C98="","",醫護長與管理部班表!$C8)</f>
        <v/>
      </c>
      <c r="G98" s="16">
        <f>IF($C98="","",醫護長與管理部班表!G8)</f>
        <v/>
      </c>
      <c r="H98" s="87">
        <f>IF($G98="","",IFERROR(IF(INDEX(設定!$D$6:$D$21,MATCH($G98,設定!$B$6:$B$21,0))=0,"",INDEX(設定!$D$6:$D$21,MATCH($G98,設定!$B$6:$B$21,0))),""))</f>
        <v/>
      </c>
      <c r="I98" s="87">
        <f>IF($G98="","",IFERROR(IF(INDEX(設定!$E$6:$E$21,MATCH($G98,設定!$B$6:$B$21,0))=0,"",INDEX(設定!$E$6:$E$21,MATCH($G98,設定!$B$6:$B$21,0))),""))</f>
        <v/>
      </c>
      <c r="J98" s="87">
        <f>IFERROR(INDEX(打卡匯入!$C$3:$C$502,MATCH($C98&amp;"|"&amp;DAY($A98),打卡匯入!$E$3:$E$502,0)),"")</f>
        <v/>
      </c>
      <c r="K98" s="87">
        <f>IFERROR(INDEX(打卡匯入!$D$3:$D$502,MATCH($C98&amp;"|"&amp;DAY($A98),打卡匯入!$E$3:$E$502,0)),"")</f>
        <v/>
      </c>
      <c r="L98" s="88">
        <f>IF(OR($J98="",$K98=""),"",IFERROR(INDEX(設定!$F$6:$F$21,MATCH($G98,設定!$B$6:$B$21,0)),0))</f>
        <v/>
      </c>
      <c r="M98" s="89">
        <f>IF(OR($J98="",$K98=""),"",ROUND(($K98-$J98)*24-$L98/60,2))</f>
        <v/>
      </c>
      <c r="N98" s="16">
        <f>IF($C98="","",IF(AND(COUNTIF(設定!$B$15:$B$21,$G98)&gt;0,$J98&lt;&gt;""),"假日出勤",IF(AND(COUNTIF(設定!$B$6:$B$14,$G98)&gt;0,$J98=""),"未打卡",IF($J98="","",IF($O98&gt;0,"遲到",IF($P98&gt;0,"早退","正常"))))))</f>
        <v/>
      </c>
      <c r="O98" s="88">
        <f>IF(OR($C98="",$H98="",$J98=""),0,IF(ROUND(($J98-$H98)*1440,0)&gt;設定!$C$48,ROUND(($J98-$H98)*1440,0),0))</f>
        <v/>
      </c>
      <c r="P98" s="88">
        <f>IF(OR($C98="",$I98="",$K98=""),0,IF(ROUND(($I98-$K98)*1440,0)&gt;設定!$C$48,ROUND(($I98-$K98)*1440,0),0))</f>
        <v/>
      </c>
      <c r="Q98" s="89">
        <f>IF($M98="",0,IF(($M98-IFERROR(INDEX(設定!$G$6:$G$21,MATCH($G98,設定!$B$6:$B$21,0)),0))*60&gt;=設定!$C$46,ROUND(FLOOR(($M98-IFERROR(INDEX(設定!$G$6:$G$21,MATCH($G98,設定!$B$6:$B$21,0)),0))*60,設定!$C$47)/60,2),0))</f>
        <v/>
      </c>
      <c r="R98" s="16">
        <f>IF(OR($C98="",$Q98=0),"",IF($G98="國","國定假日",IF($B98="日","例假",IF($B98="六","休息日","平日"))))</f>
        <v/>
      </c>
      <c r="S98" s="18" t="n"/>
    </row>
    <row r="99">
      <c r="A99" s="86">
        <f>IF(OR(醫護長與管理部班表!$A8="",4&gt;DAY(EOMONTH(DATE(設定!$C$2,設定!$D$2,1),0))),"",DATE(設定!$C$2,設定!$D$2,4))</f>
        <v/>
      </c>
      <c r="B99" s="16">
        <f>IF($A99="","",INDEX(設定!$O$6:$O$12,WEEKDAY($A99,1)))</f>
        <v/>
      </c>
      <c r="C99" s="16">
        <f>IF($A99="","",醫護長與管理部班表!$A8)</f>
        <v/>
      </c>
      <c r="D99" s="16">
        <f>IF($C99="","",醫護長與管理部班表!$B8)</f>
        <v/>
      </c>
      <c r="E99" s="16">
        <f>IF($C99="","",醫護長與管理部班表!$D8)</f>
        <v/>
      </c>
      <c r="F99" s="16">
        <f>IF($C99="","",醫護長與管理部班表!$C8)</f>
        <v/>
      </c>
      <c r="G99" s="16">
        <f>IF($C99="","",醫護長與管理部班表!H8)</f>
        <v/>
      </c>
      <c r="H99" s="87">
        <f>IF($G99="","",IFERROR(IF(INDEX(設定!$D$6:$D$21,MATCH($G99,設定!$B$6:$B$21,0))=0,"",INDEX(設定!$D$6:$D$21,MATCH($G99,設定!$B$6:$B$21,0))),""))</f>
        <v/>
      </c>
      <c r="I99" s="87">
        <f>IF($G99="","",IFERROR(IF(INDEX(設定!$E$6:$E$21,MATCH($G99,設定!$B$6:$B$21,0))=0,"",INDEX(設定!$E$6:$E$21,MATCH($G99,設定!$B$6:$B$21,0))),""))</f>
        <v/>
      </c>
      <c r="J99" s="87">
        <f>IFERROR(INDEX(打卡匯入!$C$3:$C$502,MATCH($C99&amp;"|"&amp;DAY($A99),打卡匯入!$E$3:$E$502,0)),"")</f>
        <v/>
      </c>
      <c r="K99" s="87">
        <f>IFERROR(INDEX(打卡匯入!$D$3:$D$502,MATCH($C99&amp;"|"&amp;DAY($A99),打卡匯入!$E$3:$E$502,0)),"")</f>
        <v/>
      </c>
      <c r="L99" s="88">
        <f>IF(OR($J99="",$K99=""),"",IFERROR(INDEX(設定!$F$6:$F$21,MATCH($G99,設定!$B$6:$B$21,0)),0))</f>
        <v/>
      </c>
      <c r="M99" s="89">
        <f>IF(OR($J99="",$K99=""),"",ROUND(($K99-$J99)*24-$L99/60,2))</f>
        <v/>
      </c>
      <c r="N99" s="16">
        <f>IF($C99="","",IF(AND(COUNTIF(設定!$B$15:$B$21,$G99)&gt;0,$J99&lt;&gt;""),"假日出勤",IF(AND(COUNTIF(設定!$B$6:$B$14,$G99)&gt;0,$J99=""),"未打卡",IF($J99="","",IF($O99&gt;0,"遲到",IF($P99&gt;0,"早退","正常"))))))</f>
        <v/>
      </c>
      <c r="O99" s="88">
        <f>IF(OR($C99="",$H99="",$J99=""),0,IF(ROUND(($J99-$H99)*1440,0)&gt;設定!$C$48,ROUND(($J99-$H99)*1440,0),0))</f>
        <v/>
      </c>
      <c r="P99" s="88">
        <f>IF(OR($C99="",$I99="",$K99=""),0,IF(ROUND(($I99-$K99)*1440,0)&gt;設定!$C$48,ROUND(($I99-$K99)*1440,0),0))</f>
        <v/>
      </c>
      <c r="Q99" s="89">
        <f>IF($M99="",0,IF(($M99-IFERROR(INDEX(設定!$G$6:$G$21,MATCH($G99,設定!$B$6:$B$21,0)),0))*60&gt;=設定!$C$46,ROUND(FLOOR(($M99-IFERROR(INDEX(設定!$G$6:$G$21,MATCH($G99,設定!$B$6:$B$21,0)),0))*60,設定!$C$47)/60,2),0))</f>
        <v/>
      </c>
      <c r="R99" s="16">
        <f>IF(OR($C99="",$Q99=0),"",IF($G99="國","國定假日",IF($B99="日","例假",IF($B99="六","休息日","平日"))))</f>
        <v/>
      </c>
      <c r="S99" s="18" t="n"/>
    </row>
    <row r="100">
      <c r="A100" s="86">
        <f>IF(OR(醫護長與管理部班表!$A8="",5&gt;DAY(EOMONTH(DATE(設定!$C$2,設定!$D$2,1),0))),"",DATE(設定!$C$2,設定!$D$2,5))</f>
        <v/>
      </c>
      <c r="B100" s="16">
        <f>IF($A100="","",INDEX(設定!$O$6:$O$12,WEEKDAY($A100,1)))</f>
        <v/>
      </c>
      <c r="C100" s="16">
        <f>IF($A100="","",醫護長與管理部班表!$A8)</f>
        <v/>
      </c>
      <c r="D100" s="16">
        <f>IF($C100="","",醫護長與管理部班表!$B8)</f>
        <v/>
      </c>
      <c r="E100" s="16">
        <f>IF($C100="","",醫護長與管理部班表!$D8)</f>
        <v/>
      </c>
      <c r="F100" s="16">
        <f>IF($C100="","",醫護長與管理部班表!$C8)</f>
        <v/>
      </c>
      <c r="G100" s="16">
        <f>IF($C100="","",醫護長與管理部班表!I8)</f>
        <v/>
      </c>
      <c r="H100" s="87">
        <f>IF($G100="","",IFERROR(IF(INDEX(設定!$D$6:$D$21,MATCH($G100,設定!$B$6:$B$21,0))=0,"",INDEX(設定!$D$6:$D$21,MATCH($G100,設定!$B$6:$B$21,0))),""))</f>
        <v/>
      </c>
      <c r="I100" s="87">
        <f>IF($G100="","",IFERROR(IF(INDEX(設定!$E$6:$E$21,MATCH($G100,設定!$B$6:$B$21,0))=0,"",INDEX(設定!$E$6:$E$21,MATCH($G100,設定!$B$6:$B$21,0))),""))</f>
        <v/>
      </c>
      <c r="J100" s="87">
        <f>IFERROR(INDEX(打卡匯入!$C$3:$C$502,MATCH($C100&amp;"|"&amp;DAY($A100),打卡匯入!$E$3:$E$502,0)),"")</f>
        <v/>
      </c>
      <c r="K100" s="87">
        <f>IFERROR(INDEX(打卡匯入!$D$3:$D$502,MATCH($C100&amp;"|"&amp;DAY($A100),打卡匯入!$E$3:$E$502,0)),"")</f>
        <v/>
      </c>
      <c r="L100" s="88">
        <f>IF(OR($J100="",$K100=""),"",IFERROR(INDEX(設定!$F$6:$F$21,MATCH($G100,設定!$B$6:$B$21,0)),0))</f>
        <v/>
      </c>
      <c r="M100" s="89">
        <f>IF(OR($J100="",$K100=""),"",ROUND(($K100-$J100)*24-$L100/60,2))</f>
        <v/>
      </c>
      <c r="N100" s="16">
        <f>IF($C100="","",IF(AND(COUNTIF(設定!$B$15:$B$21,$G100)&gt;0,$J100&lt;&gt;""),"假日出勤",IF(AND(COUNTIF(設定!$B$6:$B$14,$G100)&gt;0,$J100=""),"未打卡",IF($J100="","",IF($O100&gt;0,"遲到",IF($P100&gt;0,"早退","正常"))))))</f>
        <v/>
      </c>
      <c r="O100" s="88">
        <f>IF(OR($C100="",$H100="",$J100=""),0,IF(ROUND(($J100-$H100)*1440,0)&gt;設定!$C$48,ROUND(($J100-$H100)*1440,0),0))</f>
        <v/>
      </c>
      <c r="P100" s="88">
        <f>IF(OR($C100="",$I100="",$K100=""),0,IF(ROUND(($I100-$K100)*1440,0)&gt;設定!$C$48,ROUND(($I100-$K100)*1440,0),0))</f>
        <v/>
      </c>
      <c r="Q100" s="89">
        <f>IF($M100="",0,IF(($M100-IFERROR(INDEX(設定!$G$6:$G$21,MATCH($G100,設定!$B$6:$B$21,0)),0))*60&gt;=設定!$C$46,ROUND(FLOOR(($M100-IFERROR(INDEX(設定!$G$6:$G$21,MATCH($G100,設定!$B$6:$B$21,0)),0))*60,設定!$C$47)/60,2),0))</f>
        <v/>
      </c>
      <c r="R100" s="16">
        <f>IF(OR($C100="",$Q100=0),"",IF($G100="國","國定假日",IF($B100="日","例假",IF($B100="六","休息日","平日"))))</f>
        <v/>
      </c>
      <c r="S100" s="18" t="n"/>
    </row>
    <row r="101">
      <c r="A101" s="86">
        <f>IF(OR(醫護長與管理部班表!$A8="",6&gt;DAY(EOMONTH(DATE(設定!$C$2,設定!$D$2,1),0))),"",DATE(設定!$C$2,設定!$D$2,6))</f>
        <v/>
      </c>
      <c r="B101" s="16">
        <f>IF($A101="","",INDEX(設定!$O$6:$O$12,WEEKDAY($A101,1)))</f>
        <v/>
      </c>
      <c r="C101" s="16">
        <f>IF($A101="","",醫護長與管理部班表!$A8)</f>
        <v/>
      </c>
      <c r="D101" s="16">
        <f>IF($C101="","",醫護長與管理部班表!$B8)</f>
        <v/>
      </c>
      <c r="E101" s="16">
        <f>IF($C101="","",醫護長與管理部班表!$D8)</f>
        <v/>
      </c>
      <c r="F101" s="16">
        <f>IF($C101="","",醫護長與管理部班表!$C8)</f>
        <v/>
      </c>
      <c r="G101" s="16">
        <f>IF($C101="","",醫護長與管理部班表!J8)</f>
        <v/>
      </c>
      <c r="H101" s="87">
        <f>IF($G101="","",IFERROR(IF(INDEX(設定!$D$6:$D$21,MATCH($G101,設定!$B$6:$B$21,0))=0,"",INDEX(設定!$D$6:$D$21,MATCH($G101,設定!$B$6:$B$21,0))),""))</f>
        <v/>
      </c>
      <c r="I101" s="87">
        <f>IF($G101="","",IFERROR(IF(INDEX(設定!$E$6:$E$21,MATCH($G101,設定!$B$6:$B$21,0))=0,"",INDEX(設定!$E$6:$E$21,MATCH($G101,設定!$B$6:$B$21,0))),""))</f>
        <v/>
      </c>
      <c r="J101" s="87">
        <f>IFERROR(INDEX(打卡匯入!$C$3:$C$502,MATCH($C101&amp;"|"&amp;DAY($A101),打卡匯入!$E$3:$E$502,0)),"")</f>
        <v/>
      </c>
      <c r="K101" s="87">
        <f>IFERROR(INDEX(打卡匯入!$D$3:$D$502,MATCH($C101&amp;"|"&amp;DAY($A101),打卡匯入!$E$3:$E$502,0)),"")</f>
        <v/>
      </c>
      <c r="L101" s="88">
        <f>IF(OR($J101="",$K101=""),"",IFERROR(INDEX(設定!$F$6:$F$21,MATCH($G101,設定!$B$6:$B$21,0)),0))</f>
        <v/>
      </c>
      <c r="M101" s="89">
        <f>IF(OR($J101="",$K101=""),"",ROUND(($K101-$J101)*24-$L101/60,2))</f>
        <v/>
      </c>
      <c r="N101" s="16">
        <f>IF($C101="","",IF(AND(COUNTIF(設定!$B$15:$B$21,$G101)&gt;0,$J101&lt;&gt;""),"假日出勤",IF(AND(COUNTIF(設定!$B$6:$B$14,$G101)&gt;0,$J101=""),"未打卡",IF($J101="","",IF($O101&gt;0,"遲到",IF($P101&gt;0,"早退","正常"))))))</f>
        <v/>
      </c>
      <c r="O101" s="88">
        <f>IF(OR($C101="",$H101="",$J101=""),0,IF(ROUND(($J101-$H101)*1440,0)&gt;設定!$C$48,ROUND(($J101-$H101)*1440,0),0))</f>
        <v/>
      </c>
      <c r="P101" s="88">
        <f>IF(OR($C101="",$I101="",$K101=""),0,IF(ROUND(($I101-$K101)*1440,0)&gt;設定!$C$48,ROUND(($I101-$K101)*1440,0),0))</f>
        <v/>
      </c>
      <c r="Q101" s="89">
        <f>IF($M101="",0,IF(($M101-IFERROR(INDEX(設定!$G$6:$G$21,MATCH($G101,設定!$B$6:$B$21,0)),0))*60&gt;=設定!$C$46,ROUND(FLOOR(($M101-IFERROR(INDEX(設定!$G$6:$G$21,MATCH($G101,設定!$B$6:$B$21,0)),0))*60,設定!$C$47)/60,2),0))</f>
        <v/>
      </c>
      <c r="R101" s="16">
        <f>IF(OR($C101="",$Q101=0),"",IF($G101="國","國定假日",IF($B101="日","例假",IF($B101="六","休息日","平日"))))</f>
        <v/>
      </c>
      <c r="S101" s="18" t="n"/>
    </row>
    <row r="102">
      <c r="A102" s="86">
        <f>IF(OR(醫護長與管理部班表!$A8="",7&gt;DAY(EOMONTH(DATE(設定!$C$2,設定!$D$2,1),0))),"",DATE(設定!$C$2,設定!$D$2,7))</f>
        <v/>
      </c>
      <c r="B102" s="16">
        <f>IF($A102="","",INDEX(設定!$O$6:$O$12,WEEKDAY($A102,1)))</f>
        <v/>
      </c>
      <c r="C102" s="16">
        <f>IF($A102="","",醫護長與管理部班表!$A8)</f>
        <v/>
      </c>
      <c r="D102" s="16">
        <f>IF($C102="","",醫護長與管理部班表!$B8)</f>
        <v/>
      </c>
      <c r="E102" s="16">
        <f>IF($C102="","",醫護長與管理部班表!$D8)</f>
        <v/>
      </c>
      <c r="F102" s="16">
        <f>IF($C102="","",醫護長與管理部班表!$C8)</f>
        <v/>
      </c>
      <c r="G102" s="16">
        <f>IF($C102="","",醫護長與管理部班表!K8)</f>
        <v/>
      </c>
      <c r="H102" s="87">
        <f>IF($G102="","",IFERROR(IF(INDEX(設定!$D$6:$D$21,MATCH($G102,設定!$B$6:$B$21,0))=0,"",INDEX(設定!$D$6:$D$21,MATCH($G102,設定!$B$6:$B$21,0))),""))</f>
        <v/>
      </c>
      <c r="I102" s="87">
        <f>IF($G102="","",IFERROR(IF(INDEX(設定!$E$6:$E$21,MATCH($G102,設定!$B$6:$B$21,0))=0,"",INDEX(設定!$E$6:$E$21,MATCH($G102,設定!$B$6:$B$21,0))),""))</f>
        <v/>
      </c>
      <c r="J102" s="87">
        <f>IFERROR(INDEX(打卡匯入!$C$3:$C$502,MATCH($C102&amp;"|"&amp;DAY($A102),打卡匯入!$E$3:$E$502,0)),"")</f>
        <v/>
      </c>
      <c r="K102" s="87">
        <f>IFERROR(INDEX(打卡匯入!$D$3:$D$502,MATCH($C102&amp;"|"&amp;DAY($A102),打卡匯入!$E$3:$E$502,0)),"")</f>
        <v/>
      </c>
      <c r="L102" s="88">
        <f>IF(OR($J102="",$K102=""),"",IFERROR(INDEX(設定!$F$6:$F$21,MATCH($G102,設定!$B$6:$B$21,0)),0))</f>
        <v/>
      </c>
      <c r="M102" s="89">
        <f>IF(OR($J102="",$K102=""),"",ROUND(($K102-$J102)*24-$L102/60,2))</f>
        <v/>
      </c>
      <c r="N102" s="16">
        <f>IF($C102="","",IF(AND(COUNTIF(設定!$B$15:$B$21,$G102)&gt;0,$J102&lt;&gt;""),"假日出勤",IF(AND(COUNTIF(設定!$B$6:$B$14,$G102)&gt;0,$J102=""),"未打卡",IF($J102="","",IF($O102&gt;0,"遲到",IF($P102&gt;0,"早退","正常"))))))</f>
        <v/>
      </c>
      <c r="O102" s="88">
        <f>IF(OR($C102="",$H102="",$J102=""),0,IF(ROUND(($J102-$H102)*1440,0)&gt;設定!$C$48,ROUND(($J102-$H102)*1440,0),0))</f>
        <v/>
      </c>
      <c r="P102" s="88">
        <f>IF(OR($C102="",$I102="",$K102=""),0,IF(ROUND(($I102-$K102)*1440,0)&gt;設定!$C$48,ROUND(($I102-$K102)*1440,0),0))</f>
        <v/>
      </c>
      <c r="Q102" s="89">
        <f>IF($M102="",0,IF(($M102-IFERROR(INDEX(設定!$G$6:$G$21,MATCH($G102,設定!$B$6:$B$21,0)),0))*60&gt;=設定!$C$46,ROUND(FLOOR(($M102-IFERROR(INDEX(設定!$G$6:$G$21,MATCH($G102,設定!$B$6:$B$21,0)),0))*60,設定!$C$47)/60,2),0))</f>
        <v/>
      </c>
      <c r="R102" s="16">
        <f>IF(OR($C102="",$Q102=0),"",IF($G102="國","國定假日",IF($B102="日","例假",IF($B102="六","休息日","平日"))))</f>
        <v/>
      </c>
      <c r="S102" s="18" t="n"/>
    </row>
    <row r="103">
      <c r="A103" s="86">
        <f>IF(OR(醫護長與管理部班表!$A8="",8&gt;DAY(EOMONTH(DATE(設定!$C$2,設定!$D$2,1),0))),"",DATE(設定!$C$2,設定!$D$2,8))</f>
        <v/>
      </c>
      <c r="B103" s="16">
        <f>IF($A103="","",INDEX(設定!$O$6:$O$12,WEEKDAY($A103,1)))</f>
        <v/>
      </c>
      <c r="C103" s="16">
        <f>IF($A103="","",醫護長與管理部班表!$A8)</f>
        <v/>
      </c>
      <c r="D103" s="16">
        <f>IF($C103="","",醫護長與管理部班表!$B8)</f>
        <v/>
      </c>
      <c r="E103" s="16">
        <f>IF($C103="","",醫護長與管理部班表!$D8)</f>
        <v/>
      </c>
      <c r="F103" s="16">
        <f>IF($C103="","",醫護長與管理部班表!$C8)</f>
        <v/>
      </c>
      <c r="G103" s="16">
        <f>IF($C103="","",醫護長與管理部班表!L8)</f>
        <v/>
      </c>
      <c r="H103" s="87">
        <f>IF($G103="","",IFERROR(IF(INDEX(設定!$D$6:$D$21,MATCH($G103,設定!$B$6:$B$21,0))=0,"",INDEX(設定!$D$6:$D$21,MATCH($G103,設定!$B$6:$B$21,0))),""))</f>
        <v/>
      </c>
      <c r="I103" s="87">
        <f>IF($G103="","",IFERROR(IF(INDEX(設定!$E$6:$E$21,MATCH($G103,設定!$B$6:$B$21,0))=0,"",INDEX(設定!$E$6:$E$21,MATCH($G103,設定!$B$6:$B$21,0))),""))</f>
        <v/>
      </c>
      <c r="J103" s="87">
        <f>IFERROR(INDEX(打卡匯入!$C$3:$C$502,MATCH($C103&amp;"|"&amp;DAY($A103),打卡匯入!$E$3:$E$502,0)),"")</f>
        <v/>
      </c>
      <c r="K103" s="87">
        <f>IFERROR(INDEX(打卡匯入!$D$3:$D$502,MATCH($C103&amp;"|"&amp;DAY($A103),打卡匯入!$E$3:$E$502,0)),"")</f>
        <v/>
      </c>
      <c r="L103" s="88">
        <f>IF(OR($J103="",$K103=""),"",IFERROR(INDEX(設定!$F$6:$F$21,MATCH($G103,設定!$B$6:$B$21,0)),0))</f>
        <v/>
      </c>
      <c r="M103" s="89">
        <f>IF(OR($J103="",$K103=""),"",ROUND(($K103-$J103)*24-$L103/60,2))</f>
        <v/>
      </c>
      <c r="N103" s="16">
        <f>IF($C103="","",IF(AND(COUNTIF(設定!$B$15:$B$21,$G103)&gt;0,$J103&lt;&gt;""),"假日出勤",IF(AND(COUNTIF(設定!$B$6:$B$14,$G103)&gt;0,$J103=""),"未打卡",IF($J103="","",IF($O103&gt;0,"遲到",IF($P103&gt;0,"早退","正常"))))))</f>
        <v/>
      </c>
      <c r="O103" s="88">
        <f>IF(OR($C103="",$H103="",$J103=""),0,IF(ROUND(($J103-$H103)*1440,0)&gt;設定!$C$48,ROUND(($J103-$H103)*1440,0),0))</f>
        <v/>
      </c>
      <c r="P103" s="88">
        <f>IF(OR($C103="",$I103="",$K103=""),0,IF(ROUND(($I103-$K103)*1440,0)&gt;設定!$C$48,ROUND(($I103-$K103)*1440,0),0))</f>
        <v/>
      </c>
      <c r="Q103" s="89">
        <f>IF($M103="",0,IF(($M103-IFERROR(INDEX(設定!$G$6:$G$21,MATCH($G103,設定!$B$6:$B$21,0)),0))*60&gt;=設定!$C$46,ROUND(FLOOR(($M103-IFERROR(INDEX(設定!$G$6:$G$21,MATCH($G103,設定!$B$6:$B$21,0)),0))*60,設定!$C$47)/60,2),0))</f>
        <v/>
      </c>
      <c r="R103" s="16">
        <f>IF(OR($C103="",$Q103=0),"",IF($G103="國","國定假日",IF($B103="日","例假",IF($B103="六","休息日","平日"))))</f>
        <v/>
      </c>
      <c r="S103" s="18" t="n"/>
    </row>
    <row r="104">
      <c r="A104" s="86">
        <f>IF(OR(醫護長與管理部班表!$A8="",9&gt;DAY(EOMONTH(DATE(設定!$C$2,設定!$D$2,1),0))),"",DATE(設定!$C$2,設定!$D$2,9))</f>
        <v/>
      </c>
      <c r="B104" s="16">
        <f>IF($A104="","",INDEX(設定!$O$6:$O$12,WEEKDAY($A104,1)))</f>
        <v/>
      </c>
      <c r="C104" s="16">
        <f>IF($A104="","",醫護長與管理部班表!$A8)</f>
        <v/>
      </c>
      <c r="D104" s="16">
        <f>IF($C104="","",醫護長與管理部班表!$B8)</f>
        <v/>
      </c>
      <c r="E104" s="16">
        <f>IF($C104="","",醫護長與管理部班表!$D8)</f>
        <v/>
      </c>
      <c r="F104" s="16">
        <f>IF($C104="","",醫護長與管理部班表!$C8)</f>
        <v/>
      </c>
      <c r="G104" s="16">
        <f>IF($C104="","",醫護長與管理部班表!M8)</f>
        <v/>
      </c>
      <c r="H104" s="87">
        <f>IF($G104="","",IFERROR(IF(INDEX(設定!$D$6:$D$21,MATCH($G104,設定!$B$6:$B$21,0))=0,"",INDEX(設定!$D$6:$D$21,MATCH($G104,設定!$B$6:$B$21,0))),""))</f>
        <v/>
      </c>
      <c r="I104" s="87">
        <f>IF($G104="","",IFERROR(IF(INDEX(設定!$E$6:$E$21,MATCH($G104,設定!$B$6:$B$21,0))=0,"",INDEX(設定!$E$6:$E$21,MATCH($G104,設定!$B$6:$B$21,0))),""))</f>
        <v/>
      </c>
      <c r="J104" s="87">
        <f>IFERROR(INDEX(打卡匯入!$C$3:$C$502,MATCH($C104&amp;"|"&amp;DAY($A104),打卡匯入!$E$3:$E$502,0)),"")</f>
        <v/>
      </c>
      <c r="K104" s="87">
        <f>IFERROR(INDEX(打卡匯入!$D$3:$D$502,MATCH($C104&amp;"|"&amp;DAY($A104),打卡匯入!$E$3:$E$502,0)),"")</f>
        <v/>
      </c>
      <c r="L104" s="88">
        <f>IF(OR($J104="",$K104=""),"",IFERROR(INDEX(設定!$F$6:$F$21,MATCH($G104,設定!$B$6:$B$21,0)),0))</f>
        <v/>
      </c>
      <c r="M104" s="89">
        <f>IF(OR($J104="",$K104=""),"",ROUND(($K104-$J104)*24-$L104/60,2))</f>
        <v/>
      </c>
      <c r="N104" s="16">
        <f>IF($C104="","",IF(AND(COUNTIF(設定!$B$15:$B$21,$G104)&gt;0,$J104&lt;&gt;""),"假日出勤",IF(AND(COUNTIF(設定!$B$6:$B$14,$G104)&gt;0,$J104=""),"未打卡",IF($J104="","",IF($O104&gt;0,"遲到",IF($P104&gt;0,"早退","正常"))))))</f>
        <v/>
      </c>
      <c r="O104" s="88">
        <f>IF(OR($C104="",$H104="",$J104=""),0,IF(ROUND(($J104-$H104)*1440,0)&gt;設定!$C$48,ROUND(($J104-$H104)*1440,0),0))</f>
        <v/>
      </c>
      <c r="P104" s="88">
        <f>IF(OR($C104="",$I104="",$K104=""),0,IF(ROUND(($I104-$K104)*1440,0)&gt;設定!$C$48,ROUND(($I104-$K104)*1440,0),0))</f>
        <v/>
      </c>
      <c r="Q104" s="89">
        <f>IF($M104="",0,IF(($M104-IFERROR(INDEX(設定!$G$6:$G$21,MATCH($G104,設定!$B$6:$B$21,0)),0))*60&gt;=設定!$C$46,ROUND(FLOOR(($M104-IFERROR(INDEX(設定!$G$6:$G$21,MATCH($G104,設定!$B$6:$B$21,0)),0))*60,設定!$C$47)/60,2),0))</f>
        <v/>
      </c>
      <c r="R104" s="16">
        <f>IF(OR($C104="",$Q104=0),"",IF($G104="國","國定假日",IF($B104="日","例假",IF($B104="六","休息日","平日"))))</f>
        <v/>
      </c>
      <c r="S104" s="18" t="n"/>
    </row>
    <row r="105">
      <c r="A105" s="86">
        <f>IF(OR(醫護長與管理部班表!$A8="",10&gt;DAY(EOMONTH(DATE(設定!$C$2,設定!$D$2,1),0))),"",DATE(設定!$C$2,設定!$D$2,10))</f>
        <v/>
      </c>
      <c r="B105" s="16">
        <f>IF($A105="","",INDEX(設定!$O$6:$O$12,WEEKDAY($A105,1)))</f>
        <v/>
      </c>
      <c r="C105" s="16">
        <f>IF($A105="","",醫護長與管理部班表!$A8)</f>
        <v/>
      </c>
      <c r="D105" s="16">
        <f>IF($C105="","",醫護長與管理部班表!$B8)</f>
        <v/>
      </c>
      <c r="E105" s="16">
        <f>IF($C105="","",醫護長與管理部班表!$D8)</f>
        <v/>
      </c>
      <c r="F105" s="16">
        <f>IF($C105="","",醫護長與管理部班表!$C8)</f>
        <v/>
      </c>
      <c r="G105" s="16">
        <f>IF($C105="","",醫護長與管理部班表!N8)</f>
        <v/>
      </c>
      <c r="H105" s="87">
        <f>IF($G105="","",IFERROR(IF(INDEX(設定!$D$6:$D$21,MATCH($G105,設定!$B$6:$B$21,0))=0,"",INDEX(設定!$D$6:$D$21,MATCH($G105,設定!$B$6:$B$21,0))),""))</f>
        <v/>
      </c>
      <c r="I105" s="87">
        <f>IF($G105="","",IFERROR(IF(INDEX(設定!$E$6:$E$21,MATCH($G105,設定!$B$6:$B$21,0))=0,"",INDEX(設定!$E$6:$E$21,MATCH($G105,設定!$B$6:$B$21,0))),""))</f>
        <v/>
      </c>
      <c r="J105" s="87">
        <f>IFERROR(INDEX(打卡匯入!$C$3:$C$502,MATCH($C105&amp;"|"&amp;DAY($A105),打卡匯入!$E$3:$E$502,0)),"")</f>
        <v/>
      </c>
      <c r="K105" s="87">
        <f>IFERROR(INDEX(打卡匯入!$D$3:$D$502,MATCH($C105&amp;"|"&amp;DAY($A105),打卡匯入!$E$3:$E$502,0)),"")</f>
        <v/>
      </c>
      <c r="L105" s="88">
        <f>IF(OR($J105="",$K105=""),"",IFERROR(INDEX(設定!$F$6:$F$21,MATCH($G105,設定!$B$6:$B$21,0)),0))</f>
        <v/>
      </c>
      <c r="M105" s="89">
        <f>IF(OR($J105="",$K105=""),"",ROUND(($K105-$J105)*24-$L105/60,2))</f>
        <v/>
      </c>
      <c r="N105" s="16">
        <f>IF($C105="","",IF(AND(COUNTIF(設定!$B$15:$B$21,$G105)&gt;0,$J105&lt;&gt;""),"假日出勤",IF(AND(COUNTIF(設定!$B$6:$B$14,$G105)&gt;0,$J105=""),"未打卡",IF($J105="","",IF($O105&gt;0,"遲到",IF($P105&gt;0,"早退","正常"))))))</f>
        <v/>
      </c>
      <c r="O105" s="88">
        <f>IF(OR($C105="",$H105="",$J105=""),0,IF(ROUND(($J105-$H105)*1440,0)&gt;設定!$C$48,ROUND(($J105-$H105)*1440,0),0))</f>
        <v/>
      </c>
      <c r="P105" s="88">
        <f>IF(OR($C105="",$I105="",$K105=""),0,IF(ROUND(($I105-$K105)*1440,0)&gt;設定!$C$48,ROUND(($I105-$K105)*1440,0),0))</f>
        <v/>
      </c>
      <c r="Q105" s="89">
        <f>IF($M105="",0,IF(($M105-IFERROR(INDEX(設定!$G$6:$G$21,MATCH($G105,設定!$B$6:$B$21,0)),0))*60&gt;=設定!$C$46,ROUND(FLOOR(($M105-IFERROR(INDEX(設定!$G$6:$G$21,MATCH($G105,設定!$B$6:$B$21,0)),0))*60,設定!$C$47)/60,2),0))</f>
        <v/>
      </c>
      <c r="R105" s="16">
        <f>IF(OR($C105="",$Q105=0),"",IF($G105="國","國定假日",IF($B105="日","例假",IF($B105="六","休息日","平日"))))</f>
        <v/>
      </c>
      <c r="S105" s="18" t="n"/>
    </row>
    <row r="106">
      <c r="A106" s="86">
        <f>IF(OR(醫護長與管理部班表!$A8="",11&gt;DAY(EOMONTH(DATE(設定!$C$2,設定!$D$2,1),0))),"",DATE(設定!$C$2,設定!$D$2,11))</f>
        <v/>
      </c>
      <c r="B106" s="16">
        <f>IF($A106="","",INDEX(設定!$O$6:$O$12,WEEKDAY($A106,1)))</f>
        <v/>
      </c>
      <c r="C106" s="16">
        <f>IF($A106="","",醫護長與管理部班表!$A8)</f>
        <v/>
      </c>
      <c r="D106" s="16">
        <f>IF($C106="","",醫護長與管理部班表!$B8)</f>
        <v/>
      </c>
      <c r="E106" s="16">
        <f>IF($C106="","",醫護長與管理部班表!$D8)</f>
        <v/>
      </c>
      <c r="F106" s="16">
        <f>IF($C106="","",醫護長與管理部班表!$C8)</f>
        <v/>
      </c>
      <c r="G106" s="16">
        <f>IF($C106="","",醫護長與管理部班表!O8)</f>
        <v/>
      </c>
      <c r="H106" s="87">
        <f>IF($G106="","",IFERROR(IF(INDEX(設定!$D$6:$D$21,MATCH($G106,設定!$B$6:$B$21,0))=0,"",INDEX(設定!$D$6:$D$21,MATCH($G106,設定!$B$6:$B$21,0))),""))</f>
        <v/>
      </c>
      <c r="I106" s="87">
        <f>IF($G106="","",IFERROR(IF(INDEX(設定!$E$6:$E$21,MATCH($G106,設定!$B$6:$B$21,0))=0,"",INDEX(設定!$E$6:$E$21,MATCH($G106,設定!$B$6:$B$21,0))),""))</f>
        <v/>
      </c>
      <c r="J106" s="87">
        <f>IFERROR(INDEX(打卡匯入!$C$3:$C$502,MATCH($C106&amp;"|"&amp;DAY($A106),打卡匯入!$E$3:$E$502,0)),"")</f>
        <v/>
      </c>
      <c r="K106" s="87">
        <f>IFERROR(INDEX(打卡匯入!$D$3:$D$502,MATCH($C106&amp;"|"&amp;DAY($A106),打卡匯入!$E$3:$E$502,0)),"")</f>
        <v/>
      </c>
      <c r="L106" s="88">
        <f>IF(OR($J106="",$K106=""),"",IFERROR(INDEX(設定!$F$6:$F$21,MATCH($G106,設定!$B$6:$B$21,0)),0))</f>
        <v/>
      </c>
      <c r="M106" s="89">
        <f>IF(OR($J106="",$K106=""),"",ROUND(($K106-$J106)*24-$L106/60,2))</f>
        <v/>
      </c>
      <c r="N106" s="16">
        <f>IF($C106="","",IF(AND(COUNTIF(設定!$B$15:$B$21,$G106)&gt;0,$J106&lt;&gt;""),"假日出勤",IF(AND(COUNTIF(設定!$B$6:$B$14,$G106)&gt;0,$J106=""),"未打卡",IF($J106="","",IF($O106&gt;0,"遲到",IF($P106&gt;0,"早退","正常"))))))</f>
        <v/>
      </c>
      <c r="O106" s="88">
        <f>IF(OR($C106="",$H106="",$J106=""),0,IF(ROUND(($J106-$H106)*1440,0)&gt;設定!$C$48,ROUND(($J106-$H106)*1440,0),0))</f>
        <v/>
      </c>
      <c r="P106" s="88">
        <f>IF(OR($C106="",$I106="",$K106=""),0,IF(ROUND(($I106-$K106)*1440,0)&gt;設定!$C$48,ROUND(($I106-$K106)*1440,0),0))</f>
        <v/>
      </c>
      <c r="Q106" s="89">
        <f>IF($M106="",0,IF(($M106-IFERROR(INDEX(設定!$G$6:$G$21,MATCH($G106,設定!$B$6:$B$21,0)),0))*60&gt;=設定!$C$46,ROUND(FLOOR(($M106-IFERROR(INDEX(設定!$G$6:$G$21,MATCH($G106,設定!$B$6:$B$21,0)),0))*60,設定!$C$47)/60,2),0))</f>
        <v/>
      </c>
      <c r="R106" s="16">
        <f>IF(OR($C106="",$Q106=0),"",IF($G106="國","國定假日",IF($B106="日","例假",IF($B106="六","休息日","平日"))))</f>
        <v/>
      </c>
      <c r="S106" s="18" t="n"/>
    </row>
    <row r="107">
      <c r="A107" s="86">
        <f>IF(OR(醫護長與管理部班表!$A8="",12&gt;DAY(EOMONTH(DATE(設定!$C$2,設定!$D$2,1),0))),"",DATE(設定!$C$2,設定!$D$2,12))</f>
        <v/>
      </c>
      <c r="B107" s="16">
        <f>IF($A107="","",INDEX(設定!$O$6:$O$12,WEEKDAY($A107,1)))</f>
        <v/>
      </c>
      <c r="C107" s="16">
        <f>IF($A107="","",醫護長與管理部班表!$A8)</f>
        <v/>
      </c>
      <c r="D107" s="16">
        <f>IF($C107="","",醫護長與管理部班表!$B8)</f>
        <v/>
      </c>
      <c r="E107" s="16">
        <f>IF($C107="","",醫護長與管理部班表!$D8)</f>
        <v/>
      </c>
      <c r="F107" s="16">
        <f>IF($C107="","",醫護長與管理部班表!$C8)</f>
        <v/>
      </c>
      <c r="G107" s="16">
        <f>IF($C107="","",醫護長與管理部班表!P8)</f>
        <v/>
      </c>
      <c r="H107" s="87">
        <f>IF($G107="","",IFERROR(IF(INDEX(設定!$D$6:$D$21,MATCH($G107,設定!$B$6:$B$21,0))=0,"",INDEX(設定!$D$6:$D$21,MATCH($G107,設定!$B$6:$B$21,0))),""))</f>
        <v/>
      </c>
      <c r="I107" s="87">
        <f>IF($G107="","",IFERROR(IF(INDEX(設定!$E$6:$E$21,MATCH($G107,設定!$B$6:$B$21,0))=0,"",INDEX(設定!$E$6:$E$21,MATCH($G107,設定!$B$6:$B$21,0))),""))</f>
        <v/>
      </c>
      <c r="J107" s="87">
        <f>IFERROR(INDEX(打卡匯入!$C$3:$C$502,MATCH($C107&amp;"|"&amp;DAY($A107),打卡匯入!$E$3:$E$502,0)),"")</f>
        <v/>
      </c>
      <c r="K107" s="87">
        <f>IFERROR(INDEX(打卡匯入!$D$3:$D$502,MATCH($C107&amp;"|"&amp;DAY($A107),打卡匯入!$E$3:$E$502,0)),"")</f>
        <v/>
      </c>
      <c r="L107" s="88">
        <f>IF(OR($J107="",$K107=""),"",IFERROR(INDEX(設定!$F$6:$F$21,MATCH($G107,設定!$B$6:$B$21,0)),0))</f>
        <v/>
      </c>
      <c r="M107" s="89">
        <f>IF(OR($J107="",$K107=""),"",ROUND(($K107-$J107)*24-$L107/60,2))</f>
        <v/>
      </c>
      <c r="N107" s="16">
        <f>IF($C107="","",IF(AND(COUNTIF(設定!$B$15:$B$21,$G107)&gt;0,$J107&lt;&gt;""),"假日出勤",IF(AND(COUNTIF(設定!$B$6:$B$14,$G107)&gt;0,$J107=""),"未打卡",IF($J107="","",IF($O107&gt;0,"遲到",IF($P107&gt;0,"早退","正常"))))))</f>
        <v/>
      </c>
      <c r="O107" s="88">
        <f>IF(OR($C107="",$H107="",$J107=""),0,IF(ROUND(($J107-$H107)*1440,0)&gt;設定!$C$48,ROUND(($J107-$H107)*1440,0),0))</f>
        <v/>
      </c>
      <c r="P107" s="88">
        <f>IF(OR($C107="",$I107="",$K107=""),0,IF(ROUND(($I107-$K107)*1440,0)&gt;設定!$C$48,ROUND(($I107-$K107)*1440,0),0))</f>
        <v/>
      </c>
      <c r="Q107" s="89">
        <f>IF($M107="",0,IF(($M107-IFERROR(INDEX(設定!$G$6:$G$21,MATCH($G107,設定!$B$6:$B$21,0)),0))*60&gt;=設定!$C$46,ROUND(FLOOR(($M107-IFERROR(INDEX(設定!$G$6:$G$21,MATCH($G107,設定!$B$6:$B$21,0)),0))*60,設定!$C$47)/60,2),0))</f>
        <v/>
      </c>
      <c r="R107" s="16">
        <f>IF(OR($C107="",$Q107=0),"",IF($G107="國","國定假日",IF($B107="日","例假",IF($B107="六","休息日","平日"))))</f>
        <v/>
      </c>
      <c r="S107" s="18" t="n"/>
    </row>
    <row r="108">
      <c r="A108" s="86">
        <f>IF(OR(醫護長與管理部班表!$A8="",13&gt;DAY(EOMONTH(DATE(設定!$C$2,設定!$D$2,1),0))),"",DATE(設定!$C$2,設定!$D$2,13))</f>
        <v/>
      </c>
      <c r="B108" s="16">
        <f>IF($A108="","",INDEX(設定!$O$6:$O$12,WEEKDAY($A108,1)))</f>
        <v/>
      </c>
      <c r="C108" s="16">
        <f>IF($A108="","",醫護長與管理部班表!$A8)</f>
        <v/>
      </c>
      <c r="D108" s="16">
        <f>IF($C108="","",醫護長與管理部班表!$B8)</f>
        <v/>
      </c>
      <c r="E108" s="16">
        <f>IF($C108="","",醫護長與管理部班表!$D8)</f>
        <v/>
      </c>
      <c r="F108" s="16">
        <f>IF($C108="","",醫護長與管理部班表!$C8)</f>
        <v/>
      </c>
      <c r="G108" s="16">
        <f>IF($C108="","",醫護長與管理部班表!Q8)</f>
        <v/>
      </c>
      <c r="H108" s="87">
        <f>IF($G108="","",IFERROR(IF(INDEX(設定!$D$6:$D$21,MATCH($G108,設定!$B$6:$B$21,0))=0,"",INDEX(設定!$D$6:$D$21,MATCH($G108,設定!$B$6:$B$21,0))),""))</f>
        <v/>
      </c>
      <c r="I108" s="87">
        <f>IF($G108="","",IFERROR(IF(INDEX(設定!$E$6:$E$21,MATCH($G108,設定!$B$6:$B$21,0))=0,"",INDEX(設定!$E$6:$E$21,MATCH($G108,設定!$B$6:$B$21,0))),""))</f>
        <v/>
      </c>
      <c r="J108" s="87">
        <f>IFERROR(INDEX(打卡匯入!$C$3:$C$502,MATCH($C108&amp;"|"&amp;DAY($A108),打卡匯入!$E$3:$E$502,0)),"")</f>
        <v/>
      </c>
      <c r="K108" s="87">
        <f>IFERROR(INDEX(打卡匯入!$D$3:$D$502,MATCH($C108&amp;"|"&amp;DAY($A108),打卡匯入!$E$3:$E$502,0)),"")</f>
        <v/>
      </c>
      <c r="L108" s="88">
        <f>IF(OR($J108="",$K108=""),"",IFERROR(INDEX(設定!$F$6:$F$21,MATCH($G108,設定!$B$6:$B$21,0)),0))</f>
        <v/>
      </c>
      <c r="M108" s="89">
        <f>IF(OR($J108="",$K108=""),"",ROUND(($K108-$J108)*24-$L108/60,2))</f>
        <v/>
      </c>
      <c r="N108" s="16">
        <f>IF($C108="","",IF(AND(COUNTIF(設定!$B$15:$B$21,$G108)&gt;0,$J108&lt;&gt;""),"假日出勤",IF(AND(COUNTIF(設定!$B$6:$B$14,$G108)&gt;0,$J108=""),"未打卡",IF($J108="","",IF($O108&gt;0,"遲到",IF($P108&gt;0,"早退","正常"))))))</f>
        <v/>
      </c>
      <c r="O108" s="88">
        <f>IF(OR($C108="",$H108="",$J108=""),0,IF(ROUND(($J108-$H108)*1440,0)&gt;設定!$C$48,ROUND(($J108-$H108)*1440,0),0))</f>
        <v/>
      </c>
      <c r="P108" s="88">
        <f>IF(OR($C108="",$I108="",$K108=""),0,IF(ROUND(($I108-$K108)*1440,0)&gt;設定!$C$48,ROUND(($I108-$K108)*1440,0),0))</f>
        <v/>
      </c>
      <c r="Q108" s="89">
        <f>IF($M108="",0,IF(($M108-IFERROR(INDEX(設定!$G$6:$G$21,MATCH($G108,設定!$B$6:$B$21,0)),0))*60&gt;=設定!$C$46,ROUND(FLOOR(($M108-IFERROR(INDEX(設定!$G$6:$G$21,MATCH($G108,設定!$B$6:$B$21,0)),0))*60,設定!$C$47)/60,2),0))</f>
        <v/>
      </c>
      <c r="R108" s="16">
        <f>IF(OR($C108="",$Q108=0),"",IF($G108="國","國定假日",IF($B108="日","例假",IF($B108="六","休息日","平日"))))</f>
        <v/>
      </c>
      <c r="S108" s="18" t="n"/>
    </row>
    <row r="109">
      <c r="A109" s="86">
        <f>IF(OR(醫護長與管理部班表!$A8="",14&gt;DAY(EOMONTH(DATE(設定!$C$2,設定!$D$2,1),0))),"",DATE(設定!$C$2,設定!$D$2,14))</f>
        <v/>
      </c>
      <c r="B109" s="16">
        <f>IF($A109="","",INDEX(設定!$O$6:$O$12,WEEKDAY($A109,1)))</f>
        <v/>
      </c>
      <c r="C109" s="16">
        <f>IF($A109="","",醫護長與管理部班表!$A8)</f>
        <v/>
      </c>
      <c r="D109" s="16">
        <f>IF($C109="","",醫護長與管理部班表!$B8)</f>
        <v/>
      </c>
      <c r="E109" s="16">
        <f>IF($C109="","",醫護長與管理部班表!$D8)</f>
        <v/>
      </c>
      <c r="F109" s="16">
        <f>IF($C109="","",醫護長與管理部班表!$C8)</f>
        <v/>
      </c>
      <c r="G109" s="16">
        <f>IF($C109="","",醫護長與管理部班表!R8)</f>
        <v/>
      </c>
      <c r="H109" s="87">
        <f>IF($G109="","",IFERROR(IF(INDEX(設定!$D$6:$D$21,MATCH($G109,設定!$B$6:$B$21,0))=0,"",INDEX(設定!$D$6:$D$21,MATCH($G109,設定!$B$6:$B$21,0))),""))</f>
        <v/>
      </c>
      <c r="I109" s="87">
        <f>IF($G109="","",IFERROR(IF(INDEX(設定!$E$6:$E$21,MATCH($G109,設定!$B$6:$B$21,0))=0,"",INDEX(設定!$E$6:$E$21,MATCH($G109,設定!$B$6:$B$21,0))),""))</f>
        <v/>
      </c>
      <c r="J109" s="87">
        <f>IFERROR(INDEX(打卡匯入!$C$3:$C$502,MATCH($C109&amp;"|"&amp;DAY($A109),打卡匯入!$E$3:$E$502,0)),"")</f>
        <v/>
      </c>
      <c r="K109" s="87">
        <f>IFERROR(INDEX(打卡匯入!$D$3:$D$502,MATCH($C109&amp;"|"&amp;DAY($A109),打卡匯入!$E$3:$E$502,0)),"")</f>
        <v/>
      </c>
      <c r="L109" s="88">
        <f>IF(OR($J109="",$K109=""),"",IFERROR(INDEX(設定!$F$6:$F$21,MATCH($G109,設定!$B$6:$B$21,0)),0))</f>
        <v/>
      </c>
      <c r="M109" s="89">
        <f>IF(OR($J109="",$K109=""),"",ROUND(($K109-$J109)*24-$L109/60,2))</f>
        <v/>
      </c>
      <c r="N109" s="16">
        <f>IF($C109="","",IF(AND(COUNTIF(設定!$B$15:$B$21,$G109)&gt;0,$J109&lt;&gt;""),"假日出勤",IF(AND(COUNTIF(設定!$B$6:$B$14,$G109)&gt;0,$J109=""),"未打卡",IF($J109="","",IF($O109&gt;0,"遲到",IF($P109&gt;0,"早退","正常"))))))</f>
        <v/>
      </c>
      <c r="O109" s="88">
        <f>IF(OR($C109="",$H109="",$J109=""),0,IF(ROUND(($J109-$H109)*1440,0)&gt;設定!$C$48,ROUND(($J109-$H109)*1440,0),0))</f>
        <v/>
      </c>
      <c r="P109" s="88">
        <f>IF(OR($C109="",$I109="",$K109=""),0,IF(ROUND(($I109-$K109)*1440,0)&gt;設定!$C$48,ROUND(($I109-$K109)*1440,0),0))</f>
        <v/>
      </c>
      <c r="Q109" s="89">
        <f>IF($M109="",0,IF(($M109-IFERROR(INDEX(設定!$G$6:$G$21,MATCH($G109,設定!$B$6:$B$21,0)),0))*60&gt;=設定!$C$46,ROUND(FLOOR(($M109-IFERROR(INDEX(設定!$G$6:$G$21,MATCH($G109,設定!$B$6:$B$21,0)),0))*60,設定!$C$47)/60,2),0))</f>
        <v/>
      </c>
      <c r="R109" s="16">
        <f>IF(OR($C109="",$Q109=0),"",IF($G109="國","國定假日",IF($B109="日","例假",IF($B109="六","休息日","平日"))))</f>
        <v/>
      </c>
      <c r="S109" s="18" t="n"/>
    </row>
    <row r="110">
      <c r="A110" s="86">
        <f>IF(OR(醫護長與管理部班表!$A8="",15&gt;DAY(EOMONTH(DATE(設定!$C$2,設定!$D$2,1),0))),"",DATE(設定!$C$2,設定!$D$2,15))</f>
        <v/>
      </c>
      <c r="B110" s="16">
        <f>IF($A110="","",INDEX(設定!$O$6:$O$12,WEEKDAY($A110,1)))</f>
        <v/>
      </c>
      <c r="C110" s="16">
        <f>IF($A110="","",醫護長與管理部班表!$A8)</f>
        <v/>
      </c>
      <c r="D110" s="16">
        <f>IF($C110="","",醫護長與管理部班表!$B8)</f>
        <v/>
      </c>
      <c r="E110" s="16">
        <f>IF($C110="","",醫護長與管理部班表!$D8)</f>
        <v/>
      </c>
      <c r="F110" s="16">
        <f>IF($C110="","",醫護長與管理部班表!$C8)</f>
        <v/>
      </c>
      <c r="G110" s="16">
        <f>IF($C110="","",醫護長與管理部班表!S8)</f>
        <v/>
      </c>
      <c r="H110" s="87">
        <f>IF($G110="","",IFERROR(IF(INDEX(設定!$D$6:$D$21,MATCH($G110,設定!$B$6:$B$21,0))=0,"",INDEX(設定!$D$6:$D$21,MATCH($G110,設定!$B$6:$B$21,0))),""))</f>
        <v/>
      </c>
      <c r="I110" s="87">
        <f>IF($G110="","",IFERROR(IF(INDEX(設定!$E$6:$E$21,MATCH($G110,設定!$B$6:$B$21,0))=0,"",INDEX(設定!$E$6:$E$21,MATCH($G110,設定!$B$6:$B$21,0))),""))</f>
        <v/>
      </c>
      <c r="J110" s="87">
        <f>IFERROR(INDEX(打卡匯入!$C$3:$C$502,MATCH($C110&amp;"|"&amp;DAY($A110),打卡匯入!$E$3:$E$502,0)),"")</f>
        <v/>
      </c>
      <c r="K110" s="87">
        <f>IFERROR(INDEX(打卡匯入!$D$3:$D$502,MATCH($C110&amp;"|"&amp;DAY($A110),打卡匯入!$E$3:$E$502,0)),"")</f>
        <v/>
      </c>
      <c r="L110" s="88">
        <f>IF(OR($J110="",$K110=""),"",IFERROR(INDEX(設定!$F$6:$F$21,MATCH($G110,設定!$B$6:$B$21,0)),0))</f>
        <v/>
      </c>
      <c r="M110" s="89">
        <f>IF(OR($J110="",$K110=""),"",ROUND(($K110-$J110)*24-$L110/60,2))</f>
        <v/>
      </c>
      <c r="N110" s="16">
        <f>IF($C110="","",IF(AND(COUNTIF(設定!$B$15:$B$21,$G110)&gt;0,$J110&lt;&gt;""),"假日出勤",IF(AND(COUNTIF(設定!$B$6:$B$14,$G110)&gt;0,$J110=""),"未打卡",IF($J110="","",IF($O110&gt;0,"遲到",IF($P110&gt;0,"早退","正常"))))))</f>
        <v/>
      </c>
      <c r="O110" s="88">
        <f>IF(OR($C110="",$H110="",$J110=""),0,IF(ROUND(($J110-$H110)*1440,0)&gt;設定!$C$48,ROUND(($J110-$H110)*1440,0),0))</f>
        <v/>
      </c>
      <c r="P110" s="88">
        <f>IF(OR($C110="",$I110="",$K110=""),0,IF(ROUND(($I110-$K110)*1440,0)&gt;設定!$C$48,ROUND(($I110-$K110)*1440,0),0))</f>
        <v/>
      </c>
      <c r="Q110" s="89">
        <f>IF($M110="",0,IF(($M110-IFERROR(INDEX(設定!$G$6:$G$21,MATCH($G110,設定!$B$6:$B$21,0)),0))*60&gt;=設定!$C$46,ROUND(FLOOR(($M110-IFERROR(INDEX(設定!$G$6:$G$21,MATCH($G110,設定!$B$6:$B$21,0)),0))*60,設定!$C$47)/60,2),0))</f>
        <v/>
      </c>
      <c r="R110" s="16">
        <f>IF(OR($C110="",$Q110=0),"",IF($G110="國","國定假日",IF($B110="日","例假",IF($B110="六","休息日","平日"))))</f>
        <v/>
      </c>
      <c r="S110" s="18" t="n"/>
    </row>
    <row r="111">
      <c r="A111" s="86">
        <f>IF(OR(醫護長與管理部班表!$A8="",16&gt;DAY(EOMONTH(DATE(設定!$C$2,設定!$D$2,1),0))),"",DATE(設定!$C$2,設定!$D$2,16))</f>
        <v/>
      </c>
      <c r="B111" s="16">
        <f>IF($A111="","",INDEX(設定!$O$6:$O$12,WEEKDAY($A111,1)))</f>
        <v/>
      </c>
      <c r="C111" s="16">
        <f>IF($A111="","",醫護長與管理部班表!$A8)</f>
        <v/>
      </c>
      <c r="D111" s="16">
        <f>IF($C111="","",醫護長與管理部班表!$B8)</f>
        <v/>
      </c>
      <c r="E111" s="16">
        <f>IF($C111="","",醫護長與管理部班表!$D8)</f>
        <v/>
      </c>
      <c r="F111" s="16">
        <f>IF($C111="","",醫護長與管理部班表!$C8)</f>
        <v/>
      </c>
      <c r="G111" s="16">
        <f>IF($C111="","",醫護長與管理部班表!T8)</f>
        <v/>
      </c>
      <c r="H111" s="87">
        <f>IF($G111="","",IFERROR(IF(INDEX(設定!$D$6:$D$21,MATCH($G111,設定!$B$6:$B$21,0))=0,"",INDEX(設定!$D$6:$D$21,MATCH($G111,設定!$B$6:$B$21,0))),""))</f>
        <v/>
      </c>
      <c r="I111" s="87">
        <f>IF($G111="","",IFERROR(IF(INDEX(設定!$E$6:$E$21,MATCH($G111,設定!$B$6:$B$21,0))=0,"",INDEX(設定!$E$6:$E$21,MATCH($G111,設定!$B$6:$B$21,0))),""))</f>
        <v/>
      </c>
      <c r="J111" s="87">
        <f>IFERROR(INDEX(打卡匯入!$C$3:$C$502,MATCH($C111&amp;"|"&amp;DAY($A111),打卡匯入!$E$3:$E$502,0)),"")</f>
        <v/>
      </c>
      <c r="K111" s="87">
        <f>IFERROR(INDEX(打卡匯入!$D$3:$D$502,MATCH($C111&amp;"|"&amp;DAY($A111),打卡匯入!$E$3:$E$502,0)),"")</f>
        <v/>
      </c>
      <c r="L111" s="88">
        <f>IF(OR($J111="",$K111=""),"",IFERROR(INDEX(設定!$F$6:$F$21,MATCH($G111,設定!$B$6:$B$21,0)),0))</f>
        <v/>
      </c>
      <c r="M111" s="89">
        <f>IF(OR($J111="",$K111=""),"",ROUND(($K111-$J111)*24-$L111/60,2))</f>
        <v/>
      </c>
      <c r="N111" s="16">
        <f>IF($C111="","",IF(AND(COUNTIF(設定!$B$15:$B$21,$G111)&gt;0,$J111&lt;&gt;""),"假日出勤",IF(AND(COUNTIF(設定!$B$6:$B$14,$G111)&gt;0,$J111=""),"未打卡",IF($J111="","",IF($O111&gt;0,"遲到",IF($P111&gt;0,"早退","正常"))))))</f>
        <v/>
      </c>
      <c r="O111" s="88">
        <f>IF(OR($C111="",$H111="",$J111=""),0,IF(ROUND(($J111-$H111)*1440,0)&gt;設定!$C$48,ROUND(($J111-$H111)*1440,0),0))</f>
        <v/>
      </c>
      <c r="P111" s="88">
        <f>IF(OR($C111="",$I111="",$K111=""),0,IF(ROUND(($I111-$K111)*1440,0)&gt;設定!$C$48,ROUND(($I111-$K111)*1440,0),0))</f>
        <v/>
      </c>
      <c r="Q111" s="89">
        <f>IF($M111="",0,IF(($M111-IFERROR(INDEX(設定!$G$6:$G$21,MATCH($G111,設定!$B$6:$B$21,0)),0))*60&gt;=設定!$C$46,ROUND(FLOOR(($M111-IFERROR(INDEX(設定!$G$6:$G$21,MATCH($G111,設定!$B$6:$B$21,0)),0))*60,設定!$C$47)/60,2),0))</f>
        <v/>
      </c>
      <c r="R111" s="16">
        <f>IF(OR($C111="",$Q111=0),"",IF($G111="國","國定假日",IF($B111="日","例假",IF($B111="六","休息日","平日"))))</f>
        <v/>
      </c>
      <c r="S111" s="18" t="n"/>
    </row>
    <row r="112">
      <c r="A112" s="86">
        <f>IF(OR(醫護長與管理部班表!$A8="",17&gt;DAY(EOMONTH(DATE(設定!$C$2,設定!$D$2,1),0))),"",DATE(設定!$C$2,設定!$D$2,17))</f>
        <v/>
      </c>
      <c r="B112" s="16">
        <f>IF($A112="","",INDEX(設定!$O$6:$O$12,WEEKDAY($A112,1)))</f>
        <v/>
      </c>
      <c r="C112" s="16">
        <f>IF($A112="","",醫護長與管理部班表!$A8)</f>
        <v/>
      </c>
      <c r="D112" s="16">
        <f>IF($C112="","",醫護長與管理部班表!$B8)</f>
        <v/>
      </c>
      <c r="E112" s="16">
        <f>IF($C112="","",醫護長與管理部班表!$D8)</f>
        <v/>
      </c>
      <c r="F112" s="16">
        <f>IF($C112="","",醫護長與管理部班表!$C8)</f>
        <v/>
      </c>
      <c r="G112" s="16">
        <f>IF($C112="","",醫護長與管理部班表!U8)</f>
        <v/>
      </c>
      <c r="H112" s="87">
        <f>IF($G112="","",IFERROR(IF(INDEX(設定!$D$6:$D$21,MATCH($G112,設定!$B$6:$B$21,0))=0,"",INDEX(設定!$D$6:$D$21,MATCH($G112,設定!$B$6:$B$21,0))),""))</f>
        <v/>
      </c>
      <c r="I112" s="87">
        <f>IF($G112="","",IFERROR(IF(INDEX(設定!$E$6:$E$21,MATCH($G112,設定!$B$6:$B$21,0))=0,"",INDEX(設定!$E$6:$E$21,MATCH($G112,設定!$B$6:$B$21,0))),""))</f>
        <v/>
      </c>
      <c r="J112" s="87">
        <f>IFERROR(INDEX(打卡匯入!$C$3:$C$502,MATCH($C112&amp;"|"&amp;DAY($A112),打卡匯入!$E$3:$E$502,0)),"")</f>
        <v/>
      </c>
      <c r="K112" s="87">
        <f>IFERROR(INDEX(打卡匯入!$D$3:$D$502,MATCH($C112&amp;"|"&amp;DAY($A112),打卡匯入!$E$3:$E$502,0)),"")</f>
        <v/>
      </c>
      <c r="L112" s="88">
        <f>IF(OR($J112="",$K112=""),"",IFERROR(INDEX(設定!$F$6:$F$21,MATCH($G112,設定!$B$6:$B$21,0)),0))</f>
        <v/>
      </c>
      <c r="M112" s="89">
        <f>IF(OR($J112="",$K112=""),"",ROUND(($K112-$J112)*24-$L112/60,2))</f>
        <v/>
      </c>
      <c r="N112" s="16">
        <f>IF($C112="","",IF(AND(COUNTIF(設定!$B$15:$B$21,$G112)&gt;0,$J112&lt;&gt;""),"假日出勤",IF(AND(COUNTIF(設定!$B$6:$B$14,$G112)&gt;0,$J112=""),"未打卡",IF($J112="","",IF($O112&gt;0,"遲到",IF($P112&gt;0,"早退","正常"))))))</f>
        <v/>
      </c>
      <c r="O112" s="88">
        <f>IF(OR($C112="",$H112="",$J112=""),0,IF(ROUND(($J112-$H112)*1440,0)&gt;設定!$C$48,ROUND(($J112-$H112)*1440,0),0))</f>
        <v/>
      </c>
      <c r="P112" s="88">
        <f>IF(OR($C112="",$I112="",$K112=""),0,IF(ROUND(($I112-$K112)*1440,0)&gt;設定!$C$48,ROUND(($I112-$K112)*1440,0),0))</f>
        <v/>
      </c>
      <c r="Q112" s="89">
        <f>IF($M112="",0,IF(($M112-IFERROR(INDEX(設定!$G$6:$G$21,MATCH($G112,設定!$B$6:$B$21,0)),0))*60&gt;=設定!$C$46,ROUND(FLOOR(($M112-IFERROR(INDEX(設定!$G$6:$G$21,MATCH($G112,設定!$B$6:$B$21,0)),0))*60,設定!$C$47)/60,2),0))</f>
        <v/>
      </c>
      <c r="R112" s="16">
        <f>IF(OR($C112="",$Q112=0),"",IF($G112="國","國定假日",IF($B112="日","例假",IF($B112="六","休息日","平日"))))</f>
        <v/>
      </c>
      <c r="S112" s="18" t="n"/>
    </row>
    <row r="113">
      <c r="A113" s="86">
        <f>IF(OR(醫護長與管理部班表!$A8="",18&gt;DAY(EOMONTH(DATE(設定!$C$2,設定!$D$2,1),0))),"",DATE(設定!$C$2,設定!$D$2,18))</f>
        <v/>
      </c>
      <c r="B113" s="16">
        <f>IF($A113="","",INDEX(設定!$O$6:$O$12,WEEKDAY($A113,1)))</f>
        <v/>
      </c>
      <c r="C113" s="16">
        <f>IF($A113="","",醫護長與管理部班表!$A8)</f>
        <v/>
      </c>
      <c r="D113" s="16">
        <f>IF($C113="","",醫護長與管理部班表!$B8)</f>
        <v/>
      </c>
      <c r="E113" s="16">
        <f>IF($C113="","",醫護長與管理部班表!$D8)</f>
        <v/>
      </c>
      <c r="F113" s="16">
        <f>IF($C113="","",醫護長與管理部班表!$C8)</f>
        <v/>
      </c>
      <c r="G113" s="16">
        <f>IF($C113="","",醫護長與管理部班表!V8)</f>
        <v/>
      </c>
      <c r="H113" s="87">
        <f>IF($G113="","",IFERROR(IF(INDEX(設定!$D$6:$D$21,MATCH($G113,設定!$B$6:$B$21,0))=0,"",INDEX(設定!$D$6:$D$21,MATCH($G113,設定!$B$6:$B$21,0))),""))</f>
        <v/>
      </c>
      <c r="I113" s="87">
        <f>IF($G113="","",IFERROR(IF(INDEX(設定!$E$6:$E$21,MATCH($G113,設定!$B$6:$B$21,0))=0,"",INDEX(設定!$E$6:$E$21,MATCH($G113,設定!$B$6:$B$21,0))),""))</f>
        <v/>
      </c>
      <c r="J113" s="87">
        <f>IFERROR(INDEX(打卡匯入!$C$3:$C$502,MATCH($C113&amp;"|"&amp;DAY($A113),打卡匯入!$E$3:$E$502,0)),"")</f>
        <v/>
      </c>
      <c r="K113" s="87">
        <f>IFERROR(INDEX(打卡匯入!$D$3:$D$502,MATCH($C113&amp;"|"&amp;DAY($A113),打卡匯入!$E$3:$E$502,0)),"")</f>
        <v/>
      </c>
      <c r="L113" s="88">
        <f>IF(OR($J113="",$K113=""),"",IFERROR(INDEX(設定!$F$6:$F$21,MATCH($G113,設定!$B$6:$B$21,0)),0))</f>
        <v/>
      </c>
      <c r="M113" s="89">
        <f>IF(OR($J113="",$K113=""),"",ROUND(($K113-$J113)*24-$L113/60,2))</f>
        <v/>
      </c>
      <c r="N113" s="16">
        <f>IF($C113="","",IF(AND(COUNTIF(設定!$B$15:$B$21,$G113)&gt;0,$J113&lt;&gt;""),"假日出勤",IF(AND(COUNTIF(設定!$B$6:$B$14,$G113)&gt;0,$J113=""),"未打卡",IF($J113="","",IF($O113&gt;0,"遲到",IF($P113&gt;0,"早退","正常"))))))</f>
        <v/>
      </c>
      <c r="O113" s="88">
        <f>IF(OR($C113="",$H113="",$J113=""),0,IF(ROUND(($J113-$H113)*1440,0)&gt;設定!$C$48,ROUND(($J113-$H113)*1440,0),0))</f>
        <v/>
      </c>
      <c r="P113" s="88">
        <f>IF(OR($C113="",$I113="",$K113=""),0,IF(ROUND(($I113-$K113)*1440,0)&gt;設定!$C$48,ROUND(($I113-$K113)*1440,0),0))</f>
        <v/>
      </c>
      <c r="Q113" s="89">
        <f>IF($M113="",0,IF(($M113-IFERROR(INDEX(設定!$G$6:$G$21,MATCH($G113,設定!$B$6:$B$21,0)),0))*60&gt;=設定!$C$46,ROUND(FLOOR(($M113-IFERROR(INDEX(設定!$G$6:$G$21,MATCH($G113,設定!$B$6:$B$21,0)),0))*60,設定!$C$47)/60,2),0))</f>
        <v/>
      </c>
      <c r="R113" s="16">
        <f>IF(OR($C113="",$Q113=0),"",IF($G113="國","國定假日",IF($B113="日","例假",IF($B113="六","休息日","平日"))))</f>
        <v/>
      </c>
      <c r="S113" s="18" t="n"/>
    </row>
    <row r="114">
      <c r="A114" s="86">
        <f>IF(OR(醫護長與管理部班表!$A8="",19&gt;DAY(EOMONTH(DATE(設定!$C$2,設定!$D$2,1),0))),"",DATE(設定!$C$2,設定!$D$2,19))</f>
        <v/>
      </c>
      <c r="B114" s="16">
        <f>IF($A114="","",INDEX(設定!$O$6:$O$12,WEEKDAY($A114,1)))</f>
        <v/>
      </c>
      <c r="C114" s="16">
        <f>IF($A114="","",醫護長與管理部班表!$A8)</f>
        <v/>
      </c>
      <c r="D114" s="16">
        <f>IF($C114="","",醫護長與管理部班表!$B8)</f>
        <v/>
      </c>
      <c r="E114" s="16">
        <f>IF($C114="","",醫護長與管理部班表!$D8)</f>
        <v/>
      </c>
      <c r="F114" s="16">
        <f>IF($C114="","",醫護長與管理部班表!$C8)</f>
        <v/>
      </c>
      <c r="G114" s="16">
        <f>IF($C114="","",醫護長與管理部班表!W8)</f>
        <v/>
      </c>
      <c r="H114" s="87">
        <f>IF($G114="","",IFERROR(IF(INDEX(設定!$D$6:$D$21,MATCH($G114,設定!$B$6:$B$21,0))=0,"",INDEX(設定!$D$6:$D$21,MATCH($G114,設定!$B$6:$B$21,0))),""))</f>
        <v/>
      </c>
      <c r="I114" s="87">
        <f>IF($G114="","",IFERROR(IF(INDEX(設定!$E$6:$E$21,MATCH($G114,設定!$B$6:$B$21,0))=0,"",INDEX(設定!$E$6:$E$21,MATCH($G114,設定!$B$6:$B$21,0))),""))</f>
        <v/>
      </c>
      <c r="J114" s="87">
        <f>IFERROR(INDEX(打卡匯入!$C$3:$C$502,MATCH($C114&amp;"|"&amp;DAY($A114),打卡匯入!$E$3:$E$502,0)),"")</f>
        <v/>
      </c>
      <c r="K114" s="87">
        <f>IFERROR(INDEX(打卡匯入!$D$3:$D$502,MATCH($C114&amp;"|"&amp;DAY($A114),打卡匯入!$E$3:$E$502,0)),"")</f>
        <v/>
      </c>
      <c r="L114" s="88">
        <f>IF(OR($J114="",$K114=""),"",IFERROR(INDEX(設定!$F$6:$F$21,MATCH($G114,設定!$B$6:$B$21,0)),0))</f>
        <v/>
      </c>
      <c r="M114" s="89">
        <f>IF(OR($J114="",$K114=""),"",ROUND(($K114-$J114)*24-$L114/60,2))</f>
        <v/>
      </c>
      <c r="N114" s="16">
        <f>IF($C114="","",IF(AND(COUNTIF(設定!$B$15:$B$21,$G114)&gt;0,$J114&lt;&gt;""),"假日出勤",IF(AND(COUNTIF(設定!$B$6:$B$14,$G114)&gt;0,$J114=""),"未打卡",IF($J114="","",IF($O114&gt;0,"遲到",IF($P114&gt;0,"早退","正常"))))))</f>
        <v/>
      </c>
      <c r="O114" s="88">
        <f>IF(OR($C114="",$H114="",$J114=""),0,IF(ROUND(($J114-$H114)*1440,0)&gt;設定!$C$48,ROUND(($J114-$H114)*1440,0),0))</f>
        <v/>
      </c>
      <c r="P114" s="88">
        <f>IF(OR($C114="",$I114="",$K114=""),0,IF(ROUND(($I114-$K114)*1440,0)&gt;設定!$C$48,ROUND(($I114-$K114)*1440,0),0))</f>
        <v/>
      </c>
      <c r="Q114" s="89">
        <f>IF($M114="",0,IF(($M114-IFERROR(INDEX(設定!$G$6:$G$21,MATCH($G114,設定!$B$6:$B$21,0)),0))*60&gt;=設定!$C$46,ROUND(FLOOR(($M114-IFERROR(INDEX(設定!$G$6:$G$21,MATCH($G114,設定!$B$6:$B$21,0)),0))*60,設定!$C$47)/60,2),0))</f>
        <v/>
      </c>
      <c r="R114" s="16">
        <f>IF(OR($C114="",$Q114=0),"",IF($G114="國","國定假日",IF($B114="日","例假",IF($B114="六","休息日","平日"))))</f>
        <v/>
      </c>
      <c r="S114" s="18" t="n"/>
    </row>
    <row r="115">
      <c r="A115" s="86">
        <f>IF(OR(醫護長與管理部班表!$A8="",20&gt;DAY(EOMONTH(DATE(設定!$C$2,設定!$D$2,1),0))),"",DATE(設定!$C$2,設定!$D$2,20))</f>
        <v/>
      </c>
      <c r="B115" s="16">
        <f>IF($A115="","",INDEX(設定!$O$6:$O$12,WEEKDAY($A115,1)))</f>
        <v/>
      </c>
      <c r="C115" s="16">
        <f>IF($A115="","",醫護長與管理部班表!$A8)</f>
        <v/>
      </c>
      <c r="D115" s="16">
        <f>IF($C115="","",醫護長與管理部班表!$B8)</f>
        <v/>
      </c>
      <c r="E115" s="16">
        <f>IF($C115="","",醫護長與管理部班表!$D8)</f>
        <v/>
      </c>
      <c r="F115" s="16">
        <f>IF($C115="","",醫護長與管理部班表!$C8)</f>
        <v/>
      </c>
      <c r="G115" s="16">
        <f>IF($C115="","",醫護長與管理部班表!X8)</f>
        <v/>
      </c>
      <c r="H115" s="87">
        <f>IF($G115="","",IFERROR(IF(INDEX(設定!$D$6:$D$21,MATCH($G115,設定!$B$6:$B$21,0))=0,"",INDEX(設定!$D$6:$D$21,MATCH($G115,設定!$B$6:$B$21,0))),""))</f>
        <v/>
      </c>
      <c r="I115" s="87">
        <f>IF($G115="","",IFERROR(IF(INDEX(設定!$E$6:$E$21,MATCH($G115,設定!$B$6:$B$21,0))=0,"",INDEX(設定!$E$6:$E$21,MATCH($G115,設定!$B$6:$B$21,0))),""))</f>
        <v/>
      </c>
      <c r="J115" s="87">
        <f>IFERROR(INDEX(打卡匯入!$C$3:$C$502,MATCH($C115&amp;"|"&amp;DAY($A115),打卡匯入!$E$3:$E$502,0)),"")</f>
        <v/>
      </c>
      <c r="K115" s="87">
        <f>IFERROR(INDEX(打卡匯入!$D$3:$D$502,MATCH($C115&amp;"|"&amp;DAY($A115),打卡匯入!$E$3:$E$502,0)),"")</f>
        <v/>
      </c>
      <c r="L115" s="88">
        <f>IF(OR($J115="",$K115=""),"",IFERROR(INDEX(設定!$F$6:$F$21,MATCH($G115,設定!$B$6:$B$21,0)),0))</f>
        <v/>
      </c>
      <c r="M115" s="89">
        <f>IF(OR($J115="",$K115=""),"",ROUND(($K115-$J115)*24-$L115/60,2))</f>
        <v/>
      </c>
      <c r="N115" s="16">
        <f>IF($C115="","",IF(AND(COUNTIF(設定!$B$15:$B$21,$G115)&gt;0,$J115&lt;&gt;""),"假日出勤",IF(AND(COUNTIF(設定!$B$6:$B$14,$G115)&gt;0,$J115=""),"未打卡",IF($J115="","",IF($O115&gt;0,"遲到",IF($P115&gt;0,"早退","正常"))))))</f>
        <v/>
      </c>
      <c r="O115" s="88">
        <f>IF(OR($C115="",$H115="",$J115=""),0,IF(ROUND(($J115-$H115)*1440,0)&gt;設定!$C$48,ROUND(($J115-$H115)*1440,0),0))</f>
        <v/>
      </c>
      <c r="P115" s="88">
        <f>IF(OR($C115="",$I115="",$K115=""),0,IF(ROUND(($I115-$K115)*1440,0)&gt;設定!$C$48,ROUND(($I115-$K115)*1440,0),0))</f>
        <v/>
      </c>
      <c r="Q115" s="89">
        <f>IF($M115="",0,IF(($M115-IFERROR(INDEX(設定!$G$6:$G$21,MATCH($G115,設定!$B$6:$B$21,0)),0))*60&gt;=設定!$C$46,ROUND(FLOOR(($M115-IFERROR(INDEX(設定!$G$6:$G$21,MATCH($G115,設定!$B$6:$B$21,0)),0))*60,設定!$C$47)/60,2),0))</f>
        <v/>
      </c>
      <c r="R115" s="16">
        <f>IF(OR($C115="",$Q115=0),"",IF($G115="國","國定假日",IF($B115="日","例假",IF($B115="六","休息日","平日"))))</f>
        <v/>
      </c>
      <c r="S115" s="18" t="n"/>
    </row>
    <row r="116">
      <c r="A116" s="86">
        <f>IF(OR(醫護長與管理部班表!$A8="",21&gt;DAY(EOMONTH(DATE(設定!$C$2,設定!$D$2,1),0))),"",DATE(設定!$C$2,設定!$D$2,21))</f>
        <v/>
      </c>
      <c r="B116" s="16">
        <f>IF($A116="","",INDEX(設定!$O$6:$O$12,WEEKDAY($A116,1)))</f>
        <v/>
      </c>
      <c r="C116" s="16">
        <f>IF($A116="","",醫護長與管理部班表!$A8)</f>
        <v/>
      </c>
      <c r="D116" s="16">
        <f>IF($C116="","",醫護長與管理部班表!$B8)</f>
        <v/>
      </c>
      <c r="E116" s="16">
        <f>IF($C116="","",醫護長與管理部班表!$D8)</f>
        <v/>
      </c>
      <c r="F116" s="16">
        <f>IF($C116="","",醫護長與管理部班表!$C8)</f>
        <v/>
      </c>
      <c r="G116" s="16">
        <f>IF($C116="","",醫護長與管理部班表!Y8)</f>
        <v/>
      </c>
      <c r="H116" s="87">
        <f>IF($G116="","",IFERROR(IF(INDEX(設定!$D$6:$D$21,MATCH($G116,設定!$B$6:$B$21,0))=0,"",INDEX(設定!$D$6:$D$21,MATCH($G116,設定!$B$6:$B$21,0))),""))</f>
        <v/>
      </c>
      <c r="I116" s="87">
        <f>IF($G116="","",IFERROR(IF(INDEX(設定!$E$6:$E$21,MATCH($G116,設定!$B$6:$B$21,0))=0,"",INDEX(設定!$E$6:$E$21,MATCH($G116,設定!$B$6:$B$21,0))),""))</f>
        <v/>
      </c>
      <c r="J116" s="87">
        <f>IFERROR(INDEX(打卡匯入!$C$3:$C$502,MATCH($C116&amp;"|"&amp;DAY($A116),打卡匯入!$E$3:$E$502,0)),"")</f>
        <v/>
      </c>
      <c r="K116" s="87">
        <f>IFERROR(INDEX(打卡匯入!$D$3:$D$502,MATCH($C116&amp;"|"&amp;DAY($A116),打卡匯入!$E$3:$E$502,0)),"")</f>
        <v/>
      </c>
      <c r="L116" s="88">
        <f>IF(OR($J116="",$K116=""),"",IFERROR(INDEX(設定!$F$6:$F$21,MATCH($G116,設定!$B$6:$B$21,0)),0))</f>
        <v/>
      </c>
      <c r="M116" s="89">
        <f>IF(OR($J116="",$K116=""),"",ROUND(($K116-$J116)*24-$L116/60,2))</f>
        <v/>
      </c>
      <c r="N116" s="16">
        <f>IF($C116="","",IF(AND(COUNTIF(設定!$B$15:$B$21,$G116)&gt;0,$J116&lt;&gt;""),"假日出勤",IF(AND(COUNTIF(設定!$B$6:$B$14,$G116)&gt;0,$J116=""),"未打卡",IF($J116="","",IF($O116&gt;0,"遲到",IF($P116&gt;0,"早退","正常"))))))</f>
        <v/>
      </c>
      <c r="O116" s="88">
        <f>IF(OR($C116="",$H116="",$J116=""),0,IF(ROUND(($J116-$H116)*1440,0)&gt;設定!$C$48,ROUND(($J116-$H116)*1440,0),0))</f>
        <v/>
      </c>
      <c r="P116" s="88">
        <f>IF(OR($C116="",$I116="",$K116=""),0,IF(ROUND(($I116-$K116)*1440,0)&gt;設定!$C$48,ROUND(($I116-$K116)*1440,0),0))</f>
        <v/>
      </c>
      <c r="Q116" s="89">
        <f>IF($M116="",0,IF(($M116-IFERROR(INDEX(設定!$G$6:$G$21,MATCH($G116,設定!$B$6:$B$21,0)),0))*60&gt;=設定!$C$46,ROUND(FLOOR(($M116-IFERROR(INDEX(設定!$G$6:$G$21,MATCH($G116,設定!$B$6:$B$21,0)),0))*60,設定!$C$47)/60,2),0))</f>
        <v/>
      </c>
      <c r="R116" s="16">
        <f>IF(OR($C116="",$Q116=0),"",IF($G116="國","國定假日",IF($B116="日","例假",IF($B116="六","休息日","平日"))))</f>
        <v/>
      </c>
      <c r="S116" s="18" t="n"/>
    </row>
    <row r="117">
      <c r="A117" s="86">
        <f>IF(OR(醫護長與管理部班表!$A8="",22&gt;DAY(EOMONTH(DATE(設定!$C$2,設定!$D$2,1),0))),"",DATE(設定!$C$2,設定!$D$2,22))</f>
        <v/>
      </c>
      <c r="B117" s="16">
        <f>IF($A117="","",INDEX(設定!$O$6:$O$12,WEEKDAY($A117,1)))</f>
        <v/>
      </c>
      <c r="C117" s="16">
        <f>IF($A117="","",醫護長與管理部班表!$A8)</f>
        <v/>
      </c>
      <c r="D117" s="16">
        <f>IF($C117="","",醫護長與管理部班表!$B8)</f>
        <v/>
      </c>
      <c r="E117" s="16">
        <f>IF($C117="","",醫護長與管理部班表!$D8)</f>
        <v/>
      </c>
      <c r="F117" s="16">
        <f>IF($C117="","",醫護長與管理部班表!$C8)</f>
        <v/>
      </c>
      <c r="G117" s="16">
        <f>IF($C117="","",醫護長與管理部班表!Z8)</f>
        <v/>
      </c>
      <c r="H117" s="87">
        <f>IF($G117="","",IFERROR(IF(INDEX(設定!$D$6:$D$21,MATCH($G117,設定!$B$6:$B$21,0))=0,"",INDEX(設定!$D$6:$D$21,MATCH($G117,設定!$B$6:$B$21,0))),""))</f>
        <v/>
      </c>
      <c r="I117" s="87">
        <f>IF($G117="","",IFERROR(IF(INDEX(設定!$E$6:$E$21,MATCH($G117,設定!$B$6:$B$21,0))=0,"",INDEX(設定!$E$6:$E$21,MATCH($G117,設定!$B$6:$B$21,0))),""))</f>
        <v/>
      </c>
      <c r="J117" s="87">
        <f>IFERROR(INDEX(打卡匯入!$C$3:$C$502,MATCH($C117&amp;"|"&amp;DAY($A117),打卡匯入!$E$3:$E$502,0)),"")</f>
        <v/>
      </c>
      <c r="K117" s="87">
        <f>IFERROR(INDEX(打卡匯入!$D$3:$D$502,MATCH($C117&amp;"|"&amp;DAY($A117),打卡匯入!$E$3:$E$502,0)),"")</f>
        <v/>
      </c>
      <c r="L117" s="88">
        <f>IF(OR($J117="",$K117=""),"",IFERROR(INDEX(設定!$F$6:$F$21,MATCH($G117,設定!$B$6:$B$21,0)),0))</f>
        <v/>
      </c>
      <c r="M117" s="89">
        <f>IF(OR($J117="",$K117=""),"",ROUND(($K117-$J117)*24-$L117/60,2))</f>
        <v/>
      </c>
      <c r="N117" s="16">
        <f>IF($C117="","",IF(AND(COUNTIF(設定!$B$15:$B$21,$G117)&gt;0,$J117&lt;&gt;""),"假日出勤",IF(AND(COUNTIF(設定!$B$6:$B$14,$G117)&gt;0,$J117=""),"未打卡",IF($J117="","",IF($O117&gt;0,"遲到",IF($P117&gt;0,"早退","正常"))))))</f>
        <v/>
      </c>
      <c r="O117" s="88">
        <f>IF(OR($C117="",$H117="",$J117=""),0,IF(ROUND(($J117-$H117)*1440,0)&gt;設定!$C$48,ROUND(($J117-$H117)*1440,0),0))</f>
        <v/>
      </c>
      <c r="P117" s="88">
        <f>IF(OR($C117="",$I117="",$K117=""),0,IF(ROUND(($I117-$K117)*1440,0)&gt;設定!$C$48,ROUND(($I117-$K117)*1440,0),0))</f>
        <v/>
      </c>
      <c r="Q117" s="89">
        <f>IF($M117="",0,IF(($M117-IFERROR(INDEX(設定!$G$6:$G$21,MATCH($G117,設定!$B$6:$B$21,0)),0))*60&gt;=設定!$C$46,ROUND(FLOOR(($M117-IFERROR(INDEX(設定!$G$6:$G$21,MATCH($G117,設定!$B$6:$B$21,0)),0))*60,設定!$C$47)/60,2),0))</f>
        <v/>
      </c>
      <c r="R117" s="16">
        <f>IF(OR($C117="",$Q117=0),"",IF($G117="國","國定假日",IF($B117="日","例假",IF($B117="六","休息日","平日"))))</f>
        <v/>
      </c>
      <c r="S117" s="18" t="n"/>
    </row>
    <row r="118">
      <c r="A118" s="86">
        <f>IF(OR(醫護長與管理部班表!$A8="",23&gt;DAY(EOMONTH(DATE(設定!$C$2,設定!$D$2,1),0))),"",DATE(設定!$C$2,設定!$D$2,23))</f>
        <v/>
      </c>
      <c r="B118" s="16">
        <f>IF($A118="","",INDEX(設定!$O$6:$O$12,WEEKDAY($A118,1)))</f>
        <v/>
      </c>
      <c r="C118" s="16">
        <f>IF($A118="","",醫護長與管理部班表!$A8)</f>
        <v/>
      </c>
      <c r="D118" s="16">
        <f>IF($C118="","",醫護長與管理部班表!$B8)</f>
        <v/>
      </c>
      <c r="E118" s="16">
        <f>IF($C118="","",醫護長與管理部班表!$D8)</f>
        <v/>
      </c>
      <c r="F118" s="16">
        <f>IF($C118="","",醫護長與管理部班表!$C8)</f>
        <v/>
      </c>
      <c r="G118" s="16">
        <f>IF($C118="","",醫護長與管理部班表!AA8)</f>
        <v/>
      </c>
      <c r="H118" s="87">
        <f>IF($G118="","",IFERROR(IF(INDEX(設定!$D$6:$D$21,MATCH($G118,設定!$B$6:$B$21,0))=0,"",INDEX(設定!$D$6:$D$21,MATCH($G118,設定!$B$6:$B$21,0))),""))</f>
        <v/>
      </c>
      <c r="I118" s="87">
        <f>IF($G118="","",IFERROR(IF(INDEX(設定!$E$6:$E$21,MATCH($G118,設定!$B$6:$B$21,0))=0,"",INDEX(設定!$E$6:$E$21,MATCH($G118,設定!$B$6:$B$21,0))),""))</f>
        <v/>
      </c>
      <c r="J118" s="87">
        <f>IFERROR(INDEX(打卡匯入!$C$3:$C$502,MATCH($C118&amp;"|"&amp;DAY($A118),打卡匯入!$E$3:$E$502,0)),"")</f>
        <v/>
      </c>
      <c r="K118" s="87">
        <f>IFERROR(INDEX(打卡匯入!$D$3:$D$502,MATCH($C118&amp;"|"&amp;DAY($A118),打卡匯入!$E$3:$E$502,0)),"")</f>
        <v/>
      </c>
      <c r="L118" s="88">
        <f>IF(OR($J118="",$K118=""),"",IFERROR(INDEX(設定!$F$6:$F$21,MATCH($G118,設定!$B$6:$B$21,0)),0))</f>
        <v/>
      </c>
      <c r="M118" s="89">
        <f>IF(OR($J118="",$K118=""),"",ROUND(($K118-$J118)*24-$L118/60,2))</f>
        <v/>
      </c>
      <c r="N118" s="16">
        <f>IF($C118="","",IF(AND(COUNTIF(設定!$B$15:$B$21,$G118)&gt;0,$J118&lt;&gt;""),"假日出勤",IF(AND(COUNTIF(設定!$B$6:$B$14,$G118)&gt;0,$J118=""),"未打卡",IF($J118="","",IF($O118&gt;0,"遲到",IF($P118&gt;0,"早退","正常"))))))</f>
        <v/>
      </c>
      <c r="O118" s="88">
        <f>IF(OR($C118="",$H118="",$J118=""),0,IF(ROUND(($J118-$H118)*1440,0)&gt;設定!$C$48,ROUND(($J118-$H118)*1440,0),0))</f>
        <v/>
      </c>
      <c r="P118" s="88">
        <f>IF(OR($C118="",$I118="",$K118=""),0,IF(ROUND(($I118-$K118)*1440,0)&gt;設定!$C$48,ROUND(($I118-$K118)*1440,0),0))</f>
        <v/>
      </c>
      <c r="Q118" s="89">
        <f>IF($M118="",0,IF(($M118-IFERROR(INDEX(設定!$G$6:$G$21,MATCH($G118,設定!$B$6:$B$21,0)),0))*60&gt;=設定!$C$46,ROUND(FLOOR(($M118-IFERROR(INDEX(設定!$G$6:$G$21,MATCH($G118,設定!$B$6:$B$21,0)),0))*60,設定!$C$47)/60,2),0))</f>
        <v/>
      </c>
      <c r="R118" s="16">
        <f>IF(OR($C118="",$Q118=0),"",IF($G118="國","國定假日",IF($B118="日","例假",IF($B118="六","休息日","平日"))))</f>
        <v/>
      </c>
      <c r="S118" s="18" t="n"/>
    </row>
    <row r="119">
      <c r="A119" s="86">
        <f>IF(OR(醫護長與管理部班表!$A8="",24&gt;DAY(EOMONTH(DATE(設定!$C$2,設定!$D$2,1),0))),"",DATE(設定!$C$2,設定!$D$2,24))</f>
        <v/>
      </c>
      <c r="B119" s="16">
        <f>IF($A119="","",INDEX(設定!$O$6:$O$12,WEEKDAY($A119,1)))</f>
        <v/>
      </c>
      <c r="C119" s="16">
        <f>IF($A119="","",醫護長與管理部班表!$A8)</f>
        <v/>
      </c>
      <c r="D119" s="16">
        <f>IF($C119="","",醫護長與管理部班表!$B8)</f>
        <v/>
      </c>
      <c r="E119" s="16">
        <f>IF($C119="","",醫護長與管理部班表!$D8)</f>
        <v/>
      </c>
      <c r="F119" s="16">
        <f>IF($C119="","",醫護長與管理部班表!$C8)</f>
        <v/>
      </c>
      <c r="G119" s="16">
        <f>IF($C119="","",醫護長與管理部班表!AB8)</f>
        <v/>
      </c>
      <c r="H119" s="87">
        <f>IF($G119="","",IFERROR(IF(INDEX(設定!$D$6:$D$21,MATCH($G119,設定!$B$6:$B$21,0))=0,"",INDEX(設定!$D$6:$D$21,MATCH($G119,設定!$B$6:$B$21,0))),""))</f>
        <v/>
      </c>
      <c r="I119" s="87">
        <f>IF($G119="","",IFERROR(IF(INDEX(設定!$E$6:$E$21,MATCH($G119,設定!$B$6:$B$21,0))=0,"",INDEX(設定!$E$6:$E$21,MATCH($G119,設定!$B$6:$B$21,0))),""))</f>
        <v/>
      </c>
      <c r="J119" s="87">
        <f>IFERROR(INDEX(打卡匯入!$C$3:$C$502,MATCH($C119&amp;"|"&amp;DAY($A119),打卡匯入!$E$3:$E$502,0)),"")</f>
        <v/>
      </c>
      <c r="K119" s="87">
        <f>IFERROR(INDEX(打卡匯入!$D$3:$D$502,MATCH($C119&amp;"|"&amp;DAY($A119),打卡匯入!$E$3:$E$502,0)),"")</f>
        <v/>
      </c>
      <c r="L119" s="88">
        <f>IF(OR($J119="",$K119=""),"",IFERROR(INDEX(設定!$F$6:$F$21,MATCH($G119,設定!$B$6:$B$21,0)),0))</f>
        <v/>
      </c>
      <c r="M119" s="89">
        <f>IF(OR($J119="",$K119=""),"",ROUND(($K119-$J119)*24-$L119/60,2))</f>
        <v/>
      </c>
      <c r="N119" s="16">
        <f>IF($C119="","",IF(AND(COUNTIF(設定!$B$15:$B$21,$G119)&gt;0,$J119&lt;&gt;""),"假日出勤",IF(AND(COUNTIF(設定!$B$6:$B$14,$G119)&gt;0,$J119=""),"未打卡",IF($J119="","",IF($O119&gt;0,"遲到",IF($P119&gt;0,"早退","正常"))))))</f>
        <v/>
      </c>
      <c r="O119" s="88">
        <f>IF(OR($C119="",$H119="",$J119=""),0,IF(ROUND(($J119-$H119)*1440,0)&gt;設定!$C$48,ROUND(($J119-$H119)*1440,0),0))</f>
        <v/>
      </c>
      <c r="P119" s="88">
        <f>IF(OR($C119="",$I119="",$K119=""),0,IF(ROUND(($I119-$K119)*1440,0)&gt;設定!$C$48,ROUND(($I119-$K119)*1440,0),0))</f>
        <v/>
      </c>
      <c r="Q119" s="89">
        <f>IF($M119="",0,IF(($M119-IFERROR(INDEX(設定!$G$6:$G$21,MATCH($G119,設定!$B$6:$B$21,0)),0))*60&gt;=設定!$C$46,ROUND(FLOOR(($M119-IFERROR(INDEX(設定!$G$6:$G$21,MATCH($G119,設定!$B$6:$B$21,0)),0))*60,設定!$C$47)/60,2),0))</f>
        <v/>
      </c>
      <c r="R119" s="16">
        <f>IF(OR($C119="",$Q119=0),"",IF($G119="國","國定假日",IF($B119="日","例假",IF($B119="六","休息日","平日"))))</f>
        <v/>
      </c>
      <c r="S119" s="18" t="n"/>
    </row>
    <row r="120">
      <c r="A120" s="86">
        <f>IF(OR(醫護長與管理部班表!$A8="",25&gt;DAY(EOMONTH(DATE(設定!$C$2,設定!$D$2,1),0))),"",DATE(設定!$C$2,設定!$D$2,25))</f>
        <v/>
      </c>
      <c r="B120" s="16">
        <f>IF($A120="","",INDEX(設定!$O$6:$O$12,WEEKDAY($A120,1)))</f>
        <v/>
      </c>
      <c r="C120" s="16">
        <f>IF($A120="","",醫護長與管理部班表!$A8)</f>
        <v/>
      </c>
      <c r="D120" s="16">
        <f>IF($C120="","",醫護長與管理部班表!$B8)</f>
        <v/>
      </c>
      <c r="E120" s="16">
        <f>IF($C120="","",醫護長與管理部班表!$D8)</f>
        <v/>
      </c>
      <c r="F120" s="16">
        <f>IF($C120="","",醫護長與管理部班表!$C8)</f>
        <v/>
      </c>
      <c r="G120" s="16">
        <f>IF($C120="","",醫護長與管理部班表!AC8)</f>
        <v/>
      </c>
      <c r="H120" s="87">
        <f>IF($G120="","",IFERROR(IF(INDEX(設定!$D$6:$D$21,MATCH($G120,設定!$B$6:$B$21,0))=0,"",INDEX(設定!$D$6:$D$21,MATCH($G120,設定!$B$6:$B$21,0))),""))</f>
        <v/>
      </c>
      <c r="I120" s="87">
        <f>IF($G120="","",IFERROR(IF(INDEX(設定!$E$6:$E$21,MATCH($G120,設定!$B$6:$B$21,0))=0,"",INDEX(設定!$E$6:$E$21,MATCH($G120,設定!$B$6:$B$21,0))),""))</f>
        <v/>
      </c>
      <c r="J120" s="87">
        <f>IFERROR(INDEX(打卡匯入!$C$3:$C$502,MATCH($C120&amp;"|"&amp;DAY($A120),打卡匯入!$E$3:$E$502,0)),"")</f>
        <v/>
      </c>
      <c r="K120" s="87">
        <f>IFERROR(INDEX(打卡匯入!$D$3:$D$502,MATCH($C120&amp;"|"&amp;DAY($A120),打卡匯入!$E$3:$E$502,0)),"")</f>
        <v/>
      </c>
      <c r="L120" s="88">
        <f>IF(OR($J120="",$K120=""),"",IFERROR(INDEX(設定!$F$6:$F$21,MATCH($G120,設定!$B$6:$B$21,0)),0))</f>
        <v/>
      </c>
      <c r="M120" s="89">
        <f>IF(OR($J120="",$K120=""),"",ROUND(($K120-$J120)*24-$L120/60,2))</f>
        <v/>
      </c>
      <c r="N120" s="16">
        <f>IF($C120="","",IF(AND(COUNTIF(設定!$B$15:$B$21,$G120)&gt;0,$J120&lt;&gt;""),"假日出勤",IF(AND(COUNTIF(設定!$B$6:$B$14,$G120)&gt;0,$J120=""),"未打卡",IF($J120="","",IF($O120&gt;0,"遲到",IF($P120&gt;0,"早退","正常"))))))</f>
        <v/>
      </c>
      <c r="O120" s="88">
        <f>IF(OR($C120="",$H120="",$J120=""),0,IF(ROUND(($J120-$H120)*1440,0)&gt;設定!$C$48,ROUND(($J120-$H120)*1440,0),0))</f>
        <v/>
      </c>
      <c r="P120" s="88">
        <f>IF(OR($C120="",$I120="",$K120=""),0,IF(ROUND(($I120-$K120)*1440,0)&gt;設定!$C$48,ROUND(($I120-$K120)*1440,0),0))</f>
        <v/>
      </c>
      <c r="Q120" s="89">
        <f>IF($M120="",0,IF(($M120-IFERROR(INDEX(設定!$G$6:$G$21,MATCH($G120,設定!$B$6:$B$21,0)),0))*60&gt;=設定!$C$46,ROUND(FLOOR(($M120-IFERROR(INDEX(設定!$G$6:$G$21,MATCH($G120,設定!$B$6:$B$21,0)),0))*60,設定!$C$47)/60,2),0))</f>
        <v/>
      </c>
      <c r="R120" s="16">
        <f>IF(OR($C120="",$Q120=0),"",IF($G120="國","國定假日",IF($B120="日","例假",IF($B120="六","休息日","平日"))))</f>
        <v/>
      </c>
      <c r="S120" s="18" t="n"/>
    </row>
    <row r="121">
      <c r="A121" s="86">
        <f>IF(OR(醫護長與管理部班表!$A8="",26&gt;DAY(EOMONTH(DATE(設定!$C$2,設定!$D$2,1),0))),"",DATE(設定!$C$2,設定!$D$2,26))</f>
        <v/>
      </c>
      <c r="B121" s="16">
        <f>IF($A121="","",INDEX(設定!$O$6:$O$12,WEEKDAY($A121,1)))</f>
        <v/>
      </c>
      <c r="C121" s="16">
        <f>IF($A121="","",醫護長與管理部班表!$A8)</f>
        <v/>
      </c>
      <c r="D121" s="16">
        <f>IF($C121="","",醫護長與管理部班表!$B8)</f>
        <v/>
      </c>
      <c r="E121" s="16">
        <f>IF($C121="","",醫護長與管理部班表!$D8)</f>
        <v/>
      </c>
      <c r="F121" s="16">
        <f>IF($C121="","",醫護長與管理部班表!$C8)</f>
        <v/>
      </c>
      <c r="G121" s="16">
        <f>IF($C121="","",醫護長與管理部班表!AD8)</f>
        <v/>
      </c>
      <c r="H121" s="87">
        <f>IF($G121="","",IFERROR(IF(INDEX(設定!$D$6:$D$21,MATCH($G121,設定!$B$6:$B$21,0))=0,"",INDEX(設定!$D$6:$D$21,MATCH($G121,設定!$B$6:$B$21,0))),""))</f>
        <v/>
      </c>
      <c r="I121" s="87">
        <f>IF($G121="","",IFERROR(IF(INDEX(設定!$E$6:$E$21,MATCH($G121,設定!$B$6:$B$21,0))=0,"",INDEX(設定!$E$6:$E$21,MATCH($G121,設定!$B$6:$B$21,0))),""))</f>
        <v/>
      </c>
      <c r="J121" s="87">
        <f>IFERROR(INDEX(打卡匯入!$C$3:$C$502,MATCH($C121&amp;"|"&amp;DAY($A121),打卡匯入!$E$3:$E$502,0)),"")</f>
        <v/>
      </c>
      <c r="K121" s="87">
        <f>IFERROR(INDEX(打卡匯入!$D$3:$D$502,MATCH($C121&amp;"|"&amp;DAY($A121),打卡匯入!$E$3:$E$502,0)),"")</f>
        <v/>
      </c>
      <c r="L121" s="88">
        <f>IF(OR($J121="",$K121=""),"",IFERROR(INDEX(設定!$F$6:$F$21,MATCH($G121,設定!$B$6:$B$21,0)),0))</f>
        <v/>
      </c>
      <c r="M121" s="89">
        <f>IF(OR($J121="",$K121=""),"",ROUND(($K121-$J121)*24-$L121/60,2))</f>
        <v/>
      </c>
      <c r="N121" s="16">
        <f>IF($C121="","",IF(AND(COUNTIF(設定!$B$15:$B$21,$G121)&gt;0,$J121&lt;&gt;""),"假日出勤",IF(AND(COUNTIF(設定!$B$6:$B$14,$G121)&gt;0,$J121=""),"未打卡",IF($J121="","",IF($O121&gt;0,"遲到",IF($P121&gt;0,"早退","正常"))))))</f>
        <v/>
      </c>
      <c r="O121" s="88">
        <f>IF(OR($C121="",$H121="",$J121=""),0,IF(ROUND(($J121-$H121)*1440,0)&gt;設定!$C$48,ROUND(($J121-$H121)*1440,0),0))</f>
        <v/>
      </c>
      <c r="P121" s="88">
        <f>IF(OR($C121="",$I121="",$K121=""),0,IF(ROUND(($I121-$K121)*1440,0)&gt;設定!$C$48,ROUND(($I121-$K121)*1440,0),0))</f>
        <v/>
      </c>
      <c r="Q121" s="89">
        <f>IF($M121="",0,IF(($M121-IFERROR(INDEX(設定!$G$6:$G$21,MATCH($G121,設定!$B$6:$B$21,0)),0))*60&gt;=設定!$C$46,ROUND(FLOOR(($M121-IFERROR(INDEX(設定!$G$6:$G$21,MATCH($G121,設定!$B$6:$B$21,0)),0))*60,設定!$C$47)/60,2),0))</f>
        <v/>
      </c>
      <c r="R121" s="16">
        <f>IF(OR($C121="",$Q121=0),"",IF($G121="國","國定假日",IF($B121="日","例假",IF($B121="六","休息日","平日"))))</f>
        <v/>
      </c>
      <c r="S121" s="18" t="n"/>
    </row>
    <row r="122">
      <c r="A122" s="86">
        <f>IF(OR(醫護長與管理部班表!$A8="",27&gt;DAY(EOMONTH(DATE(設定!$C$2,設定!$D$2,1),0))),"",DATE(設定!$C$2,設定!$D$2,27))</f>
        <v/>
      </c>
      <c r="B122" s="16">
        <f>IF($A122="","",INDEX(設定!$O$6:$O$12,WEEKDAY($A122,1)))</f>
        <v/>
      </c>
      <c r="C122" s="16">
        <f>IF($A122="","",醫護長與管理部班表!$A8)</f>
        <v/>
      </c>
      <c r="D122" s="16">
        <f>IF($C122="","",醫護長與管理部班表!$B8)</f>
        <v/>
      </c>
      <c r="E122" s="16">
        <f>IF($C122="","",醫護長與管理部班表!$D8)</f>
        <v/>
      </c>
      <c r="F122" s="16">
        <f>IF($C122="","",醫護長與管理部班表!$C8)</f>
        <v/>
      </c>
      <c r="G122" s="16">
        <f>IF($C122="","",醫護長與管理部班表!AE8)</f>
        <v/>
      </c>
      <c r="H122" s="87">
        <f>IF($G122="","",IFERROR(IF(INDEX(設定!$D$6:$D$21,MATCH($G122,設定!$B$6:$B$21,0))=0,"",INDEX(設定!$D$6:$D$21,MATCH($G122,設定!$B$6:$B$21,0))),""))</f>
        <v/>
      </c>
      <c r="I122" s="87">
        <f>IF($G122="","",IFERROR(IF(INDEX(設定!$E$6:$E$21,MATCH($G122,設定!$B$6:$B$21,0))=0,"",INDEX(設定!$E$6:$E$21,MATCH($G122,設定!$B$6:$B$21,0))),""))</f>
        <v/>
      </c>
      <c r="J122" s="87">
        <f>IFERROR(INDEX(打卡匯入!$C$3:$C$502,MATCH($C122&amp;"|"&amp;DAY($A122),打卡匯入!$E$3:$E$502,0)),"")</f>
        <v/>
      </c>
      <c r="K122" s="87">
        <f>IFERROR(INDEX(打卡匯入!$D$3:$D$502,MATCH($C122&amp;"|"&amp;DAY($A122),打卡匯入!$E$3:$E$502,0)),"")</f>
        <v/>
      </c>
      <c r="L122" s="88">
        <f>IF(OR($J122="",$K122=""),"",IFERROR(INDEX(設定!$F$6:$F$21,MATCH($G122,設定!$B$6:$B$21,0)),0))</f>
        <v/>
      </c>
      <c r="M122" s="89">
        <f>IF(OR($J122="",$K122=""),"",ROUND(($K122-$J122)*24-$L122/60,2))</f>
        <v/>
      </c>
      <c r="N122" s="16">
        <f>IF($C122="","",IF(AND(COUNTIF(設定!$B$15:$B$21,$G122)&gt;0,$J122&lt;&gt;""),"假日出勤",IF(AND(COUNTIF(設定!$B$6:$B$14,$G122)&gt;0,$J122=""),"未打卡",IF($J122="","",IF($O122&gt;0,"遲到",IF($P122&gt;0,"早退","正常"))))))</f>
        <v/>
      </c>
      <c r="O122" s="88">
        <f>IF(OR($C122="",$H122="",$J122=""),0,IF(ROUND(($J122-$H122)*1440,0)&gt;設定!$C$48,ROUND(($J122-$H122)*1440,0),0))</f>
        <v/>
      </c>
      <c r="P122" s="88">
        <f>IF(OR($C122="",$I122="",$K122=""),0,IF(ROUND(($I122-$K122)*1440,0)&gt;設定!$C$48,ROUND(($I122-$K122)*1440,0),0))</f>
        <v/>
      </c>
      <c r="Q122" s="89">
        <f>IF($M122="",0,IF(($M122-IFERROR(INDEX(設定!$G$6:$G$21,MATCH($G122,設定!$B$6:$B$21,0)),0))*60&gt;=設定!$C$46,ROUND(FLOOR(($M122-IFERROR(INDEX(設定!$G$6:$G$21,MATCH($G122,設定!$B$6:$B$21,0)),0))*60,設定!$C$47)/60,2),0))</f>
        <v/>
      </c>
      <c r="R122" s="16">
        <f>IF(OR($C122="",$Q122=0),"",IF($G122="國","國定假日",IF($B122="日","例假",IF($B122="六","休息日","平日"))))</f>
        <v/>
      </c>
      <c r="S122" s="18" t="n"/>
    </row>
    <row r="123">
      <c r="A123" s="86">
        <f>IF(OR(醫護長與管理部班表!$A8="",28&gt;DAY(EOMONTH(DATE(設定!$C$2,設定!$D$2,1),0))),"",DATE(設定!$C$2,設定!$D$2,28))</f>
        <v/>
      </c>
      <c r="B123" s="16">
        <f>IF($A123="","",INDEX(設定!$O$6:$O$12,WEEKDAY($A123,1)))</f>
        <v/>
      </c>
      <c r="C123" s="16">
        <f>IF($A123="","",醫護長與管理部班表!$A8)</f>
        <v/>
      </c>
      <c r="D123" s="16">
        <f>IF($C123="","",醫護長與管理部班表!$B8)</f>
        <v/>
      </c>
      <c r="E123" s="16">
        <f>IF($C123="","",醫護長與管理部班表!$D8)</f>
        <v/>
      </c>
      <c r="F123" s="16">
        <f>IF($C123="","",醫護長與管理部班表!$C8)</f>
        <v/>
      </c>
      <c r="G123" s="16">
        <f>IF($C123="","",醫護長與管理部班表!AF8)</f>
        <v/>
      </c>
      <c r="H123" s="87">
        <f>IF($G123="","",IFERROR(IF(INDEX(設定!$D$6:$D$21,MATCH($G123,設定!$B$6:$B$21,0))=0,"",INDEX(設定!$D$6:$D$21,MATCH($G123,設定!$B$6:$B$21,0))),""))</f>
        <v/>
      </c>
      <c r="I123" s="87">
        <f>IF($G123="","",IFERROR(IF(INDEX(設定!$E$6:$E$21,MATCH($G123,設定!$B$6:$B$21,0))=0,"",INDEX(設定!$E$6:$E$21,MATCH($G123,設定!$B$6:$B$21,0))),""))</f>
        <v/>
      </c>
      <c r="J123" s="87">
        <f>IFERROR(INDEX(打卡匯入!$C$3:$C$502,MATCH($C123&amp;"|"&amp;DAY($A123),打卡匯入!$E$3:$E$502,0)),"")</f>
        <v/>
      </c>
      <c r="K123" s="87">
        <f>IFERROR(INDEX(打卡匯入!$D$3:$D$502,MATCH($C123&amp;"|"&amp;DAY($A123),打卡匯入!$E$3:$E$502,0)),"")</f>
        <v/>
      </c>
      <c r="L123" s="88">
        <f>IF(OR($J123="",$K123=""),"",IFERROR(INDEX(設定!$F$6:$F$21,MATCH($G123,設定!$B$6:$B$21,0)),0))</f>
        <v/>
      </c>
      <c r="M123" s="89">
        <f>IF(OR($J123="",$K123=""),"",ROUND(($K123-$J123)*24-$L123/60,2))</f>
        <v/>
      </c>
      <c r="N123" s="16">
        <f>IF($C123="","",IF(AND(COUNTIF(設定!$B$15:$B$21,$G123)&gt;0,$J123&lt;&gt;""),"假日出勤",IF(AND(COUNTIF(設定!$B$6:$B$14,$G123)&gt;0,$J123=""),"未打卡",IF($J123="","",IF($O123&gt;0,"遲到",IF($P123&gt;0,"早退","正常"))))))</f>
        <v/>
      </c>
      <c r="O123" s="88">
        <f>IF(OR($C123="",$H123="",$J123=""),0,IF(ROUND(($J123-$H123)*1440,0)&gt;設定!$C$48,ROUND(($J123-$H123)*1440,0),0))</f>
        <v/>
      </c>
      <c r="P123" s="88">
        <f>IF(OR($C123="",$I123="",$K123=""),0,IF(ROUND(($I123-$K123)*1440,0)&gt;設定!$C$48,ROUND(($I123-$K123)*1440,0),0))</f>
        <v/>
      </c>
      <c r="Q123" s="89">
        <f>IF($M123="",0,IF(($M123-IFERROR(INDEX(設定!$G$6:$G$21,MATCH($G123,設定!$B$6:$B$21,0)),0))*60&gt;=設定!$C$46,ROUND(FLOOR(($M123-IFERROR(INDEX(設定!$G$6:$G$21,MATCH($G123,設定!$B$6:$B$21,0)),0))*60,設定!$C$47)/60,2),0))</f>
        <v/>
      </c>
      <c r="R123" s="16">
        <f>IF(OR($C123="",$Q123=0),"",IF($G123="國","國定假日",IF($B123="日","例假",IF($B123="六","休息日","平日"))))</f>
        <v/>
      </c>
      <c r="S123" s="18" t="n"/>
    </row>
    <row r="124">
      <c r="A124" s="86">
        <f>IF(OR(醫護長與管理部班表!$A8="",29&gt;DAY(EOMONTH(DATE(設定!$C$2,設定!$D$2,1),0))),"",DATE(設定!$C$2,設定!$D$2,29))</f>
        <v/>
      </c>
      <c r="B124" s="16">
        <f>IF($A124="","",INDEX(設定!$O$6:$O$12,WEEKDAY($A124,1)))</f>
        <v/>
      </c>
      <c r="C124" s="16">
        <f>IF($A124="","",醫護長與管理部班表!$A8)</f>
        <v/>
      </c>
      <c r="D124" s="16">
        <f>IF($C124="","",醫護長與管理部班表!$B8)</f>
        <v/>
      </c>
      <c r="E124" s="16">
        <f>IF($C124="","",醫護長與管理部班表!$D8)</f>
        <v/>
      </c>
      <c r="F124" s="16">
        <f>IF($C124="","",醫護長與管理部班表!$C8)</f>
        <v/>
      </c>
      <c r="G124" s="16">
        <f>IF($C124="","",醫護長與管理部班表!AG8)</f>
        <v/>
      </c>
      <c r="H124" s="87">
        <f>IF($G124="","",IFERROR(IF(INDEX(設定!$D$6:$D$21,MATCH($G124,設定!$B$6:$B$21,0))=0,"",INDEX(設定!$D$6:$D$21,MATCH($G124,設定!$B$6:$B$21,0))),""))</f>
        <v/>
      </c>
      <c r="I124" s="87">
        <f>IF($G124="","",IFERROR(IF(INDEX(設定!$E$6:$E$21,MATCH($G124,設定!$B$6:$B$21,0))=0,"",INDEX(設定!$E$6:$E$21,MATCH($G124,設定!$B$6:$B$21,0))),""))</f>
        <v/>
      </c>
      <c r="J124" s="87">
        <f>IFERROR(INDEX(打卡匯入!$C$3:$C$502,MATCH($C124&amp;"|"&amp;DAY($A124),打卡匯入!$E$3:$E$502,0)),"")</f>
        <v/>
      </c>
      <c r="K124" s="87">
        <f>IFERROR(INDEX(打卡匯入!$D$3:$D$502,MATCH($C124&amp;"|"&amp;DAY($A124),打卡匯入!$E$3:$E$502,0)),"")</f>
        <v/>
      </c>
      <c r="L124" s="88">
        <f>IF(OR($J124="",$K124=""),"",IFERROR(INDEX(設定!$F$6:$F$21,MATCH($G124,設定!$B$6:$B$21,0)),0))</f>
        <v/>
      </c>
      <c r="M124" s="89">
        <f>IF(OR($J124="",$K124=""),"",ROUND(($K124-$J124)*24-$L124/60,2))</f>
        <v/>
      </c>
      <c r="N124" s="16">
        <f>IF($C124="","",IF(AND(COUNTIF(設定!$B$15:$B$21,$G124)&gt;0,$J124&lt;&gt;""),"假日出勤",IF(AND(COUNTIF(設定!$B$6:$B$14,$G124)&gt;0,$J124=""),"未打卡",IF($J124="","",IF($O124&gt;0,"遲到",IF($P124&gt;0,"早退","正常"))))))</f>
        <v/>
      </c>
      <c r="O124" s="88">
        <f>IF(OR($C124="",$H124="",$J124=""),0,IF(ROUND(($J124-$H124)*1440,0)&gt;設定!$C$48,ROUND(($J124-$H124)*1440,0),0))</f>
        <v/>
      </c>
      <c r="P124" s="88">
        <f>IF(OR($C124="",$I124="",$K124=""),0,IF(ROUND(($I124-$K124)*1440,0)&gt;設定!$C$48,ROUND(($I124-$K124)*1440,0),0))</f>
        <v/>
      </c>
      <c r="Q124" s="89">
        <f>IF($M124="",0,IF(($M124-IFERROR(INDEX(設定!$G$6:$G$21,MATCH($G124,設定!$B$6:$B$21,0)),0))*60&gt;=設定!$C$46,ROUND(FLOOR(($M124-IFERROR(INDEX(設定!$G$6:$G$21,MATCH($G124,設定!$B$6:$B$21,0)),0))*60,設定!$C$47)/60,2),0))</f>
        <v/>
      </c>
      <c r="R124" s="16">
        <f>IF(OR($C124="",$Q124=0),"",IF($G124="國","國定假日",IF($B124="日","例假",IF($B124="六","休息日","平日"))))</f>
        <v/>
      </c>
      <c r="S124" s="18" t="n"/>
    </row>
    <row r="125">
      <c r="A125" s="86">
        <f>IF(OR(醫護長與管理部班表!$A8="",30&gt;DAY(EOMONTH(DATE(設定!$C$2,設定!$D$2,1),0))),"",DATE(設定!$C$2,設定!$D$2,30))</f>
        <v/>
      </c>
      <c r="B125" s="16">
        <f>IF($A125="","",INDEX(設定!$O$6:$O$12,WEEKDAY($A125,1)))</f>
        <v/>
      </c>
      <c r="C125" s="16">
        <f>IF($A125="","",醫護長與管理部班表!$A8)</f>
        <v/>
      </c>
      <c r="D125" s="16">
        <f>IF($C125="","",醫護長與管理部班表!$B8)</f>
        <v/>
      </c>
      <c r="E125" s="16">
        <f>IF($C125="","",醫護長與管理部班表!$D8)</f>
        <v/>
      </c>
      <c r="F125" s="16">
        <f>IF($C125="","",醫護長與管理部班表!$C8)</f>
        <v/>
      </c>
      <c r="G125" s="16">
        <f>IF($C125="","",醫護長與管理部班表!AH8)</f>
        <v/>
      </c>
      <c r="H125" s="87">
        <f>IF($G125="","",IFERROR(IF(INDEX(設定!$D$6:$D$21,MATCH($G125,設定!$B$6:$B$21,0))=0,"",INDEX(設定!$D$6:$D$21,MATCH($G125,設定!$B$6:$B$21,0))),""))</f>
        <v/>
      </c>
      <c r="I125" s="87">
        <f>IF($G125="","",IFERROR(IF(INDEX(設定!$E$6:$E$21,MATCH($G125,設定!$B$6:$B$21,0))=0,"",INDEX(設定!$E$6:$E$21,MATCH($G125,設定!$B$6:$B$21,0))),""))</f>
        <v/>
      </c>
      <c r="J125" s="87">
        <f>IFERROR(INDEX(打卡匯入!$C$3:$C$502,MATCH($C125&amp;"|"&amp;DAY($A125),打卡匯入!$E$3:$E$502,0)),"")</f>
        <v/>
      </c>
      <c r="K125" s="87">
        <f>IFERROR(INDEX(打卡匯入!$D$3:$D$502,MATCH($C125&amp;"|"&amp;DAY($A125),打卡匯入!$E$3:$E$502,0)),"")</f>
        <v/>
      </c>
      <c r="L125" s="88">
        <f>IF(OR($J125="",$K125=""),"",IFERROR(INDEX(設定!$F$6:$F$21,MATCH($G125,設定!$B$6:$B$21,0)),0))</f>
        <v/>
      </c>
      <c r="M125" s="89">
        <f>IF(OR($J125="",$K125=""),"",ROUND(($K125-$J125)*24-$L125/60,2))</f>
        <v/>
      </c>
      <c r="N125" s="16">
        <f>IF($C125="","",IF(AND(COUNTIF(設定!$B$15:$B$21,$G125)&gt;0,$J125&lt;&gt;""),"假日出勤",IF(AND(COUNTIF(設定!$B$6:$B$14,$G125)&gt;0,$J125=""),"未打卡",IF($J125="","",IF($O125&gt;0,"遲到",IF($P125&gt;0,"早退","正常"))))))</f>
        <v/>
      </c>
      <c r="O125" s="88">
        <f>IF(OR($C125="",$H125="",$J125=""),0,IF(ROUND(($J125-$H125)*1440,0)&gt;設定!$C$48,ROUND(($J125-$H125)*1440,0),0))</f>
        <v/>
      </c>
      <c r="P125" s="88">
        <f>IF(OR($C125="",$I125="",$K125=""),0,IF(ROUND(($I125-$K125)*1440,0)&gt;設定!$C$48,ROUND(($I125-$K125)*1440,0),0))</f>
        <v/>
      </c>
      <c r="Q125" s="89">
        <f>IF($M125="",0,IF(($M125-IFERROR(INDEX(設定!$G$6:$G$21,MATCH($G125,設定!$B$6:$B$21,0)),0))*60&gt;=設定!$C$46,ROUND(FLOOR(($M125-IFERROR(INDEX(設定!$G$6:$G$21,MATCH($G125,設定!$B$6:$B$21,0)),0))*60,設定!$C$47)/60,2),0))</f>
        <v/>
      </c>
      <c r="R125" s="16">
        <f>IF(OR($C125="",$Q125=0),"",IF($G125="國","國定假日",IF($B125="日","例假",IF($B125="六","休息日","平日"))))</f>
        <v/>
      </c>
      <c r="S125" s="18" t="n"/>
    </row>
    <row r="126">
      <c r="A126" s="86">
        <f>IF(OR(醫護長與管理部班表!$A8="",31&gt;DAY(EOMONTH(DATE(設定!$C$2,設定!$D$2,1),0))),"",DATE(設定!$C$2,設定!$D$2,31))</f>
        <v/>
      </c>
      <c r="B126" s="16">
        <f>IF($A126="","",INDEX(設定!$O$6:$O$12,WEEKDAY($A126,1)))</f>
        <v/>
      </c>
      <c r="C126" s="16">
        <f>IF($A126="","",醫護長與管理部班表!$A8)</f>
        <v/>
      </c>
      <c r="D126" s="16">
        <f>IF($C126="","",醫護長與管理部班表!$B8)</f>
        <v/>
      </c>
      <c r="E126" s="16">
        <f>IF($C126="","",醫護長與管理部班表!$D8)</f>
        <v/>
      </c>
      <c r="F126" s="16">
        <f>IF($C126="","",醫護長與管理部班表!$C8)</f>
        <v/>
      </c>
      <c r="G126" s="16">
        <f>IF($C126="","",醫護長與管理部班表!AI8)</f>
        <v/>
      </c>
      <c r="H126" s="87">
        <f>IF($G126="","",IFERROR(IF(INDEX(設定!$D$6:$D$21,MATCH($G126,設定!$B$6:$B$21,0))=0,"",INDEX(設定!$D$6:$D$21,MATCH($G126,設定!$B$6:$B$21,0))),""))</f>
        <v/>
      </c>
      <c r="I126" s="87">
        <f>IF($G126="","",IFERROR(IF(INDEX(設定!$E$6:$E$21,MATCH($G126,設定!$B$6:$B$21,0))=0,"",INDEX(設定!$E$6:$E$21,MATCH($G126,設定!$B$6:$B$21,0))),""))</f>
        <v/>
      </c>
      <c r="J126" s="87">
        <f>IFERROR(INDEX(打卡匯入!$C$3:$C$502,MATCH($C126&amp;"|"&amp;DAY($A126),打卡匯入!$E$3:$E$502,0)),"")</f>
        <v/>
      </c>
      <c r="K126" s="87">
        <f>IFERROR(INDEX(打卡匯入!$D$3:$D$502,MATCH($C126&amp;"|"&amp;DAY($A126),打卡匯入!$E$3:$E$502,0)),"")</f>
        <v/>
      </c>
      <c r="L126" s="88">
        <f>IF(OR($J126="",$K126=""),"",IFERROR(INDEX(設定!$F$6:$F$21,MATCH($G126,設定!$B$6:$B$21,0)),0))</f>
        <v/>
      </c>
      <c r="M126" s="89">
        <f>IF(OR($J126="",$K126=""),"",ROUND(($K126-$J126)*24-$L126/60,2))</f>
        <v/>
      </c>
      <c r="N126" s="16">
        <f>IF($C126="","",IF(AND(COUNTIF(設定!$B$15:$B$21,$G126)&gt;0,$J126&lt;&gt;""),"假日出勤",IF(AND(COUNTIF(設定!$B$6:$B$14,$G126)&gt;0,$J126=""),"未打卡",IF($J126="","",IF($O126&gt;0,"遲到",IF($P126&gt;0,"早退","正常"))))))</f>
        <v/>
      </c>
      <c r="O126" s="88">
        <f>IF(OR($C126="",$H126="",$J126=""),0,IF(ROUND(($J126-$H126)*1440,0)&gt;設定!$C$48,ROUND(($J126-$H126)*1440,0),0))</f>
        <v/>
      </c>
      <c r="P126" s="88">
        <f>IF(OR($C126="",$I126="",$K126=""),0,IF(ROUND(($I126-$K126)*1440,0)&gt;設定!$C$48,ROUND(($I126-$K126)*1440,0),0))</f>
        <v/>
      </c>
      <c r="Q126" s="89">
        <f>IF($M126="",0,IF(($M126-IFERROR(INDEX(設定!$G$6:$G$21,MATCH($G126,設定!$B$6:$B$21,0)),0))*60&gt;=設定!$C$46,ROUND(FLOOR(($M126-IFERROR(INDEX(設定!$G$6:$G$21,MATCH($G126,設定!$B$6:$B$21,0)),0))*60,設定!$C$47)/60,2),0))</f>
        <v/>
      </c>
      <c r="R126" s="16">
        <f>IF(OR($C126="",$Q126=0),"",IF($G126="國","國定假日",IF($B126="日","例假",IF($B126="六","休息日","平日"))))</f>
        <v/>
      </c>
      <c r="S126" s="18" t="n"/>
    </row>
    <row r="127">
      <c r="A127" s="86">
        <f>IF(OR(醫護長與管理部班表!$A9="",1&gt;DAY(EOMONTH(DATE(設定!$C$2,設定!$D$2,1),0))),"",DATE(設定!$C$2,設定!$D$2,1))</f>
        <v/>
      </c>
      <c r="B127" s="16">
        <f>IF($A127="","",INDEX(設定!$O$6:$O$12,WEEKDAY($A127,1)))</f>
        <v/>
      </c>
      <c r="C127" s="16">
        <f>IF($A127="","",醫護長與管理部班表!$A9)</f>
        <v/>
      </c>
      <c r="D127" s="16">
        <f>IF($C127="","",醫護長與管理部班表!$B9)</f>
        <v/>
      </c>
      <c r="E127" s="16">
        <f>IF($C127="","",醫護長與管理部班表!$D9)</f>
        <v/>
      </c>
      <c r="F127" s="16">
        <f>IF($C127="","",醫護長與管理部班表!$C9)</f>
        <v/>
      </c>
      <c r="G127" s="16">
        <f>IF($C127="","",醫護長與管理部班表!E9)</f>
        <v/>
      </c>
      <c r="H127" s="87">
        <f>IF($G127="","",IFERROR(IF(INDEX(設定!$D$6:$D$21,MATCH($G127,設定!$B$6:$B$21,0))=0,"",INDEX(設定!$D$6:$D$21,MATCH($G127,設定!$B$6:$B$21,0))),""))</f>
        <v/>
      </c>
      <c r="I127" s="87">
        <f>IF($G127="","",IFERROR(IF(INDEX(設定!$E$6:$E$21,MATCH($G127,設定!$B$6:$B$21,0))=0,"",INDEX(設定!$E$6:$E$21,MATCH($G127,設定!$B$6:$B$21,0))),""))</f>
        <v/>
      </c>
      <c r="J127" s="87">
        <f>IFERROR(INDEX(打卡匯入!$C$3:$C$502,MATCH($C127&amp;"|"&amp;DAY($A127),打卡匯入!$E$3:$E$502,0)),"")</f>
        <v/>
      </c>
      <c r="K127" s="87">
        <f>IFERROR(INDEX(打卡匯入!$D$3:$D$502,MATCH($C127&amp;"|"&amp;DAY($A127),打卡匯入!$E$3:$E$502,0)),"")</f>
        <v/>
      </c>
      <c r="L127" s="88">
        <f>IF(OR($J127="",$K127=""),"",IFERROR(INDEX(設定!$F$6:$F$21,MATCH($G127,設定!$B$6:$B$21,0)),0))</f>
        <v/>
      </c>
      <c r="M127" s="89">
        <f>IF(OR($J127="",$K127=""),"",ROUND(($K127-$J127)*24-$L127/60,2))</f>
        <v/>
      </c>
      <c r="N127" s="16">
        <f>IF($C127="","",IF(AND(COUNTIF(設定!$B$15:$B$21,$G127)&gt;0,$J127&lt;&gt;""),"假日出勤",IF(AND(COUNTIF(設定!$B$6:$B$14,$G127)&gt;0,$J127=""),"未打卡",IF($J127="","",IF($O127&gt;0,"遲到",IF($P127&gt;0,"早退","正常"))))))</f>
        <v/>
      </c>
      <c r="O127" s="88">
        <f>IF(OR($C127="",$H127="",$J127=""),0,IF(ROUND(($J127-$H127)*1440,0)&gt;設定!$C$48,ROUND(($J127-$H127)*1440,0),0))</f>
        <v/>
      </c>
      <c r="P127" s="88">
        <f>IF(OR($C127="",$I127="",$K127=""),0,IF(ROUND(($I127-$K127)*1440,0)&gt;設定!$C$48,ROUND(($I127-$K127)*1440,0),0))</f>
        <v/>
      </c>
      <c r="Q127" s="89">
        <f>IF($M127="",0,IF(($M127-IFERROR(INDEX(設定!$G$6:$G$21,MATCH($G127,設定!$B$6:$B$21,0)),0))*60&gt;=設定!$C$46,ROUND(FLOOR(($M127-IFERROR(INDEX(設定!$G$6:$G$21,MATCH($G127,設定!$B$6:$B$21,0)),0))*60,設定!$C$47)/60,2),0))</f>
        <v/>
      </c>
      <c r="R127" s="16">
        <f>IF(OR($C127="",$Q127=0),"",IF($G127="國","國定假日",IF($B127="日","例假",IF($B127="六","休息日","平日"))))</f>
        <v/>
      </c>
      <c r="S127" s="18" t="n"/>
    </row>
    <row r="128">
      <c r="A128" s="86">
        <f>IF(OR(醫護長與管理部班表!$A9="",2&gt;DAY(EOMONTH(DATE(設定!$C$2,設定!$D$2,1),0))),"",DATE(設定!$C$2,設定!$D$2,2))</f>
        <v/>
      </c>
      <c r="B128" s="16">
        <f>IF($A128="","",INDEX(設定!$O$6:$O$12,WEEKDAY($A128,1)))</f>
        <v/>
      </c>
      <c r="C128" s="16">
        <f>IF($A128="","",醫護長與管理部班表!$A9)</f>
        <v/>
      </c>
      <c r="D128" s="16">
        <f>IF($C128="","",醫護長與管理部班表!$B9)</f>
        <v/>
      </c>
      <c r="E128" s="16">
        <f>IF($C128="","",醫護長與管理部班表!$D9)</f>
        <v/>
      </c>
      <c r="F128" s="16">
        <f>IF($C128="","",醫護長與管理部班表!$C9)</f>
        <v/>
      </c>
      <c r="G128" s="16">
        <f>IF($C128="","",醫護長與管理部班表!F9)</f>
        <v/>
      </c>
      <c r="H128" s="87">
        <f>IF($G128="","",IFERROR(IF(INDEX(設定!$D$6:$D$21,MATCH($G128,設定!$B$6:$B$21,0))=0,"",INDEX(設定!$D$6:$D$21,MATCH($G128,設定!$B$6:$B$21,0))),""))</f>
        <v/>
      </c>
      <c r="I128" s="87">
        <f>IF($G128="","",IFERROR(IF(INDEX(設定!$E$6:$E$21,MATCH($G128,設定!$B$6:$B$21,0))=0,"",INDEX(設定!$E$6:$E$21,MATCH($G128,設定!$B$6:$B$21,0))),""))</f>
        <v/>
      </c>
      <c r="J128" s="87">
        <f>IFERROR(INDEX(打卡匯入!$C$3:$C$502,MATCH($C128&amp;"|"&amp;DAY($A128),打卡匯入!$E$3:$E$502,0)),"")</f>
        <v/>
      </c>
      <c r="K128" s="87">
        <f>IFERROR(INDEX(打卡匯入!$D$3:$D$502,MATCH($C128&amp;"|"&amp;DAY($A128),打卡匯入!$E$3:$E$502,0)),"")</f>
        <v/>
      </c>
      <c r="L128" s="88">
        <f>IF(OR($J128="",$K128=""),"",IFERROR(INDEX(設定!$F$6:$F$21,MATCH($G128,設定!$B$6:$B$21,0)),0))</f>
        <v/>
      </c>
      <c r="M128" s="89">
        <f>IF(OR($J128="",$K128=""),"",ROUND(($K128-$J128)*24-$L128/60,2))</f>
        <v/>
      </c>
      <c r="N128" s="16">
        <f>IF($C128="","",IF(AND(COUNTIF(設定!$B$15:$B$21,$G128)&gt;0,$J128&lt;&gt;""),"假日出勤",IF(AND(COUNTIF(設定!$B$6:$B$14,$G128)&gt;0,$J128=""),"未打卡",IF($J128="","",IF($O128&gt;0,"遲到",IF($P128&gt;0,"早退","正常"))))))</f>
        <v/>
      </c>
      <c r="O128" s="88">
        <f>IF(OR($C128="",$H128="",$J128=""),0,IF(ROUND(($J128-$H128)*1440,0)&gt;設定!$C$48,ROUND(($J128-$H128)*1440,0),0))</f>
        <v/>
      </c>
      <c r="P128" s="88">
        <f>IF(OR($C128="",$I128="",$K128=""),0,IF(ROUND(($I128-$K128)*1440,0)&gt;設定!$C$48,ROUND(($I128-$K128)*1440,0),0))</f>
        <v/>
      </c>
      <c r="Q128" s="89">
        <f>IF($M128="",0,IF(($M128-IFERROR(INDEX(設定!$G$6:$G$21,MATCH($G128,設定!$B$6:$B$21,0)),0))*60&gt;=設定!$C$46,ROUND(FLOOR(($M128-IFERROR(INDEX(設定!$G$6:$G$21,MATCH($G128,設定!$B$6:$B$21,0)),0))*60,設定!$C$47)/60,2),0))</f>
        <v/>
      </c>
      <c r="R128" s="16">
        <f>IF(OR($C128="",$Q128=0),"",IF($G128="國","國定假日",IF($B128="日","例假",IF($B128="六","休息日","平日"))))</f>
        <v/>
      </c>
      <c r="S128" s="18" t="n"/>
    </row>
    <row r="129">
      <c r="A129" s="86">
        <f>IF(OR(醫護長與管理部班表!$A9="",3&gt;DAY(EOMONTH(DATE(設定!$C$2,設定!$D$2,1),0))),"",DATE(設定!$C$2,設定!$D$2,3))</f>
        <v/>
      </c>
      <c r="B129" s="16">
        <f>IF($A129="","",INDEX(設定!$O$6:$O$12,WEEKDAY($A129,1)))</f>
        <v/>
      </c>
      <c r="C129" s="16">
        <f>IF($A129="","",醫護長與管理部班表!$A9)</f>
        <v/>
      </c>
      <c r="D129" s="16">
        <f>IF($C129="","",醫護長與管理部班表!$B9)</f>
        <v/>
      </c>
      <c r="E129" s="16">
        <f>IF($C129="","",醫護長與管理部班表!$D9)</f>
        <v/>
      </c>
      <c r="F129" s="16">
        <f>IF($C129="","",醫護長與管理部班表!$C9)</f>
        <v/>
      </c>
      <c r="G129" s="16">
        <f>IF($C129="","",醫護長與管理部班表!G9)</f>
        <v/>
      </c>
      <c r="H129" s="87">
        <f>IF($G129="","",IFERROR(IF(INDEX(設定!$D$6:$D$21,MATCH($G129,設定!$B$6:$B$21,0))=0,"",INDEX(設定!$D$6:$D$21,MATCH($G129,設定!$B$6:$B$21,0))),""))</f>
        <v/>
      </c>
      <c r="I129" s="87">
        <f>IF($G129="","",IFERROR(IF(INDEX(設定!$E$6:$E$21,MATCH($G129,設定!$B$6:$B$21,0))=0,"",INDEX(設定!$E$6:$E$21,MATCH($G129,設定!$B$6:$B$21,0))),""))</f>
        <v/>
      </c>
      <c r="J129" s="87">
        <f>IFERROR(INDEX(打卡匯入!$C$3:$C$502,MATCH($C129&amp;"|"&amp;DAY($A129),打卡匯入!$E$3:$E$502,0)),"")</f>
        <v/>
      </c>
      <c r="K129" s="87">
        <f>IFERROR(INDEX(打卡匯入!$D$3:$D$502,MATCH($C129&amp;"|"&amp;DAY($A129),打卡匯入!$E$3:$E$502,0)),"")</f>
        <v/>
      </c>
      <c r="L129" s="88">
        <f>IF(OR($J129="",$K129=""),"",IFERROR(INDEX(設定!$F$6:$F$21,MATCH($G129,設定!$B$6:$B$21,0)),0))</f>
        <v/>
      </c>
      <c r="M129" s="89">
        <f>IF(OR($J129="",$K129=""),"",ROUND(($K129-$J129)*24-$L129/60,2))</f>
        <v/>
      </c>
      <c r="N129" s="16">
        <f>IF($C129="","",IF(AND(COUNTIF(設定!$B$15:$B$21,$G129)&gt;0,$J129&lt;&gt;""),"假日出勤",IF(AND(COUNTIF(設定!$B$6:$B$14,$G129)&gt;0,$J129=""),"未打卡",IF($J129="","",IF($O129&gt;0,"遲到",IF($P129&gt;0,"早退","正常"))))))</f>
        <v/>
      </c>
      <c r="O129" s="88">
        <f>IF(OR($C129="",$H129="",$J129=""),0,IF(ROUND(($J129-$H129)*1440,0)&gt;設定!$C$48,ROUND(($J129-$H129)*1440,0),0))</f>
        <v/>
      </c>
      <c r="P129" s="88">
        <f>IF(OR($C129="",$I129="",$K129=""),0,IF(ROUND(($I129-$K129)*1440,0)&gt;設定!$C$48,ROUND(($I129-$K129)*1440,0),0))</f>
        <v/>
      </c>
      <c r="Q129" s="89">
        <f>IF($M129="",0,IF(($M129-IFERROR(INDEX(設定!$G$6:$G$21,MATCH($G129,設定!$B$6:$B$21,0)),0))*60&gt;=設定!$C$46,ROUND(FLOOR(($M129-IFERROR(INDEX(設定!$G$6:$G$21,MATCH($G129,設定!$B$6:$B$21,0)),0))*60,設定!$C$47)/60,2),0))</f>
        <v/>
      </c>
      <c r="R129" s="16">
        <f>IF(OR($C129="",$Q129=0),"",IF($G129="國","國定假日",IF($B129="日","例假",IF($B129="六","休息日","平日"))))</f>
        <v/>
      </c>
      <c r="S129" s="18" t="n"/>
    </row>
    <row r="130">
      <c r="A130" s="86">
        <f>IF(OR(醫護長與管理部班表!$A9="",4&gt;DAY(EOMONTH(DATE(設定!$C$2,設定!$D$2,1),0))),"",DATE(設定!$C$2,設定!$D$2,4))</f>
        <v/>
      </c>
      <c r="B130" s="16">
        <f>IF($A130="","",INDEX(設定!$O$6:$O$12,WEEKDAY($A130,1)))</f>
        <v/>
      </c>
      <c r="C130" s="16">
        <f>IF($A130="","",醫護長與管理部班表!$A9)</f>
        <v/>
      </c>
      <c r="D130" s="16">
        <f>IF($C130="","",醫護長與管理部班表!$B9)</f>
        <v/>
      </c>
      <c r="E130" s="16">
        <f>IF($C130="","",醫護長與管理部班表!$D9)</f>
        <v/>
      </c>
      <c r="F130" s="16">
        <f>IF($C130="","",醫護長與管理部班表!$C9)</f>
        <v/>
      </c>
      <c r="G130" s="16">
        <f>IF($C130="","",醫護長與管理部班表!H9)</f>
        <v/>
      </c>
      <c r="H130" s="87">
        <f>IF($G130="","",IFERROR(IF(INDEX(設定!$D$6:$D$21,MATCH($G130,設定!$B$6:$B$21,0))=0,"",INDEX(設定!$D$6:$D$21,MATCH($G130,設定!$B$6:$B$21,0))),""))</f>
        <v/>
      </c>
      <c r="I130" s="87">
        <f>IF($G130="","",IFERROR(IF(INDEX(設定!$E$6:$E$21,MATCH($G130,設定!$B$6:$B$21,0))=0,"",INDEX(設定!$E$6:$E$21,MATCH($G130,設定!$B$6:$B$21,0))),""))</f>
        <v/>
      </c>
      <c r="J130" s="87">
        <f>IFERROR(INDEX(打卡匯入!$C$3:$C$502,MATCH($C130&amp;"|"&amp;DAY($A130),打卡匯入!$E$3:$E$502,0)),"")</f>
        <v/>
      </c>
      <c r="K130" s="87">
        <f>IFERROR(INDEX(打卡匯入!$D$3:$D$502,MATCH($C130&amp;"|"&amp;DAY($A130),打卡匯入!$E$3:$E$502,0)),"")</f>
        <v/>
      </c>
      <c r="L130" s="88">
        <f>IF(OR($J130="",$K130=""),"",IFERROR(INDEX(設定!$F$6:$F$21,MATCH($G130,設定!$B$6:$B$21,0)),0))</f>
        <v/>
      </c>
      <c r="M130" s="89">
        <f>IF(OR($J130="",$K130=""),"",ROUND(($K130-$J130)*24-$L130/60,2))</f>
        <v/>
      </c>
      <c r="N130" s="16">
        <f>IF($C130="","",IF(AND(COUNTIF(設定!$B$15:$B$21,$G130)&gt;0,$J130&lt;&gt;""),"假日出勤",IF(AND(COUNTIF(設定!$B$6:$B$14,$G130)&gt;0,$J130=""),"未打卡",IF($J130="","",IF($O130&gt;0,"遲到",IF($P130&gt;0,"早退","正常"))))))</f>
        <v/>
      </c>
      <c r="O130" s="88">
        <f>IF(OR($C130="",$H130="",$J130=""),0,IF(ROUND(($J130-$H130)*1440,0)&gt;設定!$C$48,ROUND(($J130-$H130)*1440,0),0))</f>
        <v/>
      </c>
      <c r="P130" s="88">
        <f>IF(OR($C130="",$I130="",$K130=""),0,IF(ROUND(($I130-$K130)*1440,0)&gt;設定!$C$48,ROUND(($I130-$K130)*1440,0),0))</f>
        <v/>
      </c>
      <c r="Q130" s="89">
        <f>IF($M130="",0,IF(($M130-IFERROR(INDEX(設定!$G$6:$G$21,MATCH($G130,設定!$B$6:$B$21,0)),0))*60&gt;=設定!$C$46,ROUND(FLOOR(($M130-IFERROR(INDEX(設定!$G$6:$G$21,MATCH($G130,設定!$B$6:$B$21,0)),0))*60,設定!$C$47)/60,2),0))</f>
        <v/>
      </c>
      <c r="R130" s="16">
        <f>IF(OR($C130="",$Q130=0),"",IF($G130="國","國定假日",IF($B130="日","例假",IF($B130="六","休息日","平日"))))</f>
        <v/>
      </c>
      <c r="S130" s="18" t="n"/>
    </row>
    <row r="131">
      <c r="A131" s="86">
        <f>IF(OR(醫護長與管理部班表!$A9="",5&gt;DAY(EOMONTH(DATE(設定!$C$2,設定!$D$2,1),0))),"",DATE(設定!$C$2,設定!$D$2,5))</f>
        <v/>
      </c>
      <c r="B131" s="16">
        <f>IF($A131="","",INDEX(設定!$O$6:$O$12,WEEKDAY($A131,1)))</f>
        <v/>
      </c>
      <c r="C131" s="16">
        <f>IF($A131="","",醫護長與管理部班表!$A9)</f>
        <v/>
      </c>
      <c r="D131" s="16">
        <f>IF($C131="","",醫護長與管理部班表!$B9)</f>
        <v/>
      </c>
      <c r="E131" s="16">
        <f>IF($C131="","",醫護長與管理部班表!$D9)</f>
        <v/>
      </c>
      <c r="F131" s="16">
        <f>IF($C131="","",醫護長與管理部班表!$C9)</f>
        <v/>
      </c>
      <c r="G131" s="16">
        <f>IF($C131="","",醫護長與管理部班表!I9)</f>
        <v/>
      </c>
      <c r="H131" s="87">
        <f>IF($G131="","",IFERROR(IF(INDEX(設定!$D$6:$D$21,MATCH($G131,設定!$B$6:$B$21,0))=0,"",INDEX(設定!$D$6:$D$21,MATCH($G131,設定!$B$6:$B$21,0))),""))</f>
        <v/>
      </c>
      <c r="I131" s="87">
        <f>IF($G131="","",IFERROR(IF(INDEX(設定!$E$6:$E$21,MATCH($G131,設定!$B$6:$B$21,0))=0,"",INDEX(設定!$E$6:$E$21,MATCH($G131,設定!$B$6:$B$21,0))),""))</f>
        <v/>
      </c>
      <c r="J131" s="87">
        <f>IFERROR(INDEX(打卡匯入!$C$3:$C$502,MATCH($C131&amp;"|"&amp;DAY($A131),打卡匯入!$E$3:$E$502,0)),"")</f>
        <v/>
      </c>
      <c r="K131" s="87">
        <f>IFERROR(INDEX(打卡匯入!$D$3:$D$502,MATCH($C131&amp;"|"&amp;DAY($A131),打卡匯入!$E$3:$E$502,0)),"")</f>
        <v/>
      </c>
      <c r="L131" s="88">
        <f>IF(OR($J131="",$K131=""),"",IFERROR(INDEX(設定!$F$6:$F$21,MATCH($G131,設定!$B$6:$B$21,0)),0))</f>
        <v/>
      </c>
      <c r="M131" s="89">
        <f>IF(OR($J131="",$K131=""),"",ROUND(($K131-$J131)*24-$L131/60,2))</f>
        <v/>
      </c>
      <c r="N131" s="16">
        <f>IF($C131="","",IF(AND(COUNTIF(設定!$B$15:$B$21,$G131)&gt;0,$J131&lt;&gt;""),"假日出勤",IF(AND(COUNTIF(設定!$B$6:$B$14,$G131)&gt;0,$J131=""),"未打卡",IF($J131="","",IF($O131&gt;0,"遲到",IF($P131&gt;0,"早退","正常"))))))</f>
        <v/>
      </c>
      <c r="O131" s="88">
        <f>IF(OR($C131="",$H131="",$J131=""),0,IF(ROUND(($J131-$H131)*1440,0)&gt;設定!$C$48,ROUND(($J131-$H131)*1440,0),0))</f>
        <v/>
      </c>
      <c r="P131" s="88">
        <f>IF(OR($C131="",$I131="",$K131=""),0,IF(ROUND(($I131-$K131)*1440,0)&gt;設定!$C$48,ROUND(($I131-$K131)*1440,0),0))</f>
        <v/>
      </c>
      <c r="Q131" s="89">
        <f>IF($M131="",0,IF(($M131-IFERROR(INDEX(設定!$G$6:$G$21,MATCH($G131,設定!$B$6:$B$21,0)),0))*60&gt;=設定!$C$46,ROUND(FLOOR(($M131-IFERROR(INDEX(設定!$G$6:$G$21,MATCH($G131,設定!$B$6:$B$21,0)),0))*60,設定!$C$47)/60,2),0))</f>
        <v/>
      </c>
      <c r="R131" s="16">
        <f>IF(OR($C131="",$Q131=0),"",IF($G131="國","國定假日",IF($B131="日","例假",IF($B131="六","休息日","平日"))))</f>
        <v/>
      </c>
      <c r="S131" s="18" t="n"/>
    </row>
    <row r="132">
      <c r="A132" s="86">
        <f>IF(OR(醫護長與管理部班表!$A9="",6&gt;DAY(EOMONTH(DATE(設定!$C$2,設定!$D$2,1),0))),"",DATE(設定!$C$2,設定!$D$2,6))</f>
        <v/>
      </c>
      <c r="B132" s="16">
        <f>IF($A132="","",INDEX(設定!$O$6:$O$12,WEEKDAY($A132,1)))</f>
        <v/>
      </c>
      <c r="C132" s="16">
        <f>IF($A132="","",醫護長與管理部班表!$A9)</f>
        <v/>
      </c>
      <c r="D132" s="16">
        <f>IF($C132="","",醫護長與管理部班表!$B9)</f>
        <v/>
      </c>
      <c r="E132" s="16">
        <f>IF($C132="","",醫護長與管理部班表!$D9)</f>
        <v/>
      </c>
      <c r="F132" s="16">
        <f>IF($C132="","",醫護長與管理部班表!$C9)</f>
        <v/>
      </c>
      <c r="G132" s="16">
        <f>IF($C132="","",醫護長與管理部班表!J9)</f>
        <v/>
      </c>
      <c r="H132" s="87">
        <f>IF($G132="","",IFERROR(IF(INDEX(設定!$D$6:$D$21,MATCH($G132,設定!$B$6:$B$21,0))=0,"",INDEX(設定!$D$6:$D$21,MATCH($G132,設定!$B$6:$B$21,0))),""))</f>
        <v/>
      </c>
      <c r="I132" s="87">
        <f>IF($G132="","",IFERROR(IF(INDEX(設定!$E$6:$E$21,MATCH($G132,設定!$B$6:$B$21,0))=0,"",INDEX(設定!$E$6:$E$21,MATCH($G132,設定!$B$6:$B$21,0))),""))</f>
        <v/>
      </c>
      <c r="J132" s="87">
        <f>IFERROR(INDEX(打卡匯入!$C$3:$C$502,MATCH($C132&amp;"|"&amp;DAY($A132),打卡匯入!$E$3:$E$502,0)),"")</f>
        <v/>
      </c>
      <c r="K132" s="87">
        <f>IFERROR(INDEX(打卡匯入!$D$3:$D$502,MATCH($C132&amp;"|"&amp;DAY($A132),打卡匯入!$E$3:$E$502,0)),"")</f>
        <v/>
      </c>
      <c r="L132" s="88">
        <f>IF(OR($J132="",$K132=""),"",IFERROR(INDEX(設定!$F$6:$F$21,MATCH($G132,設定!$B$6:$B$21,0)),0))</f>
        <v/>
      </c>
      <c r="M132" s="89">
        <f>IF(OR($J132="",$K132=""),"",ROUND(($K132-$J132)*24-$L132/60,2))</f>
        <v/>
      </c>
      <c r="N132" s="16">
        <f>IF($C132="","",IF(AND(COUNTIF(設定!$B$15:$B$21,$G132)&gt;0,$J132&lt;&gt;""),"假日出勤",IF(AND(COUNTIF(設定!$B$6:$B$14,$G132)&gt;0,$J132=""),"未打卡",IF($J132="","",IF($O132&gt;0,"遲到",IF($P132&gt;0,"早退","正常"))))))</f>
        <v/>
      </c>
      <c r="O132" s="88">
        <f>IF(OR($C132="",$H132="",$J132=""),0,IF(ROUND(($J132-$H132)*1440,0)&gt;設定!$C$48,ROUND(($J132-$H132)*1440,0),0))</f>
        <v/>
      </c>
      <c r="P132" s="88">
        <f>IF(OR($C132="",$I132="",$K132=""),0,IF(ROUND(($I132-$K132)*1440,0)&gt;設定!$C$48,ROUND(($I132-$K132)*1440,0),0))</f>
        <v/>
      </c>
      <c r="Q132" s="89">
        <f>IF($M132="",0,IF(($M132-IFERROR(INDEX(設定!$G$6:$G$21,MATCH($G132,設定!$B$6:$B$21,0)),0))*60&gt;=設定!$C$46,ROUND(FLOOR(($M132-IFERROR(INDEX(設定!$G$6:$G$21,MATCH($G132,設定!$B$6:$B$21,0)),0))*60,設定!$C$47)/60,2),0))</f>
        <v/>
      </c>
      <c r="R132" s="16">
        <f>IF(OR($C132="",$Q132=0),"",IF($G132="國","國定假日",IF($B132="日","例假",IF($B132="六","休息日","平日"))))</f>
        <v/>
      </c>
      <c r="S132" s="18" t="n"/>
    </row>
    <row r="133">
      <c r="A133" s="86">
        <f>IF(OR(醫護長與管理部班表!$A9="",7&gt;DAY(EOMONTH(DATE(設定!$C$2,設定!$D$2,1),0))),"",DATE(設定!$C$2,設定!$D$2,7))</f>
        <v/>
      </c>
      <c r="B133" s="16">
        <f>IF($A133="","",INDEX(設定!$O$6:$O$12,WEEKDAY($A133,1)))</f>
        <v/>
      </c>
      <c r="C133" s="16">
        <f>IF($A133="","",醫護長與管理部班表!$A9)</f>
        <v/>
      </c>
      <c r="D133" s="16">
        <f>IF($C133="","",醫護長與管理部班表!$B9)</f>
        <v/>
      </c>
      <c r="E133" s="16">
        <f>IF($C133="","",醫護長與管理部班表!$D9)</f>
        <v/>
      </c>
      <c r="F133" s="16">
        <f>IF($C133="","",醫護長與管理部班表!$C9)</f>
        <v/>
      </c>
      <c r="G133" s="16">
        <f>IF($C133="","",醫護長與管理部班表!K9)</f>
        <v/>
      </c>
      <c r="H133" s="87">
        <f>IF($G133="","",IFERROR(IF(INDEX(設定!$D$6:$D$21,MATCH($G133,設定!$B$6:$B$21,0))=0,"",INDEX(設定!$D$6:$D$21,MATCH($G133,設定!$B$6:$B$21,0))),""))</f>
        <v/>
      </c>
      <c r="I133" s="87">
        <f>IF($G133="","",IFERROR(IF(INDEX(設定!$E$6:$E$21,MATCH($G133,設定!$B$6:$B$21,0))=0,"",INDEX(設定!$E$6:$E$21,MATCH($G133,設定!$B$6:$B$21,0))),""))</f>
        <v/>
      </c>
      <c r="J133" s="87">
        <f>IFERROR(INDEX(打卡匯入!$C$3:$C$502,MATCH($C133&amp;"|"&amp;DAY($A133),打卡匯入!$E$3:$E$502,0)),"")</f>
        <v/>
      </c>
      <c r="K133" s="87">
        <f>IFERROR(INDEX(打卡匯入!$D$3:$D$502,MATCH($C133&amp;"|"&amp;DAY($A133),打卡匯入!$E$3:$E$502,0)),"")</f>
        <v/>
      </c>
      <c r="L133" s="88">
        <f>IF(OR($J133="",$K133=""),"",IFERROR(INDEX(設定!$F$6:$F$21,MATCH($G133,設定!$B$6:$B$21,0)),0))</f>
        <v/>
      </c>
      <c r="M133" s="89">
        <f>IF(OR($J133="",$K133=""),"",ROUND(($K133-$J133)*24-$L133/60,2))</f>
        <v/>
      </c>
      <c r="N133" s="16">
        <f>IF($C133="","",IF(AND(COUNTIF(設定!$B$15:$B$21,$G133)&gt;0,$J133&lt;&gt;""),"假日出勤",IF(AND(COUNTIF(設定!$B$6:$B$14,$G133)&gt;0,$J133=""),"未打卡",IF($J133="","",IF($O133&gt;0,"遲到",IF($P133&gt;0,"早退","正常"))))))</f>
        <v/>
      </c>
      <c r="O133" s="88">
        <f>IF(OR($C133="",$H133="",$J133=""),0,IF(ROUND(($J133-$H133)*1440,0)&gt;設定!$C$48,ROUND(($J133-$H133)*1440,0),0))</f>
        <v/>
      </c>
      <c r="P133" s="88">
        <f>IF(OR($C133="",$I133="",$K133=""),0,IF(ROUND(($I133-$K133)*1440,0)&gt;設定!$C$48,ROUND(($I133-$K133)*1440,0),0))</f>
        <v/>
      </c>
      <c r="Q133" s="89">
        <f>IF($M133="",0,IF(($M133-IFERROR(INDEX(設定!$G$6:$G$21,MATCH($G133,設定!$B$6:$B$21,0)),0))*60&gt;=設定!$C$46,ROUND(FLOOR(($M133-IFERROR(INDEX(設定!$G$6:$G$21,MATCH($G133,設定!$B$6:$B$21,0)),0))*60,設定!$C$47)/60,2),0))</f>
        <v/>
      </c>
      <c r="R133" s="16">
        <f>IF(OR($C133="",$Q133=0),"",IF($G133="國","國定假日",IF($B133="日","例假",IF($B133="六","休息日","平日"))))</f>
        <v/>
      </c>
      <c r="S133" s="18" t="n"/>
    </row>
    <row r="134">
      <c r="A134" s="86">
        <f>IF(OR(醫護長與管理部班表!$A9="",8&gt;DAY(EOMONTH(DATE(設定!$C$2,設定!$D$2,1),0))),"",DATE(設定!$C$2,設定!$D$2,8))</f>
        <v/>
      </c>
      <c r="B134" s="16">
        <f>IF($A134="","",INDEX(設定!$O$6:$O$12,WEEKDAY($A134,1)))</f>
        <v/>
      </c>
      <c r="C134" s="16">
        <f>IF($A134="","",醫護長與管理部班表!$A9)</f>
        <v/>
      </c>
      <c r="D134" s="16">
        <f>IF($C134="","",醫護長與管理部班表!$B9)</f>
        <v/>
      </c>
      <c r="E134" s="16">
        <f>IF($C134="","",醫護長與管理部班表!$D9)</f>
        <v/>
      </c>
      <c r="F134" s="16">
        <f>IF($C134="","",醫護長與管理部班表!$C9)</f>
        <v/>
      </c>
      <c r="G134" s="16">
        <f>IF($C134="","",醫護長與管理部班表!L9)</f>
        <v/>
      </c>
      <c r="H134" s="87">
        <f>IF($G134="","",IFERROR(IF(INDEX(設定!$D$6:$D$21,MATCH($G134,設定!$B$6:$B$21,0))=0,"",INDEX(設定!$D$6:$D$21,MATCH($G134,設定!$B$6:$B$21,0))),""))</f>
        <v/>
      </c>
      <c r="I134" s="87">
        <f>IF($G134="","",IFERROR(IF(INDEX(設定!$E$6:$E$21,MATCH($G134,設定!$B$6:$B$21,0))=0,"",INDEX(設定!$E$6:$E$21,MATCH($G134,設定!$B$6:$B$21,0))),""))</f>
        <v/>
      </c>
      <c r="J134" s="87">
        <f>IFERROR(INDEX(打卡匯入!$C$3:$C$502,MATCH($C134&amp;"|"&amp;DAY($A134),打卡匯入!$E$3:$E$502,0)),"")</f>
        <v/>
      </c>
      <c r="K134" s="87">
        <f>IFERROR(INDEX(打卡匯入!$D$3:$D$502,MATCH($C134&amp;"|"&amp;DAY($A134),打卡匯入!$E$3:$E$502,0)),"")</f>
        <v/>
      </c>
      <c r="L134" s="88">
        <f>IF(OR($J134="",$K134=""),"",IFERROR(INDEX(設定!$F$6:$F$21,MATCH($G134,設定!$B$6:$B$21,0)),0))</f>
        <v/>
      </c>
      <c r="M134" s="89">
        <f>IF(OR($J134="",$K134=""),"",ROUND(($K134-$J134)*24-$L134/60,2))</f>
        <v/>
      </c>
      <c r="N134" s="16">
        <f>IF($C134="","",IF(AND(COUNTIF(設定!$B$15:$B$21,$G134)&gt;0,$J134&lt;&gt;""),"假日出勤",IF(AND(COUNTIF(設定!$B$6:$B$14,$G134)&gt;0,$J134=""),"未打卡",IF($J134="","",IF($O134&gt;0,"遲到",IF($P134&gt;0,"早退","正常"))))))</f>
        <v/>
      </c>
      <c r="O134" s="88">
        <f>IF(OR($C134="",$H134="",$J134=""),0,IF(ROUND(($J134-$H134)*1440,0)&gt;設定!$C$48,ROUND(($J134-$H134)*1440,0),0))</f>
        <v/>
      </c>
      <c r="P134" s="88">
        <f>IF(OR($C134="",$I134="",$K134=""),0,IF(ROUND(($I134-$K134)*1440,0)&gt;設定!$C$48,ROUND(($I134-$K134)*1440,0),0))</f>
        <v/>
      </c>
      <c r="Q134" s="89">
        <f>IF($M134="",0,IF(($M134-IFERROR(INDEX(設定!$G$6:$G$21,MATCH($G134,設定!$B$6:$B$21,0)),0))*60&gt;=設定!$C$46,ROUND(FLOOR(($M134-IFERROR(INDEX(設定!$G$6:$G$21,MATCH($G134,設定!$B$6:$B$21,0)),0))*60,設定!$C$47)/60,2),0))</f>
        <v/>
      </c>
      <c r="R134" s="16">
        <f>IF(OR($C134="",$Q134=0),"",IF($G134="國","國定假日",IF($B134="日","例假",IF($B134="六","休息日","平日"))))</f>
        <v/>
      </c>
      <c r="S134" s="18" t="n"/>
    </row>
    <row r="135">
      <c r="A135" s="86">
        <f>IF(OR(醫護長與管理部班表!$A9="",9&gt;DAY(EOMONTH(DATE(設定!$C$2,設定!$D$2,1),0))),"",DATE(設定!$C$2,設定!$D$2,9))</f>
        <v/>
      </c>
      <c r="B135" s="16">
        <f>IF($A135="","",INDEX(設定!$O$6:$O$12,WEEKDAY($A135,1)))</f>
        <v/>
      </c>
      <c r="C135" s="16">
        <f>IF($A135="","",醫護長與管理部班表!$A9)</f>
        <v/>
      </c>
      <c r="D135" s="16">
        <f>IF($C135="","",醫護長與管理部班表!$B9)</f>
        <v/>
      </c>
      <c r="E135" s="16">
        <f>IF($C135="","",醫護長與管理部班表!$D9)</f>
        <v/>
      </c>
      <c r="F135" s="16">
        <f>IF($C135="","",醫護長與管理部班表!$C9)</f>
        <v/>
      </c>
      <c r="G135" s="16">
        <f>IF($C135="","",醫護長與管理部班表!M9)</f>
        <v/>
      </c>
      <c r="H135" s="87">
        <f>IF($G135="","",IFERROR(IF(INDEX(設定!$D$6:$D$21,MATCH($G135,設定!$B$6:$B$21,0))=0,"",INDEX(設定!$D$6:$D$21,MATCH($G135,設定!$B$6:$B$21,0))),""))</f>
        <v/>
      </c>
      <c r="I135" s="87">
        <f>IF($G135="","",IFERROR(IF(INDEX(設定!$E$6:$E$21,MATCH($G135,設定!$B$6:$B$21,0))=0,"",INDEX(設定!$E$6:$E$21,MATCH($G135,設定!$B$6:$B$21,0))),""))</f>
        <v/>
      </c>
      <c r="J135" s="87">
        <f>IFERROR(INDEX(打卡匯入!$C$3:$C$502,MATCH($C135&amp;"|"&amp;DAY($A135),打卡匯入!$E$3:$E$502,0)),"")</f>
        <v/>
      </c>
      <c r="K135" s="87">
        <f>IFERROR(INDEX(打卡匯入!$D$3:$D$502,MATCH($C135&amp;"|"&amp;DAY($A135),打卡匯入!$E$3:$E$502,0)),"")</f>
        <v/>
      </c>
      <c r="L135" s="88">
        <f>IF(OR($J135="",$K135=""),"",IFERROR(INDEX(設定!$F$6:$F$21,MATCH($G135,設定!$B$6:$B$21,0)),0))</f>
        <v/>
      </c>
      <c r="M135" s="89">
        <f>IF(OR($J135="",$K135=""),"",ROUND(($K135-$J135)*24-$L135/60,2))</f>
        <v/>
      </c>
      <c r="N135" s="16">
        <f>IF($C135="","",IF(AND(COUNTIF(設定!$B$15:$B$21,$G135)&gt;0,$J135&lt;&gt;""),"假日出勤",IF(AND(COUNTIF(設定!$B$6:$B$14,$G135)&gt;0,$J135=""),"未打卡",IF($J135="","",IF($O135&gt;0,"遲到",IF($P135&gt;0,"早退","正常"))))))</f>
        <v/>
      </c>
      <c r="O135" s="88">
        <f>IF(OR($C135="",$H135="",$J135=""),0,IF(ROUND(($J135-$H135)*1440,0)&gt;設定!$C$48,ROUND(($J135-$H135)*1440,0),0))</f>
        <v/>
      </c>
      <c r="P135" s="88">
        <f>IF(OR($C135="",$I135="",$K135=""),0,IF(ROUND(($I135-$K135)*1440,0)&gt;設定!$C$48,ROUND(($I135-$K135)*1440,0),0))</f>
        <v/>
      </c>
      <c r="Q135" s="89">
        <f>IF($M135="",0,IF(($M135-IFERROR(INDEX(設定!$G$6:$G$21,MATCH($G135,設定!$B$6:$B$21,0)),0))*60&gt;=設定!$C$46,ROUND(FLOOR(($M135-IFERROR(INDEX(設定!$G$6:$G$21,MATCH($G135,設定!$B$6:$B$21,0)),0))*60,設定!$C$47)/60,2),0))</f>
        <v/>
      </c>
      <c r="R135" s="16">
        <f>IF(OR($C135="",$Q135=0),"",IF($G135="國","國定假日",IF($B135="日","例假",IF($B135="六","休息日","平日"))))</f>
        <v/>
      </c>
      <c r="S135" s="18" t="n"/>
    </row>
    <row r="136">
      <c r="A136" s="86">
        <f>IF(OR(醫護長與管理部班表!$A9="",10&gt;DAY(EOMONTH(DATE(設定!$C$2,設定!$D$2,1),0))),"",DATE(設定!$C$2,設定!$D$2,10))</f>
        <v/>
      </c>
      <c r="B136" s="16">
        <f>IF($A136="","",INDEX(設定!$O$6:$O$12,WEEKDAY($A136,1)))</f>
        <v/>
      </c>
      <c r="C136" s="16">
        <f>IF($A136="","",醫護長與管理部班表!$A9)</f>
        <v/>
      </c>
      <c r="D136" s="16">
        <f>IF($C136="","",醫護長與管理部班表!$B9)</f>
        <v/>
      </c>
      <c r="E136" s="16">
        <f>IF($C136="","",醫護長與管理部班表!$D9)</f>
        <v/>
      </c>
      <c r="F136" s="16">
        <f>IF($C136="","",醫護長與管理部班表!$C9)</f>
        <v/>
      </c>
      <c r="G136" s="16">
        <f>IF($C136="","",醫護長與管理部班表!N9)</f>
        <v/>
      </c>
      <c r="H136" s="87">
        <f>IF($G136="","",IFERROR(IF(INDEX(設定!$D$6:$D$21,MATCH($G136,設定!$B$6:$B$21,0))=0,"",INDEX(設定!$D$6:$D$21,MATCH($G136,設定!$B$6:$B$21,0))),""))</f>
        <v/>
      </c>
      <c r="I136" s="87">
        <f>IF($G136="","",IFERROR(IF(INDEX(設定!$E$6:$E$21,MATCH($G136,設定!$B$6:$B$21,0))=0,"",INDEX(設定!$E$6:$E$21,MATCH($G136,設定!$B$6:$B$21,0))),""))</f>
        <v/>
      </c>
      <c r="J136" s="87">
        <f>IFERROR(INDEX(打卡匯入!$C$3:$C$502,MATCH($C136&amp;"|"&amp;DAY($A136),打卡匯入!$E$3:$E$502,0)),"")</f>
        <v/>
      </c>
      <c r="K136" s="87">
        <f>IFERROR(INDEX(打卡匯入!$D$3:$D$502,MATCH($C136&amp;"|"&amp;DAY($A136),打卡匯入!$E$3:$E$502,0)),"")</f>
        <v/>
      </c>
      <c r="L136" s="88">
        <f>IF(OR($J136="",$K136=""),"",IFERROR(INDEX(設定!$F$6:$F$21,MATCH($G136,設定!$B$6:$B$21,0)),0))</f>
        <v/>
      </c>
      <c r="M136" s="89">
        <f>IF(OR($J136="",$K136=""),"",ROUND(($K136-$J136)*24-$L136/60,2))</f>
        <v/>
      </c>
      <c r="N136" s="16">
        <f>IF($C136="","",IF(AND(COUNTIF(設定!$B$15:$B$21,$G136)&gt;0,$J136&lt;&gt;""),"假日出勤",IF(AND(COUNTIF(設定!$B$6:$B$14,$G136)&gt;0,$J136=""),"未打卡",IF($J136="","",IF($O136&gt;0,"遲到",IF($P136&gt;0,"早退","正常"))))))</f>
        <v/>
      </c>
      <c r="O136" s="88">
        <f>IF(OR($C136="",$H136="",$J136=""),0,IF(ROUND(($J136-$H136)*1440,0)&gt;設定!$C$48,ROUND(($J136-$H136)*1440,0),0))</f>
        <v/>
      </c>
      <c r="P136" s="88">
        <f>IF(OR($C136="",$I136="",$K136=""),0,IF(ROUND(($I136-$K136)*1440,0)&gt;設定!$C$48,ROUND(($I136-$K136)*1440,0),0))</f>
        <v/>
      </c>
      <c r="Q136" s="89">
        <f>IF($M136="",0,IF(($M136-IFERROR(INDEX(設定!$G$6:$G$21,MATCH($G136,設定!$B$6:$B$21,0)),0))*60&gt;=設定!$C$46,ROUND(FLOOR(($M136-IFERROR(INDEX(設定!$G$6:$G$21,MATCH($G136,設定!$B$6:$B$21,0)),0))*60,設定!$C$47)/60,2),0))</f>
        <v/>
      </c>
      <c r="R136" s="16">
        <f>IF(OR($C136="",$Q136=0),"",IF($G136="國","國定假日",IF($B136="日","例假",IF($B136="六","休息日","平日"))))</f>
        <v/>
      </c>
      <c r="S136" s="18" t="n"/>
    </row>
    <row r="137">
      <c r="A137" s="86">
        <f>IF(OR(醫護長與管理部班表!$A9="",11&gt;DAY(EOMONTH(DATE(設定!$C$2,設定!$D$2,1),0))),"",DATE(設定!$C$2,設定!$D$2,11))</f>
        <v/>
      </c>
      <c r="B137" s="16">
        <f>IF($A137="","",INDEX(設定!$O$6:$O$12,WEEKDAY($A137,1)))</f>
        <v/>
      </c>
      <c r="C137" s="16">
        <f>IF($A137="","",醫護長與管理部班表!$A9)</f>
        <v/>
      </c>
      <c r="D137" s="16">
        <f>IF($C137="","",醫護長與管理部班表!$B9)</f>
        <v/>
      </c>
      <c r="E137" s="16">
        <f>IF($C137="","",醫護長與管理部班表!$D9)</f>
        <v/>
      </c>
      <c r="F137" s="16">
        <f>IF($C137="","",醫護長與管理部班表!$C9)</f>
        <v/>
      </c>
      <c r="G137" s="16">
        <f>IF($C137="","",醫護長與管理部班表!O9)</f>
        <v/>
      </c>
      <c r="H137" s="87">
        <f>IF($G137="","",IFERROR(IF(INDEX(設定!$D$6:$D$21,MATCH($G137,設定!$B$6:$B$21,0))=0,"",INDEX(設定!$D$6:$D$21,MATCH($G137,設定!$B$6:$B$21,0))),""))</f>
        <v/>
      </c>
      <c r="I137" s="87">
        <f>IF($G137="","",IFERROR(IF(INDEX(設定!$E$6:$E$21,MATCH($G137,設定!$B$6:$B$21,0))=0,"",INDEX(設定!$E$6:$E$21,MATCH($G137,設定!$B$6:$B$21,0))),""))</f>
        <v/>
      </c>
      <c r="J137" s="87">
        <f>IFERROR(INDEX(打卡匯入!$C$3:$C$502,MATCH($C137&amp;"|"&amp;DAY($A137),打卡匯入!$E$3:$E$502,0)),"")</f>
        <v/>
      </c>
      <c r="K137" s="87">
        <f>IFERROR(INDEX(打卡匯入!$D$3:$D$502,MATCH($C137&amp;"|"&amp;DAY($A137),打卡匯入!$E$3:$E$502,0)),"")</f>
        <v/>
      </c>
      <c r="L137" s="88">
        <f>IF(OR($J137="",$K137=""),"",IFERROR(INDEX(設定!$F$6:$F$21,MATCH($G137,設定!$B$6:$B$21,0)),0))</f>
        <v/>
      </c>
      <c r="M137" s="89">
        <f>IF(OR($J137="",$K137=""),"",ROUND(($K137-$J137)*24-$L137/60,2))</f>
        <v/>
      </c>
      <c r="N137" s="16">
        <f>IF($C137="","",IF(AND(COUNTIF(設定!$B$15:$B$21,$G137)&gt;0,$J137&lt;&gt;""),"假日出勤",IF(AND(COUNTIF(設定!$B$6:$B$14,$G137)&gt;0,$J137=""),"未打卡",IF($J137="","",IF($O137&gt;0,"遲到",IF($P137&gt;0,"早退","正常"))))))</f>
        <v/>
      </c>
      <c r="O137" s="88">
        <f>IF(OR($C137="",$H137="",$J137=""),0,IF(ROUND(($J137-$H137)*1440,0)&gt;設定!$C$48,ROUND(($J137-$H137)*1440,0),0))</f>
        <v/>
      </c>
      <c r="P137" s="88">
        <f>IF(OR($C137="",$I137="",$K137=""),0,IF(ROUND(($I137-$K137)*1440,0)&gt;設定!$C$48,ROUND(($I137-$K137)*1440,0),0))</f>
        <v/>
      </c>
      <c r="Q137" s="89">
        <f>IF($M137="",0,IF(($M137-IFERROR(INDEX(設定!$G$6:$G$21,MATCH($G137,設定!$B$6:$B$21,0)),0))*60&gt;=設定!$C$46,ROUND(FLOOR(($M137-IFERROR(INDEX(設定!$G$6:$G$21,MATCH($G137,設定!$B$6:$B$21,0)),0))*60,設定!$C$47)/60,2),0))</f>
        <v/>
      </c>
      <c r="R137" s="16">
        <f>IF(OR($C137="",$Q137=0),"",IF($G137="國","國定假日",IF($B137="日","例假",IF($B137="六","休息日","平日"))))</f>
        <v/>
      </c>
      <c r="S137" s="18" t="n"/>
    </row>
    <row r="138">
      <c r="A138" s="86">
        <f>IF(OR(醫護長與管理部班表!$A9="",12&gt;DAY(EOMONTH(DATE(設定!$C$2,設定!$D$2,1),0))),"",DATE(設定!$C$2,設定!$D$2,12))</f>
        <v/>
      </c>
      <c r="B138" s="16">
        <f>IF($A138="","",INDEX(設定!$O$6:$O$12,WEEKDAY($A138,1)))</f>
        <v/>
      </c>
      <c r="C138" s="16">
        <f>IF($A138="","",醫護長與管理部班表!$A9)</f>
        <v/>
      </c>
      <c r="D138" s="16">
        <f>IF($C138="","",醫護長與管理部班表!$B9)</f>
        <v/>
      </c>
      <c r="E138" s="16">
        <f>IF($C138="","",醫護長與管理部班表!$D9)</f>
        <v/>
      </c>
      <c r="F138" s="16">
        <f>IF($C138="","",醫護長與管理部班表!$C9)</f>
        <v/>
      </c>
      <c r="G138" s="16">
        <f>IF($C138="","",醫護長與管理部班表!P9)</f>
        <v/>
      </c>
      <c r="H138" s="87">
        <f>IF($G138="","",IFERROR(IF(INDEX(設定!$D$6:$D$21,MATCH($G138,設定!$B$6:$B$21,0))=0,"",INDEX(設定!$D$6:$D$21,MATCH($G138,設定!$B$6:$B$21,0))),""))</f>
        <v/>
      </c>
      <c r="I138" s="87">
        <f>IF($G138="","",IFERROR(IF(INDEX(設定!$E$6:$E$21,MATCH($G138,設定!$B$6:$B$21,0))=0,"",INDEX(設定!$E$6:$E$21,MATCH($G138,設定!$B$6:$B$21,0))),""))</f>
        <v/>
      </c>
      <c r="J138" s="87">
        <f>IFERROR(INDEX(打卡匯入!$C$3:$C$502,MATCH($C138&amp;"|"&amp;DAY($A138),打卡匯入!$E$3:$E$502,0)),"")</f>
        <v/>
      </c>
      <c r="K138" s="87">
        <f>IFERROR(INDEX(打卡匯入!$D$3:$D$502,MATCH($C138&amp;"|"&amp;DAY($A138),打卡匯入!$E$3:$E$502,0)),"")</f>
        <v/>
      </c>
      <c r="L138" s="88">
        <f>IF(OR($J138="",$K138=""),"",IFERROR(INDEX(設定!$F$6:$F$21,MATCH($G138,設定!$B$6:$B$21,0)),0))</f>
        <v/>
      </c>
      <c r="M138" s="89">
        <f>IF(OR($J138="",$K138=""),"",ROUND(($K138-$J138)*24-$L138/60,2))</f>
        <v/>
      </c>
      <c r="N138" s="16">
        <f>IF($C138="","",IF(AND(COUNTIF(設定!$B$15:$B$21,$G138)&gt;0,$J138&lt;&gt;""),"假日出勤",IF(AND(COUNTIF(設定!$B$6:$B$14,$G138)&gt;0,$J138=""),"未打卡",IF($J138="","",IF($O138&gt;0,"遲到",IF($P138&gt;0,"早退","正常"))))))</f>
        <v/>
      </c>
      <c r="O138" s="88">
        <f>IF(OR($C138="",$H138="",$J138=""),0,IF(ROUND(($J138-$H138)*1440,0)&gt;設定!$C$48,ROUND(($J138-$H138)*1440,0),0))</f>
        <v/>
      </c>
      <c r="P138" s="88">
        <f>IF(OR($C138="",$I138="",$K138=""),0,IF(ROUND(($I138-$K138)*1440,0)&gt;設定!$C$48,ROUND(($I138-$K138)*1440,0),0))</f>
        <v/>
      </c>
      <c r="Q138" s="89">
        <f>IF($M138="",0,IF(($M138-IFERROR(INDEX(設定!$G$6:$G$21,MATCH($G138,設定!$B$6:$B$21,0)),0))*60&gt;=設定!$C$46,ROUND(FLOOR(($M138-IFERROR(INDEX(設定!$G$6:$G$21,MATCH($G138,設定!$B$6:$B$21,0)),0))*60,設定!$C$47)/60,2),0))</f>
        <v/>
      </c>
      <c r="R138" s="16">
        <f>IF(OR($C138="",$Q138=0),"",IF($G138="國","國定假日",IF($B138="日","例假",IF($B138="六","休息日","平日"))))</f>
        <v/>
      </c>
      <c r="S138" s="18" t="n"/>
    </row>
    <row r="139">
      <c r="A139" s="86">
        <f>IF(OR(醫護長與管理部班表!$A9="",13&gt;DAY(EOMONTH(DATE(設定!$C$2,設定!$D$2,1),0))),"",DATE(設定!$C$2,設定!$D$2,13))</f>
        <v/>
      </c>
      <c r="B139" s="16">
        <f>IF($A139="","",INDEX(設定!$O$6:$O$12,WEEKDAY($A139,1)))</f>
        <v/>
      </c>
      <c r="C139" s="16">
        <f>IF($A139="","",醫護長與管理部班表!$A9)</f>
        <v/>
      </c>
      <c r="D139" s="16">
        <f>IF($C139="","",醫護長與管理部班表!$B9)</f>
        <v/>
      </c>
      <c r="E139" s="16">
        <f>IF($C139="","",醫護長與管理部班表!$D9)</f>
        <v/>
      </c>
      <c r="F139" s="16">
        <f>IF($C139="","",醫護長與管理部班表!$C9)</f>
        <v/>
      </c>
      <c r="G139" s="16">
        <f>IF($C139="","",醫護長與管理部班表!Q9)</f>
        <v/>
      </c>
      <c r="H139" s="87">
        <f>IF($G139="","",IFERROR(IF(INDEX(設定!$D$6:$D$21,MATCH($G139,設定!$B$6:$B$21,0))=0,"",INDEX(設定!$D$6:$D$21,MATCH($G139,設定!$B$6:$B$21,0))),""))</f>
        <v/>
      </c>
      <c r="I139" s="87">
        <f>IF($G139="","",IFERROR(IF(INDEX(設定!$E$6:$E$21,MATCH($G139,設定!$B$6:$B$21,0))=0,"",INDEX(設定!$E$6:$E$21,MATCH($G139,設定!$B$6:$B$21,0))),""))</f>
        <v/>
      </c>
      <c r="J139" s="87">
        <f>IFERROR(INDEX(打卡匯入!$C$3:$C$502,MATCH($C139&amp;"|"&amp;DAY($A139),打卡匯入!$E$3:$E$502,0)),"")</f>
        <v/>
      </c>
      <c r="K139" s="87">
        <f>IFERROR(INDEX(打卡匯入!$D$3:$D$502,MATCH($C139&amp;"|"&amp;DAY($A139),打卡匯入!$E$3:$E$502,0)),"")</f>
        <v/>
      </c>
      <c r="L139" s="88">
        <f>IF(OR($J139="",$K139=""),"",IFERROR(INDEX(設定!$F$6:$F$21,MATCH($G139,設定!$B$6:$B$21,0)),0))</f>
        <v/>
      </c>
      <c r="M139" s="89">
        <f>IF(OR($J139="",$K139=""),"",ROUND(($K139-$J139)*24-$L139/60,2))</f>
        <v/>
      </c>
      <c r="N139" s="16">
        <f>IF($C139="","",IF(AND(COUNTIF(設定!$B$15:$B$21,$G139)&gt;0,$J139&lt;&gt;""),"假日出勤",IF(AND(COUNTIF(設定!$B$6:$B$14,$G139)&gt;0,$J139=""),"未打卡",IF($J139="","",IF($O139&gt;0,"遲到",IF($P139&gt;0,"早退","正常"))))))</f>
        <v/>
      </c>
      <c r="O139" s="88">
        <f>IF(OR($C139="",$H139="",$J139=""),0,IF(ROUND(($J139-$H139)*1440,0)&gt;設定!$C$48,ROUND(($J139-$H139)*1440,0),0))</f>
        <v/>
      </c>
      <c r="P139" s="88">
        <f>IF(OR($C139="",$I139="",$K139=""),0,IF(ROUND(($I139-$K139)*1440,0)&gt;設定!$C$48,ROUND(($I139-$K139)*1440,0),0))</f>
        <v/>
      </c>
      <c r="Q139" s="89">
        <f>IF($M139="",0,IF(($M139-IFERROR(INDEX(設定!$G$6:$G$21,MATCH($G139,設定!$B$6:$B$21,0)),0))*60&gt;=設定!$C$46,ROUND(FLOOR(($M139-IFERROR(INDEX(設定!$G$6:$G$21,MATCH($G139,設定!$B$6:$B$21,0)),0))*60,設定!$C$47)/60,2),0))</f>
        <v/>
      </c>
      <c r="R139" s="16">
        <f>IF(OR($C139="",$Q139=0),"",IF($G139="國","國定假日",IF($B139="日","例假",IF($B139="六","休息日","平日"))))</f>
        <v/>
      </c>
      <c r="S139" s="18" t="n"/>
    </row>
    <row r="140">
      <c r="A140" s="86">
        <f>IF(OR(醫護長與管理部班表!$A9="",14&gt;DAY(EOMONTH(DATE(設定!$C$2,設定!$D$2,1),0))),"",DATE(設定!$C$2,設定!$D$2,14))</f>
        <v/>
      </c>
      <c r="B140" s="16">
        <f>IF($A140="","",INDEX(設定!$O$6:$O$12,WEEKDAY($A140,1)))</f>
        <v/>
      </c>
      <c r="C140" s="16">
        <f>IF($A140="","",醫護長與管理部班表!$A9)</f>
        <v/>
      </c>
      <c r="D140" s="16">
        <f>IF($C140="","",醫護長與管理部班表!$B9)</f>
        <v/>
      </c>
      <c r="E140" s="16">
        <f>IF($C140="","",醫護長與管理部班表!$D9)</f>
        <v/>
      </c>
      <c r="F140" s="16">
        <f>IF($C140="","",醫護長與管理部班表!$C9)</f>
        <v/>
      </c>
      <c r="G140" s="16">
        <f>IF($C140="","",醫護長與管理部班表!R9)</f>
        <v/>
      </c>
      <c r="H140" s="87">
        <f>IF($G140="","",IFERROR(IF(INDEX(設定!$D$6:$D$21,MATCH($G140,設定!$B$6:$B$21,0))=0,"",INDEX(設定!$D$6:$D$21,MATCH($G140,設定!$B$6:$B$21,0))),""))</f>
        <v/>
      </c>
      <c r="I140" s="87">
        <f>IF($G140="","",IFERROR(IF(INDEX(設定!$E$6:$E$21,MATCH($G140,設定!$B$6:$B$21,0))=0,"",INDEX(設定!$E$6:$E$21,MATCH($G140,設定!$B$6:$B$21,0))),""))</f>
        <v/>
      </c>
      <c r="J140" s="87">
        <f>IFERROR(INDEX(打卡匯入!$C$3:$C$502,MATCH($C140&amp;"|"&amp;DAY($A140),打卡匯入!$E$3:$E$502,0)),"")</f>
        <v/>
      </c>
      <c r="K140" s="87">
        <f>IFERROR(INDEX(打卡匯入!$D$3:$D$502,MATCH($C140&amp;"|"&amp;DAY($A140),打卡匯入!$E$3:$E$502,0)),"")</f>
        <v/>
      </c>
      <c r="L140" s="88">
        <f>IF(OR($J140="",$K140=""),"",IFERROR(INDEX(設定!$F$6:$F$21,MATCH($G140,設定!$B$6:$B$21,0)),0))</f>
        <v/>
      </c>
      <c r="M140" s="89">
        <f>IF(OR($J140="",$K140=""),"",ROUND(($K140-$J140)*24-$L140/60,2))</f>
        <v/>
      </c>
      <c r="N140" s="16">
        <f>IF($C140="","",IF(AND(COUNTIF(設定!$B$15:$B$21,$G140)&gt;0,$J140&lt;&gt;""),"假日出勤",IF(AND(COUNTIF(設定!$B$6:$B$14,$G140)&gt;0,$J140=""),"未打卡",IF($J140="","",IF($O140&gt;0,"遲到",IF($P140&gt;0,"早退","正常"))))))</f>
        <v/>
      </c>
      <c r="O140" s="88">
        <f>IF(OR($C140="",$H140="",$J140=""),0,IF(ROUND(($J140-$H140)*1440,0)&gt;設定!$C$48,ROUND(($J140-$H140)*1440,0),0))</f>
        <v/>
      </c>
      <c r="P140" s="88">
        <f>IF(OR($C140="",$I140="",$K140=""),0,IF(ROUND(($I140-$K140)*1440,0)&gt;設定!$C$48,ROUND(($I140-$K140)*1440,0),0))</f>
        <v/>
      </c>
      <c r="Q140" s="89">
        <f>IF($M140="",0,IF(($M140-IFERROR(INDEX(設定!$G$6:$G$21,MATCH($G140,設定!$B$6:$B$21,0)),0))*60&gt;=設定!$C$46,ROUND(FLOOR(($M140-IFERROR(INDEX(設定!$G$6:$G$21,MATCH($G140,設定!$B$6:$B$21,0)),0))*60,設定!$C$47)/60,2),0))</f>
        <v/>
      </c>
      <c r="R140" s="16">
        <f>IF(OR($C140="",$Q140=0),"",IF($G140="國","國定假日",IF($B140="日","例假",IF($B140="六","休息日","平日"))))</f>
        <v/>
      </c>
      <c r="S140" s="18" t="n"/>
    </row>
    <row r="141">
      <c r="A141" s="86">
        <f>IF(OR(醫護長與管理部班表!$A9="",15&gt;DAY(EOMONTH(DATE(設定!$C$2,設定!$D$2,1),0))),"",DATE(設定!$C$2,設定!$D$2,15))</f>
        <v/>
      </c>
      <c r="B141" s="16">
        <f>IF($A141="","",INDEX(設定!$O$6:$O$12,WEEKDAY($A141,1)))</f>
        <v/>
      </c>
      <c r="C141" s="16">
        <f>IF($A141="","",醫護長與管理部班表!$A9)</f>
        <v/>
      </c>
      <c r="D141" s="16">
        <f>IF($C141="","",醫護長與管理部班表!$B9)</f>
        <v/>
      </c>
      <c r="E141" s="16">
        <f>IF($C141="","",醫護長與管理部班表!$D9)</f>
        <v/>
      </c>
      <c r="F141" s="16">
        <f>IF($C141="","",醫護長與管理部班表!$C9)</f>
        <v/>
      </c>
      <c r="G141" s="16">
        <f>IF($C141="","",醫護長與管理部班表!S9)</f>
        <v/>
      </c>
      <c r="H141" s="87">
        <f>IF($G141="","",IFERROR(IF(INDEX(設定!$D$6:$D$21,MATCH($G141,設定!$B$6:$B$21,0))=0,"",INDEX(設定!$D$6:$D$21,MATCH($G141,設定!$B$6:$B$21,0))),""))</f>
        <v/>
      </c>
      <c r="I141" s="87">
        <f>IF($G141="","",IFERROR(IF(INDEX(設定!$E$6:$E$21,MATCH($G141,設定!$B$6:$B$21,0))=0,"",INDEX(設定!$E$6:$E$21,MATCH($G141,設定!$B$6:$B$21,0))),""))</f>
        <v/>
      </c>
      <c r="J141" s="87">
        <f>IFERROR(INDEX(打卡匯入!$C$3:$C$502,MATCH($C141&amp;"|"&amp;DAY($A141),打卡匯入!$E$3:$E$502,0)),"")</f>
        <v/>
      </c>
      <c r="K141" s="87">
        <f>IFERROR(INDEX(打卡匯入!$D$3:$D$502,MATCH($C141&amp;"|"&amp;DAY($A141),打卡匯入!$E$3:$E$502,0)),"")</f>
        <v/>
      </c>
      <c r="L141" s="88">
        <f>IF(OR($J141="",$K141=""),"",IFERROR(INDEX(設定!$F$6:$F$21,MATCH($G141,設定!$B$6:$B$21,0)),0))</f>
        <v/>
      </c>
      <c r="M141" s="89">
        <f>IF(OR($J141="",$K141=""),"",ROUND(($K141-$J141)*24-$L141/60,2))</f>
        <v/>
      </c>
      <c r="N141" s="16">
        <f>IF($C141="","",IF(AND(COUNTIF(設定!$B$15:$B$21,$G141)&gt;0,$J141&lt;&gt;""),"假日出勤",IF(AND(COUNTIF(設定!$B$6:$B$14,$G141)&gt;0,$J141=""),"未打卡",IF($J141="","",IF($O141&gt;0,"遲到",IF($P141&gt;0,"早退","正常"))))))</f>
        <v/>
      </c>
      <c r="O141" s="88">
        <f>IF(OR($C141="",$H141="",$J141=""),0,IF(ROUND(($J141-$H141)*1440,0)&gt;設定!$C$48,ROUND(($J141-$H141)*1440,0),0))</f>
        <v/>
      </c>
      <c r="P141" s="88">
        <f>IF(OR($C141="",$I141="",$K141=""),0,IF(ROUND(($I141-$K141)*1440,0)&gt;設定!$C$48,ROUND(($I141-$K141)*1440,0),0))</f>
        <v/>
      </c>
      <c r="Q141" s="89">
        <f>IF($M141="",0,IF(($M141-IFERROR(INDEX(設定!$G$6:$G$21,MATCH($G141,設定!$B$6:$B$21,0)),0))*60&gt;=設定!$C$46,ROUND(FLOOR(($M141-IFERROR(INDEX(設定!$G$6:$G$21,MATCH($G141,設定!$B$6:$B$21,0)),0))*60,設定!$C$47)/60,2),0))</f>
        <v/>
      </c>
      <c r="R141" s="16">
        <f>IF(OR($C141="",$Q141=0),"",IF($G141="國","國定假日",IF($B141="日","例假",IF($B141="六","休息日","平日"))))</f>
        <v/>
      </c>
      <c r="S141" s="18" t="n"/>
    </row>
    <row r="142">
      <c r="A142" s="86">
        <f>IF(OR(醫護長與管理部班表!$A9="",16&gt;DAY(EOMONTH(DATE(設定!$C$2,設定!$D$2,1),0))),"",DATE(設定!$C$2,設定!$D$2,16))</f>
        <v/>
      </c>
      <c r="B142" s="16">
        <f>IF($A142="","",INDEX(設定!$O$6:$O$12,WEEKDAY($A142,1)))</f>
        <v/>
      </c>
      <c r="C142" s="16">
        <f>IF($A142="","",醫護長與管理部班表!$A9)</f>
        <v/>
      </c>
      <c r="D142" s="16">
        <f>IF($C142="","",醫護長與管理部班表!$B9)</f>
        <v/>
      </c>
      <c r="E142" s="16">
        <f>IF($C142="","",醫護長與管理部班表!$D9)</f>
        <v/>
      </c>
      <c r="F142" s="16">
        <f>IF($C142="","",醫護長與管理部班表!$C9)</f>
        <v/>
      </c>
      <c r="G142" s="16">
        <f>IF($C142="","",醫護長與管理部班表!T9)</f>
        <v/>
      </c>
      <c r="H142" s="87">
        <f>IF($G142="","",IFERROR(IF(INDEX(設定!$D$6:$D$21,MATCH($G142,設定!$B$6:$B$21,0))=0,"",INDEX(設定!$D$6:$D$21,MATCH($G142,設定!$B$6:$B$21,0))),""))</f>
        <v/>
      </c>
      <c r="I142" s="87">
        <f>IF($G142="","",IFERROR(IF(INDEX(設定!$E$6:$E$21,MATCH($G142,設定!$B$6:$B$21,0))=0,"",INDEX(設定!$E$6:$E$21,MATCH($G142,設定!$B$6:$B$21,0))),""))</f>
        <v/>
      </c>
      <c r="J142" s="87">
        <f>IFERROR(INDEX(打卡匯入!$C$3:$C$502,MATCH($C142&amp;"|"&amp;DAY($A142),打卡匯入!$E$3:$E$502,0)),"")</f>
        <v/>
      </c>
      <c r="K142" s="87">
        <f>IFERROR(INDEX(打卡匯入!$D$3:$D$502,MATCH($C142&amp;"|"&amp;DAY($A142),打卡匯入!$E$3:$E$502,0)),"")</f>
        <v/>
      </c>
      <c r="L142" s="88">
        <f>IF(OR($J142="",$K142=""),"",IFERROR(INDEX(設定!$F$6:$F$21,MATCH($G142,設定!$B$6:$B$21,0)),0))</f>
        <v/>
      </c>
      <c r="M142" s="89">
        <f>IF(OR($J142="",$K142=""),"",ROUND(($K142-$J142)*24-$L142/60,2))</f>
        <v/>
      </c>
      <c r="N142" s="16">
        <f>IF($C142="","",IF(AND(COUNTIF(設定!$B$15:$B$21,$G142)&gt;0,$J142&lt;&gt;""),"假日出勤",IF(AND(COUNTIF(設定!$B$6:$B$14,$G142)&gt;0,$J142=""),"未打卡",IF($J142="","",IF($O142&gt;0,"遲到",IF($P142&gt;0,"早退","正常"))))))</f>
        <v/>
      </c>
      <c r="O142" s="88">
        <f>IF(OR($C142="",$H142="",$J142=""),0,IF(ROUND(($J142-$H142)*1440,0)&gt;設定!$C$48,ROUND(($J142-$H142)*1440,0),0))</f>
        <v/>
      </c>
      <c r="P142" s="88">
        <f>IF(OR($C142="",$I142="",$K142=""),0,IF(ROUND(($I142-$K142)*1440,0)&gt;設定!$C$48,ROUND(($I142-$K142)*1440,0),0))</f>
        <v/>
      </c>
      <c r="Q142" s="89">
        <f>IF($M142="",0,IF(($M142-IFERROR(INDEX(設定!$G$6:$G$21,MATCH($G142,設定!$B$6:$B$21,0)),0))*60&gt;=設定!$C$46,ROUND(FLOOR(($M142-IFERROR(INDEX(設定!$G$6:$G$21,MATCH($G142,設定!$B$6:$B$21,0)),0))*60,設定!$C$47)/60,2),0))</f>
        <v/>
      </c>
      <c r="R142" s="16">
        <f>IF(OR($C142="",$Q142=0),"",IF($G142="國","國定假日",IF($B142="日","例假",IF($B142="六","休息日","平日"))))</f>
        <v/>
      </c>
      <c r="S142" s="18" t="n"/>
    </row>
    <row r="143">
      <c r="A143" s="86">
        <f>IF(OR(醫護長與管理部班表!$A9="",17&gt;DAY(EOMONTH(DATE(設定!$C$2,設定!$D$2,1),0))),"",DATE(設定!$C$2,設定!$D$2,17))</f>
        <v/>
      </c>
      <c r="B143" s="16">
        <f>IF($A143="","",INDEX(設定!$O$6:$O$12,WEEKDAY($A143,1)))</f>
        <v/>
      </c>
      <c r="C143" s="16">
        <f>IF($A143="","",醫護長與管理部班表!$A9)</f>
        <v/>
      </c>
      <c r="D143" s="16">
        <f>IF($C143="","",醫護長與管理部班表!$B9)</f>
        <v/>
      </c>
      <c r="E143" s="16">
        <f>IF($C143="","",醫護長與管理部班表!$D9)</f>
        <v/>
      </c>
      <c r="F143" s="16">
        <f>IF($C143="","",醫護長與管理部班表!$C9)</f>
        <v/>
      </c>
      <c r="G143" s="16">
        <f>IF($C143="","",醫護長與管理部班表!U9)</f>
        <v/>
      </c>
      <c r="H143" s="87">
        <f>IF($G143="","",IFERROR(IF(INDEX(設定!$D$6:$D$21,MATCH($G143,設定!$B$6:$B$21,0))=0,"",INDEX(設定!$D$6:$D$21,MATCH($G143,設定!$B$6:$B$21,0))),""))</f>
        <v/>
      </c>
      <c r="I143" s="87">
        <f>IF($G143="","",IFERROR(IF(INDEX(設定!$E$6:$E$21,MATCH($G143,設定!$B$6:$B$21,0))=0,"",INDEX(設定!$E$6:$E$21,MATCH($G143,設定!$B$6:$B$21,0))),""))</f>
        <v/>
      </c>
      <c r="J143" s="87">
        <f>IFERROR(INDEX(打卡匯入!$C$3:$C$502,MATCH($C143&amp;"|"&amp;DAY($A143),打卡匯入!$E$3:$E$502,0)),"")</f>
        <v/>
      </c>
      <c r="K143" s="87">
        <f>IFERROR(INDEX(打卡匯入!$D$3:$D$502,MATCH($C143&amp;"|"&amp;DAY($A143),打卡匯入!$E$3:$E$502,0)),"")</f>
        <v/>
      </c>
      <c r="L143" s="88">
        <f>IF(OR($J143="",$K143=""),"",IFERROR(INDEX(設定!$F$6:$F$21,MATCH($G143,設定!$B$6:$B$21,0)),0))</f>
        <v/>
      </c>
      <c r="M143" s="89">
        <f>IF(OR($J143="",$K143=""),"",ROUND(($K143-$J143)*24-$L143/60,2))</f>
        <v/>
      </c>
      <c r="N143" s="16">
        <f>IF($C143="","",IF(AND(COUNTIF(設定!$B$15:$B$21,$G143)&gt;0,$J143&lt;&gt;""),"假日出勤",IF(AND(COUNTIF(設定!$B$6:$B$14,$G143)&gt;0,$J143=""),"未打卡",IF($J143="","",IF($O143&gt;0,"遲到",IF($P143&gt;0,"早退","正常"))))))</f>
        <v/>
      </c>
      <c r="O143" s="88">
        <f>IF(OR($C143="",$H143="",$J143=""),0,IF(ROUND(($J143-$H143)*1440,0)&gt;設定!$C$48,ROUND(($J143-$H143)*1440,0),0))</f>
        <v/>
      </c>
      <c r="P143" s="88">
        <f>IF(OR($C143="",$I143="",$K143=""),0,IF(ROUND(($I143-$K143)*1440,0)&gt;設定!$C$48,ROUND(($I143-$K143)*1440,0),0))</f>
        <v/>
      </c>
      <c r="Q143" s="89">
        <f>IF($M143="",0,IF(($M143-IFERROR(INDEX(設定!$G$6:$G$21,MATCH($G143,設定!$B$6:$B$21,0)),0))*60&gt;=設定!$C$46,ROUND(FLOOR(($M143-IFERROR(INDEX(設定!$G$6:$G$21,MATCH($G143,設定!$B$6:$B$21,0)),0))*60,設定!$C$47)/60,2),0))</f>
        <v/>
      </c>
      <c r="R143" s="16">
        <f>IF(OR($C143="",$Q143=0),"",IF($G143="國","國定假日",IF($B143="日","例假",IF($B143="六","休息日","平日"))))</f>
        <v/>
      </c>
      <c r="S143" s="18" t="n"/>
    </row>
    <row r="144">
      <c r="A144" s="86">
        <f>IF(OR(醫護長與管理部班表!$A9="",18&gt;DAY(EOMONTH(DATE(設定!$C$2,設定!$D$2,1),0))),"",DATE(設定!$C$2,設定!$D$2,18))</f>
        <v/>
      </c>
      <c r="B144" s="16">
        <f>IF($A144="","",INDEX(設定!$O$6:$O$12,WEEKDAY($A144,1)))</f>
        <v/>
      </c>
      <c r="C144" s="16">
        <f>IF($A144="","",醫護長與管理部班表!$A9)</f>
        <v/>
      </c>
      <c r="D144" s="16">
        <f>IF($C144="","",醫護長與管理部班表!$B9)</f>
        <v/>
      </c>
      <c r="E144" s="16">
        <f>IF($C144="","",醫護長與管理部班表!$D9)</f>
        <v/>
      </c>
      <c r="F144" s="16">
        <f>IF($C144="","",醫護長與管理部班表!$C9)</f>
        <v/>
      </c>
      <c r="G144" s="16">
        <f>IF($C144="","",醫護長與管理部班表!V9)</f>
        <v/>
      </c>
      <c r="H144" s="87">
        <f>IF($G144="","",IFERROR(IF(INDEX(設定!$D$6:$D$21,MATCH($G144,設定!$B$6:$B$21,0))=0,"",INDEX(設定!$D$6:$D$21,MATCH($G144,設定!$B$6:$B$21,0))),""))</f>
        <v/>
      </c>
      <c r="I144" s="87">
        <f>IF($G144="","",IFERROR(IF(INDEX(設定!$E$6:$E$21,MATCH($G144,設定!$B$6:$B$21,0))=0,"",INDEX(設定!$E$6:$E$21,MATCH($G144,設定!$B$6:$B$21,0))),""))</f>
        <v/>
      </c>
      <c r="J144" s="87">
        <f>IFERROR(INDEX(打卡匯入!$C$3:$C$502,MATCH($C144&amp;"|"&amp;DAY($A144),打卡匯入!$E$3:$E$502,0)),"")</f>
        <v/>
      </c>
      <c r="K144" s="87">
        <f>IFERROR(INDEX(打卡匯入!$D$3:$D$502,MATCH($C144&amp;"|"&amp;DAY($A144),打卡匯入!$E$3:$E$502,0)),"")</f>
        <v/>
      </c>
      <c r="L144" s="88">
        <f>IF(OR($J144="",$K144=""),"",IFERROR(INDEX(設定!$F$6:$F$21,MATCH($G144,設定!$B$6:$B$21,0)),0))</f>
        <v/>
      </c>
      <c r="M144" s="89">
        <f>IF(OR($J144="",$K144=""),"",ROUND(($K144-$J144)*24-$L144/60,2))</f>
        <v/>
      </c>
      <c r="N144" s="16">
        <f>IF($C144="","",IF(AND(COUNTIF(設定!$B$15:$B$21,$G144)&gt;0,$J144&lt;&gt;""),"假日出勤",IF(AND(COUNTIF(設定!$B$6:$B$14,$G144)&gt;0,$J144=""),"未打卡",IF($J144="","",IF($O144&gt;0,"遲到",IF($P144&gt;0,"早退","正常"))))))</f>
        <v/>
      </c>
      <c r="O144" s="88">
        <f>IF(OR($C144="",$H144="",$J144=""),0,IF(ROUND(($J144-$H144)*1440,0)&gt;設定!$C$48,ROUND(($J144-$H144)*1440,0),0))</f>
        <v/>
      </c>
      <c r="P144" s="88">
        <f>IF(OR($C144="",$I144="",$K144=""),0,IF(ROUND(($I144-$K144)*1440,0)&gt;設定!$C$48,ROUND(($I144-$K144)*1440,0),0))</f>
        <v/>
      </c>
      <c r="Q144" s="89">
        <f>IF($M144="",0,IF(($M144-IFERROR(INDEX(設定!$G$6:$G$21,MATCH($G144,設定!$B$6:$B$21,0)),0))*60&gt;=設定!$C$46,ROUND(FLOOR(($M144-IFERROR(INDEX(設定!$G$6:$G$21,MATCH($G144,設定!$B$6:$B$21,0)),0))*60,設定!$C$47)/60,2),0))</f>
        <v/>
      </c>
      <c r="R144" s="16">
        <f>IF(OR($C144="",$Q144=0),"",IF($G144="國","國定假日",IF($B144="日","例假",IF($B144="六","休息日","平日"))))</f>
        <v/>
      </c>
      <c r="S144" s="18" t="n"/>
    </row>
    <row r="145">
      <c r="A145" s="86">
        <f>IF(OR(醫護長與管理部班表!$A9="",19&gt;DAY(EOMONTH(DATE(設定!$C$2,設定!$D$2,1),0))),"",DATE(設定!$C$2,設定!$D$2,19))</f>
        <v/>
      </c>
      <c r="B145" s="16">
        <f>IF($A145="","",INDEX(設定!$O$6:$O$12,WEEKDAY($A145,1)))</f>
        <v/>
      </c>
      <c r="C145" s="16">
        <f>IF($A145="","",醫護長與管理部班表!$A9)</f>
        <v/>
      </c>
      <c r="D145" s="16">
        <f>IF($C145="","",醫護長與管理部班表!$B9)</f>
        <v/>
      </c>
      <c r="E145" s="16">
        <f>IF($C145="","",醫護長與管理部班表!$D9)</f>
        <v/>
      </c>
      <c r="F145" s="16">
        <f>IF($C145="","",醫護長與管理部班表!$C9)</f>
        <v/>
      </c>
      <c r="G145" s="16">
        <f>IF($C145="","",醫護長與管理部班表!W9)</f>
        <v/>
      </c>
      <c r="H145" s="87">
        <f>IF($G145="","",IFERROR(IF(INDEX(設定!$D$6:$D$21,MATCH($G145,設定!$B$6:$B$21,0))=0,"",INDEX(設定!$D$6:$D$21,MATCH($G145,設定!$B$6:$B$21,0))),""))</f>
        <v/>
      </c>
      <c r="I145" s="87">
        <f>IF($G145="","",IFERROR(IF(INDEX(設定!$E$6:$E$21,MATCH($G145,設定!$B$6:$B$21,0))=0,"",INDEX(設定!$E$6:$E$21,MATCH($G145,設定!$B$6:$B$21,0))),""))</f>
        <v/>
      </c>
      <c r="J145" s="87">
        <f>IFERROR(INDEX(打卡匯入!$C$3:$C$502,MATCH($C145&amp;"|"&amp;DAY($A145),打卡匯入!$E$3:$E$502,0)),"")</f>
        <v/>
      </c>
      <c r="K145" s="87">
        <f>IFERROR(INDEX(打卡匯入!$D$3:$D$502,MATCH($C145&amp;"|"&amp;DAY($A145),打卡匯入!$E$3:$E$502,0)),"")</f>
        <v/>
      </c>
      <c r="L145" s="88">
        <f>IF(OR($J145="",$K145=""),"",IFERROR(INDEX(設定!$F$6:$F$21,MATCH($G145,設定!$B$6:$B$21,0)),0))</f>
        <v/>
      </c>
      <c r="M145" s="89">
        <f>IF(OR($J145="",$K145=""),"",ROUND(($K145-$J145)*24-$L145/60,2))</f>
        <v/>
      </c>
      <c r="N145" s="16">
        <f>IF($C145="","",IF(AND(COUNTIF(設定!$B$15:$B$21,$G145)&gt;0,$J145&lt;&gt;""),"假日出勤",IF(AND(COUNTIF(設定!$B$6:$B$14,$G145)&gt;0,$J145=""),"未打卡",IF($J145="","",IF($O145&gt;0,"遲到",IF($P145&gt;0,"早退","正常"))))))</f>
        <v/>
      </c>
      <c r="O145" s="88">
        <f>IF(OR($C145="",$H145="",$J145=""),0,IF(ROUND(($J145-$H145)*1440,0)&gt;設定!$C$48,ROUND(($J145-$H145)*1440,0),0))</f>
        <v/>
      </c>
      <c r="P145" s="88">
        <f>IF(OR($C145="",$I145="",$K145=""),0,IF(ROUND(($I145-$K145)*1440,0)&gt;設定!$C$48,ROUND(($I145-$K145)*1440,0),0))</f>
        <v/>
      </c>
      <c r="Q145" s="89">
        <f>IF($M145="",0,IF(($M145-IFERROR(INDEX(設定!$G$6:$G$21,MATCH($G145,設定!$B$6:$B$21,0)),0))*60&gt;=設定!$C$46,ROUND(FLOOR(($M145-IFERROR(INDEX(設定!$G$6:$G$21,MATCH($G145,設定!$B$6:$B$21,0)),0))*60,設定!$C$47)/60,2),0))</f>
        <v/>
      </c>
      <c r="R145" s="16">
        <f>IF(OR($C145="",$Q145=0),"",IF($G145="國","國定假日",IF($B145="日","例假",IF($B145="六","休息日","平日"))))</f>
        <v/>
      </c>
      <c r="S145" s="18" t="n"/>
    </row>
    <row r="146">
      <c r="A146" s="86">
        <f>IF(OR(醫護長與管理部班表!$A9="",20&gt;DAY(EOMONTH(DATE(設定!$C$2,設定!$D$2,1),0))),"",DATE(設定!$C$2,設定!$D$2,20))</f>
        <v/>
      </c>
      <c r="B146" s="16">
        <f>IF($A146="","",INDEX(設定!$O$6:$O$12,WEEKDAY($A146,1)))</f>
        <v/>
      </c>
      <c r="C146" s="16">
        <f>IF($A146="","",醫護長與管理部班表!$A9)</f>
        <v/>
      </c>
      <c r="D146" s="16">
        <f>IF($C146="","",醫護長與管理部班表!$B9)</f>
        <v/>
      </c>
      <c r="E146" s="16">
        <f>IF($C146="","",醫護長與管理部班表!$D9)</f>
        <v/>
      </c>
      <c r="F146" s="16">
        <f>IF($C146="","",醫護長與管理部班表!$C9)</f>
        <v/>
      </c>
      <c r="G146" s="16">
        <f>IF($C146="","",醫護長與管理部班表!X9)</f>
        <v/>
      </c>
      <c r="H146" s="87">
        <f>IF($G146="","",IFERROR(IF(INDEX(設定!$D$6:$D$21,MATCH($G146,設定!$B$6:$B$21,0))=0,"",INDEX(設定!$D$6:$D$21,MATCH($G146,設定!$B$6:$B$21,0))),""))</f>
        <v/>
      </c>
      <c r="I146" s="87">
        <f>IF($G146="","",IFERROR(IF(INDEX(設定!$E$6:$E$21,MATCH($G146,設定!$B$6:$B$21,0))=0,"",INDEX(設定!$E$6:$E$21,MATCH($G146,設定!$B$6:$B$21,0))),""))</f>
        <v/>
      </c>
      <c r="J146" s="87">
        <f>IFERROR(INDEX(打卡匯入!$C$3:$C$502,MATCH($C146&amp;"|"&amp;DAY($A146),打卡匯入!$E$3:$E$502,0)),"")</f>
        <v/>
      </c>
      <c r="K146" s="87">
        <f>IFERROR(INDEX(打卡匯入!$D$3:$D$502,MATCH($C146&amp;"|"&amp;DAY($A146),打卡匯入!$E$3:$E$502,0)),"")</f>
        <v/>
      </c>
      <c r="L146" s="88">
        <f>IF(OR($J146="",$K146=""),"",IFERROR(INDEX(設定!$F$6:$F$21,MATCH($G146,設定!$B$6:$B$21,0)),0))</f>
        <v/>
      </c>
      <c r="M146" s="89">
        <f>IF(OR($J146="",$K146=""),"",ROUND(($K146-$J146)*24-$L146/60,2))</f>
        <v/>
      </c>
      <c r="N146" s="16">
        <f>IF($C146="","",IF(AND(COUNTIF(設定!$B$15:$B$21,$G146)&gt;0,$J146&lt;&gt;""),"假日出勤",IF(AND(COUNTIF(設定!$B$6:$B$14,$G146)&gt;0,$J146=""),"未打卡",IF($J146="","",IF($O146&gt;0,"遲到",IF($P146&gt;0,"早退","正常"))))))</f>
        <v/>
      </c>
      <c r="O146" s="88">
        <f>IF(OR($C146="",$H146="",$J146=""),0,IF(ROUND(($J146-$H146)*1440,0)&gt;設定!$C$48,ROUND(($J146-$H146)*1440,0),0))</f>
        <v/>
      </c>
      <c r="P146" s="88">
        <f>IF(OR($C146="",$I146="",$K146=""),0,IF(ROUND(($I146-$K146)*1440,0)&gt;設定!$C$48,ROUND(($I146-$K146)*1440,0),0))</f>
        <v/>
      </c>
      <c r="Q146" s="89">
        <f>IF($M146="",0,IF(($M146-IFERROR(INDEX(設定!$G$6:$G$21,MATCH($G146,設定!$B$6:$B$21,0)),0))*60&gt;=設定!$C$46,ROUND(FLOOR(($M146-IFERROR(INDEX(設定!$G$6:$G$21,MATCH($G146,設定!$B$6:$B$21,0)),0))*60,設定!$C$47)/60,2),0))</f>
        <v/>
      </c>
      <c r="R146" s="16">
        <f>IF(OR($C146="",$Q146=0),"",IF($G146="國","國定假日",IF($B146="日","例假",IF($B146="六","休息日","平日"))))</f>
        <v/>
      </c>
      <c r="S146" s="18" t="n"/>
    </row>
    <row r="147">
      <c r="A147" s="86">
        <f>IF(OR(醫護長與管理部班表!$A9="",21&gt;DAY(EOMONTH(DATE(設定!$C$2,設定!$D$2,1),0))),"",DATE(設定!$C$2,設定!$D$2,21))</f>
        <v/>
      </c>
      <c r="B147" s="16">
        <f>IF($A147="","",INDEX(設定!$O$6:$O$12,WEEKDAY($A147,1)))</f>
        <v/>
      </c>
      <c r="C147" s="16">
        <f>IF($A147="","",醫護長與管理部班表!$A9)</f>
        <v/>
      </c>
      <c r="D147" s="16">
        <f>IF($C147="","",醫護長與管理部班表!$B9)</f>
        <v/>
      </c>
      <c r="E147" s="16">
        <f>IF($C147="","",醫護長與管理部班表!$D9)</f>
        <v/>
      </c>
      <c r="F147" s="16">
        <f>IF($C147="","",醫護長與管理部班表!$C9)</f>
        <v/>
      </c>
      <c r="G147" s="16">
        <f>IF($C147="","",醫護長與管理部班表!Y9)</f>
        <v/>
      </c>
      <c r="H147" s="87">
        <f>IF($G147="","",IFERROR(IF(INDEX(設定!$D$6:$D$21,MATCH($G147,設定!$B$6:$B$21,0))=0,"",INDEX(設定!$D$6:$D$21,MATCH($G147,設定!$B$6:$B$21,0))),""))</f>
        <v/>
      </c>
      <c r="I147" s="87">
        <f>IF($G147="","",IFERROR(IF(INDEX(設定!$E$6:$E$21,MATCH($G147,設定!$B$6:$B$21,0))=0,"",INDEX(設定!$E$6:$E$21,MATCH($G147,設定!$B$6:$B$21,0))),""))</f>
        <v/>
      </c>
      <c r="J147" s="87">
        <f>IFERROR(INDEX(打卡匯入!$C$3:$C$502,MATCH($C147&amp;"|"&amp;DAY($A147),打卡匯入!$E$3:$E$502,0)),"")</f>
        <v/>
      </c>
      <c r="K147" s="87">
        <f>IFERROR(INDEX(打卡匯入!$D$3:$D$502,MATCH($C147&amp;"|"&amp;DAY($A147),打卡匯入!$E$3:$E$502,0)),"")</f>
        <v/>
      </c>
      <c r="L147" s="88">
        <f>IF(OR($J147="",$K147=""),"",IFERROR(INDEX(設定!$F$6:$F$21,MATCH($G147,設定!$B$6:$B$21,0)),0))</f>
        <v/>
      </c>
      <c r="M147" s="89">
        <f>IF(OR($J147="",$K147=""),"",ROUND(($K147-$J147)*24-$L147/60,2))</f>
        <v/>
      </c>
      <c r="N147" s="16">
        <f>IF($C147="","",IF(AND(COUNTIF(設定!$B$15:$B$21,$G147)&gt;0,$J147&lt;&gt;""),"假日出勤",IF(AND(COUNTIF(設定!$B$6:$B$14,$G147)&gt;0,$J147=""),"未打卡",IF($J147="","",IF($O147&gt;0,"遲到",IF($P147&gt;0,"早退","正常"))))))</f>
        <v/>
      </c>
      <c r="O147" s="88">
        <f>IF(OR($C147="",$H147="",$J147=""),0,IF(ROUND(($J147-$H147)*1440,0)&gt;設定!$C$48,ROUND(($J147-$H147)*1440,0),0))</f>
        <v/>
      </c>
      <c r="P147" s="88">
        <f>IF(OR($C147="",$I147="",$K147=""),0,IF(ROUND(($I147-$K147)*1440,0)&gt;設定!$C$48,ROUND(($I147-$K147)*1440,0),0))</f>
        <v/>
      </c>
      <c r="Q147" s="89">
        <f>IF($M147="",0,IF(($M147-IFERROR(INDEX(設定!$G$6:$G$21,MATCH($G147,設定!$B$6:$B$21,0)),0))*60&gt;=設定!$C$46,ROUND(FLOOR(($M147-IFERROR(INDEX(設定!$G$6:$G$21,MATCH($G147,設定!$B$6:$B$21,0)),0))*60,設定!$C$47)/60,2),0))</f>
        <v/>
      </c>
      <c r="R147" s="16">
        <f>IF(OR($C147="",$Q147=0),"",IF($G147="國","國定假日",IF($B147="日","例假",IF($B147="六","休息日","平日"))))</f>
        <v/>
      </c>
      <c r="S147" s="18" t="n"/>
    </row>
    <row r="148">
      <c r="A148" s="86">
        <f>IF(OR(醫護長與管理部班表!$A9="",22&gt;DAY(EOMONTH(DATE(設定!$C$2,設定!$D$2,1),0))),"",DATE(設定!$C$2,設定!$D$2,22))</f>
        <v/>
      </c>
      <c r="B148" s="16">
        <f>IF($A148="","",INDEX(設定!$O$6:$O$12,WEEKDAY($A148,1)))</f>
        <v/>
      </c>
      <c r="C148" s="16">
        <f>IF($A148="","",醫護長與管理部班表!$A9)</f>
        <v/>
      </c>
      <c r="D148" s="16">
        <f>IF($C148="","",醫護長與管理部班表!$B9)</f>
        <v/>
      </c>
      <c r="E148" s="16">
        <f>IF($C148="","",醫護長與管理部班表!$D9)</f>
        <v/>
      </c>
      <c r="F148" s="16">
        <f>IF($C148="","",醫護長與管理部班表!$C9)</f>
        <v/>
      </c>
      <c r="G148" s="16">
        <f>IF($C148="","",醫護長與管理部班表!Z9)</f>
        <v/>
      </c>
      <c r="H148" s="87">
        <f>IF($G148="","",IFERROR(IF(INDEX(設定!$D$6:$D$21,MATCH($G148,設定!$B$6:$B$21,0))=0,"",INDEX(設定!$D$6:$D$21,MATCH($G148,設定!$B$6:$B$21,0))),""))</f>
        <v/>
      </c>
      <c r="I148" s="87">
        <f>IF($G148="","",IFERROR(IF(INDEX(設定!$E$6:$E$21,MATCH($G148,設定!$B$6:$B$21,0))=0,"",INDEX(設定!$E$6:$E$21,MATCH($G148,設定!$B$6:$B$21,0))),""))</f>
        <v/>
      </c>
      <c r="J148" s="87">
        <f>IFERROR(INDEX(打卡匯入!$C$3:$C$502,MATCH($C148&amp;"|"&amp;DAY($A148),打卡匯入!$E$3:$E$502,0)),"")</f>
        <v/>
      </c>
      <c r="K148" s="87">
        <f>IFERROR(INDEX(打卡匯入!$D$3:$D$502,MATCH($C148&amp;"|"&amp;DAY($A148),打卡匯入!$E$3:$E$502,0)),"")</f>
        <v/>
      </c>
      <c r="L148" s="88">
        <f>IF(OR($J148="",$K148=""),"",IFERROR(INDEX(設定!$F$6:$F$21,MATCH($G148,設定!$B$6:$B$21,0)),0))</f>
        <v/>
      </c>
      <c r="M148" s="89">
        <f>IF(OR($J148="",$K148=""),"",ROUND(($K148-$J148)*24-$L148/60,2))</f>
        <v/>
      </c>
      <c r="N148" s="16">
        <f>IF($C148="","",IF(AND(COUNTIF(設定!$B$15:$B$21,$G148)&gt;0,$J148&lt;&gt;""),"假日出勤",IF(AND(COUNTIF(設定!$B$6:$B$14,$G148)&gt;0,$J148=""),"未打卡",IF($J148="","",IF($O148&gt;0,"遲到",IF($P148&gt;0,"早退","正常"))))))</f>
        <v/>
      </c>
      <c r="O148" s="88">
        <f>IF(OR($C148="",$H148="",$J148=""),0,IF(ROUND(($J148-$H148)*1440,0)&gt;設定!$C$48,ROUND(($J148-$H148)*1440,0),0))</f>
        <v/>
      </c>
      <c r="P148" s="88">
        <f>IF(OR($C148="",$I148="",$K148=""),0,IF(ROUND(($I148-$K148)*1440,0)&gt;設定!$C$48,ROUND(($I148-$K148)*1440,0),0))</f>
        <v/>
      </c>
      <c r="Q148" s="89">
        <f>IF($M148="",0,IF(($M148-IFERROR(INDEX(設定!$G$6:$G$21,MATCH($G148,設定!$B$6:$B$21,0)),0))*60&gt;=設定!$C$46,ROUND(FLOOR(($M148-IFERROR(INDEX(設定!$G$6:$G$21,MATCH($G148,設定!$B$6:$B$21,0)),0))*60,設定!$C$47)/60,2),0))</f>
        <v/>
      </c>
      <c r="R148" s="16">
        <f>IF(OR($C148="",$Q148=0),"",IF($G148="國","國定假日",IF($B148="日","例假",IF($B148="六","休息日","平日"))))</f>
        <v/>
      </c>
      <c r="S148" s="18" t="n"/>
    </row>
    <row r="149">
      <c r="A149" s="86">
        <f>IF(OR(醫護長與管理部班表!$A9="",23&gt;DAY(EOMONTH(DATE(設定!$C$2,設定!$D$2,1),0))),"",DATE(設定!$C$2,設定!$D$2,23))</f>
        <v/>
      </c>
      <c r="B149" s="16">
        <f>IF($A149="","",INDEX(設定!$O$6:$O$12,WEEKDAY($A149,1)))</f>
        <v/>
      </c>
      <c r="C149" s="16">
        <f>IF($A149="","",醫護長與管理部班表!$A9)</f>
        <v/>
      </c>
      <c r="D149" s="16">
        <f>IF($C149="","",醫護長與管理部班表!$B9)</f>
        <v/>
      </c>
      <c r="E149" s="16">
        <f>IF($C149="","",醫護長與管理部班表!$D9)</f>
        <v/>
      </c>
      <c r="F149" s="16">
        <f>IF($C149="","",醫護長與管理部班表!$C9)</f>
        <v/>
      </c>
      <c r="G149" s="16">
        <f>IF($C149="","",醫護長與管理部班表!AA9)</f>
        <v/>
      </c>
      <c r="H149" s="87">
        <f>IF($G149="","",IFERROR(IF(INDEX(設定!$D$6:$D$21,MATCH($G149,設定!$B$6:$B$21,0))=0,"",INDEX(設定!$D$6:$D$21,MATCH($G149,設定!$B$6:$B$21,0))),""))</f>
        <v/>
      </c>
      <c r="I149" s="87">
        <f>IF($G149="","",IFERROR(IF(INDEX(設定!$E$6:$E$21,MATCH($G149,設定!$B$6:$B$21,0))=0,"",INDEX(設定!$E$6:$E$21,MATCH($G149,設定!$B$6:$B$21,0))),""))</f>
        <v/>
      </c>
      <c r="J149" s="87">
        <f>IFERROR(INDEX(打卡匯入!$C$3:$C$502,MATCH($C149&amp;"|"&amp;DAY($A149),打卡匯入!$E$3:$E$502,0)),"")</f>
        <v/>
      </c>
      <c r="K149" s="87">
        <f>IFERROR(INDEX(打卡匯入!$D$3:$D$502,MATCH($C149&amp;"|"&amp;DAY($A149),打卡匯入!$E$3:$E$502,0)),"")</f>
        <v/>
      </c>
      <c r="L149" s="88">
        <f>IF(OR($J149="",$K149=""),"",IFERROR(INDEX(設定!$F$6:$F$21,MATCH($G149,設定!$B$6:$B$21,0)),0))</f>
        <v/>
      </c>
      <c r="M149" s="89">
        <f>IF(OR($J149="",$K149=""),"",ROUND(($K149-$J149)*24-$L149/60,2))</f>
        <v/>
      </c>
      <c r="N149" s="16">
        <f>IF($C149="","",IF(AND(COUNTIF(設定!$B$15:$B$21,$G149)&gt;0,$J149&lt;&gt;""),"假日出勤",IF(AND(COUNTIF(設定!$B$6:$B$14,$G149)&gt;0,$J149=""),"未打卡",IF($J149="","",IF($O149&gt;0,"遲到",IF($P149&gt;0,"早退","正常"))))))</f>
        <v/>
      </c>
      <c r="O149" s="88">
        <f>IF(OR($C149="",$H149="",$J149=""),0,IF(ROUND(($J149-$H149)*1440,0)&gt;設定!$C$48,ROUND(($J149-$H149)*1440,0),0))</f>
        <v/>
      </c>
      <c r="P149" s="88">
        <f>IF(OR($C149="",$I149="",$K149=""),0,IF(ROUND(($I149-$K149)*1440,0)&gt;設定!$C$48,ROUND(($I149-$K149)*1440,0),0))</f>
        <v/>
      </c>
      <c r="Q149" s="89">
        <f>IF($M149="",0,IF(($M149-IFERROR(INDEX(設定!$G$6:$G$21,MATCH($G149,設定!$B$6:$B$21,0)),0))*60&gt;=設定!$C$46,ROUND(FLOOR(($M149-IFERROR(INDEX(設定!$G$6:$G$21,MATCH($G149,設定!$B$6:$B$21,0)),0))*60,設定!$C$47)/60,2),0))</f>
        <v/>
      </c>
      <c r="R149" s="16">
        <f>IF(OR($C149="",$Q149=0),"",IF($G149="國","國定假日",IF($B149="日","例假",IF($B149="六","休息日","平日"))))</f>
        <v/>
      </c>
      <c r="S149" s="18" t="n"/>
    </row>
    <row r="150">
      <c r="A150" s="86">
        <f>IF(OR(醫護長與管理部班表!$A9="",24&gt;DAY(EOMONTH(DATE(設定!$C$2,設定!$D$2,1),0))),"",DATE(設定!$C$2,設定!$D$2,24))</f>
        <v/>
      </c>
      <c r="B150" s="16">
        <f>IF($A150="","",INDEX(設定!$O$6:$O$12,WEEKDAY($A150,1)))</f>
        <v/>
      </c>
      <c r="C150" s="16">
        <f>IF($A150="","",醫護長與管理部班表!$A9)</f>
        <v/>
      </c>
      <c r="D150" s="16">
        <f>IF($C150="","",醫護長與管理部班表!$B9)</f>
        <v/>
      </c>
      <c r="E150" s="16">
        <f>IF($C150="","",醫護長與管理部班表!$D9)</f>
        <v/>
      </c>
      <c r="F150" s="16">
        <f>IF($C150="","",醫護長與管理部班表!$C9)</f>
        <v/>
      </c>
      <c r="G150" s="16">
        <f>IF($C150="","",醫護長與管理部班表!AB9)</f>
        <v/>
      </c>
      <c r="H150" s="87">
        <f>IF($G150="","",IFERROR(IF(INDEX(設定!$D$6:$D$21,MATCH($G150,設定!$B$6:$B$21,0))=0,"",INDEX(設定!$D$6:$D$21,MATCH($G150,設定!$B$6:$B$21,0))),""))</f>
        <v/>
      </c>
      <c r="I150" s="87">
        <f>IF($G150="","",IFERROR(IF(INDEX(設定!$E$6:$E$21,MATCH($G150,設定!$B$6:$B$21,0))=0,"",INDEX(設定!$E$6:$E$21,MATCH($G150,設定!$B$6:$B$21,0))),""))</f>
        <v/>
      </c>
      <c r="J150" s="87">
        <f>IFERROR(INDEX(打卡匯入!$C$3:$C$502,MATCH($C150&amp;"|"&amp;DAY($A150),打卡匯入!$E$3:$E$502,0)),"")</f>
        <v/>
      </c>
      <c r="K150" s="87">
        <f>IFERROR(INDEX(打卡匯入!$D$3:$D$502,MATCH($C150&amp;"|"&amp;DAY($A150),打卡匯入!$E$3:$E$502,0)),"")</f>
        <v/>
      </c>
      <c r="L150" s="88">
        <f>IF(OR($J150="",$K150=""),"",IFERROR(INDEX(設定!$F$6:$F$21,MATCH($G150,設定!$B$6:$B$21,0)),0))</f>
        <v/>
      </c>
      <c r="M150" s="89">
        <f>IF(OR($J150="",$K150=""),"",ROUND(($K150-$J150)*24-$L150/60,2))</f>
        <v/>
      </c>
      <c r="N150" s="16">
        <f>IF($C150="","",IF(AND(COUNTIF(設定!$B$15:$B$21,$G150)&gt;0,$J150&lt;&gt;""),"假日出勤",IF(AND(COUNTIF(設定!$B$6:$B$14,$G150)&gt;0,$J150=""),"未打卡",IF($J150="","",IF($O150&gt;0,"遲到",IF($P150&gt;0,"早退","正常"))))))</f>
        <v/>
      </c>
      <c r="O150" s="88">
        <f>IF(OR($C150="",$H150="",$J150=""),0,IF(ROUND(($J150-$H150)*1440,0)&gt;設定!$C$48,ROUND(($J150-$H150)*1440,0),0))</f>
        <v/>
      </c>
      <c r="P150" s="88">
        <f>IF(OR($C150="",$I150="",$K150=""),0,IF(ROUND(($I150-$K150)*1440,0)&gt;設定!$C$48,ROUND(($I150-$K150)*1440,0),0))</f>
        <v/>
      </c>
      <c r="Q150" s="89">
        <f>IF($M150="",0,IF(($M150-IFERROR(INDEX(設定!$G$6:$G$21,MATCH($G150,設定!$B$6:$B$21,0)),0))*60&gt;=設定!$C$46,ROUND(FLOOR(($M150-IFERROR(INDEX(設定!$G$6:$G$21,MATCH($G150,設定!$B$6:$B$21,0)),0))*60,設定!$C$47)/60,2),0))</f>
        <v/>
      </c>
      <c r="R150" s="16">
        <f>IF(OR($C150="",$Q150=0),"",IF($G150="國","國定假日",IF($B150="日","例假",IF($B150="六","休息日","平日"))))</f>
        <v/>
      </c>
      <c r="S150" s="18" t="n"/>
    </row>
    <row r="151">
      <c r="A151" s="86">
        <f>IF(OR(醫護長與管理部班表!$A9="",25&gt;DAY(EOMONTH(DATE(設定!$C$2,設定!$D$2,1),0))),"",DATE(設定!$C$2,設定!$D$2,25))</f>
        <v/>
      </c>
      <c r="B151" s="16">
        <f>IF($A151="","",INDEX(設定!$O$6:$O$12,WEEKDAY($A151,1)))</f>
        <v/>
      </c>
      <c r="C151" s="16">
        <f>IF($A151="","",醫護長與管理部班表!$A9)</f>
        <v/>
      </c>
      <c r="D151" s="16">
        <f>IF($C151="","",醫護長與管理部班表!$B9)</f>
        <v/>
      </c>
      <c r="E151" s="16">
        <f>IF($C151="","",醫護長與管理部班表!$D9)</f>
        <v/>
      </c>
      <c r="F151" s="16">
        <f>IF($C151="","",醫護長與管理部班表!$C9)</f>
        <v/>
      </c>
      <c r="G151" s="16">
        <f>IF($C151="","",醫護長與管理部班表!AC9)</f>
        <v/>
      </c>
      <c r="H151" s="87">
        <f>IF($G151="","",IFERROR(IF(INDEX(設定!$D$6:$D$21,MATCH($G151,設定!$B$6:$B$21,0))=0,"",INDEX(設定!$D$6:$D$21,MATCH($G151,設定!$B$6:$B$21,0))),""))</f>
        <v/>
      </c>
      <c r="I151" s="87">
        <f>IF($G151="","",IFERROR(IF(INDEX(設定!$E$6:$E$21,MATCH($G151,設定!$B$6:$B$21,0))=0,"",INDEX(設定!$E$6:$E$21,MATCH($G151,設定!$B$6:$B$21,0))),""))</f>
        <v/>
      </c>
      <c r="J151" s="87">
        <f>IFERROR(INDEX(打卡匯入!$C$3:$C$502,MATCH($C151&amp;"|"&amp;DAY($A151),打卡匯入!$E$3:$E$502,0)),"")</f>
        <v/>
      </c>
      <c r="K151" s="87">
        <f>IFERROR(INDEX(打卡匯入!$D$3:$D$502,MATCH($C151&amp;"|"&amp;DAY($A151),打卡匯入!$E$3:$E$502,0)),"")</f>
        <v/>
      </c>
      <c r="L151" s="88">
        <f>IF(OR($J151="",$K151=""),"",IFERROR(INDEX(設定!$F$6:$F$21,MATCH($G151,設定!$B$6:$B$21,0)),0))</f>
        <v/>
      </c>
      <c r="M151" s="89">
        <f>IF(OR($J151="",$K151=""),"",ROUND(($K151-$J151)*24-$L151/60,2))</f>
        <v/>
      </c>
      <c r="N151" s="16">
        <f>IF($C151="","",IF(AND(COUNTIF(設定!$B$15:$B$21,$G151)&gt;0,$J151&lt;&gt;""),"假日出勤",IF(AND(COUNTIF(設定!$B$6:$B$14,$G151)&gt;0,$J151=""),"未打卡",IF($J151="","",IF($O151&gt;0,"遲到",IF($P151&gt;0,"早退","正常"))))))</f>
        <v/>
      </c>
      <c r="O151" s="88">
        <f>IF(OR($C151="",$H151="",$J151=""),0,IF(ROUND(($J151-$H151)*1440,0)&gt;設定!$C$48,ROUND(($J151-$H151)*1440,0),0))</f>
        <v/>
      </c>
      <c r="P151" s="88">
        <f>IF(OR($C151="",$I151="",$K151=""),0,IF(ROUND(($I151-$K151)*1440,0)&gt;設定!$C$48,ROUND(($I151-$K151)*1440,0),0))</f>
        <v/>
      </c>
      <c r="Q151" s="89">
        <f>IF($M151="",0,IF(($M151-IFERROR(INDEX(設定!$G$6:$G$21,MATCH($G151,設定!$B$6:$B$21,0)),0))*60&gt;=設定!$C$46,ROUND(FLOOR(($M151-IFERROR(INDEX(設定!$G$6:$G$21,MATCH($G151,設定!$B$6:$B$21,0)),0))*60,設定!$C$47)/60,2),0))</f>
        <v/>
      </c>
      <c r="R151" s="16">
        <f>IF(OR($C151="",$Q151=0),"",IF($G151="國","國定假日",IF($B151="日","例假",IF($B151="六","休息日","平日"))))</f>
        <v/>
      </c>
      <c r="S151" s="18" t="n"/>
    </row>
    <row r="152">
      <c r="A152" s="86">
        <f>IF(OR(醫護長與管理部班表!$A9="",26&gt;DAY(EOMONTH(DATE(設定!$C$2,設定!$D$2,1),0))),"",DATE(設定!$C$2,設定!$D$2,26))</f>
        <v/>
      </c>
      <c r="B152" s="16">
        <f>IF($A152="","",INDEX(設定!$O$6:$O$12,WEEKDAY($A152,1)))</f>
        <v/>
      </c>
      <c r="C152" s="16">
        <f>IF($A152="","",醫護長與管理部班表!$A9)</f>
        <v/>
      </c>
      <c r="D152" s="16">
        <f>IF($C152="","",醫護長與管理部班表!$B9)</f>
        <v/>
      </c>
      <c r="E152" s="16">
        <f>IF($C152="","",醫護長與管理部班表!$D9)</f>
        <v/>
      </c>
      <c r="F152" s="16">
        <f>IF($C152="","",醫護長與管理部班表!$C9)</f>
        <v/>
      </c>
      <c r="G152" s="16">
        <f>IF($C152="","",醫護長與管理部班表!AD9)</f>
        <v/>
      </c>
      <c r="H152" s="87">
        <f>IF($G152="","",IFERROR(IF(INDEX(設定!$D$6:$D$21,MATCH($G152,設定!$B$6:$B$21,0))=0,"",INDEX(設定!$D$6:$D$21,MATCH($G152,設定!$B$6:$B$21,0))),""))</f>
        <v/>
      </c>
      <c r="I152" s="87">
        <f>IF($G152="","",IFERROR(IF(INDEX(設定!$E$6:$E$21,MATCH($G152,設定!$B$6:$B$21,0))=0,"",INDEX(設定!$E$6:$E$21,MATCH($G152,設定!$B$6:$B$21,0))),""))</f>
        <v/>
      </c>
      <c r="J152" s="87">
        <f>IFERROR(INDEX(打卡匯入!$C$3:$C$502,MATCH($C152&amp;"|"&amp;DAY($A152),打卡匯入!$E$3:$E$502,0)),"")</f>
        <v/>
      </c>
      <c r="K152" s="87">
        <f>IFERROR(INDEX(打卡匯入!$D$3:$D$502,MATCH($C152&amp;"|"&amp;DAY($A152),打卡匯入!$E$3:$E$502,0)),"")</f>
        <v/>
      </c>
      <c r="L152" s="88">
        <f>IF(OR($J152="",$K152=""),"",IFERROR(INDEX(設定!$F$6:$F$21,MATCH($G152,設定!$B$6:$B$21,0)),0))</f>
        <v/>
      </c>
      <c r="M152" s="89">
        <f>IF(OR($J152="",$K152=""),"",ROUND(($K152-$J152)*24-$L152/60,2))</f>
        <v/>
      </c>
      <c r="N152" s="16">
        <f>IF($C152="","",IF(AND(COUNTIF(設定!$B$15:$B$21,$G152)&gt;0,$J152&lt;&gt;""),"假日出勤",IF(AND(COUNTIF(設定!$B$6:$B$14,$G152)&gt;0,$J152=""),"未打卡",IF($J152="","",IF($O152&gt;0,"遲到",IF($P152&gt;0,"早退","正常"))))))</f>
        <v/>
      </c>
      <c r="O152" s="88">
        <f>IF(OR($C152="",$H152="",$J152=""),0,IF(ROUND(($J152-$H152)*1440,0)&gt;設定!$C$48,ROUND(($J152-$H152)*1440,0),0))</f>
        <v/>
      </c>
      <c r="P152" s="88">
        <f>IF(OR($C152="",$I152="",$K152=""),0,IF(ROUND(($I152-$K152)*1440,0)&gt;設定!$C$48,ROUND(($I152-$K152)*1440,0),0))</f>
        <v/>
      </c>
      <c r="Q152" s="89">
        <f>IF($M152="",0,IF(($M152-IFERROR(INDEX(設定!$G$6:$G$21,MATCH($G152,設定!$B$6:$B$21,0)),0))*60&gt;=設定!$C$46,ROUND(FLOOR(($M152-IFERROR(INDEX(設定!$G$6:$G$21,MATCH($G152,設定!$B$6:$B$21,0)),0))*60,設定!$C$47)/60,2),0))</f>
        <v/>
      </c>
      <c r="R152" s="16">
        <f>IF(OR($C152="",$Q152=0),"",IF($G152="國","國定假日",IF($B152="日","例假",IF($B152="六","休息日","平日"))))</f>
        <v/>
      </c>
      <c r="S152" s="18" t="n"/>
    </row>
    <row r="153">
      <c r="A153" s="86">
        <f>IF(OR(醫護長與管理部班表!$A9="",27&gt;DAY(EOMONTH(DATE(設定!$C$2,設定!$D$2,1),0))),"",DATE(設定!$C$2,設定!$D$2,27))</f>
        <v/>
      </c>
      <c r="B153" s="16">
        <f>IF($A153="","",INDEX(設定!$O$6:$O$12,WEEKDAY($A153,1)))</f>
        <v/>
      </c>
      <c r="C153" s="16">
        <f>IF($A153="","",醫護長與管理部班表!$A9)</f>
        <v/>
      </c>
      <c r="D153" s="16">
        <f>IF($C153="","",醫護長與管理部班表!$B9)</f>
        <v/>
      </c>
      <c r="E153" s="16">
        <f>IF($C153="","",醫護長與管理部班表!$D9)</f>
        <v/>
      </c>
      <c r="F153" s="16">
        <f>IF($C153="","",醫護長與管理部班表!$C9)</f>
        <v/>
      </c>
      <c r="G153" s="16">
        <f>IF($C153="","",醫護長與管理部班表!AE9)</f>
        <v/>
      </c>
      <c r="H153" s="87">
        <f>IF($G153="","",IFERROR(IF(INDEX(設定!$D$6:$D$21,MATCH($G153,設定!$B$6:$B$21,0))=0,"",INDEX(設定!$D$6:$D$21,MATCH($G153,設定!$B$6:$B$21,0))),""))</f>
        <v/>
      </c>
      <c r="I153" s="87">
        <f>IF($G153="","",IFERROR(IF(INDEX(設定!$E$6:$E$21,MATCH($G153,設定!$B$6:$B$21,0))=0,"",INDEX(設定!$E$6:$E$21,MATCH($G153,設定!$B$6:$B$21,0))),""))</f>
        <v/>
      </c>
      <c r="J153" s="87">
        <f>IFERROR(INDEX(打卡匯入!$C$3:$C$502,MATCH($C153&amp;"|"&amp;DAY($A153),打卡匯入!$E$3:$E$502,0)),"")</f>
        <v/>
      </c>
      <c r="K153" s="87">
        <f>IFERROR(INDEX(打卡匯入!$D$3:$D$502,MATCH($C153&amp;"|"&amp;DAY($A153),打卡匯入!$E$3:$E$502,0)),"")</f>
        <v/>
      </c>
      <c r="L153" s="88">
        <f>IF(OR($J153="",$K153=""),"",IFERROR(INDEX(設定!$F$6:$F$21,MATCH($G153,設定!$B$6:$B$21,0)),0))</f>
        <v/>
      </c>
      <c r="M153" s="89">
        <f>IF(OR($J153="",$K153=""),"",ROUND(($K153-$J153)*24-$L153/60,2))</f>
        <v/>
      </c>
      <c r="N153" s="16">
        <f>IF($C153="","",IF(AND(COUNTIF(設定!$B$15:$B$21,$G153)&gt;0,$J153&lt;&gt;""),"假日出勤",IF(AND(COUNTIF(設定!$B$6:$B$14,$G153)&gt;0,$J153=""),"未打卡",IF($J153="","",IF($O153&gt;0,"遲到",IF($P153&gt;0,"早退","正常"))))))</f>
        <v/>
      </c>
      <c r="O153" s="88">
        <f>IF(OR($C153="",$H153="",$J153=""),0,IF(ROUND(($J153-$H153)*1440,0)&gt;設定!$C$48,ROUND(($J153-$H153)*1440,0),0))</f>
        <v/>
      </c>
      <c r="P153" s="88">
        <f>IF(OR($C153="",$I153="",$K153=""),0,IF(ROUND(($I153-$K153)*1440,0)&gt;設定!$C$48,ROUND(($I153-$K153)*1440,0),0))</f>
        <v/>
      </c>
      <c r="Q153" s="89">
        <f>IF($M153="",0,IF(($M153-IFERROR(INDEX(設定!$G$6:$G$21,MATCH($G153,設定!$B$6:$B$21,0)),0))*60&gt;=設定!$C$46,ROUND(FLOOR(($M153-IFERROR(INDEX(設定!$G$6:$G$21,MATCH($G153,設定!$B$6:$B$21,0)),0))*60,設定!$C$47)/60,2),0))</f>
        <v/>
      </c>
      <c r="R153" s="16">
        <f>IF(OR($C153="",$Q153=0),"",IF($G153="國","國定假日",IF($B153="日","例假",IF($B153="六","休息日","平日"))))</f>
        <v/>
      </c>
      <c r="S153" s="18" t="n"/>
    </row>
    <row r="154">
      <c r="A154" s="86">
        <f>IF(OR(醫護長與管理部班表!$A9="",28&gt;DAY(EOMONTH(DATE(設定!$C$2,設定!$D$2,1),0))),"",DATE(設定!$C$2,設定!$D$2,28))</f>
        <v/>
      </c>
      <c r="B154" s="16">
        <f>IF($A154="","",INDEX(設定!$O$6:$O$12,WEEKDAY($A154,1)))</f>
        <v/>
      </c>
      <c r="C154" s="16">
        <f>IF($A154="","",醫護長與管理部班表!$A9)</f>
        <v/>
      </c>
      <c r="D154" s="16">
        <f>IF($C154="","",醫護長與管理部班表!$B9)</f>
        <v/>
      </c>
      <c r="E154" s="16">
        <f>IF($C154="","",醫護長與管理部班表!$D9)</f>
        <v/>
      </c>
      <c r="F154" s="16">
        <f>IF($C154="","",醫護長與管理部班表!$C9)</f>
        <v/>
      </c>
      <c r="G154" s="16">
        <f>IF($C154="","",醫護長與管理部班表!AF9)</f>
        <v/>
      </c>
      <c r="H154" s="87">
        <f>IF($G154="","",IFERROR(IF(INDEX(設定!$D$6:$D$21,MATCH($G154,設定!$B$6:$B$21,0))=0,"",INDEX(設定!$D$6:$D$21,MATCH($G154,設定!$B$6:$B$21,0))),""))</f>
        <v/>
      </c>
      <c r="I154" s="87">
        <f>IF($G154="","",IFERROR(IF(INDEX(設定!$E$6:$E$21,MATCH($G154,設定!$B$6:$B$21,0))=0,"",INDEX(設定!$E$6:$E$21,MATCH($G154,設定!$B$6:$B$21,0))),""))</f>
        <v/>
      </c>
      <c r="J154" s="87">
        <f>IFERROR(INDEX(打卡匯入!$C$3:$C$502,MATCH($C154&amp;"|"&amp;DAY($A154),打卡匯入!$E$3:$E$502,0)),"")</f>
        <v/>
      </c>
      <c r="K154" s="87">
        <f>IFERROR(INDEX(打卡匯入!$D$3:$D$502,MATCH($C154&amp;"|"&amp;DAY($A154),打卡匯入!$E$3:$E$502,0)),"")</f>
        <v/>
      </c>
      <c r="L154" s="88">
        <f>IF(OR($J154="",$K154=""),"",IFERROR(INDEX(設定!$F$6:$F$21,MATCH($G154,設定!$B$6:$B$21,0)),0))</f>
        <v/>
      </c>
      <c r="M154" s="89">
        <f>IF(OR($J154="",$K154=""),"",ROUND(($K154-$J154)*24-$L154/60,2))</f>
        <v/>
      </c>
      <c r="N154" s="16">
        <f>IF($C154="","",IF(AND(COUNTIF(設定!$B$15:$B$21,$G154)&gt;0,$J154&lt;&gt;""),"假日出勤",IF(AND(COUNTIF(設定!$B$6:$B$14,$G154)&gt;0,$J154=""),"未打卡",IF($J154="","",IF($O154&gt;0,"遲到",IF($P154&gt;0,"早退","正常"))))))</f>
        <v/>
      </c>
      <c r="O154" s="88">
        <f>IF(OR($C154="",$H154="",$J154=""),0,IF(ROUND(($J154-$H154)*1440,0)&gt;設定!$C$48,ROUND(($J154-$H154)*1440,0),0))</f>
        <v/>
      </c>
      <c r="P154" s="88">
        <f>IF(OR($C154="",$I154="",$K154=""),0,IF(ROUND(($I154-$K154)*1440,0)&gt;設定!$C$48,ROUND(($I154-$K154)*1440,0),0))</f>
        <v/>
      </c>
      <c r="Q154" s="89">
        <f>IF($M154="",0,IF(($M154-IFERROR(INDEX(設定!$G$6:$G$21,MATCH($G154,設定!$B$6:$B$21,0)),0))*60&gt;=設定!$C$46,ROUND(FLOOR(($M154-IFERROR(INDEX(設定!$G$6:$G$21,MATCH($G154,設定!$B$6:$B$21,0)),0))*60,設定!$C$47)/60,2),0))</f>
        <v/>
      </c>
      <c r="R154" s="16">
        <f>IF(OR($C154="",$Q154=0),"",IF($G154="國","國定假日",IF($B154="日","例假",IF($B154="六","休息日","平日"))))</f>
        <v/>
      </c>
      <c r="S154" s="18" t="n"/>
    </row>
    <row r="155">
      <c r="A155" s="86">
        <f>IF(OR(醫護長與管理部班表!$A9="",29&gt;DAY(EOMONTH(DATE(設定!$C$2,設定!$D$2,1),0))),"",DATE(設定!$C$2,設定!$D$2,29))</f>
        <v/>
      </c>
      <c r="B155" s="16">
        <f>IF($A155="","",INDEX(設定!$O$6:$O$12,WEEKDAY($A155,1)))</f>
        <v/>
      </c>
      <c r="C155" s="16">
        <f>IF($A155="","",醫護長與管理部班表!$A9)</f>
        <v/>
      </c>
      <c r="D155" s="16">
        <f>IF($C155="","",醫護長與管理部班表!$B9)</f>
        <v/>
      </c>
      <c r="E155" s="16">
        <f>IF($C155="","",醫護長與管理部班表!$D9)</f>
        <v/>
      </c>
      <c r="F155" s="16">
        <f>IF($C155="","",醫護長與管理部班表!$C9)</f>
        <v/>
      </c>
      <c r="G155" s="16">
        <f>IF($C155="","",醫護長與管理部班表!AG9)</f>
        <v/>
      </c>
      <c r="H155" s="87">
        <f>IF($G155="","",IFERROR(IF(INDEX(設定!$D$6:$D$21,MATCH($G155,設定!$B$6:$B$21,0))=0,"",INDEX(設定!$D$6:$D$21,MATCH($G155,設定!$B$6:$B$21,0))),""))</f>
        <v/>
      </c>
      <c r="I155" s="87">
        <f>IF($G155="","",IFERROR(IF(INDEX(設定!$E$6:$E$21,MATCH($G155,設定!$B$6:$B$21,0))=0,"",INDEX(設定!$E$6:$E$21,MATCH($G155,設定!$B$6:$B$21,0))),""))</f>
        <v/>
      </c>
      <c r="J155" s="87">
        <f>IFERROR(INDEX(打卡匯入!$C$3:$C$502,MATCH($C155&amp;"|"&amp;DAY($A155),打卡匯入!$E$3:$E$502,0)),"")</f>
        <v/>
      </c>
      <c r="K155" s="87">
        <f>IFERROR(INDEX(打卡匯入!$D$3:$D$502,MATCH($C155&amp;"|"&amp;DAY($A155),打卡匯入!$E$3:$E$502,0)),"")</f>
        <v/>
      </c>
      <c r="L155" s="88">
        <f>IF(OR($J155="",$K155=""),"",IFERROR(INDEX(設定!$F$6:$F$21,MATCH($G155,設定!$B$6:$B$21,0)),0))</f>
        <v/>
      </c>
      <c r="M155" s="89">
        <f>IF(OR($J155="",$K155=""),"",ROUND(($K155-$J155)*24-$L155/60,2))</f>
        <v/>
      </c>
      <c r="N155" s="16">
        <f>IF($C155="","",IF(AND(COUNTIF(設定!$B$15:$B$21,$G155)&gt;0,$J155&lt;&gt;""),"假日出勤",IF(AND(COUNTIF(設定!$B$6:$B$14,$G155)&gt;0,$J155=""),"未打卡",IF($J155="","",IF($O155&gt;0,"遲到",IF($P155&gt;0,"早退","正常"))))))</f>
        <v/>
      </c>
      <c r="O155" s="88">
        <f>IF(OR($C155="",$H155="",$J155=""),0,IF(ROUND(($J155-$H155)*1440,0)&gt;設定!$C$48,ROUND(($J155-$H155)*1440,0),0))</f>
        <v/>
      </c>
      <c r="P155" s="88">
        <f>IF(OR($C155="",$I155="",$K155=""),0,IF(ROUND(($I155-$K155)*1440,0)&gt;設定!$C$48,ROUND(($I155-$K155)*1440,0),0))</f>
        <v/>
      </c>
      <c r="Q155" s="89">
        <f>IF($M155="",0,IF(($M155-IFERROR(INDEX(設定!$G$6:$G$21,MATCH($G155,設定!$B$6:$B$21,0)),0))*60&gt;=設定!$C$46,ROUND(FLOOR(($M155-IFERROR(INDEX(設定!$G$6:$G$21,MATCH($G155,設定!$B$6:$B$21,0)),0))*60,設定!$C$47)/60,2),0))</f>
        <v/>
      </c>
      <c r="R155" s="16">
        <f>IF(OR($C155="",$Q155=0),"",IF($G155="國","國定假日",IF($B155="日","例假",IF($B155="六","休息日","平日"))))</f>
        <v/>
      </c>
      <c r="S155" s="18" t="n"/>
    </row>
    <row r="156">
      <c r="A156" s="86">
        <f>IF(OR(醫護長與管理部班表!$A9="",30&gt;DAY(EOMONTH(DATE(設定!$C$2,設定!$D$2,1),0))),"",DATE(設定!$C$2,設定!$D$2,30))</f>
        <v/>
      </c>
      <c r="B156" s="16">
        <f>IF($A156="","",INDEX(設定!$O$6:$O$12,WEEKDAY($A156,1)))</f>
        <v/>
      </c>
      <c r="C156" s="16">
        <f>IF($A156="","",醫護長與管理部班表!$A9)</f>
        <v/>
      </c>
      <c r="D156" s="16">
        <f>IF($C156="","",醫護長與管理部班表!$B9)</f>
        <v/>
      </c>
      <c r="E156" s="16">
        <f>IF($C156="","",醫護長與管理部班表!$D9)</f>
        <v/>
      </c>
      <c r="F156" s="16">
        <f>IF($C156="","",醫護長與管理部班表!$C9)</f>
        <v/>
      </c>
      <c r="G156" s="16">
        <f>IF($C156="","",醫護長與管理部班表!AH9)</f>
        <v/>
      </c>
      <c r="H156" s="87">
        <f>IF($G156="","",IFERROR(IF(INDEX(設定!$D$6:$D$21,MATCH($G156,設定!$B$6:$B$21,0))=0,"",INDEX(設定!$D$6:$D$21,MATCH($G156,設定!$B$6:$B$21,0))),""))</f>
        <v/>
      </c>
      <c r="I156" s="87">
        <f>IF($G156="","",IFERROR(IF(INDEX(設定!$E$6:$E$21,MATCH($G156,設定!$B$6:$B$21,0))=0,"",INDEX(設定!$E$6:$E$21,MATCH($G156,設定!$B$6:$B$21,0))),""))</f>
        <v/>
      </c>
      <c r="J156" s="87">
        <f>IFERROR(INDEX(打卡匯入!$C$3:$C$502,MATCH($C156&amp;"|"&amp;DAY($A156),打卡匯入!$E$3:$E$502,0)),"")</f>
        <v/>
      </c>
      <c r="K156" s="87">
        <f>IFERROR(INDEX(打卡匯入!$D$3:$D$502,MATCH($C156&amp;"|"&amp;DAY($A156),打卡匯入!$E$3:$E$502,0)),"")</f>
        <v/>
      </c>
      <c r="L156" s="88">
        <f>IF(OR($J156="",$K156=""),"",IFERROR(INDEX(設定!$F$6:$F$21,MATCH($G156,設定!$B$6:$B$21,0)),0))</f>
        <v/>
      </c>
      <c r="M156" s="89">
        <f>IF(OR($J156="",$K156=""),"",ROUND(($K156-$J156)*24-$L156/60,2))</f>
        <v/>
      </c>
      <c r="N156" s="16">
        <f>IF($C156="","",IF(AND(COUNTIF(設定!$B$15:$B$21,$G156)&gt;0,$J156&lt;&gt;""),"假日出勤",IF(AND(COUNTIF(設定!$B$6:$B$14,$G156)&gt;0,$J156=""),"未打卡",IF($J156="","",IF($O156&gt;0,"遲到",IF($P156&gt;0,"早退","正常"))))))</f>
        <v/>
      </c>
      <c r="O156" s="88">
        <f>IF(OR($C156="",$H156="",$J156=""),0,IF(ROUND(($J156-$H156)*1440,0)&gt;設定!$C$48,ROUND(($J156-$H156)*1440,0),0))</f>
        <v/>
      </c>
      <c r="P156" s="88">
        <f>IF(OR($C156="",$I156="",$K156=""),0,IF(ROUND(($I156-$K156)*1440,0)&gt;設定!$C$48,ROUND(($I156-$K156)*1440,0),0))</f>
        <v/>
      </c>
      <c r="Q156" s="89">
        <f>IF($M156="",0,IF(($M156-IFERROR(INDEX(設定!$G$6:$G$21,MATCH($G156,設定!$B$6:$B$21,0)),0))*60&gt;=設定!$C$46,ROUND(FLOOR(($M156-IFERROR(INDEX(設定!$G$6:$G$21,MATCH($G156,設定!$B$6:$B$21,0)),0))*60,設定!$C$47)/60,2),0))</f>
        <v/>
      </c>
      <c r="R156" s="16">
        <f>IF(OR($C156="",$Q156=0),"",IF($G156="國","國定假日",IF($B156="日","例假",IF($B156="六","休息日","平日"))))</f>
        <v/>
      </c>
      <c r="S156" s="18" t="n"/>
    </row>
    <row r="157">
      <c r="A157" s="86">
        <f>IF(OR(醫護長與管理部班表!$A9="",31&gt;DAY(EOMONTH(DATE(設定!$C$2,設定!$D$2,1),0))),"",DATE(設定!$C$2,設定!$D$2,31))</f>
        <v/>
      </c>
      <c r="B157" s="16">
        <f>IF($A157="","",INDEX(設定!$O$6:$O$12,WEEKDAY($A157,1)))</f>
        <v/>
      </c>
      <c r="C157" s="16">
        <f>IF($A157="","",醫護長與管理部班表!$A9)</f>
        <v/>
      </c>
      <c r="D157" s="16">
        <f>IF($C157="","",醫護長與管理部班表!$B9)</f>
        <v/>
      </c>
      <c r="E157" s="16">
        <f>IF($C157="","",醫護長與管理部班表!$D9)</f>
        <v/>
      </c>
      <c r="F157" s="16">
        <f>IF($C157="","",醫護長與管理部班表!$C9)</f>
        <v/>
      </c>
      <c r="G157" s="16">
        <f>IF($C157="","",醫護長與管理部班表!AI9)</f>
        <v/>
      </c>
      <c r="H157" s="87">
        <f>IF($G157="","",IFERROR(IF(INDEX(設定!$D$6:$D$21,MATCH($G157,設定!$B$6:$B$21,0))=0,"",INDEX(設定!$D$6:$D$21,MATCH($G157,設定!$B$6:$B$21,0))),""))</f>
        <v/>
      </c>
      <c r="I157" s="87">
        <f>IF($G157="","",IFERROR(IF(INDEX(設定!$E$6:$E$21,MATCH($G157,設定!$B$6:$B$21,0))=0,"",INDEX(設定!$E$6:$E$21,MATCH($G157,設定!$B$6:$B$21,0))),""))</f>
        <v/>
      </c>
      <c r="J157" s="87">
        <f>IFERROR(INDEX(打卡匯入!$C$3:$C$502,MATCH($C157&amp;"|"&amp;DAY($A157),打卡匯入!$E$3:$E$502,0)),"")</f>
        <v/>
      </c>
      <c r="K157" s="87">
        <f>IFERROR(INDEX(打卡匯入!$D$3:$D$502,MATCH($C157&amp;"|"&amp;DAY($A157),打卡匯入!$E$3:$E$502,0)),"")</f>
        <v/>
      </c>
      <c r="L157" s="88">
        <f>IF(OR($J157="",$K157=""),"",IFERROR(INDEX(設定!$F$6:$F$21,MATCH($G157,設定!$B$6:$B$21,0)),0))</f>
        <v/>
      </c>
      <c r="M157" s="89">
        <f>IF(OR($J157="",$K157=""),"",ROUND(($K157-$J157)*24-$L157/60,2))</f>
        <v/>
      </c>
      <c r="N157" s="16">
        <f>IF($C157="","",IF(AND(COUNTIF(設定!$B$15:$B$21,$G157)&gt;0,$J157&lt;&gt;""),"假日出勤",IF(AND(COUNTIF(設定!$B$6:$B$14,$G157)&gt;0,$J157=""),"未打卡",IF($J157="","",IF($O157&gt;0,"遲到",IF($P157&gt;0,"早退","正常"))))))</f>
        <v/>
      </c>
      <c r="O157" s="88">
        <f>IF(OR($C157="",$H157="",$J157=""),0,IF(ROUND(($J157-$H157)*1440,0)&gt;設定!$C$48,ROUND(($J157-$H157)*1440,0),0))</f>
        <v/>
      </c>
      <c r="P157" s="88">
        <f>IF(OR($C157="",$I157="",$K157=""),0,IF(ROUND(($I157-$K157)*1440,0)&gt;設定!$C$48,ROUND(($I157-$K157)*1440,0),0))</f>
        <v/>
      </c>
      <c r="Q157" s="89">
        <f>IF($M157="",0,IF(($M157-IFERROR(INDEX(設定!$G$6:$G$21,MATCH($G157,設定!$B$6:$B$21,0)),0))*60&gt;=設定!$C$46,ROUND(FLOOR(($M157-IFERROR(INDEX(設定!$G$6:$G$21,MATCH($G157,設定!$B$6:$B$21,0)),0))*60,設定!$C$47)/60,2),0))</f>
        <v/>
      </c>
      <c r="R157" s="16">
        <f>IF(OR($C157="",$Q157=0),"",IF($G157="國","國定假日",IF($B157="日","例假",IF($B157="六","休息日","平日"))))</f>
        <v/>
      </c>
      <c r="S157" s="18" t="n"/>
    </row>
    <row r="158">
      <c r="A158" s="86">
        <f>IF(OR(醫護長與管理部班表!$A10="",1&gt;DAY(EOMONTH(DATE(設定!$C$2,設定!$D$2,1),0))),"",DATE(設定!$C$2,設定!$D$2,1))</f>
        <v/>
      </c>
      <c r="B158" s="16">
        <f>IF($A158="","",INDEX(設定!$O$6:$O$12,WEEKDAY($A158,1)))</f>
        <v/>
      </c>
      <c r="C158" s="16">
        <f>IF($A158="","",醫護長與管理部班表!$A10)</f>
        <v/>
      </c>
      <c r="D158" s="16">
        <f>IF($C158="","",醫護長與管理部班表!$B10)</f>
        <v/>
      </c>
      <c r="E158" s="16">
        <f>IF($C158="","",醫護長與管理部班表!$D10)</f>
        <v/>
      </c>
      <c r="F158" s="16">
        <f>IF($C158="","",醫護長與管理部班表!$C10)</f>
        <v/>
      </c>
      <c r="G158" s="16">
        <f>IF($C158="","",醫護長與管理部班表!E10)</f>
        <v/>
      </c>
      <c r="H158" s="87">
        <f>IF($G158="","",IFERROR(IF(INDEX(設定!$D$6:$D$21,MATCH($G158,設定!$B$6:$B$21,0))=0,"",INDEX(設定!$D$6:$D$21,MATCH($G158,設定!$B$6:$B$21,0))),""))</f>
        <v/>
      </c>
      <c r="I158" s="87">
        <f>IF($G158="","",IFERROR(IF(INDEX(設定!$E$6:$E$21,MATCH($G158,設定!$B$6:$B$21,0))=0,"",INDEX(設定!$E$6:$E$21,MATCH($G158,設定!$B$6:$B$21,0))),""))</f>
        <v/>
      </c>
      <c r="J158" s="87">
        <f>IFERROR(INDEX(打卡匯入!$C$3:$C$502,MATCH($C158&amp;"|"&amp;DAY($A158),打卡匯入!$E$3:$E$502,0)),"")</f>
        <v/>
      </c>
      <c r="K158" s="87">
        <f>IFERROR(INDEX(打卡匯入!$D$3:$D$502,MATCH($C158&amp;"|"&amp;DAY($A158),打卡匯入!$E$3:$E$502,0)),"")</f>
        <v/>
      </c>
      <c r="L158" s="88">
        <f>IF(OR($J158="",$K158=""),"",IFERROR(INDEX(設定!$F$6:$F$21,MATCH($G158,設定!$B$6:$B$21,0)),0))</f>
        <v/>
      </c>
      <c r="M158" s="89">
        <f>IF(OR($J158="",$K158=""),"",ROUND(($K158-$J158)*24-$L158/60,2))</f>
        <v/>
      </c>
      <c r="N158" s="16">
        <f>IF($C158="","",IF(AND(COUNTIF(設定!$B$15:$B$21,$G158)&gt;0,$J158&lt;&gt;""),"假日出勤",IF(AND(COUNTIF(設定!$B$6:$B$14,$G158)&gt;0,$J158=""),"未打卡",IF($J158="","",IF($O158&gt;0,"遲到",IF($P158&gt;0,"早退","正常"))))))</f>
        <v/>
      </c>
      <c r="O158" s="88">
        <f>IF(OR($C158="",$H158="",$J158=""),0,IF(ROUND(($J158-$H158)*1440,0)&gt;設定!$C$48,ROUND(($J158-$H158)*1440,0),0))</f>
        <v/>
      </c>
      <c r="P158" s="88">
        <f>IF(OR($C158="",$I158="",$K158=""),0,IF(ROUND(($I158-$K158)*1440,0)&gt;設定!$C$48,ROUND(($I158-$K158)*1440,0),0))</f>
        <v/>
      </c>
      <c r="Q158" s="89">
        <f>IF($M158="",0,IF(($M158-IFERROR(INDEX(設定!$G$6:$G$21,MATCH($G158,設定!$B$6:$B$21,0)),0))*60&gt;=設定!$C$46,ROUND(FLOOR(($M158-IFERROR(INDEX(設定!$G$6:$G$21,MATCH($G158,設定!$B$6:$B$21,0)),0))*60,設定!$C$47)/60,2),0))</f>
        <v/>
      </c>
      <c r="R158" s="16">
        <f>IF(OR($C158="",$Q158=0),"",IF($G158="國","國定假日",IF($B158="日","例假",IF($B158="六","休息日","平日"))))</f>
        <v/>
      </c>
      <c r="S158" s="18" t="n"/>
    </row>
    <row r="159">
      <c r="A159" s="86">
        <f>IF(OR(醫護長與管理部班表!$A10="",2&gt;DAY(EOMONTH(DATE(設定!$C$2,設定!$D$2,1),0))),"",DATE(設定!$C$2,設定!$D$2,2))</f>
        <v/>
      </c>
      <c r="B159" s="16">
        <f>IF($A159="","",INDEX(設定!$O$6:$O$12,WEEKDAY($A159,1)))</f>
        <v/>
      </c>
      <c r="C159" s="16">
        <f>IF($A159="","",醫護長與管理部班表!$A10)</f>
        <v/>
      </c>
      <c r="D159" s="16">
        <f>IF($C159="","",醫護長與管理部班表!$B10)</f>
        <v/>
      </c>
      <c r="E159" s="16">
        <f>IF($C159="","",醫護長與管理部班表!$D10)</f>
        <v/>
      </c>
      <c r="F159" s="16">
        <f>IF($C159="","",醫護長與管理部班表!$C10)</f>
        <v/>
      </c>
      <c r="G159" s="16">
        <f>IF($C159="","",醫護長與管理部班表!F10)</f>
        <v/>
      </c>
      <c r="H159" s="87">
        <f>IF($G159="","",IFERROR(IF(INDEX(設定!$D$6:$D$21,MATCH($G159,設定!$B$6:$B$21,0))=0,"",INDEX(設定!$D$6:$D$21,MATCH($G159,設定!$B$6:$B$21,0))),""))</f>
        <v/>
      </c>
      <c r="I159" s="87">
        <f>IF($G159="","",IFERROR(IF(INDEX(設定!$E$6:$E$21,MATCH($G159,設定!$B$6:$B$21,0))=0,"",INDEX(設定!$E$6:$E$21,MATCH($G159,設定!$B$6:$B$21,0))),""))</f>
        <v/>
      </c>
      <c r="J159" s="87">
        <f>IFERROR(INDEX(打卡匯入!$C$3:$C$502,MATCH($C159&amp;"|"&amp;DAY($A159),打卡匯入!$E$3:$E$502,0)),"")</f>
        <v/>
      </c>
      <c r="K159" s="87">
        <f>IFERROR(INDEX(打卡匯入!$D$3:$D$502,MATCH($C159&amp;"|"&amp;DAY($A159),打卡匯入!$E$3:$E$502,0)),"")</f>
        <v/>
      </c>
      <c r="L159" s="88">
        <f>IF(OR($J159="",$K159=""),"",IFERROR(INDEX(設定!$F$6:$F$21,MATCH($G159,設定!$B$6:$B$21,0)),0))</f>
        <v/>
      </c>
      <c r="M159" s="89">
        <f>IF(OR($J159="",$K159=""),"",ROUND(($K159-$J159)*24-$L159/60,2))</f>
        <v/>
      </c>
      <c r="N159" s="16">
        <f>IF($C159="","",IF(AND(COUNTIF(設定!$B$15:$B$21,$G159)&gt;0,$J159&lt;&gt;""),"假日出勤",IF(AND(COUNTIF(設定!$B$6:$B$14,$G159)&gt;0,$J159=""),"未打卡",IF($J159="","",IF($O159&gt;0,"遲到",IF($P159&gt;0,"早退","正常"))))))</f>
        <v/>
      </c>
      <c r="O159" s="88">
        <f>IF(OR($C159="",$H159="",$J159=""),0,IF(ROUND(($J159-$H159)*1440,0)&gt;設定!$C$48,ROUND(($J159-$H159)*1440,0),0))</f>
        <v/>
      </c>
      <c r="P159" s="88">
        <f>IF(OR($C159="",$I159="",$K159=""),0,IF(ROUND(($I159-$K159)*1440,0)&gt;設定!$C$48,ROUND(($I159-$K159)*1440,0),0))</f>
        <v/>
      </c>
      <c r="Q159" s="89">
        <f>IF($M159="",0,IF(($M159-IFERROR(INDEX(設定!$G$6:$G$21,MATCH($G159,設定!$B$6:$B$21,0)),0))*60&gt;=設定!$C$46,ROUND(FLOOR(($M159-IFERROR(INDEX(設定!$G$6:$G$21,MATCH($G159,設定!$B$6:$B$21,0)),0))*60,設定!$C$47)/60,2),0))</f>
        <v/>
      </c>
      <c r="R159" s="16">
        <f>IF(OR($C159="",$Q159=0),"",IF($G159="國","國定假日",IF($B159="日","例假",IF($B159="六","休息日","平日"))))</f>
        <v/>
      </c>
      <c r="S159" s="18" t="n"/>
    </row>
    <row r="160">
      <c r="A160" s="86">
        <f>IF(OR(醫護長與管理部班表!$A10="",3&gt;DAY(EOMONTH(DATE(設定!$C$2,設定!$D$2,1),0))),"",DATE(設定!$C$2,設定!$D$2,3))</f>
        <v/>
      </c>
      <c r="B160" s="16">
        <f>IF($A160="","",INDEX(設定!$O$6:$O$12,WEEKDAY($A160,1)))</f>
        <v/>
      </c>
      <c r="C160" s="16">
        <f>IF($A160="","",醫護長與管理部班表!$A10)</f>
        <v/>
      </c>
      <c r="D160" s="16">
        <f>IF($C160="","",醫護長與管理部班表!$B10)</f>
        <v/>
      </c>
      <c r="E160" s="16">
        <f>IF($C160="","",醫護長與管理部班表!$D10)</f>
        <v/>
      </c>
      <c r="F160" s="16">
        <f>IF($C160="","",醫護長與管理部班表!$C10)</f>
        <v/>
      </c>
      <c r="G160" s="16">
        <f>IF($C160="","",醫護長與管理部班表!G10)</f>
        <v/>
      </c>
      <c r="H160" s="87">
        <f>IF($G160="","",IFERROR(IF(INDEX(設定!$D$6:$D$21,MATCH($G160,設定!$B$6:$B$21,0))=0,"",INDEX(設定!$D$6:$D$21,MATCH($G160,設定!$B$6:$B$21,0))),""))</f>
        <v/>
      </c>
      <c r="I160" s="87">
        <f>IF($G160="","",IFERROR(IF(INDEX(設定!$E$6:$E$21,MATCH($G160,設定!$B$6:$B$21,0))=0,"",INDEX(設定!$E$6:$E$21,MATCH($G160,設定!$B$6:$B$21,0))),""))</f>
        <v/>
      </c>
      <c r="J160" s="87">
        <f>IFERROR(INDEX(打卡匯入!$C$3:$C$502,MATCH($C160&amp;"|"&amp;DAY($A160),打卡匯入!$E$3:$E$502,0)),"")</f>
        <v/>
      </c>
      <c r="K160" s="87">
        <f>IFERROR(INDEX(打卡匯入!$D$3:$D$502,MATCH($C160&amp;"|"&amp;DAY($A160),打卡匯入!$E$3:$E$502,0)),"")</f>
        <v/>
      </c>
      <c r="L160" s="88">
        <f>IF(OR($J160="",$K160=""),"",IFERROR(INDEX(設定!$F$6:$F$21,MATCH($G160,設定!$B$6:$B$21,0)),0))</f>
        <v/>
      </c>
      <c r="M160" s="89">
        <f>IF(OR($J160="",$K160=""),"",ROUND(($K160-$J160)*24-$L160/60,2))</f>
        <v/>
      </c>
      <c r="N160" s="16">
        <f>IF($C160="","",IF(AND(COUNTIF(設定!$B$15:$B$21,$G160)&gt;0,$J160&lt;&gt;""),"假日出勤",IF(AND(COUNTIF(設定!$B$6:$B$14,$G160)&gt;0,$J160=""),"未打卡",IF($J160="","",IF($O160&gt;0,"遲到",IF($P160&gt;0,"早退","正常"))))))</f>
        <v/>
      </c>
      <c r="O160" s="88">
        <f>IF(OR($C160="",$H160="",$J160=""),0,IF(ROUND(($J160-$H160)*1440,0)&gt;設定!$C$48,ROUND(($J160-$H160)*1440,0),0))</f>
        <v/>
      </c>
      <c r="P160" s="88">
        <f>IF(OR($C160="",$I160="",$K160=""),0,IF(ROUND(($I160-$K160)*1440,0)&gt;設定!$C$48,ROUND(($I160-$K160)*1440,0),0))</f>
        <v/>
      </c>
      <c r="Q160" s="89">
        <f>IF($M160="",0,IF(($M160-IFERROR(INDEX(設定!$G$6:$G$21,MATCH($G160,設定!$B$6:$B$21,0)),0))*60&gt;=設定!$C$46,ROUND(FLOOR(($M160-IFERROR(INDEX(設定!$G$6:$G$21,MATCH($G160,設定!$B$6:$B$21,0)),0))*60,設定!$C$47)/60,2),0))</f>
        <v/>
      </c>
      <c r="R160" s="16">
        <f>IF(OR($C160="",$Q160=0),"",IF($G160="國","國定假日",IF($B160="日","例假",IF($B160="六","休息日","平日"))))</f>
        <v/>
      </c>
      <c r="S160" s="18" t="n"/>
    </row>
    <row r="161">
      <c r="A161" s="86">
        <f>IF(OR(醫護長與管理部班表!$A10="",4&gt;DAY(EOMONTH(DATE(設定!$C$2,設定!$D$2,1),0))),"",DATE(設定!$C$2,設定!$D$2,4))</f>
        <v/>
      </c>
      <c r="B161" s="16">
        <f>IF($A161="","",INDEX(設定!$O$6:$O$12,WEEKDAY($A161,1)))</f>
        <v/>
      </c>
      <c r="C161" s="16">
        <f>IF($A161="","",醫護長與管理部班表!$A10)</f>
        <v/>
      </c>
      <c r="D161" s="16">
        <f>IF($C161="","",醫護長與管理部班表!$B10)</f>
        <v/>
      </c>
      <c r="E161" s="16">
        <f>IF($C161="","",醫護長與管理部班表!$D10)</f>
        <v/>
      </c>
      <c r="F161" s="16">
        <f>IF($C161="","",醫護長與管理部班表!$C10)</f>
        <v/>
      </c>
      <c r="G161" s="16">
        <f>IF($C161="","",醫護長與管理部班表!H10)</f>
        <v/>
      </c>
      <c r="H161" s="87">
        <f>IF($G161="","",IFERROR(IF(INDEX(設定!$D$6:$D$21,MATCH($G161,設定!$B$6:$B$21,0))=0,"",INDEX(設定!$D$6:$D$21,MATCH($G161,設定!$B$6:$B$21,0))),""))</f>
        <v/>
      </c>
      <c r="I161" s="87">
        <f>IF($G161="","",IFERROR(IF(INDEX(設定!$E$6:$E$21,MATCH($G161,設定!$B$6:$B$21,0))=0,"",INDEX(設定!$E$6:$E$21,MATCH($G161,設定!$B$6:$B$21,0))),""))</f>
        <v/>
      </c>
      <c r="J161" s="87">
        <f>IFERROR(INDEX(打卡匯入!$C$3:$C$502,MATCH($C161&amp;"|"&amp;DAY($A161),打卡匯入!$E$3:$E$502,0)),"")</f>
        <v/>
      </c>
      <c r="K161" s="87">
        <f>IFERROR(INDEX(打卡匯入!$D$3:$D$502,MATCH($C161&amp;"|"&amp;DAY($A161),打卡匯入!$E$3:$E$502,0)),"")</f>
        <v/>
      </c>
      <c r="L161" s="88">
        <f>IF(OR($J161="",$K161=""),"",IFERROR(INDEX(設定!$F$6:$F$21,MATCH($G161,設定!$B$6:$B$21,0)),0))</f>
        <v/>
      </c>
      <c r="M161" s="89">
        <f>IF(OR($J161="",$K161=""),"",ROUND(($K161-$J161)*24-$L161/60,2))</f>
        <v/>
      </c>
      <c r="N161" s="16">
        <f>IF($C161="","",IF(AND(COUNTIF(設定!$B$15:$B$21,$G161)&gt;0,$J161&lt;&gt;""),"假日出勤",IF(AND(COUNTIF(設定!$B$6:$B$14,$G161)&gt;0,$J161=""),"未打卡",IF($J161="","",IF($O161&gt;0,"遲到",IF($P161&gt;0,"早退","正常"))))))</f>
        <v/>
      </c>
      <c r="O161" s="88">
        <f>IF(OR($C161="",$H161="",$J161=""),0,IF(ROUND(($J161-$H161)*1440,0)&gt;設定!$C$48,ROUND(($J161-$H161)*1440,0),0))</f>
        <v/>
      </c>
      <c r="P161" s="88">
        <f>IF(OR($C161="",$I161="",$K161=""),0,IF(ROUND(($I161-$K161)*1440,0)&gt;設定!$C$48,ROUND(($I161-$K161)*1440,0),0))</f>
        <v/>
      </c>
      <c r="Q161" s="89">
        <f>IF($M161="",0,IF(($M161-IFERROR(INDEX(設定!$G$6:$G$21,MATCH($G161,設定!$B$6:$B$21,0)),0))*60&gt;=設定!$C$46,ROUND(FLOOR(($M161-IFERROR(INDEX(設定!$G$6:$G$21,MATCH($G161,設定!$B$6:$B$21,0)),0))*60,設定!$C$47)/60,2),0))</f>
        <v/>
      </c>
      <c r="R161" s="16">
        <f>IF(OR($C161="",$Q161=0),"",IF($G161="國","國定假日",IF($B161="日","例假",IF($B161="六","休息日","平日"))))</f>
        <v/>
      </c>
      <c r="S161" s="18" t="n"/>
    </row>
    <row r="162">
      <c r="A162" s="86">
        <f>IF(OR(醫護長與管理部班表!$A10="",5&gt;DAY(EOMONTH(DATE(設定!$C$2,設定!$D$2,1),0))),"",DATE(設定!$C$2,設定!$D$2,5))</f>
        <v/>
      </c>
      <c r="B162" s="16">
        <f>IF($A162="","",INDEX(設定!$O$6:$O$12,WEEKDAY($A162,1)))</f>
        <v/>
      </c>
      <c r="C162" s="16">
        <f>IF($A162="","",醫護長與管理部班表!$A10)</f>
        <v/>
      </c>
      <c r="D162" s="16">
        <f>IF($C162="","",醫護長與管理部班表!$B10)</f>
        <v/>
      </c>
      <c r="E162" s="16">
        <f>IF($C162="","",醫護長與管理部班表!$D10)</f>
        <v/>
      </c>
      <c r="F162" s="16">
        <f>IF($C162="","",醫護長與管理部班表!$C10)</f>
        <v/>
      </c>
      <c r="G162" s="16">
        <f>IF($C162="","",醫護長與管理部班表!I10)</f>
        <v/>
      </c>
      <c r="H162" s="87">
        <f>IF($G162="","",IFERROR(IF(INDEX(設定!$D$6:$D$21,MATCH($G162,設定!$B$6:$B$21,0))=0,"",INDEX(設定!$D$6:$D$21,MATCH($G162,設定!$B$6:$B$21,0))),""))</f>
        <v/>
      </c>
      <c r="I162" s="87">
        <f>IF($G162="","",IFERROR(IF(INDEX(設定!$E$6:$E$21,MATCH($G162,設定!$B$6:$B$21,0))=0,"",INDEX(設定!$E$6:$E$21,MATCH($G162,設定!$B$6:$B$21,0))),""))</f>
        <v/>
      </c>
      <c r="J162" s="87">
        <f>IFERROR(INDEX(打卡匯入!$C$3:$C$502,MATCH($C162&amp;"|"&amp;DAY($A162),打卡匯入!$E$3:$E$502,0)),"")</f>
        <v/>
      </c>
      <c r="K162" s="87">
        <f>IFERROR(INDEX(打卡匯入!$D$3:$D$502,MATCH($C162&amp;"|"&amp;DAY($A162),打卡匯入!$E$3:$E$502,0)),"")</f>
        <v/>
      </c>
      <c r="L162" s="88">
        <f>IF(OR($J162="",$K162=""),"",IFERROR(INDEX(設定!$F$6:$F$21,MATCH($G162,設定!$B$6:$B$21,0)),0))</f>
        <v/>
      </c>
      <c r="M162" s="89">
        <f>IF(OR($J162="",$K162=""),"",ROUND(($K162-$J162)*24-$L162/60,2))</f>
        <v/>
      </c>
      <c r="N162" s="16">
        <f>IF($C162="","",IF(AND(COUNTIF(設定!$B$15:$B$21,$G162)&gt;0,$J162&lt;&gt;""),"假日出勤",IF(AND(COUNTIF(設定!$B$6:$B$14,$G162)&gt;0,$J162=""),"未打卡",IF($J162="","",IF($O162&gt;0,"遲到",IF($P162&gt;0,"早退","正常"))))))</f>
        <v/>
      </c>
      <c r="O162" s="88">
        <f>IF(OR($C162="",$H162="",$J162=""),0,IF(ROUND(($J162-$H162)*1440,0)&gt;設定!$C$48,ROUND(($J162-$H162)*1440,0),0))</f>
        <v/>
      </c>
      <c r="P162" s="88">
        <f>IF(OR($C162="",$I162="",$K162=""),0,IF(ROUND(($I162-$K162)*1440,0)&gt;設定!$C$48,ROUND(($I162-$K162)*1440,0),0))</f>
        <v/>
      </c>
      <c r="Q162" s="89">
        <f>IF($M162="",0,IF(($M162-IFERROR(INDEX(設定!$G$6:$G$21,MATCH($G162,設定!$B$6:$B$21,0)),0))*60&gt;=設定!$C$46,ROUND(FLOOR(($M162-IFERROR(INDEX(設定!$G$6:$G$21,MATCH($G162,設定!$B$6:$B$21,0)),0))*60,設定!$C$47)/60,2),0))</f>
        <v/>
      </c>
      <c r="R162" s="16">
        <f>IF(OR($C162="",$Q162=0),"",IF($G162="國","國定假日",IF($B162="日","例假",IF($B162="六","休息日","平日"))))</f>
        <v/>
      </c>
      <c r="S162" s="18" t="n"/>
    </row>
    <row r="163">
      <c r="A163" s="86">
        <f>IF(OR(醫護長與管理部班表!$A10="",6&gt;DAY(EOMONTH(DATE(設定!$C$2,設定!$D$2,1),0))),"",DATE(設定!$C$2,設定!$D$2,6))</f>
        <v/>
      </c>
      <c r="B163" s="16">
        <f>IF($A163="","",INDEX(設定!$O$6:$O$12,WEEKDAY($A163,1)))</f>
        <v/>
      </c>
      <c r="C163" s="16">
        <f>IF($A163="","",醫護長與管理部班表!$A10)</f>
        <v/>
      </c>
      <c r="D163" s="16">
        <f>IF($C163="","",醫護長與管理部班表!$B10)</f>
        <v/>
      </c>
      <c r="E163" s="16">
        <f>IF($C163="","",醫護長與管理部班表!$D10)</f>
        <v/>
      </c>
      <c r="F163" s="16">
        <f>IF($C163="","",醫護長與管理部班表!$C10)</f>
        <v/>
      </c>
      <c r="G163" s="16">
        <f>IF($C163="","",醫護長與管理部班表!J10)</f>
        <v/>
      </c>
      <c r="H163" s="87">
        <f>IF($G163="","",IFERROR(IF(INDEX(設定!$D$6:$D$21,MATCH($G163,設定!$B$6:$B$21,0))=0,"",INDEX(設定!$D$6:$D$21,MATCH($G163,設定!$B$6:$B$21,0))),""))</f>
        <v/>
      </c>
      <c r="I163" s="87">
        <f>IF($G163="","",IFERROR(IF(INDEX(設定!$E$6:$E$21,MATCH($G163,設定!$B$6:$B$21,0))=0,"",INDEX(設定!$E$6:$E$21,MATCH($G163,設定!$B$6:$B$21,0))),""))</f>
        <v/>
      </c>
      <c r="J163" s="87">
        <f>IFERROR(INDEX(打卡匯入!$C$3:$C$502,MATCH($C163&amp;"|"&amp;DAY($A163),打卡匯入!$E$3:$E$502,0)),"")</f>
        <v/>
      </c>
      <c r="K163" s="87">
        <f>IFERROR(INDEX(打卡匯入!$D$3:$D$502,MATCH($C163&amp;"|"&amp;DAY($A163),打卡匯入!$E$3:$E$502,0)),"")</f>
        <v/>
      </c>
      <c r="L163" s="88">
        <f>IF(OR($J163="",$K163=""),"",IFERROR(INDEX(設定!$F$6:$F$21,MATCH($G163,設定!$B$6:$B$21,0)),0))</f>
        <v/>
      </c>
      <c r="M163" s="89">
        <f>IF(OR($J163="",$K163=""),"",ROUND(($K163-$J163)*24-$L163/60,2))</f>
        <v/>
      </c>
      <c r="N163" s="16">
        <f>IF($C163="","",IF(AND(COUNTIF(設定!$B$15:$B$21,$G163)&gt;0,$J163&lt;&gt;""),"假日出勤",IF(AND(COUNTIF(設定!$B$6:$B$14,$G163)&gt;0,$J163=""),"未打卡",IF($J163="","",IF($O163&gt;0,"遲到",IF($P163&gt;0,"早退","正常"))))))</f>
        <v/>
      </c>
      <c r="O163" s="88">
        <f>IF(OR($C163="",$H163="",$J163=""),0,IF(ROUND(($J163-$H163)*1440,0)&gt;設定!$C$48,ROUND(($J163-$H163)*1440,0),0))</f>
        <v/>
      </c>
      <c r="P163" s="88">
        <f>IF(OR($C163="",$I163="",$K163=""),0,IF(ROUND(($I163-$K163)*1440,0)&gt;設定!$C$48,ROUND(($I163-$K163)*1440,0),0))</f>
        <v/>
      </c>
      <c r="Q163" s="89">
        <f>IF($M163="",0,IF(($M163-IFERROR(INDEX(設定!$G$6:$G$21,MATCH($G163,設定!$B$6:$B$21,0)),0))*60&gt;=設定!$C$46,ROUND(FLOOR(($M163-IFERROR(INDEX(設定!$G$6:$G$21,MATCH($G163,設定!$B$6:$B$21,0)),0))*60,設定!$C$47)/60,2),0))</f>
        <v/>
      </c>
      <c r="R163" s="16">
        <f>IF(OR($C163="",$Q163=0),"",IF($G163="國","國定假日",IF($B163="日","例假",IF($B163="六","休息日","平日"))))</f>
        <v/>
      </c>
      <c r="S163" s="18" t="n"/>
    </row>
    <row r="164">
      <c r="A164" s="86">
        <f>IF(OR(醫護長與管理部班表!$A10="",7&gt;DAY(EOMONTH(DATE(設定!$C$2,設定!$D$2,1),0))),"",DATE(設定!$C$2,設定!$D$2,7))</f>
        <v/>
      </c>
      <c r="B164" s="16">
        <f>IF($A164="","",INDEX(設定!$O$6:$O$12,WEEKDAY($A164,1)))</f>
        <v/>
      </c>
      <c r="C164" s="16">
        <f>IF($A164="","",醫護長與管理部班表!$A10)</f>
        <v/>
      </c>
      <c r="D164" s="16">
        <f>IF($C164="","",醫護長與管理部班表!$B10)</f>
        <v/>
      </c>
      <c r="E164" s="16">
        <f>IF($C164="","",醫護長與管理部班表!$D10)</f>
        <v/>
      </c>
      <c r="F164" s="16">
        <f>IF($C164="","",醫護長與管理部班表!$C10)</f>
        <v/>
      </c>
      <c r="G164" s="16">
        <f>IF($C164="","",醫護長與管理部班表!K10)</f>
        <v/>
      </c>
      <c r="H164" s="87">
        <f>IF($G164="","",IFERROR(IF(INDEX(設定!$D$6:$D$21,MATCH($G164,設定!$B$6:$B$21,0))=0,"",INDEX(設定!$D$6:$D$21,MATCH($G164,設定!$B$6:$B$21,0))),""))</f>
        <v/>
      </c>
      <c r="I164" s="87">
        <f>IF($G164="","",IFERROR(IF(INDEX(設定!$E$6:$E$21,MATCH($G164,設定!$B$6:$B$21,0))=0,"",INDEX(設定!$E$6:$E$21,MATCH($G164,設定!$B$6:$B$21,0))),""))</f>
        <v/>
      </c>
      <c r="J164" s="87">
        <f>IFERROR(INDEX(打卡匯入!$C$3:$C$502,MATCH($C164&amp;"|"&amp;DAY($A164),打卡匯入!$E$3:$E$502,0)),"")</f>
        <v/>
      </c>
      <c r="K164" s="87">
        <f>IFERROR(INDEX(打卡匯入!$D$3:$D$502,MATCH($C164&amp;"|"&amp;DAY($A164),打卡匯入!$E$3:$E$502,0)),"")</f>
        <v/>
      </c>
      <c r="L164" s="88">
        <f>IF(OR($J164="",$K164=""),"",IFERROR(INDEX(設定!$F$6:$F$21,MATCH($G164,設定!$B$6:$B$21,0)),0))</f>
        <v/>
      </c>
      <c r="M164" s="89">
        <f>IF(OR($J164="",$K164=""),"",ROUND(($K164-$J164)*24-$L164/60,2))</f>
        <v/>
      </c>
      <c r="N164" s="16">
        <f>IF($C164="","",IF(AND(COUNTIF(設定!$B$15:$B$21,$G164)&gt;0,$J164&lt;&gt;""),"假日出勤",IF(AND(COUNTIF(設定!$B$6:$B$14,$G164)&gt;0,$J164=""),"未打卡",IF($J164="","",IF($O164&gt;0,"遲到",IF($P164&gt;0,"早退","正常"))))))</f>
        <v/>
      </c>
      <c r="O164" s="88">
        <f>IF(OR($C164="",$H164="",$J164=""),0,IF(ROUND(($J164-$H164)*1440,0)&gt;設定!$C$48,ROUND(($J164-$H164)*1440,0),0))</f>
        <v/>
      </c>
      <c r="P164" s="88">
        <f>IF(OR($C164="",$I164="",$K164=""),0,IF(ROUND(($I164-$K164)*1440,0)&gt;設定!$C$48,ROUND(($I164-$K164)*1440,0),0))</f>
        <v/>
      </c>
      <c r="Q164" s="89">
        <f>IF($M164="",0,IF(($M164-IFERROR(INDEX(設定!$G$6:$G$21,MATCH($G164,設定!$B$6:$B$21,0)),0))*60&gt;=設定!$C$46,ROUND(FLOOR(($M164-IFERROR(INDEX(設定!$G$6:$G$21,MATCH($G164,設定!$B$6:$B$21,0)),0))*60,設定!$C$47)/60,2),0))</f>
        <v/>
      </c>
      <c r="R164" s="16">
        <f>IF(OR($C164="",$Q164=0),"",IF($G164="國","國定假日",IF($B164="日","例假",IF($B164="六","休息日","平日"))))</f>
        <v/>
      </c>
      <c r="S164" s="18" t="n"/>
    </row>
    <row r="165">
      <c r="A165" s="86">
        <f>IF(OR(醫護長與管理部班表!$A10="",8&gt;DAY(EOMONTH(DATE(設定!$C$2,設定!$D$2,1),0))),"",DATE(設定!$C$2,設定!$D$2,8))</f>
        <v/>
      </c>
      <c r="B165" s="16">
        <f>IF($A165="","",INDEX(設定!$O$6:$O$12,WEEKDAY($A165,1)))</f>
        <v/>
      </c>
      <c r="C165" s="16">
        <f>IF($A165="","",醫護長與管理部班表!$A10)</f>
        <v/>
      </c>
      <c r="D165" s="16">
        <f>IF($C165="","",醫護長與管理部班表!$B10)</f>
        <v/>
      </c>
      <c r="E165" s="16">
        <f>IF($C165="","",醫護長與管理部班表!$D10)</f>
        <v/>
      </c>
      <c r="F165" s="16">
        <f>IF($C165="","",醫護長與管理部班表!$C10)</f>
        <v/>
      </c>
      <c r="G165" s="16">
        <f>IF($C165="","",醫護長與管理部班表!L10)</f>
        <v/>
      </c>
      <c r="H165" s="87">
        <f>IF($G165="","",IFERROR(IF(INDEX(設定!$D$6:$D$21,MATCH($G165,設定!$B$6:$B$21,0))=0,"",INDEX(設定!$D$6:$D$21,MATCH($G165,設定!$B$6:$B$21,0))),""))</f>
        <v/>
      </c>
      <c r="I165" s="87">
        <f>IF($G165="","",IFERROR(IF(INDEX(設定!$E$6:$E$21,MATCH($G165,設定!$B$6:$B$21,0))=0,"",INDEX(設定!$E$6:$E$21,MATCH($G165,設定!$B$6:$B$21,0))),""))</f>
        <v/>
      </c>
      <c r="J165" s="87">
        <f>IFERROR(INDEX(打卡匯入!$C$3:$C$502,MATCH($C165&amp;"|"&amp;DAY($A165),打卡匯入!$E$3:$E$502,0)),"")</f>
        <v/>
      </c>
      <c r="K165" s="87">
        <f>IFERROR(INDEX(打卡匯入!$D$3:$D$502,MATCH($C165&amp;"|"&amp;DAY($A165),打卡匯入!$E$3:$E$502,0)),"")</f>
        <v/>
      </c>
      <c r="L165" s="88">
        <f>IF(OR($J165="",$K165=""),"",IFERROR(INDEX(設定!$F$6:$F$21,MATCH($G165,設定!$B$6:$B$21,0)),0))</f>
        <v/>
      </c>
      <c r="M165" s="89">
        <f>IF(OR($J165="",$K165=""),"",ROUND(($K165-$J165)*24-$L165/60,2))</f>
        <v/>
      </c>
      <c r="N165" s="16">
        <f>IF($C165="","",IF(AND(COUNTIF(設定!$B$15:$B$21,$G165)&gt;0,$J165&lt;&gt;""),"假日出勤",IF(AND(COUNTIF(設定!$B$6:$B$14,$G165)&gt;0,$J165=""),"未打卡",IF($J165="","",IF($O165&gt;0,"遲到",IF($P165&gt;0,"早退","正常"))))))</f>
        <v/>
      </c>
      <c r="O165" s="88">
        <f>IF(OR($C165="",$H165="",$J165=""),0,IF(ROUND(($J165-$H165)*1440,0)&gt;設定!$C$48,ROUND(($J165-$H165)*1440,0),0))</f>
        <v/>
      </c>
      <c r="P165" s="88">
        <f>IF(OR($C165="",$I165="",$K165=""),0,IF(ROUND(($I165-$K165)*1440,0)&gt;設定!$C$48,ROUND(($I165-$K165)*1440,0),0))</f>
        <v/>
      </c>
      <c r="Q165" s="89">
        <f>IF($M165="",0,IF(($M165-IFERROR(INDEX(設定!$G$6:$G$21,MATCH($G165,設定!$B$6:$B$21,0)),0))*60&gt;=設定!$C$46,ROUND(FLOOR(($M165-IFERROR(INDEX(設定!$G$6:$G$21,MATCH($G165,設定!$B$6:$B$21,0)),0))*60,設定!$C$47)/60,2),0))</f>
        <v/>
      </c>
      <c r="R165" s="16">
        <f>IF(OR($C165="",$Q165=0),"",IF($G165="國","國定假日",IF($B165="日","例假",IF($B165="六","休息日","平日"))))</f>
        <v/>
      </c>
      <c r="S165" s="18" t="n"/>
    </row>
    <row r="166">
      <c r="A166" s="86">
        <f>IF(OR(醫護長與管理部班表!$A10="",9&gt;DAY(EOMONTH(DATE(設定!$C$2,設定!$D$2,1),0))),"",DATE(設定!$C$2,設定!$D$2,9))</f>
        <v/>
      </c>
      <c r="B166" s="16">
        <f>IF($A166="","",INDEX(設定!$O$6:$O$12,WEEKDAY($A166,1)))</f>
        <v/>
      </c>
      <c r="C166" s="16">
        <f>IF($A166="","",醫護長與管理部班表!$A10)</f>
        <v/>
      </c>
      <c r="D166" s="16">
        <f>IF($C166="","",醫護長與管理部班表!$B10)</f>
        <v/>
      </c>
      <c r="E166" s="16">
        <f>IF($C166="","",醫護長與管理部班表!$D10)</f>
        <v/>
      </c>
      <c r="F166" s="16">
        <f>IF($C166="","",醫護長與管理部班表!$C10)</f>
        <v/>
      </c>
      <c r="G166" s="16">
        <f>IF($C166="","",醫護長與管理部班表!M10)</f>
        <v/>
      </c>
      <c r="H166" s="87">
        <f>IF($G166="","",IFERROR(IF(INDEX(設定!$D$6:$D$21,MATCH($G166,設定!$B$6:$B$21,0))=0,"",INDEX(設定!$D$6:$D$21,MATCH($G166,設定!$B$6:$B$21,0))),""))</f>
        <v/>
      </c>
      <c r="I166" s="87">
        <f>IF($G166="","",IFERROR(IF(INDEX(設定!$E$6:$E$21,MATCH($G166,設定!$B$6:$B$21,0))=0,"",INDEX(設定!$E$6:$E$21,MATCH($G166,設定!$B$6:$B$21,0))),""))</f>
        <v/>
      </c>
      <c r="J166" s="87">
        <f>IFERROR(INDEX(打卡匯入!$C$3:$C$502,MATCH($C166&amp;"|"&amp;DAY($A166),打卡匯入!$E$3:$E$502,0)),"")</f>
        <v/>
      </c>
      <c r="K166" s="87">
        <f>IFERROR(INDEX(打卡匯入!$D$3:$D$502,MATCH($C166&amp;"|"&amp;DAY($A166),打卡匯入!$E$3:$E$502,0)),"")</f>
        <v/>
      </c>
      <c r="L166" s="88">
        <f>IF(OR($J166="",$K166=""),"",IFERROR(INDEX(設定!$F$6:$F$21,MATCH($G166,設定!$B$6:$B$21,0)),0))</f>
        <v/>
      </c>
      <c r="M166" s="89">
        <f>IF(OR($J166="",$K166=""),"",ROUND(($K166-$J166)*24-$L166/60,2))</f>
        <v/>
      </c>
      <c r="N166" s="16">
        <f>IF($C166="","",IF(AND(COUNTIF(設定!$B$15:$B$21,$G166)&gt;0,$J166&lt;&gt;""),"假日出勤",IF(AND(COUNTIF(設定!$B$6:$B$14,$G166)&gt;0,$J166=""),"未打卡",IF($J166="","",IF($O166&gt;0,"遲到",IF($P166&gt;0,"早退","正常"))))))</f>
        <v/>
      </c>
      <c r="O166" s="88">
        <f>IF(OR($C166="",$H166="",$J166=""),0,IF(ROUND(($J166-$H166)*1440,0)&gt;設定!$C$48,ROUND(($J166-$H166)*1440,0),0))</f>
        <v/>
      </c>
      <c r="P166" s="88">
        <f>IF(OR($C166="",$I166="",$K166=""),0,IF(ROUND(($I166-$K166)*1440,0)&gt;設定!$C$48,ROUND(($I166-$K166)*1440,0),0))</f>
        <v/>
      </c>
      <c r="Q166" s="89">
        <f>IF($M166="",0,IF(($M166-IFERROR(INDEX(設定!$G$6:$G$21,MATCH($G166,設定!$B$6:$B$21,0)),0))*60&gt;=設定!$C$46,ROUND(FLOOR(($M166-IFERROR(INDEX(設定!$G$6:$G$21,MATCH($G166,設定!$B$6:$B$21,0)),0))*60,設定!$C$47)/60,2),0))</f>
        <v/>
      </c>
      <c r="R166" s="16">
        <f>IF(OR($C166="",$Q166=0),"",IF($G166="國","國定假日",IF($B166="日","例假",IF($B166="六","休息日","平日"))))</f>
        <v/>
      </c>
      <c r="S166" s="18" t="n"/>
    </row>
    <row r="167">
      <c r="A167" s="86">
        <f>IF(OR(醫護長與管理部班表!$A10="",10&gt;DAY(EOMONTH(DATE(設定!$C$2,設定!$D$2,1),0))),"",DATE(設定!$C$2,設定!$D$2,10))</f>
        <v/>
      </c>
      <c r="B167" s="16">
        <f>IF($A167="","",INDEX(設定!$O$6:$O$12,WEEKDAY($A167,1)))</f>
        <v/>
      </c>
      <c r="C167" s="16">
        <f>IF($A167="","",醫護長與管理部班表!$A10)</f>
        <v/>
      </c>
      <c r="D167" s="16">
        <f>IF($C167="","",醫護長與管理部班表!$B10)</f>
        <v/>
      </c>
      <c r="E167" s="16">
        <f>IF($C167="","",醫護長與管理部班表!$D10)</f>
        <v/>
      </c>
      <c r="F167" s="16">
        <f>IF($C167="","",醫護長與管理部班表!$C10)</f>
        <v/>
      </c>
      <c r="G167" s="16">
        <f>IF($C167="","",醫護長與管理部班表!N10)</f>
        <v/>
      </c>
      <c r="H167" s="87">
        <f>IF($G167="","",IFERROR(IF(INDEX(設定!$D$6:$D$21,MATCH($G167,設定!$B$6:$B$21,0))=0,"",INDEX(設定!$D$6:$D$21,MATCH($G167,設定!$B$6:$B$21,0))),""))</f>
        <v/>
      </c>
      <c r="I167" s="87">
        <f>IF($G167="","",IFERROR(IF(INDEX(設定!$E$6:$E$21,MATCH($G167,設定!$B$6:$B$21,0))=0,"",INDEX(設定!$E$6:$E$21,MATCH($G167,設定!$B$6:$B$21,0))),""))</f>
        <v/>
      </c>
      <c r="J167" s="87">
        <f>IFERROR(INDEX(打卡匯入!$C$3:$C$502,MATCH($C167&amp;"|"&amp;DAY($A167),打卡匯入!$E$3:$E$502,0)),"")</f>
        <v/>
      </c>
      <c r="K167" s="87">
        <f>IFERROR(INDEX(打卡匯入!$D$3:$D$502,MATCH($C167&amp;"|"&amp;DAY($A167),打卡匯入!$E$3:$E$502,0)),"")</f>
        <v/>
      </c>
      <c r="L167" s="88">
        <f>IF(OR($J167="",$K167=""),"",IFERROR(INDEX(設定!$F$6:$F$21,MATCH($G167,設定!$B$6:$B$21,0)),0))</f>
        <v/>
      </c>
      <c r="M167" s="89">
        <f>IF(OR($J167="",$K167=""),"",ROUND(($K167-$J167)*24-$L167/60,2))</f>
        <v/>
      </c>
      <c r="N167" s="16">
        <f>IF($C167="","",IF(AND(COUNTIF(設定!$B$15:$B$21,$G167)&gt;0,$J167&lt;&gt;""),"假日出勤",IF(AND(COUNTIF(設定!$B$6:$B$14,$G167)&gt;0,$J167=""),"未打卡",IF($J167="","",IF($O167&gt;0,"遲到",IF($P167&gt;0,"早退","正常"))))))</f>
        <v/>
      </c>
      <c r="O167" s="88">
        <f>IF(OR($C167="",$H167="",$J167=""),0,IF(ROUND(($J167-$H167)*1440,0)&gt;設定!$C$48,ROUND(($J167-$H167)*1440,0),0))</f>
        <v/>
      </c>
      <c r="P167" s="88">
        <f>IF(OR($C167="",$I167="",$K167=""),0,IF(ROUND(($I167-$K167)*1440,0)&gt;設定!$C$48,ROUND(($I167-$K167)*1440,0),0))</f>
        <v/>
      </c>
      <c r="Q167" s="89">
        <f>IF($M167="",0,IF(($M167-IFERROR(INDEX(設定!$G$6:$G$21,MATCH($G167,設定!$B$6:$B$21,0)),0))*60&gt;=設定!$C$46,ROUND(FLOOR(($M167-IFERROR(INDEX(設定!$G$6:$G$21,MATCH($G167,設定!$B$6:$B$21,0)),0))*60,設定!$C$47)/60,2),0))</f>
        <v/>
      </c>
      <c r="R167" s="16">
        <f>IF(OR($C167="",$Q167=0),"",IF($G167="國","國定假日",IF($B167="日","例假",IF($B167="六","休息日","平日"))))</f>
        <v/>
      </c>
      <c r="S167" s="18" t="n"/>
    </row>
    <row r="168">
      <c r="A168" s="86">
        <f>IF(OR(醫護長與管理部班表!$A10="",11&gt;DAY(EOMONTH(DATE(設定!$C$2,設定!$D$2,1),0))),"",DATE(設定!$C$2,設定!$D$2,11))</f>
        <v/>
      </c>
      <c r="B168" s="16">
        <f>IF($A168="","",INDEX(設定!$O$6:$O$12,WEEKDAY($A168,1)))</f>
        <v/>
      </c>
      <c r="C168" s="16">
        <f>IF($A168="","",醫護長與管理部班表!$A10)</f>
        <v/>
      </c>
      <c r="D168" s="16">
        <f>IF($C168="","",醫護長與管理部班表!$B10)</f>
        <v/>
      </c>
      <c r="E168" s="16">
        <f>IF($C168="","",醫護長與管理部班表!$D10)</f>
        <v/>
      </c>
      <c r="F168" s="16">
        <f>IF($C168="","",醫護長與管理部班表!$C10)</f>
        <v/>
      </c>
      <c r="G168" s="16">
        <f>IF($C168="","",醫護長與管理部班表!O10)</f>
        <v/>
      </c>
      <c r="H168" s="87">
        <f>IF($G168="","",IFERROR(IF(INDEX(設定!$D$6:$D$21,MATCH($G168,設定!$B$6:$B$21,0))=0,"",INDEX(設定!$D$6:$D$21,MATCH($G168,設定!$B$6:$B$21,0))),""))</f>
        <v/>
      </c>
      <c r="I168" s="87">
        <f>IF($G168="","",IFERROR(IF(INDEX(設定!$E$6:$E$21,MATCH($G168,設定!$B$6:$B$21,0))=0,"",INDEX(設定!$E$6:$E$21,MATCH($G168,設定!$B$6:$B$21,0))),""))</f>
        <v/>
      </c>
      <c r="J168" s="87">
        <f>IFERROR(INDEX(打卡匯入!$C$3:$C$502,MATCH($C168&amp;"|"&amp;DAY($A168),打卡匯入!$E$3:$E$502,0)),"")</f>
        <v/>
      </c>
      <c r="K168" s="87">
        <f>IFERROR(INDEX(打卡匯入!$D$3:$D$502,MATCH($C168&amp;"|"&amp;DAY($A168),打卡匯入!$E$3:$E$502,0)),"")</f>
        <v/>
      </c>
      <c r="L168" s="88">
        <f>IF(OR($J168="",$K168=""),"",IFERROR(INDEX(設定!$F$6:$F$21,MATCH($G168,設定!$B$6:$B$21,0)),0))</f>
        <v/>
      </c>
      <c r="M168" s="89">
        <f>IF(OR($J168="",$K168=""),"",ROUND(($K168-$J168)*24-$L168/60,2))</f>
        <v/>
      </c>
      <c r="N168" s="16">
        <f>IF($C168="","",IF(AND(COUNTIF(設定!$B$15:$B$21,$G168)&gt;0,$J168&lt;&gt;""),"假日出勤",IF(AND(COUNTIF(設定!$B$6:$B$14,$G168)&gt;0,$J168=""),"未打卡",IF($J168="","",IF($O168&gt;0,"遲到",IF($P168&gt;0,"早退","正常"))))))</f>
        <v/>
      </c>
      <c r="O168" s="88">
        <f>IF(OR($C168="",$H168="",$J168=""),0,IF(ROUND(($J168-$H168)*1440,0)&gt;設定!$C$48,ROUND(($J168-$H168)*1440,0),0))</f>
        <v/>
      </c>
      <c r="P168" s="88">
        <f>IF(OR($C168="",$I168="",$K168=""),0,IF(ROUND(($I168-$K168)*1440,0)&gt;設定!$C$48,ROUND(($I168-$K168)*1440,0),0))</f>
        <v/>
      </c>
      <c r="Q168" s="89">
        <f>IF($M168="",0,IF(($M168-IFERROR(INDEX(設定!$G$6:$G$21,MATCH($G168,設定!$B$6:$B$21,0)),0))*60&gt;=設定!$C$46,ROUND(FLOOR(($M168-IFERROR(INDEX(設定!$G$6:$G$21,MATCH($G168,設定!$B$6:$B$21,0)),0))*60,設定!$C$47)/60,2),0))</f>
        <v/>
      </c>
      <c r="R168" s="16">
        <f>IF(OR($C168="",$Q168=0),"",IF($G168="國","國定假日",IF($B168="日","例假",IF($B168="六","休息日","平日"))))</f>
        <v/>
      </c>
      <c r="S168" s="18" t="n"/>
    </row>
    <row r="169">
      <c r="A169" s="86">
        <f>IF(OR(醫護長與管理部班表!$A10="",12&gt;DAY(EOMONTH(DATE(設定!$C$2,設定!$D$2,1),0))),"",DATE(設定!$C$2,設定!$D$2,12))</f>
        <v/>
      </c>
      <c r="B169" s="16">
        <f>IF($A169="","",INDEX(設定!$O$6:$O$12,WEEKDAY($A169,1)))</f>
        <v/>
      </c>
      <c r="C169" s="16">
        <f>IF($A169="","",醫護長與管理部班表!$A10)</f>
        <v/>
      </c>
      <c r="D169" s="16">
        <f>IF($C169="","",醫護長與管理部班表!$B10)</f>
        <v/>
      </c>
      <c r="E169" s="16">
        <f>IF($C169="","",醫護長與管理部班表!$D10)</f>
        <v/>
      </c>
      <c r="F169" s="16">
        <f>IF($C169="","",醫護長與管理部班表!$C10)</f>
        <v/>
      </c>
      <c r="G169" s="16">
        <f>IF($C169="","",醫護長與管理部班表!P10)</f>
        <v/>
      </c>
      <c r="H169" s="87">
        <f>IF($G169="","",IFERROR(IF(INDEX(設定!$D$6:$D$21,MATCH($G169,設定!$B$6:$B$21,0))=0,"",INDEX(設定!$D$6:$D$21,MATCH($G169,設定!$B$6:$B$21,0))),""))</f>
        <v/>
      </c>
      <c r="I169" s="87">
        <f>IF($G169="","",IFERROR(IF(INDEX(設定!$E$6:$E$21,MATCH($G169,設定!$B$6:$B$21,0))=0,"",INDEX(設定!$E$6:$E$21,MATCH($G169,設定!$B$6:$B$21,0))),""))</f>
        <v/>
      </c>
      <c r="J169" s="87">
        <f>IFERROR(INDEX(打卡匯入!$C$3:$C$502,MATCH($C169&amp;"|"&amp;DAY($A169),打卡匯入!$E$3:$E$502,0)),"")</f>
        <v/>
      </c>
      <c r="K169" s="87">
        <f>IFERROR(INDEX(打卡匯入!$D$3:$D$502,MATCH($C169&amp;"|"&amp;DAY($A169),打卡匯入!$E$3:$E$502,0)),"")</f>
        <v/>
      </c>
      <c r="L169" s="88">
        <f>IF(OR($J169="",$K169=""),"",IFERROR(INDEX(設定!$F$6:$F$21,MATCH($G169,設定!$B$6:$B$21,0)),0))</f>
        <v/>
      </c>
      <c r="M169" s="89">
        <f>IF(OR($J169="",$K169=""),"",ROUND(($K169-$J169)*24-$L169/60,2))</f>
        <v/>
      </c>
      <c r="N169" s="16">
        <f>IF($C169="","",IF(AND(COUNTIF(設定!$B$15:$B$21,$G169)&gt;0,$J169&lt;&gt;""),"假日出勤",IF(AND(COUNTIF(設定!$B$6:$B$14,$G169)&gt;0,$J169=""),"未打卡",IF($J169="","",IF($O169&gt;0,"遲到",IF($P169&gt;0,"早退","正常"))))))</f>
        <v/>
      </c>
      <c r="O169" s="88">
        <f>IF(OR($C169="",$H169="",$J169=""),0,IF(ROUND(($J169-$H169)*1440,0)&gt;設定!$C$48,ROUND(($J169-$H169)*1440,0),0))</f>
        <v/>
      </c>
      <c r="P169" s="88">
        <f>IF(OR($C169="",$I169="",$K169=""),0,IF(ROUND(($I169-$K169)*1440,0)&gt;設定!$C$48,ROUND(($I169-$K169)*1440,0),0))</f>
        <v/>
      </c>
      <c r="Q169" s="89">
        <f>IF($M169="",0,IF(($M169-IFERROR(INDEX(設定!$G$6:$G$21,MATCH($G169,設定!$B$6:$B$21,0)),0))*60&gt;=設定!$C$46,ROUND(FLOOR(($M169-IFERROR(INDEX(設定!$G$6:$G$21,MATCH($G169,設定!$B$6:$B$21,0)),0))*60,設定!$C$47)/60,2),0))</f>
        <v/>
      </c>
      <c r="R169" s="16">
        <f>IF(OR($C169="",$Q169=0),"",IF($G169="國","國定假日",IF($B169="日","例假",IF($B169="六","休息日","平日"))))</f>
        <v/>
      </c>
      <c r="S169" s="18" t="n"/>
    </row>
    <row r="170">
      <c r="A170" s="86">
        <f>IF(OR(醫護長與管理部班表!$A10="",13&gt;DAY(EOMONTH(DATE(設定!$C$2,設定!$D$2,1),0))),"",DATE(設定!$C$2,設定!$D$2,13))</f>
        <v/>
      </c>
      <c r="B170" s="16">
        <f>IF($A170="","",INDEX(設定!$O$6:$O$12,WEEKDAY($A170,1)))</f>
        <v/>
      </c>
      <c r="C170" s="16">
        <f>IF($A170="","",醫護長與管理部班表!$A10)</f>
        <v/>
      </c>
      <c r="D170" s="16">
        <f>IF($C170="","",醫護長與管理部班表!$B10)</f>
        <v/>
      </c>
      <c r="E170" s="16">
        <f>IF($C170="","",醫護長與管理部班表!$D10)</f>
        <v/>
      </c>
      <c r="F170" s="16">
        <f>IF($C170="","",醫護長與管理部班表!$C10)</f>
        <v/>
      </c>
      <c r="G170" s="16">
        <f>IF($C170="","",醫護長與管理部班表!Q10)</f>
        <v/>
      </c>
      <c r="H170" s="87">
        <f>IF($G170="","",IFERROR(IF(INDEX(設定!$D$6:$D$21,MATCH($G170,設定!$B$6:$B$21,0))=0,"",INDEX(設定!$D$6:$D$21,MATCH($G170,設定!$B$6:$B$21,0))),""))</f>
        <v/>
      </c>
      <c r="I170" s="87">
        <f>IF($G170="","",IFERROR(IF(INDEX(設定!$E$6:$E$21,MATCH($G170,設定!$B$6:$B$21,0))=0,"",INDEX(設定!$E$6:$E$21,MATCH($G170,設定!$B$6:$B$21,0))),""))</f>
        <v/>
      </c>
      <c r="J170" s="87">
        <f>IFERROR(INDEX(打卡匯入!$C$3:$C$502,MATCH($C170&amp;"|"&amp;DAY($A170),打卡匯入!$E$3:$E$502,0)),"")</f>
        <v/>
      </c>
      <c r="K170" s="87">
        <f>IFERROR(INDEX(打卡匯入!$D$3:$D$502,MATCH($C170&amp;"|"&amp;DAY($A170),打卡匯入!$E$3:$E$502,0)),"")</f>
        <v/>
      </c>
      <c r="L170" s="88">
        <f>IF(OR($J170="",$K170=""),"",IFERROR(INDEX(設定!$F$6:$F$21,MATCH($G170,設定!$B$6:$B$21,0)),0))</f>
        <v/>
      </c>
      <c r="M170" s="89">
        <f>IF(OR($J170="",$K170=""),"",ROUND(($K170-$J170)*24-$L170/60,2))</f>
        <v/>
      </c>
      <c r="N170" s="16">
        <f>IF($C170="","",IF(AND(COUNTIF(設定!$B$15:$B$21,$G170)&gt;0,$J170&lt;&gt;""),"假日出勤",IF(AND(COUNTIF(設定!$B$6:$B$14,$G170)&gt;0,$J170=""),"未打卡",IF($J170="","",IF($O170&gt;0,"遲到",IF($P170&gt;0,"早退","正常"))))))</f>
        <v/>
      </c>
      <c r="O170" s="88">
        <f>IF(OR($C170="",$H170="",$J170=""),0,IF(ROUND(($J170-$H170)*1440,0)&gt;設定!$C$48,ROUND(($J170-$H170)*1440,0),0))</f>
        <v/>
      </c>
      <c r="P170" s="88">
        <f>IF(OR($C170="",$I170="",$K170=""),0,IF(ROUND(($I170-$K170)*1440,0)&gt;設定!$C$48,ROUND(($I170-$K170)*1440,0),0))</f>
        <v/>
      </c>
      <c r="Q170" s="89">
        <f>IF($M170="",0,IF(($M170-IFERROR(INDEX(設定!$G$6:$G$21,MATCH($G170,設定!$B$6:$B$21,0)),0))*60&gt;=設定!$C$46,ROUND(FLOOR(($M170-IFERROR(INDEX(設定!$G$6:$G$21,MATCH($G170,設定!$B$6:$B$21,0)),0))*60,設定!$C$47)/60,2),0))</f>
        <v/>
      </c>
      <c r="R170" s="16">
        <f>IF(OR($C170="",$Q170=0),"",IF($G170="國","國定假日",IF($B170="日","例假",IF($B170="六","休息日","平日"))))</f>
        <v/>
      </c>
      <c r="S170" s="18" t="n"/>
    </row>
    <row r="171">
      <c r="A171" s="86">
        <f>IF(OR(醫護長與管理部班表!$A10="",14&gt;DAY(EOMONTH(DATE(設定!$C$2,設定!$D$2,1),0))),"",DATE(設定!$C$2,設定!$D$2,14))</f>
        <v/>
      </c>
      <c r="B171" s="16">
        <f>IF($A171="","",INDEX(設定!$O$6:$O$12,WEEKDAY($A171,1)))</f>
        <v/>
      </c>
      <c r="C171" s="16">
        <f>IF($A171="","",醫護長與管理部班表!$A10)</f>
        <v/>
      </c>
      <c r="D171" s="16">
        <f>IF($C171="","",醫護長與管理部班表!$B10)</f>
        <v/>
      </c>
      <c r="E171" s="16">
        <f>IF($C171="","",醫護長與管理部班表!$D10)</f>
        <v/>
      </c>
      <c r="F171" s="16">
        <f>IF($C171="","",醫護長與管理部班表!$C10)</f>
        <v/>
      </c>
      <c r="G171" s="16">
        <f>IF($C171="","",醫護長與管理部班表!R10)</f>
        <v/>
      </c>
      <c r="H171" s="87">
        <f>IF($G171="","",IFERROR(IF(INDEX(設定!$D$6:$D$21,MATCH($G171,設定!$B$6:$B$21,0))=0,"",INDEX(設定!$D$6:$D$21,MATCH($G171,設定!$B$6:$B$21,0))),""))</f>
        <v/>
      </c>
      <c r="I171" s="87">
        <f>IF($G171="","",IFERROR(IF(INDEX(設定!$E$6:$E$21,MATCH($G171,設定!$B$6:$B$21,0))=0,"",INDEX(設定!$E$6:$E$21,MATCH($G171,設定!$B$6:$B$21,0))),""))</f>
        <v/>
      </c>
      <c r="J171" s="87">
        <f>IFERROR(INDEX(打卡匯入!$C$3:$C$502,MATCH($C171&amp;"|"&amp;DAY($A171),打卡匯入!$E$3:$E$502,0)),"")</f>
        <v/>
      </c>
      <c r="K171" s="87">
        <f>IFERROR(INDEX(打卡匯入!$D$3:$D$502,MATCH($C171&amp;"|"&amp;DAY($A171),打卡匯入!$E$3:$E$502,0)),"")</f>
        <v/>
      </c>
      <c r="L171" s="88">
        <f>IF(OR($J171="",$K171=""),"",IFERROR(INDEX(設定!$F$6:$F$21,MATCH($G171,設定!$B$6:$B$21,0)),0))</f>
        <v/>
      </c>
      <c r="M171" s="89">
        <f>IF(OR($J171="",$K171=""),"",ROUND(($K171-$J171)*24-$L171/60,2))</f>
        <v/>
      </c>
      <c r="N171" s="16">
        <f>IF($C171="","",IF(AND(COUNTIF(設定!$B$15:$B$21,$G171)&gt;0,$J171&lt;&gt;""),"假日出勤",IF(AND(COUNTIF(設定!$B$6:$B$14,$G171)&gt;0,$J171=""),"未打卡",IF($J171="","",IF($O171&gt;0,"遲到",IF($P171&gt;0,"早退","正常"))))))</f>
        <v/>
      </c>
      <c r="O171" s="88">
        <f>IF(OR($C171="",$H171="",$J171=""),0,IF(ROUND(($J171-$H171)*1440,0)&gt;設定!$C$48,ROUND(($J171-$H171)*1440,0),0))</f>
        <v/>
      </c>
      <c r="P171" s="88">
        <f>IF(OR($C171="",$I171="",$K171=""),0,IF(ROUND(($I171-$K171)*1440,0)&gt;設定!$C$48,ROUND(($I171-$K171)*1440,0),0))</f>
        <v/>
      </c>
      <c r="Q171" s="89">
        <f>IF($M171="",0,IF(($M171-IFERROR(INDEX(設定!$G$6:$G$21,MATCH($G171,設定!$B$6:$B$21,0)),0))*60&gt;=設定!$C$46,ROUND(FLOOR(($M171-IFERROR(INDEX(設定!$G$6:$G$21,MATCH($G171,設定!$B$6:$B$21,0)),0))*60,設定!$C$47)/60,2),0))</f>
        <v/>
      </c>
      <c r="R171" s="16">
        <f>IF(OR($C171="",$Q171=0),"",IF($G171="國","國定假日",IF($B171="日","例假",IF($B171="六","休息日","平日"))))</f>
        <v/>
      </c>
      <c r="S171" s="18" t="n"/>
    </row>
    <row r="172">
      <c r="A172" s="86">
        <f>IF(OR(醫護長與管理部班表!$A10="",15&gt;DAY(EOMONTH(DATE(設定!$C$2,設定!$D$2,1),0))),"",DATE(設定!$C$2,設定!$D$2,15))</f>
        <v/>
      </c>
      <c r="B172" s="16">
        <f>IF($A172="","",INDEX(設定!$O$6:$O$12,WEEKDAY($A172,1)))</f>
        <v/>
      </c>
      <c r="C172" s="16">
        <f>IF($A172="","",醫護長與管理部班表!$A10)</f>
        <v/>
      </c>
      <c r="D172" s="16">
        <f>IF($C172="","",醫護長與管理部班表!$B10)</f>
        <v/>
      </c>
      <c r="E172" s="16">
        <f>IF($C172="","",醫護長與管理部班表!$D10)</f>
        <v/>
      </c>
      <c r="F172" s="16">
        <f>IF($C172="","",醫護長與管理部班表!$C10)</f>
        <v/>
      </c>
      <c r="G172" s="16">
        <f>IF($C172="","",醫護長與管理部班表!S10)</f>
        <v/>
      </c>
      <c r="H172" s="87">
        <f>IF($G172="","",IFERROR(IF(INDEX(設定!$D$6:$D$21,MATCH($G172,設定!$B$6:$B$21,0))=0,"",INDEX(設定!$D$6:$D$21,MATCH($G172,設定!$B$6:$B$21,0))),""))</f>
        <v/>
      </c>
      <c r="I172" s="87">
        <f>IF($G172="","",IFERROR(IF(INDEX(設定!$E$6:$E$21,MATCH($G172,設定!$B$6:$B$21,0))=0,"",INDEX(設定!$E$6:$E$21,MATCH($G172,設定!$B$6:$B$21,0))),""))</f>
        <v/>
      </c>
      <c r="J172" s="87">
        <f>IFERROR(INDEX(打卡匯入!$C$3:$C$502,MATCH($C172&amp;"|"&amp;DAY($A172),打卡匯入!$E$3:$E$502,0)),"")</f>
        <v/>
      </c>
      <c r="K172" s="87">
        <f>IFERROR(INDEX(打卡匯入!$D$3:$D$502,MATCH($C172&amp;"|"&amp;DAY($A172),打卡匯入!$E$3:$E$502,0)),"")</f>
        <v/>
      </c>
      <c r="L172" s="88">
        <f>IF(OR($J172="",$K172=""),"",IFERROR(INDEX(設定!$F$6:$F$21,MATCH($G172,設定!$B$6:$B$21,0)),0))</f>
        <v/>
      </c>
      <c r="M172" s="89">
        <f>IF(OR($J172="",$K172=""),"",ROUND(($K172-$J172)*24-$L172/60,2))</f>
        <v/>
      </c>
      <c r="N172" s="16">
        <f>IF($C172="","",IF(AND(COUNTIF(設定!$B$15:$B$21,$G172)&gt;0,$J172&lt;&gt;""),"假日出勤",IF(AND(COUNTIF(設定!$B$6:$B$14,$G172)&gt;0,$J172=""),"未打卡",IF($J172="","",IF($O172&gt;0,"遲到",IF($P172&gt;0,"早退","正常"))))))</f>
        <v/>
      </c>
      <c r="O172" s="88">
        <f>IF(OR($C172="",$H172="",$J172=""),0,IF(ROUND(($J172-$H172)*1440,0)&gt;設定!$C$48,ROUND(($J172-$H172)*1440,0),0))</f>
        <v/>
      </c>
      <c r="P172" s="88">
        <f>IF(OR($C172="",$I172="",$K172=""),0,IF(ROUND(($I172-$K172)*1440,0)&gt;設定!$C$48,ROUND(($I172-$K172)*1440,0),0))</f>
        <v/>
      </c>
      <c r="Q172" s="89">
        <f>IF($M172="",0,IF(($M172-IFERROR(INDEX(設定!$G$6:$G$21,MATCH($G172,設定!$B$6:$B$21,0)),0))*60&gt;=設定!$C$46,ROUND(FLOOR(($M172-IFERROR(INDEX(設定!$G$6:$G$21,MATCH($G172,設定!$B$6:$B$21,0)),0))*60,設定!$C$47)/60,2),0))</f>
        <v/>
      </c>
      <c r="R172" s="16">
        <f>IF(OR($C172="",$Q172=0),"",IF($G172="國","國定假日",IF($B172="日","例假",IF($B172="六","休息日","平日"))))</f>
        <v/>
      </c>
      <c r="S172" s="18" t="n"/>
    </row>
    <row r="173">
      <c r="A173" s="86">
        <f>IF(OR(醫護長與管理部班表!$A10="",16&gt;DAY(EOMONTH(DATE(設定!$C$2,設定!$D$2,1),0))),"",DATE(設定!$C$2,設定!$D$2,16))</f>
        <v/>
      </c>
      <c r="B173" s="16">
        <f>IF($A173="","",INDEX(設定!$O$6:$O$12,WEEKDAY($A173,1)))</f>
        <v/>
      </c>
      <c r="C173" s="16">
        <f>IF($A173="","",醫護長與管理部班表!$A10)</f>
        <v/>
      </c>
      <c r="D173" s="16">
        <f>IF($C173="","",醫護長與管理部班表!$B10)</f>
        <v/>
      </c>
      <c r="E173" s="16">
        <f>IF($C173="","",醫護長與管理部班表!$D10)</f>
        <v/>
      </c>
      <c r="F173" s="16">
        <f>IF($C173="","",醫護長與管理部班表!$C10)</f>
        <v/>
      </c>
      <c r="G173" s="16">
        <f>IF($C173="","",醫護長與管理部班表!T10)</f>
        <v/>
      </c>
      <c r="H173" s="87">
        <f>IF($G173="","",IFERROR(IF(INDEX(設定!$D$6:$D$21,MATCH($G173,設定!$B$6:$B$21,0))=0,"",INDEX(設定!$D$6:$D$21,MATCH($G173,設定!$B$6:$B$21,0))),""))</f>
        <v/>
      </c>
      <c r="I173" s="87">
        <f>IF($G173="","",IFERROR(IF(INDEX(設定!$E$6:$E$21,MATCH($G173,設定!$B$6:$B$21,0))=0,"",INDEX(設定!$E$6:$E$21,MATCH($G173,設定!$B$6:$B$21,0))),""))</f>
        <v/>
      </c>
      <c r="J173" s="87">
        <f>IFERROR(INDEX(打卡匯入!$C$3:$C$502,MATCH($C173&amp;"|"&amp;DAY($A173),打卡匯入!$E$3:$E$502,0)),"")</f>
        <v/>
      </c>
      <c r="K173" s="87">
        <f>IFERROR(INDEX(打卡匯入!$D$3:$D$502,MATCH($C173&amp;"|"&amp;DAY($A173),打卡匯入!$E$3:$E$502,0)),"")</f>
        <v/>
      </c>
      <c r="L173" s="88">
        <f>IF(OR($J173="",$K173=""),"",IFERROR(INDEX(設定!$F$6:$F$21,MATCH($G173,設定!$B$6:$B$21,0)),0))</f>
        <v/>
      </c>
      <c r="M173" s="89">
        <f>IF(OR($J173="",$K173=""),"",ROUND(($K173-$J173)*24-$L173/60,2))</f>
        <v/>
      </c>
      <c r="N173" s="16">
        <f>IF($C173="","",IF(AND(COUNTIF(設定!$B$15:$B$21,$G173)&gt;0,$J173&lt;&gt;""),"假日出勤",IF(AND(COUNTIF(設定!$B$6:$B$14,$G173)&gt;0,$J173=""),"未打卡",IF($J173="","",IF($O173&gt;0,"遲到",IF($P173&gt;0,"早退","正常"))))))</f>
        <v/>
      </c>
      <c r="O173" s="88">
        <f>IF(OR($C173="",$H173="",$J173=""),0,IF(ROUND(($J173-$H173)*1440,0)&gt;設定!$C$48,ROUND(($J173-$H173)*1440,0),0))</f>
        <v/>
      </c>
      <c r="P173" s="88">
        <f>IF(OR($C173="",$I173="",$K173=""),0,IF(ROUND(($I173-$K173)*1440,0)&gt;設定!$C$48,ROUND(($I173-$K173)*1440,0),0))</f>
        <v/>
      </c>
      <c r="Q173" s="89">
        <f>IF($M173="",0,IF(($M173-IFERROR(INDEX(設定!$G$6:$G$21,MATCH($G173,設定!$B$6:$B$21,0)),0))*60&gt;=設定!$C$46,ROUND(FLOOR(($M173-IFERROR(INDEX(設定!$G$6:$G$21,MATCH($G173,設定!$B$6:$B$21,0)),0))*60,設定!$C$47)/60,2),0))</f>
        <v/>
      </c>
      <c r="R173" s="16">
        <f>IF(OR($C173="",$Q173=0),"",IF($G173="國","國定假日",IF($B173="日","例假",IF($B173="六","休息日","平日"))))</f>
        <v/>
      </c>
      <c r="S173" s="18" t="n"/>
    </row>
    <row r="174">
      <c r="A174" s="86">
        <f>IF(OR(醫護長與管理部班表!$A10="",17&gt;DAY(EOMONTH(DATE(設定!$C$2,設定!$D$2,1),0))),"",DATE(設定!$C$2,設定!$D$2,17))</f>
        <v/>
      </c>
      <c r="B174" s="16">
        <f>IF($A174="","",INDEX(設定!$O$6:$O$12,WEEKDAY($A174,1)))</f>
        <v/>
      </c>
      <c r="C174" s="16">
        <f>IF($A174="","",醫護長與管理部班表!$A10)</f>
        <v/>
      </c>
      <c r="D174" s="16">
        <f>IF($C174="","",醫護長與管理部班表!$B10)</f>
        <v/>
      </c>
      <c r="E174" s="16">
        <f>IF($C174="","",醫護長與管理部班表!$D10)</f>
        <v/>
      </c>
      <c r="F174" s="16">
        <f>IF($C174="","",醫護長與管理部班表!$C10)</f>
        <v/>
      </c>
      <c r="G174" s="16">
        <f>IF($C174="","",醫護長與管理部班表!U10)</f>
        <v/>
      </c>
      <c r="H174" s="87">
        <f>IF($G174="","",IFERROR(IF(INDEX(設定!$D$6:$D$21,MATCH($G174,設定!$B$6:$B$21,0))=0,"",INDEX(設定!$D$6:$D$21,MATCH($G174,設定!$B$6:$B$21,0))),""))</f>
        <v/>
      </c>
      <c r="I174" s="87">
        <f>IF($G174="","",IFERROR(IF(INDEX(設定!$E$6:$E$21,MATCH($G174,設定!$B$6:$B$21,0))=0,"",INDEX(設定!$E$6:$E$21,MATCH($G174,設定!$B$6:$B$21,0))),""))</f>
        <v/>
      </c>
      <c r="J174" s="87">
        <f>IFERROR(INDEX(打卡匯入!$C$3:$C$502,MATCH($C174&amp;"|"&amp;DAY($A174),打卡匯入!$E$3:$E$502,0)),"")</f>
        <v/>
      </c>
      <c r="K174" s="87">
        <f>IFERROR(INDEX(打卡匯入!$D$3:$D$502,MATCH($C174&amp;"|"&amp;DAY($A174),打卡匯入!$E$3:$E$502,0)),"")</f>
        <v/>
      </c>
      <c r="L174" s="88">
        <f>IF(OR($J174="",$K174=""),"",IFERROR(INDEX(設定!$F$6:$F$21,MATCH($G174,設定!$B$6:$B$21,0)),0))</f>
        <v/>
      </c>
      <c r="M174" s="89">
        <f>IF(OR($J174="",$K174=""),"",ROUND(($K174-$J174)*24-$L174/60,2))</f>
        <v/>
      </c>
      <c r="N174" s="16">
        <f>IF($C174="","",IF(AND(COUNTIF(設定!$B$15:$B$21,$G174)&gt;0,$J174&lt;&gt;""),"假日出勤",IF(AND(COUNTIF(設定!$B$6:$B$14,$G174)&gt;0,$J174=""),"未打卡",IF($J174="","",IF($O174&gt;0,"遲到",IF($P174&gt;0,"早退","正常"))))))</f>
        <v/>
      </c>
      <c r="O174" s="88">
        <f>IF(OR($C174="",$H174="",$J174=""),0,IF(ROUND(($J174-$H174)*1440,0)&gt;設定!$C$48,ROUND(($J174-$H174)*1440,0),0))</f>
        <v/>
      </c>
      <c r="P174" s="88">
        <f>IF(OR($C174="",$I174="",$K174=""),0,IF(ROUND(($I174-$K174)*1440,0)&gt;設定!$C$48,ROUND(($I174-$K174)*1440,0),0))</f>
        <v/>
      </c>
      <c r="Q174" s="89">
        <f>IF($M174="",0,IF(($M174-IFERROR(INDEX(設定!$G$6:$G$21,MATCH($G174,設定!$B$6:$B$21,0)),0))*60&gt;=設定!$C$46,ROUND(FLOOR(($M174-IFERROR(INDEX(設定!$G$6:$G$21,MATCH($G174,設定!$B$6:$B$21,0)),0))*60,設定!$C$47)/60,2),0))</f>
        <v/>
      </c>
      <c r="R174" s="16">
        <f>IF(OR($C174="",$Q174=0),"",IF($G174="國","國定假日",IF($B174="日","例假",IF($B174="六","休息日","平日"))))</f>
        <v/>
      </c>
      <c r="S174" s="18" t="n"/>
    </row>
    <row r="175">
      <c r="A175" s="86">
        <f>IF(OR(醫護長與管理部班表!$A10="",18&gt;DAY(EOMONTH(DATE(設定!$C$2,設定!$D$2,1),0))),"",DATE(設定!$C$2,設定!$D$2,18))</f>
        <v/>
      </c>
      <c r="B175" s="16">
        <f>IF($A175="","",INDEX(設定!$O$6:$O$12,WEEKDAY($A175,1)))</f>
        <v/>
      </c>
      <c r="C175" s="16">
        <f>IF($A175="","",醫護長與管理部班表!$A10)</f>
        <v/>
      </c>
      <c r="D175" s="16">
        <f>IF($C175="","",醫護長與管理部班表!$B10)</f>
        <v/>
      </c>
      <c r="E175" s="16">
        <f>IF($C175="","",醫護長與管理部班表!$D10)</f>
        <v/>
      </c>
      <c r="F175" s="16">
        <f>IF($C175="","",醫護長與管理部班表!$C10)</f>
        <v/>
      </c>
      <c r="G175" s="16">
        <f>IF($C175="","",醫護長與管理部班表!V10)</f>
        <v/>
      </c>
      <c r="H175" s="87">
        <f>IF($G175="","",IFERROR(IF(INDEX(設定!$D$6:$D$21,MATCH($G175,設定!$B$6:$B$21,0))=0,"",INDEX(設定!$D$6:$D$21,MATCH($G175,設定!$B$6:$B$21,0))),""))</f>
        <v/>
      </c>
      <c r="I175" s="87">
        <f>IF($G175="","",IFERROR(IF(INDEX(設定!$E$6:$E$21,MATCH($G175,設定!$B$6:$B$21,0))=0,"",INDEX(設定!$E$6:$E$21,MATCH($G175,設定!$B$6:$B$21,0))),""))</f>
        <v/>
      </c>
      <c r="J175" s="87">
        <f>IFERROR(INDEX(打卡匯入!$C$3:$C$502,MATCH($C175&amp;"|"&amp;DAY($A175),打卡匯入!$E$3:$E$502,0)),"")</f>
        <v/>
      </c>
      <c r="K175" s="87">
        <f>IFERROR(INDEX(打卡匯入!$D$3:$D$502,MATCH($C175&amp;"|"&amp;DAY($A175),打卡匯入!$E$3:$E$502,0)),"")</f>
        <v/>
      </c>
      <c r="L175" s="88">
        <f>IF(OR($J175="",$K175=""),"",IFERROR(INDEX(設定!$F$6:$F$21,MATCH($G175,設定!$B$6:$B$21,0)),0))</f>
        <v/>
      </c>
      <c r="M175" s="89">
        <f>IF(OR($J175="",$K175=""),"",ROUND(($K175-$J175)*24-$L175/60,2))</f>
        <v/>
      </c>
      <c r="N175" s="16">
        <f>IF($C175="","",IF(AND(COUNTIF(設定!$B$15:$B$21,$G175)&gt;0,$J175&lt;&gt;""),"假日出勤",IF(AND(COUNTIF(設定!$B$6:$B$14,$G175)&gt;0,$J175=""),"未打卡",IF($J175="","",IF($O175&gt;0,"遲到",IF($P175&gt;0,"早退","正常"))))))</f>
        <v/>
      </c>
      <c r="O175" s="88">
        <f>IF(OR($C175="",$H175="",$J175=""),0,IF(ROUND(($J175-$H175)*1440,0)&gt;設定!$C$48,ROUND(($J175-$H175)*1440,0),0))</f>
        <v/>
      </c>
      <c r="P175" s="88">
        <f>IF(OR($C175="",$I175="",$K175=""),0,IF(ROUND(($I175-$K175)*1440,0)&gt;設定!$C$48,ROUND(($I175-$K175)*1440,0),0))</f>
        <v/>
      </c>
      <c r="Q175" s="89">
        <f>IF($M175="",0,IF(($M175-IFERROR(INDEX(設定!$G$6:$G$21,MATCH($G175,設定!$B$6:$B$21,0)),0))*60&gt;=設定!$C$46,ROUND(FLOOR(($M175-IFERROR(INDEX(設定!$G$6:$G$21,MATCH($G175,設定!$B$6:$B$21,0)),0))*60,設定!$C$47)/60,2),0))</f>
        <v/>
      </c>
      <c r="R175" s="16">
        <f>IF(OR($C175="",$Q175=0),"",IF($G175="國","國定假日",IF($B175="日","例假",IF($B175="六","休息日","平日"))))</f>
        <v/>
      </c>
      <c r="S175" s="18" t="n"/>
    </row>
    <row r="176">
      <c r="A176" s="86">
        <f>IF(OR(醫護長與管理部班表!$A10="",19&gt;DAY(EOMONTH(DATE(設定!$C$2,設定!$D$2,1),0))),"",DATE(設定!$C$2,設定!$D$2,19))</f>
        <v/>
      </c>
      <c r="B176" s="16">
        <f>IF($A176="","",INDEX(設定!$O$6:$O$12,WEEKDAY($A176,1)))</f>
        <v/>
      </c>
      <c r="C176" s="16">
        <f>IF($A176="","",醫護長與管理部班表!$A10)</f>
        <v/>
      </c>
      <c r="D176" s="16">
        <f>IF($C176="","",醫護長與管理部班表!$B10)</f>
        <v/>
      </c>
      <c r="E176" s="16">
        <f>IF($C176="","",醫護長與管理部班表!$D10)</f>
        <v/>
      </c>
      <c r="F176" s="16">
        <f>IF($C176="","",醫護長與管理部班表!$C10)</f>
        <v/>
      </c>
      <c r="G176" s="16">
        <f>IF($C176="","",醫護長與管理部班表!W10)</f>
        <v/>
      </c>
      <c r="H176" s="87">
        <f>IF($G176="","",IFERROR(IF(INDEX(設定!$D$6:$D$21,MATCH($G176,設定!$B$6:$B$21,0))=0,"",INDEX(設定!$D$6:$D$21,MATCH($G176,設定!$B$6:$B$21,0))),""))</f>
        <v/>
      </c>
      <c r="I176" s="87">
        <f>IF($G176="","",IFERROR(IF(INDEX(設定!$E$6:$E$21,MATCH($G176,設定!$B$6:$B$21,0))=0,"",INDEX(設定!$E$6:$E$21,MATCH($G176,設定!$B$6:$B$21,0))),""))</f>
        <v/>
      </c>
      <c r="J176" s="87">
        <f>IFERROR(INDEX(打卡匯入!$C$3:$C$502,MATCH($C176&amp;"|"&amp;DAY($A176),打卡匯入!$E$3:$E$502,0)),"")</f>
        <v/>
      </c>
      <c r="K176" s="87">
        <f>IFERROR(INDEX(打卡匯入!$D$3:$D$502,MATCH($C176&amp;"|"&amp;DAY($A176),打卡匯入!$E$3:$E$502,0)),"")</f>
        <v/>
      </c>
      <c r="L176" s="88">
        <f>IF(OR($J176="",$K176=""),"",IFERROR(INDEX(設定!$F$6:$F$21,MATCH($G176,設定!$B$6:$B$21,0)),0))</f>
        <v/>
      </c>
      <c r="M176" s="89">
        <f>IF(OR($J176="",$K176=""),"",ROUND(($K176-$J176)*24-$L176/60,2))</f>
        <v/>
      </c>
      <c r="N176" s="16">
        <f>IF($C176="","",IF(AND(COUNTIF(設定!$B$15:$B$21,$G176)&gt;0,$J176&lt;&gt;""),"假日出勤",IF(AND(COUNTIF(設定!$B$6:$B$14,$G176)&gt;0,$J176=""),"未打卡",IF($J176="","",IF($O176&gt;0,"遲到",IF($P176&gt;0,"早退","正常"))))))</f>
        <v/>
      </c>
      <c r="O176" s="88">
        <f>IF(OR($C176="",$H176="",$J176=""),0,IF(ROUND(($J176-$H176)*1440,0)&gt;設定!$C$48,ROUND(($J176-$H176)*1440,0),0))</f>
        <v/>
      </c>
      <c r="P176" s="88">
        <f>IF(OR($C176="",$I176="",$K176=""),0,IF(ROUND(($I176-$K176)*1440,0)&gt;設定!$C$48,ROUND(($I176-$K176)*1440,0),0))</f>
        <v/>
      </c>
      <c r="Q176" s="89">
        <f>IF($M176="",0,IF(($M176-IFERROR(INDEX(設定!$G$6:$G$21,MATCH($G176,設定!$B$6:$B$21,0)),0))*60&gt;=設定!$C$46,ROUND(FLOOR(($M176-IFERROR(INDEX(設定!$G$6:$G$21,MATCH($G176,設定!$B$6:$B$21,0)),0))*60,設定!$C$47)/60,2),0))</f>
        <v/>
      </c>
      <c r="R176" s="16">
        <f>IF(OR($C176="",$Q176=0),"",IF($G176="國","國定假日",IF($B176="日","例假",IF($B176="六","休息日","平日"))))</f>
        <v/>
      </c>
      <c r="S176" s="18" t="n"/>
    </row>
    <row r="177">
      <c r="A177" s="86">
        <f>IF(OR(醫護長與管理部班表!$A10="",20&gt;DAY(EOMONTH(DATE(設定!$C$2,設定!$D$2,1),0))),"",DATE(設定!$C$2,設定!$D$2,20))</f>
        <v/>
      </c>
      <c r="B177" s="16">
        <f>IF($A177="","",INDEX(設定!$O$6:$O$12,WEEKDAY($A177,1)))</f>
        <v/>
      </c>
      <c r="C177" s="16">
        <f>IF($A177="","",醫護長與管理部班表!$A10)</f>
        <v/>
      </c>
      <c r="D177" s="16">
        <f>IF($C177="","",醫護長與管理部班表!$B10)</f>
        <v/>
      </c>
      <c r="E177" s="16">
        <f>IF($C177="","",醫護長與管理部班表!$D10)</f>
        <v/>
      </c>
      <c r="F177" s="16">
        <f>IF($C177="","",醫護長與管理部班表!$C10)</f>
        <v/>
      </c>
      <c r="G177" s="16">
        <f>IF($C177="","",醫護長與管理部班表!X10)</f>
        <v/>
      </c>
      <c r="H177" s="87">
        <f>IF($G177="","",IFERROR(IF(INDEX(設定!$D$6:$D$21,MATCH($G177,設定!$B$6:$B$21,0))=0,"",INDEX(設定!$D$6:$D$21,MATCH($G177,設定!$B$6:$B$21,0))),""))</f>
        <v/>
      </c>
      <c r="I177" s="87">
        <f>IF($G177="","",IFERROR(IF(INDEX(設定!$E$6:$E$21,MATCH($G177,設定!$B$6:$B$21,0))=0,"",INDEX(設定!$E$6:$E$21,MATCH($G177,設定!$B$6:$B$21,0))),""))</f>
        <v/>
      </c>
      <c r="J177" s="87">
        <f>IFERROR(INDEX(打卡匯入!$C$3:$C$502,MATCH($C177&amp;"|"&amp;DAY($A177),打卡匯入!$E$3:$E$502,0)),"")</f>
        <v/>
      </c>
      <c r="K177" s="87">
        <f>IFERROR(INDEX(打卡匯入!$D$3:$D$502,MATCH($C177&amp;"|"&amp;DAY($A177),打卡匯入!$E$3:$E$502,0)),"")</f>
        <v/>
      </c>
      <c r="L177" s="88">
        <f>IF(OR($J177="",$K177=""),"",IFERROR(INDEX(設定!$F$6:$F$21,MATCH($G177,設定!$B$6:$B$21,0)),0))</f>
        <v/>
      </c>
      <c r="M177" s="89">
        <f>IF(OR($J177="",$K177=""),"",ROUND(($K177-$J177)*24-$L177/60,2))</f>
        <v/>
      </c>
      <c r="N177" s="16">
        <f>IF($C177="","",IF(AND(COUNTIF(設定!$B$15:$B$21,$G177)&gt;0,$J177&lt;&gt;""),"假日出勤",IF(AND(COUNTIF(設定!$B$6:$B$14,$G177)&gt;0,$J177=""),"未打卡",IF($J177="","",IF($O177&gt;0,"遲到",IF($P177&gt;0,"早退","正常"))))))</f>
        <v/>
      </c>
      <c r="O177" s="88">
        <f>IF(OR($C177="",$H177="",$J177=""),0,IF(ROUND(($J177-$H177)*1440,0)&gt;設定!$C$48,ROUND(($J177-$H177)*1440,0),0))</f>
        <v/>
      </c>
      <c r="P177" s="88">
        <f>IF(OR($C177="",$I177="",$K177=""),0,IF(ROUND(($I177-$K177)*1440,0)&gt;設定!$C$48,ROUND(($I177-$K177)*1440,0),0))</f>
        <v/>
      </c>
      <c r="Q177" s="89">
        <f>IF($M177="",0,IF(($M177-IFERROR(INDEX(設定!$G$6:$G$21,MATCH($G177,設定!$B$6:$B$21,0)),0))*60&gt;=設定!$C$46,ROUND(FLOOR(($M177-IFERROR(INDEX(設定!$G$6:$G$21,MATCH($G177,設定!$B$6:$B$21,0)),0))*60,設定!$C$47)/60,2),0))</f>
        <v/>
      </c>
      <c r="R177" s="16">
        <f>IF(OR($C177="",$Q177=0),"",IF($G177="國","國定假日",IF($B177="日","例假",IF($B177="六","休息日","平日"))))</f>
        <v/>
      </c>
      <c r="S177" s="18" t="n"/>
    </row>
    <row r="178">
      <c r="A178" s="86">
        <f>IF(OR(醫護長與管理部班表!$A10="",21&gt;DAY(EOMONTH(DATE(設定!$C$2,設定!$D$2,1),0))),"",DATE(設定!$C$2,設定!$D$2,21))</f>
        <v/>
      </c>
      <c r="B178" s="16">
        <f>IF($A178="","",INDEX(設定!$O$6:$O$12,WEEKDAY($A178,1)))</f>
        <v/>
      </c>
      <c r="C178" s="16">
        <f>IF($A178="","",醫護長與管理部班表!$A10)</f>
        <v/>
      </c>
      <c r="D178" s="16">
        <f>IF($C178="","",醫護長與管理部班表!$B10)</f>
        <v/>
      </c>
      <c r="E178" s="16">
        <f>IF($C178="","",醫護長與管理部班表!$D10)</f>
        <v/>
      </c>
      <c r="F178" s="16">
        <f>IF($C178="","",醫護長與管理部班表!$C10)</f>
        <v/>
      </c>
      <c r="G178" s="16">
        <f>IF($C178="","",醫護長與管理部班表!Y10)</f>
        <v/>
      </c>
      <c r="H178" s="87">
        <f>IF($G178="","",IFERROR(IF(INDEX(設定!$D$6:$D$21,MATCH($G178,設定!$B$6:$B$21,0))=0,"",INDEX(設定!$D$6:$D$21,MATCH($G178,設定!$B$6:$B$21,0))),""))</f>
        <v/>
      </c>
      <c r="I178" s="87">
        <f>IF($G178="","",IFERROR(IF(INDEX(設定!$E$6:$E$21,MATCH($G178,設定!$B$6:$B$21,0))=0,"",INDEX(設定!$E$6:$E$21,MATCH($G178,設定!$B$6:$B$21,0))),""))</f>
        <v/>
      </c>
      <c r="J178" s="87">
        <f>IFERROR(INDEX(打卡匯入!$C$3:$C$502,MATCH($C178&amp;"|"&amp;DAY($A178),打卡匯入!$E$3:$E$502,0)),"")</f>
        <v/>
      </c>
      <c r="K178" s="87">
        <f>IFERROR(INDEX(打卡匯入!$D$3:$D$502,MATCH($C178&amp;"|"&amp;DAY($A178),打卡匯入!$E$3:$E$502,0)),"")</f>
        <v/>
      </c>
      <c r="L178" s="88">
        <f>IF(OR($J178="",$K178=""),"",IFERROR(INDEX(設定!$F$6:$F$21,MATCH($G178,設定!$B$6:$B$21,0)),0))</f>
        <v/>
      </c>
      <c r="M178" s="89">
        <f>IF(OR($J178="",$K178=""),"",ROUND(($K178-$J178)*24-$L178/60,2))</f>
        <v/>
      </c>
      <c r="N178" s="16">
        <f>IF($C178="","",IF(AND(COUNTIF(設定!$B$15:$B$21,$G178)&gt;0,$J178&lt;&gt;""),"假日出勤",IF(AND(COUNTIF(設定!$B$6:$B$14,$G178)&gt;0,$J178=""),"未打卡",IF($J178="","",IF($O178&gt;0,"遲到",IF($P178&gt;0,"早退","正常"))))))</f>
        <v/>
      </c>
      <c r="O178" s="88">
        <f>IF(OR($C178="",$H178="",$J178=""),0,IF(ROUND(($J178-$H178)*1440,0)&gt;設定!$C$48,ROUND(($J178-$H178)*1440,0),0))</f>
        <v/>
      </c>
      <c r="P178" s="88">
        <f>IF(OR($C178="",$I178="",$K178=""),0,IF(ROUND(($I178-$K178)*1440,0)&gt;設定!$C$48,ROUND(($I178-$K178)*1440,0),0))</f>
        <v/>
      </c>
      <c r="Q178" s="89">
        <f>IF($M178="",0,IF(($M178-IFERROR(INDEX(設定!$G$6:$G$21,MATCH($G178,設定!$B$6:$B$21,0)),0))*60&gt;=設定!$C$46,ROUND(FLOOR(($M178-IFERROR(INDEX(設定!$G$6:$G$21,MATCH($G178,設定!$B$6:$B$21,0)),0))*60,設定!$C$47)/60,2),0))</f>
        <v/>
      </c>
      <c r="R178" s="16">
        <f>IF(OR($C178="",$Q178=0),"",IF($G178="國","國定假日",IF($B178="日","例假",IF($B178="六","休息日","平日"))))</f>
        <v/>
      </c>
      <c r="S178" s="18" t="n"/>
    </row>
    <row r="179">
      <c r="A179" s="86">
        <f>IF(OR(醫護長與管理部班表!$A10="",22&gt;DAY(EOMONTH(DATE(設定!$C$2,設定!$D$2,1),0))),"",DATE(設定!$C$2,設定!$D$2,22))</f>
        <v/>
      </c>
      <c r="B179" s="16">
        <f>IF($A179="","",INDEX(設定!$O$6:$O$12,WEEKDAY($A179,1)))</f>
        <v/>
      </c>
      <c r="C179" s="16">
        <f>IF($A179="","",醫護長與管理部班表!$A10)</f>
        <v/>
      </c>
      <c r="D179" s="16">
        <f>IF($C179="","",醫護長與管理部班表!$B10)</f>
        <v/>
      </c>
      <c r="E179" s="16">
        <f>IF($C179="","",醫護長與管理部班表!$D10)</f>
        <v/>
      </c>
      <c r="F179" s="16">
        <f>IF($C179="","",醫護長與管理部班表!$C10)</f>
        <v/>
      </c>
      <c r="G179" s="16">
        <f>IF($C179="","",醫護長與管理部班表!Z10)</f>
        <v/>
      </c>
      <c r="H179" s="87">
        <f>IF($G179="","",IFERROR(IF(INDEX(設定!$D$6:$D$21,MATCH($G179,設定!$B$6:$B$21,0))=0,"",INDEX(設定!$D$6:$D$21,MATCH($G179,設定!$B$6:$B$21,0))),""))</f>
        <v/>
      </c>
      <c r="I179" s="87">
        <f>IF($G179="","",IFERROR(IF(INDEX(設定!$E$6:$E$21,MATCH($G179,設定!$B$6:$B$21,0))=0,"",INDEX(設定!$E$6:$E$21,MATCH($G179,設定!$B$6:$B$21,0))),""))</f>
        <v/>
      </c>
      <c r="J179" s="87">
        <f>IFERROR(INDEX(打卡匯入!$C$3:$C$502,MATCH($C179&amp;"|"&amp;DAY($A179),打卡匯入!$E$3:$E$502,0)),"")</f>
        <v/>
      </c>
      <c r="K179" s="87">
        <f>IFERROR(INDEX(打卡匯入!$D$3:$D$502,MATCH($C179&amp;"|"&amp;DAY($A179),打卡匯入!$E$3:$E$502,0)),"")</f>
        <v/>
      </c>
      <c r="L179" s="88">
        <f>IF(OR($J179="",$K179=""),"",IFERROR(INDEX(設定!$F$6:$F$21,MATCH($G179,設定!$B$6:$B$21,0)),0))</f>
        <v/>
      </c>
      <c r="M179" s="89">
        <f>IF(OR($J179="",$K179=""),"",ROUND(($K179-$J179)*24-$L179/60,2))</f>
        <v/>
      </c>
      <c r="N179" s="16">
        <f>IF($C179="","",IF(AND(COUNTIF(設定!$B$15:$B$21,$G179)&gt;0,$J179&lt;&gt;""),"假日出勤",IF(AND(COUNTIF(設定!$B$6:$B$14,$G179)&gt;0,$J179=""),"未打卡",IF($J179="","",IF($O179&gt;0,"遲到",IF($P179&gt;0,"早退","正常"))))))</f>
        <v/>
      </c>
      <c r="O179" s="88">
        <f>IF(OR($C179="",$H179="",$J179=""),0,IF(ROUND(($J179-$H179)*1440,0)&gt;設定!$C$48,ROUND(($J179-$H179)*1440,0),0))</f>
        <v/>
      </c>
      <c r="P179" s="88">
        <f>IF(OR($C179="",$I179="",$K179=""),0,IF(ROUND(($I179-$K179)*1440,0)&gt;設定!$C$48,ROUND(($I179-$K179)*1440,0),0))</f>
        <v/>
      </c>
      <c r="Q179" s="89">
        <f>IF($M179="",0,IF(($M179-IFERROR(INDEX(設定!$G$6:$G$21,MATCH($G179,設定!$B$6:$B$21,0)),0))*60&gt;=設定!$C$46,ROUND(FLOOR(($M179-IFERROR(INDEX(設定!$G$6:$G$21,MATCH($G179,設定!$B$6:$B$21,0)),0))*60,設定!$C$47)/60,2),0))</f>
        <v/>
      </c>
      <c r="R179" s="16">
        <f>IF(OR($C179="",$Q179=0),"",IF($G179="國","國定假日",IF($B179="日","例假",IF($B179="六","休息日","平日"))))</f>
        <v/>
      </c>
      <c r="S179" s="18" t="n"/>
    </row>
    <row r="180">
      <c r="A180" s="86">
        <f>IF(OR(醫護長與管理部班表!$A10="",23&gt;DAY(EOMONTH(DATE(設定!$C$2,設定!$D$2,1),0))),"",DATE(設定!$C$2,設定!$D$2,23))</f>
        <v/>
      </c>
      <c r="B180" s="16">
        <f>IF($A180="","",INDEX(設定!$O$6:$O$12,WEEKDAY($A180,1)))</f>
        <v/>
      </c>
      <c r="C180" s="16">
        <f>IF($A180="","",醫護長與管理部班表!$A10)</f>
        <v/>
      </c>
      <c r="D180" s="16">
        <f>IF($C180="","",醫護長與管理部班表!$B10)</f>
        <v/>
      </c>
      <c r="E180" s="16">
        <f>IF($C180="","",醫護長與管理部班表!$D10)</f>
        <v/>
      </c>
      <c r="F180" s="16">
        <f>IF($C180="","",醫護長與管理部班表!$C10)</f>
        <v/>
      </c>
      <c r="G180" s="16">
        <f>IF($C180="","",醫護長與管理部班表!AA10)</f>
        <v/>
      </c>
      <c r="H180" s="87">
        <f>IF($G180="","",IFERROR(IF(INDEX(設定!$D$6:$D$21,MATCH($G180,設定!$B$6:$B$21,0))=0,"",INDEX(設定!$D$6:$D$21,MATCH($G180,設定!$B$6:$B$21,0))),""))</f>
        <v/>
      </c>
      <c r="I180" s="87">
        <f>IF($G180="","",IFERROR(IF(INDEX(設定!$E$6:$E$21,MATCH($G180,設定!$B$6:$B$21,0))=0,"",INDEX(設定!$E$6:$E$21,MATCH($G180,設定!$B$6:$B$21,0))),""))</f>
        <v/>
      </c>
      <c r="J180" s="87">
        <f>IFERROR(INDEX(打卡匯入!$C$3:$C$502,MATCH($C180&amp;"|"&amp;DAY($A180),打卡匯入!$E$3:$E$502,0)),"")</f>
        <v/>
      </c>
      <c r="K180" s="87">
        <f>IFERROR(INDEX(打卡匯入!$D$3:$D$502,MATCH($C180&amp;"|"&amp;DAY($A180),打卡匯入!$E$3:$E$502,0)),"")</f>
        <v/>
      </c>
      <c r="L180" s="88">
        <f>IF(OR($J180="",$K180=""),"",IFERROR(INDEX(設定!$F$6:$F$21,MATCH($G180,設定!$B$6:$B$21,0)),0))</f>
        <v/>
      </c>
      <c r="M180" s="89">
        <f>IF(OR($J180="",$K180=""),"",ROUND(($K180-$J180)*24-$L180/60,2))</f>
        <v/>
      </c>
      <c r="N180" s="16">
        <f>IF($C180="","",IF(AND(COUNTIF(設定!$B$15:$B$21,$G180)&gt;0,$J180&lt;&gt;""),"假日出勤",IF(AND(COUNTIF(設定!$B$6:$B$14,$G180)&gt;0,$J180=""),"未打卡",IF($J180="","",IF($O180&gt;0,"遲到",IF($P180&gt;0,"早退","正常"))))))</f>
        <v/>
      </c>
      <c r="O180" s="88">
        <f>IF(OR($C180="",$H180="",$J180=""),0,IF(ROUND(($J180-$H180)*1440,0)&gt;設定!$C$48,ROUND(($J180-$H180)*1440,0),0))</f>
        <v/>
      </c>
      <c r="P180" s="88">
        <f>IF(OR($C180="",$I180="",$K180=""),0,IF(ROUND(($I180-$K180)*1440,0)&gt;設定!$C$48,ROUND(($I180-$K180)*1440,0),0))</f>
        <v/>
      </c>
      <c r="Q180" s="89">
        <f>IF($M180="",0,IF(($M180-IFERROR(INDEX(設定!$G$6:$G$21,MATCH($G180,設定!$B$6:$B$21,0)),0))*60&gt;=設定!$C$46,ROUND(FLOOR(($M180-IFERROR(INDEX(設定!$G$6:$G$21,MATCH($G180,設定!$B$6:$B$21,0)),0))*60,設定!$C$47)/60,2),0))</f>
        <v/>
      </c>
      <c r="R180" s="16">
        <f>IF(OR($C180="",$Q180=0),"",IF($G180="國","國定假日",IF($B180="日","例假",IF($B180="六","休息日","平日"))))</f>
        <v/>
      </c>
      <c r="S180" s="18" t="n"/>
    </row>
    <row r="181">
      <c r="A181" s="86">
        <f>IF(OR(醫護長與管理部班表!$A10="",24&gt;DAY(EOMONTH(DATE(設定!$C$2,設定!$D$2,1),0))),"",DATE(設定!$C$2,設定!$D$2,24))</f>
        <v/>
      </c>
      <c r="B181" s="16">
        <f>IF($A181="","",INDEX(設定!$O$6:$O$12,WEEKDAY($A181,1)))</f>
        <v/>
      </c>
      <c r="C181" s="16">
        <f>IF($A181="","",醫護長與管理部班表!$A10)</f>
        <v/>
      </c>
      <c r="D181" s="16">
        <f>IF($C181="","",醫護長與管理部班表!$B10)</f>
        <v/>
      </c>
      <c r="E181" s="16">
        <f>IF($C181="","",醫護長與管理部班表!$D10)</f>
        <v/>
      </c>
      <c r="F181" s="16">
        <f>IF($C181="","",醫護長與管理部班表!$C10)</f>
        <v/>
      </c>
      <c r="G181" s="16">
        <f>IF($C181="","",醫護長與管理部班表!AB10)</f>
        <v/>
      </c>
      <c r="H181" s="87">
        <f>IF($G181="","",IFERROR(IF(INDEX(設定!$D$6:$D$21,MATCH($G181,設定!$B$6:$B$21,0))=0,"",INDEX(設定!$D$6:$D$21,MATCH($G181,設定!$B$6:$B$21,0))),""))</f>
        <v/>
      </c>
      <c r="I181" s="87">
        <f>IF($G181="","",IFERROR(IF(INDEX(設定!$E$6:$E$21,MATCH($G181,設定!$B$6:$B$21,0))=0,"",INDEX(設定!$E$6:$E$21,MATCH($G181,設定!$B$6:$B$21,0))),""))</f>
        <v/>
      </c>
      <c r="J181" s="87">
        <f>IFERROR(INDEX(打卡匯入!$C$3:$C$502,MATCH($C181&amp;"|"&amp;DAY($A181),打卡匯入!$E$3:$E$502,0)),"")</f>
        <v/>
      </c>
      <c r="K181" s="87">
        <f>IFERROR(INDEX(打卡匯入!$D$3:$D$502,MATCH($C181&amp;"|"&amp;DAY($A181),打卡匯入!$E$3:$E$502,0)),"")</f>
        <v/>
      </c>
      <c r="L181" s="88">
        <f>IF(OR($J181="",$K181=""),"",IFERROR(INDEX(設定!$F$6:$F$21,MATCH($G181,設定!$B$6:$B$21,0)),0))</f>
        <v/>
      </c>
      <c r="M181" s="89">
        <f>IF(OR($J181="",$K181=""),"",ROUND(($K181-$J181)*24-$L181/60,2))</f>
        <v/>
      </c>
      <c r="N181" s="16">
        <f>IF($C181="","",IF(AND(COUNTIF(設定!$B$15:$B$21,$G181)&gt;0,$J181&lt;&gt;""),"假日出勤",IF(AND(COUNTIF(設定!$B$6:$B$14,$G181)&gt;0,$J181=""),"未打卡",IF($J181="","",IF($O181&gt;0,"遲到",IF($P181&gt;0,"早退","正常"))))))</f>
        <v/>
      </c>
      <c r="O181" s="88">
        <f>IF(OR($C181="",$H181="",$J181=""),0,IF(ROUND(($J181-$H181)*1440,0)&gt;設定!$C$48,ROUND(($J181-$H181)*1440,0),0))</f>
        <v/>
      </c>
      <c r="P181" s="88">
        <f>IF(OR($C181="",$I181="",$K181=""),0,IF(ROUND(($I181-$K181)*1440,0)&gt;設定!$C$48,ROUND(($I181-$K181)*1440,0),0))</f>
        <v/>
      </c>
      <c r="Q181" s="89">
        <f>IF($M181="",0,IF(($M181-IFERROR(INDEX(設定!$G$6:$G$21,MATCH($G181,設定!$B$6:$B$21,0)),0))*60&gt;=設定!$C$46,ROUND(FLOOR(($M181-IFERROR(INDEX(設定!$G$6:$G$21,MATCH($G181,設定!$B$6:$B$21,0)),0))*60,設定!$C$47)/60,2),0))</f>
        <v/>
      </c>
      <c r="R181" s="16">
        <f>IF(OR($C181="",$Q181=0),"",IF($G181="國","國定假日",IF($B181="日","例假",IF($B181="六","休息日","平日"))))</f>
        <v/>
      </c>
      <c r="S181" s="18" t="n"/>
    </row>
    <row r="182">
      <c r="A182" s="86">
        <f>IF(OR(醫護長與管理部班表!$A10="",25&gt;DAY(EOMONTH(DATE(設定!$C$2,設定!$D$2,1),0))),"",DATE(設定!$C$2,設定!$D$2,25))</f>
        <v/>
      </c>
      <c r="B182" s="16">
        <f>IF($A182="","",INDEX(設定!$O$6:$O$12,WEEKDAY($A182,1)))</f>
        <v/>
      </c>
      <c r="C182" s="16">
        <f>IF($A182="","",醫護長與管理部班表!$A10)</f>
        <v/>
      </c>
      <c r="D182" s="16">
        <f>IF($C182="","",醫護長與管理部班表!$B10)</f>
        <v/>
      </c>
      <c r="E182" s="16">
        <f>IF($C182="","",醫護長與管理部班表!$D10)</f>
        <v/>
      </c>
      <c r="F182" s="16">
        <f>IF($C182="","",醫護長與管理部班表!$C10)</f>
        <v/>
      </c>
      <c r="G182" s="16">
        <f>IF($C182="","",醫護長與管理部班表!AC10)</f>
        <v/>
      </c>
      <c r="H182" s="87">
        <f>IF($G182="","",IFERROR(IF(INDEX(設定!$D$6:$D$21,MATCH($G182,設定!$B$6:$B$21,0))=0,"",INDEX(設定!$D$6:$D$21,MATCH($G182,設定!$B$6:$B$21,0))),""))</f>
        <v/>
      </c>
      <c r="I182" s="87">
        <f>IF($G182="","",IFERROR(IF(INDEX(設定!$E$6:$E$21,MATCH($G182,設定!$B$6:$B$21,0))=0,"",INDEX(設定!$E$6:$E$21,MATCH($G182,設定!$B$6:$B$21,0))),""))</f>
        <v/>
      </c>
      <c r="J182" s="87">
        <f>IFERROR(INDEX(打卡匯入!$C$3:$C$502,MATCH($C182&amp;"|"&amp;DAY($A182),打卡匯入!$E$3:$E$502,0)),"")</f>
        <v/>
      </c>
      <c r="K182" s="87">
        <f>IFERROR(INDEX(打卡匯入!$D$3:$D$502,MATCH($C182&amp;"|"&amp;DAY($A182),打卡匯入!$E$3:$E$502,0)),"")</f>
        <v/>
      </c>
      <c r="L182" s="88">
        <f>IF(OR($J182="",$K182=""),"",IFERROR(INDEX(設定!$F$6:$F$21,MATCH($G182,設定!$B$6:$B$21,0)),0))</f>
        <v/>
      </c>
      <c r="M182" s="89">
        <f>IF(OR($J182="",$K182=""),"",ROUND(($K182-$J182)*24-$L182/60,2))</f>
        <v/>
      </c>
      <c r="N182" s="16">
        <f>IF($C182="","",IF(AND(COUNTIF(設定!$B$15:$B$21,$G182)&gt;0,$J182&lt;&gt;""),"假日出勤",IF(AND(COUNTIF(設定!$B$6:$B$14,$G182)&gt;0,$J182=""),"未打卡",IF($J182="","",IF($O182&gt;0,"遲到",IF($P182&gt;0,"早退","正常"))))))</f>
        <v/>
      </c>
      <c r="O182" s="88">
        <f>IF(OR($C182="",$H182="",$J182=""),0,IF(ROUND(($J182-$H182)*1440,0)&gt;設定!$C$48,ROUND(($J182-$H182)*1440,0),0))</f>
        <v/>
      </c>
      <c r="P182" s="88">
        <f>IF(OR($C182="",$I182="",$K182=""),0,IF(ROUND(($I182-$K182)*1440,0)&gt;設定!$C$48,ROUND(($I182-$K182)*1440,0),0))</f>
        <v/>
      </c>
      <c r="Q182" s="89">
        <f>IF($M182="",0,IF(($M182-IFERROR(INDEX(設定!$G$6:$G$21,MATCH($G182,設定!$B$6:$B$21,0)),0))*60&gt;=設定!$C$46,ROUND(FLOOR(($M182-IFERROR(INDEX(設定!$G$6:$G$21,MATCH($G182,設定!$B$6:$B$21,0)),0))*60,設定!$C$47)/60,2),0))</f>
        <v/>
      </c>
      <c r="R182" s="16">
        <f>IF(OR($C182="",$Q182=0),"",IF($G182="國","國定假日",IF($B182="日","例假",IF($B182="六","休息日","平日"))))</f>
        <v/>
      </c>
      <c r="S182" s="18" t="n"/>
    </row>
    <row r="183">
      <c r="A183" s="86">
        <f>IF(OR(醫護長與管理部班表!$A10="",26&gt;DAY(EOMONTH(DATE(設定!$C$2,設定!$D$2,1),0))),"",DATE(設定!$C$2,設定!$D$2,26))</f>
        <v/>
      </c>
      <c r="B183" s="16">
        <f>IF($A183="","",INDEX(設定!$O$6:$O$12,WEEKDAY($A183,1)))</f>
        <v/>
      </c>
      <c r="C183" s="16">
        <f>IF($A183="","",醫護長與管理部班表!$A10)</f>
        <v/>
      </c>
      <c r="D183" s="16">
        <f>IF($C183="","",醫護長與管理部班表!$B10)</f>
        <v/>
      </c>
      <c r="E183" s="16">
        <f>IF($C183="","",醫護長與管理部班表!$D10)</f>
        <v/>
      </c>
      <c r="F183" s="16">
        <f>IF($C183="","",醫護長與管理部班表!$C10)</f>
        <v/>
      </c>
      <c r="G183" s="16">
        <f>IF($C183="","",醫護長與管理部班表!AD10)</f>
        <v/>
      </c>
      <c r="H183" s="87">
        <f>IF($G183="","",IFERROR(IF(INDEX(設定!$D$6:$D$21,MATCH($G183,設定!$B$6:$B$21,0))=0,"",INDEX(設定!$D$6:$D$21,MATCH($G183,設定!$B$6:$B$21,0))),""))</f>
        <v/>
      </c>
      <c r="I183" s="87">
        <f>IF($G183="","",IFERROR(IF(INDEX(設定!$E$6:$E$21,MATCH($G183,設定!$B$6:$B$21,0))=0,"",INDEX(設定!$E$6:$E$21,MATCH($G183,設定!$B$6:$B$21,0))),""))</f>
        <v/>
      </c>
      <c r="J183" s="87">
        <f>IFERROR(INDEX(打卡匯入!$C$3:$C$502,MATCH($C183&amp;"|"&amp;DAY($A183),打卡匯入!$E$3:$E$502,0)),"")</f>
        <v/>
      </c>
      <c r="K183" s="87">
        <f>IFERROR(INDEX(打卡匯入!$D$3:$D$502,MATCH($C183&amp;"|"&amp;DAY($A183),打卡匯入!$E$3:$E$502,0)),"")</f>
        <v/>
      </c>
      <c r="L183" s="88">
        <f>IF(OR($J183="",$K183=""),"",IFERROR(INDEX(設定!$F$6:$F$21,MATCH($G183,設定!$B$6:$B$21,0)),0))</f>
        <v/>
      </c>
      <c r="M183" s="89">
        <f>IF(OR($J183="",$K183=""),"",ROUND(($K183-$J183)*24-$L183/60,2))</f>
        <v/>
      </c>
      <c r="N183" s="16">
        <f>IF($C183="","",IF(AND(COUNTIF(設定!$B$15:$B$21,$G183)&gt;0,$J183&lt;&gt;""),"假日出勤",IF(AND(COUNTIF(設定!$B$6:$B$14,$G183)&gt;0,$J183=""),"未打卡",IF($J183="","",IF($O183&gt;0,"遲到",IF($P183&gt;0,"早退","正常"))))))</f>
        <v/>
      </c>
      <c r="O183" s="88">
        <f>IF(OR($C183="",$H183="",$J183=""),0,IF(ROUND(($J183-$H183)*1440,0)&gt;設定!$C$48,ROUND(($J183-$H183)*1440,0),0))</f>
        <v/>
      </c>
      <c r="P183" s="88">
        <f>IF(OR($C183="",$I183="",$K183=""),0,IF(ROUND(($I183-$K183)*1440,0)&gt;設定!$C$48,ROUND(($I183-$K183)*1440,0),0))</f>
        <v/>
      </c>
      <c r="Q183" s="89">
        <f>IF($M183="",0,IF(($M183-IFERROR(INDEX(設定!$G$6:$G$21,MATCH($G183,設定!$B$6:$B$21,0)),0))*60&gt;=設定!$C$46,ROUND(FLOOR(($M183-IFERROR(INDEX(設定!$G$6:$G$21,MATCH($G183,設定!$B$6:$B$21,0)),0))*60,設定!$C$47)/60,2),0))</f>
        <v/>
      </c>
      <c r="R183" s="16">
        <f>IF(OR($C183="",$Q183=0),"",IF($G183="國","國定假日",IF($B183="日","例假",IF($B183="六","休息日","平日"))))</f>
        <v/>
      </c>
      <c r="S183" s="18" t="n"/>
    </row>
    <row r="184">
      <c r="A184" s="86">
        <f>IF(OR(醫護長與管理部班表!$A10="",27&gt;DAY(EOMONTH(DATE(設定!$C$2,設定!$D$2,1),0))),"",DATE(設定!$C$2,設定!$D$2,27))</f>
        <v/>
      </c>
      <c r="B184" s="16">
        <f>IF($A184="","",INDEX(設定!$O$6:$O$12,WEEKDAY($A184,1)))</f>
        <v/>
      </c>
      <c r="C184" s="16">
        <f>IF($A184="","",醫護長與管理部班表!$A10)</f>
        <v/>
      </c>
      <c r="D184" s="16">
        <f>IF($C184="","",醫護長與管理部班表!$B10)</f>
        <v/>
      </c>
      <c r="E184" s="16">
        <f>IF($C184="","",醫護長與管理部班表!$D10)</f>
        <v/>
      </c>
      <c r="F184" s="16">
        <f>IF($C184="","",醫護長與管理部班表!$C10)</f>
        <v/>
      </c>
      <c r="G184" s="16">
        <f>IF($C184="","",醫護長與管理部班表!AE10)</f>
        <v/>
      </c>
      <c r="H184" s="87">
        <f>IF($G184="","",IFERROR(IF(INDEX(設定!$D$6:$D$21,MATCH($G184,設定!$B$6:$B$21,0))=0,"",INDEX(設定!$D$6:$D$21,MATCH($G184,設定!$B$6:$B$21,0))),""))</f>
        <v/>
      </c>
      <c r="I184" s="87">
        <f>IF($G184="","",IFERROR(IF(INDEX(設定!$E$6:$E$21,MATCH($G184,設定!$B$6:$B$21,0))=0,"",INDEX(設定!$E$6:$E$21,MATCH($G184,設定!$B$6:$B$21,0))),""))</f>
        <v/>
      </c>
      <c r="J184" s="87">
        <f>IFERROR(INDEX(打卡匯入!$C$3:$C$502,MATCH($C184&amp;"|"&amp;DAY($A184),打卡匯入!$E$3:$E$502,0)),"")</f>
        <v/>
      </c>
      <c r="K184" s="87">
        <f>IFERROR(INDEX(打卡匯入!$D$3:$D$502,MATCH($C184&amp;"|"&amp;DAY($A184),打卡匯入!$E$3:$E$502,0)),"")</f>
        <v/>
      </c>
      <c r="L184" s="88">
        <f>IF(OR($J184="",$K184=""),"",IFERROR(INDEX(設定!$F$6:$F$21,MATCH($G184,設定!$B$6:$B$21,0)),0))</f>
        <v/>
      </c>
      <c r="M184" s="89">
        <f>IF(OR($J184="",$K184=""),"",ROUND(($K184-$J184)*24-$L184/60,2))</f>
        <v/>
      </c>
      <c r="N184" s="16">
        <f>IF($C184="","",IF(AND(COUNTIF(設定!$B$15:$B$21,$G184)&gt;0,$J184&lt;&gt;""),"假日出勤",IF(AND(COUNTIF(設定!$B$6:$B$14,$G184)&gt;0,$J184=""),"未打卡",IF($J184="","",IF($O184&gt;0,"遲到",IF($P184&gt;0,"早退","正常"))))))</f>
        <v/>
      </c>
      <c r="O184" s="88">
        <f>IF(OR($C184="",$H184="",$J184=""),0,IF(ROUND(($J184-$H184)*1440,0)&gt;設定!$C$48,ROUND(($J184-$H184)*1440,0),0))</f>
        <v/>
      </c>
      <c r="P184" s="88">
        <f>IF(OR($C184="",$I184="",$K184=""),0,IF(ROUND(($I184-$K184)*1440,0)&gt;設定!$C$48,ROUND(($I184-$K184)*1440,0),0))</f>
        <v/>
      </c>
      <c r="Q184" s="89">
        <f>IF($M184="",0,IF(($M184-IFERROR(INDEX(設定!$G$6:$G$21,MATCH($G184,設定!$B$6:$B$21,0)),0))*60&gt;=設定!$C$46,ROUND(FLOOR(($M184-IFERROR(INDEX(設定!$G$6:$G$21,MATCH($G184,設定!$B$6:$B$21,0)),0))*60,設定!$C$47)/60,2),0))</f>
        <v/>
      </c>
      <c r="R184" s="16">
        <f>IF(OR($C184="",$Q184=0),"",IF($G184="國","國定假日",IF($B184="日","例假",IF($B184="六","休息日","平日"))))</f>
        <v/>
      </c>
      <c r="S184" s="18" t="n"/>
    </row>
    <row r="185">
      <c r="A185" s="86">
        <f>IF(OR(醫護長與管理部班表!$A10="",28&gt;DAY(EOMONTH(DATE(設定!$C$2,設定!$D$2,1),0))),"",DATE(設定!$C$2,設定!$D$2,28))</f>
        <v/>
      </c>
      <c r="B185" s="16">
        <f>IF($A185="","",INDEX(設定!$O$6:$O$12,WEEKDAY($A185,1)))</f>
        <v/>
      </c>
      <c r="C185" s="16">
        <f>IF($A185="","",醫護長與管理部班表!$A10)</f>
        <v/>
      </c>
      <c r="D185" s="16">
        <f>IF($C185="","",醫護長與管理部班表!$B10)</f>
        <v/>
      </c>
      <c r="E185" s="16">
        <f>IF($C185="","",醫護長與管理部班表!$D10)</f>
        <v/>
      </c>
      <c r="F185" s="16">
        <f>IF($C185="","",醫護長與管理部班表!$C10)</f>
        <v/>
      </c>
      <c r="G185" s="16">
        <f>IF($C185="","",醫護長與管理部班表!AF10)</f>
        <v/>
      </c>
      <c r="H185" s="87">
        <f>IF($G185="","",IFERROR(IF(INDEX(設定!$D$6:$D$21,MATCH($G185,設定!$B$6:$B$21,0))=0,"",INDEX(設定!$D$6:$D$21,MATCH($G185,設定!$B$6:$B$21,0))),""))</f>
        <v/>
      </c>
      <c r="I185" s="87">
        <f>IF($G185="","",IFERROR(IF(INDEX(設定!$E$6:$E$21,MATCH($G185,設定!$B$6:$B$21,0))=0,"",INDEX(設定!$E$6:$E$21,MATCH($G185,設定!$B$6:$B$21,0))),""))</f>
        <v/>
      </c>
      <c r="J185" s="87">
        <f>IFERROR(INDEX(打卡匯入!$C$3:$C$502,MATCH($C185&amp;"|"&amp;DAY($A185),打卡匯入!$E$3:$E$502,0)),"")</f>
        <v/>
      </c>
      <c r="K185" s="87">
        <f>IFERROR(INDEX(打卡匯入!$D$3:$D$502,MATCH($C185&amp;"|"&amp;DAY($A185),打卡匯入!$E$3:$E$502,0)),"")</f>
        <v/>
      </c>
      <c r="L185" s="88">
        <f>IF(OR($J185="",$K185=""),"",IFERROR(INDEX(設定!$F$6:$F$21,MATCH($G185,設定!$B$6:$B$21,0)),0))</f>
        <v/>
      </c>
      <c r="M185" s="89">
        <f>IF(OR($J185="",$K185=""),"",ROUND(($K185-$J185)*24-$L185/60,2))</f>
        <v/>
      </c>
      <c r="N185" s="16">
        <f>IF($C185="","",IF(AND(COUNTIF(設定!$B$15:$B$21,$G185)&gt;0,$J185&lt;&gt;""),"假日出勤",IF(AND(COUNTIF(設定!$B$6:$B$14,$G185)&gt;0,$J185=""),"未打卡",IF($J185="","",IF($O185&gt;0,"遲到",IF($P185&gt;0,"早退","正常"))))))</f>
        <v/>
      </c>
      <c r="O185" s="88">
        <f>IF(OR($C185="",$H185="",$J185=""),0,IF(ROUND(($J185-$H185)*1440,0)&gt;設定!$C$48,ROUND(($J185-$H185)*1440,0),0))</f>
        <v/>
      </c>
      <c r="P185" s="88">
        <f>IF(OR($C185="",$I185="",$K185=""),0,IF(ROUND(($I185-$K185)*1440,0)&gt;設定!$C$48,ROUND(($I185-$K185)*1440,0),0))</f>
        <v/>
      </c>
      <c r="Q185" s="89">
        <f>IF($M185="",0,IF(($M185-IFERROR(INDEX(設定!$G$6:$G$21,MATCH($G185,設定!$B$6:$B$21,0)),0))*60&gt;=設定!$C$46,ROUND(FLOOR(($M185-IFERROR(INDEX(設定!$G$6:$G$21,MATCH($G185,設定!$B$6:$B$21,0)),0))*60,設定!$C$47)/60,2),0))</f>
        <v/>
      </c>
      <c r="R185" s="16">
        <f>IF(OR($C185="",$Q185=0),"",IF($G185="國","國定假日",IF($B185="日","例假",IF($B185="六","休息日","平日"))))</f>
        <v/>
      </c>
      <c r="S185" s="18" t="n"/>
    </row>
    <row r="186">
      <c r="A186" s="86">
        <f>IF(OR(醫護長與管理部班表!$A10="",29&gt;DAY(EOMONTH(DATE(設定!$C$2,設定!$D$2,1),0))),"",DATE(設定!$C$2,設定!$D$2,29))</f>
        <v/>
      </c>
      <c r="B186" s="16">
        <f>IF($A186="","",INDEX(設定!$O$6:$O$12,WEEKDAY($A186,1)))</f>
        <v/>
      </c>
      <c r="C186" s="16">
        <f>IF($A186="","",醫護長與管理部班表!$A10)</f>
        <v/>
      </c>
      <c r="D186" s="16">
        <f>IF($C186="","",醫護長與管理部班表!$B10)</f>
        <v/>
      </c>
      <c r="E186" s="16">
        <f>IF($C186="","",醫護長與管理部班表!$D10)</f>
        <v/>
      </c>
      <c r="F186" s="16">
        <f>IF($C186="","",醫護長與管理部班表!$C10)</f>
        <v/>
      </c>
      <c r="G186" s="16">
        <f>IF($C186="","",醫護長與管理部班表!AG10)</f>
        <v/>
      </c>
      <c r="H186" s="87">
        <f>IF($G186="","",IFERROR(IF(INDEX(設定!$D$6:$D$21,MATCH($G186,設定!$B$6:$B$21,0))=0,"",INDEX(設定!$D$6:$D$21,MATCH($G186,設定!$B$6:$B$21,0))),""))</f>
        <v/>
      </c>
      <c r="I186" s="87">
        <f>IF($G186="","",IFERROR(IF(INDEX(設定!$E$6:$E$21,MATCH($G186,設定!$B$6:$B$21,0))=0,"",INDEX(設定!$E$6:$E$21,MATCH($G186,設定!$B$6:$B$21,0))),""))</f>
        <v/>
      </c>
      <c r="J186" s="87">
        <f>IFERROR(INDEX(打卡匯入!$C$3:$C$502,MATCH($C186&amp;"|"&amp;DAY($A186),打卡匯入!$E$3:$E$502,0)),"")</f>
        <v/>
      </c>
      <c r="K186" s="87">
        <f>IFERROR(INDEX(打卡匯入!$D$3:$D$502,MATCH($C186&amp;"|"&amp;DAY($A186),打卡匯入!$E$3:$E$502,0)),"")</f>
        <v/>
      </c>
      <c r="L186" s="88">
        <f>IF(OR($J186="",$K186=""),"",IFERROR(INDEX(設定!$F$6:$F$21,MATCH($G186,設定!$B$6:$B$21,0)),0))</f>
        <v/>
      </c>
      <c r="M186" s="89">
        <f>IF(OR($J186="",$K186=""),"",ROUND(($K186-$J186)*24-$L186/60,2))</f>
        <v/>
      </c>
      <c r="N186" s="16">
        <f>IF($C186="","",IF(AND(COUNTIF(設定!$B$15:$B$21,$G186)&gt;0,$J186&lt;&gt;""),"假日出勤",IF(AND(COUNTIF(設定!$B$6:$B$14,$G186)&gt;0,$J186=""),"未打卡",IF($J186="","",IF($O186&gt;0,"遲到",IF($P186&gt;0,"早退","正常"))))))</f>
        <v/>
      </c>
      <c r="O186" s="88">
        <f>IF(OR($C186="",$H186="",$J186=""),0,IF(ROUND(($J186-$H186)*1440,0)&gt;設定!$C$48,ROUND(($J186-$H186)*1440,0),0))</f>
        <v/>
      </c>
      <c r="P186" s="88">
        <f>IF(OR($C186="",$I186="",$K186=""),0,IF(ROUND(($I186-$K186)*1440,0)&gt;設定!$C$48,ROUND(($I186-$K186)*1440,0),0))</f>
        <v/>
      </c>
      <c r="Q186" s="89">
        <f>IF($M186="",0,IF(($M186-IFERROR(INDEX(設定!$G$6:$G$21,MATCH($G186,設定!$B$6:$B$21,0)),0))*60&gt;=設定!$C$46,ROUND(FLOOR(($M186-IFERROR(INDEX(設定!$G$6:$G$21,MATCH($G186,設定!$B$6:$B$21,0)),0))*60,設定!$C$47)/60,2),0))</f>
        <v/>
      </c>
      <c r="R186" s="16">
        <f>IF(OR($C186="",$Q186=0),"",IF($G186="國","國定假日",IF($B186="日","例假",IF($B186="六","休息日","平日"))))</f>
        <v/>
      </c>
      <c r="S186" s="18" t="n"/>
    </row>
    <row r="187">
      <c r="A187" s="86">
        <f>IF(OR(醫護長與管理部班表!$A10="",30&gt;DAY(EOMONTH(DATE(設定!$C$2,設定!$D$2,1),0))),"",DATE(設定!$C$2,設定!$D$2,30))</f>
        <v/>
      </c>
      <c r="B187" s="16">
        <f>IF($A187="","",INDEX(設定!$O$6:$O$12,WEEKDAY($A187,1)))</f>
        <v/>
      </c>
      <c r="C187" s="16">
        <f>IF($A187="","",醫護長與管理部班表!$A10)</f>
        <v/>
      </c>
      <c r="D187" s="16">
        <f>IF($C187="","",醫護長與管理部班表!$B10)</f>
        <v/>
      </c>
      <c r="E187" s="16">
        <f>IF($C187="","",醫護長與管理部班表!$D10)</f>
        <v/>
      </c>
      <c r="F187" s="16">
        <f>IF($C187="","",醫護長與管理部班表!$C10)</f>
        <v/>
      </c>
      <c r="G187" s="16">
        <f>IF($C187="","",醫護長與管理部班表!AH10)</f>
        <v/>
      </c>
      <c r="H187" s="87">
        <f>IF($G187="","",IFERROR(IF(INDEX(設定!$D$6:$D$21,MATCH($G187,設定!$B$6:$B$21,0))=0,"",INDEX(設定!$D$6:$D$21,MATCH($G187,設定!$B$6:$B$21,0))),""))</f>
        <v/>
      </c>
      <c r="I187" s="87">
        <f>IF($G187="","",IFERROR(IF(INDEX(設定!$E$6:$E$21,MATCH($G187,設定!$B$6:$B$21,0))=0,"",INDEX(設定!$E$6:$E$21,MATCH($G187,設定!$B$6:$B$21,0))),""))</f>
        <v/>
      </c>
      <c r="J187" s="87">
        <f>IFERROR(INDEX(打卡匯入!$C$3:$C$502,MATCH($C187&amp;"|"&amp;DAY($A187),打卡匯入!$E$3:$E$502,0)),"")</f>
        <v/>
      </c>
      <c r="K187" s="87">
        <f>IFERROR(INDEX(打卡匯入!$D$3:$D$502,MATCH($C187&amp;"|"&amp;DAY($A187),打卡匯入!$E$3:$E$502,0)),"")</f>
        <v/>
      </c>
      <c r="L187" s="88">
        <f>IF(OR($J187="",$K187=""),"",IFERROR(INDEX(設定!$F$6:$F$21,MATCH($G187,設定!$B$6:$B$21,0)),0))</f>
        <v/>
      </c>
      <c r="M187" s="89">
        <f>IF(OR($J187="",$K187=""),"",ROUND(($K187-$J187)*24-$L187/60,2))</f>
        <v/>
      </c>
      <c r="N187" s="16">
        <f>IF($C187="","",IF(AND(COUNTIF(設定!$B$15:$B$21,$G187)&gt;0,$J187&lt;&gt;""),"假日出勤",IF(AND(COUNTIF(設定!$B$6:$B$14,$G187)&gt;0,$J187=""),"未打卡",IF($J187="","",IF($O187&gt;0,"遲到",IF($P187&gt;0,"早退","正常"))))))</f>
        <v/>
      </c>
      <c r="O187" s="88">
        <f>IF(OR($C187="",$H187="",$J187=""),0,IF(ROUND(($J187-$H187)*1440,0)&gt;設定!$C$48,ROUND(($J187-$H187)*1440,0),0))</f>
        <v/>
      </c>
      <c r="P187" s="88">
        <f>IF(OR($C187="",$I187="",$K187=""),0,IF(ROUND(($I187-$K187)*1440,0)&gt;設定!$C$48,ROUND(($I187-$K187)*1440,0),0))</f>
        <v/>
      </c>
      <c r="Q187" s="89">
        <f>IF($M187="",0,IF(($M187-IFERROR(INDEX(設定!$G$6:$G$21,MATCH($G187,設定!$B$6:$B$21,0)),0))*60&gt;=設定!$C$46,ROUND(FLOOR(($M187-IFERROR(INDEX(設定!$G$6:$G$21,MATCH($G187,設定!$B$6:$B$21,0)),0))*60,設定!$C$47)/60,2),0))</f>
        <v/>
      </c>
      <c r="R187" s="16">
        <f>IF(OR($C187="",$Q187=0),"",IF($G187="國","國定假日",IF($B187="日","例假",IF($B187="六","休息日","平日"))))</f>
        <v/>
      </c>
      <c r="S187" s="18" t="n"/>
    </row>
    <row r="188">
      <c r="A188" s="86">
        <f>IF(OR(醫護長與管理部班表!$A10="",31&gt;DAY(EOMONTH(DATE(設定!$C$2,設定!$D$2,1),0))),"",DATE(設定!$C$2,設定!$D$2,31))</f>
        <v/>
      </c>
      <c r="B188" s="16">
        <f>IF($A188="","",INDEX(設定!$O$6:$O$12,WEEKDAY($A188,1)))</f>
        <v/>
      </c>
      <c r="C188" s="16">
        <f>IF($A188="","",醫護長與管理部班表!$A10)</f>
        <v/>
      </c>
      <c r="D188" s="16">
        <f>IF($C188="","",醫護長與管理部班表!$B10)</f>
        <v/>
      </c>
      <c r="E188" s="16">
        <f>IF($C188="","",醫護長與管理部班表!$D10)</f>
        <v/>
      </c>
      <c r="F188" s="16">
        <f>IF($C188="","",醫護長與管理部班表!$C10)</f>
        <v/>
      </c>
      <c r="G188" s="16">
        <f>IF($C188="","",醫護長與管理部班表!AI10)</f>
        <v/>
      </c>
      <c r="H188" s="87">
        <f>IF($G188="","",IFERROR(IF(INDEX(設定!$D$6:$D$21,MATCH($G188,設定!$B$6:$B$21,0))=0,"",INDEX(設定!$D$6:$D$21,MATCH($G188,設定!$B$6:$B$21,0))),""))</f>
        <v/>
      </c>
      <c r="I188" s="87">
        <f>IF($G188="","",IFERROR(IF(INDEX(設定!$E$6:$E$21,MATCH($G188,設定!$B$6:$B$21,0))=0,"",INDEX(設定!$E$6:$E$21,MATCH($G188,設定!$B$6:$B$21,0))),""))</f>
        <v/>
      </c>
      <c r="J188" s="87">
        <f>IFERROR(INDEX(打卡匯入!$C$3:$C$502,MATCH($C188&amp;"|"&amp;DAY($A188),打卡匯入!$E$3:$E$502,0)),"")</f>
        <v/>
      </c>
      <c r="K188" s="87">
        <f>IFERROR(INDEX(打卡匯入!$D$3:$D$502,MATCH($C188&amp;"|"&amp;DAY($A188),打卡匯入!$E$3:$E$502,0)),"")</f>
        <v/>
      </c>
      <c r="L188" s="88">
        <f>IF(OR($J188="",$K188=""),"",IFERROR(INDEX(設定!$F$6:$F$21,MATCH($G188,設定!$B$6:$B$21,0)),0))</f>
        <v/>
      </c>
      <c r="M188" s="89">
        <f>IF(OR($J188="",$K188=""),"",ROUND(($K188-$J188)*24-$L188/60,2))</f>
        <v/>
      </c>
      <c r="N188" s="16">
        <f>IF($C188="","",IF(AND(COUNTIF(設定!$B$15:$B$21,$G188)&gt;0,$J188&lt;&gt;""),"假日出勤",IF(AND(COUNTIF(設定!$B$6:$B$14,$G188)&gt;0,$J188=""),"未打卡",IF($J188="","",IF($O188&gt;0,"遲到",IF($P188&gt;0,"早退","正常"))))))</f>
        <v/>
      </c>
      <c r="O188" s="88">
        <f>IF(OR($C188="",$H188="",$J188=""),0,IF(ROUND(($J188-$H188)*1440,0)&gt;設定!$C$48,ROUND(($J188-$H188)*1440,0),0))</f>
        <v/>
      </c>
      <c r="P188" s="88">
        <f>IF(OR($C188="",$I188="",$K188=""),0,IF(ROUND(($I188-$K188)*1440,0)&gt;設定!$C$48,ROUND(($I188-$K188)*1440,0),0))</f>
        <v/>
      </c>
      <c r="Q188" s="89">
        <f>IF($M188="",0,IF(($M188-IFERROR(INDEX(設定!$G$6:$G$21,MATCH($G188,設定!$B$6:$B$21,0)),0))*60&gt;=設定!$C$46,ROUND(FLOOR(($M188-IFERROR(INDEX(設定!$G$6:$G$21,MATCH($G188,設定!$B$6:$B$21,0)),0))*60,設定!$C$47)/60,2),0))</f>
        <v/>
      </c>
      <c r="R188" s="16">
        <f>IF(OR($C188="",$Q188=0),"",IF($G188="國","國定假日",IF($B188="日","例假",IF($B188="六","休息日","平日"))))</f>
        <v/>
      </c>
      <c r="S188" s="18" t="n"/>
    </row>
    <row r="189">
      <c r="A189" s="86">
        <f>IF(OR(醫護長與管理部班表!$A11="",1&gt;DAY(EOMONTH(DATE(設定!$C$2,設定!$D$2,1),0))),"",DATE(設定!$C$2,設定!$D$2,1))</f>
        <v/>
      </c>
      <c r="B189" s="16">
        <f>IF($A189="","",INDEX(設定!$O$6:$O$12,WEEKDAY($A189,1)))</f>
        <v/>
      </c>
      <c r="C189" s="16">
        <f>IF($A189="","",醫護長與管理部班表!$A11)</f>
        <v/>
      </c>
      <c r="D189" s="16">
        <f>IF($C189="","",醫護長與管理部班表!$B11)</f>
        <v/>
      </c>
      <c r="E189" s="16">
        <f>IF($C189="","",醫護長與管理部班表!$D11)</f>
        <v/>
      </c>
      <c r="F189" s="16">
        <f>IF($C189="","",醫護長與管理部班表!$C11)</f>
        <v/>
      </c>
      <c r="G189" s="16">
        <f>IF($C189="","",醫護長與管理部班表!E11)</f>
        <v/>
      </c>
      <c r="H189" s="87">
        <f>IF($G189="","",IFERROR(IF(INDEX(設定!$D$6:$D$21,MATCH($G189,設定!$B$6:$B$21,0))=0,"",INDEX(設定!$D$6:$D$21,MATCH($G189,設定!$B$6:$B$21,0))),""))</f>
        <v/>
      </c>
      <c r="I189" s="87">
        <f>IF($G189="","",IFERROR(IF(INDEX(設定!$E$6:$E$21,MATCH($G189,設定!$B$6:$B$21,0))=0,"",INDEX(設定!$E$6:$E$21,MATCH($G189,設定!$B$6:$B$21,0))),""))</f>
        <v/>
      </c>
      <c r="J189" s="87">
        <f>IFERROR(INDEX(打卡匯入!$C$3:$C$502,MATCH($C189&amp;"|"&amp;DAY($A189),打卡匯入!$E$3:$E$502,0)),"")</f>
        <v/>
      </c>
      <c r="K189" s="87">
        <f>IFERROR(INDEX(打卡匯入!$D$3:$D$502,MATCH($C189&amp;"|"&amp;DAY($A189),打卡匯入!$E$3:$E$502,0)),"")</f>
        <v/>
      </c>
      <c r="L189" s="88">
        <f>IF(OR($J189="",$K189=""),"",IFERROR(INDEX(設定!$F$6:$F$21,MATCH($G189,設定!$B$6:$B$21,0)),0))</f>
        <v/>
      </c>
      <c r="M189" s="89">
        <f>IF(OR($J189="",$K189=""),"",ROUND(($K189-$J189)*24-$L189/60,2))</f>
        <v/>
      </c>
      <c r="N189" s="16">
        <f>IF($C189="","",IF(AND(COUNTIF(設定!$B$15:$B$21,$G189)&gt;0,$J189&lt;&gt;""),"假日出勤",IF(AND(COUNTIF(設定!$B$6:$B$14,$G189)&gt;0,$J189=""),"未打卡",IF($J189="","",IF($O189&gt;0,"遲到",IF($P189&gt;0,"早退","正常"))))))</f>
        <v/>
      </c>
      <c r="O189" s="88">
        <f>IF(OR($C189="",$H189="",$J189=""),0,IF(ROUND(($J189-$H189)*1440,0)&gt;設定!$C$48,ROUND(($J189-$H189)*1440,0),0))</f>
        <v/>
      </c>
      <c r="P189" s="88">
        <f>IF(OR($C189="",$I189="",$K189=""),0,IF(ROUND(($I189-$K189)*1440,0)&gt;設定!$C$48,ROUND(($I189-$K189)*1440,0),0))</f>
        <v/>
      </c>
      <c r="Q189" s="89">
        <f>IF($M189="",0,IF(($M189-IFERROR(INDEX(設定!$G$6:$G$21,MATCH($G189,設定!$B$6:$B$21,0)),0))*60&gt;=設定!$C$46,ROUND(FLOOR(($M189-IFERROR(INDEX(設定!$G$6:$G$21,MATCH($G189,設定!$B$6:$B$21,0)),0))*60,設定!$C$47)/60,2),0))</f>
        <v/>
      </c>
      <c r="R189" s="16">
        <f>IF(OR($C189="",$Q189=0),"",IF($G189="國","國定假日",IF($B189="日","例假",IF($B189="六","休息日","平日"))))</f>
        <v/>
      </c>
      <c r="S189" s="18" t="n"/>
    </row>
    <row r="190">
      <c r="A190" s="86">
        <f>IF(OR(醫護長與管理部班表!$A11="",2&gt;DAY(EOMONTH(DATE(設定!$C$2,設定!$D$2,1),0))),"",DATE(設定!$C$2,設定!$D$2,2))</f>
        <v/>
      </c>
      <c r="B190" s="16">
        <f>IF($A190="","",INDEX(設定!$O$6:$O$12,WEEKDAY($A190,1)))</f>
        <v/>
      </c>
      <c r="C190" s="16">
        <f>IF($A190="","",醫護長與管理部班表!$A11)</f>
        <v/>
      </c>
      <c r="D190" s="16">
        <f>IF($C190="","",醫護長與管理部班表!$B11)</f>
        <v/>
      </c>
      <c r="E190" s="16">
        <f>IF($C190="","",醫護長與管理部班表!$D11)</f>
        <v/>
      </c>
      <c r="F190" s="16">
        <f>IF($C190="","",醫護長與管理部班表!$C11)</f>
        <v/>
      </c>
      <c r="G190" s="16">
        <f>IF($C190="","",醫護長與管理部班表!F11)</f>
        <v/>
      </c>
      <c r="H190" s="87">
        <f>IF($G190="","",IFERROR(IF(INDEX(設定!$D$6:$D$21,MATCH($G190,設定!$B$6:$B$21,0))=0,"",INDEX(設定!$D$6:$D$21,MATCH($G190,設定!$B$6:$B$21,0))),""))</f>
        <v/>
      </c>
      <c r="I190" s="87">
        <f>IF($G190="","",IFERROR(IF(INDEX(設定!$E$6:$E$21,MATCH($G190,設定!$B$6:$B$21,0))=0,"",INDEX(設定!$E$6:$E$21,MATCH($G190,設定!$B$6:$B$21,0))),""))</f>
        <v/>
      </c>
      <c r="J190" s="87">
        <f>IFERROR(INDEX(打卡匯入!$C$3:$C$502,MATCH($C190&amp;"|"&amp;DAY($A190),打卡匯入!$E$3:$E$502,0)),"")</f>
        <v/>
      </c>
      <c r="K190" s="87">
        <f>IFERROR(INDEX(打卡匯入!$D$3:$D$502,MATCH($C190&amp;"|"&amp;DAY($A190),打卡匯入!$E$3:$E$502,0)),"")</f>
        <v/>
      </c>
      <c r="L190" s="88">
        <f>IF(OR($J190="",$K190=""),"",IFERROR(INDEX(設定!$F$6:$F$21,MATCH($G190,設定!$B$6:$B$21,0)),0))</f>
        <v/>
      </c>
      <c r="M190" s="89">
        <f>IF(OR($J190="",$K190=""),"",ROUND(($K190-$J190)*24-$L190/60,2))</f>
        <v/>
      </c>
      <c r="N190" s="16">
        <f>IF($C190="","",IF(AND(COUNTIF(設定!$B$15:$B$21,$G190)&gt;0,$J190&lt;&gt;""),"假日出勤",IF(AND(COUNTIF(設定!$B$6:$B$14,$G190)&gt;0,$J190=""),"未打卡",IF($J190="","",IF($O190&gt;0,"遲到",IF($P190&gt;0,"早退","正常"))))))</f>
        <v/>
      </c>
      <c r="O190" s="88">
        <f>IF(OR($C190="",$H190="",$J190=""),0,IF(ROUND(($J190-$H190)*1440,0)&gt;設定!$C$48,ROUND(($J190-$H190)*1440,0),0))</f>
        <v/>
      </c>
      <c r="P190" s="88">
        <f>IF(OR($C190="",$I190="",$K190=""),0,IF(ROUND(($I190-$K190)*1440,0)&gt;設定!$C$48,ROUND(($I190-$K190)*1440,0),0))</f>
        <v/>
      </c>
      <c r="Q190" s="89">
        <f>IF($M190="",0,IF(($M190-IFERROR(INDEX(設定!$G$6:$G$21,MATCH($G190,設定!$B$6:$B$21,0)),0))*60&gt;=設定!$C$46,ROUND(FLOOR(($M190-IFERROR(INDEX(設定!$G$6:$G$21,MATCH($G190,設定!$B$6:$B$21,0)),0))*60,設定!$C$47)/60,2),0))</f>
        <v/>
      </c>
      <c r="R190" s="16">
        <f>IF(OR($C190="",$Q190=0),"",IF($G190="國","國定假日",IF($B190="日","例假",IF($B190="六","休息日","平日"))))</f>
        <v/>
      </c>
      <c r="S190" s="18" t="n"/>
    </row>
    <row r="191">
      <c r="A191" s="86">
        <f>IF(OR(醫護長與管理部班表!$A11="",3&gt;DAY(EOMONTH(DATE(設定!$C$2,設定!$D$2,1),0))),"",DATE(設定!$C$2,設定!$D$2,3))</f>
        <v/>
      </c>
      <c r="B191" s="16">
        <f>IF($A191="","",INDEX(設定!$O$6:$O$12,WEEKDAY($A191,1)))</f>
        <v/>
      </c>
      <c r="C191" s="16">
        <f>IF($A191="","",醫護長與管理部班表!$A11)</f>
        <v/>
      </c>
      <c r="D191" s="16">
        <f>IF($C191="","",醫護長與管理部班表!$B11)</f>
        <v/>
      </c>
      <c r="E191" s="16">
        <f>IF($C191="","",醫護長與管理部班表!$D11)</f>
        <v/>
      </c>
      <c r="F191" s="16">
        <f>IF($C191="","",醫護長與管理部班表!$C11)</f>
        <v/>
      </c>
      <c r="G191" s="16">
        <f>IF($C191="","",醫護長與管理部班表!G11)</f>
        <v/>
      </c>
      <c r="H191" s="87">
        <f>IF($G191="","",IFERROR(IF(INDEX(設定!$D$6:$D$21,MATCH($G191,設定!$B$6:$B$21,0))=0,"",INDEX(設定!$D$6:$D$21,MATCH($G191,設定!$B$6:$B$21,0))),""))</f>
        <v/>
      </c>
      <c r="I191" s="87">
        <f>IF($G191="","",IFERROR(IF(INDEX(設定!$E$6:$E$21,MATCH($G191,設定!$B$6:$B$21,0))=0,"",INDEX(設定!$E$6:$E$21,MATCH($G191,設定!$B$6:$B$21,0))),""))</f>
        <v/>
      </c>
      <c r="J191" s="87">
        <f>IFERROR(INDEX(打卡匯入!$C$3:$C$502,MATCH($C191&amp;"|"&amp;DAY($A191),打卡匯入!$E$3:$E$502,0)),"")</f>
        <v/>
      </c>
      <c r="K191" s="87">
        <f>IFERROR(INDEX(打卡匯入!$D$3:$D$502,MATCH($C191&amp;"|"&amp;DAY($A191),打卡匯入!$E$3:$E$502,0)),"")</f>
        <v/>
      </c>
      <c r="L191" s="88">
        <f>IF(OR($J191="",$K191=""),"",IFERROR(INDEX(設定!$F$6:$F$21,MATCH($G191,設定!$B$6:$B$21,0)),0))</f>
        <v/>
      </c>
      <c r="M191" s="89">
        <f>IF(OR($J191="",$K191=""),"",ROUND(($K191-$J191)*24-$L191/60,2))</f>
        <v/>
      </c>
      <c r="N191" s="16">
        <f>IF($C191="","",IF(AND(COUNTIF(設定!$B$15:$B$21,$G191)&gt;0,$J191&lt;&gt;""),"假日出勤",IF(AND(COUNTIF(設定!$B$6:$B$14,$G191)&gt;0,$J191=""),"未打卡",IF($J191="","",IF($O191&gt;0,"遲到",IF($P191&gt;0,"早退","正常"))))))</f>
        <v/>
      </c>
      <c r="O191" s="88">
        <f>IF(OR($C191="",$H191="",$J191=""),0,IF(ROUND(($J191-$H191)*1440,0)&gt;設定!$C$48,ROUND(($J191-$H191)*1440,0),0))</f>
        <v/>
      </c>
      <c r="P191" s="88">
        <f>IF(OR($C191="",$I191="",$K191=""),0,IF(ROUND(($I191-$K191)*1440,0)&gt;設定!$C$48,ROUND(($I191-$K191)*1440,0),0))</f>
        <v/>
      </c>
      <c r="Q191" s="89">
        <f>IF($M191="",0,IF(($M191-IFERROR(INDEX(設定!$G$6:$G$21,MATCH($G191,設定!$B$6:$B$21,0)),0))*60&gt;=設定!$C$46,ROUND(FLOOR(($M191-IFERROR(INDEX(設定!$G$6:$G$21,MATCH($G191,設定!$B$6:$B$21,0)),0))*60,設定!$C$47)/60,2),0))</f>
        <v/>
      </c>
      <c r="R191" s="16">
        <f>IF(OR($C191="",$Q191=0),"",IF($G191="國","國定假日",IF($B191="日","例假",IF($B191="六","休息日","平日"))))</f>
        <v/>
      </c>
      <c r="S191" s="18" t="n"/>
    </row>
    <row r="192">
      <c r="A192" s="86">
        <f>IF(OR(醫護長與管理部班表!$A11="",4&gt;DAY(EOMONTH(DATE(設定!$C$2,設定!$D$2,1),0))),"",DATE(設定!$C$2,設定!$D$2,4))</f>
        <v/>
      </c>
      <c r="B192" s="16">
        <f>IF($A192="","",INDEX(設定!$O$6:$O$12,WEEKDAY($A192,1)))</f>
        <v/>
      </c>
      <c r="C192" s="16">
        <f>IF($A192="","",醫護長與管理部班表!$A11)</f>
        <v/>
      </c>
      <c r="D192" s="16">
        <f>IF($C192="","",醫護長與管理部班表!$B11)</f>
        <v/>
      </c>
      <c r="E192" s="16">
        <f>IF($C192="","",醫護長與管理部班表!$D11)</f>
        <v/>
      </c>
      <c r="F192" s="16">
        <f>IF($C192="","",醫護長與管理部班表!$C11)</f>
        <v/>
      </c>
      <c r="G192" s="16">
        <f>IF($C192="","",醫護長與管理部班表!H11)</f>
        <v/>
      </c>
      <c r="H192" s="87">
        <f>IF($G192="","",IFERROR(IF(INDEX(設定!$D$6:$D$21,MATCH($G192,設定!$B$6:$B$21,0))=0,"",INDEX(設定!$D$6:$D$21,MATCH($G192,設定!$B$6:$B$21,0))),""))</f>
        <v/>
      </c>
      <c r="I192" s="87">
        <f>IF($G192="","",IFERROR(IF(INDEX(設定!$E$6:$E$21,MATCH($G192,設定!$B$6:$B$21,0))=0,"",INDEX(設定!$E$6:$E$21,MATCH($G192,設定!$B$6:$B$21,0))),""))</f>
        <v/>
      </c>
      <c r="J192" s="87">
        <f>IFERROR(INDEX(打卡匯入!$C$3:$C$502,MATCH($C192&amp;"|"&amp;DAY($A192),打卡匯入!$E$3:$E$502,0)),"")</f>
        <v/>
      </c>
      <c r="K192" s="87">
        <f>IFERROR(INDEX(打卡匯入!$D$3:$D$502,MATCH($C192&amp;"|"&amp;DAY($A192),打卡匯入!$E$3:$E$502,0)),"")</f>
        <v/>
      </c>
      <c r="L192" s="88">
        <f>IF(OR($J192="",$K192=""),"",IFERROR(INDEX(設定!$F$6:$F$21,MATCH($G192,設定!$B$6:$B$21,0)),0))</f>
        <v/>
      </c>
      <c r="M192" s="89">
        <f>IF(OR($J192="",$K192=""),"",ROUND(($K192-$J192)*24-$L192/60,2))</f>
        <v/>
      </c>
      <c r="N192" s="16">
        <f>IF($C192="","",IF(AND(COUNTIF(設定!$B$15:$B$21,$G192)&gt;0,$J192&lt;&gt;""),"假日出勤",IF(AND(COUNTIF(設定!$B$6:$B$14,$G192)&gt;0,$J192=""),"未打卡",IF($J192="","",IF($O192&gt;0,"遲到",IF($P192&gt;0,"早退","正常"))))))</f>
        <v/>
      </c>
      <c r="O192" s="88">
        <f>IF(OR($C192="",$H192="",$J192=""),0,IF(ROUND(($J192-$H192)*1440,0)&gt;設定!$C$48,ROUND(($J192-$H192)*1440,0),0))</f>
        <v/>
      </c>
      <c r="P192" s="88">
        <f>IF(OR($C192="",$I192="",$K192=""),0,IF(ROUND(($I192-$K192)*1440,0)&gt;設定!$C$48,ROUND(($I192-$K192)*1440,0),0))</f>
        <v/>
      </c>
      <c r="Q192" s="89">
        <f>IF($M192="",0,IF(($M192-IFERROR(INDEX(設定!$G$6:$G$21,MATCH($G192,設定!$B$6:$B$21,0)),0))*60&gt;=設定!$C$46,ROUND(FLOOR(($M192-IFERROR(INDEX(設定!$G$6:$G$21,MATCH($G192,設定!$B$6:$B$21,0)),0))*60,設定!$C$47)/60,2),0))</f>
        <v/>
      </c>
      <c r="R192" s="16">
        <f>IF(OR($C192="",$Q192=0),"",IF($G192="國","國定假日",IF($B192="日","例假",IF($B192="六","休息日","平日"))))</f>
        <v/>
      </c>
      <c r="S192" s="18" t="n"/>
    </row>
    <row r="193">
      <c r="A193" s="86">
        <f>IF(OR(醫護長與管理部班表!$A11="",5&gt;DAY(EOMONTH(DATE(設定!$C$2,設定!$D$2,1),0))),"",DATE(設定!$C$2,設定!$D$2,5))</f>
        <v/>
      </c>
      <c r="B193" s="16">
        <f>IF($A193="","",INDEX(設定!$O$6:$O$12,WEEKDAY($A193,1)))</f>
        <v/>
      </c>
      <c r="C193" s="16">
        <f>IF($A193="","",醫護長與管理部班表!$A11)</f>
        <v/>
      </c>
      <c r="D193" s="16">
        <f>IF($C193="","",醫護長與管理部班表!$B11)</f>
        <v/>
      </c>
      <c r="E193" s="16">
        <f>IF($C193="","",醫護長與管理部班表!$D11)</f>
        <v/>
      </c>
      <c r="F193" s="16">
        <f>IF($C193="","",醫護長與管理部班表!$C11)</f>
        <v/>
      </c>
      <c r="G193" s="16">
        <f>IF($C193="","",醫護長與管理部班表!I11)</f>
        <v/>
      </c>
      <c r="H193" s="87">
        <f>IF($G193="","",IFERROR(IF(INDEX(設定!$D$6:$D$21,MATCH($G193,設定!$B$6:$B$21,0))=0,"",INDEX(設定!$D$6:$D$21,MATCH($G193,設定!$B$6:$B$21,0))),""))</f>
        <v/>
      </c>
      <c r="I193" s="87">
        <f>IF($G193="","",IFERROR(IF(INDEX(設定!$E$6:$E$21,MATCH($G193,設定!$B$6:$B$21,0))=0,"",INDEX(設定!$E$6:$E$21,MATCH($G193,設定!$B$6:$B$21,0))),""))</f>
        <v/>
      </c>
      <c r="J193" s="87">
        <f>IFERROR(INDEX(打卡匯入!$C$3:$C$502,MATCH($C193&amp;"|"&amp;DAY($A193),打卡匯入!$E$3:$E$502,0)),"")</f>
        <v/>
      </c>
      <c r="K193" s="87">
        <f>IFERROR(INDEX(打卡匯入!$D$3:$D$502,MATCH($C193&amp;"|"&amp;DAY($A193),打卡匯入!$E$3:$E$502,0)),"")</f>
        <v/>
      </c>
      <c r="L193" s="88">
        <f>IF(OR($J193="",$K193=""),"",IFERROR(INDEX(設定!$F$6:$F$21,MATCH($G193,設定!$B$6:$B$21,0)),0))</f>
        <v/>
      </c>
      <c r="M193" s="89">
        <f>IF(OR($J193="",$K193=""),"",ROUND(($K193-$J193)*24-$L193/60,2))</f>
        <v/>
      </c>
      <c r="N193" s="16">
        <f>IF($C193="","",IF(AND(COUNTIF(設定!$B$15:$B$21,$G193)&gt;0,$J193&lt;&gt;""),"假日出勤",IF(AND(COUNTIF(設定!$B$6:$B$14,$G193)&gt;0,$J193=""),"未打卡",IF($J193="","",IF($O193&gt;0,"遲到",IF($P193&gt;0,"早退","正常"))))))</f>
        <v/>
      </c>
      <c r="O193" s="88">
        <f>IF(OR($C193="",$H193="",$J193=""),0,IF(ROUND(($J193-$H193)*1440,0)&gt;設定!$C$48,ROUND(($J193-$H193)*1440,0),0))</f>
        <v/>
      </c>
      <c r="P193" s="88">
        <f>IF(OR($C193="",$I193="",$K193=""),0,IF(ROUND(($I193-$K193)*1440,0)&gt;設定!$C$48,ROUND(($I193-$K193)*1440,0),0))</f>
        <v/>
      </c>
      <c r="Q193" s="89">
        <f>IF($M193="",0,IF(($M193-IFERROR(INDEX(設定!$G$6:$G$21,MATCH($G193,設定!$B$6:$B$21,0)),0))*60&gt;=設定!$C$46,ROUND(FLOOR(($M193-IFERROR(INDEX(設定!$G$6:$G$21,MATCH($G193,設定!$B$6:$B$21,0)),0))*60,設定!$C$47)/60,2),0))</f>
        <v/>
      </c>
      <c r="R193" s="16">
        <f>IF(OR($C193="",$Q193=0),"",IF($G193="國","國定假日",IF($B193="日","例假",IF($B193="六","休息日","平日"))))</f>
        <v/>
      </c>
      <c r="S193" s="18" t="n"/>
    </row>
    <row r="194">
      <c r="A194" s="86">
        <f>IF(OR(醫護長與管理部班表!$A11="",6&gt;DAY(EOMONTH(DATE(設定!$C$2,設定!$D$2,1),0))),"",DATE(設定!$C$2,設定!$D$2,6))</f>
        <v/>
      </c>
      <c r="B194" s="16">
        <f>IF($A194="","",INDEX(設定!$O$6:$O$12,WEEKDAY($A194,1)))</f>
        <v/>
      </c>
      <c r="C194" s="16">
        <f>IF($A194="","",醫護長與管理部班表!$A11)</f>
        <v/>
      </c>
      <c r="D194" s="16">
        <f>IF($C194="","",醫護長與管理部班表!$B11)</f>
        <v/>
      </c>
      <c r="E194" s="16">
        <f>IF($C194="","",醫護長與管理部班表!$D11)</f>
        <v/>
      </c>
      <c r="F194" s="16">
        <f>IF($C194="","",醫護長與管理部班表!$C11)</f>
        <v/>
      </c>
      <c r="G194" s="16">
        <f>IF($C194="","",醫護長與管理部班表!J11)</f>
        <v/>
      </c>
      <c r="H194" s="87">
        <f>IF($G194="","",IFERROR(IF(INDEX(設定!$D$6:$D$21,MATCH($G194,設定!$B$6:$B$21,0))=0,"",INDEX(設定!$D$6:$D$21,MATCH($G194,設定!$B$6:$B$21,0))),""))</f>
        <v/>
      </c>
      <c r="I194" s="87">
        <f>IF($G194="","",IFERROR(IF(INDEX(設定!$E$6:$E$21,MATCH($G194,設定!$B$6:$B$21,0))=0,"",INDEX(設定!$E$6:$E$21,MATCH($G194,設定!$B$6:$B$21,0))),""))</f>
        <v/>
      </c>
      <c r="J194" s="87">
        <f>IFERROR(INDEX(打卡匯入!$C$3:$C$502,MATCH($C194&amp;"|"&amp;DAY($A194),打卡匯入!$E$3:$E$502,0)),"")</f>
        <v/>
      </c>
      <c r="K194" s="87">
        <f>IFERROR(INDEX(打卡匯入!$D$3:$D$502,MATCH($C194&amp;"|"&amp;DAY($A194),打卡匯入!$E$3:$E$502,0)),"")</f>
        <v/>
      </c>
      <c r="L194" s="88">
        <f>IF(OR($J194="",$K194=""),"",IFERROR(INDEX(設定!$F$6:$F$21,MATCH($G194,設定!$B$6:$B$21,0)),0))</f>
        <v/>
      </c>
      <c r="M194" s="89">
        <f>IF(OR($J194="",$K194=""),"",ROUND(($K194-$J194)*24-$L194/60,2))</f>
        <v/>
      </c>
      <c r="N194" s="16">
        <f>IF($C194="","",IF(AND(COUNTIF(設定!$B$15:$B$21,$G194)&gt;0,$J194&lt;&gt;""),"假日出勤",IF(AND(COUNTIF(設定!$B$6:$B$14,$G194)&gt;0,$J194=""),"未打卡",IF($J194="","",IF($O194&gt;0,"遲到",IF($P194&gt;0,"早退","正常"))))))</f>
        <v/>
      </c>
      <c r="O194" s="88">
        <f>IF(OR($C194="",$H194="",$J194=""),0,IF(ROUND(($J194-$H194)*1440,0)&gt;設定!$C$48,ROUND(($J194-$H194)*1440,0),0))</f>
        <v/>
      </c>
      <c r="P194" s="88">
        <f>IF(OR($C194="",$I194="",$K194=""),0,IF(ROUND(($I194-$K194)*1440,0)&gt;設定!$C$48,ROUND(($I194-$K194)*1440,0),0))</f>
        <v/>
      </c>
      <c r="Q194" s="89">
        <f>IF($M194="",0,IF(($M194-IFERROR(INDEX(設定!$G$6:$G$21,MATCH($G194,設定!$B$6:$B$21,0)),0))*60&gt;=設定!$C$46,ROUND(FLOOR(($M194-IFERROR(INDEX(設定!$G$6:$G$21,MATCH($G194,設定!$B$6:$B$21,0)),0))*60,設定!$C$47)/60,2),0))</f>
        <v/>
      </c>
      <c r="R194" s="16">
        <f>IF(OR($C194="",$Q194=0),"",IF($G194="國","國定假日",IF($B194="日","例假",IF($B194="六","休息日","平日"))))</f>
        <v/>
      </c>
      <c r="S194" s="18" t="n"/>
    </row>
    <row r="195">
      <c r="A195" s="86">
        <f>IF(OR(醫護長與管理部班表!$A11="",7&gt;DAY(EOMONTH(DATE(設定!$C$2,設定!$D$2,1),0))),"",DATE(設定!$C$2,設定!$D$2,7))</f>
        <v/>
      </c>
      <c r="B195" s="16">
        <f>IF($A195="","",INDEX(設定!$O$6:$O$12,WEEKDAY($A195,1)))</f>
        <v/>
      </c>
      <c r="C195" s="16">
        <f>IF($A195="","",醫護長與管理部班表!$A11)</f>
        <v/>
      </c>
      <c r="D195" s="16">
        <f>IF($C195="","",醫護長與管理部班表!$B11)</f>
        <v/>
      </c>
      <c r="E195" s="16">
        <f>IF($C195="","",醫護長與管理部班表!$D11)</f>
        <v/>
      </c>
      <c r="F195" s="16">
        <f>IF($C195="","",醫護長與管理部班表!$C11)</f>
        <v/>
      </c>
      <c r="G195" s="16">
        <f>IF($C195="","",醫護長與管理部班表!K11)</f>
        <v/>
      </c>
      <c r="H195" s="87">
        <f>IF($G195="","",IFERROR(IF(INDEX(設定!$D$6:$D$21,MATCH($G195,設定!$B$6:$B$21,0))=0,"",INDEX(設定!$D$6:$D$21,MATCH($G195,設定!$B$6:$B$21,0))),""))</f>
        <v/>
      </c>
      <c r="I195" s="87">
        <f>IF($G195="","",IFERROR(IF(INDEX(設定!$E$6:$E$21,MATCH($G195,設定!$B$6:$B$21,0))=0,"",INDEX(設定!$E$6:$E$21,MATCH($G195,設定!$B$6:$B$21,0))),""))</f>
        <v/>
      </c>
      <c r="J195" s="87">
        <f>IFERROR(INDEX(打卡匯入!$C$3:$C$502,MATCH($C195&amp;"|"&amp;DAY($A195),打卡匯入!$E$3:$E$502,0)),"")</f>
        <v/>
      </c>
      <c r="K195" s="87">
        <f>IFERROR(INDEX(打卡匯入!$D$3:$D$502,MATCH($C195&amp;"|"&amp;DAY($A195),打卡匯入!$E$3:$E$502,0)),"")</f>
        <v/>
      </c>
      <c r="L195" s="88">
        <f>IF(OR($J195="",$K195=""),"",IFERROR(INDEX(設定!$F$6:$F$21,MATCH($G195,設定!$B$6:$B$21,0)),0))</f>
        <v/>
      </c>
      <c r="M195" s="89">
        <f>IF(OR($J195="",$K195=""),"",ROUND(($K195-$J195)*24-$L195/60,2))</f>
        <v/>
      </c>
      <c r="N195" s="16">
        <f>IF($C195="","",IF(AND(COUNTIF(設定!$B$15:$B$21,$G195)&gt;0,$J195&lt;&gt;""),"假日出勤",IF(AND(COUNTIF(設定!$B$6:$B$14,$G195)&gt;0,$J195=""),"未打卡",IF($J195="","",IF($O195&gt;0,"遲到",IF($P195&gt;0,"早退","正常"))))))</f>
        <v/>
      </c>
      <c r="O195" s="88">
        <f>IF(OR($C195="",$H195="",$J195=""),0,IF(ROUND(($J195-$H195)*1440,0)&gt;設定!$C$48,ROUND(($J195-$H195)*1440,0),0))</f>
        <v/>
      </c>
      <c r="P195" s="88">
        <f>IF(OR($C195="",$I195="",$K195=""),0,IF(ROUND(($I195-$K195)*1440,0)&gt;設定!$C$48,ROUND(($I195-$K195)*1440,0),0))</f>
        <v/>
      </c>
      <c r="Q195" s="89">
        <f>IF($M195="",0,IF(($M195-IFERROR(INDEX(設定!$G$6:$G$21,MATCH($G195,設定!$B$6:$B$21,0)),0))*60&gt;=設定!$C$46,ROUND(FLOOR(($M195-IFERROR(INDEX(設定!$G$6:$G$21,MATCH($G195,設定!$B$6:$B$21,0)),0))*60,設定!$C$47)/60,2),0))</f>
        <v/>
      </c>
      <c r="R195" s="16">
        <f>IF(OR($C195="",$Q195=0),"",IF($G195="國","國定假日",IF($B195="日","例假",IF($B195="六","休息日","平日"))))</f>
        <v/>
      </c>
      <c r="S195" s="18" t="n"/>
    </row>
    <row r="196">
      <c r="A196" s="86">
        <f>IF(OR(醫護長與管理部班表!$A11="",8&gt;DAY(EOMONTH(DATE(設定!$C$2,設定!$D$2,1),0))),"",DATE(設定!$C$2,設定!$D$2,8))</f>
        <v/>
      </c>
      <c r="B196" s="16">
        <f>IF($A196="","",INDEX(設定!$O$6:$O$12,WEEKDAY($A196,1)))</f>
        <v/>
      </c>
      <c r="C196" s="16">
        <f>IF($A196="","",醫護長與管理部班表!$A11)</f>
        <v/>
      </c>
      <c r="D196" s="16">
        <f>IF($C196="","",醫護長與管理部班表!$B11)</f>
        <v/>
      </c>
      <c r="E196" s="16">
        <f>IF($C196="","",醫護長與管理部班表!$D11)</f>
        <v/>
      </c>
      <c r="F196" s="16">
        <f>IF($C196="","",醫護長與管理部班表!$C11)</f>
        <v/>
      </c>
      <c r="G196" s="16">
        <f>IF($C196="","",醫護長與管理部班表!L11)</f>
        <v/>
      </c>
      <c r="H196" s="87">
        <f>IF($G196="","",IFERROR(IF(INDEX(設定!$D$6:$D$21,MATCH($G196,設定!$B$6:$B$21,0))=0,"",INDEX(設定!$D$6:$D$21,MATCH($G196,設定!$B$6:$B$21,0))),""))</f>
        <v/>
      </c>
      <c r="I196" s="87">
        <f>IF($G196="","",IFERROR(IF(INDEX(設定!$E$6:$E$21,MATCH($G196,設定!$B$6:$B$21,0))=0,"",INDEX(設定!$E$6:$E$21,MATCH($G196,設定!$B$6:$B$21,0))),""))</f>
        <v/>
      </c>
      <c r="J196" s="87">
        <f>IFERROR(INDEX(打卡匯入!$C$3:$C$502,MATCH($C196&amp;"|"&amp;DAY($A196),打卡匯入!$E$3:$E$502,0)),"")</f>
        <v/>
      </c>
      <c r="K196" s="87">
        <f>IFERROR(INDEX(打卡匯入!$D$3:$D$502,MATCH($C196&amp;"|"&amp;DAY($A196),打卡匯入!$E$3:$E$502,0)),"")</f>
        <v/>
      </c>
      <c r="L196" s="88">
        <f>IF(OR($J196="",$K196=""),"",IFERROR(INDEX(設定!$F$6:$F$21,MATCH($G196,設定!$B$6:$B$21,0)),0))</f>
        <v/>
      </c>
      <c r="M196" s="89">
        <f>IF(OR($J196="",$K196=""),"",ROUND(($K196-$J196)*24-$L196/60,2))</f>
        <v/>
      </c>
      <c r="N196" s="16">
        <f>IF($C196="","",IF(AND(COUNTIF(設定!$B$15:$B$21,$G196)&gt;0,$J196&lt;&gt;""),"假日出勤",IF(AND(COUNTIF(設定!$B$6:$B$14,$G196)&gt;0,$J196=""),"未打卡",IF($J196="","",IF($O196&gt;0,"遲到",IF($P196&gt;0,"早退","正常"))))))</f>
        <v/>
      </c>
      <c r="O196" s="88">
        <f>IF(OR($C196="",$H196="",$J196=""),0,IF(ROUND(($J196-$H196)*1440,0)&gt;設定!$C$48,ROUND(($J196-$H196)*1440,0),0))</f>
        <v/>
      </c>
      <c r="P196" s="88">
        <f>IF(OR($C196="",$I196="",$K196=""),0,IF(ROUND(($I196-$K196)*1440,0)&gt;設定!$C$48,ROUND(($I196-$K196)*1440,0),0))</f>
        <v/>
      </c>
      <c r="Q196" s="89">
        <f>IF($M196="",0,IF(($M196-IFERROR(INDEX(設定!$G$6:$G$21,MATCH($G196,設定!$B$6:$B$21,0)),0))*60&gt;=設定!$C$46,ROUND(FLOOR(($M196-IFERROR(INDEX(設定!$G$6:$G$21,MATCH($G196,設定!$B$6:$B$21,0)),0))*60,設定!$C$47)/60,2),0))</f>
        <v/>
      </c>
      <c r="R196" s="16">
        <f>IF(OR($C196="",$Q196=0),"",IF($G196="國","國定假日",IF($B196="日","例假",IF($B196="六","休息日","平日"))))</f>
        <v/>
      </c>
      <c r="S196" s="18" t="n"/>
    </row>
    <row r="197">
      <c r="A197" s="86">
        <f>IF(OR(醫護長與管理部班表!$A11="",9&gt;DAY(EOMONTH(DATE(設定!$C$2,設定!$D$2,1),0))),"",DATE(設定!$C$2,設定!$D$2,9))</f>
        <v/>
      </c>
      <c r="B197" s="16">
        <f>IF($A197="","",INDEX(設定!$O$6:$O$12,WEEKDAY($A197,1)))</f>
        <v/>
      </c>
      <c r="C197" s="16">
        <f>IF($A197="","",醫護長與管理部班表!$A11)</f>
        <v/>
      </c>
      <c r="D197" s="16">
        <f>IF($C197="","",醫護長與管理部班表!$B11)</f>
        <v/>
      </c>
      <c r="E197" s="16">
        <f>IF($C197="","",醫護長與管理部班表!$D11)</f>
        <v/>
      </c>
      <c r="F197" s="16">
        <f>IF($C197="","",醫護長與管理部班表!$C11)</f>
        <v/>
      </c>
      <c r="G197" s="16">
        <f>IF($C197="","",醫護長與管理部班表!M11)</f>
        <v/>
      </c>
      <c r="H197" s="87">
        <f>IF($G197="","",IFERROR(IF(INDEX(設定!$D$6:$D$21,MATCH($G197,設定!$B$6:$B$21,0))=0,"",INDEX(設定!$D$6:$D$21,MATCH($G197,設定!$B$6:$B$21,0))),""))</f>
        <v/>
      </c>
      <c r="I197" s="87">
        <f>IF($G197="","",IFERROR(IF(INDEX(設定!$E$6:$E$21,MATCH($G197,設定!$B$6:$B$21,0))=0,"",INDEX(設定!$E$6:$E$21,MATCH($G197,設定!$B$6:$B$21,0))),""))</f>
        <v/>
      </c>
      <c r="J197" s="87">
        <f>IFERROR(INDEX(打卡匯入!$C$3:$C$502,MATCH($C197&amp;"|"&amp;DAY($A197),打卡匯入!$E$3:$E$502,0)),"")</f>
        <v/>
      </c>
      <c r="K197" s="87">
        <f>IFERROR(INDEX(打卡匯入!$D$3:$D$502,MATCH($C197&amp;"|"&amp;DAY($A197),打卡匯入!$E$3:$E$502,0)),"")</f>
        <v/>
      </c>
      <c r="L197" s="88">
        <f>IF(OR($J197="",$K197=""),"",IFERROR(INDEX(設定!$F$6:$F$21,MATCH($G197,設定!$B$6:$B$21,0)),0))</f>
        <v/>
      </c>
      <c r="M197" s="89">
        <f>IF(OR($J197="",$K197=""),"",ROUND(($K197-$J197)*24-$L197/60,2))</f>
        <v/>
      </c>
      <c r="N197" s="16">
        <f>IF($C197="","",IF(AND(COUNTIF(設定!$B$15:$B$21,$G197)&gt;0,$J197&lt;&gt;""),"假日出勤",IF(AND(COUNTIF(設定!$B$6:$B$14,$G197)&gt;0,$J197=""),"未打卡",IF($J197="","",IF($O197&gt;0,"遲到",IF($P197&gt;0,"早退","正常"))))))</f>
        <v/>
      </c>
      <c r="O197" s="88">
        <f>IF(OR($C197="",$H197="",$J197=""),0,IF(ROUND(($J197-$H197)*1440,0)&gt;設定!$C$48,ROUND(($J197-$H197)*1440,0),0))</f>
        <v/>
      </c>
      <c r="P197" s="88">
        <f>IF(OR($C197="",$I197="",$K197=""),0,IF(ROUND(($I197-$K197)*1440,0)&gt;設定!$C$48,ROUND(($I197-$K197)*1440,0),0))</f>
        <v/>
      </c>
      <c r="Q197" s="89">
        <f>IF($M197="",0,IF(($M197-IFERROR(INDEX(設定!$G$6:$G$21,MATCH($G197,設定!$B$6:$B$21,0)),0))*60&gt;=設定!$C$46,ROUND(FLOOR(($M197-IFERROR(INDEX(設定!$G$6:$G$21,MATCH($G197,設定!$B$6:$B$21,0)),0))*60,設定!$C$47)/60,2),0))</f>
        <v/>
      </c>
      <c r="R197" s="16">
        <f>IF(OR($C197="",$Q197=0),"",IF($G197="國","國定假日",IF($B197="日","例假",IF($B197="六","休息日","平日"))))</f>
        <v/>
      </c>
      <c r="S197" s="18" t="n"/>
    </row>
    <row r="198">
      <c r="A198" s="86">
        <f>IF(OR(醫護長與管理部班表!$A11="",10&gt;DAY(EOMONTH(DATE(設定!$C$2,設定!$D$2,1),0))),"",DATE(設定!$C$2,設定!$D$2,10))</f>
        <v/>
      </c>
      <c r="B198" s="16">
        <f>IF($A198="","",INDEX(設定!$O$6:$O$12,WEEKDAY($A198,1)))</f>
        <v/>
      </c>
      <c r="C198" s="16">
        <f>IF($A198="","",醫護長與管理部班表!$A11)</f>
        <v/>
      </c>
      <c r="D198" s="16">
        <f>IF($C198="","",醫護長與管理部班表!$B11)</f>
        <v/>
      </c>
      <c r="E198" s="16">
        <f>IF($C198="","",醫護長與管理部班表!$D11)</f>
        <v/>
      </c>
      <c r="F198" s="16">
        <f>IF($C198="","",醫護長與管理部班表!$C11)</f>
        <v/>
      </c>
      <c r="G198" s="16">
        <f>IF($C198="","",醫護長與管理部班表!N11)</f>
        <v/>
      </c>
      <c r="H198" s="87">
        <f>IF($G198="","",IFERROR(IF(INDEX(設定!$D$6:$D$21,MATCH($G198,設定!$B$6:$B$21,0))=0,"",INDEX(設定!$D$6:$D$21,MATCH($G198,設定!$B$6:$B$21,0))),""))</f>
        <v/>
      </c>
      <c r="I198" s="87">
        <f>IF($G198="","",IFERROR(IF(INDEX(設定!$E$6:$E$21,MATCH($G198,設定!$B$6:$B$21,0))=0,"",INDEX(設定!$E$6:$E$21,MATCH($G198,設定!$B$6:$B$21,0))),""))</f>
        <v/>
      </c>
      <c r="J198" s="87">
        <f>IFERROR(INDEX(打卡匯入!$C$3:$C$502,MATCH($C198&amp;"|"&amp;DAY($A198),打卡匯入!$E$3:$E$502,0)),"")</f>
        <v/>
      </c>
      <c r="K198" s="87">
        <f>IFERROR(INDEX(打卡匯入!$D$3:$D$502,MATCH($C198&amp;"|"&amp;DAY($A198),打卡匯入!$E$3:$E$502,0)),"")</f>
        <v/>
      </c>
      <c r="L198" s="88">
        <f>IF(OR($J198="",$K198=""),"",IFERROR(INDEX(設定!$F$6:$F$21,MATCH($G198,設定!$B$6:$B$21,0)),0))</f>
        <v/>
      </c>
      <c r="M198" s="89">
        <f>IF(OR($J198="",$K198=""),"",ROUND(($K198-$J198)*24-$L198/60,2))</f>
        <v/>
      </c>
      <c r="N198" s="16">
        <f>IF($C198="","",IF(AND(COUNTIF(設定!$B$15:$B$21,$G198)&gt;0,$J198&lt;&gt;""),"假日出勤",IF(AND(COUNTIF(設定!$B$6:$B$14,$G198)&gt;0,$J198=""),"未打卡",IF($J198="","",IF($O198&gt;0,"遲到",IF($P198&gt;0,"早退","正常"))))))</f>
        <v/>
      </c>
      <c r="O198" s="88">
        <f>IF(OR($C198="",$H198="",$J198=""),0,IF(ROUND(($J198-$H198)*1440,0)&gt;設定!$C$48,ROUND(($J198-$H198)*1440,0),0))</f>
        <v/>
      </c>
      <c r="P198" s="88">
        <f>IF(OR($C198="",$I198="",$K198=""),0,IF(ROUND(($I198-$K198)*1440,0)&gt;設定!$C$48,ROUND(($I198-$K198)*1440,0),0))</f>
        <v/>
      </c>
      <c r="Q198" s="89">
        <f>IF($M198="",0,IF(($M198-IFERROR(INDEX(設定!$G$6:$G$21,MATCH($G198,設定!$B$6:$B$21,0)),0))*60&gt;=設定!$C$46,ROUND(FLOOR(($M198-IFERROR(INDEX(設定!$G$6:$G$21,MATCH($G198,設定!$B$6:$B$21,0)),0))*60,設定!$C$47)/60,2),0))</f>
        <v/>
      </c>
      <c r="R198" s="16">
        <f>IF(OR($C198="",$Q198=0),"",IF($G198="國","國定假日",IF($B198="日","例假",IF($B198="六","休息日","平日"))))</f>
        <v/>
      </c>
      <c r="S198" s="18" t="n"/>
    </row>
    <row r="199">
      <c r="A199" s="86">
        <f>IF(OR(醫護長與管理部班表!$A11="",11&gt;DAY(EOMONTH(DATE(設定!$C$2,設定!$D$2,1),0))),"",DATE(設定!$C$2,設定!$D$2,11))</f>
        <v/>
      </c>
      <c r="B199" s="16">
        <f>IF($A199="","",INDEX(設定!$O$6:$O$12,WEEKDAY($A199,1)))</f>
        <v/>
      </c>
      <c r="C199" s="16">
        <f>IF($A199="","",醫護長與管理部班表!$A11)</f>
        <v/>
      </c>
      <c r="D199" s="16">
        <f>IF($C199="","",醫護長與管理部班表!$B11)</f>
        <v/>
      </c>
      <c r="E199" s="16">
        <f>IF($C199="","",醫護長與管理部班表!$D11)</f>
        <v/>
      </c>
      <c r="F199" s="16">
        <f>IF($C199="","",醫護長與管理部班表!$C11)</f>
        <v/>
      </c>
      <c r="G199" s="16">
        <f>IF($C199="","",醫護長與管理部班表!O11)</f>
        <v/>
      </c>
      <c r="H199" s="87">
        <f>IF($G199="","",IFERROR(IF(INDEX(設定!$D$6:$D$21,MATCH($G199,設定!$B$6:$B$21,0))=0,"",INDEX(設定!$D$6:$D$21,MATCH($G199,設定!$B$6:$B$21,0))),""))</f>
        <v/>
      </c>
      <c r="I199" s="87">
        <f>IF($G199="","",IFERROR(IF(INDEX(設定!$E$6:$E$21,MATCH($G199,設定!$B$6:$B$21,0))=0,"",INDEX(設定!$E$6:$E$21,MATCH($G199,設定!$B$6:$B$21,0))),""))</f>
        <v/>
      </c>
      <c r="J199" s="87">
        <f>IFERROR(INDEX(打卡匯入!$C$3:$C$502,MATCH($C199&amp;"|"&amp;DAY($A199),打卡匯入!$E$3:$E$502,0)),"")</f>
        <v/>
      </c>
      <c r="K199" s="87">
        <f>IFERROR(INDEX(打卡匯入!$D$3:$D$502,MATCH($C199&amp;"|"&amp;DAY($A199),打卡匯入!$E$3:$E$502,0)),"")</f>
        <v/>
      </c>
      <c r="L199" s="88">
        <f>IF(OR($J199="",$K199=""),"",IFERROR(INDEX(設定!$F$6:$F$21,MATCH($G199,設定!$B$6:$B$21,0)),0))</f>
        <v/>
      </c>
      <c r="M199" s="89">
        <f>IF(OR($J199="",$K199=""),"",ROUND(($K199-$J199)*24-$L199/60,2))</f>
        <v/>
      </c>
      <c r="N199" s="16">
        <f>IF($C199="","",IF(AND(COUNTIF(設定!$B$15:$B$21,$G199)&gt;0,$J199&lt;&gt;""),"假日出勤",IF(AND(COUNTIF(設定!$B$6:$B$14,$G199)&gt;0,$J199=""),"未打卡",IF($J199="","",IF($O199&gt;0,"遲到",IF($P199&gt;0,"早退","正常"))))))</f>
        <v/>
      </c>
      <c r="O199" s="88">
        <f>IF(OR($C199="",$H199="",$J199=""),0,IF(ROUND(($J199-$H199)*1440,0)&gt;設定!$C$48,ROUND(($J199-$H199)*1440,0),0))</f>
        <v/>
      </c>
      <c r="P199" s="88">
        <f>IF(OR($C199="",$I199="",$K199=""),0,IF(ROUND(($I199-$K199)*1440,0)&gt;設定!$C$48,ROUND(($I199-$K199)*1440,0),0))</f>
        <v/>
      </c>
      <c r="Q199" s="89">
        <f>IF($M199="",0,IF(($M199-IFERROR(INDEX(設定!$G$6:$G$21,MATCH($G199,設定!$B$6:$B$21,0)),0))*60&gt;=設定!$C$46,ROUND(FLOOR(($M199-IFERROR(INDEX(設定!$G$6:$G$21,MATCH($G199,設定!$B$6:$B$21,0)),0))*60,設定!$C$47)/60,2),0))</f>
        <v/>
      </c>
      <c r="R199" s="16">
        <f>IF(OR($C199="",$Q199=0),"",IF($G199="國","國定假日",IF($B199="日","例假",IF($B199="六","休息日","平日"))))</f>
        <v/>
      </c>
      <c r="S199" s="18" t="n"/>
    </row>
    <row r="200">
      <c r="A200" s="86">
        <f>IF(OR(醫護長與管理部班表!$A11="",12&gt;DAY(EOMONTH(DATE(設定!$C$2,設定!$D$2,1),0))),"",DATE(設定!$C$2,設定!$D$2,12))</f>
        <v/>
      </c>
      <c r="B200" s="16">
        <f>IF($A200="","",INDEX(設定!$O$6:$O$12,WEEKDAY($A200,1)))</f>
        <v/>
      </c>
      <c r="C200" s="16">
        <f>IF($A200="","",醫護長與管理部班表!$A11)</f>
        <v/>
      </c>
      <c r="D200" s="16">
        <f>IF($C200="","",醫護長與管理部班表!$B11)</f>
        <v/>
      </c>
      <c r="E200" s="16">
        <f>IF($C200="","",醫護長與管理部班表!$D11)</f>
        <v/>
      </c>
      <c r="F200" s="16">
        <f>IF($C200="","",醫護長與管理部班表!$C11)</f>
        <v/>
      </c>
      <c r="G200" s="16">
        <f>IF($C200="","",醫護長與管理部班表!P11)</f>
        <v/>
      </c>
      <c r="H200" s="87">
        <f>IF($G200="","",IFERROR(IF(INDEX(設定!$D$6:$D$21,MATCH($G200,設定!$B$6:$B$21,0))=0,"",INDEX(設定!$D$6:$D$21,MATCH($G200,設定!$B$6:$B$21,0))),""))</f>
        <v/>
      </c>
      <c r="I200" s="87">
        <f>IF($G200="","",IFERROR(IF(INDEX(設定!$E$6:$E$21,MATCH($G200,設定!$B$6:$B$21,0))=0,"",INDEX(設定!$E$6:$E$21,MATCH($G200,設定!$B$6:$B$21,0))),""))</f>
        <v/>
      </c>
      <c r="J200" s="87">
        <f>IFERROR(INDEX(打卡匯入!$C$3:$C$502,MATCH($C200&amp;"|"&amp;DAY($A200),打卡匯入!$E$3:$E$502,0)),"")</f>
        <v/>
      </c>
      <c r="K200" s="87">
        <f>IFERROR(INDEX(打卡匯入!$D$3:$D$502,MATCH($C200&amp;"|"&amp;DAY($A200),打卡匯入!$E$3:$E$502,0)),"")</f>
        <v/>
      </c>
      <c r="L200" s="88">
        <f>IF(OR($J200="",$K200=""),"",IFERROR(INDEX(設定!$F$6:$F$21,MATCH($G200,設定!$B$6:$B$21,0)),0))</f>
        <v/>
      </c>
      <c r="M200" s="89">
        <f>IF(OR($J200="",$K200=""),"",ROUND(($K200-$J200)*24-$L200/60,2))</f>
        <v/>
      </c>
      <c r="N200" s="16">
        <f>IF($C200="","",IF(AND(COUNTIF(設定!$B$15:$B$21,$G200)&gt;0,$J200&lt;&gt;""),"假日出勤",IF(AND(COUNTIF(設定!$B$6:$B$14,$G200)&gt;0,$J200=""),"未打卡",IF($J200="","",IF($O200&gt;0,"遲到",IF($P200&gt;0,"早退","正常"))))))</f>
        <v/>
      </c>
      <c r="O200" s="88">
        <f>IF(OR($C200="",$H200="",$J200=""),0,IF(ROUND(($J200-$H200)*1440,0)&gt;設定!$C$48,ROUND(($J200-$H200)*1440,0),0))</f>
        <v/>
      </c>
      <c r="P200" s="88">
        <f>IF(OR($C200="",$I200="",$K200=""),0,IF(ROUND(($I200-$K200)*1440,0)&gt;設定!$C$48,ROUND(($I200-$K200)*1440,0),0))</f>
        <v/>
      </c>
      <c r="Q200" s="89">
        <f>IF($M200="",0,IF(($M200-IFERROR(INDEX(設定!$G$6:$G$21,MATCH($G200,設定!$B$6:$B$21,0)),0))*60&gt;=設定!$C$46,ROUND(FLOOR(($M200-IFERROR(INDEX(設定!$G$6:$G$21,MATCH($G200,設定!$B$6:$B$21,0)),0))*60,設定!$C$47)/60,2),0))</f>
        <v/>
      </c>
      <c r="R200" s="16">
        <f>IF(OR($C200="",$Q200=0),"",IF($G200="國","國定假日",IF($B200="日","例假",IF($B200="六","休息日","平日"))))</f>
        <v/>
      </c>
      <c r="S200" s="18" t="n"/>
    </row>
    <row r="201">
      <c r="A201" s="86">
        <f>IF(OR(醫護長與管理部班表!$A11="",13&gt;DAY(EOMONTH(DATE(設定!$C$2,設定!$D$2,1),0))),"",DATE(設定!$C$2,設定!$D$2,13))</f>
        <v/>
      </c>
      <c r="B201" s="16">
        <f>IF($A201="","",INDEX(設定!$O$6:$O$12,WEEKDAY($A201,1)))</f>
        <v/>
      </c>
      <c r="C201" s="16">
        <f>IF($A201="","",醫護長與管理部班表!$A11)</f>
        <v/>
      </c>
      <c r="D201" s="16">
        <f>IF($C201="","",醫護長與管理部班表!$B11)</f>
        <v/>
      </c>
      <c r="E201" s="16">
        <f>IF($C201="","",醫護長與管理部班表!$D11)</f>
        <v/>
      </c>
      <c r="F201" s="16">
        <f>IF($C201="","",醫護長與管理部班表!$C11)</f>
        <v/>
      </c>
      <c r="G201" s="16">
        <f>IF($C201="","",醫護長與管理部班表!Q11)</f>
        <v/>
      </c>
      <c r="H201" s="87">
        <f>IF($G201="","",IFERROR(IF(INDEX(設定!$D$6:$D$21,MATCH($G201,設定!$B$6:$B$21,0))=0,"",INDEX(設定!$D$6:$D$21,MATCH($G201,設定!$B$6:$B$21,0))),""))</f>
        <v/>
      </c>
      <c r="I201" s="87">
        <f>IF($G201="","",IFERROR(IF(INDEX(設定!$E$6:$E$21,MATCH($G201,設定!$B$6:$B$21,0))=0,"",INDEX(設定!$E$6:$E$21,MATCH($G201,設定!$B$6:$B$21,0))),""))</f>
        <v/>
      </c>
      <c r="J201" s="87">
        <f>IFERROR(INDEX(打卡匯入!$C$3:$C$502,MATCH($C201&amp;"|"&amp;DAY($A201),打卡匯入!$E$3:$E$502,0)),"")</f>
        <v/>
      </c>
      <c r="K201" s="87">
        <f>IFERROR(INDEX(打卡匯入!$D$3:$D$502,MATCH($C201&amp;"|"&amp;DAY($A201),打卡匯入!$E$3:$E$502,0)),"")</f>
        <v/>
      </c>
      <c r="L201" s="88">
        <f>IF(OR($J201="",$K201=""),"",IFERROR(INDEX(設定!$F$6:$F$21,MATCH($G201,設定!$B$6:$B$21,0)),0))</f>
        <v/>
      </c>
      <c r="M201" s="89">
        <f>IF(OR($J201="",$K201=""),"",ROUND(($K201-$J201)*24-$L201/60,2))</f>
        <v/>
      </c>
      <c r="N201" s="16">
        <f>IF($C201="","",IF(AND(COUNTIF(設定!$B$15:$B$21,$G201)&gt;0,$J201&lt;&gt;""),"假日出勤",IF(AND(COUNTIF(設定!$B$6:$B$14,$G201)&gt;0,$J201=""),"未打卡",IF($J201="","",IF($O201&gt;0,"遲到",IF($P201&gt;0,"早退","正常"))))))</f>
        <v/>
      </c>
      <c r="O201" s="88">
        <f>IF(OR($C201="",$H201="",$J201=""),0,IF(ROUND(($J201-$H201)*1440,0)&gt;設定!$C$48,ROUND(($J201-$H201)*1440,0),0))</f>
        <v/>
      </c>
      <c r="P201" s="88">
        <f>IF(OR($C201="",$I201="",$K201=""),0,IF(ROUND(($I201-$K201)*1440,0)&gt;設定!$C$48,ROUND(($I201-$K201)*1440,0),0))</f>
        <v/>
      </c>
      <c r="Q201" s="89">
        <f>IF($M201="",0,IF(($M201-IFERROR(INDEX(設定!$G$6:$G$21,MATCH($G201,設定!$B$6:$B$21,0)),0))*60&gt;=設定!$C$46,ROUND(FLOOR(($M201-IFERROR(INDEX(設定!$G$6:$G$21,MATCH($G201,設定!$B$6:$B$21,0)),0))*60,設定!$C$47)/60,2),0))</f>
        <v/>
      </c>
      <c r="R201" s="16">
        <f>IF(OR($C201="",$Q201=0),"",IF($G201="國","國定假日",IF($B201="日","例假",IF($B201="六","休息日","平日"))))</f>
        <v/>
      </c>
      <c r="S201" s="18" t="n"/>
    </row>
    <row r="202">
      <c r="A202" s="86">
        <f>IF(OR(醫護長與管理部班表!$A11="",14&gt;DAY(EOMONTH(DATE(設定!$C$2,設定!$D$2,1),0))),"",DATE(設定!$C$2,設定!$D$2,14))</f>
        <v/>
      </c>
      <c r="B202" s="16">
        <f>IF($A202="","",INDEX(設定!$O$6:$O$12,WEEKDAY($A202,1)))</f>
        <v/>
      </c>
      <c r="C202" s="16">
        <f>IF($A202="","",醫護長與管理部班表!$A11)</f>
        <v/>
      </c>
      <c r="D202" s="16">
        <f>IF($C202="","",醫護長與管理部班表!$B11)</f>
        <v/>
      </c>
      <c r="E202" s="16">
        <f>IF($C202="","",醫護長與管理部班表!$D11)</f>
        <v/>
      </c>
      <c r="F202" s="16">
        <f>IF($C202="","",醫護長與管理部班表!$C11)</f>
        <v/>
      </c>
      <c r="G202" s="16">
        <f>IF($C202="","",醫護長與管理部班表!R11)</f>
        <v/>
      </c>
      <c r="H202" s="87">
        <f>IF($G202="","",IFERROR(IF(INDEX(設定!$D$6:$D$21,MATCH($G202,設定!$B$6:$B$21,0))=0,"",INDEX(設定!$D$6:$D$21,MATCH($G202,設定!$B$6:$B$21,0))),""))</f>
        <v/>
      </c>
      <c r="I202" s="87">
        <f>IF($G202="","",IFERROR(IF(INDEX(設定!$E$6:$E$21,MATCH($G202,設定!$B$6:$B$21,0))=0,"",INDEX(設定!$E$6:$E$21,MATCH($G202,設定!$B$6:$B$21,0))),""))</f>
        <v/>
      </c>
      <c r="J202" s="87">
        <f>IFERROR(INDEX(打卡匯入!$C$3:$C$502,MATCH($C202&amp;"|"&amp;DAY($A202),打卡匯入!$E$3:$E$502,0)),"")</f>
        <v/>
      </c>
      <c r="K202" s="87">
        <f>IFERROR(INDEX(打卡匯入!$D$3:$D$502,MATCH($C202&amp;"|"&amp;DAY($A202),打卡匯入!$E$3:$E$502,0)),"")</f>
        <v/>
      </c>
      <c r="L202" s="88">
        <f>IF(OR($J202="",$K202=""),"",IFERROR(INDEX(設定!$F$6:$F$21,MATCH($G202,設定!$B$6:$B$21,0)),0))</f>
        <v/>
      </c>
      <c r="M202" s="89">
        <f>IF(OR($J202="",$K202=""),"",ROUND(($K202-$J202)*24-$L202/60,2))</f>
        <v/>
      </c>
      <c r="N202" s="16">
        <f>IF($C202="","",IF(AND(COUNTIF(設定!$B$15:$B$21,$G202)&gt;0,$J202&lt;&gt;""),"假日出勤",IF(AND(COUNTIF(設定!$B$6:$B$14,$G202)&gt;0,$J202=""),"未打卡",IF($J202="","",IF($O202&gt;0,"遲到",IF($P202&gt;0,"早退","正常"))))))</f>
        <v/>
      </c>
      <c r="O202" s="88">
        <f>IF(OR($C202="",$H202="",$J202=""),0,IF(ROUND(($J202-$H202)*1440,0)&gt;設定!$C$48,ROUND(($J202-$H202)*1440,0),0))</f>
        <v/>
      </c>
      <c r="P202" s="88">
        <f>IF(OR($C202="",$I202="",$K202=""),0,IF(ROUND(($I202-$K202)*1440,0)&gt;設定!$C$48,ROUND(($I202-$K202)*1440,0),0))</f>
        <v/>
      </c>
      <c r="Q202" s="89">
        <f>IF($M202="",0,IF(($M202-IFERROR(INDEX(設定!$G$6:$G$21,MATCH($G202,設定!$B$6:$B$21,0)),0))*60&gt;=設定!$C$46,ROUND(FLOOR(($M202-IFERROR(INDEX(設定!$G$6:$G$21,MATCH($G202,設定!$B$6:$B$21,0)),0))*60,設定!$C$47)/60,2),0))</f>
        <v/>
      </c>
      <c r="R202" s="16">
        <f>IF(OR($C202="",$Q202=0),"",IF($G202="國","國定假日",IF($B202="日","例假",IF($B202="六","休息日","平日"))))</f>
        <v/>
      </c>
      <c r="S202" s="18" t="n"/>
    </row>
    <row r="203">
      <c r="A203" s="86">
        <f>IF(OR(醫護長與管理部班表!$A11="",15&gt;DAY(EOMONTH(DATE(設定!$C$2,設定!$D$2,1),0))),"",DATE(設定!$C$2,設定!$D$2,15))</f>
        <v/>
      </c>
      <c r="B203" s="16">
        <f>IF($A203="","",INDEX(設定!$O$6:$O$12,WEEKDAY($A203,1)))</f>
        <v/>
      </c>
      <c r="C203" s="16">
        <f>IF($A203="","",醫護長與管理部班表!$A11)</f>
        <v/>
      </c>
      <c r="D203" s="16">
        <f>IF($C203="","",醫護長與管理部班表!$B11)</f>
        <v/>
      </c>
      <c r="E203" s="16">
        <f>IF($C203="","",醫護長與管理部班表!$D11)</f>
        <v/>
      </c>
      <c r="F203" s="16">
        <f>IF($C203="","",醫護長與管理部班表!$C11)</f>
        <v/>
      </c>
      <c r="G203" s="16">
        <f>IF($C203="","",醫護長與管理部班表!S11)</f>
        <v/>
      </c>
      <c r="H203" s="87">
        <f>IF($G203="","",IFERROR(IF(INDEX(設定!$D$6:$D$21,MATCH($G203,設定!$B$6:$B$21,0))=0,"",INDEX(設定!$D$6:$D$21,MATCH($G203,設定!$B$6:$B$21,0))),""))</f>
        <v/>
      </c>
      <c r="I203" s="87">
        <f>IF($G203="","",IFERROR(IF(INDEX(設定!$E$6:$E$21,MATCH($G203,設定!$B$6:$B$21,0))=0,"",INDEX(設定!$E$6:$E$21,MATCH($G203,設定!$B$6:$B$21,0))),""))</f>
        <v/>
      </c>
      <c r="J203" s="87">
        <f>IFERROR(INDEX(打卡匯入!$C$3:$C$502,MATCH($C203&amp;"|"&amp;DAY($A203),打卡匯入!$E$3:$E$502,0)),"")</f>
        <v/>
      </c>
      <c r="K203" s="87">
        <f>IFERROR(INDEX(打卡匯入!$D$3:$D$502,MATCH($C203&amp;"|"&amp;DAY($A203),打卡匯入!$E$3:$E$502,0)),"")</f>
        <v/>
      </c>
      <c r="L203" s="88">
        <f>IF(OR($J203="",$K203=""),"",IFERROR(INDEX(設定!$F$6:$F$21,MATCH($G203,設定!$B$6:$B$21,0)),0))</f>
        <v/>
      </c>
      <c r="M203" s="89">
        <f>IF(OR($J203="",$K203=""),"",ROUND(($K203-$J203)*24-$L203/60,2))</f>
        <v/>
      </c>
      <c r="N203" s="16">
        <f>IF($C203="","",IF(AND(COUNTIF(設定!$B$15:$B$21,$G203)&gt;0,$J203&lt;&gt;""),"假日出勤",IF(AND(COUNTIF(設定!$B$6:$B$14,$G203)&gt;0,$J203=""),"未打卡",IF($J203="","",IF($O203&gt;0,"遲到",IF($P203&gt;0,"早退","正常"))))))</f>
        <v/>
      </c>
      <c r="O203" s="88">
        <f>IF(OR($C203="",$H203="",$J203=""),0,IF(ROUND(($J203-$H203)*1440,0)&gt;設定!$C$48,ROUND(($J203-$H203)*1440,0),0))</f>
        <v/>
      </c>
      <c r="P203" s="88">
        <f>IF(OR($C203="",$I203="",$K203=""),0,IF(ROUND(($I203-$K203)*1440,0)&gt;設定!$C$48,ROUND(($I203-$K203)*1440,0),0))</f>
        <v/>
      </c>
      <c r="Q203" s="89">
        <f>IF($M203="",0,IF(($M203-IFERROR(INDEX(設定!$G$6:$G$21,MATCH($G203,設定!$B$6:$B$21,0)),0))*60&gt;=設定!$C$46,ROUND(FLOOR(($M203-IFERROR(INDEX(設定!$G$6:$G$21,MATCH($G203,設定!$B$6:$B$21,0)),0))*60,設定!$C$47)/60,2),0))</f>
        <v/>
      </c>
      <c r="R203" s="16">
        <f>IF(OR($C203="",$Q203=0),"",IF($G203="國","國定假日",IF($B203="日","例假",IF($B203="六","休息日","平日"))))</f>
        <v/>
      </c>
      <c r="S203" s="18" t="n"/>
    </row>
    <row r="204">
      <c r="A204" s="86">
        <f>IF(OR(醫護長與管理部班表!$A11="",16&gt;DAY(EOMONTH(DATE(設定!$C$2,設定!$D$2,1),0))),"",DATE(設定!$C$2,設定!$D$2,16))</f>
        <v/>
      </c>
      <c r="B204" s="16">
        <f>IF($A204="","",INDEX(設定!$O$6:$O$12,WEEKDAY($A204,1)))</f>
        <v/>
      </c>
      <c r="C204" s="16">
        <f>IF($A204="","",醫護長與管理部班表!$A11)</f>
        <v/>
      </c>
      <c r="D204" s="16">
        <f>IF($C204="","",醫護長與管理部班表!$B11)</f>
        <v/>
      </c>
      <c r="E204" s="16">
        <f>IF($C204="","",醫護長與管理部班表!$D11)</f>
        <v/>
      </c>
      <c r="F204" s="16">
        <f>IF($C204="","",醫護長與管理部班表!$C11)</f>
        <v/>
      </c>
      <c r="G204" s="16">
        <f>IF($C204="","",醫護長與管理部班表!T11)</f>
        <v/>
      </c>
      <c r="H204" s="87">
        <f>IF($G204="","",IFERROR(IF(INDEX(設定!$D$6:$D$21,MATCH($G204,設定!$B$6:$B$21,0))=0,"",INDEX(設定!$D$6:$D$21,MATCH($G204,設定!$B$6:$B$21,0))),""))</f>
        <v/>
      </c>
      <c r="I204" s="87">
        <f>IF($G204="","",IFERROR(IF(INDEX(設定!$E$6:$E$21,MATCH($G204,設定!$B$6:$B$21,0))=0,"",INDEX(設定!$E$6:$E$21,MATCH($G204,設定!$B$6:$B$21,0))),""))</f>
        <v/>
      </c>
      <c r="J204" s="87">
        <f>IFERROR(INDEX(打卡匯入!$C$3:$C$502,MATCH($C204&amp;"|"&amp;DAY($A204),打卡匯入!$E$3:$E$502,0)),"")</f>
        <v/>
      </c>
      <c r="K204" s="87">
        <f>IFERROR(INDEX(打卡匯入!$D$3:$D$502,MATCH($C204&amp;"|"&amp;DAY($A204),打卡匯入!$E$3:$E$502,0)),"")</f>
        <v/>
      </c>
      <c r="L204" s="88">
        <f>IF(OR($J204="",$K204=""),"",IFERROR(INDEX(設定!$F$6:$F$21,MATCH($G204,設定!$B$6:$B$21,0)),0))</f>
        <v/>
      </c>
      <c r="M204" s="89">
        <f>IF(OR($J204="",$K204=""),"",ROUND(($K204-$J204)*24-$L204/60,2))</f>
        <v/>
      </c>
      <c r="N204" s="16">
        <f>IF($C204="","",IF(AND(COUNTIF(設定!$B$15:$B$21,$G204)&gt;0,$J204&lt;&gt;""),"假日出勤",IF(AND(COUNTIF(設定!$B$6:$B$14,$G204)&gt;0,$J204=""),"未打卡",IF($J204="","",IF($O204&gt;0,"遲到",IF($P204&gt;0,"早退","正常"))))))</f>
        <v/>
      </c>
      <c r="O204" s="88">
        <f>IF(OR($C204="",$H204="",$J204=""),0,IF(ROUND(($J204-$H204)*1440,0)&gt;設定!$C$48,ROUND(($J204-$H204)*1440,0),0))</f>
        <v/>
      </c>
      <c r="P204" s="88">
        <f>IF(OR($C204="",$I204="",$K204=""),0,IF(ROUND(($I204-$K204)*1440,0)&gt;設定!$C$48,ROUND(($I204-$K204)*1440,0),0))</f>
        <v/>
      </c>
      <c r="Q204" s="89">
        <f>IF($M204="",0,IF(($M204-IFERROR(INDEX(設定!$G$6:$G$21,MATCH($G204,設定!$B$6:$B$21,0)),0))*60&gt;=設定!$C$46,ROUND(FLOOR(($M204-IFERROR(INDEX(設定!$G$6:$G$21,MATCH($G204,設定!$B$6:$B$21,0)),0))*60,設定!$C$47)/60,2),0))</f>
        <v/>
      </c>
      <c r="R204" s="16">
        <f>IF(OR($C204="",$Q204=0),"",IF($G204="國","國定假日",IF($B204="日","例假",IF($B204="六","休息日","平日"))))</f>
        <v/>
      </c>
      <c r="S204" s="18" t="n"/>
    </row>
    <row r="205">
      <c r="A205" s="86">
        <f>IF(OR(醫護長與管理部班表!$A11="",17&gt;DAY(EOMONTH(DATE(設定!$C$2,設定!$D$2,1),0))),"",DATE(設定!$C$2,設定!$D$2,17))</f>
        <v/>
      </c>
      <c r="B205" s="16">
        <f>IF($A205="","",INDEX(設定!$O$6:$O$12,WEEKDAY($A205,1)))</f>
        <v/>
      </c>
      <c r="C205" s="16">
        <f>IF($A205="","",醫護長與管理部班表!$A11)</f>
        <v/>
      </c>
      <c r="D205" s="16">
        <f>IF($C205="","",醫護長與管理部班表!$B11)</f>
        <v/>
      </c>
      <c r="E205" s="16">
        <f>IF($C205="","",醫護長與管理部班表!$D11)</f>
        <v/>
      </c>
      <c r="F205" s="16">
        <f>IF($C205="","",醫護長與管理部班表!$C11)</f>
        <v/>
      </c>
      <c r="G205" s="16">
        <f>IF($C205="","",醫護長與管理部班表!U11)</f>
        <v/>
      </c>
      <c r="H205" s="87">
        <f>IF($G205="","",IFERROR(IF(INDEX(設定!$D$6:$D$21,MATCH($G205,設定!$B$6:$B$21,0))=0,"",INDEX(設定!$D$6:$D$21,MATCH($G205,設定!$B$6:$B$21,0))),""))</f>
        <v/>
      </c>
      <c r="I205" s="87">
        <f>IF($G205="","",IFERROR(IF(INDEX(設定!$E$6:$E$21,MATCH($G205,設定!$B$6:$B$21,0))=0,"",INDEX(設定!$E$6:$E$21,MATCH($G205,設定!$B$6:$B$21,0))),""))</f>
        <v/>
      </c>
      <c r="J205" s="87">
        <f>IFERROR(INDEX(打卡匯入!$C$3:$C$502,MATCH($C205&amp;"|"&amp;DAY($A205),打卡匯入!$E$3:$E$502,0)),"")</f>
        <v/>
      </c>
      <c r="K205" s="87">
        <f>IFERROR(INDEX(打卡匯入!$D$3:$D$502,MATCH($C205&amp;"|"&amp;DAY($A205),打卡匯入!$E$3:$E$502,0)),"")</f>
        <v/>
      </c>
      <c r="L205" s="88">
        <f>IF(OR($J205="",$K205=""),"",IFERROR(INDEX(設定!$F$6:$F$21,MATCH($G205,設定!$B$6:$B$21,0)),0))</f>
        <v/>
      </c>
      <c r="M205" s="89">
        <f>IF(OR($J205="",$K205=""),"",ROUND(($K205-$J205)*24-$L205/60,2))</f>
        <v/>
      </c>
      <c r="N205" s="16">
        <f>IF($C205="","",IF(AND(COUNTIF(設定!$B$15:$B$21,$G205)&gt;0,$J205&lt;&gt;""),"假日出勤",IF(AND(COUNTIF(設定!$B$6:$B$14,$G205)&gt;0,$J205=""),"未打卡",IF($J205="","",IF($O205&gt;0,"遲到",IF($P205&gt;0,"早退","正常"))))))</f>
        <v/>
      </c>
      <c r="O205" s="88">
        <f>IF(OR($C205="",$H205="",$J205=""),0,IF(ROUND(($J205-$H205)*1440,0)&gt;設定!$C$48,ROUND(($J205-$H205)*1440,0),0))</f>
        <v/>
      </c>
      <c r="P205" s="88">
        <f>IF(OR($C205="",$I205="",$K205=""),0,IF(ROUND(($I205-$K205)*1440,0)&gt;設定!$C$48,ROUND(($I205-$K205)*1440,0),0))</f>
        <v/>
      </c>
      <c r="Q205" s="89">
        <f>IF($M205="",0,IF(($M205-IFERROR(INDEX(設定!$G$6:$G$21,MATCH($G205,設定!$B$6:$B$21,0)),0))*60&gt;=設定!$C$46,ROUND(FLOOR(($M205-IFERROR(INDEX(設定!$G$6:$G$21,MATCH($G205,設定!$B$6:$B$21,0)),0))*60,設定!$C$47)/60,2),0))</f>
        <v/>
      </c>
      <c r="R205" s="16">
        <f>IF(OR($C205="",$Q205=0),"",IF($G205="國","國定假日",IF($B205="日","例假",IF($B205="六","休息日","平日"))))</f>
        <v/>
      </c>
      <c r="S205" s="18" t="n"/>
    </row>
    <row r="206">
      <c r="A206" s="86">
        <f>IF(OR(醫護長與管理部班表!$A11="",18&gt;DAY(EOMONTH(DATE(設定!$C$2,設定!$D$2,1),0))),"",DATE(設定!$C$2,設定!$D$2,18))</f>
        <v/>
      </c>
      <c r="B206" s="16">
        <f>IF($A206="","",INDEX(設定!$O$6:$O$12,WEEKDAY($A206,1)))</f>
        <v/>
      </c>
      <c r="C206" s="16">
        <f>IF($A206="","",醫護長與管理部班表!$A11)</f>
        <v/>
      </c>
      <c r="D206" s="16">
        <f>IF($C206="","",醫護長與管理部班表!$B11)</f>
        <v/>
      </c>
      <c r="E206" s="16">
        <f>IF($C206="","",醫護長與管理部班表!$D11)</f>
        <v/>
      </c>
      <c r="F206" s="16">
        <f>IF($C206="","",醫護長與管理部班表!$C11)</f>
        <v/>
      </c>
      <c r="G206" s="16">
        <f>IF($C206="","",醫護長與管理部班表!V11)</f>
        <v/>
      </c>
      <c r="H206" s="87">
        <f>IF($G206="","",IFERROR(IF(INDEX(設定!$D$6:$D$21,MATCH($G206,設定!$B$6:$B$21,0))=0,"",INDEX(設定!$D$6:$D$21,MATCH($G206,設定!$B$6:$B$21,0))),""))</f>
        <v/>
      </c>
      <c r="I206" s="87">
        <f>IF($G206="","",IFERROR(IF(INDEX(設定!$E$6:$E$21,MATCH($G206,設定!$B$6:$B$21,0))=0,"",INDEX(設定!$E$6:$E$21,MATCH($G206,設定!$B$6:$B$21,0))),""))</f>
        <v/>
      </c>
      <c r="J206" s="87">
        <f>IFERROR(INDEX(打卡匯入!$C$3:$C$502,MATCH($C206&amp;"|"&amp;DAY($A206),打卡匯入!$E$3:$E$502,0)),"")</f>
        <v/>
      </c>
      <c r="K206" s="87">
        <f>IFERROR(INDEX(打卡匯入!$D$3:$D$502,MATCH($C206&amp;"|"&amp;DAY($A206),打卡匯入!$E$3:$E$502,0)),"")</f>
        <v/>
      </c>
      <c r="L206" s="88">
        <f>IF(OR($J206="",$K206=""),"",IFERROR(INDEX(設定!$F$6:$F$21,MATCH($G206,設定!$B$6:$B$21,0)),0))</f>
        <v/>
      </c>
      <c r="M206" s="89">
        <f>IF(OR($J206="",$K206=""),"",ROUND(($K206-$J206)*24-$L206/60,2))</f>
        <v/>
      </c>
      <c r="N206" s="16">
        <f>IF($C206="","",IF(AND(COUNTIF(設定!$B$15:$B$21,$G206)&gt;0,$J206&lt;&gt;""),"假日出勤",IF(AND(COUNTIF(設定!$B$6:$B$14,$G206)&gt;0,$J206=""),"未打卡",IF($J206="","",IF($O206&gt;0,"遲到",IF($P206&gt;0,"早退","正常"))))))</f>
        <v/>
      </c>
      <c r="O206" s="88">
        <f>IF(OR($C206="",$H206="",$J206=""),0,IF(ROUND(($J206-$H206)*1440,0)&gt;設定!$C$48,ROUND(($J206-$H206)*1440,0),0))</f>
        <v/>
      </c>
      <c r="P206" s="88">
        <f>IF(OR($C206="",$I206="",$K206=""),0,IF(ROUND(($I206-$K206)*1440,0)&gt;設定!$C$48,ROUND(($I206-$K206)*1440,0),0))</f>
        <v/>
      </c>
      <c r="Q206" s="89">
        <f>IF($M206="",0,IF(($M206-IFERROR(INDEX(設定!$G$6:$G$21,MATCH($G206,設定!$B$6:$B$21,0)),0))*60&gt;=設定!$C$46,ROUND(FLOOR(($M206-IFERROR(INDEX(設定!$G$6:$G$21,MATCH($G206,設定!$B$6:$B$21,0)),0))*60,設定!$C$47)/60,2),0))</f>
        <v/>
      </c>
      <c r="R206" s="16">
        <f>IF(OR($C206="",$Q206=0),"",IF($G206="國","國定假日",IF($B206="日","例假",IF($B206="六","休息日","平日"))))</f>
        <v/>
      </c>
      <c r="S206" s="18" t="n"/>
    </row>
    <row r="207">
      <c r="A207" s="86">
        <f>IF(OR(醫護長與管理部班表!$A11="",19&gt;DAY(EOMONTH(DATE(設定!$C$2,設定!$D$2,1),0))),"",DATE(設定!$C$2,設定!$D$2,19))</f>
        <v/>
      </c>
      <c r="B207" s="16">
        <f>IF($A207="","",INDEX(設定!$O$6:$O$12,WEEKDAY($A207,1)))</f>
        <v/>
      </c>
      <c r="C207" s="16">
        <f>IF($A207="","",醫護長與管理部班表!$A11)</f>
        <v/>
      </c>
      <c r="D207" s="16">
        <f>IF($C207="","",醫護長與管理部班表!$B11)</f>
        <v/>
      </c>
      <c r="E207" s="16">
        <f>IF($C207="","",醫護長與管理部班表!$D11)</f>
        <v/>
      </c>
      <c r="F207" s="16">
        <f>IF($C207="","",醫護長與管理部班表!$C11)</f>
        <v/>
      </c>
      <c r="G207" s="16">
        <f>IF($C207="","",醫護長與管理部班表!W11)</f>
        <v/>
      </c>
      <c r="H207" s="87">
        <f>IF($G207="","",IFERROR(IF(INDEX(設定!$D$6:$D$21,MATCH($G207,設定!$B$6:$B$21,0))=0,"",INDEX(設定!$D$6:$D$21,MATCH($G207,設定!$B$6:$B$21,0))),""))</f>
        <v/>
      </c>
      <c r="I207" s="87">
        <f>IF($G207="","",IFERROR(IF(INDEX(設定!$E$6:$E$21,MATCH($G207,設定!$B$6:$B$21,0))=0,"",INDEX(設定!$E$6:$E$21,MATCH($G207,設定!$B$6:$B$21,0))),""))</f>
        <v/>
      </c>
      <c r="J207" s="87">
        <f>IFERROR(INDEX(打卡匯入!$C$3:$C$502,MATCH($C207&amp;"|"&amp;DAY($A207),打卡匯入!$E$3:$E$502,0)),"")</f>
        <v/>
      </c>
      <c r="K207" s="87">
        <f>IFERROR(INDEX(打卡匯入!$D$3:$D$502,MATCH($C207&amp;"|"&amp;DAY($A207),打卡匯入!$E$3:$E$502,0)),"")</f>
        <v/>
      </c>
      <c r="L207" s="88">
        <f>IF(OR($J207="",$K207=""),"",IFERROR(INDEX(設定!$F$6:$F$21,MATCH($G207,設定!$B$6:$B$21,0)),0))</f>
        <v/>
      </c>
      <c r="M207" s="89">
        <f>IF(OR($J207="",$K207=""),"",ROUND(($K207-$J207)*24-$L207/60,2))</f>
        <v/>
      </c>
      <c r="N207" s="16">
        <f>IF($C207="","",IF(AND(COUNTIF(設定!$B$15:$B$21,$G207)&gt;0,$J207&lt;&gt;""),"假日出勤",IF(AND(COUNTIF(設定!$B$6:$B$14,$G207)&gt;0,$J207=""),"未打卡",IF($J207="","",IF($O207&gt;0,"遲到",IF($P207&gt;0,"早退","正常"))))))</f>
        <v/>
      </c>
      <c r="O207" s="88">
        <f>IF(OR($C207="",$H207="",$J207=""),0,IF(ROUND(($J207-$H207)*1440,0)&gt;設定!$C$48,ROUND(($J207-$H207)*1440,0),0))</f>
        <v/>
      </c>
      <c r="P207" s="88">
        <f>IF(OR($C207="",$I207="",$K207=""),0,IF(ROUND(($I207-$K207)*1440,0)&gt;設定!$C$48,ROUND(($I207-$K207)*1440,0),0))</f>
        <v/>
      </c>
      <c r="Q207" s="89">
        <f>IF($M207="",0,IF(($M207-IFERROR(INDEX(設定!$G$6:$G$21,MATCH($G207,設定!$B$6:$B$21,0)),0))*60&gt;=設定!$C$46,ROUND(FLOOR(($M207-IFERROR(INDEX(設定!$G$6:$G$21,MATCH($G207,設定!$B$6:$B$21,0)),0))*60,設定!$C$47)/60,2),0))</f>
        <v/>
      </c>
      <c r="R207" s="16">
        <f>IF(OR($C207="",$Q207=0),"",IF($G207="國","國定假日",IF($B207="日","例假",IF($B207="六","休息日","平日"))))</f>
        <v/>
      </c>
      <c r="S207" s="18" t="n"/>
    </row>
    <row r="208">
      <c r="A208" s="86">
        <f>IF(OR(醫護長與管理部班表!$A11="",20&gt;DAY(EOMONTH(DATE(設定!$C$2,設定!$D$2,1),0))),"",DATE(設定!$C$2,設定!$D$2,20))</f>
        <v/>
      </c>
      <c r="B208" s="16">
        <f>IF($A208="","",INDEX(設定!$O$6:$O$12,WEEKDAY($A208,1)))</f>
        <v/>
      </c>
      <c r="C208" s="16">
        <f>IF($A208="","",醫護長與管理部班表!$A11)</f>
        <v/>
      </c>
      <c r="D208" s="16">
        <f>IF($C208="","",醫護長與管理部班表!$B11)</f>
        <v/>
      </c>
      <c r="E208" s="16">
        <f>IF($C208="","",醫護長與管理部班表!$D11)</f>
        <v/>
      </c>
      <c r="F208" s="16">
        <f>IF($C208="","",醫護長與管理部班表!$C11)</f>
        <v/>
      </c>
      <c r="G208" s="16">
        <f>IF($C208="","",醫護長與管理部班表!X11)</f>
        <v/>
      </c>
      <c r="H208" s="87">
        <f>IF($G208="","",IFERROR(IF(INDEX(設定!$D$6:$D$21,MATCH($G208,設定!$B$6:$B$21,0))=0,"",INDEX(設定!$D$6:$D$21,MATCH($G208,設定!$B$6:$B$21,0))),""))</f>
        <v/>
      </c>
      <c r="I208" s="87">
        <f>IF($G208="","",IFERROR(IF(INDEX(設定!$E$6:$E$21,MATCH($G208,設定!$B$6:$B$21,0))=0,"",INDEX(設定!$E$6:$E$21,MATCH($G208,設定!$B$6:$B$21,0))),""))</f>
        <v/>
      </c>
      <c r="J208" s="87">
        <f>IFERROR(INDEX(打卡匯入!$C$3:$C$502,MATCH($C208&amp;"|"&amp;DAY($A208),打卡匯入!$E$3:$E$502,0)),"")</f>
        <v/>
      </c>
      <c r="K208" s="87">
        <f>IFERROR(INDEX(打卡匯入!$D$3:$D$502,MATCH($C208&amp;"|"&amp;DAY($A208),打卡匯入!$E$3:$E$502,0)),"")</f>
        <v/>
      </c>
      <c r="L208" s="88">
        <f>IF(OR($J208="",$K208=""),"",IFERROR(INDEX(設定!$F$6:$F$21,MATCH($G208,設定!$B$6:$B$21,0)),0))</f>
        <v/>
      </c>
      <c r="M208" s="89">
        <f>IF(OR($J208="",$K208=""),"",ROUND(($K208-$J208)*24-$L208/60,2))</f>
        <v/>
      </c>
      <c r="N208" s="16">
        <f>IF($C208="","",IF(AND(COUNTIF(設定!$B$15:$B$21,$G208)&gt;0,$J208&lt;&gt;""),"假日出勤",IF(AND(COUNTIF(設定!$B$6:$B$14,$G208)&gt;0,$J208=""),"未打卡",IF($J208="","",IF($O208&gt;0,"遲到",IF($P208&gt;0,"早退","正常"))))))</f>
        <v/>
      </c>
      <c r="O208" s="88">
        <f>IF(OR($C208="",$H208="",$J208=""),0,IF(ROUND(($J208-$H208)*1440,0)&gt;設定!$C$48,ROUND(($J208-$H208)*1440,0),0))</f>
        <v/>
      </c>
      <c r="P208" s="88">
        <f>IF(OR($C208="",$I208="",$K208=""),0,IF(ROUND(($I208-$K208)*1440,0)&gt;設定!$C$48,ROUND(($I208-$K208)*1440,0),0))</f>
        <v/>
      </c>
      <c r="Q208" s="89">
        <f>IF($M208="",0,IF(($M208-IFERROR(INDEX(設定!$G$6:$G$21,MATCH($G208,設定!$B$6:$B$21,0)),0))*60&gt;=設定!$C$46,ROUND(FLOOR(($M208-IFERROR(INDEX(設定!$G$6:$G$21,MATCH($G208,設定!$B$6:$B$21,0)),0))*60,設定!$C$47)/60,2),0))</f>
        <v/>
      </c>
      <c r="R208" s="16">
        <f>IF(OR($C208="",$Q208=0),"",IF($G208="國","國定假日",IF($B208="日","例假",IF($B208="六","休息日","平日"))))</f>
        <v/>
      </c>
      <c r="S208" s="18" t="n"/>
    </row>
    <row r="209">
      <c r="A209" s="86">
        <f>IF(OR(醫護長與管理部班表!$A11="",21&gt;DAY(EOMONTH(DATE(設定!$C$2,設定!$D$2,1),0))),"",DATE(設定!$C$2,設定!$D$2,21))</f>
        <v/>
      </c>
      <c r="B209" s="16">
        <f>IF($A209="","",INDEX(設定!$O$6:$O$12,WEEKDAY($A209,1)))</f>
        <v/>
      </c>
      <c r="C209" s="16">
        <f>IF($A209="","",醫護長與管理部班表!$A11)</f>
        <v/>
      </c>
      <c r="D209" s="16">
        <f>IF($C209="","",醫護長與管理部班表!$B11)</f>
        <v/>
      </c>
      <c r="E209" s="16">
        <f>IF($C209="","",醫護長與管理部班表!$D11)</f>
        <v/>
      </c>
      <c r="F209" s="16">
        <f>IF($C209="","",醫護長與管理部班表!$C11)</f>
        <v/>
      </c>
      <c r="G209" s="16">
        <f>IF($C209="","",醫護長與管理部班表!Y11)</f>
        <v/>
      </c>
      <c r="H209" s="87">
        <f>IF($G209="","",IFERROR(IF(INDEX(設定!$D$6:$D$21,MATCH($G209,設定!$B$6:$B$21,0))=0,"",INDEX(設定!$D$6:$D$21,MATCH($G209,設定!$B$6:$B$21,0))),""))</f>
        <v/>
      </c>
      <c r="I209" s="87">
        <f>IF($G209="","",IFERROR(IF(INDEX(設定!$E$6:$E$21,MATCH($G209,設定!$B$6:$B$21,0))=0,"",INDEX(設定!$E$6:$E$21,MATCH($G209,設定!$B$6:$B$21,0))),""))</f>
        <v/>
      </c>
      <c r="J209" s="87">
        <f>IFERROR(INDEX(打卡匯入!$C$3:$C$502,MATCH($C209&amp;"|"&amp;DAY($A209),打卡匯入!$E$3:$E$502,0)),"")</f>
        <v/>
      </c>
      <c r="K209" s="87">
        <f>IFERROR(INDEX(打卡匯入!$D$3:$D$502,MATCH($C209&amp;"|"&amp;DAY($A209),打卡匯入!$E$3:$E$502,0)),"")</f>
        <v/>
      </c>
      <c r="L209" s="88">
        <f>IF(OR($J209="",$K209=""),"",IFERROR(INDEX(設定!$F$6:$F$21,MATCH($G209,設定!$B$6:$B$21,0)),0))</f>
        <v/>
      </c>
      <c r="M209" s="89">
        <f>IF(OR($J209="",$K209=""),"",ROUND(($K209-$J209)*24-$L209/60,2))</f>
        <v/>
      </c>
      <c r="N209" s="16">
        <f>IF($C209="","",IF(AND(COUNTIF(設定!$B$15:$B$21,$G209)&gt;0,$J209&lt;&gt;""),"假日出勤",IF(AND(COUNTIF(設定!$B$6:$B$14,$G209)&gt;0,$J209=""),"未打卡",IF($J209="","",IF($O209&gt;0,"遲到",IF($P209&gt;0,"早退","正常"))))))</f>
        <v/>
      </c>
      <c r="O209" s="88">
        <f>IF(OR($C209="",$H209="",$J209=""),0,IF(ROUND(($J209-$H209)*1440,0)&gt;設定!$C$48,ROUND(($J209-$H209)*1440,0),0))</f>
        <v/>
      </c>
      <c r="P209" s="88">
        <f>IF(OR($C209="",$I209="",$K209=""),0,IF(ROUND(($I209-$K209)*1440,0)&gt;設定!$C$48,ROUND(($I209-$K209)*1440,0),0))</f>
        <v/>
      </c>
      <c r="Q209" s="89">
        <f>IF($M209="",0,IF(($M209-IFERROR(INDEX(設定!$G$6:$G$21,MATCH($G209,設定!$B$6:$B$21,0)),0))*60&gt;=設定!$C$46,ROUND(FLOOR(($M209-IFERROR(INDEX(設定!$G$6:$G$21,MATCH($G209,設定!$B$6:$B$21,0)),0))*60,設定!$C$47)/60,2),0))</f>
        <v/>
      </c>
      <c r="R209" s="16">
        <f>IF(OR($C209="",$Q209=0),"",IF($G209="國","國定假日",IF($B209="日","例假",IF($B209="六","休息日","平日"))))</f>
        <v/>
      </c>
      <c r="S209" s="18" t="n"/>
    </row>
    <row r="210">
      <c r="A210" s="86">
        <f>IF(OR(醫護長與管理部班表!$A11="",22&gt;DAY(EOMONTH(DATE(設定!$C$2,設定!$D$2,1),0))),"",DATE(設定!$C$2,設定!$D$2,22))</f>
        <v/>
      </c>
      <c r="B210" s="16">
        <f>IF($A210="","",INDEX(設定!$O$6:$O$12,WEEKDAY($A210,1)))</f>
        <v/>
      </c>
      <c r="C210" s="16">
        <f>IF($A210="","",醫護長與管理部班表!$A11)</f>
        <v/>
      </c>
      <c r="D210" s="16">
        <f>IF($C210="","",醫護長與管理部班表!$B11)</f>
        <v/>
      </c>
      <c r="E210" s="16">
        <f>IF($C210="","",醫護長與管理部班表!$D11)</f>
        <v/>
      </c>
      <c r="F210" s="16">
        <f>IF($C210="","",醫護長與管理部班表!$C11)</f>
        <v/>
      </c>
      <c r="G210" s="16">
        <f>IF($C210="","",醫護長與管理部班表!Z11)</f>
        <v/>
      </c>
      <c r="H210" s="87">
        <f>IF($G210="","",IFERROR(IF(INDEX(設定!$D$6:$D$21,MATCH($G210,設定!$B$6:$B$21,0))=0,"",INDEX(設定!$D$6:$D$21,MATCH($G210,設定!$B$6:$B$21,0))),""))</f>
        <v/>
      </c>
      <c r="I210" s="87">
        <f>IF($G210="","",IFERROR(IF(INDEX(設定!$E$6:$E$21,MATCH($G210,設定!$B$6:$B$21,0))=0,"",INDEX(設定!$E$6:$E$21,MATCH($G210,設定!$B$6:$B$21,0))),""))</f>
        <v/>
      </c>
      <c r="J210" s="87">
        <f>IFERROR(INDEX(打卡匯入!$C$3:$C$502,MATCH($C210&amp;"|"&amp;DAY($A210),打卡匯入!$E$3:$E$502,0)),"")</f>
        <v/>
      </c>
      <c r="K210" s="87">
        <f>IFERROR(INDEX(打卡匯入!$D$3:$D$502,MATCH($C210&amp;"|"&amp;DAY($A210),打卡匯入!$E$3:$E$502,0)),"")</f>
        <v/>
      </c>
      <c r="L210" s="88">
        <f>IF(OR($J210="",$K210=""),"",IFERROR(INDEX(設定!$F$6:$F$21,MATCH($G210,設定!$B$6:$B$21,0)),0))</f>
        <v/>
      </c>
      <c r="M210" s="89">
        <f>IF(OR($J210="",$K210=""),"",ROUND(($K210-$J210)*24-$L210/60,2))</f>
        <v/>
      </c>
      <c r="N210" s="16">
        <f>IF($C210="","",IF(AND(COUNTIF(設定!$B$15:$B$21,$G210)&gt;0,$J210&lt;&gt;""),"假日出勤",IF(AND(COUNTIF(設定!$B$6:$B$14,$G210)&gt;0,$J210=""),"未打卡",IF($J210="","",IF($O210&gt;0,"遲到",IF($P210&gt;0,"早退","正常"))))))</f>
        <v/>
      </c>
      <c r="O210" s="88">
        <f>IF(OR($C210="",$H210="",$J210=""),0,IF(ROUND(($J210-$H210)*1440,0)&gt;設定!$C$48,ROUND(($J210-$H210)*1440,0),0))</f>
        <v/>
      </c>
      <c r="P210" s="88">
        <f>IF(OR($C210="",$I210="",$K210=""),0,IF(ROUND(($I210-$K210)*1440,0)&gt;設定!$C$48,ROUND(($I210-$K210)*1440,0),0))</f>
        <v/>
      </c>
      <c r="Q210" s="89">
        <f>IF($M210="",0,IF(($M210-IFERROR(INDEX(設定!$G$6:$G$21,MATCH($G210,設定!$B$6:$B$21,0)),0))*60&gt;=設定!$C$46,ROUND(FLOOR(($M210-IFERROR(INDEX(設定!$G$6:$G$21,MATCH($G210,設定!$B$6:$B$21,0)),0))*60,設定!$C$47)/60,2),0))</f>
        <v/>
      </c>
      <c r="R210" s="16">
        <f>IF(OR($C210="",$Q210=0),"",IF($G210="國","國定假日",IF($B210="日","例假",IF($B210="六","休息日","平日"))))</f>
        <v/>
      </c>
      <c r="S210" s="18" t="n"/>
    </row>
    <row r="211">
      <c r="A211" s="86">
        <f>IF(OR(醫護長與管理部班表!$A11="",23&gt;DAY(EOMONTH(DATE(設定!$C$2,設定!$D$2,1),0))),"",DATE(設定!$C$2,設定!$D$2,23))</f>
        <v/>
      </c>
      <c r="B211" s="16">
        <f>IF($A211="","",INDEX(設定!$O$6:$O$12,WEEKDAY($A211,1)))</f>
        <v/>
      </c>
      <c r="C211" s="16">
        <f>IF($A211="","",醫護長與管理部班表!$A11)</f>
        <v/>
      </c>
      <c r="D211" s="16">
        <f>IF($C211="","",醫護長與管理部班表!$B11)</f>
        <v/>
      </c>
      <c r="E211" s="16">
        <f>IF($C211="","",醫護長與管理部班表!$D11)</f>
        <v/>
      </c>
      <c r="F211" s="16">
        <f>IF($C211="","",醫護長與管理部班表!$C11)</f>
        <v/>
      </c>
      <c r="G211" s="16">
        <f>IF($C211="","",醫護長與管理部班表!AA11)</f>
        <v/>
      </c>
      <c r="H211" s="87">
        <f>IF($G211="","",IFERROR(IF(INDEX(設定!$D$6:$D$21,MATCH($G211,設定!$B$6:$B$21,0))=0,"",INDEX(設定!$D$6:$D$21,MATCH($G211,設定!$B$6:$B$21,0))),""))</f>
        <v/>
      </c>
      <c r="I211" s="87">
        <f>IF($G211="","",IFERROR(IF(INDEX(設定!$E$6:$E$21,MATCH($G211,設定!$B$6:$B$21,0))=0,"",INDEX(設定!$E$6:$E$21,MATCH($G211,設定!$B$6:$B$21,0))),""))</f>
        <v/>
      </c>
      <c r="J211" s="87">
        <f>IFERROR(INDEX(打卡匯入!$C$3:$C$502,MATCH($C211&amp;"|"&amp;DAY($A211),打卡匯入!$E$3:$E$502,0)),"")</f>
        <v/>
      </c>
      <c r="K211" s="87">
        <f>IFERROR(INDEX(打卡匯入!$D$3:$D$502,MATCH($C211&amp;"|"&amp;DAY($A211),打卡匯入!$E$3:$E$502,0)),"")</f>
        <v/>
      </c>
      <c r="L211" s="88">
        <f>IF(OR($J211="",$K211=""),"",IFERROR(INDEX(設定!$F$6:$F$21,MATCH($G211,設定!$B$6:$B$21,0)),0))</f>
        <v/>
      </c>
      <c r="M211" s="89">
        <f>IF(OR($J211="",$K211=""),"",ROUND(($K211-$J211)*24-$L211/60,2))</f>
        <v/>
      </c>
      <c r="N211" s="16">
        <f>IF($C211="","",IF(AND(COUNTIF(設定!$B$15:$B$21,$G211)&gt;0,$J211&lt;&gt;""),"假日出勤",IF(AND(COUNTIF(設定!$B$6:$B$14,$G211)&gt;0,$J211=""),"未打卡",IF($J211="","",IF($O211&gt;0,"遲到",IF($P211&gt;0,"早退","正常"))))))</f>
        <v/>
      </c>
      <c r="O211" s="88">
        <f>IF(OR($C211="",$H211="",$J211=""),0,IF(ROUND(($J211-$H211)*1440,0)&gt;設定!$C$48,ROUND(($J211-$H211)*1440,0),0))</f>
        <v/>
      </c>
      <c r="P211" s="88">
        <f>IF(OR($C211="",$I211="",$K211=""),0,IF(ROUND(($I211-$K211)*1440,0)&gt;設定!$C$48,ROUND(($I211-$K211)*1440,0),0))</f>
        <v/>
      </c>
      <c r="Q211" s="89">
        <f>IF($M211="",0,IF(($M211-IFERROR(INDEX(設定!$G$6:$G$21,MATCH($G211,設定!$B$6:$B$21,0)),0))*60&gt;=設定!$C$46,ROUND(FLOOR(($M211-IFERROR(INDEX(設定!$G$6:$G$21,MATCH($G211,設定!$B$6:$B$21,0)),0))*60,設定!$C$47)/60,2),0))</f>
        <v/>
      </c>
      <c r="R211" s="16">
        <f>IF(OR($C211="",$Q211=0),"",IF($G211="國","國定假日",IF($B211="日","例假",IF($B211="六","休息日","平日"))))</f>
        <v/>
      </c>
      <c r="S211" s="18" t="n"/>
    </row>
    <row r="212">
      <c r="A212" s="86">
        <f>IF(OR(醫護長與管理部班表!$A11="",24&gt;DAY(EOMONTH(DATE(設定!$C$2,設定!$D$2,1),0))),"",DATE(設定!$C$2,設定!$D$2,24))</f>
        <v/>
      </c>
      <c r="B212" s="16">
        <f>IF($A212="","",INDEX(設定!$O$6:$O$12,WEEKDAY($A212,1)))</f>
        <v/>
      </c>
      <c r="C212" s="16">
        <f>IF($A212="","",醫護長與管理部班表!$A11)</f>
        <v/>
      </c>
      <c r="D212" s="16">
        <f>IF($C212="","",醫護長與管理部班表!$B11)</f>
        <v/>
      </c>
      <c r="E212" s="16">
        <f>IF($C212="","",醫護長與管理部班表!$D11)</f>
        <v/>
      </c>
      <c r="F212" s="16">
        <f>IF($C212="","",醫護長與管理部班表!$C11)</f>
        <v/>
      </c>
      <c r="G212" s="16">
        <f>IF($C212="","",醫護長與管理部班表!AB11)</f>
        <v/>
      </c>
      <c r="H212" s="87">
        <f>IF($G212="","",IFERROR(IF(INDEX(設定!$D$6:$D$21,MATCH($G212,設定!$B$6:$B$21,0))=0,"",INDEX(設定!$D$6:$D$21,MATCH($G212,設定!$B$6:$B$21,0))),""))</f>
        <v/>
      </c>
      <c r="I212" s="87">
        <f>IF($G212="","",IFERROR(IF(INDEX(設定!$E$6:$E$21,MATCH($G212,設定!$B$6:$B$21,0))=0,"",INDEX(設定!$E$6:$E$21,MATCH($G212,設定!$B$6:$B$21,0))),""))</f>
        <v/>
      </c>
      <c r="J212" s="87">
        <f>IFERROR(INDEX(打卡匯入!$C$3:$C$502,MATCH($C212&amp;"|"&amp;DAY($A212),打卡匯入!$E$3:$E$502,0)),"")</f>
        <v/>
      </c>
      <c r="K212" s="87">
        <f>IFERROR(INDEX(打卡匯入!$D$3:$D$502,MATCH($C212&amp;"|"&amp;DAY($A212),打卡匯入!$E$3:$E$502,0)),"")</f>
        <v/>
      </c>
      <c r="L212" s="88">
        <f>IF(OR($J212="",$K212=""),"",IFERROR(INDEX(設定!$F$6:$F$21,MATCH($G212,設定!$B$6:$B$21,0)),0))</f>
        <v/>
      </c>
      <c r="M212" s="89">
        <f>IF(OR($J212="",$K212=""),"",ROUND(($K212-$J212)*24-$L212/60,2))</f>
        <v/>
      </c>
      <c r="N212" s="16">
        <f>IF($C212="","",IF(AND(COUNTIF(設定!$B$15:$B$21,$G212)&gt;0,$J212&lt;&gt;""),"假日出勤",IF(AND(COUNTIF(設定!$B$6:$B$14,$G212)&gt;0,$J212=""),"未打卡",IF($J212="","",IF($O212&gt;0,"遲到",IF($P212&gt;0,"早退","正常"))))))</f>
        <v/>
      </c>
      <c r="O212" s="88">
        <f>IF(OR($C212="",$H212="",$J212=""),0,IF(ROUND(($J212-$H212)*1440,0)&gt;設定!$C$48,ROUND(($J212-$H212)*1440,0),0))</f>
        <v/>
      </c>
      <c r="P212" s="88">
        <f>IF(OR($C212="",$I212="",$K212=""),0,IF(ROUND(($I212-$K212)*1440,0)&gt;設定!$C$48,ROUND(($I212-$K212)*1440,0),0))</f>
        <v/>
      </c>
      <c r="Q212" s="89">
        <f>IF($M212="",0,IF(($M212-IFERROR(INDEX(設定!$G$6:$G$21,MATCH($G212,設定!$B$6:$B$21,0)),0))*60&gt;=設定!$C$46,ROUND(FLOOR(($M212-IFERROR(INDEX(設定!$G$6:$G$21,MATCH($G212,設定!$B$6:$B$21,0)),0))*60,設定!$C$47)/60,2),0))</f>
        <v/>
      </c>
      <c r="R212" s="16">
        <f>IF(OR($C212="",$Q212=0),"",IF($G212="國","國定假日",IF($B212="日","例假",IF($B212="六","休息日","平日"))))</f>
        <v/>
      </c>
      <c r="S212" s="18" t="n"/>
    </row>
    <row r="213">
      <c r="A213" s="86">
        <f>IF(OR(醫護長與管理部班表!$A11="",25&gt;DAY(EOMONTH(DATE(設定!$C$2,設定!$D$2,1),0))),"",DATE(設定!$C$2,設定!$D$2,25))</f>
        <v/>
      </c>
      <c r="B213" s="16">
        <f>IF($A213="","",INDEX(設定!$O$6:$O$12,WEEKDAY($A213,1)))</f>
        <v/>
      </c>
      <c r="C213" s="16">
        <f>IF($A213="","",醫護長與管理部班表!$A11)</f>
        <v/>
      </c>
      <c r="D213" s="16">
        <f>IF($C213="","",醫護長與管理部班表!$B11)</f>
        <v/>
      </c>
      <c r="E213" s="16">
        <f>IF($C213="","",醫護長與管理部班表!$D11)</f>
        <v/>
      </c>
      <c r="F213" s="16">
        <f>IF($C213="","",醫護長與管理部班表!$C11)</f>
        <v/>
      </c>
      <c r="G213" s="16">
        <f>IF($C213="","",醫護長與管理部班表!AC11)</f>
        <v/>
      </c>
      <c r="H213" s="87">
        <f>IF($G213="","",IFERROR(IF(INDEX(設定!$D$6:$D$21,MATCH($G213,設定!$B$6:$B$21,0))=0,"",INDEX(設定!$D$6:$D$21,MATCH($G213,設定!$B$6:$B$21,0))),""))</f>
        <v/>
      </c>
      <c r="I213" s="87">
        <f>IF($G213="","",IFERROR(IF(INDEX(設定!$E$6:$E$21,MATCH($G213,設定!$B$6:$B$21,0))=0,"",INDEX(設定!$E$6:$E$21,MATCH($G213,設定!$B$6:$B$21,0))),""))</f>
        <v/>
      </c>
      <c r="J213" s="87">
        <f>IFERROR(INDEX(打卡匯入!$C$3:$C$502,MATCH($C213&amp;"|"&amp;DAY($A213),打卡匯入!$E$3:$E$502,0)),"")</f>
        <v/>
      </c>
      <c r="K213" s="87">
        <f>IFERROR(INDEX(打卡匯入!$D$3:$D$502,MATCH($C213&amp;"|"&amp;DAY($A213),打卡匯入!$E$3:$E$502,0)),"")</f>
        <v/>
      </c>
      <c r="L213" s="88">
        <f>IF(OR($J213="",$K213=""),"",IFERROR(INDEX(設定!$F$6:$F$21,MATCH($G213,設定!$B$6:$B$21,0)),0))</f>
        <v/>
      </c>
      <c r="M213" s="89">
        <f>IF(OR($J213="",$K213=""),"",ROUND(($K213-$J213)*24-$L213/60,2))</f>
        <v/>
      </c>
      <c r="N213" s="16">
        <f>IF($C213="","",IF(AND(COUNTIF(設定!$B$15:$B$21,$G213)&gt;0,$J213&lt;&gt;""),"假日出勤",IF(AND(COUNTIF(設定!$B$6:$B$14,$G213)&gt;0,$J213=""),"未打卡",IF($J213="","",IF($O213&gt;0,"遲到",IF($P213&gt;0,"早退","正常"))))))</f>
        <v/>
      </c>
      <c r="O213" s="88">
        <f>IF(OR($C213="",$H213="",$J213=""),0,IF(ROUND(($J213-$H213)*1440,0)&gt;設定!$C$48,ROUND(($J213-$H213)*1440,0),0))</f>
        <v/>
      </c>
      <c r="P213" s="88">
        <f>IF(OR($C213="",$I213="",$K213=""),0,IF(ROUND(($I213-$K213)*1440,0)&gt;設定!$C$48,ROUND(($I213-$K213)*1440,0),0))</f>
        <v/>
      </c>
      <c r="Q213" s="89">
        <f>IF($M213="",0,IF(($M213-IFERROR(INDEX(設定!$G$6:$G$21,MATCH($G213,設定!$B$6:$B$21,0)),0))*60&gt;=設定!$C$46,ROUND(FLOOR(($M213-IFERROR(INDEX(設定!$G$6:$G$21,MATCH($G213,設定!$B$6:$B$21,0)),0))*60,設定!$C$47)/60,2),0))</f>
        <v/>
      </c>
      <c r="R213" s="16">
        <f>IF(OR($C213="",$Q213=0),"",IF($G213="國","國定假日",IF($B213="日","例假",IF($B213="六","休息日","平日"))))</f>
        <v/>
      </c>
      <c r="S213" s="18" t="n"/>
    </row>
    <row r="214">
      <c r="A214" s="86">
        <f>IF(OR(醫護長與管理部班表!$A11="",26&gt;DAY(EOMONTH(DATE(設定!$C$2,設定!$D$2,1),0))),"",DATE(設定!$C$2,設定!$D$2,26))</f>
        <v/>
      </c>
      <c r="B214" s="16">
        <f>IF($A214="","",INDEX(設定!$O$6:$O$12,WEEKDAY($A214,1)))</f>
        <v/>
      </c>
      <c r="C214" s="16">
        <f>IF($A214="","",醫護長與管理部班表!$A11)</f>
        <v/>
      </c>
      <c r="D214" s="16">
        <f>IF($C214="","",醫護長與管理部班表!$B11)</f>
        <v/>
      </c>
      <c r="E214" s="16">
        <f>IF($C214="","",醫護長與管理部班表!$D11)</f>
        <v/>
      </c>
      <c r="F214" s="16">
        <f>IF($C214="","",醫護長與管理部班表!$C11)</f>
        <v/>
      </c>
      <c r="G214" s="16">
        <f>IF($C214="","",醫護長與管理部班表!AD11)</f>
        <v/>
      </c>
      <c r="H214" s="87">
        <f>IF($G214="","",IFERROR(IF(INDEX(設定!$D$6:$D$21,MATCH($G214,設定!$B$6:$B$21,0))=0,"",INDEX(設定!$D$6:$D$21,MATCH($G214,設定!$B$6:$B$21,0))),""))</f>
        <v/>
      </c>
      <c r="I214" s="87">
        <f>IF($G214="","",IFERROR(IF(INDEX(設定!$E$6:$E$21,MATCH($G214,設定!$B$6:$B$21,0))=0,"",INDEX(設定!$E$6:$E$21,MATCH($G214,設定!$B$6:$B$21,0))),""))</f>
        <v/>
      </c>
      <c r="J214" s="87">
        <f>IFERROR(INDEX(打卡匯入!$C$3:$C$502,MATCH($C214&amp;"|"&amp;DAY($A214),打卡匯入!$E$3:$E$502,0)),"")</f>
        <v/>
      </c>
      <c r="K214" s="87">
        <f>IFERROR(INDEX(打卡匯入!$D$3:$D$502,MATCH($C214&amp;"|"&amp;DAY($A214),打卡匯入!$E$3:$E$502,0)),"")</f>
        <v/>
      </c>
      <c r="L214" s="88">
        <f>IF(OR($J214="",$K214=""),"",IFERROR(INDEX(設定!$F$6:$F$21,MATCH($G214,設定!$B$6:$B$21,0)),0))</f>
        <v/>
      </c>
      <c r="M214" s="89">
        <f>IF(OR($J214="",$K214=""),"",ROUND(($K214-$J214)*24-$L214/60,2))</f>
        <v/>
      </c>
      <c r="N214" s="16">
        <f>IF($C214="","",IF(AND(COUNTIF(設定!$B$15:$B$21,$G214)&gt;0,$J214&lt;&gt;""),"假日出勤",IF(AND(COUNTIF(設定!$B$6:$B$14,$G214)&gt;0,$J214=""),"未打卡",IF($J214="","",IF($O214&gt;0,"遲到",IF($P214&gt;0,"早退","正常"))))))</f>
        <v/>
      </c>
      <c r="O214" s="88">
        <f>IF(OR($C214="",$H214="",$J214=""),0,IF(ROUND(($J214-$H214)*1440,0)&gt;設定!$C$48,ROUND(($J214-$H214)*1440,0),0))</f>
        <v/>
      </c>
      <c r="P214" s="88">
        <f>IF(OR($C214="",$I214="",$K214=""),0,IF(ROUND(($I214-$K214)*1440,0)&gt;設定!$C$48,ROUND(($I214-$K214)*1440,0),0))</f>
        <v/>
      </c>
      <c r="Q214" s="89">
        <f>IF($M214="",0,IF(($M214-IFERROR(INDEX(設定!$G$6:$G$21,MATCH($G214,設定!$B$6:$B$21,0)),0))*60&gt;=設定!$C$46,ROUND(FLOOR(($M214-IFERROR(INDEX(設定!$G$6:$G$21,MATCH($G214,設定!$B$6:$B$21,0)),0))*60,設定!$C$47)/60,2),0))</f>
        <v/>
      </c>
      <c r="R214" s="16">
        <f>IF(OR($C214="",$Q214=0),"",IF($G214="國","國定假日",IF($B214="日","例假",IF($B214="六","休息日","平日"))))</f>
        <v/>
      </c>
      <c r="S214" s="18" t="n"/>
    </row>
    <row r="215">
      <c r="A215" s="86">
        <f>IF(OR(醫護長與管理部班表!$A11="",27&gt;DAY(EOMONTH(DATE(設定!$C$2,設定!$D$2,1),0))),"",DATE(設定!$C$2,設定!$D$2,27))</f>
        <v/>
      </c>
      <c r="B215" s="16">
        <f>IF($A215="","",INDEX(設定!$O$6:$O$12,WEEKDAY($A215,1)))</f>
        <v/>
      </c>
      <c r="C215" s="16">
        <f>IF($A215="","",醫護長與管理部班表!$A11)</f>
        <v/>
      </c>
      <c r="D215" s="16">
        <f>IF($C215="","",醫護長與管理部班表!$B11)</f>
        <v/>
      </c>
      <c r="E215" s="16">
        <f>IF($C215="","",醫護長與管理部班表!$D11)</f>
        <v/>
      </c>
      <c r="F215" s="16">
        <f>IF($C215="","",醫護長與管理部班表!$C11)</f>
        <v/>
      </c>
      <c r="G215" s="16">
        <f>IF($C215="","",醫護長與管理部班表!AE11)</f>
        <v/>
      </c>
      <c r="H215" s="87">
        <f>IF($G215="","",IFERROR(IF(INDEX(設定!$D$6:$D$21,MATCH($G215,設定!$B$6:$B$21,0))=0,"",INDEX(設定!$D$6:$D$21,MATCH($G215,設定!$B$6:$B$21,0))),""))</f>
        <v/>
      </c>
      <c r="I215" s="87">
        <f>IF($G215="","",IFERROR(IF(INDEX(設定!$E$6:$E$21,MATCH($G215,設定!$B$6:$B$21,0))=0,"",INDEX(設定!$E$6:$E$21,MATCH($G215,設定!$B$6:$B$21,0))),""))</f>
        <v/>
      </c>
      <c r="J215" s="87">
        <f>IFERROR(INDEX(打卡匯入!$C$3:$C$502,MATCH($C215&amp;"|"&amp;DAY($A215),打卡匯入!$E$3:$E$502,0)),"")</f>
        <v/>
      </c>
      <c r="K215" s="87">
        <f>IFERROR(INDEX(打卡匯入!$D$3:$D$502,MATCH($C215&amp;"|"&amp;DAY($A215),打卡匯入!$E$3:$E$502,0)),"")</f>
        <v/>
      </c>
      <c r="L215" s="88">
        <f>IF(OR($J215="",$K215=""),"",IFERROR(INDEX(設定!$F$6:$F$21,MATCH($G215,設定!$B$6:$B$21,0)),0))</f>
        <v/>
      </c>
      <c r="M215" s="89">
        <f>IF(OR($J215="",$K215=""),"",ROUND(($K215-$J215)*24-$L215/60,2))</f>
        <v/>
      </c>
      <c r="N215" s="16">
        <f>IF($C215="","",IF(AND(COUNTIF(設定!$B$15:$B$21,$G215)&gt;0,$J215&lt;&gt;""),"假日出勤",IF(AND(COUNTIF(設定!$B$6:$B$14,$G215)&gt;0,$J215=""),"未打卡",IF($J215="","",IF($O215&gt;0,"遲到",IF($P215&gt;0,"早退","正常"))))))</f>
        <v/>
      </c>
      <c r="O215" s="88">
        <f>IF(OR($C215="",$H215="",$J215=""),0,IF(ROUND(($J215-$H215)*1440,0)&gt;設定!$C$48,ROUND(($J215-$H215)*1440,0),0))</f>
        <v/>
      </c>
      <c r="P215" s="88">
        <f>IF(OR($C215="",$I215="",$K215=""),0,IF(ROUND(($I215-$K215)*1440,0)&gt;設定!$C$48,ROUND(($I215-$K215)*1440,0),0))</f>
        <v/>
      </c>
      <c r="Q215" s="89">
        <f>IF($M215="",0,IF(($M215-IFERROR(INDEX(設定!$G$6:$G$21,MATCH($G215,設定!$B$6:$B$21,0)),0))*60&gt;=設定!$C$46,ROUND(FLOOR(($M215-IFERROR(INDEX(設定!$G$6:$G$21,MATCH($G215,設定!$B$6:$B$21,0)),0))*60,設定!$C$47)/60,2),0))</f>
        <v/>
      </c>
      <c r="R215" s="16">
        <f>IF(OR($C215="",$Q215=0),"",IF($G215="國","國定假日",IF($B215="日","例假",IF($B215="六","休息日","平日"))))</f>
        <v/>
      </c>
      <c r="S215" s="18" t="n"/>
    </row>
    <row r="216">
      <c r="A216" s="86">
        <f>IF(OR(醫護長與管理部班表!$A11="",28&gt;DAY(EOMONTH(DATE(設定!$C$2,設定!$D$2,1),0))),"",DATE(設定!$C$2,設定!$D$2,28))</f>
        <v/>
      </c>
      <c r="B216" s="16">
        <f>IF($A216="","",INDEX(設定!$O$6:$O$12,WEEKDAY($A216,1)))</f>
        <v/>
      </c>
      <c r="C216" s="16">
        <f>IF($A216="","",醫護長與管理部班表!$A11)</f>
        <v/>
      </c>
      <c r="D216" s="16">
        <f>IF($C216="","",醫護長與管理部班表!$B11)</f>
        <v/>
      </c>
      <c r="E216" s="16">
        <f>IF($C216="","",醫護長與管理部班表!$D11)</f>
        <v/>
      </c>
      <c r="F216" s="16">
        <f>IF($C216="","",醫護長與管理部班表!$C11)</f>
        <v/>
      </c>
      <c r="G216" s="16">
        <f>IF($C216="","",醫護長與管理部班表!AF11)</f>
        <v/>
      </c>
      <c r="H216" s="87">
        <f>IF($G216="","",IFERROR(IF(INDEX(設定!$D$6:$D$21,MATCH($G216,設定!$B$6:$B$21,0))=0,"",INDEX(設定!$D$6:$D$21,MATCH($G216,設定!$B$6:$B$21,0))),""))</f>
        <v/>
      </c>
      <c r="I216" s="87">
        <f>IF($G216="","",IFERROR(IF(INDEX(設定!$E$6:$E$21,MATCH($G216,設定!$B$6:$B$21,0))=0,"",INDEX(設定!$E$6:$E$21,MATCH($G216,設定!$B$6:$B$21,0))),""))</f>
        <v/>
      </c>
      <c r="J216" s="87">
        <f>IFERROR(INDEX(打卡匯入!$C$3:$C$502,MATCH($C216&amp;"|"&amp;DAY($A216),打卡匯入!$E$3:$E$502,0)),"")</f>
        <v/>
      </c>
      <c r="K216" s="87">
        <f>IFERROR(INDEX(打卡匯入!$D$3:$D$502,MATCH($C216&amp;"|"&amp;DAY($A216),打卡匯入!$E$3:$E$502,0)),"")</f>
        <v/>
      </c>
      <c r="L216" s="88">
        <f>IF(OR($J216="",$K216=""),"",IFERROR(INDEX(設定!$F$6:$F$21,MATCH($G216,設定!$B$6:$B$21,0)),0))</f>
        <v/>
      </c>
      <c r="M216" s="89">
        <f>IF(OR($J216="",$K216=""),"",ROUND(($K216-$J216)*24-$L216/60,2))</f>
        <v/>
      </c>
      <c r="N216" s="16">
        <f>IF($C216="","",IF(AND(COUNTIF(設定!$B$15:$B$21,$G216)&gt;0,$J216&lt;&gt;""),"假日出勤",IF(AND(COUNTIF(設定!$B$6:$B$14,$G216)&gt;0,$J216=""),"未打卡",IF($J216="","",IF($O216&gt;0,"遲到",IF($P216&gt;0,"早退","正常"))))))</f>
        <v/>
      </c>
      <c r="O216" s="88">
        <f>IF(OR($C216="",$H216="",$J216=""),0,IF(ROUND(($J216-$H216)*1440,0)&gt;設定!$C$48,ROUND(($J216-$H216)*1440,0),0))</f>
        <v/>
      </c>
      <c r="P216" s="88">
        <f>IF(OR($C216="",$I216="",$K216=""),0,IF(ROUND(($I216-$K216)*1440,0)&gt;設定!$C$48,ROUND(($I216-$K216)*1440,0),0))</f>
        <v/>
      </c>
      <c r="Q216" s="89">
        <f>IF($M216="",0,IF(($M216-IFERROR(INDEX(設定!$G$6:$G$21,MATCH($G216,設定!$B$6:$B$21,0)),0))*60&gt;=設定!$C$46,ROUND(FLOOR(($M216-IFERROR(INDEX(設定!$G$6:$G$21,MATCH($G216,設定!$B$6:$B$21,0)),0))*60,設定!$C$47)/60,2),0))</f>
        <v/>
      </c>
      <c r="R216" s="16">
        <f>IF(OR($C216="",$Q216=0),"",IF($G216="國","國定假日",IF($B216="日","例假",IF($B216="六","休息日","平日"))))</f>
        <v/>
      </c>
      <c r="S216" s="18" t="n"/>
    </row>
    <row r="217">
      <c r="A217" s="86">
        <f>IF(OR(醫護長與管理部班表!$A11="",29&gt;DAY(EOMONTH(DATE(設定!$C$2,設定!$D$2,1),0))),"",DATE(設定!$C$2,設定!$D$2,29))</f>
        <v/>
      </c>
      <c r="B217" s="16">
        <f>IF($A217="","",INDEX(設定!$O$6:$O$12,WEEKDAY($A217,1)))</f>
        <v/>
      </c>
      <c r="C217" s="16">
        <f>IF($A217="","",醫護長與管理部班表!$A11)</f>
        <v/>
      </c>
      <c r="D217" s="16">
        <f>IF($C217="","",醫護長與管理部班表!$B11)</f>
        <v/>
      </c>
      <c r="E217" s="16">
        <f>IF($C217="","",醫護長與管理部班表!$D11)</f>
        <v/>
      </c>
      <c r="F217" s="16">
        <f>IF($C217="","",醫護長與管理部班表!$C11)</f>
        <v/>
      </c>
      <c r="G217" s="16">
        <f>IF($C217="","",醫護長與管理部班表!AG11)</f>
        <v/>
      </c>
      <c r="H217" s="87">
        <f>IF($G217="","",IFERROR(IF(INDEX(設定!$D$6:$D$21,MATCH($G217,設定!$B$6:$B$21,0))=0,"",INDEX(設定!$D$6:$D$21,MATCH($G217,設定!$B$6:$B$21,0))),""))</f>
        <v/>
      </c>
      <c r="I217" s="87">
        <f>IF($G217="","",IFERROR(IF(INDEX(設定!$E$6:$E$21,MATCH($G217,設定!$B$6:$B$21,0))=0,"",INDEX(設定!$E$6:$E$21,MATCH($G217,設定!$B$6:$B$21,0))),""))</f>
        <v/>
      </c>
      <c r="J217" s="87">
        <f>IFERROR(INDEX(打卡匯入!$C$3:$C$502,MATCH($C217&amp;"|"&amp;DAY($A217),打卡匯入!$E$3:$E$502,0)),"")</f>
        <v/>
      </c>
      <c r="K217" s="87">
        <f>IFERROR(INDEX(打卡匯入!$D$3:$D$502,MATCH($C217&amp;"|"&amp;DAY($A217),打卡匯入!$E$3:$E$502,0)),"")</f>
        <v/>
      </c>
      <c r="L217" s="88">
        <f>IF(OR($J217="",$K217=""),"",IFERROR(INDEX(設定!$F$6:$F$21,MATCH($G217,設定!$B$6:$B$21,0)),0))</f>
        <v/>
      </c>
      <c r="M217" s="89">
        <f>IF(OR($J217="",$K217=""),"",ROUND(($K217-$J217)*24-$L217/60,2))</f>
        <v/>
      </c>
      <c r="N217" s="16">
        <f>IF($C217="","",IF(AND(COUNTIF(設定!$B$15:$B$21,$G217)&gt;0,$J217&lt;&gt;""),"假日出勤",IF(AND(COUNTIF(設定!$B$6:$B$14,$G217)&gt;0,$J217=""),"未打卡",IF($J217="","",IF($O217&gt;0,"遲到",IF($P217&gt;0,"早退","正常"))))))</f>
        <v/>
      </c>
      <c r="O217" s="88">
        <f>IF(OR($C217="",$H217="",$J217=""),0,IF(ROUND(($J217-$H217)*1440,0)&gt;設定!$C$48,ROUND(($J217-$H217)*1440,0),0))</f>
        <v/>
      </c>
      <c r="P217" s="88">
        <f>IF(OR($C217="",$I217="",$K217=""),0,IF(ROUND(($I217-$K217)*1440,0)&gt;設定!$C$48,ROUND(($I217-$K217)*1440,0),0))</f>
        <v/>
      </c>
      <c r="Q217" s="89">
        <f>IF($M217="",0,IF(($M217-IFERROR(INDEX(設定!$G$6:$G$21,MATCH($G217,設定!$B$6:$B$21,0)),0))*60&gt;=設定!$C$46,ROUND(FLOOR(($M217-IFERROR(INDEX(設定!$G$6:$G$21,MATCH($G217,設定!$B$6:$B$21,0)),0))*60,設定!$C$47)/60,2),0))</f>
        <v/>
      </c>
      <c r="R217" s="16">
        <f>IF(OR($C217="",$Q217=0),"",IF($G217="國","國定假日",IF($B217="日","例假",IF($B217="六","休息日","平日"))))</f>
        <v/>
      </c>
      <c r="S217" s="18" t="n"/>
    </row>
    <row r="218">
      <c r="A218" s="86">
        <f>IF(OR(醫護長與管理部班表!$A11="",30&gt;DAY(EOMONTH(DATE(設定!$C$2,設定!$D$2,1),0))),"",DATE(設定!$C$2,設定!$D$2,30))</f>
        <v/>
      </c>
      <c r="B218" s="16">
        <f>IF($A218="","",INDEX(設定!$O$6:$O$12,WEEKDAY($A218,1)))</f>
        <v/>
      </c>
      <c r="C218" s="16">
        <f>IF($A218="","",醫護長與管理部班表!$A11)</f>
        <v/>
      </c>
      <c r="D218" s="16">
        <f>IF($C218="","",醫護長與管理部班表!$B11)</f>
        <v/>
      </c>
      <c r="E218" s="16">
        <f>IF($C218="","",醫護長與管理部班表!$D11)</f>
        <v/>
      </c>
      <c r="F218" s="16">
        <f>IF($C218="","",醫護長與管理部班表!$C11)</f>
        <v/>
      </c>
      <c r="G218" s="16">
        <f>IF($C218="","",醫護長與管理部班表!AH11)</f>
        <v/>
      </c>
      <c r="H218" s="87">
        <f>IF($G218="","",IFERROR(IF(INDEX(設定!$D$6:$D$21,MATCH($G218,設定!$B$6:$B$21,0))=0,"",INDEX(設定!$D$6:$D$21,MATCH($G218,設定!$B$6:$B$21,0))),""))</f>
        <v/>
      </c>
      <c r="I218" s="87">
        <f>IF($G218="","",IFERROR(IF(INDEX(設定!$E$6:$E$21,MATCH($G218,設定!$B$6:$B$21,0))=0,"",INDEX(設定!$E$6:$E$21,MATCH($G218,設定!$B$6:$B$21,0))),""))</f>
        <v/>
      </c>
      <c r="J218" s="87">
        <f>IFERROR(INDEX(打卡匯入!$C$3:$C$502,MATCH($C218&amp;"|"&amp;DAY($A218),打卡匯入!$E$3:$E$502,0)),"")</f>
        <v/>
      </c>
      <c r="K218" s="87">
        <f>IFERROR(INDEX(打卡匯入!$D$3:$D$502,MATCH($C218&amp;"|"&amp;DAY($A218),打卡匯入!$E$3:$E$502,0)),"")</f>
        <v/>
      </c>
      <c r="L218" s="88">
        <f>IF(OR($J218="",$K218=""),"",IFERROR(INDEX(設定!$F$6:$F$21,MATCH($G218,設定!$B$6:$B$21,0)),0))</f>
        <v/>
      </c>
      <c r="M218" s="89">
        <f>IF(OR($J218="",$K218=""),"",ROUND(($K218-$J218)*24-$L218/60,2))</f>
        <v/>
      </c>
      <c r="N218" s="16">
        <f>IF($C218="","",IF(AND(COUNTIF(設定!$B$15:$B$21,$G218)&gt;0,$J218&lt;&gt;""),"假日出勤",IF(AND(COUNTIF(設定!$B$6:$B$14,$G218)&gt;0,$J218=""),"未打卡",IF($J218="","",IF($O218&gt;0,"遲到",IF($P218&gt;0,"早退","正常"))))))</f>
        <v/>
      </c>
      <c r="O218" s="88">
        <f>IF(OR($C218="",$H218="",$J218=""),0,IF(ROUND(($J218-$H218)*1440,0)&gt;設定!$C$48,ROUND(($J218-$H218)*1440,0),0))</f>
        <v/>
      </c>
      <c r="P218" s="88">
        <f>IF(OR($C218="",$I218="",$K218=""),0,IF(ROUND(($I218-$K218)*1440,0)&gt;設定!$C$48,ROUND(($I218-$K218)*1440,0),0))</f>
        <v/>
      </c>
      <c r="Q218" s="89">
        <f>IF($M218="",0,IF(($M218-IFERROR(INDEX(設定!$G$6:$G$21,MATCH($G218,設定!$B$6:$B$21,0)),0))*60&gt;=設定!$C$46,ROUND(FLOOR(($M218-IFERROR(INDEX(設定!$G$6:$G$21,MATCH($G218,設定!$B$6:$B$21,0)),0))*60,設定!$C$47)/60,2),0))</f>
        <v/>
      </c>
      <c r="R218" s="16">
        <f>IF(OR($C218="",$Q218=0),"",IF($G218="國","國定假日",IF($B218="日","例假",IF($B218="六","休息日","平日"))))</f>
        <v/>
      </c>
      <c r="S218" s="18" t="n"/>
    </row>
    <row r="219">
      <c r="A219" s="86">
        <f>IF(OR(醫護長與管理部班表!$A11="",31&gt;DAY(EOMONTH(DATE(設定!$C$2,設定!$D$2,1),0))),"",DATE(設定!$C$2,設定!$D$2,31))</f>
        <v/>
      </c>
      <c r="B219" s="16">
        <f>IF($A219="","",INDEX(設定!$O$6:$O$12,WEEKDAY($A219,1)))</f>
        <v/>
      </c>
      <c r="C219" s="16">
        <f>IF($A219="","",醫護長與管理部班表!$A11)</f>
        <v/>
      </c>
      <c r="D219" s="16">
        <f>IF($C219="","",醫護長與管理部班表!$B11)</f>
        <v/>
      </c>
      <c r="E219" s="16">
        <f>IF($C219="","",醫護長與管理部班表!$D11)</f>
        <v/>
      </c>
      <c r="F219" s="16">
        <f>IF($C219="","",醫護長與管理部班表!$C11)</f>
        <v/>
      </c>
      <c r="G219" s="16">
        <f>IF($C219="","",醫護長與管理部班表!AI11)</f>
        <v/>
      </c>
      <c r="H219" s="87">
        <f>IF($G219="","",IFERROR(IF(INDEX(設定!$D$6:$D$21,MATCH($G219,設定!$B$6:$B$21,0))=0,"",INDEX(設定!$D$6:$D$21,MATCH($G219,設定!$B$6:$B$21,0))),""))</f>
        <v/>
      </c>
      <c r="I219" s="87">
        <f>IF($G219="","",IFERROR(IF(INDEX(設定!$E$6:$E$21,MATCH($G219,設定!$B$6:$B$21,0))=0,"",INDEX(設定!$E$6:$E$21,MATCH($G219,設定!$B$6:$B$21,0))),""))</f>
        <v/>
      </c>
      <c r="J219" s="87">
        <f>IFERROR(INDEX(打卡匯入!$C$3:$C$502,MATCH($C219&amp;"|"&amp;DAY($A219),打卡匯入!$E$3:$E$502,0)),"")</f>
        <v/>
      </c>
      <c r="K219" s="87">
        <f>IFERROR(INDEX(打卡匯入!$D$3:$D$502,MATCH($C219&amp;"|"&amp;DAY($A219),打卡匯入!$E$3:$E$502,0)),"")</f>
        <v/>
      </c>
      <c r="L219" s="88">
        <f>IF(OR($J219="",$K219=""),"",IFERROR(INDEX(設定!$F$6:$F$21,MATCH($G219,設定!$B$6:$B$21,0)),0))</f>
        <v/>
      </c>
      <c r="M219" s="89">
        <f>IF(OR($J219="",$K219=""),"",ROUND(($K219-$J219)*24-$L219/60,2))</f>
        <v/>
      </c>
      <c r="N219" s="16">
        <f>IF($C219="","",IF(AND(COUNTIF(設定!$B$15:$B$21,$G219)&gt;0,$J219&lt;&gt;""),"假日出勤",IF(AND(COUNTIF(設定!$B$6:$B$14,$G219)&gt;0,$J219=""),"未打卡",IF($J219="","",IF($O219&gt;0,"遲到",IF($P219&gt;0,"早退","正常"))))))</f>
        <v/>
      </c>
      <c r="O219" s="88">
        <f>IF(OR($C219="",$H219="",$J219=""),0,IF(ROUND(($J219-$H219)*1440,0)&gt;設定!$C$48,ROUND(($J219-$H219)*1440,0),0))</f>
        <v/>
      </c>
      <c r="P219" s="88">
        <f>IF(OR($C219="",$I219="",$K219=""),0,IF(ROUND(($I219-$K219)*1440,0)&gt;設定!$C$48,ROUND(($I219-$K219)*1440,0),0))</f>
        <v/>
      </c>
      <c r="Q219" s="89">
        <f>IF($M219="",0,IF(($M219-IFERROR(INDEX(設定!$G$6:$G$21,MATCH($G219,設定!$B$6:$B$21,0)),0))*60&gt;=設定!$C$46,ROUND(FLOOR(($M219-IFERROR(INDEX(設定!$G$6:$G$21,MATCH($G219,設定!$B$6:$B$21,0)),0))*60,設定!$C$47)/60,2),0))</f>
        <v/>
      </c>
      <c r="R219" s="16">
        <f>IF(OR($C219="",$Q219=0),"",IF($G219="國","國定假日",IF($B219="日","例假",IF($B219="六","休息日","平日"))))</f>
        <v/>
      </c>
      <c r="S219" s="18" t="n"/>
    </row>
    <row r="220">
      <c r="A220" s="86">
        <f>IF(OR(醫護長與管理部班表!$A12="",1&gt;DAY(EOMONTH(DATE(設定!$C$2,設定!$D$2,1),0))),"",DATE(設定!$C$2,設定!$D$2,1))</f>
        <v/>
      </c>
      <c r="B220" s="16">
        <f>IF($A220="","",INDEX(設定!$O$6:$O$12,WEEKDAY($A220,1)))</f>
        <v/>
      </c>
      <c r="C220" s="16">
        <f>IF($A220="","",醫護長與管理部班表!$A12)</f>
        <v/>
      </c>
      <c r="D220" s="16">
        <f>IF($C220="","",醫護長與管理部班表!$B12)</f>
        <v/>
      </c>
      <c r="E220" s="16">
        <f>IF($C220="","",醫護長與管理部班表!$D12)</f>
        <v/>
      </c>
      <c r="F220" s="16">
        <f>IF($C220="","",醫護長與管理部班表!$C12)</f>
        <v/>
      </c>
      <c r="G220" s="16">
        <f>IF($C220="","",醫護長與管理部班表!E12)</f>
        <v/>
      </c>
      <c r="H220" s="87">
        <f>IF($G220="","",IFERROR(IF(INDEX(設定!$D$6:$D$21,MATCH($G220,設定!$B$6:$B$21,0))=0,"",INDEX(設定!$D$6:$D$21,MATCH($G220,設定!$B$6:$B$21,0))),""))</f>
        <v/>
      </c>
      <c r="I220" s="87">
        <f>IF($G220="","",IFERROR(IF(INDEX(設定!$E$6:$E$21,MATCH($G220,設定!$B$6:$B$21,0))=0,"",INDEX(設定!$E$6:$E$21,MATCH($G220,設定!$B$6:$B$21,0))),""))</f>
        <v/>
      </c>
      <c r="J220" s="87">
        <f>IFERROR(INDEX(打卡匯入!$C$3:$C$502,MATCH($C220&amp;"|"&amp;DAY($A220),打卡匯入!$E$3:$E$502,0)),"")</f>
        <v/>
      </c>
      <c r="K220" s="87">
        <f>IFERROR(INDEX(打卡匯入!$D$3:$D$502,MATCH($C220&amp;"|"&amp;DAY($A220),打卡匯入!$E$3:$E$502,0)),"")</f>
        <v/>
      </c>
      <c r="L220" s="88">
        <f>IF(OR($J220="",$K220=""),"",IFERROR(INDEX(設定!$F$6:$F$21,MATCH($G220,設定!$B$6:$B$21,0)),0))</f>
        <v/>
      </c>
      <c r="M220" s="89">
        <f>IF(OR($J220="",$K220=""),"",ROUND(($K220-$J220)*24-$L220/60,2))</f>
        <v/>
      </c>
      <c r="N220" s="16">
        <f>IF($C220="","",IF(AND(COUNTIF(設定!$B$15:$B$21,$G220)&gt;0,$J220&lt;&gt;""),"假日出勤",IF(AND(COUNTIF(設定!$B$6:$B$14,$G220)&gt;0,$J220=""),"未打卡",IF($J220="","",IF($O220&gt;0,"遲到",IF($P220&gt;0,"早退","正常"))))))</f>
        <v/>
      </c>
      <c r="O220" s="88">
        <f>IF(OR($C220="",$H220="",$J220=""),0,IF(ROUND(($J220-$H220)*1440,0)&gt;設定!$C$48,ROUND(($J220-$H220)*1440,0),0))</f>
        <v/>
      </c>
      <c r="P220" s="88">
        <f>IF(OR($C220="",$I220="",$K220=""),0,IF(ROUND(($I220-$K220)*1440,0)&gt;設定!$C$48,ROUND(($I220-$K220)*1440,0),0))</f>
        <v/>
      </c>
      <c r="Q220" s="89">
        <f>IF($M220="",0,IF(($M220-IFERROR(INDEX(設定!$G$6:$G$21,MATCH($G220,設定!$B$6:$B$21,0)),0))*60&gt;=設定!$C$46,ROUND(FLOOR(($M220-IFERROR(INDEX(設定!$G$6:$G$21,MATCH($G220,設定!$B$6:$B$21,0)),0))*60,設定!$C$47)/60,2),0))</f>
        <v/>
      </c>
      <c r="R220" s="16">
        <f>IF(OR($C220="",$Q220=0),"",IF($G220="國","國定假日",IF($B220="日","例假",IF($B220="六","休息日","平日"))))</f>
        <v/>
      </c>
      <c r="S220" s="18" t="n"/>
    </row>
    <row r="221">
      <c r="A221" s="86">
        <f>IF(OR(醫護長與管理部班表!$A12="",2&gt;DAY(EOMONTH(DATE(設定!$C$2,設定!$D$2,1),0))),"",DATE(設定!$C$2,設定!$D$2,2))</f>
        <v/>
      </c>
      <c r="B221" s="16">
        <f>IF($A221="","",INDEX(設定!$O$6:$O$12,WEEKDAY($A221,1)))</f>
        <v/>
      </c>
      <c r="C221" s="16">
        <f>IF($A221="","",醫護長與管理部班表!$A12)</f>
        <v/>
      </c>
      <c r="D221" s="16">
        <f>IF($C221="","",醫護長與管理部班表!$B12)</f>
        <v/>
      </c>
      <c r="E221" s="16">
        <f>IF($C221="","",醫護長與管理部班表!$D12)</f>
        <v/>
      </c>
      <c r="F221" s="16">
        <f>IF($C221="","",醫護長與管理部班表!$C12)</f>
        <v/>
      </c>
      <c r="G221" s="16">
        <f>IF($C221="","",醫護長與管理部班表!F12)</f>
        <v/>
      </c>
      <c r="H221" s="87">
        <f>IF($G221="","",IFERROR(IF(INDEX(設定!$D$6:$D$21,MATCH($G221,設定!$B$6:$B$21,0))=0,"",INDEX(設定!$D$6:$D$21,MATCH($G221,設定!$B$6:$B$21,0))),""))</f>
        <v/>
      </c>
      <c r="I221" s="87">
        <f>IF($G221="","",IFERROR(IF(INDEX(設定!$E$6:$E$21,MATCH($G221,設定!$B$6:$B$21,0))=0,"",INDEX(設定!$E$6:$E$21,MATCH($G221,設定!$B$6:$B$21,0))),""))</f>
        <v/>
      </c>
      <c r="J221" s="87">
        <f>IFERROR(INDEX(打卡匯入!$C$3:$C$502,MATCH($C221&amp;"|"&amp;DAY($A221),打卡匯入!$E$3:$E$502,0)),"")</f>
        <v/>
      </c>
      <c r="K221" s="87">
        <f>IFERROR(INDEX(打卡匯入!$D$3:$D$502,MATCH($C221&amp;"|"&amp;DAY($A221),打卡匯入!$E$3:$E$502,0)),"")</f>
        <v/>
      </c>
      <c r="L221" s="88">
        <f>IF(OR($J221="",$K221=""),"",IFERROR(INDEX(設定!$F$6:$F$21,MATCH($G221,設定!$B$6:$B$21,0)),0))</f>
        <v/>
      </c>
      <c r="M221" s="89">
        <f>IF(OR($J221="",$K221=""),"",ROUND(($K221-$J221)*24-$L221/60,2))</f>
        <v/>
      </c>
      <c r="N221" s="16">
        <f>IF($C221="","",IF(AND(COUNTIF(設定!$B$15:$B$21,$G221)&gt;0,$J221&lt;&gt;""),"假日出勤",IF(AND(COUNTIF(設定!$B$6:$B$14,$G221)&gt;0,$J221=""),"未打卡",IF($J221="","",IF($O221&gt;0,"遲到",IF($P221&gt;0,"早退","正常"))))))</f>
        <v/>
      </c>
      <c r="O221" s="88">
        <f>IF(OR($C221="",$H221="",$J221=""),0,IF(ROUND(($J221-$H221)*1440,0)&gt;設定!$C$48,ROUND(($J221-$H221)*1440,0),0))</f>
        <v/>
      </c>
      <c r="P221" s="88">
        <f>IF(OR($C221="",$I221="",$K221=""),0,IF(ROUND(($I221-$K221)*1440,0)&gt;設定!$C$48,ROUND(($I221-$K221)*1440,0),0))</f>
        <v/>
      </c>
      <c r="Q221" s="89">
        <f>IF($M221="",0,IF(($M221-IFERROR(INDEX(設定!$G$6:$G$21,MATCH($G221,設定!$B$6:$B$21,0)),0))*60&gt;=設定!$C$46,ROUND(FLOOR(($M221-IFERROR(INDEX(設定!$G$6:$G$21,MATCH($G221,設定!$B$6:$B$21,0)),0))*60,設定!$C$47)/60,2),0))</f>
        <v/>
      </c>
      <c r="R221" s="16">
        <f>IF(OR($C221="",$Q221=0),"",IF($G221="國","國定假日",IF($B221="日","例假",IF($B221="六","休息日","平日"))))</f>
        <v/>
      </c>
      <c r="S221" s="18" t="n"/>
    </row>
    <row r="222">
      <c r="A222" s="86">
        <f>IF(OR(醫護長與管理部班表!$A12="",3&gt;DAY(EOMONTH(DATE(設定!$C$2,設定!$D$2,1),0))),"",DATE(設定!$C$2,設定!$D$2,3))</f>
        <v/>
      </c>
      <c r="B222" s="16">
        <f>IF($A222="","",INDEX(設定!$O$6:$O$12,WEEKDAY($A222,1)))</f>
        <v/>
      </c>
      <c r="C222" s="16">
        <f>IF($A222="","",醫護長與管理部班表!$A12)</f>
        <v/>
      </c>
      <c r="D222" s="16">
        <f>IF($C222="","",醫護長與管理部班表!$B12)</f>
        <v/>
      </c>
      <c r="E222" s="16">
        <f>IF($C222="","",醫護長與管理部班表!$D12)</f>
        <v/>
      </c>
      <c r="F222" s="16">
        <f>IF($C222="","",醫護長與管理部班表!$C12)</f>
        <v/>
      </c>
      <c r="G222" s="16">
        <f>IF($C222="","",醫護長與管理部班表!G12)</f>
        <v/>
      </c>
      <c r="H222" s="87">
        <f>IF($G222="","",IFERROR(IF(INDEX(設定!$D$6:$D$21,MATCH($G222,設定!$B$6:$B$21,0))=0,"",INDEX(設定!$D$6:$D$21,MATCH($G222,設定!$B$6:$B$21,0))),""))</f>
        <v/>
      </c>
      <c r="I222" s="87">
        <f>IF($G222="","",IFERROR(IF(INDEX(設定!$E$6:$E$21,MATCH($G222,設定!$B$6:$B$21,0))=0,"",INDEX(設定!$E$6:$E$21,MATCH($G222,設定!$B$6:$B$21,0))),""))</f>
        <v/>
      </c>
      <c r="J222" s="87">
        <f>IFERROR(INDEX(打卡匯入!$C$3:$C$502,MATCH($C222&amp;"|"&amp;DAY($A222),打卡匯入!$E$3:$E$502,0)),"")</f>
        <v/>
      </c>
      <c r="K222" s="87">
        <f>IFERROR(INDEX(打卡匯入!$D$3:$D$502,MATCH($C222&amp;"|"&amp;DAY($A222),打卡匯入!$E$3:$E$502,0)),"")</f>
        <v/>
      </c>
      <c r="L222" s="88">
        <f>IF(OR($J222="",$K222=""),"",IFERROR(INDEX(設定!$F$6:$F$21,MATCH($G222,設定!$B$6:$B$21,0)),0))</f>
        <v/>
      </c>
      <c r="M222" s="89">
        <f>IF(OR($J222="",$K222=""),"",ROUND(($K222-$J222)*24-$L222/60,2))</f>
        <v/>
      </c>
      <c r="N222" s="16">
        <f>IF($C222="","",IF(AND(COUNTIF(設定!$B$15:$B$21,$G222)&gt;0,$J222&lt;&gt;""),"假日出勤",IF(AND(COUNTIF(設定!$B$6:$B$14,$G222)&gt;0,$J222=""),"未打卡",IF($J222="","",IF($O222&gt;0,"遲到",IF($P222&gt;0,"早退","正常"))))))</f>
        <v/>
      </c>
      <c r="O222" s="88">
        <f>IF(OR($C222="",$H222="",$J222=""),0,IF(ROUND(($J222-$H222)*1440,0)&gt;設定!$C$48,ROUND(($J222-$H222)*1440,0),0))</f>
        <v/>
      </c>
      <c r="P222" s="88">
        <f>IF(OR($C222="",$I222="",$K222=""),0,IF(ROUND(($I222-$K222)*1440,0)&gt;設定!$C$48,ROUND(($I222-$K222)*1440,0),0))</f>
        <v/>
      </c>
      <c r="Q222" s="89">
        <f>IF($M222="",0,IF(($M222-IFERROR(INDEX(設定!$G$6:$G$21,MATCH($G222,設定!$B$6:$B$21,0)),0))*60&gt;=設定!$C$46,ROUND(FLOOR(($M222-IFERROR(INDEX(設定!$G$6:$G$21,MATCH($G222,設定!$B$6:$B$21,0)),0))*60,設定!$C$47)/60,2),0))</f>
        <v/>
      </c>
      <c r="R222" s="16">
        <f>IF(OR($C222="",$Q222=0),"",IF($G222="國","國定假日",IF($B222="日","例假",IF($B222="六","休息日","平日"))))</f>
        <v/>
      </c>
      <c r="S222" s="18" t="n"/>
    </row>
    <row r="223">
      <c r="A223" s="86">
        <f>IF(OR(醫護長與管理部班表!$A12="",4&gt;DAY(EOMONTH(DATE(設定!$C$2,設定!$D$2,1),0))),"",DATE(設定!$C$2,設定!$D$2,4))</f>
        <v/>
      </c>
      <c r="B223" s="16">
        <f>IF($A223="","",INDEX(設定!$O$6:$O$12,WEEKDAY($A223,1)))</f>
        <v/>
      </c>
      <c r="C223" s="16">
        <f>IF($A223="","",醫護長與管理部班表!$A12)</f>
        <v/>
      </c>
      <c r="D223" s="16">
        <f>IF($C223="","",醫護長與管理部班表!$B12)</f>
        <v/>
      </c>
      <c r="E223" s="16">
        <f>IF($C223="","",醫護長與管理部班表!$D12)</f>
        <v/>
      </c>
      <c r="F223" s="16">
        <f>IF($C223="","",醫護長與管理部班表!$C12)</f>
        <v/>
      </c>
      <c r="G223" s="16">
        <f>IF($C223="","",醫護長與管理部班表!H12)</f>
        <v/>
      </c>
      <c r="H223" s="87">
        <f>IF($G223="","",IFERROR(IF(INDEX(設定!$D$6:$D$21,MATCH($G223,設定!$B$6:$B$21,0))=0,"",INDEX(設定!$D$6:$D$21,MATCH($G223,設定!$B$6:$B$21,0))),""))</f>
        <v/>
      </c>
      <c r="I223" s="87">
        <f>IF($G223="","",IFERROR(IF(INDEX(設定!$E$6:$E$21,MATCH($G223,設定!$B$6:$B$21,0))=0,"",INDEX(設定!$E$6:$E$21,MATCH($G223,設定!$B$6:$B$21,0))),""))</f>
        <v/>
      </c>
      <c r="J223" s="87">
        <f>IFERROR(INDEX(打卡匯入!$C$3:$C$502,MATCH($C223&amp;"|"&amp;DAY($A223),打卡匯入!$E$3:$E$502,0)),"")</f>
        <v/>
      </c>
      <c r="K223" s="87">
        <f>IFERROR(INDEX(打卡匯入!$D$3:$D$502,MATCH($C223&amp;"|"&amp;DAY($A223),打卡匯入!$E$3:$E$502,0)),"")</f>
        <v/>
      </c>
      <c r="L223" s="88">
        <f>IF(OR($J223="",$K223=""),"",IFERROR(INDEX(設定!$F$6:$F$21,MATCH($G223,設定!$B$6:$B$21,0)),0))</f>
        <v/>
      </c>
      <c r="M223" s="89">
        <f>IF(OR($J223="",$K223=""),"",ROUND(($K223-$J223)*24-$L223/60,2))</f>
        <v/>
      </c>
      <c r="N223" s="16">
        <f>IF($C223="","",IF(AND(COUNTIF(設定!$B$15:$B$21,$G223)&gt;0,$J223&lt;&gt;""),"假日出勤",IF(AND(COUNTIF(設定!$B$6:$B$14,$G223)&gt;0,$J223=""),"未打卡",IF($J223="","",IF($O223&gt;0,"遲到",IF($P223&gt;0,"早退","正常"))))))</f>
        <v/>
      </c>
      <c r="O223" s="88">
        <f>IF(OR($C223="",$H223="",$J223=""),0,IF(ROUND(($J223-$H223)*1440,0)&gt;設定!$C$48,ROUND(($J223-$H223)*1440,0),0))</f>
        <v/>
      </c>
      <c r="P223" s="88">
        <f>IF(OR($C223="",$I223="",$K223=""),0,IF(ROUND(($I223-$K223)*1440,0)&gt;設定!$C$48,ROUND(($I223-$K223)*1440,0),0))</f>
        <v/>
      </c>
      <c r="Q223" s="89">
        <f>IF($M223="",0,IF(($M223-IFERROR(INDEX(設定!$G$6:$G$21,MATCH($G223,設定!$B$6:$B$21,0)),0))*60&gt;=設定!$C$46,ROUND(FLOOR(($M223-IFERROR(INDEX(設定!$G$6:$G$21,MATCH($G223,設定!$B$6:$B$21,0)),0))*60,設定!$C$47)/60,2),0))</f>
        <v/>
      </c>
      <c r="R223" s="16">
        <f>IF(OR($C223="",$Q223=0),"",IF($G223="國","國定假日",IF($B223="日","例假",IF($B223="六","休息日","平日"))))</f>
        <v/>
      </c>
      <c r="S223" s="18" t="n"/>
    </row>
    <row r="224">
      <c r="A224" s="86">
        <f>IF(OR(醫護長與管理部班表!$A12="",5&gt;DAY(EOMONTH(DATE(設定!$C$2,設定!$D$2,1),0))),"",DATE(設定!$C$2,設定!$D$2,5))</f>
        <v/>
      </c>
      <c r="B224" s="16">
        <f>IF($A224="","",INDEX(設定!$O$6:$O$12,WEEKDAY($A224,1)))</f>
        <v/>
      </c>
      <c r="C224" s="16">
        <f>IF($A224="","",醫護長與管理部班表!$A12)</f>
        <v/>
      </c>
      <c r="D224" s="16">
        <f>IF($C224="","",醫護長與管理部班表!$B12)</f>
        <v/>
      </c>
      <c r="E224" s="16">
        <f>IF($C224="","",醫護長與管理部班表!$D12)</f>
        <v/>
      </c>
      <c r="F224" s="16">
        <f>IF($C224="","",醫護長與管理部班表!$C12)</f>
        <v/>
      </c>
      <c r="G224" s="16">
        <f>IF($C224="","",醫護長與管理部班表!I12)</f>
        <v/>
      </c>
      <c r="H224" s="87">
        <f>IF($G224="","",IFERROR(IF(INDEX(設定!$D$6:$D$21,MATCH($G224,設定!$B$6:$B$21,0))=0,"",INDEX(設定!$D$6:$D$21,MATCH($G224,設定!$B$6:$B$21,0))),""))</f>
        <v/>
      </c>
      <c r="I224" s="87">
        <f>IF($G224="","",IFERROR(IF(INDEX(設定!$E$6:$E$21,MATCH($G224,設定!$B$6:$B$21,0))=0,"",INDEX(設定!$E$6:$E$21,MATCH($G224,設定!$B$6:$B$21,0))),""))</f>
        <v/>
      </c>
      <c r="J224" s="87">
        <f>IFERROR(INDEX(打卡匯入!$C$3:$C$502,MATCH($C224&amp;"|"&amp;DAY($A224),打卡匯入!$E$3:$E$502,0)),"")</f>
        <v/>
      </c>
      <c r="K224" s="87">
        <f>IFERROR(INDEX(打卡匯入!$D$3:$D$502,MATCH($C224&amp;"|"&amp;DAY($A224),打卡匯入!$E$3:$E$502,0)),"")</f>
        <v/>
      </c>
      <c r="L224" s="88">
        <f>IF(OR($J224="",$K224=""),"",IFERROR(INDEX(設定!$F$6:$F$21,MATCH($G224,設定!$B$6:$B$21,0)),0))</f>
        <v/>
      </c>
      <c r="M224" s="89">
        <f>IF(OR($J224="",$K224=""),"",ROUND(($K224-$J224)*24-$L224/60,2))</f>
        <v/>
      </c>
      <c r="N224" s="16">
        <f>IF($C224="","",IF(AND(COUNTIF(設定!$B$15:$B$21,$G224)&gt;0,$J224&lt;&gt;""),"假日出勤",IF(AND(COUNTIF(設定!$B$6:$B$14,$G224)&gt;0,$J224=""),"未打卡",IF($J224="","",IF($O224&gt;0,"遲到",IF($P224&gt;0,"早退","正常"))))))</f>
        <v/>
      </c>
      <c r="O224" s="88">
        <f>IF(OR($C224="",$H224="",$J224=""),0,IF(ROUND(($J224-$H224)*1440,0)&gt;設定!$C$48,ROUND(($J224-$H224)*1440,0),0))</f>
        <v/>
      </c>
      <c r="P224" s="88">
        <f>IF(OR($C224="",$I224="",$K224=""),0,IF(ROUND(($I224-$K224)*1440,0)&gt;設定!$C$48,ROUND(($I224-$K224)*1440,0),0))</f>
        <v/>
      </c>
      <c r="Q224" s="89">
        <f>IF($M224="",0,IF(($M224-IFERROR(INDEX(設定!$G$6:$G$21,MATCH($G224,設定!$B$6:$B$21,0)),0))*60&gt;=設定!$C$46,ROUND(FLOOR(($M224-IFERROR(INDEX(設定!$G$6:$G$21,MATCH($G224,設定!$B$6:$B$21,0)),0))*60,設定!$C$47)/60,2),0))</f>
        <v/>
      </c>
      <c r="R224" s="16">
        <f>IF(OR($C224="",$Q224=0),"",IF($G224="國","國定假日",IF($B224="日","例假",IF($B224="六","休息日","平日"))))</f>
        <v/>
      </c>
      <c r="S224" s="18" t="n"/>
    </row>
    <row r="225">
      <c r="A225" s="86">
        <f>IF(OR(醫護長與管理部班表!$A12="",6&gt;DAY(EOMONTH(DATE(設定!$C$2,設定!$D$2,1),0))),"",DATE(設定!$C$2,設定!$D$2,6))</f>
        <v/>
      </c>
      <c r="B225" s="16">
        <f>IF($A225="","",INDEX(設定!$O$6:$O$12,WEEKDAY($A225,1)))</f>
        <v/>
      </c>
      <c r="C225" s="16">
        <f>IF($A225="","",醫護長與管理部班表!$A12)</f>
        <v/>
      </c>
      <c r="D225" s="16">
        <f>IF($C225="","",醫護長與管理部班表!$B12)</f>
        <v/>
      </c>
      <c r="E225" s="16">
        <f>IF($C225="","",醫護長與管理部班表!$D12)</f>
        <v/>
      </c>
      <c r="F225" s="16">
        <f>IF($C225="","",醫護長與管理部班表!$C12)</f>
        <v/>
      </c>
      <c r="G225" s="16">
        <f>IF($C225="","",醫護長與管理部班表!J12)</f>
        <v/>
      </c>
      <c r="H225" s="87">
        <f>IF($G225="","",IFERROR(IF(INDEX(設定!$D$6:$D$21,MATCH($G225,設定!$B$6:$B$21,0))=0,"",INDEX(設定!$D$6:$D$21,MATCH($G225,設定!$B$6:$B$21,0))),""))</f>
        <v/>
      </c>
      <c r="I225" s="87">
        <f>IF($G225="","",IFERROR(IF(INDEX(設定!$E$6:$E$21,MATCH($G225,設定!$B$6:$B$21,0))=0,"",INDEX(設定!$E$6:$E$21,MATCH($G225,設定!$B$6:$B$21,0))),""))</f>
        <v/>
      </c>
      <c r="J225" s="87">
        <f>IFERROR(INDEX(打卡匯入!$C$3:$C$502,MATCH($C225&amp;"|"&amp;DAY($A225),打卡匯入!$E$3:$E$502,0)),"")</f>
        <v/>
      </c>
      <c r="K225" s="87">
        <f>IFERROR(INDEX(打卡匯入!$D$3:$D$502,MATCH($C225&amp;"|"&amp;DAY($A225),打卡匯入!$E$3:$E$502,0)),"")</f>
        <v/>
      </c>
      <c r="L225" s="88">
        <f>IF(OR($J225="",$K225=""),"",IFERROR(INDEX(設定!$F$6:$F$21,MATCH($G225,設定!$B$6:$B$21,0)),0))</f>
        <v/>
      </c>
      <c r="M225" s="89">
        <f>IF(OR($J225="",$K225=""),"",ROUND(($K225-$J225)*24-$L225/60,2))</f>
        <v/>
      </c>
      <c r="N225" s="16">
        <f>IF($C225="","",IF(AND(COUNTIF(設定!$B$15:$B$21,$G225)&gt;0,$J225&lt;&gt;""),"假日出勤",IF(AND(COUNTIF(設定!$B$6:$B$14,$G225)&gt;0,$J225=""),"未打卡",IF($J225="","",IF($O225&gt;0,"遲到",IF($P225&gt;0,"早退","正常"))))))</f>
        <v/>
      </c>
      <c r="O225" s="88">
        <f>IF(OR($C225="",$H225="",$J225=""),0,IF(ROUND(($J225-$H225)*1440,0)&gt;設定!$C$48,ROUND(($J225-$H225)*1440,0),0))</f>
        <v/>
      </c>
      <c r="P225" s="88">
        <f>IF(OR($C225="",$I225="",$K225=""),0,IF(ROUND(($I225-$K225)*1440,0)&gt;設定!$C$48,ROUND(($I225-$K225)*1440,0),0))</f>
        <v/>
      </c>
      <c r="Q225" s="89">
        <f>IF($M225="",0,IF(($M225-IFERROR(INDEX(設定!$G$6:$G$21,MATCH($G225,設定!$B$6:$B$21,0)),0))*60&gt;=設定!$C$46,ROUND(FLOOR(($M225-IFERROR(INDEX(設定!$G$6:$G$21,MATCH($G225,設定!$B$6:$B$21,0)),0))*60,設定!$C$47)/60,2),0))</f>
        <v/>
      </c>
      <c r="R225" s="16">
        <f>IF(OR($C225="",$Q225=0),"",IF($G225="國","國定假日",IF($B225="日","例假",IF($B225="六","休息日","平日"))))</f>
        <v/>
      </c>
      <c r="S225" s="18" t="n"/>
    </row>
    <row r="226">
      <c r="A226" s="86">
        <f>IF(OR(醫護長與管理部班表!$A12="",7&gt;DAY(EOMONTH(DATE(設定!$C$2,設定!$D$2,1),0))),"",DATE(設定!$C$2,設定!$D$2,7))</f>
        <v/>
      </c>
      <c r="B226" s="16">
        <f>IF($A226="","",INDEX(設定!$O$6:$O$12,WEEKDAY($A226,1)))</f>
        <v/>
      </c>
      <c r="C226" s="16">
        <f>IF($A226="","",醫護長與管理部班表!$A12)</f>
        <v/>
      </c>
      <c r="D226" s="16">
        <f>IF($C226="","",醫護長與管理部班表!$B12)</f>
        <v/>
      </c>
      <c r="E226" s="16">
        <f>IF($C226="","",醫護長與管理部班表!$D12)</f>
        <v/>
      </c>
      <c r="F226" s="16">
        <f>IF($C226="","",醫護長與管理部班表!$C12)</f>
        <v/>
      </c>
      <c r="G226" s="16">
        <f>IF($C226="","",醫護長與管理部班表!K12)</f>
        <v/>
      </c>
      <c r="H226" s="87">
        <f>IF($G226="","",IFERROR(IF(INDEX(設定!$D$6:$D$21,MATCH($G226,設定!$B$6:$B$21,0))=0,"",INDEX(設定!$D$6:$D$21,MATCH($G226,設定!$B$6:$B$21,0))),""))</f>
        <v/>
      </c>
      <c r="I226" s="87">
        <f>IF($G226="","",IFERROR(IF(INDEX(設定!$E$6:$E$21,MATCH($G226,設定!$B$6:$B$21,0))=0,"",INDEX(設定!$E$6:$E$21,MATCH($G226,設定!$B$6:$B$21,0))),""))</f>
        <v/>
      </c>
      <c r="J226" s="87">
        <f>IFERROR(INDEX(打卡匯入!$C$3:$C$502,MATCH($C226&amp;"|"&amp;DAY($A226),打卡匯入!$E$3:$E$502,0)),"")</f>
        <v/>
      </c>
      <c r="K226" s="87">
        <f>IFERROR(INDEX(打卡匯入!$D$3:$D$502,MATCH($C226&amp;"|"&amp;DAY($A226),打卡匯入!$E$3:$E$502,0)),"")</f>
        <v/>
      </c>
      <c r="L226" s="88">
        <f>IF(OR($J226="",$K226=""),"",IFERROR(INDEX(設定!$F$6:$F$21,MATCH($G226,設定!$B$6:$B$21,0)),0))</f>
        <v/>
      </c>
      <c r="M226" s="89">
        <f>IF(OR($J226="",$K226=""),"",ROUND(($K226-$J226)*24-$L226/60,2))</f>
        <v/>
      </c>
      <c r="N226" s="16">
        <f>IF($C226="","",IF(AND(COUNTIF(設定!$B$15:$B$21,$G226)&gt;0,$J226&lt;&gt;""),"假日出勤",IF(AND(COUNTIF(設定!$B$6:$B$14,$G226)&gt;0,$J226=""),"未打卡",IF($J226="","",IF($O226&gt;0,"遲到",IF($P226&gt;0,"早退","正常"))))))</f>
        <v/>
      </c>
      <c r="O226" s="88">
        <f>IF(OR($C226="",$H226="",$J226=""),0,IF(ROUND(($J226-$H226)*1440,0)&gt;設定!$C$48,ROUND(($J226-$H226)*1440,0),0))</f>
        <v/>
      </c>
      <c r="P226" s="88">
        <f>IF(OR($C226="",$I226="",$K226=""),0,IF(ROUND(($I226-$K226)*1440,0)&gt;設定!$C$48,ROUND(($I226-$K226)*1440,0),0))</f>
        <v/>
      </c>
      <c r="Q226" s="89">
        <f>IF($M226="",0,IF(($M226-IFERROR(INDEX(設定!$G$6:$G$21,MATCH($G226,設定!$B$6:$B$21,0)),0))*60&gt;=設定!$C$46,ROUND(FLOOR(($M226-IFERROR(INDEX(設定!$G$6:$G$21,MATCH($G226,設定!$B$6:$B$21,0)),0))*60,設定!$C$47)/60,2),0))</f>
        <v/>
      </c>
      <c r="R226" s="16">
        <f>IF(OR($C226="",$Q226=0),"",IF($G226="國","國定假日",IF($B226="日","例假",IF($B226="六","休息日","平日"))))</f>
        <v/>
      </c>
      <c r="S226" s="18" t="n"/>
    </row>
    <row r="227">
      <c r="A227" s="86">
        <f>IF(OR(醫護長與管理部班表!$A12="",8&gt;DAY(EOMONTH(DATE(設定!$C$2,設定!$D$2,1),0))),"",DATE(設定!$C$2,設定!$D$2,8))</f>
        <v/>
      </c>
      <c r="B227" s="16">
        <f>IF($A227="","",INDEX(設定!$O$6:$O$12,WEEKDAY($A227,1)))</f>
        <v/>
      </c>
      <c r="C227" s="16">
        <f>IF($A227="","",醫護長與管理部班表!$A12)</f>
        <v/>
      </c>
      <c r="D227" s="16">
        <f>IF($C227="","",醫護長與管理部班表!$B12)</f>
        <v/>
      </c>
      <c r="E227" s="16">
        <f>IF($C227="","",醫護長與管理部班表!$D12)</f>
        <v/>
      </c>
      <c r="F227" s="16">
        <f>IF($C227="","",醫護長與管理部班表!$C12)</f>
        <v/>
      </c>
      <c r="G227" s="16">
        <f>IF($C227="","",醫護長與管理部班表!L12)</f>
        <v/>
      </c>
      <c r="H227" s="87">
        <f>IF($G227="","",IFERROR(IF(INDEX(設定!$D$6:$D$21,MATCH($G227,設定!$B$6:$B$21,0))=0,"",INDEX(設定!$D$6:$D$21,MATCH($G227,設定!$B$6:$B$21,0))),""))</f>
        <v/>
      </c>
      <c r="I227" s="87">
        <f>IF($G227="","",IFERROR(IF(INDEX(設定!$E$6:$E$21,MATCH($G227,設定!$B$6:$B$21,0))=0,"",INDEX(設定!$E$6:$E$21,MATCH($G227,設定!$B$6:$B$21,0))),""))</f>
        <v/>
      </c>
      <c r="J227" s="87">
        <f>IFERROR(INDEX(打卡匯入!$C$3:$C$502,MATCH($C227&amp;"|"&amp;DAY($A227),打卡匯入!$E$3:$E$502,0)),"")</f>
        <v/>
      </c>
      <c r="K227" s="87">
        <f>IFERROR(INDEX(打卡匯入!$D$3:$D$502,MATCH($C227&amp;"|"&amp;DAY($A227),打卡匯入!$E$3:$E$502,0)),"")</f>
        <v/>
      </c>
      <c r="L227" s="88">
        <f>IF(OR($J227="",$K227=""),"",IFERROR(INDEX(設定!$F$6:$F$21,MATCH($G227,設定!$B$6:$B$21,0)),0))</f>
        <v/>
      </c>
      <c r="M227" s="89">
        <f>IF(OR($J227="",$K227=""),"",ROUND(($K227-$J227)*24-$L227/60,2))</f>
        <v/>
      </c>
      <c r="N227" s="16">
        <f>IF($C227="","",IF(AND(COUNTIF(設定!$B$15:$B$21,$G227)&gt;0,$J227&lt;&gt;""),"假日出勤",IF(AND(COUNTIF(設定!$B$6:$B$14,$G227)&gt;0,$J227=""),"未打卡",IF($J227="","",IF($O227&gt;0,"遲到",IF($P227&gt;0,"早退","正常"))))))</f>
        <v/>
      </c>
      <c r="O227" s="88">
        <f>IF(OR($C227="",$H227="",$J227=""),0,IF(ROUND(($J227-$H227)*1440,0)&gt;設定!$C$48,ROUND(($J227-$H227)*1440,0),0))</f>
        <v/>
      </c>
      <c r="P227" s="88">
        <f>IF(OR($C227="",$I227="",$K227=""),0,IF(ROUND(($I227-$K227)*1440,0)&gt;設定!$C$48,ROUND(($I227-$K227)*1440,0),0))</f>
        <v/>
      </c>
      <c r="Q227" s="89">
        <f>IF($M227="",0,IF(($M227-IFERROR(INDEX(設定!$G$6:$G$21,MATCH($G227,設定!$B$6:$B$21,0)),0))*60&gt;=設定!$C$46,ROUND(FLOOR(($M227-IFERROR(INDEX(設定!$G$6:$G$21,MATCH($G227,設定!$B$6:$B$21,0)),0))*60,設定!$C$47)/60,2),0))</f>
        <v/>
      </c>
      <c r="R227" s="16">
        <f>IF(OR($C227="",$Q227=0),"",IF($G227="國","國定假日",IF($B227="日","例假",IF($B227="六","休息日","平日"))))</f>
        <v/>
      </c>
      <c r="S227" s="18" t="n"/>
    </row>
    <row r="228">
      <c r="A228" s="86">
        <f>IF(OR(醫護長與管理部班表!$A12="",9&gt;DAY(EOMONTH(DATE(設定!$C$2,設定!$D$2,1),0))),"",DATE(設定!$C$2,設定!$D$2,9))</f>
        <v/>
      </c>
      <c r="B228" s="16">
        <f>IF($A228="","",INDEX(設定!$O$6:$O$12,WEEKDAY($A228,1)))</f>
        <v/>
      </c>
      <c r="C228" s="16">
        <f>IF($A228="","",醫護長與管理部班表!$A12)</f>
        <v/>
      </c>
      <c r="D228" s="16">
        <f>IF($C228="","",醫護長與管理部班表!$B12)</f>
        <v/>
      </c>
      <c r="E228" s="16">
        <f>IF($C228="","",醫護長與管理部班表!$D12)</f>
        <v/>
      </c>
      <c r="F228" s="16">
        <f>IF($C228="","",醫護長與管理部班表!$C12)</f>
        <v/>
      </c>
      <c r="G228" s="16">
        <f>IF($C228="","",醫護長與管理部班表!M12)</f>
        <v/>
      </c>
      <c r="H228" s="87">
        <f>IF($G228="","",IFERROR(IF(INDEX(設定!$D$6:$D$21,MATCH($G228,設定!$B$6:$B$21,0))=0,"",INDEX(設定!$D$6:$D$21,MATCH($G228,設定!$B$6:$B$21,0))),""))</f>
        <v/>
      </c>
      <c r="I228" s="87">
        <f>IF($G228="","",IFERROR(IF(INDEX(設定!$E$6:$E$21,MATCH($G228,設定!$B$6:$B$21,0))=0,"",INDEX(設定!$E$6:$E$21,MATCH($G228,設定!$B$6:$B$21,0))),""))</f>
        <v/>
      </c>
      <c r="J228" s="87">
        <f>IFERROR(INDEX(打卡匯入!$C$3:$C$502,MATCH($C228&amp;"|"&amp;DAY($A228),打卡匯入!$E$3:$E$502,0)),"")</f>
        <v/>
      </c>
      <c r="K228" s="87">
        <f>IFERROR(INDEX(打卡匯入!$D$3:$D$502,MATCH($C228&amp;"|"&amp;DAY($A228),打卡匯入!$E$3:$E$502,0)),"")</f>
        <v/>
      </c>
      <c r="L228" s="88">
        <f>IF(OR($J228="",$K228=""),"",IFERROR(INDEX(設定!$F$6:$F$21,MATCH($G228,設定!$B$6:$B$21,0)),0))</f>
        <v/>
      </c>
      <c r="M228" s="89">
        <f>IF(OR($J228="",$K228=""),"",ROUND(($K228-$J228)*24-$L228/60,2))</f>
        <v/>
      </c>
      <c r="N228" s="16">
        <f>IF($C228="","",IF(AND(COUNTIF(設定!$B$15:$B$21,$G228)&gt;0,$J228&lt;&gt;""),"假日出勤",IF(AND(COUNTIF(設定!$B$6:$B$14,$G228)&gt;0,$J228=""),"未打卡",IF($J228="","",IF($O228&gt;0,"遲到",IF($P228&gt;0,"早退","正常"))))))</f>
        <v/>
      </c>
      <c r="O228" s="88">
        <f>IF(OR($C228="",$H228="",$J228=""),0,IF(ROUND(($J228-$H228)*1440,0)&gt;設定!$C$48,ROUND(($J228-$H228)*1440,0),0))</f>
        <v/>
      </c>
      <c r="P228" s="88">
        <f>IF(OR($C228="",$I228="",$K228=""),0,IF(ROUND(($I228-$K228)*1440,0)&gt;設定!$C$48,ROUND(($I228-$K228)*1440,0),0))</f>
        <v/>
      </c>
      <c r="Q228" s="89">
        <f>IF($M228="",0,IF(($M228-IFERROR(INDEX(設定!$G$6:$G$21,MATCH($G228,設定!$B$6:$B$21,0)),0))*60&gt;=設定!$C$46,ROUND(FLOOR(($M228-IFERROR(INDEX(設定!$G$6:$G$21,MATCH($G228,設定!$B$6:$B$21,0)),0))*60,設定!$C$47)/60,2),0))</f>
        <v/>
      </c>
      <c r="R228" s="16">
        <f>IF(OR($C228="",$Q228=0),"",IF($G228="國","國定假日",IF($B228="日","例假",IF($B228="六","休息日","平日"))))</f>
        <v/>
      </c>
      <c r="S228" s="18" t="n"/>
    </row>
    <row r="229">
      <c r="A229" s="86">
        <f>IF(OR(醫護長與管理部班表!$A12="",10&gt;DAY(EOMONTH(DATE(設定!$C$2,設定!$D$2,1),0))),"",DATE(設定!$C$2,設定!$D$2,10))</f>
        <v/>
      </c>
      <c r="B229" s="16">
        <f>IF($A229="","",INDEX(設定!$O$6:$O$12,WEEKDAY($A229,1)))</f>
        <v/>
      </c>
      <c r="C229" s="16">
        <f>IF($A229="","",醫護長與管理部班表!$A12)</f>
        <v/>
      </c>
      <c r="D229" s="16">
        <f>IF($C229="","",醫護長與管理部班表!$B12)</f>
        <v/>
      </c>
      <c r="E229" s="16">
        <f>IF($C229="","",醫護長與管理部班表!$D12)</f>
        <v/>
      </c>
      <c r="F229" s="16">
        <f>IF($C229="","",醫護長與管理部班表!$C12)</f>
        <v/>
      </c>
      <c r="G229" s="16">
        <f>IF($C229="","",醫護長與管理部班表!N12)</f>
        <v/>
      </c>
      <c r="H229" s="87">
        <f>IF($G229="","",IFERROR(IF(INDEX(設定!$D$6:$D$21,MATCH($G229,設定!$B$6:$B$21,0))=0,"",INDEX(設定!$D$6:$D$21,MATCH($G229,設定!$B$6:$B$21,0))),""))</f>
        <v/>
      </c>
      <c r="I229" s="87">
        <f>IF($G229="","",IFERROR(IF(INDEX(設定!$E$6:$E$21,MATCH($G229,設定!$B$6:$B$21,0))=0,"",INDEX(設定!$E$6:$E$21,MATCH($G229,設定!$B$6:$B$21,0))),""))</f>
        <v/>
      </c>
      <c r="J229" s="87">
        <f>IFERROR(INDEX(打卡匯入!$C$3:$C$502,MATCH($C229&amp;"|"&amp;DAY($A229),打卡匯入!$E$3:$E$502,0)),"")</f>
        <v/>
      </c>
      <c r="K229" s="87">
        <f>IFERROR(INDEX(打卡匯入!$D$3:$D$502,MATCH($C229&amp;"|"&amp;DAY($A229),打卡匯入!$E$3:$E$502,0)),"")</f>
        <v/>
      </c>
      <c r="L229" s="88">
        <f>IF(OR($J229="",$K229=""),"",IFERROR(INDEX(設定!$F$6:$F$21,MATCH($G229,設定!$B$6:$B$21,0)),0))</f>
        <v/>
      </c>
      <c r="M229" s="89">
        <f>IF(OR($J229="",$K229=""),"",ROUND(($K229-$J229)*24-$L229/60,2))</f>
        <v/>
      </c>
      <c r="N229" s="16">
        <f>IF($C229="","",IF(AND(COUNTIF(設定!$B$15:$B$21,$G229)&gt;0,$J229&lt;&gt;""),"假日出勤",IF(AND(COUNTIF(設定!$B$6:$B$14,$G229)&gt;0,$J229=""),"未打卡",IF($J229="","",IF($O229&gt;0,"遲到",IF($P229&gt;0,"早退","正常"))))))</f>
        <v/>
      </c>
      <c r="O229" s="88">
        <f>IF(OR($C229="",$H229="",$J229=""),0,IF(ROUND(($J229-$H229)*1440,0)&gt;設定!$C$48,ROUND(($J229-$H229)*1440,0),0))</f>
        <v/>
      </c>
      <c r="P229" s="88">
        <f>IF(OR($C229="",$I229="",$K229=""),0,IF(ROUND(($I229-$K229)*1440,0)&gt;設定!$C$48,ROUND(($I229-$K229)*1440,0),0))</f>
        <v/>
      </c>
      <c r="Q229" s="89">
        <f>IF($M229="",0,IF(($M229-IFERROR(INDEX(設定!$G$6:$G$21,MATCH($G229,設定!$B$6:$B$21,0)),0))*60&gt;=設定!$C$46,ROUND(FLOOR(($M229-IFERROR(INDEX(設定!$G$6:$G$21,MATCH($G229,設定!$B$6:$B$21,0)),0))*60,設定!$C$47)/60,2),0))</f>
        <v/>
      </c>
      <c r="R229" s="16">
        <f>IF(OR($C229="",$Q229=0),"",IF($G229="國","國定假日",IF($B229="日","例假",IF($B229="六","休息日","平日"))))</f>
        <v/>
      </c>
      <c r="S229" s="18" t="n"/>
    </row>
    <row r="230">
      <c r="A230" s="86">
        <f>IF(OR(醫護長與管理部班表!$A12="",11&gt;DAY(EOMONTH(DATE(設定!$C$2,設定!$D$2,1),0))),"",DATE(設定!$C$2,設定!$D$2,11))</f>
        <v/>
      </c>
      <c r="B230" s="16">
        <f>IF($A230="","",INDEX(設定!$O$6:$O$12,WEEKDAY($A230,1)))</f>
        <v/>
      </c>
      <c r="C230" s="16">
        <f>IF($A230="","",醫護長與管理部班表!$A12)</f>
        <v/>
      </c>
      <c r="D230" s="16">
        <f>IF($C230="","",醫護長與管理部班表!$B12)</f>
        <v/>
      </c>
      <c r="E230" s="16">
        <f>IF($C230="","",醫護長與管理部班表!$D12)</f>
        <v/>
      </c>
      <c r="F230" s="16">
        <f>IF($C230="","",醫護長與管理部班表!$C12)</f>
        <v/>
      </c>
      <c r="G230" s="16">
        <f>IF($C230="","",醫護長與管理部班表!O12)</f>
        <v/>
      </c>
      <c r="H230" s="87">
        <f>IF($G230="","",IFERROR(IF(INDEX(設定!$D$6:$D$21,MATCH($G230,設定!$B$6:$B$21,0))=0,"",INDEX(設定!$D$6:$D$21,MATCH($G230,設定!$B$6:$B$21,0))),""))</f>
        <v/>
      </c>
      <c r="I230" s="87">
        <f>IF($G230="","",IFERROR(IF(INDEX(設定!$E$6:$E$21,MATCH($G230,設定!$B$6:$B$21,0))=0,"",INDEX(設定!$E$6:$E$21,MATCH($G230,設定!$B$6:$B$21,0))),""))</f>
        <v/>
      </c>
      <c r="J230" s="87">
        <f>IFERROR(INDEX(打卡匯入!$C$3:$C$502,MATCH($C230&amp;"|"&amp;DAY($A230),打卡匯入!$E$3:$E$502,0)),"")</f>
        <v/>
      </c>
      <c r="K230" s="87">
        <f>IFERROR(INDEX(打卡匯入!$D$3:$D$502,MATCH($C230&amp;"|"&amp;DAY($A230),打卡匯入!$E$3:$E$502,0)),"")</f>
        <v/>
      </c>
      <c r="L230" s="88">
        <f>IF(OR($J230="",$K230=""),"",IFERROR(INDEX(設定!$F$6:$F$21,MATCH($G230,設定!$B$6:$B$21,0)),0))</f>
        <v/>
      </c>
      <c r="M230" s="89">
        <f>IF(OR($J230="",$K230=""),"",ROUND(($K230-$J230)*24-$L230/60,2))</f>
        <v/>
      </c>
      <c r="N230" s="16">
        <f>IF($C230="","",IF(AND(COUNTIF(設定!$B$15:$B$21,$G230)&gt;0,$J230&lt;&gt;""),"假日出勤",IF(AND(COUNTIF(設定!$B$6:$B$14,$G230)&gt;0,$J230=""),"未打卡",IF($J230="","",IF($O230&gt;0,"遲到",IF($P230&gt;0,"早退","正常"))))))</f>
        <v/>
      </c>
      <c r="O230" s="88">
        <f>IF(OR($C230="",$H230="",$J230=""),0,IF(ROUND(($J230-$H230)*1440,0)&gt;設定!$C$48,ROUND(($J230-$H230)*1440,0),0))</f>
        <v/>
      </c>
      <c r="P230" s="88">
        <f>IF(OR($C230="",$I230="",$K230=""),0,IF(ROUND(($I230-$K230)*1440,0)&gt;設定!$C$48,ROUND(($I230-$K230)*1440,0),0))</f>
        <v/>
      </c>
      <c r="Q230" s="89">
        <f>IF($M230="",0,IF(($M230-IFERROR(INDEX(設定!$G$6:$G$21,MATCH($G230,設定!$B$6:$B$21,0)),0))*60&gt;=設定!$C$46,ROUND(FLOOR(($M230-IFERROR(INDEX(設定!$G$6:$G$21,MATCH($G230,設定!$B$6:$B$21,0)),0))*60,設定!$C$47)/60,2),0))</f>
        <v/>
      </c>
      <c r="R230" s="16">
        <f>IF(OR($C230="",$Q230=0),"",IF($G230="國","國定假日",IF($B230="日","例假",IF($B230="六","休息日","平日"))))</f>
        <v/>
      </c>
      <c r="S230" s="18" t="n"/>
    </row>
    <row r="231">
      <c r="A231" s="86">
        <f>IF(OR(醫護長與管理部班表!$A12="",12&gt;DAY(EOMONTH(DATE(設定!$C$2,設定!$D$2,1),0))),"",DATE(設定!$C$2,設定!$D$2,12))</f>
        <v/>
      </c>
      <c r="B231" s="16">
        <f>IF($A231="","",INDEX(設定!$O$6:$O$12,WEEKDAY($A231,1)))</f>
        <v/>
      </c>
      <c r="C231" s="16">
        <f>IF($A231="","",醫護長與管理部班表!$A12)</f>
        <v/>
      </c>
      <c r="D231" s="16">
        <f>IF($C231="","",醫護長與管理部班表!$B12)</f>
        <v/>
      </c>
      <c r="E231" s="16">
        <f>IF($C231="","",醫護長與管理部班表!$D12)</f>
        <v/>
      </c>
      <c r="F231" s="16">
        <f>IF($C231="","",醫護長與管理部班表!$C12)</f>
        <v/>
      </c>
      <c r="G231" s="16">
        <f>IF($C231="","",醫護長與管理部班表!P12)</f>
        <v/>
      </c>
      <c r="H231" s="87">
        <f>IF($G231="","",IFERROR(IF(INDEX(設定!$D$6:$D$21,MATCH($G231,設定!$B$6:$B$21,0))=0,"",INDEX(設定!$D$6:$D$21,MATCH($G231,設定!$B$6:$B$21,0))),""))</f>
        <v/>
      </c>
      <c r="I231" s="87">
        <f>IF($G231="","",IFERROR(IF(INDEX(設定!$E$6:$E$21,MATCH($G231,設定!$B$6:$B$21,0))=0,"",INDEX(設定!$E$6:$E$21,MATCH($G231,設定!$B$6:$B$21,0))),""))</f>
        <v/>
      </c>
      <c r="J231" s="87">
        <f>IFERROR(INDEX(打卡匯入!$C$3:$C$502,MATCH($C231&amp;"|"&amp;DAY($A231),打卡匯入!$E$3:$E$502,0)),"")</f>
        <v/>
      </c>
      <c r="K231" s="87">
        <f>IFERROR(INDEX(打卡匯入!$D$3:$D$502,MATCH($C231&amp;"|"&amp;DAY($A231),打卡匯入!$E$3:$E$502,0)),"")</f>
        <v/>
      </c>
      <c r="L231" s="88">
        <f>IF(OR($J231="",$K231=""),"",IFERROR(INDEX(設定!$F$6:$F$21,MATCH($G231,設定!$B$6:$B$21,0)),0))</f>
        <v/>
      </c>
      <c r="M231" s="89">
        <f>IF(OR($J231="",$K231=""),"",ROUND(($K231-$J231)*24-$L231/60,2))</f>
        <v/>
      </c>
      <c r="N231" s="16">
        <f>IF($C231="","",IF(AND(COUNTIF(設定!$B$15:$B$21,$G231)&gt;0,$J231&lt;&gt;""),"假日出勤",IF(AND(COUNTIF(設定!$B$6:$B$14,$G231)&gt;0,$J231=""),"未打卡",IF($J231="","",IF($O231&gt;0,"遲到",IF($P231&gt;0,"早退","正常"))))))</f>
        <v/>
      </c>
      <c r="O231" s="88">
        <f>IF(OR($C231="",$H231="",$J231=""),0,IF(ROUND(($J231-$H231)*1440,0)&gt;設定!$C$48,ROUND(($J231-$H231)*1440,0),0))</f>
        <v/>
      </c>
      <c r="P231" s="88">
        <f>IF(OR($C231="",$I231="",$K231=""),0,IF(ROUND(($I231-$K231)*1440,0)&gt;設定!$C$48,ROUND(($I231-$K231)*1440,0),0))</f>
        <v/>
      </c>
      <c r="Q231" s="89">
        <f>IF($M231="",0,IF(($M231-IFERROR(INDEX(設定!$G$6:$G$21,MATCH($G231,設定!$B$6:$B$21,0)),0))*60&gt;=設定!$C$46,ROUND(FLOOR(($M231-IFERROR(INDEX(設定!$G$6:$G$21,MATCH($G231,設定!$B$6:$B$21,0)),0))*60,設定!$C$47)/60,2),0))</f>
        <v/>
      </c>
      <c r="R231" s="16">
        <f>IF(OR($C231="",$Q231=0),"",IF($G231="國","國定假日",IF($B231="日","例假",IF($B231="六","休息日","平日"))))</f>
        <v/>
      </c>
      <c r="S231" s="18" t="n"/>
    </row>
    <row r="232">
      <c r="A232" s="86">
        <f>IF(OR(醫護長與管理部班表!$A12="",13&gt;DAY(EOMONTH(DATE(設定!$C$2,設定!$D$2,1),0))),"",DATE(設定!$C$2,設定!$D$2,13))</f>
        <v/>
      </c>
      <c r="B232" s="16">
        <f>IF($A232="","",INDEX(設定!$O$6:$O$12,WEEKDAY($A232,1)))</f>
        <v/>
      </c>
      <c r="C232" s="16">
        <f>IF($A232="","",醫護長與管理部班表!$A12)</f>
        <v/>
      </c>
      <c r="D232" s="16">
        <f>IF($C232="","",醫護長與管理部班表!$B12)</f>
        <v/>
      </c>
      <c r="E232" s="16">
        <f>IF($C232="","",醫護長與管理部班表!$D12)</f>
        <v/>
      </c>
      <c r="F232" s="16">
        <f>IF($C232="","",醫護長與管理部班表!$C12)</f>
        <v/>
      </c>
      <c r="G232" s="16">
        <f>IF($C232="","",醫護長與管理部班表!Q12)</f>
        <v/>
      </c>
      <c r="H232" s="87">
        <f>IF($G232="","",IFERROR(IF(INDEX(設定!$D$6:$D$21,MATCH($G232,設定!$B$6:$B$21,0))=0,"",INDEX(設定!$D$6:$D$21,MATCH($G232,設定!$B$6:$B$21,0))),""))</f>
        <v/>
      </c>
      <c r="I232" s="87">
        <f>IF($G232="","",IFERROR(IF(INDEX(設定!$E$6:$E$21,MATCH($G232,設定!$B$6:$B$21,0))=0,"",INDEX(設定!$E$6:$E$21,MATCH($G232,設定!$B$6:$B$21,0))),""))</f>
        <v/>
      </c>
      <c r="J232" s="87">
        <f>IFERROR(INDEX(打卡匯入!$C$3:$C$502,MATCH($C232&amp;"|"&amp;DAY($A232),打卡匯入!$E$3:$E$502,0)),"")</f>
        <v/>
      </c>
      <c r="K232" s="87">
        <f>IFERROR(INDEX(打卡匯入!$D$3:$D$502,MATCH($C232&amp;"|"&amp;DAY($A232),打卡匯入!$E$3:$E$502,0)),"")</f>
        <v/>
      </c>
      <c r="L232" s="88">
        <f>IF(OR($J232="",$K232=""),"",IFERROR(INDEX(設定!$F$6:$F$21,MATCH($G232,設定!$B$6:$B$21,0)),0))</f>
        <v/>
      </c>
      <c r="M232" s="89">
        <f>IF(OR($J232="",$K232=""),"",ROUND(($K232-$J232)*24-$L232/60,2))</f>
        <v/>
      </c>
      <c r="N232" s="16">
        <f>IF($C232="","",IF(AND(COUNTIF(設定!$B$15:$B$21,$G232)&gt;0,$J232&lt;&gt;""),"假日出勤",IF(AND(COUNTIF(設定!$B$6:$B$14,$G232)&gt;0,$J232=""),"未打卡",IF($J232="","",IF($O232&gt;0,"遲到",IF($P232&gt;0,"早退","正常"))))))</f>
        <v/>
      </c>
      <c r="O232" s="88">
        <f>IF(OR($C232="",$H232="",$J232=""),0,IF(ROUND(($J232-$H232)*1440,0)&gt;設定!$C$48,ROUND(($J232-$H232)*1440,0),0))</f>
        <v/>
      </c>
      <c r="P232" s="88">
        <f>IF(OR($C232="",$I232="",$K232=""),0,IF(ROUND(($I232-$K232)*1440,0)&gt;設定!$C$48,ROUND(($I232-$K232)*1440,0),0))</f>
        <v/>
      </c>
      <c r="Q232" s="89">
        <f>IF($M232="",0,IF(($M232-IFERROR(INDEX(設定!$G$6:$G$21,MATCH($G232,設定!$B$6:$B$21,0)),0))*60&gt;=設定!$C$46,ROUND(FLOOR(($M232-IFERROR(INDEX(設定!$G$6:$G$21,MATCH($G232,設定!$B$6:$B$21,0)),0))*60,設定!$C$47)/60,2),0))</f>
        <v/>
      </c>
      <c r="R232" s="16">
        <f>IF(OR($C232="",$Q232=0),"",IF($G232="國","國定假日",IF($B232="日","例假",IF($B232="六","休息日","平日"))))</f>
        <v/>
      </c>
      <c r="S232" s="18" t="n"/>
    </row>
    <row r="233">
      <c r="A233" s="86">
        <f>IF(OR(醫護長與管理部班表!$A12="",14&gt;DAY(EOMONTH(DATE(設定!$C$2,設定!$D$2,1),0))),"",DATE(設定!$C$2,設定!$D$2,14))</f>
        <v/>
      </c>
      <c r="B233" s="16">
        <f>IF($A233="","",INDEX(設定!$O$6:$O$12,WEEKDAY($A233,1)))</f>
        <v/>
      </c>
      <c r="C233" s="16">
        <f>IF($A233="","",醫護長與管理部班表!$A12)</f>
        <v/>
      </c>
      <c r="D233" s="16">
        <f>IF($C233="","",醫護長與管理部班表!$B12)</f>
        <v/>
      </c>
      <c r="E233" s="16">
        <f>IF($C233="","",醫護長與管理部班表!$D12)</f>
        <v/>
      </c>
      <c r="F233" s="16">
        <f>IF($C233="","",醫護長與管理部班表!$C12)</f>
        <v/>
      </c>
      <c r="G233" s="16">
        <f>IF($C233="","",醫護長與管理部班表!R12)</f>
        <v/>
      </c>
      <c r="H233" s="87">
        <f>IF($G233="","",IFERROR(IF(INDEX(設定!$D$6:$D$21,MATCH($G233,設定!$B$6:$B$21,0))=0,"",INDEX(設定!$D$6:$D$21,MATCH($G233,設定!$B$6:$B$21,0))),""))</f>
        <v/>
      </c>
      <c r="I233" s="87">
        <f>IF($G233="","",IFERROR(IF(INDEX(設定!$E$6:$E$21,MATCH($G233,設定!$B$6:$B$21,0))=0,"",INDEX(設定!$E$6:$E$21,MATCH($G233,設定!$B$6:$B$21,0))),""))</f>
        <v/>
      </c>
      <c r="J233" s="87">
        <f>IFERROR(INDEX(打卡匯入!$C$3:$C$502,MATCH($C233&amp;"|"&amp;DAY($A233),打卡匯入!$E$3:$E$502,0)),"")</f>
        <v/>
      </c>
      <c r="K233" s="87">
        <f>IFERROR(INDEX(打卡匯入!$D$3:$D$502,MATCH($C233&amp;"|"&amp;DAY($A233),打卡匯入!$E$3:$E$502,0)),"")</f>
        <v/>
      </c>
      <c r="L233" s="88">
        <f>IF(OR($J233="",$K233=""),"",IFERROR(INDEX(設定!$F$6:$F$21,MATCH($G233,設定!$B$6:$B$21,0)),0))</f>
        <v/>
      </c>
      <c r="M233" s="89">
        <f>IF(OR($J233="",$K233=""),"",ROUND(($K233-$J233)*24-$L233/60,2))</f>
        <v/>
      </c>
      <c r="N233" s="16">
        <f>IF($C233="","",IF(AND(COUNTIF(設定!$B$15:$B$21,$G233)&gt;0,$J233&lt;&gt;""),"假日出勤",IF(AND(COUNTIF(設定!$B$6:$B$14,$G233)&gt;0,$J233=""),"未打卡",IF($J233="","",IF($O233&gt;0,"遲到",IF($P233&gt;0,"早退","正常"))))))</f>
        <v/>
      </c>
      <c r="O233" s="88">
        <f>IF(OR($C233="",$H233="",$J233=""),0,IF(ROUND(($J233-$H233)*1440,0)&gt;設定!$C$48,ROUND(($J233-$H233)*1440,0),0))</f>
        <v/>
      </c>
      <c r="P233" s="88">
        <f>IF(OR($C233="",$I233="",$K233=""),0,IF(ROUND(($I233-$K233)*1440,0)&gt;設定!$C$48,ROUND(($I233-$K233)*1440,0),0))</f>
        <v/>
      </c>
      <c r="Q233" s="89">
        <f>IF($M233="",0,IF(($M233-IFERROR(INDEX(設定!$G$6:$G$21,MATCH($G233,設定!$B$6:$B$21,0)),0))*60&gt;=設定!$C$46,ROUND(FLOOR(($M233-IFERROR(INDEX(設定!$G$6:$G$21,MATCH($G233,設定!$B$6:$B$21,0)),0))*60,設定!$C$47)/60,2),0))</f>
        <v/>
      </c>
      <c r="R233" s="16">
        <f>IF(OR($C233="",$Q233=0),"",IF($G233="國","國定假日",IF($B233="日","例假",IF($B233="六","休息日","平日"))))</f>
        <v/>
      </c>
      <c r="S233" s="18" t="n"/>
    </row>
    <row r="234">
      <c r="A234" s="86">
        <f>IF(OR(醫護長與管理部班表!$A12="",15&gt;DAY(EOMONTH(DATE(設定!$C$2,設定!$D$2,1),0))),"",DATE(設定!$C$2,設定!$D$2,15))</f>
        <v/>
      </c>
      <c r="B234" s="16">
        <f>IF($A234="","",INDEX(設定!$O$6:$O$12,WEEKDAY($A234,1)))</f>
        <v/>
      </c>
      <c r="C234" s="16">
        <f>IF($A234="","",醫護長與管理部班表!$A12)</f>
        <v/>
      </c>
      <c r="D234" s="16">
        <f>IF($C234="","",醫護長與管理部班表!$B12)</f>
        <v/>
      </c>
      <c r="E234" s="16">
        <f>IF($C234="","",醫護長與管理部班表!$D12)</f>
        <v/>
      </c>
      <c r="F234" s="16">
        <f>IF($C234="","",醫護長與管理部班表!$C12)</f>
        <v/>
      </c>
      <c r="G234" s="16">
        <f>IF($C234="","",醫護長與管理部班表!S12)</f>
        <v/>
      </c>
      <c r="H234" s="87">
        <f>IF($G234="","",IFERROR(IF(INDEX(設定!$D$6:$D$21,MATCH($G234,設定!$B$6:$B$21,0))=0,"",INDEX(設定!$D$6:$D$21,MATCH($G234,設定!$B$6:$B$21,0))),""))</f>
        <v/>
      </c>
      <c r="I234" s="87">
        <f>IF($G234="","",IFERROR(IF(INDEX(設定!$E$6:$E$21,MATCH($G234,設定!$B$6:$B$21,0))=0,"",INDEX(設定!$E$6:$E$21,MATCH($G234,設定!$B$6:$B$21,0))),""))</f>
        <v/>
      </c>
      <c r="J234" s="87">
        <f>IFERROR(INDEX(打卡匯入!$C$3:$C$502,MATCH($C234&amp;"|"&amp;DAY($A234),打卡匯入!$E$3:$E$502,0)),"")</f>
        <v/>
      </c>
      <c r="K234" s="87">
        <f>IFERROR(INDEX(打卡匯入!$D$3:$D$502,MATCH($C234&amp;"|"&amp;DAY($A234),打卡匯入!$E$3:$E$502,0)),"")</f>
        <v/>
      </c>
      <c r="L234" s="88">
        <f>IF(OR($J234="",$K234=""),"",IFERROR(INDEX(設定!$F$6:$F$21,MATCH($G234,設定!$B$6:$B$21,0)),0))</f>
        <v/>
      </c>
      <c r="M234" s="89">
        <f>IF(OR($J234="",$K234=""),"",ROUND(($K234-$J234)*24-$L234/60,2))</f>
        <v/>
      </c>
      <c r="N234" s="16">
        <f>IF($C234="","",IF(AND(COUNTIF(設定!$B$15:$B$21,$G234)&gt;0,$J234&lt;&gt;""),"假日出勤",IF(AND(COUNTIF(設定!$B$6:$B$14,$G234)&gt;0,$J234=""),"未打卡",IF($J234="","",IF($O234&gt;0,"遲到",IF($P234&gt;0,"早退","正常"))))))</f>
        <v/>
      </c>
      <c r="O234" s="88">
        <f>IF(OR($C234="",$H234="",$J234=""),0,IF(ROUND(($J234-$H234)*1440,0)&gt;設定!$C$48,ROUND(($J234-$H234)*1440,0),0))</f>
        <v/>
      </c>
      <c r="P234" s="88">
        <f>IF(OR($C234="",$I234="",$K234=""),0,IF(ROUND(($I234-$K234)*1440,0)&gt;設定!$C$48,ROUND(($I234-$K234)*1440,0),0))</f>
        <v/>
      </c>
      <c r="Q234" s="89">
        <f>IF($M234="",0,IF(($M234-IFERROR(INDEX(設定!$G$6:$G$21,MATCH($G234,設定!$B$6:$B$21,0)),0))*60&gt;=設定!$C$46,ROUND(FLOOR(($M234-IFERROR(INDEX(設定!$G$6:$G$21,MATCH($G234,設定!$B$6:$B$21,0)),0))*60,設定!$C$47)/60,2),0))</f>
        <v/>
      </c>
      <c r="R234" s="16">
        <f>IF(OR($C234="",$Q234=0),"",IF($G234="國","國定假日",IF($B234="日","例假",IF($B234="六","休息日","平日"))))</f>
        <v/>
      </c>
      <c r="S234" s="18" t="n"/>
    </row>
    <row r="235">
      <c r="A235" s="86">
        <f>IF(OR(醫護長與管理部班表!$A12="",16&gt;DAY(EOMONTH(DATE(設定!$C$2,設定!$D$2,1),0))),"",DATE(設定!$C$2,設定!$D$2,16))</f>
        <v/>
      </c>
      <c r="B235" s="16">
        <f>IF($A235="","",INDEX(設定!$O$6:$O$12,WEEKDAY($A235,1)))</f>
        <v/>
      </c>
      <c r="C235" s="16">
        <f>IF($A235="","",醫護長與管理部班表!$A12)</f>
        <v/>
      </c>
      <c r="D235" s="16">
        <f>IF($C235="","",醫護長與管理部班表!$B12)</f>
        <v/>
      </c>
      <c r="E235" s="16">
        <f>IF($C235="","",醫護長與管理部班表!$D12)</f>
        <v/>
      </c>
      <c r="F235" s="16">
        <f>IF($C235="","",醫護長與管理部班表!$C12)</f>
        <v/>
      </c>
      <c r="G235" s="16">
        <f>IF($C235="","",醫護長與管理部班表!T12)</f>
        <v/>
      </c>
      <c r="H235" s="87">
        <f>IF($G235="","",IFERROR(IF(INDEX(設定!$D$6:$D$21,MATCH($G235,設定!$B$6:$B$21,0))=0,"",INDEX(設定!$D$6:$D$21,MATCH($G235,設定!$B$6:$B$21,0))),""))</f>
        <v/>
      </c>
      <c r="I235" s="87">
        <f>IF($G235="","",IFERROR(IF(INDEX(設定!$E$6:$E$21,MATCH($G235,設定!$B$6:$B$21,0))=0,"",INDEX(設定!$E$6:$E$21,MATCH($G235,設定!$B$6:$B$21,0))),""))</f>
        <v/>
      </c>
      <c r="J235" s="87">
        <f>IFERROR(INDEX(打卡匯入!$C$3:$C$502,MATCH($C235&amp;"|"&amp;DAY($A235),打卡匯入!$E$3:$E$502,0)),"")</f>
        <v/>
      </c>
      <c r="K235" s="87">
        <f>IFERROR(INDEX(打卡匯入!$D$3:$D$502,MATCH($C235&amp;"|"&amp;DAY($A235),打卡匯入!$E$3:$E$502,0)),"")</f>
        <v/>
      </c>
      <c r="L235" s="88">
        <f>IF(OR($J235="",$K235=""),"",IFERROR(INDEX(設定!$F$6:$F$21,MATCH($G235,設定!$B$6:$B$21,0)),0))</f>
        <v/>
      </c>
      <c r="M235" s="89">
        <f>IF(OR($J235="",$K235=""),"",ROUND(($K235-$J235)*24-$L235/60,2))</f>
        <v/>
      </c>
      <c r="N235" s="16">
        <f>IF($C235="","",IF(AND(COUNTIF(設定!$B$15:$B$21,$G235)&gt;0,$J235&lt;&gt;""),"假日出勤",IF(AND(COUNTIF(設定!$B$6:$B$14,$G235)&gt;0,$J235=""),"未打卡",IF($J235="","",IF($O235&gt;0,"遲到",IF($P235&gt;0,"早退","正常"))))))</f>
        <v/>
      </c>
      <c r="O235" s="88">
        <f>IF(OR($C235="",$H235="",$J235=""),0,IF(ROUND(($J235-$H235)*1440,0)&gt;設定!$C$48,ROUND(($J235-$H235)*1440,0),0))</f>
        <v/>
      </c>
      <c r="P235" s="88">
        <f>IF(OR($C235="",$I235="",$K235=""),0,IF(ROUND(($I235-$K235)*1440,0)&gt;設定!$C$48,ROUND(($I235-$K235)*1440,0),0))</f>
        <v/>
      </c>
      <c r="Q235" s="89">
        <f>IF($M235="",0,IF(($M235-IFERROR(INDEX(設定!$G$6:$G$21,MATCH($G235,設定!$B$6:$B$21,0)),0))*60&gt;=設定!$C$46,ROUND(FLOOR(($M235-IFERROR(INDEX(設定!$G$6:$G$21,MATCH($G235,設定!$B$6:$B$21,0)),0))*60,設定!$C$47)/60,2),0))</f>
        <v/>
      </c>
      <c r="R235" s="16">
        <f>IF(OR($C235="",$Q235=0),"",IF($G235="國","國定假日",IF($B235="日","例假",IF($B235="六","休息日","平日"))))</f>
        <v/>
      </c>
      <c r="S235" s="18" t="n"/>
    </row>
    <row r="236">
      <c r="A236" s="86">
        <f>IF(OR(醫護長與管理部班表!$A12="",17&gt;DAY(EOMONTH(DATE(設定!$C$2,設定!$D$2,1),0))),"",DATE(設定!$C$2,設定!$D$2,17))</f>
        <v/>
      </c>
      <c r="B236" s="16">
        <f>IF($A236="","",INDEX(設定!$O$6:$O$12,WEEKDAY($A236,1)))</f>
        <v/>
      </c>
      <c r="C236" s="16">
        <f>IF($A236="","",醫護長與管理部班表!$A12)</f>
        <v/>
      </c>
      <c r="D236" s="16">
        <f>IF($C236="","",醫護長與管理部班表!$B12)</f>
        <v/>
      </c>
      <c r="E236" s="16">
        <f>IF($C236="","",醫護長與管理部班表!$D12)</f>
        <v/>
      </c>
      <c r="F236" s="16">
        <f>IF($C236="","",醫護長與管理部班表!$C12)</f>
        <v/>
      </c>
      <c r="G236" s="16">
        <f>IF($C236="","",醫護長與管理部班表!U12)</f>
        <v/>
      </c>
      <c r="H236" s="87">
        <f>IF($G236="","",IFERROR(IF(INDEX(設定!$D$6:$D$21,MATCH($G236,設定!$B$6:$B$21,0))=0,"",INDEX(設定!$D$6:$D$21,MATCH($G236,設定!$B$6:$B$21,0))),""))</f>
        <v/>
      </c>
      <c r="I236" s="87">
        <f>IF($G236="","",IFERROR(IF(INDEX(設定!$E$6:$E$21,MATCH($G236,設定!$B$6:$B$21,0))=0,"",INDEX(設定!$E$6:$E$21,MATCH($G236,設定!$B$6:$B$21,0))),""))</f>
        <v/>
      </c>
      <c r="J236" s="87">
        <f>IFERROR(INDEX(打卡匯入!$C$3:$C$502,MATCH($C236&amp;"|"&amp;DAY($A236),打卡匯入!$E$3:$E$502,0)),"")</f>
        <v/>
      </c>
      <c r="K236" s="87">
        <f>IFERROR(INDEX(打卡匯入!$D$3:$D$502,MATCH($C236&amp;"|"&amp;DAY($A236),打卡匯入!$E$3:$E$502,0)),"")</f>
        <v/>
      </c>
      <c r="L236" s="88">
        <f>IF(OR($J236="",$K236=""),"",IFERROR(INDEX(設定!$F$6:$F$21,MATCH($G236,設定!$B$6:$B$21,0)),0))</f>
        <v/>
      </c>
      <c r="M236" s="89">
        <f>IF(OR($J236="",$K236=""),"",ROUND(($K236-$J236)*24-$L236/60,2))</f>
        <v/>
      </c>
      <c r="N236" s="16">
        <f>IF($C236="","",IF(AND(COUNTIF(設定!$B$15:$B$21,$G236)&gt;0,$J236&lt;&gt;""),"假日出勤",IF(AND(COUNTIF(設定!$B$6:$B$14,$G236)&gt;0,$J236=""),"未打卡",IF($J236="","",IF($O236&gt;0,"遲到",IF($P236&gt;0,"早退","正常"))))))</f>
        <v/>
      </c>
      <c r="O236" s="88">
        <f>IF(OR($C236="",$H236="",$J236=""),0,IF(ROUND(($J236-$H236)*1440,0)&gt;設定!$C$48,ROUND(($J236-$H236)*1440,0),0))</f>
        <v/>
      </c>
      <c r="P236" s="88">
        <f>IF(OR($C236="",$I236="",$K236=""),0,IF(ROUND(($I236-$K236)*1440,0)&gt;設定!$C$48,ROUND(($I236-$K236)*1440,0),0))</f>
        <v/>
      </c>
      <c r="Q236" s="89">
        <f>IF($M236="",0,IF(($M236-IFERROR(INDEX(設定!$G$6:$G$21,MATCH($G236,設定!$B$6:$B$21,0)),0))*60&gt;=設定!$C$46,ROUND(FLOOR(($M236-IFERROR(INDEX(設定!$G$6:$G$21,MATCH($G236,設定!$B$6:$B$21,0)),0))*60,設定!$C$47)/60,2),0))</f>
        <v/>
      </c>
      <c r="R236" s="16">
        <f>IF(OR($C236="",$Q236=0),"",IF($G236="國","國定假日",IF($B236="日","例假",IF($B236="六","休息日","平日"))))</f>
        <v/>
      </c>
      <c r="S236" s="18" t="n"/>
    </row>
    <row r="237">
      <c r="A237" s="86">
        <f>IF(OR(醫護長與管理部班表!$A12="",18&gt;DAY(EOMONTH(DATE(設定!$C$2,設定!$D$2,1),0))),"",DATE(設定!$C$2,設定!$D$2,18))</f>
        <v/>
      </c>
      <c r="B237" s="16">
        <f>IF($A237="","",INDEX(設定!$O$6:$O$12,WEEKDAY($A237,1)))</f>
        <v/>
      </c>
      <c r="C237" s="16">
        <f>IF($A237="","",醫護長與管理部班表!$A12)</f>
        <v/>
      </c>
      <c r="D237" s="16">
        <f>IF($C237="","",醫護長與管理部班表!$B12)</f>
        <v/>
      </c>
      <c r="E237" s="16">
        <f>IF($C237="","",醫護長與管理部班表!$D12)</f>
        <v/>
      </c>
      <c r="F237" s="16">
        <f>IF($C237="","",醫護長與管理部班表!$C12)</f>
        <v/>
      </c>
      <c r="G237" s="16">
        <f>IF($C237="","",醫護長與管理部班表!V12)</f>
        <v/>
      </c>
      <c r="H237" s="87">
        <f>IF($G237="","",IFERROR(IF(INDEX(設定!$D$6:$D$21,MATCH($G237,設定!$B$6:$B$21,0))=0,"",INDEX(設定!$D$6:$D$21,MATCH($G237,設定!$B$6:$B$21,0))),""))</f>
        <v/>
      </c>
      <c r="I237" s="87">
        <f>IF($G237="","",IFERROR(IF(INDEX(設定!$E$6:$E$21,MATCH($G237,設定!$B$6:$B$21,0))=0,"",INDEX(設定!$E$6:$E$21,MATCH($G237,設定!$B$6:$B$21,0))),""))</f>
        <v/>
      </c>
      <c r="J237" s="87">
        <f>IFERROR(INDEX(打卡匯入!$C$3:$C$502,MATCH($C237&amp;"|"&amp;DAY($A237),打卡匯入!$E$3:$E$502,0)),"")</f>
        <v/>
      </c>
      <c r="K237" s="87">
        <f>IFERROR(INDEX(打卡匯入!$D$3:$D$502,MATCH($C237&amp;"|"&amp;DAY($A237),打卡匯入!$E$3:$E$502,0)),"")</f>
        <v/>
      </c>
      <c r="L237" s="88">
        <f>IF(OR($J237="",$K237=""),"",IFERROR(INDEX(設定!$F$6:$F$21,MATCH($G237,設定!$B$6:$B$21,0)),0))</f>
        <v/>
      </c>
      <c r="M237" s="89">
        <f>IF(OR($J237="",$K237=""),"",ROUND(($K237-$J237)*24-$L237/60,2))</f>
        <v/>
      </c>
      <c r="N237" s="16">
        <f>IF($C237="","",IF(AND(COUNTIF(設定!$B$15:$B$21,$G237)&gt;0,$J237&lt;&gt;""),"假日出勤",IF(AND(COUNTIF(設定!$B$6:$B$14,$G237)&gt;0,$J237=""),"未打卡",IF($J237="","",IF($O237&gt;0,"遲到",IF($P237&gt;0,"早退","正常"))))))</f>
        <v/>
      </c>
      <c r="O237" s="88">
        <f>IF(OR($C237="",$H237="",$J237=""),0,IF(ROUND(($J237-$H237)*1440,0)&gt;設定!$C$48,ROUND(($J237-$H237)*1440,0),0))</f>
        <v/>
      </c>
      <c r="P237" s="88">
        <f>IF(OR($C237="",$I237="",$K237=""),0,IF(ROUND(($I237-$K237)*1440,0)&gt;設定!$C$48,ROUND(($I237-$K237)*1440,0),0))</f>
        <v/>
      </c>
      <c r="Q237" s="89">
        <f>IF($M237="",0,IF(($M237-IFERROR(INDEX(設定!$G$6:$G$21,MATCH($G237,設定!$B$6:$B$21,0)),0))*60&gt;=設定!$C$46,ROUND(FLOOR(($M237-IFERROR(INDEX(設定!$G$6:$G$21,MATCH($G237,設定!$B$6:$B$21,0)),0))*60,設定!$C$47)/60,2),0))</f>
        <v/>
      </c>
      <c r="R237" s="16">
        <f>IF(OR($C237="",$Q237=0),"",IF($G237="國","國定假日",IF($B237="日","例假",IF($B237="六","休息日","平日"))))</f>
        <v/>
      </c>
      <c r="S237" s="18" t="n"/>
    </row>
    <row r="238">
      <c r="A238" s="86">
        <f>IF(OR(醫護長與管理部班表!$A12="",19&gt;DAY(EOMONTH(DATE(設定!$C$2,設定!$D$2,1),0))),"",DATE(設定!$C$2,設定!$D$2,19))</f>
        <v/>
      </c>
      <c r="B238" s="16">
        <f>IF($A238="","",INDEX(設定!$O$6:$O$12,WEEKDAY($A238,1)))</f>
        <v/>
      </c>
      <c r="C238" s="16">
        <f>IF($A238="","",醫護長與管理部班表!$A12)</f>
        <v/>
      </c>
      <c r="D238" s="16">
        <f>IF($C238="","",醫護長與管理部班表!$B12)</f>
        <v/>
      </c>
      <c r="E238" s="16">
        <f>IF($C238="","",醫護長與管理部班表!$D12)</f>
        <v/>
      </c>
      <c r="F238" s="16">
        <f>IF($C238="","",醫護長與管理部班表!$C12)</f>
        <v/>
      </c>
      <c r="G238" s="16">
        <f>IF($C238="","",醫護長與管理部班表!W12)</f>
        <v/>
      </c>
      <c r="H238" s="87">
        <f>IF($G238="","",IFERROR(IF(INDEX(設定!$D$6:$D$21,MATCH($G238,設定!$B$6:$B$21,0))=0,"",INDEX(設定!$D$6:$D$21,MATCH($G238,設定!$B$6:$B$21,0))),""))</f>
        <v/>
      </c>
      <c r="I238" s="87">
        <f>IF($G238="","",IFERROR(IF(INDEX(設定!$E$6:$E$21,MATCH($G238,設定!$B$6:$B$21,0))=0,"",INDEX(設定!$E$6:$E$21,MATCH($G238,設定!$B$6:$B$21,0))),""))</f>
        <v/>
      </c>
      <c r="J238" s="87">
        <f>IFERROR(INDEX(打卡匯入!$C$3:$C$502,MATCH($C238&amp;"|"&amp;DAY($A238),打卡匯入!$E$3:$E$502,0)),"")</f>
        <v/>
      </c>
      <c r="K238" s="87">
        <f>IFERROR(INDEX(打卡匯入!$D$3:$D$502,MATCH($C238&amp;"|"&amp;DAY($A238),打卡匯入!$E$3:$E$502,0)),"")</f>
        <v/>
      </c>
      <c r="L238" s="88">
        <f>IF(OR($J238="",$K238=""),"",IFERROR(INDEX(設定!$F$6:$F$21,MATCH($G238,設定!$B$6:$B$21,0)),0))</f>
        <v/>
      </c>
      <c r="M238" s="89">
        <f>IF(OR($J238="",$K238=""),"",ROUND(($K238-$J238)*24-$L238/60,2))</f>
        <v/>
      </c>
      <c r="N238" s="16">
        <f>IF($C238="","",IF(AND(COUNTIF(設定!$B$15:$B$21,$G238)&gt;0,$J238&lt;&gt;""),"假日出勤",IF(AND(COUNTIF(設定!$B$6:$B$14,$G238)&gt;0,$J238=""),"未打卡",IF($J238="","",IF($O238&gt;0,"遲到",IF($P238&gt;0,"早退","正常"))))))</f>
        <v/>
      </c>
      <c r="O238" s="88">
        <f>IF(OR($C238="",$H238="",$J238=""),0,IF(ROUND(($J238-$H238)*1440,0)&gt;設定!$C$48,ROUND(($J238-$H238)*1440,0),0))</f>
        <v/>
      </c>
      <c r="P238" s="88">
        <f>IF(OR($C238="",$I238="",$K238=""),0,IF(ROUND(($I238-$K238)*1440,0)&gt;設定!$C$48,ROUND(($I238-$K238)*1440,0),0))</f>
        <v/>
      </c>
      <c r="Q238" s="89">
        <f>IF($M238="",0,IF(($M238-IFERROR(INDEX(設定!$G$6:$G$21,MATCH($G238,設定!$B$6:$B$21,0)),0))*60&gt;=設定!$C$46,ROUND(FLOOR(($M238-IFERROR(INDEX(設定!$G$6:$G$21,MATCH($G238,設定!$B$6:$B$21,0)),0))*60,設定!$C$47)/60,2),0))</f>
        <v/>
      </c>
      <c r="R238" s="16">
        <f>IF(OR($C238="",$Q238=0),"",IF($G238="國","國定假日",IF($B238="日","例假",IF($B238="六","休息日","平日"))))</f>
        <v/>
      </c>
      <c r="S238" s="18" t="n"/>
    </row>
    <row r="239">
      <c r="A239" s="86">
        <f>IF(OR(醫護長與管理部班表!$A12="",20&gt;DAY(EOMONTH(DATE(設定!$C$2,設定!$D$2,1),0))),"",DATE(設定!$C$2,設定!$D$2,20))</f>
        <v/>
      </c>
      <c r="B239" s="16">
        <f>IF($A239="","",INDEX(設定!$O$6:$O$12,WEEKDAY($A239,1)))</f>
        <v/>
      </c>
      <c r="C239" s="16">
        <f>IF($A239="","",醫護長與管理部班表!$A12)</f>
        <v/>
      </c>
      <c r="D239" s="16">
        <f>IF($C239="","",醫護長與管理部班表!$B12)</f>
        <v/>
      </c>
      <c r="E239" s="16">
        <f>IF($C239="","",醫護長與管理部班表!$D12)</f>
        <v/>
      </c>
      <c r="F239" s="16">
        <f>IF($C239="","",醫護長與管理部班表!$C12)</f>
        <v/>
      </c>
      <c r="G239" s="16">
        <f>IF($C239="","",醫護長與管理部班表!X12)</f>
        <v/>
      </c>
      <c r="H239" s="87">
        <f>IF($G239="","",IFERROR(IF(INDEX(設定!$D$6:$D$21,MATCH($G239,設定!$B$6:$B$21,0))=0,"",INDEX(設定!$D$6:$D$21,MATCH($G239,設定!$B$6:$B$21,0))),""))</f>
        <v/>
      </c>
      <c r="I239" s="87">
        <f>IF($G239="","",IFERROR(IF(INDEX(設定!$E$6:$E$21,MATCH($G239,設定!$B$6:$B$21,0))=0,"",INDEX(設定!$E$6:$E$21,MATCH($G239,設定!$B$6:$B$21,0))),""))</f>
        <v/>
      </c>
      <c r="J239" s="87">
        <f>IFERROR(INDEX(打卡匯入!$C$3:$C$502,MATCH($C239&amp;"|"&amp;DAY($A239),打卡匯入!$E$3:$E$502,0)),"")</f>
        <v/>
      </c>
      <c r="K239" s="87">
        <f>IFERROR(INDEX(打卡匯入!$D$3:$D$502,MATCH($C239&amp;"|"&amp;DAY($A239),打卡匯入!$E$3:$E$502,0)),"")</f>
        <v/>
      </c>
      <c r="L239" s="88">
        <f>IF(OR($J239="",$K239=""),"",IFERROR(INDEX(設定!$F$6:$F$21,MATCH($G239,設定!$B$6:$B$21,0)),0))</f>
        <v/>
      </c>
      <c r="M239" s="89">
        <f>IF(OR($J239="",$K239=""),"",ROUND(($K239-$J239)*24-$L239/60,2))</f>
        <v/>
      </c>
      <c r="N239" s="16">
        <f>IF($C239="","",IF(AND(COUNTIF(設定!$B$15:$B$21,$G239)&gt;0,$J239&lt;&gt;""),"假日出勤",IF(AND(COUNTIF(設定!$B$6:$B$14,$G239)&gt;0,$J239=""),"未打卡",IF($J239="","",IF($O239&gt;0,"遲到",IF($P239&gt;0,"早退","正常"))))))</f>
        <v/>
      </c>
      <c r="O239" s="88">
        <f>IF(OR($C239="",$H239="",$J239=""),0,IF(ROUND(($J239-$H239)*1440,0)&gt;設定!$C$48,ROUND(($J239-$H239)*1440,0),0))</f>
        <v/>
      </c>
      <c r="P239" s="88">
        <f>IF(OR($C239="",$I239="",$K239=""),0,IF(ROUND(($I239-$K239)*1440,0)&gt;設定!$C$48,ROUND(($I239-$K239)*1440,0),0))</f>
        <v/>
      </c>
      <c r="Q239" s="89">
        <f>IF($M239="",0,IF(($M239-IFERROR(INDEX(設定!$G$6:$G$21,MATCH($G239,設定!$B$6:$B$21,0)),0))*60&gt;=設定!$C$46,ROUND(FLOOR(($M239-IFERROR(INDEX(設定!$G$6:$G$21,MATCH($G239,設定!$B$6:$B$21,0)),0))*60,設定!$C$47)/60,2),0))</f>
        <v/>
      </c>
      <c r="R239" s="16">
        <f>IF(OR($C239="",$Q239=0),"",IF($G239="國","國定假日",IF($B239="日","例假",IF($B239="六","休息日","平日"))))</f>
        <v/>
      </c>
      <c r="S239" s="18" t="n"/>
    </row>
    <row r="240">
      <c r="A240" s="86">
        <f>IF(OR(醫護長與管理部班表!$A12="",21&gt;DAY(EOMONTH(DATE(設定!$C$2,設定!$D$2,1),0))),"",DATE(設定!$C$2,設定!$D$2,21))</f>
        <v/>
      </c>
      <c r="B240" s="16">
        <f>IF($A240="","",INDEX(設定!$O$6:$O$12,WEEKDAY($A240,1)))</f>
        <v/>
      </c>
      <c r="C240" s="16">
        <f>IF($A240="","",醫護長與管理部班表!$A12)</f>
        <v/>
      </c>
      <c r="D240" s="16">
        <f>IF($C240="","",醫護長與管理部班表!$B12)</f>
        <v/>
      </c>
      <c r="E240" s="16">
        <f>IF($C240="","",醫護長與管理部班表!$D12)</f>
        <v/>
      </c>
      <c r="F240" s="16">
        <f>IF($C240="","",醫護長與管理部班表!$C12)</f>
        <v/>
      </c>
      <c r="G240" s="16">
        <f>IF($C240="","",醫護長與管理部班表!Y12)</f>
        <v/>
      </c>
      <c r="H240" s="87">
        <f>IF($G240="","",IFERROR(IF(INDEX(設定!$D$6:$D$21,MATCH($G240,設定!$B$6:$B$21,0))=0,"",INDEX(設定!$D$6:$D$21,MATCH($G240,設定!$B$6:$B$21,0))),""))</f>
        <v/>
      </c>
      <c r="I240" s="87">
        <f>IF($G240="","",IFERROR(IF(INDEX(設定!$E$6:$E$21,MATCH($G240,設定!$B$6:$B$21,0))=0,"",INDEX(設定!$E$6:$E$21,MATCH($G240,設定!$B$6:$B$21,0))),""))</f>
        <v/>
      </c>
      <c r="J240" s="87">
        <f>IFERROR(INDEX(打卡匯入!$C$3:$C$502,MATCH($C240&amp;"|"&amp;DAY($A240),打卡匯入!$E$3:$E$502,0)),"")</f>
        <v/>
      </c>
      <c r="K240" s="87">
        <f>IFERROR(INDEX(打卡匯入!$D$3:$D$502,MATCH($C240&amp;"|"&amp;DAY($A240),打卡匯入!$E$3:$E$502,0)),"")</f>
        <v/>
      </c>
      <c r="L240" s="88">
        <f>IF(OR($J240="",$K240=""),"",IFERROR(INDEX(設定!$F$6:$F$21,MATCH($G240,設定!$B$6:$B$21,0)),0))</f>
        <v/>
      </c>
      <c r="M240" s="89">
        <f>IF(OR($J240="",$K240=""),"",ROUND(($K240-$J240)*24-$L240/60,2))</f>
        <v/>
      </c>
      <c r="N240" s="16">
        <f>IF($C240="","",IF(AND(COUNTIF(設定!$B$15:$B$21,$G240)&gt;0,$J240&lt;&gt;""),"假日出勤",IF(AND(COUNTIF(設定!$B$6:$B$14,$G240)&gt;0,$J240=""),"未打卡",IF($J240="","",IF($O240&gt;0,"遲到",IF($P240&gt;0,"早退","正常"))))))</f>
        <v/>
      </c>
      <c r="O240" s="88">
        <f>IF(OR($C240="",$H240="",$J240=""),0,IF(ROUND(($J240-$H240)*1440,0)&gt;設定!$C$48,ROUND(($J240-$H240)*1440,0),0))</f>
        <v/>
      </c>
      <c r="P240" s="88">
        <f>IF(OR($C240="",$I240="",$K240=""),0,IF(ROUND(($I240-$K240)*1440,0)&gt;設定!$C$48,ROUND(($I240-$K240)*1440,0),0))</f>
        <v/>
      </c>
      <c r="Q240" s="89">
        <f>IF($M240="",0,IF(($M240-IFERROR(INDEX(設定!$G$6:$G$21,MATCH($G240,設定!$B$6:$B$21,0)),0))*60&gt;=設定!$C$46,ROUND(FLOOR(($M240-IFERROR(INDEX(設定!$G$6:$G$21,MATCH($G240,設定!$B$6:$B$21,0)),0))*60,設定!$C$47)/60,2),0))</f>
        <v/>
      </c>
      <c r="R240" s="16">
        <f>IF(OR($C240="",$Q240=0),"",IF($G240="國","國定假日",IF($B240="日","例假",IF($B240="六","休息日","平日"))))</f>
        <v/>
      </c>
      <c r="S240" s="18" t="n"/>
    </row>
    <row r="241">
      <c r="A241" s="86">
        <f>IF(OR(醫護長與管理部班表!$A12="",22&gt;DAY(EOMONTH(DATE(設定!$C$2,設定!$D$2,1),0))),"",DATE(設定!$C$2,設定!$D$2,22))</f>
        <v/>
      </c>
      <c r="B241" s="16">
        <f>IF($A241="","",INDEX(設定!$O$6:$O$12,WEEKDAY($A241,1)))</f>
        <v/>
      </c>
      <c r="C241" s="16">
        <f>IF($A241="","",醫護長與管理部班表!$A12)</f>
        <v/>
      </c>
      <c r="D241" s="16">
        <f>IF($C241="","",醫護長與管理部班表!$B12)</f>
        <v/>
      </c>
      <c r="E241" s="16">
        <f>IF($C241="","",醫護長與管理部班表!$D12)</f>
        <v/>
      </c>
      <c r="F241" s="16">
        <f>IF($C241="","",醫護長與管理部班表!$C12)</f>
        <v/>
      </c>
      <c r="G241" s="16">
        <f>IF($C241="","",醫護長與管理部班表!Z12)</f>
        <v/>
      </c>
      <c r="H241" s="87">
        <f>IF($G241="","",IFERROR(IF(INDEX(設定!$D$6:$D$21,MATCH($G241,設定!$B$6:$B$21,0))=0,"",INDEX(設定!$D$6:$D$21,MATCH($G241,設定!$B$6:$B$21,0))),""))</f>
        <v/>
      </c>
      <c r="I241" s="87">
        <f>IF($G241="","",IFERROR(IF(INDEX(設定!$E$6:$E$21,MATCH($G241,設定!$B$6:$B$21,0))=0,"",INDEX(設定!$E$6:$E$21,MATCH($G241,設定!$B$6:$B$21,0))),""))</f>
        <v/>
      </c>
      <c r="J241" s="87">
        <f>IFERROR(INDEX(打卡匯入!$C$3:$C$502,MATCH($C241&amp;"|"&amp;DAY($A241),打卡匯入!$E$3:$E$502,0)),"")</f>
        <v/>
      </c>
      <c r="K241" s="87">
        <f>IFERROR(INDEX(打卡匯入!$D$3:$D$502,MATCH($C241&amp;"|"&amp;DAY($A241),打卡匯入!$E$3:$E$502,0)),"")</f>
        <v/>
      </c>
      <c r="L241" s="88">
        <f>IF(OR($J241="",$K241=""),"",IFERROR(INDEX(設定!$F$6:$F$21,MATCH($G241,設定!$B$6:$B$21,0)),0))</f>
        <v/>
      </c>
      <c r="M241" s="89">
        <f>IF(OR($J241="",$K241=""),"",ROUND(($K241-$J241)*24-$L241/60,2))</f>
        <v/>
      </c>
      <c r="N241" s="16">
        <f>IF($C241="","",IF(AND(COUNTIF(設定!$B$15:$B$21,$G241)&gt;0,$J241&lt;&gt;""),"假日出勤",IF(AND(COUNTIF(設定!$B$6:$B$14,$G241)&gt;0,$J241=""),"未打卡",IF($J241="","",IF($O241&gt;0,"遲到",IF($P241&gt;0,"早退","正常"))))))</f>
        <v/>
      </c>
      <c r="O241" s="88">
        <f>IF(OR($C241="",$H241="",$J241=""),0,IF(ROUND(($J241-$H241)*1440,0)&gt;設定!$C$48,ROUND(($J241-$H241)*1440,0),0))</f>
        <v/>
      </c>
      <c r="P241" s="88">
        <f>IF(OR($C241="",$I241="",$K241=""),0,IF(ROUND(($I241-$K241)*1440,0)&gt;設定!$C$48,ROUND(($I241-$K241)*1440,0),0))</f>
        <v/>
      </c>
      <c r="Q241" s="89">
        <f>IF($M241="",0,IF(($M241-IFERROR(INDEX(設定!$G$6:$G$21,MATCH($G241,設定!$B$6:$B$21,0)),0))*60&gt;=設定!$C$46,ROUND(FLOOR(($M241-IFERROR(INDEX(設定!$G$6:$G$21,MATCH($G241,設定!$B$6:$B$21,0)),0))*60,設定!$C$47)/60,2),0))</f>
        <v/>
      </c>
      <c r="R241" s="16">
        <f>IF(OR($C241="",$Q241=0),"",IF($G241="國","國定假日",IF($B241="日","例假",IF($B241="六","休息日","平日"))))</f>
        <v/>
      </c>
      <c r="S241" s="18" t="n"/>
    </row>
    <row r="242">
      <c r="A242" s="86">
        <f>IF(OR(醫護長與管理部班表!$A12="",23&gt;DAY(EOMONTH(DATE(設定!$C$2,設定!$D$2,1),0))),"",DATE(設定!$C$2,設定!$D$2,23))</f>
        <v/>
      </c>
      <c r="B242" s="16">
        <f>IF($A242="","",INDEX(設定!$O$6:$O$12,WEEKDAY($A242,1)))</f>
        <v/>
      </c>
      <c r="C242" s="16">
        <f>IF($A242="","",醫護長與管理部班表!$A12)</f>
        <v/>
      </c>
      <c r="D242" s="16">
        <f>IF($C242="","",醫護長與管理部班表!$B12)</f>
        <v/>
      </c>
      <c r="E242" s="16">
        <f>IF($C242="","",醫護長與管理部班表!$D12)</f>
        <v/>
      </c>
      <c r="F242" s="16">
        <f>IF($C242="","",醫護長與管理部班表!$C12)</f>
        <v/>
      </c>
      <c r="G242" s="16">
        <f>IF($C242="","",醫護長與管理部班表!AA12)</f>
        <v/>
      </c>
      <c r="H242" s="87">
        <f>IF($G242="","",IFERROR(IF(INDEX(設定!$D$6:$D$21,MATCH($G242,設定!$B$6:$B$21,0))=0,"",INDEX(設定!$D$6:$D$21,MATCH($G242,設定!$B$6:$B$21,0))),""))</f>
        <v/>
      </c>
      <c r="I242" s="87">
        <f>IF($G242="","",IFERROR(IF(INDEX(設定!$E$6:$E$21,MATCH($G242,設定!$B$6:$B$21,0))=0,"",INDEX(設定!$E$6:$E$21,MATCH($G242,設定!$B$6:$B$21,0))),""))</f>
        <v/>
      </c>
      <c r="J242" s="87">
        <f>IFERROR(INDEX(打卡匯入!$C$3:$C$502,MATCH($C242&amp;"|"&amp;DAY($A242),打卡匯入!$E$3:$E$502,0)),"")</f>
        <v/>
      </c>
      <c r="K242" s="87">
        <f>IFERROR(INDEX(打卡匯入!$D$3:$D$502,MATCH($C242&amp;"|"&amp;DAY($A242),打卡匯入!$E$3:$E$502,0)),"")</f>
        <v/>
      </c>
      <c r="L242" s="88">
        <f>IF(OR($J242="",$K242=""),"",IFERROR(INDEX(設定!$F$6:$F$21,MATCH($G242,設定!$B$6:$B$21,0)),0))</f>
        <v/>
      </c>
      <c r="M242" s="89">
        <f>IF(OR($J242="",$K242=""),"",ROUND(($K242-$J242)*24-$L242/60,2))</f>
        <v/>
      </c>
      <c r="N242" s="16">
        <f>IF($C242="","",IF(AND(COUNTIF(設定!$B$15:$B$21,$G242)&gt;0,$J242&lt;&gt;""),"假日出勤",IF(AND(COUNTIF(設定!$B$6:$B$14,$G242)&gt;0,$J242=""),"未打卡",IF($J242="","",IF($O242&gt;0,"遲到",IF($P242&gt;0,"早退","正常"))))))</f>
        <v/>
      </c>
      <c r="O242" s="88">
        <f>IF(OR($C242="",$H242="",$J242=""),0,IF(ROUND(($J242-$H242)*1440,0)&gt;設定!$C$48,ROUND(($J242-$H242)*1440,0),0))</f>
        <v/>
      </c>
      <c r="P242" s="88">
        <f>IF(OR($C242="",$I242="",$K242=""),0,IF(ROUND(($I242-$K242)*1440,0)&gt;設定!$C$48,ROUND(($I242-$K242)*1440,0),0))</f>
        <v/>
      </c>
      <c r="Q242" s="89">
        <f>IF($M242="",0,IF(($M242-IFERROR(INDEX(設定!$G$6:$G$21,MATCH($G242,設定!$B$6:$B$21,0)),0))*60&gt;=設定!$C$46,ROUND(FLOOR(($M242-IFERROR(INDEX(設定!$G$6:$G$21,MATCH($G242,設定!$B$6:$B$21,0)),0))*60,設定!$C$47)/60,2),0))</f>
        <v/>
      </c>
      <c r="R242" s="16">
        <f>IF(OR($C242="",$Q242=0),"",IF($G242="國","國定假日",IF($B242="日","例假",IF($B242="六","休息日","平日"))))</f>
        <v/>
      </c>
      <c r="S242" s="18" t="n"/>
    </row>
    <row r="243">
      <c r="A243" s="86">
        <f>IF(OR(醫護長與管理部班表!$A12="",24&gt;DAY(EOMONTH(DATE(設定!$C$2,設定!$D$2,1),0))),"",DATE(設定!$C$2,設定!$D$2,24))</f>
        <v/>
      </c>
      <c r="B243" s="16">
        <f>IF($A243="","",INDEX(設定!$O$6:$O$12,WEEKDAY($A243,1)))</f>
        <v/>
      </c>
      <c r="C243" s="16">
        <f>IF($A243="","",醫護長與管理部班表!$A12)</f>
        <v/>
      </c>
      <c r="D243" s="16">
        <f>IF($C243="","",醫護長與管理部班表!$B12)</f>
        <v/>
      </c>
      <c r="E243" s="16">
        <f>IF($C243="","",醫護長與管理部班表!$D12)</f>
        <v/>
      </c>
      <c r="F243" s="16">
        <f>IF($C243="","",醫護長與管理部班表!$C12)</f>
        <v/>
      </c>
      <c r="G243" s="16">
        <f>IF($C243="","",醫護長與管理部班表!AB12)</f>
        <v/>
      </c>
      <c r="H243" s="87">
        <f>IF($G243="","",IFERROR(IF(INDEX(設定!$D$6:$D$21,MATCH($G243,設定!$B$6:$B$21,0))=0,"",INDEX(設定!$D$6:$D$21,MATCH($G243,設定!$B$6:$B$21,0))),""))</f>
        <v/>
      </c>
      <c r="I243" s="87">
        <f>IF($G243="","",IFERROR(IF(INDEX(設定!$E$6:$E$21,MATCH($G243,設定!$B$6:$B$21,0))=0,"",INDEX(設定!$E$6:$E$21,MATCH($G243,設定!$B$6:$B$21,0))),""))</f>
        <v/>
      </c>
      <c r="J243" s="87">
        <f>IFERROR(INDEX(打卡匯入!$C$3:$C$502,MATCH($C243&amp;"|"&amp;DAY($A243),打卡匯入!$E$3:$E$502,0)),"")</f>
        <v/>
      </c>
      <c r="K243" s="87">
        <f>IFERROR(INDEX(打卡匯入!$D$3:$D$502,MATCH($C243&amp;"|"&amp;DAY($A243),打卡匯入!$E$3:$E$502,0)),"")</f>
        <v/>
      </c>
      <c r="L243" s="88">
        <f>IF(OR($J243="",$K243=""),"",IFERROR(INDEX(設定!$F$6:$F$21,MATCH($G243,設定!$B$6:$B$21,0)),0))</f>
        <v/>
      </c>
      <c r="M243" s="89">
        <f>IF(OR($J243="",$K243=""),"",ROUND(($K243-$J243)*24-$L243/60,2))</f>
        <v/>
      </c>
      <c r="N243" s="16">
        <f>IF($C243="","",IF(AND(COUNTIF(設定!$B$15:$B$21,$G243)&gt;0,$J243&lt;&gt;""),"假日出勤",IF(AND(COUNTIF(設定!$B$6:$B$14,$G243)&gt;0,$J243=""),"未打卡",IF($J243="","",IF($O243&gt;0,"遲到",IF($P243&gt;0,"早退","正常"))))))</f>
        <v/>
      </c>
      <c r="O243" s="88">
        <f>IF(OR($C243="",$H243="",$J243=""),0,IF(ROUND(($J243-$H243)*1440,0)&gt;設定!$C$48,ROUND(($J243-$H243)*1440,0),0))</f>
        <v/>
      </c>
      <c r="P243" s="88">
        <f>IF(OR($C243="",$I243="",$K243=""),0,IF(ROUND(($I243-$K243)*1440,0)&gt;設定!$C$48,ROUND(($I243-$K243)*1440,0),0))</f>
        <v/>
      </c>
      <c r="Q243" s="89">
        <f>IF($M243="",0,IF(($M243-IFERROR(INDEX(設定!$G$6:$G$21,MATCH($G243,設定!$B$6:$B$21,0)),0))*60&gt;=設定!$C$46,ROUND(FLOOR(($M243-IFERROR(INDEX(設定!$G$6:$G$21,MATCH($G243,設定!$B$6:$B$21,0)),0))*60,設定!$C$47)/60,2),0))</f>
        <v/>
      </c>
      <c r="R243" s="16">
        <f>IF(OR($C243="",$Q243=0),"",IF($G243="國","國定假日",IF($B243="日","例假",IF($B243="六","休息日","平日"))))</f>
        <v/>
      </c>
      <c r="S243" s="18" t="n"/>
    </row>
    <row r="244">
      <c r="A244" s="86">
        <f>IF(OR(醫護長與管理部班表!$A12="",25&gt;DAY(EOMONTH(DATE(設定!$C$2,設定!$D$2,1),0))),"",DATE(設定!$C$2,設定!$D$2,25))</f>
        <v/>
      </c>
      <c r="B244" s="16">
        <f>IF($A244="","",INDEX(設定!$O$6:$O$12,WEEKDAY($A244,1)))</f>
        <v/>
      </c>
      <c r="C244" s="16">
        <f>IF($A244="","",醫護長與管理部班表!$A12)</f>
        <v/>
      </c>
      <c r="D244" s="16">
        <f>IF($C244="","",醫護長與管理部班表!$B12)</f>
        <v/>
      </c>
      <c r="E244" s="16">
        <f>IF($C244="","",醫護長與管理部班表!$D12)</f>
        <v/>
      </c>
      <c r="F244" s="16">
        <f>IF($C244="","",醫護長與管理部班表!$C12)</f>
        <v/>
      </c>
      <c r="G244" s="16">
        <f>IF($C244="","",醫護長與管理部班表!AC12)</f>
        <v/>
      </c>
      <c r="H244" s="87">
        <f>IF($G244="","",IFERROR(IF(INDEX(設定!$D$6:$D$21,MATCH($G244,設定!$B$6:$B$21,0))=0,"",INDEX(設定!$D$6:$D$21,MATCH($G244,設定!$B$6:$B$21,0))),""))</f>
        <v/>
      </c>
      <c r="I244" s="87">
        <f>IF($G244="","",IFERROR(IF(INDEX(設定!$E$6:$E$21,MATCH($G244,設定!$B$6:$B$21,0))=0,"",INDEX(設定!$E$6:$E$21,MATCH($G244,設定!$B$6:$B$21,0))),""))</f>
        <v/>
      </c>
      <c r="J244" s="87">
        <f>IFERROR(INDEX(打卡匯入!$C$3:$C$502,MATCH($C244&amp;"|"&amp;DAY($A244),打卡匯入!$E$3:$E$502,0)),"")</f>
        <v/>
      </c>
      <c r="K244" s="87">
        <f>IFERROR(INDEX(打卡匯入!$D$3:$D$502,MATCH($C244&amp;"|"&amp;DAY($A244),打卡匯入!$E$3:$E$502,0)),"")</f>
        <v/>
      </c>
      <c r="L244" s="88">
        <f>IF(OR($J244="",$K244=""),"",IFERROR(INDEX(設定!$F$6:$F$21,MATCH($G244,設定!$B$6:$B$21,0)),0))</f>
        <v/>
      </c>
      <c r="M244" s="89">
        <f>IF(OR($J244="",$K244=""),"",ROUND(($K244-$J244)*24-$L244/60,2))</f>
        <v/>
      </c>
      <c r="N244" s="16">
        <f>IF($C244="","",IF(AND(COUNTIF(設定!$B$15:$B$21,$G244)&gt;0,$J244&lt;&gt;""),"假日出勤",IF(AND(COUNTIF(設定!$B$6:$B$14,$G244)&gt;0,$J244=""),"未打卡",IF($J244="","",IF($O244&gt;0,"遲到",IF($P244&gt;0,"早退","正常"))))))</f>
        <v/>
      </c>
      <c r="O244" s="88">
        <f>IF(OR($C244="",$H244="",$J244=""),0,IF(ROUND(($J244-$H244)*1440,0)&gt;設定!$C$48,ROUND(($J244-$H244)*1440,0),0))</f>
        <v/>
      </c>
      <c r="P244" s="88">
        <f>IF(OR($C244="",$I244="",$K244=""),0,IF(ROUND(($I244-$K244)*1440,0)&gt;設定!$C$48,ROUND(($I244-$K244)*1440,0),0))</f>
        <v/>
      </c>
      <c r="Q244" s="89">
        <f>IF($M244="",0,IF(($M244-IFERROR(INDEX(設定!$G$6:$G$21,MATCH($G244,設定!$B$6:$B$21,0)),0))*60&gt;=設定!$C$46,ROUND(FLOOR(($M244-IFERROR(INDEX(設定!$G$6:$G$21,MATCH($G244,設定!$B$6:$B$21,0)),0))*60,設定!$C$47)/60,2),0))</f>
        <v/>
      </c>
      <c r="R244" s="16">
        <f>IF(OR($C244="",$Q244=0),"",IF($G244="國","國定假日",IF($B244="日","例假",IF($B244="六","休息日","平日"))))</f>
        <v/>
      </c>
      <c r="S244" s="18" t="n"/>
    </row>
    <row r="245">
      <c r="A245" s="86">
        <f>IF(OR(醫護長與管理部班表!$A12="",26&gt;DAY(EOMONTH(DATE(設定!$C$2,設定!$D$2,1),0))),"",DATE(設定!$C$2,設定!$D$2,26))</f>
        <v/>
      </c>
      <c r="B245" s="16">
        <f>IF($A245="","",INDEX(設定!$O$6:$O$12,WEEKDAY($A245,1)))</f>
        <v/>
      </c>
      <c r="C245" s="16">
        <f>IF($A245="","",醫護長與管理部班表!$A12)</f>
        <v/>
      </c>
      <c r="D245" s="16">
        <f>IF($C245="","",醫護長與管理部班表!$B12)</f>
        <v/>
      </c>
      <c r="E245" s="16">
        <f>IF($C245="","",醫護長與管理部班表!$D12)</f>
        <v/>
      </c>
      <c r="F245" s="16">
        <f>IF($C245="","",醫護長與管理部班表!$C12)</f>
        <v/>
      </c>
      <c r="G245" s="16">
        <f>IF($C245="","",醫護長與管理部班表!AD12)</f>
        <v/>
      </c>
      <c r="H245" s="87">
        <f>IF($G245="","",IFERROR(IF(INDEX(設定!$D$6:$D$21,MATCH($G245,設定!$B$6:$B$21,0))=0,"",INDEX(設定!$D$6:$D$21,MATCH($G245,設定!$B$6:$B$21,0))),""))</f>
        <v/>
      </c>
      <c r="I245" s="87">
        <f>IF($G245="","",IFERROR(IF(INDEX(設定!$E$6:$E$21,MATCH($G245,設定!$B$6:$B$21,0))=0,"",INDEX(設定!$E$6:$E$21,MATCH($G245,設定!$B$6:$B$21,0))),""))</f>
        <v/>
      </c>
      <c r="J245" s="87">
        <f>IFERROR(INDEX(打卡匯入!$C$3:$C$502,MATCH($C245&amp;"|"&amp;DAY($A245),打卡匯入!$E$3:$E$502,0)),"")</f>
        <v/>
      </c>
      <c r="K245" s="87">
        <f>IFERROR(INDEX(打卡匯入!$D$3:$D$502,MATCH($C245&amp;"|"&amp;DAY($A245),打卡匯入!$E$3:$E$502,0)),"")</f>
        <v/>
      </c>
      <c r="L245" s="88">
        <f>IF(OR($J245="",$K245=""),"",IFERROR(INDEX(設定!$F$6:$F$21,MATCH($G245,設定!$B$6:$B$21,0)),0))</f>
        <v/>
      </c>
      <c r="M245" s="89">
        <f>IF(OR($J245="",$K245=""),"",ROUND(($K245-$J245)*24-$L245/60,2))</f>
        <v/>
      </c>
      <c r="N245" s="16">
        <f>IF($C245="","",IF(AND(COUNTIF(設定!$B$15:$B$21,$G245)&gt;0,$J245&lt;&gt;""),"假日出勤",IF(AND(COUNTIF(設定!$B$6:$B$14,$G245)&gt;0,$J245=""),"未打卡",IF($J245="","",IF($O245&gt;0,"遲到",IF($P245&gt;0,"早退","正常"))))))</f>
        <v/>
      </c>
      <c r="O245" s="88">
        <f>IF(OR($C245="",$H245="",$J245=""),0,IF(ROUND(($J245-$H245)*1440,0)&gt;設定!$C$48,ROUND(($J245-$H245)*1440,0),0))</f>
        <v/>
      </c>
      <c r="P245" s="88">
        <f>IF(OR($C245="",$I245="",$K245=""),0,IF(ROUND(($I245-$K245)*1440,0)&gt;設定!$C$48,ROUND(($I245-$K245)*1440,0),0))</f>
        <v/>
      </c>
      <c r="Q245" s="89">
        <f>IF($M245="",0,IF(($M245-IFERROR(INDEX(設定!$G$6:$G$21,MATCH($G245,設定!$B$6:$B$21,0)),0))*60&gt;=設定!$C$46,ROUND(FLOOR(($M245-IFERROR(INDEX(設定!$G$6:$G$21,MATCH($G245,設定!$B$6:$B$21,0)),0))*60,設定!$C$47)/60,2),0))</f>
        <v/>
      </c>
      <c r="R245" s="16">
        <f>IF(OR($C245="",$Q245=0),"",IF($G245="國","國定假日",IF($B245="日","例假",IF($B245="六","休息日","平日"))))</f>
        <v/>
      </c>
      <c r="S245" s="18" t="n"/>
    </row>
    <row r="246">
      <c r="A246" s="86">
        <f>IF(OR(醫護長與管理部班表!$A12="",27&gt;DAY(EOMONTH(DATE(設定!$C$2,設定!$D$2,1),0))),"",DATE(設定!$C$2,設定!$D$2,27))</f>
        <v/>
      </c>
      <c r="B246" s="16">
        <f>IF($A246="","",INDEX(設定!$O$6:$O$12,WEEKDAY($A246,1)))</f>
        <v/>
      </c>
      <c r="C246" s="16">
        <f>IF($A246="","",醫護長與管理部班表!$A12)</f>
        <v/>
      </c>
      <c r="D246" s="16">
        <f>IF($C246="","",醫護長與管理部班表!$B12)</f>
        <v/>
      </c>
      <c r="E246" s="16">
        <f>IF($C246="","",醫護長與管理部班表!$D12)</f>
        <v/>
      </c>
      <c r="F246" s="16">
        <f>IF($C246="","",醫護長與管理部班表!$C12)</f>
        <v/>
      </c>
      <c r="G246" s="16">
        <f>IF($C246="","",醫護長與管理部班表!AE12)</f>
        <v/>
      </c>
      <c r="H246" s="87">
        <f>IF($G246="","",IFERROR(IF(INDEX(設定!$D$6:$D$21,MATCH($G246,設定!$B$6:$B$21,0))=0,"",INDEX(設定!$D$6:$D$21,MATCH($G246,設定!$B$6:$B$21,0))),""))</f>
        <v/>
      </c>
      <c r="I246" s="87">
        <f>IF($G246="","",IFERROR(IF(INDEX(設定!$E$6:$E$21,MATCH($G246,設定!$B$6:$B$21,0))=0,"",INDEX(設定!$E$6:$E$21,MATCH($G246,設定!$B$6:$B$21,0))),""))</f>
        <v/>
      </c>
      <c r="J246" s="87">
        <f>IFERROR(INDEX(打卡匯入!$C$3:$C$502,MATCH($C246&amp;"|"&amp;DAY($A246),打卡匯入!$E$3:$E$502,0)),"")</f>
        <v/>
      </c>
      <c r="K246" s="87">
        <f>IFERROR(INDEX(打卡匯入!$D$3:$D$502,MATCH($C246&amp;"|"&amp;DAY($A246),打卡匯入!$E$3:$E$502,0)),"")</f>
        <v/>
      </c>
      <c r="L246" s="88">
        <f>IF(OR($J246="",$K246=""),"",IFERROR(INDEX(設定!$F$6:$F$21,MATCH($G246,設定!$B$6:$B$21,0)),0))</f>
        <v/>
      </c>
      <c r="M246" s="89">
        <f>IF(OR($J246="",$K246=""),"",ROUND(($K246-$J246)*24-$L246/60,2))</f>
        <v/>
      </c>
      <c r="N246" s="16">
        <f>IF($C246="","",IF(AND(COUNTIF(設定!$B$15:$B$21,$G246)&gt;0,$J246&lt;&gt;""),"假日出勤",IF(AND(COUNTIF(設定!$B$6:$B$14,$G246)&gt;0,$J246=""),"未打卡",IF($J246="","",IF($O246&gt;0,"遲到",IF($P246&gt;0,"早退","正常"))))))</f>
        <v/>
      </c>
      <c r="O246" s="88">
        <f>IF(OR($C246="",$H246="",$J246=""),0,IF(ROUND(($J246-$H246)*1440,0)&gt;設定!$C$48,ROUND(($J246-$H246)*1440,0),0))</f>
        <v/>
      </c>
      <c r="P246" s="88">
        <f>IF(OR($C246="",$I246="",$K246=""),0,IF(ROUND(($I246-$K246)*1440,0)&gt;設定!$C$48,ROUND(($I246-$K246)*1440,0),0))</f>
        <v/>
      </c>
      <c r="Q246" s="89">
        <f>IF($M246="",0,IF(($M246-IFERROR(INDEX(設定!$G$6:$G$21,MATCH($G246,設定!$B$6:$B$21,0)),0))*60&gt;=設定!$C$46,ROUND(FLOOR(($M246-IFERROR(INDEX(設定!$G$6:$G$21,MATCH($G246,設定!$B$6:$B$21,0)),0))*60,設定!$C$47)/60,2),0))</f>
        <v/>
      </c>
      <c r="R246" s="16">
        <f>IF(OR($C246="",$Q246=0),"",IF($G246="國","國定假日",IF($B246="日","例假",IF($B246="六","休息日","平日"))))</f>
        <v/>
      </c>
      <c r="S246" s="18" t="n"/>
    </row>
    <row r="247">
      <c r="A247" s="86">
        <f>IF(OR(醫護長與管理部班表!$A12="",28&gt;DAY(EOMONTH(DATE(設定!$C$2,設定!$D$2,1),0))),"",DATE(設定!$C$2,設定!$D$2,28))</f>
        <v/>
      </c>
      <c r="B247" s="16">
        <f>IF($A247="","",INDEX(設定!$O$6:$O$12,WEEKDAY($A247,1)))</f>
        <v/>
      </c>
      <c r="C247" s="16">
        <f>IF($A247="","",醫護長與管理部班表!$A12)</f>
        <v/>
      </c>
      <c r="D247" s="16">
        <f>IF($C247="","",醫護長與管理部班表!$B12)</f>
        <v/>
      </c>
      <c r="E247" s="16">
        <f>IF($C247="","",醫護長與管理部班表!$D12)</f>
        <v/>
      </c>
      <c r="F247" s="16">
        <f>IF($C247="","",醫護長與管理部班表!$C12)</f>
        <v/>
      </c>
      <c r="G247" s="16">
        <f>IF($C247="","",醫護長與管理部班表!AF12)</f>
        <v/>
      </c>
      <c r="H247" s="87">
        <f>IF($G247="","",IFERROR(IF(INDEX(設定!$D$6:$D$21,MATCH($G247,設定!$B$6:$B$21,0))=0,"",INDEX(設定!$D$6:$D$21,MATCH($G247,設定!$B$6:$B$21,0))),""))</f>
        <v/>
      </c>
      <c r="I247" s="87">
        <f>IF($G247="","",IFERROR(IF(INDEX(設定!$E$6:$E$21,MATCH($G247,設定!$B$6:$B$21,0))=0,"",INDEX(設定!$E$6:$E$21,MATCH($G247,設定!$B$6:$B$21,0))),""))</f>
        <v/>
      </c>
      <c r="J247" s="87">
        <f>IFERROR(INDEX(打卡匯入!$C$3:$C$502,MATCH($C247&amp;"|"&amp;DAY($A247),打卡匯入!$E$3:$E$502,0)),"")</f>
        <v/>
      </c>
      <c r="K247" s="87">
        <f>IFERROR(INDEX(打卡匯入!$D$3:$D$502,MATCH($C247&amp;"|"&amp;DAY($A247),打卡匯入!$E$3:$E$502,0)),"")</f>
        <v/>
      </c>
      <c r="L247" s="88">
        <f>IF(OR($J247="",$K247=""),"",IFERROR(INDEX(設定!$F$6:$F$21,MATCH($G247,設定!$B$6:$B$21,0)),0))</f>
        <v/>
      </c>
      <c r="M247" s="89">
        <f>IF(OR($J247="",$K247=""),"",ROUND(($K247-$J247)*24-$L247/60,2))</f>
        <v/>
      </c>
      <c r="N247" s="16">
        <f>IF($C247="","",IF(AND(COUNTIF(設定!$B$15:$B$21,$G247)&gt;0,$J247&lt;&gt;""),"假日出勤",IF(AND(COUNTIF(設定!$B$6:$B$14,$G247)&gt;0,$J247=""),"未打卡",IF($J247="","",IF($O247&gt;0,"遲到",IF($P247&gt;0,"早退","正常"))))))</f>
        <v/>
      </c>
      <c r="O247" s="88">
        <f>IF(OR($C247="",$H247="",$J247=""),0,IF(ROUND(($J247-$H247)*1440,0)&gt;設定!$C$48,ROUND(($J247-$H247)*1440,0),0))</f>
        <v/>
      </c>
      <c r="P247" s="88">
        <f>IF(OR($C247="",$I247="",$K247=""),0,IF(ROUND(($I247-$K247)*1440,0)&gt;設定!$C$48,ROUND(($I247-$K247)*1440,0),0))</f>
        <v/>
      </c>
      <c r="Q247" s="89">
        <f>IF($M247="",0,IF(($M247-IFERROR(INDEX(設定!$G$6:$G$21,MATCH($G247,設定!$B$6:$B$21,0)),0))*60&gt;=設定!$C$46,ROUND(FLOOR(($M247-IFERROR(INDEX(設定!$G$6:$G$21,MATCH($G247,設定!$B$6:$B$21,0)),0))*60,設定!$C$47)/60,2),0))</f>
        <v/>
      </c>
      <c r="R247" s="16">
        <f>IF(OR($C247="",$Q247=0),"",IF($G247="國","國定假日",IF($B247="日","例假",IF($B247="六","休息日","平日"))))</f>
        <v/>
      </c>
      <c r="S247" s="18" t="n"/>
    </row>
    <row r="248">
      <c r="A248" s="86">
        <f>IF(OR(醫護長與管理部班表!$A12="",29&gt;DAY(EOMONTH(DATE(設定!$C$2,設定!$D$2,1),0))),"",DATE(設定!$C$2,設定!$D$2,29))</f>
        <v/>
      </c>
      <c r="B248" s="16">
        <f>IF($A248="","",INDEX(設定!$O$6:$O$12,WEEKDAY($A248,1)))</f>
        <v/>
      </c>
      <c r="C248" s="16">
        <f>IF($A248="","",醫護長與管理部班表!$A12)</f>
        <v/>
      </c>
      <c r="D248" s="16">
        <f>IF($C248="","",醫護長與管理部班表!$B12)</f>
        <v/>
      </c>
      <c r="E248" s="16">
        <f>IF($C248="","",醫護長與管理部班表!$D12)</f>
        <v/>
      </c>
      <c r="F248" s="16">
        <f>IF($C248="","",醫護長與管理部班表!$C12)</f>
        <v/>
      </c>
      <c r="G248" s="16">
        <f>IF($C248="","",醫護長與管理部班表!AG12)</f>
        <v/>
      </c>
      <c r="H248" s="87">
        <f>IF($G248="","",IFERROR(IF(INDEX(設定!$D$6:$D$21,MATCH($G248,設定!$B$6:$B$21,0))=0,"",INDEX(設定!$D$6:$D$21,MATCH($G248,設定!$B$6:$B$21,0))),""))</f>
        <v/>
      </c>
      <c r="I248" s="87">
        <f>IF($G248="","",IFERROR(IF(INDEX(設定!$E$6:$E$21,MATCH($G248,設定!$B$6:$B$21,0))=0,"",INDEX(設定!$E$6:$E$21,MATCH($G248,設定!$B$6:$B$21,0))),""))</f>
        <v/>
      </c>
      <c r="J248" s="87">
        <f>IFERROR(INDEX(打卡匯入!$C$3:$C$502,MATCH($C248&amp;"|"&amp;DAY($A248),打卡匯入!$E$3:$E$502,0)),"")</f>
        <v/>
      </c>
      <c r="K248" s="87">
        <f>IFERROR(INDEX(打卡匯入!$D$3:$D$502,MATCH($C248&amp;"|"&amp;DAY($A248),打卡匯入!$E$3:$E$502,0)),"")</f>
        <v/>
      </c>
      <c r="L248" s="88">
        <f>IF(OR($J248="",$K248=""),"",IFERROR(INDEX(設定!$F$6:$F$21,MATCH($G248,設定!$B$6:$B$21,0)),0))</f>
        <v/>
      </c>
      <c r="M248" s="89">
        <f>IF(OR($J248="",$K248=""),"",ROUND(($K248-$J248)*24-$L248/60,2))</f>
        <v/>
      </c>
      <c r="N248" s="16">
        <f>IF($C248="","",IF(AND(COUNTIF(設定!$B$15:$B$21,$G248)&gt;0,$J248&lt;&gt;""),"假日出勤",IF(AND(COUNTIF(設定!$B$6:$B$14,$G248)&gt;0,$J248=""),"未打卡",IF($J248="","",IF($O248&gt;0,"遲到",IF($P248&gt;0,"早退","正常"))))))</f>
        <v/>
      </c>
      <c r="O248" s="88">
        <f>IF(OR($C248="",$H248="",$J248=""),0,IF(ROUND(($J248-$H248)*1440,0)&gt;設定!$C$48,ROUND(($J248-$H248)*1440,0),0))</f>
        <v/>
      </c>
      <c r="P248" s="88">
        <f>IF(OR($C248="",$I248="",$K248=""),0,IF(ROUND(($I248-$K248)*1440,0)&gt;設定!$C$48,ROUND(($I248-$K248)*1440,0),0))</f>
        <v/>
      </c>
      <c r="Q248" s="89">
        <f>IF($M248="",0,IF(($M248-IFERROR(INDEX(設定!$G$6:$G$21,MATCH($G248,設定!$B$6:$B$21,0)),0))*60&gt;=設定!$C$46,ROUND(FLOOR(($M248-IFERROR(INDEX(設定!$G$6:$G$21,MATCH($G248,設定!$B$6:$B$21,0)),0))*60,設定!$C$47)/60,2),0))</f>
        <v/>
      </c>
      <c r="R248" s="16">
        <f>IF(OR($C248="",$Q248=0),"",IF($G248="國","國定假日",IF($B248="日","例假",IF($B248="六","休息日","平日"))))</f>
        <v/>
      </c>
      <c r="S248" s="18" t="n"/>
    </row>
    <row r="249">
      <c r="A249" s="86">
        <f>IF(OR(醫護長與管理部班表!$A12="",30&gt;DAY(EOMONTH(DATE(設定!$C$2,設定!$D$2,1),0))),"",DATE(設定!$C$2,設定!$D$2,30))</f>
        <v/>
      </c>
      <c r="B249" s="16">
        <f>IF($A249="","",INDEX(設定!$O$6:$O$12,WEEKDAY($A249,1)))</f>
        <v/>
      </c>
      <c r="C249" s="16">
        <f>IF($A249="","",醫護長與管理部班表!$A12)</f>
        <v/>
      </c>
      <c r="D249" s="16">
        <f>IF($C249="","",醫護長與管理部班表!$B12)</f>
        <v/>
      </c>
      <c r="E249" s="16">
        <f>IF($C249="","",醫護長與管理部班表!$D12)</f>
        <v/>
      </c>
      <c r="F249" s="16">
        <f>IF($C249="","",醫護長與管理部班表!$C12)</f>
        <v/>
      </c>
      <c r="G249" s="16">
        <f>IF($C249="","",醫護長與管理部班表!AH12)</f>
        <v/>
      </c>
      <c r="H249" s="87">
        <f>IF($G249="","",IFERROR(IF(INDEX(設定!$D$6:$D$21,MATCH($G249,設定!$B$6:$B$21,0))=0,"",INDEX(設定!$D$6:$D$21,MATCH($G249,設定!$B$6:$B$21,0))),""))</f>
        <v/>
      </c>
      <c r="I249" s="87">
        <f>IF($G249="","",IFERROR(IF(INDEX(設定!$E$6:$E$21,MATCH($G249,設定!$B$6:$B$21,0))=0,"",INDEX(設定!$E$6:$E$21,MATCH($G249,設定!$B$6:$B$21,0))),""))</f>
        <v/>
      </c>
      <c r="J249" s="87">
        <f>IFERROR(INDEX(打卡匯入!$C$3:$C$502,MATCH($C249&amp;"|"&amp;DAY($A249),打卡匯入!$E$3:$E$502,0)),"")</f>
        <v/>
      </c>
      <c r="K249" s="87">
        <f>IFERROR(INDEX(打卡匯入!$D$3:$D$502,MATCH($C249&amp;"|"&amp;DAY($A249),打卡匯入!$E$3:$E$502,0)),"")</f>
        <v/>
      </c>
      <c r="L249" s="88">
        <f>IF(OR($J249="",$K249=""),"",IFERROR(INDEX(設定!$F$6:$F$21,MATCH($G249,設定!$B$6:$B$21,0)),0))</f>
        <v/>
      </c>
      <c r="M249" s="89">
        <f>IF(OR($J249="",$K249=""),"",ROUND(($K249-$J249)*24-$L249/60,2))</f>
        <v/>
      </c>
      <c r="N249" s="16">
        <f>IF($C249="","",IF(AND(COUNTIF(設定!$B$15:$B$21,$G249)&gt;0,$J249&lt;&gt;""),"假日出勤",IF(AND(COUNTIF(設定!$B$6:$B$14,$G249)&gt;0,$J249=""),"未打卡",IF($J249="","",IF($O249&gt;0,"遲到",IF($P249&gt;0,"早退","正常"))))))</f>
        <v/>
      </c>
      <c r="O249" s="88">
        <f>IF(OR($C249="",$H249="",$J249=""),0,IF(ROUND(($J249-$H249)*1440,0)&gt;設定!$C$48,ROUND(($J249-$H249)*1440,0),0))</f>
        <v/>
      </c>
      <c r="P249" s="88">
        <f>IF(OR($C249="",$I249="",$K249=""),0,IF(ROUND(($I249-$K249)*1440,0)&gt;設定!$C$48,ROUND(($I249-$K249)*1440,0),0))</f>
        <v/>
      </c>
      <c r="Q249" s="89">
        <f>IF($M249="",0,IF(($M249-IFERROR(INDEX(設定!$G$6:$G$21,MATCH($G249,設定!$B$6:$B$21,0)),0))*60&gt;=設定!$C$46,ROUND(FLOOR(($M249-IFERROR(INDEX(設定!$G$6:$G$21,MATCH($G249,設定!$B$6:$B$21,0)),0))*60,設定!$C$47)/60,2),0))</f>
        <v/>
      </c>
      <c r="R249" s="16">
        <f>IF(OR($C249="",$Q249=0),"",IF($G249="國","國定假日",IF($B249="日","例假",IF($B249="六","休息日","平日"))))</f>
        <v/>
      </c>
      <c r="S249" s="18" t="n"/>
    </row>
    <row r="250">
      <c r="A250" s="86">
        <f>IF(OR(醫護長與管理部班表!$A12="",31&gt;DAY(EOMONTH(DATE(設定!$C$2,設定!$D$2,1),0))),"",DATE(設定!$C$2,設定!$D$2,31))</f>
        <v/>
      </c>
      <c r="B250" s="16">
        <f>IF($A250="","",INDEX(設定!$O$6:$O$12,WEEKDAY($A250,1)))</f>
        <v/>
      </c>
      <c r="C250" s="16">
        <f>IF($A250="","",醫護長與管理部班表!$A12)</f>
        <v/>
      </c>
      <c r="D250" s="16">
        <f>IF($C250="","",醫護長與管理部班表!$B12)</f>
        <v/>
      </c>
      <c r="E250" s="16">
        <f>IF($C250="","",醫護長與管理部班表!$D12)</f>
        <v/>
      </c>
      <c r="F250" s="16">
        <f>IF($C250="","",醫護長與管理部班表!$C12)</f>
        <v/>
      </c>
      <c r="G250" s="16">
        <f>IF($C250="","",醫護長與管理部班表!AI12)</f>
        <v/>
      </c>
      <c r="H250" s="87">
        <f>IF($G250="","",IFERROR(IF(INDEX(設定!$D$6:$D$21,MATCH($G250,設定!$B$6:$B$21,0))=0,"",INDEX(設定!$D$6:$D$21,MATCH($G250,設定!$B$6:$B$21,0))),""))</f>
        <v/>
      </c>
      <c r="I250" s="87">
        <f>IF($G250="","",IFERROR(IF(INDEX(設定!$E$6:$E$21,MATCH($G250,設定!$B$6:$B$21,0))=0,"",INDEX(設定!$E$6:$E$21,MATCH($G250,設定!$B$6:$B$21,0))),""))</f>
        <v/>
      </c>
      <c r="J250" s="87">
        <f>IFERROR(INDEX(打卡匯入!$C$3:$C$502,MATCH($C250&amp;"|"&amp;DAY($A250),打卡匯入!$E$3:$E$502,0)),"")</f>
        <v/>
      </c>
      <c r="K250" s="87">
        <f>IFERROR(INDEX(打卡匯入!$D$3:$D$502,MATCH($C250&amp;"|"&amp;DAY($A250),打卡匯入!$E$3:$E$502,0)),"")</f>
        <v/>
      </c>
      <c r="L250" s="88">
        <f>IF(OR($J250="",$K250=""),"",IFERROR(INDEX(設定!$F$6:$F$21,MATCH($G250,設定!$B$6:$B$21,0)),0))</f>
        <v/>
      </c>
      <c r="M250" s="89">
        <f>IF(OR($J250="",$K250=""),"",ROUND(($K250-$J250)*24-$L250/60,2))</f>
        <v/>
      </c>
      <c r="N250" s="16">
        <f>IF($C250="","",IF(AND(COUNTIF(設定!$B$15:$B$21,$G250)&gt;0,$J250&lt;&gt;""),"假日出勤",IF(AND(COUNTIF(設定!$B$6:$B$14,$G250)&gt;0,$J250=""),"未打卡",IF($J250="","",IF($O250&gt;0,"遲到",IF($P250&gt;0,"早退","正常"))))))</f>
        <v/>
      </c>
      <c r="O250" s="88">
        <f>IF(OR($C250="",$H250="",$J250=""),0,IF(ROUND(($J250-$H250)*1440,0)&gt;設定!$C$48,ROUND(($J250-$H250)*1440,0),0))</f>
        <v/>
      </c>
      <c r="P250" s="88">
        <f>IF(OR($C250="",$I250="",$K250=""),0,IF(ROUND(($I250-$K250)*1440,0)&gt;設定!$C$48,ROUND(($I250-$K250)*1440,0),0))</f>
        <v/>
      </c>
      <c r="Q250" s="89">
        <f>IF($M250="",0,IF(($M250-IFERROR(INDEX(設定!$G$6:$G$21,MATCH($G250,設定!$B$6:$B$21,0)),0))*60&gt;=設定!$C$46,ROUND(FLOOR(($M250-IFERROR(INDEX(設定!$G$6:$G$21,MATCH($G250,設定!$B$6:$B$21,0)),0))*60,設定!$C$47)/60,2),0))</f>
        <v/>
      </c>
      <c r="R250" s="16">
        <f>IF(OR($C250="",$Q250=0),"",IF($G250="國","國定假日",IF($B250="日","例假",IF($B250="六","休息日","平日"))))</f>
        <v/>
      </c>
      <c r="S250" s="18" t="n"/>
    </row>
    <row r="251">
      <c r="A251" s="86">
        <f>IF(OR(醫護長與管理部班表!$A13="",1&gt;DAY(EOMONTH(DATE(設定!$C$2,設定!$D$2,1),0))),"",DATE(設定!$C$2,設定!$D$2,1))</f>
        <v/>
      </c>
      <c r="B251" s="16">
        <f>IF($A251="","",INDEX(設定!$O$6:$O$12,WEEKDAY($A251,1)))</f>
        <v/>
      </c>
      <c r="C251" s="16">
        <f>IF($A251="","",醫護長與管理部班表!$A13)</f>
        <v/>
      </c>
      <c r="D251" s="16">
        <f>IF($C251="","",醫護長與管理部班表!$B13)</f>
        <v/>
      </c>
      <c r="E251" s="16">
        <f>IF($C251="","",醫護長與管理部班表!$D13)</f>
        <v/>
      </c>
      <c r="F251" s="16">
        <f>IF($C251="","",醫護長與管理部班表!$C13)</f>
        <v/>
      </c>
      <c r="G251" s="16">
        <f>IF($C251="","",醫護長與管理部班表!E13)</f>
        <v/>
      </c>
      <c r="H251" s="87">
        <f>IF($G251="","",IFERROR(IF(INDEX(設定!$D$6:$D$21,MATCH($G251,設定!$B$6:$B$21,0))=0,"",INDEX(設定!$D$6:$D$21,MATCH($G251,設定!$B$6:$B$21,0))),""))</f>
        <v/>
      </c>
      <c r="I251" s="87">
        <f>IF($G251="","",IFERROR(IF(INDEX(設定!$E$6:$E$21,MATCH($G251,設定!$B$6:$B$21,0))=0,"",INDEX(設定!$E$6:$E$21,MATCH($G251,設定!$B$6:$B$21,0))),""))</f>
        <v/>
      </c>
      <c r="J251" s="87">
        <f>IFERROR(INDEX(打卡匯入!$C$3:$C$502,MATCH($C251&amp;"|"&amp;DAY($A251),打卡匯入!$E$3:$E$502,0)),"")</f>
        <v/>
      </c>
      <c r="K251" s="87">
        <f>IFERROR(INDEX(打卡匯入!$D$3:$D$502,MATCH($C251&amp;"|"&amp;DAY($A251),打卡匯入!$E$3:$E$502,0)),"")</f>
        <v/>
      </c>
      <c r="L251" s="88">
        <f>IF(OR($J251="",$K251=""),"",IFERROR(INDEX(設定!$F$6:$F$21,MATCH($G251,設定!$B$6:$B$21,0)),0))</f>
        <v/>
      </c>
      <c r="M251" s="89">
        <f>IF(OR($J251="",$K251=""),"",ROUND(($K251-$J251)*24-$L251/60,2))</f>
        <v/>
      </c>
      <c r="N251" s="16">
        <f>IF($C251="","",IF(AND(COUNTIF(設定!$B$15:$B$21,$G251)&gt;0,$J251&lt;&gt;""),"假日出勤",IF(AND(COUNTIF(設定!$B$6:$B$14,$G251)&gt;0,$J251=""),"未打卡",IF($J251="","",IF($O251&gt;0,"遲到",IF($P251&gt;0,"早退","正常"))))))</f>
        <v/>
      </c>
      <c r="O251" s="88">
        <f>IF(OR($C251="",$H251="",$J251=""),0,IF(ROUND(($J251-$H251)*1440,0)&gt;設定!$C$48,ROUND(($J251-$H251)*1440,0),0))</f>
        <v/>
      </c>
      <c r="P251" s="88">
        <f>IF(OR($C251="",$I251="",$K251=""),0,IF(ROUND(($I251-$K251)*1440,0)&gt;設定!$C$48,ROUND(($I251-$K251)*1440,0),0))</f>
        <v/>
      </c>
      <c r="Q251" s="89">
        <f>IF($M251="",0,IF(($M251-IFERROR(INDEX(設定!$G$6:$G$21,MATCH($G251,設定!$B$6:$B$21,0)),0))*60&gt;=設定!$C$46,ROUND(FLOOR(($M251-IFERROR(INDEX(設定!$G$6:$G$21,MATCH($G251,設定!$B$6:$B$21,0)),0))*60,設定!$C$47)/60,2),0))</f>
        <v/>
      </c>
      <c r="R251" s="16">
        <f>IF(OR($C251="",$Q251=0),"",IF($G251="國","國定假日",IF($B251="日","例假",IF($B251="六","休息日","平日"))))</f>
        <v/>
      </c>
      <c r="S251" s="18" t="n"/>
    </row>
    <row r="252">
      <c r="A252" s="86">
        <f>IF(OR(醫護長與管理部班表!$A13="",2&gt;DAY(EOMONTH(DATE(設定!$C$2,設定!$D$2,1),0))),"",DATE(設定!$C$2,設定!$D$2,2))</f>
        <v/>
      </c>
      <c r="B252" s="16">
        <f>IF($A252="","",INDEX(設定!$O$6:$O$12,WEEKDAY($A252,1)))</f>
        <v/>
      </c>
      <c r="C252" s="16">
        <f>IF($A252="","",醫護長與管理部班表!$A13)</f>
        <v/>
      </c>
      <c r="D252" s="16">
        <f>IF($C252="","",醫護長與管理部班表!$B13)</f>
        <v/>
      </c>
      <c r="E252" s="16">
        <f>IF($C252="","",醫護長與管理部班表!$D13)</f>
        <v/>
      </c>
      <c r="F252" s="16">
        <f>IF($C252="","",醫護長與管理部班表!$C13)</f>
        <v/>
      </c>
      <c r="G252" s="16">
        <f>IF($C252="","",醫護長與管理部班表!F13)</f>
        <v/>
      </c>
      <c r="H252" s="87">
        <f>IF($G252="","",IFERROR(IF(INDEX(設定!$D$6:$D$21,MATCH($G252,設定!$B$6:$B$21,0))=0,"",INDEX(設定!$D$6:$D$21,MATCH($G252,設定!$B$6:$B$21,0))),""))</f>
        <v/>
      </c>
      <c r="I252" s="87">
        <f>IF($G252="","",IFERROR(IF(INDEX(設定!$E$6:$E$21,MATCH($G252,設定!$B$6:$B$21,0))=0,"",INDEX(設定!$E$6:$E$21,MATCH($G252,設定!$B$6:$B$21,0))),""))</f>
        <v/>
      </c>
      <c r="J252" s="87">
        <f>IFERROR(INDEX(打卡匯入!$C$3:$C$502,MATCH($C252&amp;"|"&amp;DAY($A252),打卡匯入!$E$3:$E$502,0)),"")</f>
        <v/>
      </c>
      <c r="K252" s="87">
        <f>IFERROR(INDEX(打卡匯入!$D$3:$D$502,MATCH($C252&amp;"|"&amp;DAY($A252),打卡匯入!$E$3:$E$502,0)),"")</f>
        <v/>
      </c>
      <c r="L252" s="88">
        <f>IF(OR($J252="",$K252=""),"",IFERROR(INDEX(設定!$F$6:$F$21,MATCH($G252,設定!$B$6:$B$21,0)),0))</f>
        <v/>
      </c>
      <c r="M252" s="89">
        <f>IF(OR($J252="",$K252=""),"",ROUND(($K252-$J252)*24-$L252/60,2))</f>
        <v/>
      </c>
      <c r="N252" s="16">
        <f>IF($C252="","",IF(AND(COUNTIF(設定!$B$15:$B$21,$G252)&gt;0,$J252&lt;&gt;""),"假日出勤",IF(AND(COUNTIF(設定!$B$6:$B$14,$G252)&gt;0,$J252=""),"未打卡",IF($J252="","",IF($O252&gt;0,"遲到",IF($P252&gt;0,"早退","正常"))))))</f>
        <v/>
      </c>
      <c r="O252" s="88">
        <f>IF(OR($C252="",$H252="",$J252=""),0,IF(ROUND(($J252-$H252)*1440,0)&gt;設定!$C$48,ROUND(($J252-$H252)*1440,0),0))</f>
        <v/>
      </c>
      <c r="P252" s="88">
        <f>IF(OR($C252="",$I252="",$K252=""),0,IF(ROUND(($I252-$K252)*1440,0)&gt;設定!$C$48,ROUND(($I252-$K252)*1440,0),0))</f>
        <v/>
      </c>
      <c r="Q252" s="89">
        <f>IF($M252="",0,IF(($M252-IFERROR(INDEX(設定!$G$6:$G$21,MATCH($G252,設定!$B$6:$B$21,0)),0))*60&gt;=設定!$C$46,ROUND(FLOOR(($M252-IFERROR(INDEX(設定!$G$6:$G$21,MATCH($G252,設定!$B$6:$B$21,0)),0))*60,設定!$C$47)/60,2),0))</f>
        <v/>
      </c>
      <c r="R252" s="16">
        <f>IF(OR($C252="",$Q252=0),"",IF($G252="國","國定假日",IF($B252="日","例假",IF($B252="六","休息日","平日"))))</f>
        <v/>
      </c>
      <c r="S252" s="18" t="n"/>
    </row>
    <row r="253">
      <c r="A253" s="86">
        <f>IF(OR(醫護長與管理部班表!$A13="",3&gt;DAY(EOMONTH(DATE(設定!$C$2,設定!$D$2,1),0))),"",DATE(設定!$C$2,設定!$D$2,3))</f>
        <v/>
      </c>
      <c r="B253" s="16">
        <f>IF($A253="","",INDEX(設定!$O$6:$O$12,WEEKDAY($A253,1)))</f>
        <v/>
      </c>
      <c r="C253" s="16">
        <f>IF($A253="","",醫護長與管理部班表!$A13)</f>
        <v/>
      </c>
      <c r="D253" s="16">
        <f>IF($C253="","",醫護長與管理部班表!$B13)</f>
        <v/>
      </c>
      <c r="E253" s="16">
        <f>IF($C253="","",醫護長與管理部班表!$D13)</f>
        <v/>
      </c>
      <c r="F253" s="16">
        <f>IF($C253="","",醫護長與管理部班表!$C13)</f>
        <v/>
      </c>
      <c r="G253" s="16">
        <f>IF($C253="","",醫護長與管理部班表!G13)</f>
        <v/>
      </c>
      <c r="H253" s="87">
        <f>IF($G253="","",IFERROR(IF(INDEX(設定!$D$6:$D$21,MATCH($G253,設定!$B$6:$B$21,0))=0,"",INDEX(設定!$D$6:$D$21,MATCH($G253,設定!$B$6:$B$21,0))),""))</f>
        <v/>
      </c>
      <c r="I253" s="87">
        <f>IF($G253="","",IFERROR(IF(INDEX(設定!$E$6:$E$21,MATCH($G253,設定!$B$6:$B$21,0))=0,"",INDEX(設定!$E$6:$E$21,MATCH($G253,設定!$B$6:$B$21,0))),""))</f>
        <v/>
      </c>
      <c r="J253" s="87">
        <f>IFERROR(INDEX(打卡匯入!$C$3:$C$502,MATCH($C253&amp;"|"&amp;DAY($A253),打卡匯入!$E$3:$E$502,0)),"")</f>
        <v/>
      </c>
      <c r="K253" s="87">
        <f>IFERROR(INDEX(打卡匯入!$D$3:$D$502,MATCH($C253&amp;"|"&amp;DAY($A253),打卡匯入!$E$3:$E$502,0)),"")</f>
        <v/>
      </c>
      <c r="L253" s="88">
        <f>IF(OR($J253="",$K253=""),"",IFERROR(INDEX(設定!$F$6:$F$21,MATCH($G253,設定!$B$6:$B$21,0)),0))</f>
        <v/>
      </c>
      <c r="M253" s="89">
        <f>IF(OR($J253="",$K253=""),"",ROUND(($K253-$J253)*24-$L253/60,2))</f>
        <v/>
      </c>
      <c r="N253" s="16">
        <f>IF($C253="","",IF(AND(COUNTIF(設定!$B$15:$B$21,$G253)&gt;0,$J253&lt;&gt;""),"假日出勤",IF(AND(COUNTIF(設定!$B$6:$B$14,$G253)&gt;0,$J253=""),"未打卡",IF($J253="","",IF($O253&gt;0,"遲到",IF($P253&gt;0,"早退","正常"))))))</f>
        <v/>
      </c>
      <c r="O253" s="88">
        <f>IF(OR($C253="",$H253="",$J253=""),0,IF(ROUND(($J253-$H253)*1440,0)&gt;設定!$C$48,ROUND(($J253-$H253)*1440,0),0))</f>
        <v/>
      </c>
      <c r="P253" s="88">
        <f>IF(OR($C253="",$I253="",$K253=""),0,IF(ROUND(($I253-$K253)*1440,0)&gt;設定!$C$48,ROUND(($I253-$K253)*1440,0),0))</f>
        <v/>
      </c>
      <c r="Q253" s="89">
        <f>IF($M253="",0,IF(($M253-IFERROR(INDEX(設定!$G$6:$G$21,MATCH($G253,設定!$B$6:$B$21,0)),0))*60&gt;=設定!$C$46,ROUND(FLOOR(($M253-IFERROR(INDEX(設定!$G$6:$G$21,MATCH($G253,設定!$B$6:$B$21,0)),0))*60,設定!$C$47)/60,2),0))</f>
        <v/>
      </c>
      <c r="R253" s="16">
        <f>IF(OR($C253="",$Q253=0),"",IF($G253="國","國定假日",IF($B253="日","例假",IF($B253="六","休息日","平日"))))</f>
        <v/>
      </c>
      <c r="S253" s="18" t="n"/>
    </row>
    <row r="254">
      <c r="A254" s="86">
        <f>IF(OR(醫護長與管理部班表!$A13="",4&gt;DAY(EOMONTH(DATE(設定!$C$2,設定!$D$2,1),0))),"",DATE(設定!$C$2,設定!$D$2,4))</f>
        <v/>
      </c>
      <c r="B254" s="16">
        <f>IF($A254="","",INDEX(設定!$O$6:$O$12,WEEKDAY($A254,1)))</f>
        <v/>
      </c>
      <c r="C254" s="16">
        <f>IF($A254="","",醫護長與管理部班表!$A13)</f>
        <v/>
      </c>
      <c r="D254" s="16">
        <f>IF($C254="","",醫護長與管理部班表!$B13)</f>
        <v/>
      </c>
      <c r="E254" s="16">
        <f>IF($C254="","",醫護長與管理部班表!$D13)</f>
        <v/>
      </c>
      <c r="F254" s="16">
        <f>IF($C254="","",醫護長與管理部班表!$C13)</f>
        <v/>
      </c>
      <c r="G254" s="16">
        <f>IF($C254="","",醫護長與管理部班表!H13)</f>
        <v/>
      </c>
      <c r="H254" s="87">
        <f>IF($G254="","",IFERROR(IF(INDEX(設定!$D$6:$D$21,MATCH($G254,設定!$B$6:$B$21,0))=0,"",INDEX(設定!$D$6:$D$21,MATCH($G254,設定!$B$6:$B$21,0))),""))</f>
        <v/>
      </c>
      <c r="I254" s="87">
        <f>IF($G254="","",IFERROR(IF(INDEX(設定!$E$6:$E$21,MATCH($G254,設定!$B$6:$B$21,0))=0,"",INDEX(設定!$E$6:$E$21,MATCH($G254,設定!$B$6:$B$21,0))),""))</f>
        <v/>
      </c>
      <c r="J254" s="87">
        <f>IFERROR(INDEX(打卡匯入!$C$3:$C$502,MATCH($C254&amp;"|"&amp;DAY($A254),打卡匯入!$E$3:$E$502,0)),"")</f>
        <v/>
      </c>
      <c r="K254" s="87">
        <f>IFERROR(INDEX(打卡匯入!$D$3:$D$502,MATCH($C254&amp;"|"&amp;DAY($A254),打卡匯入!$E$3:$E$502,0)),"")</f>
        <v/>
      </c>
      <c r="L254" s="88">
        <f>IF(OR($J254="",$K254=""),"",IFERROR(INDEX(設定!$F$6:$F$21,MATCH($G254,設定!$B$6:$B$21,0)),0))</f>
        <v/>
      </c>
      <c r="M254" s="89">
        <f>IF(OR($J254="",$K254=""),"",ROUND(($K254-$J254)*24-$L254/60,2))</f>
        <v/>
      </c>
      <c r="N254" s="16">
        <f>IF($C254="","",IF(AND(COUNTIF(設定!$B$15:$B$21,$G254)&gt;0,$J254&lt;&gt;""),"假日出勤",IF(AND(COUNTIF(設定!$B$6:$B$14,$G254)&gt;0,$J254=""),"未打卡",IF($J254="","",IF($O254&gt;0,"遲到",IF($P254&gt;0,"早退","正常"))))))</f>
        <v/>
      </c>
      <c r="O254" s="88">
        <f>IF(OR($C254="",$H254="",$J254=""),0,IF(ROUND(($J254-$H254)*1440,0)&gt;設定!$C$48,ROUND(($J254-$H254)*1440,0),0))</f>
        <v/>
      </c>
      <c r="P254" s="88">
        <f>IF(OR($C254="",$I254="",$K254=""),0,IF(ROUND(($I254-$K254)*1440,0)&gt;設定!$C$48,ROUND(($I254-$K254)*1440,0),0))</f>
        <v/>
      </c>
      <c r="Q254" s="89">
        <f>IF($M254="",0,IF(($M254-IFERROR(INDEX(設定!$G$6:$G$21,MATCH($G254,設定!$B$6:$B$21,0)),0))*60&gt;=設定!$C$46,ROUND(FLOOR(($M254-IFERROR(INDEX(設定!$G$6:$G$21,MATCH($G254,設定!$B$6:$B$21,0)),0))*60,設定!$C$47)/60,2),0))</f>
        <v/>
      </c>
      <c r="R254" s="16">
        <f>IF(OR($C254="",$Q254=0),"",IF($G254="國","國定假日",IF($B254="日","例假",IF($B254="六","休息日","平日"))))</f>
        <v/>
      </c>
      <c r="S254" s="18" t="n"/>
    </row>
    <row r="255">
      <c r="A255" s="86">
        <f>IF(OR(醫護長與管理部班表!$A13="",5&gt;DAY(EOMONTH(DATE(設定!$C$2,設定!$D$2,1),0))),"",DATE(設定!$C$2,設定!$D$2,5))</f>
        <v/>
      </c>
      <c r="B255" s="16">
        <f>IF($A255="","",INDEX(設定!$O$6:$O$12,WEEKDAY($A255,1)))</f>
        <v/>
      </c>
      <c r="C255" s="16">
        <f>IF($A255="","",醫護長與管理部班表!$A13)</f>
        <v/>
      </c>
      <c r="D255" s="16">
        <f>IF($C255="","",醫護長與管理部班表!$B13)</f>
        <v/>
      </c>
      <c r="E255" s="16">
        <f>IF($C255="","",醫護長與管理部班表!$D13)</f>
        <v/>
      </c>
      <c r="F255" s="16">
        <f>IF($C255="","",醫護長與管理部班表!$C13)</f>
        <v/>
      </c>
      <c r="G255" s="16">
        <f>IF($C255="","",醫護長與管理部班表!I13)</f>
        <v/>
      </c>
      <c r="H255" s="87">
        <f>IF($G255="","",IFERROR(IF(INDEX(設定!$D$6:$D$21,MATCH($G255,設定!$B$6:$B$21,0))=0,"",INDEX(設定!$D$6:$D$21,MATCH($G255,設定!$B$6:$B$21,0))),""))</f>
        <v/>
      </c>
      <c r="I255" s="87">
        <f>IF($G255="","",IFERROR(IF(INDEX(設定!$E$6:$E$21,MATCH($G255,設定!$B$6:$B$21,0))=0,"",INDEX(設定!$E$6:$E$21,MATCH($G255,設定!$B$6:$B$21,0))),""))</f>
        <v/>
      </c>
      <c r="J255" s="87">
        <f>IFERROR(INDEX(打卡匯入!$C$3:$C$502,MATCH($C255&amp;"|"&amp;DAY($A255),打卡匯入!$E$3:$E$502,0)),"")</f>
        <v/>
      </c>
      <c r="K255" s="87">
        <f>IFERROR(INDEX(打卡匯入!$D$3:$D$502,MATCH($C255&amp;"|"&amp;DAY($A255),打卡匯入!$E$3:$E$502,0)),"")</f>
        <v/>
      </c>
      <c r="L255" s="88">
        <f>IF(OR($J255="",$K255=""),"",IFERROR(INDEX(設定!$F$6:$F$21,MATCH($G255,設定!$B$6:$B$21,0)),0))</f>
        <v/>
      </c>
      <c r="M255" s="89">
        <f>IF(OR($J255="",$K255=""),"",ROUND(($K255-$J255)*24-$L255/60,2))</f>
        <v/>
      </c>
      <c r="N255" s="16">
        <f>IF($C255="","",IF(AND(COUNTIF(設定!$B$15:$B$21,$G255)&gt;0,$J255&lt;&gt;""),"假日出勤",IF(AND(COUNTIF(設定!$B$6:$B$14,$G255)&gt;0,$J255=""),"未打卡",IF($J255="","",IF($O255&gt;0,"遲到",IF($P255&gt;0,"早退","正常"))))))</f>
        <v/>
      </c>
      <c r="O255" s="88">
        <f>IF(OR($C255="",$H255="",$J255=""),0,IF(ROUND(($J255-$H255)*1440,0)&gt;設定!$C$48,ROUND(($J255-$H255)*1440,0),0))</f>
        <v/>
      </c>
      <c r="P255" s="88">
        <f>IF(OR($C255="",$I255="",$K255=""),0,IF(ROUND(($I255-$K255)*1440,0)&gt;設定!$C$48,ROUND(($I255-$K255)*1440,0),0))</f>
        <v/>
      </c>
      <c r="Q255" s="89">
        <f>IF($M255="",0,IF(($M255-IFERROR(INDEX(設定!$G$6:$G$21,MATCH($G255,設定!$B$6:$B$21,0)),0))*60&gt;=設定!$C$46,ROUND(FLOOR(($M255-IFERROR(INDEX(設定!$G$6:$G$21,MATCH($G255,設定!$B$6:$B$21,0)),0))*60,設定!$C$47)/60,2),0))</f>
        <v/>
      </c>
      <c r="R255" s="16">
        <f>IF(OR($C255="",$Q255=0),"",IF($G255="國","國定假日",IF($B255="日","例假",IF($B255="六","休息日","平日"))))</f>
        <v/>
      </c>
      <c r="S255" s="18" t="n"/>
    </row>
    <row r="256">
      <c r="A256" s="86">
        <f>IF(OR(醫護長與管理部班表!$A13="",6&gt;DAY(EOMONTH(DATE(設定!$C$2,設定!$D$2,1),0))),"",DATE(設定!$C$2,設定!$D$2,6))</f>
        <v/>
      </c>
      <c r="B256" s="16">
        <f>IF($A256="","",INDEX(設定!$O$6:$O$12,WEEKDAY($A256,1)))</f>
        <v/>
      </c>
      <c r="C256" s="16">
        <f>IF($A256="","",醫護長與管理部班表!$A13)</f>
        <v/>
      </c>
      <c r="D256" s="16">
        <f>IF($C256="","",醫護長與管理部班表!$B13)</f>
        <v/>
      </c>
      <c r="E256" s="16">
        <f>IF($C256="","",醫護長與管理部班表!$D13)</f>
        <v/>
      </c>
      <c r="F256" s="16">
        <f>IF($C256="","",醫護長與管理部班表!$C13)</f>
        <v/>
      </c>
      <c r="G256" s="16">
        <f>IF($C256="","",醫護長與管理部班表!J13)</f>
        <v/>
      </c>
      <c r="H256" s="87">
        <f>IF($G256="","",IFERROR(IF(INDEX(設定!$D$6:$D$21,MATCH($G256,設定!$B$6:$B$21,0))=0,"",INDEX(設定!$D$6:$D$21,MATCH($G256,設定!$B$6:$B$21,0))),""))</f>
        <v/>
      </c>
      <c r="I256" s="87">
        <f>IF($G256="","",IFERROR(IF(INDEX(設定!$E$6:$E$21,MATCH($G256,設定!$B$6:$B$21,0))=0,"",INDEX(設定!$E$6:$E$21,MATCH($G256,設定!$B$6:$B$21,0))),""))</f>
        <v/>
      </c>
      <c r="J256" s="87">
        <f>IFERROR(INDEX(打卡匯入!$C$3:$C$502,MATCH($C256&amp;"|"&amp;DAY($A256),打卡匯入!$E$3:$E$502,0)),"")</f>
        <v/>
      </c>
      <c r="K256" s="87">
        <f>IFERROR(INDEX(打卡匯入!$D$3:$D$502,MATCH($C256&amp;"|"&amp;DAY($A256),打卡匯入!$E$3:$E$502,0)),"")</f>
        <v/>
      </c>
      <c r="L256" s="88">
        <f>IF(OR($J256="",$K256=""),"",IFERROR(INDEX(設定!$F$6:$F$21,MATCH($G256,設定!$B$6:$B$21,0)),0))</f>
        <v/>
      </c>
      <c r="M256" s="89">
        <f>IF(OR($J256="",$K256=""),"",ROUND(($K256-$J256)*24-$L256/60,2))</f>
        <v/>
      </c>
      <c r="N256" s="16">
        <f>IF($C256="","",IF(AND(COUNTIF(設定!$B$15:$B$21,$G256)&gt;0,$J256&lt;&gt;""),"假日出勤",IF(AND(COUNTIF(設定!$B$6:$B$14,$G256)&gt;0,$J256=""),"未打卡",IF($J256="","",IF($O256&gt;0,"遲到",IF($P256&gt;0,"早退","正常"))))))</f>
        <v/>
      </c>
      <c r="O256" s="88">
        <f>IF(OR($C256="",$H256="",$J256=""),0,IF(ROUND(($J256-$H256)*1440,0)&gt;設定!$C$48,ROUND(($J256-$H256)*1440,0),0))</f>
        <v/>
      </c>
      <c r="P256" s="88">
        <f>IF(OR($C256="",$I256="",$K256=""),0,IF(ROUND(($I256-$K256)*1440,0)&gt;設定!$C$48,ROUND(($I256-$K256)*1440,0),0))</f>
        <v/>
      </c>
      <c r="Q256" s="89">
        <f>IF($M256="",0,IF(($M256-IFERROR(INDEX(設定!$G$6:$G$21,MATCH($G256,設定!$B$6:$B$21,0)),0))*60&gt;=設定!$C$46,ROUND(FLOOR(($M256-IFERROR(INDEX(設定!$G$6:$G$21,MATCH($G256,設定!$B$6:$B$21,0)),0))*60,設定!$C$47)/60,2),0))</f>
        <v/>
      </c>
      <c r="R256" s="16">
        <f>IF(OR($C256="",$Q256=0),"",IF($G256="國","國定假日",IF($B256="日","例假",IF($B256="六","休息日","平日"))))</f>
        <v/>
      </c>
      <c r="S256" s="18" t="n"/>
    </row>
    <row r="257">
      <c r="A257" s="86">
        <f>IF(OR(醫護長與管理部班表!$A13="",7&gt;DAY(EOMONTH(DATE(設定!$C$2,設定!$D$2,1),0))),"",DATE(設定!$C$2,設定!$D$2,7))</f>
        <v/>
      </c>
      <c r="B257" s="16">
        <f>IF($A257="","",INDEX(設定!$O$6:$O$12,WEEKDAY($A257,1)))</f>
        <v/>
      </c>
      <c r="C257" s="16">
        <f>IF($A257="","",醫護長與管理部班表!$A13)</f>
        <v/>
      </c>
      <c r="D257" s="16">
        <f>IF($C257="","",醫護長與管理部班表!$B13)</f>
        <v/>
      </c>
      <c r="E257" s="16">
        <f>IF($C257="","",醫護長與管理部班表!$D13)</f>
        <v/>
      </c>
      <c r="F257" s="16">
        <f>IF($C257="","",醫護長與管理部班表!$C13)</f>
        <v/>
      </c>
      <c r="G257" s="16">
        <f>IF($C257="","",醫護長與管理部班表!K13)</f>
        <v/>
      </c>
      <c r="H257" s="87">
        <f>IF($G257="","",IFERROR(IF(INDEX(設定!$D$6:$D$21,MATCH($G257,設定!$B$6:$B$21,0))=0,"",INDEX(設定!$D$6:$D$21,MATCH($G257,設定!$B$6:$B$21,0))),""))</f>
        <v/>
      </c>
      <c r="I257" s="87">
        <f>IF($G257="","",IFERROR(IF(INDEX(設定!$E$6:$E$21,MATCH($G257,設定!$B$6:$B$21,0))=0,"",INDEX(設定!$E$6:$E$21,MATCH($G257,設定!$B$6:$B$21,0))),""))</f>
        <v/>
      </c>
      <c r="J257" s="87">
        <f>IFERROR(INDEX(打卡匯入!$C$3:$C$502,MATCH($C257&amp;"|"&amp;DAY($A257),打卡匯入!$E$3:$E$502,0)),"")</f>
        <v/>
      </c>
      <c r="K257" s="87">
        <f>IFERROR(INDEX(打卡匯入!$D$3:$D$502,MATCH($C257&amp;"|"&amp;DAY($A257),打卡匯入!$E$3:$E$502,0)),"")</f>
        <v/>
      </c>
      <c r="L257" s="88">
        <f>IF(OR($J257="",$K257=""),"",IFERROR(INDEX(設定!$F$6:$F$21,MATCH($G257,設定!$B$6:$B$21,0)),0))</f>
        <v/>
      </c>
      <c r="M257" s="89">
        <f>IF(OR($J257="",$K257=""),"",ROUND(($K257-$J257)*24-$L257/60,2))</f>
        <v/>
      </c>
      <c r="N257" s="16">
        <f>IF($C257="","",IF(AND(COUNTIF(設定!$B$15:$B$21,$G257)&gt;0,$J257&lt;&gt;""),"假日出勤",IF(AND(COUNTIF(設定!$B$6:$B$14,$G257)&gt;0,$J257=""),"未打卡",IF($J257="","",IF($O257&gt;0,"遲到",IF($P257&gt;0,"早退","正常"))))))</f>
        <v/>
      </c>
      <c r="O257" s="88">
        <f>IF(OR($C257="",$H257="",$J257=""),0,IF(ROUND(($J257-$H257)*1440,0)&gt;設定!$C$48,ROUND(($J257-$H257)*1440,0),0))</f>
        <v/>
      </c>
      <c r="P257" s="88">
        <f>IF(OR($C257="",$I257="",$K257=""),0,IF(ROUND(($I257-$K257)*1440,0)&gt;設定!$C$48,ROUND(($I257-$K257)*1440,0),0))</f>
        <v/>
      </c>
      <c r="Q257" s="89">
        <f>IF($M257="",0,IF(($M257-IFERROR(INDEX(設定!$G$6:$G$21,MATCH($G257,設定!$B$6:$B$21,0)),0))*60&gt;=設定!$C$46,ROUND(FLOOR(($M257-IFERROR(INDEX(設定!$G$6:$G$21,MATCH($G257,設定!$B$6:$B$21,0)),0))*60,設定!$C$47)/60,2),0))</f>
        <v/>
      </c>
      <c r="R257" s="16">
        <f>IF(OR($C257="",$Q257=0),"",IF($G257="國","國定假日",IF($B257="日","例假",IF($B257="六","休息日","平日"))))</f>
        <v/>
      </c>
      <c r="S257" s="18" t="n"/>
    </row>
    <row r="258">
      <c r="A258" s="86">
        <f>IF(OR(醫護長與管理部班表!$A13="",8&gt;DAY(EOMONTH(DATE(設定!$C$2,設定!$D$2,1),0))),"",DATE(設定!$C$2,設定!$D$2,8))</f>
        <v/>
      </c>
      <c r="B258" s="16">
        <f>IF($A258="","",INDEX(設定!$O$6:$O$12,WEEKDAY($A258,1)))</f>
        <v/>
      </c>
      <c r="C258" s="16">
        <f>IF($A258="","",醫護長與管理部班表!$A13)</f>
        <v/>
      </c>
      <c r="D258" s="16">
        <f>IF($C258="","",醫護長與管理部班表!$B13)</f>
        <v/>
      </c>
      <c r="E258" s="16">
        <f>IF($C258="","",醫護長與管理部班表!$D13)</f>
        <v/>
      </c>
      <c r="F258" s="16">
        <f>IF($C258="","",醫護長與管理部班表!$C13)</f>
        <v/>
      </c>
      <c r="G258" s="16">
        <f>IF($C258="","",醫護長與管理部班表!L13)</f>
        <v/>
      </c>
      <c r="H258" s="87">
        <f>IF($G258="","",IFERROR(IF(INDEX(設定!$D$6:$D$21,MATCH($G258,設定!$B$6:$B$21,0))=0,"",INDEX(設定!$D$6:$D$21,MATCH($G258,設定!$B$6:$B$21,0))),""))</f>
        <v/>
      </c>
      <c r="I258" s="87">
        <f>IF($G258="","",IFERROR(IF(INDEX(設定!$E$6:$E$21,MATCH($G258,設定!$B$6:$B$21,0))=0,"",INDEX(設定!$E$6:$E$21,MATCH($G258,設定!$B$6:$B$21,0))),""))</f>
        <v/>
      </c>
      <c r="J258" s="87">
        <f>IFERROR(INDEX(打卡匯入!$C$3:$C$502,MATCH($C258&amp;"|"&amp;DAY($A258),打卡匯入!$E$3:$E$502,0)),"")</f>
        <v/>
      </c>
      <c r="K258" s="87">
        <f>IFERROR(INDEX(打卡匯入!$D$3:$D$502,MATCH($C258&amp;"|"&amp;DAY($A258),打卡匯入!$E$3:$E$502,0)),"")</f>
        <v/>
      </c>
      <c r="L258" s="88">
        <f>IF(OR($J258="",$K258=""),"",IFERROR(INDEX(設定!$F$6:$F$21,MATCH($G258,設定!$B$6:$B$21,0)),0))</f>
        <v/>
      </c>
      <c r="M258" s="89">
        <f>IF(OR($J258="",$K258=""),"",ROUND(($K258-$J258)*24-$L258/60,2))</f>
        <v/>
      </c>
      <c r="N258" s="16">
        <f>IF($C258="","",IF(AND(COUNTIF(設定!$B$15:$B$21,$G258)&gt;0,$J258&lt;&gt;""),"假日出勤",IF(AND(COUNTIF(設定!$B$6:$B$14,$G258)&gt;0,$J258=""),"未打卡",IF($J258="","",IF($O258&gt;0,"遲到",IF($P258&gt;0,"早退","正常"))))))</f>
        <v/>
      </c>
      <c r="O258" s="88">
        <f>IF(OR($C258="",$H258="",$J258=""),0,IF(ROUND(($J258-$H258)*1440,0)&gt;設定!$C$48,ROUND(($J258-$H258)*1440,0),0))</f>
        <v/>
      </c>
      <c r="P258" s="88">
        <f>IF(OR($C258="",$I258="",$K258=""),0,IF(ROUND(($I258-$K258)*1440,0)&gt;設定!$C$48,ROUND(($I258-$K258)*1440,0),0))</f>
        <v/>
      </c>
      <c r="Q258" s="89">
        <f>IF($M258="",0,IF(($M258-IFERROR(INDEX(設定!$G$6:$G$21,MATCH($G258,設定!$B$6:$B$21,0)),0))*60&gt;=設定!$C$46,ROUND(FLOOR(($M258-IFERROR(INDEX(設定!$G$6:$G$21,MATCH($G258,設定!$B$6:$B$21,0)),0))*60,設定!$C$47)/60,2),0))</f>
        <v/>
      </c>
      <c r="R258" s="16">
        <f>IF(OR($C258="",$Q258=0),"",IF($G258="國","國定假日",IF($B258="日","例假",IF($B258="六","休息日","平日"))))</f>
        <v/>
      </c>
      <c r="S258" s="18" t="n"/>
    </row>
    <row r="259">
      <c r="A259" s="86">
        <f>IF(OR(醫護長與管理部班表!$A13="",9&gt;DAY(EOMONTH(DATE(設定!$C$2,設定!$D$2,1),0))),"",DATE(設定!$C$2,設定!$D$2,9))</f>
        <v/>
      </c>
      <c r="B259" s="16">
        <f>IF($A259="","",INDEX(設定!$O$6:$O$12,WEEKDAY($A259,1)))</f>
        <v/>
      </c>
      <c r="C259" s="16">
        <f>IF($A259="","",醫護長與管理部班表!$A13)</f>
        <v/>
      </c>
      <c r="D259" s="16">
        <f>IF($C259="","",醫護長與管理部班表!$B13)</f>
        <v/>
      </c>
      <c r="E259" s="16">
        <f>IF($C259="","",醫護長與管理部班表!$D13)</f>
        <v/>
      </c>
      <c r="F259" s="16">
        <f>IF($C259="","",醫護長與管理部班表!$C13)</f>
        <v/>
      </c>
      <c r="G259" s="16">
        <f>IF($C259="","",醫護長與管理部班表!M13)</f>
        <v/>
      </c>
      <c r="H259" s="87">
        <f>IF($G259="","",IFERROR(IF(INDEX(設定!$D$6:$D$21,MATCH($G259,設定!$B$6:$B$21,0))=0,"",INDEX(設定!$D$6:$D$21,MATCH($G259,設定!$B$6:$B$21,0))),""))</f>
        <v/>
      </c>
      <c r="I259" s="87">
        <f>IF($G259="","",IFERROR(IF(INDEX(設定!$E$6:$E$21,MATCH($G259,設定!$B$6:$B$21,0))=0,"",INDEX(設定!$E$6:$E$21,MATCH($G259,設定!$B$6:$B$21,0))),""))</f>
        <v/>
      </c>
      <c r="J259" s="87">
        <f>IFERROR(INDEX(打卡匯入!$C$3:$C$502,MATCH($C259&amp;"|"&amp;DAY($A259),打卡匯入!$E$3:$E$502,0)),"")</f>
        <v/>
      </c>
      <c r="K259" s="87">
        <f>IFERROR(INDEX(打卡匯入!$D$3:$D$502,MATCH($C259&amp;"|"&amp;DAY($A259),打卡匯入!$E$3:$E$502,0)),"")</f>
        <v/>
      </c>
      <c r="L259" s="88">
        <f>IF(OR($J259="",$K259=""),"",IFERROR(INDEX(設定!$F$6:$F$21,MATCH($G259,設定!$B$6:$B$21,0)),0))</f>
        <v/>
      </c>
      <c r="M259" s="89">
        <f>IF(OR($J259="",$K259=""),"",ROUND(($K259-$J259)*24-$L259/60,2))</f>
        <v/>
      </c>
      <c r="N259" s="16">
        <f>IF($C259="","",IF(AND(COUNTIF(設定!$B$15:$B$21,$G259)&gt;0,$J259&lt;&gt;""),"假日出勤",IF(AND(COUNTIF(設定!$B$6:$B$14,$G259)&gt;0,$J259=""),"未打卡",IF($J259="","",IF($O259&gt;0,"遲到",IF($P259&gt;0,"早退","正常"))))))</f>
        <v/>
      </c>
      <c r="O259" s="88">
        <f>IF(OR($C259="",$H259="",$J259=""),0,IF(ROUND(($J259-$H259)*1440,0)&gt;設定!$C$48,ROUND(($J259-$H259)*1440,0),0))</f>
        <v/>
      </c>
      <c r="P259" s="88">
        <f>IF(OR($C259="",$I259="",$K259=""),0,IF(ROUND(($I259-$K259)*1440,0)&gt;設定!$C$48,ROUND(($I259-$K259)*1440,0),0))</f>
        <v/>
      </c>
      <c r="Q259" s="89">
        <f>IF($M259="",0,IF(($M259-IFERROR(INDEX(設定!$G$6:$G$21,MATCH($G259,設定!$B$6:$B$21,0)),0))*60&gt;=設定!$C$46,ROUND(FLOOR(($M259-IFERROR(INDEX(設定!$G$6:$G$21,MATCH($G259,設定!$B$6:$B$21,0)),0))*60,設定!$C$47)/60,2),0))</f>
        <v/>
      </c>
      <c r="R259" s="16">
        <f>IF(OR($C259="",$Q259=0),"",IF($G259="國","國定假日",IF($B259="日","例假",IF($B259="六","休息日","平日"))))</f>
        <v/>
      </c>
      <c r="S259" s="18" t="n"/>
    </row>
    <row r="260">
      <c r="A260" s="86">
        <f>IF(OR(醫護長與管理部班表!$A13="",10&gt;DAY(EOMONTH(DATE(設定!$C$2,設定!$D$2,1),0))),"",DATE(設定!$C$2,設定!$D$2,10))</f>
        <v/>
      </c>
      <c r="B260" s="16">
        <f>IF($A260="","",INDEX(設定!$O$6:$O$12,WEEKDAY($A260,1)))</f>
        <v/>
      </c>
      <c r="C260" s="16">
        <f>IF($A260="","",醫護長與管理部班表!$A13)</f>
        <v/>
      </c>
      <c r="D260" s="16">
        <f>IF($C260="","",醫護長與管理部班表!$B13)</f>
        <v/>
      </c>
      <c r="E260" s="16">
        <f>IF($C260="","",醫護長與管理部班表!$D13)</f>
        <v/>
      </c>
      <c r="F260" s="16">
        <f>IF($C260="","",醫護長與管理部班表!$C13)</f>
        <v/>
      </c>
      <c r="G260" s="16">
        <f>IF($C260="","",醫護長與管理部班表!N13)</f>
        <v/>
      </c>
      <c r="H260" s="87">
        <f>IF($G260="","",IFERROR(IF(INDEX(設定!$D$6:$D$21,MATCH($G260,設定!$B$6:$B$21,0))=0,"",INDEX(設定!$D$6:$D$21,MATCH($G260,設定!$B$6:$B$21,0))),""))</f>
        <v/>
      </c>
      <c r="I260" s="87">
        <f>IF($G260="","",IFERROR(IF(INDEX(設定!$E$6:$E$21,MATCH($G260,設定!$B$6:$B$21,0))=0,"",INDEX(設定!$E$6:$E$21,MATCH($G260,設定!$B$6:$B$21,0))),""))</f>
        <v/>
      </c>
      <c r="J260" s="87">
        <f>IFERROR(INDEX(打卡匯入!$C$3:$C$502,MATCH($C260&amp;"|"&amp;DAY($A260),打卡匯入!$E$3:$E$502,0)),"")</f>
        <v/>
      </c>
      <c r="K260" s="87">
        <f>IFERROR(INDEX(打卡匯入!$D$3:$D$502,MATCH($C260&amp;"|"&amp;DAY($A260),打卡匯入!$E$3:$E$502,0)),"")</f>
        <v/>
      </c>
      <c r="L260" s="88">
        <f>IF(OR($J260="",$K260=""),"",IFERROR(INDEX(設定!$F$6:$F$21,MATCH($G260,設定!$B$6:$B$21,0)),0))</f>
        <v/>
      </c>
      <c r="M260" s="89">
        <f>IF(OR($J260="",$K260=""),"",ROUND(($K260-$J260)*24-$L260/60,2))</f>
        <v/>
      </c>
      <c r="N260" s="16">
        <f>IF($C260="","",IF(AND(COUNTIF(設定!$B$15:$B$21,$G260)&gt;0,$J260&lt;&gt;""),"假日出勤",IF(AND(COUNTIF(設定!$B$6:$B$14,$G260)&gt;0,$J260=""),"未打卡",IF($J260="","",IF($O260&gt;0,"遲到",IF($P260&gt;0,"早退","正常"))))))</f>
        <v/>
      </c>
      <c r="O260" s="88">
        <f>IF(OR($C260="",$H260="",$J260=""),0,IF(ROUND(($J260-$H260)*1440,0)&gt;設定!$C$48,ROUND(($J260-$H260)*1440,0),0))</f>
        <v/>
      </c>
      <c r="P260" s="88">
        <f>IF(OR($C260="",$I260="",$K260=""),0,IF(ROUND(($I260-$K260)*1440,0)&gt;設定!$C$48,ROUND(($I260-$K260)*1440,0),0))</f>
        <v/>
      </c>
      <c r="Q260" s="89">
        <f>IF($M260="",0,IF(($M260-IFERROR(INDEX(設定!$G$6:$G$21,MATCH($G260,設定!$B$6:$B$21,0)),0))*60&gt;=設定!$C$46,ROUND(FLOOR(($M260-IFERROR(INDEX(設定!$G$6:$G$21,MATCH($G260,設定!$B$6:$B$21,0)),0))*60,設定!$C$47)/60,2),0))</f>
        <v/>
      </c>
      <c r="R260" s="16">
        <f>IF(OR($C260="",$Q260=0),"",IF($G260="國","國定假日",IF($B260="日","例假",IF($B260="六","休息日","平日"))))</f>
        <v/>
      </c>
      <c r="S260" s="18" t="n"/>
    </row>
    <row r="261">
      <c r="A261" s="86">
        <f>IF(OR(醫護長與管理部班表!$A13="",11&gt;DAY(EOMONTH(DATE(設定!$C$2,設定!$D$2,1),0))),"",DATE(設定!$C$2,設定!$D$2,11))</f>
        <v/>
      </c>
      <c r="B261" s="16">
        <f>IF($A261="","",INDEX(設定!$O$6:$O$12,WEEKDAY($A261,1)))</f>
        <v/>
      </c>
      <c r="C261" s="16">
        <f>IF($A261="","",醫護長與管理部班表!$A13)</f>
        <v/>
      </c>
      <c r="D261" s="16">
        <f>IF($C261="","",醫護長與管理部班表!$B13)</f>
        <v/>
      </c>
      <c r="E261" s="16">
        <f>IF($C261="","",醫護長與管理部班表!$D13)</f>
        <v/>
      </c>
      <c r="F261" s="16">
        <f>IF($C261="","",醫護長與管理部班表!$C13)</f>
        <v/>
      </c>
      <c r="G261" s="16">
        <f>IF($C261="","",醫護長與管理部班表!O13)</f>
        <v/>
      </c>
      <c r="H261" s="87">
        <f>IF($G261="","",IFERROR(IF(INDEX(設定!$D$6:$D$21,MATCH($G261,設定!$B$6:$B$21,0))=0,"",INDEX(設定!$D$6:$D$21,MATCH($G261,設定!$B$6:$B$21,0))),""))</f>
        <v/>
      </c>
      <c r="I261" s="87">
        <f>IF($G261="","",IFERROR(IF(INDEX(設定!$E$6:$E$21,MATCH($G261,設定!$B$6:$B$21,0))=0,"",INDEX(設定!$E$6:$E$21,MATCH($G261,設定!$B$6:$B$21,0))),""))</f>
        <v/>
      </c>
      <c r="J261" s="87">
        <f>IFERROR(INDEX(打卡匯入!$C$3:$C$502,MATCH($C261&amp;"|"&amp;DAY($A261),打卡匯入!$E$3:$E$502,0)),"")</f>
        <v/>
      </c>
      <c r="K261" s="87">
        <f>IFERROR(INDEX(打卡匯入!$D$3:$D$502,MATCH($C261&amp;"|"&amp;DAY($A261),打卡匯入!$E$3:$E$502,0)),"")</f>
        <v/>
      </c>
      <c r="L261" s="88">
        <f>IF(OR($J261="",$K261=""),"",IFERROR(INDEX(設定!$F$6:$F$21,MATCH($G261,設定!$B$6:$B$21,0)),0))</f>
        <v/>
      </c>
      <c r="M261" s="89">
        <f>IF(OR($J261="",$K261=""),"",ROUND(($K261-$J261)*24-$L261/60,2))</f>
        <v/>
      </c>
      <c r="N261" s="16">
        <f>IF($C261="","",IF(AND(COUNTIF(設定!$B$15:$B$21,$G261)&gt;0,$J261&lt;&gt;""),"假日出勤",IF(AND(COUNTIF(設定!$B$6:$B$14,$G261)&gt;0,$J261=""),"未打卡",IF($J261="","",IF($O261&gt;0,"遲到",IF($P261&gt;0,"早退","正常"))))))</f>
        <v/>
      </c>
      <c r="O261" s="88">
        <f>IF(OR($C261="",$H261="",$J261=""),0,IF(ROUND(($J261-$H261)*1440,0)&gt;設定!$C$48,ROUND(($J261-$H261)*1440,0),0))</f>
        <v/>
      </c>
      <c r="P261" s="88">
        <f>IF(OR($C261="",$I261="",$K261=""),0,IF(ROUND(($I261-$K261)*1440,0)&gt;設定!$C$48,ROUND(($I261-$K261)*1440,0),0))</f>
        <v/>
      </c>
      <c r="Q261" s="89">
        <f>IF($M261="",0,IF(($M261-IFERROR(INDEX(設定!$G$6:$G$21,MATCH($G261,設定!$B$6:$B$21,0)),0))*60&gt;=設定!$C$46,ROUND(FLOOR(($M261-IFERROR(INDEX(設定!$G$6:$G$21,MATCH($G261,設定!$B$6:$B$21,0)),0))*60,設定!$C$47)/60,2),0))</f>
        <v/>
      </c>
      <c r="R261" s="16">
        <f>IF(OR($C261="",$Q261=0),"",IF($G261="國","國定假日",IF($B261="日","例假",IF($B261="六","休息日","平日"))))</f>
        <v/>
      </c>
      <c r="S261" s="18" t="n"/>
    </row>
    <row r="262">
      <c r="A262" s="86">
        <f>IF(OR(醫護長與管理部班表!$A13="",12&gt;DAY(EOMONTH(DATE(設定!$C$2,設定!$D$2,1),0))),"",DATE(設定!$C$2,設定!$D$2,12))</f>
        <v/>
      </c>
      <c r="B262" s="16">
        <f>IF($A262="","",INDEX(設定!$O$6:$O$12,WEEKDAY($A262,1)))</f>
        <v/>
      </c>
      <c r="C262" s="16">
        <f>IF($A262="","",醫護長與管理部班表!$A13)</f>
        <v/>
      </c>
      <c r="D262" s="16">
        <f>IF($C262="","",醫護長與管理部班表!$B13)</f>
        <v/>
      </c>
      <c r="E262" s="16">
        <f>IF($C262="","",醫護長與管理部班表!$D13)</f>
        <v/>
      </c>
      <c r="F262" s="16">
        <f>IF($C262="","",醫護長與管理部班表!$C13)</f>
        <v/>
      </c>
      <c r="G262" s="16">
        <f>IF($C262="","",醫護長與管理部班表!P13)</f>
        <v/>
      </c>
      <c r="H262" s="87">
        <f>IF($G262="","",IFERROR(IF(INDEX(設定!$D$6:$D$21,MATCH($G262,設定!$B$6:$B$21,0))=0,"",INDEX(設定!$D$6:$D$21,MATCH($G262,設定!$B$6:$B$21,0))),""))</f>
        <v/>
      </c>
      <c r="I262" s="87">
        <f>IF($G262="","",IFERROR(IF(INDEX(設定!$E$6:$E$21,MATCH($G262,設定!$B$6:$B$21,0))=0,"",INDEX(設定!$E$6:$E$21,MATCH($G262,設定!$B$6:$B$21,0))),""))</f>
        <v/>
      </c>
      <c r="J262" s="87">
        <f>IFERROR(INDEX(打卡匯入!$C$3:$C$502,MATCH($C262&amp;"|"&amp;DAY($A262),打卡匯入!$E$3:$E$502,0)),"")</f>
        <v/>
      </c>
      <c r="K262" s="87">
        <f>IFERROR(INDEX(打卡匯入!$D$3:$D$502,MATCH($C262&amp;"|"&amp;DAY($A262),打卡匯入!$E$3:$E$502,0)),"")</f>
        <v/>
      </c>
      <c r="L262" s="88">
        <f>IF(OR($J262="",$K262=""),"",IFERROR(INDEX(設定!$F$6:$F$21,MATCH($G262,設定!$B$6:$B$21,0)),0))</f>
        <v/>
      </c>
      <c r="M262" s="89">
        <f>IF(OR($J262="",$K262=""),"",ROUND(($K262-$J262)*24-$L262/60,2))</f>
        <v/>
      </c>
      <c r="N262" s="16">
        <f>IF($C262="","",IF(AND(COUNTIF(設定!$B$15:$B$21,$G262)&gt;0,$J262&lt;&gt;""),"假日出勤",IF(AND(COUNTIF(設定!$B$6:$B$14,$G262)&gt;0,$J262=""),"未打卡",IF($J262="","",IF($O262&gt;0,"遲到",IF($P262&gt;0,"早退","正常"))))))</f>
        <v/>
      </c>
      <c r="O262" s="88">
        <f>IF(OR($C262="",$H262="",$J262=""),0,IF(ROUND(($J262-$H262)*1440,0)&gt;設定!$C$48,ROUND(($J262-$H262)*1440,0),0))</f>
        <v/>
      </c>
      <c r="P262" s="88">
        <f>IF(OR($C262="",$I262="",$K262=""),0,IF(ROUND(($I262-$K262)*1440,0)&gt;設定!$C$48,ROUND(($I262-$K262)*1440,0),0))</f>
        <v/>
      </c>
      <c r="Q262" s="89">
        <f>IF($M262="",0,IF(($M262-IFERROR(INDEX(設定!$G$6:$G$21,MATCH($G262,設定!$B$6:$B$21,0)),0))*60&gt;=設定!$C$46,ROUND(FLOOR(($M262-IFERROR(INDEX(設定!$G$6:$G$21,MATCH($G262,設定!$B$6:$B$21,0)),0))*60,設定!$C$47)/60,2),0))</f>
        <v/>
      </c>
      <c r="R262" s="16">
        <f>IF(OR($C262="",$Q262=0),"",IF($G262="國","國定假日",IF($B262="日","例假",IF($B262="六","休息日","平日"))))</f>
        <v/>
      </c>
      <c r="S262" s="18" t="n"/>
    </row>
    <row r="263">
      <c r="A263" s="86">
        <f>IF(OR(醫護長與管理部班表!$A13="",13&gt;DAY(EOMONTH(DATE(設定!$C$2,設定!$D$2,1),0))),"",DATE(設定!$C$2,設定!$D$2,13))</f>
        <v/>
      </c>
      <c r="B263" s="16">
        <f>IF($A263="","",INDEX(設定!$O$6:$O$12,WEEKDAY($A263,1)))</f>
        <v/>
      </c>
      <c r="C263" s="16">
        <f>IF($A263="","",醫護長與管理部班表!$A13)</f>
        <v/>
      </c>
      <c r="D263" s="16">
        <f>IF($C263="","",醫護長與管理部班表!$B13)</f>
        <v/>
      </c>
      <c r="E263" s="16">
        <f>IF($C263="","",醫護長與管理部班表!$D13)</f>
        <v/>
      </c>
      <c r="F263" s="16">
        <f>IF($C263="","",醫護長與管理部班表!$C13)</f>
        <v/>
      </c>
      <c r="G263" s="16">
        <f>IF($C263="","",醫護長與管理部班表!Q13)</f>
        <v/>
      </c>
      <c r="H263" s="87">
        <f>IF($G263="","",IFERROR(IF(INDEX(設定!$D$6:$D$21,MATCH($G263,設定!$B$6:$B$21,0))=0,"",INDEX(設定!$D$6:$D$21,MATCH($G263,設定!$B$6:$B$21,0))),""))</f>
        <v/>
      </c>
      <c r="I263" s="87">
        <f>IF($G263="","",IFERROR(IF(INDEX(設定!$E$6:$E$21,MATCH($G263,設定!$B$6:$B$21,0))=0,"",INDEX(設定!$E$6:$E$21,MATCH($G263,設定!$B$6:$B$21,0))),""))</f>
        <v/>
      </c>
      <c r="J263" s="87">
        <f>IFERROR(INDEX(打卡匯入!$C$3:$C$502,MATCH($C263&amp;"|"&amp;DAY($A263),打卡匯入!$E$3:$E$502,0)),"")</f>
        <v/>
      </c>
      <c r="K263" s="87">
        <f>IFERROR(INDEX(打卡匯入!$D$3:$D$502,MATCH($C263&amp;"|"&amp;DAY($A263),打卡匯入!$E$3:$E$502,0)),"")</f>
        <v/>
      </c>
      <c r="L263" s="88">
        <f>IF(OR($J263="",$K263=""),"",IFERROR(INDEX(設定!$F$6:$F$21,MATCH($G263,設定!$B$6:$B$21,0)),0))</f>
        <v/>
      </c>
      <c r="M263" s="89">
        <f>IF(OR($J263="",$K263=""),"",ROUND(($K263-$J263)*24-$L263/60,2))</f>
        <v/>
      </c>
      <c r="N263" s="16">
        <f>IF($C263="","",IF(AND(COUNTIF(設定!$B$15:$B$21,$G263)&gt;0,$J263&lt;&gt;""),"假日出勤",IF(AND(COUNTIF(設定!$B$6:$B$14,$G263)&gt;0,$J263=""),"未打卡",IF($J263="","",IF($O263&gt;0,"遲到",IF($P263&gt;0,"早退","正常"))))))</f>
        <v/>
      </c>
      <c r="O263" s="88">
        <f>IF(OR($C263="",$H263="",$J263=""),0,IF(ROUND(($J263-$H263)*1440,0)&gt;設定!$C$48,ROUND(($J263-$H263)*1440,0),0))</f>
        <v/>
      </c>
      <c r="P263" s="88">
        <f>IF(OR($C263="",$I263="",$K263=""),0,IF(ROUND(($I263-$K263)*1440,0)&gt;設定!$C$48,ROUND(($I263-$K263)*1440,0),0))</f>
        <v/>
      </c>
      <c r="Q263" s="89">
        <f>IF($M263="",0,IF(($M263-IFERROR(INDEX(設定!$G$6:$G$21,MATCH($G263,設定!$B$6:$B$21,0)),0))*60&gt;=設定!$C$46,ROUND(FLOOR(($M263-IFERROR(INDEX(設定!$G$6:$G$21,MATCH($G263,設定!$B$6:$B$21,0)),0))*60,設定!$C$47)/60,2),0))</f>
        <v/>
      </c>
      <c r="R263" s="16">
        <f>IF(OR($C263="",$Q263=0),"",IF($G263="國","國定假日",IF($B263="日","例假",IF($B263="六","休息日","平日"))))</f>
        <v/>
      </c>
      <c r="S263" s="18" t="n"/>
    </row>
    <row r="264">
      <c r="A264" s="86">
        <f>IF(OR(醫護長與管理部班表!$A13="",14&gt;DAY(EOMONTH(DATE(設定!$C$2,設定!$D$2,1),0))),"",DATE(設定!$C$2,設定!$D$2,14))</f>
        <v/>
      </c>
      <c r="B264" s="16">
        <f>IF($A264="","",INDEX(設定!$O$6:$O$12,WEEKDAY($A264,1)))</f>
        <v/>
      </c>
      <c r="C264" s="16">
        <f>IF($A264="","",醫護長與管理部班表!$A13)</f>
        <v/>
      </c>
      <c r="D264" s="16">
        <f>IF($C264="","",醫護長與管理部班表!$B13)</f>
        <v/>
      </c>
      <c r="E264" s="16">
        <f>IF($C264="","",醫護長與管理部班表!$D13)</f>
        <v/>
      </c>
      <c r="F264" s="16">
        <f>IF($C264="","",醫護長與管理部班表!$C13)</f>
        <v/>
      </c>
      <c r="G264" s="16">
        <f>IF($C264="","",醫護長與管理部班表!R13)</f>
        <v/>
      </c>
      <c r="H264" s="87">
        <f>IF($G264="","",IFERROR(IF(INDEX(設定!$D$6:$D$21,MATCH($G264,設定!$B$6:$B$21,0))=0,"",INDEX(設定!$D$6:$D$21,MATCH($G264,設定!$B$6:$B$21,0))),""))</f>
        <v/>
      </c>
      <c r="I264" s="87">
        <f>IF($G264="","",IFERROR(IF(INDEX(設定!$E$6:$E$21,MATCH($G264,設定!$B$6:$B$21,0))=0,"",INDEX(設定!$E$6:$E$21,MATCH($G264,設定!$B$6:$B$21,0))),""))</f>
        <v/>
      </c>
      <c r="J264" s="87">
        <f>IFERROR(INDEX(打卡匯入!$C$3:$C$502,MATCH($C264&amp;"|"&amp;DAY($A264),打卡匯入!$E$3:$E$502,0)),"")</f>
        <v/>
      </c>
      <c r="K264" s="87">
        <f>IFERROR(INDEX(打卡匯入!$D$3:$D$502,MATCH($C264&amp;"|"&amp;DAY($A264),打卡匯入!$E$3:$E$502,0)),"")</f>
        <v/>
      </c>
      <c r="L264" s="88">
        <f>IF(OR($J264="",$K264=""),"",IFERROR(INDEX(設定!$F$6:$F$21,MATCH($G264,設定!$B$6:$B$21,0)),0))</f>
        <v/>
      </c>
      <c r="M264" s="89">
        <f>IF(OR($J264="",$K264=""),"",ROUND(($K264-$J264)*24-$L264/60,2))</f>
        <v/>
      </c>
      <c r="N264" s="16">
        <f>IF($C264="","",IF(AND(COUNTIF(設定!$B$15:$B$21,$G264)&gt;0,$J264&lt;&gt;""),"假日出勤",IF(AND(COUNTIF(設定!$B$6:$B$14,$G264)&gt;0,$J264=""),"未打卡",IF($J264="","",IF($O264&gt;0,"遲到",IF($P264&gt;0,"早退","正常"))))))</f>
        <v/>
      </c>
      <c r="O264" s="88">
        <f>IF(OR($C264="",$H264="",$J264=""),0,IF(ROUND(($J264-$H264)*1440,0)&gt;設定!$C$48,ROUND(($J264-$H264)*1440,0),0))</f>
        <v/>
      </c>
      <c r="P264" s="88">
        <f>IF(OR($C264="",$I264="",$K264=""),0,IF(ROUND(($I264-$K264)*1440,0)&gt;設定!$C$48,ROUND(($I264-$K264)*1440,0),0))</f>
        <v/>
      </c>
      <c r="Q264" s="89">
        <f>IF($M264="",0,IF(($M264-IFERROR(INDEX(設定!$G$6:$G$21,MATCH($G264,設定!$B$6:$B$21,0)),0))*60&gt;=設定!$C$46,ROUND(FLOOR(($M264-IFERROR(INDEX(設定!$G$6:$G$21,MATCH($G264,設定!$B$6:$B$21,0)),0))*60,設定!$C$47)/60,2),0))</f>
        <v/>
      </c>
      <c r="R264" s="16">
        <f>IF(OR($C264="",$Q264=0),"",IF($G264="國","國定假日",IF($B264="日","例假",IF($B264="六","休息日","平日"))))</f>
        <v/>
      </c>
      <c r="S264" s="18" t="n"/>
    </row>
    <row r="265">
      <c r="A265" s="86">
        <f>IF(OR(醫護長與管理部班表!$A13="",15&gt;DAY(EOMONTH(DATE(設定!$C$2,設定!$D$2,1),0))),"",DATE(設定!$C$2,設定!$D$2,15))</f>
        <v/>
      </c>
      <c r="B265" s="16">
        <f>IF($A265="","",INDEX(設定!$O$6:$O$12,WEEKDAY($A265,1)))</f>
        <v/>
      </c>
      <c r="C265" s="16">
        <f>IF($A265="","",醫護長與管理部班表!$A13)</f>
        <v/>
      </c>
      <c r="D265" s="16">
        <f>IF($C265="","",醫護長與管理部班表!$B13)</f>
        <v/>
      </c>
      <c r="E265" s="16">
        <f>IF($C265="","",醫護長與管理部班表!$D13)</f>
        <v/>
      </c>
      <c r="F265" s="16">
        <f>IF($C265="","",醫護長與管理部班表!$C13)</f>
        <v/>
      </c>
      <c r="G265" s="16">
        <f>IF($C265="","",醫護長與管理部班表!S13)</f>
        <v/>
      </c>
      <c r="H265" s="87">
        <f>IF($G265="","",IFERROR(IF(INDEX(設定!$D$6:$D$21,MATCH($G265,設定!$B$6:$B$21,0))=0,"",INDEX(設定!$D$6:$D$21,MATCH($G265,設定!$B$6:$B$21,0))),""))</f>
        <v/>
      </c>
      <c r="I265" s="87">
        <f>IF($G265="","",IFERROR(IF(INDEX(設定!$E$6:$E$21,MATCH($G265,設定!$B$6:$B$21,0))=0,"",INDEX(設定!$E$6:$E$21,MATCH($G265,設定!$B$6:$B$21,0))),""))</f>
        <v/>
      </c>
      <c r="J265" s="87">
        <f>IFERROR(INDEX(打卡匯入!$C$3:$C$502,MATCH($C265&amp;"|"&amp;DAY($A265),打卡匯入!$E$3:$E$502,0)),"")</f>
        <v/>
      </c>
      <c r="K265" s="87">
        <f>IFERROR(INDEX(打卡匯入!$D$3:$D$502,MATCH($C265&amp;"|"&amp;DAY($A265),打卡匯入!$E$3:$E$502,0)),"")</f>
        <v/>
      </c>
      <c r="L265" s="88">
        <f>IF(OR($J265="",$K265=""),"",IFERROR(INDEX(設定!$F$6:$F$21,MATCH($G265,設定!$B$6:$B$21,0)),0))</f>
        <v/>
      </c>
      <c r="M265" s="89">
        <f>IF(OR($J265="",$K265=""),"",ROUND(($K265-$J265)*24-$L265/60,2))</f>
        <v/>
      </c>
      <c r="N265" s="16">
        <f>IF($C265="","",IF(AND(COUNTIF(設定!$B$15:$B$21,$G265)&gt;0,$J265&lt;&gt;""),"假日出勤",IF(AND(COUNTIF(設定!$B$6:$B$14,$G265)&gt;0,$J265=""),"未打卡",IF($J265="","",IF($O265&gt;0,"遲到",IF($P265&gt;0,"早退","正常"))))))</f>
        <v/>
      </c>
      <c r="O265" s="88">
        <f>IF(OR($C265="",$H265="",$J265=""),0,IF(ROUND(($J265-$H265)*1440,0)&gt;設定!$C$48,ROUND(($J265-$H265)*1440,0),0))</f>
        <v/>
      </c>
      <c r="P265" s="88">
        <f>IF(OR($C265="",$I265="",$K265=""),0,IF(ROUND(($I265-$K265)*1440,0)&gt;設定!$C$48,ROUND(($I265-$K265)*1440,0),0))</f>
        <v/>
      </c>
      <c r="Q265" s="89">
        <f>IF($M265="",0,IF(($M265-IFERROR(INDEX(設定!$G$6:$G$21,MATCH($G265,設定!$B$6:$B$21,0)),0))*60&gt;=設定!$C$46,ROUND(FLOOR(($M265-IFERROR(INDEX(設定!$G$6:$G$21,MATCH($G265,設定!$B$6:$B$21,0)),0))*60,設定!$C$47)/60,2),0))</f>
        <v/>
      </c>
      <c r="R265" s="16">
        <f>IF(OR($C265="",$Q265=0),"",IF($G265="國","國定假日",IF($B265="日","例假",IF($B265="六","休息日","平日"))))</f>
        <v/>
      </c>
      <c r="S265" s="18" t="n"/>
    </row>
    <row r="266">
      <c r="A266" s="86">
        <f>IF(OR(醫護長與管理部班表!$A13="",16&gt;DAY(EOMONTH(DATE(設定!$C$2,設定!$D$2,1),0))),"",DATE(設定!$C$2,設定!$D$2,16))</f>
        <v/>
      </c>
      <c r="B266" s="16">
        <f>IF($A266="","",INDEX(設定!$O$6:$O$12,WEEKDAY($A266,1)))</f>
        <v/>
      </c>
      <c r="C266" s="16">
        <f>IF($A266="","",醫護長與管理部班表!$A13)</f>
        <v/>
      </c>
      <c r="D266" s="16">
        <f>IF($C266="","",醫護長與管理部班表!$B13)</f>
        <v/>
      </c>
      <c r="E266" s="16">
        <f>IF($C266="","",醫護長與管理部班表!$D13)</f>
        <v/>
      </c>
      <c r="F266" s="16">
        <f>IF($C266="","",醫護長與管理部班表!$C13)</f>
        <v/>
      </c>
      <c r="G266" s="16">
        <f>IF($C266="","",醫護長與管理部班表!T13)</f>
        <v/>
      </c>
      <c r="H266" s="87">
        <f>IF($G266="","",IFERROR(IF(INDEX(設定!$D$6:$D$21,MATCH($G266,設定!$B$6:$B$21,0))=0,"",INDEX(設定!$D$6:$D$21,MATCH($G266,設定!$B$6:$B$21,0))),""))</f>
        <v/>
      </c>
      <c r="I266" s="87">
        <f>IF($G266="","",IFERROR(IF(INDEX(設定!$E$6:$E$21,MATCH($G266,設定!$B$6:$B$21,0))=0,"",INDEX(設定!$E$6:$E$21,MATCH($G266,設定!$B$6:$B$21,0))),""))</f>
        <v/>
      </c>
      <c r="J266" s="87">
        <f>IFERROR(INDEX(打卡匯入!$C$3:$C$502,MATCH($C266&amp;"|"&amp;DAY($A266),打卡匯入!$E$3:$E$502,0)),"")</f>
        <v/>
      </c>
      <c r="K266" s="87">
        <f>IFERROR(INDEX(打卡匯入!$D$3:$D$502,MATCH($C266&amp;"|"&amp;DAY($A266),打卡匯入!$E$3:$E$502,0)),"")</f>
        <v/>
      </c>
      <c r="L266" s="88">
        <f>IF(OR($J266="",$K266=""),"",IFERROR(INDEX(設定!$F$6:$F$21,MATCH($G266,設定!$B$6:$B$21,0)),0))</f>
        <v/>
      </c>
      <c r="M266" s="89">
        <f>IF(OR($J266="",$K266=""),"",ROUND(($K266-$J266)*24-$L266/60,2))</f>
        <v/>
      </c>
      <c r="N266" s="16">
        <f>IF($C266="","",IF(AND(COUNTIF(設定!$B$15:$B$21,$G266)&gt;0,$J266&lt;&gt;""),"假日出勤",IF(AND(COUNTIF(設定!$B$6:$B$14,$G266)&gt;0,$J266=""),"未打卡",IF($J266="","",IF($O266&gt;0,"遲到",IF($P266&gt;0,"早退","正常"))))))</f>
        <v/>
      </c>
      <c r="O266" s="88">
        <f>IF(OR($C266="",$H266="",$J266=""),0,IF(ROUND(($J266-$H266)*1440,0)&gt;設定!$C$48,ROUND(($J266-$H266)*1440,0),0))</f>
        <v/>
      </c>
      <c r="P266" s="88">
        <f>IF(OR($C266="",$I266="",$K266=""),0,IF(ROUND(($I266-$K266)*1440,0)&gt;設定!$C$48,ROUND(($I266-$K266)*1440,0),0))</f>
        <v/>
      </c>
      <c r="Q266" s="89">
        <f>IF($M266="",0,IF(($M266-IFERROR(INDEX(設定!$G$6:$G$21,MATCH($G266,設定!$B$6:$B$21,0)),0))*60&gt;=設定!$C$46,ROUND(FLOOR(($M266-IFERROR(INDEX(設定!$G$6:$G$21,MATCH($G266,設定!$B$6:$B$21,0)),0))*60,設定!$C$47)/60,2),0))</f>
        <v/>
      </c>
      <c r="R266" s="16">
        <f>IF(OR($C266="",$Q266=0),"",IF($G266="國","國定假日",IF($B266="日","例假",IF($B266="六","休息日","平日"))))</f>
        <v/>
      </c>
      <c r="S266" s="18" t="n"/>
    </row>
    <row r="267">
      <c r="A267" s="86">
        <f>IF(OR(醫護長與管理部班表!$A13="",17&gt;DAY(EOMONTH(DATE(設定!$C$2,設定!$D$2,1),0))),"",DATE(設定!$C$2,設定!$D$2,17))</f>
        <v/>
      </c>
      <c r="B267" s="16">
        <f>IF($A267="","",INDEX(設定!$O$6:$O$12,WEEKDAY($A267,1)))</f>
        <v/>
      </c>
      <c r="C267" s="16">
        <f>IF($A267="","",醫護長與管理部班表!$A13)</f>
        <v/>
      </c>
      <c r="D267" s="16">
        <f>IF($C267="","",醫護長與管理部班表!$B13)</f>
        <v/>
      </c>
      <c r="E267" s="16">
        <f>IF($C267="","",醫護長與管理部班表!$D13)</f>
        <v/>
      </c>
      <c r="F267" s="16">
        <f>IF($C267="","",醫護長與管理部班表!$C13)</f>
        <v/>
      </c>
      <c r="G267" s="16">
        <f>IF($C267="","",醫護長與管理部班表!U13)</f>
        <v/>
      </c>
      <c r="H267" s="87">
        <f>IF($G267="","",IFERROR(IF(INDEX(設定!$D$6:$D$21,MATCH($G267,設定!$B$6:$B$21,0))=0,"",INDEX(設定!$D$6:$D$21,MATCH($G267,設定!$B$6:$B$21,0))),""))</f>
        <v/>
      </c>
      <c r="I267" s="87">
        <f>IF($G267="","",IFERROR(IF(INDEX(設定!$E$6:$E$21,MATCH($G267,設定!$B$6:$B$21,0))=0,"",INDEX(設定!$E$6:$E$21,MATCH($G267,設定!$B$6:$B$21,0))),""))</f>
        <v/>
      </c>
      <c r="J267" s="87">
        <f>IFERROR(INDEX(打卡匯入!$C$3:$C$502,MATCH($C267&amp;"|"&amp;DAY($A267),打卡匯入!$E$3:$E$502,0)),"")</f>
        <v/>
      </c>
      <c r="K267" s="87">
        <f>IFERROR(INDEX(打卡匯入!$D$3:$D$502,MATCH($C267&amp;"|"&amp;DAY($A267),打卡匯入!$E$3:$E$502,0)),"")</f>
        <v/>
      </c>
      <c r="L267" s="88">
        <f>IF(OR($J267="",$K267=""),"",IFERROR(INDEX(設定!$F$6:$F$21,MATCH($G267,設定!$B$6:$B$21,0)),0))</f>
        <v/>
      </c>
      <c r="M267" s="89">
        <f>IF(OR($J267="",$K267=""),"",ROUND(($K267-$J267)*24-$L267/60,2))</f>
        <v/>
      </c>
      <c r="N267" s="16">
        <f>IF($C267="","",IF(AND(COUNTIF(設定!$B$15:$B$21,$G267)&gt;0,$J267&lt;&gt;""),"假日出勤",IF(AND(COUNTIF(設定!$B$6:$B$14,$G267)&gt;0,$J267=""),"未打卡",IF($J267="","",IF($O267&gt;0,"遲到",IF($P267&gt;0,"早退","正常"))))))</f>
        <v/>
      </c>
      <c r="O267" s="88">
        <f>IF(OR($C267="",$H267="",$J267=""),0,IF(ROUND(($J267-$H267)*1440,0)&gt;設定!$C$48,ROUND(($J267-$H267)*1440,0),0))</f>
        <v/>
      </c>
      <c r="P267" s="88">
        <f>IF(OR($C267="",$I267="",$K267=""),0,IF(ROUND(($I267-$K267)*1440,0)&gt;設定!$C$48,ROUND(($I267-$K267)*1440,0),0))</f>
        <v/>
      </c>
      <c r="Q267" s="89">
        <f>IF($M267="",0,IF(($M267-IFERROR(INDEX(設定!$G$6:$G$21,MATCH($G267,設定!$B$6:$B$21,0)),0))*60&gt;=設定!$C$46,ROUND(FLOOR(($M267-IFERROR(INDEX(設定!$G$6:$G$21,MATCH($G267,設定!$B$6:$B$21,0)),0))*60,設定!$C$47)/60,2),0))</f>
        <v/>
      </c>
      <c r="R267" s="16">
        <f>IF(OR($C267="",$Q267=0),"",IF($G267="國","國定假日",IF($B267="日","例假",IF($B267="六","休息日","平日"))))</f>
        <v/>
      </c>
      <c r="S267" s="18" t="n"/>
    </row>
    <row r="268">
      <c r="A268" s="86">
        <f>IF(OR(醫護長與管理部班表!$A13="",18&gt;DAY(EOMONTH(DATE(設定!$C$2,設定!$D$2,1),0))),"",DATE(設定!$C$2,設定!$D$2,18))</f>
        <v/>
      </c>
      <c r="B268" s="16">
        <f>IF($A268="","",INDEX(設定!$O$6:$O$12,WEEKDAY($A268,1)))</f>
        <v/>
      </c>
      <c r="C268" s="16">
        <f>IF($A268="","",醫護長與管理部班表!$A13)</f>
        <v/>
      </c>
      <c r="D268" s="16">
        <f>IF($C268="","",醫護長與管理部班表!$B13)</f>
        <v/>
      </c>
      <c r="E268" s="16">
        <f>IF($C268="","",醫護長與管理部班表!$D13)</f>
        <v/>
      </c>
      <c r="F268" s="16">
        <f>IF($C268="","",醫護長與管理部班表!$C13)</f>
        <v/>
      </c>
      <c r="G268" s="16">
        <f>IF($C268="","",醫護長與管理部班表!V13)</f>
        <v/>
      </c>
      <c r="H268" s="87">
        <f>IF($G268="","",IFERROR(IF(INDEX(設定!$D$6:$D$21,MATCH($G268,設定!$B$6:$B$21,0))=0,"",INDEX(設定!$D$6:$D$21,MATCH($G268,設定!$B$6:$B$21,0))),""))</f>
        <v/>
      </c>
      <c r="I268" s="87">
        <f>IF($G268="","",IFERROR(IF(INDEX(設定!$E$6:$E$21,MATCH($G268,設定!$B$6:$B$21,0))=0,"",INDEX(設定!$E$6:$E$21,MATCH($G268,設定!$B$6:$B$21,0))),""))</f>
        <v/>
      </c>
      <c r="J268" s="87">
        <f>IFERROR(INDEX(打卡匯入!$C$3:$C$502,MATCH($C268&amp;"|"&amp;DAY($A268),打卡匯入!$E$3:$E$502,0)),"")</f>
        <v/>
      </c>
      <c r="K268" s="87">
        <f>IFERROR(INDEX(打卡匯入!$D$3:$D$502,MATCH($C268&amp;"|"&amp;DAY($A268),打卡匯入!$E$3:$E$502,0)),"")</f>
        <v/>
      </c>
      <c r="L268" s="88">
        <f>IF(OR($J268="",$K268=""),"",IFERROR(INDEX(設定!$F$6:$F$21,MATCH($G268,設定!$B$6:$B$21,0)),0))</f>
        <v/>
      </c>
      <c r="M268" s="89">
        <f>IF(OR($J268="",$K268=""),"",ROUND(($K268-$J268)*24-$L268/60,2))</f>
        <v/>
      </c>
      <c r="N268" s="16">
        <f>IF($C268="","",IF(AND(COUNTIF(設定!$B$15:$B$21,$G268)&gt;0,$J268&lt;&gt;""),"假日出勤",IF(AND(COUNTIF(設定!$B$6:$B$14,$G268)&gt;0,$J268=""),"未打卡",IF($J268="","",IF($O268&gt;0,"遲到",IF($P268&gt;0,"早退","正常"))))))</f>
        <v/>
      </c>
      <c r="O268" s="88">
        <f>IF(OR($C268="",$H268="",$J268=""),0,IF(ROUND(($J268-$H268)*1440,0)&gt;設定!$C$48,ROUND(($J268-$H268)*1440,0),0))</f>
        <v/>
      </c>
      <c r="P268" s="88">
        <f>IF(OR($C268="",$I268="",$K268=""),0,IF(ROUND(($I268-$K268)*1440,0)&gt;設定!$C$48,ROUND(($I268-$K268)*1440,0),0))</f>
        <v/>
      </c>
      <c r="Q268" s="89">
        <f>IF($M268="",0,IF(($M268-IFERROR(INDEX(設定!$G$6:$G$21,MATCH($G268,設定!$B$6:$B$21,0)),0))*60&gt;=設定!$C$46,ROUND(FLOOR(($M268-IFERROR(INDEX(設定!$G$6:$G$21,MATCH($G268,設定!$B$6:$B$21,0)),0))*60,設定!$C$47)/60,2),0))</f>
        <v/>
      </c>
      <c r="R268" s="16">
        <f>IF(OR($C268="",$Q268=0),"",IF($G268="國","國定假日",IF($B268="日","例假",IF($B268="六","休息日","平日"))))</f>
        <v/>
      </c>
      <c r="S268" s="18" t="n"/>
    </row>
    <row r="269">
      <c r="A269" s="86">
        <f>IF(OR(醫護長與管理部班表!$A13="",19&gt;DAY(EOMONTH(DATE(設定!$C$2,設定!$D$2,1),0))),"",DATE(設定!$C$2,設定!$D$2,19))</f>
        <v/>
      </c>
      <c r="B269" s="16">
        <f>IF($A269="","",INDEX(設定!$O$6:$O$12,WEEKDAY($A269,1)))</f>
        <v/>
      </c>
      <c r="C269" s="16">
        <f>IF($A269="","",醫護長與管理部班表!$A13)</f>
        <v/>
      </c>
      <c r="D269" s="16">
        <f>IF($C269="","",醫護長與管理部班表!$B13)</f>
        <v/>
      </c>
      <c r="E269" s="16">
        <f>IF($C269="","",醫護長與管理部班表!$D13)</f>
        <v/>
      </c>
      <c r="F269" s="16">
        <f>IF($C269="","",醫護長與管理部班表!$C13)</f>
        <v/>
      </c>
      <c r="G269" s="16">
        <f>IF($C269="","",醫護長與管理部班表!W13)</f>
        <v/>
      </c>
      <c r="H269" s="87">
        <f>IF($G269="","",IFERROR(IF(INDEX(設定!$D$6:$D$21,MATCH($G269,設定!$B$6:$B$21,0))=0,"",INDEX(設定!$D$6:$D$21,MATCH($G269,設定!$B$6:$B$21,0))),""))</f>
        <v/>
      </c>
      <c r="I269" s="87">
        <f>IF($G269="","",IFERROR(IF(INDEX(設定!$E$6:$E$21,MATCH($G269,設定!$B$6:$B$21,0))=0,"",INDEX(設定!$E$6:$E$21,MATCH($G269,設定!$B$6:$B$21,0))),""))</f>
        <v/>
      </c>
      <c r="J269" s="87">
        <f>IFERROR(INDEX(打卡匯入!$C$3:$C$502,MATCH($C269&amp;"|"&amp;DAY($A269),打卡匯入!$E$3:$E$502,0)),"")</f>
        <v/>
      </c>
      <c r="K269" s="87">
        <f>IFERROR(INDEX(打卡匯入!$D$3:$D$502,MATCH($C269&amp;"|"&amp;DAY($A269),打卡匯入!$E$3:$E$502,0)),"")</f>
        <v/>
      </c>
      <c r="L269" s="88">
        <f>IF(OR($J269="",$K269=""),"",IFERROR(INDEX(設定!$F$6:$F$21,MATCH($G269,設定!$B$6:$B$21,0)),0))</f>
        <v/>
      </c>
      <c r="M269" s="89">
        <f>IF(OR($J269="",$K269=""),"",ROUND(($K269-$J269)*24-$L269/60,2))</f>
        <v/>
      </c>
      <c r="N269" s="16">
        <f>IF($C269="","",IF(AND(COUNTIF(設定!$B$15:$B$21,$G269)&gt;0,$J269&lt;&gt;""),"假日出勤",IF(AND(COUNTIF(設定!$B$6:$B$14,$G269)&gt;0,$J269=""),"未打卡",IF($J269="","",IF($O269&gt;0,"遲到",IF($P269&gt;0,"早退","正常"))))))</f>
        <v/>
      </c>
      <c r="O269" s="88">
        <f>IF(OR($C269="",$H269="",$J269=""),0,IF(ROUND(($J269-$H269)*1440,0)&gt;設定!$C$48,ROUND(($J269-$H269)*1440,0),0))</f>
        <v/>
      </c>
      <c r="P269" s="88">
        <f>IF(OR($C269="",$I269="",$K269=""),0,IF(ROUND(($I269-$K269)*1440,0)&gt;設定!$C$48,ROUND(($I269-$K269)*1440,0),0))</f>
        <v/>
      </c>
      <c r="Q269" s="89">
        <f>IF($M269="",0,IF(($M269-IFERROR(INDEX(設定!$G$6:$G$21,MATCH($G269,設定!$B$6:$B$21,0)),0))*60&gt;=設定!$C$46,ROUND(FLOOR(($M269-IFERROR(INDEX(設定!$G$6:$G$21,MATCH($G269,設定!$B$6:$B$21,0)),0))*60,設定!$C$47)/60,2),0))</f>
        <v/>
      </c>
      <c r="R269" s="16">
        <f>IF(OR($C269="",$Q269=0),"",IF($G269="國","國定假日",IF($B269="日","例假",IF($B269="六","休息日","平日"))))</f>
        <v/>
      </c>
      <c r="S269" s="18" t="n"/>
    </row>
    <row r="270">
      <c r="A270" s="86">
        <f>IF(OR(醫護長與管理部班表!$A13="",20&gt;DAY(EOMONTH(DATE(設定!$C$2,設定!$D$2,1),0))),"",DATE(設定!$C$2,設定!$D$2,20))</f>
        <v/>
      </c>
      <c r="B270" s="16">
        <f>IF($A270="","",INDEX(設定!$O$6:$O$12,WEEKDAY($A270,1)))</f>
        <v/>
      </c>
      <c r="C270" s="16">
        <f>IF($A270="","",醫護長與管理部班表!$A13)</f>
        <v/>
      </c>
      <c r="D270" s="16">
        <f>IF($C270="","",醫護長與管理部班表!$B13)</f>
        <v/>
      </c>
      <c r="E270" s="16">
        <f>IF($C270="","",醫護長與管理部班表!$D13)</f>
        <v/>
      </c>
      <c r="F270" s="16">
        <f>IF($C270="","",醫護長與管理部班表!$C13)</f>
        <v/>
      </c>
      <c r="G270" s="16">
        <f>IF($C270="","",醫護長與管理部班表!X13)</f>
        <v/>
      </c>
      <c r="H270" s="87">
        <f>IF($G270="","",IFERROR(IF(INDEX(設定!$D$6:$D$21,MATCH($G270,設定!$B$6:$B$21,0))=0,"",INDEX(設定!$D$6:$D$21,MATCH($G270,設定!$B$6:$B$21,0))),""))</f>
        <v/>
      </c>
      <c r="I270" s="87">
        <f>IF($G270="","",IFERROR(IF(INDEX(設定!$E$6:$E$21,MATCH($G270,設定!$B$6:$B$21,0))=0,"",INDEX(設定!$E$6:$E$21,MATCH($G270,設定!$B$6:$B$21,0))),""))</f>
        <v/>
      </c>
      <c r="J270" s="87">
        <f>IFERROR(INDEX(打卡匯入!$C$3:$C$502,MATCH($C270&amp;"|"&amp;DAY($A270),打卡匯入!$E$3:$E$502,0)),"")</f>
        <v/>
      </c>
      <c r="K270" s="87">
        <f>IFERROR(INDEX(打卡匯入!$D$3:$D$502,MATCH($C270&amp;"|"&amp;DAY($A270),打卡匯入!$E$3:$E$502,0)),"")</f>
        <v/>
      </c>
      <c r="L270" s="88">
        <f>IF(OR($J270="",$K270=""),"",IFERROR(INDEX(設定!$F$6:$F$21,MATCH($G270,設定!$B$6:$B$21,0)),0))</f>
        <v/>
      </c>
      <c r="M270" s="89">
        <f>IF(OR($J270="",$K270=""),"",ROUND(($K270-$J270)*24-$L270/60,2))</f>
        <v/>
      </c>
      <c r="N270" s="16">
        <f>IF($C270="","",IF(AND(COUNTIF(設定!$B$15:$B$21,$G270)&gt;0,$J270&lt;&gt;""),"假日出勤",IF(AND(COUNTIF(設定!$B$6:$B$14,$G270)&gt;0,$J270=""),"未打卡",IF($J270="","",IF($O270&gt;0,"遲到",IF($P270&gt;0,"早退","正常"))))))</f>
        <v/>
      </c>
      <c r="O270" s="88">
        <f>IF(OR($C270="",$H270="",$J270=""),0,IF(ROUND(($J270-$H270)*1440,0)&gt;設定!$C$48,ROUND(($J270-$H270)*1440,0),0))</f>
        <v/>
      </c>
      <c r="P270" s="88">
        <f>IF(OR($C270="",$I270="",$K270=""),0,IF(ROUND(($I270-$K270)*1440,0)&gt;設定!$C$48,ROUND(($I270-$K270)*1440,0),0))</f>
        <v/>
      </c>
      <c r="Q270" s="89">
        <f>IF($M270="",0,IF(($M270-IFERROR(INDEX(設定!$G$6:$G$21,MATCH($G270,設定!$B$6:$B$21,0)),0))*60&gt;=設定!$C$46,ROUND(FLOOR(($M270-IFERROR(INDEX(設定!$G$6:$G$21,MATCH($G270,設定!$B$6:$B$21,0)),0))*60,設定!$C$47)/60,2),0))</f>
        <v/>
      </c>
      <c r="R270" s="16">
        <f>IF(OR($C270="",$Q270=0),"",IF($G270="國","國定假日",IF($B270="日","例假",IF($B270="六","休息日","平日"))))</f>
        <v/>
      </c>
      <c r="S270" s="18" t="n"/>
    </row>
    <row r="271">
      <c r="A271" s="86">
        <f>IF(OR(醫護長與管理部班表!$A13="",21&gt;DAY(EOMONTH(DATE(設定!$C$2,設定!$D$2,1),0))),"",DATE(設定!$C$2,設定!$D$2,21))</f>
        <v/>
      </c>
      <c r="B271" s="16">
        <f>IF($A271="","",INDEX(設定!$O$6:$O$12,WEEKDAY($A271,1)))</f>
        <v/>
      </c>
      <c r="C271" s="16">
        <f>IF($A271="","",醫護長與管理部班表!$A13)</f>
        <v/>
      </c>
      <c r="D271" s="16">
        <f>IF($C271="","",醫護長與管理部班表!$B13)</f>
        <v/>
      </c>
      <c r="E271" s="16">
        <f>IF($C271="","",醫護長與管理部班表!$D13)</f>
        <v/>
      </c>
      <c r="F271" s="16">
        <f>IF($C271="","",醫護長與管理部班表!$C13)</f>
        <v/>
      </c>
      <c r="G271" s="16">
        <f>IF($C271="","",醫護長與管理部班表!Y13)</f>
        <v/>
      </c>
      <c r="H271" s="87">
        <f>IF($G271="","",IFERROR(IF(INDEX(設定!$D$6:$D$21,MATCH($G271,設定!$B$6:$B$21,0))=0,"",INDEX(設定!$D$6:$D$21,MATCH($G271,設定!$B$6:$B$21,0))),""))</f>
        <v/>
      </c>
      <c r="I271" s="87">
        <f>IF($G271="","",IFERROR(IF(INDEX(設定!$E$6:$E$21,MATCH($G271,設定!$B$6:$B$21,0))=0,"",INDEX(設定!$E$6:$E$21,MATCH($G271,設定!$B$6:$B$21,0))),""))</f>
        <v/>
      </c>
      <c r="J271" s="87">
        <f>IFERROR(INDEX(打卡匯入!$C$3:$C$502,MATCH($C271&amp;"|"&amp;DAY($A271),打卡匯入!$E$3:$E$502,0)),"")</f>
        <v/>
      </c>
      <c r="K271" s="87">
        <f>IFERROR(INDEX(打卡匯入!$D$3:$D$502,MATCH($C271&amp;"|"&amp;DAY($A271),打卡匯入!$E$3:$E$502,0)),"")</f>
        <v/>
      </c>
      <c r="L271" s="88">
        <f>IF(OR($J271="",$K271=""),"",IFERROR(INDEX(設定!$F$6:$F$21,MATCH($G271,設定!$B$6:$B$21,0)),0))</f>
        <v/>
      </c>
      <c r="M271" s="89">
        <f>IF(OR($J271="",$K271=""),"",ROUND(($K271-$J271)*24-$L271/60,2))</f>
        <v/>
      </c>
      <c r="N271" s="16">
        <f>IF($C271="","",IF(AND(COUNTIF(設定!$B$15:$B$21,$G271)&gt;0,$J271&lt;&gt;""),"假日出勤",IF(AND(COUNTIF(設定!$B$6:$B$14,$G271)&gt;0,$J271=""),"未打卡",IF($J271="","",IF($O271&gt;0,"遲到",IF($P271&gt;0,"早退","正常"))))))</f>
        <v/>
      </c>
      <c r="O271" s="88">
        <f>IF(OR($C271="",$H271="",$J271=""),0,IF(ROUND(($J271-$H271)*1440,0)&gt;設定!$C$48,ROUND(($J271-$H271)*1440,0),0))</f>
        <v/>
      </c>
      <c r="P271" s="88">
        <f>IF(OR($C271="",$I271="",$K271=""),0,IF(ROUND(($I271-$K271)*1440,0)&gt;設定!$C$48,ROUND(($I271-$K271)*1440,0),0))</f>
        <v/>
      </c>
      <c r="Q271" s="89">
        <f>IF($M271="",0,IF(($M271-IFERROR(INDEX(設定!$G$6:$G$21,MATCH($G271,設定!$B$6:$B$21,0)),0))*60&gt;=設定!$C$46,ROUND(FLOOR(($M271-IFERROR(INDEX(設定!$G$6:$G$21,MATCH($G271,設定!$B$6:$B$21,0)),0))*60,設定!$C$47)/60,2),0))</f>
        <v/>
      </c>
      <c r="R271" s="16">
        <f>IF(OR($C271="",$Q271=0),"",IF($G271="國","國定假日",IF($B271="日","例假",IF($B271="六","休息日","平日"))))</f>
        <v/>
      </c>
      <c r="S271" s="18" t="n"/>
    </row>
    <row r="272">
      <c r="A272" s="86">
        <f>IF(OR(醫護長與管理部班表!$A13="",22&gt;DAY(EOMONTH(DATE(設定!$C$2,設定!$D$2,1),0))),"",DATE(設定!$C$2,設定!$D$2,22))</f>
        <v/>
      </c>
      <c r="B272" s="16">
        <f>IF($A272="","",INDEX(設定!$O$6:$O$12,WEEKDAY($A272,1)))</f>
        <v/>
      </c>
      <c r="C272" s="16">
        <f>IF($A272="","",醫護長與管理部班表!$A13)</f>
        <v/>
      </c>
      <c r="D272" s="16">
        <f>IF($C272="","",醫護長與管理部班表!$B13)</f>
        <v/>
      </c>
      <c r="E272" s="16">
        <f>IF($C272="","",醫護長與管理部班表!$D13)</f>
        <v/>
      </c>
      <c r="F272" s="16">
        <f>IF($C272="","",醫護長與管理部班表!$C13)</f>
        <v/>
      </c>
      <c r="G272" s="16">
        <f>IF($C272="","",醫護長與管理部班表!Z13)</f>
        <v/>
      </c>
      <c r="H272" s="87">
        <f>IF($G272="","",IFERROR(IF(INDEX(設定!$D$6:$D$21,MATCH($G272,設定!$B$6:$B$21,0))=0,"",INDEX(設定!$D$6:$D$21,MATCH($G272,設定!$B$6:$B$21,0))),""))</f>
        <v/>
      </c>
      <c r="I272" s="87">
        <f>IF($G272="","",IFERROR(IF(INDEX(設定!$E$6:$E$21,MATCH($G272,設定!$B$6:$B$21,0))=0,"",INDEX(設定!$E$6:$E$21,MATCH($G272,設定!$B$6:$B$21,0))),""))</f>
        <v/>
      </c>
      <c r="J272" s="87">
        <f>IFERROR(INDEX(打卡匯入!$C$3:$C$502,MATCH($C272&amp;"|"&amp;DAY($A272),打卡匯入!$E$3:$E$502,0)),"")</f>
        <v/>
      </c>
      <c r="K272" s="87">
        <f>IFERROR(INDEX(打卡匯入!$D$3:$D$502,MATCH($C272&amp;"|"&amp;DAY($A272),打卡匯入!$E$3:$E$502,0)),"")</f>
        <v/>
      </c>
      <c r="L272" s="88">
        <f>IF(OR($J272="",$K272=""),"",IFERROR(INDEX(設定!$F$6:$F$21,MATCH($G272,設定!$B$6:$B$21,0)),0))</f>
        <v/>
      </c>
      <c r="M272" s="89">
        <f>IF(OR($J272="",$K272=""),"",ROUND(($K272-$J272)*24-$L272/60,2))</f>
        <v/>
      </c>
      <c r="N272" s="16">
        <f>IF($C272="","",IF(AND(COUNTIF(設定!$B$15:$B$21,$G272)&gt;0,$J272&lt;&gt;""),"假日出勤",IF(AND(COUNTIF(設定!$B$6:$B$14,$G272)&gt;0,$J272=""),"未打卡",IF($J272="","",IF($O272&gt;0,"遲到",IF($P272&gt;0,"早退","正常"))))))</f>
        <v/>
      </c>
      <c r="O272" s="88">
        <f>IF(OR($C272="",$H272="",$J272=""),0,IF(ROUND(($J272-$H272)*1440,0)&gt;設定!$C$48,ROUND(($J272-$H272)*1440,0),0))</f>
        <v/>
      </c>
      <c r="P272" s="88">
        <f>IF(OR($C272="",$I272="",$K272=""),0,IF(ROUND(($I272-$K272)*1440,0)&gt;設定!$C$48,ROUND(($I272-$K272)*1440,0),0))</f>
        <v/>
      </c>
      <c r="Q272" s="89">
        <f>IF($M272="",0,IF(($M272-IFERROR(INDEX(設定!$G$6:$G$21,MATCH($G272,設定!$B$6:$B$21,0)),0))*60&gt;=設定!$C$46,ROUND(FLOOR(($M272-IFERROR(INDEX(設定!$G$6:$G$21,MATCH($G272,設定!$B$6:$B$21,0)),0))*60,設定!$C$47)/60,2),0))</f>
        <v/>
      </c>
      <c r="R272" s="16">
        <f>IF(OR($C272="",$Q272=0),"",IF($G272="國","國定假日",IF($B272="日","例假",IF($B272="六","休息日","平日"))))</f>
        <v/>
      </c>
      <c r="S272" s="18" t="n"/>
    </row>
    <row r="273">
      <c r="A273" s="86">
        <f>IF(OR(醫護長與管理部班表!$A13="",23&gt;DAY(EOMONTH(DATE(設定!$C$2,設定!$D$2,1),0))),"",DATE(設定!$C$2,設定!$D$2,23))</f>
        <v/>
      </c>
      <c r="B273" s="16">
        <f>IF($A273="","",INDEX(設定!$O$6:$O$12,WEEKDAY($A273,1)))</f>
        <v/>
      </c>
      <c r="C273" s="16">
        <f>IF($A273="","",醫護長與管理部班表!$A13)</f>
        <v/>
      </c>
      <c r="D273" s="16">
        <f>IF($C273="","",醫護長與管理部班表!$B13)</f>
        <v/>
      </c>
      <c r="E273" s="16">
        <f>IF($C273="","",醫護長與管理部班表!$D13)</f>
        <v/>
      </c>
      <c r="F273" s="16">
        <f>IF($C273="","",醫護長與管理部班表!$C13)</f>
        <v/>
      </c>
      <c r="G273" s="16">
        <f>IF($C273="","",醫護長與管理部班表!AA13)</f>
        <v/>
      </c>
      <c r="H273" s="87">
        <f>IF($G273="","",IFERROR(IF(INDEX(設定!$D$6:$D$21,MATCH($G273,設定!$B$6:$B$21,0))=0,"",INDEX(設定!$D$6:$D$21,MATCH($G273,設定!$B$6:$B$21,0))),""))</f>
        <v/>
      </c>
      <c r="I273" s="87">
        <f>IF($G273="","",IFERROR(IF(INDEX(設定!$E$6:$E$21,MATCH($G273,設定!$B$6:$B$21,0))=0,"",INDEX(設定!$E$6:$E$21,MATCH($G273,設定!$B$6:$B$21,0))),""))</f>
        <v/>
      </c>
      <c r="J273" s="87">
        <f>IFERROR(INDEX(打卡匯入!$C$3:$C$502,MATCH($C273&amp;"|"&amp;DAY($A273),打卡匯入!$E$3:$E$502,0)),"")</f>
        <v/>
      </c>
      <c r="K273" s="87">
        <f>IFERROR(INDEX(打卡匯入!$D$3:$D$502,MATCH($C273&amp;"|"&amp;DAY($A273),打卡匯入!$E$3:$E$502,0)),"")</f>
        <v/>
      </c>
      <c r="L273" s="88">
        <f>IF(OR($J273="",$K273=""),"",IFERROR(INDEX(設定!$F$6:$F$21,MATCH($G273,設定!$B$6:$B$21,0)),0))</f>
        <v/>
      </c>
      <c r="M273" s="89">
        <f>IF(OR($J273="",$K273=""),"",ROUND(($K273-$J273)*24-$L273/60,2))</f>
        <v/>
      </c>
      <c r="N273" s="16">
        <f>IF($C273="","",IF(AND(COUNTIF(設定!$B$15:$B$21,$G273)&gt;0,$J273&lt;&gt;""),"假日出勤",IF(AND(COUNTIF(設定!$B$6:$B$14,$G273)&gt;0,$J273=""),"未打卡",IF($J273="","",IF($O273&gt;0,"遲到",IF($P273&gt;0,"早退","正常"))))))</f>
        <v/>
      </c>
      <c r="O273" s="88">
        <f>IF(OR($C273="",$H273="",$J273=""),0,IF(ROUND(($J273-$H273)*1440,0)&gt;設定!$C$48,ROUND(($J273-$H273)*1440,0),0))</f>
        <v/>
      </c>
      <c r="P273" s="88">
        <f>IF(OR($C273="",$I273="",$K273=""),0,IF(ROUND(($I273-$K273)*1440,0)&gt;設定!$C$48,ROUND(($I273-$K273)*1440,0),0))</f>
        <v/>
      </c>
      <c r="Q273" s="89">
        <f>IF($M273="",0,IF(($M273-IFERROR(INDEX(設定!$G$6:$G$21,MATCH($G273,設定!$B$6:$B$21,0)),0))*60&gt;=設定!$C$46,ROUND(FLOOR(($M273-IFERROR(INDEX(設定!$G$6:$G$21,MATCH($G273,設定!$B$6:$B$21,0)),0))*60,設定!$C$47)/60,2),0))</f>
        <v/>
      </c>
      <c r="R273" s="16">
        <f>IF(OR($C273="",$Q273=0),"",IF($G273="國","國定假日",IF($B273="日","例假",IF($B273="六","休息日","平日"))))</f>
        <v/>
      </c>
      <c r="S273" s="18" t="n"/>
    </row>
    <row r="274">
      <c r="A274" s="86">
        <f>IF(OR(醫護長與管理部班表!$A13="",24&gt;DAY(EOMONTH(DATE(設定!$C$2,設定!$D$2,1),0))),"",DATE(設定!$C$2,設定!$D$2,24))</f>
        <v/>
      </c>
      <c r="B274" s="16">
        <f>IF($A274="","",INDEX(設定!$O$6:$O$12,WEEKDAY($A274,1)))</f>
        <v/>
      </c>
      <c r="C274" s="16">
        <f>IF($A274="","",醫護長與管理部班表!$A13)</f>
        <v/>
      </c>
      <c r="D274" s="16">
        <f>IF($C274="","",醫護長與管理部班表!$B13)</f>
        <v/>
      </c>
      <c r="E274" s="16">
        <f>IF($C274="","",醫護長與管理部班表!$D13)</f>
        <v/>
      </c>
      <c r="F274" s="16">
        <f>IF($C274="","",醫護長與管理部班表!$C13)</f>
        <v/>
      </c>
      <c r="G274" s="16">
        <f>IF($C274="","",醫護長與管理部班表!AB13)</f>
        <v/>
      </c>
      <c r="H274" s="87">
        <f>IF($G274="","",IFERROR(IF(INDEX(設定!$D$6:$D$21,MATCH($G274,設定!$B$6:$B$21,0))=0,"",INDEX(設定!$D$6:$D$21,MATCH($G274,設定!$B$6:$B$21,0))),""))</f>
        <v/>
      </c>
      <c r="I274" s="87">
        <f>IF($G274="","",IFERROR(IF(INDEX(設定!$E$6:$E$21,MATCH($G274,設定!$B$6:$B$21,0))=0,"",INDEX(設定!$E$6:$E$21,MATCH($G274,設定!$B$6:$B$21,0))),""))</f>
        <v/>
      </c>
      <c r="J274" s="87">
        <f>IFERROR(INDEX(打卡匯入!$C$3:$C$502,MATCH($C274&amp;"|"&amp;DAY($A274),打卡匯入!$E$3:$E$502,0)),"")</f>
        <v/>
      </c>
      <c r="K274" s="87">
        <f>IFERROR(INDEX(打卡匯入!$D$3:$D$502,MATCH($C274&amp;"|"&amp;DAY($A274),打卡匯入!$E$3:$E$502,0)),"")</f>
        <v/>
      </c>
      <c r="L274" s="88">
        <f>IF(OR($J274="",$K274=""),"",IFERROR(INDEX(設定!$F$6:$F$21,MATCH($G274,設定!$B$6:$B$21,0)),0))</f>
        <v/>
      </c>
      <c r="M274" s="89">
        <f>IF(OR($J274="",$K274=""),"",ROUND(($K274-$J274)*24-$L274/60,2))</f>
        <v/>
      </c>
      <c r="N274" s="16">
        <f>IF($C274="","",IF(AND(COUNTIF(設定!$B$15:$B$21,$G274)&gt;0,$J274&lt;&gt;""),"假日出勤",IF(AND(COUNTIF(設定!$B$6:$B$14,$G274)&gt;0,$J274=""),"未打卡",IF($J274="","",IF($O274&gt;0,"遲到",IF($P274&gt;0,"早退","正常"))))))</f>
        <v/>
      </c>
      <c r="O274" s="88">
        <f>IF(OR($C274="",$H274="",$J274=""),0,IF(ROUND(($J274-$H274)*1440,0)&gt;設定!$C$48,ROUND(($J274-$H274)*1440,0),0))</f>
        <v/>
      </c>
      <c r="P274" s="88">
        <f>IF(OR($C274="",$I274="",$K274=""),0,IF(ROUND(($I274-$K274)*1440,0)&gt;設定!$C$48,ROUND(($I274-$K274)*1440,0),0))</f>
        <v/>
      </c>
      <c r="Q274" s="89">
        <f>IF($M274="",0,IF(($M274-IFERROR(INDEX(設定!$G$6:$G$21,MATCH($G274,設定!$B$6:$B$21,0)),0))*60&gt;=設定!$C$46,ROUND(FLOOR(($M274-IFERROR(INDEX(設定!$G$6:$G$21,MATCH($G274,設定!$B$6:$B$21,0)),0))*60,設定!$C$47)/60,2),0))</f>
        <v/>
      </c>
      <c r="R274" s="16">
        <f>IF(OR($C274="",$Q274=0),"",IF($G274="國","國定假日",IF($B274="日","例假",IF($B274="六","休息日","平日"))))</f>
        <v/>
      </c>
      <c r="S274" s="18" t="n"/>
    </row>
    <row r="275">
      <c r="A275" s="86">
        <f>IF(OR(醫護長與管理部班表!$A13="",25&gt;DAY(EOMONTH(DATE(設定!$C$2,設定!$D$2,1),0))),"",DATE(設定!$C$2,設定!$D$2,25))</f>
        <v/>
      </c>
      <c r="B275" s="16">
        <f>IF($A275="","",INDEX(設定!$O$6:$O$12,WEEKDAY($A275,1)))</f>
        <v/>
      </c>
      <c r="C275" s="16">
        <f>IF($A275="","",醫護長與管理部班表!$A13)</f>
        <v/>
      </c>
      <c r="D275" s="16">
        <f>IF($C275="","",醫護長與管理部班表!$B13)</f>
        <v/>
      </c>
      <c r="E275" s="16">
        <f>IF($C275="","",醫護長與管理部班表!$D13)</f>
        <v/>
      </c>
      <c r="F275" s="16">
        <f>IF($C275="","",醫護長與管理部班表!$C13)</f>
        <v/>
      </c>
      <c r="G275" s="16">
        <f>IF($C275="","",醫護長與管理部班表!AC13)</f>
        <v/>
      </c>
      <c r="H275" s="87">
        <f>IF($G275="","",IFERROR(IF(INDEX(設定!$D$6:$D$21,MATCH($G275,設定!$B$6:$B$21,0))=0,"",INDEX(設定!$D$6:$D$21,MATCH($G275,設定!$B$6:$B$21,0))),""))</f>
        <v/>
      </c>
      <c r="I275" s="87">
        <f>IF($G275="","",IFERROR(IF(INDEX(設定!$E$6:$E$21,MATCH($G275,設定!$B$6:$B$21,0))=0,"",INDEX(設定!$E$6:$E$21,MATCH($G275,設定!$B$6:$B$21,0))),""))</f>
        <v/>
      </c>
      <c r="J275" s="87">
        <f>IFERROR(INDEX(打卡匯入!$C$3:$C$502,MATCH($C275&amp;"|"&amp;DAY($A275),打卡匯入!$E$3:$E$502,0)),"")</f>
        <v/>
      </c>
      <c r="K275" s="87">
        <f>IFERROR(INDEX(打卡匯入!$D$3:$D$502,MATCH($C275&amp;"|"&amp;DAY($A275),打卡匯入!$E$3:$E$502,0)),"")</f>
        <v/>
      </c>
      <c r="L275" s="88">
        <f>IF(OR($J275="",$K275=""),"",IFERROR(INDEX(設定!$F$6:$F$21,MATCH($G275,設定!$B$6:$B$21,0)),0))</f>
        <v/>
      </c>
      <c r="M275" s="89">
        <f>IF(OR($J275="",$K275=""),"",ROUND(($K275-$J275)*24-$L275/60,2))</f>
        <v/>
      </c>
      <c r="N275" s="16">
        <f>IF($C275="","",IF(AND(COUNTIF(設定!$B$15:$B$21,$G275)&gt;0,$J275&lt;&gt;""),"假日出勤",IF(AND(COUNTIF(設定!$B$6:$B$14,$G275)&gt;0,$J275=""),"未打卡",IF($J275="","",IF($O275&gt;0,"遲到",IF($P275&gt;0,"早退","正常"))))))</f>
        <v/>
      </c>
      <c r="O275" s="88">
        <f>IF(OR($C275="",$H275="",$J275=""),0,IF(ROUND(($J275-$H275)*1440,0)&gt;設定!$C$48,ROUND(($J275-$H275)*1440,0),0))</f>
        <v/>
      </c>
      <c r="P275" s="88">
        <f>IF(OR($C275="",$I275="",$K275=""),0,IF(ROUND(($I275-$K275)*1440,0)&gt;設定!$C$48,ROUND(($I275-$K275)*1440,0),0))</f>
        <v/>
      </c>
      <c r="Q275" s="89">
        <f>IF($M275="",0,IF(($M275-IFERROR(INDEX(設定!$G$6:$G$21,MATCH($G275,設定!$B$6:$B$21,0)),0))*60&gt;=設定!$C$46,ROUND(FLOOR(($M275-IFERROR(INDEX(設定!$G$6:$G$21,MATCH($G275,設定!$B$6:$B$21,0)),0))*60,設定!$C$47)/60,2),0))</f>
        <v/>
      </c>
      <c r="R275" s="16">
        <f>IF(OR($C275="",$Q275=0),"",IF($G275="國","國定假日",IF($B275="日","例假",IF($B275="六","休息日","平日"))))</f>
        <v/>
      </c>
      <c r="S275" s="18" t="n"/>
    </row>
    <row r="276">
      <c r="A276" s="86">
        <f>IF(OR(醫護長與管理部班表!$A13="",26&gt;DAY(EOMONTH(DATE(設定!$C$2,設定!$D$2,1),0))),"",DATE(設定!$C$2,設定!$D$2,26))</f>
        <v/>
      </c>
      <c r="B276" s="16">
        <f>IF($A276="","",INDEX(設定!$O$6:$O$12,WEEKDAY($A276,1)))</f>
        <v/>
      </c>
      <c r="C276" s="16">
        <f>IF($A276="","",醫護長與管理部班表!$A13)</f>
        <v/>
      </c>
      <c r="D276" s="16">
        <f>IF($C276="","",醫護長與管理部班表!$B13)</f>
        <v/>
      </c>
      <c r="E276" s="16">
        <f>IF($C276="","",醫護長與管理部班表!$D13)</f>
        <v/>
      </c>
      <c r="F276" s="16">
        <f>IF($C276="","",醫護長與管理部班表!$C13)</f>
        <v/>
      </c>
      <c r="G276" s="16">
        <f>IF($C276="","",醫護長與管理部班表!AD13)</f>
        <v/>
      </c>
      <c r="H276" s="87">
        <f>IF($G276="","",IFERROR(IF(INDEX(設定!$D$6:$D$21,MATCH($G276,設定!$B$6:$B$21,0))=0,"",INDEX(設定!$D$6:$D$21,MATCH($G276,設定!$B$6:$B$21,0))),""))</f>
        <v/>
      </c>
      <c r="I276" s="87">
        <f>IF($G276="","",IFERROR(IF(INDEX(設定!$E$6:$E$21,MATCH($G276,設定!$B$6:$B$21,0))=0,"",INDEX(設定!$E$6:$E$21,MATCH($G276,設定!$B$6:$B$21,0))),""))</f>
        <v/>
      </c>
      <c r="J276" s="87">
        <f>IFERROR(INDEX(打卡匯入!$C$3:$C$502,MATCH($C276&amp;"|"&amp;DAY($A276),打卡匯入!$E$3:$E$502,0)),"")</f>
        <v/>
      </c>
      <c r="K276" s="87">
        <f>IFERROR(INDEX(打卡匯入!$D$3:$D$502,MATCH($C276&amp;"|"&amp;DAY($A276),打卡匯入!$E$3:$E$502,0)),"")</f>
        <v/>
      </c>
      <c r="L276" s="88">
        <f>IF(OR($J276="",$K276=""),"",IFERROR(INDEX(設定!$F$6:$F$21,MATCH($G276,設定!$B$6:$B$21,0)),0))</f>
        <v/>
      </c>
      <c r="M276" s="89">
        <f>IF(OR($J276="",$K276=""),"",ROUND(($K276-$J276)*24-$L276/60,2))</f>
        <v/>
      </c>
      <c r="N276" s="16">
        <f>IF($C276="","",IF(AND(COUNTIF(設定!$B$15:$B$21,$G276)&gt;0,$J276&lt;&gt;""),"假日出勤",IF(AND(COUNTIF(設定!$B$6:$B$14,$G276)&gt;0,$J276=""),"未打卡",IF($J276="","",IF($O276&gt;0,"遲到",IF($P276&gt;0,"早退","正常"))))))</f>
        <v/>
      </c>
      <c r="O276" s="88">
        <f>IF(OR($C276="",$H276="",$J276=""),0,IF(ROUND(($J276-$H276)*1440,0)&gt;設定!$C$48,ROUND(($J276-$H276)*1440,0),0))</f>
        <v/>
      </c>
      <c r="P276" s="88">
        <f>IF(OR($C276="",$I276="",$K276=""),0,IF(ROUND(($I276-$K276)*1440,0)&gt;設定!$C$48,ROUND(($I276-$K276)*1440,0),0))</f>
        <v/>
      </c>
      <c r="Q276" s="89">
        <f>IF($M276="",0,IF(($M276-IFERROR(INDEX(設定!$G$6:$G$21,MATCH($G276,設定!$B$6:$B$21,0)),0))*60&gt;=設定!$C$46,ROUND(FLOOR(($M276-IFERROR(INDEX(設定!$G$6:$G$21,MATCH($G276,設定!$B$6:$B$21,0)),0))*60,設定!$C$47)/60,2),0))</f>
        <v/>
      </c>
      <c r="R276" s="16">
        <f>IF(OR($C276="",$Q276=0),"",IF($G276="國","國定假日",IF($B276="日","例假",IF($B276="六","休息日","平日"))))</f>
        <v/>
      </c>
      <c r="S276" s="18" t="n"/>
    </row>
    <row r="277">
      <c r="A277" s="86">
        <f>IF(OR(醫護長與管理部班表!$A13="",27&gt;DAY(EOMONTH(DATE(設定!$C$2,設定!$D$2,1),0))),"",DATE(設定!$C$2,設定!$D$2,27))</f>
        <v/>
      </c>
      <c r="B277" s="16">
        <f>IF($A277="","",INDEX(設定!$O$6:$O$12,WEEKDAY($A277,1)))</f>
        <v/>
      </c>
      <c r="C277" s="16">
        <f>IF($A277="","",醫護長與管理部班表!$A13)</f>
        <v/>
      </c>
      <c r="D277" s="16">
        <f>IF($C277="","",醫護長與管理部班表!$B13)</f>
        <v/>
      </c>
      <c r="E277" s="16">
        <f>IF($C277="","",醫護長與管理部班表!$D13)</f>
        <v/>
      </c>
      <c r="F277" s="16">
        <f>IF($C277="","",醫護長與管理部班表!$C13)</f>
        <v/>
      </c>
      <c r="G277" s="16">
        <f>IF($C277="","",醫護長與管理部班表!AE13)</f>
        <v/>
      </c>
      <c r="H277" s="87">
        <f>IF($G277="","",IFERROR(IF(INDEX(設定!$D$6:$D$21,MATCH($G277,設定!$B$6:$B$21,0))=0,"",INDEX(設定!$D$6:$D$21,MATCH($G277,設定!$B$6:$B$21,0))),""))</f>
        <v/>
      </c>
      <c r="I277" s="87">
        <f>IF($G277="","",IFERROR(IF(INDEX(設定!$E$6:$E$21,MATCH($G277,設定!$B$6:$B$21,0))=0,"",INDEX(設定!$E$6:$E$21,MATCH($G277,設定!$B$6:$B$21,0))),""))</f>
        <v/>
      </c>
      <c r="J277" s="87">
        <f>IFERROR(INDEX(打卡匯入!$C$3:$C$502,MATCH($C277&amp;"|"&amp;DAY($A277),打卡匯入!$E$3:$E$502,0)),"")</f>
        <v/>
      </c>
      <c r="K277" s="87">
        <f>IFERROR(INDEX(打卡匯入!$D$3:$D$502,MATCH($C277&amp;"|"&amp;DAY($A277),打卡匯入!$E$3:$E$502,0)),"")</f>
        <v/>
      </c>
      <c r="L277" s="88">
        <f>IF(OR($J277="",$K277=""),"",IFERROR(INDEX(設定!$F$6:$F$21,MATCH($G277,設定!$B$6:$B$21,0)),0))</f>
        <v/>
      </c>
      <c r="M277" s="89">
        <f>IF(OR($J277="",$K277=""),"",ROUND(($K277-$J277)*24-$L277/60,2))</f>
        <v/>
      </c>
      <c r="N277" s="16">
        <f>IF($C277="","",IF(AND(COUNTIF(設定!$B$15:$B$21,$G277)&gt;0,$J277&lt;&gt;""),"假日出勤",IF(AND(COUNTIF(設定!$B$6:$B$14,$G277)&gt;0,$J277=""),"未打卡",IF($J277="","",IF($O277&gt;0,"遲到",IF($P277&gt;0,"早退","正常"))))))</f>
        <v/>
      </c>
      <c r="O277" s="88">
        <f>IF(OR($C277="",$H277="",$J277=""),0,IF(ROUND(($J277-$H277)*1440,0)&gt;設定!$C$48,ROUND(($J277-$H277)*1440,0),0))</f>
        <v/>
      </c>
      <c r="P277" s="88">
        <f>IF(OR($C277="",$I277="",$K277=""),0,IF(ROUND(($I277-$K277)*1440,0)&gt;設定!$C$48,ROUND(($I277-$K277)*1440,0),0))</f>
        <v/>
      </c>
      <c r="Q277" s="89">
        <f>IF($M277="",0,IF(($M277-IFERROR(INDEX(設定!$G$6:$G$21,MATCH($G277,設定!$B$6:$B$21,0)),0))*60&gt;=設定!$C$46,ROUND(FLOOR(($M277-IFERROR(INDEX(設定!$G$6:$G$21,MATCH($G277,設定!$B$6:$B$21,0)),0))*60,設定!$C$47)/60,2),0))</f>
        <v/>
      </c>
      <c r="R277" s="16">
        <f>IF(OR($C277="",$Q277=0),"",IF($G277="國","國定假日",IF($B277="日","例假",IF($B277="六","休息日","平日"))))</f>
        <v/>
      </c>
      <c r="S277" s="18" t="n"/>
    </row>
    <row r="278">
      <c r="A278" s="86">
        <f>IF(OR(醫護長與管理部班表!$A13="",28&gt;DAY(EOMONTH(DATE(設定!$C$2,設定!$D$2,1),0))),"",DATE(設定!$C$2,設定!$D$2,28))</f>
        <v/>
      </c>
      <c r="B278" s="16">
        <f>IF($A278="","",INDEX(設定!$O$6:$O$12,WEEKDAY($A278,1)))</f>
        <v/>
      </c>
      <c r="C278" s="16">
        <f>IF($A278="","",醫護長與管理部班表!$A13)</f>
        <v/>
      </c>
      <c r="D278" s="16">
        <f>IF($C278="","",醫護長與管理部班表!$B13)</f>
        <v/>
      </c>
      <c r="E278" s="16">
        <f>IF($C278="","",醫護長與管理部班表!$D13)</f>
        <v/>
      </c>
      <c r="F278" s="16">
        <f>IF($C278="","",醫護長與管理部班表!$C13)</f>
        <v/>
      </c>
      <c r="G278" s="16">
        <f>IF($C278="","",醫護長與管理部班表!AF13)</f>
        <v/>
      </c>
      <c r="H278" s="87">
        <f>IF($G278="","",IFERROR(IF(INDEX(設定!$D$6:$D$21,MATCH($G278,設定!$B$6:$B$21,0))=0,"",INDEX(設定!$D$6:$D$21,MATCH($G278,設定!$B$6:$B$21,0))),""))</f>
        <v/>
      </c>
      <c r="I278" s="87">
        <f>IF($G278="","",IFERROR(IF(INDEX(設定!$E$6:$E$21,MATCH($G278,設定!$B$6:$B$21,0))=0,"",INDEX(設定!$E$6:$E$21,MATCH($G278,設定!$B$6:$B$21,0))),""))</f>
        <v/>
      </c>
      <c r="J278" s="87">
        <f>IFERROR(INDEX(打卡匯入!$C$3:$C$502,MATCH($C278&amp;"|"&amp;DAY($A278),打卡匯入!$E$3:$E$502,0)),"")</f>
        <v/>
      </c>
      <c r="K278" s="87">
        <f>IFERROR(INDEX(打卡匯入!$D$3:$D$502,MATCH($C278&amp;"|"&amp;DAY($A278),打卡匯入!$E$3:$E$502,0)),"")</f>
        <v/>
      </c>
      <c r="L278" s="88">
        <f>IF(OR($J278="",$K278=""),"",IFERROR(INDEX(設定!$F$6:$F$21,MATCH($G278,設定!$B$6:$B$21,0)),0))</f>
        <v/>
      </c>
      <c r="M278" s="89">
        <f>IF(OR($J278="",$K278=""),"",ROUND(($K278-$J278)*24-$L278/60,2))</f>
        <v/>
      </c>
      <c r="N278" s="16">
        <f>IF($C278="","",IF(AND(COUNTIF(設定!$B$15:$B$21,$G278)&gt;0,$J278&lt;&gt;""),"假日出勤",IF(AND(COUNTIF(設定!$B$6:$B$14,$G278)&gt;0,$J278=""),"未打卡",IF($J278="","",IF($O278&gt;0,"遲到",IF($P278&gt;0,"早退","正常"))))))</f>
        <v/>
      </c>
      <c r="O278" s="88">
        <f>IF(OR($C278="",$H278="",$J278=""),0,IF(ROUND(($J278-$H278)*1440,0)&gt;設定!$C$48,ROUND(($J278-$H278)*1440,0),0))</f>
        <v/>
      </c>
      <c r="P278" s="88">
        <f>IF(OR($C278="",$I278="",$K278=""),0,IF(ROUND(($I278-$K278)*1440,0)&gt;設定!$C$48,ROUND(($I278-$K278)*1440,0),0))</f>
        <v/>
      </c>
      <c r="Q278" s="89">
        <f>IF($M278="",0,IF(($M278-IFERROR(INDEX(設定!$G$6:$G$21,MATCH($G278,設定!$B$6:$B$21,0)),0))*60&gt;=設定!$C$46,ROUND(FLOOR(($M278-IFERROR(INDEX(設定!$G$6:$G$21,MATCH($G278,設定!$B$6:$B$21,0)),0))*60,設定!$C$47)/60,2),0))</f>
        <v/>
      </c>
      <c r="R278" s="16">
        <f>IF(OR($C278="",$Q278=0),"",IF($G278="國","國定假日",IF($B278="日","例假",IF($B278="六","休息日","平日"))))</f>
        <v/>
      </c>
      <c r="S278" s="18" t="n"/>
    </row>
    <row r="279">
      <c r="A279" s="86">
        <f>IF(OR(醫護長與管理部班表!$A13="",29&gt;DAY(EOMONTH(DATE(設定!$C$2,設定!$D$2,1),0))),"",DATE(設定!$C$2,設定!$D$2,29))</f>
        <v/>
      </c>
      <c r="B279" s="16">
        <f>IF($A279="","",INDEX(設定!$O$6:$O$12,WEEKDAY($A279,1)))</f>
        <v/>
      </c>
      <c r="C279" s="16">
        <f>IF($A279="","",醫護長與管理部班表!$A13)</f>
        <v/>
      </c>
      <c r="D279" s="16">
        <f>IF($C279="","",醫護長與管理部班表!$B13)</f>
        <v/>
      </c>
      <c r="E279" s="16">
        <f>IF($C279="","",醫護長與管理部班表!$D13)</f>
        <v/>
      </c>
      <c r="F279" s="16">
        <f>IF($C279="","",醫護長與管理部班表!$C13)</f>
        <v/>
      </c>
      <c r="G279" s="16">
        <f>IF($C279="","",醫護長與管理部班表!AG13)</f>
        <v/>
      </c>
      <c r="H279" s="87">
        <f>IF($G279="","",IFERROR(IF(INDEX(設定!$D$6:$D$21,MATCH($G279,設定!$B$6:$B$21,0))=0,"",INDEX(設定!$D$6:$D$21,MATCH($G279,設定!$B$6:$B$21,0))),""))</f>
        <v/>
      </c>
      <c r="I279" s="87">
        <f>IF($G279="","",IFERROR(IF(INDEX(設定!$E$6:$E$21,MATCH($G279,設定!$B$6:$B$21,0))=0,"",INDEX(設定!$E$6:$E$21,MATCH($G279,設定!$B$6:$B$21,0))),""))</f>
        <v/>
      </c>
      <c r="J279" s="87">
        <f>IFERROR(INDEX(打卡匯入!$C$3:$C$502,MATCH($C279&amp;"|"&amp;DAY($A279),打卡匯入!$E$3:$E$502,0)),"")</f>
        <v/>
      </c>
      <c r="K279" s="87">
        <f>IFERROR(INDEX(打卡匯入!$D$3:$D$502,MATCH($C279&amp;"|"&amp;DAY($A279),打卡匯入!$E$3:$E$502,0)),"")</f>
        <v/>
      </c>
      <c r="L279" s="88">
        <f>IF(OR($J279="",$K279=""),"",IFERROR(INDEX(設定!$F$6:$F$21,MATCH($G279,設定!$B$6:$B$21,0)),0))</f>
        <v/>
      </c>
      <c r="M279" s="89">
        <f>IF(OR($J279="",$K279=""),"",ROUND(($K279-$J279)*24-$L279/60,2))</f>
        <v/>
      </c>
      <c r="N279" s="16">
        <f>IF($C279="","",IF(AND(COUNTIF(設定!$B$15:$B$21,$G279)&gt;0,$J279&lt;&gt;""),"假日出勤",IF(AND(COUNTIF(設定!$B$6:$B$14,$G279)&gt;0,$J279=""),"未打卡",IF($J279="","",IF($O279&gt;0,"遲到",IF($P279&gt;0,"早退","正常"))))))</f>
        <v/>
      </c>
      <c r="O279" s="88">
        <f>IF(OR($C279="",$H279="",$J279=""),0,IF(ROUND(($J279-$H279)*1440,0)&gt;設定!$C$48,ROUND(($J279-$H279)*1440,0),0))</f>
        <v/>
      </c>
      <c r="P279" s="88">
        <f>IF(OR($C279="",$I279="",$K279=""),0,IF(ROUND(($I279-$K279)*1440,0)&gt;設定!$C$48,ROUND(($I279-$K279)*1440,0),0))</f>
        <v/>
      </c>
      <c r="Q279" s="89">
        <f>IF($M279="",0,IF(($M279-IFERROR(INDEX(設定!$G$6:$G$21,MATCH($G279,設定!$B$6:$B$21,0)),0))*60&gt;=設定!$C$46,ROUND(FLOOR(($M279-IFERROR(INDEX(設定!$G$6:$G$21,MATCH($G279,設定!$B$6:$B$21,0)),0))*60,設定!$C$47)/60,2),0))</f>
        <v/>
      </c>
      <c r="R279" s="16">
        <f>IF(OR($C279="",$Q279=0),"",IF($G279="國","國定假日",IF($B279="日","例假",IF($B279="六","休息日","平日"))))</f>
        <v/>
      </c>
      <c r="S279" s="18" t="n"/>
    </row>
    <row r="280">
      <c r="A280" s="86">
        <f>IF(OR(醫護長與管理部班表!$A13="",30&gt;DAY(EOMONTH(DATE(設定!$C$2,設定!$D$2,1),0))),"",DATE(設定!$C$2,設定!$D$2,30))</f>
        <v/>
      </c>
      <c r="B280" s="16">
        <f>IF($A280="","",INDEX(設定!$O$6:$O$12,WEEKDAY($A280,1)))</f>
        <v/>
      </c>
      <c r="C280" s="16">
        <f>IF($A280="","",醫護長與管理部班表!$A13)</f>
        <v/>
      </c>
      <c r="D280" s="16">
        <f>IF($C280="","",醫護長與管理部班表!$B13)</f>
        <v/>
      </c>
      <c r="E280" s="16">
        <f>IF($C280="","",醫護長與管理部班表!$D13)</f>
        <v/>
      </c>
      <c r="F280" s="16">
        <f>IF($C280="","",醫護長與管理部班表!$C13)</f>
        <v/>
      </c>
      <c r="G280" s="16">
        <f>IF($C280="","",醫護長與管理部班表!AH13)</f>
        <v/>
      </c>
      <c r="H280" s="87">
        <f>IF($G280="","",IFERROR(IF(INDEX(設定!$D$6:$D$21,MATCH($G280,設定!$B$6:$B$21,0))=0,"",INDEX(設定!$D$6:$D$21,MATCH($G280,設定!$B$6:$B$21,0))),""))</f>
        <v/>
      </c>
      <c r="I280" s="87">
        <f>IF($G280="","",IFERROR(IF(INDEX(設定!$E$6:$E$21,MATCH($G280,設定!$B$6:$B$21,0))=0,"",INDEX(設定!$E$6:$E$21,MATCH($G280,設定!$B$6:$B$21,0))),""))</f>
        <v/>
      </c>
      <c r="J280" s="87">
        <f>IFERROR(INDEX(打卡匯入!$C$3:$C$502,MATCH($C280&amp;"|"&amp;DAY($A280),打卡匯入!$E$3:$E$502,0)),"")</f>
        <v/>
      </c>
      <c r="K280" s="87">
        <f>IFERROR(INDEX(打卡匯入!$D$3:$D$502,MATCH($C280&amp;"|"&amp;DAY($A280),打卡匯入!$E$3:$E$502,0)),"")</f>
        <v/>
      </c>
      <c r="L280" s="88">
        <f>IF(OR($J280="",$K280=""),"",IFERROR(INDEX(設定!$F$6:$F$21,MATCH($G280,設定!$B$6:$B$21,0)),0))</f>
        <v/>
      </c>
      <c r="M280" s="89">
        <f>IF(OR($J280="",$K280=""),"",ROUND(($K280-$J280)*24-$L280/60,2))</f>
        <v/>
      </c>
      <c r="N280" s="16">
        <f>IF($C280="","",IF(AND(COUNTIF(設定!$B$15:$B$21,$G280)&gt;0,$J280&lt;&gt;""),"假日出勤",IF(AND(COUNTIF(設定!$B$6:$B$14,$G280)&gt;0,$J280=""),"未打卡",IF($J280="","",IF($O280&gt;0,"遲到",IF($P280&gt;0,"早退","正常"))))))</f>
        <v/>
      </c>
      <c r="O280" s="88">
        <f>IF(OR($C280="",$H280="",$J280=""),0,IF(ROUND(($J280-$H280)*1440,0)&gt;設定!$C$48,ROUND(($J280-$H280)*1440,0),0))</f>
        <v/>
      </c>
      <c r="P280" s="88">
        <f>IF(OR($C280="",$I280="",$K280=""),0,IF(ROUND(($I280-$K280)*1440,0)&gt;設定!$C$48,ROUND(($I280-$K280)*1440,0),0))</f>
        <v/>
      </c>
      <c r="Q280" s="89">
        <f>IF($M280="",0,IF(($M280-IFERROR(INDEX(設定!$G$6:$G$21,MATCH($G280,設定!$B$6:$B$21,0)),0))*60&gt;=設定!$C$46,ROUND(FLOOR(($M280-IFERROR(INDEX(設定!$G$6:$G$21,MATCH($G280,設定!$B$6:$B$21,0)),0))*60,設定!$C$47)/60,2),0))</f>
        <v/>
      </c>
      <c r="R280" s="16">
        <f>IF(OR($C280="",$Q280=0),"",IF($G280="國","國定假日",IF($B280="日","例假",IF($B280="六","休息日","平日"))))</f>
        <v/>
      </c>
      <c r="S280" s="18" t="n"/>
    </row>
    <row r="281">
      <c r="A281" s="86">
        <f>IF(OR(醫護長與管理部班表!$A13="",31&gt;DAY(EOMONTH(DATE(設定!$C$2,設定!$D$2,1),0))),"",DATE(設定!$C$2,設定!$D$2,31))</f>
        <v/>
      </c>
      <c r="B281" s="16">
        <f>IF($A281="","",INDEX(設定!$O$6:$O$12,WEEKDAY($A281,1)))</f>
        <v/>
      </c>
      <c r="C281" s="16">
        <f>IF($A281="","",醫護長與管理部班表!$A13)</f>
        <v/>
      </c>
      <c r="D281" s="16">
        <f>IF($C281="","",醫護長與管理部班表!$B13)</f>
        <v/>
      </c>
      <c r="E281" s="16">
        <f>IF($C281="","",醫護長與管理部班表!$D13)</f>
        <v/>
      </c>
      <c r="F281" s="16">
        <f>IF($C281="","",醫護長與管理部班表!$C13)</f>
        <v/>
      </c>
      <c r="G281" s="16">
        <f>IF($C281="","",醫護長與管理部班表!AI13)</f>
        <v/>
      </c>
      <c r="H281" s="87">
        <f>IF($G281="","",IFERROR(IF(INDEX(設定!$D$6:$D$21,MATCH($G281,設定!$B$6:$B$21,0))=0,"",INDEX(設定!$D$6:$D$21,MATCH($G281,設定!$B$6:$B$21,0))),""))</f>
        <v/>
      </c>
      <c r="I281" s="87">
        <f>IF($G281="","",IFERROR(IF(INDEX(設定!$E$6:$E$21,MATCH($G281,設定!$B$6:$B$21,0))=0,"",INDEX(設定!$E$6:$E$21,MATCH($G281,設定!$B$6:$B$21,0))),""))</f>
        <v/>
      </c>
      <c r="J281" s="87">
        <f>IFERROR(INDEX(打卡匯入!$C$3:$C$502,MATCH($C281&amp;"|"&amp;DAY($A281),打卡匯入!$E$3:$E$502,0)),"")</f>
        <v/>
      </c>
      <c r="K281" s="87">
        <f>IFERROR(INDEX(打卡匯入!$D$3:$D$502,MATCH($C281&amp;"|"&amp;DAY($A281),打卡匯入!$E$3:$E$502,0)),"")</f>
        <v/>
      </c>
      <c r="L281" s="88">
        <f>IF(OR($J281="",$K281=""),"",IFERROR(INDEX(設定!$F$6:$F$21,MATCH($G281,設定!$B$6:$B$21,0)),0))</f>
        <v/>
      </c>
      <c r="M281" s="89">
        <f>IF(OR($J281="",$K281=""),"",ROUND(($K281-$J281)*24-$L281/60,2))</f>
        <v/>
      </c>
      <c r="N281" s="16">
        <f>IF($C281="","",IF(AND(COUNTIF(設定!$B$15:$B$21,$G281)&gt;0,$J281&lt;&gt;""),"假日出勤",IF(AND(COUNTIF(設定!$B$6:$B$14,$G281)&gt;0,$J281=""),"未打卡",IF($J281="","",IF($O281&gt;0,"遲到",IF($P281&gt;0,"早退","正常"))))))</f>
        <v/>
      </c>
      <c r="O281" s="88">
        <f>IF(OR($C281="",$H281="",$J281=""),0,IF(ROUND(($J281-$H281)*1440,0)&gt;設定!$C$48,ROUND(($J281-$H281)*1440,0),0))</f>
        <v/>
      </c>
      <c r="P281" s="88">
        <f>IF(OR($C281="",$I281="",$K281=""),0,IF(ROUND(($I281-$K281)*1440,0)&gt;設定!$C$48,ROUND(($I281-$K281)*1440,0),0))</f>
        <v/>
      </c>
      <c r="Q281" s="89">
        <f>IF($M281="",0,IF(($M281-IFERROR(INDEX(設定!$G$6:$G$21,MATCH($G281,設定!$B$6:$B$21,0)),0))*60&gt;=設定!$C$46,ROUND(FLOOR(($M281-IFERROR(INDEX(設定!$G$6:$G$21,MATCH($G281,設定!$B$6:$B$21,0)),0))*60,設定!$C$47)/60,2),0))</f>
        <v/>
      </c>
      <c r="R281" s="16">
        <f>IF(OR($C281="",$Q281=0),"",IF($G281="國","國定假日",IF($B281="日","例假",IF($B281="六","休息日","平日"))))</f>
        <v/>
      </c>
      <c r="S281" s="18" t="n"/>
    </row>
    <row r="282">
      <c r="A282" s="86">
        <f>IF(OR(醫護長與管理部班表!$A14="",1&gt;DAY(EOMONTH(DATE(設定!$C$2,設定!$D$2,1),0))),"",DATE(設定!$C$2,設定!$D$2,1))</f>
        <v/>
      </c>
      <c r="B282" s="16">
        <f>IF($A282="","",INDEX(設定!$O$6:$O$12,WEEKDAY($A282,1)))</f>
        <v/>
      </c>
      <c r="C282" s="16">
        <f>IF($A282="","",醫護長與管理部班表!$A14)</f>
        <v/>
      </c>
      <c r="D282" s="16">
        <f>IF($C282="","",醫護長與管理部班表!$B14)</f>
        <v/>
      </c>
      <c r="E282" s="16">
        <f>IF($C282="","",醫護長與管理部班表!$D14)</f>
        <v/>
      </c>
      <c r="F282" s="16">
        <f>IF($C282="","",醫護長與管理部班表!$C14)</f>
        <v/>
      </c>
      <c r="G282" s="16">
        <f>IF($C282="","",醫護長與管理部班表!E14)</f>
        <v/>
      </c>
      <c r="H282" s="87">
        <f>IF($G282="","",IFERROR(IF(INDEX(設定!$D$6:$D$21,MATCH($G282,設定!$B$6:$B$21,0))=0,"",INDEX(設定!$D$6:$D$21,MATCH($G282,設定!$B$6:$B$21,0))),""))</f>
        <v/>
      </c>
      <c r="I282" s="87">
        <f>IF($G282="","",IFERROR(IF(INDEX(設定!$E$6:$E$21,MATCH($G282,設定!$B$6:$B$21,0))=0,"",INDEX(設定!$E$6:$E$21,MATCH($G282,設定!$B$6:$B$21,0))),""))</f>
        <v/>
      </c>
      <c r="J282" s="87">
        <f>IFERROR(INDEX(打卡匯入!$C$3:$C$502,MATCH($C282&amp;"|"&amp;DAY($A282),打卡匯入!$E$3:$E$502,0)),"")</f>
        <v/>
      </c>
      <c r="K282" s="87">
        <f>IFERROR(INDEX(打卡匯入!$D$3:$D$502,MATCH($C282&amp;"|"&amp;DAY($A282),打卡匯入!$E$3:$E$502,0)),"")</f>
        <v/>
      </c>
      <c r="L282" s="88">
        <f>IF(OR($J282="",$K282=""),"",IFERROR(INDEX(設定!$F$6:$F$21,MATCH($G282,設定!$B$6:$B$21,0)),0))</f>
        <v/>
      </c>
      <c r="M282" s="89">
        <f>IF(OR($J282="",$K282=""),"",ROUND(($K282-$J282)*24-$L282/60,2))</f>
        <v/>
      </c>
      <c r="N282" s="16">
        <f>IF($C282="","",IF(AND(COUNTIF(設定!$B$15:$B$21,$G282)&gt;0,$J282&lt;&gt;""),"假日出勤",IF(AND(COUNTIF(設定!$B$6:$B$14,$G282)&gt;0,$J282=""),"未打卡",IF($J282="","",IF($O282&gt;0,"遲到",IF($P282&gt;0,"早退","正常"))))))</f>
        <v/>
      </c>
      <c r="O282" s="88">
        <f>IF(OR($C282="",$H282="",$J282=""),0,IF(ROUND(($J282-$H282)*1440,0)&gt;設定!$C$48,ROUND(($J282-$H282)*1440,0),0))</f>
        <v/>
      </c>
      <c r="P282" s="88">
        <f>IF(OR($C282="",$I282="",$K282=""),0,IF(ROUND(($I282-$K282)*1440,0)&gt;設定!$C$48,ROUND(($I282-$K282)*1440,0),0))</f>
        <v/>
      </c>
      <c r="Q282" s="89">
        <f>IF($M282="",0,IF(($M282-IFERROR(INDEX(設定!$G$6:$G$21,MATCH($G282,設定!$B$6:$B$21,0)),0))*60&gt;=設定!$C$46,ROUND(FLOOR(($M282-IFERROR(INDEX(設定!$G$6:$G$21,MATCH($G282,設定!$B$6:$B$21,0)),0))*60,設定!$C$47)/60,2),0))</f>
        <v/>
      </c>
      <c r="R282" s="16">
        <f>IF(OR($C282="",$Q282=0),"",IF($G282="國","國定假日",IF($B282="日","例假",IF($B282="六","休息日","平日"))))</f>
        <v/>
      </c>
      <c r="S282" s="18" t="n"/>
    </row>
    <row r="283">
      <c r="A283" s="86">
        <f>IF(OR(醫護長與管理部班表!$A14="",2&gt;DAY(EOMONTH(DATE(設定!$C$2,設定!$D$2,1),0))),"",DATE(設定!$C$2,設定!$D$2,2))</f>
        <v/>
      </c>
      <c r="B283" s="16">
        <f>IF($A283="","",INDEX(設定!$O$6:$O$12,WEEKDAY($A283,1)))</f>
        <v/>
      </c>
      <c r="C283" s="16">
        <f>IF($A283="","",醫護長與管理部班表!$A14)</f>
        <v/>
      </c>
      <c r="D283" s="16">
        <f>IF($C283="","",醫護長與管理部班表!$B14)</f>
        <v/>
      </c>
      <c r="E283" s="16">
        <f>IF($C283="","",醫護長與管理部班表!$D14)</f>
        <v/>
      </c>
      <c r="F283" s="16">
        <f>IF($C283="","",醫護長與管理部班表!$C14)</f>
        <v/>
      </c>
      <c r="G283" s="16">
        <f>IF($C283="","",醫護長與管理部班表!F14)</f>
        <v/>
      </c>
      <c r="H283" s="87">
        <f>IF($G283="","",IFERROR(IF(INDEX(設定!$D$6:$D$21,MATCH($G283,設定!$B$6:$B$21,0))=0,"",INDEX(設定!$D$6:$D$21,MATCH($G283,設定!$B$6:$B$21,0))),""))</f>
        <v/>
      </c>
      <c r="I283" s="87">
        <f>IF($G283="","",IFERROR(IF(INDEX(設定!$E$6:$E$21,MATCH($G283,設定!$B$6:$B$21,0))=0,"",INDEX(設定!$E$6:$E$21,MATCH($G283,設定!$B$6:$B$21,0))),""))</f>
        <v/>
      </c>
      <c r="J283" s="87">
        <f>IFERROR(INDEX(打卡匯入!$C$3:$C$502,MATCH($C283&amp;"|"&amp;DAY($A283),打卡匯入!$E$3:$E$502,0)),"")</f>
        <v/>
      </c>
      <c r="K283" s="87">
        <f>IFERROR(INDEX(打卡匯入!$D$3:$D$502,MATCH($C283&amp;"|"&amp;DAY($A283),打卡匯入!$E$3:$E$502,0)),"")</f>
        <v/>
      </c>
      <c r="L283" s="88">
        <f>IF(OR($J283="",$K283=""),"",IFERROR(INDEX(設定!$F$6:$F$21,MATCH($G283,設定!$B$6:$B$21,0)),0))</f>
        <v/>
      </c>
      <c r="M283" s="89">
        <f>IF(OR($J283="",$K283=""),"",ROUND(($K283-$J283)*24-$L283/60,2))</f>
        <v/>
      </c>
      <c r="N283" s="16">
        <f>IF($C283="","",IF(AND(COUNTIF(設定!$B$15:$B$21,$G283)&gt;0,$J283&lt;&gt;""),"假日出勤",IF(AND(COUNTIF(設定!$B$6:$B$14,$G283)&gt;0,$J283=""),"未打卡",IF($J283="","",IF($O283&gt;0,"遲到",IF($P283&gt;0,"早退","正常"))))))</f>
        <v/>
      </c>
      <c r="O283" s="88">
        <f>IF(OR($C283="",$H283="",$J283=""),0,IF(ROUND(($J283-$H283)*1440,0)&gt;設定!$C$48,ROUND(($J283-$H283)*1440,0),0))</f>
        <v/>
      </c>
      <c r="P283" s="88">
        <f>IF(OR($C283="",$I283="",$K283=""),0,IF(ROUND(($I283-$K283)*1440,0)&gt;設定!$C$48,ROUND(($I283-$K283)*1440,0),0))</f>
        <v/>
      </c>
      <c r="Q283" s="89">
        <f>IF($M283="",0,IF(($M283-IFERROR(INDEX(設定!$G$6:$G$21,MATCH($G283,設定!$B$6:$B$21,0)),0))*60&gt;=設定!$C$46,ROUND(FLOOR(($M283-IFERROR(INDEX(設定!$G$6:$G$21,MATCH($G283,設定!$B$6:$B$21,0)),0))*60,設定!$C$47)/60,2),0))</f>
        <v/>
      </c>
      <c r="R283" s="16">
        <f>IF(OR($C283="",$Q283=0),"",IF($G283="國","國定假日",IF($B283="日","例假",IF($B283="六","休息日","平日"))))</f>
        <v/>
      </c>
      <c r="S283" s="18" t="n"/>
    </row>
    <row r="284">
      <c r="A284" s="86">
        <f>IF(OR(醫護長與管理部班表!$A14="",3&gt;DAY(EOMONTH(DATE(設定!$C$2,設定!$D$2,1),0))),"",DATE(設定!$C$2,設定!$D$2,3))</f>
        <v/>
      </c>
      <c r="B284" s="16">
        <f>IF($A284="","",INDEX(設定!$O$6:$O$12,WEEKDAY($A284,1)))</f>
        <v/>
      </c>
      <c r="C284" s="16">
        <f>IF($A284="","",醫護長與管理部班表!$A14)</f>
        <v/>
      </c>
      <c r="D284" s="16">
        <f>IF($C284="","",醫護長與管理部班表!$B14)</f>
        <v/>
      </c>
      <c r="E284" s="16">
        <f>IF($C284="","",醫護長與管理部班表!$D14)</f>
        <v/>
      </c>
      <c r="F284" s="16">
        <f>IF($C284="","",醫護長與管理部班表!$C14)</f>
        <v/>
      </c>
      <c r="G284" s="16">
        <f>IF($C284="","",醫護長與管理部班表!G14)</f>
        <v/>
      </c>
      <c r="H284" s="87">
        <f>IF($G284="","",IFERROR(IF(INDEX(設定!$D$6:$D$21,MATCH($G284,設定!$B$6:$B$21,0))=0,"",INDEX(設定!$D$6:$D$21,MATCH($G284,設定!$B$6:$B$21,0))),""))</f>
        <v/>
      </c>
      <c r="I284" s="87">
        <f>IF($G284="","",IFERROR(IF(INDEX(設定!$E$6:$E$21,MATCH($G284,設定!$B$6:$B$21,0))=0,"",INDEX(設定!$E$6:$E$21,MATCH($G284,設定!$B$6:$B$21,0))),""))</f>
        <v/>
      </c>
      <c r="J284" s="87">
        <f>IFERROR(INDEX(打卡匯入!$C$3:$C$502,MATCH($C284&amp;"|"&amp;DAY($A284),打卡匯入!$E$3:$E$502,0)),"")</f>
        <v/>
      </c>
      <c r="K284" s="87">
        <f>IFERROR(INDEX(打卡匯入!$D$3:$D$502,MATCH($C284&amp;"|"&amp;DAY($A284),打卡匯入!$E$3:$E$502,0)),"")</f>
        <v/>
      </c>
      <c r="L284" s="88">
        <f>IF(OR($J284="",$K284=""),"",IFERROR(INDEX(設定!$F$6:$F$21,MATCH($G284,設定!$B$6:$B$21,0)),0))</f>
        <v/>
      </c>
      <c r="M284" s="89">
        <f>IF(OR($J284="",$K284=""),"",ROUND(($K284-$J284)*24-$L284/60,2))</f>
        <v/>
      </c>
      <c r="N284" s="16">
        <f>IF($C284="","",IF(AND(COUNTIF(設定!$B$15:$B$21,$G284)&gt;0,$J284&lt;&gt;""),"假日出勤",IF(AND(COUNTIF(設定!$B$6:$B$14,$G284)&gt;0,$J284=""),"未打卡",IF($J284="","",IF($O284&gt;0,"遲到",IF($P284&gt;0,"早退","正常"))))))</f>
        <v/>
      </c>
      <c r="O284" s="88">
        <f>IF(OR($C284="",$H284="",$J284=""),0,IF(ROUND(($J284-$H284)*1440,0)&gt;設定!$C$48,ROUND(($J284-$H284)*1440,0),0))</f>
        <v/>
      </c>
      <c r="P284" s="88">
        <f>IF(OR($C284="",$I284="",$K284=""),0,IF(ROUND(($I284-$K284)*1440,0)&gt;設定!$C$48,ROUND(($I284-$K284)*1440,0),0))</f>
        <v/>
      </c>
      <c r="Q284" s="89">
        <f>IF($M284="",0,IF(($M284-IFERROR(INDEX(設定!$G$6:$G$21,MATCH($G284,設定!$B$6:$B$21,0)),0))*60&gt;=設定!$C$46,ROUND(FLOOR(($M284-IFERROR(INDEX(設定!$G$6:$G$21,MATCH($G284,設定!$B$6:$B$21,0)),0))*60,設定!$C$47)/60,2),0))</f>
        <v/>
      </c>
      <c r="R284" s="16">
        <f>IF(OR($C284="",$Q284=0),"",IF($G284="國","國定假日",IF($B284="日","例假",IF($B284="六","休息日","平日"))))</f>
        <v/>
      </c>
      <c r="S284" s="18" t="n"/>
    </row>
    <row r="285">
      <c r="A285" s="86">
        <f>IF(OR(醫護長與管理部班表!$A14="",4&gt;DAY(EOMONTH(DATE(設定!$C$2,設定!$D$2,1),0))),"",DATE(設定!$C$2,設定!$D$2,4))</f>
        <v/>
      </c>
      <c r="B285" s="16">
        <f>IF($A285="","",INDEX(設定!$O$6:$O$12,WEEKDAY($A285,1)))</f>
        <v/>
      </c>
      <c r="C285" s="16">
        <f>IF($A285="","",醫護長與管理部班表!$A14)</f>
        <v/>
      </c>
      <c r="D285" s="16">
        <f>IF($C285="","",醫護長與管理部班表!$B14)</f>
        <v/>
      </c>
      <c r="E285" s="16">
        <f>IF($C285="","",醫護長與管理部班表!$D14)</f>
        <v/>
      </c>
      <c r="F285" s="16">
        <f>IF($C285="","",醫護長與管理部班表!$C14)</f>
        <v/>
      </c>
      <c r="G285" s="16">
        <f>IF($C285="","",醫護長與管理部班表!H14)</f>
        <v/>
      </c>
      <c r="H285" s="87">
        <f>IF($G285="","",IFERROR(IF(INDEX(設定!$D$6:$D$21,MATCH($G285,設定!$B$6:$B$21,0))=0,"",INDEX(設定!$D$6:$D$21,MATCH($G285,設定!$B$6:$B$21,0))),""))</f>
        <v/>
      </c>
      <c r="I285" s="87">
        <f>IF($G285="","",IFERROR(IF(INDEX(設定!$E$6:$E$21,MATCH($G285,設定!$B$6:$B$21,0))=0,"",INDEX(設定!$E$6:$E$21,MATCH($G285,設定!$B$6:$B$21,0))),""))</f>
        <v/>
      </c>
      <c r="J285" s="87">
        <f>IFERROR(INDEX(打卡匯入!$C$3:$C$502,MATCH($C285&amp;"|"&amp;DAY($A285),打卡匯入!$E$3:$E$502,0)),"")</f>
        <v/>
      </c>
      <c r="K285" s="87">
        <f>IFERROR(INDEX(打卡匯入!$D$3:$D$502,MATCH($C285&amp;"|"&amp;DAY($A285),打卡匯入!$E$3:$E$502,0)),"")</f>
        <v/>
      </c>
      <c r="L285" s="88">
        <f>IF(OR($J285="",$K285=""),"",IFERROR(INDEX(設定!$F$6:$F$21,MATCH($G285,設定!$B$6:$B$21,0)),0))</f>
        <v/>
      </c>
      <c r="M285" s="89">
        <f>IF(OR($J285="",$K285=""),"",ROUND(($K285-$J285)*24-$L285/60,2))</f>
        <v/>
      </c>
      <c r="N285" s="16">
        <f>IF($C285="","",IF(AND(COUNTIF(設定!$B$15:$B$21,$G285)&gt;0,$J285&lt;&gt;""),"假日出勤",IF(AND(COUNTIF(設定!$B$6:$B$14,$G285)&gt;0,$J285=""),"未打卡",IF($J285="","",IF($O285&gt;0,"遲到",IF($P285&gt;0,"早退","正常"))))))</f>
        <v/>
      </c>
      <c r="O285" s="88">
        <f>IF(OR($C285="",$H285="",$J285=""),0,IF(ROUND(($J285-$H285)*1440,0)&gt;設定!$C$48,ROUND(($J285-$H285)*1440,0),0))</f>
        <v/>
      </c>
      <c r="P285" s="88">
        <f>IF(OR($C285="",$I285="",$K285=""),0,IF(ROUND(($I285-$K285)*1440,0)&gt;設定!$C$48,ROUND(($I285-$K285)*1440,0),0))</f>
        <v/>
      </c>
      <c r="Q285" s="89">
        <f>IF($M285="",0,IF(($M285-IFERROR(INDEX(設定!$G$6:$G$21,MATCH($G285,設定!$B$6:$B$21,0)),0))*60&gt;=設定!$C$46,ROUND(FLOOR(($M285-IFERROR(INDEX(設定!$G$6:$G$21,MATCH($G285,設定!$B$6:$B$21,0)),0))*60,設定!$C$47)/60,2),0))</f>
        <v/>
      </c>
      <c r="R285" s="16">
        <f>IF(OR($C285="",$Q285=0),"",IF($G285="國","國定假日",IF($B285="日","例假",IF($B285="六","休息日","平日"))))</f>
        <v/>
      </c>
      <c r="S285" s="18" t="n"/>
    </row>
    <row r="286">
      <c r="A286" s="86">
        <f>IF(OR(醫護長與管理部班表!$A14="",5&gt;DAY(EOMONTH(DATE(設定!$C$2,設定!$D$2,1),0))),"",DATE(設定!$C$2,設定!$D$2,5))</f>
        <v/>
      </c>
      <c r="B286" s="16">
        <f>IF($A286="","",INDEX(設定!$O$6:$O$12,WEEKDAY($A286,1)))</f>
        <v/>
      </c>
      <c r="C286" s="16">
        <f>IF($A286="","",醫護長與管理部班表!$A14)</f>
        <v/>
      </c>
      <c r="D286" s="16">
        <f>IF($C286="","",醫護長與管理部班表!$B14)</f>
        <v/>
      </c>
      <c r="E286" s="16">
        <f>IF($C286="","",醫護長與管理部班表!$D14)</f>
        <v/>
      </c>
      <c r="F286" s="16">
        <f>IF($C286="","",醫護長與管理部班表!$C14)</f>
        <v/>
      </c>
      <c r="G286" s="16">
        <f>IF($C286="","",醫護長與管理部班表!I14)</f>
        <v/>
      </c>
      <c r="H286" s="87">
        <f>IF($G286="","",IFERROR(IF(INDEX(設定!$D$6:$D$21,MATCH($G286,設定!$B$6:$B$21,0))=0,"",INDEX(設定!$D$6:$D$21,MATCH($G286,設定!$B$6:$B$21,0))),""))</f>
        <v/>
      </c>
      <c r="I286" s="87">
        <f>IF($G286="","",IFERROR(IF(INDEX(設定!$E$6:$E$21,MATCH($G286,設定!$B$6:$B$21,0))=0,"",INDEX(設定!$E$6:$E$21,MATCH($G286,設定!$B$6:$B$21,0))),""))</f>
        <v/>
      </c>
      <c r="J286" s="87">
        <f>IFERROR(INDEX(打卡匯入!$C$3:$C$502,MATCH($C286&amp;"|"&amp;DAY($A286),打卡匯入!$E$3:$E$502,0)),"")</f>
        <v/>
      </c>
      <c r="K286" s="87">
        <f>IFERROR(INDEX(打卡匯入!$D$3:$D$502,MATCH($C286&amp;"|"&amp;DAY($A286),打卡匯入!$E$3:$E$502,0)),"")</f>
        <v/>
      </c>
      <c r="L286" s="88">
        <f>IF(OR($J286="",$K286=""),"",IFERROR(INDEX(設定!$F$6:$F$21,MATCH($G286,設定!$B$6:$B$21,0)),0))</f>
        <v/>
      </c>
      <c r="M286" s="89">
        <f>IF(OR($J286="",$K286=""),"",ROUND(($K286-$J286)*24-$L286/60,2))</f>
        <v/>
      </c>
      <c r="N286" s="16">
        <f>IF($C286="","",IF(AND(COUNTIF(設定!$B$15:$B$21,$G286)&gt;0,$J286&lt;&gt;""),"假日出勤",IF(AND(COUNTIF(設定!$B$6:$B$14,$G286)&gt;0,$J286=""),"未打卡",IF($J286="","",IF($O286&gt;0,"遲到",IF($P286&gt;0,"早退","正常"))))))</f>
        <v/>
      </c>
      <c r="O286" s="88">
        <f>IF(OR($C286="",$H286="",$J286=""),0,IF(ROUND(($J286-$H286)*1440,0)&gt;設定!$C$48,ROUND(($J286-$H286)*1440,0),0))</f>
        <v/>
      </c>
      <c r="P286" s="88">
        <f>IF(OR($C286="",$I286="",$K286=""),0,IF(ROUND(($I286-$K286)*1440,0)&gt;設定!$C$48,ROUND(($I286-$K286)*1440,0),0))</f>
        <v/>
      </c>
      <c r="Q286" s="89">
        <f>IF($M286="",0,IF(($M286-IFERROR(INDEX(設定!$G$6:$G$21,MATCH($G286,設定!$B$6:$B$21,0)),0))*60&gt;=設定!$C$46,ROUND(FLOOR(($M286-IFERROR(INDEX(設定!$G$6:$G$21,MATCH($G286,設定!$B$6:$B$21,0)),0))*60,設定!$C$47)/60,2),0))</f>
        <v/>
      </c>
      <c r="R286" s="16">
        <f>IF(OR($C286="",$Q286=0),"",IF($G286="國","國定假日",IF($B286="日","例假",IF($B286="六","休息日","平日"))))</f>
        <v/>
      </c>
      <c r="S286" s="18" t="n"/>
    </row>
    <row r="287">
      <c r="A287" s="86">
        <f>IF(OR(醫護長與管理部班表!$A14="",6&gt;DAY(EOMONTH(DATE(設定!$C$2,設定!$D$2,1),0))),"",DATE(設定!$C$2,設定!$D$2,6))</f>
        <v/>
      </c>
      <c r="B287" s="16">
        <f>IF($A287="","",INDEX(設定!$O$6:$O$12,WEEKDAY($A287,1)))</f>
        <v/>
      </c>
      <c r="C287" s="16">
        <f>IF($A287="","",醫護長與管理部班表!$A14)</f>
        <v/>
      </c>
      <c r="D287" s="16">
        <f>IF($C287="","",醫護長與管理部班表!$B14)</f>
        <v/>
      </c>
      <c r="E287" s="16">
        <f>IF($C287="","",醫護長與管理部班表!$D14)</f>
        <v/>
      </c>
      <c r="F287" s="16">
        <f>IF($C287="","",醫護長與管理部班表!$C14)</f>
        <v/>
      </c>
      <c r="G287" s="16">
        <f>IF($C287="","",醫護長與管理部班表!J14)</f>
        <v/>
      </c>
      <c r="H287" s="87">
        <f>IF($G287="","",IFERROR(IF(INDEX(設定!$D$6:$D$21,MATCH($G287,設定!$B$6:$B$21,0))=0,"",INDEX(設定!$D$6:$D$21,MATCH($G287,設定!$B$6:$B$21,0))),""))</f>
        <v/>
      </c>
      <c r="I287" s="87">
        <f>IF($G287="","",IFERROR(IF(INDEX(設定!$E$6:$E$21,MATCH($G287,設定!$B$6:$B$21,0))=0,"",INDEX(設定!$E$6:$E$21,MATCH($G287,設定!$B$6:$B$21,0))),""))</f>
        <v/>
      </c>
      <c r="J287" s="87">
        <f>IFERROR(INDEX(打卡匯入!$C$3:$C$502,MATCH($C287&amp;"|"&amp;DAY($A287),打卡匯入!$E$3:$E$502,0)),"")</f>
        <v/>
      </c>
      <c r="K287" s="87">
        <f>IFERROR(INDEX(打卡匯入!$D$3:$D$502,MATCH($C287&amp;"|"&amp;DAY($A287),打卡匯入!$E$3:$E$502,0)),"")</f>
        <v/>
      </c>
      <c r="L287" s="88">
        <f>IF(OR($J287="",$K287=""),"",IFERROR(INDEX(設定!$F$6:$F$21,MATCH($G287,設定!$B$6:$B$21,0)),0))</f>
        <v/>
      </c>
      <c r="M287" s="89">
        <f>IF(OR($J287="",$K287=""),"",ROUND(($K287-$J287)*24-$L287/60,2))</f>
        <v/>
      </c>
      <c r="N287" s="16">
        <f>IF($C287="","",IF(AND(COUNTIF(設定!$B$15:$B$21,$G287)&gt;0,$J287&lt;&gt;""),"假日出勤",IF(AND(COUNTIF(設定!$B$6:$B$14,$G287)&gt;0,$J287=""),"未打卡",IF($J287="","",IF($O287&gt;0,"遲到",IF($P287&gt;0,"早退","正常"))))))</f>
        <v/>
      </c>
      <c r="O287" s="88">
        <f>IF(OR($C287="",$H287="",$J287=""),0,IF(ROUND(($J287-$H287)*1440,0)&gt;設定!$C$48,ROUND(($J287-$H287)*1440,0),0))</f>
        <v/>
      </c>
      <c r="P287" s="88">
        <f>IF(OR($C287="",$I287="",$K287=""),0,IF(ROUND(($I287-$K287)*1440,0)&gt;設定!$C$48,ROUND(($I287-$K287)*1440,0),0))</f>
        <v/>
      </c>
      <c r="Q287" s="89">
        <f>IF($M287="",0,IF(($M287-IFERROR(INDEX(設定!$G$6:$G$21,MATCH($G287,設定!$B$6:$B$21,0)),0))*60&gt;=設定!$C$46,ROUND(FLOOR(($M287-IFERROR(INDEX(設定!$G$6:$G$21,MATCH($G287,設定!$B$6:$B$21,0)),0))*60,設定!$C$47)/60,2),0))</f>
        <v/>
      </c>
      <c r="R287" s="16">
        <f>IF(OR($C287="",$Q287=0),"",IF($G287="國","國定假日",IF($B287="日","例假",IF($B287="六","休息日","平日"))))</f>
        <v/>
      </c>
      <c r="S287" s="18" t="n"/>
    </row>
    <row r="288">
      <c r="A288" s="86">
        <f>IF(OR(醫護長與管理部班表!$A14="",7&gt;DAY(EOMONTH(DATE(設定!$C$2,設定!$D$2,1),0))),"",DATE(設定!$C$2,設定!$D$2,7))</f>
        <v/>
      </c>
      <c r="B288" s="16">
        <f>IF($A288="","",INDEX(設定!$O$6:$O$12,WEEKDAY($A288,1)))</f>
        <v/>
      </c>
      <c r="C288" s="16">
        <f>IF($A288="","",醫護長與管理部班表!$A14)</f>
        <v/>
      </c>
      <c r="D288" s="16">
        <f>IF($C288="","",醫護長與管理部班表!$B14)</f>
        <v/>
      </c>
      <c r="E288" s="16">
        <f>IF($C288="","",醫護長與管理部班表!$D14)</f>
        <v/>
      </c>
      <c r="F288" s="16">
        <f>IF($C288="","",醫護長與管理部班表!$C14)</f>
        <v/>
      </c>
      <c r="G288" s="16">
        <f>IF($C288="","",醫護長與管理部班表!K14)</f>
        <v/>
      </c>
      <c r="H288" s="87">
        <f>IF($G288="","",IFERROR(IF(INDEX(設定!$D$6:$D$21,MATCH($G288,設定!$B$6:$B$21,0))=0,"",INDEX(設定!$D$6:$D$21,MATCH($G288,設定!$B$6:$B$21,0))),""))</f>
        <v/>
      </c>
      <c r="I288" s="87">
        <f>IF($G288="","",IFERROR(IF(INDEX(設定!$E$6:$E$21,MATCH($G288,設定!$B$6:$B$21,0))=0,"",INDEX(設定!$E$6:$E$21,MATCH($G288,設定!$B$6:$B$21,0))),""))</f>
        <v/>
      </c>
      <c r="J288" s="87">
        <f>IFERROR(INDEX(打卡匯入!$C$3:$C$502,MATCH($C288&amp;"|"&amp;DAY($A288),打卡匯入!$E$3:$E$502,0)),"")</f>
        <v/>
      </c>
      <c r="K288" s="87">
        <f>IFERROR(INDEX(打卡匯入!$D$3:$D$502,MATCH($C288&amp;"|"&amp;DAY($A288),打卡匯入!$E$3:$E$502,0)),"")</f>
        <v/>
      </c>
      <c r="L288" s="88">
        <f>IF(OR($J288="",$K288=""),"",IFERROR(INDEX(設定!$F$6:$F$21,MATCH($G288,設定!$B$6:$B$21,0)),0))</f>
        <v/>
      </c>
      <c r="M288" s="89">
        <f>IF(OR($J288="",$K288=""),"",ROUND(($K288-$J288)*24-$L288/60,2))</f>
        <v/>
      </c>
      <c r="N288" s="16">
        <f>IF($C288="","",IF(AND(COUNTIF(設定!$B$15:$B$21,$G288)&gt;0,$J288&lt;&gt;""),"假日出勤",IF(AND(COUNTIF(設定!$B$6:$B$14,$G288)&gt;0,$J288=""),"未打卡",IF($J288="","",IF($O288&gt;0,"遲到",IF($P288&gt;0,"早退","正常"))))))</f>
        <v/>
      </c>
      <c r="O288" s="88">
        <f>IF(OR($C288="",$H288="",$J288=""),0,IF(ROUND(($J288-$H288)*1440,0)&gt;設定!$C$48,ROUND(($J288-$H288)*1440,0),0))</f>
        <v/>
      </c>
      <c r="P288" s="88">
        <f>IF(OR($C288="",$I288="",$K288=""),0,IF(ROUND(($I288-$K288)*1440,0)&gt;設定!$C$48,ROUND(($I288-$K288)*1440,0),0))</f>
        <v/>
      </c>
      <c r="Q288" s="89">
        <f>IF($M288="",0,IF(($M288-IFERROR(INDEX(設定!$G$6:$G$21,MATCH($G288,設定!$B$6:$B$21,0)),0))*60&gt;=設定!$C$46,ROUND(FLOOR(($M288-IFERROR(INDEX(設定!$G$6:$G$21,MATCH($G288,設定!$B$6:$B$21,0)),0))*60,設定!$C$47)/60,2),0))</f>
        <v/>
      </c>
      <c r="R288" s="16">
        <f>IF(OR($C288="",$Q288=0),"",IF($G288="國","國定假日",IF($B288="日","例假",IF($B288="六","休息日","平日"))))</f>
        <v/>
      </c>
      <c r="S288" s="18" t="n"/>
    </row>
    <row r="289">
      <c r="A289" s="86">
        <f>IF(OR(醫護長與管理部班表!$A14="",8&gt;DAY(EOMONTH(DATE(設定!$C$2,設定!$D$2,1),0))),"",DATE(設定!$C$2,設定!$D$2,8))</f>
        <v/>
      </c>
      <c r="B289" s="16">
        <f>IF($A289="","",INDEX(設定!$O$6:$O$12,WEEKDAY($A289,1)))</f>
        <v/>
      </c>
      <c r="C289" s="16">
        <f>IF($A289="","",醫護長與管理部班表!$A14)</f>
        <v/>
      </c>
      <c r="D289" s="16">
        <f>IF($C289="","",醫護長與管理部班表!$B14)</f>
        <v/>
      </c>
      <c r="E289" s="16">
        <f>IF($C289="","",醫護長與管理部班表!$D14)</f>
        <v/>
      </c>
      <c r="F289" s="16">
        <f>IF($C289="","",醫護長與管理部班表!$C14)</f>
        <v/>
      </c>
      <c r="G289" s="16">
        <f>IF($C289="","",醫護長與管理部班表!L14)</f>
        <v/>
      </c>
      <c r="H289" s="87">
        <f>IF($G289="","",IFERROR(IF(INDEX(設定!$D$6:$D$21,MATCH($G289,設定!$B$6:$B$21,0))=0,"",INDEX(設定!$D$6:$D$21,MATCH($G289,設定!$B$6:$B$21,0))),""))</f>
        <v/>
      </c>
      <c r="I289" s="87">
        <f>IF($G289="","",IFERROR(IF(INDEX(設定!$E$6:$E$21,MATCH($G289,設定!$B$6:$B$21,0))=0,"",INDEX(設定!$E$6:$E$21,MATCH($G289,設定!$B$6:$B$21,0))),""))</f>
        <v/>
      </c>
      <c r="J289" s="87">
        <f>IFERROR(INDEX(打卡匯入!$C$3:$C$502,MATCH($C289&amp;"|"&amp;DAY($A289),打卡匯入!$E$3:$E$502,0)),"")</f>
        <v/>
      </c>
      <c r="K289" s="87">
        <f>IFERROR(INDEX(打卡匯入!$D$3:$D$502,MATCH($C289&amp;"|"&amp;DAY($A289),打卡匯入!$E$3:$E$502,0)),"")</f>
        <v/>
      </c>
      <c r="L289" s="88">
        <f>IF(OR($J289="",$K289=""),"",IFERROR(INDEX(設定!$F$6:$F$21,MATCH($G289,設定!$B$6:$B$21,0)),0))</f>
        <v/>
      </c>
      <c r="M289" s="89">
        <f>IF(OR($J289="",$K289=""),"",ROUND(($K289-$J289)*24-$L289/60,2))</f>
        <v/>
      </c>
      <c r="N289" s="16">
        <f>IF($C289="","",IF(AND(COUNTIF(設定!$B$15:$B$21,$G289)&gt;0,$J289&lt;&gt;""),"假日出勤",IF(AND(COUNTIF(設定!$B$6:$B$14,$G289)&gt;0,$J289=""),"未打卡",IF($J289="","",IF($O289&gt;0,"遲到",IF($P289&gt;0,"早退","正常"))))))</f>
        <v/>
      </c>
      <c r="O289" s="88">
        <f>IF(OR($C289="",$H289="",$J289=""),0,IF(ROUND(($J289-$H289)*1440,0)&gt;設定!$C$48,ROUND(($J289-$H289)*1440,0),0))</f>
        <v/>
      </c>
      <c r="P289" s="88">
        <f>IF(OR($C289="",$I289="",$K289=""),0,IF(ROUND(($I289-$K289)*1440,0)&gt;設定!$C$48,ROUND(($I289-$K289)*1440,0),0))</f>
        <v/>
      </c>
      <c r="Q289" s="89">
        <f>IF($M289="",0,IF(($M289-IFERROR(INDEX(設定!$G$6:$G$21,MATCH($G289,設定!$B$6:$B$21,0)),0))*60&gt;=設定!$C$46,ROUND(FLOOR(($M289-IFERROR(INDEX(設定!$G$6:$G$21,MATCH($G289,設定!$B$6:$B$21,0)),0))*60,設定!$C$47)/60,2),0))</f>
        <v/>
      </c>
      <c r="R289" s="16">
        <f>IF(OR($C289="",$Q289=0),"",IF($G289="國","國定假日",IF($B289="日","例假",IF($B289="六","休息日","平日"))))</f>
        <v/>
      </c>
      <c r="S289" s="18" t="n"/>
    </row>
    <row r="290">
      <c r="A290" s="86">
        <f>IF(OR(醫護長與管理部班表!$A14="",9&gt;DAY(EOMONTH(DATE(設定!$C$2,設定!$D$2,1),0))),"",DATE(設定!$C$2,設定!$D$2,9))</f>
        <v/>
      </c>
      <c r="B290" s="16">
        <f>IF($A290="","",INDEX(設定!$O$6:$O$12,WEEKDAY($A290,1)))</f>
        <v/>
      </c>
      <c r="C290" s="16">
        <f>IF($A290="","",醫護長與管理部班表!$A14)</f>
        <v/>
      </c>
      <c r="D290" s="16">
        <f>IF($C290="","",醫護長與管理部班表!$B14)</f>
        <v/>
      </c>
      <c r="E290" s="16">
        <f>IF($C290="","",醫護長與管理部班表!$D14)</f>
        <v/>
      </c>
      <c r="F290" s="16">
        <f>IF($C290="","",醫護長與管理部班表!$C14)</f>
        <v/>
      </c>
      <c r="G290" s="16">
        <f>IF($C290="","",醫護長與管理部班表!M14)</f>
        <v/>
      </c>
      <c r="H290" s="87">
        <f>IF($G290="","",IFERROR(IF(INDEX(設定!$D$6:$D$21,MATCH($G290,設定!$B$6:$B$21,0))=0,"",INDEX(設定!$D$6:$D$21,MATCH($G290,設定!$B$6:$B$21,0))),""))</f>
        <v/>
      </c>
      <c r="I290" s="87">
        <f>IF($G290="","",IFERROR(IF(INDEX(設定!$E$6:$E$21,MATCH($G290,設定!$B$6:$B$21,0))=0,"",INDEX(設定!$E$6:$E$21,MATCH($G290,設定!$B$6:$B$21,0))),""))</f>
        <v/>
      </c>
      <c r="J290" s="87">
        <f>IFERROR(INDEX(打卡匯入!$C$3:$C$502,MATCH($C290&amp;"|"&amp;DAY($A290),打卡匯入!$E$3:$E$502,0)),"")</f>
        <v/>
      </c>
      <c r="K290" s="87">
        <f>IFERROR(INDEX(打卡匯入!$D$3:$D$502,MATCH($C290&amp;"|"&amp;DAY($A290),打卡匯入!$E$3:$E$502,0)),"")</f>
        <v/>
      </c>
      <c r="L290" s="88">
        <f>IF(OR($J290="",$K290=""),"",IFERROR(INDEX(設定!$F$6:$F$21,MATCH($G290,設定!$B$6:$B$21,0)),0))</f>
        <v/>
      </c>
      <c r="M290" s="89">
        <f>IF(OR($J290="",$K290=""),"",ROUND(($K290-$J290)*24-$L290/60,2))</f>
        <v/>
      </c>
      <c r="N290" s="16">
        <f>IF($C290="","",IF(AND(COUNTIF(設定!$B$15:$B$21,$G290)&gt;0,$J290&lt;&gt;""),"假日出勤",IF(AND(COUNTIF(設定!$B$6:$B$14,$G290)&gt;0,$J290=""),"未打卡",IF($J290="","",IF($O290&gt;0,"遲到",IF($P290&gt;0,"早退","正常"))))))</f>
        <v/>
      </c>
      <c r="O290" s="88">
        <f>IF(OR($C290="",$H290="",$J290=""),0,IF(ROUND(($J290-$H290)*1440,0)&gt;設定!$C$48,ROUND(($J290-$H290)*1440,0),0))</f>
        <v/>
      </c>
      <c r="P290" s="88">
        <f>IF(OR($C290="",$I290="",$K290=""),0,IF(ROUND(($I290-$K290)*1440,0)&gt;設定!$C$48,ROUND(($I290-$K290)*1440,0),0))</f>
        <v/>
      </c>
      <c r="Q290" s="89">
        <f>IF($M290="",0,IF(($M290-IFERROR(INDEX(設定!$G$6:$G$21,MATCH($G290,設定!$B$6:$B$21,0)),0))*60&gt;=設定!$C$46,ROUND(FLOOR(($M290-IFERROR(INDEX(設定!$G$6:$G$21,MATCH($G290,設定!$B$6:$B$21,0)),0))*60,設定!$C$47)/60,2),0))</f>
        <v/>
      </c>
      <c r="R290" s="16">
        <f>IF(OR($C290="",$Q290=0),"",IF($G290="國","國定假日",IF($B290="日","例假",IF($B290="六","休息日","平日"))))</f>
        <v/>
      </c>
      <c r="S290" s="18" t="n"/>
    </row>
    <row r="291">
      <c r="A291" s="86">
        <f>IF(OR(醫護長與管理部班表!$A14="",10&gt;DAY(EOMONTH(DATE(設定!$C$2,設定!$D$2,1),0))),"",DATE(設定!$C$2,設定!$D$2,10))</f>
        <v/>
      </c>
      <c r="B291" s="16">
        <f>IF($A291="","",INDEX(設定!$O$6:$O$12,WEEKDAY($A291,1)))</f>
        <v/>
      </c>
      <c r="C291" s="16">
        <f>IF($A291="","",醫護長與管理部班表!$A14)</f>
        <v/>
      </c>
      <c r="D291" s="16">
        <f>IF($C291="","",醫護長與管理部班表!$B14)</f>
        <v/>
      </c>
      <c r="E291" s="16">
        <f>IF($C291="","",醫護長與管理部班表!$D14)</f>
        <v/>
      </c>
      <c r="F291" s="16">
        <f>IF($C291="","",醫護長與管理部班表!$C14)</f>
        <v/>
      </c>
      <c r="G291" s="16">
        <f>IF($C291="","",醫護長與管理部班表!N14)</f>
        <v/>
      </c>
      <c r="H291" s="87">
        <f>IF($G291="","",IFERROR(IF(INDEX(設定!$D$6:$D$21,MATCH($G291,設定!$B$6:$B$21,0))=0,"",INDEX(設定!$D$6:$D$21,MATCH($G291,設定!$B$6:$B$21,0))),""))</f>
        <v/>
      </c>
      <c r="I291" s="87">
        <f>IF($G291="","",IFERROR(IF(INDEX(設定!$E$6:$E$21,MATCH($G291,設定!$B$6:$B$21,0))=0,"",INDEX(設定!$E$6:$E$21,MATCH($G291,設定!$B$6:$B$21,0))),""))</f>
        <v/>
      </c>
      <c r="J291" s="87">
        <f>IFERROR(INDEX(打卡匯入!$C$3:$C$502,MATCH($C291&amp;"|"&amp;DAY($A291),打卡匯入!$E$3:$E$502,0)),"")</f>
        <v/>
      </c>
      <c r="K291" s="87">
        <f>IFERROR(INDEX(打卡匯入!$D$3:$D$502,MATCH($C291&amp;"|"&amp;DAY($A291),打卡匯入!$E$3:$E$502,0)),"")</f>
        <v/>
      </c>
      <c r="L291" s="88">
        <f>IF(OR($J291="",$K291=""),"",IFERROR(INDEX(設定!$F$6:$F$21,MATCH($G291,設定!$B$6:$B$21,0)),0))</f>
        <v/>
      </c>
      <c r="M291" s="89">
        <f>IF(OR($J291="",$K291=""),"",ROUND(($K291-$J291)*24-$L291/60,2))</f>
        <v/>
      </c>
      <c r="N291" s="16">
        <f>IF($C291="","",IF(AND(COUNTIF(設定!$B$15:$B$21,$G291)&gt;0,$J291&lt;&gt;""),"假日出勤",IF(AND(COUNTIF(設定!$B$6:$B$14,$G291)&gt;0,$J291=""),"未打卡",IF($J291="","",IF($O291&gt;0,"遲到",IF($P291&gt;0,"早退","正常"))))))</f>
        <v/>
      </c>
      <c r="O291" s="88">
        <f>IF(OR($C291="",$H291="",$J291=""),0,IF(ROUND(($J291-$H291)*1440,0)&gt;設定!$C$48,ROUND(($J291-$H291)*1440,0),0))</f>
        <v/>
      </c>
      <c r="P291" s="88">
        <f>IF(OR($C291="",$I291="",$K291=""),0,IF(ROUND(($I291-$K291)*1440,0)&gt;設定!$C$48,ROUND(($I291-$K291)*1440,0),0))</f>
        <v/>
      </c>
      <c r="Q291" s="89">
        <f>IF($M291="",0,IF(($M291-IFERROR(INDEX(設定!$G$6:$G$21,MATCH($G291,設定!$B$6:$B$21,0)),0))*60&gt;=設定!$C$46,ROUND(FLOOR(($M291-IFERROR(INDEX(設定!$G$6:$G$21,MATCH($G291,設定!$B$6:$B$21,0)),0))*60,設定!$C$47)/60,2),0))</f>
        <v/>
      </c>
      <c r="R291" s="16">
        <f>IF(OR($C291="",$Q291=0),"",IF($G291="國","國定假日",IF($B291="日","例假",IF($B291="六","休息日","平日"))))</f>
        <v/>
      </c>
      <c r="S291" s="18" t="n"/>
    </row>
    <row r="292">
      <c r="A292" s="86">
        <f>IF(OR(醫護長與管理部班表!$A14="",11&gt;DAY(EOMONTH(DATE(設定!$C$2,設定!$D$2,1),0))),"",DATE(設定!$C$2,設定!$D$2,11))</f>
        <v/>
      </c>
      <c r="B292" s="16">
        <f>IF($A292="","",INDEX(設定!$O$6:$O$12,WEEKDAY($A292,1)))</f>
        <v/>
      </c>
      <c r="C292" s="16">
        <f>IF($A292="","",醫護長與管理部班表!$A14)</f>
        <v/>
      </c>
      <c r="D292" s="16">
        <f>IF($C292="","",醫護長與管理部班表!$B14)</f>
        <v/>
      </c>
      <c r="E292" s="16">
        <f>IF($C292="","",醫護長與管理部班表!$D14)</f>
        <v/>
      </c>
      <c r="F292" s="16">
        <f>IF($C292="","",醫護長與管理部班表!$C14)</f>
        <v/>
      </c>
      <c r="G292" s="16">
        <f>IF($C292="","",醫護長與管理部班表!O14)</f>
        <v/>
      </c>
      <c r="H292" s="87">
        <f>IF($G292="","",IFERROR(IF(INDEX(設定!$D$6:$D$21,MATCH($G292,設定!$B$6:$B$21,0))=0,"",INDEX(設定!$D$6:$D$21,MATCH($G292,設定!$B$6:$B$21,0))),""))</f>
        <v/>
      </c>
      <c r="I292" s="87">
        <f>IF($G292="","",IFERROR(IF(INDEX(設定!$E$6:$E$21,MATCH($G292,設定!$B$6:$B$21,0))=0,"",INDEX(設定!$E$6:$E$21,MATCH($G292,設定!$B$6:$B$21,0))),""))</f>
        <v/>
      </c>
      <c r="J292" s="87">
        <f>IFERROR(INDEX(打卡匯入!$C$3:$C$502,MATCH($C292&amp;"|"&amp;DAY($A292),打卡匯入!$E$3:$E$502,0)),"")</f>
        <v/>
      </c>
      <c r="K292" s="87">
        <f>IFERROR(INDEX(打卡匯入!$D$3:$D$502,MATCH($C292&amp;"|"&amp;DAY($A292),打卡匯入!$E$3:$E$502,0)),"")</f>
        <v/>
      </c>
      <c r="L292" s="88">
        <f>IF(OR($J292="",$K292=""),"",IFERROR(INDEX(設定!$F$6:$F$21,MATCH($G292,設定!$B$6:$B$21,0)),0))</f>
        <v/>
      </c>
      <c r="M292" s="89">
        <f>IF(OR($J292="",$K292=""),"",ROUND(($K292-$J292)*24-$L292/60,2))</f>
        <v/>
      </c>
      <c r="N292" s="16">
        <f>IF($C292="","",IF(AND(COUNTIF(設定!$B$15:$B$21,$G292)&gt;0,$J292&lt;&gt;""),"假日出勤",IF(AND(COUNTIF(設定!$B$6:$B$14,$G292)&gt;0,$J292=""),"未打卡",IF($J292="","",IF($O292&gt;0,"遲到",IF($P292&gt;0,"早退","正常"))))))</f>
        <v/>
      </c>
      <c r="O292" s="88">
        <f>IF(OR($C292="",$H292="",$J292=""),0,IF(ROUND(($J292-$H292)*1440,0)&gt;設定!$C$48,ROUND(($J292-$H292)*1440,0),0))</f>
        <v/>
      </c>
      <c r="P292" s="88">
        <f>IF(OR($C292="",$I292="",$K292=""),0,IF(ROUND(($I292-$K292)*1440,0)&gt;設定!$C$48,ROUND(($I292-$K292)*1440,0),0))</f>
        <v/>
      </c>
      <c r="Q292" s="89">
        <f>IF($M292="",0,IF(($M292-IFERROR(INDEX(設定!$G$6:$G$21,MATCH($G292,設定!$B$6:$B$21,0)),0))*60&gt;=設定!$C$46,ROUND(FLOOR(($M292-IFERROR(INDEX(設定!$G$6:$G$21,MATCH($G292,設定!$B$6:$B$21,0)),0))*60,設定!$C$47)/60,2),0))</f>
        <v/>
      </c>
      <c r="R292" s="16">
        <f>IF(OR($C292="",$Q292=0),"",IF($G292="國","國定假日",IF($B292="日","例假",IF($B292="六","休息日","平日"))))</f>
        <v/>
      </c>
      <c r="S292" s="18" t="n"/>
    </row>
    <row r="293">
      <c r="A293" s="86">
        <f>IF(OR(醫護長與管理部班表!$A14="",12&gt;DAY(EOMONTH(DATE(設定!$C$2,設定!$D$2,1),0))),"",DATE(設定!$C$2,設定!$D$2,12))</f>
        <v/>
      </c>
      <c r="B293" s="16">
        <f>IF($A293="","",INDEX(設定!$O$6:$O$12,WEEKDAY($A293,1)))</f>
        <v/>
      </c>
      <c r="C293" s="16">
        <f>IF($A293="","",醫護長與管理部班表!$A14)</f>
        <v/>
      </c>
      <c r="D293" s="16">
        <f>IF($C293="","",醫護長與管理部班表!$B14)</f>
        <v/>
      </c>
      <c r="E293" s="16">
        <f>IF($C293="","",醫護長與管理部班表!$D14)</f>
        <v/>
      </c>
      <c r="F293" s="16">
        <f>IF($C293="","",醫護長與管理部班表!$C14)</f>
        <v/>
      </c>
      <c r="G293" s="16">
        <f>IF($C293="","",醫護長與管理部班表!P14)</f>
        <v/>
      </c>
      <c r="H293" s="87">
        <f>IF($G293="","",IFERROR(IF(INDEX(設定!$D$6:$D$21,MATCH($G293,設定!$B$6:$B$21,0))=0,"",INDEX(設定!$D$6:$D$21,MATCH($G293,設定!$B$6:$B$21,0))),""))</f>
        <v/>
      </c>
      <c r="I293" s="87">
        <f>IF($G293="","",IFERROR(IF(INDEX(設定!$E$6:$E$21,MATCH($G293,設定!$B$6:$B$21,0))=0,"",INDEX(設定!$E$6:$E$21,MATCH($G293,設定!$B$6:$B$21,0))),""))</f>
        <v/>
      </c>
      <c r="J293" s="87">
        <f>IFERROR(INDEX(打卡匯入!$C$3:$C$502,MATCH($C293&amp;"|"&amp;DAY($A293),打卡匯入!$E$3:$E$502,0)),"")</f>
        <v/>
      </c>
      <c r="K293" s="87">
        <f>IFERROR(INDEX(打卡匯入!$D$3:$D$502,MATCH($C293&amp;"|"&amp;DAY($A293),打卡匯入!$E$3:$E$502,0)),"")</f>
        <v/>
      </c>
      <c r="L293" s="88">
        <f>IF(OR($J293="",$K293=""),"",IFERROR(INDEX(設定!$F$6:$F$21,MATCH($G293,設定!$B$6:$B$21,0)),0))</f>
        <v/>
      </c>
      <c r="M293" s="89">
        <f>IF(OR($J293="",$K293=""),"",ROUND(($K293-$J293)*24-$L293/60,2))</f>
        <v/>
      </c>
      <c r="N293" s="16">
        <f>IF($C293="","",IF(AND(COUNTIF(設定!$B$15:$B$21,$G293)&gt;0,$J293&lt;&gt;""),"假日出勤",IF(AND(COUNTIF(設定!$B$6:$B$14,$G293)&gt;0,$J293=""),"未打卡",IF($J293="","",IF($O293&gt;0,"遲到",IF($P293&gt;0,"早退","正常"))))))</f>
        <v/>
      </c>
      <c r="O293" s="88">
        <f>IF(OR($C293="",$H293="",$J293=""),0,IF(ROUND(($J293-$H293)*1440,0)&gt;設定!$C$48,ROUND(($J293-$H293)*1440,0),0))</f>
        <v/>
      </c>
      <c r="P293" s="88">
        <f>IF(OR($C293="",$I293="",$K293=""),0,IF(ROUND(($I293-$K293)*1440,0)&gt;設定!$C$48,ROUND(($I293-$K293)*1440,0),0))</f>
        <v/>
      </c>
      <c r="Q293" s="89">
        <f>IF($M293="",0,IF(($M293-IFERROR(INDEX(設定!$G$6:$G$21,MATCH($G293,設定!$B$6:$B$21,0)),0))*60&gt;=設定!$C$46,ROUND(FLOOR(($M293-IFERROR(INDEX(設定!$G$6:$G$21,MATCH($G293,設定!$B$6:$B$21,0)),0))*60,設定!$C$47)/60,2),0))</f>
        <v/>
      </c>
      <c r="R293" s="16">
        <f>IF(OR($C293="",$Q293=0),"",IF($G293="國","國定假日",IF($B293="日","例假",IF($B293="六","休息日","平日"))))</f>
        <v/>
      </c>
      <c r="S293" s="18" t="n"/>
    </row>
    <row r="294">
      <c r="A294" s="86">
        <f>IF(OR(醫護長與管理部班表!$A14="",13&gt;DAY(EOMONTH(DATE(設定!$C$2,設定!$D$2,1),0))),"",DATE(設定!$C$2,設定!$D$2,13))</f>
        <v/>
      </c>
      <c r="B294" s="16">
        <f>IF($A294="","",INDEX(設定!$O$6:$O$12,WEEKDAY($A294,1)))</f>
        <v/>
      </c>
      <c r="C294" s="16">
        <f>IF($A294="","",醫護長與管理部班表!$A14)</f>
        <v/>
      </c>
      <c r="D294" s="16">
        <f>IF($C294="","",醫護長與管理部班表!$B14)</f>
        <v/>
      </c>
      <c r="E294" s="16">
        <f>IF($C294="","",醫護長與管理部班表!$D14)</f>
        <v/>
      </c>
      <c r="F294" s="16">
        <f>IF($C294="","",醫護長與管理部班表!$C14)</f>
        <v/>
      </c>
      <c r="G294" s="16">
        <f>IF($C294="","",醫護長與管理部班表!Q14)</f>
        <v/>
      </c>
      <c r="H294" s="87">
        <f>IF($G294="","",IFERROR(IF(INDEX(設定!$D$6:$D$21,MATCH($G294,設定!$B$6:$B$21,0))=0,"",INDEX(設定!$D$6:$D$21,MATCH($G294,設定!$B$6:$B$21,0))),""))</f>
        <v/>
      </c>
      <c r="I294" s="87">
        <f>IF($G294="","",IFERROR(IF(INDEX(設定!$E$6:$E$21,MATCH($G294,設定!$B$6:$B$21,0))=0,"",INDEX(設定!$E$6:$E$21,MATCH($G294,設定!$B$6:$B$21,0))),""))</f>
        <v/>
      </c>
      <c r="J294" s="87">
        <f>IFERROR(INDEX(打卡匯入!$C$3:$C$502,MATCH($C294&amp;"|"&amp;DAY($A294),打卡匯入!$E$3:$E$502,0)),"")</f>
        <v/>
      </c>
      <c r="K294" s="87">
        <f>IFERROR(INDEX(打卡匯入!$D$3:$D$502,MATCH($C294&amp;"|"&amp;DAY($A294),打卡匯入!$E$3:$E$502,0)),"")</f>
        <v/>
      </c>
      <c r="L294" s="88">
        <f>IF(OR($J294="",$K294=""),"",IFERROR(INDEX(設定!$F$6:$F$21,MATCH($G294,設定!$B$6:$B$21,0)),0))</f>
        <v/>
      </c>
      <c r="M294" s="89">
        <f>IF(OR($J294="",$K294=""),"",ROUND(($K294-$J294)*24-$L294/60,2))</f>
        <v/>
      </c>
      <c r="N294" s="16">
        <f>IF($C294="","",IF(AND(COUNTIF(設定!$B$15:$B$21,$G294)&gt;0,$J294&lt;&gt;""),"假日出勤",IF(AND(COUNTIF(設定!$B$6:$B$14,$G294)&gt;0,$J294=""),"未打卡",IF($J294="","",IF($O294&gt;0,"遲到",IF($P294&gt;0,"早退","正常"))))))</f>
        <v/>
      </c>
      <c r="O294" s="88">
        <f>IF(OR($C294="",$H294="",$J294=""),0,IF(ROUND(($J294-$H294)*1440,0)&gt;設定!$C$48,ROUND(($J294-$H294)*1440,0),0))</f>
        <v/>
      </c>
      <c r="P294" s="88">
        <f>IF(OR($C294="",$I294="",$K294=""),0,IF(ROUND(($I294-$K294)*1440,0)&gt;設定!$C$48,ROUND(($I294-$K294)*1440,0),0))</f>
        <v/>
      </c>
      <c r="Q294" s="89">
        <f>IF($M294="",0,IF(($M294-IFERROR(INDEX(設定!$G$6:$G$21,MATCH($G294,設定!$B$6:$B$21,0)),0))*60&gt;=設定!$C$46,ROUND(FLOOR(($M294-IFERROR(INDEX(設定!$G$6:$G$21,MATCH($G294,設定!$B$6:$B$21,0)),0))*60,設定!$C$47)/60,2),0))</f>
        <v/>
      </c>
      <c r="R294" s="16">
        <f>IF(OR($C294="",$Q294=0),"",IF($G294="國","國定假日",IF($B294="日","例假",IF($B294="六","休息日","平日"))))</f>
        <v/>
      </c>
      <c r="S294" s="18" t="n"/>
    </row>
    <row r="295">
      <c r="A295" s="86">
        <f>IF(OR(醫護長與管理部班表!$A14="",14&gt;DAY(EOMONTH(DATE(設定!$C$2,設定!$D$2,1),0))),"",DATE(設定!$C$2,設定!$D$2,14))</f>
        <v/>
      </c>
      <c r="B295" s="16">
        <f>IF($A295="","",INDEX(設定!$O$6:$O$12,WEEKDAY($A295,1)))</f>
        <v/>
      </c>
      <c r="C295" s="16">
        <f>IF($A295="","",醫護長與管理部班表!$A14)</f>
        <v/>
      </c>
      <c r="D295" s="16">
        <f>IF($C295="","",醫護長與管理部班表!$B14)</f>
        <v/>
      </c>
      <c r="E295" s="16">
        <f>IF($C295="","",醫護長與管理部班表!$D14)</f>
        <v/>
      </c>
      <c r="F295" s="16">
        <f>IF($C295="","",醫護長與管理部班表!$C14)</f>
        <v/>
      </c>
      <c r="G295" s="16">
        <f>IF($C295="","",醫護長與管理部班表!R14)</f>
        <v/>
      </c>
      <c r="H295" s="87">
        <f>IF($G295="","",IFERROR(IF(INDEX(設定!$D$6:$D$21,MATCH($G295,設定!$B$6:$B$21,0))=0,"",INDEX(設定!$D$6:$D$21,MATCH($G295,設定!$B$6:$B$21,0))),""))</f>
        <v/>
      </c>
      <c r="I295" s="87">
        <f>IF($G295="","",IFERROR(IF(INDEX(設定!$E$6:$E$21,MATCH($G295,設定!$B$6:$B$21,0))=0,"",INDEX(設定!$E$6:$E$21,MATCH($G295,設定!$B$6:$B$21,0))),""))</f>
        <v/>
      </c>
      <c r="J295" s="87">
        <f>IFERROR(INDEX(打卡匯入!$C$3:$C$502,MATCH($C295&amp;"|"&amp;DAY($A295),打卡匯入!$E$3:$E$502,0)),"")</f>
        <v/>
      </c>
      <c r="K295" s="87">
        <f>IFERROR(INDEX(打卡匯入!$D$3:$D$502,MATCH($C295&amp;"|"&amp;DAY($A295),打卡匯入!$E$3:$E$502,0)),"")</f>
        <v/>
      </c>
      <c r="L295" s="88">
        <f>IF(OR($J295="",$K295=""),"",IFERROR(INDEX(設定!$F$6:$F$21,MATCH($G295,設定!$B$6:$B$21,0)),0))</f>
        <v/>
      </c>
      <c r="M295" s="89">
        <f>IF(OR($J295="",$K295=""),"",ROUND(($K295-$J295)*24-$L295/60,2))</f>
        <v/>
      </c>
      <c r="N295" s="16">
        <f>IF($C295="","",IF(AND(COUNTIF(設定!$B$15:$B$21,$G295)&gt;0,$J295&lt;&gt;""),"假日出勤",IF(AND(COUNTIF(設定!$B$6:$B$14,$G295)&gt;0,$J295=""),"未打卡",IF($J295="","",IF($O295&gt;0,"遲到",IF($P295&gt;0,"早退","正常"))))))</f>
        <v/>
      </c>
      <c r="O295" s="88">
        <f>IF(OR($C295="",$H295="",$J295=""),0,IF(ROUND(($J295-$H295)*1440,0)&gt;設定!$C$48,ROUND(($J295-$H295)*1440,0),0))</f>
        <v/>
      </c>
      <c r="P295" s="88">
        <f>IF(OR($C295="",$I295="",$K295=""),0,IF(ROUND(($I295-$K295)*1440,0)&gt;設定!$C$48,ROUND(($I295-$K295)*1440,0),0))</f>
        <v/>
      </c>
      <c r="Q295" s="89">
        <f>IF($M295="",0,IF(($M295-IFERROR(INDEX(設定!$G$6:$G$21,MATCH($G295,設定!$B$6:$B$21,0)),0))*60&gt;=設定!$C$46,ROUND(FLOOR(($M295-IFERROR(INDEX(設定!$G$6:$G$21,MATCH($G295,設定!$B$6:$B$21,0)),0))*60,設定!$C$47)/60,2),0))</f>
        <v/>
      </c>
      <c r="R295" s="16">
        <f>IF(OR($C295="",$Q295=0),"",IF($G295="國","國定假日",IF($B295="日","例假",IF($B295="六","休息日","平日"))))</f>
        <v/>
      </c>
      <c r="S295" s="18" t="n"/>
    </row>
    <row r="296">
      <c r="A296" s="86">
        <f>IF(OR(醫護長與管理部班表!$A14="",15&gt;DAY(EOMONTH(DATE(設定!$C$2,設定!$D$2,1),0))),"",DATE(設定!$C$2,設定!$D$2,15))</f>
        <v/>
      </c>
      <c r="B296" s="16">
        <f>IF($A296="","",INDEX(設定!$O$6:$O$12,WEEKDAY($A296,1)))</f>
        <v/>
      </c>
      <c r="C296" s="16">
        <f>IF($A296="","",醫護長與管理部班表!$A14)</f>
        <v/>
      </c>
      <c r="D296" s="16">
        <f>IF($C296="","",醫護長與管理部班表!$B14)</f>
        <v/>
      </c>
      <c r="E296" s="16">
        <f>IF($C296="","",醫護長與管理部班表!$D14)</f>
        <v/>
      </c>
      <c r="F296" s="16">
        <f>IF($C296="","",醫護長與管理部班表!$C14)</f>
        <v/>
      </c>
      <c r="G296" s="16">
        <f>IF($C296="","",醫護長與管理部班表!S14)</f>
        <v/>
      </c>
      <c r="H296" s="87">
        <f>IF($G296="","",IFERROR(IF(INDEX(設定!$D$6:$D$21,MATCH($G296,設定!$B$6:$B$21,0))=0,"",INDEX(設定!$D$6:$D$21,MATCH($G296,設定!$B$6:$B$21,0))),""))</f>
        <v/>
      </c>
      <c r="I296" s="87">
        <f>IF($G296="","",IFERROR(IF(INDEX(設定!$E$6:$E$21,MATCH($G296,設定!$B$6:$B$21,0))=0,"",INDEX(設定!$E$6:$E$21,MATCH($G296,設定!$B$6:$B$21,0))),""))</f>
        <v/>
      </c>
      <c r="J296" s="87">
        <f>IFERROR(INDEX(打卡匯入!$C$3:$C$502,MATCH($C296&amp;"|"&amp;DAY($A296),打卡匯入!$E$3:$E$502,0)),"")</f>
        <v/>
      </c>
      <c r="K296" s="87">
        <f>IFERROR(INDEX(打卡匯入!$D$3:$D$502,MATCH($C296&amp;"|"&amp;DAY($A296),打卡匯入!$E$3:$E$502,0)),"")</f>
        <v/>
      </c>
      <c r="L296" s="88">
        <f>IF(OR($J296="",$K296=""),"",IFERROR(INDEX(設定!$F$6:$F$21,MATCH($G296,設定!$B$6:$B$21,0)),0))</f>
        <v/>
      </c>
      <c r="M296" s="89">
        <f>IF(OR($J296="",$K296=""),"",ROUND(($K296-$J296)*24-$L296/60,2))</f>
        <v/>
      </c>
      <c r="N296" s="16">
        <f>IF($C296="","",IF(AND(COUNTIF(設定!$B$15:$B$21,$G296)&gt;0,$J296&lt;&gt;""),"假日出勤",IF(AND(COUNTIF(設定!$B$6:$B$14,$G296)&gt;0,$J296=""),"未打卡",IF($J296="","",IF($O296&gt;0,"遲到",IF($P296&gt;0,"早退","正常"))))))</f>
        <v/>
      </c>
      <c r="O296" s="88">
        <f>IF(OR($C296="",$H296="",$J296=""),0,IF(ROUND(($J296-$H296)*1440,0)&gt;設定!$C$48,ROUND(($J296-$H296)*1440,0),0))</f>
        <v/>
      </c>
      <c r="P296" s="88">
        <f>IF(OR($C296="",$I296="",$K296=""),0,IF(ROUND(($I296-$K296)*1440,0)&gt;設定!$C$48,ROUND(($I296-$K296)*1440,0),0))</f>
        <v/>
      </c>
      <c r="Q296" s="89">
        <f>IF($M296="",0,IF(($M296-IFERROR(INDEX(設定!$G$6:$G$21,MATCH($G296,設定!$B$6:$B$21,0)),0))*60&gt;=設定!$C$46,ROUND(FLOOR(($M296-IFERROR(INDEX(設定!$G$6:$G$21,MATCH($G296,設定!$B$6:$B$21,0)),0))*60,設定!$C$47)/60,2),0))</f>
        <v/>
      </c>
      <c r="R296" s="16">
        <f>IF(OR($C296="",$Q296=0),"",IF($G296="國","國定假日",IF($B296="日","例假",IF($B296="六","休息日","平日"))))</f>
        <v/>
      </c>
      <c r="S296" s="18" t="n"/>
    </row>
    <row r="297">
      <c r="A297" s="86">
        <f>IF(OR(醫護長與管理部班表!$A14="",16&gt;DAY(EOMONTH(DATE(設定!$C$2,設定!$D$2,1),0))),"",DATE(設定!$C$2,設定!$D$2,16))</f>
        <v/>
      </c>
      <c r="B297" s="16">
        <f>IF($A297="","",INDEX(設定!$O$6:$O$12,WEEKDAY($A297,1)))</f>
        <v/>
      </c>
      <c r="C297" s="16">
        <f>IF($A297="","",醫護長與管理部班表!$A14)</f>
        <v/>
      </c>
      <c r="D297" s="16">
        <f>IF($C297="","",醫護長與管理部班表!$B14)</f>
        <v/>
      </c>
      <c r="E297" s="16">
        <f>IF($C297="","",醫護長與管理部班表!$D14)</f>
        <v/>
      </c>
      <c r="F297" s="16">
        <f>IF($C297="","",醫護長與管理部班表!$C14)</f>
        <v/>
      </c>
      <c r="G297" s="16">
        <f>IF($C297="","",醫護長與管理部班表!T14)</f>
        <v/>
      </c>
      <c r="H297" s="87">
        <f>IF($G297="","",IFERROR(IF(INDEX(設定!$D$6:$D$21,MATCH($G297,設定!$B$6:$B$21,0))=0,"",INDEX(設定!$D$6:$D$21,MATCH($G297,設定!$B$6:$B$21,0))),""))</f>
        <v/>
      </c>
      <c r="I297" s="87">
        <f>IF($G297="","",IFERROR(IF(INDEX(設定!$E$6:$E$21,MATCH($G297,設定!$B$6:$B$21,0))=0,"",INDEX(設定!$E$6:$E$21,MATCH($G297,設定!$B$6:$B$21,0))),""))</f>
        <v/>
      </c>
      <c r="J297" s="87">
        <f>IFERROR(INDEX(打卡匯入!$C$3:$C$502,MATCH($C297&amp;"|"&amp;DAY($A297),打卡匯入!$E$3:$E$502,0)),"")</f>
        <v/>
      </c>
      <c r="K297" s="87">
        <f>IFERROR(INDEX(打卡匯入!$D$3:$D$502,MATCH($C297&amp;"|"&amp;DAY($A297),打卡匯入!$E$3:$E$502,0)),"")</f>
        <v/>
      </c>
      <c r="L297" s="88">
        <f>IF(OR($J297="",$K297=""),"",IFERROR(INDEX(設定!$F$6:$F$21,MATCH($G297,設定!$B$6:$B$21,0)),0))</f>
        <v/>
      </c>
      <c r="M297" s="89">
        <f>IF(OR($J297="",$K297=""),"",ROUND(($K297-$J297)*24-$L297/60,2))</f>
        <v/>
      </c>
      <c r="N297" s="16">
        <f>IF($C297="","",IF(AND(COUNTIF(設定!$B$15:$B$21,$G297)&gt;0,$J297&lt;&gt;""),"假日出勤",IF(AND(COUNTIF(設定!$B$6:$B$14,$G297)&gt;0,$J297=""),"未打卡",IF($J297="","",IF($O297&gt;0,"遲到",IF($P297&gt;0,"早退","正常"))))))</f>
        <v/>
      </c>
      <c r="O297" s="88">
        <f>IF(OR($C297="",$H297="",$J297=""),0,IF(ROUND(($J297-$H297)*1440,0)&gt;設定!$C$48,ROUND(($J297-$H297)*1440,0),0))</f>
        <v/>
      </c>
      <c r="P297" s="88">
        <f>IF(OR($C297="",$I297="",$K297=""),0,IF(ROUND(($I297-$K297)*1440,0)&gt;設定!$C$48,ROUND(($I297-$K297)*1440,0),0))</f>
        <v/>
      </c>
      <c r="Q297" s="89">
        <f>IF($M297="",0,IF(($M297-IFERROR(INDEX(設定!$G$6:$G$21,MATCH($G297,設定!$B$6:$B$21,0)),0))*60&gt;=設定!$C$46,ROUND(FLOOR(($M297-IFERROR(INDEX(設定!$G$6:$G$21,MATCH($G297,設定!$B$6:$B$21,0)),0))*60,設定!$C$47)/60,2),0))</f>
        <v/>
      </c>
      <c r="R297" s="16">
        <f>IF(OR($C297="",$Q297=0),"",IF($G297="國","國定假日",IF($B297="日","例假",IF($B297="六","休息日","平日"))))</f>
        <v/>
      </c>
      <c r="S297" s="18" t="n"/>
    </row>
    <row r="298">
      <c r="A298" s="86">
        <f>IF(OR(醫護長與管理部班表!$A14="",17&gt;DAY(EOMONTH(DATE(設定!$C$2,設定!$D$2,1),0))),"",DATE(設定!$C$2,設定!$D$2,17))</f>
        <v/>
      </c>
      <c r="B298" s="16">
        <f>IF($A298="","",INDEX(設定!$O$6:$O$12,WEEKDAY($A298,1)))</f>
        <v/>
      </c>
      <c r="C298" s="16">
        <f>IF($A298="","",醫護長與管理部班表!$A14)</f>
        <v/>
      </c>
      <c r="D298" s="16">
        <f>IF($C298="","",醫護長與管理部班表!$B14)</f>
        <v/>
      </c>
      <c r="E298" s="16">
        <f>IF($C298="","",醫護長與管理部班表!$D14)</f>
        <v/>
      </c>
      <c r="F298" s="16">
        <f>IF($C298="","",醫護長與管理部班表!$C14)</f>
        <v/>
      </c>
      <c r="G298" s="16">
        <f>IF($C298="","",醫護長與管理部班表!U14)</f>
        <v/>
      </c>
      <c r="H298" s="87">
        <f>IF($G298="","",IFERROR(IF(INDEX(設定!$D$6:$D$21,MATCH($G298,設定!$B$6:$B$21,0))=0,"",INDEX(設定!$D$6:$D$21,MATCH($G298,設定!$B$6:$B$21,0))),""))</f>
        <v/>
      </c>
      <c r="I298" s="87">
        <f>IF($G298="","",IFERROR(IF(INDEX(設定!$E$6:$E$21,MATCH($G298,設定!$B$6:$B$21,0))=0,"",INDEX(設定!$E$6:$E$21,MATCH($G298,設定!$B$6:$B$21,0))),""))</f>
        <v/>
      </c>
      <c r="J298" s="87">
        <f>IFERROR(INDEX(打卡匯入!$C$3:$C$502,MATCH($C298&amp;"|"&amp;DAY($A298),打卡匯入!$E$3:$E$502,0)),"")</f>
        <v/>
      </c>
      <c r="K298" s="87">
        <f>IFERROR(INDEX(打卡匯入!$D$3:$D$502,MATCH($C298&amp;"|"&amp;DAY($A298),打卡匯入!$E$3:$E$502,0)),"")</f>
        <v/>
      </c>
      <c r="L298" s="88">
        <f>IF(OR($J298="",$K298=""),"",IFERROR(INDEX(設定!$F$6:$F$21,MATCH($G298,設定!$B$6:$B$21,0)),0))</f>
        <v/>
      </c>
      <c r="M298" s="89">
        <f>IF(OR($J298="",$K298=""),"",ROUND(($K298-$J298)*24-$L298/60,2))</f>
        <v/>
      </c>
      <c r="N298" s="16">
        <f>IF($C298="","",IF(AND(COUNTIF(設定!$B$15:$B$21,$G298)&gt;0,$J298&lt;&gt;""),"假日出勤",IF(AND(COUNTIF(設定!$B$6:$B$14,$G298)&gt;0,$J298=""),"未打卡",IF($J298="","",IF($O298&gt;0,"遲到",IF($P298&gt;0,"早退","正常"))))))</f>
        <v/>
      </c>
      <c r="O298" s="88">
        <f>IF(OR($C298="",$H298="",$J298=""),0,IF(ROUND(($J298-$H298)*1440,0)&gt;設定!$C$48,ROUND(($J298-$H298)*1440,0),0))</f>
        <v/>
      </c>
      <c r="P298" s="88">
        <f>IF(OR($C298="",$I298="",$K298=""),0,IF(ROUND(($I298-$K298)*1440,0)&gt;設定!$C$48,ROUND(($I298-$K298)*1440,0),0))</f>
        <v/>
      </c>
      <c r="Q298" s="89">
        <f>IF($M298="",0,IF(($M298-IFERROR(INDEX(設定!$G$6:$G$21,MATCH($G298,設定!$B$6:$B$21,0)),0))*60&gt;=設定!$C$46,ROUND(FLOOR(($M298-IFERROR(INDEX(設定!$G$6:$G$21,MATCH($G298,設定!$B$6:$B$21,0)),0))*60,設定!$C$47)/60,2),0))</f>
        <v/>
      </c>
      <c r="R298" s="16">
        <f>IF(OR($C298="",$Q298=0),"",IF($G298="國","國定假日",IF($B298="日","例假",IF($B298="六","休息日","平日"))))</f>
        <v/>
      </c>
      <c r="S298" s="18" t="n"/>
    </row>
    <row r="299">
      <c r="A299" s="86">
        <f>IF(OR(醫護長與管理部班表!$A14="",18&gt;DAY(EOMONTH(DATE(設定!$C$2,設定!$D$2,1),0))),"",DATE(設定!$C$2,設定!$D$2,18))</f>
        <v/>
      </c>
      <c r="B299" s="16">
        <f>IF($A299="","",INDEX(設定!$O$6:$O$12,WEEKDAY($A299,1)))</f>
        <v/>
      </c>
      <c r="C299" s="16">
        <f>IF($A299="","",醫護長與管理部班表!$A14)</f>
        <v/>
      </c>
      <c r="D299" s="16">
        <f>IF($C299="","",醫護長與管理部班表!$B14)</f>
        <v/>
      </c>
      <c r="E299" s="16">
        <f>IF($C299="","",醫護長與管理部班表!$D14)</f>
        <v/>
      </c>
      <c r="F299" s="16">
        <f>IF($C299="","",醫護長與管理部班表!$C14)</f>
        <v/>
      </c>
      <c r="G299" s="16">
        <f>IF($C299="","",醫護長與管理部班表!V14)</f>
        <v/>
      </c>
      <c r="H299" s="87">
        <f>IF($G299="","",IFERROR(IF(INDEX(設定!$D$6:$D$21,MATCH($G299,設定!$B$6:$B$21,0))=0,"",INDEX(設定!$D$6:$D$21,MATCH($G299,設定!$B$6:$B$21,0))),""))</f>
        <v/>
      </c>
      <c r="I299" s="87">
        <f>IF($G299="","",IFERROR(IF(INDEX(設定!$E$6:$E$21,MATCH($G299,設定!$B$6:$B$21,0))=0,"",INDEX(設定!$E$6:$E$21,MATCH($G299,設定!$B$6:$B$21,0))),""))</f>
        <v/>
      </c>
      <c r="J299" s="87">
        <f>IFERROR(INDEX(打卡匯入!$C$3:$C$502,MATCH($C299&amp;"|"&amp;DAY($A299),打卡匯入!$E$3:$E$502,0)),"")</f>
        <v/>
      </c>
      <c r="K299" s="87">
        <f>IFERROR(INDEX(打卡匯入!$D$3:$D$502,MATCH($C299&amp;"|"&amp;DAY($A299),打卡匯入!$E$3:$E$502,0)),"")</f>
        <v/>
      </c>
      <c r="L299" s="88">
        <f>IF(OR($J299="",$K299=""),"",IFERROR(INDEX(設定!$F$6:$F$21,MATCH($G299,設定!$B$6:$B$21,0)),0))</f>
        <v/>
      </c>
      <c r="M299" s="89">
        <f>IF(OR($J299="",$K299=""),"",ROUND(($K299-$J299)*24-$L299/60,2))</f>
        <v/>
      </c>
      <c r="N299" s="16">
        <f>IF($C299="","",IF(AND(COUNTIF(設定!$B$15:$B$21,$G299)&gt;0,$J299&lt;&gt;""),"假日出勤",IF(AND(COUNTIF(設定!$B$6:$B$14,$G299)&gt;0,$J299=""),"未打卡",IF($J299="","",IF($O299&gt;0,"遲到",IF($P299&gt;0,"早退","正常"))))))</f>
        <v/>
      </c>
      <c r="O299" s="88">
        <f>IF(OR($C299="",$H299="",$J299=""),0,IF(ROUND(($J299-$H299)*1440,0)&gt;設定!$C$48,ROUND(($J299-$H299)*1440,0),0))</f>
        <v/>
      </c>
      <c r="P299" s="88">
        <f>IF(OR($C299="",$I299="",$K299=""),0,IF(ROUND(($I299-$K299)*1440,0)&gt;設定!$C$48,ROUND(($I299-$K299)*1440,0),0))</f>
        <v/>
      </c>
      <c r="Q299" s="89">
        <f>IF($M299="",0,IF(($M299-IFERROR(INDEX(設定!$G$6:$G$21,MATCH($G299,設定!$B$6:$B$21,0)),0))*60&gt;=設定!$C$46,ROUND(FLOOR(($M299-IFERROR(INDEX(設定!$G$6:$G$21,MATCH($G299,設定!$B$6:$B$21,0)),0))*60,設定!$C$47)/60,2),0))</f>
        <v/>
      </c>
      <c r="R299" s="16">
        <f>IF(OR($C299="",$Q299=0),"",IF($G299="國","國定假日",IF($B299="日","例假",IF($B299="六","休息日","平日"))))</f>
        <v/>
      </c>
      <c r="S299" s="18" t="n"/>
    </row>
    <row r="300">
      <c r="A300" s="86">
        <f>IF(OR(醫護長與管理部班表!$A14="",19&gt;DAY(EOMONTH(DATE(設定!$C$2,設定!$D$2,1),0))),"",DATE(設定!$C$2,設定!$D$2,19))</f>
        <v/>
      </c>
      <c r="B300" s="16">
        <f>IF($A300="","",INDEX(設定!$O$6:$O$12,WEEKDAY($A300,1)))</f>
        <v/>
      </c>
      <c r="C300" s="16">
        <f>IF($A300="","",醫護長與管理部班表!$A14)</f>
        <v/>
      </c>
      <c r="D300" s="16">
        <f>IF($C300="","",醫護長與管理部班表!$B14)</f>
        <v/>
      </c>
      <c r="E300" s="16">
        <f>IF($C300="","",醫護長與管理部班表!$D14)</f>
        <v/>
      </c>
      <c r="F300" s="16">
        <f>IF($C300="","",醫護長與管理部班表!$C14)</f>
        <v/>
      </c>
      <c r="G300" s="16">
        <f>IF($C300="","",醫護長與管理部班表!W14)</f>
        <v/>
      </c>
      <c r="H300" s="87">
        <f>IF($G300="","",IFERROR(IF(INDEX(設定!$D$6:$D$21,MATCH($G300,設定!$B$6:$B$21,0))=0,"",INDEX(設定!$D$6:$D$21,MATCH($G300,設定!$B$6:$B$21,0))),""))</f>
        <v/>
      </c>
      <c r="I300" s="87">
        <f>IF($G300="","",IFERROR(IF(INDEX(設定!$E$6:$E$21,MATCH($G300,設定!$B$6:$B$21,0))=0,"",INDEX(設定!$E$6:$E$21,MATCH($G300,設定!$B$6:$B$21,0))),""))</f>
        <v/>
      </c>
      <c r="J300" s="87">
        <f>IFERROR(INDEX(打卡匯入!$C$3:$C$502,MATCH($C300&amp;"|"&amp;DAY($A300),打卡匯入!$E$3:$E$502,0)),"")</f>
        <v/>
      </c>
      <c r="K300" s="87">
        <f>IFERROR(INDEX(打卡匯入!$D$3:$D$502,MATCH($C300&amp;"|"&amp;DAY($A300),打卡匯入!$E$3:$E$502,0)),"")</f>
        <v/>
      </c>
      <c r="L300" s="88">
        <f>IF(OR($J300="",$K300=""),"",IFERROR(INDEX(設定!$F$6:$F$21,MATCH($G300,設定!$B$6:$B$21,0)),0))</f>
        <v/>
      </c>
      <c r="M300" s="89">
        <f>IF(OR($J300="",$K300=""),"",ROUND(($K300-$J300)*24-$L300/60,2))</f>
        <v/>
      </c>
      <c r="N300" s="16">
        <f>IF($C300="","",IF(AND(COUNTIF(設定!$B$15:$B$21,$G300)&gt;0,$J300&lt;&gt;""),"假日出勤",IF(AND(COUNTIF(設定!$B$6:$B$14,$G300)&gt;0,$J300=""),"未打卡",IF($J300="","",IF($O300&gt;0,"遲到",IF($P300&gt;0,"早退","正常"))))))</f>
        <v/>
      </c>
      <c r="O300" s="88">
        <f>IF(OR($C300="",$H300="",$J300=""),0,IF(ROUND(($J300-$H300)*1440,0)&gt;設定!$C$48,ROUND(($J300-$H300)*1440,0),0))</f>
        <v/>
      </c>
      <c r="P300" s="88">
        <f>IF(OR($C300="",$I300="",$K300=""),0,IF(ROUND(($I300-$K300)*1440,0)&gt;設定!$C$48,ROUND(($I300-$K300)*1440,0),0))</f>
        <v/>
      </c>
      <c r="Q300" s="89">
        <f>IF($M300="",0,IF(($M300-IFERROR(INDEX(設定!$G$6:$G$21,MATCH($G300,設定!$B$6:$B$21,0)),0))*60&gt;=設定!$C$46,ROUND(FLOOR(($M300-IFERROR(INDEX(設定!$G$6:$G$21,MATCH($G300,設定!$B$6:$B$21,0)),0))*60,設定!$C$47)/60,2),0))</f>
        <v/>
      </c>
      <c r="R300" s="16">
        <f>IF(OR($C300="",$Q300=0),"",IF($G300="國","國定假日",IF($B300="日","例假",IF($B300="六","休息日","平日"))))</f>
        <v/>
      </c>
      <c r="S300" s="18" t="n"/>
    </row>
    <row r="301">
      <c r="A301" s="86">
        <f>IF(OR(醫護長與管理部班表!$A14="",20&gt;DAY(EOMONTH(DATE(設定!$C$2,設定!$D$2,1),0))),"",DATE(設定!$C$2,設定!$D$2,20))</f>
        <v/>
      </c>
      <c r="B301" s="16">
        <f>IF($A301="","",INDEX(設定!$O$6:$O$12,WEEKDAY($A301,1)))</f>
        <v/>
      </c>
      <c r="C301" s="16">
        <f>IF($A301="","",醫護長與管理部班表!$A14)</f>
        <v/>
      </c>
      <c r="D301" s="16">
        <f>IF($C301="","",醫護長與管理部班表!$B14)</f>
        <v/>
      </c>
      <c r="E301" s="16">
        <f>IF($C301="","",醫護長與管理部班表!$D14)</f>
        <v/>
      </c>
      <c r="F301" s="16">
        <f>IF($C301="","",醫護長與管理部班表!$C14)</f>
        <v/>
      </c>
      <c r="G301" s="16">
        <f>IF($C301="","",醫護長與管理部班表!X14)</f>
        <v/>
      </c>
      <c r="H301" s="87">
        <f>IF($G301="","",IFERROR(IF(INDEX(設定!$D$6:$D$21,MATCH($G301,設定!$B$6:$B$21,0))=0,"",INDEX(設定!$D$6:$D$21,MATCH($G301,設定!$B$6:$B$21,0))),""))</f>
        <v/>
      </c>
      <c r="I301" s="87">
        <f>IF($G301="","",IFERROR(IF(INDEX(設定!$E$6:$E$21,MATCH($G301,設定!$B$6:$B$21,0))=0,"",INDEX(設定!$E$6:$E$21,MATCH($G301,設定!$B$6:$B$21,0))),""))</f>
        <v/>
      </c>
      <c r="J301" s="87">
        <f>IFERROR(INDEX(打卡匯入!$C$3:$C$502,MATCH($C301&amp;"|"&amp;DAY($A301),打卡匯入!$E$3:$E$502,0)),"")</f>
        <v/>
      </c>
      <c r="K301" s="87">
        <f>IFERROR(INDEX(打卡匯入!$D$3:$D$502,MATCH($C301&amp;"|"&amp;DAY($A301),打卡匯入!$E$3:$E$502,0)),"")</f>
        <v/>
      </c>
      <c r="L301" s="88">
        <f>IF(OR($J301="",$K301=""),"",IFERROR(INDEX(設定!$F$6:$F$21,MATCH($G301,設定!$B$6:$B$21,0)),0))</f>
        <v/>
      </c>
      <c r="M301" s="89">
        <f>IF(OR($J301="",$K301=""),"",ROUND(($K301-$J301)*24-$L301/60,2))</f>
        <v/>
      </c>
      <c r="N301" s="16">
        <f>IF($C301="","",IF(AND(COUNTIF(設定!$B$15:$B$21,$G301)&gt;0,$J301&lt;&gt;""),"假日出勤",IF(AND(COUNTIF(設定!$B$6:$B$14,$G301)&gt;0,$J301=""),"未打卡",IF($J301="","",IF($O301&gt;0,"遲到",IF($P301&gt;0,"早退","正常"))))))</f>
        <v/>
      </c>
      <c r="O301" s="88">
        <f>IF(OR($C301="",$H301="",$J301=""),0,IF(ROUND(($J301-$H301)*1440,0)&gt;設定!$C$48,ROUND(($J301-$H301)*1440,0),0))</f>
        <v/>
      </c>
      <c r="P301" s="88">
        <f>IF(OR($C301="",$I301="",$K301=""),0,IF(ROUND(($I301-$K301)*1440,0)&gt;設定!$C$48,ROUND(($I301-$K301)*1440,0),0))</f>
        <v/>
      </c>
      <c r="Q301" s="89">
        <f>IF($M301="",0,IF(($M301-IFERROR(INDEX(設定!$G$6:$G$21,MATCH($G301,設定!$B$6:$B$21,0)),0))*60&gt;=設定!$C$46,ROUND(FLOOR(($M301-IFERROR(INDEX(設定!$G$6:$G$21,MATCH($G301,設定!$B$6:$B$21,0)),0))*60,設定!$C$47)/60,2),0))</f>
        <v/>
      </c>
      <c r="R301" s="16">
        <f>IF(OR($C301="",$Q301=0),"",IF($G301="國","國定假日",IF($B301="日","例假",IF($B301="六","休息日","平日"))))</f>
        <v/>
      </c>
      <c r="S301" s="18" t="n"/>
    </row>
    <row r="302">
      <c r="A302" s="86">
        <f>IF(OR(醫護長與管理部班表!$A14="",21&gt;DAY(EOMONTH(DATE(設定!$C$2,設定!$D$2,1),0))),"",DATE(設定!$C$2,設定!$D$2,21))</f>
        <v/>
      </c>
      <c r="B302" s="16">
        <f>IF($A302="","",INDEX(設定!$O$6:$O$12,WEEKDAY($A302,1)))</f>
        <v/>
      </c>
      <c r="C302" s="16">
        <f>IF($A302="","",醫護長與管理部班表!$A14)</f>
        <v/>
      </c>
      <c r="D302" s="16">
        <f>IF($C302="","",醫護長與管理部班表!$B14)</f>
        <v/>
      </c>
      <c r="E302" s="16">
        <f>IF($C302="","",醫護長與管理部班表!$D14)</f>
        <v/>
      </c>
      <c r="F302" s="16">
        <f>IF($C302="","",醫護長與管理部班表!$C14)</f>
        <v/>
      </c>
      <c r="G302" s="16">
        <f>IF($C302="","",醫護長與管理部班表!Y14)</f>
        <v/>
      </c>
      <c r="H302" s="87">
        <f>IF($G302="","",IFERROR(IF(INDEX(設定!$D$6:$D$21,MATCH($G302,設定!$B$6:$B$21,0))=0,"",INDEX(設定!$D$6:$D$21,MATCH($G302,設定!$B$6:$B$21,0))),""))</f>
        <v/>
      </c>
      <c r="I302" s="87">
        <f>IF($G302="","",IFERROR(IF(INDEX(設定!$E$6:$E$21,MATCH($G302,設定!$B$6:$B$21,0))=0,"",INDEX(設定!$E$6:$E$21,MATCH($G302,設定!$B$6:$B$21,0))),""))</f>
        <v/>
      </c>
      <c r="J302" s="87">
        <f>IFERROR(INDEX(打卡匯入!$C$3:$C$502,MATCH($C302&amp;"|"&amp;DAY($A302),打卡匯入!$E$3:$E$502,0)),"")</f>
        <v/>
      </c>
      <c r="K302" s="87">
        <f>IFERROR(INDEX(打卡匯入!$D$3:$D$502,MATCH($C302&amp;"|"&amp;DAY($A302),打卡匯入!$E$3:$E$502,0)),"")</f>
        <v/>
      </c>
      <c r="L302" s="88">
        <f>IF(OR($J302="",$K302=""),"",IFERROR(INDEX(設定!$F$6:$F$21,MATCH($G302,設定!$B$6:$B$21,0)),0))</f>
        <v/>
      </c>
      <c r="M302" s="89">
        <f>IF(OR($J302="",$K302=""),"",ROUND(($K302-$J302)*24-$L302/60,2))</f>
        <v/>
      </c>
      <c r="N302" s="16">
        <f>IF($C302="","",IF(AND(COUNTIF(設定!$B$15:$B$21,$G302)&gt;0,$J302&lt;&gt;""),"假日出勤",IF(AND(COUNTIF(設定!$B$6:$B$14,$G302)&gt;0,$J302=""),"未打卡",IF($J302="","",IF($O302&gt;0,"遲到",IF($P302&gt;0,"早退","正常"))))))</f>
        <v/>
      </c>
      <c r="O302" s="88">
        <f>IF(OR($C302="",$H302="",$J302=""),0,IF(ROUND(($J302-$H302)*1440,0)&gt;設定!$C$48,ROUND(($J302-$H302)*1440,0),0))</f>
        <v/>
      </c>
      <c r="P302" s="88">
        <f>IF(OR($C302="",$I302="",$K302=""),0,IF(ROUND(($I302-$K302)*1440,0)&gt;設定!$C$48,ROUND(($I302-$K302)*1440,0),0))</f>
        <v/>
      </c>
      <c r="Q302" s="89">
        <f>IF($M302="",0,IF(($M302-IFERROR(INDEX(設定!$G$6:$G$21,MATCH($G302,設定!$B$6:$B$21,0)),0))*60&gt;=設定!$C$46,ROUND(FLOOR(($M302-IFERROR(INDEX(設定!$G$6:$G$21,MATCH($G302,設定!$B$6:$B$21,0)),0))*60,設定!$C$47)/60,2),0))</f>
        <v/>
      </c>
      <c r="R302" s="16">
        <f>IF(OR($C302="",$Q302=0),"",IF($G302="國","國定假日",IF($B302="日","例假",IF($B302="六","休息日","平日"))))</f>
        <v/>
      </c>
      <c r="S302" s="18" t="n"/>
    </row>
    <row r="303">
      <c r="A303" s="86">
        <f>IF(OR(醫護長與管理部班表!$A14="",22&gt;DAY(EOMONTH(DATE(設定!$C$2,設定!$D$2,1),0))),"",DATE(設定!$C$2,設定!$D$2,22))</f>
        <v/>
      </c>
      <c r="B303" s="16">
        <f>IF($A303="","",INDEX(設定!$O$6:$O$12,WEEKDAY($A303,1)))</f>
        <v/>
      </c>
      <c r="C303" s="16">
        <f>IF($A303="","",醫護長與管理部班表!$A14)</f>
        <v/>
      </c>
      <c r="D303" s="16">
        <f>IF($C303="","",醫護長與管理部班表!$B14)</f>
        <v/>
      </c>
      <c r="E303" s="16">
        <f>IF($C303="","",醫護長與管理部班表!$D14)</f>
        <v/>
      </c>
      <c r="F303" s="16">
        <f>IF($C303="","",醫護長與管理部班表!$C14)</f>
        <v/>
      </c>
      <c r="G303" s="16">
        <f>IF($C303="","",醫護長與管理部班表!Z14)</f>
        <v/>
      </c>
      <c r="H303" s="87">
        <f>IF($G303="","",IFERROR(IF(INDEX(設定!$D$6:$D$21,MATCH($G303,設定!$B$6:$B$21,0))=0,"",INDEX(設定!$D$6:$D$21,MATCH($G303,設定!$B$6:$B$21,0))),""))</f>
        <v/>
      </c>
      <c r="I303" s="87">
        <f>IF($G303="","",IFERROR(IF(INDEX(設定!$E$6:$E$21,MATCH($G303,設定!$B$6:$B$21,0))=0,"",INDEX(設定!$E$6:$E$21,MATCH($G303,設定!$B$6:$B$21,0))),""))</f>
        <v/>
      </c>
      <c r="J303" s="87">
        <f>IFERROR(INDEX(打卡匯入!$C$3:$C$502,MATCH($C303&amp;"|"&amp;DAY($A303),打卡匯入!$E$3:$E$502,0)),"")</f>
        <v/>
      </c>
      <c r="K303" s="87">
        <f>IFERROR(INDEX(打卡匯入!$D$3:$D$502,MATCH($C303&amp;"|"&amp;DAY($A303),打卡匯入!$E$3:$E$502,0)),"")</f>
        <v/>
      </c>
      <c r="L303" s="88">
        <f>IF(OR($J303="",$K303=""),"",IFERROR(INDEX(設定!$F$6:$F$21,MATCH($G303,設定!$B$6:$B$21,0)),0))</f>
        <v/>
      </c>
      <c r="M303" s="89">
        <f>IF(OR($J303="",$K303=""),"",ROUND(($K303-$J303)*24-$L303/60,2))</f>
        <v/>
      </c>
      <c r="N303" s="16">
        <f>IF($C303="","",IF(AND(COUNTIF(設定!$B$15:$B$21,$G303)&gt;0,$J303&lt;&gt;""),"假日出勤",IF(AND(COUNTIF(設定!$B$6:$B$14,$G303)&gt;0,$J303=""),"未打卡",IF($J303="","",IF($O303&gt;0,"遲到",IF($P303&gt;0,"早退","正常"))))))</f>
        <v/>
      </c>
      <c r="O303" s="88">
        <f>IF(OR($C303="",$H303="",$J303=""),0,IF(ROUND(($J303-$H303)*1440,0)&gt;設定!$C$48,ROUND(($J303-$H303)*1440,0),0))</f>
        <v/>
      </c>
      <c r="P303" s="88">
        <f>IF(OR($C303="",$I303="",$K303=""),0,IF(ROUND(($I303-$K303)*1440,0)&gt;設定!$C$48,ROUND(($I303-$K303)*1440,0),0))</f>
        <v/>
      </c>
      <c r="Q303" s="89">
        <f>IF($M303="",0,IF(($M303-IFERROR(INDEX(設定!$G$6:$G$21,MATCH($G303,設定!$B$6:$B$21,0)),0))*60&gt;=設定!$C$46,ROUND(FLOOR(($M303-IFERROR(INDEX(設定!$G$6:$G$21,MATCH($G303,設定!$B$6:$B$21,0)),0))*60,設定!$C$47)/60,2),0))</f>
        <v/>
      </c>
      <c r="R303" s="16">
        <f>IF(OR($C303="",$Q303=0),"",IF($G303="國","國定假日",IF($B303="日","例假",IF($B303="六","休息日","平日"))))</f>
        <v/>
      </c>
      <c r="S303" s="18" t="n"/>
    </row>
    <row r="304">
      <c r="A304" s="86">
        <f>IF(OR(醫護長與管理部班表!$A14="",23&gt;DAY(EOMONTH(DATE(設定!$C$2,設定!$D$2,1),0))),"",DATE(設定!$C$2,設定!$D$2,23))</f>
        <v/>
      </c>
      <c r="B304" s="16">
        <f>IF($A304="","",INDEX(設定!$O$6:$O$12,WEEKDAY($A304,1)))</f>
        <v/>
      </c>
      <c r="C304" s="16">
        <f>IF($A304="","",醫護長與管理部班表!$A14)</f>
        <v/>
      </c>
      <c r="D304" s="16">
        <f>IF($C304="","",醫護長與管理部班表!$B14)</f>
        <v/>
      </c>
      <c r="E304" s="16">
        <f>IF($C304="","",醫護長與管理部班表!$D14)</f>
        <v/>
      </c>
      <c r="F304" s="16">
        <f>IF($C304="","",醫護長與管理部班表!$C14)</f>
        <v/>
      </c>
      <c r="G304" s="16">
        <f>IF($C304="","",醫護長與管理部班表!AA14)</f>
        <v/>
      </c>
      <c r="H304" s="87">
        <f>IF($G304="","",IFERROR(IF(INDEX(設定!$D$6:$D$21,MATCH($G304,設定!$B$6:$B$21,0))=0,"",INDEX(設定!$D$6:$D$21,MATCH($G304,設定!$B$6:$B$21,0))),""))</f>
        <v/>
      </c>
      <c r="I304" s="87">
        <f>IF($G304="","",IFERROR(IF(INDEX(設定!$E$6:$E$21,MATCH($G304,設定!$B$6:$B$21,0))=0,"",INDEX(設定!$E$6:$E$21,MATCH($G304,設定!$B$6:$B$21,0))),""))</f>
        <v/>
      </c>
      <c r="J304" s="87">
        <f>IFERROR(INDEX(打卡匯入!$C$3:$C$502,MATCH($C304&amp;"|"&amp;DAY($A304),打卡匯入!$E$3:$E$502,0)),"")</f>
        <v/>
      </c>
      <c r="K304" s="87">
        <f>IFERROR(INDEX(打卡匯入!$D$3:$D$502,MATCH($C304&amp;"|"&amp;DAY($A304),打卡匯入!$E$3:$E$502,0)),"")</f>
        <v/>
      </c>
      <c r="L304" s="88">
        <f>IF(OR($J304="",$K304=""),"",IFERROR(INDEX(設定!$F$6:$F$21,MATCH($G304,設定!$B$6:$B$21,0)),0))</f>
        <v/>
      </c>
      <c r="M304" s="89">
        <f>IF(OR($J304="",$K304=""),"",ROUND(($K304-$J304)*24-$L304/60,2))</f>
        <v/>
      </c>
      <c r="N304" s="16">
        <f>IF($C304="","",IF(AND(COUNTIF(設定!$B$15:$B$21,$G304)&gt;0,$J304&lt;&gt;""),"假日出勤",IF(AND(COUNTIF(設定!$B$6:$B$14,$G304)&gt;0,$J304=""),"未打卡",IF($J304="","",IF($O304&gt;0,"遲到",IF($P304&gt;0,"早退","正常"))))))</f>
        <v/>
      </c>
      <c r="O304" s="88">
        <f>IF(OR($C304="",$H304="",$J304=""),0,IF(ROUND(($J304-$H304)*1440,0)&gt;設定!$C$48,ROUND(($J304-$H304)*1440,0),0))</f>
        <v/>
      </c>
      <c r="P304" s="88">
        <f>IF(OR($C304="",$I304="",$K304=""),0,IF(ROUND(($I304-$K304)*1440,0)&gt;設定!$C$48,ROUND(($I304-$K304)*1440,0),0))</f>
        <v/>
      </c>
      <c r="Q304" s="89">
        <f>IF($M304="",0,IF(($M304-IFERROR(INDEX(設定!$G$6:$G$21,MATCH($G304,設定!$B$6:$B$21,0)),0))*60&gt;=設定!$C$46,ROUND(FLOOR(($M304-IFERROR(INDEX(設定!$G$6:$G$21,MATCH($G304,設定!$B$6:$B$21,0)),0))*60,設定!$C$47)/60,2),0))</f>
        <v/>
      </c>
      <c r="R304" s="16">
        <f>IF(OR($C304="",$Q304=0),"",IF($G304="國","國定假日",IF($B304="日","例假",IF($B304="六","休息日","平日"))))</f>
        <v/>
      </c>
      <c r="S304" s="18" t="n"/>
    </row>
    <row r="305">
      <c r="A305" s="86">
        <f>IF(OR(醫護長與管理部班表!$A14="",24&gt;DAY(EOMONTH(DATE(設定!$C$2,設定!$D$2,1),0))),"",DATE(設定!$C$2,設定!$D$2,24))</f>
        <v/>
      </c>
      <c r="B305" s="16">
        <f>IF($A305="","",INDEX(設定!$O$6:$O$12,WEEKDAY($A305,1)))</f>
        <v/>
      </c>
      <c r="C305" s="16">
        <f>IF($A305="","",醫護長與管理部班表!$A14)</f>
        <v/>
      </c>
      <c r="D305" s="16">
        <f>IF($C305="","",醫護長與管理部班表!$B14)</f>
        <v/>
      </c>
      <c r="E305" s="16">
        <f>IF($C305="","",醫護長與管理部班表!$D14)</f>
        <v/>
      </c>
      <c r="F305" s="16">
        <f>IF($C305="","",醫護長與管理部班表!$C14)</f>
        <v/>
      </c>
      <c r="G305" s="16">
        <f>IF($C305="","",醫護長與管理部班表!AB14)</f>
        <v/>
      </c>
      <c r="H305" s="87">
        <f>IF($G305="","",IFERROR(IF(INDEX(設定!$D$6:$D$21,MATCH($G305,設定!$B$6:$B$21,0))=0,"",INDEX(設定!$D$6:$D$21,MATCH($G305,設定!$B$6:$B$21,0))),""))</f>
        <v/>
      </c>
      <c r="I305" s="87">
        <f>IF($G305="","",IFERROR(IF(INDEX(設定!$E$6:$E$21,MATCH($G305,設定!$B$6:$B$21,0))=0,"",INDEX(設定!$E$6:$E$21,MATCH($G305,設定!$B$6:$B$21,0))),""))</f>
        <v/>
      </c>
      <c r="J305" s="87">
        <f>IFERROR(INDEX(打卡匯入!$C$3:$C$502,MATCH($C305&amp;"|"&amp;DAY($A305),打卡匯入!$E$3:$E$502,0)),"")</f>
        <v/>
      </c>
      <c r="K305" s="87">
        <f>IFERROR(INDEX(打卡匯入!$D$3:$D$502,MATCH($C305&amp;"|"&amp;DAY($A305),打卡匯入!$E$3:$E$502,0)),"")</f>
        <v/>
      </c>
      <c r="L305" s="88">
        <f>IF(OR($J305="",$K305=""),"",IFERROR(INDEX(設定!$F$6:$F$21,MATCH($G305,設定!$B$6:$B$21,0)),0))</f>
        <v/>
      </c>
      <c r="M305" s="89">
        <f>IF(OR($J305="",$K305=""),"",ROUND(($K305-$J305)*24-$L305/60,2))</f>
        <v/>
      </c>
      <c r="N305" s="16">
        <f>IF($C305="","",IF(AND(COUNTIF(設定!$B$15:$B$21,$G305)&gt;0,$J305&lt;&gt;""),"假日出勤",IF(AND(COUNTIF(設定!$B$6:$B$14,$G305)&gt;0,$J305=""),"未打卡",IF($J305="","",IF($O305&gt;0,"遲到",IF($P305&gt;0,"早退","正常"))))))</f>
        <v/>
      </c>
      <c r="O305" s="88">
        <f>IF(OR($C305="",$H305="",$J305=""),0,IF(ROUND(($J305-$H305)*1440,0)&gt;設定!$C$48,ROUND(($J305-$H305)*1440,0),0))</f>
        <v/>
      </c>
      <c r="P305" s="88">
        <f>IF(OR($C305="",$I305="",$K305=""),0,IF(ROUND(($I305-$K305)*1440,0)&gt;設定!$C$48,ROUND(($I305-$K305)*1440,0),0))</f>
        <v/>
      </c>
      <c r="Q305" s="89">
        <f>IF($M305="",0,IF(($M305-IFERROR(INDEX(設定!$G$6:$G$21,MATCH($G305,設定!$B$6:$B$21,0)),0))*60&gt;=設定!$C$46,ROUND(FLOOR(($M305-IFERROR(INDEX(設定!$G$6:$G$21,MATCH($G305,設定!$B$6:$B$21,0)),0))*60,設定!$C$47)/60,2),0))</f>
        <v/>
      </c>
      <c r="R305" s="16">
        <f>IF(OR($C305="",$Q305=0),"",IF($G305="國","國定假日",IF($B305="日","例假",IF($B305="六","休息日","平日"))))</f>
        <v/>
      </c>
      <c r="S305" s="18" t="n"/>
    </row>
    <row r="306">
      <c r="A306" s="86">
        <f>IF(OR(醫護長與管理部班表!$A14="",25&gt;DAY(EOMONTH(DATE(設定!$C$2,設定!$D$2,1),0))),"",DATE(設定!$C$2,設定!$D$2,25))</f>
        <v/>
      </c>
      <c r="B306" s="16">
        <f>IF($A306="","",INDEX(設定!$O$6:$O$12,WEEKDAY($A306,1)))</f>
        <v/>
      </c>
      <c r="C306" s="16">
        <f>IF($A306="","",醫護長與管理部班表!$A14)</f>
        <v/>
      </c>
      <c r="D306" s="16">
        <f>IF($C306="","",醫護長與管理部班表!$B14)</f>
        <v/>
      </c>
      <c r="E306" s="16">
        <f>IF($C306="","",醫護長與管理部班表!$D14)</f>
        <v/>
      </c>
      <c r="F306" s="16">
        <f>IF($C306="","",醫護長與管理部班表!$C14)</f>
        <v/>
      </c>
      <c r="G306" s="16">
        <f>IF($C306="","",醫護長與管理部班表!AC14)</f>
        <v/>
      </c>
      <c r="H306" s="87">
        <f>IF($G306="","",IFERROR(IF(INDEX(設定!$D$6:$D$21,MATCH($G306,設定!$B$6:$B$21,0))=0,"",INDEX(設定!$D$6:$D$21,MATCH($G306,設定!$B$6:$B$21,0))),""))</f>
        <v/>
      </c>
      <c r="I306" s="87">
        <f>IF($G306="","",IFERROR(IF(INDEX(設定!$E$6:$E$21,MATCH($G306,設定!$B$6:$B$21,0))=0,"",INDEX(設定!$E$6:$E$21,MATCH($G306,設定!$B$6:$B$21,0))),""))</f>
        <v/>
      </c>
      <c r="J306" s="87">
        <f>IFERROR(INDEX(打卡匯入!$C$3:$C$502,MATCH($C306&amp;"|"&amp;DAY($A306),打卡匯入!$E$3:$E$502,0)),"")</f>
        <v/>
      </c>
      <c r="K306" s="87">
        <f>IFERROR(INDEX(打卡匯入!$D$3:$D$502,MATCH($C306&amp;"|"&amp;DAY($A306),打卡匯入!$E$3:$E$502,0)),"")</f>
        <v/>
      </c>
      <c r="L306" s="88">
        <f>IF(OR($J306="",$K306=""),"",IFERROR(INDEX(設定!$F$6:$F$21,MATCH($G306,設定!$B$6:$B$21,0)),0))</f>
        <v/>
      </c>
      <c r="M306" s="89">
        <f>IF(OR($J306="",$K306=""),"",ROUND(($K306-$J306)*24-$L306/60,2))</f>
        <v/>
      </c>
      <c r="N306" s="16">
        <f>IF($C306="","",IF(AND(COUNTIF(設定!$B$15:$B$21,$G306)&gt;0,$J306&lt;&gt;""),"假日出勤",IF(AND(COUNTIF(設定!$B$6:$B$14,$G306)&gt;0,$J306=""),"未打卡",IF($J306="","",IF($O306&gt;0,"遲到",IF($P306&gt;0,"早退","正常"))))))</f>
        <v/>
      </c>
      <c r="O306" s="88">
        <f>IF(OR($C306="",$H306="",$J306=""),0,IF(ROUND(($J306-$H306)*1440,0)&gt;設定!$C$48,ROUND(($J306-$H306)*1440,0),0))</f>
        <v/>
      </c>
      <c r="P306" s="88">
        <f>IF(OR($C306="",$I306="",$K306=""),0,IF(ROUND(($I306-$K306)*1440,0)&gt;設定!$C$48,ROUND(($I306-$K306)*1440,0),0))</f>
        <v/>
      </c>
      <c r="Q306" s="89">
        <f>IF($M306="",0,IF(($M306-IFERROR(INDEX(設定!$G$6:$G$21,MATCH($G306,設定!$B$6:$B$21,0)),0))*60&gt;=設定!$C$46,ROUND(FLOOR(($M306-IFERROR(INDEX(設定!$G$6:$G$21,MATCH($G306,設定!$B$6:$B$21,0)),0))*60,設定!$C$47)/60,2),0))</f>
        <v/>
      </c>
      <c r="R306" s="16">
        <f>IF(OR($C306="",$Q306=0),"",IF($G306="國","國定假日",IF($B306="日","例假",IF($B306="六","休息日","平日"))))</f>
        <v/>
      </c>
      <c r="S306" s="18" t="n"/>
    </row>
    <row r="307">
      <c r="A307" s="86">
        <f>IF(OR(醫護長與管理部班表!$A14="",26&gt;DAY(EOMONTH(DATE(設定!$C$2,設定!$D$2,1),0))),"",DATE(設定!$C$2,設定!$D$2,26))</f>
        <v/>
      </c>
      <c r="B307" s="16">
        <f>IF($A307="","",INDEX(設定!$O$6:$O$12,WEEKDAY($A307,1)))</f>
        <v/>
      </c>
      <c r="C307" s="16">
        <f>IF($A307="","",醫護長與管理部班表!$A14)</f>
        <v/>
      </c>
      <c r="D307" s="16">
        <f>IF($C307="","",醫護長與管理部班表!$B14)</f>
        <v/>
      </c>
      <c r="E307" s="16">
        <f>IF($C307="","",醫護長與管理部班表!$D14)</f>
        <v/>
      </c>
      <c r="F307" s="16">
        <f>IF($C307="","",醫護長與管理部班表!$C14)</f>
        <v/>
      </c>
      <c r="G307" s="16">
        <f>IF($C307="","",醫護長與管理部班表!AD14)</f>
        <v/>
      </c>
      <c r="H307" s="87">
        <f>IF($G307="","",IFERROR(IF(INDEX(設定!$D$6:$D$21,MATCH($G307,設定!$B$6:$B$21,0))=0,"",INDEX(設定!$D$6:$D$21,MATCH($G307,設定!$B$6:$B$21,0))),""))</f>
        <v/>
      </c>
      <c r="I307" s="87">
        <f>IF($G307="","",IFERROR(IF(INDEX(設定!$E$6:$E$21,MATCH($G307,設定!$B$6:$B$21,0))=0,"",INDEX(設定!$E$6:$E$21,MATCH($G307,設定!$B$6:$B$21,0))),""))</f>
        <v/>
      </c>
      <c r="J307" s="87">
        <f>IFERROR(INDEX(打卡匯入!$C$3:$C$502,MATCH($C307&amp;"|"&amp;DAY($A307),打卡匯入!$E$3:$E$502,0)),"")</f>
        <v/>
      </c>
      <c r="K307" s="87">
        <f>IFERROR(INDEX(打卡匯入!$D$3:$D$502,MATCH($C307&amp;"|"&amp;DAY($A307),打卡匯入!$E$3:$E$502,0)),"")</f>
        <v/>
      </c>
      <c r="L307" s="88">
        <f>IF(OR($J307="",$K307=""),"",IFERROR(INDEX(設定!$F$6:$F$21,MATCH($G307,設定!$B$6:$B$21,0)),0))</f>
        <v/>
      </c>
      <c r="M307" s="89">
        <f>IF(OR($J307="",$K307=""),"",ROUND(($K307-$J307)*24-$L307/60,2))</f>
        <v/>
      </c>
      <c r="N307" s="16">
        <f>IF($C307="","",IF(AND(COUNTIF(設定!$B$15:$B$21,$G307)&gt;0,$J307&lt;&gt;""),"假日出勤",IF(AND(COUNTIF(設定!$B$6:$B$14,$G307)&gt;0,$J307=""),"未打卡",IF($J307="","",IF($O307&gt;0,"遲到",IF($P307&gt;0,"早退","正常"))))))</f>
        <v/>
      </c>
      <c r="O307" s="88">
        <f>IF(OR($C307="",$H307="",$J307=""),0,IF(ROUND(($J307-$H307)*1440,0)&gt;設定!$C$48,ROUND(($J307-$H307)*1440,0),0))</f>
        <v/>
      </c>
      <c r="P307" s="88">
        <f>IF(OR($C307="",$I307="",$K307=""),0,IF(ROUND(($I307-$K307)*1440,0)&gt;設定!$C$48,ROUND(($I307-$K307)*1440,0),0))</f>
        <v/>
      </c>
      <c r="Q307" s="89">
        <f>IF($M307="",0,IF(($M307-IFERROR(INDEX(設定!$G$6:$G$21,MATCH($G307,設定!$B$6:$B$21,0)),0))*60&gt;=設定!$C$46,ROUND(FLOOR(($M307-IFERROR(INDEX(設定!$G$6:$G$21,MATCH($G307,設定!$B$6:$B$21,0)),0))*60,設定!$C$47)/60,2),0))</f>
        <v/>
      </c>
      <c r="R307" s="16">
        <f>IF(OR($C307="",$Q307=0),"",IF($G307="國","國定假日",IF($B307="日","例假",IF($B307="六","休息日","平日"))))</f>
        <v/>
      </c>
      <c r="S307" s="18" t="n"/>
    </row>
    <row r="308">
      <c r="A308" s="86">
        <f>IF(OR(醫護長與管理部班表!$A14="",27&gt;DAY(EOMONTH(DATE(設定!$C$2,設定!$D$2,1),0))),"",DATE(設定!$C$2,設定!$D$2,27))</f>
        <v/>
      </c>
      <c r="B308" s="16">
        <f>IF($A308="","",INDEX(設定!$O$6:$O$12,WEEKDAY($A308,1)))</f>
        <v/>
      </c>
      <c r="C308" s="16">
        <f>IF($A308="","",醫護長與管理部班表!$A14)</f>
        <v/>
      </c>
      <c r="D308" s="16">
        <f>IF($C308="","",醫護長與管理部班表!$B14)</f>
        <v/>
      </c>
      <c r="E308" s="16">
        <f>IF($C308="","",醫護長與管理部班表!$D14)</f>
        <v/>
      </c>
      <c r="F308" s="16">
        <f>IF($C308="","",醫護長與管理部班表!$C14)</f>
        <v/>
      </c>
      <c r="G308" s="16">
        <f>IF($C308="","",醫護長與管理部班表!AE14)</f>
        <v/>
      </c>
      <c r="H308" s="87">
        <f>IF($G308="","",IFERROR(IF(INDEX(設定!$D$6:$D$21,MATCH($G308,設定!$B$6:$B$21,0))=0,"",INDEX(設定!$D$6:$D$21,MATCH($G308,設定!$B$6:$B$21,0))),""))</f>
        <v/>
      </c>
      <c r="I308" s="87">
        <f>IF($G308="","",IFERROR(IF(INDEX(設定!$E$6:$E$21,MATCH($G308,設定!$B$6:$B$21,0))=0,"",INDEX(設定!$E$6:$E$21,MATCH($G308,設定!$B$6:$B$21,0))),""))</f>
        <v/>
      </c>
      <c r="J308" s="87">
        <f>IFERROR(INDEX(打卡匯入!$C$3:$C$502,MATCH($C308&amp;"|"&amp;DAY($A308),打卡匯入!$E$3:$E$502,0)),"")</f>
        <v/>
      </c>
      <c r="K308" s="87">
        <f>IFERROR(INDEX(打卡匯入!$D$3:$D$502,MATCH($C308&amp;"|"&amp;DAY($A308),打卡匯入!$E$3:$E$502,0)),"")</f>
        <v/>
      </c>
      <c r="L308" s="88">
        <f>IF(OR($J308="",$K308=""),"",IFERROR(INDEX(設定!$F$6:$F$21,MATCH($G308,設定!$B$6:$B$21,0)),0))</f>
        <v/>
      </c>
      <c r="M308" s="89">
        <f>IF(OR($J308="",$K308=""),"",ROUND(($K308-$J308)*24-$L308/60,2))</f>
        <v/>
      </c>
      <c r="N308" s="16">
        <f>IF($C308="","",IF(AND(COUNTIF(設定!$B$15:$B$21,$G308)&gt;0,$J308&lt;&gt;""),"假日出勤",IF(AND(COUNTIF(設定!$B$6:$B$14,$G308)&gt;0,$J308=""),"未打卡",IF($J308="","",IF($O308&gt;0,"遲到",IF($P308&gt;0,"早退","正常"))))))</f>
        <v/>
      </c>
      <c r="O308" s="88">
        <f>IF(OR($C308="",$H308="",$J308=""),0,IF(ROUND(($J308-$H308)*1440,0)&gt;設定!$C$48,ROUND(($J308-$H308)*1440,0),0))</f>
        <v/>
      </c>
      <c r="P308" s="88">
        <f>IF(OR($C308="",$I308="",$K308=""),0,IF(ROUND(($I308-$K308)*1440,0)&gt;設定!$C$48,ROUND(($I308-$K308)*1440,0),0))</f>
        <v/>
      </c>
      <c r="Q308" s="89">
        <f>IF($M308="",0,IF(($M308-IFERROR(INDEX(設定!$G$6:$G$21,MATCH($G308,設定!$B$6:$B$21,0)),0))*60&gt;=設定!$C$46,ROUND(FLOOR(($M308-IFERROR(INDEX(設定!$G$6:$G$21,MATCH($G308,設定!$B$6:$B$21,0)),0))*60,設定!$C$47)/60,2),0))</f>
        <v/>
      </c>
      <c r="R308" s="16">
        <f>IF(OR($C308="",$Q308=0),"",IF($G308="國","國定假日",IF($B308="日","例假",IF($B308="六","休息日","平日"))))</f>
        <v/>
      </c>
      <c r="S308" s="18" t="n"/>
    </row>
    <row r="309">
      <c r="A309" s="86">
        <f>IF(OR(醫護長與管理部班表!$A14="",28&gt;DAY(EOMONTH(DATE(設定!$C$2,設定!$D$2,1),0))),"",DATE(設定!$C$2,設定!$D$2,28))</f>
        <v/>
      </c>
      <c r="B309" s="16">
        <f>IF($A309="","",INDEX(設定!$O$6:$O$12,WEEKDAY($A309,1)))</f>
        <v/>
      </c>
      <c r="C309" s="16">
        <f>IF($A309="","",醫護長與管理部班表!$A14)</f>
        <v/>
      </c>
      <c r="D309" s="16">
        <f>IF($C309="","",醫護長與管理部班表!$B14)</f>
        <v/>
      </c>
      <c r="E309" s="16">
        <f>IF($C309="","",醫護長與管理部班表!$D14)</f>
        <v/>
      </c>
      <c r="F309" s="16">
        <f>IF($C309="","",醫護長與管理部班表!$C14)</f>
        <v/>
      </c>
      <c r="G309" s="16">
        <f>IF($C309="","",醫護長與管理部班表!AF14)</f>
        <v/>
      </c>
      <c r="H309" s="87">
        <f>IF($G309="","",IFERROR(IF(INDEX(設定!$D$6:$D$21,MATCH($G309,設定!$B$6:$B$21,0))=0,"",INDEX(設定!$D$6:$D$21,MATCH($G309,設定!$B$6:$B$21,0))),""))</f>
        <v/>
      </c>
      <c r="I309" s="87">
        <f>IF($G309="","",IFERROR(IF(INDEX(設定!$E$6:$E$21,MATCH($G309,設定!$B$6:$B$21,0))=0,"",INDEX(設定!$E$6:$E$21,MATCH($G309,設定!$B$6:$B$21,0))),""))</f>
        <v/>
      </c>
      <c r="J309" s="87">
        <f>IFERROR(INDEX(打卡匯入!$C$3:$C$502,MATCH($C309&amp;"|"&amp;DAY($A309),打卡匯入!$E$3:$E$502,0)),"")</f>
        <v/>
      </c>
      <c r="K309" s="87">
        <f>IFERROR(INDEX(打卡匯入!$D$3:$D$502,MATCH($C309&amp;"|"&amp;DAY($A309),打卡匯入!$E$3:$E$502,0)),"")</f>
        <v/>
      </c>
      <c r="L309" s="88">
        <f>IF(OR($J309="",$K309=""),"",IFERROR(INDEX(設定!$F$6:$F$21,MATCH($G309,設定!$B$6:$B$21,0)),0))</f>
        <v/>
      </c>
      <c r="M309" s="89">
        <f>IF(OR($J309="",$K309=""),"",ROUND(($K309-$J309)*24-$L309/60,2))</f>
        <v/>
      </c>
      <c r="N309" s="16">
        <f>IF($C309="","",IF(AND(COUNTIF(設定!$B$15:$B$21,$G309)&gt;0,$J309&lt;&gt;""),"假日出勤",IF(AND(COUNTIF(設定!$B$6:$B$14,$G309)&gt;0,$J309=""),"未打卡",IF($J309="","",IF($O309&gt;0,"遲到",IF($P309&gt;0,"早退","正常"))))))</f>
        <v/>
      </c>
      <c r="O309" s="88">
        <f>IF(OR($C309="",$H309="",$J309=""),0,IF(ROUND(($J309-$H309)*1440,0)&gt;設定!$C$48,ROUND(($J309-$H309)*1440,0),0))</f>
        <v/>
      </c>
      <c r="P309" s="88">
        <f>IF(OR($C309="",$I309="",$K309=""),0,IF(ROUND(($I309-$K309)*1440,0)&gt;設定!$C$48,ROUND(($I309-$K309)*1440,0),0))</f>
        <v/>
      </c>
      <c r="Q309" s="89">
        <f>IF($M309="",0,IF(($M309-IFERROR(INDEX(設定!$G$6:$G$21,MATCH($G309,設定!$B$6:$B$21,0)),0))*60&gt;=設定!$C$46,ROUND(FLOOR(($M309-IFERROR(INDEX(設定!$G$6:$G$21,MATCH($G309,設定!$B$6:$B$21,0)),0))*60,設定!$C$47)/60,2),0))</f>
        <v/>
      </c>
      <c r="R309" s="16">
        <f>IF(OR($C309="",$Q309=0),"",IF($G309="國","國定假日",IF($B309="日","例假",IF($B309="六","休息日","平日"))))</f>
        <v/>
      </c>
      <c r="S309" s="18" t="n"/>
    </row>
    <row r="310">
      <c r="A310" s="86">
        <f>IF(OR(醫護長與管理部班表!$A14="",29&gt;DAY(EOMONTH(DATE(設定!$C$2,設定!$D$2,1),0))),"",DATE(設定!$C$2,設定!$D$2,29))</f>
        <v/>
      </c>
      <c r="B310" s="16">
        <f>IF($A310="","",INDEX(設定!$O$6:$O$12,WEEKDAY($A310,1)))</f>
        <v/>
      </c>
      <c r="C310" s="16">
        <f>IF($A310="","",醫護長與管理部班表!$A14)</f>
        <v/>
      </c>
      <c r="D310" s="16">
        <f>IF($C310="","",醫護長與管理部班表!$B14)</f>
        <v/>
      </c>
      <c r="E310" s="16">
        <f>IF($C310="","",醫護長與管理部班表!$D14)</f>
        <v/>
      </c>
      <c r="F310" s="16">
        <f>IF($C310="","",醫護長與管理部班表!$C14)</f>
        <v/>
      </c>
      <c r="G310" s="16">
        <f>IF($C310="","",醫護長與管理部班表!AG14)</f>
        <v/>
      </c>
      <c r="H310" s="87">
        <f>IF($G310="","",IFERROR(IF(INDEX(設定!$D$6:$D$21,MATCH($G310,設定!$B$6:$B$21,0))=0,"",INDEX(設定!$D$6:$D$21,MATCH($G310,設定!$B$6:$B$21,0))),""))</f>
        <v/>
      </c>
      <c r="I310" s="87">
        <f>IF($G310="","",IFERROR(IF(INDEX(設定!$E$6:$E$21,MATCH($G310,設定!$B$6:$B$21,0))=0,"",INDEX(設定!$E$6:$E$21,MATCH($G310,設定!$B$6:$B$21,0))),""))</f>
        <v/>
      </c>
      <c r="J310" s="87">
        <f>IFERROR(INDEX(打卡匯入!$C$3:$C$502,MATCH($C310&amp;"|"&amp;DAY($A310),打卡匯入!$E$3:$E$502,0)),"")</f>
        <v/>
      </c>
      <c r="K310" s="87">
        <f>IFERROR(INDEX(打卡匯入!$D$3:$D$502,MATCH($C310&amp;"|"&amp;DAY($A310),打卡匯入!$E$3:$E$502,0)),"")</f>
        <v/>
      </c>
      <c r="L310" s="88">
        <f>IF(OR($J310="",$K310=""),"",IFERROR(INDEX(設定!$F$6:$F$21,MATCH($G310,設定!$B$6:$B$21,0)),0))</f>
        <v/>
      </c>
      <c r="M310" s="89">
        <f>IF(OR($J310="",$K310=""),"",ROUND(($K310-$J310)*24-$L310/60,2))</f>
        <v/>
      </c>
      <c r="N310" s="16">
        <f>IF($C310="","",IF(AND(COUNTIF(設定!$B$15:$B$21,$G310)&gt;0,$J310&lt;&gt;""),"假日出勤",IF(AND(COUNTIF(設定!$B$6:$B$14,$G310)&gt;0,$J310=""),"未打卡",IF($J310="","",IF($O310&gt;0,"遲到",IF($P310&gt;0,"早退","正常"))))))</f>
        <v/>
      </c>
      <c r="O310" s="88">
        <f>IF(OR($C310="",$H310="",$J310=""),0,IF(ROUND(($J310-$H310)*1440,0)&gt;設定!$C$48,ROUND(($J310-$H310)*1440,0),0))</f>
        <v/>
      </c>
      <c r="P310" s="88">
        <f>IF(OR($C310="",$I310="",$K310=""),0,IF(ROUND(($I310-$K310)*1440,0)&gt;設定!$C$48,ROUND(($I310-$K310)*1440,0),0))</f>
        <v/>
      </c>
      <c r="Q310" s="89">
        <f>IF($M310="",0,IF(($M310-IFERROR(INDEX(設定!$G$6:$G$21,MATCH($G310,設定!$B$6:$B$21,0)),0))*60&gt;=設定!$C$46,ROUND(FLOOR(($M310-IFERROR(INDEX(設定!$G$6:$G$21,MATCH($G310,設定!$B$6:$B$21,0)),0))*60,設定!$C$47)/60,2),0))</f>
        <v/>
      </c>
      <c r="R310" s="16">
        <f>IF(OR($C310="",$Q310=0),"",IF($G310="國","國定假日",IF($B310="日","例假",IF($B310="六","休息日","平日"))))</f>
        <v/>
      </c>
      <c r="S310" s="18" t="n"/>
    </row>
    <row r="311">
      <c r="A311" s="86">
        <f>IF(OR(醫護長與管理部班表!$A14="",30&gt;DAY(EOMONTH(DATE(設定!$C$2,設定!$D$2,1),0))),"",DATE(設定!$C$2,設定!$D$2,30))</f>
        <v/>
      </c>
      <c r="B311" s="16">
        <f>IF($A311="","",INDEX(設定!$O$6:$O$12,WEEKDAY($A311,1)))</f>
        <v/>
      </c>
      <c r="C311" s="16">
        <f>IF($A311="","",醫護長與管理部班表!$A14)</f>
        <v/>
      </c>
      <c r="D311" s="16">
        <f>IF($C311="","",醫護長與管理部班表!$B14)</f>
        <v/>
      </c>
      <c r="E311" s="16">
        <f>IF($C311="","",醫護長與管理部班表!$D14)</f>
        <v/>
      </c>
      <c r="F311" s="16">
        <f>IF($C311="","",醫護長與管理部班表!$C14)</f>
        <v/>
      </c>
      <c r="G311" s="16">
        <f>IF($C311="","",醫護長與管理部班表!AH14)</f>
        <v/>
      </c>
      <c r="H311" s="87">
        <f>IF($G311="","",IFERROR(IF(INDEX(設定!$D$6:$D$21,MATCH($G311,設定!$B$6:$B$21,0))=0,"",INDEX(設定!$D$6:$D$21,MATCH($G311,設定!$B$6:$B$21,0))),""))</f>
        <v/>
      </c>
      <c r="I311" s="87">
        <f>IF($G311="","",IFERROR(IF(INDEX(設定!$E$6:$E$21,MATCH($G311,設定!$B$6:$B$21,0))=0,"",INDEX(設定!$E$6:$E$21,MATCH($G311,設定!$B$6:$B$21,0))),""))</f>
        <v/>
      </c>
      <c r="J311" s="87">
        <f>IFERROR(INDEX(打卡匯入!$C$3:$C$502,MATCH($C311&amp;"|"&amp;DAY($A311),打卡匯入!$E$3:$E$502,0)),"")</f>
        <v/>
      </c>
      <c r="K311" s="87">
        <f>IFERROR(INDEX(打卡匯入!$D$3:$D$502,MATCH($C311&amp;"|"&amp;DAY($A311),打卡匯入!$E$3:$E$502,0)),"")</f>
        <v/>
      </c>
      <c r="L311" s="88">
        <f>IF(OR($J311="",$K311=""),"",IFERROR(INDEX(設定!$F$6:$F$21,MATCH($G311,設定!$B$6:$B$21,0)),0))</f>
        <v/>
      </c>
      <c r="M311" s="89">
        <f>IF(OR($J311="",$K311=""),"",ROUND(($K311-$J311)*24-$L311/60,2))</f>
        <v/>
      </c>
      <c r="N311" s="16">
        <f>IF($C311="","",IF(AND(COUNTIF(設定!$B$15:$B$21,$G311)&gt;0,$J311&lt;&gt;""),"假日出勤",IF(AND(COUNTIF(設定!$B$6:$B$14,$G311)&gt;0,$J311=""),"未打卡",IF($J311="","",IF($O311&gt;0,"遲到",IF($P311&gt;0,"早退","正常"))))))</f>
        <v/>
      </c>
      <c r="O311" s="88">
        <f>IF(OR($C311="",$H311="",$J311=""),0,IF(ROUND(($J311-$H311)*1440,0)&gt;設定!$C$48,ROUND(($J311-$H311)*1440,0),0))</f>
        <v/>
      </c>
      <c r="P311" s="88">
        <f>IF(OR($C311="",$I311="",$K311=""),0,IF(ROUND(($I311-$K311)*1440,0)&gt;設定!$C$48,ROUND(($I311-$K311)*1440,0),0))</f>
        <v/>
      </c>
      <c r="Q311" s="89">
        <f>IF($M311="",0,IF(($M311-IFERROR(INDEX(設定!$G$6:$G$21,MATCH($G311,設定!$B$6:$B$21,0)),0))*60&gt;=設定!$C$46,ROUND(FLOOR(($M311-IFERROR(INDEX(設定!$G$6:$G$21,MATCH($G311,設定!$B$6:$B$21,0)),0))*60,設定!$C$47)/60,2),0))</f>
        <v/>
      </c>
      <c r="R311" s="16">
        <f>IF(OR($C311="",$Q311=0),"",IF($G311="國","國定假日",IF($B311="日","例假",IF($B311="六","休息日","平日"))))</f>
        <v/>
      </c>
      <c r="S311" s="18" t="n"/>
    </row>
    <row r="312">
      <c r="A312" s="86">
        <f>IF(OR(醫護長與管理部班表!$A14="",31&gt;DAY(EOMONTH(DATE(設定!$C$2,設定!$D$2,1),0))),"",DATE(設定!$C$2,設定!$D$2,31))</f>
        <v/>
      </c>
      <c r="B312" s="16">
        <f>IF($A312="","",INDEX(設定!$O$6:$O$12,WEEKDAY($A312,1)))</f>
        <v/>
      </c>
      <c r="C312" s="16">
        <f>IF($A312="","",醫護長與管理部班表!$A14)</f>
        <v/>
      </c>
      <c r="D312" s="16">
        <f>IF($C312="","",醫護長與管理部班表!$B14)</f>
        <v/>
      </c>
      <c r="E312" s="16">
        <f>IF($C312="","",醫護長與管理部班表!$D14)</f>
        <v/>
      </c>
      <c r="F312" s="16">
        <f>IF($C312="","",醫護長與管理部班表!$C14)</f>
        <v/>
      </c>
      <c r="G312" s="16">
        <f>IF($C312="","",醫護長與管理部班表!AI14)</f>
        <v/>
      </c>
      <c r="H312" s="87">
        <f>IF($G312="","",IFERROR(IF(INDEX(設定!$D$6:$D$21,MATCH($G312,設定!$B$6:$B$21,0))=0,"",INDEX(設定!$D$6:$D$21,MATCH($G312,設定!$B$6:$B$21,0))),""))</f>
        <v/>
      </c>
      <c r="I312" s="87">
        <f>IF($G312="","",IFERROR(IF(INDEX(設定!$E$6:$E$21,MATCH($G312,設定!$B$6:$B$21,0))=0,"",INDEX(設定!$E$6:$E$21,MATCH($G312,設定!$B$6:$B$21,0))),""))</f>
        <v/>
      </c>
      <c r="J312" s="87">
        <f>IFERROR(INDEX(打卡匯入!$C$3:$C$502,MATCH($C312&amp;"|"&amp;DAY($A312),打卡匯入!$E$3:$E$502,0)),"")</f>
        <v/>
      </c>
      <c r="K312" s="87">
        <f>IFERROR(INDEX(打卡匯入!$D$3:$D$502,MATCH($C312&amp;"|"&amp;DAY($A312),打卡匯入!$E$3:$E$502,0)),"")</f>
        <v/>
      </c>
      <c r="L312" s="88">
        <f>IF(OR($J312="",$K312=""),"",IFERROR(INDEX(設定!$F$6:$F$21,MATCH($G312,設定!$B$6:$B$21,0)),0))</f>
        <v/>
      </c>
      <c r="M312" s="89">
        <f>IF(OR($J312="",$K312=""),"",ROUND(($K312-$J312)*24-$L312/60,2))</f>
        <v/>
      </c>
      <c r="N312" s="16">
        <f>IF($C312="","",IF(AND(COUNTIF(設定!$B$15:$B$21,$G312)&gt;0,$J312&lt;&gt;""),"假日出勤",IF(AND(COUNTIF(設定!$B$6:$B$14,$G312)&gt;0,$J312=""),"未打卡",IF($J312="","",IF($O312&gt;0,"遲到",IF($P312&gt;0,"早退","正常"))))))</f>
        <v/>
      </c>
      <c r="O312" s="88">
        <f>IF(OR($C312="",$H312="",$J312=""),0,IF(ROUND(($J312-$H312)*1440,0)&gt;設定!$C$48,ROUND(($J312-$H312)*1440,0),0))</f>
        <v/>
      </c>
      <c r="P312" s="88">
        <f>IF(OR($C312="",$I312="",$K312=""),0,IF(ROUND(($I312-$K312)*1440,0)&gt;設定!$C$48,ROUND(($I312-$K312)*1440,0),0))</f>
        <v/>
      </c>
      <c r="Q312" s="89">
        <f>IF($M312="",0,IF(($M312-IFERROR(INDEX(設定!$G$6:$G$21,MATCH($G312,設定!$B$6:$B$21,0)),0))*60&gt;=設定!$C$46,ROUND(FLOOR(($M312-IFERROR(INDEX(設定!$G$6:$G$21,MATCH($G312,設定!$B$6:$B$21,0)),0))*60,設定!$C$47)/60,2),0))</f>
        <v/>
      </c>
      <c r="R312" s="16">
        <f>IF(OR($C312="",$Q312=0),"",IF($G312="國","國定假日",IF($B312="日","例假",IF($B312="六","休息日","平日"))))</f>
        <v/>
      </c>
      <c r="S312" s="18" t="n"/>
    </row>
    <row r="313">
      <c r="A313" s="86">
        <f>IF(OR(醫護長與管理部班表!$A15="",1&gt;DAY(EOMONTH(DATE(設定!$C$2,設定!$D$2,1),0))),"",DATE(設定!$C$2,設定!$D$2,1))</f>
        <v/>
      </c>
      <c r="B313" s="16">
        <f>IF($A313="","",INDEX(設定!$O$6:$O$12,WEEKDAY($A313,1)))</f>
        <v/>
      </c>
      <c r="C313" s="16">
        <f>IF($A313="","",醫護長與管理部班表!$A15)</f>
        <v/>
      </c>
      <c r="D313" s="16">
        <f>IF($C313="","",醫護長與管理部班表!$B15)</f>
        <v/>
      </c>
      <c r="E313" s="16">
        <f>IF($C313="","",醫護長與管理部班表!$D15)</f>
        <v/>
      </c>
      <c r="F313" s="16">
        <f>IF($C313="","",醫護長與管理部班表!$C15)</f>
        <v/>
      </c>
      <c r="G313" s="16">
        <f>IF($C313="","",醫護長與管理部班表!E15)</f>
        <v/>
      </c>
      <c r="H313" s="87">
        <f>IF($G313="","",IFERROR(IF(INDEX(設定!$D$6:$D$21,MATCH($G313,設定!$B$6:$B$21,0))=0,"",INDEX(設定!$D$6:$D$21,MATCH($G313,設定!$B$6:$B$21,0))),""))</f>
        <v/>
      </c>
      <c r="I313" s="87">
        <f>IF($G313="","",IFERROR(IF(INDEX(設定!$E$6:$E$21,MATCH($G313,設定!$B$6:$B$21,0))=0,"",INDEX(設定!$E$6:$E$21,MATCH($G313,設定!$B$6:$B$21,0))),""))</f>
        <v/>
      </c>
      <c r="J313" s="87">
        <f>IFERROR(INDEX(打卡匯入!$C$3:$C$502,MATCH($C313&amp;"|"&amp;DAY($A313),打卡匯入!$E$3:$E$502,0)),"")</f>
        <v/>
      </c>
      <c r="K313" s="87">
        <f>IFERROR(INDEX(打卡匯入!$D$3:$D$502,MATCH($C313&amp;"|"&amp;DAY($A313),打卡匯入!$E$3:$E$502,0)),"")</f>
        <v/>
      </c>
      <c r="L313" s="88">
        <f>IF(OR($J313="",$K313=""),"",IFERROR(INDEX(設定!$F$6:$F$21,MATCH($G313,設定!$B$6:$B$21,0)),0))</f>
        <v/>
      </c>
      <c r="M313" s="89">
        <f>IF(OR($J313="",$K313=""),"",ROUND(($K313-$J313)*24-$L313/60,2))</f>
        <v/>
      </c>
      <c r="N313" s="16">
        <f>IF($C313="","",IF(AND(COUNTIF(設定!$B$15:$B$21,$G313)&gt;0,$J313&lt;&gt;""),"假日出勤",IF(AND(COUNTIF(設定!$B$6:$B$14,$G313)&gt;0,$J313=""),"未打卡",IF($J313="","",IF($O313&gt;0,"遲到",IF($P313&gt;0,"早退","正常"))))))</f>
        <v/>
      </c>
      <c r="O313" s="88">
        <f>IF(OR($C313="",$H313="",$J313=""),0,IF(ROUND(($J313-$H313)*1440,0)&gt;設定!$C$48,ROUND(($J313-$H313)*1440,0),0))</f>
        <v/>
      </c>
      <c r="P313" s="88">
        <f>IF(OR($C313="",$I313="",$K313=""),0,IF(ROUND(($I313-$K313)*1440,0)&gt;設定!$C$48,ROUND(($I313-$K313)*1440,0),0))</f>
        <v/>
      </c>
      <c r="Q313" s="89">
        <f>IF($M313="",0,IF(($M313-IFERROR(INDEX(設定!$G$6:$G$21,MATCH($G313,設定!$B$6:$B$21,0)),0))*60&gt;=設定!$C$46,ROUND(FLOOR(($M313-IFERROR(INDEX(設定!$G$6:$G$21,MATCH($G313,設定!$B$6:$B$21,0)),0))*60,設定!$C$47)/60,2),0))</f>
        <v/>
      </c>
      <c r="R313" s="16">
        <f>IF(OR($C313="",$Q313=0),"",IF($G313="國","國定假日",IF($B313="日","例假",IF($B313="六","休息日","平日"))))</f>
        <v/>
      </c>
      <c r="S313" s="18" t="n"/>
    </row>
    <row r="314">
      <c r="A314" s="86">
        <f>IF(OR(醫護長與管理部班表!$A15="",2&gt;DAY(EOMONTH(DATE(設定!$C$2,設定!$D$2,1),0))),"",DATE(設定!$C$2,設定!$D$2,2))</f>
        <v/>
      </c>
      <c r="B314" s="16">
        <f>IF($A314="","",INDEX(設定!$O$6:$O$12,WEEKDAY($A314,1)))</f>
        <v/>
      </c>
      <c r="C314" s="16">
        <f>IF($A314="","",醫護長與管理部班表!$A15)</f>
        <v/>
      </c>
      <c r="D314" s="16">
        <f>IF($C314="","",醫護長與管理部班表!$B15)</f>
        <v/>
      </c>
      <c r="E314" s="16">
        <f>IF($C314="","",醫護長與管理部班表!$D15)</f>
        <v/>
      </c>
      <c r="F314" s="16">
        <f>IF($C314="","",醫護長與管理部班表!$C15)</f>
        <v/>
      </c>
      <c r="G314" s="16">
        <f>IF($C314="","",醫護長與管理部班表!F15)</f>
        <v/>
      </c>
      <c r="H314" s="87">
        <f>IF($G314="","",IFERROR(IF(INDEX(設定!$D$6:$D$21,MATCH($G314,設定!$B$6:$B$21,0))=0,"",INDEX(設定!$D$6:$D$21,MATCH($G314,設定!$B$6:$B$21,0))),""))</f>
        <v/>
      </c>
      <c r="I314" s="87">
        <f>IF($G314="","",IFERROR(IF(INDEX(設定!$E$6:$E$21,MATCH($G314,設定!$B$6:$B$21,0))=0,"",INDEX(設定!$E$6:$E$21,MATCH($G314,設定!$B$6:$B$21,0))),""))</f>
        <v/>
      </c>
      <c r="J314" s="87">
        <f>IFERROR(INDEX(打卡匯入!$C$3:$C$502,MATCH($C314&amp;"|"&amp;DAY($A314),打卡匯入!$E$3:$E$502,0)),"")</f>
        <v/>
      </c>
      <c r="K314" s="87">
        <f>IFERROR(INDEX(打卡匯入!$D$3:$D$502,MATCH($C314&amp;"|"&amp;DAY($A314),打卡匯入!$E$3:$E$502,0)),"")</f>
        <v/>
      </c>
      <c r="L314" s="88">
        <f>IF(OR($J314="",$K314=""),"",IFERROR(INDEX(設定!$F$6:$F$21,MATCH($G314,設定!$B$6:$B$21,0)),0))</f>
        <v/>
      </c>
      <c r="M314" s="89">
        <f>IF(OR($J314="",$K314=""),"",ROUND(($K314-$J314)*24-$L314/60,2))</f>
        <v/>
      </c>
      <c r="N314" s="16">
        <f>IF($C314="","",IF(AND(COUNTIF(設定!$B$15:$B$21,$G314)&gt;0,$J314&lt;&gt;""),"假日出勤",IF(AND(COUNTIF(設定!$B$6:$B$14,$G314)&gt;0,$J314=""),"未打卡",IF($J314="","",IF($O314&gt;0,"遲到",IF($P314&gt;0,"早退","正常"))))))</f>
        <v/>
      </c>
      <c r="O314" s="88">
        <f>IF(OR($C314="",$H314="",$J314=""),0,IF(ROUND(($J314-$H314)*1440,0)&gt;設定!$C$48,ROUND(($J314-$H314)*1440,0),0))</f>
        <v/>
      </c>
      <c r="P314" s="88">
        <f>IF(OR($C314="",$I314="",$K314=""),0,IF(ROUND(($I314-$K314)*1440,0)&gt;設定!$C$48,ROUND(($I314-$K314)*1440,0),0))</f>
        <v/>
      </c>
      <c r="Q314" s="89">
        <f>IF($M314="",0,IF(($M314-IFERROR(INDEX(設定!$G$6:$G$21,MATCH($G314,設定!$B$6:$B$21,0)),0))*60&gt;=設定!$C$46,ROUND(FLOOR(($M314-IFERROR(INDEX(設定!$G$6:$G$21,MATCH($G314,設定!$B$6:$B$21,0)),0))*60,設定!$C$47)/60,2),0))</f>
        <v/>
      </c>
      <c r="R314" s="16">
        <f>IF(OR($C314="",$Q314=0),"",IF($G314="國","國定假日",IF($B314="日","例假",IF($B314="六","休息日","平日"))))</f>
        <v/>
      </c>
      <c r="S314" s="18" t="n"/>
    </row>
    <row r="315">
      <c r="A315" s="86">
        <f>IF(OR(醫護長與管理部班表!$A15="",3&gt;DAY(EOMONTH(DATE(設定!$C$2,設定!$D$2,1),0))),"",DATE(設定!$C$2,設定!$D$2,3))</f>
        <v/>
      </c>
      <c r="B315" s="16">
        <f>IF($A315="","",INDEX(設定!$O$6:$O$12,WEEKDAY($A315,1)))</f>
        <v/>
      </c>
      <c r="C315" s="16">
        <f>IF($A315="","",醫護長與管理部班表!$A15)</f>
        <v/>
      </c>
      <c r="D315" s="16">
        <f>IF($C315="","",醫護長與管理部班表!$B15)</f>
        <v/>
      </c>
      <c r="E315" s="16">
        <f>IF($C315="","",醫護長與管理部班表!$D15)</f>
        <v/>
      </c>
      <c r="F315" s="16">
        <f>IF($C315="","",醫護長與管理部班表!$C15)</f>
        <v/>
      </c>
      <c r="G315" s="16">
        <f>IF($C315="","",醫護長與管理部班表!G15)</f>
        <v/>
      </c>
      <c r="H315" s="87">
        <f>IF($G315="","",IFERROR(IF(INDEX(設定!$D$6:$D$21,MATCH($G315,設定!$B$6:$B$21,0))=0,"",INDEX(設定!$D$6:$D$21,MATCH($G315,設定!$B$6:$B$21,0))),""))</f>
        <v/>
      </c>
      <c r="I315" s="87">
        <f>IF($G315="","",IFERROR(IF(INDEX(設定!$E$6:$E$21,MATCH($G315,設定!$B$6:$B$21,0))=0,"",INDEX(設定!$E$6:$E$21,MATCH($G315,設定!$B$6:$B$21,0))),""))</f>
        <v/>
      </c>
      <c r="J315" s="87">
        <f>IFERROR(INDEX(打卡匯入!$C$3:$C$502,MATCH($C315&amp;"|"&amp;DAY($A315),打卡匯入!$E$3:$E$502,0)),"")</f>
        <v/>
      </c>
      <c r="K315" s="87">
        <f>IFERROR(INDEX(打卡匯入!$D$3:$D$502,MATCH($C315&amp;"|"&amp;DAY($A315),打卡匯入!$E$3:$E$502,0)),"")</f>
        <v/>
      </c>
      <c r="L315" s="88">
        <f>IF(OR($J315="",$K315=""),"",IFERROR(INDEX(設定!$F$6:$F$21,MATCH($G315,設定!$B$6:$B$21,0)),0))</f>
        <v/>
      </c>
      <c r="M315" s="89">
        <f>IF(OR($J315="",$K315=""),"",ROUND(($K315-$J315)*24-$L315/60,2))</f>
        <v/>
      </c>
      <c r="N315" s="16">
        <f>IF($C315="","",IF(AND(COUNTIF(設定!$B$15:$B$21,$G315)&gt;0,$J315&lt;&gt;""),"假日出勤",IF(AND(COUNTIF(設定!$B$6:$B$14,$G315)&gt;0,$J315=""),"未打卡",IF($J315="","",IF($O315&gt;0,"遲到",IF($P315&gt;0,"早退","正常"))))))</f>
        <v/>
      </c>
      <c r="O315" s="88">
        <f>IF(OR($C315="",$H315="",$J315=""),0,IF(ROUND(($J315-$H315)*1440,0)&gt;設定!$C$48,ROUND(($J315-$H315)*1440,0),0))</f>
        <v/>
      </c>
      <c r="P315" s="88">
        <f>IF(OR($C315="",$I315="",$K315=""),0,IF(ROUND(($I315-$K315)*1440,0)&gt;設定!$C$48,ROUND(($I315-$K315)*1440,0),0))</f>
        <v/>
      </c>
      <c r="Q315" s="89">
        <f>IF($M315="",0,IF(($M315-IFERROR(INDEX(設定!$G$6:$G$21,MATCH($G315,設定!$B$6:$B$21,0)),0))*60&gt;=設定!$C$46,ROUND(FLOOR(($M315-IFERROR(INDEX(設定!$G$6:$G$21,MATCH($G315,設定!$B$6:$B$21,0)),0))*60,設定!$C$47)/60,2),0))</f>
        <v/>
      </c>
      <c r="R315" s="16">
        <f>IF(OR($C315="",$Q315=0),"",IF($G315="國","國定假日",IF($B315="日","例假",IF($B315="六","休息日","平日"))))</f>
        <v/>
      </c>
      <c r="S315" s="18" t="n"/>
    </row>
    <row r="316">
      <c r="A316" s="86">
        <f>IF(OR(醫護長與管理部班表!$A15="",4&gt;DAY(EOMONTH(DATE(設定!$C$2,設定!$D$2,1),0))),"",DATE(設定!$C$2,設定!$D$2,4))</f>
        <v/>
      </c>
      <c r="B316" s="16">
        <f>IF($A316="","",INDEX(設定!$O$6:$O$12,WEEKDAY($A316,1)))</f>
        <v/>
      </c>
      <c r="C316" s="16">
        <f>IF($A316="","",醫護長與管理部班表!$A15)</f>
        <v/>
      </c>
      <c r="D316" s="16">
        <f>IF($C316="","",醫護長與管理部班表!$B15)</f>
        <v/>
      </c>
      <c r="E316" s="16">
        <f>IF($C316="","",醫護長與管理部班表!$D15)</f>
        <v/>
      </c>
      <c r="F316" s="16">
        <f>IF($C316="","",醫護長與管理部班表!$C15)</f>
        <v/>
      </c>
      <c r="G316" s="16">
        <f>IF($C316="","",醫護長與管理部班表!H15)</f>
        <v/>
      </c>
      <c r="H316" s="87">
        <f>IF($G316="","",IFERROR(IF(INDEX(設定!$D$6:$D$21,MATCH($G316,設定!$B$6:$B$21,0))=0,"",INDEX(設定!$D$6:$D$21,MATCH($G316,設定!$B$6:$B$21,0))),""))</f>
        <v/>
      </c>
      <c r="I316" s="87">
        <f>IF($G316="","",IFERROR(IF(INDEX(設定!$E$6:$E$21,MATCH($G316,設定!$B$6:$B$21,0))=0,"",INDEX(設定!$E$6:$E$21,MATCH($G316,設定!$B$6:$B$21,0))),""))</f>
        <v/>
      </c>
      <c r="J316" s="87">
        <f>IFERROR(INDEX(打卡匯入!$C$3:$C$502,MATCH($C316&amp;"|"&amp;DAY($A316),打卡匯入!$E$3:$E$502,0)),"")</f>
        <v/>
      </c>
      <c r="K316" s="87">
        <f>IFERROR(INDEX(打卡匯入!$D$3:$D$502,MATCH($C316&amp;"|"&amp;DAY($A316),打卡匯入!$E$3:$E$502,0)),"")</f>
        <v/>
      </c>
      <c r="L316" s="88">
        <f>IF(OR($J316="",$K316=""),"",IFERROR(INDEX(設定!$F$6:$F$21,MATCH($G316,設定!$B$6:$B$21,0)),0))</f>
        <v/>
      </c>
      <c r="M316" s="89">
        <f>IF(OR($J316="",$K316=""),"",ROUND(($K316-$J316)*24-$L316/60,2))</f>
        <v/>
      </c>
      <c r="N316" s="16">
        <f>IF($C316="","",IF(AND(COUNTIF(設定!$B$15:$B$21,$G316)&gt;0,$J316&lt;&gt;""),"假日出勤",IF(AND(COUNTIF(設定!$B$6:$B$14,$G316)&gt;0,$J316=""),"未打卡",IF($J316="","",IF($O316&gt;0,"遲到",IF($P316&gt;0,"早退","正常"))))))</f>
        <v/>
      </c>
      <c r="O316" s="88">
        <f>IF(OR($C316="",$H316="",$J316=""),0,IF(ROUND(($J316-$H316)*1440,0)&gt;設定!$C$48,ROUND(($J316-$H316)*1440,0),0))</f>
        <v/>
      </c>
      <c r="P316" s="88">
        <f>IF(OR($C316="",$I316="",$K316=""),0,IF(ROUND(($I316-$K316)*1440,0)&gt;設定!$C$48,ROUND(($I316-$K316)*1440,0),0))</f>
        <v/>
      </c>
      <c r="Q316" s="89">
        <f>IF($M316="",0,IF(($M316-IFERROR(INDEX(設定!$G$6:$G$21,MATCH($G316,設定!$B$6:$B$21,0)),0))*60&gt;=設定!$C$46,ROUND(FLOOR(($M316-IFERROR(INDEX(設定!$G$6:$G$21,MATCH($G316,設定!$B$6:$B$21,0)),0))*60,設定!$C$47)/60,2),0))</f>
        <v/>
      </c>
      <c r="R316" s="16">
        <f>IF(OR($C316="",$Q316=0),"",IF($G316="國","國定假日",IF($B316="日","例假",IF($B316="六","休息日","平日"))))</f>
        <v/>
      </c>
      <c r="S316" s="18" t="n"/>
    </row>
    <row r="317">
      <c r="A317" s="86">
        <f>IF(OR(醫護長與管理部班表!$A15="",5&gt;DAY(EOMONTH(DATE(設定!$C$2,設定!$D$2,1),0))),"",DATE(設定!$C$2,設定!$D$2,5))</f>
        <v/>
      </c>
      <c r="B317" s="16">
        <f>IF($A317="","",INDEX(設定!$O$6:$O$12,WEEKDAY($A317,1)))</f>
        <v/>
      </c>
      <c r="C317" s="16">
        <f>IF($A317="","",醫護長與管理部班表!$A15)</f>
        <v/>
      </c>
      <c r="D317" s="16">
        <f>IF($C317="","",醫護長與管理部班表!$B15)</f>
        <v/>
      </c>
      <c r="E317" s="16">
        <f>IF($C317="","",醫護長與管理部班表!$D15)</f>
        <v/>
      </c>
      <c r="F317" s="16">
        <f>IF($C317="","",醫護長與管理部班表!$C15)</f>
        <v/>
      </c>
      <c r="G317" s="16">
        <f>IF($C317="","",醫護長與管理部班表!I15)</f>
        <v/>
      </c>
      <c r="H317" s="87">
        <f>IF($G317="","",IFERROR(IF(INDEX(設定!$D$6:$D$21,MATCH($G317,設定!$B$6:$B$21,0))=0,"",INDEX(設定!$D$6:$D$21,MATCH($G317,設定!$B$6:$B$21,0))),""))</f>
        <v/>
      </c>
      <c r="I317" s="87">
        <f>IF($G317="","",IFERROR(IF(INDEX(設定!$E$6:$E$21,MATCH($G317,設定!$B$6:$B$21,0))=0,"",INDEX(設定!$E$6:$E$21,MATCH($G317,設定!$B$6:$B$21,0))),""))</f>
        <v/>
      </c>
      <c r="J317" s="87">
        <f>IFERROR(INDEX(打卡匯入!$C$3:$C$502,MATCH($C317&amp;"|"&amp;DAY($A317),打卡匯入!$E$3:$E$502,0)),"")</f>
        <v/>
      </c>
      <c r="K317" s="87">
        <f>IFERROR(INDEX(打卡匯入!$D$3:$D$502,MATCH($C317&amp;"|"&amp;DAY($A317),打卡匯入!$E$3:$E$502,0)),"")</f>
        <v/>
      </c>
      <c r="L317" s="88">
        <f>IF(OR($J317="",$K317=""),"",IFERROR(INDEX(設定!$F$6:$F$21,MATCH($G317,設定!$B$6:$B$21,0)),0))</f>
        <v/>
      </c>
      <c r="M317" s="89">
        <f>IF(OR($J317="",$K317=""),"",ROUND(($K317-$J317)*24-$L317/60,2))</f>
        <v/>
      </c>
      <c r="N317" s="16">
        <f>IF($C317="","",IF(AND(COUNTIF(設定!$B$15:$B$21,$G317)&gt;0,$J317&lt;&gt;""),"假日出勤",IF(AND(COUNTIF(設定!$B$6:$B$14,$G317)&gt;0,$J317=""),"未打卡",IF($J317="","",IF($O317&gt;0,"遲到",IF($P317&gt;0,"早退","正常"))))))</f>
        <v/>
      </c>
      <c r="O317" s="88">
        <f>IF(OR($C317="",$H317="",$J317=""),0,IF(ROUND(($J317-$H317)*1440,0)&gt;設定!$C$48,ROUND(($J317-$H317)*1440,0),0))</f>
        <v/>
      </c>
      <c r="P317" s="88">
        <f>IF(OR($C317="",$I317="",$K317=""),0,IF(ROUND(($I317-$K317)*1440,0)&gt;設定!$C$48,ROUND(($I317-$K317)*1440,0),0))</f>
        <v/>
      </c>
      <c r="Q317" s="89">
        <f>IF($M317="",0,IF(($M317-IFERROR(INDEX(設定!$G$6:$G$21,MATCH($G317,設定!$B$6:$B$21,0)),0))*60&gt;=設定!$C$46,ROUND(FLOOR(($M317-IFERROR(INDEX(設定!$G$6:$G$21,MATCH($G317,設定!$B$6:$B$21,0)),0))*60,設定!$C$47)/60,2),0))</f>
        <v/>
      </c>
      <c r="R317" s="16">
        <f>IF(OR($C317="",$Q317=0),"",IF($G317="國","國定假日",IF($B317="日","例假",IF($B317="六","休息日","平日"))))</f>
        <v/>
      </c>
      <c r="S317" s="18" t="n"/>
    </row>
    <row r="318">
      <c r="A318" s="86">
        <f>IF(OR(醫護長與管理部班表!$A15="",6&gt;DAY(EOMONTH(DATE(設定!$C$2,設定!$D$2,1),0))),"",DATE(設定!$C$2,設定!$D$2,6))</f>
        <v/>
      </c>
      <c r="B318" s="16">
        <f>IF($A318="","",INDEX(設定!$O$6:$O$12,WEEKDAY($A318,1)))</f>
        <v/>
      </c>
      <c r="C318" s="16">
        <f>IF($A318="","",醫護長與管理部班表!$A15)</f>
        <v/>
      </c>
      <c r="D318" s="16">
        <f>IF($C318="","",醫護長與管理部班表!$B15)</f>
        <v/>
      </c>
      <c r="E318" s="16">
        <f>IF($C318="","",醫護長與管理部班表!$D15)</f>
        <v/>
      </c>
      <c r="F318" s="16">
        <f>IF($C318="","",醫護長與管理部班表!$C15)</f>
        <v/>
      </c>
      <c r="G318" s="16">
        <f>IF($C318="","",醫護長與管理部班表!J15)</f>
        <v/>
      </c>
      <c r="H318" s="87">
        <f>IF($G318="","",IFERROR(IF(INDEX(設定!$D$6:$D$21,MATCH($G318,設定!$B$6:$B$21,0))=0,"",INDEX(設定!$D$6:$D$21,MATCH($G318,設定!$B$6:$B$21,0))),""))</f>
        <v/>
      </c>
      <c r="I318" s="87">
        <f>IF($G318="","",IFERROR(IF(INDEX(設定!$E$6:$E$21,MATCH($G318,設定!$B$6:$B$21,0))=0,"",INDEX(設定!$E$6:$E$21,MATCH($G318,設定!$B$6:$B$21,0))),""))</f>
        <v/>
      </c>
      <c r="J318" s="87">
        <f>IFERROR(INDEX(打卡匯入!$C$3:$C$502,MATCH($C318&amp;"|"&amp;DAY($A318),打卡匯入!$E$3:$E$502,0)),"")</f>
        <v/>
      </c>
      <c r="K318" s="87">
        <f>IFERROR(INDEX(打卡匯入!$D$3:$D$502,MATCH($C318&amp;"|"&amp;DAY($A318),打卡匯入!$E$3:$E$502,0)),"")</f>
        <v/>
      </c>
      <c r="L318" s="88">
        <f>IF(OR($J318="",$K318=""),"",IFERROR(INDEX(設定!$F$6:$F$21,MATCH($G318,設定!$B$6:$B$21,0)),0))</f>
        <v/>
      </c>
      <c r="M318" s="89">
        <f>IF(OR($J318="",$K318=""),"",ROUND(($K318-$J318)*24-$L318/60,2))</f>
        <v/>
      </c>
      <c r="N318" s="16">
        <f>IF($C318="","",IF(AND(COUNTIF(設定!$B$15:$B$21,$G318)&gt;0,$J318&lt;&gt;""),"假日出勤",IF(AND(COUNTIF(設定!$B$6:$B$14,$G318)&gt;0,$J318=""),"未打卡",IF($J318="","",IF($O318&gt;0,"遲到",IF($P318&gt;0,"早退","正常"))))))</f>
        <v/>
      </c>
      <c r="O318" s="88">
        <f>IF(OR($C318="",$H318="",$J318=""),0,IF(ROUND(($J318-$H318)*1440,0)&gt;設定!$C$48,ROUND(($J318-$H318)*1440,0),0))</f>
        <v/>
      </c>
      <c r="P318" s="88">
        <f>IF(OR($C318="",$I318="",$K318=""),0,IF(ROUND(($I318-$K318)*1440,0)&gt;設定!$C$48,ROUND(($I318-$K318)*1440,0),0))</f>
        <v/>
      </c>
      <c r="Q318" s="89">
        <f>IF($M318="",0,IF(($M318-IFERROR(INDEX(設定!$G$6:$G$21,MATCH($G318,設定!$B$6:$B$21,0)),0))*60&gt;=設定!$C$46,ROUND(FLOOR(($M318-IFERROR(INDEX(設定!$G$6:$G$21,MATCH($G318,設定!$B$6:$B$21,0)),0))*60,設定!$C$47)/60,2),0))</f>
        <v/>
      </c>
      <c r="R318" s="16">
        <f>IF(OR($C318="",$Q318=0),"",IF($G318="國","國定假日",IF($B318="日","例假",IF($B318="六","休息日","平日"))))</f>
        <v/>
      </c>
      <c r="S318" s="18" t="n"/>
    </row>
    <row r="319">
      <c r="A319" s="86">
        <f>IF(OR(醫護長與管理部班表!$A15="",7&gt;DAY(EOMONTH(DATE(設定!$C$2,設定!$D$2,1),0))),"",DATE(設定!$C$2,設定!$D$2,7))</f>
        <v/>
      </c>
      <c r="B319" s="16">
        <f>IF($A319="","",INDEX(設定!$O$6:$O$12,WEEKDAY($A319,1)))</f>
        <v/>
      </c>
      <c r="C319" s="16">
        <f>IF($A319="","",醫護長與管理部班表!$A15)</f>
        <v/>
      </c>
      <c r="D319" s="16">
        <f>IF($C319="","",醫護長與管理部班表!$B15)</f>
        <v/>
      </c>
      <c r="E319" s="16">
        <f>IF($C319="","",醫護長與管理部班表!$D15)</f>
        <v/>
      </c>
      <c r="F319" s="16">
        <f>IF($C319="","",醫護長與管理部班表!$C15)</f>
        <v/>
      </c>
      <c r="G319" s="16">
        <f>IF($C319="","",醫護長與管理部班表!K15)</f>
        <v/>
      </c>
      <c r="H319" s="87">
        <f>IF($G319="","",IFERROR(IF(INDEX(設定!$D$6:$D$21,MATCH($G319,設定!$B$6:$B$21,0))=0,"",INDEX(設定!$D$6:$D$21,MATCH($G319,設定!$B$6:$B$21,0))),""))</f>
        <v/>
      </c>
      <c r="I319" s="87">
        <f>IF($G319="","",IFERROR(IF(INDEX(設定!$E$6:$E$21,MATCH($G319,設定!$B$6:$B$21,0))=0,"",INDEX(設定!$E$6:$E$21,MATCH($G319,設定!$B$6:$B$21,0))),""))</f>
        <v/>
      </c>
      <c r="J319" s="87">
        <f>IFERROR(INDEX(打卡匯入!$C$3:$C$502,MATCH($C319&amp;"|"&amp;DAY($A319),打卡匯入!$E$3:$E$502,0)),"")</f>
        <v/>
      </c>
      <c r="K319" s="87">
        <f>IFERROR(INDEX(打卡匯入!$D$3:$D$502,MATCH($C319&amp;"|"&amp;DAY($A319),打卡匯入!$E$3:$E$502,0)),"")</f>
        <v/>
      </c>
      <c r="L319" s="88">
        <f>IF(OR($J319="",$K319=""),"",IFERROR(INDEX(設定!$F$6:$F$21,MATCH($G319,設定!$B$6:$B$21,0)),0))</f>
        <v/>
      </c>
      <c r="M319" s="89">
        <f>IF(OR($J319="",$K319=""),"",ROUND(($K319-$J319)*24-$L319/60,2))</f>
        <v/>
      </c>
      <c r="N319" s="16">
        <f>IF($C319="","",IF(AND(COUNTIF(設定!$B$15:$B$21,$G319)&gt;0,$J319&lt;&gt;""),"假日出勤",IF(AND(COUNTIF(設定!$B$6:$B$14,$G319)&gt;0,$J319=""),"未打卡",IF($J319="","",IF($O319&gt;0,"遲到",IF($P319&gt;0,"早退","正常"))))))</f>
        <v/>
      </c>
      <c r="O319" s="88">
        <f>IF(OR($C319="",$H319="",$J319=""),0,IF(ROUND(($J319-$H319)*1440,0)&gt;設定!$C$48,ROUND(($J319-$H319)*1440,0),0))</f>
        <v/>
      </c>
      <c r="P319" s="88">
        <f>IF(OR($C319="",$I319="",$K319=""),0,IF(ROUND(($I319-$K319)*1440,0)&gt;設定!$C$48,ROUND(($I319-$K319)*1440,0),0))</f>
        <v/>
      </c>
      <c r="Q319" s="89">
        <f>IF($M319="",0,IF(($M319-IFERROR(INDEX(設定!$G$6:$G$21,MATCH($G319,設定!$B$6:$B$21,0)),0))*60&gt;=設定!$C$46,ROUND(FLOOR(($M319-IFERROR(INDEX(設定!$G$6:$G$21,MATCH($G319,設定!$B$6:$B$21,0)),0))*60,設定!$C$47)/60,2),0))</f>
        <v/>
      </c>
      <c r="R319" s="16">
        <f>IF(OR($C319="",$Q319=0),"",IF($G319="國","國定假日",IF($B319="日","例假",IF($B319="六","休息日","平日"))))</f>
        <v/>
      </c>
      <c r="S319" s="18" t="n"/>
    </row>
    <row r="320">
      <c r="A320" s="86">
        <f>IF(OR(醫護長與管理部班表!$A15="",8&gt;DAY(EOMONTH(DATE(設定!$C$2,設定!$D$2,1),0))),"",DATE(設定!$C$2,設定!$D$2,8))</f>
        <v/>
      </c>
      <c r="B320" s="16">
        <f>IF($A320="","",INDEX(設定!$O$6:$O$12,WEEKDAY($A320,1)))</f>
        <v/>
      </c>
      <c r="C320" s="16">
        <f>IF($A320="","",醫護長與管理部班表!$A15)</f>
        <v/>
      </c>
      <c r="D320" s="16">
        <f>IF($C320="","",醫護長與管理部班表!$B15)</f>
        <v/>
      </c>
      <c r="E320" s="16">
        <f>IF($C320="","",醫護長與管理部班表!$D15)</f>
        <v/>
      </c>
      <c r="F320" s="16">
        <f>IF($C320="","",醫護長與管理部班表!$C15)</f>
        <v/>
      </c>
      <c r="G320" s="16">
        <f>IF($C320="","",醫護長與管理部班表!L15)</f>
        <v/>
      </c>
      <c r="H320" s="87">
        <f>IF($G320="","",IFERROR(IF(INDEX(設定!$D$6:$D$21,MATCH($G320,設定!$B$6:$B$21,0))=0,"",INDEX(設定!$D$6:$D$21,MATCH($G320,設定!$B$6:$B$21,0))),""))</f>
        <v/>
      </c>
      <c r="I320" s="87">
        <f>IF($G320="","",IFERROR(IF(INDEX(設定!$E$6:$E$21,MATCH($G320,設定!$B$6:$B$21,0))=0,"",INDEX(設定!$E$6:$E$21,MATCH($G320,設定!$B$6:$B$21,0))),""))</f>
        <v/>
      </c>
      <c r="J320" s="87">
        <f>IFERROR(INDEX(打卡匯入!$C$3:$C$502,MATCH($C320&amp;"|"&amp;DAY($A320),打卡匯入!$E$3:$E$502,0)),"")</f>
        <v/>
      </c>
      <c r="K320" s="87">
        <f>IFERROR(INDEX(打卡匯入!$D$3:$D$502,MATCH($C320&amp;"|"&amp;DAY($A320),打卡匯入!$E$3:$E$502,0)),"")</f>
        <v/>
      </c>
      <c r="L320" s="88">
        <f>IF(OR($J320="",$K320=""),"",IFERROR(INDEX(設定!$F$6:$F$21,MATCH($G320,設定!$B$6:$B$21,0)),0))</f>
        <v/>
      </c>
      <c r="M320" s="89">
        <f>IF(OR($J320="",$K320=""),"",ROUND(($K320-$J320)*24-$L320/60,2))</f>
        <v/>
      </c>
      <c r="N320" s="16">
        <f>IF($C320="","",IF(AND(COUNTIF(設定!$B$15:$B$21,$G320)&gt;0,$J320&lt;&gt;""),"假日出勤",IF(AND(COUNTIF(設定!$B$6:$B$14,$G320)&gt;0,$J320=""),"未打卡",IF($J320="","",IF($O320&gt;0,"遲到",IF($P320&gt;0,"早退","正常"))))))</f>
        <v/>
      </c>
      <c r="O320" s="88">
        <f>IF(OR($C320="",$H320="",$J320=""),0,IF(ROUND(($J320-$H320)*1440,0)&gt;設定!$C$48,ROUND(($J320-$H320)*1440,0),0))</f>
        <v/>
      </c>
      <c r="P320" s="88">
        <f>IF(OR($C320="",$I320="",$K320=""),0,IF(ROUND(($I320-$K320)*1440,0)&gt;設定!$C$48,ROUND(($I320-$K320)*1440,0),0))</f>
        <v/>
      </c>
      <c r="Q320" s="89">
        <f>IF($M320="",0,IF(($M320-IFERROR(INDEX(設定!$G$6:$G$21,MATCH($G320,設定!$B$6:$B$21,0)),0))*60&gt;=設定!$C$46,ROUND(FLOOR(($M320-IFERROR(INDEX(設定!$G$6:$G$21,MATCH($G320,設定!$B$6:$B$21,0)),0))*60,設定!$C$47)/60,2),0))</f>
        <v/>
      </c>
      <c r="R320" s="16">
        <f>IF(OR($C320="",$Q320=0),"",IF($G320="國","國定假日",IF($B320="日","例假",IF($B320="六","休息日","平日"))))</f>
        <v/>
      </c>
      <c r="S320" s="18" t="n"/>
    </row>
    <row r="321">
      <c r="A321" s="86">
        <f>IF(OR(醫護長與管理部班表!$A15="",9&gt;DAY(EOMONTH(DATE(設定!$C$2,設定!$D$2,1),0))),"",DATE(設定!$C$2,設定!$D$2,9))</f>
        <v/>
      </c>
      <c r="B321" s="16">
        <f>IF($A321="","",INDEX(設定!$O$6:$O$12,WEEKDAY($A321,1)))</f>
        <v/>
      </c>
      <c r="C321" s="16">
        <f>IF($A321="","",醫護長與管理部班表!$A15)</f>
        <v/>
      </c>
      <c r="D321" s="16">
        <f>IF($C321="","",醫護長與管理部班表!$B15)</f>
        <v/>
      </c>
      <c r="E321" s="16">
        <f>IF($C321="","",醫護長與管理部班表!$D15)</f>
        <v/>
      </c>
      <c r="F321" s="16">
        <f>IF($C321="","",醫護長與管理部班表!$C15)</f>
        <v/>
      </c>
      <c r="G321" s="16">
        <f>IF($C321="","",醫護長與管理部班表!M15)</f>
        <v/>
      </c>
      <c r="H321" s="87">
        <f>IF($G321="","",IFERROR(IF(INDEX(設定!$D$6:$D$21,MATCH($G321,設定!$B$6:$B$21,0))=0,"",INDEX(設定!$D$6:$D$21,MATCH($G321,設定!$B$6:$B$21,0))),""))</f>
        <v/>
      </c>
      <c r="I321" s="87">
        <f>IF($G321="","",IFERROR(IF(INDEX(設定!$E$6:$E$21,MATCH($G321,設定!$B$6:$B$21,0))=0,"",INDEX(設定!$E$6:$E$21,MATCH($G321,設定!$B$6:$B$21,0))),""))</f>
        <v/>
      </c>
      <c r="J321" s="87">
        <f>IFERROR(INDEX(打卡匯入!$C$3:$C$502,MATCH($C321&amp;"|"&amp;DAY($A321),打卡匯入!$E$3:$E$502,0)),"")</f>
        <v/>
      </c>
      <c r="K321" s="87">
        <f>IFERROR(INDEX(打卡匯入!$D$3:$D$502,MATCH($C321&amp;"|"&amp;DAY($A321),打卡匯入!$E$3:$E$502,0)),"")</f>
        <v/>
      </c>
      <c r="L321" s="88">
        <f>IF(OR($J321="",$K321=""),"",IFERROR(INDEX(設定!$F$6:$F$21,MATCH($G321,設定!$B$6:$B$21,0)),0))</f>
        <v/>
      </c>
      <c r="M321" s="89">
        <f>IF(OR($J321="",$K321=""),"",ROUND(($K321-$J321)*24-$L321/60,2))</f>
        <v/>
      </c>
      <c r="N321" s="16">
        <f>IF($C321="","",IF(AND(COUNTIF(設定!$B$15:$B$21,$G321)&gt;0,$J321&lt;&gt;""),"假日出勤",IF(AND(COUNTIF(設定!$B$6:$B$14,$G321)&gt;0,$J321=""),"未打卡",IF($J321="","",IF($O321&gt;0,"遲到",IF($P321&gt;0,"早退","正常"))))))</f>
        <v/>
      </c>
      <c r="O321" s="88">
        <f>IF(OR($C321="",$H321="",$J321=""),0,IF(ROUND(($J321-$H321)*1440,0)&gt;設定!$C$48,ROUND(($J321-$H321)*1440,0),0))</f>
        <v/>
      </c>
      <c r="P321" s="88">
        <f>IF(OR($C321="",$I321="",$K321=""),0,IF(ROUND(($I321-$K321)*1440,0)&gt;設定!$C$48,ROUND(($I321-$K321)*1440,0),0))</f>
        <v/>
      </c>
      <c r="Q321" s="89">
        <f>IF($M321="",0,IF(($M321-IFERROR(INDEX(設定!$G$6:$G$21,MATCH($G321,設定!$B$6:$B$21,0)),0))*60&gt;=設定!$C$46,ROUND(FLOOR(($M321-IFERROR(INDEX(設定!$G$6:$G$21,MATCH($G321,設定!$B$6:$B$21,0)),0))*60,設定!$C$47)/60,2),0))</f>
        <v/>
      </c>
      <c r="R321" s="16">
        <f>IF(OR($C321="",$Q321=0),"",IF($G321="國","國定假日",IF($B321="日","例假",IF($B321="六","休息日","平日"))))</f>
        <v/>
      </c>
      <c r="S321" s="18" t="n"/>
    </row>
    <row r="322">
      <c r="A322" s="86">
        <f>IF(OR(醫護長與管理部班表!$A15="",10&gt;DAY(EOMONTH(DATE(設定!$C$2,設定!$D$2,1),0))),"",DATE(設定!$C$2,設定!$D$2,10))</f>
        <v/>
      </c>
      <c r="B322" s="16">
        <f>IF($A322="","",INDEX(設定!$O$6:$O$12,WEEKDAY($A322,1)))</f>
        <v/>
      </c>
      <c r="C322" s="16">
        <f>IF($A322="","",醫護長與管理部班表!$A15)</f>
        <v/>
      </c>
      <c r="D322" s="16">
        <f>IF($C322="","",醫護長與管理部班表!$B15)</f>
        <v/>
      </c>
      <c r="E322" s="16">
        <f>IF($C322="","",醫護長與管理部班表!$D15)</f>
        <v/>
      </c>
      <c r="F322" s="16">
        <f>IF($C322="","",醫護長與管理部班表!$C15)</f>
        <v/>
      </c>
      <c r="G322" s="16">
        <f>IF($C322="","",醫護長與管理部班表!N15)</f>
        <v/>
      </c>
      <c r="H322" s="87">
        <f>IF($G322="","",IFERROR(IF(INDEX(設定!$D$6:$D$21,MATCH($G322,設定!$B$6:$B$21,0))=0,"",INDEX(設定!$D$6:$D$21,MATCH($G322,設定!$B$6:$B$21,0))),""))</f>
        <v/>
      </c>
      <c r="I322" s="87">
        <f>IF($G322="","",IFERROR(IF(INDEX(設定!$E$6:$E$21,MATCH($G322,設定!$B$6:$B$21,0))=0,"",INDEX(設定!$E$6:$E$21,MATCH($G322,設定!$B$6:$B$21,0))),""))</f>
        <v/>
      </c>
      <c r="J322" s="87">
        <f>IFERROR(INDEX(打卡匯入!$C$3:$C$502,MATCH($C322&amp;"|"&amp;DAY($A322),打卡匯入!$E$3:$E$502,0)),"")</f>
        <v/>
      </c>
      <c r="K322" s="87">
        <f>IFERROR(INDEX(打卡匯入!$D$3:$D$502,MATCH($C322&amp;"|"&amp;DAY($A322),打卡匯入!$E$3:$E$502,0)),"")</f>
        <v/>
      </c>
      <c r="L322" s="88">
        <f>IF(OR($J322="",$K322=""),"",IFERROR(INDEX(設定!$F$6:$F$21,MATCH($G322,設定!$B$6:$B$21,0)),0))</f>
        <v/>
      </c>
      <c r="M322" s="89">
        <f>IF(OR($J322="",$K322=""),"",ROUND(($K322-$J322)*24-$L322/60,2))</f>
        <v/>
      </c>
      <c r="N322" s="16">
        <f>IF($C322="","",IF(AND(COUNTIF(設定!$B$15:$B$21,$G322)&gt;0,$J322&lt;&gt;""),"假日出勤",IF(AND(COUNTIF(設定!$B$6:$B$14,$G322)&gt;0,$J322=""),"未打卡",IF($J322="","",IF($O322&gt;0,"遲到",IF($P322&gt;0,"早退","正常"))))))</f>
        <v/>
      </c>
      <c r="O322" s="88">
        <f>IF(OR($C322="",$H322="",$J322=""),0,IF(ROUND(($J322-$H322)*1440,0)&gt;設定!$C$48,ROUND(($J322-$H322)*1440,0),0))</f>
        <v/>
      </c>
      <c r="P322" s="88">
        <f>IF(OR($C322="",$I322="",$K322=""),0,IF(ROUND(($I322-$K322)*1440,0)&gt;設定!$C$48,ROUND(($I322-$K322)*1440,0),0))</f>
        <v/>
      </c>
      <c r="Q322" s="89">
        <f>IF($M322="",0,IF(($M322-IFERROR(INDEX(設定!$G$6:$G$21,MATCH($G322,設定!$B$6:$B$21,0)),0))*60&gt;=設定!$C$46,ROUND(FLOOR(($M322-IFERROR(INDEX(設定!$G$6:$G$21,MATCH($G322,設定!$B$6:$B$21,0)),0))*60,設定!$C$47)/60,2),0))</f>
        <v/>
      </c>
      <c r="R322" s="16">
        <f>IF(OR($C322="",$Q322=0),"",IF($G322="國","國定假日",IF($B322="日","例假",IF($B322="六","休息日","平日"))))</f>
        <v/>
      </c>
      <c r="S322" s="18" t="n"/>
    </row>
    <row r="323">
      <c r="A323" s="86">
        <f>IF(OR(醫護長與管理部班表!$A15="",11&gt;DAY(EOMONTH(DATE(設定!$C$2,設定!$D$2,1),0))),"",DATE(設定!$C$2,設定!$D$2,11))</f>
        <v/>
      </c>
      <c r="B323" s="16">
        <f>IF($A323="","",INDEX(設定!$O$6:$O$12,WEEKDAY($A323,1)))</f>
        <v/>
      </c>
      <c r="C323" s="16">
        <f>IF($A323="","",醫護長與管理部班表!$A15)</f>
        <v/>
      </c>
      <c r="D323" s="16">
        <f>IF($C323="","",醫護長與管理部班表!$B15)</f>
        <v/>
      </c>
      <c r="E323" s="16">
        <f>IF($C323="","",醫護長與管理部班表!$D15)</f>
        <v/>
      </c>
      <c r="F323" s="16">
        <f>IF($C323="","",醫護長與管理部班表!$C15)</f>
        <v/>
      </c>
      <c r="G323" s="16">
        <f>IF($C323="","",醫護長與管理部班表!O15)</f>
        <v/>
      </c>
      <c r="H323" s="87">
        <f>IF($G323="","",IFERROR(IF(INDEX(設定!$D$6:$D$21,MATCH($G323,設定!$B$6:$B$21,0))=0,"",INDEX(設定!$D$6:$D$21,MATCH($G323,設定!$B$6:$B$21,0))),""))</f>
        <v/>
      </c>
      <c r="I323" s="87">
        <f>IF($G323="","",IFERROR(IF(INDEX(設定!$E$6:$E$21,MATCH($G323,設定!$B$6:$B$21,0))=0,"",INDEX(設定!$E$6:$E$21,MATCH($G323,設定!$B$6:$B$21,0))),""))</f>
        <v/>
      </c>
      <c r="J323" s="87">
        <f>IFERROR(INDEX(打卡匯入!$C$3:$C$502,MATCH($C323&amp;"|"&amp;DAY($A323),打卡匯入!$E$3:$E$502,0)),"")</f>
        <v/>
      </c>
      <c r="K323" s="87">
        <f>IFERROR(INDEX(打卡匯入!$D$3:$D$502,MATCH($C323&amp;"|"&amp;DAY($A323),打卡匯入!$E$3:$E$502,0)),"")</f>
        <v/>
      </c>
      <c r="L323" s="88">
        <f>IF(OR($J323="",$K323=""),"",IFERROR(INDEX(設定!$F$6:$F$21,MATCH($G323,設定!$B$6:$B$21,0)),0))</f>
        <v/>
      </c>
      <c r="M323" s="89">
        <f>IF(OR($J323="",$K323=""),"",ROUND(($K323-$J323)*24-$L323/60,2))</f>
        <v/>
      </c>
      <c r="N323" s="16">
        <f>IF($C323="","",IF(AND(COUNTIF(設定!$B$15:$B$21,$G323)&gt;0,$J323&lt;&gt;""),"假日出勤",IF(AND(COUNTIF(設定!$B$6:$B$14,$G323)&gt;0,$J323=""),"未打卡",IF($J323="","",IF($O323&gt;0,"遲到",IF($P323&gt;0,"早退","正常"))))))</f>
        <v/>
      </c>
      <c r="O323" s="88">
        <f>IF(OR($C323="",$H323="",$J323=""),0,IF(ROUND(($J323-$H323)*1440,0)&gt;設定!$C$48,ROUND(($J323-$H323)*1440,0),0))</f>
        <v/>
      </c>
      <c r="P323" s="88">
        <f>IF(OR($C323="",$I323="",$K323=""),0,IF(ROUND(($I323-$K323)*1440,0)&gt;設定!$C$48,ROUND(($I323-$K323)*1440,0),0))</f>
        <v/>
      </c>
      <c r="Q323" s="89">
        <f>IF($M323="",0,IF(($M323-IFERROR(INDEX(設定!$G$6:$G$21,MATCH($G323,設定!$B$6:$B$21,0)),0))*60&gt;=設定!$C$46,ROUND(FLOOR(($M323-IFERROR(INDEX(設定!$G$6:$G$21,MATCH($G323,設定!$B$6:$B$21,0)),0))*60,設定!$C$47)/60,2),0))</f>
        <v/>
      </c>
      <c r="R323" s="16">
        <f>IF(OR($C323="",$Q323=0),"",IF($G323="國","國定假日",IF($B323="日","例假",IF($B323="六","休息日","平日"))))</f>
        <v/>
      </c>
      <c r="S323" s="18" t="n"/>
    </row>
    <row r="324">
      <c r="A324" s="86">
        <f>IF(OR(醫護長與管理部班表!$A15="",12&gt;DAY(EOMONTH(DATE(設定!$C$2,設定!$D$2,1),0))),"",DATE(設定!$C$2,設定!$D$2,12))</f>
        <v/>
      </c>
      <c r="B324" s="16">
        <f>IF($A324="","",INDEX(設定!$O$6:$O$12,WEEKDAY($A324,1)))</f>
        <v/>
      </c>
      <c r="C324" s="16">
        <f>IF($A324="","",醫護長與管理部班表!$A15)</f>
        <v/>
      </c>
      <c r="D324" s="16">
        <f>IF($C324="","",醫護長與管理部班表!$B15)</f>
        <v/>
      </c>
      <c r="E324" s="16">
        <f>IF($C324="","",醫護長與管理部班表!$D15)</f>
        <v/>
      </c>
      <c r="F324" s="16">
        <f>IF($C324="","",醫護長與管理部班表!$C15)</f>
        <v/>
      </c>
      <c r="G324" s="16">
        <f>IF($C324="","",醫護長與管理部班表!P15)</f>
        <v/>
      </c>
      <c r="H324" s="87">
        <f>IF($G324="","",IFERROR(IF(INDEX(設定!$D$6:$D$21,MATCH($G324,設定!$B$6:$B$21,0))=0,"",INDEX(設定!$D$6:$D$21,MATCH($G324,設定!$B$6:$B$21,0))),""))</f>
        <v/>
      </c>
      <c r="I324" s="87">
        <f>IF($G324="","",IFERROR(IF(INDEX(設定!$E$6:$E$21,MATCH($G324,設定!$B$6:$B$21,0))=0,"",INDEX(設定!$E$6:$E$21,MATCH($G324,設定!$B$6:$B$21,0))),""))</f>
        <v/>
      </c>
      <c r="J324" s="87">
        <f>IFERROR(INDEX(打卡匯入!$C$3:$C$502,MATCH($C324&amp;"|"&amp;DAY($A324),打卡匯入!$E$3:$E$502,0)),"")</f>
        <v/>
      </c>
      <c r="K324" s="87">
        <f>IFERROR(INDEX(打卡匯入!$D$3:$D$502,MATCH($C324&amp;"|"&amp;DAY($A324),打卡匯入!$E$3:$E$502,0)),"")</f>
        <v/>
      </c>
      <c r="L324" s="88">
        <f>IF(OR($J324="",$K324=""),"",IFERROR(INDEX(設定!$F$6:$F$21,MATCH($G324,設定!$B$6:$B$21,0)),0))</f>
        <v/>
      </c>
      <c r="M324" s="89">
        <f>IF(OR($J324="",$K324=""),"",ROUND(($K324-$J324)*24-$L324/60,2))</f>
        <v/>
      </c>
      <c r="N324" s="16">
        <f>IF($C324="","",IF(AND(COUNTIF(設定!$B$15:$B$21,$G324)&gt;0,$J324&lt;&gt;""),"假日出勤",IF(AND(COUNTIF(設定!$B$6:$B$14,$G324)&gt;0,$J324=""),"未打卡",IF($J324="","",IF($O324&gt;0,"遲到",IF($P324&gt;0,"早退","正常"))))))</f>
        <v/>
      </c>
      <c r="O324" s="88">
        <f>IF(OR($C324="",$H324="",$J324=""),0,IF(ROUND(($J324-$H324)*1440,0)&gt;設定!$C$48,ROUND(($J324-$H324)*1440,0),0))</f>
        <v/>
      </c>
      <c r="P324" s="88">
        <f>IF(OR($C324="",$I324="",$K324=""),0,IF(ROUND(($I324-$K324)*1440,0)&gt;設定!$C$48,ROUND(($I324-$K324)*1440,0),0))</f>
        <v/>
      </c>
      <c r="Q324" s="89">
        <f>IF($M324="",0,IF(($M324-IFERROR(INDEX(設定!$G$6:$G$21,MATCH($G324,設定!$B$6:$B$21,0)),0))*60&gt;=設定!$C$46,ROUND(FLOOR(($M324-IFERROR(INDEX(設定!$G$6:$G$21,MATCH($G324,設定!$B$6:$B$21,0)),0))*60,設定!$C$47)/60,2),0))</f>
        <v/>
      </c>
      <c r="R324" s="16">
        <f>IF(OR($C324="",$Q324=0),"",IF($G324="國","國定假日",IF($B324="日","例假",IF($B324="六","休息日","平日"))))</f>
        <v/>
      </c>
      <c r="S324" s="18" t="n"/>
    </row>
    <row r="325">
      <c r="A325" s="86">
        <f>IF(OR(醫護長與管理部班表!$A15="",13&gt;DAY(EOMONTH(DATE(設定!$C$2,設定!$D$2,1),0))),"",DATE(設定!$C$2,設定!$D$2,13))</f>
        <v/>
      </c>
      <c r="B325" s="16">
        <f>IF($A325="","",INDEX(設定!$O$6:$O$12,WEEKDAY($A325,1)))</f>
        <v/>
      </c>
      <c r="C325" s="16">
        <f>IF($A325="","",醫護長與管理部班表!$A15)</f>
        <v/>
      </c>
      <c r="D325" s="16">
        <f>IF($C325="","",醫護長與管理部班表!$B15)</f>
        <v/>
      </c>
      <c r="E325" s="16">
        <f>IF($C325="","",醫護長與管理部班表!$D15)</f>
        <v/>
      </c>
      <c r="F325" s="16">
        <f>IF($C325="","",醫護長與管理部班表!$C15)</f>
        <v/>
      </c>
      <c r="G325" s="16">
        <f>IF($C325="","",醫護長與管理部班表!Q15)</f>
        <v/>
      </c>
      <c r="H325" s="87">
        <f>IF($G325="","",IFERROR(IF(INDEX(設定!$D$6:$D$21,MATCH($G325,設定!$B$6:$B$21,0))=0,"",INDEX(設定!$D$6:$D$21,MATCH($G325,設定!$B$6:$B$21,0))),""))</f>
        <v/>
      </c>
      <c r="I325" s="87">
        <f>IF($G325="","",IFERROR(IF(INDEX(設定!$E$6:$E$21,MATCH($G325,設定!$B$6:$B$21,0))=0,"",INDEX(設定!$E$6:$E$21,MATCH($G325,設定!$B$6:$B$21,0))),""))</f>
        <v/>
      </c>
      <c r="J325" s="87">
        <f>IFERROR(INDEX(打卡匯入!$C$3:$C$502,MATCH($C325&amp;"|"&amp;DAY($A325),打卡匯入!$E$3:$E$502,0)),"")</f>
        <v/>
      </c>
      <c r="K325" s="87">
        <f>IFERROR(INDEX(打卡匯入!$D$3:$D$502,MATCH($C325&amp;"|"&amp;DAY($A325),打卡匯入!$E$3:$E$502,0)),"")</f>
        <v/>
      </c>
      <c r="L325" s="88">
        <f>IF(OR($J325="",$K325=""),"",IFERROR(INDEX(設定!$F$6:$F$21,MATCH($G325,設定!$B$6:$B$21,0)),0))</f>
        <v/>
      </c>
      <c r="M325" s="89">
        <f>IF(OR($J325="",$K325=""),"",ROUND(($K325-$J325)*24-$L325/60,2))</f>
        <v/>
      </c>
      <c r="N325" s="16">
        <f>IF($C325="","",IF(AND(COUNTIF(設定!$B$15:$B$21,$G325)&gt;0,$J325&lt;&gt;""),"假日出勤",IF(AND(COUNTIF(設定!$B$6:$B$14,$G325)&gt;0,$J325=""),"未打卡",IF($J325="","",IF($O325&gt;0,"遲到",IF($P325&gt;0,"早退","正常"))))))</f>
        <v/>
      </c>
      <c r="O325" s="88">
        <f>IF(OR($C325="",$H325="",$J325=""),0,IF(ROUND(($J325-$H325)*1440,0)&gt;設定!$C$48,ROUND(($J325-$H325)*1440,0),0))</f>
        <v/>
      </c>
      <c r="P325" s="88">
        <f>IF(OR($C325="",$I325="",$K325=""),0,IF(ROUND(($I325-$K325)*1440,0)&gt;設定!$C$48,ROUND(($I325-$K325)*1440,0),0))</f>
        <v/>
      </c>
      <c r="Q325" s="89">
        <f>IF($M325="",0,IF(($M325-IFERROR(INDEX(設定!$G$6:$G$21,MATCH($G325,設定!$B$6:$B$21,0)),0))*60&gt;=設定!$C$46,ROUND(FLOOR(($M325-IFERROR(INDEX(設定!$G$6:$G$21,MATCH($G325,設定!$B$6:$B$21,0)),0))*60,設定!$C$47)/60,2),0))</f>
        <v/>
      </c>
      <c r="R325" s="16">
        <f>IF(OR($C325="",$Q325=0),"",IF($G325="國","國定假日",IF($B325="日","例假",IF($B325="六","休息日","平日"))))</f>
        <v/>
      </c>
      <c r="S325" s="18" t="n"/>
    </row>
    <row r="326">
      <c r="A326" s="86">
        <f>IF(OR(醫護長與管理部班表!$A15="",14&gt;DAY(EOMONTH(DATE(設定!$C$2,設定!$D$2,1),0))),"",DATE(設定!$C$2,設定!$D$2,14))</f>
        <v/>
      </c>
      <c r="B326" s="16">
        <f>IF($A326="","",INDEX(設定!$O$6:$O$12,WEEKDAY($A326,1)))</f>
        <v/>
      </c>
      <c r="C326" s="16">
        <f>IF($A326="","",醫護長與管理部班表!$A15)</f>
        <v/>
      </c>
      <c r="D326" s="16">
        <f>IF($C326="","",醫護長與管理部班表!$B15)</f>
        <v/>
      </c>
      <c r="E326" s="16">
        <f>IF($C326="","",醫護長與管理部班表!$D15)</f>
        <v/>
      </c>
      <c r="F326" s="16">
        <f>IF($C326="","",醫護長與管理部班表!$C15)</f>
        <v/>
      </c>
      <c r="G326" s="16">
        <f>IF($C326="","",醫護長與管理部班表!R15)</f>
        <v/>
      </c>
      <c r="H326" s="87">
        <f>IF($G326="","",IFERROR(IF(INDEX(設定!$D$6:$D$21,MATCH($G326,設定!$B$6:$B$21,0))=0,"",INDEX(設定!$D$6:$D$21,MATCH($G326,設定!$B$6:$B$21,0))),""))</f>
        <v/>
      </c>
      <c r="I326" s="87">
        <f>IF($G326="","",IFERROR(IF(INDEX(設定!$E$6:$E$21,MATCH($G326,設定!$B$6:$B$21,0))=0,"",INDEX(設定!$E$6:$E$21,MATCH($G326,設定!$B$6:$B$21,0))),""))</f>
        <v/>
      </c>
      <c r="J326" s="87">
        <f>IFERROR(INDEX(打卡匯入!$C$3:$C$502,MATCH($C326&amp;"|"&amp;DAY($A326),打卡匯入!$E$3:$E$502,0)),"")</f>
        <v/>
      </c>
      <c r="K326" s="87">
        <f>IFERROR(INDEX(打卡匯入!$D$3:$D$502,MATCH($C326&amp;"|"&amp;DAY($A326),打卡匯入!$E$3:$E$502,0)),"")</f>
        <v/>
      </c>
      <c r="L326" s="88">
        <f>IF(OR($J326="",$K326=""),"",IFERROR(INDEX(設定!$F$6:$F$21,MATCH($G326,設定!$B$6:$B$21,0)),0))</f>
        <v/>
      </c>
      <c r="M326" s="89">
        <f>IF(OR($J326="",$K326=""),"",ROUND(($K326-$J326)*24-$L326/60,2))</f>
        <v/>
      </c>
      <c r="N326" s="16">
        <f>IF($C326="","",IF(AND(COUNTIF(設定!$B$15:$B$21,$G326)&gt;0,$J326&lt;&gt;""),"假日出勤",IF(AND(COUNTIF(設定!$B$6:$B$14,$G326)&gt;0,$J326=""),"未打卡",IF($J326="","",IF($O326&gt;0,"遲到",IF($P326&gt;0,"早退","正常"))))))</f>
        <v/>
      </c>
      <c r="O326" s="88">
        <f>IF(OR($C326="",$H326="",$J326=""),0,IF(ROUND(($J326-$H326)*1440,0)&gt;設定!$C$48,ROUND(($J326-$H326)*1440,0),0))</f>
        <v/>
      </c>
      <c r="P326" s="88">
        <f>IF(OR($C326="",$I326="",$K326=""),0,IF(ROUND(($I326-$K326)*1440,0)&gt;設定!$C$48,ROUND(($I326-$K326)*1440,0),0))</f>
        <v/>
      </c>
      <c r="Q326" s="89">
        <f>IF($M326="",0,IF(($M326-IFERROR(INDEX(設定!$G$6:$G$21,MATCH($G326,設定!$B$6:$B$21,0)),0))*60&gt;=設定!$C$46,ROUND(FLOOR(($M326-IFERROR(INDEX(設定!$G$6:$G$21,MATCH($G326,設定!$B$6:$B$21,0)),0))*60,設定!$C$47)/60,2),0))</f>
        <v/>
      </c>
      <c r="R326" s="16">
        <f>IF(OR($C326="",$Q326=0),"",IF($G326="國","國定假日",IF($B326="日","例假",IF($B326="六","休息日","平日"))))</f>
        <v/>
      </c>
      <c r="S326" s="18" t="n"/>
    </row>
    <row r="327">
      <c r="A327" s="86">
        <f>IF(OR(醫護長與管理部班表!$A15="",15&gt;DAY(EOMONTH(DATE(設定!$C$2,設定!$D$2,1),0))),"",DATE(設定!$C$2,設定!$D$2,15))</f>
        <v/>
      </c>
      <c r="B327" s="16">
        <f>IF($A327="","",INDEX(設定!$O$6:$O$12,WEEKDAY($A327,1)))</f>
        <v/>
      </c>
      <c r="C327" s="16">
        <f>IF($A327="","",醫護長與管理部班表!$A15)</f>
        <v/>
      </c>
      <c r="D327" s="16">
        <f>IF($C327="","",醫護長與管理部班表!$B15)</f>
        <v/>
      </c>
      <c r="E327" s="16">
        <f>IF($C327="","",醫護長與管理部班表!$D15)</f>
        <v/>
      </c>
      <c r="F327" s="16">
        <f>IF($C327="","",醫護長與管理部班表!$C15)</f>
        <v/>
      </c>
      <c r="G327" s="16">
        <f>IF($C327="","",醫護長與管理部班表!S15)</f>
        <v/>
      </c>
      <c r="H327" s="87">
        <f>IF($G327="","",IFERROR(IF(INDEX(設定!$D$6:$D$21,MATCH($G327,設定!$B$6:$B$21,0))=0,"",INDEX(設定!$D$6:$D$21,MATCH($G327,設定!$B$6:$B$21,0))),""))</f>
        <v/>
      </c>
      <c r="I327" s="87">
        <f>IF($G327="","",IFERROR(IF(INDEX(設定!$E$6:$E$21,MATCH($G327,設定!$B$6:$B$21,0))=0,"",INDEX(設定!$E$6:$E$21,MATCH($G327,設定!$B$6:$B$21,0))),""))</f>
        <v/>
      </c>
      <c r="J327" s="87">
        <f>IFERROR(INDEX(打卡匯入!$C$3:$C$502,MATCH($C327&amp;"|"&amp;DAY($A327),打卡匯入!$E$3:$E$502,0)),"")</f>
        <v/>
      </c>
      <c r="K327" s="87">
        <f>IFERROR(INDEX(打卡匯入!$D$3:$D$502,MATCH($C327&amp;"|"&amp;DAY($A327),打卡匯入!$E$3:$E$502,0)),"")</f>
        <v/>
      </c>
      <c r="L327" s="88">
        <f>IF(OR($J327="",$K327=""),"",IFERROR(INDEX(設定!$F$6:$F$21,MATCH($G327,設定!$B$6:$B$21,0)),0))</f>
        <v/>
      </c>
      <c r="M327" s="89">
        <f>IF(OR($J327="",$K327=""),"",ROUND(($K327-$J327)*24-$L327/60,2))</f>
        <v/>
      </c>
      <c r="N327" s="16">
        <f>IF($C327="","",IF(AND(COUNTIF(設定!$B$15:$B$21,$G327)&gt;0,$J327&lt;&gt;""),"假日出勤",IF(AND(COUNTIF(設定!$B$6:$B$14,$G327)&gt;0,$J327=""),"未打卡",IF($J327="","",IF($O327&gt;0,"遲到",IF($P327&gt;0,"早退","正常"))))))</f>
        <v/>
      </c>
      <c r="O327" s="88">
        <f>IF(OR($C327="",$H327="",$J327=""),0,IF(ROUND(($J327-$H327)*1440,0)&gt;設定!$C$48,ROUND(($J327-$H327)*1440,0),0))</f>
        <v/>
      </c>
      <c r="P327" s="88">
        <f>IF(OR($C327="",$I327="",$K327=""),0,IF(ROUND(($I327-$K327)*1440,0)&gt;設定!$C$48,ROUND(($I327-$K327)*1440,0),0))</f>
        <v/>
      </c>
      <c r="Q327" s="89">
        <f>IF($M327="",0,IF(($M327-IFERROR(INDEX(設定!$G$6:$G$21,MATCH($G327,設定!$B$6:$B$21,0)),0))*60&gt;=設定!$C$46,ROUND(FLOOR(($M327-IFERROR(INDEX(設定!$G$6:$G$21,MATCH($G327,設定!$B$6:$B$21,0)),0))*60,設定!$C$47)/60,2),0))</f>
        <v/>
      </c>
      <c r="R327" s="16">
        <f>IF(OR($C327="",$Q327=0),"",IF($G327="國","國定假日",IF($B327="日","例假",IF($B327="六","休息日","平日"))))</f>
        <v/>
      </c>
      <c r="S327" s="18" t="n"/>
    </row>
    <row r="328">
      <c r="A328" s="86">
        <f>IF(OR(醫護長與管理部班表!$A15="",16&gt;DAY(EOMONTH(DATE(設定!$C$2,設定!$D$2,1),0))),"",DATE(設定!$C$2,設定!$D$2,16))</f>
        <v/>
      </c>
      <c r="B328" s="16">
        <f>IF($A328="","",INDEX(設定!$O$6:$O$12,WEEKDAY($A328,1)))</f>
        <v/>
      </c>
      <c r="C328" s="16">
        <f>IF($A328="","",醫護長與管理部班表!$A15)</f>
        <v/>
      </c>
      <c r="D328" s="16">
        <f>IF($C328="","",醫護長與管理部班表!$B15)</f>
        <v/>
      </c>
      <c r="E328" s="16">
        <f>IF($C328="","",醫護長與管理部班表!$D15)</f>
        <v/>
      </c>
      <c r="F328" s="16">
        <f>IF($C328="","",醫護長與管理部班表!$C15)</f>
        <v/>
      </c>
      <c r="G328" s="16">
        <f>IF($C328="","",醫護長與管理部班表!T15)</f>
        <v/>
      </c>
      <c r="H328" s="87">
        <f>IF($G328="","",IFERROR(IF(INDEX(設定!$D$6:$D$21,MATCH($G328,設定!$B$6:$B$21,0))=0,"",INDEX(設定!$D$6:$D$21,MATCH($G328,設定!$B$6:$B$21,0))),""))</f>
        <v/>
      </c>
      <c r="I328" s="87">
        <f>IF($G328="","",IFERROR(IF(INDEX(設定!$E$6:$E$21,MATCH($G328,設定!$B$6:$B$21,0))=0,"",INDEX(設定!$E$6:$E$21,MATCH($G328,設定!$B$6:$B$21,0))),""))</f>
        <v/>
      </c>
      <c r="J328" s="87">
        <f>IFERROR(INDEX(打卡匯入!$C$3:$C$502,MATCH($C328&amp;"|"&amp;DAY($A328),打卡匯入!$E$3:$E$502,0)),"")</f>
        <v/>
      </c>
      <c r="K328" s="87">
        <f>IFERROR(INDEX(打卡匯入!$D$3:$D$502,MATCH($C328&amp;"|"&amp;DAY($A328),打卡匯入!$E$3:$E$502,0)),"")</f>
        <v/>
      </c>
      <c r="L328" s="88">
        <f>IF(OR($J328="",$K328=""),"",IFERROR(INDEX(設定!$F$6:$F$21,MATCH($G328,設定!$B$6:$B$21,0)),0))</f>
        <v/>
      </c>
      <c r="M328" s="89">
        <f>IF(OR($J328="",$K328=""),"",ROUND(($K328-$J328)*24-$L328/60,2))</f>
        <v/>
      </c>
      <c r="N328" s="16">
        <f>IF($C328="","",IF(AND(COUNTIF(設定!$B$15:$B$21,$G328)&gt;0,$J328&lt;&gt;""),"假日出勤",IF(AND(COUNTIF(設定!$B$6:$B$14,$G328)&gt;0,$J328=""),"未打卡",IF($J328="","",IF($O328&gt;0,"遲到",IF($P328&gt;0,"早退","正常"))))))</f>
        <v/>
      </c>
      <c r="O328" s="88">
        <f>IF(OR($C328="",$H328="",$J328=""),0,IF(ROUND(($J328-$H328)*1440,0)&gt;設定!$C$48,ROUND(($J328-$H328)*1440,0),0))</f>
        <v/>
      </c>
      <c r="P328" s="88">
        <f>IF(OR($C328="",$I328="",$K328=""),0,IF(ROUND(($I328-$K328)*1440,0)&gt;設定!$C$48,ROUND(($I328-$K328)*1440,0),0))</f>
        <v/>
      </c>
      <c r="Q328" s="89">
        <f>IF($M328="",0,IF(($M328-IFERROR(INDEX(設定!$G$6:$G$21,MATCH($G328,設定!$B$6:$B$21,0)),0))*60&gt;=設定!$C$46,ROUND(FLOOR(($M328-IFERROR(INDEX(設定!$G$6:$G$21,MATCH($G328,設定!$B$6:$B$21,0)),0))*60,設定!$C$47)/60,2),0))</f>
        <v/>
      </c>
      <c r="R328" s="16">
        <f>IF(OR($C328="",$Q328=0),"",IF($G328="國","國定假日",IF($B328="日","例假",IF($B328="六","休息日","平日"))))</f>
        <v/>
      </c>
      <c r="S328" s="18" t="n"/>
    </row>
    <row r="329">
      <c r="A329" s="86">
        <f>IF(OR(醫護長與管理部班表!$A15="",17&gt;DAY(EOMONTH(DATE(設定!$C$2,設定!$D$2,1),0))),"",DATE(設定!$C$2,設定!$D$2,17))</f>
        <v/>
      </c>
      <c r="B329" s="16">
        <f>IF($A329="","",INDEX(設定!$O$6:$O$12,WEEKDAY($A329,1)))</f>
        <v/>
      </c>
      <c r="C329" s="16">
        <f>IF($A329="","",醫護長與管理部班表!$A15)</f>
        <v/>
      </c>
      <c r="D329" s="16">
        <f>IF($C329="","",醫護長與管理部班表!$B15)</f>
        <v/>
      </c>
      <c r="E329" s="16">
        <f>IF($C329="","",醫護長與管理部班表!$D15)</f>
        <v/>
      </c>
      <c r="F329" s="16">
        <f>IF($C329="","",醫護長與管理部班表!$C15)</f>
        <v/>
      </c>
      <c r="G329" s="16">
        <f>IF($C329="","",醫護長與管理部班表!U15)</f>
        <v/>
      </c>
      <c r="H329" s="87">
        <f>IF($G329="","",IFERROR(IF(INDEX(設定!$D$6:$D$21,MATCH($G329,設定!$B$6:$B$21,0))=0,"",INDEX(設定!$D$6:$D$21,MATCH($G329,設定!$B$6:$B$21,0))),""))</f>
        <v/>
      </c>
      <c r="I329" s="87">
        <f>IF($G329="","",IFERROR(IF(INDEX(設定!$E$6:$E$21,MATCH($G329,設定!$B$6:$B$21,0))=0,"",INDEX(設定!$E$6:$E$21,MATCH($G329,設定!$B$6:$B$21,0))),""))</f>
        <v/>
      </c>
      <c r="J329" s="87">
        <f>IFERROR(INDEX(打卡匯入!$C$3:$C$502,MATCH($C329&amp;"|"&amp;DAY($A329),打卡匯入!$E$3:$E$502,0)),"")</f>
        <v/>
      </c>
      <c r="K329" s="87">
        <f>IFERROR(INDEX(打卡匯入!$D$3:$D$502,MATCH($C329&amp;"|"&amp;DAY($A329),打卡匯入!$E$3:$E$502,0)),"")</f>
        <v/>
      </c>
      <c r="L329" s="88">
        <f>IF(OR($J329="",$K329=""),"",IFERROR(INDEX(設定!$F$6:$F$21,MATCH($G329,設定!$B$6:$B$21,0)),0))</f>
        <v/>
      </c>
      <c r="M329" s="89">
        <f>IF(OR($J329="",$K329=""),"",ROUND(($K329-$J329)*24-$L329/60,2))</f>
        <v/>
      </c>
      <c r="N329" s="16">
        <f>IF($C329="","",IF(AND(COUNTIF(設定!$B$15:$B$21,$G329)&gt;0,$J329&lt;&gt;""),"假日出勤",IF(AND(COUNTIF(設定!$B$6:$B$14,$G329)&gt;0,$J329=""),"未打卡",IF($J329="","",IF($O329&gt;0,"遲到",IF($P329&gt;0,"早退","正常"))))))</f>
        <v/>
      </c>
      <c r="O329" s="88">
        <f>IF(OR($C329="",$H329="",$J329=""),0,IF(ROUND(($J329-$H329)*1440,0)&gt;設定!$C$48,ROUND(($J329-$H329)*1440,0),0))</f>
        <v/>
      </c>
      <c r="P329" s="88">
        <f>IF(OR($C329="",$I329="",$K329=""),0,IF(ROUND(($I329-$K329)*1440,0)&gt;設定!$C$48,ROUND(($I329-$K329)*1440,0),0))</f>
        <v/>
      </c>
      <c r="Q329" s="89">
        <f>IF($M329="",0,IF(($M329-IFERROR(INDEX(設定!$G$6:$G$21,MATCH($G329,設定!$B$6:$B$21,0)),0))*60&gt;=設定!$C$46,ROUND(FLOOR(($M329-IFERROR(INDEX(設定!$G$6:$G$21,MATCH($G329,設定!$B$6:$B$21,0)),0))*60,設定!$C$47)/60,2),0))</f>
        <v/>
      </c>
      <c r="R329" s="16">
        <f>IF(OR($C329="",$Q329=0),"",IF($G329="國","國定假日",IF($B329="日","例假",IF($B329="六","休息日","平日"))))</f>
        <v/>
      </c>
      <c r="S329" s="18" t="n"/>
    </row>
    <row r="330">
      <c r="A330" s="86">
        <f>IF(OR(醫護長與管理部班表!$A15="",18&gt;DAY(EOMONTH(DATE(設定!$C$2,設定!$D$2,1),0))),"",DATE(設定!$C$2,設定!$D$2,18))</f>
        <v/>
      </c>
      <c r="B330" s="16">
        <f>IF($A330="","",INDEX(設定!$O$6:$O$12,WEEKDAY($A330,1)))</f>
        <v/>
      </c>
      <c r="C330" s="16">
        <f>IF($A330="","",醫護長與管理部班表!$A15)</f>
        <v/>
      </c>
      <c r="D330" s="16">
        <f>IF($C330="","",醫護長與管理部班表!$B15)</f>
        <v/>
      </c>
      <c r="E330" s="16">
        <f>IF($C330="","",醫護長與管理部班表!$D15)</f>
        <v/>
      </c>
      <c r="F330" s="16">
        <f>IF($C330="","",醫護長與管理部班表!$C15)</f>
        <v/>
      </c>
      <c r="G330" s="16">
        <f>IF($C330="","",醫護長與管理部班表!V15)</f>
        <v/>
      </c>
      <c r="H330" s="87">
        <f>IF($G330="","",IFERROR(IF(INDEX(設定!$D$6:$D$21,MATCH($G330,設定!$B$6:$B$21,0))=0,"",INDEX(設定!$D$6:$D$21,MATCH($G330,設定!$B$6:$B$21,0))),""))</f>
        <v/>
      </c>
      <c r="I330" s="87">
        <f>IF($G330="","",IFERROR(IF(INDEX(設定!$E$6:$E$21,MATCH($G330,設定!$B$6:$B$21,0))=0,"",INDEX(設定!$E$6:$E$21,MATCH($G330,設定!$B$6:$B$21,0))),""))</f>
        <v/>
      </c>
      <c r="J330" s="87">
        <f>IFERROR(INDEX(打卡匯入!$C$3:$C$502,MATCH($C330&amp;"|"&amp;DAY($A330),打卡匯入!$E$3:$E$502,0)),"")</f>
        <v/>
      </c>
      <c r="K330" s="87">
        <f>IFERROR(INDEX(打卡匯入!$D$3:$D$502,MATCH($C330&amp;"|"&amp;DAY($A330),打卡匯入!$E$3:$E$502,0)),"")</f>
        <v/>
      </c>
      <c r="L330" s="88">
        <f>IF(OR($J330="",$K330=""),"",IFERROR(INDEX(設定!$F$6:$F$21,MATCH($G330,設定!$B$6:$B$21,0)),0))</f>
        <v/>
      </c>
      <c r="M330" s="89">
        <f>IF(OR($J330="",$K330=""),"",ROUND(($K330-$J330)*24-$L330/60,2))</f>
        <v/>
      </c>
      <c r="N330" s="16">
        <f>IF($C330="","",IF(AND(COUNTIF(設定!$B$15:$B$21,$G330)&gt;0,$J330&lt;&gt;""),"假日出勤",IF(AND(COUNTIF(設定!$B$6:$B$14,$G330)&gt;0,$J330=""),"未打卡",IF($J330="","",IF($O330&gt;0,"遲到",IF($P330&gt;0,"早退","正常"))))))</f>
        <v/>
      </c>
      <c r="O330" s="88">
        <f>IF(OR($C330="",$H330="",$J330=""),0,IF(ROUND(($J330-$H330)*1440,0)&gt;設定!$C$48,ROUND(($J330-$H330)*1440,0),0))</f>
        <v/>
      </c>
      <c r="P330" s="88">
        <f>IF(OR($C330="",$I330="",$K330=""),0,IF(ROUND(($I330-$K330)*1440,0)&gt;設定!$C$48,ROUND(($I330-$K330)*1440,0),0))</f>
        <v/>
      </c>
      <c r="Q330" s="89">
        <f>IF($M330="",0,IF(($M330-IFERROR(INDEX(設定!$G$6:$G$21,MATCH($G330,設定!$B$6:$B$21,0)),0))*60&gt;=設定!$C$46,ROUND(FLOOR(($M330-IFERROR(INDEX(設定!$G$6:$G$21,MATCH($G330,設定!$B$6:$B$21,0)),0))*60,設定!$C$47)/60,2),0))</f>
        <v/>
      </c>
      <c r="R330" s="16">
        <f>IF(OR($C330="",$Q330=0),"",IF($G330="國","國定假日",IF($B330="日","例假",IF($B330="六","休息日","平日"))))</f>
        <v/>
      </c>
      <c r="S330" s="18" t="n"/>
    </row>
    <row r="331">
      <c r="A331" s="86">
        <f>IF(OR(醫護長與管理部班表!$A15="",19&gt;DAY(EOMONTH(DATE(設定!$C$2,設定!$D$2,1),0))),"",DATE(設定!$C$2,設定!$D$2,19))</f>
        <v/>
      </c>
      <c r="B331" s="16">
        <f>IF($A331="","",INDEX(設定!$O$6:$O$12,WEEKDAY($A331,1)))</f>
        <v/>
      </c>
      <c r="C331" s="16">
        <f>IF($A331="","",醫護長與管理部班表!$A15)</f>
        <v/>
      </c>
      <c r="D331" s="16">
        <f>IF($C331="","",醫護長與管理部班表!$B15)</f>
        <v/>
      </c>
      <c r="E331" s="16">
        <f>IF($C331="","",醫護長與管理部班表!$D15)</f>
        <v/>
      </c>
      <c r="F331" s="16">
        <f>IF($C331="","",醫護長與管理部班表!$C15)</f>
        <v/>
      </c>
      <c r="G331" s="16">
        <f>IF($C331="","",醫護長與管理部班表!W15)</f>
        <v/>
      </c>
      <c r="H331" s="87">
        <f>IF($G331="","",IFERROR(IF(INDEX(設定!$D$6:$D$21,MATCH($G331,設定!$B$6:$B$21,0))=0,"",INDEX(設定!$D$6:$D$21,MATCH($G331,設定!$B$6:$B$21,0))),""))</f>
        <v/>
      </c>
      <c r="I331" s="87">
        <f>IF($G331="","",IFERROR(IF(INDEX(設定!$E$6:$E$21,MATCH($G331,設定!$B$6:$B$21,0))=0,"",INDEX(設定!$E$6:$E$21,MATCH($G331,設定!$B$6:$B$21,0))),""))</f>
        <v/>
      </c>
      <c r="J331" s="87">
        <f>IFERROR(INDEX(打卡匯入!$C$3:$C$502,MATCH($C331&amp;"|"&amp;DAY($A331),打卡匯入!$E$3:$E$502,0)),"")</f>
        <v/>
      </c>
      <c r="K331" s="87">
        <f>IFERROR(INDEX(打卡匯入!$D$3:$D$502,MATCH($C331&amp;"|"&amp;DAY($A331),打卡匯入!$E$3:$E$502,0)),"")</f>
        <v/>
      </c>
      <c r="L331" s="88">
        <f>IF(OR($J331="",$K331=""),"",IFERROR(INDEX(設定!$F$6:$F$21,MATCH($G331,設定!$B$6:$B$21,0)),0))</f>
        <v/>
      </c>
      <c r="M331" s="89">
        <f>IF(OR($J331="",$K331=""),"",ROUND(($K331-$J331)*24-$L331/60,2))</f>
        <v/>
      </c>
      <c r="N331" s="16">
        <f>IF($C331="","",IF(AND(COUNTIF(設定!$B$15:$B$21,$G331)&gt;0,$J331&lt;&gt;""),"假日出勤",IF(AND(COUNTIF(設定!$B$6:$B$14,$G331)&gt;0,$J331=""),"未打卡",IF($J331="","",IF($O331&gt;0,"遲到",IF($P331&gt;0,"早退","正常"))))))</f>
        <v/>
      </c>
      <c r="O331" s="88">
        <f>IF(OR($C331="",$H331="",$J331=""),0,IF(ROUND(($J331-$H331)*1440,0)&gt;設定!$C$48,ROUND(($J331-$H331)*1440,0),0))</f>
        <v/>
      </c>
      <c r="P331" s="88">
        <f>IF(OR($C331="",$I331="",$K331=""),0,IF(ROUND(($I331-$K331)*1440,0)&gt;設定!$C$48,ROUND(($I331-$K331)*1440,0),0))</f>
        <v/>
      </c>
      <c r="Q331" s="89">
        <f>IF($M331="",0,IF(($M331-IFERROR(INDEX(設定!$G$6:$G$21,MATCH($G331,設定!$B$6:$B$21,0)),0))*60&gt;=設定!$C$46,ROUND(FLOOR(($M331-IFERROR(INDEX(設定!$G$6:$G$21,MATCH($G331,設定!$B$6:$B$21,0)),0))*60,設定!$C$47)/60,2),0))</f>
        <v/>
      </c>
      <c r="R331" s="16">
        <f>IF(OR($C331="",$Q331=0),"",IF($G331="國","國定假日",IF($B331="日","例假",IF($B331="六","休息日","平日"))))</f>
        <v/>
      </c>
      <c r="S331" s="18" t="n"/>
    </row>
    <row r="332">
      <c r="A332" s="86">
        <f>IF(OR(醫護長與管理部班表!$A15="",20&gt;DAY(EOMONTH(DATE(設定!$C$2,設定!$D$2,1),0))),"",DATE(設定!$C$2,設定!$D$2,20))</f>
        <v/>
      </c>
      <c r="B332" s="16">
        <f>IF($A332="","",INDEX(設定!$O$6:$O$12,WEEKDAY($A332,1)))</f>
        <v/>
      </c>
      <c r="C332" s="16">
        <f>IF($A332="","",醫護長與管理部班表!$A15)</f>
        <v/>
      </c>
      <c r="D332" s="16">
        <f>IF($C332="","",醫護長與管理部班表!$B15)</f>
        <v/>
      </c>
      <c r="E332" s="16">
        <f>IF($C332="","",醫護長與管理部班表!$D15)</f>
        <v/>
      </c>
      <c r="F332" s="16">
        <f>IF($C332="","",醫護長與管理部班表!$C15)</f>
        <v/>
      </c>
      <c r="G332" s="16">
        <f>IF($C332="","",醫護長與管理部班表!X15)</f>
        <v/>
      </c>
      <c r="H332" s="87">
        <f>IF($G332="","",IFERROR(IF(INDEX(設定!$D$6:$D$21,MATCH($G332,設定!$B$6:$B$21,0))=0,"",INDEX(設定!$D$6:$D$21,MATCH($G332,設定!$B$6:$B$21,0))),""))</f>
        <v/>
      </c>
      <c r="I332" s="87">
        <f>IF($G332="","",IFERROR(IF(INDEX(設定!$E$6:$E$21,MATCH($G332,設定!$B$6:$B$21,0))=0,"",INDEX(設定!$E$6:$E$21,MATCH($G332,設定!$B$6:$B$21,0))),""))</f>
        <v/>
      </c>
      <c r="J332" s="87">
        <f>IFERROR(INDEX(打卡匯入!$C$3:$C$502,MATCH($C332&amp;"|"&amp;DAY($A332),打卡匯入!$E$3:$E$502,0)),"")</f>
        <v/>
      </c>
      <c r="K332" s="87">
        <f>IFERROR(INDEX(打卡匯入!$D$3:$D$502,MATCH($C332&amp;"|"&amp;DAY($A332),打卡匯入!$E$3:$E$502,0)),"")</f>
        <v/>
      </c>
      <c r="L332" s="88">
        <f>IF(OR($J332="",$K332=""),"",IFERROR(INDEX(設定!$F$6:$F$21,MATCH($G332,設定!$B$6:$B$21,0)),0))</f>
        <v/>
      </c>
      <c r="M332" s="89">
        <f>IF(OR($J332="",$K332=""),"",ROUND(($K332-$J332)*24-$L332/60,2))</f>
        <v/>
      </c>
      <c r="N332" s="16">
        <f>IF($C332="","",IF(AND(COUNTIF(設定!$B$15:$B$21,$G332)&gt;0,$J332&lt;&gt;""),"假日出勤",IF(AND(COUNTIF(設定!$B$6:$B$14,$G332)&gt;0,$J332=""),"未打卡",IF($J332="","",IF($O332&gt;0,"遲到",IF($P332&gt;0,"早退","正常"))))))</f>
        <v/>
      </c>
      <c r="O332" s="88">
        <f>IF(OR($C332="",$H332="",$J332=""),0,IF(ROUND(($J332-$H332)*1440,0)&gt;設定!$C$48,ROUND(($J332-$H332)*1440,0),0))</f>
        <v/>
      </c>
      <c r="P332" s="88">
        <f>IF(OR($C332="",$I332="",$K332=""),0,IF(ROUND(($I332-$K332)*1440,0)&gt;設定!$C$48,ROUND(($I332-$K332)*1440,0),0))</f>
        <v/>
      </c>
      <c r="Q332" s="89">
        <f>IF($M332="",0,IF(($M332-IFERROR(INDEX(設定!$G$6:$G$21,MATCH($G332,設定!$B$6:$B$21,0)),0))*60&gt;=設定!$C$46,ROUND(FLOOR(($M332-IFERROR(INDEX(設定!$G$6:$G$21,MATCH($G332,設定!$B$6:$B$21,0)),0))*60,設定!$C$47)/60,2),0))</f>
        <v/>
      </c>
      <c r="R332" s="16">
        <f>IF(OR($C332="",$Q332=0),"",IF($G332="國","國定假日",IF($B332="日","例假",IF($B332="六","休息日","平日"))))</f>
        <v/>
      </c>
      <c r="S332" s="18" t="n"/>
    </row>
    <row r="333">
      <c r="A333" s="86">
        <f>IF(OR(醫護長與管理部班表!$A15="",21&gt;DAY(EOMONTH(DATE(設定!$C$2,設定!$D$2,1),0))),"",DATE(設定!$C$2,設定!$D$2,21))</f>
        <v/>
      </c>
      <c r="B333" s="16">
        <f>IF($A333="","",INDEX(設定!$O$6:$O$12,WEEKDAY($A333,1)))</f>
        <v/>
      </c>
      <c r="C333" s="16">
        <f>IF($A333="","",醫護長與管理部班表!$A15)</f>
        <v/>
      </c>
      <c r="D333" s="16">
        <f>IF($C333="","",醫護長與管理部班表!$B15)</f>
        <v/>
      </c>
      <c r="E333" s="16">
        <f>IF($C333="","",醫護長與管理部班表!$D15)</f>
        <v/>
      </c>
      <c r="F333" s="16">
        <f>IF($C333="","",醫護長與管理部班表!$C15)</f>
        <v/>
      </c>
      <c r="G333" s="16">
        <f>IF($C333="","",醫護長與管理部班表!Y15)</f>
        <v/>
      </c>
      <c r="H333" s="87">
        <f>IF($G333="","",IFERROR(IF(INDEX(設定!$D$6:$D$21,MATCH($G333,設定!$B$6:$B$21,0))=0,"",INDEX(設定!$D$6:$D$21,MATCH($G333,設定!$B$6:$B$21,0))),""))</f>
        <v/>
      </c>
      <c r="I333" s="87">
        <f>IF($G333="","",IFERROR(IF(INDEX(設定!$E$6:$E$21,MATCH($G333,設定!$B$6:$B$21,0))=0,"",INDEX(設定!$E$6:$E$21,MATCH($G333,設定!$B$6:$B$21,0))),""))</f>
        <v/>
      </c>
      <c r="J333" s="87">
        <f>IFERROR(INDEX(打卡匯入!$C$3:$C$502,MATCH($C333&amp;"|"&amp;DAY($A333),打卡匯入!$E$3:$E$502,0)),"")</f>
        <v/>
      </c>
      <c r="K333" s="87">
        <f>IFERROR(INDEX(打卡匯入!$D$3:$D$502,MATCH($C333&amp;"|"&amp;DAY($A333),打卡匯入!$E$3:$E$502,0)),"")</f>
        <v/>
      </c>
      <c r="L333" s="88">
        <f>IF(OR($J333="",$K333=""),"",IFERROR(INDEX(設定!$F$6:$F$21,MATCH($G333,設定!$B$6:$B$21,0)),0))</f>
        <v/>
      </c>
      <c r="M333" s="89">
        <f>IF(OR($J333="",$K333=""),"",ROUND(($K333-$J333)*24-$L333/60,2))</f>
        <v/>
      </c>
      <c r="N333" s="16">
        <f>IF($C333="","",IF(AND(COUNTIF(設定!$B$15:$B$21,$G333)&gt;0,$J333&lt;&gt;""),"假日出勤",IF(AND(COUNTIF(設定!$B$6:$B$14,$G333)&gt;0,$J333=""),"未打卡",IF($J333="","",IF($O333&gt;0,"遲到",IF($P333&gt;0,"早退","正常"))))))</f>
        <v/>
      </c>
      <c r="O333" s="88">
        <f>IF(OR($C333="",$H333="",$J333=""),0,IF(ROUND(($J333-$H333)*1440,0)&gt;設定!$C$48,ROUND(($J333-$H333)*1440,0),0))</f>
        <v/>
      </c>
      <c r="P333" s="88">
        <f>IF(OR($C333="",$I333="",$K333=""),0,IF(ROUND(($I333-$K333)*1440,0)&gt;設定!$C$48,ROUND(($I333-$K333)*1440,0),0))</f>
        <v/>
      </c>
      <c r="Q333" s="89">
        <f>IF($M333="",0,IF(($M333-IFERROR(INDEX(設定!$G$6:$G$21,MATCH($G333,設定!$B$6:$B$21,0)),0))*60&gt;=設定!$C$46,ROUND(FLOOR(($M333-IFERROR(INDEX(設定!$G$6:$G$21,MATCH($G333,設定!$B$6:$B$21,0)),0))*60,設定!$C$47)/60,2),0))</f>
        <v/>
      </c>
      <c r="R333" s="16">
        <f>IF(OR($C333="",$Q333=0),"",IF($G333="國","國定假日",IF($B333="日","例假",IF($B333="六","休息日","平日"))))</f>
        <v/>
      </c>
      <c r="S333" s="18" t="n"/>
    </row>
    <row r="334">
      <c r="A334" s="86">
        <f>IF(OR(醫護長與管理部班表!$A15="",22&gt;DAY(EOMONTH(DATE(設定!$C$2,設定!$D$2,1),0))),"",DATE(設定!$C$2,設定!$D$2,22))</f>
        <v/>
      </c>
      <c r="B334" s="16">
        <f>IF($A334="","",INDEX(設定!$O$6:$O$12,WEEKDAY($A334,1)))</f>
        <v/>
      </c>
      <c r="C334" s="16">
        <f>IF($A334="","",醫護長與管理部班表!$A15)</f>
        <v/>
      </c>
      <c r="D334" s="16">
        <f>IF($C334="","",醫護長與管理部班表!$B15)</f>
        <v/>
      </c>
      <c r="E334" s="16">
        <f>IF($C334="","",醫護長與管理部班表!$D15)</f>
        <v/>
      </c>
      <c r="F334" s="16">
        <f>IF($C334="","",醫護長與管理部班表!$C15)</f>
        <v/>
      </c>
      <c r="G334" s="16">
        <f>IF($C334="","",醫護長與管理部班表!Z15)</f>
        <v/>
      </c>
      <c r="H334" s="87">
        <f>IF($G334="","",IFERROR(IF(INDEX(設定!$D$6:$D$21,MATCH($G334,設定!$B$6:$B$21,0))=0,"",INDEX(設定!$D$6:$D$21,MATCH($G334,設定!$B$6:$B$21,0))),""))</f>
        <v/>
      </c>
      <c r="I334" s="87">
        <f>IF($G334="","",IFERROR(IF(INDEX(設定!$E$6:$E$21,MATCH($G334,設定!$B$6:$B$21,0))=0,"",INDEX(設定!$E$6:$E$21,MATCH($G334,設定!$B$6:$B$21,0))),""))</f>
        <v/>
      </c>
      <c r="J334" s="87">
        <f>IFERROR(INDEX(打卡匯入!$C$3:$C$502,MATCH($C334&amp;"|"&amp;DAY($A334),打卡匯入!$E$3:$E$502,0)),"")</f>
        <v/>
      </c>
      <c r="K334" s="87">
        <f>IFERROR(INDEX(打卡匯入!$D$3:$D$502,MATCH($C334&amp;"|"&amp;DAY($A334),打卡匯入!$E$3:$E$502,0)),"")</f>
        <v/>
      </c>
      <c r="L334" s="88">
        <f>IF(OR($J334="",$K334=""),"",IFERROR(INDEX(設定!$F$6:$F$21,MATCH($G334,設定!$B$6:$B$21,0)),0))</f>
        <v/>
      </c>
      <c r="M334" s="89">
        <f>IF(OR($J334="",$K334=""),"",ROUND(($K334-$J334)*24-$L334/60,2))</f>
        <v/>
      </c>
      <c r="N334" s="16">
        <f>IF($C334="","",IF(AND(COUNTIF(設定!$B$15:$B$21,$G334)&gt;0,$J334&lt;&gt;""),"假日出勤",IF(AND(COUNTIF(設定!$B$6:$B$14,$G334)&gt;0,$J334=""),"未打卡",IF($J334="","",IF($O334&gt;0,"遲到",IF($P334&gt;0,"早退","正常"))))))</f>
        <v/>
      </c>
      <c r="O334" s="88">
        <f>IF(OR($C334="",$H334="",$J334=""),0,IF(ROUND(($J334-$H334)*1440,0)&gt;設定!$C$48,ROUND(($J334-$H334)*1440,0),0))</f>
        <v/>
      </c>
      <c r="P334" s="88">
        <f>IF(OR($C334="",$I334="",$K334=""),0,IF(ROUND(($I334-$K334)*1440,0)&gt;設定!$C$48,ROUND(($I334-$K334)*1440,0),0))</f>
        <v/>
      </c>
      <c r="Q334" s="89">
        <f>IF($M334="",0,IF(($M334-IFERROR(INDEX(設定!$G$6:$G$21,MATCH($G334,設定!$B$6:$B$21,0)),0))*60&gt;=設定!$C$46,ROUND(FLOOR(($M334-IFERROR(INDEX(設定!$G$6:$G$21,MATCH($G334,設定!$B$6:$B$21,0)),0))*60,設定!$C$47)/60,2),0))</f>
        <v/>
      </c>
      <c r="R334" s="16">
        <f>IF(OR($C334="",$Q334=0),"",IF($G334="國","國定假日",IF($B334="日","例假",IF($B334="六","休息日","平日"))))</f>
        <v/>
      </c>
      <c r="S334" s="18" t="n"/>
    </row>
    <row r="335">
      <c r="A335" s="86">
        <f>IF(OR(醫護長與管理部班表!$A15="",23&gt;DAY(EOMONTH(DATE(設定!$C$2,設定!$D$2,1),0))),"",DATE(設定!$C$2,設定!$D$2,23))</f>
        <v/>
      </c>
      <c r="B335" s="16">
        <f>IF($A335="","",INDEX(設定!$O$6:$O$12,WEEKDAY($A335,1)))</f>
        <v/>
      </c>
      <c r="C335" s="16">
        <f>IF($A335="","",醫護長與管理部班表!$A15)</f>
        <v/>
      </c>
      <c r="D335" s="16">
        <f>IF($C335="","",醫護長與管理部班表!$B15)</f>
        <v/>
      </c>
      <c r="E335" s="16">
        <f>IF($C335="","",醫護長與管理部班表!$D15)</f>
        <v/>
      </c>
      <c r="F335" s="16">
        <f>IF($C335="","",醫護長與管理部班表!$C15)</f>
        <v/>
      </c>
      <c r="G335" s="16">
        <f>IF($C335="","",醫護長與管理部班表!AA15)</f>
        <v/>
      </c>
      <c r="H335" s="87">
        <f>IF($G335="","",IFERROR(IF(INDEX(設定!$D$6:$D$21,MATCH($G335,設定!$B$6:$B$21,0))=0,"",INDEX(設定!$D$6:$D$21,MATCH($G335,設定!$B$6:$B$21,0))),""))</f>
        <v/>
      </c>
      <c r="I335" s="87">
        <f>IF($G335="","",IFERROR(IF(INDEX(設定!$E$6:$E$21,MATCH($G335,設定!$B$6:$B$21,0))=0,"",INDEX(設定!$E$6:$E$21,MATCH($G335,設定!$B$6:$B$21,0))),""))</f>
        <v/>
      </c>
      <c r="J335" s="87">
        <f>IFERROR(INDEX(打卡匯入!$C$3:$C$502,MATCH($C335&amp;"|"&amp;DAY($A335),打卡匯入!$E$3:$E$502,0)),"")</f>
        <v/>
      </c>
      <c r="K335" s="87">
        <f>IFERROR(INDEX(打卡匯入!$D$3:$D$502,MATCH($C335&amp;"|"&amp;DAY($A335),打卡匯入!$E$3:$E$502,0)),"")</f>
        <v/>
      </c>
      <c r="L335" s="88">
        <f>IF(OR($J335="",$K335=""),"",IFERROR(INDEX(設定!$F$6:$F$21,MATCH($G335,設定!$B$6:$B$21,0)),0))</f>
        <v/>
      </c>
      <c r="M335" s="89">
        <f>IF(OR($J335="",$K335=""),"",ROUND(($K335-$J335)*24-$L335/60,2))</f>
        <v/>
      </c>
      <c r="N335" s="16">
        <f>IF($C335="","",IF(AND(COUNTIF(設定!$B$15:$B$21,$G335)&gt;0,$J335&lt;&gt;""),"假日出勤",IF(AND(COUNTIF(設定!$B$6:$B$14,$G335)&gt;0,$J335=""),"未打卡",IF($J335="","",IF($O335&gt;0,"遲到",IF($P335&gt;0,"早退","正常"))))))</f>
        <v/>
      </c>
      <c r="O335" s="88">
        <f>IF(OR($C335="",$H335="",$J335=""),0,IF(ROUND(($J335-$H335)*1440,0)&gt;設定!$C$48,ROUND(($J335-$H335)*1440,0),0))</f>
        <v/>
      </c>
      <c r="P335" s="88">
        <f>IF(OR($C335="",$I335="",$K335=""),0,IF(ROUND(($I335-$K335)*1440,0)&gt;設定!$C$48,ROUND(($I335-$K335)*1440,0),0))</f>
        <v/>
      </c>
      <c r="Q335" s="89">
        <f>IF($M335="",0,IF(($M335-IFERROR(INDEX(設定!$G$6:$G$21,MATCH($G335,設定!$B$6:$B$21,0)),0))*60&gt;=設定!$C$46,ROUND(FLOOR(($M335-IFERROR(INDEX(設定!$G$6:$G$21,MATCH($G335,設定!$B$6:$B$21,0)),0))*60,設定!$C$47)/60,2),0))</f>
        <v/>
      </c>
      <c r="R335" s="16">
        <f>IF(OR($C335="",$Q335=0),"",IF($G335="國","國定假日",IF($B335="日","例假",IF($B335="六","休息日","平日"))))</f>
        <v/>
      </c>
      <c r="S335" s="18" t="n"/>
    </row>
    <row r="336">
      <c r="A336" s="86">
        <f>IF(OR(醫護長與管理部班表!$A15="",24&gt;DAY(EOMONTH(DATE(設定!$C$2,設定!$D$2,1),0))),"",DATE(設定!$C$2,設定!$D$2,24))</f>
        <v/>
      </c>
      <c r="B336" s="16">
        <f>IF($A336="","",INDEX(設定!$O$6:$O$12,WEEKDAY($A336,1)))</f>
        <v/>
      </c>
      <c r="C336" s="16">
        <f>IF($A336="","",醫護長與管理部班表!$A15)</f>
        <v/>
      </c>
      <c r="D336" s="16">
        <f>IF($C336="","",醫護長與管理部班表!$B15)</f>
        <v/>
      </c>
      <c r="E336" s="16">
        <f>IF($C336="","",醫護長與管理部班表!$D15)</f>
        <v/>
      </c>
      <c r="F336" s="16">
        <f>IF($C336="","",醫護長與管理部班表!$C15)</f>
        <v/>
      </c>
      <c r="G336" s="16">
        <f>IF($C336="","",醫護長與管理部班表!AB15)</f>
        <v/>
      </c>
      <c r="H336" s="87">
        <f>IF($G336="","",IFERROR(IF(INDEX(設定!$D$6:$D$21,MATCH($G336,設定!$B$6:$B$21,0))=0,"",INDEX(設定!$D$6:$D$21,MATCH($G336,設定!$B$6:$B$21,0))),""))</f>
        <v/>
      </c>
      <c r="I336" s="87">
        <f>IF($G336="","",IFERROR(IF(INDEX(設定!$E$6:$E$21,MATCH($G336,設定!$B$6:$B$21,0))=0,"",INDEX(設定!$E$6:$E$21,MATCH($G336,設定!$B$6:$B$21,0))),""))</f>
        <v/>
      </c>
      <c r="J336" s="87">
        <f>IFERROR(INDEX(打卡匯入!$C$3:$C$502,MATCH($C336&amp;"|"&amp;DAY($A336),打卡匯入!$E$3:$E$502,0)),"")</f>
        <v/>
      </c>
      <c r="K336" s="87">
        <f>IFERROR(INDEX(打卡匯入!$D$3:$D$502,MATCH($C336&amp;"|"&amp;DAY($A336),打卡匯入!$E$3:$E$502,0)),"")</f>
        <v/>
      </c>
      <c r="L336" s="88">
        <f>IF(OR($J336="",$K336=""),"",IFERROR(INDEX(設定!$F$6:$F$21,MATCH($G336,設定!$B$6:$B$21,0)),0))</f>
        <v/>
      </c>
      <c r="M336" s="89">
        <f>IF(OR($J336="",$K336=""),"",ROUND(($K336-$J336)*24-$L336/60,2))</f>
        <v/>
      </c>
      <c r="N336" s="16">
        <f>IF($C336="","",IF(AND(COUNTIF(設定!$B$15:$B$21,$G336)&gt;0,$J336&lt;&gt;""),"假日出勤",IF(AND(COUNTIF(設定!$B$6:$B$14,$G336)&gt;0,$J336=""),"未打卡",IF($J336="","",IF($O336&gt;0,"遲到",IF($P336&gt;0,"早退","正常"))))))</f>
        <v/>
      </c>
      <c r="O336" s="88">
        <f>IF(OR($C336="",$H336="",$J336=""),0,IF(ROUND(($J336-$H336)*1440,0)&gt;設定!$C$48,ROUND(($J336-$H336)*1440,0),0))</f>
        <v/>
      </c>
      <c r="P336" s="88">
        <f>IF(OR($C336="",$I336="",$K336=""),0,IF(ROUND(($I336-$K336)*1440,0)&gt;設定!$C$48,ROUND(($I336-$K336)*1440,0),0))</f>
        <v/>
      </c>
      <c r="Q336" s="89">
        <f>IF($M336="",0,IF(($M336-IFERROR(INDEX(設定!$G$6:$G$21,MATCH($G336,設定!$B$6:$B$21,0)),0))*60&gt;=設定!$C$46,ROUND(FLOOR(($M336-IFERROR(INDEX(設定!$G$6:$G$21,MATCH($G336,設定!$B$6:$B$21,0)),0))*60,設定!$C$47)/60,2),0))</f>
        <v/>
      </c>
      <c r="R336" s="16">
        <f>IF(OR($C336="",$Q336=0),"",IF($G336="國","國定假日",IF($B336="日","例假",IF($B336="六","休息日","平日"))))</f>
        <v/>
      </c>
      <c r="S336" s="18" t="n"/>
    </row>
    <row r="337">
      <c r="A337" s="86">
        <f>IF(OR(醫護長與管理部班表!$A15="",25&gt;DAY(EOMONTH(DATE(設定!$C$2,設定!$D$2,1),0))),"",DATE(設定!$C$2,設定!$D$2,25))</f>
        <v/>
      </c>
      <c r="B337" s="16">
        <f>IF($A337="","",INDEX(設定!$O$6:$O$12,WEEKDAY($A337,1)))</f>
        <v/>
      </c>
      <c r="C337" s="16">
        <f>IF($A337="","",醫護長與管理部班表!$A15)</f>
        <v/>
      </c>
      <c r="D337" s="16">
        <f>IF($C337="","",醫護長與管理部班表!$B15)</f>
        <v/>
      </c>
      <c r="E337" s="16">
        <f>IF($C337="","",醫護長與管理部班表!$D15)</f>
        <v/>
      </c>
      <c r="F337" s="16">
        <f>IF($C337="","",醫護長與管理部班表!$C15)</f>
        <v/>
      </c>
      <c r="G337" s="16">
        <f>IF($C337="","",醫護長與管理部班表!AC15)</f>
        <v/>
      </c>
      <c r="H337" s="87">
        <f>IF($G337="","",IFERROR(IF(INDEX(設定!$D$6:$D$21,MATCH($G337,設定!$B$6:$B$21,0))=0,"",INDEX(設定!$D$6:$D$21,MATCH($G337,設定!$B$6:$B$21,0))),""))</f>
        <v/>
      </c>
      <c r="I337" s="87">
        <f>IF($G337="","",IFERROR(IF(INDEX(設定!$E$6:$E$21,MATCH($G337,設定!$B$6:$B$21,0))=0,"",INDEX(設定!$E$6:$E$21,MATCH($G337,設定!$B$6:$B$21,0))),""))</f>
        <v/>
      </c>
      <c r="J337" s="87">
        <f>IFERROR(INDEX(打卡匯入!$C$3:$C$502,MATCH($C337&amp;"|"&amp;DAY($A337),打卡匯入!$E$3:$E$502,0)),"")</f>
        <v/>
      </c>
      <c r="K337" s="87">
        <f>IFERROR(INDEX(打卡匯入!$D$3:$D$502,MATCH($C337&amp;"|"&amp;DAY($A337),打卡匯入!$E$3:$E$502,0)),"")</f>
        <v/>
      </c>
      <c r="L337" s="88">
        <f>IF(OR($J337="",$K337=""),"",IFERROR(INDEX(設定!$F$6:$F$21,MATCH($G337,設定!$B$6:$B$21,0)),0))</f>
        <v/>
      </c>
      <c r="M337" s="89">
        <f>IF(OR($J337="",$K337=""),"",ROUND(($K337-$J337)*24-$L337/60,2))</f>
        <v/>
      </c>
      <c r="N337" s="16">
        <f>IF($C337="","",IF(AND(COUNTIF(設定!$B$15:$B$21,$G337)&gt;0,$J337&lt;&gt;""),"假日出勤",IF(AND(COUNTIF(設定!$B$6:$B$14,$G337)&gt;0,$J337=""),"未打卡",IF($J337="","",IF($O337&gt;0,"遲到",IF($P337&gt;0,"早退","正常"))))))</f>
        <v/>
      </c>
      <c r="O337" s="88">
        <f>IF(OR($C337="",$H337="",$J337=""),0,IF(ROUND(($J337-$H337)*1440,0)&gt;設定!$C$48,ROUND(($J337-$H337)*1440,0),0))</f>
        <v/>
      </c>
      <c r="P337" s="88">
        <f>IF(OR($C337="",$I337="",$K337=""),0,IF(ROUND(($I337-$K337)*1440,0)&gt;設定!$C$48,ROUND(($I337-$K337)*1440,0),0))</f>
        <v/>
      </c>
      <c r="Q337" s="89">
        <f>IF($M337="",0,IF(($M337-IFERROR(INDEX(設定!$G$6:$G$21,MATCH($G337,設定!$B$6:$B$21,0)),0))*60&gt;=設定!$C$46,ROUND(FLOOR(($M337-IFERROR(INDEX(設定!$G$6:$G$21,MATCH($G337,設定!$B$6:$B$21,0)),0))*60,設定!$C$47)/60,2),0))</f>
        <v/>
      </c>
      <c r="R337" s="16">
        <f>IF(OR($C337="",$Q337=0),"",IF($G337="國","國定假日",IF($B337="日","例假",IF($B337="六","休息日","平日"))))</f>
        <v/>
      </c>
      <c r="S337" s="18" t="n"/>
    </row>
    <row r="338">
      <c r="A338" s="86">
        <f>IF(OR(醫護長與管理部班表!$A15="",26&gt;DAY(EOMONTH(DATE(設定!$C$2,設定!$D$2,1),0))),"",DATE(設定!$C$2,設定!$D$2,26))</f>
        <v/>
      </c>
      <c r="B338" s="16">
        <f>IF($A338="","",INDEX(設定!$O$6:$O$12,WEEKDAY($A338,1)))</f>
        <v/>
      </c>
      <c r="C338" s="16">
        <f>IF($A338="","",醫護長與管理部班表!$A15)</f>
        <v/>
      </c>
      <c r="D338" s="16">
        <f>IF($C338="","",醫護長與管理部班表!$B15)</f>
        <v/>
      </c>
      <c r="E338" s="16">
        <f>IF($C338="","",醫護長與管理部班表!$D15)</f>
        <v/>
      </c>
      <c r="F338" s="16">
        <f>IF($C338="","",醫護長與管理部班表!$C15)</f>
        <v/>
      </c>
      <c r="G338" s="16">
        <f>IF($C338="","",醫護長與管理部班表!AD15)</f>
        <v/>
      </c>
      <c r="H338" s="87">
        <f>IF($G338="","",IFERROR(IF(INDEX(設定!$D$6:$D$21,MATCH($G338,設定!$B$6:$B$21,0))=0,"",INDEX(設定!$D$6:$D$21,MATCH($G338,設定!$B$6:$B$21,0))),""))</f>
        <v/>
      </c>
      <c r="I338" s="87">
        <f>IF($G338="","",IFERROR(IF(INDEX(設定!$E$6:$E$21,MATCH($G338,設定!$B$6:$B$21,0))=0,"",INDEX(設定!$E$6:$E$21,MATCH($G338,設定!$B$6:$B$21,0))),""))</f>
        <v/>
      </c>
      <c r="J338" s="87">
        <f>IFERROR(INDEX(打卡匯入!$C$3:$C$502,MATCH($C338&amp;"|"&amp;DAY($A338),打卡匯入!$E$3:$E$502,0)),"")</f>
        <v/>
      </c>
      <c r="K338" s="87">
        <f>IFERROR(INDEX(打卡匯入!$D$3:$D$502,MATCH($C338&amp;"|"&amp;DAY($A338),打卡匯入!$E$3:$E$502,0)),"")</f>
        <v/>
      </c>
      <c r="L338" s="88">
        <f>IF(OR($J338="",$K338=""),"",IFERROR(INDEX(設定!$F$6:$F$21,MATCH($G338,設定!$B$6:$B$21,0)),0))</f>
        <v/>
      </c>
      <c r="M338" s="89">
        <f>IF(OR($J338="",$K338=""),"",ROUND(($K338-$J338)*24-$L338/60,2))</f>
        <v/>
      </c>
      <c r="N338" s="16">
        <f>IF($C338="","",IF(AND(COUNTIF(設定!$B$15:$B$21,$G338)&gt;0,$J338&lt;&gt;""),"假日出勤",IF(AND(COUNTIF(設定!$B$6:$B$14,$G338)&gt;0,$J338=""),"未打卡",IF($J338="","",IF($O338&gt;0,"遲到",IF($P338&gt;0,"早退","正常"))))))</f>
        <v/>
      </c>
      <c r="O338" s="88">
        <f>IF(OR($C338="",$H338="",$J338=""),0,IF(ROUND(($J338-$H338)*1440,0)&gt;設定!$C$48,ROUND(($J338-$H338)*1440,0),0))</f>
        <v/>
      </c>
      <c r="P338" s="88">
        <f>IF(OR($C338="",$I338="",$K338=""),0,IF(ROUND(($I338-$K338)*1440,0)&gt;設定!$C$48,ROUND(($I338-$K338)*1440,0),0))</f>
        <v/>
      </c>
      <c r="Q338" s="89">
        <f>IF($M338="",0,IF(($M338-IFERROR(INDEX(設定!$G$6:$G$21,MATCH($G338,設定!$B$6:$B$21,0)),0))*60&gt;=設定!$C$46,ROUND(FLOOR(($M338-IFERROR(INDEX(設定!$G$6:$G$21,MATCH($G338,設定!$B$6:$B$21,0)),0))*60,設定!$C$47)/60,2),0))</f>
        <v/>
      </c>
      <c r="R338" s="16">
        <f>IF(OR($C338="",$Q338=0),"",IF($G338="國","國定假日",IF($B338="日","例假",IF($B338="六","休息日","平日"))))</f>
        <v/>
      </c>
      <c r="S338" s="18" t="n"/>
    </row>
    <row r="339">
      <c r="A339" s="86">
        <f>IF(OR(醫護長與管理部班表!$A15="",27&gt;DAY(EOMONTH(DATE(設定!$C$2,設定!$D$2,1),0))),"",DATE(設定!$C$2,設定!$D$2,27))</f>
        <v/>
      </c>
      <c r="B339" s="16">
        <f>IF($A339="","",INDEX(設定!$O$6:$O$12,WEEKDAY($A339,1)))</f>
        <v/>
      </c>
      <c r="C339" s="16">
        <f>IF($A339="","",醫護長與管理部班表!$A15)</f>
        <v/>
      </c>
      <c r="D339" s="16">
        <f>IF($C339="","",醫護長與管理部班表!$B15)</f>
        <v/>
      </c>
      <c r="E339" s="16">
        <f>IF($C339="","",醫護長與管理部班表!$D15)</f>
        <v/>
      </c>
      <c r="F339" s="16">
        <f>IF($C339="","",醫護長與管理部班表!$C15)</f>
        <v/>
      </c>
      <c r="G339" s="16">
        <f>IF($C339="","",醫護長與管理部班表!AE15)</f>
        <v/>
      </c>
      <c r="H339" s="87">
        <f>IF($G339="","",IFERROR(IF(INDEX(設定!$D$6:$D$21,MATCH($G339,設定!$B$6:$B$21,0))=0,"",INDEX(設定!$D$6:$D$21,MATCH($G339,設定!$B$6:$B$21,0))),""))</f>
        <v/>
      </c>
      <c r="I339" s="87">
        <f>IF($G339="","",IFERROR(IF(INDEX(設定!$E$6:$E$21,MATCH($G339,設定!$B$6:$B$21,0))=0,"",INDEX(設定!$E$6:$E$21,MATCH($G339,設定!$B$6:$B$21,0))),""))</f>
        <v/>
      </c>
      <c r="J339" s="87">
        <f>IFERROR(INDEX(打卡匯入!$C$3:$C$502,MATCH($C339&amp;"|"&amp;DAY($A339),打卡匯入!$E$3:$E$502,0)),"")</f>
        <v/>
      </c>
      <c r="K339" s="87">
        <f>IFERROR(INDEX(打卡匯入!$D$3:$D$502,MATCH($C339&amp;"|"&amp;DAY($A339),打卡匯入!$E$3:$E$502,0)),"")</f>
        <v/>
      </c>
      <c r="L339" s="88">
        <f>IF(OR($J339="",$K339=""),"",IFERROR(INDEX(設定!$F$6:$F$21,MATCH($G339,設定!$B$6:$B$21,0)),0))</f>
        <v/>
      </c>
      <c r="M339" s="89">
        <f>IF(OR($J339="",$K339=""),"",ROUND(($K339-$J339)*24-$L339/60,2))</f>
        <v/>
      </c>
      <c r="N339" s="16">
        <f>IF($C339="","",IF(AND(COUNTIF(設定!$B$15:$B$21,$G339)&gt;0,$J339&lt;&gt;""),"假日出勤",IF(AND(COUNTIF(設定!$B$6:$B$14,$G339)&gt;0,$J339=""),"未打卡",IF($J339="","",IF($O339&gt;0,"遲到",IF($P339&gt;0,"早退","正常"))))))</f>
        <v/>
      </c>
      <c r="O339" s="88">
        <f>IF(OR($C339="",$H339="",$J339=""),0,IF(ROUND(($J339-$H339)*1440,0)&gt;設定!$C$48,ROUND(($J339-$H339)*1440,0),0))</f>
        <v/>
      </c>
      <c r="P339" s="88">
        <f>IF(OR($C339="",$I339="",$K339=""),0,IF(ROUND(($I339-$K339)*1440,0)&gt;設定!$C$48,ROUND(($I339-$K339)*1440,0),0))</f>
        <v/>
      </c>
      <c r="Q339" s="89">
        <f>IF($M339="",0,IF(($M339-IFERROR(INDEX(設定!$G$6:$G$21,MATCH($G339,設定!$B$6:$B$21,0)),0))*60&gt;=設定!$C$46,ROUND(FLOOR(($M339-IFERROR(INDEX(設定!$G$6:$G$21,MATCH($G339,設定!$B$6:$B$21,0)),0))*60,設定!$C$47)/60,2),0))</f>
        <v/>
      </c>
      <c r="R339" s="16">
        <f>IF(OR($C339="",$Q339=0),"",IF($G339="國","國定假日",IF($B339="日","例假",IF($B339="六","休息日","平日"))))</f>
        <v/>
      </c>
      <c r="S339" s="18" t="n"/>
    </row>
    <row r="340">
      <c r="A340" s="86">
        <f>IF(OR(醫護長與管理部班表!$A15="",28&gt;DAY(EOMONTH(DATE(設定!$C$2,設定!$D$2,1),0))),"",DATE(設定!$C$2,設定!$D$2,28))</f>
        <v/>
      </c>
      <c r="B340" s="16">
        <f>IF($A340="","",INDEX(設定!$O$6:$O$12,WEEKDAY($A340,1)))</f>
        <v/>
      </c>
      <c r="C340" s="16">
        <f>IF($A340="","",醫護長與管理部班表!$A15)</f>
        <v/>
      </c>
      <c r="D340" s="16">
        <f>IF($C340="","",醫護長與管理部班表!$B15)</f>
        <v/>
      </c>
      <c r="E340" s="16">
        <f>IF($C340="","",醫護長與管理部班表!$D15)</f>
        <v/>
      </c>
      <c r="F340" s="16">
        <f>IF($C340="","",醫護長與管理部班表!$C15)</f>
        <v/>
      </c>
      <c r="G340" s="16">
        <f>IF($C340="","",醫護長與管理部班表!AF15)</f>
        <v/>
      </c>
      <c r="H340" s="87">
        <f>IF($G340="","",IFERROR(IF(INDEX(設定!$D$6:$D$21,MATCH($G340,設定!$B$6:$B$21,0))=0,"",INDEX(設定!$D$6:$D$21,MATCH($G340,設定!$B$6:$B$21,0))),""))</f>
        <v/>
      </c>
      <c r="I340" s="87">
        <f>IF($G340="","",IFERROR(IF(INDEX(設定!$E$6:$E$21,MATCH($G340,設定!$B$6:$B$21,0))=0,"",INDEX(設定!$E$6:$E$21,MATCH($G340,設定!$B$6:$B$21,0))),""))</f>
        <v/>
      </c>
      <c r="J340" s="87">
        <f>IFERROR(INDEX(打卡匯入!$C$3:$C$502,MATCH($C340&amp;"|"&amp;DAY($A340),打卡匯入!$E$3:$E$502,0)),"")</f>
        <v/>
      </c>
      <c r="K340" s="87">
        <f>IFERROR(INDEX(打卡匯入!$D$3:$D$502,MATCH($C340&amp;"|"&amp;DAY($A340),打卡匯入!$E$3:$E$502,0)),"")</f>
        <v/>
      </c>
      <c r="L340" s="88">
        <f>IF(OR($J340="",$K340=""),"",IFERROR(INDEX(設定!$F$6:$F$21,MATCH($G340,設定!$B$6:$B$21,0)),0))</f>
        <v/>
      </c>
      <c r="M340" s="89">
        <f>IF(OR($J340="",$K340=""),"",ROUND(($K340-$J340)*24-$L340/60,2))</f>
        <v/>
      </c>
      <c r="N340" s="16">
        <f>IF($C340="","",IF(AND(COUNTIF(設定!$B$15:$B$21,$G340)&gt;0,$J340&lt;&gt;""),"假日出勤",IF(AND(COUNTIF(設定!$B$6:$B$14,$G340)&gt;0,$J340=""),"未打卡",IF($J340="","",IF($O340&gt;0,"遲到",IF($P340&gt;0,"早退","正常"))))))</f>
        <v/>
      </c>
      <c r="O340" s="88">
        <f>IF(OR($C340="",$H340="",$J340=""),0,IF(ROUND(($J340-$H340)*1440,0)&gt;設定!$C$48,ROUND(($J340-$H340)*1440,0),0))</f>
        <v/>
      </c>
      <c r="P340" s="88">
        <f>IF(OR($C340="",$I340="",$K340=""),0,IF(ROUND(($I340-$K340)*1440,0)&gt;設定!$C$48,ROUND(($I340-$K340)*1440,0),0))</f>
        <v/>
      </c>
      <c r="Q340" s="89">
        <f>IF($M340="",0,IF(($M340-IFERROR(INDEX(設定!$G$6:$G$21,MATCH($G340,設定!$B$6:$B$21,0)),0))*60&gt;=設定!$C$46,ROUND(FLOOR(($M340-IFERROR(INDEX(設定!$G$6:$G$21,MATCH($G340,設定!$B$6:$B$21,0)),0))*60,設定!$C$47)/60,2),0))</f>
        <v/>
      </c>
      <c r="R340" s="16">
        <f>IF(OR($C340="",$Q340=0),"",IF($G340="國","國定假日",IF($B340="日","例假",IF($B340="六","休息日","平日"))))</f>
        <v/>
      </c>
      <c r="S340" s="18" t="n"/>
    </row>
    <row r="341">
      <c r="A341" s="86">
        <f>IF(OR(醫護長與管理部班表!$A15="",29&gt;DAY(EOMONTH(DATE(設定!$C$2,設定!$D$2,1),0))),"",DATE(設定!$C$2,設定!$D$2,29))</f>
        <v/>
      </c>
      <c r="B341" s="16">
        <f>IF($A341="","",INDEX(設定!$O$6:$O$12,WEEKDAY($A341,1)))</f>
        <v/>
      </c>
      <c r="C341" s="16">
        <f>IF($A341="","",醫護長與管理部班表!$A15)</f>
        <v/>
      </c>
      <c r="D341" s="16">
        <f>IF($C341="","",醫護長與管理部班表!$B15)</f>
        <v/>
      </c>
      <c r="E341" s="16">
        <f>IF($C341="","",醫護長與管理部班表!$D15)</f>
        <v/>
      </c>
      <c r="F341" s="16">
        <f>IF($C341="","",醫護長與管理部班表!$C15)</f>
        <v/>
      </c>
      <c r="G341" s="16">
        <f>IF($C341="","",醫護長與管理部班表!AG15)</f>
        <v/>
      </c>
      <c r="H341" s="87">
        <f>IF($G341="","",IFERROR(IF(INDEX(設定!$D$6:$D$21,MATCH($G341,設定!$B$6:$B$21,0))=0,"",INDEX(設定!$D$6:$D$21,MATCH($G341,設定!$B$6:$B$21,0))),""))</f>
        <v/>
      </c>
      <c r="I341" s="87">
        <f>IF($G341="","",IFERROR(IF(INDEX(設定!$E$6:$E$21,MATCH($G341,設定!$B$6:$B$21,0))=0,"",INDEX(設定!$E$6:$E$21,MATCH($G341,設定!$B$6:$B$21,0))),""))</f>
        <v/>
      </c>
      <c r="J341" s="87">
        <f>IFERROR(INDEX(打卡匯入!$C$3:$C$502,MATCH($C341&amp;"|"&amp;DAY($A341),打卡匯入!$E$3:$E$502,0)),"")</f>
        <v/>
      </c>
      <c r="K341" s="87">
        <f>IFERROR(INDEX(打卡匯入!$D$3:$D$502,MATCH($C341&amp;"|"&amp;DAY($A341),打卡匯入!$E$3:$E$502,0)),"")</f>
        <v/>
      </c>
      <c r="L341" s="88">
        <f>IF(OR($J341="",$K341=""),"",IFERROR(INDEX(設定!$F$6:$F$21,MATCH($G341,設定!$B$6:$B$21,0)),0))</f>
        <v/>
      </c>
      <c r="M341" s="89">
        <f>IF(OR($J341="",$K341=""),"",ROUND(($K341-$J341)*24-$L341/60,2))</f>
        <v/>
      </c>
      <c r="N341" s="16">
        <f>IF($C341="","",IF(AND(COUNTIF(設定!$B$15:$B$21,$G341)&gt;0,$J341&lt;&gt;""),"假日出勤",IF(AND(COUNTIF(設定!$B$6:$B$14,$G341)&gt;0,$J341=""),"未打卡",IF($J341="","",IF($O341&gt;0,"遲到",IF($P341&gt;0,"早退","正常"))))))</f>
        <v/>
      </c>
      <c r="O341" s="88">
        <f>IF(OR($C341="",$H341="",$J341=""),0,IF(ROUND(($J341-$H341)*1440,0)&gt;設定!$C$48,ROUND(($J341-$H341)*1440,0),0))</f>
        <v/>
      </c>
      <c r="P341" s="88">
        <f>IF(OR($C341="",$I341="",$K341=""),0,IF(ROUND(($I341-$K341)*1440,0)&gt;設定!$C$48,ROUND(($I341-$K341)*1440,0),0))</f>
        <v/>
      </c>
      <c r="Q341" s="89">
        <f>IF($M341="",0,IF(($M341-IFERROR(INDEX(設定!$G$6:$G$21,MATCH($G341,設定!$B$6:$B$21,0)),0))*60&gt;=設定!$C$46,ROUND(FLOOR(($M341-IFERROR(INDEX(設定!$G$6:$G$21,MATCH($G341,設定!$B$6:$B$21,0)),0))*60,設定!$C$47)/60,2),0))</f>
        <v/>
      </c>
      <c r="R341" s="16">
        <f>IF(OR($C341="",$Q341=0),"",IF($G341="國","國定假日",IF($B341="日","例假",IF($B341="六","休息日","平日"))))</f>
        <v/>
      </c>
      <c r="S341" s="18" t="n"/>
    </row>
    <row r="342">
      <c r="A342" s="86">
        <f>IF(OR(醫護長與管理部班表!$A15="",30&gt;DAY(EOMONTH(DATE(設定!$C$2,設定!$D$2,1),0))),"",DATE(設定!$C$2,設定!$D$2,30))</f>
        <v/>
      </c>
      <c r="B342" s="16">
        <f>IF($A342="","",INDEX(設定!$O$6:$O$12,WEEKDAY($A342,1)))</f>
        <v/>
      </c>
      <c r="C342" s="16">
        <f>IF($A342="","",醫護長與管理部班表!$A15)</f>
        <v/>
      </c>
      <c r="D342" s="16">
        <f>IF($C342="","",醫護長與管理部班表!$B15)</f>
        <v/>
      </c>
      <c r="E342" s="16">
        <f>IF($C342="","",醫護長與管理部班表!$D15)</f>
        <v/>
      </c>
      <c r="F342" s="16">
        <f>IF($C342="","",醫護長與管理部班表!$C15)</f>
        <v/>
      </c>
      <c r="G342" s="16">
        <f>IF($C342="","",醫護長與管理部班表!AH15)</f>
        <v/>
      </c>
      <c r="H342" s="87">
        <f>IF($G342="","",IFERROR(IF(INDEX(設定!$D$6:$D$21,MATCH($G342,設定!$B$6:$B$21,0))=0,"",INDEX(設定!$D$6:$D$21,MATCH($G342,設定!$B$6:$B$21,0))),""))</f>
        <v/>
      </c>
      <c r="I342" s="87">
        <f>IF($G342="","",IFERROR(IF(INDEX(設定!$E$6:$E$21,MATCH($G342,設定!$B$6:$B$21,0))=0,"",INDEX(設定!$E$6:$E$21,MATCH($G342,設定!$B$6:$B$21,0))),""))</f>
        <v/>
      </c>
      <c r="J342" s="87">
        <f>IFERROR(INDEX(打卡匯入!$C$3:$C$502,MATCH($C342&amp;"|"&amp;DAY($A342),打卡匯入!$E$3:$E$502,0)),"")</f>
        <v/>
      </c>
      <c r="K342" s="87">
        <f>IFERROR(INDEX(打卡匯入!$D$3:$D$502,MATCH($C342&amp;"|"&amp;DAY($A342),打卡匯入!$E$3:$E$502,0)),"")</f>
        <v/>
      </c>
      <c r="L342" s="88">
        <f>IF(OR($J342="",$K342=""),"",IFERROR(INDEX(設定!$F$6:$F$21,MATCH($G342,設定!$B$6:$B$21,0)),0))</f>
        <v/>
      </c>
      <c r="M342" s="89">
        <f>IF(OR($J342="",$K342=""),"",ROUND(($K342-$J342)*24-$L342/60,2))</f>
        <v/>
      </c>
      <c r="N342" s="16">
        <f>IF($C342="","",IF(AND(COUNTIF(設定!$B$15:$B$21,$G342)&gt;0,$J342&lt;&gt;""),"假日出勤",IF(AND(COUNTIF(設定!$B$6:$B$14,$G342)&gt;0,$J342=""),"未打卡",IF($J342="","",IF($O342&gt;0,"遲到",IF($P342&gt;0,"早退","正常"))))))</f>
        <v/>
      </c>
      <c r="O342" s="88">
        <f>IF(OR($C342="",$H342="",$J342=""),0,IF(ROUND(($J342-$H342)*1440,0)&gt;設定!$C$48,ROUND(($J342-$H342)*1440,0),0))</f>
        <v/>
      </c>
      <c r="P342" s="88">
        <f>IF(OR($C342="",$I342="",$K342=""),0,IF(ROUND(($I342-$K342)*1440,0)&gt;設定!$C$48,ROUND(($I342-$K342)*1440,0),0))</f>
        <v/>
      </c>
      <c r="Q342" s="89">
        <f>IF($M342="",0,IF(($M342-IFERROR(INDEX(設定!$G$6:$G$21,MATCH($G342,設定!$B$6:$B$21,0)),0))*60&gt;=設定!$C$46,ROUND(FLOOR(($M342-IFERROR(INDEX(設定!$G$6:$G$21,MATCH($G342,設定!$B$6:$B$21,0)),0))*60,設定!$C$47)/60,2),0))</f>
        <v/>
      </c>
      <c r="R342" s="16">
        <f>IF(OR($C342="",$Q342=0),"",IF($G342="國","國定假日",IF($B342="日","例假",IF($B342="六","休息日","平日"))))</f>
        <v/>
      </c>
      <c r="S342" s="18" t="n"/>
    </row>
    <row r="343">
      <c r="A343" s="86">
        <f>IF(OR(醫護長與管理部班表!$A15="",31&gt;DAY(EOMONTH(DATE(設定!$C$2,設定!$D$2,1),0))),"",DATE(設定!$C$2,設定!$D$2,31))</f>
        <v/>
      </c>
      <c r="B343" s="16">
        <f>IF($A343="","",INDEX(設定!$O$6:$O$12,WEEKDAY($A343,1)))</f>
        <v/>
      </c>
      <c r="C343" s="16">
        <f>IF($A343="","",醫護長與管理部班表!$A15)</f>
        <v/>
      </c>
      <c r="D343" s="16">
        <f>IF($C343="","",醫護長與管理部班表!$B15)</f>
        <v/>
      </c>
      <c r="E343" s="16">
        <f>IF($C343="","",醫護長與管理部班表!$D15)</f>
        <v/>
      </c>
      <c r="F343" s="16">
        <f>IF($C343="","",醫護長與管理部班表!$C15)</f>
        <v/>
      </c>
      <c r="G343" s="16">
        <f>IF($C343="","",醫護長與管理部班表!AI15)</f>
        <v/>
      </c>
      <c r="H343" s="87">
        <f>IF($G343="","",IFERROR(IF(INDEX(設定!$D$6:$D$21,MATCH($G343,設定!$B$6:$B$21,0))=0,"",INDEX(設定!$D$6:$D$21,MATCH($G343,設定!$B$6:$B$21,0))),""))</f>
        <v/>
      </c>
      <c r="I343" s="87">
        <f>IF($G343="","",IFERROR(IF(INDEX(設定!$E$6:$E$21,MATCH($G343,設定!$B$6:$B$21,0))=0,"",INDEX(設定!$E$6:$E$21,MATCH($G343,設定!$B$6:$B$21,0))),""))</f>
        <v/>
      </c>
      <c r="J343" s="87">
        <f>IFERROR(INDEX(打卡匯入!$C$3:$C$502,MATCH($C343&amp;"|"&amp;DAY($A343),打卡匯入!$E$3:$E$502,0)),"")</f>
        <v/>
      </c>
      <c r="K343" s="87">
        <f>IFERROR(INDEX(打卡匯入!$D$3:$D$502,MATCH($C343&amp;"|"&amp;DAY($A343),打卡匯入!$E$3:$E$502,0)),"")</f>
        <v/>
      </c>
      <c r="L343" s="88">
        <f>IF(OR($J343="",$K343=""),"",IFERROR(INDEX(設定!$F$6:$F$21,MATCH($G343,設定!$B$6:$B$21,0)),0))</f>
        <v/>
      </c>
      <c r="M343" s="89">
        <f>IF(OR($J343="",$K343=""),"",ROUND(($K343-$J343)*24-$L343/60,2))</f>
        <v/>
      </c>
      <c r="N343" s="16">
        <f>IF($C343="","",IF(AND(COUNTIF(設定!$B$15:$B$21,$G343)&gt;0,$J343&lt;&gt;""),"假日出勤",IF(AND(COUNTIF(設定!$B$6:$B$14,$G343)&gt;0,$J343=""),"未打卡",IF($J343="","",IF($O343&gt;0,"遲到",IF($P343&gt;0,"早退","正常"))))))</f>
        <v/>
      </c>
      <c r="O343" s="88">
        <f>IF(OR($C343="",$H343="",$J343=""),0,IF(ROUND(($J343-$H343)*1440,0)&gt;設定!$C$48,ROUND(($J343-$H343)*1440,0),0))</f>
        <v/>
      </c>
      <c r="P343" s="88">
        <f>IF(OR($C343="",$I343="",$K343=""),0,IF(ROUND(($I343-$K343)*1440,0)&gt;設定!$C$48,ROUND(($I343-$K343)*1440,0),0))</f>
        <v/>
      </c>
      <c r="Q343" s="89">
        <f>IF($M343="",0,IF(($M343-IFERROR(INDEX(設定!$G$6:$G$21,MATCH($G343,設定!$B$6:$B$21,0)),0))*60&gt;=設定!$C$46,ROUND(FLOOR(($M343-IFERROR(INDEX(設定!$G$6:$G$21,MATCH($G343,設定!$B$6:$B$21,0)),0))*60,設定!$C$47)/60,2),0))</f>
        <v/>
      </c>
      <c r="R343" s="16">
        <f>IF(OR($C343="",$Q343=0),"",IF($G343="國","國定假日",IF($B343="日","例假",IF($B343="六","休息日","平日"))))</f>
        <v/>
      </c>
      <c r="S343" s="18" t="n"/>
    </row>
    <row r="344">
      <c r="A344" s="86">
        <f>IF(OR(醫護長與管理部班表!$A16="",1&gt;DAY(EOMONTH(DATE(設定!$C$2,設定!$D$2,1),0))),"",DATE(設定!$C$2,設定!$D$2,1))</f>
        <v/>
      </c>
      <c r="B344" s="16">
        <f>IF($A344="","",INDEX(設定!$O$6:$O$12,WEEKDAY($A344,1)))</f>
        <v/>
      </c>
      <c r="C344" s="16">
        <f>IF($A344="","",醫護長與管理部班表!$A16)</f>
        <v/>
      </c>
      <c r="D344" s="16">
        <f>IF($C344="","",醫護長與管理部班表!$B16)</f>
        <v/>
      </c>
      <c r="E344" s="16">
        <f>IF($C344="","",醫護長與管理部班表!$D16)</f>
        <v/>
      </c>
      <c r="F344" s="16">
        <f>IF($C344="","",醫護長與管理部班表!$C16)</f>
        <v/>
      </c>
      <c r="G344" s="16">
        <f>IF($C344="","",醫護長與管理部班表!E16)</f>
        <v/>
      </c>
      <c r="H344" s="87">
        <f>IF($G344="","",IFERROR(IF(INDEX(設定!$D$6:$D$21,MATCH($G344,設定!$B$6:$B$21,0))=0,"",INDEX(設定!$D$6:$D$21,MATCH($G344,設定!$B$6:$B$21,0))),""))</f>
        <v/>
      </c>
      <c r="I344" s="87">
        <f>IF($G344="","",IFERROR(IF(INDEX(設定!$E$6:$E$21,MATCH($G344,設定!$B$6:$B$21,0))=0,"",INDEX(設定!$E$6:$E$21,MATCH($G344,設定!$B$6:$B$21,0))),""))</f>
        <v/>
      </c>
      <c r="J344" s="87">
        <f>IFERROR(INDEX(打卡匯入!$C$3:$C$502,MATCH($C344&amp;"|"&amp;DAY($A344),打卡匯入!$E$3:$E$502,0)),"")</f>
        <v/>
      </c>
      <c r="K344" s="87">
        <f>IFERROR(INDEX(打卡匯入!$D$3:$D$502,MATCH($C344&amp;"|"&amp;DAY($A344),打卡匯入!$E$3:$E$502,0)),"")</f>
        <v/>
      </c>
      <c r="L344" s="88">
        <f>IF(OR($J344="",$K344=""),"",IFERROR(INDEX(設定!$F$6:$F$21,MATCH($G344,設定!$B$6:$B$21,0)),0))</f>
        <v/>
      </c>
      <c r="M344" s="89">
        <f>IF(OR($J344="",$K344=""),"",ROUND(($K344-$J344)*24-$L344/60,2))</f>
        <v/>
      </c>
      <c r="N344" s="16">
        <f>IF($C344="","",IF(AND(COUNTIF(設定!$B$15:$B$21,$G344)&gt;0,$J344&lt;&gt;""),"假日出勤",IF(AND(COUNTIF(設定!$B$6:$B$14,$G344)&gt;0,$J344=""),"未打卡",IF($J344="","",IF($O344&gt;0,"遲到",IF($P344&gt;0,"早退","正常"))))))</f>
        <v/>
      </c>
      <c r="O344" s="88">
        <f>IF(OR($C344="",$H344="",$J344=""),0,IF(ROUND(($J344-$H344)*1440,0)&gt;設定!$C$48,ROUND(($J344-$H344)*1440,0),0))</f>
        <v/>
      </c>
      <c r="P344" s="88">
        <f>IF(OR($C344="",$I344="",$K344=""),0,IF(ROUND(($I344-$K344)*1440,0)&gt;設定!$C$48,ROUND(($I344-$K344)*1440,0),0))</f>
        <v/>
      </c>
      <c r="Q344" s="89">
        <f>IF($M344="",0,IF(($M344-IFERROR(INDEX(設定!$G$6:$G$21,MATCH($G344,設定!$B$6:$B$21,0)),0))*60&gt;=設定!$C$46,ROUND(FLOOR(($M344-IFERROR(INDEX(設定!$G$6:$G$21,MATCH($G344,設定!$B$6:$B$21,0)),0))*60,設定!$C$47)/60,2),0))</f>
        <v/>
      </c>
      <c r="R344" s="16">
        <f>IF(OR($C344="",$Q344=0),"",IF($G344="國","國定假日",IF($B344="日","例假",IF($B344="六","休息日","平日"))))</f>
        <v/>
      </c>
      <c r="S344" s="18" t="n"/>
    </row>
    <row r="345">
      <c r="A345" s="86">
        <f>IF(OR(醫護長與管理部班表!$A16="",2&gt;DAY(EOMONTH(DATE(設定!$C$2,設定!$D$2,1),0))),"",DATE(設定!$C$2,設定!$D$2,2))</f>
        <v/>
      </c>
      <c r="B345" s="16">
        <f>IF($A345="","",INDEX(設定!$O$6:$O$12,WEEKDAY($A345,1)))</f>
        <v/>
      </c>
      <c r="C345" s="16">
        <f>IF($A345="","",醫護長與管理部班表!$A16)</f>
        <v/>
      </c>
      <c r="D345" s="16">
        <f>IF($C345="","",醫護長與管理部班表!$B16)</f>
        <v/>
      </c>
      <c r="E345" s="16">
        <f>IF($C345="","",醫護長與管理部班表!$D16)</f>
        <v/>
      </c>
      <c r="F345" s="16">
        <f>IF($C345="","",醫護長與管理部班表!$C16)</f>
        <v/>
      </c>
      <c r="G345" s="16">
        <f>IF($C345="","",醫護長與管理部班表!F16)</f>
        <v/>
      </c>
      <c r="H345" s="87">
        <f>IF($G345="","",IFERROR(IF(INDEX(設定!$D$6:$D$21,MATCH($G345,設定!$B$6:$B$21,0))=0,"",INDEX(設定!$D$6:$D$21,MATCH($G345,設定!$B$6:$B$21,0))),""))</f>
        <v/>
      </c>
      <c r="I345" s="87">
        <f>IF($G345="","",IFERROR(IF(INDEX(設定!$E$6:$E$21,MATCH($G345,設定!$B$6:$B$21,0))=0,"",INDEX(設定!$E$6:$E$21,MATCH($G345,設定!$B$6:$B$21,0))),""))</f>
        <v/>
      </c>
      <c r="J345" s="87">
        <f>IFERROR(INDEX(打卡匯入!$C$3:$C$502,MATCH($C345&amp;"|"&amp;DAY($A345),打卡匯入!$E$3:$E$502,0)),"")</f>
        <v/>
      </c>
      <c r="K345" s="87">
        <f>IFERROR(INDEX(打卡匯入!$D$3:$D$502,MATCH($C345&amp;"|"&amp;DAY($A345),打卡匯入!$E$3:$E$502,0)),"")</f>
        <v/>
      </c>
      <c r="L345" s="88">
        <f>IF(OR($J345="",$K345=""),"",IFERROR(INDEX(設定!$F$6:$F$21,MATCH($G345,設定!$B$6:$B$21,0)),0))</f>
        <v/>
      </c>
      <c r="M345" s="89">
        <f>IF(OR($J345="",$K345=""),"",ROUND(($K345-$J345)*24-$L345/60,2))</f>
        <v/>
      </c>
      <c r="N345" s="16">
        <f>IF($C345="","",IF(AND(COUNTIF(設定!$B$15:$B$21,$G345)&gt;0,$J345&lt;&gt;""),"假日出勤",IF(AND(COUNTIF(設定!$B$6:$B$14,$G345)&gt;0,$J345=""),"未打卡",IF($J345="","",IF($O345&gt;0,"遲到",IF($P345&gt;0,"早退","正常"))))))</f>
        <v/>
      </c>
      <c r="O345" s="88">
        <f>IF(OR($C345="",$H345="",$J345=""),0,IF(ROUND(($J345-$H345)*1440,0)&gt;設定!$C$48,ROUND(($J345-$H345)*1440,0),0))</f>
        <v/>
      </c>
      <c r="P345" s="88">
        <f>IF(OR($C345="",$I345="",$K345=""),0,IF(ROUND(($I345-$K345)*1440,0)&gt;設定!$C$48,ROUND(($I345-$K345)*1440,0),0))</f>
        <v/>
      </c>
      <c r="Q345" s="89">
        <f>IF($M345="",0,IF(($M345-IFERROR(INDEX(設定!$G$6:$G$21,MATCH($G345,設定!$B$6:$B$21,0)),0))*60&gt;=設定!$C$46,ROUND(FLOOR(($M345-IFERROR(INDEX(設定!$G$6:$G$21,MATCH($G345,設定!$B$6:$B$21,0)),0))*60,設定!$C$47)/60,2),0))</f>
        <v/>
      </c>
      <c r="R345" s="16">
        <f>IF(OR($C345="",$Q345=0),"",IF($G345="國","國定假日",IF($B345="日","例假",IF($B345="六","休息日","平日"))))</f>
        <v/>
      </c>
      <c r="S345" s="18" t="n"/>
    </row>
    <row r="346">
      <c r="A346" s="86">
        <f>IF(OR(醫護長與管理部班表!$A16="",3&gt;DAY(EOMONTH(DATE(設定!$C$2,設定!$D$2,1),0))),"",DATE(設定!$C$2,設定!$D$2,3))</f>
        <v/>
      </c>
      <c r="B346" s="16">
        <f>IF($A346="","",INDEX(設定!$O$6:$O$12,WEEKDAY($A346,1)))</f>
        <v/>
      </c>
      <c r="C346" s="16">
        <f>IF($A346="","",醫護長與管理部班表!$A16)</f>
        <v/>
      </c>
      <c r="D346" s="16">
        <f>IF($C346="","",醫護長與管理部班表!$B16)</f>
        <v/>
      </c>
      <c r="E346" s="16">
        <f>IF($C346="","",醫護長與管理部班表!$D16)</f>
        <v/>
      </c>
      <c r="F346" s="16">
        <f>IF($C346="","",醫護長與管理部班表!$C16)</f>
        <v/>
      </c>
      <c r="G346" s="16">
        <f>IF($C346="","",醫護長與管理部班表!G16)</f>
        <v/>
      </c>
      <c r="H346" s="87">
        <f>IF($G346="","",IFERROR(IF(INDEX(設定!$D$6:$D$21,MATCH($G346,設定!$B$6:$B$21,0))=0,"",INDEX(設定!$D$6:$D$21,MATCH($G346,設定!$B$6:$B$21,0))),""))</f>
        <v/>
      </c>
      <c r="I346" s="87">
        <f>IF($G346="","",IFERROR(IF(INDEX(設定!$E$6:$E$21,MATCH($G346,設定!$B$6:$B$21,0))=0,"",INDEX(設定!$E$6:$E$21,MATCH($G346,設定!$B$6:$B$21,0))),""))</f>
        <v/>
      </c>
      <c r="J346" s="87">
        <f>IFERROR(INDEX(打卡匯入!$C$3:$C$502,MATCH($C346&amp;"|"&amp;DAY($A346),打卡匯入!$E$3:$E$502,0)),"")</f>
        <v/>
      </c>
      <c r="K346" s="87">
        <f>IFERROR(INDEX(打卡匯入!$D$3:$D$502,MATCH($C346&amp;"|"&amp;DAY($A346),打卡匯入!$E$3:$E$502,0)),"")</f>
        <v/>
      </c>
      <c r="L346" s="88">
        <f>IF(OR($J346="",$K346=""),"",IFERROR(INDEX(設定!$F$6:$F$21,MATCH($G346,設定!$B$6:$B$21,0)),0))</f>
        <v/>
      </c>
      <c r="M346" s="89">
        <f>IF(OR($J346="",$K346=""),"",ROUND(($K346-$J346)*24-$L346/60,2))</f>
        <v/>
      </c>
      <c r="N346" s="16">
        <f>IF($C346="","",IF(AND(COUNTIF(設定!$B$15:$B$21,$G346)&gt;0,$J346&lt;&gt;""),"假日出勤",IF(AND(COUNTIF(設定!$B$6:$B$14,$G346)&gt;0,$J346=""),"未打卡",IF($J346="","",IF($O346&gt;0,"遲到",IF($P346&gt;0,"早退","正常"))))))</f>
        <v/>
      </c>
      <c r="O346" s="88">
        <f>IF(OR($C346="",$H346="",$J346=""),0,IF(ROUND(($J346-$H346)*1440,0)&gt;設定!$C$48,ROUND(($J346-$H346)*1440,0),0))</f>
        <v/>
      </c>
      <c r="P346" s="88">
        <f>IF(OR($C346="",$I346="",$K346=""),0,IF(ROUND(($I346-$K346)*1440,0)&gt;設定!$C$48,ROUND(($I346-$K346)*1440,0),0))</f>
        <v/>
      </c>
      <c r="Q346" s="89">
        <f>IF($M346="",0,IF(($M346-IFERROR(INDEX(設定!$G$6:$G$21,MATCH($G346,設定!$B$6:$B$21,0)),0))*60&gt;=設定!$C$46,ROUND(FLOOR(($M346-IFERROR(INDEX(設定!$G$6:$G$21,MATCH($G346,設定!$B$6:$B$21,0)),0))*60,設定!$C$47)/60,2),0))</f>
        <v/>
      </c>
      <c r="R346" s="16">
        <f>IF(OR($C346="",$Q346=0),"",IF($G346="國","國定假日",IF($B346="日","例假",IF($B346="六","休息日","平日"))))</f>
        <v/>
      </c>
      <c r="S346" s="18" t="n"/>
    </row>
    <row r="347">
      <c r="A347" s="86">
        <f>IF(OR(醫護長與管理部班表!$A16="",4&gt;DAY(EOMONTH(DATE(設定!$C$2,設定!$D$2,1),0))),"",DATE(設定!$C$2,設定!$D$2,4))</f>
        <v/>
      </c>
      <c r="B347" s="16">
        <f>IF($A347="","",INDEX(設定!$O$6:$O$12,WEEKDAY($A347,1)))</f>
        <v/>
      </c>
      <c r="C347" s="16">
        <f>IF($A347="","",醫護長與管理部班表!$A16)</f>
        <v/>
      </c>
      <c r="D347" s="16">
        <f>IF($C347="","",醫護長與管理部班表!$B16)</f>
        <v/>
      </c>
      <c r="E347" s="16">
        <f>IF($C347="","",醫護長與管理部班表!$D16)</f>
        <v/>
      </c>
      <c r="F347" s="16">
        <f>IF($C347="","",醫護長與管理部班表!$C16)</f>
        <v/>
      </c>
      <c r="G347" s="16">
        <f>IF($C347="","",醫護長與管理部班表!H16)</f>
        <v/>
      </c>
      <c r="H347" s="87">
        <f>IF($G347="","",IFERROR(IF(INDEX(設定!$D$6:$D$21,MATCH($G347,設定!$B$6:$B$21,0))=0,"",INDEX(設定!$D$6:$D$21,MATCH($G347,設定!$B$6:$B$21,0))),""))</f>
        <v/>
      </c>
      <c r="I347" s="87">
        <f>IF($G347="","",IFERROR(IF(INDEX(設定!$E$6:$E$21,MATCH($G347,設定!$B$6:$B$21,0))=0,"",INDEX(設定!$E$6:$E$21,MATCH($G347,設定!$B$6:$B$21,0))),""))</f>
        <v/>
      </c>
      <c r="J347" s="87">
        <f>IFERROR(INDEX(打卡匯入!$C$3:$C$502,MATCH($C347&amp;"|"&amp;DAY($A347),打卡匯入!$E$3:$E$502,0)),"")</f>
        <v/>
      </c>
      <c r="K347" s="87">
        <f>IFERROR(INDEX(打卡匯入!$D$3:$D$502,MATCH($C347&amp;"|"&amp;DAY($A347),打卡匯入!$E$3:$E$502,0)),"")</f>
        <v/>
      </c>
      <c r="L347" s="88">
        <f>IF(OR($J347="",$K347=""),"",IFERROR(INDEX(設定!$F$6:$F$21,MATCH($G347,設定!$B$6:$B$21,0)),0))</f>
        <v/>
      </c>
      <c r="M347" s="89">
        <f>IF(OR($J347="",$K347=""),"",ROUND(($K347-$J347)*24-$L347/60,2))</f>
        <v/>
      </c>
      <c r="N347" s="16">
        <f>IF($C347="","",IF(AND(COUNTIF(設定!$B$15:$B$21,$G347)&gt;0,$J347&lt;&gt;""),"假日出勤",IF(AND(COUNTIF(設定!$B$6:$B$14,$G347)&gt;0,$J347=""),"未打卡",IF($J347="","",IF($O347&gt;0,"遲到",IF($P347&gt;0,"早退","正常"))))))</f>
        <v/>
      </c>
      <c r="O347" s="88">
        <f>IF(OR($C347="",$H347="",$J347=""),0,IF(ROUND(($J347-$H347)*1440,0)&gt;設定!$C$48,ROUND(($J347-$H347)*1440,0),0))</f>
        <v/>
      </c>
      <c r="P347" s="88">
        <f>IF(OR($C347="",$I347="",$K347=""),0,IF(ROUND(($I347-$K347)*1440,0)&gt;設定!$C$48,ROUND(($I347-$K347)*1440,0),0))</f>
        <v/>
      </c>
      <c r="Q347" s="89">
        <f>IF($M347="",0,IF(($M347-IFERROR(INDEX(設定!$G$6:$G$21,MATCH($G347,設定!$B$6:$B$21,0)),0))*60&gt;=設定!$C$46,ROUND(FLOOR(($M347-IFERROR(INDEX(設定!$G$6:$G$21,MATCH($G347,設定!$B$6:$B$21,0)),0))*60,設定!$C$47)/60,2),0))</f>
        <v/>
      </c>
      <c r="R347" s="16">
        <f>IF(OR($C347="",$Q347=0),"",IF($G347="國","國定假日",IF($B347="日","例假",IF($B347="六","休息日","平日"))))</f>
        <v/>
      </c>
      <c r="S347" s="18" t="n"/>
    </row>
    <row r="348">
      <c r="A348" s="86">
        <f>IF(OR(醫護長與管理部班表!$A16="",5&gt;DAY(EOMONTH(DATE(設定!$C$2,設定!$D$2,1),0))),"",DATE(設定!$C$2,設定!$D$2,5))</f>
        <v/>
      </c>
      <c r="B348" s="16">
        <f>IF($A348="","",INDEX(設定!$O$6:$O$12,WEEKDAY($A348,1)))</f>
        <v/>
      </c>
      <c r="C348" s="16">
        <f>IF($A348="","",醫護長與管理部班表!$A16)</f>
        <v/>
      </c>
      <c r="D348" s="16">
        <f>IF($C348="","",醫護長與管理部班表!$B16)</f>
        <v/>
      </c>
      <c r="E348" s="16">
        <f>IF($C348="","",醫護長與管理部班表!$D16)</f>
        <v/>
      </c>
      <c r="F348" s="16">
        <f>IF($C348="","",醫護長與管理部班表!$C16)</f>
        <v/>
      </c>
      <c r="G348" s="16">
        <f>IF($C348="","",醫護長與管理部班表!I16)</f>
        <v/>
      </c>
      <c r="H348" s="87">
        <f>IF($G348="","",IFERROR(IF(INDEX(設定!$D$6:$D$21,MATCH($G348,設定!$B$6:$B$21,0))=0,"",INDEX(設定!$D$6:$D$21,MATCH($G348,設定!$B$6:$B$21,0))),""))</f>
        <v/>
      </c>
      <c r="I348" s="87">
        <f>IF($G348="","",IFERROR(IF(INDEX(設定!$E$6:$E$21,MATCH($G348,設定!$B$6:$B$21,0))=0,"",INDEX(設定!$E$6:$E$21,MATCH($G348,設定!$B$6:$B$21,0))),""))</f>
        <v/>
      </c>
      <c r="J348" s="87">
        <f>IFERROR(INDEX(打卡匯入!$C$3:$C$502,MATCH($C348&amp;"|"&amp;DAY($A348),打卡匯入!$E$3:$E$502,0)),"")</f>
        <v/>
      </c>
      <c r="K348" s="87">
        <f>IFERROR(INDEX(打卡匯入!$D$3:$D$502,MATCH($C348&amp;"|"&amp;DAY($A348),打卡匯入!$E$3:$E$502,0)),"")</f>
        <v/>
      </c>
      <c r="L348" s="88">
        <f>IF(OR($J348="",$K348=""),"",IFERROR(INDEX(設定!$F$6:$F$21,MATCH($G348,設定!$B$6:$B$21,0)),0))</f>
        <v/>
      </c>
      <c r="M348" s="89">
        <f>IF(OR($J348="",$K348=""),"",ROUND(($K348-$J348)*24-$L348/60,2))</f>
        <v/>
      </c>
      <c r="N348" s="16">
        <f>IF($C348="","",IF(AND(COUNTIF(設定!$B$15:$B$21,$G348)&gt;0,$J348&lt;&gt;""),"假日出勤",IF(AND(COUNTIF(設定!$B$6:$B$14,$G348)&gt;0,$J348=""),"未打卡",IF($J348="","",IF($O348&gt;0,"遲到",IF($P348&gt;0,"早退","正常"))))))</f>
        <v/>
      </c>
      <c r="O348" s="88">
        <f>IF(OR($C348="",$H348="",$J348=""),0,IF(ROUND(($J348-$H348)*1440,0)&gt;設定!$C$48,ROUND(($J348-$H348)*1440,0),0))</f>
        <v/>
      </c>
      <c r="P348" s="88">
        <f>IF(OR($C348="",$I348="",$K348=""),0,IF(ROUND(($I348-$K348)*1440,0)&gt;設定!$C$48,ROUND(($I348-$K348)*1440,0),0))</f>
        <v/>
      </c>
      <c r="Q348" s="89">
        <f>IF($M348="",0,IF(($M348-IFERROR(INDEX(設定!$G$6:$G$21,MATCH($G348,設定!$B$6:$B$21,0)),0))*60&gt;=設定!$C$46,ROUND(FLOOR(($M348-IFERROR(INDEX(設定!$G$6:$G$21,MATCH($G348,設定!$B$6:$B$21,0)),0))*60,設定!$C$47)/60,2),0))</f>
        <v/>
      </c>
      <c r="R348" s="16">
        <f>IF(OR($C348="",$Q348=0),"",IF($G348="國","國定假日",IF($B348="日","例假",IF($B348="六","休息日","平日"))))</f>
        <v/>
      </c>
      <c r="S348" s="18" t="n"/>
    </row>
    <row r="349">
      <c r="A349" s="86">
        <f>IF(OR(醫護長與管理部班表!$A16="",6&gt;DAY(EOMONTH(DATE(設定!$C$2,設定!$D$2,1),0))),"",DATE(設定!$C$2,設定!$D$2,6))</f>
        <v/>
      </c>
      <c r="B349" s="16">
        <f>IF($A349="","",INDEX(設定!$O$6:$O$12,WEEKDAY($A349,1)))</f>
        <v/>
      </c>
      <c r="C349" s="16">
        <f>IF($A349="","",醫護長與管理部班表!$A16)</f>
        <v/>
      </c>
      <c r="D349" s="16">
        <f>IF($C349="","",醫護長與管理部班表!$B16)</f>
        <v/>
      </c>
      <c r="E349" s="16">
        <f>IF($C349="","",醫護長與管理部班表!$D16)</f>
        <v/>
      </c>
      <c r="F349" s="16">
        <f>IF($C349="","",醫護長與管理部班表!$C16)</f>
        <v/>
      </c>
      <c r="G349" s="16">
        <f>IF($C349="","",醫護長與管理部班表!J16)</f>
        <v/>
      </c>
      <c r="H349" s="87">
        <f>IF($G349="","",IFERROR(IF(INDEX(設定!$D$6:$D$21,MATCH($G349,設定!$B$6:$B$21,0))=0,"",INDEX(設定!$D$6:$D$21,MATCH($G349,設定!$B$6:$B$21,0))),""))</f>
        <v/>
      </c>
      <c r="I349" s="87">
        <f>IF($G349="","",IFERROR(IF(INDEX(設定!$E$6:$E$21,MATCH($G349,設定!$B$6:$B$21,0))=0,"",INDEX(設定!$E$6:$E$21,MATCH($G349,設定!$B$6:$B$21,0))),""))</f>
        <v/>
      </c>
      <c r="J349" s="87">
        <f>IFERROR(INDEX(打卡匯入!$C$3:$C$502,MATCH($C349&amp;"|"&amp;DAY($A349),打卡匯入!$E$3:$E$502,0)),"")</f>
        <v/>
      </c>
      <c r="K349" s="87">
        <f>IFERROR(INDEX(打卡匯入!$D$3:$D$502,MATCH($C349&amp;"|"&amp;DAY($A349),打卡匯入!$E$3:$E$502,0)),"")</f>
        <v/>
      </c>
      <c r="L349" s="88">
        <f>IF(OR($J349="",$K349=""),"",IFERROR(INDEX(設定!$F$6:$F$21,MATCH($G349,設定!$B$6:$B$21,0)),0))</f>
        <v/>
      </c>
      <c r="M349" s="89">
        <f>IF(OR($J349="",$K349=""),"",ROUND(($K349-$J349)*24-$L349/60,2))</f>
        <v/>
      </c>
      <c r="N349" s="16">
        <f>IF($C349="","",IF(AND(COUNTIF(設定!$B$15:$B$21,$G349)&gt;0,$J349&lt;&gt;""),"假日出勤",IF(AND(COUNTIF(設定!$B$6:$B$14,$G349)&gt;0,$J349=""),"未打卡",IF($J349="","",IF($O349&gt;0,"遲到",IF($P349&gt;0,"早退","正常"))))))</f>
        <v/>
      </c>
      <c r="O349" s="88">
        <f>IF(OR($C349="",$H349="",$J349=""),0,IF(ROUND(($J349-$H349)*1440,0)&gt;設定!$C$48,ROUND(($J349-$H349)*1440,0),0))</f>
        <v/>
      </c>
      <c r="P349" s="88">
        <f>IF(OR($C349="",$I349="",$K349=""),0,IF(ROUND(($I349-$K349)*1440,0)&gt;設定!$C$48,ROUND(($I349-$K349)*1440,0),0))</f>
        <v/>
      </c>
      <c r="Q349" s="89">
        <f>IF($M349="",0,IF(($M349-IFERROR(INDEX(設定!$G$6:$G$21,MATCH($G349,設定!$B$6:$B$21,0)),0))*60&gt;=設定!$C$46,ROUND(FLOOR(($M349-IFERROR(INDEX(設定!$G$6:$G$21,MATCH($G349,設定!$B$6:$B$21,0)),0))*60,設定!$C$47)/60,2),0))</f>
        <v/>
      </c>
      <c r="R349" s="16">
        <f>IF(OR($C349="",$Q349=0),"",IF($G349="國","國定假日",IF($B349="日","例假",IF($B349="六","休息日","平日"))))</f>
        <v/>
      </c>
      <c r="S349" s="18" t="n"/>
    </row>
    <row r="350">
      <c r="A350" s="86">
        <f>IF(OR(醫護長與管理部班表!$A16="",7&gt;DAY(EOMONTH(DATE(設定!$C$2,設定!$D$2,1),0))),"",DATE(設定!$C$2,設定!$D$2,7))</f>
        <v/>
      </c>
      <c r="B350" s="16">
        <f>IF($A350="","",INDEX(設定!$O$6:$O$12,WEEKDAY($A350,1)))</f>
        <v/>
      </c>
      <c r="C350" s="16">
        <f>IF($A350="","",醫護長與管理部班表!$A16)</f>
        <v/>
      </c>
      <c r="D350" s="16">
        <f>IF($C350="","",醫護長與管理部班表!$B16)</f>
        <v/>
      </c>
      <c r="E350" s="16">
        <f>IF($C350="","",醫護長與管理部班表!$D16)</f>
        <v/>
      </c>
      <c r="F350" s="16">
        <f>IF($C350="","",醫護長與管理部班表!$C16)</f>
        <v/>
      </c>
      <c r="G350" s="16">
        <f>IF($C350="","",醫護長與管理部班表!K16)</f>
        <v/>
      </c>
      <c r="H350" s="87">
        <f>IF($G350="","",IFERROR(IF(INDEX(設定!$D$6:$D$21,MATCH($G350,設定!$B$6:$B$21,0))=0,"",INDEX(設定!$D$6:$D$21,MATCH($G350,設定!$B$6:$B$21,0))),""))</f>
        <v/>
      </c>
      <c r="I350" s="87">
        <f>IF($G350="","",IFERROR(IF(INDEX(設定!$E$6:$E$21,MATCH($G350,設定!$B$6:$B$21,0))=0,"",INDEX(設定!$E$6:$E$21,MATCH($G350,設定!$B$6:$B$21,0))),""))</f>
        <v/>
      </c>
      <c r="J350" s="87">
        <f>IFERROR(INDEX(打卡匯入!$C$3:$C$502,MATCH($C350&amp;"|"&amp;DAY($A350),打卡匯入!$E$3:$E$502,0)),"")</f>
        <v/>
      </c>
      <c r="K350" s="87">
        <f>IFERROR(INDEX(打卡匯入!$D$3:$D$502,MATCH($C350&amp;"|"&amp;DAY($A350),打卡匯入!$E$3:$E$502,0)),"")</f>
        <v/>
      </c>
      <c r="L350" s="88">
        <f>IF(OR($J350="",$K350=""),"",IFERROR(INDEX(設定!$F$6:$F$21,MATCH($G350,設定!$B$6:$B$21,0)),0))</f>
        <v/>
      </c>
      <c r="M350" s="89">
        <f>IF(OR($J350="",$K350=""),"",ROUND(($K350-$J350)*24-$L350/60,2))</f>
        <v/>
      </c>
      <c r="N350" s="16">
        <f>IF($C350="","",IF(AND(COUNTIF(設定!$B$15:$B$21,$G350)&gt;0,$J350&lt;&gt;""),"假日出勤",IF(AND(COUNTIF(設定!$B$6:$B$14,$G350)&gt;0,$J350=""),"未打卡",IF($J350="","",IF($O350&gt;0,"遲到",IF($P350&gt;0,"早退","正常"))))))</f>
        <v/>
      </c>
      <c r="O350" s="88">
        <f>IF(OR($C350="",$H350="",$J350=""),0,IF(ROUND(($J350-$H350)*1440,0)&gt;設定!$C$48,ROUND(($J350-$H350)*1440,0),0))</f>
        <v/>
      </c>
      <c r="P350" s="88">
        <f>IF(OR($C350="",$I350="",$K350=""),0,IF(ROUND(($I350-$K350)*1440,0)&gt;設定!$C$48,ROUND(($I350-$K350)*1440,0),0))</f>
        <v/>
      </c>
      <c r="Q350" s="89">
        <f>IF($M350="",0,IF(($M350-IFERROR(INDEX(設定!$G$6:$G$21,MATCH($G350,設定!$B$6:$B$21,0)),0))*60&gt;=設定!$C$46,ROUND(FLOOR(($M350-IFERROR(INDEX(設定!$G$6:$G$21,MATCH($G350,設定!$B$6:$B$21,0)),0))*60,設定!$C$47)/60,2),0))</f>
        <v/>
      </c>
      <c r="R350" s="16">
        <f>IF(OR($C350="",$Q350=0),"",IF($G350="國","國定假日",IF($B350="日","例假",IF($B350="六","休息日","平日"))))</f>
        <v/>
      </c>
      <c r="S350" s="18" t="n"/>
    </row>
    <row r="351">
      <c r="A351" s="86">
        <f>IF(OR(醫護長與管理部班表!$A16="",8&gt;DAY(EOMONTH(DATE(設定!$C$2,設定!$D$2,1),0))),"",DATE(設定!$C$2,設定!$D$2,8))</f>
        <v/>
      </c>
      <c r="B351" s="16">
        <f>IF($A351="","",INDEX(設定!$O$6:$O$12,WEEKDAY($A351,1)))</f>
        <v/>
      </c>
      <c r="C351" s="16">
        <f>IF($A351="","",醫護長與管理部班表!$A16)</f>
        <v/>
      </c>
      <c r="D351" s="16">
        <f>IF($C351="","",醫護長與管理部班表!$B16)</f>
        <v/>
      </c>
      <c r="E351" s="16">
        <f>IF($C351="","",醫護長與管理部班表!$D16)</f>
        <v/>
      </c>
      <c r="F351" s="16">
        <f>IF($C351="","",醫護長與管理部班表!$C16)</f>
        <v/>
      </c>
      <c r="G351" s="16">
        <f>IF($C351="","",醫護長與管理部班表!L16)</f>
        <v/>
      </c>
      <c r="H351" s="87">
        <f>IF($G351="","",IFERROR(IF(INDEX(設定!$D$6:$D$21,MATCH($G351,設定!$B$6:$B$21,0))=0,"",INDEX(設定!$D$6:$D$21,MATCH($G351,設定!$B$6:$B$21,0))),""))</f>
        <v/>
      </c>
      <c r="I351" s="87">
        <f>IF($G351="","",IFERROR(IF(INDEX(設定!$E$6:$E$21,MATCH($G351,設定!$B$6:$B$21,0))=0,"",INDEX(設定!$E$6:$E$21,MATCH($G351,設定!$B$6:$B$21,0))),""))</f>
        <v/>
      </c>
      <c r="J351" s="87">
        <f>IFERROR(INDEX(打卡匯入!$C$3:$C$502,MATCH($C351&amp;"|"&amp;DAY($A351),打卡匯入!$E$3:$E$502,0)),"")</f>
        <v/>
      </c>
      <c r="K351" s="87">
        <f>IFERROR(INDEX(打卡匯入!$D$3:$D$502,MATCH($C351&amp;"|"&amp;DAY($A351),打卡匯入!$E$3:$E$502,0)),"")</f>
        <v/>
      </c>
      <c r="L351" s="88">
        <f>IF(OR($J351="",$K351=""),"",IFERROR(INDEX(設定!$F$6:$F$21,MATCH($G351,設定!$B$6:$B$21,0)),0))</f>
        <v/>
      </c>
      <c r="M351" s="89">
        <f>IF(OR($J351="",$K351=""),"",ROUND(($K351-$J351)*24-$L351/60,2))</f>
        <v/>
      </c>
      <c r="N351" s="16">
        <f>IF($C351="","",IF(AND(COUNTIF(設定!$B$15:$B$21,$G351)&gt;0,$J351&lt;&gt;""),"假日出勤",IF(AND(COUNTIF(設定!$B$6:$B$14,$G351)&gt;0,$J351=""),"未打卡",IF($J351="","",IF($O351&gt;0,"遲到",IF($P351&gt;0,"早退","正常"))))))</f>
        <v/>
      </c>
      <c r="O351" s="88">
        <f>IF(OR($C351="",$H351="",$J351=""),0,IF(ROUND(($J351-$H351)*1440,0)&gt;設定!$C$48,ROUND(($J351-$H351)*1440,0),0))</f>
        <v/>
      </c>
      <c r="P351" s="88">
        <f>IF(OR($C351="",$I351="",$K351=""),0,IF(ROUND(($I351-$K351)*1440,0)&gt;設定!$C$48,ROUND(($I351-$K351)*1440,0),0))</f>
        <v/>
      </c>
      <c r="Q351" s="89">
        <f>IF($M351="",0,IF(($M351-IFERROR(INDEX(設定!$G$6:$G$21,MATCH($G351,設定!$B$6:$B$21,0)),0))*60&gt;=設定!$C$46,ROUND(FLOOR(($M351-IFERROR(INDEX(設定!$G$6:$G$21,MATCH($G351,設定!$B$6:$B$21,0)),0))*60,設定!$C$47)/60,2),0))</f>
        <v/>
      </c>
      <c r="R351" s="16">
        <f>IF(OR($C351="",$Q351=0),"",IF($G351="國","國定假日",IF($B351="日","例假",IF($B351="六","休息日","平日"))))</f>
        <v/>
      </c>
      <c r="S351" s="18" t="n"/>
    </row>
    <row r="352">
      <c r="A352" s="86">
        <f>IF(OR(醫護長與管理部班表!$A16="",9&gt;DAY(EOMONTH(DATE(設定!$C$2,設定!$D$2,1),0))),"",DATE(設定!$C$2,設定!$D$2,9))</f>
        <v/>
      </c>
      <c r="B352" s="16">
        <f>IF($A352="","",INDEX(設定!$O$6:$O$12,WEEKDAY($A352,1)))</f>
        <v/>
      </c>
      <c r="C352" s="16">
        <f>IF($A352="","",醫護長與管理部班表!$A16)</f>
        <v/>
      </c>
      <c r="D352" s="16">
        <f>IF($C352="","",醫護長與管理部班表!$B16)</f>
        <v/>
      </c>
      <c r="E352" s="16">
        <f>IF($C352="","",醫護長與管理部班表!$D16)</f>
        <v/>
      </c>
      <c r="F352" s="16">
        <f>IF($C352="","",醫護長與管理部班表!$C16)</f>
        <v/>
      </c>
      <c r="G352" s="16">
        <f>IF($C352="","",醫護長與管理部班表!M16)</f>
        <v/>
      </c>
      <c r="H352" s="87">
        <f>IF($G352="","",IFERROR(IF(INDEX(設定!$D$6:$D$21,MATCH($G352,設定!$B$6:$B$21,0))=0,"",INDEX(設定!$D$6:$D$21,MATCH($G352,設定!$B$6:$B$21,0))),""))</f>
        <v/>
      </c>
      <c r="I352" s="87">
        <f>IF($G352="","",IFERROR(IF(INDEX(設定!$E$6:$E$21,MATCH($G352,設定!$B$6:$B$21,0))=0,"",INDEX(設定!$E$6:$E$21,MATCH($G352,設定!$B$6:$B$21,0))),""))</f>
        <v/>
      </c>
      <c r="J352" s="87">
        <f>IFERROR(INDEX(打卡匯入!$C$3:$C$502,MATCH($C352&amp;"|"&amp;DAY($A352),打卡匯入!$E$3:$E$502,0)),"")</f>
        <v/>
      </c>
      <c r="K352" s="87">
        <f>IFERROR(INDEX(打卡匯入!$D$3:$D$502,MATCH($C352&amp;"|"&amp;DAY($A352),打卡匯入!$E$3:$E$502,0)),"")</f>
        <v/>
      </c>
      <c r="L352" s="88">
        <f>IF(OR($J352="",$K352=""),"",IFERROR(INDEX(設定!$F$6:$F$21,MATCH($G352,設定!$B$6:$B$21,0)),0))</f>
        <v/>
      </c>
      <c r="M352" s="89">
        <f>IF(OR($J352="",$K352=""),"",ROUND(($K352-$J352)*24-$L352/60,2))</f>
        <v/>
      </c>
      <c r="N352" s="16">
        <f>IF($C352="","",IF(AND(COUNTIF(設定!$B$15:$B$21,$G352)&gt;0,$J352&lt;&gt;""),"假日出勤",IF(AND(COUNTIF(設定!$B$6:$B$14,$G352)&gt;0,$J352=""),"未打卡",IF($J352="","",IF($O352&gt;0,"遲到",IF($P352&gt;0,"早退","正常"))))))</f>
        <v/>
      </c>
      <c r="O352" s="88">
        <f>IF(OR($C352="",$H352="",$J352=""),0,IF(ROUND(($J352-$H352)*1440,0)&gt;設定!$C$48,ROUND(($J352-$H352)*1440,0),0))</f>
        <v/>
      </c>
      <c r="P352" s="88">
        <f>IF(OR($C352="",$I352="",$K352=""),0,IF(ROUND(($I352-$K352)*1440,0)&gt;設定!$C$48,ROUND(($I352-$K352)*1440,0),0))</f>
        <v/>
      </c>
      <c r="Q352" s="89">
        <f>IF($M352="",0,IF(($M352-IFERROR(INDEX(設定!$G$6:$G$21,MATCH($G352,設定!$B$6:$B$21,0)),0))*60&gt;=設定!$C$46,ROUND(FLOOR(($M352-IFERROR(INDEX(設定!$G$6:$G$21,MATCH($G352,設定!$B$6:$B$21,0)),0))*60,設定!$C$47)/60,2),0))</f>
        <v/>
      </c>
      <c r="R352" s="16">
        <f>IF(OR($C352="",$Q352=0),"",IF($G352="國","國定假日",IF($B352="日","例假",IF($B352="六","休息日","平日"))))</f>
        <v/>
      </c>
      <c r="S352" s="18" t="n"/>
    </row>
    <row r="353">
      <c r="A353" s="86">
        <f>IF(OR(醫護長與管理部班表!$A16="",10&gt;DAY(EOMONTH(DATE(設定!$C$2,設定!$D$2,1),0))),"",DATE(設定!$C$2,設定!$D$2,10))</f>
        <v/>
      </c>
      <c r="B353" s="16">
        <f>IF($A353="","",INDEX(設定!$O$6:$O$12,WEEKDAY($A353,1)))</f>
        <v/>
      </c>
      <c r="C353" s="16">
        <f>IF($A353="","",醫護長與管理部班表!$A16)</f>
        <v/>
      </c>
      <c r="D353" s="16">
        <f>IF($C353="","",醫護長與管理部班表!$B16)</f>
        <v/>
      </c>
      <c r="E353" s="16">
        <f>IF($C353="","",醫護長與管理部班表!$D16)</f>
        <v/>
      </c>
      <c r="F353" s="16">
        <f>IF($C353="","",醫護長與管理部班表!$C16)</f>
        <v/>
      </c>
      <c r="G353" s="16">
        <f>IF($C353="","",醫護長與管理部班表!N16)</f>
        <v/>
      </c>
      <c r="H353" s="87">
        <f>IF($G353="","",IFERROR(IF(INDEX(設定!$D$6:$D$21,MATCH($G353,設定!$B$6:$B$21,0))=0,"",INDEX(設定!$D$6:$D$21,MATCH($G353,設定!$B$6:$B$21,0))),""))</f>
        <v/>
      </c>
      <c r="I353" s="87">
        <f>IF($G353="","",IFERROR(IF(INDEX(設定!$E$6:$E$21,MATCH($G353,設定!$B$6:$B$21,0))=0,"",INDEX(設定!$E$6:$E$21,MATCH($G353,設定!$B$6:$B$21,0))),""))</f>
        <v/>
      </c>
      <c r="J353" s="87">
        <f>IFERROR(INDEX(打卡匯入!$C$3:$C$502,MATCH($C353&amp;"|"&amp;DAY($A353),打卡匯入!$E$3:$E$502,0)),"")</f>
        <v/>
      </c>
      <c r="K353" s="87">
        <f>IFERROR(INDEX(打卡匯入!$D$3:$D$502,MATCH($C353&amp;"|"&amp;DAY($A353),打卡匯入!$E$3:$E$502,0)),"")</f>
        <v/>
      </c>
      <c r="L353" s="88">
        <f>IF(OR($J353="",$K353=""),"",IFERROR(INDEX(設定!$F$6:$F$21,MATCH($G353,設定!$B$6:$B$21,0)),0))</f>
        <v/>
      </c>
      <c r="M353" s="89">
        <f>IF(OR($J353="",$K353=""),"",ROUND(($K353-$J353)*24-$L353/60,2))</f>
        <v/>
      </c>
      <c r="N353" s="16">
        <f>IF($C353="","",IF(AND(COUNTIF(設定!$B$15:$B$21,$G353)&gt;0,$J353&lt;&gt;""),"假日出勤",IF(AND(COUNTIF(設定!$B$6:$B$14,$G353)&gt;0,$J353=""),"未打卡",IF($J353="","",IF($O353&gt;0,"遲到",IF($P353&gt;0,"早退","正常"))))))</f>
        <v/>
      </c>
      <c r="O353" s="88">
        <f>IF(OR($C353="",$H353="",$J353=""),0,IF(ROUND(($J353-$H353)*1440,0)&gt;設定!$C$48,ROUND(($J353-$H353)*1440,0),0))</f>
        <v/>
      </c>
      <c r="P353" s="88">
        <f>IF(OR($C353="",$I353="",$K353=""),0,IF(ROUND(($I353-$K353)*1440,0)&gt;設定!$C$48,ROUND(($I353-$K353)*1440,0),0))</f>
        <v/>
      </c>
      <c r="Q353" s="89">
        <f>IF($M353="",0,IF(($M353-IFERROR(INDEX(設定!$G$6:$G$21,MATCH($G353,設定!$B$6:$B$21,0)),0))*60&gt;=設定!$C$46,ROUND(FLOOR(($M353-IFERROR(INDEX(設定!$G$6:$G$21,MATCH($G353,設定!$B$6:$B$21,0)),0))*60,設定!$C$47)/60,2),0))</f>
        <v/>
      </c>
      <c r="R353" s="16">
        <f>IF(OR($C353="",$Q353=0),"",IF($G353="國","國定假日",IF($B353="日","例假",IF($B353="六","休息日","平日"))))</f>
        <v/>
      </c>
      <c r="S353" s="18" t="n"/>
    </row>
    <row r="354">
      <c r="A354" s="86">
        <f>IF(OR(醫護長與管理部班表!$A16="",11&gt;DAY(EOMONTH(DATE(設定!$C$2,設定!$D$2,1),0))),"",DATE(設定!$C$2,設定!$D$2,11))</f>
        <v/>
      </c>
      <c r="B354" s="16">
        <f>IF($A354="","",INDEX(設定!$O$6:$O$12,WEEKDAY($A354,1)))</f>
        <v/>
      </c>
      <c r="C354" s="16">
        <f>IF($A354="","",醫護長與管理部班表!$A16)</f>
        <v/>
      </c>
      <c r="D354" s="16">
        <f>IF($C354="","",醫護長與管理部班表!$B16)</f>
        <v/>
      </c>
      <c r="E354" s="16">
        <f>IF($C354="","",醫護長與管理部班表!$D16)</f>
        <v/>
      </c>
      <c r="F354" s="16">
        <f>IF($C354="","",醫護長與管理部班表!$C16)</f>
        <v/>
      </c>
      <c r="G354" s="16">
        <f>IF($C354="","",醫護長與管理部班表!O16)</f>
        <v/>
      </c>
      <c r="H354" s="87">
        <f>IF($G354="","",IFERROR(IF(INDEX(設定!$D$6:$D$21,MATCH($G354,設定!$B$6:$B$21,0))=0,"",INDEX(設定!$D$6:$D$21,MATCH($G354,設定!$B$6:$B$21,0))),""))</f>
        <v/>
      </c>
      <c r="I354" s="87">
        <f>IF($G354="","",IFERROR(IF(INDEX(設定!$E$6:$E$21,MATCH($G354,設定!$B$6:$B$21,0))=0,"",INDEX(設定!$E$6:$E$21,MATCH($G354,設定!$B$6:$B$21,0))),""))</f>
        <v/>
      </c>
      <c r="J354" s="87">
        <f>IFERROR(INDEX(打卡匯入!$C$3:$C$502,MATCH($C354&amp;"|"&amp;DAY($A354),打卡匯入!$E$3:$E$502,0)),"")</f>
        <v/>
      </c>
      <c r="K354" s="87">
        <f>IFERROR(INDEX(打卡匯入!$D$3:$D$502,MATCH($C354&amp;"|"&amp;DAY($A354),打卡匯入!$E$3:$E$502,0)),"")</f>
        <v/>
      </c>
      <c r="L354" s="88">
        <f>IF(OR($J354="",$K354=""),"",IFERROR(INDEX(設定!$F$6:$F$21,MATCH($G354,設定!$B$6:$B$21,0)),0))</f>
        <v/>
      </c>
      <c r="M354" s="89">
        <f>IF(OR($J354="",$K354=""),"",ROUND(($K354-$J354)*24-$L354/60,2))</f>
        <v/>
      </c>
      <c r="N354" s="16">
        <f>IF($C354="","",IF(AND(COUNTIF(設定!$B$15:$B$21,$G354)&gt;0,$J354&lt;&gt;""),"假日出勤",IF(AND(COUNTIF(設定!$B$6:$B$14,$G354)&gt;0,$J354=""),"未打卡",IF($J354="","",IF($O354&gt;0,"遲到",IF($P354&gt;0,"早退","正常"))))))</f>
        <v/>
      </c>
      <c r="O354" s="88">
        <f>IF(OR($C354="",$H354="",$J354=""),0,IF(ROUND(($J354-$H354)*1440,0)&gt;設定!$C$48,ROUND(($J354-$H354)*1440,0),0))</f>
        <v/>
      </c>
      <c r="P354" s="88">
        <f>IF(OR($C354="",$I354="",$K354=""),0,IF(ROUND(($I354-$K354)*1440,0)&gt;設定!$C$48,ROUND(($I354-$K354)*1440,0),0))</f>
        <v/>
      </c>
      <c r="Q354" s="89">
        <f>IF($M354="",0,IF(($M354-IFERROR(INDEX(設定!$G$6:$G$21,MATCH($G354,設定!$B$6:$B$21,0)),0))*60&gt;=設定!$C$46,ROUND(FLOOR(($M354-IFERROR(INDEX(設定!$G$6:$G$21,MATCH($G354,設定!$B$6:$B$21,0)),0))*60,設定!$C$47)/60,2),0))</f>
        <v/>
      </c>
      <c r="R354" s="16">
        <f>IF(OR($C354="",$Q354=0),"",IF($G354="國","國定假日",IF($B354="日","例假",IF($B354="六","休息日","平日"))))</f>
        <v/>
      </c>
      <c r="S354" s="18" t="n"/>
    </row>
    <row r="355">
      <c r="A355" s="86">
        <f>IF(OR(醫護長與管理部班表!$A16="",12&gt;DAY(EOMONTH(DATE(設定!$C$2,設定!$D$2,1),0))),"",DATE(設定!$C$2,設定!$D$2,12))</f>
        <v/>
      </c>
      <c r="B355" s="16">
        <f>IF($A355="","",INDEX(設定!$O$6:$O$12,WEEKDAY($A355,1)))</f>
        <v/>
      </c>
      <c r="C355" s="16">
        <f>IF($A355="","",醫護長與管理部班表!$A16)</f>
        <v/>
      </c>
      <c r="D355" s="16">
        <f>IF($C355="","",醫護長與管理部班表!$B16)</f>
        <v/>
      </c>
      <c r="E355" s="16">
        <f>IF($C355="","",醫護長與管理部班表!$D16)</f>
        <v/>
      </c>
      <c r="F355" s="16">
        <f>IF($C355="","",醫護長與管理部班表!$C16)</f>
        <v/>
      </c>
      <c r="G355" s="16">
        <f>IF($C355="","",醫護長與管理部班表!P16)</f>
        <v/>
      </c>
      <c r="H355" s="87">
        <f>IF($G355="","",IFERROR(IF(INDEX(設定!$D$6:$D$21,MATCH($G355,設定!$B$6:$B$21,0))=0,"",INDEX(設定!$D$6:$D$21,MATCH($G355,設定!$B$6:$B$21,0))),""))</f>
        <v/>
      </c>
      <c r="I355" s="87">
        <f>IF($G355="","",IFERROR(IF(INDEX(設定!$E$6:$E$21,MATCH($G355,設定!$B$6:$B$21,0))=0,"",INDEX(設定!$E$6:$E$21,MATCH($G355,設定!$B$6:$B$21,0))),""))</f>
        <v/>
      </c>
      <c r="J355" s="87">
        <f>IFERROR(INDEX(打卡匯入!$C$3:$C$502,MATCH($C355&amp;"|"&amp;DAY($A355),打卡匯入!$E$3:$E$502,0)),"")</f>
        <v/>
      </c>
      <c r="K355" s="87">
        <f>IFERROR(INDEX(打卡匯入!$D$3:$D$502,MATCH($C355&amp;"|"&amp;DAY($A355),打卡匯入!$E$3:$E$502,0)),"")</f>
        <v/>
      </c>
      <c r="L355" s="88">
        <f>IF(OR($J355="",$K355=""),"",IFERROR(INDEX(設定!$F$6:$F$21,MATCH($G355,設定!$B$6:$B$21,0)),0))</f>
        <v/>
      </c>
      <c r="M355" s="89">
        <f>IF(OR($J355="",$K355=""),"",ROUND(($K355-$J355)*24-$L355/60,2))</f>
        <v/>
      </c>
      <c r="N355" s="16">
        <f>IF($C355="","",IF(AND(COUNTIF(設定!$B$15:$B$21,$G355)&gt;0,$J355&lt;&gt;""),"假日出勤",IF(AND(COUNTIF(設定!$B$6:$B$14,$G355)&gt;0,$J355=""),"未打卡",IF($J355="","",IF($O355&gt;0,"遲到",IF($P355&gt;0,"早退","正常"))))))</f>
        <v/>
      </c>
      <c r="O355" s="88">
        <f>IF(OR($C355="",$H355="",$J355=""),0,IF(ROUND(($J355-$H355)*1440,0)&gt;設定!$C$48,ROUND(($J355-$H355)*1440,0),0))</f>
        <v/>
      </c>
      <c r="P355" s="88">
        <f>IF(OR($C355="",$I355="",$K355=""),0,IF(ROUND(($I355-$K355)*1440,0)&gt;設定!$C$48,ROUND(($I355-$K355)*1440,0),0))</f>
        <v/>
      </c>
      <c r="Q355" s="89">
        <f>IF($M355="",0,IF(($M355-IFERROR(INDEX(設定!$G$6:$G$21,MATCH($G355,設定!$B$6:$B$21,0)),0))*60&gt;=設定!$C$46,ROUND(FLOOR(($M355-IFERROR(INDEX(設定!$G$6:$G$21,MATCH($G355,設定!$B$6:$B$21,0)),0))*60,設定!$C$47)/60,2),0))</f>
        <v/>
      </c>
      <c r="R355" s="16">
        <f>IF(OR($C355="",$Q355=0),"",IF($G355="國","國定假日",IF($B355="日","例假",IF($B355="六","休息日","平日"))))</f>
        <v/>
      </c>
      <c r="S355" s="18" t="n"/>
    </row>
    <row r="356">
      <c r="A356" s="86">
        <f>IF(OR(醫護長與管理部班表!$A16="",13&gt;DAY(EOMONTH(DATE(設定!$C$2,設定!$D$2,1),0))),"",DATE(設定!$C$2,設定!$D$2,13))</f>
        <v/>
      </c>
      <c r="B356" s="16">
        <f>IF($A356="","",INDEX(設定!$O$6:$O$12,WEEKDAY($A356,1)))</f>
        <v/>
      </c>
      <c r="C356" s="16">
        <f>IF($A356="","",醫護長與管理部班表!$A16)</f>
        <v/>
      </c>
      <c r="D356" s="16">
        <f>IF($C356="","",醫護長與管理部班表!$B16)</f>
        <v/>
      </c>
      <c r="E356" s="16">
        <f>IF($C356="","",醫護長與管理部班表!$D16)</f>
        <v/>
      </c>
      <c r="F356" s="16">
        <f>IF($C356="","",醫護長與管理部班表!$C16)</f>
        <v/>
      </c>
      <c r="G356" s="16">
        <f>IF($C356="","",醫護長與管理部班表!Q16)</f>
        <v/>
      </c>
      <c r="H356" s="87">
        <f>IF($G356="","",IFERROR(IF(INDEX(設定!$D$6:$D$21,MATCH($G356,設定!$B$6:$B$21,0))=0,"",INDEX(設定!$D$6:$D$21,MATCH($G356,設定!$B$6:$B$21,0))),""))</f>
        <v/>
      </c>
      <c r="I356" s="87">
        <f>IF($G356="","",IFERROR(IF(INDEX(設定!$E$6:$E$21,MATCH($G356,設定!$B$6:$B$21,0))=0,"",INDEX(設定!$E$6:$E$21,MATCH($G356,設定!$B$6:$B$21,0))),""))</f>
        <v/>
      </c>
      <c r="J356" s="87">
        <f>IFERROR(INDEX(打卡匯入!$C$3:$C$502,MATCH($C356&amp;"|"&amp;DAY($A356),打卡匯入!$E$3:$E$502,0)),"")</f>
        <v/>
      </c>
      <c r="K356" s="87">
        <f>IFERROR(INDEX(打卡匯入!$D$3:$D$502,MATCH($C356&amp;"|"&amp;DAY($A356),打卡匯入!$E$3:$E$502,0)),"")</f>
        <v/>
      </c>
      <c r="L356" s="88">
        <f>IF(OR($J356="",$K356=""),"",IFERROR(INDEX(設定!$F$6:$F$21,MATCH($G356,設定!$B$6:$B$21,0)),0))</f>
        <v/>
      </c>
      <c r="M356" s="89">
        <f>IF(OR($J356="",$K356=""),"",ROUND(($K356-$J356)*24-$L356/60,2))</f>
        <v/>
      </c>
      <c r="N356" s="16">
        <f>IF($C356="","",IF(AND(COUNTIF(設定!$B$15:$B$21,$G356)&gt;0,$J356&lt;&gt;""),"假日出勤",IF(AND(COUNTIF(設定!$B$6:$B$14,$G356)&gt;0,$J356=""),"未打卡",IF($J356="","",IF($O356&gt;0,"遲到",IF($P356&gt;0,"早退","正常"))))))</f>
        <v/>
      </c>
      <c r="O356" s="88">
        <f>IF(OR($C356="",$H356="",$J356=""),0,IF(ROUND(($J356-$H356)*1440,0)&gt;設定!$C$48,ROUND(($J356-$H356)*1440,0),0))</f>
        <v/>
      </c>
      <c r="P356" s="88">
        <f>IF(OR($C356="",$I356="",$K356=""),0,IF(ROUND(($I356-$K356)*1440,0)&gt;設定!$C$48,ROUND(($I356-$K356)*1440,0),0))</f>
        <v/>
      </c>
      <c r="Q356" s="89">
        <f>IF($M356="",0,IF(($M356-IFERROR(INDEX(設定!$G$6:$G$21,MATCH($G356,設定!$B$6:$B$21,0)),0))*60&gt;=設定!$C$46,ROUND(FLOOR(($M356-IFERROR(INDEX(設定!$G$6:$G$21,MATCH($G356,設定!$B$6:$B$21,0)),0))*60,設定!$C$47)/60,2),0))</f>
        <v/>
      </c>
      <c r="R356" s="16">
        <f>IF(OR($C356="",$Q356=0),"",IF($G356="國","國定假日",IF($B356="日","例假",IF($B356="六","休息日","平日"))))</f>
        <v/>
      </c>
      <c r="S356" s="18" t="n"/>
    </row>
    <row r="357">
      <c r="A357" s="86">
        <f>IF(OR(醫護長與管理部班表!$A16="",14&gt;DAY(EOMONTH(DATE(設定!$C$2,設定!$D$2,1),0))),"",DATE(設定!$C$2,設定!$D$2,14))</f>
        <v/>
      </c>
      <c r="B357" s="16">
        <f>IF($A357="","",INDEX(設定!$O$6:$O$12,WEEKDAY($A357,1)))</f>
        <v/>
      </c>
      <c r="C357" s="16">
        <f>IF($A357="","",醫護長與管理部班表!$A16)</f>
        <v/>
      </c>
      <c r="D357" s="16">
        <f>IF($C357="","",醫護長與管理部班表!$B16)</f>
        <v/>
      </c>
      <c r="E357" s="16">
        <f>IF($C357="","",醫護長與管理部班表!$D16)</f>
        <v/>
      </c>
      <c r="F357" s="16">
        <f>IF($C357="","",醫護長與管理部班表!$C16)</f>
        <v/>
      </c>
      <c r="G357" s="16">
        <f>IF($C357="","",醫護長與管理部班表!R16)</f>
        <v/>
      </c>
      <c r="H357" s="87">
        <f>IF($G357="","",IFERROR(IF(INDEX(設定!$D$6:$D$21,MATCH($G357,設定!$B$6:$B$21,0))=0,"",INDEX(設定!$D$6:$D$21,MATCH($G357,設定!$B$6:$B$21,0))),""))</f>
        <v/>
      </c>
      <c r="I357" s="87">
        <f>IF($G357="","",IFERROR(IF(INDEX(設定!$E$6:$E$21,MATCH($G357,設定!$B$6:$B$21,0))=0,"",INDEX(設定!$E$6:$E$21,MATCH($G357,設定!$B$6:$B$21,0))),""))</f>
        <v/>
      </c>
      <c r="J357" s="87">
        <f>IFERROR(INDEX(打卡匯入!$C$3:$C$502,MATCH($C357&amp;"|"&amp;DAY($A357),打卡匯入!$E$3:$E$502,0)),"")</f>
        <v/>
      </c>
      <c r="K357" s="87">
        <f>IFERROR(INDEX(打卡匯入!$D$3:$D$502,MATCH($C357&amp;"|"&amp;DAY($A357),打卡匯入!$E$3:$E$502,0)),"")</f>
        <v/>
      </c>
      <c r="L357" s="88">
        <f>IF(OR($J357="",$K357=""),"",IFERROR(INDEX(設定!$F$6:$F$21,MATCH($G357,設定!$B$6:$B$21,0)),0))</f>
        <v/>
      </c>
      <c r="M357" s="89">
        <f>IF(OR($J357="",$K357=""),"",ROUND(($K357-$J357)*24-$L357/60,2))</f>
        <v/>
      </c>
      <c r="N357" s="16">
        <f>IF($C357="","",IF(AND(COUNTIF(設定!$B$15:$B$21,$G357)&gt;0,$J357&lt;&gt;""),"假日出勤",IF(AND(COUNTIF(設定!$B$6:$B$14,$G357)&gt;0,$J357=""),"未打卡",IF($J357="","",IF($O357&gt;0,"遲到",IF($P357&gt;0,"早退","正常"))))))</f>
        <v/>
      </c>
      <c r="O357" s="88">
        <f>IF(OR($C357="",$H357="",$J357=""),0,IF(ROUND(($J357-$H357)*1440,0)&gt;設定!$C$48,ROUND(($J357-$H357)*1440,0),0))</f>
        <v/>
      </c>
      <c r="P357" s="88">
        <f>IF(OR($C357="",$I357="",$K357=""),0,IF(ROUND(($I357-$K357)*1440,0)&gt;設定!$C$48,ROUND(($I357-$K357)*1440,0),0))</f>
        <v/>
      </c>
      <c r="Q357" s="89">
        <f>IF($M357="",0,IF(($M357-IFERROR(INDEX(設定!$G$6:$G$21,MATCH($G357,設定!$B$6:$B$21,0)),0))*60&gt;=設定!$C$46,ROUND(FLOOR(($M357-IFERROR(INDEX(設定!$G$6:$G$21,MATCH($G357,設定!$B$6:$B$21,0)),0))*60,設定!$C$47)/60,2),0))</f>
        <v/>
      </c>
      <c r="R357" s="16">
        <f>IF(OR($C357="",$Q357=0),"",IF($G357="國","國定假日",IF($B357="日","例假",IF($B357="六","休息日","平日"))))</f>
        <v/>
      </c>
      <c r="S357" s="18" t="n"/>
    </row>
    <row r="358">
      <c r="A358" s="86">
        <f>IF(OR(醫護長與管理部班表!$A16="",15&gt;DAY(EOMONTH(DATE(設定!$C$2,設定!$D$2,1),0))),"",DATE(設定!$C$2,設定!$D$2,15))</f>
        <v/>
      </c>
      <c r="B358" s="16">
        <f>IF($A358="","",INDEX(設定!$O$6:$O$12,WEEKDAY($A358,1)))</f>
        <v/>
      </c>
      <c r="C358" s="16">
        <f>IF($A358="","",醫護長與管理部班表!$A16)</f>
        <v/>
      </c>
      <c r="D358" s="16">
        <f>IF($C358="","",醫護長與管理部班表!$B16)</f>
        <v/>
      </c>
      <c r="E358" s="16">
        <f>IF($C358="","",醫護長與管理部班表!$D16)</f>
        <v/>
      </c>
      <c r="F358" s="16">
        <f>IF($C358="","",醫護長與管理部班表!$C16)</f>
        <v/>
      </c>
      <c r="G358" s="16">
        <f>IF($C358="","",醫護長與管理部班表!S16)</f>
        <v/>
      </c>
      <c r="H358" s="87">
        <f>IF($G358="","",IFERROR(IF(INDEX(設定!$D$6:$D$21,MATCH($G358,設定!$B$6:$B$21,0))=0,"",INDEX(設定!$D$6:$D$21,MATCH($G358,設定!$B$6:$B$21,0))),""))</f>
        <v/>
      </c>
      <c r="I358" s="87">
        <f>IF($G358="","",IFERROR(IF(INDEX(設定!$E$6:$E$21,MATCH($G358,設定!$B$6:$B$21,0))=0,"",INDEX(設定!$E$6:$E$21,MATCH($G358,設定!$B$6:$B$21,0))),""))</f>
        <v/>
      </c>
      <c r="J358" s="87">
        <f>IFERROR(INDEX(打卡匯入!$C$3:$C$502,MATCH($C358&amp;"|"&amp;DAY($A358),打卡匯入!$E$3:$E$502,0)),"")</f>
        <v/>
      </c>
      <c r="K358" s="87">
        <f>IFERROR(INDEX(打卡匯入!$D$3:$D$502,MATCH($C358&amp;"|"&amp;DAY($A358),打卡匯入!$E$3:$E$502,0)),"")</f>
        <v/>
      </c>
      <c r="L358" s="88">
        <f>IF(OR($J358="",$K358=""),"",IFERROR(INDEX(設定!$F$6:$F$21,MATCH($G358,設定!$B$6:$B$21,0)),0))</f>
        <v/>
      </c>
      <c r="M358" s="89">
        <f>IF(OR($J358="",$K358=""),"",ROUND(($K358-$J358)*24-$L358/60,2))</f>
        <v/>
      </c>
      <c r="N358" s="16">
        <f>IF($C358="","",IF(AND(COUNTIF(設定!$B$15:$B$21,$G358)&gt;0,$J358&lt;&gt;""),"假日出勤",IF(AND(COUNTIF(設定!$B$6:$B$14,$G358)&gt;0,$J358=""),"未打卡",IF($J358="","",IF($O358&gt;0,"遲到",IF($P358&gt;0,"早退","正常"))))))</f>
        <v/>
      </c>
      <c r="O358" s="88">
        <f>IF(OR($C358="",$H358="",$J358=""),0,IF(ROUND(($J358-$H358)*1440,0)&gt;設定!$C$48,ROUND(($J358-$H358)*1440,0),0))</f>
        <v/>
      </c>
      <c r="P358" s="88">
        <f>IF(OR($C358="",$I358="",$K358=""),0,IF(ROUND(($I358-$K358)*1440,0)&gt;設定!$C$48,ROUND(($I358-$K358)*1440,0),0))</f>
        <v/>
      </c>
      <c r="Q358" s="89">
        <f>IF($M358="",0,IF(($M358-IFERROR(INDEX(設定!$G$6:$G$21,MATCH($G358,設定!$B$6:$B$21,0)),0))*60&gt;=設定!$C$46,ROUND(FLOOR(($M358-IFERROR(INDEX(設定!$G$6:$G$21,MATCH($G358,設定!$B$6:$B$21,0)),0))*60,設定!$C$47)/60,2),0))</f>
        <v/>
      </c>
      <c r="R358" s="16">
        <f>IF(OR($C358="",$Q358=0),"",IF($G358="國","國定假日",IF($B358="日","例假",IF($B358="六","休息日","平日"))))</f>
        <v/>
      </c>
      <c r="S358" s="18" t="n"/>
    </row>
    <row r="359">
      <c r="A359" s="86">
        <f>IF(OR(醫護長與管理部班表!$A16="",16&gt;DAY(EOMONTH(DATE(設定!$C$2,設定!$D$2,1),0))),"",DATE(設定!$C$2,設定!$D$2,16))</f>
        <v/>
      </c>
      <c r="B359" s="16">
        <f>IF($A359="","",INDEX(設定!$O$6:$O$12,WEEKDAY($A359,1)))</f>
        <v/>
      </c>
      <c r="C359" s="16">
        <f>IF($A359="","",醫護長與管理部班表!$A16)</f>
        <v/>
      </c>
      <c r="D359" s="16">
        <f>IF($C359="","",醫護長與管理部班表!$B16)</f>
        <v/>
      </c>
      <c r="E359" s="16">
        <f>IF($C359="","",醫護長與管理部班表!$D16)</f>
        <v/>
      </c>
      <c r="F359" s="16">
        <f>IF($C359="","",醫護長與管理部班表!$C16)</f>
        <v/>
      </c>
      <c r="G359" s="16">
        <f>IF($C359="","",醫護長與管理部班表!T16)</f>
        <v/>
      </c>
      <c r="H359" s="87">
        <f>IF($G359="","",IFERROR(IF(INDEX(設定!$D$6:$D$21,MATCH($G359,設定!$B$6:$B$21,0))=0,"",INDEX(設定!$D$6:$D$21,MATCH($G359,設定!$B$6:$B$21,0))),""))</f>
        <v/>
      </c>
      <c r="I359" s="87">
        <f>IF($G359="","",IFERROR(IF(INDEX(設定!$E$6:$E$21,MATCH($G359,設定!$B$6:$B$21,0))=0,"",INDEX(設定!$E$6:$E$21,MATCH($G359,設定!$B$6:$B$21,0))),""))</f>
        <v/>
      </c>
      <c r="J359" s="87">
        <f>IFERROR(INDEX(打卡匯入!$C$3:$C$502,MATCH($C359&amp;"|"&amp;DAY($A359),打卡匯入!$E$3:$E$502,0)),"")</f>
        <v/>
      </c>
      <c r="K359" s="87">
        <f>IFERROR(INDEX(打卡匯入!$D$3:$D$502,MATCH($C359&amp;"|"&amp;DAY($A359),打卡匯入!$E$3:$E$502,0)),"")</f>
        <v/>
      </c>
      <c r="L359" s="88">
        <f>IF(OR($J359="",$K359=""),"",IFERROR(INDEX(設定!$F$6:$F$21,MATCH($G359,設定!$B$6:$B$21,0)),0))</f>
        <v/>
      </c>
      <c r="M359" s="89">
        <f>IF(OR($J359="",$K359=""),"",ROUND(($K359-$J359)*24-$L359/60,2))</f>
        <v/>
      </c>
      <c r="N359" s="16">
        <f>IF($C359="","",IF(AND(COUNTIF(設定!$B$15:$B$21,$G359)&gt;0,$J359&lt;&gt;""),"假日出勤",IF(AND(COUNTIF(設定!$B$6:$B$14,$G359)&gt;0,$J359=""),"未打卡",IF($J359="","",IF($O359&gt;0,"遲到",IF($P359&gt;0,"早退","正常"))))))</f>
        <v/>
      </c>
      <c r="O359" s="88">
        <f>IF(OR($C359="",$H359="",$J359=""),0,IF(ROUND(($J359-$H359)*1440,0)&gt;設定!$C$48,ROUND(($J359-$H359)*1440,0),0))</f>
        <v/>
      </c>
      <c r="P359" s="88">
        <f>IF(OR($C359="",$I359="",$K359=""),0,IF(ROUND(($I359-$K359)*1440,0)&gt;設定!$C$48,ROUND(($I359-$K359)*1440,0),0))</f>
        <v/>
      </c>
      <c r="Q359" s="89">
        <f>IF($M359="",0,IF(($M359-IFERROR(INDEX(設定!$G$6:$G$21,MATCH($G359,設定!$B$6:$B$21,0)),0))*60&gt;=設定!$C$46,ROUND(FLOOR(($M359-IFERROR(INDEX(設定!$G$6:$G$21,MATCH($G359,設定!$B$6:$B$21,0)),0))*60,設定!$C$47)/60,2),0))</f>
        <v/>
      </c>
      <c r="R359" s="16">
        <f>IF(OR($C359="",$Q359=0),"",IF($G359="國","國定假日",IF($B359="日","例假",IF($B359="六","休息日","平日"))))</f>
        <v/>
      </c>
      <c r="S359" s="18" t="n"/>
    </row>
    <row r="360">
      <c r="A360" s="86">
        <f>IF(OR(醫護長與管理部班表!$A16="",17&gt;DAY(EOMONTH(DATE(設定!$C$2,設定!$D$2,1),0))),"",DATE(設定!$C$2,設定!$D$2,17))</f>
        <v/>
      </c>
      <c r="B360" s="16">
        <f>IF($A360="","",INDEX(設定!$O$6:$O$12,WEEKDAY($A360,1)))</f>
        <v/>
      </c>
      <c r="C360" s="16">
        <f>IF($A360="","",醫護長與管理部班表!$A16)</f>
        <v/>
      </c>
      <c r="D360" s="16">
        <f>IF($C360="","",醫護長與管理部班表!$B16)</f>
        <v/>
      </c>
      <c r="E360" s="16">
        <f>IF($C360="","",醫護長與管理部班表!$D16)</f>
        <v/>
      </c>
      <c r="F360" s="16">
        <f>IF($C360="","",醫護長與管理部班表!$C16)</f>
        <v/>
      </c>
      <c r="G360" s="16">
        <f>IF($C360="","",醫護長與管理部班表!U16)</f>
        <v/>
      </c>
      <c r="H360" s="87">
        <f>IF($G360="","",IFERROR(IF(INDEX(設定!$D$6:$D$21,MATCH($G360,設定!$B$6:$B$21,0))=0,"",INDEX(設定!$D$6:$D$21,MATCH($G360,設定!$B$6:$B$21,0))),""))</f>
        <v/>
      </c>
      <c r="I360" s="87">
        <f>IF($G360="","",IFERROR(IF(INDEX(設定!$E$6:$E$21,MATCH($G360,設定!$B$6:$B$21,0))=0,"",INDEX(設定!$E$6:$E$21,MATCH($G360,設定!$B$6:$B$21,0))),""))</f>
        <v/>
      </c>
      <c r="J360" s="87">
        <f>IFERROR(INDEX(打卡匯入!$C$3:$C$502,MATCH($C360&amp;"|"&amp;DAY($A360),打卡匯入!$E$3:$E$502,0)),"")</f>
        <v/>
      </c>
      <c r="K360" s="87">
        <f>IFERROR(INDEX(打卡匯入!$D$3:$D$502,MATCH($C360&amp;"|"&amp;DAY($A360),打卡匯入!$E$3:$E$502,0)),"")</f>
        <v/>
      </c>
      <c r="L360" s="88">
        <f>IF(OR($J360="",$K360=""),"",IFERROR(INDEX(設定!$F$6:$F$21,MATCH($G360,設定!$B$6:$B$21,0)),0))</f>
        <v/>
      </c>
      <c r="M360" s="89">
        <f>IF(OR($J360="",$K360=""),"",ROUND(($K360-$J360)*24-$L360/60,2))</f>
        <v/>
      </c>
      <c r="N360" s="16">
        <f>IF($C360="","",IF(AND(COUNTIF(設定!$B$15:$B$21,$G360)&gt;0,$J360&lt;&gt;""),"假日出勤",IF(AND(COUNTIF(設定!$B$6:$B$14,$G360)&gt;0,$J360=""),"未打卡",IF($J360="","",IF($O360&gt;0,"遲到",IF($P360&gt;0,"早退","正常"))))))</f>
        <v/>
      </c>
      <c r="O360" s="88">
        <f>IF(OR($C360="",$H360="",$J360=""),0,IF(ROUND(($J360-$H360)*1440,0)&gt;設定!$C$48,ROUND(($J360-$H360)*1440,0),0))</f>
        <v/>
      </c>
      <c r="P360" s="88">
        <f>IF(OR($C360="",$I360="",$K360=""),0,IF(ROUND(($I360-$K360)*1440,0)&gt;設定!$C$48,ROUND(($I360-$K360)*1440,0),0))</f>
        <v/>
      </c>
      <c r="Q360" s="89">
        <f>IF($M360="",0,IF(($M360-IFERROR(INDEX(設定!$G$6:$G$21,MATCH($G360,設定!$B$6:$B$21,0)),0))*60&gt;=設定!$C$46,ROUND(FLOOR(($M360-IFERROR(INDEX(設定!$G$6:$G$21,MATCH($G360,設定!$B$6:$B$21,0)),0))*60,設定!$C$47)/60,2),0))</f>
        <v/>
      </c>
      <c r="R360" s="16">
        <f>IF(OR($C360="",$Q360=0),"",IF($G360="國","國定假日",IF($B360="日","例假",IF($B360="六","休息日","平日"))))</f>
        <v/>
      </c>
      <c r="S360" s="18" t="n"/>
    </row>
    <row r="361">
      <c r="A361" s="86">
        <f>IF(OR(醫護長與管理部班表!$A16="",18&gt;DAY(EOMONTH(DATE(設定!$C$2,設定!$D$2,1),0))),"",DATE(設定!$C$2,設定!$D$2,18))</f>
        <v/>
      </c>
      <c r="B361" s="16">
        <f>IF($A361="","",INDEX(設定!$O$6:$O$12,WEEKDAY($A361,1)))</f>
        <v/>
      </c>
      <c r="C361" s="16">
        <f>IF($A361="","",醫護長與管理部班表!$A16)</f>
        <v/>
      </c>
      <c r="D361" s="16">
        <f>IF($C361="","",醫護長與管理部班表!$B16)</f>
        <v/>
      </c>
      <c r="E361" s="16">
        <f>IF($C361="","",醫護長與管理部班表!$D16)</f>
        <v/>
      </c>
      <c r="F361" s="16">
        <f>IF($C361="","",醫護長與管理部班表!$C16)</f>
        <v/>
      </c>
      <c r="G361" s="16">
        <f>IF($C361="","",醫護長與管理部班表!V16)</f>
        <v/>
      </c>
      <c r="H361" s="87">
        <f>IF($G361="","",IFERROR(IF(INDEX(設定!$D$6:$D$21,MATCH($G361,設定!$B$6:$B$21,0))=0,"",INDEX(設定!$D$6:$D$21,MATCH($G361,設定!$B$6:$B$21,0))),""))</f>
        <v/>
      </c>
      <c r="I361" s="87">
        <f>IF($G361="","",IFERROR(IF(INDEX(設定!$E$6:$E$21,MATCH($G361,設定!$B$6:$B$21,0))=0,"",INDEX(設定!$E$6:$E$21,MATCH($G361,設定!$B$6:$B$21,0))),""))</f>
        <v/>
      </c>
      <c r="J361" s="87">
        <f>IFERROR(INDEX(打卡匯入!$C$3:$C$502,MATCH($C361&amp;"|"&amp;DAY($A361),打卡匯入!$E$3:$E$502,0)),"")</f>
        <v/>
      </c>
      <c r="K361" s="87">
        <f>IFERROR(INDEX(打卡匯入!$D$3:$D$502,MATCH($C361&amp;"|"&amp;DAY($A361),打卡匯入!$E$3:$E$502,0)),"")</f>
        <v/>
      </c>
      <c r="L361" s="88">
        <f>IF(OR($J361="",$K361=""),"",IFERROR(INDEX(設定!$F$6:$F$21,MATCH($G361,設定!$B$6:$B$21,0)),0))</f>
        <v/>
      </c>
      <c r="M361" s="89">
        <f>IF(OR($J361="",$K361=""),"",ROUND(($K361-$J361)*24-$L361/60,2))</f>
        <v/>
      </c>
      <c r="N361" s="16">
        <f>IF($C361="","",IF(AND(COUNTIF(設定!$B$15:$B$21,$G361)&gt;0,$J361&lt;&gt;""),"假日出勤",IF(AND(COUNTIF(設定!$B$6:$B$14,$G361)&gt;0,$J361=""),"未打卡",IF($J361="","",IF($O361&gt;0,"遲到",IF($P361&gt;0,"早退","正常"))))))</f>
        <v/>
      </c>
      <c r="O361" s="88">
        <f>IF(OR($C361="",$H361="",$J361=""),0,IF(ROUND(($J361-$H361)*1440,0)&gt;設定!$C$48,ROUND(($J361-$H361)*1440,0),0))</f>
        <v/>
      </c>
      <c r="P361" s="88">
        <f>IF(OR($C361="",$I361="",$K361=""),0,IF(ROUND(($I361-$K361)*1440,0)&gt;設定!$C$48,ROUND(($I361-$K361)*1440,0),0))</f>
        <v/>
      </c>
      <c r="Q361" s="89">
        <f>IF($M361="",0,IF(($M361-IFERROR(INDEX(設定!$G$6:$G$21,MATCH($G361,設定!$B$6:$B$21,0)),0))*60&gt;=設定!$C$46,ROUND(FLOOR(($M361-IFERROR(INDEX(設定!$G$6:$G$21,MATCH($G361,設定!$B$6:$B$21,0)),0))*60,設定!$C$47)/60,2),0))</f>
        <v/>
      </c>
      <c r="R361" s="16">
        <f>IF(OR($C361="",$Q361=0),"",IF($G361="國","國定假日",IF($B361="日","例假",IF($B361="六","休息日","平日"))))</f>
        <v/>
      </c>
      <c r="S361" s="18" t="n"/>
    </row>
    <row r="362">
      <c r="A362" s="86">
        <f>IF(OR(醫護長與管理部班表!$A16="",19&gt;DAY(EOMONTH(DATE(設定!$C$2,設定!$D$2,1),0))),"",DATE(設定!$C$2,設定!$D$2,19))</f>
        <v/>
      </c>
      <c r="B362" s="16">
        <f>IF($A362="","",INDEX(設定!$O$6:$O$12,WEEKDAY($A362,1)))</f>
        <v/>
      </c>
      <c r="C362" s="16">
        <f>IF($A362="","",醫護長與管理部班表!$A16)</f>
        <v/>
      </c>
      <c r="D362" s="16">
        <f>IF($C362="","",醫護長與管理部班表!$B16)</f>
        <v/>
      </c>
      <c r="E362" s="16">
        <f>IF($C362="","",醫護長與管理部班表!$D16)</f>
        <v/>
      </c>
      <c r="F362" s="16">
        <f>IF($C362="","",醫護長與管理部班表!$C16)</f>
        <v/>
      </c>
      <c r="G362" s="16">
        <f>IF($C362="","",醫護長與管理部班表!W16)</f>
        <v/>
      </c>
      <c r="H362" s="87">
        <f>IF($G362="","",IFERROR(IF(INDEX(設定!$D$6:$D$21,MATCH($G362,設定!$B$6:$B$21,0))=0,"",INDEX(設定!$D$6:$D$21,MATCH($G362,設定!$B$6:$B$21,0))),""))</f>
        <v/>
      </c>
      <c r="I362" s="87">
        <f>IF($G362="","",IFERROR(IF(INDEX(設定!$E$6:$E$21,MATCH($G362,設定!$B$6:$B$21,0))=0,"",INDEX(設定!$E$6:$E$21,MATCH($G362,設定!$B$6:$B$21,0))),""))</f>
        <v/>
      </c>
      <c r="J362" s="87">
        <f>IFERROR(INDEX(打卡匯入!$C$3:$C$502,MATCH($C362&amp;"|"&amp;DAY($A362),打卡匯入!$E$3:$E$502,0)),"")</f>
        <v/>
      </c>
      <c r="K362" s="87">
        <f>IFERROR(INDEX(打卡匯入!$D$3:$D$502,MATCH($C362&amp;"|"&amp;DAY($A362),打卡匯入!$E$3:$E$502,0)),"")</f>
        <v/>
      </c>
      <c r="L362" s="88">
        <f>IF(OR($J362="",$K362=""),"",IFERROR(INDEX(設定!$F$6:$F$21,MATCH($G362,設定!$B$6:$B$21,0)),0))</f>
        <v/>
      </c>
      <c r="M362" s="89">
        <f>IF(OR($J362="",$K362=""),"",ROUND(($K362-$J362)*24-$L362/60,2))</f>
        <v/>
      </c>
      <c r="N362" s="16">
        <f>IF($C362="","",IF(AND(COUNTIF(設定!$B$15:$B$21,$G362)&gt;0,$J362&lt;&gt;""),"假日出勤",IF(AND(COUNTIF(設定!$B$6:$B$14,$G362)&gt;0,$J362=""),"未打卡",IF($J362="","",IF($O362&gt;0,"遲到",IF($P362&gt;0,"早退","正常"))))))</f>
        <v/>
      </c>
      <c r="O362" s="88">
        <f>IF(OR($C362="",$H362="",$J362=""),0,IF(ROUND(($J362-$H362)*1440,0)&gt;設定!$C$48,ROUND(($J362-$H362)*1440,0),0))</f>
        <v/>
      </c>
      <c r="P362" s="88">
        <f>IF(OR($C362="",$I362="",$K362=""),0,IF(ROUND(($I362-$K362)*1440,0)&gt;設定!$C$48,ROUND(($I362-$K362)*1440,0),0))</f>
        <v/>
      </c>
      <c r="Q362" s="89">
        <f>IF($M362="",0,IF(($M362-IFERROR(INDEX(設定!$G$6:$G$21,MATCH($G362,設定!$B$6:$B$21,0)),0))*60&gt;=設定!$C$46,ROUND(FLOOR(($M362-IFERROR(INDEX(設定!$G$6:$G$21,MATCH($G362,設定!$B$6:$B$21,0)),0))*60,設定!$C$47)/60,2),0))</f>
        <v/>
      </c>
      <c r="R362" s="16">
        <f>IF(OR($C362="",$Q362=0),"",IF($G362="國","國定假日",IF($B362="日","例假",IF($B362="六","休息日","平日"))))</f>
        <v/>
      </c>
      <c r="S362" s="18" t="n"/>
    </row>
    <row r="363">
      <c r="A363" s="86">
        <f>IF(OR(醫護長與管理部班表!$A16="",20&gt;DAY(EOMONTH(DATE(設定!$C$2,設定!$D$2,1),0))),"",DATE(設定!$C$2,設定!$D$2,20))</f>
        <v/>
      </c>
      <c r="B363" s="16">
        <f>IF($A363="","",INDEX(設定!$O$6:$O$12,WEEKDAY($A363,1)))</f>
        <v/>
      </c>
      <c r="C363" s="16">
        <f>IF($A363="","",醫護長與管理部班表!$A16)</f>
        <v/>
      </c>
      <c r="D363" s="16">
        <f>IF($C363="","",醫護長與管理部班表!$B16)</f>
        <v/>
      </c>
      <c r="E363" s="16">
        <f>IF($C363="","",醫護長與管理部班表!$D16)</f>
        <v/>
      </c>
      <c r="F363" s="16">
        <f>IF($C363="","",醫護長與管理部班表!$C16)</f>
        <v/>
      </c>
      <c r="G363" s="16">
        <f>IF($C363="","",醫護長與管理部班表!X16)</f>
        <v/>
      </c>
      <c r="H363" s="87">
        <f>IF($G363="","",IFERROR(IF(INDEX(設定!$D$6:$D$21,MATCH($G363,設定!$B$6:$B$21,0))=0,"",INDEX(設定!$D$6:$D$21,MATCH($G363,設定!$B$6:$B$21,0))),""))</f>
        <v/>
      </c>
      <c r="I363" s="87">
        <f>IF($G363="","",IFERROR(IF(INDEX(設定!$E$6:$E$21,MATCH($G363,設定!$B$6:$B$21,0))=0,"",INDEX(設定!$E$6:$E$21,MATCH($G363,設定!$B$6:$B$21,0))),""))</f>
        <v/>
      </c>
      <c r="J363" s="87">
        <f>IFERROR(INDEX(打卡匯入!$C$3:$C$502,MATCH($C363&amp;"|"&amp;DAY($A363),打卡匯入!$E$3:$E$502,0)),"")</f>
        <v/>
      </c>
      <c r="K363" s="87">
        <f>IFERROR(INDEX(打卡匯入!$D$3:$D$502,MATCH($C363&amp;"|"&amp;DAY($A363),打卡匯入!$E$3:$E$502,0)),"")</f>
        <v/>
      </c>
      <c r="L363" s="88">
        <f>IF(OR($J363="",$K363=""),"",IFERROR(INDEX(設定!$F$6:$F$21,MATCH($G363,設定!$B$6:$B$21,0)),0))</f>
        <v/>
      </c>
      <c r="M363" s="89">
        <f>IF(OR($J363="",$K363=""),"",ROUND(($K363-$J363)*24-$L363/60,2))</f>
        <v/>
      </c>
      <c r="N363" s="16">
        <f>IF($C363="","",IF(AND(COUNTIF(設定!$B$15:$B$21,$G363)&gt;0,$J363&lt;&gt;""),"假日出勤",IF(AND(COUNTIF(設定!$B$6:$B$14,$G363)&gt;0,$J363=""),"未打卡",IF($J363="","",IF($O363&gt;0,"遲到",IF($P363&gt;0,"早退","正常"))))))</f>
        <v/>
      </c>
      <c r="O363" s="88">
        <f>IF(OR($C363="",$H363="",$J363=""),0,IF(ROUND(($J363-$H363)*1440,0)&gt;設定!$C$48,ROUND(($J363-$H363)*1440,0),0))</f>
        <v/>
      </c>
      <c r="P363" s="88">
        <f>IF(OR($C363="",$I363="",$K363=""),0,IF(ROUND(($I363-$K363)*1440,0)&gt;設定!$C$48,ROUND(($I363-$K363)*1440,0),0))</f>
        <v/>
      </c>
      <c r="Q363" s="89">
        <f>IF($M363="",0,IF(($M363-IFERROR(INDEX(設定!$G$6:$G$21,MATCH($G363,設定!$B$6:$B$21,0)),0))*60&gt;=設定!$C$46,ROUND(FLOOR(($M363-IFERROR(INDEX(設定!$G$6:$G$21,MATCH($G363,設定!$B$6:$B$21,0)),0))*60,設定!$C$47)/60,2),0))</f>
        <v/>
      </c>
      <c r="R363" s="16">
        <f>IF(OR($C363="",$Q363=0),"",IF($G363="國","國定假日",IF($B363="日","例假",IF($B363="六","休息日","平日"))))</f>
        <v/>
      </c>
      <c r="S363" s="18" t="n"/>
    </row>
    <row r="364">
      <c r="A364" s="86">
        <f>IF(OR(醫護長與管理部班表!$A16="",21&gt;DAY(EOMONTH(DATE(設定!$C$2,設定!$D$2,1),0))),"",DATE(設定!$C$2,設定!$D$2,21))</f>
        <v/>
      </c>
      <c r="B364" s="16">
        <f>IF($A364="","",INDEX(設定!$O$6:$O$12,WEEKDAY($A364,1)))</f>
        <v/>
      </c>
      <c r="C364" s="16">
        <f>IF($A364="","",醫護長與管理部班表!$A16)</f>
        <v/>
      </c>
      <c r="D364" s="16">
        <f>IF($C364="","",醫護長與管理部班表!$B16)</f>
        <v/>
      </c>
      <c r="E364" s="16">
        <f>IF($C364="","",醫護長與管理部班表!$D16)</f>
        <v/>
      </c>
      <c r="F364" s="16">
        <f>IF($C364="","",醫護長與管理部班表!$C16)</f>
        <v/>
      </c>
      <c r="G364" s="16">
        <f>IF($C364="","",醫護長與管理部班表!Y16)</f>
        <v/>
      </c>
      <c r="H364" s="87">
        <f>IF($G364="","",IFERROR(IF(INDEX(設定!$D$6:$D$21,MATCH($G364,設定!$B$6:$B$21,0))=0,"",INDEX(設定!$D$6:$D$21,MATCH($G364,設定!$B$6:$B$21,0))),""))</f>
        <v/>
      </c>
      <c r="I364" s="87">
        <f>IF($G364="","",IFERROR(IF(INDEX(設定!$E$6:$E$21,MATCH($G364,設定!$B$6:$B$21,0))=0,"",INDEX(設定!$E$6:$E$21,MATCH($G364,設定!$B$6:$B$21,0))),""))</f>
        <v/>
      </c>
      <c r="J364" s="87">
        <f>IFERROR(INDEX(打卡匯入!$C$3:$C$502,MATCH($C364&amp;"|"&amp;DAY($A364),打卡匯入!$E$3:$E$502,0)),"")</f>
        <v/>
      </c>
      <c r="K364" s="87">
        <f>IFERROR(INDEX(打卡匯入!$D$3:$D$502,MATCH($C364&amp;"|"&amp;DAY($A364),打卡匯入!$E$3:$E$502,0)),"")</f>
        <v/>
      </c>
      <c r="L364" s="88">
        <f>IF(OR($J364="",$K364=""),"",IFERROR(INDEX(設定!$F$6:$F$21,MATCH($G364,設定!$B$6:$B$21,0)),0))</f>
        <v/>
      </c>
      <c r="M364" s="89">
        <f>IF(OR($J364="",$K364=""),"",ROUND(($K364-$J364)*24-$L364/60,2))</f>
        <v/>
      </c>
      <c r="N364" s="16">
        <f>IF($C364="","",IF(AND(COUNTIF(設定!$B$15:$B$21,$G364)&gt;0,$J364&lt;&gt;""),"假日出勤",IF(AND(COUNTIF(設定!$B$6:$B$14,$G364)&gt;0,$J364=""),"未打卡",IF($J364="","",IF($O364&gt;0,"遲到",IF($P364&gt;0,"早退","正常"))))))</f>
        <v/>
      </c>
      <c r="O364" s="88">
        <f>IF(OR($C364="",$H364="",$J364=""),0,IF(ROUND(($J364-$H364)*1440,0)&gt;設定!$C$48,ROUND(($J364-$H364)*1440,0),0))</f>
        <v/>
      </c>
      <c r="P364" s="88">
        <f>IF(OR($C364="",$I364="",$K364=""),0,IF(ROUND(($I364-$K364)*1440,0)&gt;設定!$C$48,ROUND(($I364-$K364)*1440,0),0))</f>
        <v/>
      </c>
      <c r="Q364" s="89">
        <f>IF($M364="",0,IF(($M364-IFERROR(INDEX(設定!$G$6:$G$21,MATCH($G364,設定!$B$6:$B$21,0)),0))*60&gt;=設定!$C$46,ROUND(FLOOR(($M364-IFERROR(INDEX(設定!$G$6:$G$21,MATCH($G364,設定!$B$6:$B$21,0)),0))*60,設定!$C$47)/60,2),0))</f>
        <v/>
      </c>
      <c r="R364" s="16">
        <f>IF(OR($C364="",$Q364=0),"",IF($G364="國","國定假日",IF($B364="日","例假",IF($B364="六","休息日","平日"))))</f>
        <v/>
      </c>
      <c r="S364" s="18" t="n"/>
    </row>
    <row r="365">
      <c r="A365" s="86">
        <f>IF(OR(醫護長與管理部班表!$A16="",22&gt;DAY(EOMONTH(DATE(設定!$C$2,設定!$D$2,1),0))),"",DATE(設定!$C$2,設定!$D$2,22))</f>
        <v/>
      </c>
      <c r="B365" s="16">
        <f>IF($A365="","",INDEX(設定!$O$6:$O$12,WEEKDAY($A365,1)))</f>
        <v/>
      </c>
      <c r="C365" s="16">
        <f>IF($A365="","",醫護長與管理部班表!$A16)</f>
        <v/>
      </c>
      <c r="D365" s="16">
        <f>IF($C365="","",醫護長與管理部班表!$B16)</f>
        <v/>
      </c>
      <c r="E365" s="16">
        <f>IF($C365="","",醫護長與管理部班表!$D16)</f>
        <v/>
      </c>
      <c r="F365" s="16">
        <f>IF($C365="","",醫護長與管理部班表!$C16)</f>
        <v/>
      </c>
      <c r="G365" s="16">
        <f>IF($C365="","",醫護長與管理部班表!Z16)</f>
        <v/>
      </c>
      <c r="H365" s="87">
        <f>IF($G365="","",IFERROR(IF(INDEX(設定!$D$6:$D$21,MATCH($G365,設定!$B$6:$B$21,0))=0,"",INDEX(設定!$D$6:$D$21,MATCH($G365,設定!$B$6:$B$21,0))),""))</f>
        <v/>
      </c>
      <c r="I365" s="87">
        <f>IF($G365="","",IFERROR(IF(INDEX(設定!$E$6:$E$21,MATCH($G365,設定!$B$6:$B$21,0))=0,"",INDEX(設定!$E$6:$E$21,MATCH($G365,設定!$B$6:$B$21,0))),""))</f>
        <v/>
      </c>
      <c r="J365" s="87">
        <f>IFERROR(INDEX(打卡匯入!$C$3:$C$502,MATCH($C365&amp;"|"&amp;DAY($A365),打卡匯入!$E$3:$E$502,0)),"")</f>
        <v/>
      </c>
      <c r="K365" s="87">
        <f>IFERROR(INDEX(打卡匯入!$D$3:$D$502,MATCH($C365&amp;"|"&amp;DAY($A365),打卡匯入!$E$3:$E$502,0)),"")</f>
        <v/>
      </c>
      <c r="L365" s="88">
        <f>IF(OR($J365="",$K365=""),"",IFERROR(INDEX(設定!$F$6:$F$21,MATCH($G365,設定!$B$6:$B$21,0)),0))</f>
        <v/>
      </c>
      <c r="M365" s="89">
        <f>IF(OR($J365="",$K365=""),"",ROUND(($K365-$J365)*24-$L365/60,2))</f>
        <v/>
      </c>
      <c r="N365" s="16">
        <f>IF($C365="","",IF(AND(COUNTIF(設定!$B$15:$B$21,$G365)&gt;0,$J365&lt;&gt;""),"假日出勤",IF(AND(COUNTIF(設定!$B$6:$B$14,$G365)&gt;0,$J365=""),"未打卡",IF($J365="","",IF($O365&gt;0,"遲到",IF($P365&gt;0,"早退","正常"))))))</f>
        <v/>
      </c>
      <c r="O365" s="88">
        <f>IF(OR($C365="",$H365="",$J365=""),0,IF(ROUND(($J365-$H365)*1440,0)&gt;設定!$C$48,ROUND(($J365-$H365)*1440,0),0))</f>
        <v/>
      </c>
      <c r="P365" s="88">
        <f>IF(OR($C365="",$I365="",$K365=""),0,IF(ROUND(($I365-$K365)*1440,0)&gt;設定!$C$48,ROUND(($I365-$K365)*1440,0),0))</f>
        <v/>
      </c>
      <c r="Q365" s="89">
        <f>IF($M365="",0,IF(($M365-IFERROR(INDEX(設定!$G$6:$G$21,MATCH($G365,設定!$B$6:$B$21,0)),0))*60&gt;=設定!$C$46,ROUND(FLOOR(($M365-IFERROR(INDEX(設定!$G$6:$G$21,MATCH($G365,設定!$B$6:$B$21,0)),0))*60,設定!$C$47)/60,2),0))</f>
        <v/>
      </c>
      <c r="R365" s="16">
        <f>IF(OR($C365="",$Q365=0),"",IF($G365="國","國定假日",IF($B365="日","例假",IF($B365="六","休息日","平日"))))</f>
        <v/>
      </c>
      <c r="S365" s="18" t="n"/>
    </row>
    <row r="366">
      <c r="A366" s="86">
        <f>IF(OR(醫護長與管理部班表!$A16="",23&gt;DAY(EOMONTH(DATE(設定!$C$2,設定!$D$2,1),0))),"",DATE(設定!$C$2,設定!$D$2,23))</f>
        <v/>
      </c>
      <c r="B366" s="16">
        <f>IF($A366="","",INDEX(設定!$O$6:$O$12,WEEKDAY($A366,1)))</f>
        <v/>
      </c>
      <c r="C366" s="16">
        <f>IF($A366="","",醫護長與管理部班表!$A16)</f>
        <v/>
      </c>
      <c r="D366" s="16">
        <f>IF($C366="","",醫護長與管理部班表!$B16)</f>
        <v/>
      </c>
      <c r="E366" s="16">
        <f>IF($C366="","",醫護長與管理部班表!$D16)</f>
        <v/>
      </c>
      <c r="F366" s="16">
        <f>IF($C366="","",醫護長與管理部班表!$C16)</f>
        <v/>
      </c>
      <c r="G366" s="16">
        <f>IF($C366="","",醫護長與管理部班表!AA16)</f>
        <v/>
      </c>
      <c r="H366" s="87">
        <f>IF($G366="","",IFERROR(IF(INDEX(設定!$D$6:$D$21,MATCH($G366,設定!$B$6:$B$21,0))=0,"",INDEX(設定!$D$6:$D$21,MATCH($G366,設定!$B$6:$B$21,0))),""))</f>
        <v/>
      </c>
      <c r="I366" s="87">
        <f>IF($G366="","",IFERROR(IF(INDEX(設定!$E$6:$E$21,MATCH($G366,設定!$B$6:$B$21,0))=0,"",INDEX(設定!$E$6:$E$21,MATCH($G366,設定!$B$6:$B$21,0))),""))</f>
        <v/>
      </c>
      <c r="J366" s="87">
        <f>IFERROR(INDEX(打卡匯入!$C$3:$C$502,MATCH($C366&amp;"|"&amp;DAY($A366),打卡匯入!$E$3:$E$502,0)),"")</f>
        <v/>
      </c>
      <c r="K366" s="87">
        <f>IFERROR(INDEX(打卡匯入!$D$3:$D$502,MATCH($C366&amp;"|"&amp;DAY($A366),打卡匯入!$E$3:$E$502,0)),"")</f>
        <v/>
      </c>
      <c r="L366" s="88">
        <f>IF(OR($J366="",$K366=""),"",IFERROR(INDEX(設定!$F$6:$F$21,MATCH($G366,設定!$B$6:$B$21,0)),0))</f>
        <v/>
      </c>
      <c r="M366" s="89">
        <f>IF(OR($J366="",$K366=""),"",ROUND(($K366-$J366)*24-$L366/60,2))</f>
        <v/>
      </c>
      <c r="N366" s="16">
        <f>IF($C366="","",IF(AND(COUNTIF(設定!$B$15:$B$21,$G366)&gt;0,$J366&lt;&gt;""),"假日出勤",IF(AND(COUNTIF(設定!$B$6:$B$14,$G366)&gt;0,$J366=""),"未打卡",IF($J366="","",IF($O366&gt;0,"遲到",IF($P366&gt;0,"早退","正常"))))))</f>
        <v/>
      </c>
      <c r="O366" s="88">
        <f>IF(OR($C366="",$H366="",$J366=""),0,IF(ROUND(($J366-$H366)*1440,0)&gt;設定!$C$48,ROUND(($J366-$H366)*1440,0),0))</f>
        <v/>
      </c>
      <c r="P366" s="88">
        <f>IF(OR($C366="",$I366="",$K366=""),0,IF(ROUND(($I366-$K366)*1440,0)&gt;設定!$C$48,ROUND(($I366-$K366)*1440,0),0))</f>
        <v/>
      </c>
      <c r="Q366" s="89">
        <f>IF($M366="",0,IF(($M366-IFERROR(INDEX(設定!$G$6:$G$21,MATCH($G366,設定!$B$6:$B$21,0)),0))*60&gt;=設定!$C$46,ROUND(FLOOR(($M366-IFERROR(INDEX(設定!$G$6:$G$21,MATCH($G366,設定!$B$6:$B$21,0)),0))*60,設定!$C$47)/60,2),0))</f>
        <v/>
      </c>
      <c r="R366" s="16">
        <f>IF(OR($C366="",$Q366=0),"",IF($G366="國","國定假日",IF($B366="日","例假",IF($B366="六","休息日","平日"))))</f>
        <v/>
      </c>
      <c r="S366" s="18" t="n"/>
    </row>
    <row r="367">
      <c r="A367" s="86">
        <f>IF(OR(醫護長與管理部班表!$A16="",24&gt;DAY(EOMONTH(DATE(設定!$C$2,設定!$D$2,1),0))),"",DATE(設定!$C$2,設定!$D$2,24))</f>
        <v/>
      </c>
      <c r="B367" s="16">
        <f>IF($A367="","",INDEX(設定!$O$6:$O$12,WEEKDAY($A367,1)))</f>
        <v/>
      </c>
      <c r="C367" s="16">
        <f>IF($A367="","",醫護長與管理部班表!$A16)</f>
        <v/>
      </c>
      <c r="D367" s="16">
        <f>IF($C367="","",醫護長與管理部班表!$B16)</f>
        <v/>
      </c>
      <c r="E367" s="16">
        <f>IF($C367="","",醫護長與管理部班表!$D16)</f>
        <v/>
      </c>
      <c r="F367" s="16">
        <f>IF($C367="","",醫護長與管理部班表!$C16)</f>
        <v/>
      </c>
      <c r="G367" s="16">
        <f>IF($C367="","",醫護長與管理部班表!AB16)</f>
        <v/>
      </c>
      <c r="H367" s="87">
        <f>IF($G367="","",IFERROR(IF(INDEX(設定!$D$6:$D$21,MATCH($G367,設定!$B$6:$B$21,0))=0,"",INDEX(設定!$D$6:$D$21,MATCH($G367,設定!$B$6:$B$21,0))),""))</f>
        <v/>
      </c>
      <c r="I367" s="87">
        <f>IF($G367="","",IFERROR(IF(INDEX(設定!$E$6:$E$21,MATCH($G367,設定!$B$6:$B$21,0))=0,"",INDEX(設定!$E$6:$E$21,MATCH($G367,設定!$B$6:$B$21,0))),""))</f>
        <v/>
      </c>
      <c r="J367" s="87">
        <f>IFERROR(INDEX(打卡匯入!$C$3:$C$502,MATCH($C367&amp;"|"&amp;DAY($A367),打卡匯入!$E$3:$E$502,0)),"")</f>
        <v/>
      </c>
      <c r="K367" s="87">
        <f>IFERROR(INDEX(打卡匯入!$D$3:$D$502,MATCH($C367&amp;"|"&amp;DAY($A367),打卡匯入!$E$3:$E$502,0)),"")</f>
        <v/>
      </c>
      <c r="L367" s="88">
        <f>IF(OR($J367="",$K367=""),"",IFERROR(INDEX(設定!$F$6:$F$21,MATCH($G367,設定!$B$6:$B$21,0)),0))</f>
        <v/>
      </c>
      <c r="M367" s="89">
        <f>IF(OR($J367="",$K367=""),"",ROUND(($K367-$J367)*24-$L367/60,2))</f>
        <v/>
      </c>
      <c r="N367" s="16">
        <f>IF($C367="","",IF(AND(COUNTIF(設定!$B$15:$B$21,$G367)&gt;0,$J367&lt;&gt;""),"假日出勤",IF(AND(COUNTIF(設定!$B$6:$B$14,$G367)&gt;0,$J367=""),"未打卡",IF($J367="","",IF($O367&gt;0,"遲到",IF($P367&gt;0,"早退","正常"))))))</f>
        <v/>
      </c>
      <c r="O367" s="88">
        <f>IF(OR($C367="",$H367="",$J367=""),0,IF(ROUND(($J367-$H367)*1440,0)&gt;設定!$C$48,ROUND(($J367-$H367)*1440,0),0))</f>
        <v/>
      </c>
      <c r="P367" s="88">
        <f>IF(OR($C367="",$I367="",$K367=""),0,IF(ROUND(($I367-$K367)*1440,0)&gt;設定!$C$48,ROUND(($I367-$K367)*1440,0),0))</f>
        <v/>
      </c>
      <c r="Q367" s="89">
        <f>IF($M367="",0,IF(($M367-IFERROR(INDEX(設定!$G$6:$G$21,MATCH($G367,設定!$B$6:$B$21,0)),0))*60&gt;=設定!$C$46,ROUND(FLOOR(($M367-IFERROR(INDEX(設定!$G$6:$G$21,MATCH($G367,設定!$B$6:$B$21,0)),0))*60,設定!$C$47)/60,2),0))</f>
        <v/>
      </c>
      <c r="R367" s="16">
        <f>IF(OR($C367="",$Q367=0),"",IF($G367="國","國定假日",IF($B367="日","例假",IF($B367="六","休息日","平日"))))</f>
        <v/>
      </c>
      <c r="S367" s="18" t="n"/>
    </row>
    <row r="368">
      <c r="A368" s="86">
        <f>IF(OR(醫護長與管理部班表!$A16="",25&gt;DAY(EOMONTH(DATE(設定!$C$2,設定!$D$2,1),0))),"",DATE(設定!$C$2,設定!$D$2,25))</f>
        <v/>
      </c>
      <c r="B368" s="16">
        <f>IF($A368="","",INDEX(設定!$O$6:$O$12,WEEKDAY($A368,1)))</f>
        <v/>
      </c>
      <c r="C368" s="16">
        <f>IF($A368="","",醫護長與管理部班表!$A16)</f>
        <v/>
      </c>
      <c r="D368" s="16">
        <f>IF($C368="","",醫護長與管理部班表!$B16)</f>
        <v/>
      </c>
      <c r="E368" s="16">
        <f>IF($C368="","",醫護長與管理部班表!$D16)</f>
        <v/>
      </c>
      <c r="F368" s="16">
        <f>IF($C368="","",醫護長與管理部班表!$C16)</f>
        <v/>
      </c>
      <c r="G368" s="16">
        <f>IF($C368="","",醫護長與管理部班表!AC16)</f>
        <v/>
      </c>
      <c r="H368" s="87">
        <f>IF($G368="","",IFERROR(IF(INDEX(設定!$D$6:$D$21,MATCH($G368,設定!$B$6:$B$21,0))=0,"",INDEX(設定!$D$6:$D$21,MATCH($G368,設定!$B$6:$B$21,0))),""))</f>
        <v/>
      </c>
      <c r="I368" s="87">
        <f>IF($G368="","",IFERROR(IF(INDEX(設定!$E$6:$E$21,MATCH($G368,設定!$B$6:$B$21,0))=0,"",INDEX(設定!$E$6:$E$21,MATCH($G368,設定!$B$6:$B$21,0))),""))</f>
        <v/>
      </c>
      <c r="J368" s="87">
        <f>IFERROR(INDEX(打卡匯入!$C$3:$C$502,MATCH($C368&amp;"|"&amp;DAY($A368),打卡匯入!$E$3:$E$502,0)),"")</f>
        <v/>
      </c>
      <c r="K368" s="87">
        <f>IFERROR(INDEX(打卡匯入!$D$3:$D$502,MATCH($C368&amp;"|"&amp;DAY($A368),打卡匯入!$E$3:$E$502,0)),"")</f>
        <v/>
      </c>
      <c r="L368" s="88">
        <f>IF(OR($J368="",$K368=""),"",IFERROR(INDEX(設定!$F$6:$F$21,MATCH($G368,設定!$B$6:$B$21,0)),0))</f>
        <v/>
      </c>
      <c r="M368" s="89">
        <f>IF(OR($J368="",$K368=""),"",ROUND(($K368-$J368)*24-$L368/60,2))</f>
        <v/>
      </c>
      <c r="N368" s="16">
        <f>IF($C368="","",IF(AND(COUNTIF(設定!$B$15:$B$21,$G368)&gt;0,$J368&lt;&gt;""),"假日出勤",IF(AND(COUNTIF(設定!$B$6:$B$14,$G368)&gt;0,$J368=""),"未打卡",IF($J368="","",IF($O368&gt;0,"遲到",IF($P368&gt;0,"早退","正常"))))))</f>
        <v/>
      </c>
      <c r="O368" s="88">
        <f>IF(OR($C368="",$H368="",$J368=""),0,IF(ROUND(($J368-$H368)*1440,0)&gt;設定!$C$48,ROUND(($J368-$H368)*1440,0),0))</f>
        <v/>
      </c>
      <c r="P368" s="88">
        <f>IF(OR($C368="",$I368="",$K368=""),0,IF(ROUND(($I368-$K368)*1440,0)&gt;設定!$C$48,ROUND(($I368-$K368)*1440,0),0))</f>
        <v/>
      </c>
      <c r="Q368" s="89">
        <f>IF($M368="",0,IF(($M368-IFERROR(INDEX(設定!$G$6:$G$21,MATCH($G368,設定!$B$6:$B$21,0)),0))*60&gt;=設定!$C$46,ROUND(FLOOR(($M368-IFERROR(INDEX(設定!$G$6:$G$21,MATCH($G368,設定!$B$6:$B$21,0)),0))*60,設定!$C$47)/60,2),0))</f>
        <v/>
      </c>
      <c r="R368" s="16">
        <f>IF(OR($C368="",$Q368=0),"",IF($G368="國","國定假日",IF($B368="日","例假",IF($B368="六","休息日","平日"))))</f>
        <v/>
      </c>
      <c r="S368" s="18" t="n"/>
    </row>
    <row r="369">
      <c r="A369" s="86">
        <f>IF(OR(醫護長與管理部班表!$A16="",26&gt;DAY(EOMONTH(DATE(設定!$C$2,設定!$D$2,1),0))),"",DATE(設定!$C$2,設定!$D$2,26))</f>
        <v/>
      </c>
      <c r="B369" s="16">
        <f>IF($A369="","",INDEX(設定!$O$6:$O$12,WEEKDAY($A369,1)))</f>
        <v/>
      </c>
      <c r="C369" s="16">
        <f>IF($A369="","",醫護長與管理部班表!$A16)</f>
        <v/>
      </c>
      <c r="D369" s="16">
        <f>IF($C369="","",醫護長與管理部班表!$B16)</f>
        <v/>
      </c>
      <c r="E369" s="16">
        <f>IF($C369="","",醫護長與管理部班表!$D16)</f>
        <v/>
      </c>
      <c r="F369" s="16">
        <f>IF($C369="","",醫護長與管理部班表!$C16)</f>
        <v/>
      </c>
      <c r="G369" s="16">
        <f>IF($C369="","",醫護長與管理部班表!AD16)</f>
        <v/>
      </c>
      <c r="H369" s="87">
        <f>IF($G369="","",IFERROR(IF(INDEX(設定!$D$6:$D$21,MATCH($G369,設定!$B$6:$B$21,0))=0,"",INDEX(設定!$D$6:$D$21,MATCH($G369,設定!$B$6:$B$21,0))),""))</f>
        <v/>
      </c>
      <c r="I369" s="87">
        <f>IF($G369="","",IFERROR(IF(INDEX(設定!$E$6:$E$21,MATCH($G369,設定!$B$6:$B$21,0))=0,"",INDEX(設定!$E$6:$E$21,MATCH($G369,設定!$B$6:$B$21,0))),""))</f>
        <v/>
      </c>
      <c r="J369" s="87">
        <f>IFERROR(INDEX(打卡匯入!$C$3:$C$502,MATCH($C369&amp;"|"&amp;DAY($A369),打卡匯入!$E$3:$E$502,0)),"")</f>
        <v/>
      </c>
      <c r="K369" s="87">
        <f>IFERROR(INDEX(打卡匯入!$D$3:$D$502,MATCH($C369&amp;"|"&amp;DAY($A369),打卡匯入!$E$3:$E$502,0)),"")</f>
        <v/>
      </c>
      <c r="L369" s="88">
        <f>IF(OR($J369="",$K369=""),"",IFERROR(INDEX(設定!$F$6:$F$21,MATCH($G369,設定!$B$6:$B$21,0)),0))</f>
        <v/>
      </c>
      <c r="M369" s="89">
        <f>IF(OR($J369="",$K369=""),"",ROUND(($K369-$J369)*24-$L369/60,2))</f>
        <v/>
      </c>
      <c r="N369" s="16">
        <f>IF($C369="","",IF(AND(COUNTIF(設定!$B$15:$B$21,$G369)&gt;0,$J369&lt;&gt;""),"假日出勤",IF(AND(COUNTIF(設定!$B$6:$B$14,$G369)&gt;0,$J369=""),"未打卡",IF($J369="","",IF($O369&gt;0,"遲到",IF($P369&gt;0,"早退","正常"))))))</f>
        <v/>
      </c>
      <c r="O369" s="88">
        <f>IF(OR($C369="",$H369="",$J369=""),0,IF(ROUND(($J369-$H369)*1440,0)&gt;設定!$C$48,ROUND(($J369-$H369)*1440,0),0))</f>
        <v/>
      </c>
      <c r="P369" s="88">
        <f>IF(OR($C369="",$I369="",$K369=""),0,IF(ROUND(($I369-$K369)*1440,0)&gt;設定!$C$48,ROUND(($I369-$K369)*1440,0),0))</f>
        <v/>
      </c>
      <c r="Q369" s="89">
        <f>IF($M369="",0,IF(($M369-IFERROR(INDEX(設定!$G$6:$G$21,MATCH($G369,設定!$B$6:$B$21,0)),0))*60&gt;=設定!$C$46,ROUND(FLOOR(($M369-IFERROR(INDEX(設定!$G$6:$G$21,MATCH($G369,設定!$B$6:$B$21,0)),0))*60,設定!$C$47)/60,2),0))</f>
        <v/>
      </c>
      <c r="R369" s="16">
        <f>IF(OR($C369="",$Q369=0),"",IF($G369="國","國定假日",IF($B369="日","例假",IF($B369="六","休息日","平日"))))</f>
        <v/>
      </c>
      <c r="S369" s="18" t="n"/>
    </row>
    <row r="370">
      <c r="A370" s="86">
        <f>IF(OR(醫護長與管理部班表!$A16="",27&gt;DAY(EOMONTH(DATE(設定!$C$2,設定!$D$2,1),0))),"",DATE(設定!$C$2,設定!$D$2,27))</f>
        <v/>
      </c>
      <c r="B370" s="16">
        <f>IF($A370="","",INDEX(設定!$O$6:$O$12,WEEKDAY($A370,1)))</f>
        <v/>
      </c>
      <c r="C370" s="16">
        <f>IF($A370="","",醫護長與管理部班表!$A16)</f>
        <v/>
      </c>
      <c r="D370" s="16">
        <f>IF($C370="","",醫護長與管理部班表!$B16)</f>
        <v/>
      </c>
      <c r="E370" s="16">
        <f>IF($C370="","",醫護長與管理部班表!$D16)</f>
        <v/>
      </c>
      <c r="F370" s="16">
        <f>IF($C370="","",醫護長與管理部班表!$C16)</f>
        <v/>
      </c>
      <c r="G370" s="16">
        <f>IF($C370="","",醫護長與管理部班表!AE16)</f>
        <v/>
      </c>
      <c r="H370" s="87">
        <f>IF($G370="","",IFERROR(IF(INDEX(設定!$D$6:$D$21,MATCH($G370,設定!$B$6:$B$21,0))=0,"",INDEX(設定!$D$6:$D$21,MATCH($G370,設定!$B$6:$B$21,0))),""))</f>
        <v/>
      </c>
      <c r="I370" s="87">
        <f>IF($G370="","",IFERROR(IF(INDEX(設定!$E$6:$E$21,MATCH($G370,設定!$B$6:$B$21,0))=0,"",INDEX(設定!$E$6:$E$21,MATCH($G370,設定!$B$6:$B$21,0))),""))</f>
        <v/>
      </c>
      <c r="J370" s="87">
        <f>IFERROR(INDEX(打卡匯入!$C$3:$C$502,MATCH($C370&amp;"|"&amp;DAY($A370),打卡匯入!$E$3:$E$502,0)),"")</f>
        <v/>
      </c>
      <c r="K370" s="87">
        <f>IFERROR(INDEX(打卡匯入!$D$3:$D$502,MATCH($C370&amp;"|"&amp;DAY($A370),打卡匯入!$E$3:$E$502,0)),"")</f>
        <v/>
      </c>
      <c r="L370" s="88">
        <f>IF(OR($J370="",$K370=""),"",IFERROR(INDEX(設定!$F$6:$F$21,MATCH($G370,設定!$B$6:$B$21,0)),0))</f>
        <v/>
      </c>
      <c r="M370" s="89">
        <f>IF(OR($J370="",$K370=""),"",ROUND(($K370-$J370)*24-$L370/60,2))</f>
        <v/>
      </c>
      <c r="N370" s="16">
        <f>IF($C370="","",IF(AND(COUNTIF(設定!$B$15:$B$21,$G370)&gt;0,$J370&lt;&gt;""),"假日出勤",IF(AND(COUNTIF(設定!$B$6:$B$14,$G370)&gt;0,$J370=""),"未打卡",IF($J370="","",IF($O370&gt;0,"遲到",IF($P370&gt;0,"早退","正常"))))))</f>
        <v/>
      </c>
      <c r="O370" s="88">
        <f>IF(OR($C370="",$H370="",$J370=""),0,IF(ROUND(($J370-$H370)*1440,0)&gt;設定!$C$48,ROUND(($J370-$H370)*1440,0),0))</f>
        <v/>
      </c>
      <c r="P370" s="88">
        <f>IF(OR($C370="",$I370="",$K370=""),0,IF(ROUND(($I370-$K370)*1440,0)&gt;設定!$C$48,ROUND(($I370-$K370)*1440,0),0))</f>
        <v/>
      </c>
      <c r="Q370" s="89">
        <f>IF($M370="",0,IF(($M370-IFERROR(INDEX(設定!$G$6:$G$21,MATCH($G370,設定!$B$6:$B$21,0)),0))*60&gt;=設定!$C$46,ROUND(FLOOR(($M370-IFERROR(INDEX(設定!$G$6:$G$21,MATCH($G370,設定!$B$6:$B$21,0)),0))*60,設定!$C$47)/60,2),0))</f>
        <v/>
      </c>
      <c r="R370" s="16">
        <f>IF(OR($C370="",$Q370=0),"",IF($G370="國","國定假日",IF($B370="日","例假",IF($B370="六","休息日","平日"))))</f>
        <v/>
      </c>
      <c r="S370" s="18" t="n"/>
    </row>
    <row r="371">
      <c r="A371" s="86">
        <f>IF(OR(醫護長與管理部班表!$A16="",28&gt;DAY(EOMONTH(DATE(設定!$C$2,設定!$D$2,1),0))),"",DATE(設定!$C$2,設定!$D$2,28))</f>
        <v/>
      </c>
      <c r="B371" s="16">
        <f>IF($A371="","",INDEX(設定!$O$6:$O$12,WEEKDAY($A371,1)))</f>
        <v/>
      </c>
      <c r="C371" s="16">
        <f>IF($A371="","",醫護長與管理部班表!$A16)</f>
        <v/>
      </c>
      <c r="D371" s="16">
        <f>IF($C371="","",醫護長與管理部班表!$B16)</f>
        <v/>
      </c>
      <c r="E371" s="16">
        <f>IF($C371="","",醫護長與管理部班表!$D16)</f>
        <v/>
      </c>
      <c r="F371" s="16">
        <f>IF($C371="","",醫護長與管理部班表!$C16)</f>
        <v/>
      </c>
      <c r="G371" s="16">
        <f>IF($C371="","",醫護長與管理部班表!AF16)</f>
        <v/>
      </c>
      <c r="H371" s="87">
        <f>IF($G371="","",IFERROR(IF(INDEX(設定!$D$6:$D$21,MATCH($G371,設定!$B$6:$B$21,0))=0,"",INDEX(設定!$D$6:$D$21,MATCH($G371,設定!$B$6:$B$21,0))),""))</f>
        <v/>
      </c>
      <c r="I371" s="87">
        <f>IF($G371="","",IFERROR(IF(INDEX(設定!$E$6:$E$21,MATCH($G371,設定!$B$6:$B$21,0))=0,"",INDEX(設定!$E$6:$E$21,MATCH($G371,設定!$B$6:$B$21,0))),""))</f>
        <v/>
      </c>
      <c r="J371" s="87">
        <f>IFERROR(INDEX(打卡匯入!$C$3:$C$502,MATCH($C371&amp;"|"&amp;DAY($A371),打卡匯入!$E$3:$E$502,0)),"")</f>
        <v/>
      </c>
      <c r="K371" s="87">
        <f>IFERROR(INDEX(打卡匯入!$D$3:$D$502,MATCH($C371&amp;"|"&amp;DAY($A371),打卡匯入!$E$3:$E$502,0)),"")</f>
        <v/>
      </c>
      <c r="L371" s="88">
        <f>IF(OR($J371="",$K371=""),"",IFERROR(INDEX(設定!$F$6:$F$21,MATCH($G371,設定!$B$6:$B$21,0)),0))</f>
        <v/>
      </c>
      <c r="M371" s="89">
        <f>IF(OR($J371="",$K371=""),"",ROUND(($K371-$J371)*24-$L371/60,2))</f>
        <v/>
      </c>
      <c r="N371" s="16">
        <f>IF($C371="","",IF(AND(COUNTIF(設定!$B$15:$B$21,$G371)&gt;0,$J371&lt;&gt;""),"假日出勤",IF(AND(COUNTIF(設定!$B$6:$B$14,$G371)&gt;0,$J371=""),"未打卡",IF($J371="","",IF($O371&gt;0,"遲到",IF($P371&gt;0,"早退","正常"))))))</f>
        <v/>
      </c>
      <c r="O371" s="88">
        <f>IF(OR($C371="",$H371="",$J371=""),0,IF(ROUND(($J371-$H371)*1440,0)&gt;設定!$C$48,ROUND(($J371-$H371)*1440,0),0))</f>
        <v/>
      </c>
      <c r="P371" s="88">
        <f>IF(OR($C371="",$I371="",$K371=""),0,IF(ROUND(($I371-$K371)*1440,0)&gt;設定!$C$48,ROUND(($I371-$K371)*1440,0),0))</f>
        <v/>
      </c>
      <c r="Q371" s="89">
        <f>IF($M371="",0,IF(($M371-IFERROR(INDEX(設定!$G$6:$G$21,MATCH($G371,設定!$B$6:$B$21,0)),0))*60&gt;=設定!$C$46,ROUND(FLOOR(($M371-IFERROR(INDEX(設定!$G$6:$G$21,MATCH($G371,設定!$B$6:$B$21,0)),0))*60,設定!$C$47)/60,2),0))</f>
        <v/>
      </c>
      <c r="R371" s="16">
        <f>IF(OR($C371="",$Q371=0),"",IF($G371="國","國定假日",IF($B371="日","例假",IF($B371="六","休息日","平日"))))</f>
        <v/>
      </c>
      <c r="S371" s="18" t="n"/>
    </row>
    <row r="372">
      <c r="A372" s="86">
        <f>IF(OR(醫護長與管理部班表!$A16="",29&gt;DAY(EOMONTH(DATE(設定!$C$2,設定!$D$2,1),0))),"",DATE(設定!$C$2,設定!$D$2,29))</f>
        <v/>
      </c>
      <c r="B372" s="16">
        <f>IF($A372="","",INDEX(設定!$O$6:$O$12,WEEKDAY($A372,1)))</f>
        <v/>
      </c>
      <c r="C372" s="16">
        <f>IF($A372="","",醫護長與管理部班表!$A16)</f>
        <v/>
      </c>
      <c r="D372" s="16">
        <f>IF($C372="","",醫護長與管理部班表!$B16)</f>
        <v/>
      </c>
      <c r="E372" s="16">
        <f>IF($C372="","",醫護長與管理部班表!$D16)</f>
        <v/>
      </c>
      <c r="F372" s="16">
        <f>IF($C372="","",醫護長與管理部班表!$C16)</f>
        <v/>
      </c>
      <c r="G372" s="16">
        <f>IF($C372="","",醫護長與管理部班表!AG16)</f>
        <v/>
      </c>
      <c r="H372" s="87">
        <f>IF($G372="","",IFERROR(IF(INDEX(設定!$D$6:$D$21,MATCH($G372,設定!$B$6:$B$21,0))=0,"",INDEX(設定!$D$6:$D$21,MATCH($G372,設定!$B$6:$B$21,0))),""))</f>
        <v/>
      </c>
      <c r="I372" s="87">
        <f>IF($G372="","",IFERROR(IF(INDEX(設定!$E$6:$E$21,MATCH($G372,設定!$B$6:$B$21,0))=0,"",INDEX(設定!$E$6:$E$21,MATCH($G372,設定!$B$6:$B$21,0))),""))</f>
        <v/>
      </c>
      <c r="J372" s="87">
        <f>IFERROR(INDEX(打卡匯入!$C$3:$C$502,MATCH($C372&amp;"|"&amp;DAY($A372),打卡匯入!$E$3:$E$502,0)),"")</f>
        <v/>
      </c>
      <c r="K372" s="87">
        <f>IFERROR(INDEX(打卡匯入!$D$3:$D$502,MATCH($C372&amp;"|"&amp;DAY($A372),打卡匯入!$E$3:$E$502,0)),"")</f>
        <v/>
      </c>
      <c r="L372" s="88">
        <f>IF(OR($J372="",$K372=""),"",IFERROR(INDEX(設定!$F$6:$F$21,MATCH($G372,設定!$B$6:$B$21,0)),0))</f>
        <v/>
      </c>
      <c r="M372" s="89">
        <f>IF(OR($J372="",$K372=""),"",ROUND(($K372-$J372)*24-$L372/60,2))</f>
        <v/>
      </c>
      <c r="N372" s="16">
        <f>IF($C372="","",IF(AND(COUNTIF(設定!$B$15:$B$21,$G372)&gt;0,$J372&lt;&gt;""),"假日出勤",IF(AND(COUNTIF(設定!$B$6:$B$14,$G372)&gt;0,$J372=""),"未打卡",IF($J372="","",IF($O372&gt;0,"遲到",IF($P372&gt;0,"早退","正常"))))))</f>
        <v/>
      </c>
      <c r="O372" s="88">
        <f>IF(OR($C372="",$H372="",$J372=""),0,IF(ROUND(($J372-$H372)*1440,0)&gt;設定!$C$48,ROUND(($J372-$H372)*1440,0),0))</f>
        <v/>
      </c>
      <c r="P372" s="88">
        <f>IF(OR($C372="",$I372="",$K372=""),0,IF(ROUND(($I372-$K372)*1440,0)&gt;設定!$C$48,ROUND(($I372-$K372)*1440,0),0))</f>
        <v/>
      </c>
      <c r="Q372" s="89">
        <f>IF($M372="",0,IF(($M372-IFERROR(INDEX(設定!$G$6:$G$21,MATCH($G372,設定!$B$6:$B$21,0)),0))*60&gt;=設定!$C$46,ROUND(FLOOR(($M372-IFERROR(INDEX(設定!$G$6:$G$21,MATCH($G372,設定!$B$6:$B$21,0)),0))*60,設定!$C$47)/60,2),0))</f>
        <v/>
      </c>
      <c r="R372" s="16">
        <f>IF(OR($C372="",$Q372=0),"",IF($G372="國","國定假日",IF($B372="日","例假",IF($B372="六","休息日","平日"))))</f>
        <v/>
      </c>
      <c r="S372" s="18" t="n"/>
    </row>
    <row r="373">
      <c r="A373" s="86">
        <f>IF(OR(醫護長與管理部班表!$A16="",30&gt;DAY(EOMONTH(DATE(設定!$C$2,設定!$D$2,1),0))),"",DATE(設定!$C$2,設定!$D$2,30))</f>
        <v/>
      </c>
      <c r="B373" s="16">
        <f>IF($A373="","",INDEX(設定!$O$6:$O$12,WEEKDAY($A373,1)))</f>
        <v/>
      </c>
      <c r="C373" s="16">
        <f>IF($A373="","",醫護長與管理部班表!$A16)</f>
        <v/>
      </c>
      <c r="D373" s="16">
        <f>IF($C373="","",醫護長與管理部班表!$B16)</f>
        <v/>
      </c>
      <c r="E373" s="16">
        <f>IF($C373="","",醫護長與管理部班表!$D16)</f>
        <v/>
      </c>
      <c r="F373" s="16">
        <f>IF($C373="","",醫護長與管理部班表!$C16)</f>
        <v/>
      </c>
      <c r="G373" s="16">
        <f>IF($C373="","",醫護長與管理部班表!AH16)</f>
        <v/>
      </c>
      <c r="H373" s="87">
        <f>IF($G373="","",IFERROR(IF(INDEX(設定!$D$6:$D$21,MATCH($G373,設定!$B$6:$B$21,0))=0,"",INDEX(設定!$D$6:$D$21,MATCH($G373,設定!$B$6:$B$21,0))),""))</f>
        <v/>
      </c>
      <c r="I373" s="87">
        <f>IF($G373="","",IFERROR(IF(INDEX(設定!$E$6:$E$21,MATCH($G373,設定!$B$6:$B$21,0))=0,"",INDEX(設定!$E$6:$E$21,MATCH($G373,設定!$B$6:$B$21,0))),""))</f>
        <v/>
      </c>
      <c r="J373" s="87">
        <f>IFERROR(INDEX(打卡匯入!$C$3:$C$502,MATCH($C373&amp;"|"&amp;DAY($A373),打卡匯入!$E$3:$E$502,0)),"")</f>
        <v/>
      </c>
      <c r="K373" s="87">
        <f>IFERROR(INDEX(打卡匯入!$D$3:$D$502,MATCH($C373&amp;"|"&amp;DAY($A373),打卡匯入!$E$3:$E$502,0)),"")</f>
        <v/>
      </c>
      <c r="L373" s="88">
        <f>IF(OR($J373="",$K373=""),"",IFERROR(INDEX(設定!$F$6:$F$21,MATCH($G373,設定!$B$6:$B$21,0)),0))</f>
        <v/>
      </c>
      <c r="M373" s="89">
        <f>IF(OR($J373="",$K373=""),"",ROUND(($K373-$J373)*24-$L373/60,2))</f>
        <v/>
      </c>
      <c r="N373" s="16">
        <f>IF($C373="","",IF(AND(COUNTIF(設定!$B$15:$B$21,$G373)&gt;0,$J373&lt;&gt;""),"假日出勤",IF(AND(COUNTIF(設定!$B$6:$B$14,$G373)&gt;0,$J373=""),"未打卡",IF($J373="","",IF($O373&gt;0,"遲到",IF($P373&gt;0,"早退","正常"))))))</f>
        <v/>
      </c>
      <c r="O373" s="88">
        <f>IF(OR($C373="",$H373="",$J373=""),0,IF(ROUND(($J373-$H373)*1440,0)&gt;設定!$C$48,ROUND(($J373-$H373)*1440,0),0))</f>
        <v/>
      </c>
      <c r="P373" s="88">
        <f>IF(OR($C373="",$I373="",$K373=""),0,IF(ROUND(($I373-$K373)*1440,0)&gt;設定!$C$48,ROUND(($I373-$K373)*1440,0),0))</f>
        <v/>
      </c>
      <c r="Q373" s="89">
        <f>IF($M373="",0,IF(($M373-IFERROR(INDEX(設定!$G$6:$G$21,MATCH($G373,設定!$B$6:$B$21,0)),0))*60&gt;=設定!$C$46,ROUND(FLOOR(($M373-IFERROR(INDEX(設定!$G$6:$G$21,MATCH($G373,設定!$B$6:$B$21,0)),0))*60,設定!$C$47)/60,2),0))</f>
        <v/>
      </c>
      <c r="R373" s="16">
        <f>IF(OR($C373="",$Q373=0),"",IF($G373="國","國定假日",IF($B373="日","例假",IF($B373="六","休息日","平日"))))</f>
        <v/>
      </c>
      <c r="S373" s="18" t="n"/>
    </row>
    <row r="374">
      <c r="A374" s="86">
        <f>IF(OR(醫護長與管理部班表!$A16="",31&gt;DAY(EOMONTH(DATE(設定!$C$2,設定!$D$2,1),0))),"",DATE(設定!$C$2,設定!$D$2,31))</f>
        <v/>
      </c>
      <c r="B374" s="16">
        <f>IF($A374="","",INDEX(設定!$O$6:$O$12,WEEKDAY($A374,1)))</f>
        <v/>
      </c>
      <c r="C374" s="16">
        <f>IF($A374="","",醫護長與管理部班表!$A16)</f>
        <v/>
      </c>
      <c r="D374" s="16">
        <f>IF($C374="","",醫護長與管理部班表!$B16)</f>
        <v/>
      </c>
      <c r="E374" s="16">
        <f>IF($C374="","",醫護長與管理部班表!$D16)</f>
        <v/>
      </c>
      <c r="F374" s="16">
        <f>IF($C374="","",醫護長與管理部班表!$C16)</f>
        <v/>
      </c>
      <c r="G374" s="16">
        <f>IF($C374="","",醫護長與管理部班表!AI16)</f>
        <v/>
      </c>
      <c r="H374" s="87">
        <f>IF($G374="","",IFERROR(IF(INDEX(設定!$D$6:$D$21,MATCH($G374,設定!$B$6:$B$21,0))=0,"",INDEX(設定!$D$6:$D$21,MATCH($G374,設定!$B$6:$B$21,0))),""))</f>
        <v/>
      </c>
      <c r="I374" s="87">
        <f>IF($G374="","",IFERROR(IF(INDEX(設定!$E$6:$E$21,MATCH($G374,設定!$B$6:$B$21,0))=0,"",INDEX(設定!$E$6:$E$21,MATCH($G374,設定!$B$6:$B$21,0))),""))</f>
        <v/>
      </c>
      <c r="J374" s="87">
        <f>IFERROR(INDEX(打卡匯入!$C$3:$C$502,MATCH($C374&amp;"|"&amp;DAY($A374),打卡匯入!$E$3:$E$502,0)),"")</f>
        <v/>
      </c>
      <c r="K374" s="87">
        <f>IFERROR(INDEX(打卡匯入!$D$3:$D$502,MATCH($C374&amp;"|"&amp;DAY($A374),打卡匯入!$E$3:$E$502,0)),"")</f>
        <v/>
      </c>
      <c r="L374" s="88">
        <f>IF(OR($J374="",$K374=""),"",IFERROR(INDEX(設定!$F$6:$F$21,MATCH($G374,設定!$B$6:$B$21,0)),0))</f>
        <v/>
      </c>
      <c r="M374" s="89">
        <f>IF(OR($J374="",$K374=""),"",ROUND(($K374-$J374)*24-$L374/60,2))</f>
        <v/>
      </c>
      <c r="N374" s="16">
        <f>IF($C374="","",IF(AND(COUNTIF(設定!$B$15:$B$21,$G374)&gt;0,$J374&lt;&gt;""),"假日出勤",IF(AND(COUNTIF(設定!$B$6:$B$14,$G374)&gt;0,$J374=""),"未打卡",IF($J374="","",IF($O374&gt;0,"遲到",IF($P374&gt;0,"早退","正常"))))))</f>
        <v/>
      </c>
      <c r="O374" s="88">
        <f>IF(OR($C374="",$H374="",$J374=""),0,IF(ROUND(($J374-$H374)*1440,0)&gt;設定!$C$48,ROUND(($J374-$H374)*1440,0),0))</f>
        <v/>
      </c>
      <c r="P374" s="88">
        <f>IF(OR($C374="",$I374="",$K374=""),0,IF(ROUND(($I374-$K374)*1440,0)&gt;設定!$C$48,ROUND(($I374-$K374)*1440,0),0))</f>
        <v/>
      </c>
      <c r="Q374" s="89">
        <f>IF($M374="",0,IF(($M374-IFERROR(INDEX(設定!$G$6:$G$21,MATCH($G374,設定!$B$6:$B$21,0)),0))*60&gt;=設定!$C$46,ROUND(FLOOR(($M374-IFERROR(INDEX(設定!$G$6:$G$21,MATCH($G374,設定!$B$6:$B$21,0)),0))*60,設定!$C$47)/60,2),0))</f>
        <v/>
      </c>
      <c r="R374" s="16">
        <f>IF(OR($C374="",$Q374=0),"",IF($G374="國","國定假日",IF($B374="日","例假",IF($B374="六","休息日","平日"))))</f>
        <v/>
      </c>
      <c r="S374" s="18" t="n"/>
    </row>
  </sheetData>
  <autoFilter ref="A2:S374"/>
  <mergeCells count="1">
    <mergeCell ref="A1:S1"/>
  </mergeCells>
  <conditionalFormatting sqref="A3:S374">
    <cfRule type="expression" priority="1" dxfId="9" stopIfTrue="1">
      <formula>AND($C3&lt;&gt;"",$N3&lt;&gt;"",$N3&lt;&gt;"正常")</formula>
    </cfRule>
    <cfRule type="expression" priority="2" dxfId="11">
      <formula>AND($C3&lt;&gt;"",$Q3&gt;0)</formula>
    </cfRule>
  </conditionalFormatting>
  <conditionalFormatting sqref="N3:N374">
    <cfRule type="expression" priority="3" dxfId="8">
      <formula>AND($N3&lt;&gt;"",$N3&lt;&gt;"正常")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9" customWidth="1" min="12" max="12"/>
    <col width="9" customWidth="1" min="13" max="13"/>
    <col width="10" customWidth="1" min="14" max="14"/>
    <col width="10" customWidth="1" min="15" max="15"/>
    <col width="9" customWidth="1" min="16" max="16"/>
    <col width="9" customWidth="1" min="17" max="17"/>
    <col width="8" customWidth="1" min="18" max="18"/>
    <col width="15" customWidth="1" min="19" max="19"/>
  </cols>
  <sheetData>
    <row r="1">
      <c r="A1" s="82" t="inlineStr">
        <is>
          <t>月結統計 — 醫護長與管理部(全自動)</t>
        </is>
      </c>
    </row>
    <row r="2">
      <c r="A2" s="4" t="inlineStr">
        <is>
          <t>期間</t>
        </is>
      </c>
      <c r="B2" s="27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職類</t>
        </is>
      </c>
      <c r="D4" s="10" t="inlineStr">
        <is>
          <t>院所</t>
        </is>
      </c>
      <c r="E4" s="10" t="inlineStr">
        <is>
          <t>出勤天數</t>
        </is>
      </c>
      <c r="F4" s="10" t="inlineStr">
        <is>
          <t>排班工時</t>
        </is>
      </c>
      <c r="G4" s="10" t="inlineStr">
        <is>
          <t>排休</t>
        </is>
      </c>
      <c r="H4" s="10" t="inlineStr">
        <is>
          <t>特休</t>
        </is>
      </c>
      <c r="I4" s="10" t="inlineStr">
        <is>
          <t>病假</t>
        </is>
      </c>
      <c r="J4" s="10" t="inlineStr">
        <is>
          <t>事假</t>
        </is>
      </c>
      <c r="K4" s="10" t="inlineStr">
        <is>
          <t>公假</t>
        </is>
      </c>
      <c r="L4" s="10" t="inlineStr">
        <is>
          <t>國定假日</t>
        </is>
      </c>
      <c r="M4" s="10" t="inlineStr">
        <is>
          <t>支援他院</t>
        </is>
      </c>
      <c r="N4" s="10" t="inlineStr">
        <is>
          <t>加班時數</t>
        </is>
      </c>
      <c r="O4" s="10" t="inlineStr">
        <is>
          <t>實際工時</t>
        </is>
      </c>
      <c r="P4" s="10" t="inlineStr">
        <is>
          <t>遲到次數</t>
        </is>
      </c>
      <c r="Q4" s="10" t="inlineStr">
        <is>
          <t>早退次數</t>
        </is>
      </c>
      <c r="R4" s="10" t="inlineStr">
        <is>
          <t>未打卡</t>
        </is>
      </c>
      <c r="S4" s="10" t="inlineStr">
        <is>
          <t>排班完整度檢核</t>
        </is>
      </c>
    </row>
    <row r="5">
      <c r="A5" s="16">
        <f>IF(醫護長與管理部班表!$A5="","",醫護長與管理部班表!$A5)</f>
        <v/>
      </c>
      <c r="B5" s="16">
        <f>IF($A5="","",醫護長與管理部班表!$B5)</f>
        <v/>
      </c>
      <c r="C5" s="16">
        <f>IF($A5="","",醫護長與管理部班表!$C5)</f>
        <v/>
      </c>
      <c r="D5" s="16">
        <f>IF($A5="","",醫護長與管理部班表!$D5)</f>
        <v/>
      </c>
      <c r="E5" s="16">
        <f>IF($A5="","",SUMPRODUCT(COUNTIF(醫護長與管理部班表!$E5:$AI5,設定!$B$6:$B$21),設定!$H$6:$H$21))</f>
        <v/>
      </c>
      <c r="F5" s="90">
        <f>IF($A5="","",SUMPRODUCT(COUNTIF(醫護長與管理部班表!$E5:$AI5,設定!$B$6:$B$21),設定!$G$6:$G$21))</f>
        <v/>
      </c>
      <c r="G5" s="16">
        <f>IF($A5="","",COUNTIF(醫護長與管理部班表!$E5:$AI5,"OFF"))</f>
        <v/>
      </c>
      <c r="H5" s="16">
        <f>IF($A5="","",COUNTIF(醫護長與管理部班表!$E5:$AI5,"特"))</f>
        <v/>
      </c>
      <c r="I5" s="16">
        <f>IF($A5="","",COUNTIF(醫護長與管理部班表!$E5:$AI5,"病"))</f>
        <v/>
      </c>
      <c r="J5" s="16">
        <f>IF($A5="","",COUNTIF(醫護長與管理部班表!$E5:$AI5,"事"))</f>
        <v/>
      </c>
      <c r="K5" s="16">
        <f>IF($A5="","",COUNTIF(醫護長與管理部班表!$E5:$AI5,"公"))</f>
        <v/>
      </c>
      <c r="L5" s="16">
        <f>IF($A5="","",COUNTIF(醫護長與管理部班表!$E5:$AI5,"國"))</f>
        <v/>
      </c>
      <c r="M5" s="16">
        <f>IF($A5="","",COUNTIF(醫護長與管理部班表!$E5:$AI5,"支"))</f>
        <v/>
      </c>
      <c r="N5" s="90">
        <f>IF($A5="","",SUMIF(出勤紀錄!$C$3:$C$374,$A5,出勤紀錄!$Q$3:$Q$374))</f>
        <v/>
      </c>
      <c r="O5" s="90">
        <f>IF($A5="","",$F5+$N5)</f>
        <v/>
      </c>
      <c r="P5" s="16">
        <f>IF($A5="","",COUNTIFS(出勤紀錄!$C$3:$C$374,$A5,出勤紀錄!$N$3:$N$374,"遲到"))</f>
        <v/>
      </c>
      <c r="Q5" s="16">
        <f>IF($A5="","",COUNTIFS(出勤紀錄!$C$3:$C$374,$A5,出勤紀錄!$N$3:$N$374,"早退"))</f>
        <v/>
      </c>
      <c r="R5" s="16">
        <f>IF($A5="","",COUNTIFS(出勤紀錄!$C$3:$C$374,$A5,出勤紀錄!$N$3:$N$374,"未打卡"))</f>
        <v/>
      </c>
      <c r="S5" s="16">
        <f>IF($A5="","",IF(COUNTA(醫護長與管理部班表!$E5:$AI5)=DAY(EOMONTH(DATE(設定!$C$2,設定!$D$2,1),0)),"OK","⚠ 缺"&amp;(DAY(EOMONTH(DATE(設定!$C$2,設定!$D$2,1),0))-COUNTA(醫護長與管理部班表!$E5:$AI5))&amp;"天"))</f>
        <v/>
      </c>
    </row>
    <row r="6">
      <c r="A6" s="16">
        <f>IF(醫護長與管理部班表!$A6="","",醫護長與管理部班表!$A6)</f>
        <v/>
      </c>
      <c r="B6" s="16">
        <f>IF($A6="","",醫護長與管理部班表!$B6)</f>
        <v/>
      </c>
      <c r="C6" s="16">
        <f>IF($A6="","",醫護長與管理部班表!$C6)</f>
        <v/>
      </c>
      <c r="D6" s="16">
        <f>IF($A6="","",醫護長與管理部班表!$D6)</f>
        <v/>
      </c>
      <c r="E6" s="16">
        <f>IF($A6="","",SUMPRODUCT(COUNTIF(醫護長與管理部班表!$E6:$AI6,設定!$B$6:$B$21),設定!$H$6:$H$21))</f>
        <v/>
      </c>
      <c r="F6" s="90">
        <f>IF($A6="","",SUMPRODUCT(COUNTIF(醫護長與管理部班表!$E6:$AI6,設定!$B$6:$B$21),設定!$G$6:$G$21))</f>
        <v/>
      </c>
      <c r="G6" s="16">
        <f>IF($A6="","",COUNTIF(醫護長與管理部班表!$E6:$AI6,"OFF"))</f>
        <v/>
      </c>
      <c r="H6" s="16">
        <f>IF($A6="","",COUNTIF(醫護長與管理部班表!$E6:$AI6,"特"))</f>
        <v/>
      </c>
      <c r="I6" s="16">
        <f>IF($A6="","",COUNTIF(醫護長與管理部班表!$E6:$AI6,"病"))</f>
        <v/>
      </c>
      <c r="J6" s="16">
        <f>IF($A6="","",COUNTIF(醫護長與管理部班表!$E6:$AI6,"事"))</f>
        <v/>
      </c>
      <c r="K6" s="16">
        <f>IF($A6="","",COUNTIF(醫護長與管理部班表!$E6:$AI6,"公"))</f>
        <v/>
      </c>
      <c r="L6" s="16">
        <f>IF($A6="","",COUNTIF(醫護長與管理部班表!$E6:$AI6,"國"))</f>
        <v/>
      </c>
      <c r="M6" s="16">
        <f>IF($A6="","",COUNTIF(醫護長與管理部班表!$E6:$AI6,"支"))</f>
        <v/>
      </c>
      <c r="N6" s="90">
        <f>IF($A6="","",SUMIF(出勤紀錄!$C$3:$C$374,$A6,出勤紀錄!$Q$3:$Q$374))</f>
        <v/>
      </c>
      <c r="O6" s="90">
        <f>IF($A6="","",$F6+$N6)</f>
        <v/>
      </c>
      <c r="P6" s="16">
        <f>IF($A6="","",COUNTIFS(出勤紀錄!$C$3:$C$374,$A6,出勤紀錄!$N$3:$N$374,"遲到"))</f>
        <v/>
      </c>
      <c r="Q6" s="16">
        <f>IF($A6="","",COUNTIFS(出勤紀錄!$C$3:$C$374,$A6,出勤紀錄!$N$3:$N$374,"早退"))</f>
        <v/>
      </c>
      <c r="R6" s="16">
        <f>IF($A6="","",COUNTIFS(出勤紀錄!$C$3:$C$374,$A6,出勤紀錄!$N$3:$N$374,"未打卡"))</f>
        <v/>
      </c>
      <c r="S6" s="16">
        <f>IF($A6="","",IF(COUNTA(醫護長與管理部班表!$E6:$AI6)=DAY(EOMONTH(DATE(設定!$C$2,設定!$D$2,1),0)),"OK","⚠ 缺"&amp;(DAY(EOMONTH(DATE(設定!$C$2,設定!$D$2,1),0))-COUNTA(醫護長與管理部班表!$E6:$AI6))&amp;"天"))</f>
        <v/>
      </c>
    </row>
    <row r="7">
      <c r="A7" s="16">
        <f>IF(醫護長與管理部班表!$A7="","",醫護長與管理部班表!$A7)</f>
        <v/>
      </c>
      <c r="B7" s="16">
        <f>IF($A7="","",醫護長與管理部班表!$B7)</f>
        <v/>
      </c>
      <c r="C7" s="16">
        <f>IF($A7="","",醫護長與管理部班表!$C7)</f>
        <v/>
      </c>
      <c r="D7" s="16">
        <f>IF($A7="","",醫護長與管理部班表!$D7)</f>
        <v/>
      </c>
      <c r="E7" s="16">
        <f>IF($A7="","",SUMPRODUCT(COUNTIF(醫護長與管理部班表!$E7:$AI7,設定!$B$6:$B$21),設定!$H$6:$H$21))</f>
        <v/>
      </c>
      <c r="F7" s="90">
        <f>IF($A7="","",SUMPRODUCT(COUNTIF(醫護長與管理部班表!$E7:$AI7,設定!$B$6:$B$21),設定!$G$6:$G$21))</f>
        <v/>
      </c>
      <c r="G7" s="16">
        <f>IF($A7="","",COUNTIF(醫護長與管理部班表!$E7:$AI7,"OFF"))</f>
        <v/>
      </c>
      <c r="H7" s="16">
        <f>IF($A7="","",COUNTIF(醫護長與管理部班表!$E7:$AI7,"特"))</f>
        <v/>
      </c>
      <c r="I7" s="16">
        <f>IF($A7="","",COUNTIF(醫護長與管理部班表!$E7:$AI7,"病"))</f>
        <v/>
      </c>
      <c r="J7" s="16">
        <f>IF($A7="","",COUNTIF(醫護長與管理部班表!$E7:$AI7,"事"))</f>
        <v/>
      </c>
      <c r="K7" s="16">
        <f>IF($A7="","",COUNTIF(醫護長與管理部班表!$E7:$AI7,"公"))</f>
        <v/>
      </c>
      <c r="L7" s="16">
        <f>IF($A7="","",COUNTIF(醫護長與管理部班表!$E7:$AI7,"國"))</f>
        <v/>
      </c>
      <c r="M7" s="16">
        <f>IF($A7="","",COUNTIF(醫護長與管理部班表!$E7:$AI7,"支"))</f>
        <v/>
      </c>
      <c r="N7" s="90">
        <f>IF($A7="","",SUMIF(出勤紀錄!$C$3:$C$374,$A7,出勤紀錄!$Q$3:$Q$374))</f>
        <v/>
      </c>
      <c r="O7" s="90">
        <f>IF($A7="","",$F7+$N7)</f>
        <v/>
      </c>
      <c r="P7" s="16">
        <f>IF($A7="","",COUNTIFS(出勤紀錄!$C$3:$C$374,$A7,出勤紀錄!$N$3:$N$374,"遲到"))</f>
        <v/>
      </c>
      <c r="Q7" s="16">
        <f>IF($A7="","",COUNTIFS(出勤紀錄!$C$3:$C$374,$A7,出勤紀錄!$N$3:$N$374,"早退"))</f>
        <v/>
      </c>
      <c r="R7" s="16">
        <f>IF($A7="","",COUNTIFS(出勤紀錄!$C$3:$C$374,$A7,出勤紀錄!$N$3:$N$374,"未打卡"))</f>
        <v/>
      </c>
      <c r="S7" s="16">
        <f>IF($A7="","",IF(COUNTA(醫護長與管理部班表!$E7:$AI7)=DAY(EOMONTH(DATE(設定!$C$2,設定!$D$2,1),0)),"OK","⚠ 缺"&amp;(DAY(EOMONTH(DATE(設定!$C$2,設定!$D$2,1),0))-COUNTA(醫護長與管理部班表!$E7:$AI7))&amp;"天"))</f>
        <v/>
      </c>
    </row>
    <row r="8">
      <c r="A8" s="16">
        <f>IF(醫護長與管理部班表!$A8="","",醫護長與管理部班表!$A8)</f>
        <v/>
      </c>
      <c r="B8" s="16">
        <f>IF($A8="","",醫護長與管理部班表!$B8)</f>
        <v/>
      </c>
      <c r="C8" s="16">
        <f>IF($A8="","",醫護長與管理部班表!$C8)</f>
        <v/>
      </c>
      <c r="D8" s="16">
        <f>IF($A8="","",醫護長與管理部班表!$D8)</f>
        <v/>
      </c>
      <c r="E8" s="16">
        <f>IF($A8="","",SUMPRODUCT(COUNTIF(醫護長與管理部班表!$E8:$AI8,設定!$B$6:$B$21),設定!$H$6:$H$21))</f>
        <v/>
      </c>
      <c r="F8" s="90">
        <f>IF($A8="","",SUMPRODUCT(COUNTIF(醫護長與管理部班表!$E8:$AI8,設定!$B$6:$B$21),設定!$G$6:$G$21))</f>
        <v/>
      </c>
      <c r="G8" s="16">
        <f>IF($A8="","",COUNTIF(醫護長與管理部班表!$E8:$AI8,"OFF"))</f>
        <v/>
      </c>
      <c r="H8" s="16">
        <f>IF($A8="","",COUNTIF(醫護長與管理部班表!$E8:$AI8,"特"))</f>
        <v/>
      </c>
      <c r="I8" s="16">
        <f>IF($A8="","",COUNTIF(醫護長與管理部班表!$E8:$AI8,"病"))</f>
        <v/>
      </c>
      <c r="J8" s="16">
        <f>IF($A8="","",COUNTIF(醫護長與管理部班表!$E8:$AI8,"事"))</f>
        <v/>
      </c>
      <c r="K8" s="16">
        <f>IF($A8="","",COUNTIF(醫護長與管理部班表!$E8:$AI8,"公"))</f>
        <v/>
      </c>
      <c r="L8" s="16">
        <f>IF($A8="","",COUNTIF(醫護長與管理部班表!$E8:$AI8,"國"))</f>
        <v/>
      </c>
      <c r="M8" s="16">
        <f>IF($A8="","",COUNTIF(醫護長與管理部班表!$E8:$AI8,"支"))</f>
        <v/>
      </c>
      <c r="N8" s="90">
        <f>IF($A8="","",SUMIF(出勤紀錄!$C$3:$C$374,$A8,出勤紀錄!$Q$3:$Q$374))</f>
        <v/>
      </c>
      <c r="O8" s="90">
        <f>IF($A8="","",$F8+$N8)</f>
        <v/>
      </c>
      <c r="P8" s="16">
        <f>IF($A8="","",COUNTIFS(出勤紀錄!$C$3:$C$374,$A8,出勤紀錄!$N$3:$N$374,"遲到"))</f>
        <v/>
      </c>
      <c r="Q8" s="16">
        <f>IF($A8="","",COUNTIFS(出勤紀錄!$C$3:$C$374,$A8,出勤紀錄!$N$3:$N$374,"早退"))</f>
        <v/>
      </c>
      <c r="R8" s="16">
        <f>IF($A8="","",COUNTIFS(出勤紀錄!$C$3:$C$374,$A8,出勤紀錄!$N$3:$N$374,"未打卡"))</f>
        <v/>
      </c>
      <c r="S8" s="16">
        <f>IF($A8="","",IF(COUNTA(醫護長與管理部班表!$E8:$AI8)=DAY(EOMONTH(DATE(設定!$C$2,設定!$D$2,1),0)),"OK","⚠ 缺"&amp;(DAY(EOMONTH(DATE(設定!$C$2,設定!$D$2,1),0))-COUNTA(醫護長與管理部班表!$E8:$AI8))&amp;"天"))</f>
        <v/>
      </c>
    </row>
    <row r="9">
      <c r="A9" s="16">
        <f>IF(醫護長與管理部班表!$A9="","",醫護長與管理部班表!$A9)</f>
        <v/>
      </c>
      <c r="B9" s="16">
        <f>IF($A9="","",醫護長與管理部班表!$B9)</f>
        <v/>
      </c>
      <c r="C9" s="16">
        <f>IF($A9="","",醫護長與管理部班表!$C9)</f>
        <v/>
      </c>
      <c r="D9" s="16">
        <f>IF($A9="","",醫護長與管理部班表!$D9)</f>
        <v/>
      </c>
      <c r="E9" s="16">
        <f>IF($A9="","",SUMPRODUCT(COUNTIF(醫護長與管理部班表!$E9:$AI9,設定!$B$6:$B$21),設定!$H$6:$H$21))</f>
        <v/>
      </c>
      <c r="F9" s="90">
        <f>IF($A9="","",SUMPRODUCT(COUNTIF(醫護長與管理部班表!$E9:$AI9,設定!$B$6:$B$21),設定!$G$6:$G$21))</f>
        <v/>
      </c>
      <c r="G9" s="16">
        <f>IF($A9="","",COUNTIF(醫護長與管理部班表!$E9:$AI9,"OFF"))</f>
        <v/>
      </c>
      <c r="H9" s="16">
        <f>IF($A9="","",COUNTIF(醫護長與管理部班表!$E9:$AI9,"特"))</f>
        <v/>
      </c>
      <c r="I9" s="16">
        <f>IF($A9="","",COUNTIF(醫護長與管理部班表!$E9:$AI9,"病"))</f>
        <v/>
      </c>
      <c r="J9" s="16">
        <f>IF($A9="","",COUNTIF(醫護長與管理部班表!$E9:$AI9,"事"))</f>
        <v/>
      </c>
      <c r="K9" s="16">
        <f>IF($A9="","",COUNTIF(醫護長與管理部班表!$E9:$AI9,"公"))</f>
        <v/>
      </c>
      <c r="L9" s="16">
        <f>IF($A9="","",COUNTIF(醫護長與管理部班表!$E9:$AI9,"國"))</f>
        <v/>
      </c>
      <c r="M9" s="16">
        <f>IF($A9="","",COUNTIF(醫護長與管理部班表!$E9:$AI9,"支"))</f>
        <v/>
      </c>
      <c r="N9" s="90">
        <f>IF($A9="","",SUMIF(出勤紀錄!$C$3:$C$374,$A9,出勤紀錄!$Q$3:$Q$374))</f>
        <v/>
      </c>
      <c r="O9" s="90">
        <f>IF($A9="","",$F9+$N9)</f>
        <v/>
      </c>
      <c r="P9" s="16">
        <f>IF($A9="","",COUNTIFS(出勤紀錄!$C$3:$C$374,$A9,出勤紀錄!$N$3:$N$374,"遲到"))</f>
        <v/>
      </c>
      <c r="Q9" s="16">
        <f>IF($A9="","",COUNTIFS(出勤紀錄!$C$3:$C$374,$A9,出勤紀錄!$N$3:$N$374,"早退"))</f>
        <v/>
      </c>
      <c r="R9" s="16">
        <f>IF($A9="","",COUNTIFS(出勤紀錄!$C$3:$C$374,$A9,出勤紀錄!$N$3:$N$374,"未打卡"))</f>
        <v/>
      </c>
      <c r="S9" s="16">
        <f>IF($A9="","",IF(COUNTA(醫護長與管理部班表!$E9:$AI9)=DAY(EOMONTH(DATE(設定!$C$2,設定!$D$2,1),0)),"OK","⚠ 缺"&amp;(DAY(EOMONTH(DATE(設定!$C$2,設定!$D$2,1),0))-COUNTA(醫護長與管理部班表!$E9:$AI9))&amp;"天"))</f>
        <v/>
      </c>
    </row>
    <row r="10">
      <c r="A10" s="16">
        <f>IF(醫護長與管理部班表!$A10="","",醫護長與管理部班表!$A10)</f>
        <v/>
      </c>
      <c r="B10" s="16">
        <f>IF($A10="","",醫護長與管理部班表!$B10)</f>
        <v/>
      </c>
      <c r="C10" s="16">
        <f>IF($A10="","",醫護長與管理部班表!$C10)</f>
        <v/>
      </c>
      <c r="D10" s="16">
        <f>IF($A10="","",醫護長與管理部班表!$D10)</f>
        <v/>
      </c>
      <c r="E10" s="16">
        <f>IF($A10="","",SUMPRODUCT(COUNTIF(醫護長與管理部班表!$E10:$AI10,設定!$B$6:$B$21),設定!$H$6:$H$21))</f>
        <v/>
      </c>
      <c r="F10" s="90">
        <f>IF($A10="","",SUMPRODUCT(COUNTIF(醫護長與管理部班表!$E10:$AI10,設定!$B$6:$B$21),設定!$G$6:$G$21))</f>
        <v/>
      </c>
      <c r="G10" s="16">
        <f>IF($A10="","",COUNTIF(醫護長與管理部班表!$E10:$AI10,"OFF"))</f>
        <v/>
      </c>
      <c r="H10" s="16">
        <f>IF($A10="","",COUNTIF(醫護長與管理部班表!$E10:$AI10,"特"))</f>
        <v/>
      </c>
      <c r="I10" s="16">
        <f>IF($A10="","",COUNTIF(醫護長與管理部班表!$E10:$AI10,"病"))</f>
        <v/>
      </c>
      <c r="J10" s="16">
        <f>IF($A10="","",COUNTIF(醫護長與管理部班表!$E10:$AI10,"事"))</f>
        <v/>
      </c>
      <c r="K10" s="16">
        <f>IF($A10="","",COUNTIF(醫護長與管理部班表!$E10:$AI10,"公"))</f>
        <v/>
      </c>
      <c r="L10" s="16">
        <f>IF($A10="","",COUNTIF(醫護長與管理部班表!$E10:$AI10,"國"))</f>
        <v/>
      </c>
      <c r="M10" s="16">
        <f>IF($A10="","",COUNTIF(醫護長與管理部班表!$E10:$AI10,"支"))</f>
        <v/>
      </c>
      <c r="N10" s="90">
        <f>IF($A10="","",SUMIF(出勤紀錄!$C$3:$C$374,$A10,出勤紀錄!$Q$3:$Q$374))</f>
        <v/>
      </c>
      <c r="O10" s="90">
        <f>IF($A10="","",$F10+$N10)</f>
        <v/>
      </c>
      <c r="P10" s="16">
        <f>IF($A10="","",COUNTIFS(出勤紀錄!$C$3:$C$374,$A10,出勤紀錄!$N$3:$N$374,"遲到"))</f>
        <v/>
      </c>
      <c r="Q10" s="16">
        <f>IF($A10="","",COUNTIFS(出勤紀錄!$C$3:$C$374,$A10,出勤紀錄!$N$3:$N$374,"早退"))</f>
        <v/>
      </c>
      <c r="R10" s="16">
        <f>IF($A10="","",COUNTIFS(出勤紀錄!$C$3:$C$374,$A10,出勤紀錄!$N$3:$N$374,"未打卡"))</f>
        <v/>
      </c>
      <c r="S10" s="16">
        <f>IF($A10="","",IF(COUNTA(醫護長與管理部班表!$E10:$AI10)=DAY(EOMONTH(DATE(設定!$C$2,設定!$D$2,1),0)),"OK","⚠ 缺"&amp;(DAY(EOMONTH(DATE(設定!$C$2,設定!$D$2,1),0))-COUNTA(醫護長與管理部班表!$E10:$AI10))&amp;"天"))</f>
        <v/>
      </c>
    </row>
    <row r="11">
      <c r="A11" s="16">
        <f>IF(醫護長與管理部班表!$A11="","",醫護長與管理部班表!$A11)</f>
        <v/>
      </c>
      <c r="B11" s="16">
        <f>IF($A11="","",醫護長與管理部班表!$B11)</f>
        <v/>
      </c>
      <c r="C11" s="16">
        <f>IF($A11="","",醫護長與管理部班表!$C11)</f>
        <v/>
      </c>
      <c r="D11" s="16">
        <f>IF($A11="","",醫護長與管理部班表!$D11)</f>
        <v/>
      </c>
      <c r="E11" s="16">
        <f>IF($A11="","",SUMPRODUCT(COUNTIF(醫護長與管理部班表!$E11:$AI11,設定!$B$6:$B$21),設定!$H$6:$H$21))</f>
        <v/>
      </c>
      <c r="F11" s="90">
        <f>IF($A11="","",SUMPRODUCT(COUNTIF(醫護長與管理部班表!$E11:$AI11,設定!$B$6:$B$21),設定!$G$6:$G$21))</f>
        <v/>
      </c>
      <c r="G11" s="16">
        <f>IF($A11="","",COUNTIF(醫護長與管理部班表!$E11:$AI11,"OFF"))</f>
        <v/>
      </c>
      <c r="H11" s="16">
        <f>IF($A11="","",COUNTIF(醫護長與管理部班表!$E11:$AI11,"特"))</f>
        <v/>
      </c>
      <c r="I11" s="16">
        <f>IF($A11="","",COUNTIF(醫護長與管理部班表!$E11:$AI11,"病"))</f>
        <v/>
      </c>
      <c r="J11" s="16">
        <f>IF($A11="","",COUNTIF(醫護長與管理部班表!$E11:$AI11,"事"))</f>
        <v/>
      </c>
      <c r="K11" s="16">
        <f>IF($A11="","",COUNTIF(醫護長與管理部班表!$E11:$AI11,"公"))</f>
        <v/>
      </c>
      <c r="L11" s="16">
        <f>IF($A11="","",COUNTIF(醫護長與管理部班表!$E11:$AI11,"國"))</f>
        <v/>
      </c>
      <c r="M11" s="16">
        <f>IF($A11="","",COUNTIF(醫護長與管理部班表!$E11:$AI11,"支"))</f>
        <v/>
      </c>
      <c r="N11" s="90">
        <f>IF($A11="","",SUMIF(出勤紀錄!$C$3:$C$374,$A11,出勤紀錄!$Q$3:$Q$374))</f>
        <v/>
      </c>
      <c r="O11" s="90">
        <f>IF($A11="","",$F11+$N11)</f>
        <v/>
      </c>
      <c r="P11" s="16">
        <f>IF($A11="","",COUNTIFS(出勤紀錄!$C$3:$C$374,$A11,出勤紀錄!$N$3:$N$374,"遲到"))</f>
        <v/>
      </c>
      <c r="Q11" s="16">
        <f>IF($A11="","",COUNTIFS(出勤紀錄!$C$3:$C$374,$A11,出勤紀錄!$N$3:$N$374,"早退"))</f>
        <v/>
      </c>
      <c r="R11" s="16">
        <f>IF($A11="","",COUNTIFS(出勤紀錄!$C$3:$C$374,$A11,出勤紀錄!$N$3:$N$374,"未打卡"))</f>
        <v/>
      </c>
      <c r="S11" s="16">
        <f>IF($A11="","",IF(COUNTA(醫護長與管理部班表!$E11:$AI11)=DAY(EOMONTH(DATE(設定!$C$2,設定!$D$2,1),0)),"OK","⚠ 缺"&amp;(DAY(EOMONTH(DATE(設定!$C$2,設定!$D$2,1),0))-COUNTA(醫護長與管理部班表!$E11:$AI11))&amp;"天"))</f>
        <v/>
      </c>
    </row>
    <row r="12">
      <c r="A12" s="16">
        <f>IF(醫護長與管理部班表!$A12="","",醫護長與管理部班表!$A12)</f>
        <v/>
      </c>
      <c r="B12" s="16">
        <f>IF($A12="","",醫護長與管理部班表!$B12)</f>
        <v/>
      </c>
      <c r="C12" s="16">
        <f>IF($A12="","",醫護長與管理部班表!$C12)</f>
        <v/>
      </c>
      <c r="D12" s="16">
        <f>IF($A12="","",醫護長與管理部班表!$D12)</f>
        <v/>
      </c>
      <c r="E12" s="16">
        <f>IF($A12="","",SUMPRODUCT(COUNTIF(醫護長與管理部班表!$E12:$AI12,設定!$B$6:$B$21),設定!$H$6:$H$21))</f>
        <v/>
      </c>
      <c r="F12" s="90">
        <f>IF($A12="","",SUMPRODUCT(COUNTIF(醫護長與管理部班表!$E12:$AI12,設定!$B$6:$B$21),設定!$G$6:$G$21))</f>
        <v/>
      </c>
      <c r="G12" s="16">
        <f>IF($A12="","",COUNTIF(醫護長與管理部班表!$E12:$AI12,"OFF"))</f>
        <v/>
      </c>
      <c r="H12" s="16">
        <f>IF($A12="","",COUNTIF(醫護長與管理部班表!$E12:$AI12,"特"))</f>
        <v/>
      </c>
      <c r="I12" s="16">
        <f>IF($A12="","",COUNTIF(醫護長與管理部班表!$E12:$AI12,"病"))</f>
        <v/>
      </c>
      <c r="J12" s="16">
        <f>IF($A12="","",COUNTIF(醫護長與管理部班表!$E12:$AI12,"事"))</f>
        <v/>
      </c>
      <c r="K12" s="16">
        <f>IF($A12="","",COUNTIF(醫護長與管理部班表!$E12:$AI12,"公"))</f>
        <v/>
      </c>
      <c r="L12" s="16">
        <f>IF($A12="","",COUNTIF(醫護長與管理部班表!$E12:$AI12,"國"))</f>
        <v/>
      </c>
      <c r="M12" s="16">
        <f>IF($A12="","",COUNTIF(醫護長與管理部班表!$E12:$AI12,"支"))</f>
        <v/>
      </c>
      <c r="N12" s="90">
        <f>IF($A12="","",SUMIF(出勤紀錄!$C$3:$C$374,$A12,出勤紀錄!$Q$3:$Q$374))</f>
        <v/>
      </c>
      <c r="O12" s="90">
        <f>IF($A12="","",$F12+$N12)</f>
        <v/>
      </c>
      <c r="P12" s="16">
        <f>IF($A12="","",COUNTIFS(出勤紀錄!$C$3:$C$374,$A12,出勤紀錄!$N$3:$N$374,"遲到"))</f>
        <v/>
      </c>
      <c r="Q12" s="16">
        <f>IF($A12="","",COUNTIFS(出勤紀錄!$C$3:$C$374,$A12,出勤紀錄!$N$3:$N$374,"早退"))</f>
        <v/>
      </c>
      <c r="R12" s="16">
        <f>IF($A12="","",COUNTIFS(出勤紀錄!$C$3:$C$374,$A12,出勤紀錄!$N$3:$N$374,"未打卡"))</f>
        <v/>
      </c>
      <c r="S12" s="16">
        <f>IF($A12="","",IF(COUNTA(醫護長與管理部班表!$E12:$AI12)=DAY(EOMONTH(DATE(設定!$C$2,設定!$D$2,1),0)),"OK","⚠ 缺"&amp;(DAY(EOMONTH(DATE(設定!$C$2,設定!$D$2,1),0))-COUNTA(醫護長與管理部班表!$E12:$AI12))&amp;"天"))</f>
        <v/>
      </c>
    </row>
    <row r="13">
      <c r="A13" s="16">
        <f>IF(醫護長與管理部班表!$A13="","",醫護長與管理部班表!$A13)</f>
        <v/>
      </c>
      <c r="B13" s="16">
        <f>IF($A13="","",醫護長與管理部班表!$B13)</f>
        <v/>
      </c>
      <c r="C13" s="16">
        <f>IF($A13="","",醫護長與管理部班表!$C13)</f>
        <v/>
      </c>
      <c r="D13" s="16">
        <f>IF($A13="","",醫護長與管理部班表!$D13)</f>
        <v/>
      </c>
      <c r="E13" s="16">
        <f>IF($A13="","",SUMPRODUCT(COUNTIF(醫護長與管理部班表!$E13:$AI13,設定!$B$6:$B$21),設定!$H$6:$H$21))</f>
        <v/>
      </c>
      <c r="F13" s="90">
        <f>IF($A13="","",SUMPRODUCT(COUNTIF(醫護長與管理部班表!$E13:$AI13,設定!$B$6:$B$21),設定!$G$6:$G$21))</f>
        <v/>
      </c>
      <c r="G13" s="16">
        <f>IF($A13="","",COUNTIF(醫護長與管理部班表!$E13:$AI13,"OFF"))</f>
        <v/>
      </c>
      <c r="H13" s="16">
        <f>IF($A13="","",COUNTIF(醫護長與管理部班表!$E13:$AI13,"特"))</f>
        <v/>
      </c>
      <c r="I13" s="16">
        <f>IF($A13="","",COUNTIF(醫護長與管理部班表!$E13:$AI13,"病"))</f>
        <v/>
      </c>
      <c r="J13" s="16">
        <f>IF($A13="","",COUNTIF(醫護長與管理部班表!$E13:$AI13,"事"))</f>
        <v/>
      </c>
      <c r="K13" s="16">
        <f>IF($A13="","",COUNTIF(醫護長與管理部班表!$E13:$AI13,"公"))</f>
        <v/>
      </c>
      <c r="L13" s="16">
        <f>IF($A13="","",COUNTIF(醫護長與管理部班表!$E13:$AI13,"國"))</f>
        <v/>
      </c>
      <c r="M13" s="16">
        <f>IF($A13="","",COUNTIF(醫護長與管理部班表!$E13:$AI13,"支"))</f>
        <v/>
      </c>
      <c r="N13" s="90">
        <f>IF($A13="","",SUMIF(出勤紀錄!$C$3:$C$374,$A13,出勤紀錄!$Q$3:$Q$374))</f>
        <v/>
      </c>
      <c r="O13" s="90">
        <f>IF($A13="","",$F13+$N13)</f>
        <v/>
      </c>
      <c r="P13" s="16">
        <f>IF($A13="","",COUNTIFS(出勤紀錄!$C$3:$C$374,$A13,出勤紀錄!$N$3:$N$374,"遲到"))</f>
        <v/>
      </c>
      <c r="Q13" s="16">
        <f>IF($A13="","",COUNTIFS(出勤紀錄!$C$3:$C$374,$A13,出勤紀錄!$N$3:$N$374,"早退"))</f>
        <v/>
      </c>
      <c r="R13" s="16">
        <f>IF($A13="","",COUNTIFS(出勤紀錄!$C$3:$C$374,$A13,出勤紀錄!$N$3:$N$374,"未打卡"))</f>
        <v/>
      </c>
      <c r="S13" s="16">
        <f>IF($A13="","",IF(COUNTA(醫護長與管理部班表!$E13:$AI13)=DAY(EOMONTH(DATE(設定!$C$2,設定!$D$2,1),0)),"OK","⚠ 缺"&amp;(DAY(EOMONTH(DATE(設定!$C$2,設定!$D$2,1),0))-COUNTA(醫護長與管理部班表!$E13:$AI13))&amp;"天"))</f>
        <v/>
      </c>
    </row>
    <row r="14">
      <c r="A14" s="16">
        <f>IF(醫護長與管理部班表!$A14="","",醫護長與管理部班表!$A14)</f>
        <v/>
      </c>
      <c r="B14" s="16">
        <f>IF($A14="","",醫護長與管理部班表!$B14)</f>
        <v/>
      </c>
      <c r="C14" s="16">
        <f>IF($A14="","",醫護長與管理部班表!$C14)</f>
        <v/>
      </c>
      <c r="D14" s="16">
        <f>IF($A14="","",醫護長與管理部班表!$D14)</f>
        <v/>
      </c>
      <c r="E14" s="16">
        <f>IF($A14="","",SUMPRODUCT(COUNTIF(醫護長與管理部班表!$E14:$AI14,設定!$B$6:$B$21),設定!$H$6:$H$21))</f>
        <v/>
      </c>
      <c r="F14" s="90">
        <f>IF($A14="","",SUMPRODUCT(COUNTIF(醫護長與管理部班表!$E14:$AI14,設定!$B$6:$B$21),設定!$G$6:$G$21))</f>
        <v/>
      </c>
      <c r="G14" s="16">
        <f>IF($A14="","",COUNTIF(醫護長與管理部班表!$E14:$AI14,"OFF"))</f>
        <v/>
      </c>
      <c r="H14" s="16">
        <f>IF($A14="","",COUNTIF(醫護長與管理部班表!$E14:$AI14,"特"))</f>
        <v/>
      </c>
      <c r="I14" s="16">
        <f>IF($A14="","",COUNTIF(醫護長與管理部班表!$E14:$AI14,"病"))</f>
        <v/>
      </c>
      <c r="J14" s="16">
        <f>IF($A14="","",COUNTIF(醫護長與管理部班表!$E14:$AI14,"事"))</f>
        <v/>
      </c>
      <c r="K14" s="16">
        <f>IF($A14="","",COUNTIF(醫護長與管理部班表!$E14:$AI14,"公"))</f>
        <v/>
      </c>
      <c r="L14" s="16">
        <f>IF($A14="","",COUNTIF(醫護長與管理部班表!$E14:$AI14,"國"))</f>
        <v/>
      </c>
      <c r="M14" s="16">
        <f>IF($A14="","",COUNTIF(醫護長與管理部班表!$E14:$AI14,"支"))</f>
        <v/>
      </c>
      <c r="N14" s="90">
        <f>IF($A14="","",SUMIF(出勤紀錄!$C$3:$C$374,$A14,出勤紀錄!$Q$3:$Q$374))</f>
        <v/>
      </c>
      <c r="O14" s="90">
        <f>IF($A14="","",$F14+$N14)</f>
        <v/>
      </c>
      <c r="P14" s="16">
        <f>IF($A14="","",COUNTIFS(出勤紀錄!$C$3:$C$374,$A14,出勤紀錄!$N$3:$N$374,"遲到"))</f>
        <v/>
      </c>
      <c r="Q14" s="16">
        <f>IF($A14="","",COUNTIFS(出勤紀錄!$C$3:$C$374,$A14,出勤紀錄!$N$3:$N$374,"早退"))</f>
        <v/>
      </c>
      <c r="R14" s="16">
        <f>IF($A14="","",COUNTIFS(出勤紀錄!$C$3:$C$374,$A14,出勤紀錄!$N$3:$N$374,"未打卡"))</f>
        <v/>
      </c>
      <c r="S14" s="16">
        <f>IF($A14="","",IF(COUNTA(醫護長與管理部班表!$E14:$AI14)=DAY(EOMONTH(DATE(設定!$C$2,設定!$D$2,1),0)),"OK","⚠ 缺"&amp;(DAY(EOMONTH(DATE(設定!$C$2,設定!$D$2,1),0))-COUNTA(醫護長與管理部班表!$E14:$AI14))&amp;"天"))</f>
        <v/>
      </c>
    </row>
    <row r="15">
      <c r="A15" s="16">
        <f>IF(醫護長與管理部班表!$A15="","",醫護長與管理部班表!$A15)</f>
        <v/>
      </c>
      <c r="B15" s="16">
        <f>IF($A15="","",醫護長與管理部班表!$B15)</f>
        <v/>
      </c>
      <c r="C15" s="16">
        <f>IF($A15="","",醫護長與管理部班表!$C15)</f>
        <v/>
      </c>
      <c r="D15" s="16">
        <f>IF($A15="","",醫護長與管理部班表!$D15)</f>
        <v/>
      </c>
      <c r="E15" s="16">
        <f>IF($A15="","",SUMPRODUCT(COUNTIF(醫護長與管理部班表!$E15:$AI15,設定!$B$6:$B$21),設定!$H$6:$H$21))</f>
        <v/>
      </c>
      <c r="F15" s="90">
        <f>IF($A15="","",SUMPRODUCT(COUNTIF(醫護長與管理部班表!$E15:$AI15,設定!$B$6:$B$21),設定!$G$6:$G$21))</f>
        <v/>
      </c>
      <c r="G15" s="16">
        <f>IF($A15="","",COUNTIF(醫護長與管理部班表!$E15:$AI15,"OFF"))</f>
        <v/>
      </c>
      <c r="H15" s="16">
        <f>IF($A15="","",COUNTIF(醫護長與管理部班表!$E15:$AI15,"特"))</f>
        <v/>
      </c>
      <c r="I15" s="16">
        <f>IF($A15="","",COUNTIF(醫護長與管理部班表!$E15:$AI15,"病"))</f>
        <v/>
      </c>
      <c r="J15" s="16">
        <f>IF($A15="","",COUNTIF(醫護長與管理部班表!$E15:$AI15,"事"))</f>
        <v/>
      </c>
      <c r="K15" s="16">
        <f>IF($A15="","",COUNTIF(醫護長與管理部班表!$E15:$AI15,"公"))</f>
        <v/>
      </c>
      <c r="L15" s="16">
        <f>IF($A15="","",COUNTIF(醫護長與管理部班表!$E15:$AI15,"國"))</f>
        <v/>
      </c>
      <c r="M15" s="16">
        <f>IF($A15="","",COUNTIF(醫護長與管理部班表!$E15:$AI15,"支"))</f>
        <v/>
      </c>
      <c r="N15" s="90">
        <f>IF($A15="","",SUMIF(出勤紀錄!$C$3:$C$374,$A15,出勤紀錄!$Q$3:$Q$374))</f>
        <v/>
      </c>
      <c r="O15" s="90">
        <f>IF($A15="","",$F15+$N15)</f>
        <v/>
      </c>
      <c r="P15" s="16">
        <f>IF($A15="","",COUNTIFS(出勤紀錄!$C$3:$C$374,$A15,出勤紀錄!$N$3:$N$374,"遲到"))</f>
        <v/>
      </c>
      <c r="Q15" s="16">
        <f>IF($A15="","",COUNTIFS(出勤紀錄!$C$3:$C$374,$A15,出勤紀錄!$N$3:$N$374,"早退"))</f>
        <v/>
      </c>
      <c r="R15" s="16">
        <f>IF($A15="","",COUNTIFS(出勤紀錄!$C$3:$C$374,$A15,出勤紀錄!$N$3:$N$374,"未打卡"))</f>
        <v/>
      </c>
      <c r="S15" s="16">
        <f>IF($A15="","",IF(COUNTA(醫護長與管理部班表!$E15:$AI15)=DAY(EOMONTH(DATE(設定!$C$2,設定!$D$2,1),0)),"OK","⚠ 缺"&amp;(DAY(EOMONTH(DATE(設定!$C$2,設定!$D$2,1),0))-COUNTA(醫護長與管理部班表!$E15:$AI15))&amp;"天"))</f>
        <v/>
      </c>
    </row>
    <row r="16">
      <c r="A16" s="16">
        <f>IF(醫護長與管理部班表!$A16="","",醫護長與管理部班表!$A16)</f>
        <v/>
      </c>
      <c r="B16" s="16">
        <f>IF($A16="","",醫護長與管理部班表!$B16)</f>
        <v/>
      </c>
      <c r="C16" s="16">
        <f>IF($A16="","",醫護長與管理部班表!$C16)</f>
        <v/>
      </c>
      <c r="D16" s="16">
        <f>IF($A16="","",醫護長與管理部班表!$D16)</f>
        <v/>
      </c>
      <c r="E16" s="16">
        <f>IF($A16="","",SUMPRODUCT(COUNTIF(醫護長與管理部班表!$E16:$AI16,設定!$B$6:$B$21),設定!$H$6:$H$21))</f>
        <v/>
      </c>
      <c r="F16" s="90">
        <f>IF($A16="","",SUMPRODUCT(COUNTIF(醫護長與管理部班表!$E16:$AI16,設定!$B$6:$B$21),設定!$G$6:$G$21))</f>
        <v/>
      </c>
      <c r="G16" s="16">
        <f>IF($A16="","",COUNTIF(醫護長與管理部班表!$E16:$AI16,"OFF"))</f>
        <v/>
      </c>
      <c r="H16" s="16">
        <f>IF($A16="","",COUNTIF(醫護長與管理部班表!$E16:$AI16,"特"))</f>
        <v/>
      </c>
      <c r="I16" s="16">
        <f>IF($A16="","",COUNTIF(醫護長與管理部班表!$E16:$AI16,"病"))</f>
        <v/>
      </c>
      <c r="J16" s="16">
        <f>IF($A16="","",COUNTIF(醫護長與管理部班表!$E16:$AI16,"事"))</f>
        <v/>
      </c>
      <c r="K16" s="16">
        <f>IF($A16="","",COUNTIF(醫護長與管理部班表!$E16:$AI16,"公"))</f>
        <v/>
      </c>
      <c r="L16" s="16">
        <f>IF($A16="","",COUNTIF(醫護長與管理部班表!$E16:$AI16,"國"))</f>
        <v/>
      </c>
      <c r="M16" s="16">
        <f>IF($A16="","",COUNTIF(醫護長與管理部班表!$E16:$AI16,"支"))</f>
        <v/>
      </c>
      <c r="N16" s="90">
        <f>IF($A16="","",SUMIF(出勤紀錄!$C$3:$C$374,$A16,出勤紀錄!$Q$3:$Q$374))</f>
        <v/>
      </c>
      <c r="O16" s="90">
        <f>IF($A16="","",$F16+$N16)</f>
        <v/>
      </c>
      <c r="P16" s="16">
        <f>IF($A16="","",COUNTIFS(出勤紀錄!$C$3:$C$374,$A16,出勤紀錄!$N$3:$N$374,"遲到"))</f>
        <v/>
      </c>
      <c r="Q16" s="16">
        <f>IF($A16="","",COUNTIFS(出勤紀錄!$C$3:$C$374,$A16,出勤紀錄!$N$3:$N$374,"早退"))</f>
        <v/>
      </c>
      <c r="R16" s="16">
        <f>IF($A16="","",COUNTIFS(出勤紀錄!$C$3:$C$374,$A16,出勤紀錄!$N$3:$N$374,"未打卡"))</f>
        <v/>
      </c>
      <c r="S16" s="16">
        <f>IF($A16="","",IF(COUNTA(醫護長與管理部班表!$E16:$AI16)=DAY(EOMONTH(DATE(設定!$C$2,設定!$D$2,1),0)),"OK","⚠ 缺"&amp;(DAY(EOMONTH(DATE(設定!$C$2,設定!$D$2,1),0))-COUNTA(醫護長與管理部班表!$E16:$AI16))&amp;"天"))</f>
        <v/>
      </c>
    </row>
    <row r="17">
      <c r="A17" s="4" t="inlineStr">
        <is>
          <t>合計</t>
        </is>
      </c>
      <c r="B17" s="8" t="n"/>
      <c r="C17" s="8" t="n"/>
      <c r="D17" s="9" t="n"/>
      <c r="E17" s="4">
        <f>SUM(E5:E16)</f>
        <v/>
      </c>
      <c r="F17" s="91">
        <f>SUM(F5:F16)</f>
        <v/>
      </c>
      <c r="G17" s="4">
        <f>SUM(G5:G16)</f>
        <v/>
      </c>
      <c r="H17" s="4">
        <f>SUM(H5:H16)</f>
        <v/>
      </c>
      <c r="I17" s="4">
        <f>SUM(I5:I16)</f>
        <v/>
      </c>
      <c r="J17" s="4">
        <f>SUM(J5:J16)</f>
        <v/>
      </c>
      <c r="K17" s="4">
        <f>SUM(K5:K16)</f>
        <v/>
      </c>
      <c r="L17" s="4">
        <f>SUM(L5:L16)</f>
        <v/>
      </c>
      <c r="M17" s="4">
        <f>SUM(M5:M16)</f>
        <v/>
      </c>
      <c r="N17" s="91">
        <f>SUM(N5:N16)</f>
        <v/>
      </c>
      <c r="O17" s="91">
        <f>SUM(O5:O16)</f>
        <v/>
      </c>
      <c r="P17" s="4">
        <f>SUM(P5:P16)</f>
        <v/>
      </c>
      <c r="Q17" s="4">
        <f>SUM(Q5:Q16)</f>
        <v/>
      </c>
      <c r="R17" s="4">
        <f>SUM(R5:R16)</f>
        <v/>
      </c>
      <c r="S17" s="92" t="inlineStr"/>
    </row>
    <row r="19">
      <c r="A19" s="6" t="inlineStr">
        <is>
          <t>※ 出勤天數與排班工時依「設定」分頁的班別代碼權重自動加總,改權重這裡跟著變。</t>
        </is>
      </c>
    </row>
    <row r="20">
      <c r="A20" s="6" t="inlineStr">
        <is>
          <t>※ 加班時數由「出勤紀錄」加總,已套用加班門檻。不使用打卡匯入的院所可覆蓋成手動數字。</t>
        </is>
      </c>
    </row>
    <row r="21">
      <c r="A21" s="6" t="inlineStr">
        <is>
          <t>※ 加班時數為「實際工時 − 排班工時」,未依勞基法第 24 條換算費率,薪資請另行計算。</t>
        </is>
      </c>
    </row>
    <row r="22">
      <c r="A22" s="6" t="inlineStr">
        <is>
          <t>※ 醫師的月結在「醫師月結」分頁,以診次為單位計算。</t>
        </is>
      </c>
    </row>
  </sheetData>
  <mergeCells count="2">
    <mergeCell ref="A17:D17"/>
    <mergeCell ref="A1:S1"/>
  </mergeCells>
  <conditionalFormatting sqref="S5:S16">
    <cfRule type="expression" priority="1" dxfId="8">
      <formula>AND($A5&lt;&gt;"",S5&lt;&gt;"OK")</formula>
    </cfRule>
  </conditionalFormatting>
  <conditionalFormatting sqref="P5:P16">
    <cfRule type="expression" priority="2" dxfId="9">
      <formula>AND($A5&lt;&gt;"",P5&gt;0)</formula>
    </cfRule>
  </conditionalFormatting>
  <conditionalFormatting sqref="Q5:Q16">
    <cfRule type="expression" priority="3" dxfId="9">
      <formula>AND($A5&lt;&gt;"",Q5&gt;0)</formula>
    </cfRule>
  </conditionalFormatting>
  <conditionalFormatting sqref="R5:R16">
    <cfRule type="expression" priority="4" dxfId="9">
      <formula>AND($A5&lt;&gt;"",R5&gt;0)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2026-09-18T03:02:49Z</dcterms:created>
  <dcterms:modified xsi:type="dcterms:W3CDTF">2026-09-18T03:02:50Z</dcterms:modified>
</cp:coreProperties>
</file>