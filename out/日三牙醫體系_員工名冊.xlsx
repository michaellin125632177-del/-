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員工名冊" sheetId="1" state="visible" r:id="rId1"/>
    <sheet name="院所對照" sheetId="2" state="visible" r:id="rId2"/>
  </sheets>
  <definedNames>
    <definedName name="_xlnm._FilterDatabase" localSheetId="0" hidden="1">'員工名冊'!$A$3:$L$37</definedName>
    <definedName name="_xlnm.Print_Titles" localSheetId="0">'員工名冊'!$3:$3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/d"/>
  </numFmts>
  <fonts count="9">
    <font>
      <name val="Calibri"/>
      <family val="2"/>
      <color theme="1"/>
      <sz val="11"/>
      <scheme val="minor"/>
    </font>
    <font>
      <name val="微軟正黑體"/>
      <b val="1"/>
      <color rgb="00000000"/>
      <sz val="16"/>
    </font>
    <font>
      <name val="微軟正黑體"/>
      <b val="1"/>
      <color rgb="00000000"/>
      <sz val="10"/>
    </font>
    <font>
      <name val="微軟正黑體"/>
      <color rgb="004A5A5C"/>
      <sz val="9"/>
    </font>
    <font>
      <name val="微軟正黑體"/>
      <b val="1"/>
      <color rgb="00000000"/>
      <sz val="11"/>
    </font>
    <font>
      <name val="微軟正黑體"/>
      <b val="1"/>
      <color rgb="00FFFFFF"/>
      <sz val="10"/>
    </font>
    <font>
      <name val="微軟正黑體"/>
      <color rgb="00000000"/>
      <sz val="9.5"/>
    </font>
    <font>
      <name val="微軟正黑體"/>
      <color rgb="006E7F81"/>
      <sz val="9"/>
    </font>
    <font>
      <name val="微軟正黑體"/>
      <b val="1"/>
      <color rgb="00000000"/>
      <sz val="14"/>
    </font>
  </fonts>
  <fills count="11">
    <fill>
      <patternFill/>
    </fill>
    <fill>
      <patternFill patternType="gray125"/>
    </fill>
    <fill>
      <patternFill patternType="solid">
        <fgColor rgb="FFDCE6EC"/>
        <bgColor rgb="FFDCE6EC"/>
      </patternFill>
    </fill>
    <fill>
      <patternFill patternType="solid">
        <fgColor rgb="FF1F4E5F"/>
        <bgColor rgb="FF1F4E5F"/>
      </patternFill>
    </fill>
    <fill>
      <patternFill patternType="solid">
        <fgColor rgb="FFFBE3EC"/>
        <bgColor rgb="FFFBE3EC"/>
      </patternFill>
    </fill>
    <fill>
      <patternFill patternType="solid">
        <fgColor rgb="FFFFF2CC"/>
        <bgColor rgb="FFFFF2CC"/>
      </patternFill>
    </fill>
    <fill>
      <patternFill patternType="solid">
        <fgColor rgb="FFFAFAF8"/>
        <bgColor rgb="FFFAFAF8"/>
      </patternFill>
    </fill>
    <fill>
      <patternFill patternType="solid">
        <fgColor rgb="FFE8DFF2"/>
        <bgColor rgb="FFE8DFF2"/>
      </patternFill>
    </fill>
    <fill>
      <patternFill patternType="solid">
        <fgColor rgb="FFFAE8A0"/>
        <bgColor rgb="FFFAE8A0"/>
      </patternFill>
    </fill>
    <fill>
      <patternFill patternType="solid">
        <fgColor rgb="FFDCEEDC"/>
        <bgColor rgb="FFDCEEDC"/>
      </patternFill>
    </fill>
    <fill>
      <patternFill patternType="solid">
        <fgColor rgb="FFD9E7F5"/>
        <bgColor rgb="FFD9E7F5"/>
      </patternFill>
    </fill>
  </fills>
  <borders count="2">
    <border>
      <left/>
      <right/>
      <top/>
      <bottom/>
      <diagonal/>
    </border>
    <border>
      <left style="thin">
        <color rgb="00C8CCC8"/>
      </left>
      <right style="thin">
        <color rgb="00C8CCC8"/>
      </right>
      <top style="thin">
        <color rgb="00C8CCC8"/>
      </top>
      <bottom style="thin">
        <color rgb="00C8CCC8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1" fontId="4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5" fillId="3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4" borderId="1" applyAlignment="1" pivotButton="0" quotePrefix="0" xfId="0">
      <alignment horizontal="center" vertical="center"/>
    </xf>
    <xf numFmtId="1" fontId="6" fillId="0" borderId="1" applyAlignment="1" pivotButton="0" quotePrefix="0" xfId="0">
      <alignment horizontal="center" vertical="center"/>
    </xf>
    <xf numFmtId="164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center" vertical="center"/>
    </xf>
    <xf numFmtId="1" fontId="6" fillId="6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6" fillId="10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1" customWidth="1" min="3" max="3"/>
    <col width="19" customWidth="1" min="4" max="4"/>
    <col width="9" customWidth="1" min="5" max="5"/>
    <col width="8" customWidth="1" min="6" max="6"/>
    <col width="22" customWidth="1" min="7" max="7"/>
    <col width="11" customWidth="1" min="8" max="8"/>
    <col width="27" customWidth="1" min="9" max="9"/>
    <col width="8" customWidth="1" min="10" max="10"/>
    <col width="13" customWidth="1" min="11" max="11"/>
    <col width="30" customWidth="1" min="12" max="12"/>
  </cols>
  <sheetData>
    <row r="1" ht="30" customHeight="1">
      <c r="A1" s="1" t="inlineStr">
        <is>
          <t>日三牙醫體系 員工名冊(2026/09/16 製)</t>
        </is>
      </c>
    </row>
    <row r="2" ht="22" customHeight="1">
      <c r="A2" s="2" t="inlineStr">
        <is>
          <t>人數</t>
        </is>
      </c>
      <c r="B2" s="3" t="inlineStr">
        <is>
          <t>總人數</t>
        </is>
      </c>
      <c r="C2" s="4">
        <f>COUNTA($B$4:$B$37)</f>
        <v>34</v>
      </c>
      <c r="D2" s="3" t="inlineStr">
        <is>
          <t>醫師</t>
        </is>
      </c>
      <c r="E2" s="4">
        <f>COUNTIF($D$4:$D$37,"醫師")</f>
        <v>27</v>
      </c>
      <c r="F2" s="3" t="inlineStr">
        <is>
          <t>醫護長</t>
        </is>
      </c>
      <c r="G2" s="4">
        <f>COUNTIF($D$4:$D$37,"醫護長")</f>
        <v>4</v>
      </c>
      <c r="H2" s="3" t="inlineStr">
        <is>
          <t>管理部</t>
        </is>
      </c>
      <c r="I2" s="4">
        <f>COUNTIF($D$4:$D$37,"管理部")</f>
        <v>3</v>
      </c>
      <c r="J2" s="3" t="inlineStr">
        <is>
          <t>院長</t>
        </is>
      </c>
      <c r="K2" s="4">
        <f>COUNTIF($E$4:$E$37,"院長")</f>
        <v>5</v>
      </c>
      <c r="L2" s="5" t="n"/>
    </row>
    <row r="3" ht="24" customHeight="1">
      <c r="A3" s="6" t="inlineStr">
        <is>
          <t>序號</t>
        </is>
      </c>
      <c r="B3" s="6" t="inlineStr">
        <is>
          <t>員工編號</t>
        </is>
      </c>
      <c r="C3" s="6" t="inlineStr">
        <is>
          <t>姓名</t>
        </is>
      </c>
      <c r="D3" s="6" t="inlineStr">
        <is>
          <t>英文名</t>
        </is>
      </c>
      <c r="E3" s="6" t="inlineStr">
        <is>
          <t>職類</t>
        </is>
      </c>
      <c r="F3" s="6" t="inlineStr">
        <is>
          <t>職務</t>
        </is>
      </c>
      <c r="G3" s="6" t="inlineStr">
        <is>
          <t>專科</t>
        </is>
      </c>
      <c r="H3" s="6" t="inlineStr">
        <is>
          <t>主要院所</t>
        </is>
      </c>
      <c r="I3" s="6" t="inlineStr">
        <is>
          <t>服務院所</t>
        </is>
      </c>
      <c r="J3" s="6" t="inlineStr">
        <is>
          <t>跨院數</t>
        </is>
      </c>
      <c r="K3" s="6" t="inlineStr">
        <is>
          <t>到職日</t>
        </is>
      </c>
      <c r="L3" s="6" t="inlineStr">
        <is>
          <t>備註</t>
        </is>
      </c>
    </row>
    <row r="4">
      <c r="A4" s="7" t="n">
        <v>1</v>
      </c>
      <c r="B4" s="7" t="inlineStr">
        <is>
          <t>D001</t>
        </is>
      </c>
      <c r="C4" s="7" t="inlineStr">
        <is>
          <t>林智俊</t>
        </is>
      </c>
      <c r="D4" s="8" t="inlineStr">
        <is>
          <t>JASON LIN</t>
        </is>
      </c>
      <c r="E4" s="7" t="inlineStr">
        <is>
          <t>醫師</t>
        </is>
      </c>
      <c r="F4" s="7" t="inlineStr">
        <is>
          <t>院長</t>
        </is>
      </c>
      <c r="G4" s="8" t="inlineStr">
        <is>
          <t>牙周植牙專科</t>
        </is>
      </c>
      <c r="H4" s="9" t="inlineStr">
        <is>
          <t>晶悅</t>
        </is>
      </c>
      <c r="I4" s="8" t="inlineStr">
        <is>
          <t>晶悅 · 晶睿 · 晶匯 · 晶曜</t>
        </is>
      </c>
      <c r="J4" s="10">
        <f>IF($I4="","",LEN($I4)-LEN(SUBSTITUTE($I4,"·",""))+1)</f>
        <v>4</v>
      </c>
      <c r="K4" s="11" t="n"/>
      <c r="L4" s="8" t="inlineStr"/>
    </row>
    <row r="5">
      <c r="A5" s="12" t="n">
        <v>2</v>
      </c>
      <c r="B5" s="12" t="inlineStr">
        <is>
          <t>D002</t>
        </is>
      </c>
      <c r="C5" s="12" t="inlineStr">
        <is>
          <t>劉立德</t>
        </is>
      </c>
      <c r="D5" s="13" t="inlineStr">
        <is>
          <t>LEADER LIU</t>
        </is>
      </c>
      <c r="E5" s="12" t="inlineStr">
        <is>
          <t>醫師</t>
        </is>
      </c>
      <c r="F5" s="12" t="inlineStr">
        <is>
          <t>院長</t>
        </is>
      </c>
      <c r="G5" s="13" t="inlineStr">
        <is>
          <t>植牙專科 家庭牙醫專科</t>
        </is>
      </c>
      <c r="H5" s="14" t="inlineStr">
        <is>
          <t>晶曜</t>
        </is>
      </c>
      <c r="I5" s="13" t="inlineStr">
        <is>
          <t>晶睿 · 晶曜</t>
        </is>
      </c>
      <c r="J5" s="15">
        <f>IF($I5="","",LEN($I5)-LEN(SUBSTITUTE($I5,"·",""))+1)</f>
        <v>2</v>
      </c>
      <c r="K5" s="11" t="n"/>
      <c r="L5" s="13" t="inlineStr"/>
    </row>
    <row r="6">
      <c r="A6" s="7" t="n">
        <v>3</v>
      </c>
      <c r="B6" s="7" t="inlineStr">
        <is>
          <t>D003</t>
        </is>
      </c>
      <c r="C6" s="7" t="inlineStr">
        <is>
          <t>王泳泉</t>
        </is>
      </c>
      <c r="D6" s="8" t="inlineStr">
        <is>
          <t>RYAN WANG</t>
        </is>
      </c>
      <c r="E6" s="7" t="inlineStr">
        <is>
          <t>醫師</t>
        </is>
      </c>
      <c r="F6" s="7" t="inlineStr"/>
      <c r="G6" s="8" t="inlineStr">
        <is>
          <t>矯正專科</t>
        </is>
      </c>
      <c r="H6" s="9" t="inlineStr">
        <is>
          <t>晶悅</t>
        </is>
      </c>
      <c r="I6" s="8" t="inlineStr">
        <is>
          <t>晶悅 · 晶睿</t>
        </is>
      </c>
      <c r="J6" s="10">
        <f>IF($I6="","",LEN($I6)-LEN(SUBSTITUTE($I6,"·",""))+1)</f>
        <v>2</v>
      </c>
      <c r="K6" s="11" t="n"/>
      <c r="L6" s="8" t="inlineStr"/>
    </row>
    <row r="7">
      <c r="A7" s="12" t="n">
        <v>4</v>
      </c>
      <c r="B7" s="12" t="inlineStr">
        <is>
          <t>D004</t>
        </is>
      </c>
      <c r="C7" s="12" t="inlineStr">
        <is>
          <t>劉玠旻</t>
        </is>
      </c>
      <c r="D7" s="13" t="inlineStr">
        <is>
          <t>CHIEH-MIN LIU</t>
        </is>
      </c>
      <c r="E7" s="12" t="inlineStr">
        <is>
          <t>醫師</t>
        </is>
      </c>
      <c r="F7" s="12" t="inlineStr"/>
      <c r="G7" s="13" t="inlineStr">
        <is>
          <t>兒童專科</t>
        </is>
      </c>
      <c r="H7" s="9" t="inlineStr">
        <is>
          <t>晶悅</t>
        </is>
      </c>
      <c r="I7" s="13" t="inlineStr">
        <is>
          <t>晶悅 · 晶睿 · 晶曜</t>
        </is>
      </c>
      <c r="J7" s="15">
        <f>IF($I7="","",LEN($I7)-LEN(SUBSTITUTE($I7,"·",""))+1)</f>
        <v>3</v>
      </c>
      <c r="K7" s="11" t="n"/>
      <c r="L7" s="13" t="inlineStr"/>
    </row>
    <row r="8">
      <c r="A8" s="7" t="n">
        <v>5</v>
      </c>
      <c r="B8" s="7" t="inlineStr">
        <is>
          <t>D005</t>
        </is>
      </c>
      <c r="C8" s="7" t="inlineStr">
        <is>
          <t>陳志僑</t>
        </is>
      </c>
      <c r="D8" s="8" t="inlineStr">
        <is>
          <t>CHIH-CHIAO CHEN</t>
        </is>
      </c>
      <c r="E8" s="7" t="inlineStr">
        <is>
          <t>醫師</t>
        </is>
      </c>
      <c r="F8" s="7" t="inlineStr"/>
      <c r="G8" s="8" t="inlineStr">
        <is>
          <t>口外專科</t>
        </is>
      </c>
      <c r="H8" s="9" t="inlineStr">
        <is>
          <t>晶悅</t>
        </is>
      </c>
      <c r="I8" s="8" t="inlineStr">
        <is>
          <t>晶悅 · 晶睿</t>
        </is>
      </c>
      <c r="J8" s="10">
        <f>IF($I8="","",LEN($I8)-LEN(SUBSTITUTE($I8,"·",""))+1)</f>
        <v>2</v>
      </c>
      <c r="K8" s="11" t="n"/>
      <c r="L8" s="8" t="inlineStr"/>
    </row>
    <row r="9">
      <c r="A9" s="12" t="n">
        <v>6</v>
      </c>
      <c r="B9" s="12" t="inlineStr">
        <is>
          <t>D006</t>
        </is>
      </c>
      <c r="C9" s="12" t="inlineStr">
        <is>
          <t>黃榆鈞</t>
        </is>
      </c>
      <c r="D9" s="13" t="inlineStr">
        <is>
          <t>YU-CHUN HUANG</t>
        </is>
      </c>
      <c r="E9" s="12" t="inlineStr">
        <is>
          <t>醫師</t>
        </is>
      </c>
      <c r="F9" s="12" t="inlineStr"/>
      <c r="G9" s="13" t="inlineStr">
        <is>
          <t>矯正專科</t>
        </is>
      </c>
      <c r="H9" s="16" t="inlineStr">
        <is>
          <t>寶貝牙</t>
        </is>
      </c>
      <c r="I9" s="13" t="inlineStr">
        <is>
          <t>晶悅 · 寶貝牙</t>
        </is>
      </c>
      <c r="J9" s="15">
        <f>IF($I9="","",LEN($I9)-LEN(SUBSTITUTE($I9,"·",""))+1)</f>
        <v>2</v>
      </c>
      <c r="K9" s="11" t="n"/>
      <c r="L9" s="13" t="inlineStr"/>
    </row>
    <row r="10">
      <c r="A10" s="7" t="n">
        <v>7</v>
      </c>
      <c r="B10" s="7" t="inlineStr">
        <is>
          <t>D007</t>
        </is>
      </c>
      <c r="C10" s="7" t="inlineStr">
        <is>
          <t>温翊君</t>
        </is>
      </c>
      <c r="D10" s="8" t="inlineStr">
        <is>
          <t>YI-CHUN WEN</t>
        </is>
      </c>
      <c r="E10" s="7" t="inlineStr">
        <is>
          <t>醫師</t>
        </is>
      </c>
      <c r="F10" s="7" t="inlineStr"/>
      <c r="G10" s="8" t="inlineStr">
        <is>
          <t>根管治療專科</t>
        </is>
      </c>
      <c r="H10" s="9" t="inlineStr">
        <is>
          <t>晶悅</t>
        </is>
      </c>
      <c r="I10" s="8" t="inlineStr">
        <is>
          <t>晶悅</t>
        </is>
      </c>
      <c r="J10" s="10">
        <f>IF($I10="","",LEN($I10)-LEN(SUBSTITUTE($I10,"·",""))+1)</f>
        <v>1</v>
      </c>
      <c r="K10" s="11" t="n"/>
      <c r="L10" s="8" t="inlineStr"/>
    </row>
    <row r="11">
      <c r="A11" s="12" t="n">
        <v>8</v>
      </c>
      <c r="B11" s="12" t="inlineStr">
        <is>
          <t>D008</t>
        </is>
      </c>
      <c r="C11" s="12" t="inlineStr">
        <is>
          <t>林紫亭</t>
        </is>
      </c>
      <c r="D11" s="13" t="inlineStr">
        <is>
          <t>TZU-TING LIN</t>
        </is>
      </c>
      <c r="E11" s="12" t="inlineStr">
        <is>
          <t>醫師</t>
        </is>
      </c>
      <c r="F11" s="12" t="inlineStr"/>
      <c r="G11" s="13" t="inlineStr"/>
      <c r="H11" s="9" t="inlineStr">
        <is>
          <t>晶悅</t>
        </is>
      </c>
      <c r="I11" s="13" t="inlineStr">
        <is>
          <t>晶悅</t>
        </is>
      </c>
      <c r="J11" s="15">
        <f>IF($I11="","",LEN($I11)-LEN(SUBSTITUTE($I11,"·",""))+1)</f>
        <v>1</v>
      </c>
      <c r="K11" s="11" t="n"/>
      <c r="L11" s="13" t="inlineStr"/>
    </row>
    <row r="12">
      <c r="A12" s="7" t="n">
        <v>9</v>
      </c>
      <c r="B12" s="7" t="inlineStr">
        <is>
          <t>D009</t>
        </is>
      </c>
      <c r="C12" s="7" t="inlineStr">
        <is>
          <t>陳昺元</t>
        </is>
      </c>
      <c r="D12" s="8" t="inlineStr">
        <is>
          <t>PING-YUAN CHEN</t>
        </is>
      </c>
      <c r="E12" s="7" t="inlineStr">
        <is>
          <t>醫師</t>
        </is>
      </c>
      <c r="F12" s="7" t="inlineStr">
        <is>
          <t>院長</t>
        </is>
      </c>
      <c r="G12" s="8" t="inlineStr">
        <is>
          <t>美學植牙專科</t>
        </is>
      </c>
      <c r="H12" s="17" t="inlineStr">
        <is>
          <t>晶匯</t>
        </is>
      </c>
      <c r="I12" s="8" t="inlineStr">
        <is>
          <t>晶悅 · 晶匯 · 寶貝牙</t>
        </is>
      </c>
      <c r="J12" s="10">
        <f>IF($I12="","",LEN($I12)-LEN(SUBSTITUTE($I12,"·",""))+1)</f>
        <v>3</v>
      </c>
      <c r="K12" s="11" t="n"/>
      <c r="L12" s="8" t="inlineStr"/>
    </row>
    <row r="13">
      <c r="A13" s="12" t="n">
        <v>10</v>
      </c>
      <c r="B13" s="12" t="inlineStr">
        <is>
          <t>D010</t>
        </is>
      </c>
      <c r="C13" s="12" t="inlineStr">
        <is>
          <t>蔡季軒</t>
        </is>
      </c>
      <c r="D13" s="13" t="inlineStr">
        <is>
          <t>CHI-HSUAN TSAI</t>
        </is>
      </c>
      <c r="E13" s="12" t="inlineStr">
        <is>
          <t>醫師</t>
        </is>
      </c>
      <c r="F13" s="12" t="inlineStr"/>
      <c r="G13" s="13" t="inlineStr"/>
      <c r="H13" s="9" t="inlineStr">
        <is>
          <t>晶悅</t>
        </is>
      </c>
      <c r="I13" s="13" t="inlineStr">
        <is>
          <t>晶悅</t>
        </is>
      </c>
      <c r="J13" s="15">
        <f>IF($I13="","",LEN($I13)-LEN(SUBSTITUTE($I13,"·",""))+1)</f>
        <v>1</v>
      </c>
      <c r="K13" s="11" t="n"/>
      <c r="L13" s="13" t="inlineStr"/>
    </row>
    <row r="14">
      <c r="A14" s="7" t="n">
        <v>11</v>
      </c>
      <c r="B14" s="7" t="inlineStr">
        <is>
          <t>D011</t>
        </is>
      </c>
      <c r="C14" s="7" t="inlineStr">
        <is>
          <t>温健成</t>
        </is>
      </c>
      <c r="D14" s="8" t="inlineStr">
        <is>
          <t>JIAN-CHENG WEN</t>
        </is>
      </c>
      <c r="E14" s="7" t="inlineStr">
        <is>
          <t>醫師</t>
        </is>
      </c>
      <c r="F14" s="7" t="inlineStr">
        <is>
          <t>院長</t>
        </is>
      </c>
      <c r="G14" s="8" t="inlineStr"/>
      <c r="H14" s="18" t="inlineStr">
        <is>
          <t>晶睿</t>
        </is>
      </c>
      <c r="I14" s="8" t="inlineStr">
        <is>
          <t>晶睿 · 晶匯</t>
        </is>
      </c>
      <c r="J14" s="10">
        <f>IF($I14="","",LEN($I14)-LEN(SUBSTITUTE($I14,"·",""))+1)</f>
        <v>2</v>
      </c>
      <c r="K14" s="11" t="n"/>
      <c r="L14" s="8" t="inlineStr"/>
    </row>
    <row r="15">
      <c r="A15" s="12" t="n">
        <v>12</v>
      </c>
      <c r="B15" s="12" t="inlineStr">
        <is>
          <t>D012</t>
        </is>
      </c>
      <c r="C15" s="12" t="inlineStr">
        <is>
          <t>陳立軒</t>
        </is>
      </c>
      <c r="D15" s="13" t="inlineStr">
        <is>
          <t>LI-HSUAN CHEN</t>
        </is>
      </c>
      <c r="E15" s="12" t="inlineStr">
        <is>
          <t>醫師</t>
        </is>
      </c>
      <c r="F15" s="12" t="inlineStr"/>
      <c r="G15" s="13" t="inlineStr"/>
      <c r="H15" s="14" t="inlineStr">
        <is>
          <t>晶曜</t>
        </is>
      </c>
      <c r="I15" s="13" t="inlineStr">
        <is>
          <t>晶睿 · 晶匯 · 晶曜</t>
        </is>
      </c>
      <c r="J15" s="15">
        <f>IF($I15="","",LEN($I15)-LEN(SUBSTITUTE($I15,"·",""))+1)</f>
        <v>3</v>
      </c>
      <c r="K15" s="11" t="n"/>
      <c r="L15" s="13" t="inlineStr"/>
    </row>
    <row r="16">
      <c r="A16" s="7" t="n">
        <v>13</v>
      </c>
      <c r="B16" s="7" t="inlineStr">
        <is>
          <t>D013</t>
        </is>
      </c>
      <c r="C16" s="7" t="inlineStr">
        <is>
          <t>朱柏非</t>
        </is>
      </c>
      <c r="D16" s="8" t="inlineStr">
        <is>
          <t>PO-FEI CHU</t>
        </is>
      </c>
      <c r="E16" s="7" t="inlineStr">
        <is>
          <t>醫師</t>
        </is>
      </c>
      <c r="F16" s="7" t="inlineStr"/>
      <c r="G16" s="8" t="inlineStr"/>
      <c r="H16" s="9" t="inlineStr">
        <is>
          <t>晶悅</t>
        </is>
      </c>
      <c r="I16" s="8" t="inlineStr">
        <is>
          <t>晶悅 · 晶匯 · 寶貝牙</t>
        </is>
      </c>
      <c r="J16" s="10">
        <f>IF($I16="","",LEN($I16)-LEN(SUBSTITUTE($I16,"·",""))+1)</f>
        <v>3</v>
      </c>
      <c r="K16" s="11" t="n"/>
      <c r="L16" s="8" t="inlineStr"/>
    </row>
    <row r="17">
      <c r="A17" s="12" t="n">
        <v>14</v>
      </c>
      <c r="B17" s="12" t="inlineStr">
        <is>
          <t>D014</t>
        </is>
      </c>
      <c r="C17" s="12" t="inlineStr">
        <is>
          <t>鄭漢賢</t>
        </is>
      </c>
      <c r="D17" s="13" t="inlineStr">
        <is>
          <t>HON-YIN CHENG</t>
        </is>
      </c>
      <c r="E17" s="12" t="inlineStr">
        <is>
          <t>醫師</t>
        </is>
      </c>
      <c r="F17" s="12" t="inlineStr"/>
      <c r="G17" s="13" t="inlineStr"/>
      <c r="H17" s="9" t="inlineStr">
        <is>
          <t>晶悅</t>
        </is>
      </c>
      <c r="I17" s="13" t="inlineStr">
        <is>
          <t>晶悅 · 晶匯</t>
        </is>
      </c>
      <c r="J17" s="15">
        <f>IF($I17="","",LEN($I17)-LEN(SUBSTITUTE($I17,"·",""))+1)</f>
        <v>2</v>
      </c>
      <c r="K17" s="11" t="n"/>
      <c r="L17" s="13" t="inlineStr"/>
    </row>
    <row r="18">
      <c r="A18" s="7" t="n">
        <v>15</v>
      </c>
      <c r="B18" s="7" t="inlineStr">
        <is>
          <t>D015</t>
        </is>
      </c>
      <c r="C18" s="7" t="inlineStr">
        <is>
          <t>徐平</t>
        </is>
      </c>
      <c r="D18" s="8" t="inlineStr">
        <is>
          <t>PING HSU</t>
        </is>
      </c>
      <c r="E18" s="7" t="inlineStr">
        <is>
          <t>醫師</t>
        </is>
      </c>
      <c r="F18" s="7" t="inlineStr"/>
      <c r="G18" s="8" t="inlineStr"/>
      <c r="H18" s="14" t="inlineStr">
        <is>
          <t>晶曜</t>
        </is>
      </c>
      <c r="I18" s="8" t="inlineStr">
        <is>
          <t>晶悅 · 晶曜</t>
        </is>
      </c>
      <c r="J18" s="10">
        <f>IF($I18="","",LEN($I18)-LEN(SUBSTITUTE($I18,"·",""))+1)</f>
        <v>2</v>
      </c>
      <c r="K18" s="11" t="n"/>
      <c r="L18" s="8" t="inlineStr"/>
    </row>
    <row r="19">
      <c r="A19" s="12" t="n">
        <v>16</v>
      </c>
      <c r="B19" s="12" t="inlineStr">
        <is>
          <t>D016</t>
        </is>
      </c>
      <c r="C19" s="12" t="inlineStr">
        <is>
          <t>賴敏傑</t>
        </is>
      </c>
      <c r="D19" s="13" t="inlineStr">
        <is>
          <t>MIN-CHIEH LAI</t>
        </is>
      </c>
      <c r="E19" s="12" t="inlineStr">
        <is>
          <t>醫師</t>
        </is>
      </c>
      <c r="F19" s="12" t="inlineStr"/>
      <c r="G19" s="13" t="inlineStr"/>
      <c r="H19" s="18" t="inlineStr">
        <is>
          <t>晶睿</t>
        </is>
      </c>
      <c r="I19" s="13" t="inlineStr">
        <is>
          <t>晶睿</t>
        </is>
      </c>
      <c r="J19" s="15">
        <f>IF($I19="","",LEN($I19)-LEN(SUBSTITUTE($I19,"·",""))+1)</f>
        <v>1</v>
      </c>
      <c r="K19" s="11" t="n"/>
      <c r="L19" s="13" t="inlineStr"/>
    </row>
    <row r="20">
      <c r="A20" s="7" t="n">
        <v>17</v>
      </c>
      <c r="B20" s="7" t="inlineStr">
        <is>
          <t>D017</t>
        </is>
      </c>
      <c r="C20" s="7" t="inlineStr">
        <is>
          <t>吳柏賢</t>
        </is>
      </c>
      <c r="D20" s="8" t="inlineStr">
        <is>
          <t>BO-XIAN WU</t>
        </is>
      </c>
      <c r="E20" s="7" t="inlineStr">
        <is>
          <t>醫師</t>
        </is>
      </c>
      <c r="F20" s="7" t="inlineStr"/>
      <c r="G20" s="8" t="inlineStr"/>
      <c r="H20" s="14" t="inlineStr">
        <is>
          <t>晶曜</t>
        </is>
      </c>
      <c r="I20" s="8" t="inlineStr">
        <is>
          <t>晶睿 · 晶曜</t>
        </is>
      </c>
      <c r="J20" s="10">
        <f>IF($I20="","",LEN($I20)-LEN(SUBSTITUTE($I20,"·",""))+1)</f>
        <v>2</v>
      </c>
      <c r="K20" s="11" t="n"/>
      <c r="L20" s="8" t="inlineStr"/>
    </row>
    <row r="21">
      <c r="A21" s="12" t="n">
        <v>18</v>
      </c>
      <c r="B21" s="12" t="inlineStr">
        <is>
          <t>D018</t>
        </is>
      </c>
      <c r="C21" s="12" t="inlineStr">
        <is>
          <t>許博諺</t>
        </is>
      </c>
      <c r="D21" s="13" t="inlineStr">
        <is>
          <t>PO-YEN HSU</t>
        </is>
      </c>
      <c r="E21" s="12" t="inlineStr">
        <is>
          <t>醫師</t>
        </is>
      </c>
      <c r="F21" s="12" t="inlineStr"/>
      <c r="G21" s="13" t="inlineStr"/>
      <c r="H21" s="14" t="inlineStr">
        <is>
          <t>晶曜</t>
        </is>
      </c>
      <c r="I21" s="13" t="inlineStr">
        <is>
          <t>晶睿 · 晶曜</t>
        </is>
      </c>
      <c r="J21" s="15">
        <f>IF($I21="","",LEN($I21)-LEN(SUBSTITUTE($I21,"·",""))+1)</f>
        <v>2</v>
      </c>
      <c r="K21" s="11" t="n"/>
      <c r="L21" s="13" t="inlineStr"/>
    </row>
    <row r="22">
      <c r="A22" s="7" t="n">
        <v>19</v>
      </c>
      <c r="B22" s="7" t="inlineStr">
        <is>
          <t>D019</t>
        </is>
      </c>
      <c r="C22" s="7" t="inlineStr">
        <is>
          <t>翁崎紘</t>
        </is>
      </c>
      <c r="D22" s="8" t="inlineStr">
        <is>
          <t>CHI-HONG WENG</t>
        </is>
      </c>
      <c r="E22" s="7" t="inlineStr">
        <is>
          <t>醫師</t>
        </is>
      </c>
      <c r="F22" s="7" t="inlineStr"/>
      <c r="G22" s="8" t="inlineStr"/>
      <c r="H22" s="9" t="inlineStr">
        <is>
          <t>晶悅</t>
        </is>
      </c>
      <c r="I22" s="8" t="inlineStr">
        <is>
          <t>晶悅</t>
        </is>
      </c>
      <c r="J22" s="10">
        <f>IF($I22="","",LEN($I22)-LEN(SUBSTITUTE($I22,"·",""))+1)</f>
        <v>1</v>
      </c>
      <c r="K22" s="11" t="n"/>
      <c r="L22" s="8" t="inlineStr"/>
    </row>
    <row r="23">
      <c r="A23" s="12" t="n">
        <v>20</v>
      </c>
      <c r="B23" s="12" t="inlineStr">
        <is>
          <t>D020</t>
        </is>
      </c>
      <c r="C23" s="12" t="inlineStr">
        <is>
          <t>余柏萱</t>
        </is>
      </c>
      <c r="D23" s="13" t="inlineStr">
        <is>
          <t>PO-HSUAN YU</t>
        </is>
      </c>
      <c r="E23" s="12" t="inlineStr">
        <is>
          <t>醫師</t>
        </is>
      </c>
      <c r="F23" s="12" t="inlineStr"/>
      <c r="G23" s="13" t="inlineStr"/>
      <c r="H23" s="18" t="inlineStr">
        <is>
          <t>晶睿</t>
        </is>
      </c>
      <c r="I23" s="13" t="inlineStr">
        <is>
          <t>晶睿 · 寶貝牙</t>
        </is>
      </c>
      <c r="J23" s="15">
        <f>IF($I23="","",LEN($I23)-LEN(SUBSTITUTE($I23,"·",""))+1)</f>
        <v>2</v>
      </c>
      <c r="K23" s="11" t="n"/>
      <c r="L23" s="13" t="inlineStr"/>
    </row>
    <row r="24">
      <c r="A24" s="7" t="n">
        <v>21</v>
      </c>
      <c r="B24" s="7" t="inlineStr">
        <is>
          <t>D021</t>
        </is>
      </c>
      <c r="C24" s="7" t="inlineStr">
        <is>
          <t>鄭博文</t>
        </is>
      </c>
      <c r="D24" s="8" t="inlineStr">
        <is>
          <t>PO-WEN CHENG</t>
        </is>
      </c>
      <c r="E24" s="7" t="inlineStr">
        <is>
          <t>醫師</t>
        </is>
      </c>
      <c r="F24" s="7" t="inlineStr"/>
      <c r="G24" s="8" t="inlineStr"/>
      <c r="H24" s="9" t="inlineStr">
        <is>
          <t>晶悅</t>
        </is>
      </c>
      <c r="I24" s="8" t="inlineStr">
        <is>
          <t>晶悅</t>
        </is>
      </c>
      <c r="J24" s="10">
        <f>IF($I24="","",LEN($I24)-LEN(SUBSTITUTE($I24,"·",""))+1)</f>
        <v>1</v>
      </c>
      <c r="K24" s="11" t="n"/>
      <c r="L24" s="8" t="inlineStr"/>
    </row>
    <row r="25">
      <c r="A25" s="12" t="n">
        <v>22</v>
      </c>
      <c r="B25" s="12" t="inlineStr">
        <is>
          <t>D022</t>
        </is>
      </c>
      <c r="C25" s="12" t="inlineStr">
        <is>
          <t>黃育亭</t>
        </is>
      </c>
      <c r="D25" s="13" t="inlineStr">
        <is>
          <t>YU-TING HUANG</t>
        </is>
      </c>
      <c r="E25" s="12" t="inlineStr">
        <is>
          <t>醫師</t>
        </is>
      </c>
      <c r="F25" s="12" t="inlineStr">
        <is>
          <t>院長</t>
        </is>
      </c>
      <c r="G25" s="13" t="inlineStr">
        <is>
          <t>兒童</t>
        </is>
      </c>
      <c r="H25" s="16" t="inlineStr">
        <is>
          <t>寶貝牙</t>
        </is>
      </c>
      <c r="I25" s="13" t="inlineStr">
        <is>
          <t>寶貝牙</t>
        </is>
      </c>
      <c r="J25" s="15">
        <f>IF($I25="","",LEN($I25)-LEN(SUBSTITUTE($I25,"·",""))+1)</f>
        <v>1</v>
      </c>
      <c r="K25" s="11" t="n"/>
      <c r="L25" s="13" t="inlineStr"/>
    </row>
    <row r="26">
      <c r="A26" s="7" t="n">
        <v>23</v>
      </c>
      <c r="B26" s="7" t="inlineStr">
        <is>
          <t>D023</t>
        </is>
      </c>
      <c r="C26" s="7" t="inlineStr">
        <is>
          <t>黃婷愉</t>
        </is>
      </c>
      <c r="D26" s="8" t="inlineStr">
        <is>
          <t>TING-YU HUANG</t>
        </is>
      </c>
      <c r="E26" s="7" t="inlineStr">
        <is>
          <t>醫師</t>
        </is>
      </c>
      <c r="F26" s="7" t="inlineStr"/>
      <c r="G26" s="8" t="inlineStr">
        <is>
          <t>口外</t>
        </is>
      </c>
      <c r="H26" s="16" t="inlineStr">
        <is>
          <t>寶貝牙</t>
        </is>
      </c>
      <c r="I26" s="8" t="inlineStr">
        <is>
          <t>寶貝牙</t>
        </is>
      </c>
      <c r="J26" s="10">
        <f>IF($I26="","",LEN($I26)-LEN(SUBSTITUTE($I26,"·",""))+1)</f>
        <v>1</v>
      </c>
      <c r="K26" s="11" t="n"/>
      <c r="L26" s="8" t="inlineStr"/>
    </row>
    <row r="27">
      <c r="A27" s="12" t="n">
        <v>24</v>
      </c>
      <c r="B27" s="12" t="inlineStr">
        <is>
          <t>D024</t>
        </is>
      </c>
      <c r="C27" s="12" t="inlineStr">
        <is>
          <t>林紓安</t>
        </is>
      </c>
      <c r="D27" s="13" t="inlineStr">
        <is>
          <t>SHU-AN LIN</t>
        </is>
      </c>
      <c r="E27" s="12" t="inlineStr">
        <is>
          <t>醫師</t>
        </is>
      </c>
      <c r="F27" s="12" t="inlineStr"/>
      <c r="G27" s="13" t="inlineStr">
        <is>
          <t>兒童</t>
        </is>
      </c>
      <c r="H27" s="16" t="inlineStr">
        <is>
          <t>寶貝牙</t>
        </is>
      </c>
      <c r="I27" s="13" t="inlineStr">
        <is>
          <t>晶匯 · 寶貝牙</t>
        </is>
      </c>
      <c r="J27" s="15">
        <f>IF($I27="","",LEN($I27)-LEN(SUBSTITUTE($I27,"·",""))+1)</f>
        <v>2</v>
      </c>
      <c r="K27" s="11" t="n"/>
      <c r="L27" s="13" t="inlineStr"/>
    </row>
    <row r="28">
      <c r="A28" s="7" t="n">
        <v>25</v>
      </c>
      <c r="B28" s="7" t="inlineStr">
        <is>
          <t>D025</t>
        </is>
      </c>
      <c r="C28" s="7" t="inlineStr">
        <is>
          <t>陳爵安</t>
        </is>
      </c>
      <c r="D28" s="8" t="inlineStr"/>
      <c r="E28" s="7" t="inlineStr">
        <is>
          <t>醫師</t>
        </is>
      </c>
      <c r="F28" s="7" t="inlineStr"/>
      <c r="G28" s="8" t="inlineStr"/>
      <c r="H28" s="18" t="inlineStr">
        <is>
          <t>晶睿</t>
        </is>
      </c>
      <c r="I28" s="8" t="inlineStr">
        <is>
          <t>晶睿</t>
        </is>
      </c>
      <c r="J28" s="10">
        <f>IF($I28="","",LEN($I28)-LEN(SUBSTITUTE($I28,"·",""))+1)</f>
        <v>1</v>
      </c>
      <c r="K28" s="11" t="n"/>
      <c r="L28" s="8" t="inlineStr">
        <is>
          <t>官網醫療團隊頁未收錄,資料待補</t>
        </is>
      </c>
    </row>
    <row r="29">
      <c r="A29" s="12" t="n">
        <v>26</v>
      </c>
      <c r="B29" s="12" t="inlineStr">
        <is>
          <t>D026</t>
        </is>
      </c>
      <c r="C29" s="12" t="inlineStr">
        <is>
          <t>吳冠廷</t>
        </is>
      </c>
      <c r="D29" s="13" t="inlineStr"/>
      <c r="E29" s="12" t="inlineStr">
        <is>
          <t>醫師</t>
        </is>
      </c>
      <c r="F29" s="12" t="inlineStr"/>
      <c r="G29" s="13" t="inlineStr"/>
      <c r="H29" s="17" t="inlineStr">
        <is>
          <t>晶匯</t>
        </is>
      </c>
      <c r="I29" s="13" t="inlineStr">
        <is>
          <t>晶匯</t>
        </is>
      </c>
      <c r="J29" s="15">
        <f>IF($I29="","",LEN($I29)-LEN(SUBSTITUTE($I29,"·",""))+1)</f>
        <v>1</v>
      </c>
      <c r="K29" s="11" t="n"/>
      <c r="L29" s="13" t="inlineStr">
        <is>
          <t>官網醫療團隊頁未收錄,資料待補</t>
        </is>
      </c>
    </row>
    <row r="30">
      <c r="A30" s="7" t="n">
        <v>27</v>
      </c>
      <c r="B30" s="7" t="inlineStr">
        <is>
          <t>D027</t>
        </is>
      </c>
      <c r="C30" s="7" t="inlineStr">
        <is>
          <t>楊孟庭</t>
        </is>
      </c>
      <c r="D30" s="8" t="inlineStr"/>
      <c r="E30" s="7" t="inlineStr">
        <is>
          <t>醫師</t>
        </is>
      </c>
      <c r="F30" s="7" t="inlineStr"/>
      <c r="G30" s="8" t="inlineStr"/>
      <c r="H30" s="17" t="inlineStr">
        <is>
          <t>晶匯</t>
        </is>
      </c>
      <c r="I30" s="8" t="inlineStr">
        <is>
          <t>晶匯</t>
        </is>
      </c>
      <c r="J30" s="10">
        <f>IF($I30="","",LEN($I30)-LEN(SUBSTITUTE($I30,"·",""))+1)</f>
        <v>1</v>
      </c>
      <c r="K30" s="11" t="n"/>
      <c r="L30" s="8" t="inlineStr">
        <is>
          <t>官網醫療團隊頁未收錄,資料待補</t>
        </is>
      </c>
    </row>
    <row r="31">
      <c r="A31" s="12" t="n">
        <v>28</v>
      </c>
      <c r="B31" s="12" t="inlineStr">
        <is>
          <t>N001</t>
        </is>
      </c>
      <c r="C31" s="12" t="inlineStr">
        <is>
          <t>ivy</t>
        </is>
      </c>
      <c r="D31" s="13" t="inlineStr"/>
      <c r="E31" s="12" t="inlineStr">
        <is>
          <t>醫護長</t>
        </is>
      </c>
      <c r="F31" s="12" t="inlineStr"/>
      <c r="G31" s="13" t="inlineStr"/>
      <c r="H31" s="9" t="inlineStr">
        <is>
          <t>晶悅</t>
        </is>
      </c>
      <c r="I31" s="13" t="inlineStr">
        <is>
          <t>晶悅</t>
        </is>
      </c>
      <c r="J31" s="15">
        <f>IF($I31="","",LEN($I31)-LEN(SUBSTITUTE($I31,"·",""))+1)</f>
        <v>1</v>
      </c>
      <c r="K31" s="11" t="n"/>
      <c r="L31" s="13" t="inlineStr"/>
    </row>
    <row r="32">
      <c r="A32" s="7" t="n">
        <v>29</v>
      </c>
      <c r="B32" s="7" t="inlineStr">
        <is>
          <t>N002</t>
        </is>
      </c>
      <c r="C32" s="7" t="inlineStr">
        <is>
          <t>文君</t>
        </is>
      </c>
      <c r="D32" s="8" t="inlineStr"/>
      <c r="E32" s="7" t="inlineStr">
        <is>
          <t>醫護長</t>
        </is>
      </c>
      <c r="F32" s="7" t="inlineStr"/>
      <c r="G32" s="8" t="inlineStr"/>
      <c r="H32" s="18" t="inlineStr">
        <is>
          <t>晶睿</t>
        </is>
      </c>
      <c r="I32" s="8" t="inlineStr">
        <is>
          <t>晶睿 · 晶曜</t>
        </is>
      </c>
      <c r="J32" s="10">
        <f>IF($I32="","",LEN($I32)-LEN(SUBSTITUTE($I32,"·",""))+1)</f>
        <v>2</v>
      </c>
      <c r="K32" s="11" t="n"/>
      <c r="L32" s="8" t="inlineStr">
        <is>
          <t>兼管晶睿與晶曜</t>
        </is>
      </c>
    </row>
    <row r="33">
      <c r="A33" s="12" t="n">
        <v>30</v>
      </c>
      <c r="B33" s="12" t="inlineStr">
        <is>
          <t>N003</t>
        </is>
      </c>
      <c r="C33" s="12" t="inlineStr">
        <is>
          <t>小玲</t>
        </is>
      </c>
      <c r="D33" s="13" t="inlineStr"/>
      <c r="E33" s="12" t="inlineStr">
        <is>
          <t>醫護長</t>
        </is>
      </c>
      <c r="F33" s="12" t="inlineStr"/>
      <c r="G33" s="13" t="inlineStr"/>
      <c r="H33" s="17" t="inlineStr">
        <is>
          <t>晶匯</t>
        </is>
      </c>
      <c r="I33" s="13" t="inlineStr">
        <is>
          <t>晶匯</t>
        </is>
      </c>
      <c r="J33" s="15">
        <f>IF($I33="","",LEN($I33)-LEN(SUBSTITUTE($I33,"·",""))+1)</f>
        <v>1</v>
      </c>
      <c r="K33" s="11" t="n"/>
      <c r="L33" s="13" t="inlineStr"/>
    </row>
    <row r="34">
      <c r="A34" s="7" t="n">
        <v>31</v>
      </c>
      <c r="B34" s="7" t="inlineStr">
        <is>
          <t>N004</t>
        </is>
      </c>
      <c r="C34" s="7" t="inlineStr">
        <is>
          <t>娜娜</t>
        </is>
      </c>
      <c r="D34" s="8" t="inlineStr"/>
      <c r="E34" s="7" t="inlineStr">
        <is>
          <t>醫護長</t>
        </is>
      </c>
      <c r="F34" s="7" t="inlineStr"/>
      <c r="G34" s="8" t="inlineStr"/>
      <c r="H34" s="16" t="inlineStr">
        <is>
          <t>寶貝牙</t>
        </is>
      </c>
      <c r="I34" s="8" t="inlineStr">
        <is>
          <t>寶貝牙</t>
        </is>
      </c>
      <c r="J34" s="10">
        <f>IF($I34="","",LEN($I34)-LEN(SUBSTITUTE($I34,"·",""))+1)</f>
        <v>1</v>
      </c>
      <c r="K34" s="11" t="n"/>
      <c r="L34" s="8" t="inlineStr"/>
    </row>
    <row r="35">
      <c r="A35" s="12" t="n">
        <v>32</v>
      </c>
      <c r="B35" s="12" t="inlineStr">
        <is>
          <t>M001</t>
        </is>
      </c>
      <c r="C35" s="12" t="inlineStr">
        <is>
          <t>孟諭</t>
        </is>
      </c>
      <c r="D35" s="13" t="inlineStr"/>
      <c r="E35" s="12" t="inlineStr">
        <is>
          <t>管理部</t>
        </is>
      </c>
      <c r="F35" s="12" t="inlineStr"/>
      <c r="G35" s="13" t="inlineStr"/>
      <c r="H35" s="17" t="inlineStr">
        <is>
          <t>晶匯</t>
        </is>
      </c>
      <c r="I35" s="13" t="inlineStr">
        <is>
          <t>晶匯</t>
        </is>
      </c>
      <c r="J35" s="15">
        <f>IF($I35="","",LEN($I35)-LEN(SUBSTITUTE($I35,"·",""))+1)</f>
        <v>1</v>
      </c>
      <c r="K35" s="11" t="n"/>
      <c r="L35" s="13" t="inlineStr"/>
    </row>
    <row r="36">
      <c r="A36" s="7" t="n">
        <v>33</v>
      </c>
      <c r="B36" s="7" t="inlineStr">
        <is>
          <t>M002</t>
        </is>
      </c>
      <c r="C36" s="7" t="inlineStr">
        <is>
          <t>怡雯</t>
        </is>
      </c>
      <c r="D36" s="8" t="inlineStr"/>
      <c r="E36" s="7" t="inlineStr">
        <is>
          <t>管理部</t>
        </is>
      </c>
      <c r="F36" s="7" t="inlineStr"/>
      <c r="G36" s="8" t="inlineStr"/>
      <c r="H36" s="17" t="inlineStr">
        <is>
          <t>晶匯</t>
        </is>
      </c>
      <c r="I36" s="8" t="inlineStr">
        <is>
          <t>晶匯</t>
        </is>
      </c>
      <c r="J36" s="10">
        <f>IF($I36="","",LEN($I36)-LEN(SUBSTITUTE($I36,"·",""))+1)</f>
        <v>1</v>
      </c>
      <c r="K36" s="11" t="n"/>
      <c r="L36" s="8" t="inlineStr"/>
    </row>
    <row r="37">
      <c r="A37" s="12" t="n">
        <v>34</v>
      </c>
      <c r="B37" s="12" t="inlineStr">
        <is>
          <t>M003</t>
        </is>
      </c>
      <c r="C37" s="12" t="inlineStr">
        <is>
          <t>小華</t>
        </is>
      </c>
      <c r="D37" s="13" t="inlineStr"/>
      <c r="E37" s="12" t="inlineStr">
        <is>
          <t>管理部</t>
        </is>
      </c>
      <c r="F37" s="12" t="inlineStr"/>
      <c r="G37" s="13" t="inlineStr"/>
      <c r="H37" s="17" t="inlineStr">
        <is>
          <t>晶匯</t>
        </is>
      </c>
      <c r="I37" s="13" t="inlineStr">
        <is>
          <t>晶匯</t>
        </is>
      </c>
      <c r="J37" s="15">
        <f>IF($I37="","",LEN($I37)-LEN(SUBSTITUTE($I37,"·",""))+1)</f>
        <v>1</v>
      </c>
      <c r="K37" s="11" t="n"/>
      <c r="L37" s="13" t="inlineStr"/>
    </row>
    <row r="39" ht="15" customHeight="1">
      <c r="A39" s="19" t="inlineStr">
        <is>
          <t>【怎麼用】黃底的「到職日」是唯一要手填的欄位,請填真正的日期格式(例：2020/3/15),不要填成文字。填好之後特休年資才算得出來——目前 34 人全部空白。</t>
        </is>
      </c>
    </row>
    <row r="40" ht="15" customHeight="1">
      <c r="A40" s="19" t="inlineStr">
        <is>
          <t>【自動欄位】第 2 列的人數與「跨院數」是公式,加人或改「服務院所」會自己更新,不必手改。</t>
        </is>
      </c>
    </row>
    <row r="41" ht="15" customHeight="1">
      <c r="A41" s="19" t="inlineStr">
        <is>
          <t>【資料來源】醫師的姓名、英文名、專科、服務院所取自 gemray.tw 官網醫療團隊頁與五間院所門診表;醫護長與管理部由小編提供。</t>
        </is>
      </c>
    </row>
    <row r="42" ht="15" customHeight="1">
      <c r="A42" s="19" t="inlineStr">
        <is>
          <t>【主要院所】醫師是依門診表算出每週診次最多的那一間,不是名單排序;院長則以所轄院所為準(陳昺元晶悅與晶匯各 5 診次,依院長職務歸晶匯)。跨院醫師在「服務院所」欄可以看到全部院所。</t>
        </is>
      </c>
    </row>
    <row r="43" ht="15" customHeight="1">
      <c r="A43" s="19" t="inlineStr">
        <is>
          <t>【待確認】D025 陳爵安、D026 吳冠廷、D027 楊孟庭三位只出現在門診表,官網醫療團隊頁沒有,英文名與專科待補。</t>
        </is>
      </c>
    </row>
    <row r="44" ht="15" customHeight="1">
      <c r="A44" s="19" t="inlineStr">
        <is>
          <t>【員工編號】D／N／M 三碼為本表暫編,非人事系統編號。若人事或打卡系統另有編號,應以那套為準。</t>
        </is>
      </c>
    </row>
    <row r="45" ht="15" customHeight="1">
      <c r="A45" s="19" t="inlineStr">
        <is>
          <t>【個資】本表含員工個人資料,請依個資法限定使用目的並控管取用權限。</t>
        </is>
      </c>
    </row>
  </sheetData>
  <autoFilter ref="A3:L37"/>
  <mergeCells count="8">
    <mergeCell ref="A42:L42"/>
    <mergeCell ref="A43:L43"/>
    <mergeCell ref="A41:L41"/>
    <mergeCell ref="A1:L1"/>
    <mergeCell ref="A45:L45"/>
    <mergeCell ref="A44:L44"/>
    <mergeCell ref="A40:L40"/>
    <mergeCell ref="A39:L3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20" customWidth="1" min="3" max="3"/>
    <col width="10" customWidth="1" min="4" max="4"/>
    <col width="14" customWidth="1" min="5" max="5"/>
    <col width="34" customWidth="1" min="6" max="6"/>
    <col width="7" customWidth="1" min="7" max="7"/>
    <col width="8" customWidth="1" min="8" max="8"/>
    <col width="8" customWidth="1" min="9" max="9"/>
    <col width="7" customWidth="1" min="10" max="10"/>
  </cols>
  <sheetData>
    <row r="1" ht="26" customHeight="1">
      <c r="A1" s="20" t="inlineStr">
        <is>
          <t>院所對照與人數</t>
        </is>
      </c>
    </row>
    <row r="2">
      <c r="A2" s="6" t="inlineStr">
        <is>
          <t>代碼</t>
        </is>
      </c>
      <c r="B2" s="6" t="inlineStr">
        <is>
          <t>簡稱</t>
        </is>
      </c>
      <c r="C2" s="6" t="inlineStr">
        <is>
          <t>全名</t>
        </is>
      </c>
      <c r="D2" s="6" t="inlineStr">
        <is>
          <t>院長</t>
        </is>
      </c>
      <c r="E2" s="6" t="inlineStr">
        <is>
          <t>電話</t>
        </is>
      </c>
      <c r="F2" s="6" t="inlineStr">
        <is>
          <t>地址</t>
        </is>
      </c>
      <c r="G2" s="6" t="inlineStr">
        <is>
          <t>醫師</t>
        </is>
      </c>
      <c r="H2" s="6" t="inlineStr">
        <is>
          <t>醫護長</t>
        </is>
      </c>
      <c r="I2" s="6" t="inlineStr">
        <is>
          <t>管理部</t>
        </is>
      </c>
      <c r="J2" s="6" t="inlineStr">
        <is>
          <t>合計</t>
        </is>
      </c>
    </row>
    <row r="3">
      <c r="A3" s="7" t="inlineStr">
        <is>
          <t>悅</t>
        </is>
      </c>
      <c r="B3" s="9" t="inlineStr">
        <is>
          <t>晶悅</t>
        </is>
      </c>
      <c r="C3" s="8" t="inlineStr">
        <is>
          <t>晶悅牙醫診所</t>
        </is>
      </c>
      <c r="D3" s="7" t="inlineStr">
        <is>
          <t>林智俊</t>
        </is>
      </c>
      <c r="E3" s="7" t="inlineStr">
        <is>
          <t>03-4257710</t>
        </is>
      </c>
      <c r="F3" s="8" t="inlineStr">
        <is>
          <t>320桃園市中壢區新生路251號</t>
        </is>
      </c>
      <c r="G3" s="10">
        <f>SUMPRODUCT(ISNUMBER(SEARCH("晶悅",員工名冊!$I$4:$I$37))*(員工名冊!$D$4:$D$37="醫師"))</f>
        <v>14</v>
      </c>
      <c r="H3" s="10">
        <f>SUMPRODUCT(ISNUMBER(SEARCH("晶悅",員工名冊!$I$4:$I$37))*(員工名冊!$D$4:$D$37="醫護長"))</f>
        <v>1</v>
      </c>
      <c r="I3" s="10">
        <f>SUMPRODUCT(ISNUMBER(SEARCH("晶悅",員工名冊!$I$4:$I$37))*(員工名冊!$D$4:$D$37="管理部"))</f>
        <v>0</v>
      </c>
      <c r="J3" s="10">
        <f>SUM(G3:I3)</f>
        <v>15</v>
      </c>
    </row>
    <row r="4">
      <c r="A4" s="7" t="inlineStr">
        <is>
          <t>睿</t>
        </is>
      </c>
      <c r="B4" s="18" t="inlineStr">
        <is>
          <t>晶睿</t>
        </is>
      </c>
      <c r="C4" s="8" t="inlineStr">
        <is>
          <t>晶睿牙醫診所</t>
        </is>
      </c>
      <c r="D4" s="7" t="inlineStr">
        <is>
          <t>温健成</t>
        </is>
      </c>
      <c r="E4" s="7" t="inlineStr">
        <is>
          <t>03-4522360</t>
        </is>
      </c>
      <c r="F4" s="8" t="inlineStr">
        <is>
          <t>桃園市中壢區福州二街502號</t>
        </is>
      </c>
      <c r="G4" s="10">
        <f>SUMPRODUCT(ISNUMBER(SEARCH("晶睿",員工名冊!$I$4:$I$37))*(員工名冊!$D$4:$D$37="醫師"))</f>
        <v>12</v>
      </c>
      <c r="H4" s="10">
        <f>SUMPRODUCT(ISNUMBER(SEARCH("晶睿",員工名冊!$I$4:$I$37))*(員工名冊!$D$4:$D$37="醫護長"))</f>
        <v>1</v>
      </c>
      <c r="I4" s="10">
        <f>SUMPRODUCT(ISNUMBER(SEARCH("晶睿",員工名冊!$I$4:$I$37))*(員工名冊!$D$4:$D$37="管理部"))</f>
        <v>0</v>
      </c>
      <c r="J4" s="10">
        <f>SUM(G4:I4)</f>
        <v>13</v>
      </c>
    </row>
    <row r="5">
      <c r="A5" s="7" t="inlineStr">
        <is>
          <t>匯</t>
        </is>
      </c>
      <c r="B5" s="17" t="inlineStr">
        <is>
          <t>晶匯</t>
        </is>
      </c>
      <c r="C5" s="8" t="inlineStr">
        <is>
          <t>晶匯牙醫診所</t>
        </is>
      </c>
      <c r="D5" s="7" t="inlineStr">
        <is>
          <t>陳昺元</t>
        </is>
      </c>
      <c r="E5" s="7" t="inlineStr">
        <is>
          <t>03-4550719</t>
        </is>
      </c>
      <c r="F5" s="8" t="inlineStr">
        <is>
          <t>桃園市中壢區成章一街172號</t>
        </is>
      </c>
      <c r="G5" s="10">
        <f>SUMPRODUCT(ISNUMBER(SEARCH("晶匯",員工名冊!$I$4:$I$37))*(員工名冊!$D$4:$D$37="醫師"))</f>
        <v>9</v>
      </c>
      <c r="H5" s="10">
        <f>SUMPRODUCT(ISNUMBER(SEARCH("晶匯",員工名冊!$I$4:$I$37))*(員工名冊!$D$4:$D$37="醫護長"))</f>
        <v>1</v>
      </c>
      <c r="I5" s="10">
        <f>SUMPRODUCT(ISNUMBER(SEARCH("晶匯",員工名冊!$I$4:$I$37))*(員工名冊!$D$4:$D$37="管理部"))</f>
        <v>3</v>
      </c>
      <c r="J5" s="10">
        <f>SUM(G5:I5)</f>
        <v>13</v>
      </c>
    </row>
    <row r="6">
      <c r="A6" s="7" t="inlineStr">
        <is>
          <t>曜</t>
        </is>
      </c>
      <c r="B6" s="14" t="inlineStr">
        <is>
          <t>晶曜</t>
        </is>
      </c>
      <c r="C6" s="8" t="inlineStr">
        <is>
          <t>晶曜牙醫診所</t>
        </is>
      </c>
      <c r="D6" s="7" t="inlineStr">
        <is>
          <t>劉立德</t>
        </is>
      </c>
      <c r="E6" s="7" t="inlineStr">
        <is>
          <t>03-3150666</t>
        </is>
      </c>
      <c r="F6" s="8" t="inlineStr">
        <is>
          <t>桃園市桃園區中正路1398-1號</t>
        </is>
      </c>
      <c r="G6" s="10">
        <f>SUMPRODUCT(ISNUMBER(SEARCH("晶曜",員工名冊!$I$4:$I$37))*(員工名冊!$D$4:$D$37="醫師"))</f>
        <v>7</v>
      </c>
      <c r="H6" s="10">
        <f>SUMPRODUCT(ISNUMBER(SEARCH("晶曜",員工名冊!$I$4:$I$37))*(員工名冊!$D$4:$D$37="醫護長"))</f>
        <v>1</v>
      </c>
      <c r="I6" s="10">
        <f>SUMPRODUCT(ISNUMBER(SEARCH("晶曜",員工名冊!$I$4:$I$37))*(員工名冊!$D$4:$D$37="管理部"))</f>
        <v>0</v>
      </c>
      <c r="J6" s="10">
        <f>SUM(G6:I6)</f>
        <v>8</v>
      </c>
    </row>
    <row r="7">
      <c r="A7" s="7" t="inlineStr">
        <is>
          <t>寶</t>
        </is>
      </c>
      <c r="B7" s="16" t="inlineStr">
        <is>
          <t>寶貝牙</t>
        </is>
      </c>
      <c r="C7" s="8" t="inlineStr">
        <is>
          <t>寶貝牙牙醫診所</t>
        </is>
      </c>
      <c r="D7" s="7" t="inlineStr">
        <is>
          <t>黃育亭</t>
        </is>
      </c>
      <c r="E7" s="7" t="inlineStr">
        <is>
          <t>03-2871688</t>
        </is>
      </c>
      <c r="F7" s="8" t="inlineStr">
        <is>
          <t>桃園市大園區新生路四段273號2樓</t>
        </is>
      </c>
      <c r="G7" s="10">
        <f>SUMPRODUCT(ISNUMBER(SEARCH("寶貝牙",員工名冊!$I$4:$I$37))*(員工名冊!$D$4:$D$37="醫師"))</f>
        <v>7</v>
      </c>
      <c r="H7" s="10">
        <f>SUMPRODUCT(ISNUMBER(SEARCH("寶貝牙",員工名冊!$I$4:$I$37))*(員工名冊!$D$4:$D$37="醫護長"))</f>
        <v>1</v>
      </c>
      <c r="I7" s="10">
        <f>SUMPRODUCT(ISNUMBER(SEARCH("寶貝牙",員工名冊!$I$4:$I$37))*(員工名冊!$D$4:$D$37="管理部"))</f>
        <v>0</v>
      </c>
      <c r="J7" s="10">
        <f>SUM(G7:I7)</f>
        <v>8</v>
      </c>
    </row>
    <row r="9">
      <c r="A9" s="19" t="inlineStr">
        <is>
          <t>※ 人數是用「服務院所」欄做包含比對算的,所以跨院醫師會在每一間都被計入一次,各院所合計會大於總人數 34。要看不重複人數請以「員工名冊」第 2 列為準。</t>
        </is>
      </c>
    </row>
    <row r="10">
      <c r="A10" s="19" t="inlineStr">
        <is>
          <t>※ 文君兼管晶睿與晶曜,是同一位、一個員工編號,兩間都會算到她。</t>
        </is>
      </c>
    </row>
  </sheetData>
  <mergeCells count="3">
    <mergeCell ref="A1:J1"/>
    <mergeCell ref="A9:J9"/>
    <mergeCell ref="A10:J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2026-09-16T02:56:52Z</dcterms:created>
  <dcterms:modified xsi:type="dcterms:W3CDTF">2026-09-16T02:56:52Z</dcterms:modified>
</cp:coreProperties>
</file>