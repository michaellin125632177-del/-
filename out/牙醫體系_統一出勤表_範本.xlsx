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設定" sheetId="2" state="visible" r:id="rId2"/>
    <sheet name="班表" sheetId="3" state="visible" r:id="rId3"/>
    <sheet name="月結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微軟正黑體"/>
      <b val="1"/>
      <color rgb="00000000"/>
      <sz val="16"/>
    </font>
    <font>
      <name val="微軟正黑體"/>
      <b val="1"/>
      <color rgb="00000000"/>
      <sz val="10"/>
    </font>
    <font>
      <name val="微軟正黑體"/>
      <color rgb="00000000"/>
      <sz val="10"/>
    </font>
    <font>
      <name val="微軟正黑體"/>
      <b val="1"/>
      <color rgb="00000000"/>
      <sz val="11"/>
    </font>
    <font>
      <name val="微軟正黑體"/>
      <b val="1"/>
      <color rgb="00FFFFFF"/>
      <sz val="10"/>
    </font>
    <font>
      <name val="微軟正黑體"/>
      <color rgb="00808080"/>
      <sz val="9"/>
    </font>
    <font>
      <name val="微軟正黑體"/>
      <b val="1"/>
      <color rgb="00000000"/>
      <sz val="9"/>
    </font>
    <font>
      <name val="微軟正黑體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DCE6EC"/>
      </patternFill>
    </fill>
    <fill>
      <patternFill patternType="solid">
        <fgColor rgb="001F4E5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7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CE4E4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0" customWidth="1" min="3" max="3"/>
  </cols>
  <sheetData>
    <row r="2">
      <c r="B2" s="1" t="inlineStr">
        <is>
          <t>牙醫體系 — 統一出勤表 使用說明</t>
        </is>
      </c>
    </row>
    <row r="4" ht="36" customHeight="1">
      <c r="B4" s="2" t="inlineStr">
        <is>
          <t>這份檔案是什麼</t>
        </is>
      </c>
      <c r="C4" s="3" t="inlineStr">
        <is>
          <t>全體系共用的月班表範本。統一的是「欄位」與「班別代碼」,不是逼各院所用同一種排班方式。
醫師用診次計、助理與醫護長用工時計,兩者共用同一套代碼,統計才能橫向比較。</t>
        </is>
      </c>
    </row>
    <row r="5" ht="51" customHeight="1">
      <c r="B5" s="2" t="inlineStr">
        <is>
          <t>分頁怎麼用</t>
        </is>
      </c>
      <c r="C5" s="3" t="inlineStr">
        <is>
          <t>① 設定 — 班別代碼、院所清單、人員名冊。全體系只有總部可改,各院所不要動。
② 班表 — 各院所每月填這一頁。只需填黃底格子。
③ 月結統計 — 全自動,不要手動改(只有「加班時數」那一欄要手填)。</t>
        </is>
      </c>
    </row>
    <row r="6" ht="51" customHeight="1">
      <c r="B6" s="2" t="inlineStr">
        <is>
          <t>一間院所一個檔</t>
        </is>
      </c>
      <c r="C6" s="3" t="inlineStr">
        <is>
          <t>請從本範本「另存新檔」給每間院所各一份,檔名例:2026-10_中山院_出勤表.xlsx。
若要放在同一個檔案內,必須把「班表」與「月結統計」兩個分頁「一起選取後複製」,
否則月結統計會算到別間院所的班表。</t>
        </is>
      </c>
    </row>
    <row r="7" ht="81" customHeight="1">
      <c r="B7" s="2" t="inlineStr">
        <is>
          <t>填表順序</t>
        </is>
      </c>
      <c r="C7" s="3" t="inlineStr">
        <is>
          <t>1. 在「班表」B2 選院所,E2 填年、G2 填月。
2. A 欄用下拉選單選員工編號 → 姓名與職類會自動帶出。
3. D 欄起逐日選班別代碼(下拉選單,不要自己打字)。
4. 檢查第 37~39 列「當日人力」有沒有變紅(助理不足 2 人會示警)。
5. 到「月結統計」把打卡機的加班時數填進黃底欄,月結完成。</t>
        </is>
      </c>
    </row>
    <row r="8" ht="66" customHeight="1">
      <c r="B8" s="2" t="inlineStr">
        <is>
          <t>顏色代表什麼</t>
        </is>
      </c>
      <c r="C8" s="3" t="inlineStr">
        <is>
          <t>黃底 = 你要填的格子     灰底 = 公式自動算,別動
淺藍欄 = 週六/週日       灰色格 = 休假類代碼
綠色格 = 支援他院        粉紅格 = 該日還沒排班(漏排提醒)
紅色格 = 當日人力低於門檻</t>
        </is>
      </c>
    </row>
    <row r="9" ht="36" customHeight="1">
      <c r="B9" s="2" t="inlineStr">
        <is>
          <t>交表時程(建議)</t>
        </is>
      </c>
      <c r="C9" s="3" t="inlineStr">
        <is>
          <t>每月 25 日前,各院所醫護長把下月班表交回總部,總部彙整後鎖表。
臨時調班一律在「班表」上改並註記,不要只在 LINE 群講。</t>
        </is>
      </c>
    </row>
    <row r="10" ht="51" customHeight="1">
      <c r="B10" s="2" t="inlineStr">
        <is>
          <t>⚠ 法規提醒</t>
        </is>
      </c>
      <c r="C10" s="3" t="inlineStr">
        <is>
          <t>本表是「預排班表 + 月結統計」。依勞動基準法第 30 條,雇主仍須另備「逐日、記載至分鐘」的
實際出勤紀錄(打卡機或簽到紀錄),並保存 5 年。本表不能取代那份紀錄。
受僱醫師是否適用勞基法,依其僱傭契約與主管機關公告認定,建議請人資或顧問確認後再定義工時欄。</t>
        </is>
      </c>
    </row>
    <row r="11" ht="36" customHeight="1">
      <c r="B11" s="2" t="inlineStr">
        <is>
          <t>範例資料</t>
        </is>
      </c>
      <c r="C11" s="3" t="inlineStr">
        <is>
          <t>「班表」第 6~14 列與「設定」的院所、人員都是範例資料,上線前請整批刪除換成實際名單。
「設定」的班別時間(如早診 09:00-12:00)也請改成貴體系實際的診次時間。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6" customWidth="1" min="3" max="3"/>
    <col width="10" customWidth="1" min="4" max="4"/>
    <col width="10" customWidth="1" min="5" max="5"/>
    <col width="12" customWidth="1" min="6" max="6"/>
    <col width="8" customWidth="1" min="7" max="7"/>
    <col width="10" customWidth="1" min="8" max="8"/>
    <col width="10" customWidth="1" min="9" max="9"/>
    <col width="2" customWidth="1" min="10" max="10"/>
    <col width="10" customWidth="1" min="11" max="11"/>
    <col width="2" customWidth="1" min="12" max="12"/>
    <col width="12" customWidth="1" min="13" max="13"/>
  </cols>
  <sheetData>
    <row r="1">
      <c r="B1" s="1" t="inlineStr">
        <is>
          <t>設定表(總部維護,各院所請勿修改)</t>
        </is>
      </c>
    </row>
    <row r="3">
      <c r="B3" s="4" t="inlineStr">
        <is>
          <t>一、班別代碼表</t>
        </is>
      </c>
    </row>
    <row r="4">
      <c r="B4" s="5" t="inlineStr">
        <is>
          <t>代碼</t>
        </is>
      </c>
      <c r="C4" s="5" t="inlineStr">
        <is>
          <t>名稱</t>
        </is>
      </c>
      <c r="D4" s="5" t="inlineStr">
        <is>
          <t>開始</t>
        </is>
      </c>
      <c r="E4" s="5" t="inlineStr">
        <is>
          <t>結束</t>
        </is>
      </c>
      <c r="F4" s="5" t="inlineStr">
        <is>
          <t>排班工時</t>
        </is>
      </c>
      <c r="G4" s="5" t="inlineStr">
        <is>
          <t>診次</t>
        </is>
      </c>
      <c r="H4" s="5" t="inlineStr">
        <is>
          <t>計出勤</t>
        </is>
      </c>
      <c r="I4" s="5" t="inlineStr">
        <is>
          <t>類別</t>
        </is>
      </c>
      <c r="K4" s="6" t="inlineStr">
        <is>
          <t>星期對照</t>
        </is>
      </c>
      <c r="M4" s="6" t="inlineStr">
        <is>
          <t>職類</t>
        </is>
      </c>
    </row>
    <row r="5">
      <c r="B5" s="7" t="inlineStr">
        <is>
          <t>D1</t>
        </is>
      </c>
      <c r="C5" s="8" t="inlineStr">
        <is>
          <t>早診</t>
        </is>
      </c>
      <c r="D5" s="7" t="inlineStr">
        <is>
          <t>09:00</t>
        </is>
      </c>
      <c r="E5" s="7" t="inlineStr">
        <is>
          <t>12:00</t>
        </is>
      </c>
      <c r="F5" s="9" t="n">
        <v>3</v>
      </c>
      <c r="G5" s="7" t="n">
        <v>1</v>
      </c>
      <c r="H5" s="7" t="n">
        <v>1</v>
      </c>
      <c r="I5" s="7" t="inlineStr">
        <is>
          <t>上班</t>
        </is>
      </c>
      <c r="K5" s="10" t="inlineStr">
        <is>
          <t>日</t>
        </is>
      </c>
      <c r="M5" s="10" t="inlineStr">
        <is>
          <t>醫師</t>
        </is>
      </c>
    </row>
    <row r="6">
      <c r="B6" s="7" t="inlineStr">
        <is>
          <t>D2</t>
        </is>
      </c>
      <c r="C6" s="8" t="inlineStr">
        <is>
          <t>午診</t>
        </is>
      </c>
      <c r="D6" s="7" t="inlineStr">
        <is>
          <t>14:00</t>
        </is>
      </c>
      <c r="E6" s="7" t="inlineStr">
        <is>
          <t>17:00</t>
        </is>
      </c>
      <c r="F6" s="9" t="n">
        <v>3</v>
      </c>
      <c r="G6" s="7" t="n">
        <v>1</v>
      </c>
      <c r="H6" s="7" t="n">
        <v>1</v>
      </c>
      <c r="I6" s="7" t="inlineStr">
        <is>
          <t>上班</t>
        </is>
      </c>
      <c r="K6" s="10" t="inlineStr">
        <is>
          <t>一</t>
        </is>
      </c>
      <c r="M6" s="10" t="inlineStr">
        <is>
          <t>醫護長</t>
        </is>
      </c>
    </row>
    <row r="7">
      <c r="B7" s="7" t="inlineStr">
        <is>
          <t>D3</t>
        </is>
      </c>
      <c r="C7" s="8" t="inlineStr">
        <is>
          <t>晚診</t>
        </is>
      </c>
      <c r="D7" s="7" t="inlineStr">
        <is>
          <t>18:00</t>
        </is>
      </c>
      <c r="E7" s="7" t="inlineStr">
        <is>
          <t>21:00</t>
        </is>
      </c>
      <c r="F7" s="9" t="n">
        <v>3</v>
      </c>
      <c r="G7" s="7" t="n">
        <v>1</v>
      </c>
      <c r="H7" s="7" t="n">
        <v>1</v>
      </c>
      <c r="I7" s="7" t="inlineStr">
        <is>
          <t>上班</t>
        </is>
      </c>
      <c r="K7" s="10" t="inlineStr">
        <is>
          <t>二</t>
        </is>
      </c>
      <c r="M7" s="10" t="inlineStr">
        <is>
          <t>助理</t>
        </is>
      </c>
    </row>
    <row r="8">
      <c r="B8" s="7" t="inlineStr">
        <is>
          <t>FD</t>
        </is>
      </c>
      <c r="C8" s="8" t="inlineStr">
        <is>
          <t>全日診</t>
        </is>
      </c>
      <c r="D8" s="7" t="inlineStr">
        <is>
          <t>09:00</t>
        </is>
      </c>
      <c r="E8" s="7" t="inlineStr">
        <is>
          <t>21:00</t>
        </is>
      </c>
      <c r="F8" s="9" t="n">
        <v>6</v>
      </c>
      <c r="G8" s="7" t="n">
        <v>2</v>
      </c>
      <c r="H8" s="7" t="n">
        <v>1</v>
      </c>
      <c r="I8" s="7" t="inlineStr">
        <is>
          <t>上班</t>
        </is>
      </c>
      <c r="K8" s="10" t="inlineStr">
        <is>
          <t>三</t>
        </is>
      </c>
    </row>
    <row r="9">
      <c r="B9" s="7" t="inlineStr">
        <is>
          <t>A</t>
        </is>
      </c>
      <c r="C9" s="8" t="inlineStr">
        <is>
          <t>早班</t>
        </is>
      </c>
      <c r="D9" s="7" t="inlineStr">
        <is>
          <t>09:00</t>
        </is>
      </c>
      <c r="E9" s="7" t="inlineStr">
        <is>
          <t>18:00</t>
        </is>
      </c>
      <c r="F9" s="9" t="n">
        <v>8</v>
      </c>
      <c r="G9" s="7" t="n">
        <v>0</v>
      </c>
      <c r="H9" s="7" t="n">
        <v>1</v>
      </c>
      <c r="I9" s="7" t="inlineStr">
        <is>
          <t>上班</t>
        </is>
      </c>
      <c r="K9" s="10" t="inlineStr">
        <is>
          <t>四</t>
        </is>
      </c>
    </row>
    <row r="10">
      <c r="B10" s="7" t="inlineStr">
        <is>
          <t>P</t>
        </is>
      </c>
      <c r="C10" s="8" t="inlineStr">
        <is>
          <t>晚班</t>
        </is>
      </c>
      <c r="D10" s="7" t="inlineStr">
        <is>
          <t>13:00</t>
        </is>
      </c>
      <c r="E10" s="7" t="inlineStr">
        <is>
          <t>21:30</t>
        </is>
      </c>
      <c r="F10" s="9" t="n">
        <v>8</v>
      </c>
      <c r="G10" s="7" t="n">
        <v>0</v>
      </c>
      <c r="H10" s="7" t="n">
        <v>1</v>
      </c>
      <c r="I10" s="7" t="inlineStr">
        <is>
          <t>上班</t>
        </is>
      </c>
      <c r="K10" s="10" t="inlineStr">
        <is>
          <t>五</t>
        </is>
      </c>
    </row>
    <row r="11">
      <c r="B11" s="7" t="inlineStr">
        <is>
          <t>ADM</t>
        </is>
      </c>
      <c r="C11" s="8" t="inlineStr">
        <is>
          <t>行政班</t>
        </is>
      </c>
      <c r="D11" s="7" t="inlineStr">
        <is>
          <t>09:00</t>
        </is>
      </c>
      <c r="E11" s="7" t="inlineStr">
        <is>
          <t>18:00</t>
        </is>
      </c>
      <c r="F11" s="9" t="n">
        <v>8</v>
      </c>
      <c r="G11" s="7" t="n">
        <v>0</v>
      </c>
      <c r="H11" s="7" t="n">
        <v>1</v>
      </c>
      <c r="I11" s="7" t="inlineStr">
        <is>
          <t>上班</t>
        </is>
      </c>
      <c r="K11" s="10" t="inlineStr">
        <is>
          <t>六</t>
        </is>
      </c>
    </row>
    <row r="12">
      <c r="B12" s="7" t="inlineStr">
        <is>
          <t>支</t>
        </is>
      </c>
      <c r="C12" s="8" t="inlineStr">
        <is>
          <t>支援他院</t>
        </is>
      </c>
      <c r="D12" s="7" t="inlineStr">
        <is>
          <t>—</t>
        </is>
      </c>
      <c r="E12" s="7" t="inlineStr">
        <is>
          <t>—</t>
        </is>
      </c>
      <c r="F12" s="9" t="n">
        <v>8</v>
      </c>
      <c r="G12" s="7" t="n">
        <v>2</v>
      </c>
      <c r="H12" s="7" t="n">
        <v>1</v>
      </c>
      <c r="I12" s="7" t="inlineStr">
        <is>
          <t>上班</t>
        </is>
      </c>
    </row>
    <row r="13">
      <c r="B13" s="7" t="inlineStr">
        <is>
          <t>訓</t>
        </is>
      </c>
      <c r="C13" s="8" t="inlineStr">
        <is>
          <t>教育訓練/學會</t>
        </is>
      </c>
      <c r="D13" s="7" t="inlineStr">
        <is>
          <t>—</t>
        </is>
      </c>
      <c r="E13" s="7" t="inlineStr">
        <is>
          <t>—</t>
        </is>
      </c>
      <c r="F13" s="9" t="n">
        <v>8</v>
      </c>
      <c r="G13" s="7" t="n">
        <v>0</v>
      </c>
      <c r="H13" s="7" t="n">
        <v>1</v>
      </c>
      <c r="I13" s="7" t="inlineStr">
        <is>
          <t>上班</t>
        </is>
      </c>
    </row>
    <row r="14">
      <c r="B14" s="7" t="inlineStr">
        <is>
          <t>OFF</t>
        </is>
      </c>
      <c r="C14" s="8" t="inlineStr">
        <is>
          <t>排休</t>
        </is>
      </c>
      <c r="D14" s="7" t="inlineStr">
        <is>
          <t>—</t>
        </is>
      </c>
      <c r="E14" s="7" t="inlineStr">
        <is>
          <t>—</t>
        </is>
      </c>
      <c r="F14" s="9" t="n">
        <v>0</v>
      </c>
      <c r="G14" s="7" t="n">
        <v>0</v>
      </c>
      <c r="H14" s="7" t="n">
        <v>0</v>
      </c>
      <c r="I14" s="7" t="inlineStr">
        <is>
          <t>休假</t>
        </is>
      </c>
    </row>
    <row r="15">
      <c r="B15" s="7" t="inlineStr">
        <is>
          <t>特</t>
        </is>
      </c>
      <c r="C15" s="8" t="inlineStr">
        <is>
          <t>特休</t>
        </is>
      </c>
      <c r="D15" s="7" t="inlineStr">
        <is>
          <t>—</t>
        </is>
      </c>
      <c r="E15" s="7" t="inlineStr">
        <is>
          <t>—</t>
        </is>
      </c>
      <c r="F15" s="9" t="n">
        <v>0</v>
      </c>
      <c r="G15" s="7" t="n">
        <v>0</v>
      </c>
      <c r="H15" s="7" t="n">
        <v>0</v>
      </c>
      <c r="I15" s="7" t="inlineStr">
        <is>
          <t>休假</t>
        </is>
      </c>
    </row>
    <row r="16">
      <c r="B16" s="7" t="inlineStr">
        <is>
          <t>病</t>
        </is>
      </c>
      <c r="C16" s="8" t="inlineStr">
        <is>
          <t>病假</t>
        </is>
      </c>
      <c r="D16" s="7" t="inlineStr">
        <is>
          <t>—</t>
        </is>
      </c>
      <c r="E16" s="7" t="inlineStr">
        <is>
          <t>—</t>
        </is>
      </c>
      <c r="F16" s="9" t="n">
        <v>0</v>
      </c>
      <c r="G16" s="7" t="n">
        <v>0</v>
      </c>
      <c r="H16" s="7" t="n">
        <v>0</v>
      </c>
      <c r="I16" s="7" t="inlineStr">
        <is>
          <t>休假</t>
        </is>
      </c>
    </row>
    <row r="17">
      <c r="B17" s="7" t="inlineStr">
        <is>
          <t>事</t>
        </is>
      </c>
      <c r="C17" s="8" t="inlineStr">
        <is>
          <t>事假</t>
        </is>
      </c>
      <c r="D17" s="7" t="inlineStr">
        <is>
          <t>—</t>
        </is>
      </c>
      <c r="E17" s="7" t="inlineStr">
        <is>
          <t>—</t>
        </is>
      </c>
      <c r="F17" s="9" t="n">
        <v>0</v>
      </c>
      <c r="G17" s="7" t="n">
        <v>0</v>
      </c>
      <c r="H17" s="7" t="n">
        <v>0</v>
      </c>
      <c r="I17" s="7" t="inlineStr">
        <is>
          <t>休假</t>
        </is>
      </c>
    </row>
    <row r="18">
      <c r="B18" s="7" t="inlineStr">
        <is>
          <t>公</t>
        </is>
      </c>
      <c r="C18" s="8" t="inlineStr">
        <is>
          <t>公假</t>
        </is>
      </c>
      <c r="D18" s="7" t="inlineStr">
        <is>
          <t>—</t>
        </is>
      </c>
      <c r="E18" s="7" t="inlineStr">
        <is>
          <t>—</t>
        </is>
      </c>
      <c r="F18" s="9" t="n">
        <v>0</v>
      </c>
      <c r="G18" s="7" t="n">
        <v>0</v>
      </c>
      <c r="H18" s="7" t="n">
        <v>0</v>
      </c>
      <c r="I18" s="7" t="inlineStr">
        <is>
          <t>休假</t>
        </is>
      </c>
    </row>
    <row r="19">
      <c r="B19" s="7" t="inlineStr">
        <is>
          <t>國</t>
        </is>
      </c>
      <c r="C19" s="8" t="inlineStr">
        <is>
          <t>國定假日</t>
        </is>
      </c>
      <c r="D19" s="7" t="inlineStr">
        <is>
          <t>—</t>
        </is>
      </c>
      <c r="E19" s="7" t="inlineStr">
        <is>
          <t>—</t>
        </is>
      </c>
      <c r="F19" s="9" t="n">
        <v>0</v>
      </c>
      <c r="G19" s="7" t="n">
        <v>0</v>
      </c>
      <c r="H19" s="7" t="n">
        <v>0</v>
      </c>
      <c r="I19" s="7" t="inlineStr">
        <is>
          <t>休假</t>
        </is>
      </c>
    </row>
    <row r="20">
      <c r="B20" s="7" t="inlineStr">
        <is>
          <t>休</t>
        </is>
      </c>
      <c r="C20" s="8" t="inlineStr">
        <is>
          <t>休診</t>
        </is>
      </c>
      <c r="D20" s="7" t="inlineStr">
        <is>
          <t>—</t>
        </is>
      </c>
      <c r="E20" s="7" t="inlineStr">
        <is>
          <t>—</t>
        </is>
      </c>
      <c r="F20" s="9" t="n">
        <v>0</v>
      </c>
      <c r="G20" s="7" t="n">
        <v>0</v>
      </c>
      <c r="H20" s="7" t="n">
        <v>0</v>
      </c>
      <c r="I20" s="7" t="inlineStr">
        <is>
          <t>休假</t>
        </is>
      </c>
    </row>
    <row r="21">
      <c r="B21" s="11" t="inlineStr">
        <is>
          <t>※ 特休/公假為有薪假,以「天數」計,故排班工時記 0,薪資另依請假天數計算。</t>
        </is>
      </c>
    </row>
    <row r="24">
      <c r="B24" s="4" t="inlineStr">
        <is>
          <t>二、院所清單</t>
        </is>
      </c>
    </row>
    <row r="25">
      <c r="B25" s="5" t="inlineStr">
        <is>
          <t>院所代碼</t>
        </is>
      </c>
      <c r="C25" s="5" t="inlineStr">
        <is>
          <t>院所名稱</t>
        </is>
      </c>
      <c r="D25" s="5" t="inlineStr">
        <is>
          <t>負責人</t>
        </is>
      </c>
      <c r="E25" s="5" t="inlineStr">
        <is>
          <t>電話</t>
        </is>
      </c>
      <c r="F25" s="5" t="inlineStr">
        <is>
          <t>備註</t>
        </is>
      </c>
    </row>
    <row r="26">
      <c r="B26" s="7" t="inlineStr">
        <is>
          <t>Z01</t>
        </is>
      </c>
      <c r="C26" s="7" t="inlineStr">
        <is>
          <t>中山院</t>
        </is>
      </c>
      <c r="D26" s="7" t="inlineStr">
        <is>
          <t>陳彥廷</t>
        </is>
      </c>
      <c r="E26" s="7" t="inlineStr">
        <is>
          <t>02-2500-0000</t>
        </is>
      </c>
      <c r="F26" s="7" t="inlineStr">
        <is>
          <t>總院</t>
        </is>
      </c>
    </row>
    <row r="27">
      <c r="B27" s="7" t="inlineStr">
        <is>
          <t>Z02</t>
        </is>
      </c>
      <c r="C27" s="7" t="inlineStr">
        <is>
          <t>板橋院</t>
        </is>
      </c>
      <c r="D27" s="7" t="inlineStr">
        <is>
          <t>林佳蓉</t>
        </is>
      </c>
      <c r="E27" s="7" t="inlineStr">
        <is>
          <t>02-2960-0000</t>
        </is>
      </c>
      <c r="F27" s="7" t="inlineStr"/>
    </row>
    <row r="28">
      <c r="B28" s="7" t="inlineStr">
        <is>
          <t>Z03</t>
        </is>
      </c>
      <c r="C28" s="7" t="inlineStr">
        <is>
          <t>竹北院</t>
        </is>
      </c>
      <c r="D28" s="7" t="inlineStr">
        <is>
          <t>黃冠宇</t>
        </is>
      </c>
      <c r="E28" s="7" t="inlineStr">
        <is>
          <t>03-558-0000</t>
        </is>
      </c>
      <c r="F28" s="7" t="inlineStr"/>
    </row>
    <row r="29">
      <c r="B29" s="7" t="inlineStr">
        <is>
          <t>Z04</t>
        </is>
      </c>
      <c r="C29" s="7" t="inlineStr">
        <is>
          <t>台中院</t>
        </is>
      </c>
      <c r="D29" s="7" t="inlineStr">
        <is>
          <t>(待補)</t>
        </is>
      </c>
      <c r="E29" s="7" t="inlineStr">
        <is>
          <t>04-2200-0000</t>
        </is>
      </c>
      <c r="F29" s="7" t="inlineStr">
        <is>
          <t>2026Q4 開幕</t>
        </is>
      </c>
    </row>
    <row r="33">
      <c r="B33" s="4" t="inlineStr">
        <is>
          <t>三、人員名冊</t>
        </is>
      </c>
    </row>
    <row r="34">
      <c r="B34" s="5" t="inlineStr">
        <is>
          <t>員工編號</t>
        </is>
      </c>
      <c r="C34" s="5" t="inlineStr">
        <is>
          <t>姓名</t>
        </is>
      </c>
      <c r="D34" s="5" t="inlineStr">
        <is>
          <t>職類</t>
        </is>
      </c>
      <c r="E34" s="5" t="inlineStr">
        <is>
          <t>所屬院所</t>
        </is>
      </c>
      <c r="F34" s="5" t="inlineStr">
        <is>
          <t>到職日</t>
        </is>
      </c>
      <c r="G34" s="5" t="inlineStr">
        <is>
          <t>備註</t>
        </is>
      </c>
    </row>
    <row r="35">
      <c r="B35" s="12" t="inlineStr">
        <is>
          <t>D001</t>
        </is>
      </c>
      <c r="C35" s="12" t="inlineStr">
        <is>
          <t>陳彥廷</t>
        </is>
      </c>
      <c r="D35" s="12" t="inlineStr">
        <is>
          <t>醫師</t>
        </is>
      </c>
      <c r="E35" s="12" t="inlineStr">
        <is>
          <t>中山院</t>
        </is>
      </c>
      <c r="F35" s="12" t="inlineStr">
        <is>
          <t>2019-03-01</t>
        </is>
      </c>
      <c r="G35" s="13" t="inlineStr">
        <is>
          <t>院長</t>
        </is>
      </c>
    </row>
    <row r="36">
      <c r="B36" s="12" t="inlineStr">
        <is>
          <t>D002</t>
        </is>
      </c>
      <c r="C36" s="12" t="inlineStr">
        <is>
          <t>林佳蓉</t>
        </is>
      </c>
      <c r="D36" s="12" t="inlineStr">
        <is>
          <t>醫師</t>
        </is>
      </c>
      <c r="E36" s="12" t="inlineStr">
        <is>
          <t>中山院</t>
        </is>
      </c>
      <c r="F36" s="12" t="inlineStr">
        <is>
          <t>2021-07-15</t>
        </is>
      </c>
      <c r="G36" s="13" t="inlineStr"/>
    </row>
    <row r="37">
      <c r="B37" s="12" t="inlineStr">
        <is>
          <t>D003</t>
        </is>
      </c>
      <c r="C37" s="12" t="inlineStr">
        <is>
          <t>黃冠宇</t>
        </is>
      </c>
      <c r="D37" s="12" t="inlineStr">
        <is>
          <t>醫師</t>
        </is>
      </c>
      <c r="E37" s="12" t="inlineStr">
        <is>
          <t>中山院</t>
        </is>
      </c>
      <c r="F37" s="12" t="inlineStr">
        <is>
          <t>2023-02-01</t>
        </is>
      </c>
      <c r="G37" s="13" t="inlineStr">
        <is>
          <t>週三支援板橋院</t>
        </is>
      </c>
    </row>
    <row r="38">
      <c r="B38" s="12" t="inlineStr">
        <is>
          <t>N001</t>
        </is>
      </c>
      <c r="C38" s="12" t="inlineStr">
        <is>
          <t>吳淑芬</t>
        </is>
      </c>
      <c r="D38" s="12" t="inlineStr">
        <is>
          <t>醫護長</t>
        </is>
      </c>
      <c r="E38" s="12" t="inlineStr">
        <is>
          <t>中山院</t>
        </is>
      </c>
      <c r="F38" s="12" t="inlineStr">
        <is>
          <t>2018-05-06</t>
        </is>
      </c>
      <c r="G38" s="13" t="inlineStr"/>
    </row>
    <row r="39">
      <c r="B39" s="12" t="inlineStr">
        <is>
          <t>A001</t>
        </is>
      </c>
      <c r="C39" s="12" t="inlineStr">
        <is>
          <t>張怡君</t>
        </is>
      </c>
      <c r="D39" s="12" t="inlineStr">
        <is>
          <t>助理</t>
        </is>
      </c>
      <c r="E39" s="12" t="inlineStr">
        <is>
          <t>中山院</t>
        </is>
      </c>
      <c r="F39" s="12" t="inlineStr">
        <is>
          <t>2022-09-01</t>
        </is>
      </c>
      <c r="G39" s="13" t="inlineStr"/>
    </row>
    <row r="40">
      <c r="B40" s="12" t="inlineStr">
        <is>
          <t>A002</t>
        </is>
      </c>
      <c r="C40" s="12" t="inlineStr">
        <is>
          <t>李宗翰</t>
        </is>
      </c>
      <c r="D40" s="12" t="inlineStr">
        <is>
          <t>助理</t>
        </is>
      </c>
      <c r="E40" s="12" t="inlineStr">
        <is>
          <t>中山院</t>
        </is>
      </c>
      <c r="F40" s="12" t="inlineStr">
        <is>
          <t>2023-04-10</t>
        </is>
      </c>
      <c r="G40" s="13" t="inlineStr"/>
    </row>
    <row r="41">
      <c r="B41" s="12" t="inlineStr">
        <is>
          <t>A003</t>
        </is>
      </c>
      <c r="C41" s="12" t="inlineStr">
        <is>
          <t>王思婷</t>
        </is>
      </c>
      <c r="D41" s="12" t="inlineStr">
        <is>
          <t>助理</t>
        </is>
      </c>
      <c r="E41" s="12" t="inlineStr">
        <is>
          <t>中山院</t>
        </is>
      </c>
      <c r="F41" s="12" t="inlineStr">
        <is>
          <t>2024-01-08</t>
        </is>
      </c>
      <c r="G41" s="13" t="inlineStr"/>
    </row>
    <row r="42">
      <c r="B42" s="12" t="inlineStr">
        <is>
          <t>A004</t>
        </is>
      </c>
      <c r="C42" s="12" t="inlineStr">
        <is>
          <t>蔡孟蓉</t>
        </is>
      </c>
      <c r="D42" s="12" t="inlineStr">
        <is>
          <t>助理</t>
        </is>
      </c>
      <c r="E42" s="12" t="inlineStr">
        <is>
          <t>中山院</t>
        </is>
      </c>
      <c r="F42" s="12" t="inlineStr">
        <is>
          <t>2024-11-01</t>
        </is>
      </c>
      <c r="G42" s="13" t="inlineStr"/>
    </row>
    <row r="43">
      <c r="B43" s="12" t="inlineStr">
        <is>
          <t>A005</t>
        </is>
      </c>
      <c r="C43" s="12" t="inlineStr">
        <is>
          <t>許家豪</t>
        </is>
      </c>
      <c r="D43" s="12" t="inlineStr">
        <is>
          <t>助理</t>
        </is>
      </c>
      <c r="E43" s="12" t="inlineStr">
        <is>
          <t>中山院</t>
        </is>
      </c>
      <c r="F43" s="12" t="inlineStr">
        <is>
          <t>2025-06-16</t>
        </is>
      </c>
      <c r="G43" s="13" t="inlineStr">
        <is>
          <t>兼職</t>
        </is>
      </c>
    </row>
    <row r="44">
      <c r="B44" s="7" t="inlineStr"/>
      <c r="C44" s="7" t="inlineStr"/>
      <c r="D44" s="7" t="inlineStr"/>
      <c r="E44" s="7" t="inlineStr"/>
      <c r="F44" s="7" t="inlineStr"/>
      <c r="G44" s="8" t="inlineStr"/>
    </row>
    <row r="45">
      <c r="B45" s="7" t="inlineStr"/>
      <c r="C45" s="7" t="inlineStr"/>
      <c r="D45" s="7" t="inlineStr"/>
      <c r="E45" s="7" t="inlineStr"/>
      <c r="F45" s="7" t="inlineStr"/>
      <c r="G45" s="8" t="inlineStr"/>
    </row>
    <row r="46">
      <c r="B46" s="7" t="inlineStr"/>
      <c r="C46" s="7" t="inlineStr"/>
      <c r="D46" s="7" t="inlineStr"/>
      <c r="E46" s="7" t="inlineStr"/>
      <c r="F46" s="7" t="inlineStr"/>
      <c r="G46" s="8" t="inlineStr"/>
    </row>
    <row r="47">
      <c r="B47" s="7" t="inlineStr"/>
      <c r="C47" s="7" t="inlineStr"/>
      <c r="D47" s="7" t="inlineStr"/>
      <c r="E47" s="7" t="inlineStr"/>
      <c r="F47" s="7" t="inlineStr"/>
      <c r="G47" s="8" t="inlineStr"/>
    </row>
    <row r="48">
      <c r="B48" s="7" t="inlineStr"/>
      <c r="C48" s="7" t="inlineStr"/>
      <c r="D48" s="7" t="inlineStr"/>
      <c r="E48" s="7" t="inlineStr"/>
      <c r="F48" s="7" t="inlineStr"/>
      <c r="G48" s="8" t="inlineStr"/>
    </row>
    <row r="49">
      <c r="B49" s="7" t="inlineStr"/>
      <c r="C49" s="7" t="inlineStr"/>
      <c r="D49" s="7" t="inlineStr"/>
      <c r="E49" s="7" t="inlineStr"/>
      <c r="F49" s="7" t="inlineStr"/>
      <c r="G49" s="8" t="inlineStr"/>
    </row>
    <row r="50">
      <c r="B50" s="7" t="inlineStr"/>
      <c r="C50" s="7" t="inlineStr"/>
      <c r="D50" s="7" t="inlineStr"/>
      <c r="E50" s="7" t="inlineStr"/>
      <c r="F50" s="7" t="inlineStr"/>
      <c r="G50" s="8" t="inlineStr"/>
    </row>
    <row r="51">
      <c r="B51" s="7" t="inlineStr"/>
      <c r="C51" s="7" t="inlineStr"/>
      <c r="D51" s="7" t="inlineStr"/>
      <c r="E51" s="7" t="inlineStr"/>
      <c r="F51" s="7" t="inlineStr"/>
      <c r="G51" s="8" t="inlineStr"/>
    </row>
    <row r="52">
      <c r="B52" s="7" t="inlineStr"/>
      <c r="C52" s="7" t="inlineStr"/>
      <c r="D52" s="7" t="inlineStr"/>
      <c r="E52" s="7" t="inlineStr"/>
      <c r="F52" s="7" t="inlineStr"/>
      <c r="G52" s="8" t="inlineStr"/>
    </row>
    <row r="53">
      <c r="B53" s="7" t="inlineStr"/>
      <c r="C53" s="7" t="inlineStr"/>
      <c r="D53" s="7" t="inlineStr"/>
      <c r="E53" s="7" t="inlineStr"/>
      <c r="F53" s="7" t="inlineStr"/>
      <c r="G53" s="8" t="inlineStr"/>
    </row>
    <row r="54">
      <c r="B54" s="7" t="inlineStr"/>
      <c r="C54" s="7" t="inlineStr"/>
      <c r="D54" s="7" t="inlineStr"/>
      <c r="E54" s="7" t="inlineStr"/>
      <c r="F54" s="7" t="inlineStr"/>
      <c r="G54" s="8" t="inlineStr"/>
    </row>
    <row r="55">
      <c r="B55" s="7" t="inlineStr"/>
      <c r="C55" s="7" t="inlineStr"/>
      <c r="D55" s="7" t="inlineStr"/>
      <c r="E55" s="7" t="inlineStr"/>
      <c r="F55" s="7" t="inlineStr"/>
      <c r="G55" s="8" t="inlineStr"/>
    </row>
    <row r="56">
      <c r="B56" s="7" t="inlineStr"/>
      <c r="C56" s="7" t="inlineStr"/>
      <c r="D56" s="7" t="inlineStr"/>
      <c r="E56" s="7" t="inlineStr"/>
      <c r="F56" s="7" t="inlineStr"/>
      <c r="G56" s="8" t="inlineStr"/>
    </row>
    <row r="57">
      <c r="B57" s="7" t="inlineStr"/>
      <c r="C57" s="7" t="inlineStr"/>
      <c r="D57" s="7" t="inlineStr"/>
      <c r="E57" s="7" t="inlineStr"/>
      <c r="F57" s="7" t="inlineStr"/>
      <c r="G57" s="8" t="inlineStr"/>
    </row>
    <row r="58">
      <c r="B58" s="7" t="inlineStr"/>
      <c r="C58" s="7" t="inlineStr"/>
      <c r="D58" s="7" t="inlineStr"/>
      <c r="E58" s="7" t="inlineStr"/>
      <c r="F58" s="7" t="inlineStr"/>
      <c r="G58" s="8" t="inlineStr"/>
    </row>
    <row r="59">
      <c r="B59" s="7" t="inlineStr"/>
      <c r="C59" s="7" t="inlineStr"/>
      <c r="D59" s="7" t="inlineStr"/>
      <c r="E59" s="7" t="inlineStr"/>
      <c r="F59" s="7" t="inlineStr"/>
      <c r="G59" s="8" t="inlineStr"/>
    </row>
    <row r="60">
      <c r="B60" s="7" t="inlineStr"/>
      <c r="C60" s="7" t="inlineStr"/>
      <c r="D60" s="7" t="inlineStr"/>
      <c r="E60" s="7" t="inlineStr"/>
      <c r="F60" s="7" t="inlineStr"/>
      <c r="G60" s="8" t="inlineStr"/>
    </row>
    <row r="61">
      <c r="B61" s="7" t="inlineStr"/>
      <c r="C61" s="7" t="inlineStr"/>
      <c r="D61" s="7" t="inlineStr"/>
      <c r="E61" s="7" t="inlineStr"/>
      <c r="F61" s="7" t="inlineStr"/>
      <c r="G61" s="8" t="inlineStr"/>
    </row>
    <row r="62">
      <c r="B62" s="7" t="inlineStr"/>
      <c r="C62" s="7" t="inlineStr"/>
      <c r="D62" s="7" t="inlineStr"/>
      <c r="E62" s="7" t="inlineStr"/>
      <c r="F62" s="7" t="inlineStr"/>
      <c r="G62" s="8" t="inlineStr"/>
    </row>
    <row r="63">
      <c r="B63" s="7" t="inlineStr"/>
      <c r="C63" s="7" t="inlineStr"/>
      <c r="D63" s="7" t="inlineStr"/>
      <c r="E63" s="7" t="inlineStr"/>
      <c r="F63" s="7" t="inlineStr"/>
      <c r="G63" s="8" t="inlineStr"/>
    </row>
    <row r="64">
      <c r="B64" s="7" t="inlineStr"/>
      <c r="C64" s="7" t="inlineStr"/>
      <c r="D64" s="7" t="inlineStr"/>
      <c r="E64" s="7" t="inlineStr"/>
      <c r="F64" s="7" t="inlineStr"/>
      <c r="G6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</cols>
  <sheetData>
    <row r="1">
      <c r="A1" s="1" t="inlineStr">
        <is>
          <t>牙醫體系 — 月班表</t>
        </is>
      </c>
    </row>
    <row r="2">
      <c r="A2" s="14" t="inlineStr">
        <is>
          <t>院所</t>
        </is>
      </c>
      <c r="B2" s="15" t="inlineStr">
        <is>
          <t>中山院</t>
        </is>
      </c>
      <c r="D2" s="14" t="inlineStr">
        <is>
          <t>年</t>
        </is>
      </c>
      <c r="E2" s="16" t="n">
        <v>2026</v>
      </c>
      <c r="F2" s="14" t="inlineStr">
        <is>
          <t>月</t>
        </is>
      </c>
      <c r="G2" s="16" t="n">
        <v>10</v>
      </c>
      <c r="I2" s="11" t="inlineStr">
        <is>
          <t>← 黃底= 手動填。日期與星期會自動更新。</t>
        </is>
      </c>
    </row>
    <row r="4">
      <c r="A4" s="5" t="inlineStr">
        <is>
          <t>員工編號</t>
        </is>
      </c>
      <c r="B4" s="5" t="inlineStr">
        <is>
          <t>姓名</t>
        </is>
      </c>
      <c r="C4" s="5" t="inlineStr">
        <is>
          <t>職類</t>
        </is>
      </c>
      <c r="D4" s="5">
        <f>IF(1&lt;=DAY(EOMONTH(DATE($E$2,$G$2,1),0)),1,"")</f>
        <v/>
      </c>
      <c r="E4" s="5">
        <f>IF(2&lt;=DAY(EOMONTH(DATE($E$2,$G$2,1),0)),2,"")</f>
        <v/>
      </c>
      <c r="F4" s="5">
        <f>IF(3&lt;=DAY(EOMONTH(DATE($E$2,$G$2,1),0)),3,"")</f>
        <v/>
      </c>
      <c r="G4" s="5">
        <f>IF(4&lt;=DAY(EOMONTH(DATE($E$2,$G$2,1),0)),4,"")</f>
        <v/>
      </c>
      <c r="H4" s="5">
        <f>IF(5&lt;=DAY(EOMONTH(DATE($E$2,$G$2,1),0)),5,"")</f>
        <v/>
      </c>
      <c r="I4" s="5">
        <f>IF(6&lt;=DAY(EOMONTH(DATE($E$2,$G$2,1),0)),6,"")</f>
        <v/>
      </c>
      <c r="J4" s="5">
        <f>IF(7&lt;=DAY(EOMONTH(DATE($E$2,$G$2,1),0)),7,"")</f>
        <v/>
      </c>
      <c r="K4" s="5">
        <f>IF(8&lt;=DAY(EOMONTH(DATE($E$2,$G$2,1),0)),8,"")</f>
        <v/>
      </c>
      <c r="L4" s="5">
        <f>IF(9&lt;=DAY(EOMONTH(DATE($E$2,$G$2,1),0)),9,"")</f>
        <v/>
      </c>
      <c r="M4" s="5">
        <f>IF(10&lt;=DAY(EOMONTH(DATE($E$2,$G$2,1),0)),10,"")</f>
        <v/>
      </c>
      <c r="N4" s="5">
        <f>IF(11&lt;=DAY(EOMONTH(DATE($E$2,$G$2,1),0)),11,"")</f>
        <v/>
      </c>
      <c r="O4" s="5">
        <f>IF(12&lt;=DAY(EOMONTH(DATE($E$2,$G$2,1),0)),12,"")</f>
        <v/>
      </c>
      <c r="P4" s="5">
        <f>IF(13&lt;=DAY(EOMONTH(DATE($E$2,$G$2,1),0)),13,"")</f>
        <v/>
      </c>
      <c r="Q4" s="5">
        <f>IF(14&lt;=DAY(EOMONTH(DATE($E$2,$G$2,1),0)),14,"")</f>
        <v/>
      </c>
      <c r="R4" s="5">
        <f>IF(15&lt;=DAY(EOMONTH(DATE($E$2,$G$2,1),0)),15,"")</f>
        <v/>
      </c>
      <c r="S4" s="5">
        <f>IF(16&lt;=DAY(EOMONTH(DATE($E$2,$G$2,1),0)),16,"")</f>
        <v/>
      </c>
      <c r="T4" s="5">
        <f>IF(17&lt;=DAY(EOMONTH(DATE($E$2,$G$2,1),0)),17,"")</f>
        <v/>
      </c>
      <c r="U4" s="5">
        <f>IF(18&lt;=DAY(EOMONTH(DATE($E$2,$G$2,1),0)),18,"")</f>
        <v/>
      </c>
      <c r="V4" s="5">
        <f>IF(19&lt;=DAY(EOMONTH(DATE($E$2,$G$2,1),0)),19,"")</f>
        <v/>
      </c>
      <c r="W4" s="5">
        <f>IF(20&lt;=DAY(EOMONTH(DATE($E$2,$G$2,1),0)),20,"")</f>
        <v/>
      </c>
      <c r="X4" s="5">
        <f>IF(21&lt;=DAY(EOMONTH(DATE($E$2,$G$2,1),0)),21,"")</f>
        <v/>
      </c>
      <c r="Y4" s="5">
        <f>IF(22&lt;=DAY(EOMONTH(DATE($E$2,$G$2,1),0)),22,"")</f>
        <v/>
      </c>
      <c r="Z4" s="5">
        <f>IF(23&lt;=DAY(EOMONTH(DATE($E$2,$G$2,1),0)),23,"")</f>
        <v/>
      </c>
      <c r="AA4" s="5">
        <f>IF(24&lt;=DAY(EOMONTH(DATE($E$2,$G$2,1),0)),24,"")</f>
        <v/>
      </c>
      <c r="AB4" s="5">
        <f>IF(25&lt;=DAY(EOMONTH(DATE($E$2,$G$2,1),0)),25,"")</f>
        <v/>
      </c>
      <c r="AC4" s="5">
        <f>IF(26&lt;=DAY(EOMONTH(DATE($E$2,$G$2,1),0)),26,"")</f>
        <v/>
      </c>
      <c r="AD4" s="5">
        <f>IF(27&lt;=DAY(EOMONTH(DATE($E$2,$G$2,1),0)),27,"")</f>
        <v/>
      </c>
      <c r="AE4" s="5">
        <f>IF(28&lt;=DAY(EOMONTH(DATE($E$2,$G$2,1),0)),28,"")</f>
        <v/>
      </c>
      <c r="AF4" s="5">
        <f>IF(29&lt;=DAY(EOMONTH(DATE($E$2,$G$2,1),0)),29,"")</f>
        <v/>
      </c>
      <c r="AG4" s="5">
        <f>IF(30&lt;=DAY(EOMONTH(DATE($E$2,$G$2,1),0)),30,"")</f>
        <v/>
      </c>
      <c r="AH4" s="5">
        <f>IF(31&lt;=DAY(EOMONTH(DATE($E$2,$G$2,1),0)),31,"")</f>
        <v/>
      </c>
    </row>
    <row r="5">
      <c r="A5" s="17" t="n"/>
      <c r="B5" s="17" t="n"/>
      <c r="C5" s="17" t="n"/>
      <c r="D5" s="6">
        <f>IF(D$4="","",INDEX(設定!$K$5:$K$11,WEEKDAY(DATE($E$2,$G$2,D$4),1)))</f>
        <v/>
      </c>
      <c r="E5" s="6">
        <f>IF(E$4="","",INDEX(設定!$K$5:$K$11,WEEKDAY(DATE($E$2,$G$2,E$4),1)))</f>
        <v/>
      </c>
      <c r="F5" s="6">
        <f>IF(F$4="","",INDEX(設定!$K$5:$K$11,WEEKDAY(DATE($E$2,$G$2,F$4),1)))</f>
        <v/>
      </c>
      <c r="G5" s="6">
        <f>IF(G$4="","",INDEX(設定!$K$5:$K$11,WEEKDAY(DATE($E$2,$G$2,G$4),1)))</f>
        <v/>
      </c>
      <c r="H5" s="6">
        <f>IF(H$4="","",INDEX(設定!$K$5:$K$11,WEEKDAY(DATE($E$2,$G$2,H$4),1)))</f>
        <v/>
      </c>
      <c r="I5" s="6">
        <f>IF(I$4="","",INDEX(設定!$K$5:$K$11,WEEKDAY(DATE($E$2,$G$2,I$4),1)))</f>
        <v/>
      </c>
      <c r="J5" s="6">
        <f>IF(J$4="","",INDEX(設定!$K$5:$K$11,WEEKDAY(DATE($E$2,$G$2,J$4),1)))</f>
        <v/>
      </c>
      <c r="K5" s="6">
        <f>IF(K$4="","",INDEX(設定!$K$5:$K$11,WEEKDAY(DATE($E$2,$G$2,K$4),1)))</f>
        <v/>
      </c>
      <c r="L5" s="6">
        <f>IF(L$4="","",INDEX(設定!$K$5:$K$11,WEEKDAY(DATE($E$2,$G$2,L$4),1)))</f>
        <v/>
      </c>
      <c r="M5" s="6">
        <f>IF(M$4="","",INDEX(設定!$K$5:$K$11,WEEKDAY(DATE($E$2,$G$2,M$4),1)))</f>
        <v/>
      </c>
      <c r="N5" s="6">
        <f>IF(N$4="","",INDEX(設定!$K$5:$K$11,WEEKDAY(DATE($E$2,$G$2,N$4),1)))</f>
        <v/>
      </c>
      <c r="O5" s="6">
        <f>IF(O$4="","",INDEX(設定!$K$5:$K$11,WEEKDAY(DATE($E$2,$G$2,O$4),1)))</f>
        <v/>
      </c>
      <c r="P5" s="6">
        <f>IF(P$4="","",INDEX(設定!$K$5:$K$11,WEEKDAY(DATE($E$2,$G$2,P$4),1)))</f>
        <v/>
      </c>
      <c r="Q5" s="6">
        <f>IF(Q$4="","",INDEX(設定!$K$5:$K$11,WEEKDAY(DATE($E$2,$G$2,Q$4),1)))</f>
        <v/>
      </c>
      <c r="R5" s="6">
        <f>IF(R$4="","",INDEX(設定!$K$5:$K$11,WEEKDAY(DATE($E$2,$G$2,R$4),1)))</f>
        <v/>
      </c>
      <c r="S5" s="6">
        <f>IF(S$4="","",INDEX(設定!$K$5:$K$11,WEEKDAY(DATE($E$2,$G$2,S$4),1)))</f>
        <v/>
      </c>
      <c r="T5" s="6">
        <f>IF(T$4="","",INDEX(設定!$K$5:$K$11,WEEKDAY(DATE($E$2,$G$2,T$4),1)))</f>
        <v/>
      </c>
      <c r="U5" s="6">
        <f>IF(U$4="","",INDEX(設定!$K$5:$K$11,WEEKDAY(DATE($E$2,$G$2,U$4),1)))</f>
        <v/>
      </c>
      <c r="V5" s="6">
        <f>IF(V$4="","",INDEX(設定!$K$5:$K$11,WEEKDAY(DATE($E$2,$G$2,V$4),1)))</f>
        <v/>
      </c>
      <c r="W5" s="6">
        <f>IF(W$4="","",INDEX(設定!$K$5:$K$11,WEEKDAY(DATE($E$2,$G$2,W$4),1)))</f>
        <v/>
      </c>
      <c r="X5" s="6">
        <f>IF(X$4="","",INDEX(設定!$K$5:$K$11,WEEKDAY(DATE($E$2,$G$2,X$4),1)))</f>
        <v/>
      </c>
      <c r="Y5" s="6">
        <f>IF(Y$4="","",INDEX(設定!$K$5:$K$11,WEEKDAY(DATE($E$2,$G$2,Y$4),1)))</f>
        <v/>
      </c>
      <c r="Z5" s="6">
        <f>IF(Z$4="","",INDEX(設定!$K$5:$K$11,WEEKDAY(DATE($E$2,$G$2,Z$4),1)))</f>
        <v/>
      </c>
      <c r="AA5" s="6">
        <f>IF(AA$4="","",INDEX(設定!$K$5:$K$11,WEEKDAY(DATE($E$2,$G$2,AA$4),1)))</f>
        <v/>
      </c>
      <c r="AB5" s="6">
        <f>IF(AB$4="","",INDEX(設定!$K$5:$K$11,WEEKDAY(DATE($E$2,$G$2,AB$4),1)))</f>
        <v/>
      </c>
      <c r="AC5" s="6">
        <f>IF(AC$4="","",INDEX(設定!$K$5:$K$11,WEEKDAY(DATE($E$2,$G$2,AC$4),1)))</f>
        <v/>
      </c>
      <c r="AD5" s="6">
        <f>IF(AD$4="","",INDEX(設定!$K$5:$K$11,WEEKDAY(DATE($E$2,$G$2,AD$4),1)))</f>
        <v/>
      </c>
      <c r="AE5" s="6">
        <f>IF(AE$4="","",INDEX(設定!$K$5:$K$11,WEEKDAY(DATE($E$2,$G$2,AE$4),1)))</f>
        <v/>
      </c>
      <c r="AF5" s="6">
        <f>IF(AF$4="","",INDEX(設定!$K$5:$K$11,WEEKDAY(DATE($E$2,$G$2,AF$4),1)))</f>
        <v/>
      </c>
      <c r="AG5" s="6">
        <f>IF(AG$4="","",INDEX(設定!$K$5:$K$11,WEEKDAY(DATE($E$2,$G$2,AG$4),1)))</f>
        <v/>
      </c>
      <c r="AH5" s="6">
        <f>IF(AH$4="","",INDEX(設定!$K$5:$K$11,WEEKDAY(DATE($E$2,$G$2,AH$4),1)))</f>
        <v/>
      </c>
    </row>
    <row r="6" ht="18" customHeight="1">
      <c r="A6" s="12" t="inlineStr">
        <is>
          <t>D001</t>
        </is>
      </c>
      <c r="B6" s="10">
        <f>IFERROR(INDEX(設定!$C$35:$C$64,MATCH($A6,設定!$B$35:$B$64,0)),"")</f>
        <v/>
      </c>
      <c r="C6" s="10">
        <f>IFERROR(INDEX(設定!$D$35:$D$64,MATCH($A6,設定!$B$35:$B$64,0)),"")</f>
        <v/>
      </c>
      <c r="D6" s="18" t="inlineStr">
        <is>
          <t>D1</t>
        </is>
      </c>
      <c r="E6" s="18" t="inlineStr">
        <is>
          <t>D2</t>
        </is>
      </c>
      <c r="F6" s="18" t="inlineStr">
        <is>
          <t>D3</t>
        </is>
      </c>
      <c r="G6" s="18" t="inlineStr">
        <is>
          <t>休</t>
        </is>
      </c>
      <c r="H6" s="18" t="inlineStr">
        <is>
          <t>OFF</t>
        </is>
      </c>
      <c r="I6" s="18" t="inlineStr">
        <is>
          <t>FD</t>
        </is>
      </c>
      <c r="J6" s="18" t="inlineStr">
        <is>
          <t>D1</t>
        </is>
      </c>
      <c r="K6" s="18" t="inlineStr">
        <is>
          <t>D2</t>
        </is>
      </c>
      <c r="L6" s="18" t="inlineStr">
        <is>
          <t>D3</t>
        </is>
      </c>
      <c r="M6" s="18" t="inlineStr">
        <is>
          <t>FD</t>
        </is>
      </c>
      <c r="N6" s="18" t="inlineStr">
        <is>
          <t>休</t>
        </is>
      </c>
      <c r="O6" s="18" t="inlineStr">
        <is>
          <t>OFF</t>
        </is>
      </c>
      <c r="P6" s="18" t="inlineStr">
        <is>
          <t>D1</t>
        </is>
      </c>
      <c r="Q6" s="18" t="inlineStr">
        <is>
          <t>D2</t>
        </is>
      </c>
      <c r="R6" s="18" t="inlineStr">
        <is>
          <t>D3</t>
        </is>
      </c>
      <c r="S6" s="18" t="inlineStr">
        <is>
          <t>FD</t>
        </is>
      </c>
      <c r="T6" s="18" t="inlineStr">
        <is>
          <t>D2</t>
        </is>
      </c>
      <c r="U6" s="18" t="inlineStr">
        <is>
          <t>休</t>
        </is>
      </c>
      <c r="V6" s="18" t="inlineStr">
        <is>
          <t>OFF</t>
        </is>
      </c>
      <c r="W6" s="18" t="inlineStr">
        <is>
          <t>D2</t>
        </is>
      </c>
      <c r="X6" s="18" t="inlineStr">
        <is>
          <t>D3</t>
        </is>
      </c>
      <c r="Y6" s="18" t="inlineStr">
        <is>
          <t>FD</t>
        </is>
      </c>
      <c r="Z6" s="18" t="inlineStr">
        <is>
          <t>D2</t>
        </is>
      </c>
      <c r="AA6" s="18" t="inlineStr">
        <is>
          <t>FD</t>
        </is>
      </c>
      <c r="AB6" s="18" t="inlineStr">
        <is>
          <t>休</t>
        </is>
      </c>
      <c r="AC6" s="18" t="inlineStr">
        <is>
          <t>OFF</t>
        </is>
      </c>
      <c r="AD6" s="18" t="inlineStr">
        <is>
          <t>D3</t>
        </is>
      </c>
      <c r="AE6" s="18" t="inlineStr">
        <is>
          <t>FD</t>
        </is>
      </c>
      <c r="AF6" s="18" t="inlineStr">
        <is>
          <t>D2</t>
        </is>
      </c>
      <c r="AG6" s="18" t="inlineStr">
        <is>
          <t>FD</t>
        </is>
      </c>
      <c r="AH6" s="18" t="inlineStr">
        <is>
          <t>D1</t>
        </is>
      </c>
    </row>
    <row r="7" ht="18" customHeight="1">
      <c r="A7" s="12" t="inlineStr">
        <is>
          <t>D002</t>
        </is>
      </c>
      <c r="B7" s="10">
        <f>IFERROR(INDEX(設定!$C$35:$C$64,MATCH($A7,設定!$B$35:$B$64,0)),"")</f>
        <v/>
      </c>
      <c r="C7" s="10">
        <f>IFERROR(INDEX(設定!$D$35:$D$64,MATCH($A7,設定!$B$35:$B$64,0)),"")</f>
        <v/>
      </c>
      <c r="D7" s="18" t="inlineStr">
        <is>
          <t>D2</t>
        </is>
      </c>
      <c r="E7" s="18" t="inlineStr">
        <is>
          <t>D3</t>
        </is>
      </c>
      <c r="F7" s="18" t="inlineStr">
        <is>
          <t>FD</t>
        </is>
      </c>
      <c r="G7" s="18" t="inlineStr">
        <is>
          <t>休</t>
        </is>
      </c>
      <c r="H7" s="18" t="inlineStr">
        <is>
          <t>FD</t>
        </is>
      </c>
      <c r="I7" s="18" t="inlineStr">
        <is>
          <t>OFF</t>
        </is>
      </c>
      <c r="J7" s="18" t="inlineStr">
        <is>
          <t>D2</t>
        </is>
      </c>
      <c r="K7" s="18" t="inlineStr">
        <is>
          <t>D3</t>
        </is>
      </c>
      <c r="L7" s="18" t="inlineStr">
        <is>
          <t>FD</t>
        </is>
      </c>
      <c r="M7" s="18" t="inlineStr">
        <is>
          <t>訓</t>
        </is>
      </c>
      <c r="N7" s="18" t="inlineStr">
        <is>
          <t>休</t>
        </is>
      </c>
      <c r="O7" s="18" t="inlineStr">
        <is>
          <t>D1</t>
        </is>
      </c>
      <c r="P7" s="18" t="inlineStr">
        <is>
          <t>OFF</t>
        </is>
      </c>
      <c r="Q7" s="18" t="inlineStr">
        <is>
          <t>D3</t>
        </is>
      </c>
      <c r="R7" s="18" t="inlineStr">
        <is>
          <t>FD</t>
        </is>
      </c>
      <c r="S7" s="18" t="inlineStr">
        <is>
          <t>D2</t>
        </is>
      </c>
      <c r="T7" s="18" t="inlineStr">
        <is>
          <t>FD</t>
        </is>
      </c>
      <c r="U7" s="18" t="inlineStr">
        <is>
          <t>休</t>
        </is>
      </c>
      <c r="V7" s="18" t="inlineStr">
        <is>
          <t>D2</t>
        </is>
      </c>
      <c r="W7" s="18" t="inlineStr">
        <is>
          <t>OFF</t>
        </is>
      </c>
      <c r="X7" s="18" t="inlineStr">
        <is>
          <t>FD</t>
        </is>
      </c>
      <c r="Y7" s="18" t="inlineStr">
        <is>
          <t>D2</t>
        </is>
      </c>
      <c r="Z7" s="18" t="inlineStr">
        <is>
          <t>FD</t>
        </is>
      </c>
      <c r="AA7" s="18" t="inlineStr">
        <is>
          <t>D1</t>
        </is>
      </c>
      <c r="AB7" s="18" t="inlineStr">
        <is>
          <t>休</t>
        </is>
      </c>
      <c r="AC7" s="18" t="inlineStr">
        <is>
          <t>D3</t>
        </is>
      </c>
      <c r="AD7" s="18" t="inlineStr">
        <is>
          <t>OFF</t>
        </is>
      </c>
      <c r="AE7" s="18" t="inlineStr">
        <is>
          <t>D2</t>
        </is>
      </c>
      <c r="AF7" s="18" t="inlineStr">
        <is>
          <t>FD</t>
        </is>
      </c>
      <c r="AG7" s="18" t="inlineStr">
        <is>
          <t>D1</t>
        </is>
      </c>
      <c r="AH7" s="18" t="inlineStr">
        <is>
          <t>D2</t>
        </is>
      </c>
    </row>
    <row r="8" ht="18" customHeight="1">
      <c r="A8" s="12" t="inlineStr">
        <is>
          <t>D003</t>
        </is>
      </c>
      <c r="B8" s="10">
        <f>IFERROR(INDEX(設定!$C$35:$C$64,MATCH($A8,設定!$B$35:$B$64,0)),"")</f>
        <v/>
      </c>
      <c r="C8" s="10">
        <f>IFERROR(INDEX(設定!$D$35:$D$64,MATCH($A8,設定!$B$35:$B$64,0)),"")</f>
        <v/>
      </c>
      <c r="D8" s="18" t="inlineStr">
        <is>
          <t>D3</t>
        </is>
      </c>
      <c r="E8" s="18" t="inlineStr">
        <is>
          <t>FD</t>
        </is>
      </c>
      <c r="F8" s="18" t="inlineStr">
        <is>
          <t>D2</t>
        </is>
      </c>
      <c r="G8" s="18" t="inlineStr">
        <is>
          <t>休</t>
        </is>
      </c>
      <c r="H8" s="18" t="inlineStr">
        <is>
          <t>D1</t>
        </is>
      </c>
      <c r="I8" s="18" t="inlineStr">
        <is>
          <t>D2</t>
        </is>
      </c>
      <c r="J8" s="18" t="inlineStr">
        <is>
          <t>OFF</t>
        </is>
      </c>
      <c r="K8" s="18" t="inlineStr">
        <is>
          <t>FD</t>
        </is>
      </c>
      <c r="L8" s="18" t="inlineStr">
        <is>
          <t>D2</t>
        </is>
      </c>
      <c r="M8" s="18" t="inlineStr">
        <is>
          <t>FD</t>
        </is>
      </c>
      <c r="N8" s="18" t="inlineStr">
        <is>
          <t>休</t>
        </is>
      </c>
      <c r="O8" s="18" t="inlineStr">
        <is>
          <t>D2</t>
        </is>
      </c>
      <c r="P8" s="18" t="inlineStr">
        <is>
          <t>D3</t>
        </is>
      </c>
      <c r="Q8" s="18" t="inlineStr">
        <is>
          <t>OFF</t>
        </is>
      </c>
      <c r="R8" s="18" t="inlineStr">
        <is>
          <t>D2</t>
        </is>
      </c>
      <c r="S8" s="18" t="inlineStr">
        <is>
          <t>FD</t>
        </is>
      </c>
      <c r="T8" s="18" t="inlineStr">
        <is>
          <t>D1</t>
        </is>
      </c>
      <c r="U8" s="18" t="inlineStr">
        <is>
          <t>休</t>
        </is>
      </c>
      <c r="V8" s="18" t="inlineStr">
        <is>
          <t>D3</t>
        </is>
      </c>
      <c r="W8" s="18" t="inlineStr">
        <is>
          <t>FD</t>
        </is>
      </c>
      <c r="X8" s="18" t="inlineStr">
        <is>
          <t>OFF</t>
        </is>
      </c>
      <c r="Y8" s="18" t="inlineStr">
        <is>
          <t>FD</t>
        </is>
      </c>
      <c r="Z8" s="18" t="inlineStr">
        <is>
          <t>D1</t>
        </is>
      </c>
      <c r="AA8" s="18" t="inlineStr">
        <is>
          <t>D2</t>
        </is>
      </c>
      <c r="AB8" s="18" t="inlineStr">
        <is>
          <t>休</t>
        </is>
      </c>
      <c r="AC8" s="18" t="inlineStr">
        <is>
          <t>FD</t>
        </is>
      </c>
      <c r="AD8" s="18" t="inlineStr">
        <is>
          <t>D2</t>
        </is>
      </c>
      <c r="AE8" s="18" t="inlineStr">
        <is>
          <t>OFF</t>
        </is>
      </c>
      <c r="AF8" s="18" t="inlineStr">
        <is>
          <t>D1</t>
        </is>
      </c>
      <c r="AG8" s="18" t="inlineStr">
        <is>
          <t>D2</t>
        </is>
      </c>
      <c r="AH8" s="18" t="inlineStr">
        <is>
          <t>D3</t>
        </is>
      </c>
    </row>
    <row r="9" ht="18" customHeight="1">
      <c r="A9" s="12" t="inlineStr">
        <is>
          <t>N001</t>
        </is>
      </c>
      <c r="B9" s="10">
        <f>IFERROR(INDEX(設定!$C$35:$C$64,MATCH($A9,設定!$B$35:$B$64,0)),"")</f>
        <v/>
      </c>
      <c r="C9" s="10">
        <f>IFERROR(INDEX(設定!$D$35:$D$64,MATCH($A9,設定!$B$35:$B$64,0)),"")</f>
        <v/>
      </c>
      <c r="D9" s="18" t="inlineStr">
        <is>
          <t>ADM</t>
        </is>
      </c>
      <c r="E9" s="18" t="inlineStr">
        <is>
          <t>A</t>
        </is>
      </c>
      <c r="F9" s="18" t="inlineStr">
        <is>
          <t>A</t>
        </is>
      </c>
      <c r="G9" s="18" t="inlineStr">
        <is>
          <t>OFF</t>
        </is>
      </c>
      <c r="H9" s="18" t="inlineStr">
        <is>
          <t>A</t>
        </is>
      </c>
      <c r="I9" s="18" t="inlineStr">
        <is>
          <t>A</t>
        </is>
      </c>
      <c r="J9" s="18" t="inlineStr">
        <is>
          <t>特</t>
        </is>
      </c>
      <c r="K9" s="18" t="inlineStr">
        <is>
          <t>ADM</t>
        </is>
      </c>
      <c r="L9" s="18" t="inlineStr">
        <is>
          <t>A</t>
        </is>
      </c>
      <c r="M9" s="18" t="inlineStr">
        <is>
          <t>A</t>
        </is>
      </c>
      <c r="N9" s="18" t="inlineStr">
        <is>
          <t>OFF</t>
        </is>
      </c>
      <c r="O9" s="18" t="inlineStr">
        <is>
          <t>A</t>
        </is>
      </c>
      <c r="P9" s="18" t="inlineStr">
        <is>
          <t>A</t>
        </is>
      </c>
      <c r="Q9" s="18" t="inlineStr">
        <is>
          <t>A</t>
        </is>
      </c>
      <c r="R9" s="18" t="inlineStr">
        <is>
          <t>ADM</t>
        </is>
      </c>
      <c r="S9" s="18" t="inlineStr">
        <is>
          <t>A</t>
        </is>
      </c>
      <c r="T9" s="18" t="inlineStr">
        <is>
          <t>A</t>
        </is>
      </c>
      <c r="U9" s="18" t="inlineStr">
        <is>
          <t>OFF</t>
        </is>
      </c>
      <c r="V9" s="18" t="inlineStr">
        <is>
          <t>A</t>
        </is>
      </c>
      <c r="W9" s="18" t="inlineStr">
        <is>
          <t>A</t>
        </is>
      </c>
      <c r="X9" s="18" t="inlineStr">
        <is>
          <t>A</t>
        </is>
      </c>
      <c r="Y9" s="18" t="inlineStr">
        <is>
          <t>ADM</t>
        </is>
      </c>
      <c r="Z9" s="18" t="inlineStr">
        <is>
          <t>A</t>
        </is>
      </c>
      <c r="AA9" s="18" t="inlineStr">
        <is>
          <t>A</t>
        </is>
      </c>
      <c r="AB9" s="18" t="inlineStr">
        <is>
          <t>OFF</t>
        </is>
      </c>
      <c r="AC9" s="18" t="inlineStr">
        <is>
          <t>A</t>
        </is>
      </c>
      <c r="AD9" s="18" t="inlineStr">
        <is>
          <t>A</t>
        </is>
      </c>
      <c r="AE9" s="18" t="inlineStr">
        <is>
          <t>A</t>
        </is>
      </c>
      <c r="AF9" s="18" t="inlineStr">
        <is>
          <t>ADM</t>
        </is>
      </c>
      <c r="AG9" s="18" t="inlineStr">
        <is>
          <t>A</t>
        </is>
      </c>
      <c r="AH9" s="18" t="inlineStr">
        <is>
          <t>A</t>
        </is>
      </c>
    </row>
    <row r="10" ht="18" customHeight="1">
      <c r="A10" s="12" t="inlineStr">
        <is>
          <t>A001</t>
        </is>
      </c>
      <c r="B10" s="10">
        <f>IFERROR(INDEX(設定!$C$35:$C$64,MATCH($A10,設定!$B$35:$B$64,0)),"")</f>
        <v/>
      </c>
      <c r="C10" s="10">
        <f>IFERROR(INDEX(設定!$D$35:$D$64,MATCH($A10,設定!$B$35:$B$64,0)),"")</f>
        <v/>
      </c>
      <c r="D10" s="18" t="inlineStr">
        <is>
          <t>P</t>
        </is>
      </c>
      <c r="E10" s="18" t="inlineStr">
        <is>
          <t>A</t>
        </is>
      </c>
      <c r="F10" s="18" t="inlineStr">
        <is>
          <t>P</t>
        </is>
      </c>
      <c r="G10" s="18" t="inlineStr">
        <is>
          <t>OFF</t>
        </is>
      </c>
      <c r="H10" s="18" t="inlineStr">
        <is>
          <t>OFF</t>
        </is>
      </c>
      <c r="I10" s="18" t="inlineStr">
        <is>
          <t>A</t>
        </is>
      </c>
      <c r="J10" s="18" t="inlineStr">
        <is>
          <t>P</t>
        </is>
      </c>
      <c r="K10" s="18" t="inlineStr">
        <is>
          <t>A</t>
        </is>
      </c>
      <c r="L10" s="18" t="inlineStr">
        <is>
          <t>P</t>
        </is>
      </c>
      <c r="M10" s="18" t="inlineStr">
        <is>
          <t>A</t>
        </is>
      </c>
      <c r="N10" s="18" t="inlineStr">
        <is>
          <t>OFF</t>
        </is>
      </c>
      <c r="O10" s="18" t="inlineStr">
        <is>
          <t>OFF</t>
        </is>
      </c>
      <c r="P10" s="18" t="inlineStr">
        <is>
          <t>P</t>
        </is>
      </c>
      <c r="Q10" s="18" t="inlineStr">
        <is>
          <t>A</t>
        </is>
      </c>
      <c r="R10" s="18" t="inlineStr">
        <is>
          <t>特</t>
        </is>
      </c>
      <c r="S10" s="18" t="inlineStr">
        <is>
          <t>A</t>
        </is>
      </c>
      <c r="T10" s="18" t="inlineStr">
        <is>
          <t>P</t>
        </is>
      </c>
      <c r="U10" s="18" t="inlineStr">
        <is>
          <t>OFF</t>
        </is>
      </c>
      <c r="V10" s="18" t="inlineStr">
        <is>
          <t>OFF</t>
        </is>
      </c>
      <c r="W10" s="18" t="inlineStr">
        <is>
          <t>A</t>
        </is>
      </c>
      <c r="X10" s="18" t="inlineStr">
        <is>
          <t>P</t>
        </is>
      </c>
      <c r="Y10" s="18" t="inlineStr">
        <is>
          <t>A</t>
        </is>
      </c>
      <c r="Z10" s="18" t="inlineStr">
        <is>
          <t>P</t>
        </is>
      </c>
      <c r="AA10" s="18" t="inlineStr">
        <is>
          <t>A</t>
        </is>
      </c>
      <c r="AB10" s="18" t="inlineStr">
        <is>
          <t>OFF</t>
        </is>
      </c>
      <c r="AC10" s="18" t="inlineStr">
        <is>
          <t>OFF</t>
        </is>
      </c>
      <c r="AD10" s="18" t="inlineStr">
        <is>
          <t>P</t>
        </is>
      </c>
      <c r="AE10" s="18" t="inlineStr">
        <is>
          <t>A</t>
        </is>
      </c>
      <c r="AF10" s="18" t="inlineStr">
        <is>
          <t>P</t>
        </is>
      </c>
      <c r="AG10" s="18" t="inlineStr">
        <is>
          <t>A</t>
        </is>
      </c>
      <c r="AH10" s="18" t="inlineStr">
        <is>
          <t>P</t>
        </is>
      </c>
    </row>
    <row r="11" ht="18" customHeight="1">
      <c r="A11" s="12" t="inlineStr">
        <is>
          <t>A002</t>
        </is>
      </c>
      <c r="B11" s="10">
        <f>IFERROR(INDEX(設定!$C$35:$C$64,MATCH($A11,設定!$B$35:$B$64,0)),"")</f>
        <v/>
      </c>
      <c r="C11" s="10">
        <f>IFERROR(INDEX(設定!$D$35:$D$64,MATCH($A11,設定!$B$35:$B$64,0)),"")</f>
        <v/>
      </c>
      <c r="D11" s="18" t="inlineStr">
        <is>
          <t>A</t>
        </is>
      </c>
      <c r="E11" s="18" t="inlineStr">
        <is>
          <t>P</t>
        </is>
      </c>
      <c r="F11" s="18" t="inlineStr">
        <is>
          <t>A</t>
        </is>
      </c>
      <c r="G11" s="18" t="inlineStr">
        <is>
          <t>OFF</t>
        </is>
      </c>
      <c r="H11" s="18" t="inlineStr">
        <is>
          <t>A</t>
        </is>
      </c>
      <c r="I11" s="18" t="inlineStr">
        <is>
          <t>OFF</t>
        </is>
      </c>
      <c r="J11" s="18" t="inlineStr">
        <is>
          <t>A</t>
        </is>
      </c>
      <c r="K11" s="18" t="inlineStr">
        <is>
          <t>P</t>
        </is>
      </c>
      <c r="L11" s="18" t="inlineStr">
        <is>
          <t>A</t>
        </is>
      </c>
      <c r="M11" s="18" t="inlineStr">
        <is>
          <t>P</t>
        </is>
      </c>
      <c r="N11" s="18" t="inlineStr">
        <is>
          <t>OFF</t>
        </is>
      </c>
      <c r="O11" s="18" t="inlineStr">
        <is>
          <t>P</t>
        </is>
      </c>
      <c r="P11" s="18" t="inlineStr">
        <is>
          <t>OFF</t>
        </is>
      </c>
      <c r="Q11" s="18" t="inlineStr">
        <is>
          <t>P</t>
        </is>
      </c>
      <c r="R11" s="18" t="inlineStr">
        <is>
          <t>A</t>
        </is>
      </c>
      <c r="S11" s="18" t="inlineStr">
        <is>
          <t>P</t>
        </is>
      </c>
      <c r="T11" s="18" t="inlineStr">
        <is>
          <t>A</t>
        </is>
      </c>
      <c r="U11" s="18" t="inlineStr">
        <is>
          <t>OFF</t>
        </is>
      </c>
      <c r="V11" s="18" t="inlineStr">
        <is>
          <t>A</t>
        </is>
      </c>
      <c r="W11" s="18" t="inlineStr">
        <is>
          <t>OFF</t>
        </is>
      </c>
      <c r="X11" s="18" t="inlineStr">
        <is>
          <t>A</t>
        </is>
      </c>
      <c r="Y11" s="18" t="inlineStr">
        <is>
          <t>P</t>
        </is>
      </c>
      <c r="Z11" s="18" t="inlineStr">
        <is>
          <t>A</t>
        </is>
      </c>
      <c r="AA11" s="18" t="inlineStr">
        <is>
          <t>P</t>
        </is>
      </c>
      <c r="AB11" s="18" t="inlineStr">
        <is>
          <t>OFF</t>
        </is>
      </c>
      <c r="AC11" s="18" t="inlineStr">
        <is>
          <t>P</t>
        </is>
      </c>
      <c r="AD11" s="18" t="inlineStr">
        <is>
          <t>OFF</t>
        </is>
      </c>
      <c r="AE11" s="18" t="inlineStr">
        <is>
          <t>P</t>
        </is>
      </c>
      <c r="AF11" s="18" t="inlineStr">
        <is>
          <t>A</t>
        </is>
      </c>
      <c r="AG11" s="18" t="inlineStr">
        <is>
          <t>P</t>
        </is>
      </c>
      <c r="AH11" s="18" t="inlineStr">
        <is>
          <t>A</t>
        </is>
      </c>
    </row>
    <row r="12" ht="18" customHeight="1">
      <c r="A12" s="12" t="inlineStr">
        <is>
          <t>A003</t>
        </is>
      </c>
      <c r="B12" s="10">
        <f>IFERROR(INDEX(設定!$C$35:$C$64,MATCH($A12,設定!$B$35:$B$64,0)),"")</f>
        <v/>
      </c>
      <c r="C12" s="10">
        <f>IFERROR(INDEX(設定!$D$35:$D$64,MATCH($A12,設定!$B$35:$B$64,0)),"")</f>
        <v/>
      </c>
      <c r="D12" s="18" t="inlineStr">
        <is>
          <t>P</t>
        </is>
      </c>
      <c r="E12" s="18" t="inlineStr">
        <is>
          <t>A</t>
        </is>
      </c>
      <c r="F12" s="18" t="inlineStr">
        <is>
          <t>P</t>
        </is>
      </c>
      <c r="G12" s="18" t="inlineStr">
        <is>
          <t>OFF</t>
        </is>
      </c>
      <c r="H12" s="18" t="inlineStr">
        <is>
          <t>P</t>
        </is>
      </c>
      <c r="I12" s="18" t="inlineStr">
        <is>
          <t>A</t>
        </is>
      </c>
      <c r="J12" s="18" t="inlineStr">
        <is>
          <t>OFF</t>
        </is>
      </c>
      <c r="K12" s="18" t="inlineStr">
        <is>
          <t>A</t>
        </is>
      </c>
      <c r="L12" s="18" t="inlineStr">
        <is>
          <t>P</t>
        </is>
      </c>
      <c r="M12" s="18" t="inlineStr">
        <is>
          <t>A</t>
        </is>
      </c>
      <c r="N12" s="18" t="inlineStr">
        <is>
          <t>OFF</t>
        </is>
      </c>
      <c r="O12" s="18" t="inlineStr">
        <is>
          <t>A</t>
        </is>
      </c>
      <c r="P12" s="18" t="inlineStr">
        <is>
          <t>P</t>
        </is>
      </c>
      <c r="Q12" s="18" t="inlineStr">
        <is>
          <t>OFF</t>
        </is>
      </c>
      <c r="R12" s="18" t="inlineStr">
        <is>
          <t>P</t>
        </is>
      </c>
      <c r="S12" s="18" t="inlineStr">
        <is>
          <t>A</t>
        </is>
      </c>
      <c r="T12" s="18" t="inlineStr">
        <is>
          <t>P</t>
        </is>
      </c>
      <c r="U12" s="18" t="inlineStr">
        <is>
          <t>OFF</t>
        </is>
      </c>
      <c r="V12" s="18" t="inlineStr">
        <is>
          <t>P</t>
        </is>
      </c>
      <c r="W12" s="18" t="inlineStr">
        <is>
          <t>A</t>
        </is>
      </c>
      <c r="X12" s="18" t="inlineStr">
        <is>
          <t>OFF</t>
        </is>
      </c>
      <c r="Y12" s="18" t="inlineStr">
        <is>
          <t>病</t>
        </is>
      </c>
      <c r="Z12" s="18" t="inlineStr">
        <is>
          <t>P</t>
        </is>
      </c>
      <c r="AA12" s="18" t="inlineStr">
        <is>
          <t>A</t>
        </is>
      </c>
      <c r="AB12" s="18" t="inlineStr">
        <is>
          <t>OFF</t>
        </is>
      </c>
      <c r="AC12" s="18" t="inlineStr">
        <is>
          <t>A</t>
        </is>
      </c>
      <c r="AD12" s="18" t="inlineStr">
        <is>
          <t>P</t>
        </is>
      </c>
      <c r="AE12" s="18" t="inlineStr">
        <is>
          <t>OFF</t>
        </is>
      </c>
      <c r="AF12" s="18" t="inlineStr">
        <is>
          <t>P</t>
        </is>
      </c>
      <c r="AG12" s="18" t="inlineStr">
        <is>
          <t>A</t>
        </is>
      </c>
      <c r="AH12" s="18" t="inlineStr">
        <is>
          <t>P</t>
        </is>
      </c>
    </row>
    <row r="13" ht="18" customHeight="1">
      <c r="A13" s="12" t="inlineStr">
        <is>
          <t>A004</t>
        </is>
      </c>
      <c r="B13" s="10">
        <f>IFERROR(INDEX(設定!$C$35:$C$64,MATCH($A13,設定!$B$35:$B$64,0)),"")</f>
        <v/>
      </c>
      <c r="C13" s="10">
        <f>IFERROR(INDEX(設定!$D$35:$D$64,MATCH($A13,設定!$B$35:$B$64,0)),"")</f>
        <v/>
      </c>
      <c r="D13" s="18" t="inlineStr">
        <is>
          <t>OFF</t>
        </is>
      </c>
      <c r="E13" s="18" t="inlineStr">
        <is>
          <t>P</t>
        </is>
      </c>
      <c r="F13" s="18" t="inlineStr">
        <is>
          <t>A</t>
        </is>
      </c>
      <c r="G13" s="18" t="inlineStr">
        <is>
          <t>OFF</t>
        </is>
      </c>
      <c r="H13" s="18" t="inlineStr">
        <is>
          <t>A</t>
        </is>
      </c>
      <c r="I13" s="18" t="inlineStr">
        <is>
          <t>P</t>
        </is>
      </c>
      <c r="J13" s="18" t="inlineStr">
        <is>
          <t>A</t>
        </is>
      </c>
      <c r="K13" s="18" t="inlineStr">
        <is>
          <t>OFF</t>
        </is>
      </c>
      <c r="L13" s="18" t="inlineStr">
        <is>
          <t>A</t>
        </is>
      </c>
      <c r="M13" s="18" t="inlineStr">
        <is>
          <t>P</t>
        </is>
      </c>
      <c r="N13" s="18" t="inlineStr">
        <is>
          <t>OFF</t>
        </is>
      </c>
      <c r="O13" s="18" t="inlineStr">
        <is>
          <t>P</t>
        </is>
      </c>
      <c r="P13" s="18" t="inlineStr">
        <is>
          <t>A</t>
        </is>
      </c>
      <c r="Q13" s="18" t="inlineStr">
        <is>
          <t>P</t>
        </is>
      </c>
      <c r="R13" s="18" t="inlineStr">
        <is>
          <t>OFF</t>
        </is>
      </c>
      <c r="S13" s="18" t="inlineStr">
        <is>
          <t>P</t>
        </is>
      </c>
      <c r="T13" s="18" t="inlineStr">
        <is>
          <t>A</t>
        </is>
      </c>
      <c r="U13" s="18" t="inlineStr">
        <is>
          <t>OFF</t>
        </is>
      </c>
      <c r="V13" s="18" t="inlineStr">
        <is>
          <t>A</t>
        </is>
      </c>
      <c r="W13" s="18" t="inlineStr">
        <is>
          <t>P</t>
        </is>
      </c>
      <c r="X13" s="18" t="inlineStr">
        <is>
          <t>A</t>
        </is>
      </c>
      <c r="Y13" s="18" t="inlineStr">
        <is>
          <t>OFF</t>
        </is>
      </c>
      <c r="Z13" s="18" t="inlineStr">
        <is>
          <t>A</t>
        </is>
      </c>
      <c r="AA13" s="18" t="inlineStr">
        <is>
          <t>P</t>
        </is>
      </c>
      <c r="AB13" s="18" t="inlineStr">
        <is>
          <t>OFF</t>
        </is>
      </c>
      <c r="AC13" s="18" t="inlineStr">
        <is>
          <t>P</t>
        </is>
      </c>
      <c r="AD13" s="18" t="inlineStr">
        <is>
          <t>A</t>
        </is>
      </c>
      <c r="AE13" s="18" t="inlineStr">
        <is>
          <t>P</t>
        </is>
      </c>
      <c r="AF13" s="18" t="inlineStr">
        <is>
          <t>OFF</t>
        </is>
      </c>
      <c r="AG13" s="18" t="inlineStr">
        <is>
          <t>P</t>
        </is>
      </c>
      <c r="AH13" s="18" t="inlineStr">
        <is>
          <t>A</t>
        </is>
      </c>
    </row>
    <row r="14" ht="18" customHeight="1">
      <c r="A14" s="12" t="inlineStr">
        <is>
          <t>A005</t>
        </is>
      </c>
      <c r="B14" s="10">
        <f>IFERROR(INDEX(設定!$C$35:$C$64,MATCH($A14,設定!$B$35:$B$64,0)),"")</f>
        <v/>
      </c>
      <c r="C14" s="10">
        <f>IFERROR(INDEX(設定!$D$35:$D$64,MATCH($A14,設定!$B$35:$B$64,0)),"")</f>
        <v/>
      </c>
      <c r="D14" s="18" t="inlineStr">
        <is>
          <t>P</t>
        </is>
      </c>
      <c r="E14" s="18" t="inlineStr">
        <is>
          <t>OFF</t>
        </is>
      </c>
      <c r="F14" s="18" t="inlineStr">
        <is>
          <t>P</t>
        </is>
      </c>
      <c r="G14" s="18" t="inlineStr">
        <is>
          <t>OFF</t>
        </is>
      </c>
      <c r="H14" s="18" t="inlineStr">
        <is>
          <t>P</t>
        </is>
      </c>
      <c r="I14" s="18" t="inlineStr">
        <is>
          <t>A</t>
        </is>
      </c>
      <c r="J14" s="18" t="inlineStr">
        <is>
          <t>P</t>
        </is>
      </c>
      <c r="K14" s="18" t="inlineStr">
        <is>
          <t>A</t>
        </is>
      </c>
      <c r="L14" s="18" t="inlineStr">
        <is>
          <t>OFF</t>
        </is>
      </c>
      <c r="M14" s="18" t="inlineStr">
        <is>
          <t>A</t>
        </is>
      </c>
      <c r="N14" s="18" t="inlineStr">
        <is>
          <t>OFF</t>
        </is>
      </c>
      <c r="O14" s="18" t="inlineStr">
        <is>
          <t>A</t>
        </is>
      </c>
      <c r="P14" s="18" t="inlineStr">
        <is>
          <t>P</t>
        </is>
      </c>
      <c r="Q14" s="18" t="inlineStr">
        <is>
          <t>A</t>
        </is>
      </c>
      <c r="R14" s="18" t="inlineStr">
        <is>
          <t>P</t>
        </is>
      </c>
      <c r="S14" s="18" t="inlineStr">
        <is>
          <t>OFF</t>
        </is>
      </c>
      <c r="T14" s="18" t="inlineStr">
        <is>
          <t>P</t>
        </is>
      </c>
      <c r="U14" s="18" t="inlineStr">
        <is>
          <t>OFF</t>
        </is>
      </c>
      <c r="V14" s="18" t="inlineStr">
        <is>
          <t>P</t>
        </is>
      </c>
      <c r="W14" s="18" t="inlineStr">
        <is>
          <t>A</t>
        </is>
      </c>
      <c r="X14" s="18" t="inlineStr">
        <is>
          <t>P</t>
        </is>
      </c>
      <c r="Y14" s="18" t="inlineStr">
        <is>
          <t>A</t>
        </is>
      </c>
      <c r="Z14" s="18" t="inlineStr">
        <is>
          <t>OFF</t>
        </is>
      </c>
      <c r="AA14" s="18" t="inlineStr">
        <is>
          <t>A</t>
        </is>
      </c>
      <c r="AB14" s="18" t="inlineStr">
        <is>
          <t>OFF</t>
        </is>
      </c>
      <c r="AC14" s="18" t="inlineStr">
        <is>
          <t>A</t>
        </is>
      </c>
      <c r="AD14" s="18" t="inlineStr">
        <is>
          <t>P</t>
        </is>
      </c>
      <c r="AE14" s="18" t="inlineStr">
        <is>
          <t>A</t>
        </is>
      </c>
      <c r="AF14" s="18" t="inlineStr">
        <is>
          <t>P</t>
        </is>
      </c>
      <c r="AG14" s="18" t="inlineStr">
        <is>
          <t>OFF</t>
        </is>
      </c>
      <c r="AH14" s="18" t="inlineStr">
        <is>
          <t>P</t>
        </is>
      </c>
    </row>
    <row r="15" ht="18" customHeight="1">
      <c r="A15" s="12" t="n"/>
      <c r="B15" s="10">
        <f>IFERROR(INDEX(設定!$C$35:$C$64,MATCH($A15,設定!$B$35:$B$64,0)),"")</f>
        <v/>
      </c>
      <c r="C15" s="10">
        <f>IFERROR(INDEX(設定!$D$35:$D$64,MATCH($A15,設定!$B$35:$B$64,0)),"")</f>
        <v/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</row>
    <row r="16" ht="18" customHeight="1">
      <c r="A16" s="12" t="n"/>
      <c r="B16" s="10">
        <f>IFERROR(INDEX(設定!$C$35:$C$64,MATCH($A16,設定!$B$35:$B$64,0)),"")</f>
        <v/>
      </c>
      <c r="C16" s="10">
        <f>IFERROR(INDEX(設定!$D$35:$D$64,MATCH($A16,設定!$B$35:$B$64,0)),"")</f>
        <v/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8" customHeight="1">
      <c r="A17" s="12" t="n"/>
      <c r="B17" s="10">
        <f>IFERROR(INDEX(設定!$C$35:$C$64,MATCH($A17,設定!$B$35:$B$64,0)),"")</f>
        <v/>
      </c>
      <c r="C17" s="10">
        <f>IFERROR(INDEX(設定!$D$35:$D$64,MATCH($A17,設定!$B$35:$B$64,0)),"")</f>
        <v/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</row>
    <row r="18" ht="18" customHeight="1">
      <c r="A18" s="12" t="n"/>
      <c r="B18" s="10">
        <f>IFERROR(INDEX(設定!$C$35:$C$64,MATCH($A18,設定!$B$35:$B$64,0)),"")</f>
        <v/>
      </c>
      <c r="C18" s="10">
        <f>IFERROR(INDEX(設定!$D$35:$D$64,MATCH($A18,設定!$B$35:$B$64,0)),"")</f>
        <v/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</row>
    <row r="19" ht="18" customHeight="1">
      <c r="A19" s="12" t="n"/>
      <c r="B19" s="10">
        <f>IFERROR(INDEX(設定!$C$35:$C$64,MATCH($A19,設定!$B$35:$B$64,0)),"")</f>
        <v/>
      </c>
      <c r="C19" s="10">
        <f>IFERROR(INDEX(設定!$D$35:$D$64,MATCH($A19,設定!$B$35:$B$64,0)),"")</f>
        <v/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</row>
    <row r="20" ht="18" customHeight="1">
      <c r="A20" s="12" t="n"/>
      <c r="B20" s="10">
        <f>IFERROR(INDEX(設定!$C$35:$C$64,MATCH($A20,設定!$B$35:$B$64,0)),"")</f>
        <v/>
      </c>
      <c r="C20" s="10">
        <f>IFERROR(INDEX(設定!$D$35:$D$64,MATCH($A20,設定!$B$35:$B$64,0)),"")</f>
        <v/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</row>
    <row r="21" ht="18" customHeight="1">
      <c r="A21" s="12" t="n"/>
      <c r="B21" s="10">
        <f>IFERROR(INDEX(設定!$C$35:$C$64,MATCH($A21,設定!$B$35:$B$64,0)),"")</f>
        <v/>
      </c>
      <c r="C21" s="10">
        <f>IFERROR(INDEX(設定!$D$35:$D$64,MATCH($A21,設定!$B$35:$B$64,0)),"")</f>
        <v/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</row>
    <row r="22" ht="18" customHeight="1">
      <c r="A22" s="12" t="n"/>
      <c r="B22" s="10">
        <f>IFERROR(INDEX(設定!$C$35:$C$64,MATCH($A22,設定!$B$35:$B$64,0)),"")</f>
        <v/>
      </c>
      <c r="C22" s="10">
        <f>IFERROR(INDEX(設定!$D$35:$D$64,MATCH($A22,設定!$B$35:$B$64,0)),"")</f>
        <v/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</row>
    <row r="23" ht="18" customHeight="1">
      <c r="A23" s="12" t="n"/>
      <c r="B23" s="10">
        <f>IFERROR(INDEX(設定!$C$35:$C$64,MATCH($A23,設定!$B$35:$B$64,0)),"")</f>
        <v/>
      </c>
      <c r="C23" s="10">
        <f>IFERROR(INDEX(設定!$D$35:$D$64,MATCH($A23,設定!$B$35:$B$64,0)),"")</f>
        <v/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</row>
    <row r="24" ht="18" customHeight="1">
      <c r="A24" s="12" t="n"/>
      <c r="B24" s="10">
        <f>IFERROR(INDEX(設定!$C$35:$C$64,MATCH($A24,設定!$B$35:$B$64,0)),"")</f>
        <v/>
      </c>
      <c r="C24" s="10">
        <f>IFERROR(INDEX(設定!$D$35:$D$64,MATCH($A24,設定!$B$35:$B$64,0)),"")</f>
        <v/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</row>
    <row r="25" ht="18" customHeight="1">
      <c r="A25" s="12" t="n"/>
      <c r="B25" s="10">
        <f>IFERROR(INDEX(設定!$C$35:$C$64,MATCH($A25,設定!$B$35:$B$64,0)),"")</f>
        <v/>
      </c>
      <c r="C25" s="10">
        <f>IFERROR(INDEX(設定!$D$35:$D$64,MATCH($A25,設定!$B$35:$B$64,0)),"")</f>
        <v/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</row>
    <row r="26" ht="18" customHeight="1">
      <c r="A26" s="12" t="n"/>
      <c r="B26" s="10">
        <f>IFERROR(INDEX(設定!$C$35:$C$64,MATCH($A26,設定!$B$35:$B$64,0)),"")</f>
        <v/>
      </c>
      <c r="C26" s="10">
        <f>IFERROR(INDEX(設定!$D$35:$D$64,MATCH($A26,設定!$B$35:$B$64,0)),"")</f>
        <v/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</row>
    <row r="27" ht="18" customHeight="1">
      <c r="A27" s="12" t="n"/>
      <c r="B27" s="10">
        <f>IFERROR(INDEX(設定!$C$35:$C$64,MATCH($A27,設定!$B$35:$B$64,0)),"")</f>
        <v/>
      </c>
      <c r="C27" s="10">
        <f>IFERROR(INDEX(設定!$D$35:$D$64,MATCH($A27,設定!$B$35:$B$64,0)),"")</f>
        <v/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</row>
    <row r="28" ht="18" customHeight="1">
      <c r="A28" s="12" t="n"/>
      <c r="B28" s="10">
        <f>IFERROR(INDEX(設定!$C$35:$C$64,MATCH($A28,設定!$B$35:$B$64,0)),"")</f>
        <v/>
      </c>
      <c r="C28" s="10">
        <f>IFERROR(INDEX(設定!$D$35:$D$64,MATCH($A28,設定!$B$35:$B$64,0)),"")</f>
        <v/>
      </c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</row>
    <row r="29" ht="18" customHeight="1">
      <c r="A29" s="12" t="n"/>
      <c r="B29" s="10">
        <f>IFERROR(INDEX(設定!$C$35:$C$64,MATCH($A29,設定!$B$35:$B$64,0)),"")</f>
        <v/>
      </c>
      <c r="C29" s="10">
        <f>IFERROR(INDEX(設定!$D$35:$D$64,MATCH($A29,設定!$B$35:$B$64,0)),"")</f>
        <v/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</row>
    <row r="30" ht="18" customHeight="1">
      <c r="A30" s="12" t="n"/>
      <c r="B30" s="10">
        <f>IFERROR(INDEX(設定!$C$35:$C$64,MATCH($A30,設定!$B$35:$B$64,0)),"")</f>
        <v/>
      </c>
      <c r="C30" s="10">
        <f>IFERROR(INDEX(設定!$D$35:$D$64,MATCH($A30,設定!$B$35:$B$64,0)),"")</f>
        <v/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</row>
    <row r="31" ht="18" customHeight="1">
      <c r="A31" s="12" t="n"/>
      <c r="B31" s="10">
        <f>IFERROR(INDEX(設定!$C$35:$C$64,MATCH($A31,設定!$B$35:$B$64,0)),"")</f>
        <v/>
      </c>
      <c r="C31" s="10">
        <f>IFERROR(INDEX(設定!$D$35:$D$64,MATCH($A31,設定!$B$35:$B$64,0)),"")</f>
        <v/>
      </c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</row>
    <row r="32" ht="18" customHeight="1">
      <c r="A32" s="12" t="n"/>
      <c r="B32" s="10">
        <f>IFERROR(INDEX(設定!$C$35:$C$64,MATCH($A32,設定!$B$35:$B$64,0)),"")</f>
        <v/>
      </c>
      <c r="C32" s="10">
        <f>IFERROR(INDEX(設定!$D$35:$D$64,MATCH($A32,設定!$B$35:$B$64,0)),"")</f>
        <v/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</row>
    <row r="33" ht="18" customHeight="1">
      <c r="A33" s="12" t="n"/>
      <c r="B33" s="10">
        <f>IFERROR(INDEX(設定!$C$35:$C$64,MATCH($A33,設定!$B$35:$B$64,0)),"")</f>
        <v/>
      </c>
      <c r="C33" s="10">
        <f>IFERROR(INDEX(設定!$D$35:$D$64,MATCH($A33,設定!$B$35:$B$64,0)),"")</f>
        <v/>
      </c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</row>
    <row r="34" ht="18" customHeight="1">
      <c r="A34" s="12" t="n"/>
      <c r="B34" s="10">
        <f>IFERROR(INDEX(設定!$C$35:$C$64,MATCH($A34,設定!$B$35:$B$64,0)),"")</f>
        <v/>
      </c>
      <c r="C34" s="10">
        <f>IFERROR(INDEX(設定!$D$35:$D$64,MATCH($A34,設定!$B$35:$B$64,0)),"")</f>
        <v/>
      </c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</row>
    <row r="35" ht="18" customHeight="1">
      <c r="A35" s="12" t="n"/>
      <c r="B35" s="10">
        <f>IFERROR(INDEX(設定!$C$35:$C$64,MATCH($A35,設定!$B$35:$B$64,0)),"")</f>
        <v/>
      </c>
      <c r="C35" s="10">
        <f>IFERROR(INDEX(設定!$D$35:$D$64,MATCH($A35,設定!$B$35:$B$64,0)),"")</f>
        <v/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</row>
    <row r="36">
      <c r="A36" s="2" t="inlineStr">
        <is>
          <t>人力檢核(自動計算)</t>
        </is>
      </c>
      <c r="B36" s="19" t="n"/>
      <c r="C36" s="20" t="n"/>
    </row>
    <row r="37">
      <c r="A37" s="2" t="inlineStr">
        <is>
          <t>當日醫師人數</t>
        </is>
      </c>
      <c r="B37" s="19" t="n"/>
      <c r="C37" s="20" t="n"/>
      <c r="D37" s="21">
        <f>IF(D$4="","",SUMPRODUCT(($C$6:$C$35="醫師")*(COUNTIF(設定!$B$5:$B$13,D$6:D$35)&gt;0)))</f>
        <v/>
      </c>
      <c r="E37" s="21">
        <f>IF(E$4="","",SUMPRODUCT(($C$6:$C$35="醫師")*(COUNTIF(設定!$B$5:$B$13,E$6:E$35)&gt;0)))</f>
        <v/>
      </c>
      <c r="F37" s="21">
        <f>IF(F$4="","",SUMPRODUCT(($C$6:$C$35="醫師")*(COUNTIF(設定!$B$5:$B$13,F$6:F$35)&gt;0)))</f>
        <v/>
      </c>
      <c r="G37" s="21">
        <f>IF(G$4="","",SUMPRODUCT(($C$6:$C$35="醫師")*(COUNTIF(設定!$B$5:$B$13,G$6:G$35)&gt;0)))</f>
        <v/>
      </c>
      <c r="H37" s="21">
        <f>IF(H$4="","",SUMPRODUCT(($C$6:$C$35="醫師")*(COUNTIF(設定!$B$5:$B$13,H$6:H$35)&gt;0)))</f>
        <v/>
      </c>
      <c r="I37" s="21">
        <f>IF(I$4="","",SUMPRODUCT(($C$6:$C$35="醫師")*(COUNTIF(設定!$B$5:$B$13,I$6:I$35)&gt;0)))</f>
        <v/>
      </c>
      <c r="J37" s="21">
        <f>IF(J$4="","",SUMPRODUCT(($C$6:$C$35="醫師")*(COUNTIF(設定!$B$5:$B$13,J$6:J$35)&gt;0)))</f>
        <v/>
      </c>
      <c r="K37" s="21">
        <f>IF(K$4="","",SUMPRODUCT(($C$6:$C$35="醫師")*(COUNTIF(設定!$B$5:$B$13,K$6:K$35)&gt;0)))</f>
        <v/>
      </c>
      <c r="L37" s="21">
        <f>IF(L$4="","",SUMPRODUCT(($C$6:$C$35="醫師")*(COUNTIF(設定!$B$5:$B$13,L$6:L$35)&gt;0)))</f>
        <v/>
      </c>
      <c r="M37" s="21">
        <f>IF(M$4="","",SUMPRODUCT(($C$6:$C$35="醫師")*(COUNTIF(設定!$B$5:$B$13,M$6:M$35)&gt;0)))</f>
        <v/>
      </c>
      <c r="N37" s="21">
        <f>IF(N$4="","",SUMPRODUCT(($C$6:$C$35="醫師")*(COUNTIF(設定!$B$5:$B$13,N$6:N$35)&gt;0)))</f>
        <v/>
      </c>
      <c r="O37" s="21">
        <f>IF(O$4="","",SUMPRODUCT(($C$6:$C$35="醫師")*(COUNTIF(設定!$B$5:$B$13,O$6:O$35)&gt;0)))</f>
        <v/>
      </c>
      <c r="P37" s="21">
        <f>IF(P$4="","",SUMPRODUCT(($C$6:$C$35="醫師")*(COUNTIF(設定!$B$5:$B$13,P$6:P$35)&gt;0)))</f>
        <v/>
      </c>
      <c r="Q37" s="21">
        <f>IF(Q$4="","",SUMPRODUCT(($C$6:$C$35="醫師")*(COUNTIF(設定!$B$5:$B$13,Q$6:Q$35)&gt;0)))</f>
        <v/>
      </c>
      <c r="R37" s="21">
        <f>IF(R$4="","",SUMPRODUCT(($C$6:$C$35="醫師")*(COUNTIF(設定!$B$5:$B$13,R$6:R$35)&gt;0)))</f>
        <v/>
      </c>
      <c r="S37" s="21">
        <f>IF(S$4="","",SUMPRODUCT(($C$6:$C$35="醫師")*(COUNTIF(設定!$B$5:$B$13,S$6:S$35)&gt;0)))</f>
        <v/>
      </c>
      <c r="T37" s="21">
        <f>IF(T$4="","",SUMPRODUCT(($C$6:$C$35="醫師")*(COUNTIF(設定!$B$5:$B$13,T$6:T$35)&gt;0)))</f>
        <v/>
      </c>
      <c r="U37" s="21">
        <f>IF(U$4="","",SUMPRODUCT(($C$6:$C$35="醫師")*(COUNTIF(設定!$B$5:$B$13,U$6:U$35)&gt;0)))</f>
        <v/>
      </c>
      <c r="V37" s="21">
        <f>IF(V$4="","",SUMPRODUCT(($C$6:$C$35="醫師")*(COUNTIF(設定!$B$5:$B$13,V$6:V$35)&gt;0)))</f>
        <v/>
      </c>
      <c r="W37" s="21">
        <f>IF(W$4="","",SUMPRODUCT(($C$6:$C$35="醫師")*(COUNTIF(設定!$B$5:$B$13,W$6:W$35)&gt;0)))</f>
        <v/>
      </c>
      <c r="X37" s="21">
        <f>IF(X$4="","",SUMPRODUCT(($C$6:$C$35="醫師")*(COUNTIF(設定!$B$5:$B$13,X$6:X$35)&gt;0)))</f>
        <v/>
      </c>
      <c r="Y37" s="21">
        <f>IF(Y$4="","",SUMPRODUCT(($C$6:$C$35="醫師")*(COUNTIF(設定!$B$5:$B$13,Y$6:Y$35)&gt;0)))</f>
        <v/>
      </c>
      <c r="Z37" s="21">
        <f>IF(Z$4="","",SUMPRODUCT(($C$6:$C$35="醫師")*(COUNTIF(設定!$B$5:$B$13,Z$6:Z$35)&gt;0)))</f>
        <v/>
      </c>
      <c r="AA37" s="21">
        <f>IF(AA$4="","",SUMPRODUCT(($C$6:$C$35="醫師")*(COUNTIF(設定!$B$5:$B$13,AA$6:AA$35)&gt;0)))</f>
        <v/>
      </c>
      <c r="AB37" s="21">
        <f>IF(AB$4="","",SUMPRODUCT(($C$6:$C$35="醫師")*(COUNTIF(設定!$B$5:$B$13,AB$6:AB$35)&gt;0)))</f>
        <v/>
      </c>
      <c r="AC37" s="21">
        <f>IF(AC$4="","",SUMPRODUCT(($C$6:$C$35="醫師")*(COUNTIF(設定!$B$5:$B$13,AC$6:AC$35)&gt;0)))</f>
        <v/>
      </c>
      <c r="AD37" s="21">
        <f>IF(AD$4="","",SUMPRODUCT(($C$6:$C$35="醫師")*(COUNTIF(設定!$B$5:$B$13,AD$6:AD$35)&gt;0)))</f>
        <v/>
      </c>
      <c r="AE37" s="21">
        <f>IF(AE$4="","",SUMPRODUCT(($C$6:$C$35="醫師")*(COUNTIF(設定!$B$5:$B$13,AE$6:AE$35)&gt;0)))</f>
        <v/>
      </c>
      <c r="AF37" s="21">
        <f>IF(AF$4="","",SUMPRODUCT(($C$6:$C$35="醫師")*(COUNTIF(設定!$B$5:$B$13,AF$6:AF$35)&gt;0)))</f>
        <v/>
      </c>
      <c r="AG37" s="21">
        <f>IF(AG$4="","",SUMPRODUCT(($C$6:$C$35="醫師")*(COUNTIF(設定!$B$5:$B$13,AG$6:AG$35)&gt;0)))</f>
        <v/>
      </c>
      <c r="AH37" s="21">
        <f>IF(AH$4="","",SUMPRODUCT(($C$6:$C$35="醫師")*(COUNTIF(設定!$B$5:$B$13,AH$6:AH$35)&gt;0)))</f>
        <v/>
      </c>
    </row>
    <row r="38">
      <c r="A38" s="2" t="inlineStr">
        <is>
          <t>當日助理/醫護長人數</t>
        </is>
      </c>
      <c r="B38" s="19" t="n"/>
      <c r="C38" s="20" t="n"/>
      <c r="D38" s="21">
        <f>IF(D$4="","",SUMPRODUCT((($C$6:$C$35="助理")+($C$6:$C$35="醫護長"))*(COUNTIF(設定!$B$5:$B$13,D$6:D$35)&gt;0)))</f>
        <v/>
      </c>
      <c r="E38" s="21">
        <f>IF(E$4="","",SUMPRODUCT((($C$6:$C$35="助理")+($C$6:$C$35="醫護長"))*(COUNTIF(設定!$B$5:$B$13,E$6:E$35)&gt;0)))</f>
        <v/>
      </c>
      <c r="F38" s="21">
        <f>IF(F$4="","",SUMPRODUCT((($C$6:$C$35="助理")+($C$6:$C$35="醫護長"))*(COUNTIF(設定!$B$5:$B$13,F$6:F$35)&gt;0)))</f>
        <v/>
      </c>
      <c r="G38" s="21">
        <f>IF(G$4="","",SUMPRODUCT((($C$6:$C$35="助理")+($C$6:$C$35="醫護長"))*(COUNTIF(設定!$B$5:$B$13,G$6:G$35)&gt;0)))</f>
        <v/>
      </c>
      <c r="H38" s="21">
        <f>IF(H$4="","",SUMPRODUCT((($C$6:$C$35="助理")+($C$6:$C$35="醫護長"))*(COUNTIF(設定!$B$5:$B$13,H$6:H$35)&gt;0)))</f>
        <v/>
      </c>
      <c r="I38" s="21">
        <f>IF(I$4="","",SUMPRODUCT((($C$6:$C$35="助理")+($C$6:$C$35="醫護長"))*(COUNTIF(設定!$B$5:$B$13,I$6:I$35)&gt;0)))</f>
        <v/>
      </c>
      <c r="J38" s="21">
        <f>IF(J$4="","",SUMPRODUCT((($C$6:$C$35="助理")+($C$6:$C$35="醫護長"))*(COUNTIF(設定!$B$5:$B$13,J$6:J$35)&gt;0)))</f>
        <v/>
      </c>
      <c r="K38" s="21">
        <f>IF(K$4="","",SUMPRODUCT((($C$6:$C$35="助理")+($C$6:$C$35="醫護長"))*(COUNTIF(設定!$B$5:$B$13,K$6:K$35)&gt;0)))</f>
        <v/>
      </c>
      <c r="L38" s="21">
        <f>IF(L$4="","",SUMPRODUCT((($C$6:$C$35="助理")+($C$6:$C$35="醫護長"))*(COUNTIF(設定!$B$5:$B$13,L$6:L$35)&gt;0)))</f>
        <v/>
      </c>
      <c r="M38" s="21">
        <f>IF(M$4="","",SUMPRODUCT((($C$6:$C$35="助理")+($C$6:$C$35="醫護長"))*(COUNTIF(設定!$B$5:$B$13,M$6:M$35)&gt;0)))</f>
        <v/>
      </c>
      <c r="N38" s="21">
        <f>IF(N$4="","",SUMPRODUCT((($C$6:$C$35="助理")+($C$6:$C$35="醫護長"))*(COUNTIF(設定!$B$5:$B$13,N$6:N$35)&gt;0)))</f>
        <v/>
      </c>
      <c r="O38" s="21">
        <f>IF(O$4="","",SUMPRODUCT((($C$6:$C$35="助理")+($C$6:$C$35="醫護長"))*(COUNTIF(設定!$B$5:$B$13,O$6:O$35)&gt;0)))</f>
        <v/>
      </c>
      <c r="P38" s="21">
        <f>IF(P$4="","",SUMPRODUCT((($C$6:$C$35="助理")+($C$6:$C$35="醫護長"))*(COUNTIF(設定!$B$5:$B$13,P$6:P$35)&gt;0)))</f>
        <v/>
      </c>
      <c r="Q38" s="21">
        <f>IF(Q$4="","",SUMPRODUCT((($C$6:$C$35="助理")+($C$6:$C$35="醫護長"))*(COUNTIF(設定!$B$5:$B$13,Q$6:Q$35)&gt;0)))</f>
        <v/>
      </c>
      <c r="R38" s="21">
        <f>IF(R$4="","",SUMPRODUCT((($C$6:$C$35="助理")+($C$6:$C$35="醫護長"))*(COUNTIF(設定!$B$5:$B$13,R$6:R$35)&gt;0)))</f>
        <v/>
      </c>
      <c r="S38" s="21">
        <f>IF(S$4="","",SUMPRODUCT((($C$6:$C$35="助理")+($C$6:$C$35="醫護長"))*(COUNTIF(設定!$B$5:$B$13,S$6:S$35)&gt;0)))</f>
        <v/>
      </c>
      <c r="T38" s="21">
        <f>IF(T$4="","",SUMPRODUCT((($C$6:$C$35="助理")+($C$6:$C$35="醫護長"))*(COUNTIF(設定!$B$5:$B$13,T$6:T$35)&gt;0)))</f>
        <v/>
      </c>
      <c r="U38" s="21">
        <f>IF(U$4="","",SUMPRODUCT((($C$6:$C$35="助理")+($C$6:$C$35="醫護長"))*(COUNTIF(設定!$B$5:$B$13,U$6:U$35)&gt;0)))</f>
        <v/>
      </c>
      <c r="V38" s="21">
        <f>IF(V$4="","",SUMPRODUCT((($C$6:$C$35="助理")+($C$6:$C$35="醫護長"))*(COUNTIF(設定!$B$5:$B$13,V$6:V$35)&gt;0)))</f>
        <v/>
      </c>
      <c r="W38" s="21">
        <f>IF(W$4="","",SUMPRODUCT((($C$6:$C$35="助理")+($C$6:$C$35="醫護長"))*(COUNTIF(設定!$B$5:$B$13,W$6:W$35)&gt;0)))</f>
        <v/>
      </c>
      <c r="X38" s="21">
        <f>IF(X$4="","",SUMPRODUCT((($C$6:$C$35="助理")+($C$6:$C$35="醫護長"))*(COUNTIF(設定!$B$5:$B$13,X$6:X$35)&gt;0)))</f>
        <v/>
      </c>
      <c r="Y38" s="21">
        <f>IF(Y$4="","",SUMPRODUCT((($C$6:$C$35="助理")+($C$6:$C$35="醫護長"))*(COUNTIF(設定!$B$5:$B$13,Y$6:Y$35)&gt;0)))</f>
        <v/>
      </c>
      <c r="Z38" s="21">
        <f>IF(Z$4="","",SUMPRODUCT((($C$6:$C$35="助理")+($C$6:$C$35="醫護長"))*(COUNTIF(設定!$B$5:$B$13,Z$6:Z$35)&gt;0)))</f>
        <v/>
      </c>
      <c r="AA38" s="21">
        <f>IF(AA$4="","",SUMPRODUCT((($C$6:$C$35="助理")+($C$6:$C$35="醫護長"))*(COUNTIF(設定!$B$5:$B$13,AA$6:AA$35)&gt;0)))</f>
        <v/>
      </c>
      <c r="AB38" s="21">
        <f>IF(AB$4="","",SUMPRODUCT((($C$6:$C$35="助理")+($C$6:$C$35="醫護長"))*(COUNTIF(設定!$B$5:$B$13,AB$6:AB$35)&gt;0)))</f>
        <v/>
      </c>
      <c r="AC38" s="21">
        <f>IF(AC$4="","",SUMPRODUCT((($C$6:$C$35="助理")+($C$6:$C$35="醫護長"))*(COUNTIF(設定!$B$5:$B$13,AC$6:AC$35)&gt;0)))</f>
        <v/>
      </c>
      <c r="AD38" s="21">
        <f>IF(AD$4="","",SUMPRODUCT((($C$6:$C$35="助理")+($C$6:$C$35="醫護長"))*(COUNTIF(設定!$B$5:$B$13,AD$6:AD$35)&gt;0)))</f>
        <v/>
      </c>
      <c r="AE38" s="21">
        <f>IF(AE$4="","",SUMPRODUCT((($C$6:$C$35="助理")+($C$6:$C$35="醫護長"))*(COUNTIF(設定!$B$5:$B$13,AE$6:AE$35)&gt;0)))</f>
        <v/>
      </c>
      <c r="AF38" s="21">
        <f>IF(AF$4="","",SUMPRODUCT((($C$6:$C$35="助理")+($C$6:$C$35="醫護長"))*(COUNTIF(設定!$B$5:$B$13,AF$6:AF$35)&gt;0)))</f>
        <v/>
      </c>
      <c r="AG38" s="21">
        <f>IF(AG$4="","",SUMPRODUCT((($C$6:$C$35="助理")+($C$6:$C$35="醫護長"))*(COUNTIF(設定!$B$5:$B$13,AG$6:AG$35)&gt;0)))</f>
        <v/>
      </c>
      <c r="AH38" s="21">
        <f>IF(AH$4="","",SUMPRODUCT((($C$6:$C$35="助理")+($C$6:$C$35="醫護長"))*(COUNTIF(設定!$B$5:$B$13,AH$6:AH$35)&gt;0)))</f>
        <v/>
      </c>
    </row>
    <row r="39">
      <c r="A39" s="2" t="inlineStr">
        <is>
          <t>當日總人力</t>
        </is>
      </c>
      <c r="B39" s="19" t="n"/>
      <c r="C39" s="20" t="n"/>
      <c r="D39" s="21">
        <f>IF(D$4="","",D37+D38)</f>
        <v/>
      </c>
      <c r="E39" s="21">
        <f>IF(E$4="","",E37+E38)</f>
        <v/>
      </c>
      <c r="F39" s="21">
        <f>IF(F$4="","",F37+F38)</f>
        <v/>
      </c>
      <c r="G39" s="21">
        <f>IF(G$4="","",G37+G38)</f>
        <v/>
      </c>
      <c r="H39" s="21">
        <f>IF(H$4="","",H37+H38)</f>
        <v/>
      </c>
      <c r="I39" s="21">
        <f>IF(I$4="","",I37+I38)</f>
        <v/>
      </c>
      <c r="J39" s="21">
        <f>IF(J$4="","",J37+J38)</f>
        <v/>
      </c>
      <c r="K39" s="21">
        <f>IF(K$4="","",K37+K38)</f>
        <v/>
      </c>
      <c r="L39" s="21">
        <f>IF(L$4="","",L37+L38)</f>
        <v/>
      </c>
      <c r="M39" s="21">
        <f>IF(M$4="","",M37+M38)</f>
        <v/>
      </c>
      <c r="N39" s="21">
        <f>IF(N$4="","",N37+N38)</f>
        <v/>
      </c>
      <c r="O39" s="21">
        <f>IF(O$4="","",O37+O38)</f>
        <v/>
      </c>
      <c r="P39" s="21">
        <f>IF(P$4="","",P37+P38)</f>
        <v/>
      </c>
      <c r="Q39" s="21">
        <f>IF(Q$4="","",Q37+Q38)</f>
        <v/>
      </c>
      <c r="R39" s="21">
        <f>IF(R$4="","",R37+R38)</f>
        <v/>
      </c>
      <c r="S39" s="21">
        <f>IF(S$4="","",S37+S38)</f>
        <v/>
      </c>
      <c r="T39" s="21">
        <f>IF(T$4="","",T37+T38)</f>
        <v/>
      </c>
      <c r="U39" s="21">
        <f>IF(U$4="","",U37+U38)</f>
        <v/>
      </c>
      <c r="V39" s="21">
        <f>IF(V$4="","",V37+V38)</f>
        <v/>
      </c>
      <c r="W39" s="21">
        <f>IF(W$4="","",W37+W38)</f>
        <v/>
      </c>
      <c r="X39" s="21">
        <f>IF(X$4="","",X37+X38)</f>
        <v/>
      </c>
      <c r="Y39" s="21">
        <f>IF(Y$4="","",Y37+Y38)</f>
        <v/>
      </c>
      <c r="Z39" s="21">
        <f>IF(Z$4="","",Z37+Z38)</f>
        <v/>
      </c>
      <c r="AA39" s="21">
        <f>IF(AA$4="","",AA37+AA38)</f>
        <v/>
      </c>
      <c r="AB39" s="21">
        <f>IF(AB$4="","",AB37+AB38)</f>
        <v/>
      </c>
      <c r="AC39" s="21">
        <f>IF(AC$4="","",AC37+AC38)</f>
        <v/>
      </c>
      <c r="AD39" s="21">
        <f>IF(AD$4="","",AD37+AD38)</f>
        <v/>
      </c>
      <c r="AE39" s="21">
        <f>IF(AE$4="","",AE37+AE38)</f>
        <v/>
      </c>
      <c r="AF39" s="21">
        <f>IF(AF$4="","",AF37+AF38)</f>
        <v/>
      </c>
      <c r="AG39" s="21">
        <f>IF(AG$4="","",AG37+AG38)</f>
        <v/>
      </c>
      <c r="AH39" s="21">
        <f>IF(AH$4="","",AH37+AH38)</f>
        <v/>
      </c>
    </row>
    <row r="41">
      <c r="A41" s="11" t="inlineStr">
        <is>
          <t>※ 門檻設定:有看診的日子至少 1 位醫師、2 位助理/醫護長,低於門檻自動變紅;全院休診日不會示警。要調門檻請改第 37~38 列的條件式格式。</t>
        </is>
      </c>
    </row>
  </sheetData>
  <mergeCells count="8">
    <mergeCell ref="A36:C36"/>
    <mergeCell ref="B4:B5"/>
    <mergeCell ref="C4:C5"/>
    <mergeCell ref="A4:A5"/>
    <mergeCell ref="A37:C37"/>
    <mergeCell ref="A1:AH1"/>
    <mergeCell ref="A39:C39"/>
    <mergeCell ref="A38:C38"/>
  </mergeCells>
  <conditionalFormatting sqref="D6:AH35">
    <cfRule type="expression" priority="1" dxfId="0" stopIfTrue="1">
      <formula>AND(D$4&lt;&gt;"",D6="")</formula>
    </cfRule>
    <cfRule type="expression" priority="2" dxfId="1" stopIfTrue="1">
      <formula>D6="支"</formula>
    </cfRule>
    <cfRule type="expression" priority="3" dxfId="2" stopIfTrue="1">
      <formula>COUNTIF(設定!$B$14:$B$20,D6)&gt;0</formula>
    </cfRule>
    <cfRule type="expression" priority="4" dxfId="3">
      <formula>OR(D$5="六",D$5="日")</formula>
    </cfRule>
  </conditionalFormatting>
  <conditionalFormatting sqref="D4:AH5">
    <cfRule type="expression" priority="5" dxfId="3">
      <formula>OR(D$5="六",D$5="日")</formula>
    </cfRule>
  </conditionalFormatting>
  <conditionalFormatting sqref="D37:AH37">
    <cfRule type="expression" priority="6" dxfId="4">
      <formula>AND(D$4&lt;&gt;"",D39&gt;0,D37&lt;1)</formula>
    </cfRule>
  </conditionalFormatting>
  <conditionalFormatting sqref="D38:AH38">
    <cfRule type="expression" priority="7" dxfId="4">
      <formula>AND(D$4&lt;&gt;"",D37&gt;0,D38&lt;2)</formula>
    </cfRule>
  </conditionalFormatting>
  <dataValidations count="3">
    <dataValidation sqref="D6:AH35" showDropDown="0" showInputMessage="0" showErrorMessage="1" allowBlank="1" errorTitle="班別代碼無效" error="請從下拉選單選擇「設定」分頁定義的班別代碼。" type="list">
      <formula1>設定!$B$5:$B$20</formula1>
    </dataValidation>
    <dataValidation sqref="A6:A35" showDropDown="0" showInputMessage="0" showErrorMessage="0" allowBlank="1" type="list">
      <formula1>設定!$B$35:$B$64</formula1>
    </dataValidation>
    <dataValidation sqref="B2" showDropDown="0" showInputMessage="0" showErrorMessage="0" allowBlank="1" type="list">
      <formula1>設定!$C$26:$C$31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0" customWidth="1" min="14" max="14"/>
    <col width="10" customWidth="1" min="15" max="15"/>
    <col width="14" customWidth="1" min="16" max="16"/>
  </cols>
  <sheetData>
    <row r="1">
      <c r="A1" s="1" t="inlineStr">
        <is>
          <t>月結統計(自動計算,僅「加班時數」需手填)</t>
        </is>
      </c>
    </row>
    <row r="2">
      <c r="A2" s="14" t="inlineStr">
        <is>
          <t>院所</t>
        </is>
      </c>
      <c r="B2" s="22">
        <f>班表!B2</f>
        <v/>
      </c>
      <c r="C2" s="14" t="inlineStr">
        <is>
          <t>期間</t>
        </is>
      </c>
      <c r="D2" s="22">
        <f>班表!E2&amp;"年"&amp;班表!G2&amp;"月"</f>
        <v/>
      </c>
    </row>
    <row r="4" ht="30" customHeight="1">
      <c r="A4" s="5" t="inlineStr">
        <is>
          <t>員工編號</t>
        </is>
      </c>
      <c r="B4" s="5" t="inlineStr">
        <is>
          <t>姓名</t>
        </is>
      </c>
      <c r="C4" s="5" t="inlineStr">
        <is>
          <t>職類</t>
        </is>
      </c>
      <c r="D4" s="5" t="inlineStr">
        <is>
          <t>出勤天數</t>
        </is>
      </c>
      <c r="E4" s="5" t="inlineStr">
        <is>
          <t>排班工時</t>
        </is>
      </c>
      <c r="F4" s="5" t="inlineStr">
        <is>
          <t>總診次</t>
        </is>
      </c>
      <c r="G4" s="5" t="inlineStr">
        <is>
          <t>排休</t>
        </is>
      </c>
      <c r="H4" s="5" t="inlineStr">
        <is>
          <t>特休</t>
        </is>
      </c>
      <c r="I4" s="5" t="inlineStr">
        <is>
          <t>病假</t>
        </is>
      </c>
      <c r="J4" s="5" t="inlineStr">
        <is>
          <t>事假</t>
        </is>
      </c>
      <c r="K4" s="5" t="inlineStr">
        <is>
          <t>公假</t>
        </is>
      </c>
      <c r="L4" s="5" t="inlineStr">
        <is>
          <t>國定假日</t>
        </is>
      </c>
      <c r="M4" s="5" t="inlineStr">
        <is>
          <t>支援他院</t>
        </is>
      </c>
      <c r="N4" s="5" t="inlineStr">
        <is>
          <t>加班時數</t>
        </is>
      </c>
      <c r="O4" s="5" t="inlineStr">
        <is>
          <t>實際工時</t>
        </is>
      </c>
      <c r="P4" s="5" t="inlineStr">
        <is>
          <t>排班完整度檢核</t>
        </is>
      </c>
    </row>
    <row r="5">
      <c r="A5" s="10">
        <f>IF(班表!$A6="","",班表!$A6)</f>
        <v/>
      </c>
      <c r="B5" s="10">
        <f>IF($A5="","",班表!$B6)</f>
        <v/>
      </c>
      <c r="C5" s="10">
        <f>IF($A5="","",班表!$C6)</f>
        <v/>
      </c>
      <c r="D5" s="10">
        <f>IF($A5="","",SUMPRODUCT(COUNTIF(班表!$D6:$AH6,設定!$B$5:$B$20),設定!$H$5:$H$20))</f>
        <v/>
      </c>
      <c r="E5" s="23">
        <f>IF($A5="","",SUMPRODUCT(COUNTIF(班表!$D6:$AH6,設定!$B$5:$B$20),設定!$F$5:$F$20))</f>
        <v/>
      </c>
      <c r="F5" s="10">
        <f>IF($A5="","",SUMPRODUCT(COUNTIF(班表!$D6:$AH6,設定!$B$5:$B$20),設定!$G$5:$G$20))</f>
        <v/>
      </c>
      <c r="G5" s="10">
        <f>IF($A5="","",COUNTIF(班表!$D6:$AH6,"OFF"))</f>
        <v/>
      </c>
      <c r="H5" s="10">
        <f>IF($A5="","",COUNTIF(班表!$D6:$AH6,"特"))</f>
        <v/>
      </c>
      <c r="I5" s="10">
        <f>IF($A5="","",COUNTIF(班表!$D6:$AH6,"病"))</f>
        <v/>
      </c>
      <c r="J5" s="10">
        <f>IF($A5="","",COUNTIF(班表!$D6:$AH6,"事"))</f>
        <v/>
      </c>
      <c r="K5" s="10">
        <f>IF($A5="","",COUNTIF(班表!$D6:$AH6,"公"))</f>
        <v/>
      </c>
      <c r="L5" s="10">
        <f>IF($A5="","",COUNTIF(班表!$D6:$AH6,"國"))</f>
        <v/>
      </c>
      <c r="M5" s="10">
        <f>IF($A5="","",COUNTIF(班表!$D6:$AH6,"支"))</f>
        <v/>
      </c>
      <c r="N5" s="24" t="n">
        <v>0</v>
      </c>
      <c r="O5" s="23">
        <f>IF($A5="","",$E5+$N5)</f>
        <v/>
      </c>
      <c r="P5" s="10">
        <f>IF($A5="","",IF(COUNTA(班表!$D6:$AH6)=DAY(EOMONTH(DATE(班表!$E$2,班表!$G$2,1),0)),"OK","⚠ 缺"&amp;(DAY(EOMONTH(DATE(班表!$E$2,班表!$G$2,1),0))-COUNTA(班表!$D6:$AH6))&amp;"天"))</f>
        <v/>
      </c>
    </row>
    <row r="6">
      <c r="A6" s="10">
        <f>IF(班表!$A7="","",班表!$A7)</f>
        <v/>
      </c>
      <c r="B6" s="10">
        <f>IF($A6="","",班表!$B7)</f>
        <v/>
      </c>
      <c r="C6" s="10">
        <f>IF($A6="","",班表!$C7)</f>
        <v/>
      </c>
      <c r="D6" s="10">
        <f>IF($A6="","",SUMPRODUCT(COUNTIF(班表!$D7:$AH7,設定!$B$5:$B$20),設定!$H$5:$H$20))</f>
        <v/>
      </c>
      <c r="E6" s="23">
        <f>IF($A6="","",SUMPRODUCT(COUNTIF(班表!$D7:$AH7,設定!$B$5:$B$20),設定!$F$5:$F$20))</f>
        <v/>
      </c>
      <c r="F6" s="10">
        <f>IF($A6="","",SUMPRODUCT(COUNTIF(班表!$D7:$AH7,設定!$B$5:$B$20),設定!$G$5:$G$20))</f>
        <v/>
      </c>
      <c r="G6" s="10">
        <f>IF($A6="","",COUNTIF(班表!$D7:$AH7,"OFF"))</f>
        <v/>
      </c>
      <c r="H6" s="10">
        <f>IF($A6="","",COUNTIF(班表!$D7:$AH7,"特"))</f>
        <v/>
      </c>
      <c r="I6" s="10">
        <f>IF($A6="","",COUNTIF(班表!$D7:$AH7,"病"))</f>
        <v/>
      </c>
      <c r="J6" s="10">
        <f>IF($A6="","",COUNTIF(班表!$D7:$AH7,"事"))</f>
        <v/>
      </c>
      <c r="K6" s="10">
        <f>IF($A6="","",COUNTIF(班表!$D7:$AH7,"公"))</f>
        <v/>
      </c>
      <c r="L6" s="10">
        <f>IF($A6="","",COUNTIF(班表!$D7:$AH7,"國"))</f>
        <v/>
      </c>
      <c r="M6" s="10">
        <f>IF($A6="","",COUNTIF(班表!$D7:$AH7,"支"))</f>
        <v/>
      </c>
      <c r="N6" s="24" t="n">
        <v>0</v>
      </c>
      <c r="O6" s="23">
        <f>IF($A6="","",$E6+$N6)</f>
        <v/>
      </c>
      <c r="P6" s="10">
        <f>IF($A6="","",IF(COUNTA(班表!$D7:$AH7)=DAY(EOMONTH(DATE(班表!$E$2,班表!$G$2,1),0)),"OK","⚠ 缺"&amp;(DAY(EOMONTH(DATE(班表!$E$2,班表!$G$2,1),0))-COUNTA(班表!$D7:$AH7))&amp;"天"))</f>
        <v/>
      </c>
    </row>
    <row r="7">
      <c r="A7" s="10">
        <f>IF(班表!$A8="","",班表!$A8)</f>
        <v/>
      </c>
      <c r="B7" s="10">
        <f>IF($A7="","",班表!$B8)</f>
        <v/>
      </c>
      <c r="C7" s="10">
        <f>IF($A7="","",班表!$C8)</f>
        <v/>
      </c>
      <c r="D7" s="10">
        <f>IF($A7="","",SUMPRODUCT(COUNTIF(班表!$D8:$AH8,設定!$B$5:$B$20),設定!$H$5:$H$20))</f>
        <v/>
      </c>
      <c r="E7" s="23">
        <f>IF($A7="","",SUMPRODUCT(COUNTIF(班表!$D8:$AH8,設定!$B$5:$B$20),設定!$F$5:$F$20))</f>
        <v/>
      </c>
      <c r="F7" s="10">
        <f>IF($A7="","",SUMPRODUCT(COUNTIF(班表!$D8:$AH8,設定!$B$5:$B$20),設定!$G$5:$G$20))</f>
        <v/>
      </c>
      <c r="G7" s="10">
        <f>IF($A7="","",COUNTIF(班表!$D8:$AH8,"OFF"))</f>
        <v/>
      </c>
      <c r="H7" s="10">
        <f>IF($A7="","",COUNTIF(班表!$D8:$AH8,"特"))</f>
        <v/>
      </c>
      <c r="I7" s="10">
        <f>IF($A7="","",COUNTIF(班表!$D8:$AH8,"病"))</f>
        <v/>
      </c>
      <c r="J7" s="10">
        <f>IF($A7="","",COUNTIF(班表!$D8:$AH8,"事"))</f>
        <v/>
      </c>
      <c r="K7" s="10">
        <f>IF($A7="","",COUNTIF(班表!$D8:$AH8,"公"))</f>
        <v/>
      </c>
      <c r="L7" s="10">
        <f>IF($A7="","",COUNTIF(班表!$D8:$AH8,"國"))</f>
        <v/>
      </c>
      <c r="M7" s="10">
        <f>IF($A7="","",COUNTIF(班表!$D8:$AH8,"支"))</f>
        <v/>
      </c>
      <c r="N7" s="24" t="n">
        <v>0</v>
      </c>
      <c r="O7" s="23">
        <f>IF($A7="","",$E7+$N7)</f>
        <v/>
      </c>
      <c r="P7" s="10">
        <f>IF($A7="","",IF(COUNTA(班表!$D8:$AH8)=DAY(EOMONTH(DATE(班表!$E$2,班表!$G$2,1),0)),"OK","⚠ 缺"&amp;(DAY(EOMONTH(DATE(班表!$E$2,班表!$G$2,1),0))-COUNTA(班表!$D8:$AH8))&amp;"天"))</f>
        <v/>
      </c>
    </row>
    <row r="8">
      <c r="A8" s="10">
        <f>IF(班表!$A9="","",班表!$A9)</f>
        <v/>
      </c>
      <c r="B8" s="10">
        <f>IF($A8="","",班表!$B9)</f>
        <v/>
      </c>
      <c r="C8" s="10">
        <f>IF($A8="","",班表!$C9)</f>
        <v/>
      </c>
      <c r="D8" s="10">
        <f>IF($A8="","",SUMPRODUCT(COUNTIF(班表!$D9:$AH9,設定!$B$5:$B$20),設定!$H$5:$H$20))</f>
        <v/>
      </c>
      <c r="E8" s="23">
        <f>IF($A8="","",SUMPRODUCT(COUNTIF(班表!$D9:$AH9,設定!$B$5:$B$20),設定!$F$5:$F$20))</f>
        <v/>
      </c>
      <c r="F8" s="10">
        <f>IF($A8="","",SUMPRODUCT(COUNTIF(班表!$D9:$AH9,設定!$B$5:$B$20),設定!$G$5:$G$20))</f>
        <v/>
      </c>
      <c r="G8" s="10">
        <f>IF($A8="","",COUNTIF(班表!$D9:$AH9,"OFF"))</f>
        <v/>
      </c>
      <c r="H8" s="10">
        <f>IF($A8="","",COUNTIF(班表!$D9:$AH9,"特"))</f>
        <v/>
      </c>
      <c r="I8" s="10">
        <f>IF($A8="","",COUNTIF(班表!$D9:$AH9,"病"))</f>
        <v/>
      </c>
      <c r="J8" s="10">
        <f>IF($A8="","",COUNTIF(班表!$D9:$AH9,"事"))</f>
        <v/>
      </c>
      <c r="K8" s="10">
        <f>IF($A8="","",COUNTIF(班表!$D9:$AH9,"公"))</f>
        <v/>
      </c>
      <c r="L8" s="10">
        <f>IF($A8="","",COUNTIF(班表!$D9:$AH9,"國"))</f>
        <v/>
      </c>
      <c r="M8" s="10">
        <f>IF($A8="","",COUNTIF(班表!$D9:$AH9,"支"))</f>
        <v/>
      </c>
      <c r="N8" s="24" t="n">
        <v>0</v>
      </c>
      <c r="O8" s="23">
        <f>IF($A8="","",$E8+$N8)</f>
        <v/>
      </c>
      <c r="P8" s="10">
        <f>IF($A8="","",IF(COUNTA(班表!$D9:$AH9)=DAY(EOMONTH(DATE(班表!$E$2,班表!$G$2,1),0)),"OK","⚠ 缺"&amp;(DAY(EOMONTH(DATE(班表!$E$2,班表!$G$2,1),0))-COUNTA(班表!$D9:$AH9))&amp;"天"))</f>
        <v/>
      </c>
    </row>
    <row r="9">
      <c r="A9" s="10">
        <f>IF(班表!$A10="","",班表!$A10)</f>
        <v/>
      </c>
      <c r="B9" s="10">
        <f>IF($A9="","",班表!$B10)</f>
        <v/>
      </c>
      <c r="C9" s="10">
        <f>IF($A9="","",班表!$C10)</f>
        <v/>
      </c>
      <c r="D9" s="10">
        <f>IF($A9="","",SUMPRODUCT(COUNTIF(班表!$D10:$AH10,設定!$B$5:$B$20),設定!$H$5:$H$20))</f>
        <v/>
      </c>
      <c r="E9" s="23">
        <f>IF($A9="","",SUMPRODUCT(COUNTIF(班表!$D10:$AH10,設定!$B$5:$B$20),設定!$F$5:$F$20))</f>
        <v/>
      </c>
      <c r="F9" s="10">
        <f>IF($A9="","",SUMPRODUCT(COUNTIF(班表!$D10:$AH10,設定!$B$5:$B$20),設定!$G$5:$G$20))</f>
        <v/>
      </c>
      <c r="G9" s="10">
        <f>IF($A9="","",COUNTIF(班表!$D10:$AH10,"OFF"))</f>
        <v/>
      </c>
      <c r="H9" s="10">
        <f>IF($A9="","",COUNTIF(班表!$D10:$AH10,"特"))</f>
        <v/>
      </c>
      <c r="I9" s="10">
        <f>IF($A9="","",COUNTIF(班表!$D10:$AH10,"病"))</f>
        <v/>
      </c>
      <c r="J9" s="10">
        <f>IF($A9="","",COUNTIF(班表!$D10:$AH10,"事"))</f>
        <v/>
      </c>
      <c r="K9" s="10">
        <f>IF($A9="","",COUNTIF(班表!$D10:$AH10,"公"))</f>
        <v/>
      </c>
      <c r="L9" s="10">
        <f>IF($A9="","",COUNTIF(班表!$D10:$AH10,"國"))</f>
        <v/>
      </c>
      <c r="M9" s="10">
        <f>IF($A9="","",COUNTIF(班表!$D10:$AH10,"支"))</f>
        <v/>
      </c>
      <c r="N9" s="24" t="n">
        <v>0</v>
      </c>
      <c r="O9" s="23">
        <f>IF($A9="","",$E9+$N9)</f>
        <v/>
      </c>
      <c r="P9" s="10">
        <f>IF($A9="","",IF(COUNTA(班表!$D10:$AH10)=DAY(EOMONTH(DATE(班表!$E$2,班表!$G$2,1),0)),"OK","⚠ 缺"&amp;(DAY(EOMONTH(DATE(班表!$E$2,班表!$G$2,1),0))-COUNTA(班表!$D10:$AH10))&amp;"天"))</f>
        <v/>
      </c>
    </row>
    <row r="10">
      <c r="A10" s="10">
        <f>IF(班表!$A11="","",班表!$A11)</f>
        <v/>
      </c>
      <c r="B10" s="10">
        <f>IF($A10="","",班表!$B11)</f>
        <v/>
      </c>
      <c r="C10" s="10">
        <f>IF($A10="","",班表!$C11)</f>
        <v/>
      </c>
      <c r="D10" s="10">
        <f>IF($A10="","",SUMPRODUCT(COUNTIF(班表!$D11:$AH11,設定!$B$5:$B$20),設定!$H$5:$H$20))</f>
        <v/>
      </c>
      <c r="E10" s="23">
        <f>IF($A10="","",SUMPRODUCT(COUNTIF(班表!$D11:$AH11,設定!$B$5:$B$20),設定!$F$5:$F$20))</f>
        <v/>
      </c>
      <c r="F10" s="10">
        <f>IF($A10="","",SUMPRODUCT(COUNTIF(班表!$D11:$AH11,設定!$B$5:$B$20),設定!$G$5:$G$20))</f>
        <v/>
      </c>
      <c r="G10" s="10">
        <f>IF($A10="","",COUNTIF(班表!$D11:$AH11,"OFF"))</f>
        <v/>
      </c>
      <c r="H10" s="10">
        <f>IF($A10="","",COUNTIF(班表!$D11:$AH11,"特"))</f>
        <v/>
      </c>
      <c r="I10" s="10">
        <f>IF($A10="","",COUNTIF(班表!$D11:$AH11,"病"))</f>
        <v/>
      </c>
      <c r="J10" s="10">
        <f>IF($A10="","",COUNTIF(班表!$D11:$AH11,"事"))</f>
        <v/>
      </c>
      <c r="K10" s="10">
        <f>IF($A10="","",COUNTIF(班表!$D11:$AH11,"公"))</f>
        <v/>
      </c>
      <c r="L10" s="10">
        <f>IF($A10="","",COUNTIF(班表!$D11:$AH11,"國"))</f>
        <v/>
      </c>
      <c r="M10" s="10">
        <f>IF($A10="","",COUNTIF(班表!$D11:$AH11,"支"))</f>
        <v/>
      </c>
      <c r="N10" s="24" t="n">
        <v>0</v>
      </c>
      <c r="O10" s="23">
        <f>IF($A10="","",$E10+$N10)</f>
        <v/>
      </c>
      <c r="P10" s="10">
        <f>IF($A10="","",IF(COUNTA(班表!$D11:$AH11)=DAY(EOMONTH(DATE(班表!$E$2,班表!$G$2,1),0)),"OK","⚠ 缺"&amp;(DAY(EOMONTH(DATE(班表!$E$2,班表!$G$2,1),0))-COUNTA(班表!$D11:$AH11))&amp;"天"))</f>
        <v/>
      </c>
    </row>
    <row r="11">
      <c r="A11" s="10">
        <f>IF(班表!$A12="","",班表!$A12)</f>
        <v/>
      </c>
      <c r="B11" s="10">
        <f>IF($A11="","",班表!$B12)</f>
        <v/>
      </c>
      <c r="C11" s="10">
        <f>IF($A11="","",班表!$C12)</f>
        <v/>
      </c>
      <c r="D11" s="10">
        <f>IF($A11="","",SUMPRODUCT(COUNTIF(班表!$D12:$AH12,設定!$B$5:$B$20),設定!$H$5:$H$20))</f>
        <v/>
      </c>
      <c r="E11" s="23">
        <f>IF($A11="","",SUMPRODUCT(COUNTIF(班表!$D12:$AH12,設定!$B$5:$B$20),設定!$F$5:$F$20))</f>
        <v/>
      </c>
      <c r="F11" s="10">
        <f>IF($A11="","",SUMPRODUCT(COUNTIF(班表!$D12:$AH12,設定!$B$5:$B$20),設定!$G$5:$G$20))</f>
        <v/>
      </c>
      <c r="G11" s="10">
        <f>IF($A11="","",COUNTIF(班表!$D12:$AH12,"OFF"))</f>
        <v/>
      </c>
      <c r="H11" s="10">
        <f>IF($A11="","",COUNTIF(班表!$D12:$AH12,"特"))</f>
        <v/>
      </c>
      <c r="I11" s="10">
        <f>IF($A11="","",COUNTIF(班表!$D12:$AH12,"病"))</f>
        <v/>
      </c>
      <c r="J11" s="10">
        <f>IF($A11="","",COUNTIF(班表!$D12:$AH12,"事"))</f>
        <v/>
      </c>
      <c r="K11" s="10">
        <f>IF($A11="","",COUNTIF(班表!$D12:$AH12,"公"))</f>
        <v/>
      </c>
      <c r="L11" s="10">
        <f>IF($A11="","",COUNTIF(班表!$D12:$AH12,"國"))</f>
        <v/>
      </c>
      <c r="M11" s="10">
        <f>IF($A11="","",COUNTIF(班表!$D12:$AH12,"支"))</f>
        <v/>
      </c>
      <c r="N11" s="24" t="n">
        <v>0</v>
      </c>
      <c r="O11" s="23">
        <f>IF($A11="","",$E11+$N11)</f>
        <v/>
      </c>
      <c r="P11" s="10">
        <f>IF($A11="","",IF(COUNTA(班表!$D12:$AH12)=DAY(EOMONTH(DATE(班表!$E$2,班表!$G$2,1),0)),"OK","⚠ 缺"&amp;(DAY(EOMONTH(DATE(班表!$E$2,班表!$G$2,1),0))-COUNTA(班表!$D12:$AH12))&amp;"天"))</f>
        <v/>
      </c>
    </row>
    <row r="12">
      <c r="A12" s="10">
        <f>IF(班表!$A13="","",班表!$A13)</f>
        <v/>
      </c>
      <c r="B12" s="10">
        <f>IF($A12="","",班表!$B13)</f>
        <v/>
      </c>
      <c r="C12" s="10">
        <f>IF($A12="","",班表!$C13)</f>
        <v/>
      </c>
      <c r="D12" s="10">
        <f>IF($A12="","",SUMPRODUCT(COUNTIF(班表!$D13:$AH13,設定!$B$5:$B$20),設定!$H$5:$H$20))</f>
        <v/>
      </c>
      <c r="E12" s="23">
        <f>IF($A12="","",SUMPRODUCT(COUNTIF(班表!$D13:$AH13,設定!$B$5:$B$20),設定!$F$5:$F$20))</f>
        <v/>
      </c>
      <c r="F12" s="10">
        <f>IF($A12="","",SUMPRODUCT(COUNTIF(班表!$D13:$AH13,設定!$B$5:$B$20),設定!$G$5:$G$20))</f>
        <v/>
      </c>
      <c r="G12" s="10">
        <f>IF($A12="","",COUNTIF(班表!$D13:$AH13,"OFF"))</f>
        <v/>
      </c>
      <c r="H12" s="10">
        <f>IF($A12="","",COUNTIF(班表!$D13:$AH13,"特"))</f>
        <v/>
      </c>
      <c r="I12" s="10">
        <f>IF($A12="","",COUNTIF(班表!$D13:$AH13,"病"))</f>
        <v/>
      </c>
      <c r="J12" s="10">
        <f>IF($A12="","",COUNTIF(班表!$D13:$AH13,"事"))</f>
        <v/>
      </c>
      <c r="K12" s="10">
        <f>IF($A12="","",COUNTIF(班表!$D13:$AH13,"公"))</f>
        <v/>
      </c>
      <c r="L12" s="10">
        <f>IF($A12="","",COUNTIF(班表!$D13:$AH13,"國"))</f>
        <v/>
      </c>
      <c r="M12" s="10">
        <f>IF($A12="","",COUNTIF(班表!$D13:$AH13,"支"))</f>
        <v/>
      </c>
      <c r="N12" s="24" t="n">
        <v>0</v>
      </c>
      <c r="O12" s="23">
        <f>IF($A12="","",$E12+$N12)</f>
        <v/>
      </c>
      <c r="P12" s="10">
        <f>IF($A12="","",IF(COUNTA(班表!$D13:$AH13)=DAY(EOMONTH(DATE(班表!$E$2,班表!$G$2,1),0)),"OK","⚠ 缺"&amp;(DAY(EOMONTH(DATE(班表!$E$2,班表!$G$2,1),0))-COUNTA(班表!$D13:$AH13))&amp;"天"))</f>
        <v/>
      </c>
    </row>
    <row r="13">
      <c r="A13" s="10">
        <f>IF(班表!$A14="","",班表!$A14)</f>
        <v/>
      </c>
      <c r="B13" s="10">
        <f>IF($A13="","",班表!$B14)</f>
        <v/>
      </c>
      <c r="C13" s="10">
        <f>IF($A13="","",班表!$C14)</f>
        <v/>
      </c>
      <c r="D13" s="10">
        <f>IF($A13="","",SUMPRODUCT(COUNTIF(班表!$D14:$AH14,設定!$B$5:$B$20),設定!$H$5:$H$20))</f>
        <v/>
      </c>
      <c r="E13" s="23">
        <f>IF($A13="","",SUMPRODUCT(COUNTIF(班表!$D14:$AH14,設定!$B$5:$B$20),設定!$F$5:$F$20))</f>
        <v/>
      </c>
      <c r="F13" s="10">
        <f>IF($A13="","",SUMPRODUCT(COUNTIF(班表!$D14:$AH14,設定!$B$5:$B$20),設定!$G$5:$G$20))</f>
        <v/>
      </c>
      <c r="G13" s="10">
        <f>IF($A13="","",COUNTIF(班表!$D14:$AH14,"OFF"))</f>
        <v/>
      </c>
      <c r="H13" s="10">
        <f>IF($A13="","",COUNTIF(班表!$D14:$AH14,"特"))</f>
        <v/>
      </c>
      <c r="I13" s="10">
        <f>IF($A13="","",COUNTIF(班表!$D14:$AH14,"病"))</f>
        <v/>
      </c>
      <c r="J13" s="10">
        <f>IF($A13="","",COUNTIF(班表!$D14:$AH14,"事"))</f>
        <v/>
      </c>
      <c r="K13" s="10">
        <f>IF($A13="","",COUNTIF(班表!$D14:$AH14,"公"))</f>
        <v/>
      </c>
      <c r="L13" s="10">
        <f>IF($A13="","",COUNTIF(班表!$D14:$AH14,"國"))</f>
        <v/>
      </c>
      <c r="M13" s="10">
        <f>IF($A13="","",COUNTIF(班表!$D14:$AH14,"支"))</f>
        <v/>
      </c>
      <c r="N13" s="24" t="n">
        <v>0</v>
      </c>
      <c r="O13" s="23">
        <f>IF($A13="","",$E13+$N13)</f>
        <v/>
      </c>
      <c r="P13" s="10">
        <f>IF($A13="","",IF(COUNTA(班表!$D14:$AH14)=DAY(EOMONTH(DATE(班表!$E$2,班表!$G$2,1),0)),"OK","⚠ 缺"&amp;(DAY(EOMONTH(DATE(班表!$E$2,班表!$G$2,1),0))-COUNTA(班表!$D14:$AH14))&amp;"天"))</f>
        <v/>
      </c>
    </row>
    <row r="14">
      <c r="A14" s="10">
        <f>IF(班表!$A15="","",班表!$A15)</f>
        <v/>
      </c>
      <c r="B14" s="10">
        <f>IF($A14="","",班表!$B15)</f>
        <v/>
      </c>
      <c r="C14" s="10">
        <f>IF($A14="","",班表!$C15)</f>
        <v/>
      </c>
      <c r="D14" s="10">
        <f>IF($A14="","",SUMPRODUCT(COUNTIF(班表!$D15:$AH15,設定!$B$5:$B$20),設定!$H$5:$H$20))</f>
        <v/>
      </c>
      <c r="E14" s="23">
        <f>IF($A14="","",SUMPRODUCT(COUNTIF(班表!$D15:$AH15,設定!$B$5:$B$20),設定!$F$5:$F$20))</f>
        <v/>
      </c>
      <c r="F14" s="10">
        <f>IF($A14="","",SUMPRODUCT(COUNTIF(班表!$D15:$AH15,設定!$B$5:$B$20),設定!$G$5:$G$20))</f>
        <v/>
      </c>
      <c r="G14" s="10">
        <f>IF($A14="","",COUNTIF(班表!$D15:$AH15,"OFF"))</f>
        <v/>
      </c>
      <c r="H14" s="10">
        <f>IF($A14="","",COUNTIF(班表!$D15:$AH15,"特"))</f>
        <v/>
      </c>
      <c r="I14" s="10">
        <f>IF($A14="","",COUNTIF(班表!$D15:$AH15,"病"))</f>
        <v/>
      </c>
      <c r="J14" s="10">
        <f>IF($A14="","",COUNTIF(班表!$D15:$AH15,"事"))</f>
        <v/>
      </c>
      <c r="K14" s="10">
        <f>IF($A14="","",COUNTIF(班表!$D15:$AH15,"公"))</f>
        <v/>
      </c>
      <c r="L14" s="10">
        <f>IF($A14="","",COUNTIF(班表!$D15:$AH15,"國"))</f>
        <v/>
      </c>
      <c r="M14" s="10">
        <f>IF($A14="","",COUNTIF(班表!$D15:$AH15,"支"))</f>
        <v/>
      </c>
      <c r="N14" s="24" t="n">
        <v>0</v>
      </c>
      <c r="O14" s="23">
        <f>IF($A14="","",$E14+$N14)</f>
        <v/>
      </c>
      <c r="P14" s="10">
        <f>IF($A14="","",IF(COUNTA(班表!$D15:$AH15)=DAY(EOMONTH(DATE(班表!$E$2,班表!$G$2,1),0)),"OK","⚠ 缺"&amp;(DAY(EOMONTH(DATE(班表!$E$2,班表!$G$2,1),0))-COUNTA(班表!$D15:$AH15))&amp;"天"))</f>
        <v/>
      </c>
    </row>
    <row r="15">
      <c r="A15" s="10">
        <f>IF(班表!$A16="","",班表!$A16)</f>
        <v/>
      </c>
      <c r="B15" s="10">
        <f>IF($A15="","",班表!$B16)</f>
        <v/>
      </c>
      <c r="C15" s="10">
        <f>IF($A15="","",班表!$C16)</f>
        <v/>
      </c>
      <c r="D15" s="10">
        <f>IF($A15="","",SUMPRODUCT(COUNTIF(班表!$D16:$AH16,設定!$B$5:$B$20),設定!$H$5:$H$20))</f>
        <v/>
      </c>
      <c r="E15" s="23">
        <f>IF($A15="","",SUMPRODUCT(COUNTIF(班表!$D16:$AH16,設定!$B$5:$B$20),設定!$F$5:$F$20))</f>
        <v/>
      </c>
      <c r="F15" s="10">
        <f>IF($A15="","",SUMPRODUCT(COUNTIF(班表!$D16:$AH16,設定!$B$5:$B$20),設定!$G$5:$G$20))</f>
        <v/>
      </c>
      <c r="G15" s="10">
        <f>IF($A15="","",COUNTIF(班表!$D16:$AH16,"OFF"))</f>
        <v/>
      </c>
      <c r="H15" s="10">
        <f>IF($A15="","",COUNTIF(班表!$D16:$AH16,"特"))</f>
        <v/>
      </c>
      <c r="I15" s="10">
        <f>IF($A15="","",COUNTIF(班表!$D16:$AH16,"病"))</f>
        <v/>
      </c>
      <c r="J15" s="10">
        <f>IF($A15="","",COUNTIF(班表!$D16:$AH16,"事"))</f>
        <v/>
      </c>
      <c r="K15" s="10">
        <f>IF($A15="","",COUNTIF(班表!$D16:$AH16,"公"))</f>
        <v/>
      </c>
      <c r="L15" s="10">
        <f>IF($A15="","",COUNTIF(班表!$D16:$AH16,"國"))</f>
        <v/>
      </c>
      <c r="M15" s="10">
        <f>IF($A15="","",COUNTIF(班表!$D16:$AH16,"支"))</f>
        <v/>
      </c>
      <c r="N15" s="24" t="n">
        <v>0</v>
      </c>
      <c r="O15" s="23">
        <f>IF($A15="","",$E15+$N15)</f>
        <v/>
      </c>
      <c r="P15" s="10">
        <f>IF($A15="","",IF(COUNTA(班表!$D16:$AH16)=DAY(EOMONTH(DATE(班表!$E$2,班表!$G$2,1),0)),"OK","⚠ 缺"&amp;(DAY(EOMONTH(DATE(班表!$E$2,班表!$G$2,1),0))-COUNTA(班表!$D16:$AH16))&amp;"天"))</f>
        <v/>
      </c>
    </row>
    <row r="16">
      <c r="A16" s="10">
        <f>IF(班表!$A17="","",班表!$A17)</f>
        <v/>
      </c>
      <c r="B16" s="10">
        <f>IF($A16="","",班表!$B17)</f>
        <v/>
      </c>
      <c r="C16" s="10">
        <f>IF($A16="","",班表!$C17)</f>
        <v/>
      </c>
      <c r="D16" s="10">
        <f>IF($A16="","",SUMPRODUCT(COUNTIF(班表!$D17:$AH17,設定!$B$5:$B$20),設定!$H$5:$H$20))</f>
        <v/>
      </c>
      <c r="E16" s="23">
        <f>IF($A16="","",SUMPRODUCT(COUNTIF(班表!$D17:$AH17,設定!$B$5:$B$20),設定!$F$5:$F$20))</f>
        <v/>
      </c>
      <c r="F16" s="10">
        <f>IF($A16="","",SUMPRODUCT(COUNTIF(班表!$D17:$AH17,設定!$B$5:$B$20),設定!$G$5:$G$20))</f>
        <v/>
      </c>
      <c r="G16" s="10">
        <f>IF($A16="","",COUNTIF(班表!$D17:$AH17,"OFF"))</f>
        <v/>
      </c>
      <c r="H16" s="10">
        <f>IF($A16="","",COUNTIF(班表!$D17:$AH17,"特"))</f>
        <v/>
      </c>
      <c r="I16" s="10">
        <f>IF($A16="","",COUNTIF(班表!$D17:$AH17,"病"))</f>
        <v/>
      </c>
      <c r="J16" s="10">
        <f>IF($A16="","",COUNTIF(班表!$D17:$AH17,"事"))</f>
        <v/>
      </c>
      <c r="K16" s="10">
        <f>IF($A16="","",COUNTIF(班表!$D17:$AH17,"公"))</f>
        <v/>
      </c>
      <c r="L16" s="10">
        <f>IF($A16="","",COUNTIF(班表!$D17:$AH17,"國"))</f>
        <v/>
      </c>
      <c r="M16" s="10">
        <f>IF($A16="","",COUNTIF(班表!$D17:$AH17,"支"))</f>
        <v/>
      </c>
      <c r="N16" s="24" t="n">
        <v>0</v>
      </c>
      <c r="O16" s="23">
        <f>IF($A16="","",$E16+$N16)</f>
        <v/>
      </c>
      <c r="P16" s="10">
        <f>IF($A16="","",IF(COUNTA(班表!$D17:$AH17)=DAY(EOMONTH(DATE(班表!$E$2,班表!$G$2,1),0)),"OK","⚠ 缺"&amp;(DAY(EOMONTH(DATE(班表!$E$2,班表!$G$2,1),0))-COUNTA(班表!$D17:$AH17))&amp;"天"))</f>
        <v/>
      </c>
    </row>
    <row r="17">
      <c r="A17" s="10">
        <f>IF(班表!$A18="","",班表!$A18)</f>
        <v/>
      </c>
      <c r="B17" s="10">
        <f>IF($A17="","",班表!$B18)</f>
        <v/>
      </c>
      <c r="C17" s="10">
        <f>IF($A17="","",班表!$C18)</f>
        <v/>
      </c>
      <c r="D17" s="10">
        <f>IF($A17="","",SUMPRODUCT(COUNTIF(班表!$D18:$AH18,設定!$B$5:$B$20),設定!$H$5:$H$20))</f>
        <v/>
      </c>
      <c r="E17" s="23">
        <f>IF($A17="","",SUMPRODUCT(COUNTIF(班表!$D18:$AH18,設定!$B$5:$B$20),設定!$F$5:$F$20))</f>
        <v/>
      </c>
      <c r="F17" s="10">
        <f>IF($A17="","",SUMPRODUCT(COUNTIF(班表!$D18:$AH18,設定!$B$5:$B$20),設定!$G$5:$G$20))</f>
        <v/>
      </c>
      <c r="G17" s="10">
        <f>IF($A17="","",COUNTIF(班表!$D18:$AH18,"OFF"))</f>
        <v/>
      </c>
      <c r="H17" s="10">
        <f>IF($A17="","",COUNTIF(班表!$D18:$AH18,"特"))</f>
        <v/>
      </c>
      <c r="I17" s="10">
        <f>IF($A17="","",COUNTIF(班表!$D18:$AH18,"病"))</f>
        <v/>
      </c>
      <c r="J17" s="10">
        <f>IF($A17="","",COUNTIF(班表!$D18:$AH18,"事"))</f>
        <v/>
      </c>
      <c r="K17" s="10">
        <f>IF($A17="","",COUNTIF(班表!$D18:$AH18,"公"))</f>
        <v/>
      </c>
      <c r="L17" s="10">
        <f>IF($A17="","",COUNTIF(班表!$D18:$AH18,"國"))</f>
        <v/>
      </c>
      <c r="M17" s="10">
        <f>IF($A17="","",COUNTIF(班表!$D18:$AH18,"支"))</f>
        <v/>
      </c>
      <c r="N17" s="24" t="n">
        <v>0</v>
      </c>
      <c r="O17" s="23">
        <f>IF($A17="","",$E17+$N17)</f>
        <v/>
      </c>
      <c r="P17" s="10">
        <f>IF($A17="","",IF(COUNTA(班表!$D18:$AH18)=DAY(EOMONTH(DATE(班表!$E$2,班表!$G$2,1),0)),"OK","⚠ 缺"&amp;(DAY(EOMONTH(DATE(班表!$E$2,班表!$G$2,1),0))-COUNTA(班表!$D18:$AH18))&amp;"天"))</f>
        <v/>
      </c>
    </row>
    <row r="18">
      <c r="A18" s="10">
        <f>IF(班表!$A19="","",班表!$A19)</f>
        <v/>
      </c>
      <c r="B18" s="10">
        <f>IF($A18="","",班表!$B19)</f>
        <v/>
      </c>
      <c r="C18" s="10">
        <f>IF($A18="","",班表!$C19)</f>
        <v/>
      </c>
      <c r="D18" s="10">
        <f>IF($A18="","",SUMPRODUCT(COUNTIF(班表!$D19:$AH19,設定!$B$5:$B$20),設定!$H$5:$H$20))</f>
        <v/>
      </c>
      <c r="E18" s="23">
        <f>IF($A18="","",SUMPRODUCT(COUNTIF(班表!$D19:$AH19,設定!$B$5:$B$20),設定!$F$5:$F$20))</f>
        <v/>
      </c>
      <c r="F18" s="10">
        <f>IF($A18="","",SUMPRODUCT(COUNTIF(班表!$D19:$AH19,設定!$B$5:$B$20),設定!$G$5:$G$20))</f>
        <v/>
      </c>
      <c r="G18" s="10">
        <f>IF($A18="","",COUNTIF(班表!$D19:$AH19,"OFF"))</f>
        <v/>
      </c>
      <c r="H18" s="10">
        <f>IF($A18="","",COUNTIF(班表!$D19:$AH19,"特"))</f>
        <v/>
      </c>
      <c r="I18" s="10">
        <f>IF($A18="","",COUNTIF(班表!$D19:$AH19,"病"))</f>
        <v/>
      </c>
      <c r="J18" s="10">
        <f>IF($A18="","",COUNTIF(班表!$D19:$AH19,"事"))</f>
        <v/>
      </c>
      <c r="K18" s="10">
        <f>IF($A18="","",COUNTIF(班表!$D19:$AH19,"公"))</f>
        <v/>
      </c>
      <c r="L18" s="10">
        <f>IF($A18="","",COUNTIF(班表!$D19:$AH19,"國"))</f>
        <v/>
      </c>
      <c r="M18" s="10">
        <f>IF($A18="","",COUNTIF(班表!$D19:$AH19,"支"))</f>
        <v/>
      </c>
      <c r="N18" s="24" t="n">
        <v>0</v>
      </c>
      <c r="O18" s="23">
        <f>IF($A18="","",$E18+$N18)</f>
        <v/>
      </c>
      <c r="P18" s="10">
        <f>IF($A18="","",IF(COUNTA(班表!$D19:$AH19)=DAY(EOMONTH(DATE(班表!$E$2,班表!$G$2,1),0)),"OK","⚠ 缺"&amp;(DAY(EOMONTH(DATE(班表!$E$2,班表!$G$2,1),0))-COUNTA(班表!$D19:$AH19))&amp;"天"))</f>
        <v/>
      </c>
    </row>
    <row r="19">
      <c r="A19" s="10">
        <f>IF(班表!$A20="","",班表!$A20)</f>
        <v/>
      </c>
      <c r="B19" s="10">
        <f>IF($A19="","",班表!$B20)</f>
        <v/>
      </c>
      <c r="C19" s="10">
        <f>IF($A19="","",班表!$C20)</f>
        <v/>
      </c>
      <c r="D19" s="10">
        <f>IF($A19="","",SUMPRODUCT(COUNTIF(班表!$D20:$AH20,設定!$B$5:$B$20),設定!$H$5:$H$20))</f>
        <v/>
      </c>
      <c r="E19" s="23">
        <f>IF($A19="","",SUMPRODUCT(COUNTIF(班表!$D20:$AH20,設定!$B$5:$B$20),設定!$F$5:$F$20))</f>
        <v/>
      </c>
      <c r="F19" s="10">
        <f>IF($A19="","",SUMPRODUCT(COUNTIF(班表!$D20:$AH20,設定!$B$5:$B$20),設定!$G$5:$G$20))</f>
        <v/>
      </c>
      <c r="G19" s="10">
        <f>IF($A19="","",COUNTIF(班表!$D20:$AH20,"OFF"))</f>
        <v/>
      </c>
      <c r="H19" s="10">
        <f>IF($A19="","",COUNTIF(班表!$D20:$AH20,"特"))</f>
        <v/>
      </c>
      <c r="I19" s="10">
        <f>IF($A19="","",COUNTIF(班表!$D20:$AH20,"病"))</f>
        <v/>
      </c>
      <c r="J19" s="10">
        <f>IF($A19="","",COUNTIF(班表!$D20:$AH20,"事"))</f>
        <v/>
      </c>
      <c r="K19" s="10">
        <f>IF($A19="","",COUNTIF(班表!$D20:$AH20,"公"))</f>
        <v/>
      </c>
      <c r="L19" s="10">
        <f>IF($A19="","",COUNTIF(班表!$D20:$AH20,"國"))</f>
        <v/>
      </c>
      <c r="M19" s="10">
        <f>IF($A19="","",COUNTIF(班表!$D20:$AH20,"支"))</f>
        <v/>
      </c>
      <c r="N19" s="24" t="n">
        <v>0</v>
      </c>
      <c r="O19" s="23">
        <f>IF($A19="","",$E19+$N19)</f>
        <v/>
      </c>
      <c r="P19" s="10">
        <f>IF($A19="","",IF(COUNTA(班表!$D20:$AH20)=DAY(EOMONTH(DATE(班表!$E$2,班表!$G$2,1),0)),"OK","⚠ 缺"&amp;(DAY(EOMONTH(DATE(班表!$E$2,班表!$G$2,1),0))-COUNTA(班表!$D20:$AH20))&amp;"天"))</f>
        <v/>
      </c>
    </row>
    <row r="20">
      <c r="A20" s="10">
        <f>IF(班表!$A21="","",班表!$A21)</f>
        <v/>
      </c>
      <c r="B20" s="10">
        <f>IF($A20="","",班表!$B21)</f>
        <v/>
      </c>
      <c r="C20" s="10">
        <f>IF($A20="","",班表!$C21)</f>
        <v/>
      </c>
      <c r="D20" s="10">
        <f>IF($A20="","",SUMPRODUCT(COUNTIF(班表!$D21:$AH21,設定!$B$5:$B$20),設定!$H$5:$H$20))</f>
        <v/>
      </c>
      <c r="E20" s="23">
        <f>IF($A20="","",SUMPRODUCT(COUNTIF(班表!$D21:$AH21,設定!$B$5:$B$20),設定!$F$5:$F$20))</f>
        <v/>
      </c>
      <c r="F20" s="10">
        <f>IF($A20="","",SUMPRODUCT(COUNTIF(班表!$D21:$AH21,設定!$B$5:$B$20),設定!$G$5:$G$20))</f>
        <v/>
      </c>
      <c r="G20" s="10">
        <f>IF($A20="","",COUNTIF(班表!$D21:$AH21,"OFF"))</f>
        <v/>
      </c>
      <c r="H20" s="10">
        <f>IF($A20="","",COUNTIF(班表!$D21:$AH21,"特"))</f>
        <v/>
      </c>
      <c r="I20" s="10">
        <f>IF($A20="","",COUNTIF(班表!$D21:$AH21,"病"))</f>
        <v/>
      </c>
      <c r="J20" s="10">
        <f>IF($A20="","",COUNTIF(班表!$D21:$AH21,"事"))</f>
        <v/>
      </c>
      <c r="K20" s="10">
        <f>IF($A20="","",COUNTIF(班表!$D21:$AH21,"公"))</f>
        <v/>
      </c>
      <c r="L20" s="10">
        <f>IF($A20="","",COUNTIF(班表!$D21:$AH21,"國"))</f>
        <v/>
      </c>
      <c r="M20" s="10">
        <f>IF($A20="","",COUNTIF(班表!$D21:$AH21,"支"))</f>
        <v/>
      </c>
      <c r="N20" s="24" t="n">
        <v>0</v>
      </c>
      <c r="O20" s="23">
        <f>IF($A20="","",$E20+$N20)</f>
        <v/>
      </c>
      <c r="P20" s="10">
        <f>IF($A20="","",IF(COUNTA(班表!$D21:$AH21)=DAY(EOMONTH(DATE(班表!$E$2,班表!$G$2,1),0)),"OK","⚠ 缺"&amp;(DAY(EOMONTH(DATE(班表!$E$2,班表!$G$2,1),0))-COUNTA(班表!$D21:$AH21))&amp;"天"))</f>
        <v/>
      </c>
    </row>
    <row r="21">
      <c r="A21" s="10">
        <f>IF(班表!$A22="","",班表!$A22)</f>
        <v/>
      </c>
      <c r="B21" s="10">
        <f>IF($A21="","",班表!$B22)</f>
        <v/>
      </c>
      <c r="C21" s="10">
        <f>IF($A21="","",班表!$C22)</f>
        <v/>
      </c>
      <c r="D21" s="10">
        <f>IF($A21="","",SUMPRODUCT(COUNTIF(班表!$D22:$AH22,設定!$B$5:$B$20),設定!$H$5:$H$20))</f>
        <v/>
      </c>
      <c r="E21" s="23">
        <f>IF($A21="","",SUMPRODUCT(COUNTIF(班表!$D22:$AH22,設定!$B$5:$B$20),設定!$F$5:$F$20))</f>
        <v/>
      </c>
      <c r="F21" s="10">
        <f>IF($A21="","",SUMPRODUCT(COUNTIF(班表!$D22:$AH22,設定!$B$5:$B$20),設定!$G$5:$G$20))</f>
        <v/>
      </c>
      <c r="G21" s="10">
        <f>IF($A21="","",COUNTIF(班表!$D22:$AH22,"OFF"))</f>
        <v/>
      </c>
      <c r="H21" s="10">
        <f>IF($A21="","",COUNTIF(班表!$D22:$AH22,"特"))</f>
        <v/>
      </c>
      <c r="I21" s="10">
        <f>IF($A21="","",COUNTIF(班表!$D22:$AH22,"病"))</f>
        <v/>
      </c>
      <c r="J21" s="10">
        <f>IF($A21="","",COUNTIF(班表!$D22:$AH22,"事"))</f>
        <v/>
      </c>
      <c r="K21" s="10">
        <f>IF($A21="","",COUNTIF(班表!$D22:$AH22,"公"))</f>
        <v/>
      </c>
      <c r="L21" s="10">
        <f>IF($A21="","",COUNTIF(班表!$D22:$AH22,"國"))</f>
        <v/>
      </c>
      <c r="M21" s="10">
        <f>IF($A21="","",COUNTIF(班表!$D22:$AH22,"支"))</f>
        <v/>
      </c>
      <c r="N21" s="24" t="n">
        <v>0</v>
      </c>
      <c r="O21" s="23">
        <f>IF($A21="","",$E21+$N21)</f>
        <v/>
      </c>
      <c r="P21" s="10">
        <f>IF($A21="","",IF(COUNTA(班表!$D22:$AH22)=DAY(EOMONTH(DATE(班表!$E$2,班表!$G$2,1),0)),"OK","⚠ 缺"&amp;(DAY(EOMONTH(DATE(班表!$E$2,班表!$G$2,1),0))-COUNTA(班表!$D22:$AH22))&amp;"天"))</f>
        <v/>
      </c>
    </row>
    <row r="22">
      <c r="A22" s="10">
        <f>IF(班表!$A23="","",班表!$A23)</f>
        <v/>
      </c>
      <c r="B22" s="10">
        <f>IF($A22="","",班表!$B23)</f>
        <v/>
      </c>
      <c r="C22" s="10">
        <f>IF($A22="","",班表!$C23)</f>
        <v/>
      </c>
      <c r="D22" s="10">
        <f>IF($A22="","",SUMPRODUCT(COUNTIF(班表!$D23:$AH23,設定!$B$5:$B$20),設定!$H$5:$H$20))</f>
        <v/>
      </c>
      <c r="E22" s="23">
        <f>IF($A22="","",SUMPRODUCT(COUNTIF(班表!$D23:$AH23,設定!$B$5:$B$20),設定!$F$5:$F$20))</f>
        <v/>
      </c>
      <c r="F22" s="10">
        <f>IF($A22="","",SUMPRODUCT(COUNTIF(班表!$D23:$AH23,設定!$B$5:$B$20),設定!$G$5:$G$20))</f>
        <v/>
      </c>
      <c r="G22" s="10">
        <f>IF($A22="","",COUNTIF(班表!$D23:$AH23,"OFF"))</f>
        <v/>
      </c>
      <c r="H22" s="10">
        <f>IF($A22="","",COUNTIF(班表!$D23:$AH23,"特"))</f>
        <v/>
      </c>
      <c r="I22" s="10">
        <f>IF($A22="","",COUNTIF(班表!$D23:$AH23,"病"))</f>
        <v/>
      </c>
      <c r="J22" s="10">
        <f>IF($A22="","",COUNTIF(班表!$D23:$AH23,"事"))</f>
        <v/>
      </c>
      <c r="K22" s="10">
        <f>IF($A22="","",COUNTIF(班表!$D23:$AH23,"公"))</f>
        <v/>
      </c>
      <c r="L22" s="10">
        <f>IF($A22="","",COUNTIF(班表!$D23:$AH23,"國"))</f>
        <v/>
      </c>
      <c r="M22" s="10">
        <f>IF($A22="","",COUNTIF(班表!$D23:$AH23,"支"))</f>
        <v/>
      </c>
      <c r="N22" s="24" t="n">
        <v>0</v>
      </c>
      <c r="O22" s="23">
        <f>IF($A22="","",$E22+$N22)</f>
        <v/>
      </c>
      <c r="P22" s="10">
        <f>IF($A22="","",IF(COUNTA(班表!$D23:$AH23)=DAY(EOMONTH(DATE(班表!$E$2,班表!$G$2,1),0)),"OK","⚠ 缺"&amp;(DAY(EOMONTH(DATE(班表!$E$2,班表!$G$2,1),0))-COUNTA(班表!$D23:$AH23))&amp;"天"))</f>
        <v/>
      </c>
    </row>
    <row r="23">
      <c r="A23" s="10">
        <f>IF(班表!$A24="","",班表!$A24)</f>
        <v/>
      </c>
      <c r="B23" s="10">
        <f>IF($A23="","",班表!$B24)</f>
        <v/>
      </c>
      <c r="C23" s="10">
        <f>IF($A23="","",班表!$C24)</f>
        <v/>
      </c>
      <c r="D23" s="10">
        <f>IF($A23="","",SUMPRODUCT(COUNTIF(班表!$D24:$AH24,設定!$B$5:$B$20),設定!$H$5:$H$20))</f>
        <v/>
      </c>
      <c r="E23" s="23">
        <f>IF($A23="","",SUMPRODUCT(COUNTIF(班表!$D24:$AH24,設定!$B$5:$B$20),設定!$F$5:$F$20))</f>
        <v/>
      </c>
      <c r="F23" s="10">
        <f>IF($A23="","",SUMPRODUCT(COUNTIF(班表!$D24:$AH24,設定!$B$5:$B$20),設定!$G$5:$G$20))</f>
        <v/>
      </c>
      <c r="G23" s="10">
        <f>IF($A23="","",COUNTIF(班表!$D24:$AH24,"OFF"))</f>
        <v/>
      </c>
      <c r="H23" s="10">
        <f>IF($A23="","",COUNTIF(班表!$D24:$AH24,"特"))</f>
        <v/>
      </c>
      <c r="I23" s="10">
        <f>IF($A23="","",COUNTIF(班表!$D24:$AH24,"病"))</f>
        <v/>
      </c>
      <c r="J23" s="10">
        <f>IF($A23="","",COUNTIF(班表!$D24:$AH24,"事"))</f>
        <v/>
      </c>
      <c r="K23" s="10">
        <f>IF($A23="","",COUNTIF(班表!$D24:$AH24,"公"))</f>
        <v/>
      </c>
      <c r="L23" s="10">
        <f>IF($A23="","",COUNTIF(班表!$D24:$AH24,"國"))</f>
        <v/>
      </c>
      <c r="M23" s="10">
        <f>IF($A23="","",COUNTIF(班表!$D24:$AH24,"支"))</f>
        <v/>
      </c>
      <c r="N23" s="24" t="n">
        <v>0</v>
      </c>
      <c r="O23" s="23">
        <f>IF($A23="","",$E23+$N23)</f>
        <v/>
      </c>
      <c r="P23" s="10">
        <f>IF($A23="","",IF(COUNTA(班表!$D24:$AH24)=DAY(EOMONTH(DATE(班表!$E$2,班表!$G$2,1),0)),"OK","⚠ 缺"&amp;(DAY(EOMONTH(DATE(班表!$E$2,班表!$G$2,1),0))-COUNTA(班表!$D24:$AH24))&amp;"天"))</f>
        <v/>
      </c>
    </row>
    <row r="24">
      <c r="A24" s="10">
        <f>IF(班表!$A25="","",班表!$A25)</f>
        <v/>
      </c>
      <c r="B24" s="10">
        <f>IF($A24="","",班表!$B25)</f>
        <v/>
      </c>
      <c r="C24" s="10">
        <f>IF($A24="","",班表!$C25)</f>
        <v/>
      </c>
      <c r="D24" s="10">
        <f>IF($A24="","",SUMPRODUCT(COUNTIF(班表!$D25:$AH25,設定!$B$5:$B$20),設定!$H$5:$H$20))</f>
        <v/>
      </c>
      <c r="E24" s="23">
        <f>IF($A24="","",SUMPRODUCT(COUNTIF(班表!$D25:$AH25,設定!$B$5:$B$20),設定!$F$5:$F$20))</f>
        <v/>
      </c>
      <c r="F24" s="10">
        <f>IF($A24="","",SUMPRODUCT(COUNTIF(班表!$D25:$AH25,設定!$B$5:$B$20),設定!$G$5:$G$20))</f>
        <v/>
      </c>
      <c r="G24" s="10">
        <f>IF($A24="","",COUNTIF(班表!$D25:$AH25,"OFF"))</f>
        <v/>
      </c>
      <c r="H24" s="10">
        <f>IF($A24="","",COUNTIF(班表!$D25:$AH25,"特"))</f>
        <v/>
      </c>
      <c r="I24" s="10">
        <f>IF($A24="","",COUNTIF(班表!$D25:$AH25,"病"))</f>
        <v/>
      </c>
      <c r="J24" s="10">
        <f>IF($A24="","",COUNTIF(班表!$D25:$AH25,"事"))</f>
        <v/>
      </c>
      <c r="K24" s="10">
        <f>IF($A24="","",COUNTIF(班表!$D25:$AH25,"公"))</f>
        <v/>
      </c>
      <c r="L24" s="10">
        <f>IF($A24="","",COUNTIF(班表!$D25:$AH25,"國"))</f>
        <v/>
      </c>
      <c r="M24" s="10">
        <f>IF($A24="","",COUNTIF(班表!$D25:$AH25,"支"))</f>
        <v/>
      </c>
      <c r="N24" s="24" t="n">
        <v>0</v>
      </c>
      <c r="O24" s="23">
        <f>IF($A24="","",$E24+$N24)</f>
        <v/>
      </c>
      <c r="P24" s="10">
        <f>IF($A24="","",IF(COUNTA(班表!$D25:$AH25)=DAY(EOMONTH(DATE(班表!$E$2,班表!$G$2,1),0)),"OK","⚠ 缺"&amp;(DAY(EOMONTH(DATE(班表!$E$2,班表!$G$2,1),0))-COUNTA(班表!$D25:$AH25))&amp;"天"))</f>
        <v/>
      </c>
    </row>
    <row r="25">
      <c r="A25" s="10">
        <f>IF(班表!$A26="","",班表!$A26)</f>
        <v/>
      </c>
      <c r="B25" s="10">
        <f>IF($A25="","",班表!$B26)</f>
        <v/>
      </c>
      <c r="C25" s="10">
        <f>IF($A25="","",班表!$C26)</f>
        <v/>
      </c>
      <c r="D25" s="10">
        <f>IF($A25="","",SUMPRODUCT(COUNTIF(班表!$D26:$AH26,設定!$B$5:$B$20),設定!$H$5:$H$20))</f>
        <v/>
      </c>
      <c r="E25" s="23">
        <f>IF($A25="","",SUMPRODUCT(COUNTIF(班表!$D26:$AH26,設定!$B$5:$B$20),設定!$F$5:$F$20))</f>
        <v/>
      </c>
      <c r="F25" s="10">
        <f>IF($A25="","",SUMPRODUCT(COUNTIF(班表!$D26:$AH26,設定!$B$5:$B$20),設定!$G$5:$G$20))</f>
        <v/>
      </c>
      <c r="G25" s="10">
        <f>IF($A25="","",COUNTIF(班表!$D26:$AH26,"OFF"))</f>
        <v/>
      </c>
      <c r="H25" s="10">
        <f>IF($A25="","",COUNTIF(班表!$D26:$AH26,"特"))</f>
        <v/>
      </c>
      <c r="I25" s="10">
        <f>IF($A25="","",COUNTIF(班表!$D26:$AH26,"病"))</f>
        <v/>
      </c>
      <c r="J25" s="10">
        <f>IF($A25="","",COUNTIF(班表!$D26:$AH26,"事"))</f>
        <v/>
      </c>
      <c r="K25" s="10">
        <f>IF($A25="","",COUNTIF(班表!$D26:$AH26,"公"))</f>
        <v/>
      </c>
      <c r="L25" s="10">
        <f>IF($A25="","",COUNTIF(班表!$D26:$AH26,"國"))</f>
        <v/>
      </c>
      <c r="M25" s="10">
        <f>IF($A25="","",COUNTIF(班表!$D26:$AH26,"支"))</f>
        <v/>
      </c>
      <c r="N25" s="24" t="n">
        <v>0</v>
      </c>
      <c r="O25" s="23">
        <f>IF($A25="","",$E25+$N25)</f>
        <v/>
      </c>
      <c r="P25" s="10">
        <f>IF($A25="","",IF(COUNTA(班表!$D26:$AH26)=DAY(EOMONTH(DATE(班表!$E$2,班表!$G$2,1),0)),"OK","⚠ 缺"&amp;(DAY(EOMONTH(DATE(班表!$E$2,班表!$G$2,1),0))-COUNTA(班表!$D26:$AH26))&amp;"天"))</f>
        <v/>
      </c>
    </row>
    <row r="26">
      <c r="A26" s="10">
        <f>IF(班表!$A27="","",班表!$A27)</f>
        <v/>
      </c>
      <c r="B26" s="10">
        <f>IF($A26="","",班表!$B27)</f>
        <v/>
      </c>
      <c r="C26" s="10">
        <f>IF($A26="","",班表!$C27)</f>
        <v/>
      </c>
      <c r="D26" s="10">
        <f>IF($A26="","",SUMPRODUCT(COUNTIF(班表!$D27:$AH27,設定!$B$5:$B$20),設定!$H$5:$H$20))</f>
        <v/>
      </c>
      <c r="E26" s="23">
        <f>IF($A26="","",SUMPRODUCT(COUNTIF(班表!$D27:$AH27,設定!$B$5:$B$20),設定!$F$5:$F$20))</f>
        <v/>
      </c>
      <c r="F26" s="10">
        <f>IF($A26="","",SUMPRODUCT(COUNTIF(班表!$D27:$AH27,設定!$B$5:$B$20),設定!$G$5:$G$20))</f>
        <v/>
      </c>
      <c r="G26" s="10">
        <f>IF($A26="","",COUNTIF(班表!$D27:$AH27,"OFF"))</f>
        <v/>
      </c>
      <c r="H26" s="10">
        <f>IF($A26="","",COUNTIF(班表!$D27:$AH27,"特"))</f>
        <v/>
      </c>
      <c r="I26" s="10">
        <f>IF($A26="","",COUNTIF(班表!$D27:$AH27,"病"))</f>
        <v/>
      </c>
      <c r="J26" s="10">
        <f>IF($A26="","",COUNTIF(班表!$D27:$AH27,"事"))</f>
        <v/>
      </c>
      <c r="K26" s="10">
        <f>IF($A26="","",COUNTIF(班表!$D27:$AH27,"公"))</f>
        <v/>
      </c>
      <c r="L26" s="10">
        <f>IF($A26="","",COUNTIF(班表!$D27:$AH27,"國"))</f>
        <v/>
      </c>
      <c r="M26" s="10">
        <f>IF($A26="","",COUNTIF(班表!$D27:$AH27,"支"))</f>
        <v/>
      </c>
      <c r="N26" s="24" t="n">
        <v>0</v>
      </c>
      <c r="O26" s="23">
        <f>IF($A26="","",$E26+$N26)</f>
        <v/>
      </c>
      <c r="P26" s="10">
        <f>IF($A26="","",IF(COUNTA(班表!$D27:$AH27)=DAY(EOMONTH(DATE(班表!$E$2,班表!$G$2,1),0)),"OK","⚠ 缺"&amp;(DAY(EOMONTH(DATE(班表!$E$2,班表!$G$2,1),0))-COUNTA(班表!$D27:$AH27))&amp;"天"))</f>
        <v/>
      </c>
    </row>
    <row r="27">
      <c r="A27" s="10">
        <f>IF(班表!$A28="","",班表!$A28)</f>
        <v/>
      </c>
      <c r="B27" s="10">
        <f>IF($A27="","",班表!$B28)</f>
        <v/>
      </c>
      <c r="C27" s="10">
        <f>IF($A27="","",班表!$C28)</f>
        <v/>
      </c>
      <c r="D27" s="10">
        <f>IF($A27="","",SUMPRODUCT(COUNTIF(班表!$D28:$AH28,設定!$B$5:$B$20),設定!$H$5:$H$20))</f>
        <v/>
      </c>
      <c r="E27" s="23">
        <f>IF($A27="","",SUMPRODUCT(COUNTIF(班表!$D28:$AH28,設定!$B$5:$B$20),設定!$F$5:$F$20))</f>
        <v/>
      </c>
      <c r="F27" s="10">
        <f>IF($A27="","",SUMPRODUCT(COUNTIF(班表!$D28:$AH28,設定!$B$5:$B$20),設定!$G$5:$G$20))</f>
        <v/>
      </c>
      <c r="G27" s="10">
        <f>IF($A27="","",COUNTIF(班表!$D28:$AH28,"OFF"))</f>
        <v/>
      </c>
      <c r="H27" s="10">
        <f>IF($A27="","",COUNTIF(班表!$D28:$AH28,"特"))</f>
        <v/>
      </c>
      <c r="I27" s="10">
        <f>IF($A27="","",COUNTIF(班表!$D28:$AH28,"病"))</f>
        <v/>
      </c>
      <c r="J27" s="10">
        <f>IF($A27="","",COUNTIF(班表!$D28:$AH28,"事"))</f>
        <v/>
      </c>
      <c r="K27" s="10">
        <f>IF($A27="","",COUNTIF(班表!$D28:$AH28,"公"))</f>
        <v/>
      </c>
      <c r="L27" s="10">
        <f>IF($A27="","",COUNTIF(班表!$D28:$AH28,"國"))</f>
        <v/>
      </c>
      <c r="M27" s="10">
        <f>IF($A27="","",COUNTIF(班表!$D28:$AH28,"支"))</f>
        <v/>
      </c>
      <c r="N27" s="24" t="n">
        <v>0</v>
      </c>
      <c r="O27" s="23">
        <f>IF($A27="","",$E27+$N27)</f>
        <v/>
      </c>
      <c r="P27" s="10">
        <f>IF($A27="","",IF(COUNTA(班表!$D28:$AH28)=DAY(EOMONTH(DATE(班表!$E$2,班表!$G$2,1),0)),"OK","⚠ 缺"&amp;(DAY(EOMONTH(DATE(班表!$E$2,班表!$G$2,1),0))-COUNTA(班表!$D28:$AH28))&amp;"天"))</f>
        <v/>
      </c>
    </row>
    <row r="28">
      <c r="A28" s="10">
        <f>IF(班表!$A29="","",班表!$A29)</f>
        <v/>
      </c>
      <c r="B28" s="10">
        <f>IF($A28="","",班表!$B29)</f>
        <v/>
      </c>
      <c r="C28" s="10">
        <f>IF($A28="","",班表!$C29)</f>
        <v/>
      </c>
      <c r="D28" s="10">
        <f>IF($A28="","",SUMPRODUCT(COUNTIF(班表!$D29:$AH29,設定!$B$5:$B$20),設定!$H$5:$H$20))</f>
        <v/>
      </c>
      <c r="E28" s="23">
        <f>IF($A28="","",SUMPRODUCT(COUNTIF(班表!$D29:$AH29,設定!$B$5:$B$20),設定!$F$5:$F$20))</f>
        <v/>
      </c>
      <c r="F28" s="10">
        <f>IF($A28="","",SUMPRODUCT(COUNTIF(班表!$D29:$AH29,設定!$B$5:$B$20),設定!$G$5:$G$20))</f>
        <v/>
      </c>
      <c r="G28" s="10">
        <f>IF($A28="","",COUNTIF(班表!$D29:$AH29,"OFF"))</f>
        <v/>
      </c>
      <c r="H28" s="10">
        <f>IF($A28="","",COUNTIF(班表!$D29:$AH29,"特"))</f>
        <v/>
      </c>
      <c r="I28" s="10">
        <f>IF($A28="","",COUNTIF(班表!$D29:$AH29,"病"))</f>
        <v/>
      </c>
      <c r="J28" s="10">
        <f>IF($A28="","",COUNTIF(班表!$D29:$AH29,"事"))</f>
        <v/>
      </c>
      <c r="K28" s="10">
        <f>IF($A28="","",COUNTIF(班表!$D29:$AH29,"公"))</f>
        <v/>
      </c>
      <c r="L28" s="10">
        <f>IF($A28="","",COUNTIF(班表!$D29:$AH29,"國"))</f>
        <v/>
      </c>
      <c r="M28" s="10">
        <f>IF($A28="","",COUNTIF(班表!$D29:$AH29,"支"))</f>
        <v/>
      </c>
      <c r="N28" s="24" t="n">
        <v>0</v>
      </c>
      <c r="O28" s="23">
        <f>IF($A28="","",$E28+$N28)</f>
        <v/>
      </c>
      <c r="P28" s="10">
        <f>IF($A28="","",IF(COUNTA(班表!$D29:$AH29)=DAY(EOMONTH(DATE(班表!$E$2,班表!$G$2,1),0)),"OK","⚠ 缺"&amp;(DAY(EOMONTH(DATE(班表!$E$2,班表!$G$2,1),0))-COUNTA(班表!$D29:$AH29))&amp;"天"))</f>
        <v/>
      </c>
    </row>
    <row r="29">
      <c r="A29" s="10">
        <f>IF(班表!$A30="","",班表!$A30)</f>
        <v/>
      </c>
      <c r="B29" s="10">
        <f>IF($A29="","",班表!$B30)</f>
        <v/>
      </c>
      <c r="C29" s="10">
        <f>IF($A29="","",班表!$C30)</f>
        <v/>
      </c>
      <c r="D29" s="10">
        <f>IF($A29="","",SUMPRODUCT(COUNTIF(班表!$D30:$AH30,設定!$B$5:$B$20),設定!$H$5:$H$20))</f>
        <v/>
      </c>
      <c r="E29" s="23">
        <f>IF($A29="","",SUMPRODUCT(COUNTIF(班表!$D30:$AH30,設定!$B$5:$B$20),設定!$F$5:$F$20))</f>
        <v/>
      </c>
      <c r="F29" s="10">
        <f>IF($A29="","",SUMPRODUCT(COUNTIF(班表!$D30:$AH30,設定!$B$5:$B$20),設定!$G$5:$G$20))</f>
        <v/>
      </c>
      <c r="G29" s="10">
        <f>IF($A29="","",COUNTIF(班表!$D30:$AH30,"OFF"))</f>
        <v/>
      </c>
      <c r="H29" s="10">
        <f>IF($A29="","",COUNTIF(班表!$D30:$AH30,"特"))</f>
        <v/>
      </c>
      <c r="I29" s="10">
        <f>IF($A29="","",COUNTIF(班表!$D30:$AH30,"病"))</f>
        <v/>
      </c>
      <c r="J29" s="10">
        <f>IF($A29="","",COUNTIF(班表!$D30:$AH30,"事"))</f>
        <v/>
      </c>
      <c r="K29" s="10">
        <f>IF($A29="","",COUNTIF(班表!$D30:$AH30,"公"))</f>
        <v/>
      </c>
      <c r="L29" s="10">
        <f>IF($A29="","",COUNTIF(班表!$D30:$AH30,"國"))</f>
        <v/>
      </c>
      <c r="M29" s="10">
        <f>IF($A29="","",COUNTIF(班表!$D30:$AH30,"支"))</f>
        <v/>
      </c>
      <c r="N29" s="24" t="n">
        <v>0</v>
      </c>
      <c r="O29" s="23">
        <f>IF($A29="","",$E29+$N29)</f>
        <v/>
      </c>
      <c r="P29" s="10">
        <f>IF($A29="","",IF(COUNTA(班表!$D30:$AH30)=DAY(EOMONTH(DATE(班表!$E$2,班表!$G$2,1),0)),"OK","⚠ 缺"&amp;(DAY(EOMONTH(DATE(班表!$E$2,班表!$G$2,1),0))-COUNTA(班表!$D30:$AH30))&amp;"天"))</f>
        <v/>
      </c>
    </row>
    <row r="30">
      <c r="A30" s="10">
        <f>IF(班表!$A31="","",班表!$A31)</f>
        <v/>
      </c>
      <c r="B30" s="10">
        <f>IF($A30="","",班表!$B31)</f>
        <v/>
      </c>
      <c r="C30" s="10">
        <f>IF($A30="","",班表!$C31)</f>
        <v/>
      </c>
      <c r="D30" s="10">
        <f>IF($A30="","",SUMPRODUCT(COUNTIF(班表!$D31:$AH31,設定!$B$5:$B$20),設定!$H$5:$H$20))</f>
        <v/>
      </c>
      <c r="E30" s="23">
        <f>IF($A30="","",SUMPRODUCT(COUNTIF(班表!$D31:$AH31,設定!$B$5:$B$20),設定!$F$5:$F$20))</f>
        <v/>
      </c>
      <c r="F30" s="10">
        <f>IF($A30="","",SUMPRODUCT(COUNTIF(班表!$D31:$AH31,設定!$B$5:$B$20),設定!$G$5:$G$20))</f>
        <v/>
      </c>
      <c r="G30" s="10">
        <f>IF($A30="","",COUNTIF(班表!$D31:$AH31,"OFF"))</f>
        <v/>
      </c>
      <c r="H30" s="10">
        <f>IF($A30="","",COUNTIF(班表!$D31:$AH31,"特"))</f>
        <v/>
      </c>
      <c r="I30" s="10">
        <f>IF($A30="","",COUNTIF(班表!$D31:$AH31,"病"))</f>
        <v/>
      </c>
      <c r="J30" s="10">
        <f>IF($A30="","",COUNTIF(班表!$D31:$AH31,"事"))</f>
        <v/>
      </c>
      <c r="K30" s="10">
        <f>IF($A30="","",COUNTIF(班表!$D31:$AH31,"公"))</f>
        <v/>
      </c>
      <c r="L30" s="10">
        <f>IF($A30="","",COUNTIF(班表!$D31:$AH31,"國"))</f>
        <v/>
      </c>
      <c r="M30" s="10">
        <f>IF($A30="","",COUNTIF(班表!$D31:$AH31,"支"))</f>
        <v/>
      </c>
      <c r="N30" s="24" t="n">
        <v>0</v>
      </c>
      <c r="O30" s="23">
        <f>IF($A30="","",$E30+$N30)</f>
        <v/>
      </c>
      <c r="P30" s="10">
        <f>IF($A30="","",IF(COUNTA(班表!$D31:$AH31)=DAY(EOMONTH(DATE(班表!$E$2,班表!$G$2,1),0)),"OK","⚠ 缺"&amp;(DAY(EOMONTH(DATE(班表!$E$2,班表!$G$2,1),0))-COUNTA(班表!$D31:$AH31))&amp;"天"))</f>
        <v/>
      </c>
    </row>
    <row r="31">
      <c r="A31" s="10">
        <f>IF(班表!$A32="","",班表!$A32)</f>
        <v/>
      </c>
      <c r="B31" s="10">
        <f>IF($A31="","",班表!$B32)</f>
        <v/>
      </c>
      <c r="C31" s="10">
        <f>IF($A31="","",班表!$C32)</f>
        <v/>
      </c>
      <c r="D31" s="10">
        <f>IF($A31="","",SUMPRODUCT(COUNTIF(班表!$D32:$AH32,設定!$B$5:$B$20),設定!$H$5:$H$20))</f>
        <v/>
      </c>
      <c r="E31" s="23">
        <f>IF($A31="","",SUMPRODUCT(COUNTIF(班表!$D32:$AH32,設定!$B$5:$B$20),設定!$F$5:$F$20))</f>
        <v/>
      </c>
      <c r="F31" s="10">
        <f>IF($A31="","",SUMPRODUCT(COUNTIF(班表!$D32:$AH32,設定!$B$5:$B$20),設定!$G$5:$G$20))</f>
        <v/>
      </c>
      <c r="G31" s="10">
        <f>IF($A31="","",COUNTIF(班表!$D32:$AH32,"OFF"))</f>
        <v/>
      </c>
      <c r="H31" s="10">
        <f>IF($A31="","",COUNTIF(班表!$D32:$AH32,"特"))</f>
        <v/>
      </c>
      <c r="I31" s="10">
        <f>IF($A31="","",COUNTIF(班表!$D32:$AH32,"病"))</f>
        <v/>
      </c>
      <c r="J31" s="10">
        <f>IF($A31="","",COUNTIF(班表!$D32:$AH32,"事"))</f>
        <v/>
      </c>
      <c r="K31" s="10">
        <f>IF($A31="","",COUNTIF(班表!$D32:$AH32,"公"))</f>
        <v/>
      </c>
      <c r="L31" s="10">
        <f>IF($A31="","",COUNTIF(班表!$D32:$AH32,"國"))</f>
        <v/>
      </c>
      <c r="M31" s="10">
        <f>IF($A31="","",COUNTIF(班表!$D32:$AH32,"支"))</f>
        <v/>
      </c>
      <c r="N31" s="24" t="n">
        <v>0</v>
      </c>
      <c r="O31" s="23">
        <f>IF($A31="","",$E31+$N31)</f>
        <v/>
      </c>
      <c r="P31" s="10">
        <f>IF($A31="","",IF(COUNTA(班表!$D32:$AH32)=DAY(EOMONTH(DATE(班表!$E$2,班表!$G$2,1),0)),"OK","⚠ 缺"&amp;(DAY(EOMONTH(DATE(班表!$E$2,班表!$G$2,1),0))-COUNTA(班表!$D32:$AH32))&amp;"天"))</f>
        <v/>
      </c>
    </row>
    <row r="32">
      <c r="A32" s="10">
        <f>IF(班表!$A33="","",班表!$A33)</f>
        <v/>
      </c>
      <c r="B32" s="10">
        <f>IF($A32="","",班表!$B33)</f>
        <v/>
      </c>
      <c r="C32" s="10">
        <f>IF($A32="","",班表!$C33)</f>
        <v/>
      </c>
      <c r="D32" s="10">
        <f>IF($A32="","",SUMPRODUCT(COUNTIF(班表!$D33:$AH33,設定!$B$5:$B$20),設定!$H$5:$H$20))</f>
        <v/>
      </c>
      <c r="E32" s="23">
        <f>IF($A32="","",SUMPRODUCT(COUNTIF(班表!$D33:$AH33,設定!$B$5:$B$20),設定!$F$5:$F$20))</f>
        <v/>
      </c>
      <c r="F32" s="10">
        <f>IF($A32="","",SUMPRODUCT(COUNTIF(班表!$D33:$AH33,設定!$B$5:$B$20),設定!$G$5:$G$20))</f>
        <v/>
      </c>
      <c r="G32" s="10">
        <f>IF($A32="","",COUNTIF(班表!$D33:$AH33,"OFF"))</f>
        <v/>
      </c>
      <c r="H32" s="10">
        <f>IF($A32="","",COUNTIF(班表!$D33:$AH33,"特"))</f>
        <v/>
      </c>
      <c r="I32" s="10">
        <f>IF($A32="","",COUNTIF(班表!$D33:$AH33,"病"))</f>
        <v/>
      </c>
      <c r="J32" s="10">
        <f>IF($A32="","",COUNTIF(班表!$D33:$AH33,"事"))</f>
        <v/>
      </c>
      <c r="K32" s="10">
        <f>IF($A32="","",COUNTIF(班表!$D33:$AH33,"公"))</f>
        <v/>
      </c>
      <c r="L32" s="10">
        <f>IF($A32="","",COUNTIF(班表!$D33:$AH33,"國"))</f>
        <v/>
      </c>
      <c r="M32" s="10">
        <f>IF($A32="","",COUNTIF(班表!$D33:$AH33,"支"))</f>
        <v/>
      </c>
      <c r="N32" s="24" t="n">
        <v>0</v>
      </c>
      <c r="O32" s="23">
        <f>IF($A32="","",$E32+$N32)</f>
        <v/>
      </c>
      <c r="P32" s="10">
        <f>IF($A32="","",IF(COUNTA(班表!$D33:$AH33)=DAY(EOMONTH(DATE(班表!$E$2,班表!$G$2,1),0)),"OK","⚠ 缺"&amp;(DAY(EOMONTH(DATE(班表!$E$2,班表!$G$2,1),0))-COUNTA(班表!$D33:$AH33))&amp;"天"))</f>
        <v/>
      </c>
    </row>
    <row r="33">
      <c r="A33" s="10">
        <f>IF(班表!$A34="","",班表!$A34)</f>
        <v/>
      </c>
      <c r="B33" s="10">
        <f>IF($A33="","",班表!$B34)</f>
        <v/>
      </c>
      <c r="C33" s="10">
        <f>IF($A33="","",班表!$C34)</f>
        <v/>
      </c>
      <c r="D33" s="10">
        <f>IF($A33="","",SUMPRODUCT(COUNTIF(班表!$D34:$AH34,設定!$B$5:$B$20),設定!$H$5:$H$20))</f>
        <v/>
      </c>
      <c r="E33" s="23">
        <f>IF($A33="","",SUMPRODUCT(COUNTIF(班表!$D34:$AH34,設定!$B$5:$B$20),設定!$F$5:$F$20))</f>
        <v/>
      </c>
      <c r="F33" s="10">
        <f>IF($A33="","",SUMPRODUCT(COUNTIF(班表!$D34:$AH34,設定!$B$5:$B$20),設定!$G$5:$G$20))</f>
        <v/>
      </c>
      <c r="G33" s="10">
        <f>IF($A33="","",COUNTIF(班表!$D34:$AH34,"OFF"))</f>
        <v/>
      </c>
      <c r="H33" s="10">
        <f>IF($A33="","",COUNTIF(班表!$D34:$AH34,"特"))</f>
        <v/>
      </c>
      <c r="I33" s="10">
        <f>IF($A33="","",COUNTIF(班表!$D34:$AH34,"病"))</f>
        <v/>
      </c>
      <c r="J33" s="10">
        <f>IF($A33="","",COUNTIF(班表!$D34:$AH34,"事"))</f>
        <v/>
      </c>
      <c r="K33" s="10">
        <f>IF($A33="","",COUNTIF(班表!$D34:$AH34,"公"))</f>
        <v/>
      </c>
      <c r="L33" s="10">
        <f>IF($A33="","",COUNTIF(班表!$D34:$AH34,"國"))</f>
        <v/>
      </c>
      <c r="M33" s="10">
        <f>IF($A33="","",COUNTIF(班表!$D34:$AH34,"支"))</f>
        <v/>
      </c>
      <c r="N33" s="24" t="n">
        <v>0</v>
      </c>
      <c r="O33" s="23">
        <f>IF($A33="","",$E33+$N33)</f>
        <v/>
      </c>
      <c r="P33" s="10">
        <f>IF($A33="","",IF(COUNTA(班表!$D34:$AH34)=DAY(EOMONTH(DATE(班表!$E$2,班表!$G$2,1),0)),"OK","⚠ 缺"&amp;(DAY(EOMONTH(DATE(班表!$E$2,班表!$G$2,1),0))-COUNTA(班表!$D34:$AH34))&amp;"天"))</f>
        <v/>
      </c>
    </row>
    <row r="34">
      <c r="A34" s="10">
        <f>IF(班表!$A35="","",班表!$A35)</f>
        <v/>
      </c>
      <c r="B34" s="10">
        <f>IF($A34="","",班表!$B35)</f>
        <v/>
      </c>
      <c r="C34" s="10">
        <f>IF($A34="","",班表!$C35)</f>
        <v/>
      </c>
      <c r="D34" s="10">
        <f>IF($A34="","",SUMPRODUCT(COUNTIF(班表!$D35:$AH35,設定!$B$5:$B$20),設定!$H$5:$H$20))</f>
        <v/>
      </c>
      <c r="E34" s="23">
        <f>IF($A34="","",SUMPRODUCT(COUNTIF(班表!$D35:$AH35,設定!$B$5:$B$20),設定!$F$5:$F$20))</f>
        <v/>
      </c>
      <c r="F34" s="10">
        <f>IF($A34="","",SUMPRODUCT(COUNTIF(班表!$D35:$AH35,設定!$B$5:$B$20),設定!$G$5:$G$20))</f>
        <v/>
      </c>
      <c r="G34" s="10">
        <f>IF($A34="","",COUNTIF(班表!$D35:$AH35,"OFF"))</f>
        <v/>
      </c>
      <c r="H34" s="10">
        <f>IF($A34="","",COUNTIF(班表!$D35:$AH35,"特"))</f>
        <v/>
      </c>
      <c r="I34" s="10">
        <f>IF($A34="","",COUNTIF(班表!$D35:$AH35,"病"))</f>
        <v/>
      </c>
      <c r="J34" s="10">
        <f>IF($A34="","",COUNTIF(班表!$D35:$AH35,"事"))</f>
        <v/>
      </c>
      <c r="K34" s="10">
        <f>IF($A34="","",COUNTIF(班表!$D35:$AH35,"公"))</f>
        <v/>
      </c>
      <c r="L34" s="10">
        <f>IF($A34="","",COUNTIF(班表!$D35:$AH35,"國"))</f>
        <v/>
      </c>
      <c r="M34" s="10">
        <f>IF($A34="","",COUNTIF(班表!$D35:$AH35,"支"))</f>
        <v/>
      </c>
      <c r="N34" s="24" t="n">
        <v>0</v>
      </c>
      <c r="O34" s="23">
        <f>IF($A34="","",$E34+$N34)</f>
        <v/>
      </c>
      <c r="P34" s="10">
        <f>IF($A34="","",IF(COUNTA(班表!$D35:$AH35)=DAY(EOMONTH(DATE(班表!$E$2,班表!$G$2,1),0)),"OK","⚠ 缺"&amp;(DAY(EOMONTH(DATE(班表!$E$2,班表!$G$2,1),0))-COUNTA(班表!$D35:$AH35))&amp;"天"))</f>
        <v/>
      </c>
    </row>
    <row r="35">
      <c r="A35" s="14" t="inlineStr">
        <is>
          <t>合計</t>
        </is>
      </c>
      <c r="B35" s="19" t="n"/>
      <c r="C35" s="20" t="n"/>
      <c r="D35" s="14">
        <f>SUM(D5:D34)</f>
        <v/>
      </c>
      <c r="E35" s="25">
        <f>SUM(E5:E34)</f>
        <v/>
      </c>
      <c r="F35" s="14">
        <f>SUM(F5:F34)</f>
        <v/>
      </c>
      <c r="G35" s="14">
        <f>SUM(G5:G34)</f>
        <v/>
      </c>
      <c r="H35" s="14">
        <f>SUM(H5:H34)</f>
        <v/>
      </c>
      <c r="I35" s="14">
        <f>SUM(I5:I34)</f>
        <v/>
      </c>
      <c r="J35" s="14">
        <f>SUM(J5:J34)</f>
        <v/>
      </c>
      <c r="K35" s="14">
        <f>SUM(K5:K34)</f>
        <v/>
      </c>
      <c r="L35" s="14">
        <f>SUM(L5:L34)</f>
        <v/>
      </c>
      <c r="M35" s="14">
        <f>SUM(M5:M34)</f>
        <v/>
      </c>
      <c r="N35" s="14">
        <f>SUM(N5:N34)</f>
        <v/>
      </c>
      <c r="O35" s="25">
        <f>SUM(O5:O34)</f>
        <v/>
      </c>
      <c r="P35" s="26" t="inlineStr"/>
    </row>
    <row r="37">
      <c r="A37" s="11" t="inlineStr">
        <is>
          <t>※ 出勤天數/排班工時/總診次 = 依「設定」分頁的班別代碼權重自動加總,改代碼權重這裡就會跟著變。</t>
        </is>
      </c>
    </row>
    <row r="38">
      <c r="A38" s="11" t="inlineStr">
        <is>
          <t>※ 加班時數(N 欄)請由打卡機或簽到紀錄填入,本表不會自己算 —— 預排班表不等於實際出勤。</t>
        </is>
      </c>
    </row>
    <row r="39">
      <c r="A39" s="11" t="inlineStr">
        <is>
          <t>※ 檢核欄顯示「⚠ 缺 N 天」代表該員當月還有 N 天沒排班,交表前要補完。</t>
        </is>
      </c>
    </row>
  </sheetData>
  <mergeCells count="2">
    <mergeCell ref="A35:C35"/>
    <mergeCell ref="A1:P1"/>
  </mergeCells>
  <conditionalFormatting sqref="P5:P34">
    <cfRule type="expression" priority="1" dxfId="4">
      <formula>AND($A5&lt;&gt;"",P5&lt;&gt;"OK")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2026-09-02T09:00:06Z</dcterms:created>
  <dcterms:modified xsi:type="dcterms:W3CDTF">2026-09-02T09:00:06Z</dcterms:modified>
</cp:coreProperties>
</file>