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班表" sheetId="3" state="visible" r:id="rId3"/>
    <sheet name="打卡匯入" sheetId="4" state="visible" r:id="rId4"/>
    <sheet name="出勤紀錄" sheetId="5" state="visible" r:id="rId5"/>
    <sheet name="月結統計" sheetId="6" state="visible" r:id="rId6"/>
  </sheets>
  <definedNames>
    <definedName name="_xlnm._FilterDatabase" localSheetId="3" hidden="1">'打卡匯入'!$A$2:$F$1002</definedName>
    <definedName name="_xlnm._FilterDatabase" localSheetId="4" hidden="1">'出勤紀錄'!$A$2:$R$932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9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808080"/>
      <sz val="9"/>
    </font>
    <font>
      <name val="微軟正黑體"/>
      <b val="1"/>
      <color rgb="00000000"/>
      <sz val="9"/>
    </font>
    <font>
      <name val="微軟正黑體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" fontId="2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8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169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4" customWidth="1" min="3" max="3"/>
  </cols>
  <sheetData>
    <row r="2">
      <c r="B2" s="1" t="inlineStr">
        <is>
          <t>牙醫體系 — 統一出勤表 使用說明</t>
        </is>
      </c>
    </row>
    <row r="4" ht="53" customHeight="1">
      <c r="B4" s="2" t="inlineStr">
        <is>
          <t>這份檔案是什麼</t>
        </is>
      </c>
      <c r="C4" s="3" t="inlineStr">
        <is>
          <t>全體系共用的月出勤表。統一的是「欄位」與「班別代碼」,不是逼各院所用同一種排班方式。
醫師用診次計、助理與醫護長用工時計,兩者共用同一套代碼,統計才能橫向比較。
檔案同時涵蓋「預排班表」與「實際出勤紀錄」兩件事——法規上這兩份缺一不可。</t>
        </is>
      </c>
    </row>
    <row r="5" ht="98" customHeight="1">
      <c r="B5" s="2" t="inlineStr">
        <is>
          <t>六個分頁怎麼分工</t>
        </is>
      </c>
      <c r="C5" s="3" t="inlineStr">
        <is>
          <t>① 說明 — 就是這一頁。
② 設定 — 班別代碼、院所清單、人員名冊。總部維護,各院所勿動。
③ 班表 — 下個月誰哪天上什麼班。各院所醫護長每月填。
④ 打卡匯入 — 把打卡機匯出的資料整段貼進來。只有四欄。
⑤ 出勤紀錄 — 逐人逐日的法定出勤紀錄,自動比對班表與打卡。
⑥ 月結統計 — 全自動,不需手填。</t>
        </is>
      </c>
    </row>
    <row r="6" ht="53" customHeight="1">
      <c r="B6" s="2" t="inlineStr">
        <is>
          <t>每月作業流程</t>
        </is>
      </c>
      <c r="C6" s="3" t="inlineStr">
        <is>
          <t>上月底:在「班表」排好下月班 → 檢查底下的人力檢核列 → 交總部。
當月底:把打卡機匯出檔貼進「打卡匯入」 → 到「出勤紀錄」看異常欄 → 逐筆處理 →
「月結統計」直接就是結果,送人資。</t>
        </is>
      </c>
    </row>
    <row r="7" ht="38" customHeight="1">
      <c r="B7" s="2" t="inlineStr">
        <is>
          <t>一間院所一個檔</t>
        </is>
      </c>
      <c r="C7" s="3" t="inlineStr">
        <is>
          <t>請從本範本另存新檔給每間院所各一份,檔名例:2026-10_中山院_出勤表.xlsx。
不建議把多間院所塞進同一個檔——「出勤紀錄」與「月結統計」的公式都綁定同一份「班表」。</t>
        </is>
      </c>
    </row>
    <row r="8" ht="68" customHeight="1">
      <c r="B8" s="2" t="inlineStr">
        <is>
          <t>打卡匯入要準備什麼</t>
        </is>
      </c>
      <c r="C8" s="3" t="inlineStr">
        <is>
          <t>只需四欄:員工編號、日期、上班時間、下班時間,一天一列。
多數打卡系統(如快打卡、Femas、NUEiP)都能匯出這種格式;欄位順序不同就先在 Excel 調整。
日期要是真正的日期格式、時間要是真正的時間格式,不能是文字,否則比對會失敗。
貼上後看最右邊的檢核欄:會抓出「查無員編」與「同一天重複打卡」兩種問題。</t>
        </is>
      </c>
    </row>
    <row r="9" ht="68" customHeight="1">
      <c r="B9" s="2" t="inlineStr">
        <is>
          <t>出勤紀錄怎麼看</t>
        </is>
      </c>
      <c r="C9" s="3" t="inlineStr">
        <is>
          <t>一人一天一列,共 930 列(30 人 × 31 天),沒用到的人員列會自動留白。
「出勤異常」欄自動判定五種狀態:正常、遲到、早退、未打卡、假日出勤。
紅底 = 需要處理的異常;橘底 = 當天有加班。用上方篩選鈕只看異常最快。
沒有打卡機的院所,可以直接把「實際上班/實際下班」兩欄的公式刪掉改成手填,其餘照算。</t>
        </is>
      </c>
    </row>
    <row r="10" ht="68" customHeight="1">
      <c r="B10" s="2" t="inlineStr">
        <is>
          <t>顏色代表什麼</t>
        </is>
      </c>
      <c r="C10" s="3" t="inlineStr">
        <is>
          <t>黃底 = 你要填的格子       灰底 = 公式自動算,別動
淺藍欄 = 週六/週日        灰色格 = 休假類代碼
綠色格 = 支援他院          粉紅格 = 該日還沒排班
紅色 = 人力不足或出勤異常  橘色 = 有加班</t>
        </is>
      </c>
    </row>
    <row r="11" ht="53" customHeight="1">
      <c r="B11" s="2" t="inlineStr">
        <is>
          <t>交表時程(建議)</t>
        </is>
      </c>
      <c r="C11" s="3" t="inlineStr">
        <is>
          <t>每月 25 日前,各院所醫護長把下月班表交回總部,總部彙整後鎖表。
每月 5 日前,完成上月的打卡匯入與異常處理,月結送人資。
臨時調班一律在「班表」上改並註記,不要只在 LINE 群講。</t>
        </is>
      </c>
    </row>
    <row r="12" ht="68" customHeight="1">
      <c r="B12" s="2" t="inlineStr">
        <is>
          <t>⚠ 法規提醒</t>
        </is>
      </c>
      <c r="C12" s="3" t="inlineStr">
        <is>
          <t>依勞動基準法第 30 條,雇主應置備勞工出勤紀錄,逐日記載出勤情形至分鐘為止,並保存 5 年。
「出勤紀錄」分頁就是為此設計的;請每月結束後另存一份唯讀封存檔,不要只留最新版覆蓋。
加班時數依實際工時扣除排班工時計算,未含加班費率換算——加班費請依勞基法第 24 條與
貴體系薪資辦法另行計算。受僱醫師是否適用勞基法依僱傭契約與主管機關認定,建議請人資確認。</t>
        </is>
      </c>
    </row>
    <row r="13" ht="113" customHeight="1">
      <c r="B13" s="2" t="inlineStr">
        <is>
          <t>四個內建假設(請確認後調整)</t>
        </is>
      </c>
      <c r="C13" s="3" t="inlineStr">
        <is>
          <t>一、休息時間依「設定」分頁各代碼的固定值扣除,不是依實際打卡判斷。
二、加班要超過門檻(預設 30 分)才認定,並無條件捨去到計算單位(預設 30 分)。
   否則每天晚幾分鐘打卡都會被算成加班,一個月會憑空多出好幾小時。
三、打卡與應到/應退時間差在寬限內(預設 5 分)不判定遲到早退。
   以上三項都在「設定」分頁的計算參數區,改一次全檔生效。
四、加班別自動判定為:週日=例假、週六=休息日、代碼「國」=國定假日、其餘=平日。
   若貴體系的例假日不是週日(輪班制常見),請改「出勤紀錄」Q 欄的公式。</t>
        </is>
      </c>
    </row>
    <row r="14" ht="53" customHeight="1">
      <c r="B14" s="2" t="inlineStr">
        <is>
          <t>範例資料</t>
        </is>
      </c>
      <c r="C14" s="3" t="inlineStr">
        <is>
          <t>「班表」「打卡匯入」與「設定」的院所、人員都是範例(中山院 2026 年 10 月,9 位同仁),
上線前請整批刪除換成實際名單。班別時間也請改成貴體系實際的診次時段。
範例刻意放了遲到、早退、未打卡、假日出勤、加班各一筆,方便你看異常判定怎麼跑。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6" customWidth="1" min="3" max="3"/>
    <col width="9" customWidth="1" min="4" max="4"/>
    <col width="9" customWidth="1" min="5" max="5"/>
    <col width="10" customWidth="1" min="6" max="6"/>
    <col width="10" customWidth="1" min="7" max="7"/>
    <col width="7" customWidth="1" min="8" max="8"/>
    <col width="8" customWidth="1" min="9" max="9"/>
    <col width="8" customWidth="1" min="10" max="10"/>
    <col width="2" customWidth="1" min="11" max="11"/>
    <col width="10" customWidth="1" min="12" max="12"/>
    <col width="2" customWidth="1" min="13" max="13"/>
    <col width="12" customWidth="1" min="14" max="14"/>
  </cols>
  <sheetData>
    <row r="1">
      <c r="B1" s="1" t="inlineStr">
        <is>
          <t>設定表(總部維護,各院所請勿修改)</t>
        </is>
      </c>
    </row>
    <row r="3">
      <c r="B3" s="4" t="inlineStr">
        <is>
          <t>一、班別代碼表</t>
        </is>
      </c>
    </row>
    <row r="4">
      <c r="B4" s="5" t="inlineStr">
        <is>
          <t>代碼</t>
        </is>
      </c>
      <c r="C4" s="5" t="inlineStr">
        <is>
          <t>名稱</t>
        </is>
      </c>
      <c r="D4" s="5" t="inlineStr">
        <is>
          <t>應到</t>
        </is>
      </c>
      <c r="E4" s="5" t="inlineStr">
        <is>
          <t>應退</t>
        </is>
      </c>
      <c r="F4" s="5" t="inlineStr">
        <is>
          <t>休息(分)</t>
        </is>
      </c>
      <c r="G4" s="5" t="inlineStr">
        <is>
          <t>排班工時</t>
        </is>
      </c>
      <c r="H4" s="5" t="inlineStr">
        <is>
          <t>診次</t>
        </is>
      </c>
      <c r="I4" s="5" t="inlineStr">
        <is>
          <t>計出勤</t>
        </is>
      </c>
      <c r="J4" s="5" t="inlineStr">
        <is>
          <t>類別</t>
        </is>
      </c>
      <c r="L4" s="6" t="inlineStr">
        <is>
          <t>星期對照</t>
        </is>
      </c>
      <c r="N4" s="6" t="inlineStr">
        <is>
          <t>職類</t>
        </is>
      </c>
    </row>
    <row r="5">
      <c r="B5" s="7" t="inlineStr">
        <is>
          <t>D1</t>
        </is>
      </c>
      <c r="C5" s="8" t="inlineStr">
        <is>
          <t>早診</t>
        </is>
      </c>
      <c r="D5" s="9" t="n">
        <v>0.375</v>
      </c>
      <c r="E5" s="9" t="n">
        <v>0.5</v>
      </c>
      <c r="F5" s="7" t="n">
        <v>0</v>
      </c>
      <c r="G5" s="10" t="n">
        <v>3</v>
      </c>
      <c r="H5" s="7" t="n">
        <v>1</v>
      </c>
      <c r="I5" s="7" t="n">
        <v>1</v>
      </c>
      <c r="J5" s="7" t="inlineStr">
        <is>
          <t>上班</t>
        </is>
      </c>
      <c r="L5" s="11" t="inlineStr">
        <is>
          <t>日</t>
        </is>
      </c>
      <c r="N5" s="11" t="inlineStr">
        <is>
          <t>醫師</t>
        </is>
      </c>
    </row>
    <row r="6">
      <c r="B6" s="7" t="inlineStr">
        <is>
          <t>D2</t>
        </is>
      </c>
      <c r="C6" s="8" t="inlineStr">
        <is>
          <t>午診</t>
        </is>
      </c>
      <c r="D6" s="9" t="n">
        <v>0.5833333333333334</v>
      </c>
      <c r="E6" s="9" t="n">
        <v>0.7083333333333334</v>
      </c>
      <c r="F6" s="7" t="n">
        <v>0</v>
      </c>
      <c r="G6" s="10" t="n">
        <v>3</v>
      </c>
      <c r="H6" s="7" t="n">
        <v>1</v>
      </c>
      <c r="I6" s="7" t="n">
        <v>1</v>
      </c>
      <c r="J6" s="7" t="inlineStr">
        <is>
          <t>上班</t>
        </is>
      </c>
      <c r="L6" s="11" t="inlineStr">
        <is>
          <t>一</t>
        </is>
      </c>
      <c r="N6" s="11" t="inlineStr">
        <is>
          <t>醫護長</t>
        </is>
      </c>
    </row>
    <row r="7">
      <c r="B7" s="7" t="inlineStr">
        <is>
          <t>D3</t>
        </is>
      </c>
      <c r="C7" s="8" t="inlineStr">
        <is>
          <t>晚診</t>
        </is>
      </c>
      <c r="D7" s="9" t="n">
        <v>0.75</v>
      </c>
      <c r="E7" s="9" t="n">
        <v>0.875</v>
      </c>
      <c r="F7" s="7" t="n">
        <v>0</v>
      </c>
      <c r="G7" s="10" t="n">
        <v>3</v>
      </c>
      <c r="H7" s="7" t="n">
        <v>1</v>
      </c>
      <c r="I7" s="7" t="n">
        <v>1</v>
      </c>
      <c r="J7" s="7" t="inlineStr">
        <is>
          <t>上班</t>
        </is>
      </c>
      <c r="L7" s="11" t="inlineStr">
        <is>
          <t>二</t>
        </is>
      </c>
      <c r="N7" s="11" t="inlineStr">
        <is>
          <t>助理</t>
        </is>
      </c>
    </row>
    <row r="8">
      <c r="B8" s="7" t="inlineStr">
        <is>
          <t>FD</t>
        </is>
      </c>
      <c r="C8" s="8" t="inlineStr">
        <is>
          <t>全日診</t>
        </is>
      </c>
      <c r="D8" s="9" t="n">
        <v>0.375</v>
      </c>
      <c r="E8" s="9" t="n">
        <v>0.7083333333333334</v>
      </c>
      <c r="F8" s="7" t="n">
        <v>120</v>
      </c>
      <c r="G8" s="10" t="n">
        <v>6</v>
      </c>
      <c r="H8" s="7" t="n">
        <v>2</v>
      </c>
      <c r="I8" s="7" t="n">
        <v>1</v>
      </c>
      <c r="J8" s="7" t="inlineStr">
        <is>
          <t>上班</t>
        </is>
      </c>
      <c r="L8" s="11" t="inlineStr">
        <is>
          <t>三</t>
        </is>
      </c>
    </row>
    <row r="9">
      <c r="B9" s="7" t="inlineStr">
        <is>
          <t>A</t>
        </is>
      </c>
      <c r="C9" s="8" t="inlineStr">
        <is>
          <t>早班</t>
        </is>
      </c>
      <c r="D9" s="9" t="n">
        <v>0.375</v>
      </c>
      <c r="E9" s="9" t="n">
        <v>0.75</v>
      </c>
      <c r="F9" s="7" t="n">
        <v>60</v>
      </c>
      <c r="G9" s="10" t="n">
        <v>8</v>
      </c>
      <c r="H9" s="7" t="n">
        <v>0</v>
      </c>
      <c r="I9" s="7" t="n">
        <v>1</v>
      </c>
      <c r="J9" s="7" t="inlineStr">
        <is>
          <t>上班</t>
        </is>
      </c>
      <c r="L9" s="11" t="inlineStr">
        <is>
          <t>四</t>
        </is>
      </c>
    </row>
    <row r="10">
      <c r="B10" s="7" t="inlineStr">
        <is>
          <t>P</t>
        </is>
      </c>
      <c r="C10" s="8" t="inlineStr">
        <is>
          <t>晚班</t>
        </is>
      </c>
      <c r="D10" s="9" t="n">
        <v>0.5208333333333334</v>
      </c>
      <c r="E10" s="9" t="n">
        <v>0.8958333333333334</v>
      </c>
      <c r="F10" s="7" t="n">
        <v>60</v>
      </c>
      <c r="G10" s="10" t="n">
        <v>8</v>
      </c>
      <c r="H10" s="7" t="n">
        <v>0</v>
      </c>
      <c r="I10" s="7" t="n">
        <v>1</v>
      </c>
      <c r="J10" s="7" t="inlineStr">
        <is>
          <t>上班</t>
        </is>
      </c>
      <c r="L10" s="11" t="inlineStr">
        <is>
          <t>五</t>
        </is>
      </c>
    </row>
    <row r="11">
      <c r="B11" s="7" t="inlineStr">
        <is>
          <t>ADM</t>
        </is>
      </c>
      <c r="C11" s="8" t="inlineStr">
        <is>
          <t>行政班</t>
        </is>
      </c>
      <c r="D11" s="9" t="n">
        <v>0.375</v>
      </c>
      <c r="E11" s="9" t="n">
        <v>0.75</v>
      </c>
      <c r="F11" s="7" t="n">
        <v>60</v>
      </c>
      <c r="G11" s="10" t="n">
        <v>8</v>
      </c>
      <c r="H11" s="7" t="n">
        <v>0</v>
      </c>
      <c r="I11" s="7" t="n">
        <v>1</v>
      </c>
      <c r="J11" s="7" t="inlineStr">
        <is>
          <t>上班</t>
        </is>
      </c>
      <c r="L11" s="11" t="inlineStr">
        <is>
          <t>六</t>
        </is>
      </c>
    </row>
    <row r="12">
      <c r="B12" s="7" t="inlineStr">
        <is>
          <t>支</t>
        </is>
      </c>
      <c r="C12" s="8" t="inlineStr">
        <is>
          <t>支援他院</t>
        </is>
      </c>
      <c r="D12" s="9" t="n"/>
      <c r="E12" s="9" t="n"/>
      <c r="F12" s="7" t="n">
        <v>60</v>
      </c>
      <c r="G12" s="10" t="n">
        <v>8</v>
      </c>
      <c r="H12" s="7" t="n">
        <v>2</v>
      </c>
      <c r="I12" s="7" t="n">
        <v>1</v>
      </c>
      <c r="J12" s="7" t="inlineStr">
        <is>
          <t>上班</t>
        </is>
      </c>
    </row>
    <row r="13">
      <c r="B13" s="7" t="inlineStr">
        <is>
          <t>訓</t>
        </is>
      </c>
      <c r="C13" s="8" t="inlineStr">
        <is>
          <t>教育訓練/學會</t>
        </is>
      </c>
      <c r="D13" s="9" t="n"/>
      <c r="E13" s="9" t="n"/>
      <c r="F13" s="7" t="n">
        <v>60</v>
      </c>
      <c r="G13" s="10" t="n">
        <v>8</v>
      </c>
      <c r="H13" s="7" t="n">
        <v>0</v>
      </c>
      <c r="I13" s="7" t="n">
        <v>1</v>
      </c>
      <c r="J13" s="7" t="inlineStr">
        <is>
          <t>上班</t>
        </is>
      </c>
    </row>
    <row r="14">
      <c r="B14" s="7" t="inlineStr">
        <is>
          <t>OFF</t>
        </is>
      </c>
      <c r="C14" s="8" t="inlineStr">
        <is>
          <t>排休</t>
        </is>
      </c>
      <c r="D14" s="9" t="n"/>
      <c r="E14" s="9" t="n"/>
      <c r="F14" s="7" t="n">
        <v>0</v>
      </c>
      <c r="G14" s="10" t="n">
        <v>0</v>
      </c>
      <c r="H14" s="7" t="n">
        <v>0</v>
      </c>
      <c r="I14" s="7" t="n">
        <v>0</v>
      </c>
      <c r="J14" s="7" t="inlineStr">
        <is>
          <t>休假</t>
        </is>
      </c>
    </row>
    <row r="15">
      <c r="B15" s="7" t="inlineStr">
        <is>
          <t>特</t>
        </is>
      </c>
      <c r="C15" s="8" t="inlineStr">
        <is>
          <t>特休</t>
        </is>
      </c>
      <c r="D15" s="9" t="n"/>
      <c r="E15" s="9" t="n"/>
      <c r="F15" s="7" t="n">
        <v>0</v>
      </c>
      <c r="G15" s="10" t="n">
        <v>0</v>
      </c>
      <c r="H15" s="7" t="n">
        <v>0</v>
      </c>
      <c r="I15" s="7" t="n">
        <v>0</v>
      </c>
      <c r="J15" s="7" t="inlineStr">
        <is>
          <t>休假</t>
        </is>
      </c>
    </row>
    <row r="16">
      <c r="B16" s="7" t="inlineStr">
        <is>
          <t>病</t>
        </is>
      </c>
      <c r="C16" s="8" t="inlineStr">
        <is>
          <t>病假</t>
        </is>
      </c>
      <c r="D16" s="9" t="n"/>
      <c r="E16" s="9" t="n"/>
      <c r="F16" s="7" t="n">
        <v>0</v>
      </c>
      <c r="G16" s="10" t="n">
        <v>0</v>
      </c>
      <c r="H16" s="7" t="n">
        <v>0</v>
      </c>
      <c r="I16" s="7" t="n">
        <v>0</v>
      </c>
      <c r="J16" s="7" t="inlineStr">
        <is>
          <t>休假</t>
        </is>
      </c>
    </row>
    <row r="17">
      <c r="B17" s="7" t="inlineStr">
        <is>
          <t>事</t>
        </is>
      </c>
      <c r="C17" s="8" t="inlineStr">
        <is>
          <t>事假</t>
        </is>
      </c>
      <c r="D17" s="9" t="n"/>
      <c r="E17" s="9" t="n"/>
      <c r="F17" s="7" t="n">
        <v>0</v>
      </c>
      <c r="G17" s="10" t="n">
        <v>0</v>
      </c>
      <c r="H17" s="7" t="n">
        <v>0</v>
      </c>
      <c r="I17" s="7" t="n">
        <v>0</v>
      </c>
      <c r="J17" s="7" t="inlineStr">
        <is>
          <t>休假</t>
        </is>
      </c>
    </row>
    <row r="18">
      <c r="B18" s="7" t="inlineStr">
        <is>
          <t>公</t>
        </is>
      </c>
      <c r="C18" s="8" t="inlineStr">
        <is>
          <t>公假</t>
        </is>
      </c>
      <c r="D18" s="9" t="n"/>
      <c r="E18" s="9" t="n"/>
      <c r="F18" s="7" t="n">
        <v>0</v>
      </c>
      <c r="G18" s="10" t="n">
        <v>0</v>
      </c>
      <c r="H18" s="7" t="n">
        <v>0</v>
      </c>
      <c r="I18" s="7" t="n">
        <v>0</v>
      </c>
      <c r="J18" s="7" t="inlineStr">
        <is>
          <t>休假</t>
        </is>
      </c>
    </row>
    <row r="19">
      <c r="B19" s="7" t="inlineStr">
        <is>
          <t>國</t>
        </is>
      </c>
      <c r="C19" s="8" t="inlineStr">
        <is>
          <t>國定假日</t>
        </is>
      </c>
      <c r="D19" s="9" t="n"/>
      <c r="E19" s="9" t="n"/>
      <c r="F19" s="7" t="n">
        <v>0</v>
      </c>
      <c r="G19" s="10" t="n">
        <v>0</v>
      </c>
      <c r="H19" s="7" t="n">
        <v>0</v>
      </c>
      <c r="I19" s="7" t="n">
        <v>0</v>
      </c>
      <c r="J19" s="7" t="inlineStr">
        <is>
          <t>休假</t>
        </is>
      </c>
    </row>
    <row r="20">
      <c r="B20" s="7" t="inlineStr">
        <is>
          <t>休</t>
        </is>
      </c>
      <c r="C20" s="8" t="inlineStr">
        <is>
          <t>休診</t>
        </is>
      </c>
      <c r="D20" s="9" t="n"/>
      <c r="E20" s="9" t="n"/>
      <c r="F20" s="7" t="n">
        <v>0</v>
      </c>
      <c r="G20" s="10" t="n">
        <v>0</v>
      </c>
      <c r="H20" s="7" t="n">
        <v>0</v>
      </c>
      <c r="I20" s="7" t="n">
        <v>0</v>
      </c>
      <c r="J20" s="7" t="inlineStr">
        <is>
          <t>休假</t>
        </is>
      </c>
    </row>
    <row r="21">
      <c r="B21" s="12" t="inlineStr">
        <is>
          <t>※ 有固定時段的代碼必須滿足「應退 − 應到 − 休息 = 排班工時」,否則出勤紀錄會算出假加班。</t>
        </is>
      </c>
    </row>
    <row r="22">
      <c r="B22" s="12" t="inlineStr">
        <is>
          <t>※ 支援他院與教育訓練沒有固定時段,遲到早退不判定,工時依實際打卡計。</t>
        </is>
      </c>
    </row>
    <row r="23">
      <c r="B23" s="12" t="inlineStr">
        <is>
          <t>※ 特休與公假為有薪假,以天數計,故排班工時記 0,薪資另依請假天數計算。</t>
        </is>
      </c>
    </row>
    <row r="24">
      <c r="B24" s="4" t="inlineStr">
        <is>
          <t>二、計算參數(全體系一致,改這裡會影響所有統計)</t>
        </is>
      </c>
    </row>
    <row r="25">
      <c r="B25" s="5" t="inlineStr">
        <is>
          <t>參數</t>
        </is>
      </c>
      <c r="C25" s="5" t="inlineStr">
        <is>
          <t>值</t>
        </is>
      </c>
      <c r="D25" s="5" t="inlineStr">
        <is>
          <t>說明</t>
        </is>
      </c>
    </row>
    <row r="26">
      <c r="B26" s="13" t="inlineStr">
        <is>
          <t>加班認定門檻(分)</t>
        </is>
      </c>
      <c r="C26" s="14" t="n">
        <v>30</v>
      </c>
      <c r="D26" s="15" t="inlineStr">
        <is>
          <t>超過排班工時多少分鐘才認定為加班。低於門檻視為正常收尾,不計加班。</t>
        </is>
      </c>
      <c r="E26" s="16" t="n"/>
      <c r="F26" s="16" t="n"/>
      <c r="G26" s="16" t="n"/>
      <c r="H26" s="16" t="n"/>
      <c r="I26" s="16" t="n"/>
      <c r="J26" s="17" t="n"/>
    </row>
    <row r="27">
      <c r="B27" s="13" t="inlineStr">
        <is>
          <t>加班計算單位(分)</t>
        </is>
      </c>
      <c r="C27" s="14" t="n">
        <v>30</v>
      </c>
      <c r="D27" s="15" t="inlineStr">
        <is>
          <t>認定為加班後,無條件捨去到此單位。填 1 表示逐分鐘計。</t>
        </is>
      </c>
      <c r="E27" s="16" t="n"/>
      <c r="F27" s="16" t="n"/>
      <c r="G27" s="16" t="n"/>
      <c r="H27" s="16" t="n"/>
      <c r="I27" s="16" t="n"/>
      <c r="J27" s="17" t="n"/>
    </row>
    <row r="28">
      <c r="B28" s="13" t="inlineStr">
        <is>
          <t>遲到早退寬限(分)</t>
        </is>
      </c>
      <c r="C28" s="14" t="n">
        <v>5</v>
      </c>
      <c r="D28" s="15" t="inlineStr">
        <is>
          <t>打卡與應到/應退時間差在此範圍內不判定為遲到或早退。</t>
        </is>
      </c>
      <c r="E28" s="16" t="n"/>
      <c r="F28" s="16" t="n"/>
      <c r="G28" s="16" t="n"/>
      <c r="H28" s="16" t="n"/>
      <c r="I28" s="16" t="n"/>
      <c r="J28" s="17" t="n"/>
    </row>
    <row r="29">
      <c r="B29" s="12" t="inlineStr">
        <is>
          <t>※ 這三個參數是勞資雙方的認定慣例,不是法律規定的數字。上線前請與人資或勞務顧問確認,並讓同仁知道規則。</t>
        </is>
      </c>
    </row>
    <row r="30">
      <c r="B30" s="4" t="inlineStr">
        <is>
          <t>三、院所清單</t>
        </is>
      </c>
    </row>
    <row r="31">
      <c r="B31" s="5" t="inlineStr">
        <is>
          <t>院所代碼</t>
        </is>
      </c>
      <c r="C31" s="5" t="inlineStr">
        <is>
          <t>院所名稱</t>
        </is>
      </c>
      <c r="D31" s="5" t="inlineStr">
        <is>
          <t>負責人</t>
        </is>
      </c>
      <c r="E31" s="5" t="inlineStr">
        <is>
          <t>電話</t>
        </is>
      </c>
      <c r="F31" s="5" t="inlineStr">
        <is>
          <t>備註</t>
        </is>
      </c>
    </row>
    <row r="32">
      <c r="B32" s="7" t="inlineStr">
        <is>
          <t>Z01</t>
        </is>
      </c>
      <c r="C32" s="7" t="inlineStr">
        <is>
          <t>中山院</t>
        </is>
      </c>
      <c r="D32" s="7" t="inlineStr">
        <is>
          <t>陳彥廷</t>
        </is>
      </c>
      <c r="E32" s="7" t="inlineStr">
        <is>
          <t>02-2500-0000</t>
        </is>
      </c>
      <c r="F32" s="7" t="inlineStr">
        <is>
          <t>總院</t>
        </is>
      </c>
    </row>
    <row r="33">
      <c r="B33" s="7" t="inlineStr">
        <is>
          <t>Z02</t>
        </is>
      </c>
      <c r="C33" s="7" t="inlineStr">
        <is>
          <t>板橋院</t>
        </is>
      </c>
      <c r="D33" s="7" t="inlineStr">
        <is>
          <t>林佳蓉</t>
        </is>
      </c>
      <c r="E33" s="7" t="inlineStr">
        <is>
          <t>02-2960-0000</t>
        </is>
      </c>
      <c r="F33" s="7" t="inlineStr"/>
    </row>
    <row r="34">
      <c r="B34" s="7" t="inlineStr">
        <is>
          <t>Z03</t>
        </is>
      </c>
      <c r="C34" s="7" t="inlineStr">
        <is>
          <t>竹北院</t>
        </is>
      </c>
      <c r="D34" s="7" t="inlineStr">
        <is>
          <t>黃冠宇</t>
        </is>
      </c>
      <c r="E34" s="7" t="inlineStr">
        <is>
          <t>03-558-0000</t>
        </is>
      </c>
      <c r="F34" s="7" t="inlineStr"/>
    </row>
    <row r="35">
      <c r="B35" s="7" t="inlineStr">
        <is>
          <t>Z04</t>
        </is>
      </c>
      <c r="C35" s="7" t="inlineStr">
        <is>
          <t>台中院</t>
        </is>
      </c>
      <c r="D35" s="7" t="inlineStr">
        <is>
          <t>(待補)</t>
        </is>
      </c>
      <c r="E35" s="7" t="inlineStr">
        <is>
          <t>04-2200-0000</t>
        </is>
      </c>
      <c r="F35" s="7" t="inlineStr">
        <is>
          <t>2026Q4 開幕</t>
        </is>
      </c>
    </row>
    <row r="39">
      <c r="B39" s="4" t="inlineStr">
        <is>
          <t>四、人員名冊</t>
        </is>
      </c>
    </row>
    <row r="40">
      <c r="B40" s="5" t="inlineStr">
        <is>
          <t>員工編號</t>
        </is>
      </c>
      <c r="C40" s="5" t="inlineStr">
        <is>
          <t>姓名</t>
        </is>
      </c>
      <c r="D40" s="5" t="inlineStr">
        <is>
          <t>職類</t>
        </is>
      </c>
      <c r="E40" s="5" t="inlineStr">
        <is>
          <t>所屬院所</t>
        </is>
      </c>
      <c r="F40" s="5" t="inlineStr">
        <is>
          <t>到職日</t>
        </is>
      </c>
      <c r="G40" s="5" t="inlineStr">
        <is>
          <t>備註</t>
        </is>
      </c>
    </row>
    <row r="41">
      <c r="B41" s="18" t="inlineStr">
        <is>
          <t>D001</t>
        </is>
      </c>
      <c r="C41" s="18" t="inlineStr">
        <is>
          <t>陳彥廷</t>
        </is>
      </c>
      <c r="D41" s="18" t="inlineStr">
        <is>
          <t>醫師</t>
        </is>
      </c>
      <c r="E41" s="18" t="inlineStr">
        <is>
          <t>中山院</t>
        </is>
      </c>
      <c r="F41" s="18" t="inlineStr">
        <is>
          <t>2019-03-01</t>
        </is>
      </c>
      <c r="G41" s="19" t="inlineStr">
        <is>
          <t>院長</t>
        </is>
      </c>
    </row>
    <row r="42">
      <c r="B42" s="18" t="inlineStr">
        <is>
          <t>D002</t>
        </is>
      </c>
      <c r="C42" s="18" t="inlineStr">
        <is>
          <t>林佳蓉</t>
        </is>
      </c>
      <c r="D42" s="18" t="inlineStr">
        <is>
          <t>醫師</t>
        </is>
      </c>
      <c r="E42" s="18" t="inlineStr">
        <is>
          <t>中山院</t>
        </is>
      </c>
      <c r="F42" s="18" t="inlineStr">
        <is>
          <t>2021-07-15</t>
        </is>
      </c>
      <c r="G42" s="19" t="inlineStr"/>
    </row>
    <row r="43">
      <c r="B43" s="18" t="inlineStr">
        <is>
          <t>D003</t>
        </is>
      </c>
      <c r="C43" s="18" t="inlineStr">
        <is>
          <t>黃冠宇</t>
        </is>
      </c>
      <c r="D43" s="18" t="inlineStr">
        <is>
          <t>醫師</t>
        </is>
      </c>
      <c r="E43" s="18" t="inlineStr">
        <is>
          <t>中山院</t>
        </is>
      </c>
      <c r="F43" s="18" t="inlineStr">
        <is>
          <t>2023-02-01</t>
        </is>
      </c>
      <c r="G43" s="19" t="inlineStr">
        <is>
          <t>週三支援板橋院</t>
        </is>
      </c>
    </row>
    <row r="44">
      <c r="B44" s="18" t="inlineStr">
        <is>
          <t>N001</t>
        </is>
      </c>
      <c r="C44" s="18" t="inlineStr">
        <is>
          <t>吳淑芬</t>
        </is>
      </c>
      <c r="D44" s="18" t="inlineStr">
        <is>
          <t>醫護長</t>
        </is>
      </c>
      <c r="E44" s="18" t="inlineStr">
        <is>
          <t>中山院</t>
        </is>
      </c>
      <c r="F44" s="18" t="inlineStr">
        <is>
          <t>2018-05-06</t>
        </is>
      </c>
      <c r="G44" s="19" t="inlineStr"/>
    </row>
    <row r="45">
      <c r="B45" s="18" t="inlineStr">
        <is>
          <t>A001</t>
        </is>
      </c>
      <c r="C45" s="18" t="inlineStr">
        <is>
          <t>張怡君</t>
        </is>
      </c>
      <c r="D45" s="18" t="inlineStr">
        <is>
          <t>助理</t>
        </is>
      </c>
      <c r="E45" s="18" t="inlineStr">
        <is>
          <t>中山院</t>
        </is>
      </c>
      <c r="F45" s="18" t="inlineStr">
        <is>
          <t>2022-09-01</t>
        </is>
      </c>
      <c r="G45" s="19" t="inlineStr"/>
    </row>
    <row r="46">
      <c r="B46" s="18" t="inlineStr">
        <is>
          <t>A002</t>
        </is>
      </c>
      <c r="C46" s="18" t="inlineStr">
        <is>
          <t>李宗翰</t>
        </is>
      </c>
      <c r="D46" s="18" t="inlineStr">
        <is>
          <t>助理</t>
        </is>
      </c>
      <c r="E46" s="18" t="inlineStr">
        <is>
          <t>中山院</t>
        </is>
      </c>
      <c r="F46" s="18" t="inlineStr">
        <is>
          <t>2023-04-10</t>
        </is>
      </c>
      <c r="G46" s="19" t="inlineStr"/>
    </row>
    <row r="47">
      <c r="B47" s="18" t="inlineStr">
        <is>
          <t>A003</t>
        </is>
      </c>
      <c r="C47" s="18" t="inlineStr">
        <is>
          <t>王思婷</t>
        </is>
      </c>
      <c r="D47" s="18" t="inlineStr">
        <is>
          <t>助理</t>
        </is>
      </c>
      <c r="E47" s="18" t="inlineStr">
        <is>
          <t>中山院</t>
        </is>
      </c>
      <c r="F47" s="18" t="inlineStr">
        <is>
          <t>2024-01-08</t>
        </is>
      </c>
      <c r="G47" s="19" t="inlineStr"/>
    </row>
    <row r="48">
      <c r="B48" s="18" t="inlineStr">
        <is>
          <t>A004</t>
        </is>
      </c>
      <c r="C48" s="18" t="inlineStr">
        <is>
          <t>蔡孟蓉</t>
        </is>
      </c>
      <c r="D48" s="18" t="inlineStr">
        <is>
          <t>助理</t>
        </is>
      </c>
      <c r="E48" s="18" t="inlineStr">
        <is>
          <t>中山院</t>
        </is>
      </c>
      <c r="F48" s="18" t="inlineStr">
        <is>
          <t>2024-11-01</t>
        </is>
      </c>
      <c r="G48" s="19" t="inlineStr"/>
    </row>
    <row r="49">
      <c r="B49" s="18" t="inlineStr">
        <is>
          <t>A005</t>
        </is>
      </c>
      <c r="C49" s="18" t="inlineStr">
        <is>
          <t>許家豪</t>
        </is>
      </c>
      <c r="D49" s="18" t="inlineStr">
        <is>
          <t>助理</t>
        </is>
      </c>
      <c r="E49" s="18" t="inlineStr">
        <is>
          <t>中山院</t>
        </is>
      </c>
      <c r="F49" s="18" t="inlineStr">
        <is>
          <t>2025-06-16</t>
        </is>
      </c>
      <c r="G49" s="19" t="inlineStr">
        <is>
          <t>兼職</t>
        </is>
      </c>
    </row>
    <row r="50">
      <c r="B50" s="7" t="inlineStr"/>
      <c r="C50" s="7" t="inlineStr"/>
      <c r="D50" s="7" t="inlineStr"/>
      <c r="E50" s="7" t="inlineStr"/>
      <c r="F50" s="7" t="inlineStr"/>
      <c r="G50" s="8" t="inlineStr"/>
    </row>
    <row r="51">
      <c r="B51" s="7" t="inlineStr"/>
      <c r="C51" s="7" t="inlineStr"/>
      <c r="D51" s="7" t="inlineStr"/>
      <c r="E51" s="7" t="inlineStr"/>
      <c r="F51" s="7" t="inlineStr"/>
      <c r="G51" s="8" t="inlineStr"/>
    </row>
    <row r="52">
      <c r="B52" s="7" t="inlineStr"/>
      <c r="C52" s="7" t="inlineStr"/>
      <c r="D52" s="7" t="inlineStr"/>
      <c r="E52" s="7" t="inlineStr"/>
      <c r="F52" s="7" t="inlineStr"/>
      <c r="G52" s="8" t="inlineStr"/>
    </row>
    <row r="53">
      <c r="B53" s="7" t="inlineStr"/>
      <c r="C53" s="7" t="inlineStr"/>
      <c r="D53" s="7" t="inlineStr"/>
      <c r="E53" s="7" t="inlineStr"/>
      <c r="F53" s="7" t="inlineStr"/>
      <c r="G53" s="8" t="inlineStr"/>
    </row>
    <row r="54">
      <c r="B54" s="7" t="inlineStr"/>
      <c r="C54" s="7" t="inlineStr"/>
      <c r="D54" s="7" t="inlineStr"/>
      <c r="E54" s="7" t="inlineStr"/>
      <c r="F54" s="7" t="inlineStr"/>
      <c r="G54" s="8" t="inlineStr"/>
    </row>
    <row r="55">
      <c r="B55" s="7" t="inlineStr"/>
      <c r="C55" s="7" t="inlineStr"/>
      <c r="D55" s="7" t="inlineStr"/>
      <c r="E55" s="7" t="inlineStr"/>
      <c r="F55" s="7" t="inlineStr"/>
      <c r="G55" s="8" t="inlineStr"/>
    </row>
    <row r="56">
      <c r="B56" s="7" t="inlineStr"/>
      <c r="C56" s="7" t="inlineStr"/>
      <c r="D56" s="7" t="inlineStr"/>
      <c r="E56" s="7" t="inlineStr"/>
      <c r="F56" s="7" t="inlineStr"/>
      <c r="G56" s="8" t="inlineStr"/>
    </row>
    <row r="57">
      <c r="B57" s="7" t="inlineStr"/>
      <c r="C57" s="7" t="inlineStr"/>
      <c r="D57" s="7" t="inlineStr"/>
      <c r="E57" s="7" t="inlineStr"/>
      <c r="F57" s="7" t="inlineStr"/>
      <c r="G57" s="8" t="inlineStr"/>
    </row>
    <row r="58">
      <c r="B58" s="7" t="inlineStr"/>
      <c r="C58" s="7" t="inlineStr"/>
      <c r="D58" s="7" t="inlineStr"/>
      <c r="E58" s="7" t="inlineStr"/>
      <c r="F58" s="7" t="inlineStr"/>
      <c r="G58" s="8" t="inlineStr"/>
    </row>
    <row r="59">
      <c r="B59" s="7" t="inlineStr"/>
      <c r="C59" s="7" t="inlineStr"/>
      <c r="D59" s="7" t="inlineStr"/>
      <c r="E59" s="7" t="inlineStr"/>
      <c r="F59" s="7" t="inlineStr"/>
      <c r="G59" s="8" t="inlineStr"/>
    </row>
    <row r="60">
      <c r="B60" s="7" t="inlineStr"/>
      <c r="C60" s="7" t="inlineStr"/>
      <c r="D60" s="7" t="inlineStr"/>
      <c r="E60" s="7" t="inlineStr"/>
      <c r="F60" s="7" t="inlineStr"/>
      <c r="G60" s="8" t="inlineStr"/>
    </row>
    <row r="61">
      <c r="B61" s="7" t="inlineStr"/>
      <c r="C61" s="7" t="inlineStr"/>
      <c r="D61" s="7" t="inlineStr"/>
      <c r="E61" s="7" t="inlineStr"/>
      <c r="F61" s="7" t="inlineStr"/>
      <c r="G61" s="8" t="inlineStr"/>
    </row>
    <row r="62">
      <c r="B62" s="7" t="inlineStr"/>
      <c r="C62" s="7" t="inlineStr"/>
      <c r="D62" s="7" t="inlineStr"/>
      <c r="E62" s="7" t="inlineStr"/>
      <c r="F62" s="7" t="inlineStr"/>
      <c r="G62" s="8" t="inlineStr"/>
    </row>
    <row r="63">
      <c r="B63" s="7" t="inlineStr"/>
      <c r="C63" s="7" t="inlineStr"/>
      <c r="D63" s="7" t="inlineStr"/>
      <c r="E63" s="7" t="inlineStr"/>
      <c r="F63" s="7" t="inlineStr"/>
      <c r="G63" s="8" t="inlineStr"/>
    </row>
    <row r="64">
      <c r="B64" s="7" t="inlineStr"/>
      <c r="C64" s="7" t="inlineStr"/>
      <c r="D64" s="7" t="inlineStr"/>
      <c r="E64" s="7" t="inlineStr"/>
      <c r="F64" s="7" t="inlineStr"/>
      <c r="G64" s="8" t="inlineStr"/>
    </row>
    <row r="65">
      <c r="B65" s="7" t="inlineStr"/>
      <c r="C65" s="7" t="inlineStr"/>
      <c r="D65" s="7" t="inlineStr"/>
      <c r="E65" s="7" t="inlineStr"/>
      <c r="F65" s="7" t="inlineStr"/>
      <c r="G65" s="8" t="inlineStr"/>
    </row>
    <row r="66">
      <c r="B66" s="7" t="inlineStr"/>
      <c r="C66" s="7" t="inlineStr"/>
      <c r="D66" s="7" t="inlineStr"/>
      <c r="E66" s="7" t="inlineStr"/>
      <c r="F66" s="7" t="inlineStr"/>
      <c r="G66" s="8" t="inlineStr"/>
    </row>
    <row r="67">
      <c r="B67" s="7" t="inlineStr"/>
      <c r="C67" s="7" t="inlineStr"/>
      <c r="D67" s="7" t="inlineStr"/>
      <c r="E67" s="7" t="inlineStr"/>
      <c r="F67" s="7" t="inlineStr"/>
      <c r="G67" s="8" t="inlineStr"/>
    </row>
    <row r="68">
      <c r="B68" s="7" t="inlineStr"/>
      <c r="C68" s="7" t="inlineStr"/>
      <c r="D68" s="7" t="inlineStr"/>
      <c r="E68" s="7" t="inlineStr"/>
      <c r="F68" s="7" t="inlineStr"/>
      <c r="G68" s="8" t="inlineStr"/>
    </row>
    <row r="69">
      <c r="B69" s="7" t="inlineStr"/>
      <c r="C69" s="7" t="inlineStr"/>
      <c r="D69" s="7" t="inlineStr"/>
      <c r="E69" s="7" t="inlineStr"/>
      <c r="F69" s="7" t="inlineStr"/>
      <c r="G69" s="8" t="inlineStr"/>
    </row>
    <row r="70">
      <c r="B70" s="7" t="inlineStr"/>
      <c r="C70" s="7" t="inlineStr"/>
      <c r="D70" s="7" t="inlineStr"/>
      <c r="E70" s="7" t="inlineStr"/>
      <c r="F70" s="7" t="inlineStr"/>
      <c r="G70" s="8" t="inlineStr"/>
    </row>
  </sheetData>
  <mergeCells count="3">
    <mergeCell ref="D26:J26"/>
    <mergeCell ref="D27:J27"/>
    <mergeCell ref="D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</cols>
  <sheetData>
    <row r="1">
      <c r="A1" s="1" t="inlineStr">
        <is>
          <t>牙醫體系 — 月班表(預排)</t>
        </is>
      </c>
    </row>
    <row r="2">
      <c r="A2" s="20" t="inlineStr">
        <is>
          <t>院所</t>
        </is>
      </c>
      <c r="B2" s="21" t="inlineStr">
        <is>
          <t>中山院</t>
        </is>
      </c>
      <c r="D2" s="20" t="inlineStr">
        <is>
          <t>年</t>
        </is>
      </c>
      <c r="E2" s="14" t="n">
        <v>2026</v>
      </c>
      <c r="F2" s="20" t="inlineStr">
        <is>
          <t>月</t>
        </is>
      </c>
      <c r="G2" s="14" t="n">
        <v>10</v>
      </c>
      <c r="I2" s="12" t="inlineStr">
        <is>
          <t>← 黃底 = 手動填。日期與星期會自動更新,整份檔案的年月都以這裡為準。</t>
        </is>
      </c>
    </row>
    <row r="4">
      <c r="A4" s="5" t="inlineStr">
        <is>
          <t>員工編號</t>
        </is>
      </c>
      <c r="B4" s="5" t="inlineStr">
        <is>
          <t>姓名</t>
        </is>
      </c>
      <c r="C4" s="5" t="inlineStr">
        <is>
          <t>職類</t>
        </is>
      </c>
      <c r="D4" s="5">
        <f>IF(1&lt;=DAY(EOMONTH(DATE(班表!$E$2,班表!$G$2,1),0)),1,"")</f>
        <v/>
      </c>
      <c r="E4" s="5">
        <f>IF(2&lt;=DAY(EOMONTH(DATE(班表!$E$2,班表!$G$2,1),0)),2,"")</f>
        <v/>
      </c>
      <c r="F4" s="5">
        <f>IF(3&lt;=DAY(EOMONTH(DATE(班表!$E$2,班表!$G$2,1),0)),3,"")</f>
        <v/>
      </c>
      <c r="G4" s="5">
        <f>IF(4&lt;=DAY(EOMONTH(DATE(班表!$E$2,班表!$G$2,1),0)),4,"")</f>
        <v/>
      </c>
      <c r="H4" s="5">
        <f>IF(5&lt;=DAY(EOMONTH(DATE(班表!$E$2,班表!$G$2,1),0)),5,"")</f>
        <v/>
      </c>
      <c r="I4" s="5">
        <f>IF(6&lt;=DAY(EOMONTH(DATE(班表!$E$2,班表!$G$2,1),0)),6,"")</f>
        <v/>
      </c>
      <c r="J4" s="5">
        <f>IF(7&lt;=DAY(EOMONTH(DATE(班表!$E$2,班表!$G$2,1),0)),7,"")</f>
        <v/>
      </c>
      <c r="K4" s="5">
        <f>IF(8&lt;=DAY(EOMONTH(DATE(班表!$E$2,班表!$G$2,1),0)),8,"")</f>
        <v/>
      </c>
      <c r="L4" s="5">
        <f>IF(9&lt;=DAY(EOMONTH(DATE(班表!$E$2,班表!$G$2,1),0)),9,"")</f>
        <v/>
      </c>
      <c r="M4" s="5">
        <f>IF(10&lt;=DAY(EOMONTH(DATE(班表!$E$2,班表!$G$2,1),0)),10,"")</f>
        <v/>
      </c>
      <c r="N4" s="5">
        <f>IF(11&lt;=DAY(EOMONTH(DATE(班表!$E$2,班表!$G$2,1),0)),11,"")</f>
        <v/>
      </c>
      <c r="O4" s="5">
        <f>IF(12&lt;=DAY(EOMONTH(DATE(班表!$E$2,班表!$G$2,1),0)),12,"")</f>
        <v/>
      </c>
      <c r="P4" s="5">
        <f>IF(13&lt;=DAY(EOMONTH(DATE(班表!$E$2,班表!$G$2,1),0)),13,"")</f>
        <v/>
      </c>
      <c r="Q4" s="5">
        <f>IF(14&lt;=DAY(EOMONTH(DATE(班表!$E$2,班表!$G$2,1),0)),14,"")</f>
        <v/>
      </c>
      <c r="R4" s="5">
        <f>IF(15&lt;=DAY(EOMONTH(DATE(班表!$E$2,班表!$G$2,1),0)),15,"")</f>
        <v/>
      </c>
      <c r="S4" s="5">
        <f>IF(16&lt;=DAY(EOMONTH(DATE(班表!$E$2,班表!$G$2,1),0)),16,"")</f>
        <v/>
      </c>
      <c r="T4" s="5">
        <f>IF(17&lt;=DAY(EOMONTH(DATE(班表!$E$2,班表!$G$2,1),0)),17,"")</f>
        <v/>
      </c>
      <c r="U4" s="5">
        <f>IF(18&lt;=DAY(EOMONTH(DATE(班表!$E$2,班表!$G$2,1),0)),18,"")</f>
        <v/>
      </c>
      <c r="V4" s="5">
        <f>IF(19&lt;=DAY(EOMONTH(DATE(班表!$E$2,班表!$G$2,1),0)),19,"")</f>
        <v/>
      </c>
      <c r="W4" s="5">
        <f>IF(20&lt;=DAY(EOMONTH(DATE(班表!$E$2,班表!$G$2,1),0)),20,"")</f>
        <v/>
      </c>
      <c r="X4" s="5">
        <f>IF(21&lt;=DAY(EOMONTH(DATE(班表!$E$2,班表!$G$2,1),0)),21,"")</f>
        <v/>
      </c>
      <c r="Y4" s="5">
        <f>IF(22&lt;=DAY(EOMONTH(DATE(班表!$E$2,班表!$G$2,1),0)),22,"")</f>
        <v/>
      </c>
      <c r="Z4" s="5">
        <f>IF(23&lt;=DAY(EOMONTH(DATE(班表!$E$2,班表!$G$2,1),0)),23,"")</f>
        <v/>
      </c>
      <c r="AA4" s="5">
        <f>IF(24&lt;=DAY(EOMONTH(DATE(班表!$E$2,班表!$G$2,1),0)),24,"")</f>
        <v/>
      </c>
      <c r="AB4" s="5">
        <f>IF(25&lt;=DAY(EOMONTH(DATE(班表!$E$2,班表!$G$2,1),0)),25,"")</f>
        <v/>
      </c>
      <c r="AC4" s="5">
        <f>IF(26&lt;=DAY(EOMONTH(DATE(班表!$E$2,班表!$G$2,1),0)),26,"")</f>
        <v/>
      </c>
      <c r="AD4" s="5">
        <f>IF(27&lt;=DAY(EOMONTH(DATE(班表!$E$2,班表!$G$2,1),0)),27,"")</f>
        <v/>
      </c>
      <c r="AE4" s="5">
        <f>IF(28&lt;=DAY(EOMONTH(DATE(班表!$E$2,班表!$G$2,1),0)),28,"")</f>
        <v/>
      </c>
      <c r="AF4" s="5">
        <f>IF(29&lt;=DAY(EOMONTH(DATE(班表!$E$2,班表!$G$2,1),0)),29,"")</f>
        <v/>
      </c>
      <c r="AG4" s="5">
        <f>IF(30&lt;=DAY(EOMONTH(DATE(班表!$E$2,班表!$G$2,1),0)),30,"")</f>
        <v/>
      </c>
      <c r="AH4" s="5">
        <f>IF(31&lt;=DAY(EOMONTH(DATE(班表!$E$2,班表!$G$2,1),0)),31,"")</f>
        <v/>
      </c>
    </row>
    <row r="5">
      <c r="A5" s="22" t="n"/>
      <c r="B5" s="22" t="n"/>
      <c r="C5" s="22" t="n"/>
      <c r="D5" s="6">
        <f>IF(D$4="","",INDEX(設定!$L$5:$L$11,WEEKDAY(DATE($E$2,$G$2,D$4),1)))</f>
        <v/>
      </c>
      <c r="E5" s="6">
        <f>IF(E$4="","",INDEX(設定!$L$5:$L$11,WEEKDAY(DATE($E$2,$G$2,E$4),1)))</f>
        <v/>
      </c>
      <c r="F5" s="6">
        <f>IF(F$4="","",INDEX(設定!$L$5:$L$11,WEEKDAY(DATE($E$2,$G$2,F$4),1)))</f>
        <v/>
      </c>
      <c r="G5" s="6">
        <f>IF(G$4="","",INDEX(設定!$L$5:$L$11,WEEKDAY(DATE($E$2,$G$2,G$4),1)))</f>
        <v/>
      </c>
      <c r="H5" s="6">
        <f>IF(H$4="","",INDEX(設定!$L$5:$L$11,WEEKDAY(DATE($E$2,$G$2,H$4),1)))</f>
        <v/>
      </c>
      <c r="I5" s="6">
        <f>IF(I$4="","",INDEX(設定!$L$5:$L$11,WEEKDAY(DATE($E$2,$G$2,I$4),1)))</f>
        <v/>
      </c>
      <c r="J5" s="6">
        <f>IF(J$4="","",INDEX(設定!$L$5:$L$11,WEEKDAY(DATE($E$2,$G$2,J$4),1)))</f>
        <v/>
      </c>
      <c r="K5" s="6">
        <f>IF(K$4="","",INDEX(設定!$L$5:$L$11,WEEKDAY(DATE($E$2,$G$2,K$4),1)))</f>
        <v/>
      </c>
      <c r="L5" s="6">
        <f>IF(L$4="","",INDEX(設定!$L$5:$L$11,WEEKDAY(DATE($E$2,$G$2,L$4),1)))</f>
        <v/>
      </c>
      <c r="M5" s="6">
        <f>IF(M$4="","",INDEX(設定!$L$5:$L$11,WEEKDAY(DATE($E$2,$G$2,M$4),1)))</f>
        <v/>
      </c>
      <c r="N5" s="6">
        <f>IF(N$4="","",INDEX(設定!$L$5:$L$11,WEEKDAY(DATE($E$2,$G$2,N$4),1)))</f>
        <v/>
      </c>
      <c r="O5" s="6">
        <f>IF(O$4="","",INDEX(設定!$L$5:$L$11,WEEKDAY(DATE($E$2,$G$2,O$4),1)))</f>
        <v/>
      </c>
      <c r="P5" s="6">
        <f>IF(P$4="","",INDEX(設定!$L$5:$L$11,WEEKDAY(DATE($E$2,$G$2,P$4),1)))</f>
        <v/>
      </c>
      <c r="Q5" s="6">
        <f>IF(Q$4="","",INDEX(設定!$L$5:$L$11,WEEKDAY(DATE($E$2,$G$2,Q$4),1)))</f>
        <v/>
      </c>
      <c r="R5" s="6">
        <f>IF(R$4="","",INDEX(設定!$L$5:$L$11,WEEKDAY(DATE($E$2,$G$2,R$4),1)))</f>
        <v/>
      </c>
      <c r="S5" s="6">
        <f>IF(S$4="","",INDEX(設定!$L$5:$L$11,WEEKDAY(DATE($E$2,$G$2,S$4),1)))</f>
        <v/>
      </c>
      <c r="T5" s="6">
        <f>IF(T$4="","",INDEX(設定!$L$5:$L$11,WEEKDAY(DATE($E$2,$G$2,T$4),1)))</f>
        <v/>
      </c>
      <c r="U5" s="6">
        <f>IF(U$4="","",INDEX(設定!$L$5:$L$11,WEEKDAY(DATE($E$2,$G$2,U$4),1)))</f>
        <v/>
      </c>
      <c r="V5" s="6">
        <f>IF(V$4="","",INDEX(設定!$L$5:$L$11,WEEKDAY(DATE($E$2,$G$2,V$4),1)))</f>
        <v/>
      </c>
      <c r="W5" s="6">
        <f>IF(W$4="","",INDEX(設定!$L$5:$L$11,WEEKDAY(DATE($E$2,$G$2,W$4),1)))</f>
        <v/>
      </c>
      <c r="X5" s="6">
        <f>IF(X$4="","",INDEX(設定!$L$5:$L$11,WEEKDAY(DATE($E$2,$G$2,X$4),1)))</f>
        <v/>
      </c>
      <c r="Y5" s="6">
        <f>IF(Y$4="","",INDEX(設定!$L$5:$L$11,WEEKDAY(DATE($E$2,$G$2,Y$4),1)))</f>
        <v/>
      </c>
      <c r="Z5" s="6">
        <f>IF(Z$4="","",INDEX(設定!$L$5:$L$11,WEEKDAY(DATE($E$2,$G$2,Z$4),1)))</f>
        <v/>
      </c>
      <c r="AA5" s="6">
        <f>IF(AA$4="","",INDEX(設定!$L$5:$L$11,WEEKDAY(DATE($E$2,$G$2,AA$4),1)))</f>
        <v/>
      </c>
      <c r="AB5" s="6">
        <f>IF(AB$4="","",INDEX(設定!$L$5:$L$11,WEEKDAY(DATE($E$2,$G$2,AB$4),1)))</f>
        <v/>
      </c>
      <c r="AC5" s="6">
        <f>IF(AC$4="","",INDEX(設定!$L$5:$L$11,WEEKDAY(DATE($E$2,$G$2,AC$4),1)))</f>
        <v/>
      </c>
      <c r="AD5" s="6">
        <f>IF(AD$4="","",INDEX(設定!$L$5:$L$11,WEEKDAY(DATE($E$2,$G$2,AD$4),1)))</f>
        <v/>
      </c>
      <c r="AE5" s="6">
        <f>IF(AE$4="","",INDEX(設定!$L$5:$L$11,WEEKDAY(DATE($E$2,$G$2,AE$4),1)))</f>
        <v/>
      </c>
      <c r="AF5" s="6">
        <f>IF(AF$4="","",INDEX(設定!$L$5:$L$11,WEEKDAY(DATE($E$2,$G$2,AF$4),1)))</f>
        <v/>
      </c>
      <c r="AG5" s="6">
        <f>IF(AG$4="","",INDEX(設定!$L$5:$L$11,WEEKDAY(DATE($E$2,$G$2,AG$4),1)))</f>
        <v/>
      </c>
      <c r="AH5" s="6">
        <f>IF(AH$4="","",INDEX(設定!$L$5:$L$11,WEEKDAY(DATE($E$2,$G$2,AH$4),1)))</f>
        <v/>
      </c>
    </row>
    <row r="6" ht="18" customHeight="1">
      <c r="A6" s="18" t="inlineStr">
        <is>
          <t>D001</t>
        </is>
      </c>
      <c r="B6" s="11">
        <f>IFERROR(INDEX(設定!$C$41:$C$70,MATCH($A6,設定!$B$41:$B$70,0)),"")</f>
        <v/>
      </c>
      <c r="C6" s="11">
        <f>IFERROR(INDEX(設定!$D$41:$D$70,MATCH($A6,設定!$B$41:$B$70,0)),"")</f>
        <v/>
      </c>
      <c r="D6" s="23" t="inlineStr">
        <is>
          <t>D1</t>
        </is>
      </c>
      <c r="E6" s="23" t="inlineStr">
        <is>
          <t>D2</t>
        </is>
      </c>
      <c r="F6" s="23" t="inlineStr">
        <is>
          <t>D3</t>
        </is>
      </c>
      <c r="G6" s="23" t="inlineStr">
        <is>
          <t>休</t>
        </is>
      </c>
      <c r="H6" s="23" t="inlineStr">
        <is>
          <t>OFF</t>
        </is>
      </c>
      <c r="I6" s="23" t="inlineStr">
        <is>
          <t>FD</t>
        </is>
      </c>
      <c r="J6" s="23" t="inlineStr">
        <is>
          <t>D1</t>
        </is>
      </c>
      <c r="K6" s="23" t="inlineStr">
        <is>
          <t>D2</t>
        </is>
      </c>
      <c r="L6" s="23" t="inlineStr">
        <is>
          <t>D3</t>
        </is>
      </c>
      <c r="M6" s="23" t="inlineStr">
        <is>
          <t>國</t>
        </is>
      </c>
      <c r="N6" s="23" t="inlineStr">
        <is>
          <t>休</t>
        </is>
      </c>
      <c r="O6" s="23" t="inlineStr">
        <is>
          <t>OFF</t>
        </is>
      </c>
      <c r="P6" s="23" t="inlineStr">
        <is>
          <t>D1</t>
        </is>
      </c>
      <c r="Q6" s="23" t="inlineStr">
        <is>
          <t>D2</t>
        </is>
      </c>
      <c r="R6" s="23" t="inlineStr">
        <is>
          <t>D3</t>
        </is>
      </c>
      <c r="S6" s="23" t="inlineStr">
        <is>
          <t>FD</t>
        </is>
      </c>
      <c r="T6" s="23" t="inlineStr">
        <is>
          <t>D2</t>
        </is>
      </c>
      <c r="U6" s="23" t="inlineStr">
        <is>
          <t>休</t>
        </is>
      </c>
      <c r="V6" s="23" t="inlineStr">
        <is>
          <t>OFF</t>
        </is>
      </c>
      <c r="W6" s="23" t="inlineStr">
        <is>
          <t>D2</t>
        </is>
      </c>
      <c r="X6" s="23" t="inlineStr">
        <is>
          <t>D3</t>
        </is>
      </c>
      <c r="Y6" s="23" t="inlineStr">
        <is>
          <t>FD</t>
        </is>
      </c>
      <c r="Z6" s="23" t="inlineStr">
        <is>
          <t>D2</t>
        </is>
      </c>
      <c r="AA6" s="23" t="inlineStr">
        <is>
          <t>FD</t>
        </is>
      </c>
      <c r="AB6" s="23" t="inlineStr">
        <is>
          <t>休</t>
        </is>
      </c>
      <c r="AC6" s="23" t="inlineStr">
        <is>
          <t>OFF</t>
        </is>
      </c>
      <c r="AD6" s="23" t="inlineStr">
        <is>
          <t>D3</t>
        </is>
      </c>
      <c r="AE6" s="23" t="inlineStr">
        <is>
          <t>FD</t>
        </is>
      </c>
      <c r="AF6" s="23" t="inlineStr">
        <is>
          <t>D2</t>
        </is>
      </c>
      <c r="AG6" s="23" t="inlineStr">
        <is>
          <t>FD</t>
        </is>
      </c>
      <c r="AH6" s="23" t="inlineStr">
        <is>
          <t>D1</t>
        </is>
      </c>
    </row>
    <row r="7" ht="18" customHeight="1">
      <c r="A7" s="18" t="inlineStr">
        <is>
          <t>D002</t>
        </is>
      </c>
      <c r="B7" s="11">
        <f>IFERROR(INDEX(設定!$C$41:$C$70,MATCH($A7,設定!$B$41:$B$70,0)),"")</f>
        <v/>
      </c>
      <c r="C7" s="11">
        <f>IFERROR(INDEX(設定!$D$41:$D$70,MATCH($A7,設定!$B$41:$B$70,0)),"")</f>
        <v/>
      </c>
      <c r="D7" s="23" t="inlineStr">
        <is>
          <t>D2</t>
        </is>
      </c>
      <c r="E7" s="23" t="inlineStr">
        <is>
          <t>D3</t>
        </is>
      </c>
      <c r="F7" s="23" t="inlineStr">
        <is>
          <t>FD</t>
        </is>
      </c>
      <c r="G7" s="23" t="inlineStr">
        <is>
          <t>休</t>
        </is>
      </c>
      <c r="H7" s="23" t="inlineStr">
        <is>
          <t>FD</t>
        </is>
      </c>
      <c r="I7" s="23" t="inlineStr">
        <is>
          <t>OFF</t>
        </is>
      </c>
      <c r="J7" s="23" t="inlineStr">
        <is>
          <t>D2</t>
        </is>
      </c>
      <c r="K7" s="23" t="inlineStr">
        <is>
          <t>D3</t>
        </is>
      </c>
      <c r="L7" s="23" t="inlineStr">
        <is>
          <t>FD</t>
        </is>
      </c>
      <c r="M7" s="23" t="inlineStr">
        <is>
          <t>國</t>
        </is>
      </c>
      <c r="N7" s="23" t="inlineStr">
        <is>
          <t>休</t>
        </is>
      </c>
      <c r="O7" s="23" t="inlineStr">
        <is>
          <t>D1</t>
        </is>
      </c>
      <c r="P7" s="23" t="inlineStr">
        <is>
          <t>訓</t>
        </is>
      </c>
      <c r="Q7" s="23" t="inlineStr">
        <is>
          <t>D3</t>
        </is>
      </c>
      <c r="R7" s="23" t="inlineStr">
        <is>
          <t>FD</t>
        </is>
      </c>
      <c r="S7" s="23" t="inlineStr">
        <is>
          <t>D2</t>
        </is>
      </c>
      <c r="T7" s="23" t="inlineStr">
        <is>
          <t>FD</t>
        </is>
      </c>
      <c r="U7" s="23" t="inlineStr">
        <is>
          <t>休</t>
        </is>
      </c>
      <c r="V7" s="23" t="inlineStr">
        <is>
          <t>D2</t>
        </is>
      </c>
      <c r="W7" s="23" t="inlineStr">
        <is>
          <t>OFF</t>
        </is>
      </c>
      <c r="X7" s="23" t="inlineStr">
        <is>
          <t>FD</t>
        </is>
      </c>
      <c r="Y7" s="23" t="inlineStr">
        <is>
          <t>D2</t>
        </is>
      </c>
      <c r="Z7" s="23" t="inlineStr">
        <is>
          <t>FD</t>
        </is>
      </c>
      <c r="AA7" s="23" t="inlineStr">
        <is>
          <t>D1</t>
        </is>
      </c>
      <c r="AB7" s="23" t="inlineStr">
        <is>
          <t>休</t>
        </is>
      </c>
      <c r="AC7" s="23" t="inlineStr">
        <is>
          <t>D3</t>
        </is>
      </c>
      <c r="AD7" s="23" t="inlineStr">
        <is>
          <t>OFF</t>
        </is>
      </c>
      <c r="AE7" s="23" t="inlineStr">
        <is>
          <t>D2</t>
        </is>
      </c>
      <c r="AF7" s="23" t="inlineStr">
        <is>
          <t>FD</t>
        </is>
      </c>
      <c r="AG7" s="23" t="inlineStr">
        <is>
          <t>D1</t>
        </is>
      </c>
      <c r="AH7" s="23" t="inlineStr">
        <is>
          <t>D2</t>
        </is>
      </c>
    </row>
    <row r="8" ht="18" customHeight="1">
      <c r="A8" s="18" t="inlineStr">
        <is>
          <t>D003</t>
        </is>
      </c>
      <c r="B8" s="11">
        <f>IFERROR(INDEX(設定!$C$41:$C$70,MATCH($A8,設定!$B$41:$B$70,0)),"")</f>
        <v/>
      </c>
      <c r="C8" s="11">
        <f>IFERROR(INDEX(設定!$D$41:$D$70,MATCH($A8,設定!$B$41:$B$70,0)),"")</f>
        <v/>
      </c>
      <c r="D8" s="23" t="inlineStr">
        <is>
          <t>D3</t>
        </is>
      </c>
      <c r="E8" s="23" t="inlineStr">
        <is>
          <t>OFF</t>
        </is>
      </c>
      <c r="F8" s="23" t="inlineStr">
        <is>
          <t>D2</t>
        </is>
      </c>
      <c r="G8" s="23" t="inlineStr">
        <is>
          <t>休</t>
        </is>
      </c>
      <c r="H8" s="23" t="inlineStr">
        <is>
          <t>D1</t>
        </is>
      </c>
      <c r="I8" s="23" t="inlineStr">
        <is>
          <t>D2</t>
        </is>
      </c>
      <c r="J8" s="23" t="inlineStr">
        <is>
          <t>支</t>
        </is>
      </c>
      <c r="K8" s="23" t="inlineStr">
        <is>
          <t>FD</t>
        </is>
      </c>
      <c r="L8" s="23" t="inlineStr">
        <is>
          <t>OFF</t>
        </is>
      </c>
      <c r="M8" s="23" t="inlineStr">
        <is>
          <t>國</t>
        </is>
      </c>
      <c r="N8" s="23" t="inlineStr">
        <is>
          <t>休</t>
        </is>
      </c>
      <c r="O8" s="23" t="inlineStr">
        <is>
          <t>D2</t>
        </is>
      </c>
      <c r="P8" s="23" t="inlineStr">
        <is>
          <t>D3</t>
        </is>
      </c>
      <c r="Q8" s="23" t="inlineStr">
        <is>
          <t>支</t>
        </is>
      </c>
      <c r="R8" s="23" t="inlineStr">
        <is>
          <t>D2</t>
        </is>
      </c>
      <c r="S8" s="23" t="inlineStr">
        <is>
          <t>OFF</t>
        </is>
      </c>
      <c r="T8" s="23" t="inlineStr">
        <is>
          <t>D1</t>
        </is>
      </c>
      <c r="U8" s="23" t="inlineStr">
        <is>
          <t>休</t>
        </is>
      </c>
      <c r="V8" s="23" t="inlineStr">
        <is>
          <t>D3</t>
        </is>
      </c>
      <c r="W8" s="23" t="inlineStr">
        <is>
          <t>FD</t>
        </is>
      </c>
      <c r="X8" s="23" t="inlineStr">
        <is>
          <t>支</t>
        </is>
      </c>
      <c r="Y8" s="23" t="inlineStr">
        <is>
          <t>FD</t>
        </is>
      </c>
      <c r="Z8" s="23" t="inlineStr">
        <is>
          <t>OFF</t>
        </is>
      </c>
      <c r="AA8" s="23" t="inlineStr">
        <is>
          <t>D2</t>
        </is>
      </c>
      <c r="AB8" s="23" t="inlineStr">
        <is>
          <t>休</t>
        </is>
      </c>
      <c r="AC8" s="23" t="inlineStr">
        <is>
          <t>FD</t>
        </is>
      </c>
      <c r="AD8" s="23" t="inlineStr">
        <is>
          <t>D2</t>
        </is>
      </c>
      <c r="AE8" s="23" t="inlineStr">
        <is>
          <t>支</t>
        </is>
      </c>
      <c r="AF8" s="23" t="inlineStr">
        <is>
          <t>D1</t>
        </is>
      </c>
      <c r="AG8" s="23" t="inlineStr">
        <is>
          <t>OFF</t>
        </is>
      </c>
      <c r="AH8" s="23" t="inlineStr">
        <is>
          <t>D3</t>
        </is>
      </c>
    </row>
    <row r="9" ht="18" customHeight="1">
      <c r="A9" s="18" t="inlineStr">
        <is>
          <t>N001</t>
        </is>
      </c>
      <c r="B9" s="11">
        <f>IFERROR(INDEX(設定!$C$41:$C$70,MATCH($A9,設定!$B$41:$B$70,0)),"")</f>
        <v/>
      </c>
      <c r="C9" s="11">
        <f>IFERROR(INDEX(設定!$D$41:$D$70,MATCH($A9,設定!$B$41:$B$70,0)),"")</f>
        <v/>
      </c>
      <c r="D9" s="23" t="inlineStr">
        <is>
          <t>ADM</t>
        </is>
      </c>
      <c r="E9" s="23" t="inlineStr">
        <is>
          <t>A</t>
        </is>
      </c>
      <c r="F9" s="23" t="inlineStr">
        <is>
          <t>A</t>
        </is>
      </c>
      <c r="G9" s="23" t="inlineStr">
        <is>
          <t>OFF</t>
        </is>
      </c>
      <c r="H9" s="23" t="inlineStr">
        <is>
          <t>A</t>
        </is>
      </c>
      <c r="I9" s="23" t="inlineStr">
        <is>
          <t>A</t>
        </is>
      </c>
      <c r="J9" s="23" t="inlineStr">
        <is>
          <t>特</t>
        </is>
      </c>
      <c r="K9" s="23" t="inlineStr">
        <is>
          <t>ADM</t>
        </is>
      </c>
      <c r="L9" s="23" t="inlineStr">
        <is>
          <t>A</t>
        </is>
      </c>
      <c r="M9" s="23" t="inlineStr">
        <is>
          <t>國</t>
        </is>
      </c>
      <c r="N9" s="23" t="inlineStr">
        <is>
          <t>OFF</t>
        </is>
      </c>
      <c r="O9" s="23" t="inlineStr">
        <is>
          <t>A</t>
        </is>
      </c>
      <c r="P9" s="23" t="inlineStr">
        <is>
          <t>A</t>
        </is>
      </c>
      <c r="Q9" s="23" t="inlineStr">
        <is>
          <t>A</t>
        </is>
      </c>
      <c r="R9" s="23" t="inlineStr">
        <is>
          <t>ADM</t>
        </is>
      </c>
      <c r="S9" s="23" t="inlineStr">
        <is>
          <t>A</t>
        </is>
      </c>
      <c r="T9" s="23" t="inlineStr">
        <is>
          <t>A</t>
        </is>
      </c>
      <c r="U9" s="23" t="inlineStr">
        <is>
          <t>OFF</t>
        </is>
      </c>
      <c r="V9" s="23" t="inlineStr">
        <is>
          <t>A</t>
        </is>
      </c>
      <c r="W9" s="23" t="inlineStr">
        <is>
          <t>A</t>
        </is>
      </c>
      <c r="X9" s="23" t="inlineStr">
        <is>
          <t>A</t>
        </is>
      </c>
      <c r="Y9" s="23" t="inlineStr">
        <is>
          <t>ADM</t>
        </is>
      </c>
      <c r="Z9" s="23" t="inlineStr">
        <is>
          <t>A</t>
        </is>
      </c>
      <c r="AA9" s="23" t="inlineStr">
        <is>
          <t>A</t>
        </is>
      </c>
      <c r="AB9" s="23" t="inlineStr">
        <is>
          <t>OFF</t>
        </is>
      </c>
      <c r="AC9" s="23" t="inlineStr">
        <is>
          <t>A</t>
        </is>
      </c>
      <c r="AD9" s="23" t="inlineStr">
        <is>
          <t>A</t>
        </is>
      </c>
      <c r="AE9" s="23" t="inlineStr">
        <is>
          <t>A</t>
        </is>
      </c>
      <c r="AF9" s="23" t="inlineStr">
        <is>
          <t>ADM</t>
        </is>
      </c>
      <c r="AG9" s="23" t="inlineStr">
        <is>
          <t>A</t>
        </is>
      </c>
      <c r="AH9" s="23" t="inlineStr">
        <is>
          <t>A</t>
        </is>
      </c>
    </row>
    <row r="10" ht="18" customHeight="1">
      <c r="A10" s="18" t="inlineStr">
        <is>
          <t>A001</t>
        </is>
      </c>
      <c r="B10" s="11">
        <f>IFERROR(INDEX(設定!$C$41:$C$70,MATCH($A10,設定!$B$41:$B$70,0)),"")</f>
        <v/>
      </c>
      <c r="C10" s="11">
        <f>IFERROR(INDEX(設定!$D$41:$D$70,MATCH($A10,設定!$B$41:$B$70,0)),"")</f>
        <v/>
      </c>
      <c r="D10" s="23" t="inlineStr">
        <is>
          <t>P</t>
        </is>
      </c>
      <c r="E10" s="23" t="inlineStr">
        <is>
          <t>A</t>
        </is>
      </c>
      <c r="F10" s="23" t="inlineStr">
        <is>
          <t>P</t>
        </is>
      </c>
      <c r="G10" s="23" t="inlineStr">
        <is>
          <t>OFF</t>
        </is>
      </c>
      <c r="H10" s="23" t="inlineStr">
        <is>
          <t>OFF</t>
        </is>
      </c>
      <c r="I10" s="23" t="inlineStr">
        <is>
          <t>A</t>
        </is>
      </c>
      <c r="J10" s="23" t="inlineStr">
        <is>
          <t>P</t>
        </is>
      </c>
      <c r="K10" s="23" t="inlineStr">
        <is>
          <t>A</t>
        </is>
      </c>
      <c r="L10" s="23" t="inlineStr">
        <is>
          <t>P</t>
        </is>
      </c>
      <c r="M10" s="23" t="inlineStr">
        <is>
          <t>國</t>
        </is>
      </c>
      <c r="N10" s="23" t="inlineStr">
        <is>
          <t>OFF</t>
        </is>
      </c>
      <c r="O10" s="23" t="inlineStr">
        <is>
          <t>OFF</t>
        </is>
      </c>
      <c r="P10" s="23" t="inlineStr">
        <is>
          <t>P</t>
        </is>
      </c>
      <c r="Q10" s="23" t="inlineStr">
        <is>
          <t>A</t>
        </is>
      </c>
      <c r="R10" s="23" t="inlineStr">
        <is>
          <t>特</t>
        </is>
      </c>
      <c r="S10" s="23" t="inlineStr">
        <is>
          <t>A</t>
        </is>
      </c>
      <c r="T10" s="23" t="inlineStr">
        <is>
          <t>P</t>
        </is>
      </c>
      <c r="U10" s="23" t="inlineStr">
        <is>
          <t>OFF</t>
        </is>
      </c>
      <c r="V10" s="23" t="inlineStr">
        <is>
          <t>OFF</t>
        </is>
      </c>
      <c r="W10" s="23" t="inlineStr">
        <is>
          <t>A</t>
        </is>
      </c>
      <c r="X10" s="23" t="inlineStr">
        <is>
          <t>P</t>
        </is>
      </c>
      <c r="Y10" s="23" t="inlineStr">
        <is>
          <t>A</t>
        </is>
      </c>
      <c r="Z10" s="23" t="inlineStr">
        <is>
          <t>P</t>
        </is>
      </c>
      <c r="AA10" s="23" t="inlineStr">
        <is>
          <t>A</t>
        </is>
      </c>
      <c r="AB10" s="23" t="inlineStr">
        <is>
          <t>OFF</t>
        </is>
      </c>
      <c r="AC10" s="23" t="inlineStr">
        <is>
          <t>OFF</t>
        </is>
      </c>
      <c r="AD10" s="23" t="inlineStr">
        <is>
          <t>P</t>
        </is>
      </c>
      <c r="AE10" s="23" t="inlineStr">
        <is>
          <t>A</t>
        </is>
      </c>
      <c r="AF10" s="23" t="inlineStr">
        <is>
          <t>P</t>
        </is>
      </c>
      <c r="AG10" s="23" t="inlineStr">
        <is>
          <t>A</t>
        </is>
      </c>
      <c r="AH10" s="23" t="inlineStr">
        <is>
          <t>P</t>
        </is>
      </c>
    </row>
    <row r="11" ht="18" customHeight="1">
      <c r="A11" s="18" t="inlineStr">
        <is>
          <t>A002</t>
        </is>
      </c>
      <c r="B11" s="11">
        <f>IFERROR(INDEX(設定!$C$41:$C$70,MATCH($A11,設定!$B$41:$B$70,0)),"")</f>
        <v/>
      </c>
      <c r="C11" s="11">
        <f>IFERROR(INDEX(設定!$D$41:$D$70,MATCH($A11,設定!$B$41:$B$70,0)),"")</f>
        <v/>
      </c>
      <c r="D11" s="23" t="inlineStr">
        <is>
          <t>A</t>
        </is>
      </c>
      <c r="E11" s="23" t="inlineStr">
        <is>
          <t>P</t>
        </is>
      </c>
      <c r="F11" s="23" t="inlineStr">
        <is>
          <t>A</t>
        </is>
      </c>
      <c r="G11" s="23" t="inlineStr">
        <is>
          <t>OFF</t>
        </is>
      </c>
      <c r="H11" s="23" t="inlineStr">
        <is>
          <t>A</t>
        </is>
      </c>
      <c r="I11" s="23" t="inlineStr">
        <is>
          <t>OFF</t>
        </is>
      </c>
      <c r="J11" s="23" t="inlineStr">
        <is>
          <t>A</t>
        </is>
      </c>
      <c r="K11" s="23" t="inlineStr">
        <is>
          <t>P</t>
        </is>
      </c>
      <c r="L11" s="23" t="inlineStr">
        <is>
          <t>A</t>
        </is>
      </c>
      <c r="M11" s="23" t="inlineStr">
        <is>
          <t>國</t>
        </is>
      </c>
      <c r="N11" s="23" t="inlineStr">
        <is>
          <t>OFF</t>
        </is>
      </c>
      <c r="O11" s="23" t="inlineStr">
        <is>
          <t>P</t>
        </is>
      </c>
      <c r="P11" s="23" t="inlineStr">
        <is>
          <t>OFF</t>
        </is>
      </c>
      <c r="Q11" s="23" t="inlineStr">
        <is>
          <t>P</t>
        </is>
      </c>
      <c r="R11" s="23" t="inlineStr">
        <is>
          <t>A</t>
        </is>
      </c>
      <c r="S11" s="23" t="inlineStr">
        <is>
          <t>P</t>
        </is>
      </c>
      <c r="T11" s="23" t="inlineStr">
        <is>
          <t>A</t>
        </is>
      </c>
      <c r="U11" s="23" t="inlineStr">
        <is>
          <t>OFF</t>
        </is>
      </c>
      <c r="V11" s="23" t="inlineStr">
        <is>
          <t>A</t>
        </is>
      </c>
      <c r="W11" s="23" t="inlineStr">
        <is>
          <t>OFF</t>
        </is>
      </c>
      <c r="X11" s="23" t="inlineStr">
        <is>
          <t>事</t>
        </is>
      </c>
      <c r="Y11" s="23" t="inlineStr">
        <is>
          <t>P</t>
        </is>
      </c>
      <c r="Z11" s="23" t="inlineStr">
        <is>
          <t>A</t>
        </is>
      </c>
      <c r="AA11" s="23" t="inlineStr">
        <is>
          <t>P</t>
        </is>
      </c>
      <c r="AB11" s="23" t="inlineStr">
        <is>
          <t>OFF</t>
        </is>
      </c>
      <c r="AC11" s="23" t="inlineStr">
        <is>
          <t>P</t>
        </is>
      </c>
      <c r="AD11" s="23" t="inlineStr">
        <is>
          <t>OFF</t>
        </is>
      </c>
      <c r="AE11" s="23" t="inlineStr">
        <is>
          <t>P</t>
        </is>
      </c>
      <c r="AF11" s="23" t="inlineStr">
        <is>
          <t>A</t>
        </is>
      </c>
      <c r="AG11" s="23" t="inlineStr">
        <is>
          <t>P</t>
        </is>
      </c>
      <c r="AH11" s="23" t="inlineStr">
        <is>
          <t>A</t>
        </is>
      </c>
    </row>
    <row r="12" ht="18" customHeight="1">
      <c r="A12" s="18" t="inlineStr">
        <is>
          <t>A003</t>
        </is>
      </c>
      <c r="B12" s="11">
        <f>IFERROR(INDEX(設定!$C$41:$C$70,MATCH($A12,設定!$B$41:$B$70,0)),"")</f>
        <v/>
      </c>
      <c r="C12" s="11">
        <f>IFERROR(INDEX(設定!$D$41:$D$70,MATCH($A12,設定!$B$41:$B$70,0)),"")</f>
        <v/>
      </c>
      <c r="D12" s="23" t="inlineStr">
        <is>
          <t>P</t>
        </is>
      </c>
      <c r="E12" s="23" t="inlineStr">
        <is>
          <t>A</t>
        </is>
      </c>
      <c r="F12" s="23" t="inlineStr">
        <is>
          <t>P</t>
        </is>
      </c>
      <c r="G12" s="23" t="inlineStr">
        <is>
          <t>OFF</t>
        </is>
      </c>
      <c r="H12" s="23" t="inlineStr">
        <is>
          <t>P</t>
        </is>
      </c>
      <c r="I12" s="23" t="inlineStr">
        <is>
          <t>A</t>
        </is>
      </c>
      <c r="J12" s="23" t="inlineStr">
        <is>
          <t>OFF</t>
        </is>
      </c>
      <c r="K12" s="23" t="inlineStr">
        <is>
          <t>A</t>
        </is>
      </c>
      <c r="L12" s="23" t="inlineStr">
        <is>
          <t>P</t>
        </is>
      </c>
      <c r="M12" s="23" t="inlineStr">
        <is>
          <t>國</t>
        </is>
      </c>
      <c r="N12" s="23" t="inlineStr">
        <is>
          <t>OFF</t>
        </is>
      </c>
      <c r="O12" s="23" t="inlineStr">
        <is>
          <t>A</t>
        </is>
      </c>
      <c r="P12" s="23" t="inlineStr">
        <is>
          <t>P</t>
        </is>
      </c>
      <c r="Q12" s="23" t="inlineStr">
        <is>
          <t>OFF</t>
        </is>
      </c>
      <c r="R12" s="23" t="inlineStr">
        <is>
          <t>P</t>
        </is>
      </c>
      <c r="S12" s="23" t="inlineStr">
        <is>
          <t>A</t>
        </is>
      </c>
      <c r="T12" s="23" t="inlineStr">
        <is>
          <t>P</t>
        </is>
      </c>
      <c r="U12" s="23" t="inlineStr">
        <is>
          <t>OFF</t>
        </is>
      </c>
      <c r="V12" s="23" t="inlineStr">
        <is>
          <t>P</t>
        </is>
      </c>
      <c r="W12" s="23" t="inlineStr">
        <is>
          <t>A</t>
        </is>
      </c>
      <c r="X12" s="23" t="inlineStr">
        <is>
          <t>OFF</t>
        </is>
      </c>
      <c r="Y12" s="23" t="inlineStr">
        <is>
          <t>病</t>
        </is>
      </c>
      <c r="Z12" s="23" t="inlineStr">
        <is>
          <t>P</t>
        </is>
      </c>
      <c r="AA12" s="23" t="inlineStr">
        <is>
          <t>A</t>
        </is>
      </c>
      <c r="AB12" s="23" t="inlineStr">
        <is>
          <t>OFF</t>
        </is>
      </c>
      <c r="AC12" s="23" t="inlineStr">
        <is>
          <t>A</t>
        </is>
      </c>
      <c r="AD12" s="23" t="inlineStr">
        <is>
          <t>P</t>
        </is>
      </c>
      <c r="AE12" s="23" t="inlineStr">
        <is>
          <t>OFF</t>
        </is>
      </c>
      <c r="AF12" s="23" t="inlineStr">
        <is>
          <t>P</t>
        </is>
      </c>
      <c r="AG12" s="23" t="inlineStr">
        <is>
          <t>A</t>
        </is>
      </c>
      <c r="AH12" s="23" t="inlineStr">
        <is>
          <t>P</t>
        </is>
      </c>
    </row>
    <row r="13" ht="18" customHeight="1">
      <c r="A13" s="18" t="inlineStr">
        <is>
          <t>A004</t>
        </is>
      </c>
      <c r="B13" s="11">
        <f>IFERROR(INDEX(設定!$C$41:$C$70,MATCH($A13,設定!$B$41:$B$70,0)),"")</f>
        <v/>
      </c>
      <c r="C13" s="11">
        <f>IFERROR(INDEX(設定!$D$41:$D$70,MATCH($A13,設定!$B$41:$B$70,0)),"")</f>
        <v/>
      </c>
      <c r="D13" s="23" t="inlineStr">
        <is>
          <t>OFF</t>
        </is>
      </c>
      <c r="E13" s="23" t="inlineStr">
        <is>
          <t>P</t>
        </is>
      </c>
      <c r="F13" s="23" t="inlineStr">
        <is>
          <t>A</t>
        </is>
      </c>
      <c r="G13" s="23" t="inlineStr">
        <is>
          <t>OFF</t>
        </is>
      </c>
      <c r="H13" s="23" t="inlineStr">
        <is>
          <t>A</t>
        </is>
      </c>
      <c r="I13" s="23" t="inlineStr">
        <is>
          <t>P</t>
        </is>
      </c>
      <c r="J13" s="23" t="inlineStr">
        <is>
          <t>A</t>
        </is>
      </c>
      <c r="K13" s="23" t="inlineStr">
        <is>
          <t>OFF</t>
        </is>
      </c>
      <c r="L13" s="23" t="inlineStr">
        <is>
          <t>A</t>
        </is>
      </c>
      <c r="M13" s="23" t="inlineStr">
        <is>
          <t>國</t>
        </is>
      </c>
      <c r="N13" s="23" t="inlineStr">
        <is>
          <t>OFF</t>
        </is>
      </c>
      <c r="O13" s="23" t="inlineStr">
        <is>
          <t>P</t>
        </is>
      </c>
      <c r="P13" s="23" t="inlineStr">
        <is>
          <t>A</t>
        </is>
      </c>
      <c r="Q13" s="23" t="inlineStr">
        <is>
          <t>P</t>
        </is>
      </c>
      <c r="R13" s="23" t="inlineStr">
        <is>
          <t>OFF</t>
        </is>
      </c>
      <c r="S13" s="23" t="inlineStr">
        <is>
          <t>P</t>
        </is>
      </c>
      <c r="T13" s="23" t="inlineStr">
        <is>
          <t>A</t>
        </is>
      </c>
      <c r="U13" s="23" t="inlineStr">
        <is>
          <t>OFF</t>
        </is>
      </c>
      <c r="V13" s="23" t="inlineStr">
        <is>
          <t>A</t>
        </is>
      </c>
      <c r="W13" s="23" t="inlineStr">
        <is>
          <t>P</t>
        </is>
      </c>
      <c r="X13" s="23" t="inlineStr">
        <is>
          <t>A</t>
        </is>
      </c>
      <c r="Y13" s="23" t="inlineStr">
        <is>
          <t>OFF</t>
        </is>
      </c>
      <c r="Z13" s="23" t="inlineStr">
        <is>
          <t>A</t>
        </is>
      </c>
      <c r="AA13" s="23" t="inlineStr">
        <is>
          <t>P</t>
        </is>
      </c>
      <c r="AB13" s="23" t="inlineStr">
        <is>
          <t>OFF</t>
        </is>
      </c>
      <c r="AC13" s="23" t="inlineStr">
        <is>
          <t>P</t>
        </is>
      </c>
      <c r="AD13" s="23" t="inlineStr">
        <is>
          <t>A</t>
        </is>
      </c>
      <c r="AE13" s="23" t="inlineStr">
        <is>
          <t>P</t>
        </is>
      </c>
      <c r="AF13" s="23" t="inlineStr">
        <is>
          <t>OFF</t>
        </is>
      </c>
      <c r="AG13" s="23" t="inlineStr">
        <is>
          <t>P</t>
        </is>
      </c>
      <c r="AH13" s="23" t="inlineStr">
        <is>
          <t>A</t>
        </is>
      </c>
    </row>
    <row r="14" ht="18" customHeight="1">
      <c r="A14" s="18" t="inlineStr">
        <is>
          <t>A005</t>
        </is>
      </c>
      <c r="B14" s="11">
        <f>IFERROR(INDEX(設定!$C$41:$C$70,MATCH($A14,設定!$B$41:$B$70,0)),"")</f>
        <v/>
      </c>
      <c r="C14" s="11">
        <f>IFERROR(INDEX(設定!$D$41:$D$70,MATCH($A14,設定!$B$41:$B$70,0)),"")</f>
        <v/>
      </c>
      <c r="D14" s="23" t="inlineStr">
        <is>
          <t>P</t>
        </is>
      </c>
      <c r="E14" s="23" t="inlineStr">
        <is>
          <t>OFF</t>
        </is>
      </c>
      <c r="F14" s="23" t="inlineStr">
        <is>
          <t>P</t>
        </is>
      </c>
      <c r="G14" s="23" t="inlineStr">
        <is>
          <t>OFF</t>
        </is>
      </c>
      <c r="H14" s="23" t="inlineStr">
        <is>
          <t>P</t>
        </is>
      </c>
      <c r="I14" s="23" t="inlineStr">
        <is>
          <t>A</t>
        </is>
      </c>
      <c r="J14" s="23" t="inlineStr">
        <is>
          <t>P</t>
        </is>
      </c>
      <c r="K14" s="23" t="inlineStr">
        <is>
          <t>A</t>
        </is>
      </c>
      <c r="L14" s="23" t="inlineStr">
        <is>
          <t>OFF</t>
        </is>
      </c>
      <c r="M14" s="23" t="inlineStr">
        <is>
          <t>國</t>
        </is>
      </c>
      <c r="N14" s="23" t="inlineStr">
        <is>
          <t>OFF</t>
        </is>
      </c>
      <c r="O14" s="23" t="inlineStr">
        <is>
          <t>A</t>
        </is>
      </c>
      <c r="P14" s="23" t="inlineStr">
        <is>
          <t>P</t>
        </is>
      </c>
      <c r="Q14" s="23" t="inlineStr">
        <is>
          <t>A</t>
        </is>
      </c>
      <c r="R14" s="23" t="inlineStr">
        <is>
          <t>P</t>
        </is>
      </c>
      <c r="S14" s="23" t="inlineStr">
        <is>
          <t>OFF</t>
        </is>
      </c>
      <c r="T14" s="23" t="inlineStr">
        <is>
          <t>P</t>
        </is>
      </c>
      <c r="U14" s="23" t="inlineStr">
        <is>
          <t>OFF</t>
        </is>
      </c>
      <c r="V14" s="23" t="inlineStr">
        <is>
          <t>P</t>
        </is>
      </c>
      <c r="W14" s="23" t="inlineStr">
        <is>
          <t>A</t>
        </is>
      </c>
      <c r="X14" s="23" t="inlineStr">
        <is>
          <t>P</t>
        </is>
      </c>
      <c r="Y14" s="23" t="inlineStr">
        <is>
          <t>A</t>
        </is>
      </c>
      <c r="Z14" s="23" t="inlineStr">
        <is>
          <t>OFF</t>
        </is>
      </c>
      <c r="AA14" s="23" t="inlineStr">
        <is>
          <t>A</t>
        </is>
      </c>
      <c r="AB14" s="23" t="inlineStr">
        <is>
          <t>OFF</t>
        </is>
      </c>
      <c r="AC14" s="23" t="inlineStr">
        <is>
          <t>A</t>
        </is>
      </c>
      <c r="AD14" s="23" t="inlineStr">
        <is>
          <t>P</t>
        </is>
      </c>
      <c r="AE14" s="23" t="inlineStr">
        <is>
          <t>A</t>
        </is>
      </c>
      <c r="AF14" s="23" t="inlineStr">
        <is>
          <t>P</t>
        </is>
      </c>
      <c r="AG14" s="23" t="inlineStr">
        <is>
          <t>OFF</t>
        </is>
      </c>
      <c r="AH14" s="23" t="inlineStr">
        <is>
          <t>P</t>
        </is>
      </c>
    </row>
    <row r="15" ht="18" customHeight="1">
      <c r="A15" s="18" t="n"/>
      <c r="B15" s="11">
        <f>IFERROR(INDEX(設定!$C$41:$C$70,MATCH($A15,設定!$B$41:$B$70,0)),"")</f>
        <v/>
      </c>
      <c r="C15" s="11">
        <f>IFERROR(INDEX(設定!$D$41:$D$70,MATCH($A15,設定!$B$41:$B$70,0)),"")</f>
        <v/>
      </c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</row>
    <row r="16" ht="18" customHeight="1">
      <c r="A16" s="18" t="n"/>
      <c r="B16" s="11">
        <f>IFERROR(INDEX(設定!$C$41:$C$70,MATCH($A16,設定!$B$41:$B$70,0)),"")</f>
        <v/>
      </c>
      <c r="C16" s="11">
        <f>IFERROR(INDEX(設定!$D$41:$D$70,MATCH($A16,設定!$B$41:$B$70,0)),"")</f>
        <v/>
      </c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  <c r="AC16" s="23" t="n"/>
      <c r="AD16" s="23" t="n"/>
      <c r="AE16" s="23" t="n"/>
      <c r="AF16" s="23" t="n"/>
      <c r="AG16" s="23" t="n"/>
      <c r="AH16" s="23" t="n"/>
    </row>
    <row r="17" ht="18" customHeight="1">
      <c r="A17" s="18" t="n"/>
      <c r="B17" s="11">
        <f>IFERROR(INDEX(設定!$C$41:$C$70,MATCH($A17,設定!$B$41:$B$70,0)),"")</f>
        <v/>
      </c>
      <c r="C17" s="11">
        <f>IFERROR(INDEX(設定!$D$41:$D$70,MATCH($A17,設定!$B$41:$B$70,0)),"")</f>
        <v/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</row>
    <row r="18" ht="18" customHeight="1">
      <c r="A18" s="18" t="n"/>
      <c r="B18" s="11">
        <f>IFERROR(INDEX(設定!$C$41:$C$70,MATCH($A18,設定!$B$41:$B$70,0)),"")</f>
        <v/>
      </c>
      <c r="C18" s="11">
        <f>IFERROR(INDEX(設定!$D$41:$D$70,MATCH($A18,設定!$B$41:$B$70,0)),"")</f>
        <v/>
      </c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23" t="n"/>
      <c r="AC18" s="23" t="n"/>
      <c r="AD18" s="23" t="n"/>
      <c r="AE18" s="23" t="n"/>
      <c r="AF18" s="23" t="n"/>
      <c r="AG18" s="23" t="n"/>
      <c r="AH18" s="23" t="n"/>
    </row>
    <row r="19" ht="18" customHeight="1">
      <c r="A19" s="18" t="n"/>
      <c r="B19" s="11">
        <f>IFERROR(INDEX(設定!$C$41:$C$70,MATCH($A19,設定!$B$41:$B$70,0)),"")</f>
        <v/>
      </c>
      <c r="C19" s="11">
        <f>IFERROR(INDEX(設定!$D$41:$D$70,MATCH($A19,設定!$B$41:$B$70,0)),"")</f>
        <v/>
      </c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23" t="n"/>
      <c r="AC19" s="23" t="n"/>
      <c r="AD19" s="23" t="n"/>
      <c r="AE19" s="23" t="n"/>
      <c r="AF19" s="23" t="n"/>
      <c r="AG19" s="23" t="n"/>
      <c r="AH19" s="23" t="n"/>
    </row>
    <row r="20" ht="18" customHeight="1">
      <c r="A20" s="18" t="n"/>
      <c r="B20" s="11">
        <f>IFERROR(INDEX(設定!$C$41:$C$70,MATCH($A20,設定!$B$41:$B$70,0)),"")</f>
        <v/>
      </c>
      <c r="C20" s="11">
        <f>IFERROR(INDEX(設定!$D$41:$D$70,MATCH($A20,設定!$B$41:$B$70,0)),"")</f>
        <v/>
      </c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23" t="n"/>
      <c r="AC20" s="23" t="n"/>
      <c r="AD20" s="23" t="n"/>
      <c r="AE20" s="23" t="n"/>
      <c r="AF20" s="23" t="n"/>
      <c r="AG20" s="23" t="n"/>
      <c r="AH20" s="23" t="n"/>
    </row>
    <row r="21" ht="18" customHeight="1">
      <c r="A21" s="18" t="n"/>
      <c r="B21" s="11">
        <f>IFERROR(INDEX(設定!$C$41:$C$70,MATCH($A21,設定!$B$41:$B$70,0)),"")</f>
        <v/>
      </c>
      <c r="C21" s="11">
        <f>IFERROR(INDEX(設定!$D$41:$D$70,MATCH($A21,設定!$B$41:$B$70,0)),"")</f>
        <v/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</row>
    <row r="22" ht="18" customHeight="1">
      <c r="A22" s="18" t="n"/>
      <c r="B22" s="11">
        <f>IFERROR(INDEX(設定!$C$41:$C$70,MATCH($A22,設定!$B$41:$B$70,0)),"")</f>
        <v/>
      </c>
      <c r="C22" s="11">
        <f>IFERROR(INDEX(設定!$D$41:$D$70,MATCH($A22,設定!$B$41:$B$70,0)),"")</f>
        <v/>
      </c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3" t="n"/>
      <c r="AG22" s="23" t="n"/>
      <c r="AH22" s="23" t="n"/>
    </row>
    <row r="23" ht="18" customHeight="1">
      <c r="A23" s="18" t="n"/>
      <c r="B23" s="11">
        <f>IFERROR(INDEX(設定!$C$41:$C$70,MATCH($A23,設定!$B$41:$B$70,0)),"")</f>
        <v/>
      </c>
      <c r="C23" s="11">
        <f>IFERROR(INDEX(設定!$D$41:$D$70,MATCH($A23,設定!$B$41:$B$70,0)),"")</f>
        <v/>
      </c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  <c r="AG23" s="23" t="n"/>
      <c r="AH23" s="23" t="n"/>
    </row>
    <row r="24" ht="18" customHeight="1">
      <c r="A24" s="18" t="n"/>
      <c r="B24" s="11">
        <f>IFERROR(INDEX(設定!$C$41:$C$70,MATCH($A24,設定!$B$41:$B$70,0)),"")</f>
        <v/>
      </c>
      <c r="C24" s="11">
        <f>IFERROR(INDEX(設定!$D$41:$D$70,MATCH($A24,設定!$B$41:$B$70,0)),"")</f>
        <v/>
      </c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23" t="n"/>
      <c r="AC24" s="23" t="n"/>
      <c r="AD24" s="23" t="n"/>
      <c r="AE24" s="23" t="n"/>
      <c r="AF24" s="23" t="n"/>
      <c r="AG24" s="23" t="n"/>
      <c r="AH24" s="23" t="n"/>
    </row>
    <row r="25" ht="18" customHeight="1">
      <c r="A25" s="18" t="n"/>
      <c r="B25" s="11">
        <f>IFERROR(INDEX(設定!$C$41:$C$70,MATCH($A25,設定!$B$41:$B$70,0)),"")</f>
        <v/>
      </c>
      <c r="C25" s="11">
        <f>IFERROR(INDEX(設定!$D$41:$D$70,MATCH($A25,設定!$B$41:$B$70,0)),"")</f>
        <v/>
      </c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</row>
    <row r="26" ht="18" customHeight="1">
      <c r="A26" s="18" t="n"/>
      <c r="B26" s="11">
        <f>IFERROR(INDEX(設定!$C$41:$C$70,MATCH($A26,設定!$B$41:$B$70,0)),"")</f>
        <v/>
      </c>
      <c r="C26" s="11">
        <f>IFERROR(INDEX(設定!$D$41:$D$70,MATCH($A26,設定!$B$41:$B$70,0)),"")</f>
        <v/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3" t="n"/>
      <c r="AG26" s="23" t="n"/>
      <c r="AH26" s="23" t="n"/>
    </row>
    <row r="27" ht="18" customHeight="1">
      <c r="A27" s="18" t="n"/>
      <c r="B27" s="11">
        <f>IFERROR(INDEX(設定!$C$41:$C$70,MATCH($A27,設定!$B$41:$B$70,0)),"")</f>
        <v/>
      </c>
      <c r="C27" s="11">
        <f>IFERROR(INDEX(設定!$D$41:$D$70,MATCH($A27,設定!$B$41:$B$70,0)),"")</f>
        <v/>
      </c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23" t="n"/>
      <c r="AC27" s="23" t="n"/>
      <c r="AD27" s="23" t="n"/>
      <c r="AE27" s="23" t="n"/>
      <c r="AF27" s="23" t="n"/>
      <c r="AG27" s="23" t="n"/>
      <c r="AH27" s="23" t="n"/>
    </row>
    <row r="28" ht="18" customHeight="1">
      <c r="A28" s="18" t="n"/>
      <c r="B28" s="11">
        <f>IFERROR(INDEX(設定!$C$41:$C$70,MATCH($A28,設定!$B$41:$B$70,0)),"")</f>
        <v/>
      </c>
      <c r="C28" s="11">
        <f>IFERROR(INDEX(設定!$D$41:$D$70,MATCH($A28,設定!$B$41:$B$70,0)),"")</f>
        <v/>
      </c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</row>
    <row r="29" ht="18" customHeight="1">
      <c r="A29" s="18" t="n"/>
      <c r="B29" s="11">
        <f>IFERROR(INDEX(設定!$C$41:$C$70,MATCH($A29,設定!$B$41:$B$70,0)),"")</f>
        <v/>
      </c>
      <c r="C29" s="11">
        <f>IFERROR(INDEX(設定!$D$41:$D$70,MATCH($A29,設定!$B$41:$B$70,0)),"")</f>
        <v/>
      </c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</row>
    <row r="30" ht="18" customHeight="1">
      <c r="A30" s="18" t="n"/>
      <c r="B30" s="11">
        <f>IFERROR(INDEX(設定!$C$41:$C$70,MATCH($A30,設定!$B$41:$B$70,0)),"")</f>
        <v/>
      </c>
      <c r="C30" s="11">
        <f>IFERROR(INDEX(設定!$D$41:$D$70,MATCH($A30,設定!$B$41:$B$70,0)),"")</f>
        <v/>
      </c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3" t="n"/>
      <c r="AG30" s="23" t="n"/>
      <c r="AH30" s="23" t="n"/>
    </row>
    <row r="31" ht="18" customHeight="1">
      <c r="A31" s="18" t="n"/>
      <c r="B31" s="11">
        <f>IFERROR(INDEX(設定!$C$41:$C$70,MATCH($A31,設定!$B$41:$B$70,0)),"")</f>
        <v/>
      </c>
      <c r="C31" s="11">
        <f>IFERROR(INDEX(設定!$D$41:$D$70,MATCH($A31,設定!$B$41:$B$70,0)),"")</f>
        <v/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  <c r="AG31" s="23" t="n"/>
      <c r="AH31" s="23" t="n"/>
    </row>
    <row r="32" ht="18" customHeight="1">
      <c r="A32" s="18" t="n"/>
      <c r="B32" s="11">
        <f>IFERROR(INDEX(設定!$C$41:$C$70,MATCH($A32,設定!$B$41:$B$70,0)),"")</f>
        <v/>
      </c>
      <c r="C32" s="11">
        <f>IFERROR(INDEX(設定!$D$41:$D$70,MATCH($A32,設定!$B$41:$B$70,0)),"")</f>
        <v/>
      </c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</row>
    <row r="33" ht="18" customHeight="1">
      <c r="A33" s="18" t="n"/>
      <c r="B33" s="11">
        <f>IFERROR(INDEX(設定!$C$41:$C$70,MATCH($A33,設定!$B$41:$B$70,0)),"")</f>
        <v/>
      </c>
      <c r="C33" s="11">
        <f>IFERROR(INDEX(設定!$D$41:$D$70,MATCH($A33,設定!$B$41:$B$70,0)),"")</f>
        <v/>
      </c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</row>
    <row r="34" ht="18" customHeight="1">
      <c r="A34" s="18" t="n"/>
      <c r="B34" s="11">
        <f>IFERROR(INDEX(設定!$C$41:$C$70,MATCH($A34,設定!$B$41:$B$70,0)),"")</f>
        <v/>
      </c>
      <c r="C34" s="11">
        <f>IFERROR(INDEX(設定!$D$41:$D$70,MATCH($A34,設定!$B$41:$B$70,0)),"")</f>
        <v/>
      </c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</row>
    <row r="35" ht="18" customHeight="1">
      <c r="A35" s="18" t="n"/>
      <c r="B35" s="11">
        <f>IFERROR(INDEX(設定!$C$41:$C$70,MATCH($A35,設定!$B$41:$B$70,0)),"")</f>
        <v/>
      </c>
      <c r="C35" s="11">
        <f>IFERROR(INDEX(設定!$D$41:$D$70,MATCH($A35,設定!$B$41:$B$70,0)),"")</f>
        <v/>
      </c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</row>
    <row r="36">
      <c r="A36" s="2" t="inlineStr">
        <is>
          <t>人力檢核(自動計算)</t>
        </is>
      </c>
      <c r="B36" s="16" t="n"/>
      <c r="C36" s="17" t="n"/>
    </row>
    <row r="37">
      <c r="A37" s="2" t="inlineStr">
        <is>
          <t>當日醫師人數</t>
        </is>
      </c>
      <c r="B37" s="16" t="n"/>
      <c r="C37" s="17" t="n"/>
      <c r="D37" s="24">
        <f>IF(D$4="","",SUMPRODUCT(($C$6:$C$35="醫師")*(COUNTIF(設定!$B$5:$B$13,D$6:D$35)&gt;0)))</f>
        <v/>
      </c>
      <c r="E37" s="24">
        <f>IF(E$4="","",SUMPRODUCT(($C$6:$C$35="醫師")*(COUNTIF(設定!$B$5:$B$13,E$6:E$35)&gt;0)))</f>
        <v/>
      </c>
      <c r="F37" s="24">
        <f>IF(F$4="","",SUMPRODUCT(($C$6:$C$35="醫師")*(COUNTIF(設定!$B$5:$B$13,F$6:F$35)&gt;0)))</f>
        <v/>
      </c>
      <c r="G37" s="24">
        <f>IF(G$4="","",SUMPRODUCT(($C$6:$C$35="醫師")*(COUNTIF(設定!$B$5:$B$13,G$6:G$35)&gt;0)))</f>
        <v/>
      </c>
      <c r="H37" s="24">
        <f>IF(H$4="","",SUMPRODUCT(($C$6:$C$35="醫師")*(COUNTIF(設定!$B$5:$B$13,H$6:H$35)&gt;0)))</f>
        <v/>
      </c>
      <c r="I37" s="24">
        <f>IF(I$4="","",SUMPRODUCT(($C$6:$C$35="醫師")*(COUNTIF(設定!$B$5:$B$13,I$6:I$35)&gt;0)))</f>
        <v/>
      </c>
      <c r="J37" s="24">
        <f>IF(J$4="","",SUMPRODUCT(($C$6:$C$35="醫師")*(COUNTIF(設定!$B$5:$B$13,J$6:J$35)&gt;0)))</f>
        <v/>
      </c>
      <c r="K37" s="24">
        <f>IF(K$4="","",SUMPRODUCT(($C$6:$C$35="醫師")*(COUNTIF(設定!$B$5:$B$13,K$6:K$35)&gt;0)))</f>
        <v/>
      </c>
      <c r="L37" s="24">
        <f>IF(L$4="","",SUMPRODUCT(($C$6:$C$35="醫師")*(COUNTIF(設定!$B$5:$B$13,L$6:L$35)&gt;0)))</f>
        <v/>
      </c>
      <c r="M37" s="24">
        <f>IF(M$4="","",SUMPRODUCT(($C$6:$C$35="醫師")*(COUNTIF(設定!$B$5:$B$13,M$6:M$35)&gt;0)))</f>
        <v/>
      </c>
      <c r="N37" s="24">
        <f>IF(N$4="","",SUMPRODUCT(($C$6:$C$35="醫師")*(COUNTIF(設定!$B$5:$B$13,N$6:N$35)&gt;0)))</f>
        <v/>
      </c>
      <c r="O37" s="24">
        <f>IF(O$4="","",SUMPRODUCT(($C$6:$C$35="醫師")*(COUNTIF(設定!$B$5:$B$13,O$6:O$35)&gt;0)))</f>
        <v/>
      </c>
      <c r="P37" s="24">
        <f>IF(P$4="","",SUMPRODUCT(($C$6:$C$35="醫師")*(COUNTIF(設定!$B$5:$B$13,P$6:P$35)&gt;0)))</f>
        <v/>
      </c>
      <c r="Q37" s="24">
        <f>IF(Q$4="","",SUMPRODUCT(($C$6:$C$35="醫師")*(COUNTIF(設定!$B$5:$B$13,Q$6:Q$35)&gt;0)))</f>
        <v/>
      </c>
      <c r="R37" s="24">
        <f>IF(R$4="","",SUMPRODUCT(($C$6:$C$35="醫師")*(COUNTIF(設定!$B$5:$B$13,R$6:R$35)&gt;0)))</f>
        <v/>
      </c>
      <c r="S37" s="24">
        <f>IF(S$4="","",SUMPRODUCT(($C$6:$C$35="醫師")*(COUNTIF(設定!$B$5:$B$13,S$6:S$35)&gt;0)))</f>
        <v/>
      </c>
      <c r="T37" s="24">
        <f>IF(T$4="","",SUMPRODUCT(($C$6:$C$35="醫師")*(COUNTIF(設定!$B$5:$B$13,T$6:T$35)&gt;0)))</f>
        <v/>
      </c>
      <c r="U37" s="24">
        <f>IF(U$4="","",SUMPRODUCT(($C$6:$C$35="醫師")*(COUNTIF(設定!$B$5:$B$13,U$6:U$35)&gt;0)))</f>
        <v/>
      </c>
      <c r="V37" s="24">
        <f>IF(V$4="","",SUMPRODUCT(($C$6:$C$35="醫師")*(COUNTIF(設定!$B$5:$B$13,V$6:V$35)&gt;0)))</f>
        <v/>
      </c>
      <c r="W37" s="24">
        <f>IF(W$4="","",SUMPRODUCT(($C$6:$C$35="醫師")*(COUNTIF(設定!$B$5:$B$13,W$6:W$35)&gt;0)))</f>
        <v/>
      </c>
      <c r="X37" s="24">
        <f>IF(X$4="","",SUMPRODUCT(($C$6:$C$35="醫師")*(COUNTIF(設定!$B$5:$B$13,X$6:X$35)&gt;0)))</f>
        <v/>
      </c>
      <c r="Y37" s="24">
        <f>IF(Y$4="","",SUMPRODUCT(($C$6:$C$35="醫師")*(COUNTIF(設定!$B$5:$B$13,Y$6:Y$35)&gt;0)))</f>
        <v/>
      </c>
      <c r="Z37" s="24">
        <f>IF(Z$4="","",SUMPRODUCT(($C$6:$C$35="醫師")*(COUNTIF(設定!$B$5:$B$13,Z$6:Z$35)&gt;0)))</f>
        <v/>
      </c>
      <c r="AA37" s="24">
        <f>IF(AA$4="","",SUMPRODUCT(($C$6:$C$35="醫師")*(COUNTIF(設定!$B$5:$B$13,AA$6:AA$35)&gt;0)))</f>
        <v/>
      </c>
      <c r="AB37" s="24">
        <f>IF(AB$4="","",SUMPRODUCT(($C$6:$C$35="醫師")*(COUNTIF(設定!$B$5:$B$13,AB$6:AB$35)&gt;0)))</f>
        <v/>
      </c>
      <c r="AC37" s="24">
        <f>IF(AC$4="","",SUMPRODUCT(($C$6:$C$35="醫師")*(COUNTIF(設定!$B$5:$B$13,AC$6:AC$35)&gt;0)))</f>
        <v/>
      </c>
      <c r="AD37" s="24">
        <f>IF(AD$4="","",SUMPRODUCT(($C$6:$C$35="醫師")*(COUNTIF(設定!$B$5:$B$13,AD$6:AD$35)&gt;0)))</f>
        <v/>
      </c>
      <c r="AE37" s="24">
        <f>IF(AE$4="","",SUMPRODUCT(($C$6:$C$35="醫師")*(COUNTIF(設定!$B$5:$B$13,AE$6:AE$35)&gt;0)))</f>
        <v/>
      </c>
      <c r="AF37" s="24">
        <f>IF(AF$4="","",SUMPRODUCT(($C$6:$C$35="醫師")*(COUNTIF(設定!$B$5:$B$13,AF$6:AF$35)&gt;0)))</f>
        <v/>
      </c>
      <c r="AG37" s="24">
        <f>IF(AG$4="","",SUMPRODUCT(($C$6:$C$35="醫師")*(COUNTIF(設定!$B$5:$B$13,AG$6:AG$35)&gt;0)))</f>
        <v/>
      </c>
      <c r="AH37" s="24">
        <f>IF(AH$4="","",SUMPRODUCT(($C$6:$C$35="醫師")*(COUNTIF(設定!$B$5:$B$13,AH$6:AH$35)&gt;0)))</f>
        <v/>
      </c>
    </row>
    <row r="38">
      <c r="A38" s="2" t="inlineStr">
        <is>
          <t>當日助理/醫護長人數</t>
        </is>
      </c>
      <c r="B38" s="16" t="n"/>
      <c r="C38" s="17" t="n"/>
      <c r="D38" s="24">
        <f>IF(D$4="","",SUMPRODUCT((($C$6:$C$35="助理")+($C$6:$C$35="醫護長"))*(COUNTIF(設定!$B$5:$B$13,D$6:D$35)&gt;0)))</f>
        <v/>
      </c>
      <c r="E38" s="24">
        <f>IF(E$4="","",SUMPRODUCT((($C$6:$C$35="助理")+($C$6:$C$35="醫護長"))*(COUNTIF(設定!$B$5:$B$13,E$6:E$35)&gt;0)))</f>
        <v/>
      </c>
      <c r="F38" s="24">
        <f>IF(F$4="","",SUMPRODUCT((($C$6:$C$35="助理")+($C$6:$C$35="醫護長"))*(COUNTIF(設定!$B$5:$B$13,F$6:F$35)&gt;0)))</f>
        <v/>
      </c>
      <c r="G38" s="24">
        <f>IF(G$4="","",SUMPRODUCT((($C$6:$C$35="助理")+($C$6:$C$35="醫護長"))*(COUNTIF(設定!$B$5:$B$13,G$6:G$35)&gt;0)))</f>
        <v/>
      </c>
      <c r="H38" s="24">
        <f>IF(H$4="","",SUMPRODUCT((($C$6:$C$35="助理")+($C$6:$C$35="醫護長"))*(COUNTIF(設定!$B$5:$B$13,H$6:H$35)&gt;0)))</f>
        <v/>
      </c>
      <c r="I38" s="24">
        <f>IF(I$4="","",SUMPRODUCT((($C$6:$C$35="助理")+($C$6:$C$35="醫護長"))*(COUNTIF(設定!$B$5:$B$13,I$6:I$35)&gt;0)))</f>
        <v/>
      </c>
      <c r="J38" s="24">
        <f>IF(J$4="","",SUMPRODUCT((($C$6:$C$35="助理")+($C$6:$C$35="醫護長"))*(COUNTIF(設定!$B$5:$B$13,J$6:J$35)&gt;0)))</f>
        <v/>
      </c>
      <c r="K38" s="24">
        <f>IF(K$4="","",SUMPRODUCT((($C$6:$C$35="助理")+($C$6:$C$35="醫護長"))*(COUNTIF(設定!$B$5:$B$13,K$6:K$35)&gt;0)))</f>
        <v/>
      </c>
      <c r="L38" s="24">
        <f>IF(L$4="","",SUMPRODUCT((($C$6:$C$35="助理")+($C$6:$C$35="醫護長"))*(COUNTIF(設定!$B$5:$B$13,L$6:L$35)&gt;0)))</f>
        <v/>
      </c>
      <c r="M38" s="24">
        <f>IF(M$4="","",SUMPRODUCT((($C$6:$C$35="助理")+($C$6:$C$35="醫護長"))*(COUNTIF(設定!$B$5:$B$13,M$6:M$35)&gt;0)))</f>
        <v/>
      </c>
      <c r="N38" s="24">
        <f>IF(N$4="","",SUMPRODUCT((($C$6:$C$35="助理")+($C$6:$C$35="醫護長"))*(COUNTIF(設定!$B$5:$B$13,N$6:N$35)&gt;0)))</f>
        <v/>
      </c>
      <c r="O38" s="24">
        <f>IF(O$4="","",SUMPRODUCT((($C$6:$C$35="助理")+($C$6:$C$35="醫護長"))*(COUNTIF(設定!$B$5:$B$13,O$6:O$35)&gt;0)))</f>
        <v/>
      </c>
      <c r="P38" s="24">
        <f>IF(P$4="","",SUMPRODUCT((($C$6:$C$35="助理")+($C$6:$C$35="醫護長"))*(COUNTIF(設定!$B$5:$B$13,P$6:P$35)&gt;0)))</f>
        <v/>
      </c>
      <c r="Q38" s="24">
        <f>IF(Q$4="","",SUMPRODUCT((($C$6:$C$35="助理")+($C$6:$C$35="醫護長"))*(COUNTIF(設定!$B$5:$B$13,Q$6:Q$35)&gt;0)))</f>
        <v/>
      </c>
      <c r="R38" s="24">
        <f>IF(R$4="","",SUMPRODUCT((($C$6:$C$35="助理")+($C$6:$C$35="醫護長"))*(COUNTIF(設定!$B$5:$B$13,R$6:R$35)&gt;0)))</f>
        <v/>
      </c>
      <c r="S38" s="24">
        <f>IF(S$4="","",SUMPRODUCT((($C$6:$C$35="助理")+($C$6:$C$35="醫護長"))*(COUNTIF(設定!$B$5:$B$13,S$6:S$35)&gt;0)))</f>
        <v/>
      </c>
      <c r="T38" s="24">
        <f>IF(T$4="","",SUMPRODUCT((($C$6:$C$35="助理")+($C$6:$C$35="醫護長"))*(COUNTIF(設定!$B$5:$B$13,T$6:T$35)&gt;0)))</f>
        <v/>
      </c>
      <c r="U38" s="24">
        <f>IF(U$4="","",SUMPRODUCT((($C$6:$C$35="助理")+($C$6:$C$35="醫護長"))*(COUNTIF(設定!$B$5:$B$13,U$6:U$35)&gt;0)))</f>
        <v/>
      </c>
      <c r="V38" s="24">
        <f>IF(V$4="","",SUMPRODUCT((($C$6:$C$35="助理")+($C$6:$C$35="醫護長"))*(COUNTIF(設定!$B$5:$B$13,V$6:V$35)&gt;0)))</f>
        <v/>
      </c>
      <c r="W38" s="24">
        <f>IF(W$4="","",SUMPRODUCT((($C$6:$C$35="助理")+($C$6:$C$35="醫護長"))*(COUNTIF(設定!$B$5:$B$13,W$6:W$35)&gt;0)))</f>
        <v/>
      </c>
      <c r="X38" s="24">
        <f>IF(X$4="","",SUMPRODUCT((($C$6:$C$35="助理")+($C$6:$C$35="醫護長"))*(COUNTIF(設定!$B$5:$B$13,X$6:X$35)&gt;0)))</f>
        <v/>
      </c>
      <c r="Y38" s="24">
        <f>IF(Y$4="","",SUMPRODUCT((($C$6:$C$35="助理")+($C$6:$C$35="醫護長"))*(COUNTIF(設定!$B$5:$B$13,Y$6:Y$35)&gt;0)))</f>
        <v/>
      </c>
      <c r="Z38" s="24">
        <f>IF(Z$4="","",SUMPRODUCT((($C$6:$C$35="助理")+($C$6:$C$35="醫護長"))*(COUNTIF(設定!$B$5:$B$13,Z$6:Z$35)&gt;0)))</f>
        <v/>
      </c>
      <c r="AA38" s="24">
        <f>IF(AA$4="","",SUMPRODUCT((($C$6:$C$35="助理")+($C$6:$C$35="醫護長"))*(COUNTIF(設定!$B$5:$B$13,AA$6:AA$35)&gt;0)))</f>
        <v/>
      </c>
      <c r="AB38" s="24">
        <f>IF(AB$4="","",SUMPRODUCT((($C$6:$C$35="助理")+($C$6:$C$35="醫護長"))*(COUNTIF(設定!$B$5:$B$13,AB$6:AB$35)&gt;0)))</f>
        <v/>
      </c>
      <c r="AC38" s="24">
        <f>IF(AC$4="","",SUMPRODUCT((($C$6:$C$35="助理")+($C$6:$C$35="醫護長"))*(COUNTIF(設定!$B$5:$B$13,AC$6:AC$35)&gt;0)))</f>
        <v/>
      </c>
      <c r="AD38" s="24">
        <f>IF(AD$4="","",SUMPRODUCT((($C$6:$C$35="助理")+($C$6:$C$35="醫護長"))*(COUNTIF(設定!$B$5:$B$13,AD$6:AD$35)&gt;0)))</f>
        <v/>
      </c>
      <c r="AE38" s="24">
        <f>IF(AE$4="","",SUMPRODUCT((($C$6:$C$35="助理")+($C$6:$C$35="醫護長"))*(COUNTIF(設定!$B$5:$B$13,AE$6:AE$35)&gt;0)))</f>
        <v/>
      </c>
      <c r="AF38" s="24">
        <f>IF(AF$4="","",SUMPRODUCT((($C$6:$C$35="助理")+($C$6:$C$35="醫護長"))*(COUNTIF(設定!$B$5:$B$13,AF$6:AF$35)&gt;0)))</f>
        <v/>
      </c>
      <c r="AG38" s="24">
        <f>IF(AG$4="","",SUMPRODUCT((($C$6:$C$35="助理")+($C$6:$C$35="醫護長"))*(COUNTIF(設定!$B$5:$B$13,AG$6:AG$35)&gt;0)))</f>
        <v/>
      </c>
      <c r="AH38" s="24">
        <f>IF(AH$4="","",SUMPRODUCT((($C$6:$C$35="助理")+($C$6:$C$35="醫護長"))*(COUNTIF(設定!$B$5:$B$13,AH$6:AH$35)&gt;0)))</f>
        <v/>
      </c>
    </row>
    <row r="39">
      <c r="A39" s="2" t="inlineStr">
        <is>
          <t>當日總人力</t>
        </is>
      </c>
      <c r="B39" s="16" t="n"/>
      <c r="C39" s="17" t="n"/>
      <c r="D39" s="24">
        <f>IF(D$4="","",D37+D38)</f>
        <v/>
      </c>
      <c r="E39" s="24">
        <f>IF(E$4="","",E37+E38)</f>
        <v/>
      </c>
      <c r="F39" s="24">
        <f>IF(F$4="","",F37+F38)</f>
        <v/>
      </c>
      <c r="G39" s="24">
        <f>IF(G$4="","",G37+G38)</f>
        <v/>
      </c>
      <c r="H39" s="24">
        <f>IF(H$4="","",H37+H38)</f>
        <v/>
      </c>
      <c r="I39" s="24">
        <f>IF(I$4="","",I37+I38)</f>
        <v/>
      </c>
      <c r="J39" s="24">
        <f>IF(J$4="","",J37+J38)</f>
        <v/>
      </c>
      <c r="K39" s="24">
        <f>IF(K$4="","",K37+K38)</f>
        <v/>
      </c>
      <c r="L39" s="24">
        <f>IF(L$4="","",L37+L38)</f>
        <v/>
      </c>
      <c r="M39" s="24">
        <f>IF(M$4="","",M37+M38)</f>
        <v/>
      </c>
      <c r="N39" s="24">
        <f>IF(N$4="","",N37+N38)</f>
        <v/>
      </c>
      <c r="O39" s="24">
        <f>IF(O$4="","",O37+O38)</f>
        <v/>
      </c>
      <c r="P39" s="24">
        <f>IF(P$4="","",P37+P38)</f>
        <v/>
      </c>
      <c r="Q39" s="24">
        <f>IF(Q$4="","",Q37+Q38)</f>
        <v/>
      </c>
      <c r="R39" s="24">
        <f>IF(R$4="","",R37+R38)</f>
        <v/>
      </c>
      <c r="S39" s="24">
        <f>IF(S$4="","",S37+S38)</f>
        <v/>
      </c>
      <c r="T39" s="24">
        <f>IF(T$4="","",T37+T38)</f>
        <v/>
      </c>
      <c r="U39" s="24">
        <f>IF(U$4="","",U37+U38)</f>
        <v/>
      </c>
      <c r="V39" s="24">
        <f>IF(V$4="","",V37+V38)</f>
        <v/>
      </c>
      <c r="W39" s="24">
        <f>IF(W$4="","",W37+W38)</f>
        <v/>
      </c>
      <c r="X39" s="24">
        <f>IF(X$4="","",X37+X38)</f>
        <v/>
      </c>
      <c r="Y39" s="24">
        <f>IF(Y$4="","",Y37+Y38)</f>
        <v/>
      </c>
      <c r="Z39" s="24">
        <f>IF(Z$4="","",Z37+Z38)</f>
        <v/>
      </c>
      <c r="AA39" s="24">
        <f>IF(AA$4="","",AA37+AA38)</f>
        <v/>
      </c>
      <c r="AB39" s="24">
        <f>IF(AB$4="","",AB37+AB38)</f>
        <v/>
      </c>
      <c r="AC39" s="24">
        <f>IF(AC$4="","",AC37+AC38)</f>
        <v/>
      </c>
      <c r="AD39" s="24">
        <f>IF(AD$4="","",AD37+AD38)</f>
        <v/>
      </c>
      <c r="AE39" s="24">
        <f>IF(AE$4="","",AE37+AE38)</f>
        <v/>
      </c>
      <c r="AF39" s="24">
        <f>IF(AF$4="","",AF37+AF38)</f>
        <v/>
      </c>
      <c r="AG39" s="24">
        <f>IF(AG$4="","",AG37+AG38)</f>
        <v/>
      </c>
      <c r="AH39" s="24">
        <f>IF(AH$4="","",AH37+AH38)</f>
        <v/>
      </c>
    </row>
    <row r="41">
      <c r="A41" s="12" t="inlineStr">
        <is>
          <t>※ 門檻:有看診的日子至少 1 位醫師、2 位助理/醫護長,低於門檻自動變紅;全院休診日不示警。要調門檻請改第 37~38 列的條件式格式。</t>
        </is>
      </c>
    </row>
  </sheetData>
  <mergeCells count="8">
    <mergeCell ref="A36:C36"/>
    <mergeCell ref="B4:B5"/>
    <mergeCell ref="C4:C5"/>
    <mergeCell ref="A4:A5"/>
    <mergeCell ref="A37:C37"/>
    <mergeCell ref="A1:AH1"/>
    <mergeCell ref="A39:C39"/>
    <mergeCell ref="A38:C38"/>
  </mergeCells>
  <conditionalFormatting sqref="D6:AH35">
    <cfRule type="expression" priority="1" dxfId="0" stopIfTrue="1">
      <formula>AND(D$4&lt;&gt;"",D6="")</formula>
    </cfRule>
    <cfRule type="expression" priority="2" dxfId="1" stopIfTrue="1">
      <formula>D6="支"</formula>
    </cfRule>
    <cfRule type="expression" priority="3" dxfId="2" stopIfTrue="1">
      <formula>COUNTIF(設定!$B$14:$B$20,D6)&gt;0</formula>
    </cfRule>
    <cfRule type="expression" priority="4" dxfId="3">
      <formula>OR(D$5="六",D$5="日")</formula>
    </cfRule>
  </conditionalFormatting>
  <conditionalFormatting sqref="D4:AH5">
    <cfRule type="expression" priority="5" dxfId="3">
      <formula>OR(D$5="六",D$5="日")</formula>
    </cfRule>
  </conditionalFormatting>
  <conditionalFormatting sqref="D37:AH37">
    <cfRule type="expression" priority="6" dxfId="4">
      <formula>AND(D$4&lt;&gt;"",D39&gt;0,D37&lt;1)</formula>
    </cfRule>
  </conditionalFormatting>
  <conditionalFormatting sqref="D38:AH38">
    <cfRule type="expression" priority="7" dxfId="4">
      <formula>AND(D$4&lt;&gt;"",D37&gt;0,D38&lt;2)</formula>
    </cfRule>
  </conditionalFormatting>
  <dataValidations count="3">
    <dataValidation sqref="D6:AH35" showDropDown="0" showInputMessage="0" showErrorMessage="1" allowBlank="1" errorTitle="班別代碼無效" error="請從下拉選單選擇「設定」分頁定義的班別代碼。" type="list">
      <formula1>設定!$B$5:$B$20</formula1>
    </dataValidation>
    <dataValidation sqref="A6:A35" showDropDown="0" showInputMessage="0" showErrorMessage="0" allowBlank="1" type="list">
      <formula1>設定!$B$41:$B$70</formula1>
    </dataValidation>
    <dataValidation sqref="B2" showDropDown="0" showInputMessage="0" showErrorMessage="0" allowBlank="1" type="list">
      <formula1>設定!$C$32:$C$37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2" customWidth="1" min="8" max="8"/>
  </cols>
  <sheetData>
    <row r="1">
      <c r="A1" s="1" t="inlineStr">
        <is>
          <t>打卡匯入(把打卡機匯出的資料貼在下面四欄)</t>
        </is>
      </c>
      <c r="H1" s="25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5" t="inlineStr">
        <is>
          <t>員工編號</t>
        </is>
      </c>
      <c r="B2" s="5" t="inlineStr">
        <is>
          <t>日期</t>
        </is>
      </c>
      <c r="C2" s="5" t="inlineStr">
        <is>
          <t>上班時間</t>
        </is>
      </c>
      <c r="D2" s="5" t="inlineStr">
        <is>
          <t>下班時間</t>
        </is>
      </c>
      <c r="E2" s="5" t="inlineStr">
        <is>
          <t>對照鍵(自動)</t>
        </is>
      </c>
      <c r="F2" s="5" t="inlineStr">
        <is>
          <t>檢核(自動)</t>
        </is>
      </c>
    </row>
    <row r="3">
      <c r="A3" s="26" t="inlineStr">
        <is>
          <t>A001</t>
        </is>
      </c>
      <c r="B3" s="27" t="n">
        <v>46296</v>
      </c>
      <c r="C3" s="28" t="n">
        <v>0.5201388888888889</v>
      </c>
      <c r="D3" s="28" t="n">
        <v>0.90625</v>
      </c>
      <c r="E3" s="29">
        <f>IF($A3="","",$A3&amp;"|"&amp;DAY($B3))</f>
        <v/>
      </c>
      <c r="F3" s="29">
        <f>IF($A3="","",IF(COUNTIF(設定!$B$41:$B$70,$A3)=0,"⚠ 查無員編",IF(COUNTIF($E$3:$E$1002,$E3)&gt;1,"⚠ 重複打卡","OK")))</f>
        <v/>
      </c>
    </row>
    <row r="4">
      <c r="A4" s="26" t="inlineStr">
        <is>
          <t>A002</t>
        </is>
      </c>
      <c r="B4" s="27" t="n">
        <v>46296</v>
      </c>
      <c r="C4" s="28" t="n">
        <v>0.375</v>
      </c>
      <c r="D4" s="28" t="n">
        <v>0.7527777777777778</v>
      </c>
      <c r="E4" s="29">
        <f>IF($A4="","",$A4&amp;"|"&amp;DAY($B4))</f>
        <v/>
      </c>
      <c r="F4" s="29">
        <f>IF($A4="","",IF(COUNTIF(設定!$B$41:$B$70,$A4)=0,"⚠ 查無員編",IF(COUNTIF($E$3:$E$1002,$E4)&gt;1,"⚠ 重複打卡","OK")))</f>
        <v/>
      </c>
    </row>
    <row r="5">
      <c r="A5" s="26" t="inlineStr">
        <is>
          <t>A003</t>
        </is>
      </c>
      <c r="B5" s="27" t="n">
        <v>46296</v>
      </c>
      <c r="C5" s="28" t="n">
        <v>0.5180555555555556</v>
      </c>
      <c r="D5" s="28" t="n">
        <v>0.9076388888888889</v>
      </c>
      <c r="E5" s="29">
        <f>IF($A5="","",$A5&amp;"|"&amp;DAY($B5))</f>
        <v/>
      </c>
      <c r="F5" s="29">
        <f>IF($A5="","",IF(COUNTIF(設定!$B$41:$B$70,$A5)=0,"⚠ 查無員編",IF(COUNTIF($E$3:$E$1002,$E5)&gt;1,"⚠ 重複打卡","OK")))</f>
        <v/>
      </c>
    </row>
    <row r="6">
      <c r="A6" s="26" t="inlineStr">
        <is>
          <t>A005</t>
        </is>
      </c>
      <c r="B6" s="27" t="n">
        <v>46296</v>
      </c>
      <c r="C6" s="28" t="n">
        <v>0.5180555555555556</v>
      </c>
      <c r="D6" s="28" t="n">
        <v>0.9048611111111111</v>
      </c>
      <c r="E6" s="29">
        <f>IF($A6="","",$A6&amp;"|"&amp;DAY($B6))</f>
        <v/>
      </c>
      <c r="F6" s="29">
        <f>IF($A6="","",IF(COUNTIF(設定!$B$41:$B$70,$A6)=0,"⚠ 查無員編",IF(COUNTIF($E$3:$E$1002,$E6)&gt;1,"⚠ 重複打卡","OK")))</f>
        <v/>
      </c>
    </row>
    <row r="7">
      <c r="A7" s="26" t="inlineStr">
        <is>
          <t>D001</t>
        </is>
      </c>
      <c r="B7" s="27" t="n">
        <v>46296</v>
      </c>
      <c r="C7" s="28" t="n">
        <v>0.3729166666666667</v>
      </c>
      <c r="D7" s="28" t="n">
        <v>0.5069444444444444</v>
      </c>
      <c r="E7" s="29">
        <f>IF($A7="","",$A7&amp;"|"&amp;DAY($B7))</f>
        <v/>
      </c>
      <c r="F7" s="29">
        <f>IF($A7="","",IF(COUNTIF(設定!$B$41:$B$70,$A7)=0,"⚠ 查無員編",IF(COUNTIF($E$3:$E$1002,$E7)&gt;1,"⚠ 重複打卡","OK")))</f>
        <v/>
      </c>
    </row>
    <row r="8">
      <c r="A8" s="26" t="inlineStr">
        <is>
          <t>D002</t>
        </is>
      </c>
      <c r="B8" s="27" t="n">
        <v>46296</v>
      </c>
      <c r="C8" s="28" t="n">
        <v>0.5791666666666667</v>
      </c>
      <c r="D8" s="28" t="n">
        <v>0.7118055555555556</v>
      </c>
      <c r="E8" s="29">
        <f>IF($A8="","",$A8&amp;"|"&amp;DAY($B8))</f>
        <v/>
      </c>
      <c r="F8" s="29">
        <f>IF($A8="","",IF(COUNTIF(設定!$B$41:$B$70,$A8)=0,"⚠ 查無員編",IF(COUNTIF($E$3:$E$1002,$E8)&gt;1,"⚠ 重複打卡","OK")))</f>
        <v/>
      </c>
    </row>
    <row r="9">
      <c r="A9" s="26" t="inlineStr">
        <is>
          <t>D003</t>
        </is>
      </c>
      <c r="B9" s="27" t="n">
        <v>46296</v>
      </c>
      <c r="C9" s="28" t="n">
        <v>0.7479166666666667</v>
      </c>
      <c r="D9" s="28" t="n">
        <v>0.8798611111111111</v>
      </c>
      <c r="E9" s="29">
        <f>IF($A9="","",$A9&amp;"|"&amp;DAY($B9))</f>
        <v/>
      </c>
      <c r="F9" s="29">
        <f>IF($A9="","",IF(COUNTIF(設定!$B$41:$B$70,$A9)=0,"⚠ 查無員編",IF(COUNTIF($E$3:$E$1002,$E9)&gt;1,"⚠ 重複打卡","OK")))</f>
        <v/>
      </c>
    </row>
    <row r="10">
      <c r="A10" s="26" t="inlineStr">
        <is>
          <t>N001</t>
        </is>
      </c>
      <c r="B10" s="27" t="n">
        <v>46296</v>
      </c>
      <c r="C10" s="28" t="n">
        <v>0.3729166666666667</v>
      </c>
      <c r="D10" s="28" t="n">
        <v>0.7548611111111111</v>
      </c>
      <c r="E10" s="29">
        <f>IF($A10="","",$A10&amp;"|"&amp;DAY($B10))</f>
        <v/>
      </c>
      <c r="F10" s="29">
        <f>IF($A10="","",IF(COUNTIF(設定!$B$41:$B$70,$A10)=0,"⚠ 查無員編",IF(COUNTIF($E$3:$E$1002,$E10)&gt;1,"⚠ 重複打卡","OK")))</f>
        <v/>
      </c>
    </row>
    <row r="11">
      <c r="A11" s="26" t="inlineStr">
        <is>
          <t>A001</t>
        </is>
      </c>
      <c r="B11" s="27" t="n">
        <v>46297</v>
      </c>
      <c r="C11" s="28" t="n">
        <v>0.3875</v>
      </c>
      <c r="D11" s="28" t="n">
        <v>0.7527777777777778</v>
      </c>
      <c r="E11" s="29">
        <f>IF($A11="","",$A11&amp;"|"&amp;DAY($B11))</f>
        <v/>
      </c>
      <c r="F11" s="29">
        <f>IF($A11="","",IF(COUNTIF(設定!$B$41:$B$70,$A11)=0,"⚠ 查無員編",IF(COUNTIF($E$3:$E$1002,$E11)&gt;1,"⚠ 重複打卡","OK")))</f>
        <v/>
      </c>
    </row>
    <row r="12">
      <c r="A12" s="26" t="inlineStr">
        <is>
          <t>A002</t>
        </is>
      </c>
      <c r="B12" s="27" t="n">
        <v>46297</v>
      </c>
      <c r="C12" s="28" t="n">
        <v>0.5208333333333334</v>
      </c>
      <c r="D12" s="28" t="n">
        <v>0.8611111111111112</v>
      </c>
      <c r="E12" s="29">
        <f>IF($A12="","",$A12&amp;"|"&amp;DAY($B12))</f>
        <v/>
      </c>
      <c r="F12" s="29">
        <f>IF($A12="","",IF(COUNTIF(設定!$B$41:$B$70,$A12)=0,"⚠ 查無員編",IF(COUNTIF($E$3:$E$1002,$E12)&gt;1,"⚠ 重複打卡","OK")))</f>
        <v/>
      </c>
    </row>
    <row r="13">
      <c r="A13" s="26" t="inlineStr">
        <is>
          <t>A003</t>
        </is>
      </c>
      <c r="B13" s="27" t="n">
        <v>46297</v>
      </c>
      <c r="C13" s="28" t="n">
        <v>0.3743055555555556</v>
      </c>
      <c r="D13" s="28" t="n">
        <v>0.7569444444444444</v>
      </c>
      <c r="E13" s="29">
        <f>IF($A13="","",$A13&amp;"|"&amp;DAY($B13))</f>
        <v/>
      </c>
      <c r="F13" s="29">
        <f>IF($A13="","",IF(COUNTIF(設定!$B$41:$B$70,$A13)=0,"⚠ 查無員編",IF(COUNTIF($E$3:$E$1002,$E13)&gt;1,"⚠ 重複打卡","OK")))</f>
        <v/>
      </c>
    </row>
    <row r="14">
      <c r="A14" s="26" t="inlineStr">
        <is>
          <t>A004</t>
        </is>
      </c>
      <c r="B14" s="27" t="n">
        <v>46297</v>
      </c>
      <c r="C14" s="28" t="n">
        <v>0.5194444444444445</v>
      </c>
      <c r="D14" s="28" t="n">
        <v>0.9027777777777778</v>
      </c>
      <c r="E14" s="29">
        <f>IF($A14="","",$A14&amp;"|"&amp;DAY($B14))</f>
        <v/>
      </c>
      <c r="F14" s="29">
        <f>IF($A14="","",IF(COUNTIF(設定!$B$41:$B$70,$A14)=0,"⚠ 查無員編",IF(COUNTIF($E$3:$E$1002,$E14)&gt;1,"⚠ 重複打卡","OK")))</f>
        <v/>
      </c>
    </row>
    <row r="15">
      <c r="A15" s="26" t="inlineStr">
        <is>
          <t>D001</t>
        </is>
      </c>
      <c r="B15" s="27" t="n">
        <v>46297</v>
      </c>
      <c r="C15" s="28" t="n">
        <v>0.5798611111111112</v>
      </c>
      <c r="D15" s="28" t="n">
        <v>0.7194444444444444</v>
      </c>
      <c r="E15" s="29">
        <f>IF($A15="","",$A15&amp;"|"&amp;DAY($B15))</f>
        <v/>
      </c>
      <c r="F15" s="29">
        <f>IF($A15="","",IF(COUNTIF(設定!$B$41:$B$70,$A15)=0,"⚠ 查無員編",IF(COUNTIF($E$3:$E$1002,$E15)&gt;1,"⚠ 重複打卡","OK")))</f>
        <v/>
      </c>
    </row>
    <row r="16">
      <c r="A16" s="26" t="inlineStr">
        <is>
          <t>D002</t>
        </is>
      </c>
      <c r="B16" s="27" t="n">
        <v>46297</v>
      </c>
      <c r="C16" s="28" t="n">
        <v>0.7472222222222222</v>
      </c>
      <c r="D16" s="28" t="n">
        <v>0.8756944444444444</v>
      </c>
      <c r="E16" s="29">
        <f>IF($A16="","",$A16&amp;"|"&amp;DAY($B16))</f>
        <v/>
      </c>
      <c r="F16" s="29">
        <f>IF($A16="","",IF(COUNTIF(設定!$B$41:$B$70,$A16)=0,"⚠ 查無員編",IF(COUNTIF($E$3:$E$1002,$E16)&gt;1,"⚠ 重複打卡","OK")))</f>
        <v/>
      </c>
    </row>
    <row r="17">
      <c r="A17" s="26" t="inlineStr">
        <is>
          <t>N001</t>
        </is>
      </c>
      <c r="B17" s="27" t="n">
        <v>46297</v>
      </c>
      <c r="C17" s="28" t="n">
        <v>0.375</v>
      </c>
      <c r="D17" s="28" t="n">
        <v>0.7583333333333333</v>
      </c>
      <c r="E17" s="29">
        <f>IF($A17="","",$A17&amp;"|"&amp;DAY($B17))</f>
        <v/>
      </c>
      <c r="F17" s="29">
        <f>IF($A17="","",IF(COUNTIF(設定!$B$41:$B$70,$A17)=0,"⚠ 查無員編",IF(COUNTIF($E$3:$E$1002,$E17)&gt;1,"⚠ 重複打卡","OK")))</f>
        <v/>
      </c>
    </row>
    <row r="18">
      <c r="A18" s="26" t="inlineStr">
        <is>
          <t>A001</t>
        </is>
      </c>
      <c r="B18" s="27" t="n">
        <v>46298</v>
      </c>
      <c r="C18" s="28" t="n">
        <v>0.5194444444444445</v>
      </c>
      <c r="D18" s="28" t="n">
        <v>0.9027777777777778</v>
      </c>
      <c r="E18" s="29">
        <f>IF($A18="","",$A18&amp;"|"&amp;DAY($B18))</f>
        <v/>
      </c>
      <c r="F18" s="29">
        <f>IF($A18="","",IF(COUNTIF(設定!$B$41:$B$70,$A18)=0,"⚠ 查無員編",IF(COUNTIF($E$3:$E$1002,$E18)&gt;1,"⚠ 重複打卡","OK")))</f>
        <v/>
      </c>
    </row>
    <row r="19">
      <c r="A19" s="26" t="inlineStr">
        <is>
          <t>A002</t>
        </is>
      </c>
      <c r="B19" s="27" t="n">
        <v>46298</v>
      </c>
      <c r="C19" s="28" t="n">
        <v>0.3736111111111111</v>
      </c>
      <c r="D19" s="28" t="n">
        <v>0.7590277777777777</v>
      </c>
      <c r="E19" s="29">
        <f>IF($A19="","",$A19&amp;"|"&amp;DAY($B19))</f>
        <v/>
      </c>
      <c r="F19" s="29">
        <f>IF($A19="","",IF(COUNTIF(設定!$B$41:$B$70,$A19)=0,"⚠ 查無員編",IF(COUNTIF($E$3:$E$1002,$E19)&gt;1,"⚠ 重複打卡","OK")))</f>
        <v/>
      </c>
    </row>
    <row r="20">
      <c r="A20" s="26" t="inlineStr">
        <is>
          <t>A003</t>
        </is>
      </c>
      <c r="B20" s="27" t="n">
        <v>46298</v>
      </c>
      <c r="C20" s="28" t="n">
        <v>0.5194444444444445</v>
      </c>
      <c r="D20" s="28" t="n">
        <v>0.8972222222222223</v>
      </c>
      <c r="E20" s="29">
        <f>IF($A20="","",$A20&amp;"|"&amp;DAY($B20))</f>
        <v/>
      </c>
      <c r="F20" s="29">
        <f>IF($A20="","",IF(COUNTIF(設定!$B$41:$B$70,$A20)=0,"⚠ 查無員編",IF(COUNTIF($E$3:$E$1002,$E20)&gt;1,"⚠ 重複打卡","OK")))</f>
        <v/>
      </c>
    </row>
    <row r="21">
      <c r="A21" s="26" t="inlineStr">
        <is>
          <t>A004</t>
        </is>
      </c>
      <c r="B21" s="27" t="n">
        <v>46298</v>
      </c>
      <c r="C21" s="28" t="n">
        <v>0.3722222222222222</v>
      </c>
      <c r="D21" s="28" t="n">
        <v>0.7597222222222222</v>
      </c>
      <c r="E21" s="29">
        <f>IF($A21="","",$A21&amp;"|"&amp;DAY($B21))</f>
        <v/>
      </c>
      <c r="F21" s="29">
        <f>IF($A21="","",IF(COUNTIF(設定!$B$41:$B$70,$A21)=0,"⚠ 查無員編",IF(COUNTIF($E$3:$E$1002,$E21)&gt;1,"⚠ 重複打卡","OK")))</f>
        <v/>
      </c>
    </row>
    <row r="22">
      <c r="A22" s="26" t="inlineStr">
        <is>
          <t>A005</t>
        </is>
      </c>
      <c r="B22" s="27" t="n">
        <v>46298</v>
      </c>
      <c r="C22" s="28" t="n">
        <v>0.5159722222222223</v>
      </c>
      <c r="D22" s="28" t="n">
        <v>0.9027777777777778</v>
      </c>
      <c r="E22" s="29">
        <f>IF($A22="","",$A22&amp;"|"&amp;DAY($B22))</f>
        <v/>
      </c>
      <c r="F22" s="29">
        <f>IF($A22="","",IF(COUNTIF(設定!$B$41:$B$70,$A22)=0,"⚠ 查無員編",IF(COUNTIF($E$3:$E$1002,$E22)&gt;1,"⚠ 重複打卡","OK")))</f>
        <v/>
      </c>
    </row>
    <row r="23">
      <c r="A23" s="26" t="inlineStr">
        <is>
          <t>D001</t>
        </is>
      </c>
      <c r="B23" s="27" t="n">
        <v>46298</v>
      </c>
      <c r="C23" s="28" t="n">
        <v>0.7458333333333333</v>
      </c>
      <c r="D23" s="28" t="n">
        <v>0.8770833333333333</v>
      </c>
      <c r="E23" s="29">
        <f>IF($A23="","",$A23&amp;"|"&amp;DAY($B23))</f>
        <v/>
      </c>
      <c r="F23" s="29">
        <f>IF($A23="","",IF(COUNTIF(設定!$B$41:$B$70,$A23)=0,"⚠ 查無員編",IF(COUNTIF($E$3:$E$1002,$E23)&gt;1,"⚠ 重複打卡","OK")))</f>
        <v/>
      </c>
    </row>
    <row r="24">
      <c r="A24" s="26" t="inlineStr">
        <is>
          <t>D002</t>
        </is>
      </c>
      <c r="B24" s="27" t="n">
        <v>46298</v>
      </c>
      <c r="C24" s="28" t="n">
        <v>0.3701388888888889</v>
      </c>
      <c r="D24" s="28" t="n">
        <v>0.7180555555555556</v>
      </c>
      <c r="E24" s="29">
        <f>IF($A24="","",$A24&amp;"|"&amp;DAY($B24))</f>
        <v/>
      </c>
      <c r="F24" s="29">
        <f>IF($A24="","",IF(COUNTIF(設定!$B$41:$B$70,$A24)=0,"⚠ 查無員編",IF(COUNTIF($E$3:$E$1002,$E24)&gt;1,"⚠ 重複打卡","OK")))</f>
        <v/>
      </c>
    </row>
    <row r="25">
      <c r="A25" s="26" t="inlineStr">
        <is>
          <t>D003</t>
        </is>
      </c>
      <c r="B25" s="27" t="n">
        <v>46298</v>
      </c>
      <c r="C25" s="28" t="n">
        <v>0.5833333333333334</v>
      </c>
      <c r="D25" s="28" t="n">
        <v>0.7194444444444444</v>
      </c>
      <c r="E25" s="29">
        <f>IF($A25="","",$A25&amp;"|"&amp;DAY($B25))</f>
        <v/>
      </c>
      <c r="F25" s="29">
        <f>IF($A25="","",IF(COUNTIF(設定!$B$41:$B$70,$A25)=0,"⚠ 查無員編",IF(COUNTIF($E$3:$E$1002,$E25)&gt;1,"⚠ 重複打卡","OK")))</f>
        <v/>
      </c>
    </row>
    <row r="26">
      <c r="A26" s="26" t="inlineStr">
        <is>
          <t>N001</t>
        </is>
      </c>
      <c r="B26" s="27" t="n">
        <v>46298</v>
      </c>
      <c r="C26" s="28" t="n">
        <v>0.375</v>
      </c>
      <c r="D26" s="28" t="n">
        <v>0.7541666666666667</v>
      </c>
      <c r="E26" s="29">
        <f>IF($A26="","",$A26&amp;"|"&amp;DAY($B26))</f>
        <v/>
      </c>
      <c r="F26" s="29">
        <f>IF($A26="","",IF(COUNTIF(設定!$B$41:$B$70,$A26)=0,"⚠ 查無員編",IF(COUNTIF($E$3:$E$1002,$E26)&gt;1,"⚠ 重複打卡","OK")))</f>
        <v/>
      </c>
    </row>
    <row r="27">
      <c r="A27" s="26" t="inlineStr">
        <is>
          <t>A002</t>
        </is>
      </c>
      <c r="B27" s="27" t="n">
        <v>46300</v>
      </c>
      <c r="C27" s="28" t="n">
        <v>0.3701388888888889</v>
      </c>
      <c r="D27" s="28" t="n">
        <v>0.7583333333333333</v>
      </c>
      <c r="E27" s="29">
        <f>IF($A27="","",$A27&amp;"|"&amp;DAY($B27))</f>
        <v/>
      </c>
      <c r="F27" s="29">
        <f>IF($A27="","",IF(COUNTIF(設定!$B$41:$B$70,$A27)=0,"⚠ 查無員編",IF(COUNTIF($E$3:$E$1002,$E27)&gt;1,"⚠ 重複打卡","OK")))</f>
        <v/>
      </c>
    </row>
    <row r="28">
      <c r="A28" s="26" t="inlineStr">
        <is>
          <t>A003</t>
        </is>
      </c>
      <c r="B28" s="27" t="n">
        <v>46300</v>
      </c>
      <c r="C28" s="28" t="n">
        <v>0.5173611111111112</v>
      </c>
      <c r="D28" s="28" t="n">
        <v>0.9041666666666667</v>
      </c>
      <c r="E28" s="29">
        <f>IF($A28="","",$A28&amp;"|"&amp;DAY($B28))</f>
        <v/>
      </c>
      <c r="F28" s="29">
        <f>IF($A28="","",IF(COUNTIF(設定!$B$41:$B$70,$A28)=0,"⚠ 查無員編",IF(COUNTIF($E$3:$E$1002,$E28)&gt;1,"⚠ 重複打卡","OK")))</f>
        <v/>
      </c>
    </row>
    <row r="29">
      <c r="A29" s="26" t="inlineStr">
        <is>
          <t>A004</t>
        </is>
      </c>
      <c r="B29" s="27" t="n">
        <v>46300</v>
      </c>
      <c r="C29" s="28" t="n">
        <v>0.3736111111111111</v>
      </c>
      <c r="D29" s="28" t="n">
        <v>0.8541666666666666</v>
      </c>
      <c r="E29" s="29">
        <f>IF($A29="","",$A29&amp;"|"&amp;DAY($B29))</f>
        <v/>
      </c>
      <c r="F29" s="29">
        <f>IF($A29="","",IF(COUNTIF(設定!$B$41:$B$70,$A29)=0,"⚠ 查無員編",IF(COUNTIF($E$3:$E$1002,$E29)&gt;1,"⚠ 重複打卡","OK")))</f>
        <v/>
      </c>
    </row>
    <row r="30">
      <c r="A30" s="26" t="inlineStr">
        <is>
          <t>A005</t>
        </is>
      </c>
      <c r="B30" s="27" t="n">
        <v>46300</v>
      </c>
      <c r="C30" s="28" t="n">
        <v>0.5208333333333334</v>
      </c>
      <c r="D30" s="28" t="n">
        <v>0.9027777777777778</v>
      </c>
      <c r="E30" s="29">
        <f>IF($A30="","",$A30&amp;"|"&amp;DAY($B30))</f>
        <v/>
      </c>
      <c r="F30" s="29">
        <f>IF($A30="","",IF(COUNTIF(設定!$B$41:$B$70,$A30)=0,"⚠ 查無員編",IF(COUNTIF($E$3:$E$1002,$E30)&gt;1,"⚠ 重複打卡","OK")))</f>
        <v/>
      </c>
    </row>
    <row r="31">
      <c r="A31" s="26" t="inlineStr">
        <is>
          <t>D002</t>
        </is>
      </c>
      <c r="B31" s="27" t="n">
        <v>46300</v>
      </c>
      <c r="C31" s="28" t="n">
        <v>0.375</v>
      </c>
      <c r="D31" s="28" t="n">
        <v>0.7208333333333333</v>
      </c>
      <c r="E31" s="29">
        <f>IF($A31="","",$A31&amp;"|"&amp;DAY($B31))</f>
        <v/>
      </c>
      <c r="F31" s="29">
        <f>IF($A31="","",IF(COUNTIF(設定!$B$41:$B$70,$A31)=0,"⚠ 查無員編",IF(COUNTIF($E$3:$E$1002,$E31)&gt;1,"⚠ 重複打卡","OK")))</f>
        <v/>
      </c>
    </row>
    <row r="32">
      <c r="A32" s="26" t="inlineStr">
        <is>
          <t>D003</t>
        </is>
      </c>
      <c r="B32" s="27" t="n">
        <v>46300</v>
      </c>
      <c r="C32" s="28" t="n">
        <v>0.3708333333333333</v>
      </c>
      <c r="D32" s="28" t="n">
        <v>0.5097222222222222</v>
      </c>
      <c r="E32" s="29">
        <f>IF($A32="","",$A32&amp;"|"&amp;DAY($B32))</f>
        <v/>
      </c>
      <c r="F32" s="29">
        <f>IF($A32="","",IF(COUNTIF(設定!$B$41:$B$70,$A32)=0,"⚠ 查無員編",IF(COUNTIF($E$3:$E$1002,$E32)&gt;1,"⚠ 重複打卡","OK")))</f>
        <v/>
      </c>
    </row>
    <row r="33">
      <c r="A33" s="26" t="inlineStr">
        <is>
          <t>N001</t>
        </is>
      </c>
      <c r="B33" s="27" t="n">
        <v>46300</v>
      </c>
      <c r="C33" s="28" t="n">
        <v>0.3736111111111111</v>
      </c>
      <c r="D33" s="28" t="n">
        <v>0.7604166666666666</v>
      </c>
      <c r="E33" s="29">
        <f>IF($A33="","",$A33&amp;"|"&amp;DAY($B33))</f>
        <v/>
      </c>
      <c r="F33" s="29">
        <f>IF($A33="","",IF(COUNTIF(設定!$B$41:$B$70,$A33)=0,"⚠ 查無員編",IF(COUNTIF($E$3:$E$1002,$E33)&gt;1,"⚠ 重複打卡","OK")))</f>
        <v/>
      </c>
    </row>
    <row r="34">
      <c r="A34" s="26" t="inlineStr">
        <is>
          <t>A001</t>
        </is>
      </c>
      <c r="B34" s="27" t="n">
        <v>46301</v>
      </c>
      <c r="C34" s="28" t="n">
        <v>0.3722222222222222</v>
      </c>
      <c r="D34" s="28" t="n">
        <v>0.7590277777777777</v>
      </c>
      <c r="E34" s="29">
        <f>IF($A34="","",$A34&amp;"|"&amp;DAY($B34))</f>
        <v/>
      </c>
      <c r="F34" s="29">
        <f>IF($A34="","",IF(COUNTIF(設定!$B$41:$B$70,$A34)=0,"⚠ 查無員編",IF(COUNTIF($E$3:$E$1002,$E34)&gt;1,"⚠ 重複打卡","OK")))</f>
        <v/>
      </c>
    </row>
    <row r="35">
      <c r="A35" s="26" t="inlineStr">
        <is>
          <t>A003</t>
        </is>
      </c>
      <c r="B35" s="27" t="n">
        <v>46301</v>
      </c>
      <c r="C35" s="28" t="n">
        <v>0.3743055555555556</v>
      </c>
      <c r="D35" s="28" t="n">
        <v>0.7569444444444444</v>
      </c>
      <c r="E35" s="29">
        <f>IF($A35="","",$A35&amp;"|"&amp;DAY($B35))</f>
        <v/>
      </c>
      <c r="F35" s="29">
        <f>IF($A35="","",IF(COUNTIF(設定!$B$41:$B$70,$A35)=0,"⚠ 查無員編",IF(COUNTIF($E$3:$E$1002,$E35)&gt;1,"⚠ 重複打卡","OK")))</f>
        <v/>
      </c>
    </row>
    <row r="36">
      <c r="A36" s="26" t="inlineStr">
        <is>
          <t>A004</t>
        </is>
      </c>
      <c r="B36" s="27" t="n">
        <v>46301</v>
      </c>
      <c r="C36" s="28" t="n">
        <v>0.5180555555555556</v>
      </c>
      <c r="D36" s="28" t="n">
        <v>0.8993055555555556</v>
      </c>
      <c r="E36" s="29">
        <f>IF($A36="","",$A36&amp;"|"&amp;DAY($B36))</f>
        <v/>
      </c>
      <c r="F36" s="29">
        <f>IF($A36="","",IF(COUNTIF(設定!$B$41:$B$70,$A36)=0,"⚠ 查無員編",IF(COUNTIF($E$3:$E$1002,$E36)&gt;1,"⚠ 重複打卡","OK")))</f>
        <v/>
      </c>
    </row>
    <row r="37">
      <c r="A37" s="26" t="inlineStr">
        <is>
          <t>A005</t>
        </is>
      </c>
      <c r="B37" s="27" t="n">
        <v>46301</v>
      </c>
      <c r="C37" s="28" t="n">
        <v>0.3729166666666667</v>
      </c>
      <c r="D37" s="28" t="n">
        <v>0.7590277777777777</v>
      </c>
      <c r="E37" s="29">
        <f>IF($A37="","",$A37&amp;"|"&amp;DAY($B37))</f>
        <v/>
      </c>
      <c r="F37" s="29">
        <f>IF($A37="","",IF(COUNTIF(設定!$B$41:$B$70,$A37)=0,"⚠ 查無員編",IF(COUNTIF($E$3:$E$1002,$E37)&gt;1,"⚠ 重複打卡","OK")))</f>
        <v/>
      </c>
    </row>
    <row r="38">
      <c r="A38" s="26" t="inlineStr">
        <is>
          <t>D001</t>
        </is>
      </c>
      <c r="B38" s="27" t="n">
        <v>46301</v>
      </c>
      <c r="C38" s="28" t="n">
        <v>0.3736111111111111</v>
      </c>
      <c r="D38" s="28" t="n">
        <v>0.7125</v>
      </c>
      <c r="E38" s="29">
        <f>IF($A38="","",$A38&amp;"|"&amp;DAY($B38))</f>
        <v/>
      </c>
      <c r="F38" s="29">
        <f>IF($A38="","",IF(COUNTIF(設定!$B$41:$B$70,$A38)=0,"⚠ 查無員編",IF(COUNTIF($E$3:$E$1002,$E38)&gt;1,"⚠ 重複打卡","OK")))</f>
        <v/>
      </c>
    </row>
    <row r="39">
      <c r="A39" s="26" t="inlineStr">
        <is>
          <t>D003</t>
        </is>
      </c>
      <c r="B39" s="27" t="n">
        <v>46301</v>
      </c>
      <c r="C39" s="28" t="n">
        <v>0.5819444444444445</v>
      </c>
      <c r="D39" s="28" t="n">
        <v>0.7097222222222223</v>
      </c>
      <c r="E39" s="29">
        <f>IF($A39="","",$A39&amp;"|"&amp;DAY($B39))</f>
        <v/>
      </c>
      <c r="F39" s="29">
        <f>IF($A39="","",IF(COUNTIF(設定!$B$41:$B$70,$A39)=0,"⚠ 查無員編",IF(COUNTIF($E$3:$E$1002,$E39)&gt;1,"⚠ 重複打卡","OK")))</f>
        <v/>
      </c>
    </row>
    <row r="40">
      <c r="A40" s="26" t="inlineStr">
        <is>
          <t>N001</t>
        </is>
      </c>
      <c r="B40" s="27" t="n">
        <v>46301</v>
      </c>
      <c r="C40" s="28" t="n">
        <v>0.3736111111111111</v>
      </c>
      <c r="D40" s="28" t="n">
        <v>0.7618055555555555</v>
      </c>
      <c r="E40" s="29">
        <f>IF($A40="","",$A40&amp;"|"&amp;DAY($B40))</f>
        <v/>
      </c>
      <c r="F40" s="29">
        <f>IF($A40="","",IF(COUNTIF(設定!$B$41:$B$70,$A40)=0,"⚠ 查無員編",IF(COUNTIF($E$3:$E$1002,$E40)&gt;1,"⚠ 重複打卡","OK")))</f>
        <v/>
      </c>
    </row>
    <row r="41">
      <c r="A41" s="26" t="inlineStr">
        <is>
          <t>A001</t>
        </is>
      </c>
      <c r="B41" s="27" t="n">
        <v>46302</v>
      </c>
      <c r="C41" s="28" t="n">
        <v>0.5208333333333334</v>
      </c>
      <c r="D41" s="28" t="n">
        <v>0.9069444444444444</v>
      </c>
      <c r="E41" s="29">
        <f>IF($A41="","",$A41&amp;"|"&amp;DAY($B41))</f>
        <v/>
      </c>
      <c r="F41" s="29">
        <f>IF($A41="","",IF(COUNTIF(設定!$B$41:$B$70,$A41)=0,"⚠ 查無員編",IF(COUNTIF($E$3:$E$1002,$E41)&gt;1,"⚠ 重複打卡","OK")))</f>
        <v/>
      </c>
    </row>
    <row r="42">
      <c r="A42" s="26" t="inlineStr">
        <is>
          <t>A002</t>
        </is>
      </c>
      <c r="B42" s="27" t="n">
        <v>46302</v>
      </c>
      <c r="C42" s="28" t="n">
        <v>0.3729166666666667</v>
      </c>
      <c r="D42" s="28" t="n">
        <v>0.75625</v>
      </c>
      <c r="E42" s="29">
        <f>IF($A42="","",$A42&amp;"|"&amp;DAY($B42))</f>
        <v/>
      </c>
      <c r="F42" s="29">
        <f>IF($A42="","",IF(COUNTIF(設定!$B$41:$B$70,$A42)=0,"⚠ 查無員編",IF(COUNTIF($E$3:$E$1002,$E42)&gt;1,"⚠ 重複打卡","OK")))</f>
        <v/>
      </c>
    </row>
    <row r="43">
      <c r="A43" s="26" t="inlineStr">
        <is>
          <t>A004</t>
        </is>
      </c>
      <c r="B43" s="27" t="n">
        <v>46302</v>
      </c>
      <c r="C43" s="28" t="n">
        <v>0.3701388888888889</v>
      </c>
      <c r="D43" s="28" t="n">
        <v>0.7520833333333333</v>
      </c>
      <c r="E43" s="29">
        <f>IF($A43="","",$A43&amp;"|"&amp;DAY($B43))</f>
        <v/>
      </c>
      <c r="F43" s="29">
        <f>IF($A43="","",IF(COUNTIF(設定!$B$41:$B$70,$A43)=0,"⚠ 查無員編",IF(COUNTIF($E$3:$E$1002,$E43)&gt;1,"⚠ 重複打卡","OK")))</f>
        <v/>
      </c>
    </row>
    <row r="44">
      <c r="A44" s="26" t="inlineStr">
        <is>
          <t>A005</t>
        </is>
      </c>
      <c r="B44" s="27" t="n">
        <v>46302</v>
      </c>
      <c r="C44" s="28" t="n">
        <v>0.5159722222222223</v>
      </c>
      <c r="D44" s="28" t="n">
        <v>0.9027777777777778</v>
      </c>
      <c r="E44" s="29">
        <f>IF($A44="","",$A44&amp;"|"&amp;DAY($B44))</f>
        <v/>
      </c>
      <c r="F44" s="29">
        <f>IF($A44="","",IF(COUNTIF(設定!$B$41:$B$70,$A44)=0,"⚠ 查無員編",IF(COUNTIF($E$3:$E$1002,$E44)&gt;1,"⚠ 重複打卡","OK")))</f>
        <v/>
      </c>
    </row>
    <row r="45">
      <c r="A45" s="26" t="inlineStr">
        <is>
          <t>D001</t>
        </is>
      </c>
      <c r="B45" s="27" t="n">
        <v>46302</v>
      </c>
      <c r="C45" s="28" t="n">
        <v>0.3743055555555556</v>
      </c>
      <c r="D45" s="28" t="n">
        <v>0.5027777777777778</v>
      </c>
      <c r="E45" s="29">
        <f>IF($A45="","",$A45&amp;"|"&amp;DAY($B45))</f>
        <v/>
      </c>
      <c r="F45" s="29">
        <f>IF($A45="","",IF(COUNTIF(設定!$B$41:$B$70,$A45)=0,"⚠ 查無員編",IF(COUNTIF($E$3:$E$1002,$E45)&gt;1,"⚠ 重複打卡","OK")))</f>
        <v/>
      </c>
    </row>
    <row r="46">
      <c r="A46" s="26" t="inlineStr">
        <is>
          <t>D002</t>
        </is>
      </c>
      <c r="B46" s="27" t="n">
        <v>46302</v>
      </c>
      <c r="C46" s="28" t="n">
        <v>0.58125</v>
      </c>
      <c r="D46" s="28" t="n">
        <v>0.7180555555555556</v>
      </c>
      <c r="E46" s="29">
        <f>IF($A46="","",$A46&amp;"|"&amp;DAY($B46))</f>
        <v/>
      </c>
      <c r="F46" s="29">
        <f>IF($A46="","",IF(COUNTIF(設定!$B$41:$B$70,$A46)=0,"⚠ 查無員編",IF(COUNTIF($E$3:$E$1002,$E46)&gt;1,"⚠ 重複打卡","OK")))</f>
        <v/>
      </c>
    </row>
    <row r="47">
      <c r="A47" s="26" t="inlineStr">
        <is>
          <t>D003</t>
        </is>
      </c>
      <c r="B47" s="27" t="n">
        <v>46302</v>
      </c>
      <c r="C47" s="28" t="n">
        <v>0.375</v>
      </c>
      <c r="D47" s="28" t="n">
        <v>0.75</v>
      </c>
      <c r="E47" s="29">
        <f>IF($A47="","",$A47&amp;"|"&amp;DAY($B47))</f>
        <v/>
      </c>
      <c r="F47" s="29">
        <f>IF($A47="","",IF(COUNTIF(設定!$B$41:$B$70,$A47)=0,"⚠ 查無員編",IF(COUNTIF($E$3:$E$1002,$E47)&gt;1,"⚠ 重複打卡","OK")))</f>
        <v/>
      </c>
    </row>
    <row r="48">
      <c r="A48" s="26" t="inlineStr">
        <is>
          <t>A001</t>
        </is>
      </c>
      <c r="B48" s="27" t="n">
        <v>46303</v>
      </c>
      <c r="C48" s="28" t="n">
        <v>0.3722222222222222</v>
      </c>
      <c r="D48" s="28" t="n">
        <v>0.7527777777777778</v>
      </c>
      <c r="E48" s="29">
        <f>IF($A48="","",$A48&amp;"|"&amp;DAY($B48))</f>
        <v/>
      </c>
      <c r="F48" s="29">
        <f>IF($A48="","",IF(COUNTIF(設定!$B$41:$B$70,$A48)=0,"⚠ 查無員編",IF(COUNTIF($E$3:$E$1002,$E48)&gt;1,"⚠ 重複打卡","OK")))</f>
        <v/>
      </c>
    </row>
    <row r="49">
      <c r="A49" s="26" t="inlineStr">
        <is>
          <t>A002</t>
        </is>
      </c>
      <c r="B49" s="27" t="n">
        <v>46303</v>
      </c>
      <c r="C49" s="28" t="n">
        <v>0.5173611111111112</v>
      </c>
      <c r="D49" s="28" t="n">
        <v>0.90625</v>
      </c>
      <c r="E49" s="29">
        <f>IF($A49="","",$A49&amp;"|"&amp;DAY($B49))</f>
        <v/>
      </c>
      <c r="F49" s="29">
        <f>IF($A49="","",IF(COUNTIF(設定!$B$41:$B$70,$A49)=0,"⚠ 查無員編",IF(COUNTIF($E$3:$E$1002,$E49)&gt;1,"⚠ 重複打卡","OK")))</f>
        <v/>
      </c>
    </row>
    <row r="50">
      <c r="A50" s="26" t="inlineStr">
        <is>
          <t>A005</t>
        </is>
      </c>
      <c r="B50" s="27" t="n">
        <v>46303</v>
      </c>
      <c r="C50" s="28" t="n">
        <v>0.3701388888888889</v>
      </c>
      <c r="D50" s="28" t="n">
        <v>0.7513888888888889</v>
      </c>
      <c r="E50" s="29">
        <f>IF($A50="","",$A50&amp;"|"&amp;DAY($B50))</f>
        <v/>
      </c>
      <c r="F50" s="29">
        <f>IF($A50="","",IF(COUNTIF(設定!$B$41:$B$70,$A50)=0,"⚠ 查無員編",IF(COUNTIF($E$3:$E$1002,$E50)&gt;1,"⚠ 重複打卡","OK")))</f>
        <v/>
      </c>
    </row>
    <row r="51">
      <c r="A51" s="26" t="inlineStr">
        <is>
          <t>D001</t>
        </is>
      </c>
      <c r="B51" s="27" t="n">
        <v>46303</v>
      </c>
      <c r="C51" s="28" t="n">
        <v>0.5833333333333334</v>
      </c>
      <c r="D51" s="28" t="n">
        <v>0.7118055555555556</v>
      </c>
      <c r="E51" s="29">
        <f>IF($A51="","",$A51&amp;"|"&amp;DAY($B51))</f>
        <v/>
      </c>
      <c r="F51" s="29">
        <f>IF($A51="","",IF(COUNTIF(設定!$B$41:$B$70,$A51)=0,"⚠ 查無員編",IF(COUNTIF($E$3:$E$1002,$E51)&gt;1,"⚠ 重複打卡","OK")))</f>
        <v/>
      </c>
    </row>
    <row r="52">
      <c r="A52" s="26" t="inlineStr">
        <is>
          <t>D002</t>
        </is>
      </c>
      <c r="B52" s="27" t="n">
        <v>46303</v>
      </c>
      <c r="C52" s="28" t="n">
        <v>0.7451388888888889</v>
      </c>
      <c r="D52" s="28" t="n">
        <v>0.8777777777777778</v>
      </c>
      <c r="E52" s="29">
        <f>IF($A52="","",$A52&amp;"|"&amp;DAY($B52))</f>
        <v/>
      </c>
      <c r="F52" s="29">
        <f>IF($A52="","",IF(COUNTIF(設定!$B$41:$B$70,$A52)=0,"⚠ 查無員編",IF(COUNTIF($E$3:$E$1002,$E52)&gt;1,"⚠ 重複打卡","OK")))</f>
        <v/>
      </c>
    </row>
    <row r="53">
      <c r="A53" s="26" t="inlineStr">
        <is>
          <t>D003</t>
        </is>
      </c>
      <c r="B53" s="27" t="n">
        <v>46303</v>
      </c>
      <c r="C53" s="28" t="n">
        <v>0.3729166666666667</v>
      </c>
      <c r="D53" s="28" t="n">
        <v>0.7118055555555556</v>
      </c>
      <c r="E53" s="29">
        <f>IF($A53="","",$A53&amp;"|"&amp;DAY($B53))</f>
        <v/>
      </c>
      <c r="F53" s="29">
        <f>IF($A53="","",IF(COUNTIF(設定!$B$41:$B$70,$A53)=0,"⚠ 查無員編",IF(COUNTIF($E$3:$E$1002,$E53)&gt;1,"⚠ 重複打卡","OK")))</f>
        <v/>
      </c>
    </row>
    <row r="54">
      <c r="A54" s="26" t="inlineStr">
        <is>
          <t>N001</t>
        </is>
      </c>
      <c r="B54" s="27" t="n">
        <v>46303</v>
      </c>
      <c r="C54" s="28" t="n">
        <v>0.3701388888888889</v>
      </c>
      <c r="D54" s="28" t="n">
        <v>0.7520833333333333</v>
      </c>
      <c r="E54" s="29">
        <f>IF($A54="","",$A54&amp;"|"&amp;DAY($B54))</f>
        <v/>
      </c>
      <c r="F54" s="29">
        <f>IF($A54="","",IF(COUNTIF(設定!$B$41:$B$70,$A54)=0,"⚠ 查無員編",IF(COUNTIF($E$3:$E$1002,$E54)&gt;1,"⚠ 重複打卡","OK")))</f>
        <v/>
      </c>
    </row>
    <row r="55">
      <c r="A55" s="26" t="inlineStr">
        <is>
          <t>A001</t>
        </is>
      </c>
      <c r="B55" s="27" t="n">
        <v>46304</v>
      </c>
      <c r="C55" s="28" t="n">
        <v>0.5180555555555556</v>
      </c>
      <c r="D55" s="28" t="n">
        <v>0.9041666666666667</v>
      </c>
      <c r="E55" s="29">
        <f>IF($A55="","",$A55&amp;"|"&amp;DAY($B55))</f>
        <v/>
      </c>
      <c r="F55" s="29">
        <f>IF($A55="","",IF(COUNTIF(設定!$B$41:$B$70,$A55)=0,"⚠ 查無員編",IF(COUNTIF($E$3:$E$1002,$E55)&gt;1,"⚠ 重複打卡","OK")))</f>
        <v/>
      </c>
    </row>
    <row r="56">
      <c r="A56" s="26" t="inlineStr">
        <is>
          <t>A002</t>
        </is>
      </c>
      <c r="B56" s="27" t="n">
        <v>46304</v>
      </c>
      <c r="C56" s="28" t="n">
        <v>0.3701388888888889</v>
      </c>
      <c r="D56" s="28" t="n">
        <v>0.75625</v>
      </c>
      <c r="E56" s="29">
        <f>IF($A56="","",$A56&amp;"|"&amp;DAY($B56))</f>
        <v/>
      </c>
      <c r="F56" s="29">
        <f>IF($A56="","",IF(COUNTIF(設定!$B$41:$B$70,$A56)=0,"⚠ 查無員編",IF(COUNTIF($E$3:$E$1002,$E56)&gt;1,"⚠ 重複打卡","OK")))</f>
        <v/>
      </c>
    </row>
    <row r="57">
      <c r="A57" s="26" t="inlineStr">
        <is>
          <t>A003</t>
        </is>
      </c>
      <c r="B57" s="27" t="n">
        <v>46304</v>
      </c>
      <c r="C57" s="28" t="n">
        <v>0.5159722222222223</v>
      </c>
      <c r="D57" s="28" t="n">
        <v>0.9069444444444444</v>
      </c>
      <c r="E57" s="29">
        <f>IF($A57="","",$A57&amp;"|"&amp;DAY($B57))</f>
        <v/>
      </c>
      <c r="F57" s="29">
        <f>IF($A57="","",IF(COUNTIF(設定!$B$41:$B$70,$A57)=0,"⚠ 查無員編",IF(COUNTIF($E$3:$E$1002,$E57)&gt;1,"⚠ 重複打卡","OK")))</f>
        <v/>
      </c>
    </row>
    <row r="58">
      <c r="A58" s="26" t="inlineStr">
        <is>
          <t>A004</t>
        </is>
      </c>
      <c r="B58" s="27" t="n">
        <v>46304</v>
      </c>
      <c r="C58" s="28" t="n">
        <v>0.3722222222222222</v>
      </c>
      <c r="D58" s="28" t="n">
        <v>0.7513888888888889</v>
      </c>
      <c r="E58" s="29">
        <f>IF($A58="","",$A58&amp;"|"&amp;DAY($B58))</f>
        <v/>
      </c>
      <c r="F58" s="29">
        <f>IF($A58="","",IF(COUNTIF(設定!$B$41:$B$70,$A58)=0,"⚠ 查無員編",IF(COUNTIF($E$3:$E$1002,$E58)&gt;1,"⚠ 重複打卡","OK")))</f>
        <v/>
      </c>
    </row>
    <row r="59">
      <c r="A59" s="26" t="inlineStr">
        <is>
          <t>D001</t>
        </is>
      </c>
      <c r="B59" s="27" t="n">
        <v>46304</v>
      </c>
      <c r="C59" s="28" t="n">
        <v>0.7451388888888889</v>
      </c>
      <c r="D59" s="28" t="n">
        <v>0.8833333333333333</v>
      </c>
      <c r="E59" s="29">
        <f>IF($A59="","",$A59&amp;"|"&amp;DAY($B59))</f>
        <v/>
      </c>
      <c r="F59" s="29">
        <f>IF($A59="","",IF(COUNTIF(設定!$B$41:$B$70,$A59)=0,"⚠ 查無員編",IF(COUNTIF($E$3:$E$1002,$E59)&gt;1,"⚠ 重複打卡","OK")))</f>
        <v/>
      </c>
    </row>
    <row r="60">
      <c r="A60" s="26" t="inlineStr">
        <is>
          <t>D002</t>
        </is>
      </c>
      <c r="B60" s="27" t="n">
        <v>46304</v>
      </c>
      <c r="C60" s="28" t="n">
        <v>0.3701388888888889</v>
      </c>
      <c r="D60" s="28" t="n">
        <v>0.7138888888888889</v>
      </c>
      <c r="E60" s="29">
        <f>IF($A60="","",$A60&amp;"|"&amp;DAY($B60))</f>
        <v/>
      </c>
      <c r="F60" s="29">
        <f>IF($A60="","",IF(COUNTIF(設定!$B$41:$B$70,$A60)=0,"⚠ 查無員編",IF(COUNTIF($E$3:$E$1002,$E60)&gt;1,"⚠ 重複打卡","OK")))</f>
        <v/>
      </c>
    </row>
    <row r="61">
      <c r="A61" s="26" t="inlineStr">
        <is>
          <t>N001</t>
        </is>
      </c>
      <c r="B61" s="27" t="n">
        <v>46304</v>
      </c>
      <c r="C61" s="28" t="n">
        <v>0.3715277777777778</v>
      </c>
      <c r="D61" s="28" t="n">
        <v>0.7569444444444444</v>
      </c>
      <c r="E61" s="29">
        <f>IF($A61="","",$A61&amp;"|"&amp;DAY($B61))</f>
        <v/>
      </c>
      <c r="F61" s="29">
        <f>IF($A61="","",IF(COUNTIF(設定!$B$41:$B$70,$A61)=0,"⚠ 查無員編",IF(COUNTIF($E$3:$E$1002,$E61)&gt;1,"⚠ 重複打卡","OK")))</f>
        <v/>
      </c>
    </row>
    <row r="62">
      <c r="A62" s="26" t="inlineStr">
        <is>
          <t>D001</t>
        </is>
      </c>
      <c r="B62" s="27" t="n">
        <v>46306</v>
      </c>
      <c r="C62" s="28" t="n">
        <v>0.375</v>
      </c>
      <c r="D62" s="28" t="n">
        <v>0.5416666666666666</v>
      </c>
      <c r="E62" s="29">
        <f>IF($A62="","",$A62&amp;"|"&amp;DAY($B62))</f>
        <v/>
      </c>
      <c r="F62" s="29">
        <f>IF($A62="","",IF(COUNTIF(設定!$B$41:$B$70,$A62)=0,"⚠ 查無員編",IF(COUNTIF($E$3:$E$1002,$E62)&gt;1,"⚠ 重複打卡","OK")))</f>
        <v/>
      </c>
    </row>
    <row r="63">
      <c r="A63" s="26" t="inlineStr">
        <is>
          <t>A002</t>
        </is>
      </c>
      <c r="B63" s="27" t="n">
        <v>46307</v>
      </c>
      <c r="C63" s="28" t="n">
        <v>0.5201388888888889</v>
      </c>
      <c r="D63" s="28" t="n">
        <v>0.8979166666666667</v>
      </c>
      <c r="E63" s="29">
        <f>IF($A63="","",$A63&amp;"|"&amp;DAY($B63))</f>
        <v/>
      </c>
      <c r="F63" s="29">
        <f>IF($A63="","",IF(COUNTIF(設定!$B$41:$B$70,$A63)=0,"⚠ 查無員編",IF(COUNTIF($E$3:$E$1002,$E63)&gt;1,"⚠ 重複打卡","OK")))</f>
        <v/>
      </c>
    </row>
    <row r="64">
      <c r="A64" s="26" t="inlineStr">
        <is>
          <t>A003</t>
        </is>
      </c>
      <c r="B64" s="27" t="n">
        <v>46307</v>
      </c>
      <c r="C64" s="28" t="n">
        <v>0.3736111111111111</v>
      </c>
      <c r="D64" s="28" t="n">
        <v>0.7555555555555555</v>
      </c>
      <c r="E64" s="29">
        <f>IF($A64="","",$A64&amp;"|"&amp;DAY($B64))</f>
        <v/>
      </c>
      <c r="F64" s="29">
        <f>IF($A64="","",IF(COUNTIF(設定!$B$41:$B$70,$A64)=0,"⚠ 查無員編",IF(COUNTIF($E$3:$E$1002,$E64)&gt;1,"⚠ 重複打卡","OK")))</f>
        <v/>
      </c>
    </row>
    <row r="65">
      <c r="A65" s="26" t="inlineStr">
        <is>
          <t>A004</t>
        </is>
      </c>
      <c r="B65" s="27" t="n">
        <v>46307</v>
      </c>
      <c r="C65" s="28" t="n">
        <v>0.5166666666666667</v>
      </c>
      <c r="D65" s="28" t="n">
        <v>0.9076388888888889</v>
      </c>
      <c r="E65" s="29">
        <f>IF($A65="","",$A65&amp;"|"&amp;DAY($B65))</f>
        <v/>
      </c>
      <c r="F65" s="29">
        <f>IF($A65="","",IF(COUNTIF(設定!$B$41:$B$70,$A65)=0,"⚠ 查無員編",IF(COUNTIF($E$3:$E$1002,$E65)&gt;1,"⚠ 重複打卡","OK")))</f>
        <v/>
      </c>
    </row>
    <row r="66">
      <c r="A66" s="26" t="inlineStr">
        <is>
          <t>A005</t>
        </is>
      </c>
      <c r="B66" s="27" t="n">
        <v>46307</v>
      </c>
      <c r="C66" s="28" t="n">
        <v>0.3736111111111111</v>
      </c>
      <c r="D66" s="28" t="n">
        <v>0.7527777777777778</v>
      </c>
      <c r="E66" s="29">
        <f>IF($A66="","",$A66&amp;"|"&amp;DAY($B66))</f>
        <v/>
      </c>
      <c r="F66" s="29">
        <f>IF($A66="","",IF(COUNTIF(設定!$B$41:$B$70,$A66)=0,"⚠ 查無員編",IF(COUNTIF($E$3:$E$1002,$E66)&gt;1,"⚠ 重複打卡","OK")))</f>
        <v/>
      </c>
    </row>
    <row r="67">
      <c r="A67" s="26" t="inlineStr">
        <is>
          <t>D002</t>
        </is>
      </c>
      <c r="B67" s="27" t="n">
        <v>46307</v>
      </c>
      <c r="C67" s="28" t="n">
        <v>0.3729166666666667</v>
      </c>
      <c r="D67" s="28" t="n">
        <v>0.5048611111111111</v>
      </c>
      <c r="E67" s="29">
        <f>IF($A67="","",$A67&amp;"|"&amp;DAY($B67))</f>
        <v/>
      </c>
      <c r="F67" s="29">
        <f>IF($A67="","",IF(COUNTIF(設定!$B$41:$B$70,$A67)=0,"⚠ 查無員編",IF(COUNTIF($E$3:$E$1002,$E67)&gt;1,"⚠ 重複打卡","OK")))</f>
        <v/>
      </c>
    </row>
    <row r="68">
      <c r="A68" s="26" t="inlineStr">
        <is>
          <t>D003</t>
        </is>
      </c>
      <c r="B68" s="27" t="n">
        <v>46307</v>
      </c>
      <c r="C68" s="28" t="n">
        <v>0.5784722222222223</v>
      </c>
      <c r="D68" s="28" t="n">
        <v>0.7201388888888889</v>
      </c>
      <c r="E68" s="29">
        <f>IF($A68="","",$A68&amp;"|"&amp;DAY($B68))</f>
        <v/>
      </c>
      <c r="F68" s="29">
        <f>IF($A68="","",IF(COUNTIF(設定!$B$41:$B$70,$A68)=0,"⚠ 查無員編",IF(COUNTIF($E$3:$E$1002,$E68)&gt;1,"⚠ 重複打卡","OK")))</f>
        <v/>
      </c>
    </row>
    <row r="69">
      <c r="A69" s="26" t="inlineStr">
        <is>
          <t>N001</t>
        </is>
      </c>
      <c r="B69" s="27" t="n">
        <v>46307</v>
      </c>
      <c r="C69" s="28" t="n">
        <v>0.3701388888888889</v>
      </c>
      <c r="D69" s="28" t="n">
        <v>0.75625</v>
      </c>
      <c r="E69" s="29">
        <f>IF($A69="","",$A69&amp;"|"&amp;DAY($B69))</f>
        <v/>
      </c>
      <c r="F69" s="29">
        <f>IF($A69="","",IF(COUNTIF(設定!$B$41:$B$70,$A69)=0,"⚠ 查無員編",IF(COUNTIF($E$3:$E$1002,$E69)&gt;1,"⚠ 重複打卡","OK")))</f>
        <v/>
      </c>
    </row>
    <row r="70">
      <c r="A70" s="26" t="inlineStr">
        <is>
          <t>A001</t>
        </is>
      </c>
      <c r="B70" s="27" t="n">
        <v>46308</v>
      </c>
      <c r="C70" s="28" t="n">
        <v>0.5208333333333334</v>
      </c>
      <c r="D70" s="28" t="n">
        <v>0.9</v>
      </c>
      <c r="E70" s="29">
        <f>IF($A70="","",$A70&amp;"|"&amp;DAY($B70))</f>
        <v/>
      </c>
      <c r="F70" s="29">
        <f>IF($A70="","",IF(COUNTIF(設定!$B$41:$B$70,$A70)=0,"⚠ 查無員編",IF(COUNTIF($E$3:$E$1002,$E70)&gt;1,"⚠ 重複打卡","OK")))</f>
        <v/>
      </c>
    </row>
    <row r="71">
      <c r="A71" s="26" t="inlineStr">
        <is>
          <t>A003</t>
        </is>
      </c>
      <c r="B71" s="27" t="n">
        <v>46308</v>
      </c>
      <c r="C71" s="28" t="n">
        <v>0.5194444444444445</v>
      </c>
      <c r="D71" s="28" t="n">
        <v>0.8965277777777778</v>
      </c>
      <c r="E71" s="29">
        <f>IF($A71="","",$A71&amp;"|"&amp;DAY($B71))</f>
        <v/>
      </c>
      <c r="F71" s="29">
        <f>IF($A71="","",IF(COUNTIF(設定!$B$41:$B$70,$A71)=0,"⚠ 查無員編",IF(COUNTIF($E$3:$E$1002,$E71)&gt;1,"⚠ 重複打卡","OK")))</f>
        <v/>
      </c>
    </row>
    <row r="72">
      <c r="A72" s="26" t="inlineStr">
        <is>
          <t>A004</t>
        </is>
      </c>
      <c r="B72" s="27" t="n">
        <v>46308</v>
      </c>
      <c r="C72" s="28" t="n">
        <v>0.3715277777777778</v>
      </c>
      <c r="D72" s="28" t="n">
        <v>0.7548611111111111</v>
      </c>
      <c r="E72" s="29">
        <f>IF($A72="","",$A72&amp;"|"&amp;DAY($B72))</f>
        <v/>
      </c>
      <c r="F72" s="29">
        <f>IF($A72="","",IF(COUNTIF(設定!$B$41:$B$70,$A72)=0,"⚠ 查無員編",IF(COUNTIF($E$3:$E$1002,$E72)&gt;1,"⚠ 重複打卡","OK")))</f>
        <v/>
      </c>
    </row>
    <row r="73">
      <c r="A73" s="26" t="inlineStr">
        <is>
          <t>A005</t>
        </is>
      </c>
      <c r="B73" s="27" t="n">
        <v>46308</v>
      </c>
      <c r="C73" s="28" t="n">
        <v>0.5201388888888889</v>
      </c>
      <c r="D73" s="28" t="n">
        <v>0.9020833333333333</v>
      </c>
      <c r="E73" s="29">
        <f>IF($A73="","",$A73&amp;"|"&amp;DAY($B73))</f>
        <v/>
      </c>
      <c r="F73" s="29">
        <f>IF($A73="","",IF(COUNTIF(設定!$B$41:$B$70,$A73)=0,"⚠ 查無員編",IF(COUNTIF($E$3:$E$1002,$E73)&gt;1,"⚠ 重複打卡","OK")))</f>
        <v/>
      </c>
    </row>
    <row r="74">
      <c r="A74" s="26" t="inlineStr">
        <is>
          <t>D001</t>
        </is>
      </c>
      <c r="B74" s="27" t="n">
        <v>46308</v>
      </c>
      <c r="C74" s="28" t="n">
        <v>0.3729166666666667</v>
      </c>
      <c r="D74" s="28" t="n">
        <v>0.5069444444444444</v>
      </c>
      <c r="E74" s="29">
        <f>IF($A74="","",$A74&amp;"|"&amp;DAY($B74))</f>
        <v/>
      </c>
      <c r="F74" s="29">
        <f>IF($A74="","",IF(COUNTIF(設定!$B$41:$B$70,$A74)=0,"⚠ 查無員編",IF(COUNTIF($E$3:$E$1002,$E74)&gt;1,"⚠ 重複打卡","OK")))</f>
        <v/>
      </c>
    </row>
    <row r="75">
      <c r="A75" s="26" t="inlineStr">
        <is>
          <t>D002</t>
        </is>
      </c>
      <c r="B75" s="27" t="n">
        <v>46308</v>
      </c>
      <c r="C75" s="28" t="n">
        <v>0.375</v>
      </c>
      <c r="D75" s="28" t="n">
        <v>0.75</v>
      </c>
      <c r="E75" s="29">
        <f>IF($A75="","",$A75&amp;"|"&amp;DAY($B75))</f>
        <v/>
      </c>
      <c r="F75" s="29">
        <f>IF($A75="","",IF(COUNTIF(設定!$B$41:$B$70,$A75)=0,"⚠ 查無員編",IF(COUNTIF($E$3:$E$1002,$E75)&gt;1,"⚠ 重複打卡","OK")))</f>
        <v/>
      </c>
    </row>
    <row r="76">
      <c r="A76" s="26" t="inlineStr">
        <is>
          <t>D003</t>
        </is>
      </c>
      <c r="B76" s="27" t="n">
        <v>46308</v>
      </c>
      <c r="C76" s="28" t="n">
        <v>0.7472222222222222</v>
      </c>
      <c r="D76" s="28" t="n">
        <v>0.8798611111111111</v>
      </c>
      <c r="E76" s="29">
        <f>IF($A76="","",$A76&amp;"|"&amp;DAY($B76))</f>
        <v/>
      </c>
      <c r="F76" s="29">
        <f>IF($A76="","",IF(COUNTIF(設定!$B$41:$B$70,$A76)=0,"⚠ 查無員編",IF(COUNTIF($E$3:$E$1002,$E76)&gt;1,"⚠ 重複打卡","OK")))</f>
        <v/>
      </c>
    </row>
    <row r="77">
      <c r="A77" s="26" t="inlineStr">
        <is>
          <t>N001</t>
        </is>
      </c>
      <c r="B77" s="27" t="n">
        <v>46308</v>
      </c>
      <c r="C77" s="28" t="n">
        <v>0.3722222222222222</v>
      </c>
      <c r="D77" s="28" t="n">
        <v>0.7618055555555555</v>
      </c>
      <c r="E77" s="29">
        <f>IF($A77="","",$A77&amp;"|"&amp;DAY($B77))</f>
        <v/>
      </c>
      <c r="F77" s="29">
        <f>IF($A77="","",IF(COUNTIF(設定!$B$41:$B$70,$A77)=0,"⚠ 查無員編",IF(COUNTIF($E$3:$E$1002,$E77)&gt;1,"⚠ 重複打卡","OK")))</f>
        <v/>
      </c>
    </row>
    <row r="78">
      <c r="A78" s="26" t="inlineStr">
        <is>
          <t>A001</t>
        </is>
      </c>
      <c r="B78" s="27" t="n">
        <v>46309</v>
      </c>
      <c r="C78" s="28" t="n">
        <v>0.3736111111111111</v>
      </c>
      <c r="D78" s="28" t="n">
        <v>0.7527777777777778</v>
      </c>
      <c r="E78" s="29">
        <f>IF($A78="","",$A78&amp;"|"&amp;DAY($B78))</f>
        <v/>
      </c>
      <c r="F78" s="29">
        <f>IF($A78="","",IF(COUNTIF(設定!$B$41:$B$70,$A78)=0,"⚠ 查無員編",IF(COUNTIF($E$3:$E$1002,$E78)&gt;1,"⚠ 重複打卡","OK")))</f>
        <v/>
      </c>
    </row>
    <row r="79">
      <c r="A79" s="26" t="inlineStr">
        <is>
          <t>A002</t>
        </is>
      </c>
      <c r="B79" s="27" t="n">
        <v>46309</v>
      </c>
      <c r="C79" s="28" t="n">
        <v>0.5173611111111112</v>
      </c>
      <c r="D79" s="28" t="n">
        <v>0.9041666666666667</v>
      </c>
      <c r="E79" s="29">
        <f>IF($A79="","",$A79&amp;"|"&amp;DAY($B79))</f>
        <v/>
      </c>
      <c r="F79" s="29">
        <f>IF($A79="","",IF(COUNTIF(設定!$B$41:$B$70,$A79)=0,"⚠ 查無員編",IF(COUNTIF($E$3:$E$1002,$E79)&gt;1,"⚠ 重複打卡","OK")))</f>
        <v/>
      </c>
    </row>
    <row r="80">
      <c r="A80" s="26" t="inlineStr">
        <is>
          <t>A004</t>
        </is>
      </c>
      <c r="B80" s="27" t="n">
        <v>46309</v>
      </c>
      <c r="C80" s="28" t="n">
        <v>0.5180555555555556</v>
      </c>
      <c r="D80" s="28" t="n">
        <v>0.8958333333333334</v>
      </c>
      <c r="E80" s="29">
        <f>IF($A80="","",$A80&amp;"|"&amp;DAY($B80))</f>
        <v/>
      </c>
      <c r="F80" s="29">
        <f>IF($A80="","",IF(COUNTIF(設定!$B$41:$B$70,$A80)=0,"⚠ 查無員編",IF(COUNTIF($E$3:$E$1002,$E80)&gt;1,"⚠ 重複打卡","OK")))</f>
        <v/>
      </c>
    </row>
    <row r="81">
      <c r="A81" s="26" t="inlineStr">
        <is>
          <t>A005</t>
        </is>
      </c>
      <c r="B81" s="27" t="n">
        <v>46309</v>
      </c>
      <c r="C81" s="28" t="n">
        <v>0.3729166666666667</v>
      </c>
      <c r="D81" s="28" t="n">
        <v>0.7611111111111111</v>
      </c>
      <c r="E81" s="29">
        <f>IF($A81="","",$A81&amp;"|"&amp;DAY($B81))</f>
        <v/>
      </c>
      <c r="F81" s="29">
        <f>IF($A81="","",IF(COUNTIF(設定!$B$41:$B$70,$A81)=0,"⚠ 查無員編",IF(COUNTIF($E$3:$E$1002,$E81)&gt;1,"⚠ 重複打卡","OK")))</f>
        <v/>
      </c>
    </row>
    <row r="82">
      <c r="A82" s="26" t="inlineStr">
        <is>
          <t>D001</t>
        </is>
      </c>
      <c r="B82" s="27" t="n">
        <v>46309</v>
      </c>
      <c r="C82" s="28" t="n">
        <v>0.58125</v>
      </c>
      <c r="D82" s="28" t="n">
        <v>0.7208333333333333</v>
      </c>
      <c r="E82" s="29">
        <f>IF($A82="","",$A82&amp;"|"&amp;DAY($B82))</f>
        <v/>
      </c>
      <c r="F82" s="29">
        <f>IF($A82="","",IF(COUNTIF(設定!$B$41:$B$70,$A82)=0,"⚠ 查無員編",IF(COUNTIF($E$3:$E$1002,$E82)&gt;1,"⚠ 重複打卡","OK")))</f>
        <v/>
      </c>
    </row>
    <row r="83">
      <c r="A83" s="26" t="inlineStr">
        <is>
          <t>D002</t>
        </is>
      </c>
      <c r="B83" s="27" t="n">
        <v>46309</v>
      </c>
      <c r="C83" s="28" t="n">
        <v>0.7493055555555556</v>
      </c>
      <c r="D83" s="28" t="n">
        <v>0.8791666666666667</v>
      </c>
      <c r="E83" s="29">
        <f>IF($A83="","",$A83&amp;"|"&amp;DAY($B83))</f>
        <v/>
      </c>
      <c r="F83" s="29">
        <f>IF($A83="","",IF(COUNTIF(設定!$B$41:$B$70,$A83)=0,"⚠ 查無員編",IF(COUNTIF($E$3:$E$1002,$E83)&gt;1,"⚠ 重複打卡","OK")))</f>
        <v/>
      </c>
    </row>
    <row r="84">
      <c r="A84" s="26" t="inlineStr">
        <is>
          <t>D003</t>
        </is>
      </c>
      <c r="B84" s="27" t="n">
        <v>46309</v>
      </c>
      <c r="C84" s="28" t="n">
        <v>0.375</v>
      </c>
      <c r="D84" s="28" t="n">
        <v>0.75</v>
      </c>
      <c r="E84" s="29">
        <f>IF($A84="","",$A84&amp;"|"&amp;DAY($B84))</f>
        <v/>
      </c>
      <c r="F84" s="29">
        <f>IF($A84="","",IF(COUNTIF(設定!$B$41:$B$70,$A84)=0,"⚠ 查無員編",IF(COUNTIF($E$3:$E$1002,$E84)&gt;1,"⚠ 重複打卡","OK")))</f>
        <v/>
      </c>
    </row>
    <row r="85">
      <c r="A85" s="26" t="inlineStr">
        <is>
          <t>N001</t>
        </is>
      </c>
      <c r="B85" s="27" t="n">
        <v>46309</v>
      </c>
      <c r="C85" s="28" t="n">
        <v>0.3708333333333333</v>
      </c>
      <c r="D85" s="28" t="n">
        <v>0.7541666666666667</v>
      </c>
      <c r="E85" s="29">
        <f>IF($A85="","",$A85&amp;"|"&amp;DAY($B85))</f>
        <v/>
      </c>
      <c r="F85" s="29">
        <f>IF($A85="","",IF(COUNTIF(設定!$B$41:$B$70,$A85)=0,"⚠ 查無員編",IF(COUNTIF($E$3:$E$1002,$E85)&gt;1,"⚠ 重複打卡","OK")))</f>
        <v/>
      </c>
    </row>
    <row r="86">
      <c r="A86" s="26" t="inlineStr">
        <is>
          <t>A002</t>
        </is>
      </c>
      <c r="B86" s="27" t="n">
        <v>46310</v>
      </c>
      <c r="C86" s="28" t="n">
        <v>0.3743055555555556</v>
      </c>
      <c r="D86" s="28" t="n">
        <v>0.7569444444444444</v>
      </c>
      <c r="E86" s="29">
        <f>IF($A86="","",$A86&amp;"|"&amp;DAY($B86))</f>
        <v/>
      </c>
      <c r="F86" s="29">
        <f>IF($A86="","",IF(COUNTIF(設定!$B$41:$B$70,$A86)=0,"⚠ 查無員編",IF(COUNTIF($E$3:$E$1002,$E86)&gt;1,"⚠ 重複打卡","OK")))</f>
        <v/>
      </c>
    </row>
    <row r="87">
      <c r="A87" s="26" t="inlineStr">
        <is>
          <t>A003</t>
        </is>
      </c>
      <c r="B87" s="27" t="n">
        <v>46310</v>
      </c>
      <c r="C87" s="28" t="n">
        <v>0.5166666666666667</v>
      </c>
      <c r="D87" s="28" t="n">
        <v>0.9034722222222222</v>
      </c>
      <c r="E87" s="29">
        <f>IF($A87="","",$A87&amp;"|"&amp;DAY($B87))</f>
        <v/>
      </c>
      <c r="F87" s="29">
        <f>IF($A87="","",IF(COUNTIF(設定!$B$41:$B$70,$A87)=0,"⚠ 查無員編",IF(COUNTIF($E$3:$E$1002,$E87)&gt;1,"⚠ 重複打卡","OK")))</f>
        <v/>
      </c>
    </row>
    <row r="88">
      <c r="A88" s="26" t="inlineStr">
        <is>
          <t>A005</t>
        </is>
      </c>
      <c r="B88" s="27" t="n">
        <v>46310</v>
      </c>
      <c r="C88" s="28" t="n">
        <v>0.5173611111111112</v>
      </c>
      <c r="D88" s="28" t="n">
        <v>0.8965277777777778</v>
      </c>
      <c r="E88" s="29">
        <f>IF($A88="","",$A88&amp;"|"&amp;DAY($B88))</f>
        <v/>
      </c>
      <c r="F88" s="29">
        <f>IF($A88="","",IF(COUNTIF(設定!$B$41:$B$70,$A88)=0,"⚠ 查無員編",IF(COUNTIF($E$3:$E$1002,$E88)&gt;1,"⚠ 重複打卡","OK")))</f>
        <v/>
      </c>
    </row>
    <row r="89">
      <c r="A89" s="26" t="inlineStr">
        <is>
          <t>D001</t>
        </is>
      </c>
      <c r="B89" s="27" t="n">
        <v>46310</v>
      </c>
      <c r="C89" s="28" t="n">
        <v>0.7472222222222222</v>
      </c>
      <c r="D89" s="28" t="n">
        <v>0.8805555555555555</v>
      </c>
      <c r="E89" s="29">
        <f>IF($A89="","",$A89&amp;"|"&amp;DAY($B89))</f>
        <v/>
      </c>
      <c r="F89" s="29">
        <f>IF($A89="","",IF(COUNTIF(設定!$B$41:$B$70,$A89)=0,"⚠ 查無員編",IF(COUNTIF($E$3:$E$1002,$E89)&gt;1,"⚠ 重複打卡","OK")))</f>
        <v/>
      </c>
    </row>
    <row r="90">
      <c r="A90" s="26" t="inlineStr">
        <is>
          <t>D002</t>
        </is>
      </c>
      <c r="B90" s="27" t="n">
        <v>46310</v>
      </c>
      <c r="C90" s="28" t="n">
        <v>0.3729166666666667</v>
      </c>
      <c r="D90" s="28" t="n">
        <v>0.7125</v>
      </c>
      <c r="E90" s="29">
        <f>IF($A90="","",$A90&amp;"|"&amp;DAY($B90))</f>
        <v/>
      </c>
      <c r="F90" s="29">
        <f>IF($A90="","",IF(COUNTIF(設定!$B$41:$B$70,$A90)=0,"⚠ 查無員編",IF(COUNTIF($E$3:$E$1002,$E90)&gt;1,"⚠ 重複打卡","OK")))</f>
        <v/>
      </c>
    </row>
    <row r="91">
      <c r="A91" s="26" t="inlineStr">
        <is>
          <t>D003</t>
        </is>
      </c>
      <c r="B91" s="27" t="n">
        <v>46310</v>
      </c>
      <c r="C91" s="28" t="n">
        <v>0.5819444444444445</v>
      </c>
      <c r="D91" s="28" t="n">
        <v>0.7125</v>
      </c>
      <c r="E91" s="29">
        <f>IF($A91="","",$A91&amp;"|"&amp;DAY($B91))</f>
        <v/>
      </c>
      <c r="F91" s="29">
        <f>IF($A91="","",IF(COUNTIF(設定!$B$41:$B$70,$A91)=0,"⚠ 查無員編",IF(COUNTIF($E$3:$E$1002,$E91)&gt;1,"⚠ 重複打卡","OK")))</f>
        <v/>
      </c>
    </row>
    <row r="92">
      <c r="A92" s="26" t="inlineStr">
        <is>
          <t>N001</t>
        </is>
      </c>
      <c r="B92" s="27" t="n">
        <v>46310</v>
      </c>
      <c r="C92" s="28" t="n">
        <v>0.3715277777777778</v>
      </c>
      <c r="D92" s="28" t="n">
        <v>0.7548611111111111</v>
      </c>
      <c r="E92" s="29">
        <f>IF($A92="","",$A92&amp;"|"&amp;DAY($B92))</f>
        <v/>
      </c>
      <c r="F92" s="29">
        <f>IF($A92="","",IF(COUNTIF(設定!$B$41:$B$70,$A92)=0,"⚠ 查無員編",IF(COUNTIF($E$3:$E$1002,$E92)&gt;1,"⚠ 重複打卡","OK")))</f>
        <v/>
      </c>
    </row>
    <row r="93">
      <c r="A93" s="26" t="inlineStr">
        <is>
          <t>A001</t>
        </is>
      </c>
      <c r="B93" s="27" t="n">
        <v>46311</v>
      </c>
      <c r="C93" s="28" t="n">
        <v>0.3722222222222222</v>
      </c>
      <c r="D93" s="28" t="n">
        <v>0.75625</v>
      </c>
      <c r="E93" s="29">
        <f>IF($A93="","",$A93&amp;"|"&amp;DAY($B93))</f>
        <v/>
      </c>
      <c r="F93" s="29">
        <f>IF($A93="","",IF(COUNTIF(設定!$B$41:$B$70,$A93)=0,"⚠ 查無員編",IF(COUNTIF($E$3:$E$1002,$E93)&gt;1,"⚠ 重複打卡","OK")))</f>
        <v/>
      </c>
    </row>
    <row r="94">
      <c r="A94" s="26" t="inlineStr">
        <is>
          <t>A002</t>
        </is>
      </c>
      <c r="B94" s="27" t="n">
        <v>46311</v>
      </c>
      <c r="C94" s="28" t="n">
        <v>0.5166666666666667</v>
      </c>
      <c r="D94" s="28" t="n">
        <v>0.8986111111111111</v>
      </c>
      <c r="E94" s="29">
        <f>IF($A94="","",$A94&amp;"|"&amp;DAY($B94))</f>
        <v/>
      </c>
      <c r="F94" s="29">
        <f>IF($A94="","",IF(COUNTIF(設定!$B$41:$B$70,$A94)=0,"⚠ 查無員編",IF(COUNTIF($E$3:$E$1002,$E94)&gt;1,"⚠ 重複打卡","OK")))</f>
        <v/>
      </c>
    </row>
    <row r="95">
      <c r="A95" s="26" t="inlineStr">
        <is>
          <t>A003</t>
        </is>
      </c>
      <c r="B95" s="27" t="n">
        <v>46311</v>
      </c>
      <c r="C95" s="28" t="n">
        <v>0.3729166666666667</v>
      </c>
      <c r="D95" s="28" t="n">
        <v>0.7604166666666666</v>
      </c>
      <c r="E95" s="29">
        <f>IF($A95="","",$A95&amp;"|"&amp;DAY($B95))</f>
        <v/>
      </c>
      <c r="F95" s="29">
        <f>IF($A95="","",IF(COUNTIF(設定!$B$41:$B$70,$A95)=0,"⚠ 查無員編",IF(COUNTIF($E$3:$E$1002,$E95)&gt;1,"⚠ 重複打卡","OK")))</f>
        <v/>
      </c>
    </row>
    <row r="96">
      <c r="A96" s="26" t="inlineStr">
        <is>
          <t>A004</t>
        </is>
      </c>
      <c r="B96" s="27" t="n">
        <v>46311</v>
      </c>
      <c r="C96" s="28" t="n">
        <v>0.5159722222222223</v>
      </c>
      <c r="D96" s="28" t="n">
        <v>0.9013888888888889</v>
      </c>
      <c r="E96" s="29">
        <f>IF($A96="","",$A96&amp;"|"&amp;DAY($B96))</f>
        <v/>
      </c>
      <c r="F96" s="29">
        <f>IF($A96="","",IF(COUNTIF(設定!$B$41:$B$70,$A96)=0,"⚠ 查無員編",IF(COUNTIF($E$3:$E$1002,$E96)&gt;1,"⚠ 重複打卡","OK")))</f>
        <v/>
      </c>
    </row>
    <row r="97">
      <c r="A97" s="26" t="inlineStr">
        <is>
          <t>D001</t>
        </is>
      </c>
      <c r="B97" s="27" t="n">
        <v>46311</v>
      </c>
      <c r="C97" s="28" t="n">
        <v>0.3708333333333333</v>
      </c>
      <c r="D97" s="28" t="n">
        <v>0.7125</v>
      </c>
      <c r="E97" s="29">
        <f>IF($A97="","",$A97&amp;"|"&amp;DAY($B97))</f>
        <v/>
      </c>
      <c r="F97" s="29">
        <f>IF($A97="","",IF(COUNTIF(設定!$B$41:$B$70,$A97)=0,"⚠ 查無員編",IF(COUNTIF($E$3:$E$1002,$E97)&gt;1,"⚠ 重複打卡","OK")))</f>
        <v/>
      </c>
    </row>
    <row r="98">
      <c r="A98" s="26" t="inlineStr">
        <is>
          <t>D002</t>
        </is>
      </c>
      <c r="B98" s="27" t="n">
        <v>46311</v>
      </c>
      <c r="C98" s="28" t="n">
        <v>0.5833333333333334</v>
      </c>
      <c r="D98" s="28" t="n">
        <v>0.7208333333333333</v>
      </c>
      <c r="E98" s="29">
        <f>IF($A98="","",$A98&amp;"|"&amp;DAY($B98))</f>
        <v/>
      </c>
      <c r="F98" s="29">
        <f>IF($A98="","",IF(COUNTIF(設定!$B$41:$B$70,$A98)=0,"⚠ 查無員編",IF(COUNTIF($E$3:$E$1002,$E98)&gt;1,"⚠ 重複打卡","OK")))</f>
        <v/>
      </c>
    </row>
    <row r="99">
      <c r="A99" s="26" t="inlineStr">
        <is>
          <t>N001</t>
        </is>
      </c>
      <c r="B99" s="27" t="n">
        <v>46311</v>
      </c>
      <c r="C99" s="28" t="n">
        <v>0.3715277777777778</v>
      </c>
      <c r="D99" s="28" t="n">
        <v>0.75</v>
      </c>
      <c r="E99" s="29">
        <f>IF($A99="","",$A99&amp;"|"&amp;DAY($B99))</f>
        <v/>
      </c>
      <c r="F99" s="29">
        <f>IF($A99="","",IF(COUNTIF(設定!$B$41:$B$70,$A99)=0,"⚠ 查無員編",IF(COUNTIF($E$3:$E$1002,$E99)&gt;1,"⚠ 重複打卡","OK")))</f>
        <v/>
      </c>
    </row>
    <row r="100">
      <c r="A100" s="26" t="inlineStr">
        <is>
          <t>A001</t>
        </is>
      </c>
      <c r="B100" s="27" t="n">
        <v>46312</v>
      </c>
      <c r="C100" s="28" t="n">
        <v>0.5159722222222223</v>
      </c>
      <c r="D100" s="28" t="n">
        <v>0.8993055555555556</v>
      </c>
      <c r="E100" s="29">
        <f>IF($A100="","",$A100&amp;"|"&amp;DAY($B100))</f>
        <v/>
      </c>
      <c r="F100" s="29">
        <f>IF($A100="","",IF(COUNTIF(設定!$B$41:$B$70,$A100)=0,"⚠ 查無員編",IF(COUNTIF($E$3:$E$1002,$E100)&gt;1,"⚠ 重複打卡","OK")))</f>
        <v/>
      </c>
    </row>
    <row r="101">
      <c r="A101" s="26" t="inlineStr">
        <is>
          <t>A002</t>
        </is>
      </c>
      <c r="B101" s="27" t="n">
        <v>46312</v>
      </c>
      <c r="C101" s="28" t="n">
        <v>0.3743055555555556</v>
      </c>
      <c r="D101" s="28" t="n">
        <v>0.7555555555555555</v>
      </c>
      <c r="E101" s="29">
        <f>IF($A101="","",$A101&amp;"|"&amp;DAY($B101))</f>
        <v/>
      </c>
      <c r="F101" s="29">
        <f>IF($A101="","",IF(COUNTIF(設定!$B$41:$B$70,$A101)=0,"⚠ 查無員編",IF(COUNTIF($E$3:$E$1002,$E101)&gt;1,"⚠ 重複打卡","OK")))</f>
        <v/>
      </c>
    </row>
    <row r="102">
      <c r="A102" s="26" t="inlineStr">
        <is>
          <t>A003</t>
        </is>
      </c>
      <c r="B102" s="27" t="n">
        <v>46312</v>
      </c>
      <c r="C102" s="28" t="n">
        <v>0.5194444444444445</v>
      </c>
      <c r="D102" s="28" t="n">
        <v>0.9</v>
      </c>
      <c r="E102" s="29">
        <f>IF($A102="","",$A102&amp;"|"&amp;DAY($B102))</f>
        <v/>
      </c>
      <c r="F102" s="29">
        <f>IF($A102="","",IF(COUNTIF(設定!$B$41:$B$70,$A102)=0,"⚠ 查無員編",IF(COUNTIF($E$3:$E$1002,$E102)&gt;1,"⚠ 重複打卡","OK")))</f>
        <v/>
      </c>
    </row>
    <row r="103">
      <c r="A103" s="26" t="inlineStr">
        <is>
          <t>A004</t>
        </is>
      </c>
      <c r="B103" s="27" t="n">
        <v>46312</v>
      </c>
      <c r="C103" s="28" t="n">
        <v>0.3729166666666667</v>
      </c>
      <c r="D103" s="28" t="n">
        <v>0.7506944444444444</v>
      </c>
      <c r="E103" s="29">
        <f>IF($A103="","",$A103&amp;"|"&amp;DAY($B103))</f>
        <v/>
      </c>
      <c r="F103" s="29">
        <f>IF($A103="","",IF(COUNTIF(設定!$B$41:$B$70,$A103)=0,"⚠ 查無員編",IF(COUNTIF($E$3:$E$1002,$E103)&gt;1,"⚠ 重複打卡","OK")))</f>
        <v/>
      </c>
    </row>
    <row r="104">
      <c r="A104" s="26" t="inlineStr">
        <is>
          <t>A005</t>
        </is>
      </c>
      <c r="B104" s="27" t="n">
        <v>46312</v>
      </c>
      <c r="C104" s="28" t="n">
        <v>0.5194444444444445</v>
      </c>
      <c r="D104" s="28" t="n">
        <v>0.9048611111111111</v>
      </c>
      <c r="E104" s="29">
        <f>IF($A104="","",$A104&amp;"|"&amp;DAY($B104))</f>
        <v/>
      </c>
      <c r="F104" s="29">
        <f>IF($A104="","",IF(COUNTIF(設定!$B$41:$B$70,$A104)=0,"⚠ 查無員編",IF(COUNTIF($E$3:$E$1002,$E104)&gt;1,"⚠ 重複打卡","OK")))</f>
        <v/>
      </c>
    </row>
    <row r="105">
      <c r="A105" s="26" t="inlineStr">
        <is>
          <t>D001</t>
        </is>
      </c>
      <c r="B105" s="27" t="n">
        <v>46312</v>
      </c>
      <c r="C105" s="28" t="n">
        <v>0.5798611111111112</v>
      </c>
      <c r="D105" s="28" t="n">
        <v>0.7083333333333334</v>
      </c>
      <c r="E105" s="29">
        <f>IF($A105="","",$A105&amp;"|"&amp;DAY($B105))</f>
        <v/>
      </c>
      <c r="F105" s="29">
        <f>IF($A105="","",IF(COUNTIF(設定!$B$41:$B$70,$A105)=0,"⚠ 查無員編",IF(COUNTIF($E$3:$E$1002,$E105)&gt;1,"⚠ 重複打卡","OK")))</f>
        <v/>
      </c>
    </row>
    <row r="106">
      <c r="A106" s="26" t="inlineStr">
        <is>
          <t>D002</t>
        </is>
      </c>
      <c r="B106" s="27" t="n">
        <v>46312</v>
      </c>
      <c r="C106" s="28" t="n">
        <v>0.3715277777777778</v>
      </c>
      <c r="D106" s="28" t="n">
        <v>0.7125</v>
      </c>
      <c r="E106" s="29">
        <f>IF($A106="","",$A106&amp;"|"&amp;DAY($B106))</f>
        <v/>
      </c>
      <c r="F106" s="29">
        <f>IF($A106="","",IF(COUNTIF(設定!$B$41:$B$70,$A106)=0,"⚠ 查無員編",IF(COUNTIF($E$3:$E$1002,$E106)&gt;1,"⚠ 重複打卡","OK")))</f>
        <v/>
      </c>
    </row>
    <row r="107">
      <c r="A107" s="26" t="inlineStr">
        <is>
          <t>D003</t>
        </is>
      </c>
      <c r="B107" s="27" t="n">
        <v>46312</v>
      </c>
      <c r="C107" s="28" t="n">
        <v>0.3715277777777778</v>
      </c>
      <c r="D107" s="28" t="n">
        <v>0.5076388888888889</v>
      </c>
      <c r="E107" s="29">
        <f>IF($A107="","",$A107&amp;"|"&amp;DAY($B107))</f>
        <v/>
      </c>
      <c r="F107" s="29">
        <f>IF($A107="","",IF(COUNTIF(設定!$B$41:$B$70,$A107)=0,"⚠ 查無員編",IF(COUNTIF($E$3:$E$1002,$E107)&gt;1,"⚠ 重複打卡","OK")))</f>
        <v/>
      </c>
    </row>
    <row r="108">
      <c r="A108" s="26" t="inlineStr">
        <is>
          <t>N001</t>
        </is>
      </c>
      <c r="B108" s="27" t="n">
        <v>46312</v>
      </c>
      <c r="C108" s="28" t="n">
        <v>0.3715277777777778</v>
      </c>
      <c r="D108" s="28" t="n">
        <v>0.7541666666666667</v>
      </c>
      <c r="E108" s="29">
        <f>IF($A108="","",$A108&amp;"|"&amp;DAY($B108))</f>
        <v/>
      </c>
      <c r="F108" s="29">
        <f>IF($A108="","",IF(COUNTIF(設定!$B$41:$B$70,$A108)=0,"⚠ 查無員編",IF(COUNTIF($E$3:$E$1002,$E108)&gt;1,"⚠ 重複打卡","OK")))</f>
        <v/>
      </c>
    </row>
    <row r="109">
      <c r="A109" s="26" t="inlineStr">
        <is>
          <t>A002</t>
        </is>
      </c>
      <c r="B109" s="27" t="n">
        <v>46314</v>
      </c>
      <c r="C109" s="28" t="n">
        <v>0.3722222222222222</v>
      </c>
      <c r="D109" s="28" t="n">
        <v>0.7520833333333333</v>
      </c>
      <c r="E109" s="29">
        <f>IF($A109="","",$A109&amp;"|"&amp;DAY($B109))</f>
        <v/>
      </c>
      <c r="F109" s="29">
        <f>IF($A109="","",IF(COUNTIF(設定!$B$41:$B$70,$A109)=0,"⚠ 查無員編",IF(COUNTIF($E$3:$E$1002,$E109)&gt;1,"⚠ 重複打卡","OK")))</f>
        <v/>
      </c>
    </row>
    <row r="110">
      <c r="A110" s="26" t="inlineStr">
        <is>
          <t>A003</t>
        </is>
      </c>
      <c r="B110" s="27" t="n">
        <v>46314</v>
      </c>
      <c r="C110" s="28" t="n">
        <v>0.5201388888888889</v>
      </c>
      <c r="D110" s="28" t="n">
        <v>0.9034722222222222</v>
      </c>
      <c r="E110" s="29">
        <f>IF($A110="","",$A110&amp;"|"&amp;DAY($B110))</f>
        <v/>
      </c>
      <c r="F110" s="29">
        <f>IF($A110="","",IF(COUNTIF(設定!$B$41:$B$70,$A110)=0,"⚠ 查無員編",IF(COUNTIF($E$3:$E$1002,$E110)&gt;1,"⚠ 重複打卡","OK")))</f>
        <v/>
      </c>
    </row>
    <row r="111">
      <c r="A111" s="26" t="inlineStr">
        <is>
          <t>A004</t>
        </is>
      </c>
      <c r="B111" s="27" t="n">
        <v>46314</v>
      </c>
      <c r="C111" s="28" t="n">
        <v>0.375</v>
      </c>
      <c r="D111" s="28" t="n">
        <v>0.7583333333333333</v>
      </c>
      <c r="E111" s="29">
        <f>IF($A111="","",$A111&amp;"|"&amp;DAY($B111))</f>
        <v/>
      </c>
      <c r="F111" s="29">
        <f>IF($A111="","",IF(COUNTIF(設定!$B$41:$B$70,$A111)=0,"⚠ 查無員編",IF(COUNTIF($E$3:$E$1002,$E111)&gt;1,"⚠ 重複打卡","OK")))</f>
        <v/>
      </c>
    </row>
    <row r="112">
      <c r="A112" s="26" t="inlineStr">
        <is>
          <t>A005</t>
        </is>
      </c>
      <c r="B112" s="27" t="n">
        <v>46314</v>
      </c>
      <c r="C112" s="28" t="n">
        <v>0.5208333333333334</v>
      </c>
      <c r="D112" s="28" t="n">
        <v>0.9041666666666667</v>
      </c>
      <c r="E112" s="29">
        <f>IF($A112="","",$A112&amp;"|"&amp;DAY($B112))</f>
        <v/>
      </c>
      <c r="F112" s="29">
        <f>IF($A112="","",IF(COUNTIF(設定!$B$41:$B$70,$A112)=0,"⚠ 查無員編",IF(COUNTIF($E$3:$E$1002,$E112)&gt;1,"⚠ 重複打卡","OK")))</f>
        <v/>
      </c>
    </row>
    <row r="113">
      <c r="A113" s="26" t="inlineStr">
        <is>
          <t>D002</t>
        </is>
      </c>
      <c r="B113" s="27" t="n">
        <v>46314</v>
      </c>
      <c r="C113" s="28" t="n">
        <v>0.5784722222222223</v>
      </c>
      <c r="D113" s="28" t="n">
        <v>0.7104166666666667</v>
      </c>
      <c r="E113" s="29">
        <f>IF($A113="","",$A113&amp;"|"&amp;DAY($B113))</f>
        <v/>
      </c>
      <c r="F113" s="29">
        <f>IF($A113="","",IF(COUNTIF(設定!$B$41:$B$70,$A113)=0,"⚠ 查無員編",IF(COUNTIF($E$3:$E$1002,$E113)&gt;1,"⚠ 重複打卡","OK")))</f>
        <v/>
      </c>
    </row>
    <row r="114">
      <c r="A114" s="26" t="inlineStr">
        <is>
          <t>D003</t>
        </is>
      </c>
      <c r="B114" s="27" t="n">
        <v>46314</v>
      </c>
      <c r="C114" s="28" t="n">
        <v>0.7479166666666667</v>
      </c>
      <c r="D114" s="28" t="n">
        <v>0.8868055555555555</v>
      </c>
      <c r="E114" s="29">
        <f>IF($A114="","",$A114&amp;"|"&amp;DAY($B114))</f>
        <v/>
      </c>
      <c r="F114" s="29">
        <f>IF($A114="","",IF(COUNTIF(設定!$B$41:$B$70,$A114)=0,"⚠ 查無員編",IF(COUNTIF($E$3:$E$1002,$E114)&gt;1,"⚠ 重複打卡","OK")))</f>
        <v/>
      </c>
    </row>
    <row r="115">
      <c r="A115" s="26" t="inlineStr">
        <is>
          <t>N001</t>
        </is>
      </c>
      <c r="B115" s="27" t="n">
        <v>46314</v>
      </c>
      <c r="C115" s="28" t="n">
        <v>0.3701388888888889</v>
      </c>
      <c r="D115" s="28" t="n">
        <v>0.7520833333333333</v>
      </c>
      <c r="E115" s="29">
        <f>IF($A115="","",$A115&amp;"|"&amp;DAY($B115))</f>
        <v/>
      </c>
      <c r="F115" s="29">
        <f>IF($A115="","",IF(COUNTIF(設定!$B$41:$B$70,$A115)=0,"⚠ 查無員編",IF(COUNTIF($E$3:$E$1002,$E115)&gt;1,"⚠ 重複打卡","OK")))</f>
        <v/>
      </c>
    </row>
    <row r="116">
      <c r="A116" s="26" t="inlineStr">
        <is>
          <t>A001</t>
        </is>
      </c>
      <c r="B116" s="27" t="n">
        <v>46315</v>
      </c>
      <c r="C116" s="28" t="n">
        <v>0.375</v>
      </c>
      <c r="D116" s="28" t="n">
        <v>0.7597222222222222</v>
      </c>
      <c r="E116" s="29">
        <f>IF($A116="","",$A116&amp;"|"&amp;DAY($B116))</f>
        <v/>
      </c>
      <c r="F116" s="29">
        <f>IF($A116="","",IF(COUNTIF(設定!$B$41:$B$70,$A116)=0,"⚠ 查無員編",IF(COUNTIF($E$3:$E$1002,$E116)&gt;1,"⚠ 重複打卡","OK")))</f>
        <v/>
      </c>
    </row>
    <row r="117">
      <c r="A117" s="26" t="inlineStr">
        <is>
          <t>A003</t>
        </is>
      </c>
      <c r="B117" s="27" t="n">
        <v>46315</v>
      </c>
      <c r="C117" s="28" t="n">
        <v>0.3729166666666667</v>
      </c>
      <c r="D117" s="28" t="n">
        <v>0.7576388888888889</v>
      </c>
      <c r="E117" s="29">
        <f>IF($A117="","",$A117&amp;"|"&amp;DAY($B117))</f>
        <v/>
      </c>
      <c r="F117" s="29">
        <f>IF($A117="","",IF(COUNTIF(設定!$B$41:$B$70,$A117)=0,"⚠ 查無員編",IF(COUNTIF($E$3:$E$1002,$E117)&gt;1,"⚠ 重複打卡","OK")))</f>
        <v/>
      </c>
    </row>
    <row r="118">
      <c r="A118" s="26" t="inlineStr">
        <is>
          <t>A004</t>
        </is>
      </c>
      <c r="B118" s="27" t="n">
        <v>46315</v>
      </c>
      <c r="C118" s="28" t="n">
        <v>0.51875</v>
      </c>
      <c r="D118" s="28" t="n">
        <v>0.8986111111111111</v>
      </c>
      <c r="E118" s="29">
        <f>IF($A118="","",$A118&amp;"|"&amp;DAY($B118))</f>
        <v/>
      </c>
      <c r="F118" s="29">
        <f>IF($A118="","",IF(COUNTIF(設定!$B$41:$B$70,$A118)=0,"⚠ 查無員編",IF(COUNTIF($E$3:$E$1002,$E118)&gt;1,"⚠ 重複打卡","OK")))</f>
        <v/>
      </c>
    </row>
    <row r="119">
      <c r="A119" s="26" t="inlineStr">
        <is>
          <t>A005</t>
        </is>
      </c>
      <c r="B119" s="27" t="n">
        <v>46315</v>
      </c>
      <c r="C119" s="28" t="n">
        <v>0.3701388888888889</v>
      </c>
      <c r="D119" s="28" t="n">
        <v>0.7534722222222222</v>
      </c>
      <c r="E119" s="29">
        <f>IF($A119="","",$A119&amp;"|"&amp;DAY($B119))</f>
        <v/>
      </c>
      <c r="F119" s="29">
        <f>IF($A119="","",IF(COUNTIF(設定!$B$41:$B$70,$A119)=0,"⚠ 查無員編",IF(COUNTIF($E$3:$E$1002,$E119)&gt;1,"⚠ 重複打卡","OK")))</f>
        <v/>
      </c>
    </row>
    <row r="120">
      <c r="A120" s="26" t="inlineStr">
        <is>
          <t>D001</t>
        </is>
      </c>
      <c r="B120" s="27" t="n">
        <v>46315</v>
      </c>
      <c r="C120" s="28" t="n">
        <v>0.58125</v>
      </c>
      <c r="D120" s="28" t="n">
        <v>0.7201388888888889</v>
      </c>
      <c r="E120" s="29">
        <f>IF($A120="","",$A120&amp;"|"&amp;DAY($B120))</f>
        <v/>
      </c>
      <c r="F120" s="29">
        <f>IF($A120="","",IF(COUNTIF(設定!$B$41:$B$70,$A120)=0,"⚠ 查無員編",IF(COUNTIF($E$3:$E$1002,$E120)&gt;1,"⚠ 重複打卡","OK")))</f>
        <v/>
      </c>
    </row>
    <row r="121">
      <c r="A121" s="26" t="inlineStr">
        <is>
          <t>D003</t>
        </is>
      </c>
      <c r="B121" s="27" t="n">
        <v>46315</v>
      </c>
      <c r="C121" s="28" t="n">
        <v>0.3736111111111111</v>
      </c>
      <c r="D121" s="28" t="n">
        <v>0.7138888888888889</v>
      </c>
      <c r="E121" s="29">
        <f>IF($A121="","",$A121&amp;"|"&amp;DAY($B121))</f>
        <v/>
      </c>
      <c r="F121" s="29">
        <f>IF($A121="","",IF(COUNTIF(設定!$B$41:$B$70,$A121)=0,"⚠ 查無員編",IF(COUNTIF($E$3:$E$1002,$E121)&gt;1,"⚠ 重複打卡","OK")))</f>
        <v/>
      </c>
    </row>
    <row r="122">
      <c r="A122" s="26" t="inlineStr">
        <is>
          <t>N001</t>
        </is>
      </c>
      <c r="B122" s="27" t="n">
        <v>46315</v>
      </c>
      <c r="C122" s="28" t="n">
        <v>0.3708333333333333</v>
      </c>
      <c r="D122" s="28" t="n">
        <v>0.7625</v>
      </c>
      <c r="E122" s="29">
        <f>IF($A122="","",$A122&amp;"|"&amp;DAY($B122))</f>
        <v/>
      </c>
      <c r="F122" s="29">
        <f>IF($A122="","",IF(COUNTIF(設定!$B$41:$B$70,$A122)=0,"⚠ 查無員編",IF(COUNTIF($E$3:$E$1002,$E122)&gt;1,"⚠ 重複打卡","OK")))</f>
        <v/>
      </c>
    </row>
    <row r="123">
      <c r="A123" s="26" t="inlineStr">
        <is>
          <t>A001</t>
        </is>
      </c>
      <c r="B123" s="27" t="n">
        <v>46316</v>
      </c>
      <c r="C123" s="28" t="n">
        <v>0.5194444444444445</v>
      </c>
      <c r="D123" s="28" t="n">
        <v>0.8979166666666667</v>
      </c>
      <c r="E123" s="29">
        <f>IF($A123="","",$A123&amp;"|"&amp;DAY($B123))</f>
        <v/>
      </c>
      <c r="F123" s="29">
        <f>IF($A123="","",IF(COUNTIF(設定!$B$41:$B$70,$A123)=0,"⚠ 查無員編",IF(COUNTIF($E$3:$E$1002,$E123)&gt;1,"⚠ 重複打卡","OK")))</f>
        <v/>
      </c>
    </row>
    <row r="124">
      <c r="A124" s="26" t="inlineStr">
        <is>
          <t>A004</t>
        </is>
      </c>
      <c r="B124" s="27" t="n">
        <v>46316</v>
      </c>
      <c r="C124" s="28" t="n">
        <v>0.3708333333333333</v>
      </c>
      <c r="D124" s="28" t="n">
        <v>0.7506944444444444</v>
      </c>
      <c r="E124" s="29">
        <f>IF($A124="","",$A124&amp;"|"&amp;DAY($B124))</f>
        <v/>
      </c>
      <c r="F124" s="29">
        <f>IF($A124="","",IF(COUNTIF(設定!$B$41:$B$70,$A124)=0,"⚠ 查無員編",IF(COUNTIF($E$3:$E$1002,$E124)&gt;1,"⚠ 重複打卡","OK")))</f>
        <v/>
      </c>
    </row>
    <row r="125">
      <c r="A125" s="26" t="inlineStr">
        <is>
          <t>A005</t>
        </is>
      </c>
      <c r="B125" s="27" t="n">
        <v>46316</v>
      </c>
      <c r="C125" s="28" t="n">
        <v>0.5173611111111112</v>
      </c>
      <c r="D125" s="28" t="n">
        <v>0.8986111111111111</v>
      </c>
      <c r="E125" s="29">
        <f>IF($A125="","",$A125&amp;"|"&amp;DAY($B125))</f>
        <v/>
      </c>
      <c r="F125" s="29">
        <f>IF($A125="","",IF(COUNTIF(設定!$B$41:$B$70,$A125)=0,"⚠ 查無員編",IF(COUNTIF($E$3:$E$1002,$E125)&gt;1,"⚠ 重複打卡","OK")))</f>
        <v/>
      </c>
    </row>
    <row r="126">
      <c r="A126" s="26" t="inlineStr">
        <is>
          <t>D001</t>
        </is>
      </c>
      <c r="B126" s="27" t="n">
        <v>46316</v>
      </c>
      <c r="C126" s="28" t="n">
        <v>0.7479166666666667</v>
      </c>
      <c r="D126" s="28" t="n">
        <v>0.8805555555555555</v>
      </c>
      <c r="E126" s="29">
        <f>IF($A126="","",$A126&amp;"|"&amp;DAY($B126))</f>
        <v/>
      </c>
      <c r="F126" s="29">
        <f>IF($A126="","",IF(COUNTIF(設定!$B$41:$B$70,$A126)=0,"⚠ 查無員編",IF(COUNTIF($E$3:$E$1002,$E126)&gt;1,"⚠ 重複打卡","OK")))</f>
        <v/>
      </c>
    </row>
    <row r="127">
      <c r="A127" s="26" t="inlineStr">
        <is>
          <t>D002</t>
        </is>
      </c>
      <c r="B127" s="27" t="n">
        <v>46316</v>
      </c>
      <c r="C127" s="28" t="n">
        <v>0.3715277777777778</v>
      </c>
      <c r="D127" s="28" t="n">
        <v>0.7152777777777778</v>
      </c>
      <c r="E127" s="29">
        <f>IF($A127="","",$A127&amp;"|"&amp;DAY($B127))</f>
        <v/>
      </c>
      <c r="F127" s="29">
        <f>IF($A127="","",IF(COUNTIF(設定!$B$41:$B$70,$A127)=0,"⚠ 查無員編",IF(COUNTIF($E$3:$E$1002,$E127)&gt;1,"⚠ 重複打卡","OK")))</f>
        <v/>
      </c>
    </row>
    <row r="128">
      <c r="A128" s="26" t="inlineStr">
        <is>
          <t>D003</t>
        </is>
      </c>
      <c r="B128" s="27" t="n">
        <v>46316</v>
      </c>
      <c r="C128" s="28" t="n">
        <v>0.375</v>
      </c>
      <c r="D128" s="28" t="n">
        <v>0.75</v>
      </c>
      <c r="E128" s="29">
        <f>IF($A128="","",$A128&amp;"|"&amp;DAY($B128))</f>
        <v/>
      </c>
      <c r="F128" s="29">
        <f>IF($A128="","",IF(COUNTIF(設定!$B$41:$B$70,$A128)=0,"⚠ 查無員編",IF(COUNTIF($E$3:$E$1002,$E128)&gt;1,"⚠ 重複打卡","OK")))</f>
        <v/>
      </c>
    </row>
    <row r="129">
      <c r="A129" s="26" t="inlineStr">
        <is>
          <t>N001</t>
        </is>
      </c>
      <c r="B129" s="27" t="n">
        <v>46316</v>
      </c>
      <c r="C129" s="28" t="n">
        <v>0.3701388888888889</v>
      </c>
      <c r="D129" s="28" t="n">
        <v>0.7527777777777778</v>
      </c>
      <c r="E129" s="29">
        <f>IF($A129="","",$A129&amp;"|"&amp;DAY($B129))</f>
        <v/>
      </c>
      <c r="F129" s="29">
        <f>IF($A129="","",IF(COUNTIF(設定!$B$41:$B$70,$A129)=0,"⚠ 查無員編",IF(COUNTIF($E$3:$E$1002,$E129)&gt;1,"⚠ 重複打卡","OK")))</f>
        <v/>
      </c>
    </row>
    <row r="130">
      <c r="A130" s="26" t="inlineStr">
        <is>
          <t>A001</t>
        </is>
      </c>
      <c r="B130" s="27" t="n">
        <v>46317</v>
      </c>
      <c r="C130" s="28" t="n">
        <v>0.3736111111111111</v>
      </c>
      <c r="D130" s="28" t="n">
        <v>0.7520833333333333</v>
      </c>
      <c r="E130" s="29">
        <f>IF($A130="","",$A130&amp;"|"&amp;DAY($B130))</f>
        <v/>
      </c>
      <c r="F130" s="29">
        <f>IF($A130="","",IF(COUNTIF(設定!$B$41:$B$70,$A130)=0,"⚠ 查無員編",IF(COUNTIF($E$3:$E$1002,$E130)&gt;1,"⚠ 重複打卡","OK")))</f>
        <v/>
      </c>
    </row>
    <row r="131">
      <c r="A131" s="26" t="inlineStr">
        <is>
          <t>A002</t>
        </is>
      </c>
      <c r="B131" s="27" t="n">
        <v>46317</v>
      </c>
      <c r="C131" s="28" t="n">
        <v>0.5159722222222223</v>
      </c>
      <c r="D131" s="28" t="n">
        <v>0.8979166666666667</v>
      </c>
      <c r="E131" s="29">
        <f>IF($A131="","",$A131&amp;"|"&amp;DAY($B131))</f>
        <v/>
      </c>
      <c r="F131" s="29">
        <f>IF($A131="","",IF(COUNTIF(設定!$B$41:$B$70,$A131)=0,"⚠ 查無員編",IF(COUNTIF($E$3:$E$1002,$E131)&gt;1,"⚠ 重複打卡","OK")))</f>
        <v/>
      </c>
    </row>
    <row r="132">
      <c r="A132" s="26" t="inlineStr">
        <is>
          <t>A005</t>
        </is>
      </c>
      <c r="B132" s="27" t="n">
        <v>46317</v>
      </c>
      <c r="C132" s="28" t="n">
        <v>0.3708333333333333</v>
      </c>
      <c r="D132" s="28" t="n">
        <v>0.7548611111111111</v>
      </c>
      <c r="E132" s="29">
        <f>IF($A132="","",$A132&amp;"|"&amp;DAY($B132))</f>
        <v/>
      </c>
      <c r="F132" s="29">
        <f>IF($A132="","",IF(COUNTIF(設定!$B$41:$B$70,$A132)=0,"⚠ 查無員編",IF(COUNTIF($E$3:$E$1002,$E132)&gt;1,"⚠ 重複打卡","OK")))</f>
        <v/>
      </c>
    </row>
    <row r="133">
      <c r="A133" s="26" t="inlineStr">
        <is>
          <t>D001</t>
        </is>
      </c>
      <c r="B133" s="27" t="n">
        <v>46317</v>
      </c>
      <c r="C133" s="28" t="n">
        <v>0.3701388888888889</v>
      </c>
      <c r="D133" s="28" t="n">
        <v>0.7180555555555556</v>
      </c>
      <c r="E133" s="29">
        <f>IF($A133="","",$A133&amp;"|"&amp;DAY($B133))</f>
        <v/>
      </c>
      <c r="F133" s="29">
        <f>IF($A133="","",IF(COUNTIF(設定!$B$41:$B$70,$A133)=0,"⚠ 查無員編",IF(COUNTIF($E$3:$E$1002,$E133)&gt;1,"⚠ 重複打卡","OK")))</f>
        <v/>
      </c>
    </row>
    <row r="134">
      <c r="A134" s="26" t="inlineStr">
        <is>
          <t>D002</t>
        </is>
      </c>
      <c r="B134" s="27" t="n">
        <v>46317</v>
      </c>
      <c r="C134" s="28" t="n">
        <v>0.5826388888888889</v>
      </c>
      <c r="D134" s="28" t="n">
        <v>0.7111111111111111</v>
      </c>
      <c r="E134" s="29">
        <f>IF($A134="","",$A134&amp;"|"&amp;DAY($B134))</f>
        <v/>
      </c>
      <c r="F134" s="29">
        <f>IF($A134="","",IF(COUNTIF(設定!$B$41:$B$70,$A134)=0,"⚠ 查無員編",IF(COUNTIF($E$3:$E$1002,$E134)&gt;1,"⚠ 重複打卡","OK")))</f>
        <v/>
      </c>
    </row>
    <row r="135">
      <c r="A135" s="26" t="inlineStr">
        <is>
          <t>D003</t>
        </is>
      </c>
      <c r="B135" s="27" t="n">
        <v>46317</v>
      </c>
      <c r="C135" s="28" t="n">
        <v>0.3736111111111111</v>
      </c>
      <c r="D135" s="28" t="n">
        <v>0.7104166666666667</v>
      </c>
      <c r="E135" s="29">
        <f>IF($A135="","",$A135&amp;"|"&amp;DAY($B135))</f>
        <v/>
      </c>
      <c r="F135" s="29">
        <f>IF($A135="","",IF(COUNTIF(設定!$B$41:$B$70,$A135)=0,"⚠ 查無員編",IF(COUNTIF($E$3:$E$1002,$E135)&gt;1,"⚠ 重複打卡","OK")))</f>
        <v/>
      </c>
    </row>
    <row r="136">
      <c r="A136" s="26" t="inlineStr">
        <is>
          <t>N001</t>
        </is>
      </c>
      <c r="B136" s="27" t="n">
        <v>46317</v>
      </c>
      <c r="C136" s="28" t="n">
        <v>0.3715277777777778</v>
      </c>
      <c r="D136" s="28" t="n">
        <v>0.7576388888888889</v>
      </c>
      <c r="E136" s="29">
        <f>IF($A136="","",$A136&amp;"|"&amp;DAY($B136))</f>
        <v/>
      </c>
      <c r="F136" s="29">
        <f>IF($A136="","",IF(COUNTIF(設定!$B$41:$B$70,$A136)=0,"⚠ 查無員編",IF(COUNTIF($E$3:$E$1002,$E136)&gt;1,"⚠ 重複打卡","OK")))</f>
        <v/>
      </c>
    </row>
    <row r="137">
      <c r="A137" s="26" t="inlineStr">
        <is>
          <t>A001</t>
        </is>
      </c>
      <c r="B137" s="27" t="n">
        <v>46318</v>
      </c>
      <c r="C137" s="28" t="n">
        <v>0.5208333333333334</v>
      </c>
      <c r="D137" s="28" t="n">
        <v>0.8993055555555556</v>
      </c>
      <c r="E137" s="29">
        <f>IF($A137="","",$A137&amp;"|"&amp;DAY($B137))</f>
        <v/>
      </c>
      <c r="F137" s="29">
        <f>IF($A137="","",IF(COUNTIF(設定!$B$41:$B$70,$A137)=0,"⚠ 查無員編",IF(COUNTIF($E$3:$E$1002,$E137)&gt;1,"⚠ 重複打卡","OK")))</f>
        <v/>
      </c>
    </row>
    <row r="138">
      <c r="A138" s="26" t="inlineStr">
        <is>
          <t>A002</t>
        </is>
      </c>
      <c r="B138" s="27" t="n">
        <v>46318</v>
      </c>
      <c r="C138" s="28" t="n">
        <v>0.375</v>
      </c>
      <c r="D138" s="28" t="n">
        <v>0.7541666666666667</v>
      </c>
      <c r="E138" s="29">
        <f>IF($A138="","",$A138&amp;"|"&amp;DAY($B138))</f>
        <v/>
      </c>
      <c r="F138" s="29">
        <f>IF($A138="","",IF(COUNTIF(設定!$B$41:$B$70,$A138)=0,"⚠ 查無員編",IF(COUNTIF($E$3:$E$1002,$E138)&gt;1,"⚠ 重複打卡","OK")))</f>
        <v/>
      </c>
    </row>
    <row r="139">
      <c r="A139" s="26" t="inlineStr">
        <is>
          <t>A003</t>
        </is>
      </c>
      <c r="B139" s="27" t="n">
        <v>46318</v>
      </c>
      <c r="C139" s="28" t="n">
        <v>0.5173611111111112</v>
      </c>
      <c r="D139" s="28" t="n">
        <v>0.9083333333333333</v>
      </c>
      <c r="E139" s="29">
        <f>IF($A139="","",$A139&amp;"|"&amp;DAY($B139))</f>
        <v/>
      </c>
      <c r="F139" s="29">
        <f>IF($A139="","",IF(COUNTIF(設定!$B$41:$B$70,$A139)=0,"⚠ 查無員編",IF(COUNTIF($E$3:$E$1002,$E139)&gt;1,"⚠ 重複打卡","OK")))</f>
        <v/>
      </c>
    </row>
    <row r="140">
      <c r="A140" s="26" t="inlineStr">
        <is>
          <t>A004</t>
        </is>
      </c>
      <c r="B140" s="27" t="n">
        <v>46318</v>
      </c>
      <c r="C140" s="28" t="n">
        <v>0.375</v>
      </c>
      <c r="D140" s="28" t="n">
        <v>0.7520833333333333</v>
      </c>
      <c r="E140" s="29">
        <f>IF($A140="","",$A140&amp;"|"&amp;DAY($B140))</f>
        <v/>
      </c>
      <c r="F140" s="29">
        <f>IF($A140="","",IF(COUNTIF(設定!$B$41:$B$70,$A140)=0,"⚠ 查無員編",IF(COUNTIF($E$3:$E$1002,$E140)&gt;1,"⚠ 重複打卡","OK")))</f>
        <v/>
      </c>
    </row>
    <row r="141">
      <c r="A141" s="26" t="inlineStr">
        <is>
          <t>D001</t>
        </is>
      </c>
      <c r="B141" s="27" t="n">
        <v>46318</v>
      </c>
      <c r="C141" s="28" t="n">
        <v>0.5819444444444445</v>
      </c>
      <c r="D141" s="28" t="n">
        <v>0.7159722222222222</v>
      </c>
      <c r="E141" s="29">
        <f>IF($A141="","",$A141&amp;"|"&amp;DAY($B141))</f>
        <v/>
      </c>
      <c r="F141" s="29">
        <f>IF($A141="","",IF(COUNTIF(設定!$B$41:$B$70,$A141)=0,"⚠ 查無員編",IF(COUNTIF($E$3:$E$1002,$E141)&gt;1,"⚠ 重複打卡","OK")))</f>
        <v/>
      </c>
    </row>
    <row r="142">
      <c r="A142" s="26" t="inlineStr">
        <is>
          <t>D002</t>
        </is>
      </c>
      <c r="B142" s="27" t="n">
        <v>46318</v>
      </c>
      <c r="C142" s="28" t="n">
        <v>0.3701388888888889</v>
      </c>
      <c r="D142" s="28" t="n">
        <v>0.7180555555555556</v>
      </c>
      <c r="E142" s="29">
        <f>IF($A142="","",$A142&amp;"|"&amp;DAY($B142))</f>
        <v/>
      </c>
      <c r="F142" s="29">
        <f>IF($A142="","",IF(COUNTIF(設定!$B$41:$B$70,$A142)=0,"⚠ 查無員編",IF(COUNTIF($E$3:$E$1002,$E142)&gt;1,"⚠ 重複打卡","OK")))</f>
        <v/>
      </c>
    </row>
    <row r="143">
      <c r="A143" s="26" t="inlineStr">
        <is>
          <t>N001</t>
        </is>
      </c>
      <c r="B143" s="27" t="n">
        <v>46318</v>
      </c>
      <c r="C143" s="28" t="n">
        <v>0.3736111111111111</v>
      </c>
      <c r="D143" s="28" t="n">
        <v>0.7527777777777778</v>
      </c>
      <c r="E143" s="29">
        <f>IF($A143="","",$A143&amp;"|"&amp;DAY($B143))</f>
        <v/>
      </c>
      <c r="F143" s="29">
        <f>IF($A143="","",IF(COUNTIF(設定!$B$41:$B$70,$A143)=0,"⚠ 查無員編",IF(COUNTIF($E$3:$E$1002,$E143)&gt;1,"⚠ 重複打卡","OK")))</f>
        <v/>
      </c>
    </row>
    <row r="144">
      <c r="A144" s="26" t="inlineStr">
        <is>
          <t>A001</t>
        </is>
      </c>
      <c r="B144" s="27" t="n">
        <v>46319</v>
      </c>
      <c r="C144" s="28" t="n">
        <v>0.375</v>
      </c>
      <c r="D144" s="28" t="n">
        <v>0.7597222222222222</v>
      </c>
      <c r="E144" s="29">
        <f>IF($A144="","",$A144&amp;"|"&amp;DAY($B144))</f>
        <v/>
      </c>
      <c r="F144" s="29">
        <f>IF($A144="","",IF(COUNTIF(設定!$B$41:$B$70,$A144)=0,"⚠ 查無員編",IF(COUNTIF($E$3:$E$1002,$E144)&gt;1,"⚠ 重複打卡","OK")))</f>
        <v/>
      </c>
    </row>
    <row r="145">
      <c r="A145" s="26" t="inlineStr">
        <is>
          <t>A002</t>
        </is>
      </c>
      <c r="B145" s="27" t="n">
        <v>46319</v>
      </c>
      <c r="C145" s="28" t="n">
        <v>0.5159722222222223</v>
      </c>
      <c r="D145" s="28" t="n">
        <v>0.9083333333333333</v>
      </c>
      <c r="E145" s="29">
        <f>IF($A145="","",$A145&amp;"|"&amp;DAY($B145))</f>
        <v/>
      </c>
      <c r="F145" s="29">
        <f>IF($A145="","",IF(COUNTIF(設定!$B$41:$B$70,$A145)=0,"⚠ 查無員編",IF(COUNTIF($E$3:$E$1002,$E145)&gt;1,"⚠ 重複打卡","OK")))</f>
        <v/>
      </c>
    </row>
    <row r="146">
      <c r="A146" s="26" t="inlineStr">
        <is>
          <t>A003</t>
        </is>
      </c>
      <c r="B146" s="27" t="n">
        <v>46319</v>
      </c>
      <c r="C146" s="28" t="n">
        <v>0.3715277777777778</v>
      </c>
      <c r="D146" s="28" t="n">
        <v>0.7506944444444444</v>
      </c>
      <c r="E146" s="29">
        <f>IF($A146="","",$A146&amp;"|"&amp;DAY($B146))</f>
        <v/>
      </c>
      <c r="F146" s="29">
        <f>IF($A146="","",IF(COUNTIF(設定!$B$41:$B$70,$A146)=0,"⚠ 查無員編",IF(COUNTIF($E$3:$E$1002,$E146)&gt;1,"⚠ 重複打卡","OK")))</f>
        <v/>
      </c>
    </row>
    <row r="147">
      <c r="A147" s="26" t="inlineStr">
        <is>
          <t>A004</t>
        </is>
      </c>
      <c r="B147" s="27" t="n">
        <v>46319</v>
      </c>
      <c r="C147" s="28" t="n">
        <v>0.5201388888888889</v>
      </c>
      <c r="D147" s="28" t="n">
        <v>0.9055555555555556</v>
      </c>
      <c r="E147" s="29">
        <f>IF($A147="","",$A147&amp;"|"&amp;DAY($B147))</f>
        <v/>
      </c>
      <c r="F147" s="29">
        <f>IF($A147="","",IF(COUNTIF(設定!$B$41:$B$70,$A147)=0,"⚠ 查無員編",IF(COUNTIF($E$3:$E$1002,$E147)&gt;1,"⚠ 重複打卡","OK")))</f>
        <v/>
      </c>
    </row>
    <row r="148">
      <c r="A148" s="26" t="inlineStr">
        <is>
          <t>A005</t>
        </is>
      </c>
      <c r="B148" s="27" t="n">
        <v>46319</v>
      </c>
      <c r="C148" s="28" t="n">
        <v>0.375</v>
      </c>
      <c r="D148" s="28" t="n">
        <v>0.7527777777777778</v>
      </c>
      <c r="E148" s="29">
        <f>IF($A148="","",$A148&amp;"|"&amp;DAY($B148))</f>
        <v/>
      </c>
      <c r="F148" s="29">
        <f>IF($A148="","",IF(COUNTIF(設定!$B$41:$B$70,$A148)=0,"⚠ 查無員編",IF(COUNTIF($E$3:$E$1002,$E148)&gt;1,"⚠ 重複打卡","OK")))</f>
        <v/>
      </c>
    </row>
    <row r="149">
      <c r="A149" s="26" t="inlineStr">
        <is>
          <t>D001</t>
        </is>
      </c>
      <c r="B149" s="27" t="n">
        <v>46319</v>
      </c>
      <c r="C149" s="28" t="n">
        <v>0.3708333333333333</v>
      </c>
      <c r="D149" s="28" t="n">
        <v>0.7194444444444444</v>
      </c>
      <c r="E149" s="29">
        <f>IF($A149="","",$A149&amp;"|"&amp;DAY($B149))</f>
        <v/>
      </c>
      <c r="F149" s="29">
        <f>IF($A149="","",IF(COUNTIF(設定!$B$41:$B$70,$A149)=0,"⚠ 查無員編",IF(COUNTIF($E$3:$E$1002,$E149)&gt;1,"⚠ 重複打卡","OK")))</f>
        <v/>
      </c>
    </row>
    <row r="150">
      <c r="A150" s="26" t="inlineStr">
        <is>
          <t>D002</t>
        </is>
      </c>
      <c r="B150" s="27" t="n">
        <v>46319</v>
      </c>
      <c r="C150" s="28" t="n">
        <v>0.3701388888888889</v>
      </c>
      <c r="D150" s="28" t="n">
        <v>0.5111111111111111</v>
      </c>
      <c r="E150" s="29">
        <f>IF($A150="","",$A150&amp;"|"&amp;DAY($B150))</f>
        <v/>
      </c>
      <c r="F150" s="29">
        <f>IF($A150="","",IF(COUNTIF(設定!$B$41:$B$70,$A150)=0,"⚠ 查無員編",IF(COUNTIF($E$3:$E$1002,$E150)&gt;1,"⚠ 重複打卡","OK")))</f>
        <v/>
      </c>
    </row>
    <row r="151">
      <c r="A151" s="26" t="inlineStr">
        <is>
          <t>D003</t>
        </is>
      </c>
      <c r="B151" s="27" t="n">
        <v>46319</v>
      </c>
      <c r="C151" s="28" t="n">
        <v>0.5784722222222223</v>
      </c>
      <c r="D151" s="28" t="n">
        <v>0.71875</v>
      </c>
      <c r="E151" s="29">
        <f>IF($A151="","",$A151&amp;"|"&amp;DAY($B151))</f>
        <v/>
      </c>
      <c r="F151" s="29">
        <f>IF($A151="","",IF(COUNTIF(設定!$B$41:$B$70,$A151)=0,"⚠ 查無員編",IF(COUNTIF($E$3:$E$1002,$E151)&gt;1,"⚠ 重複打卡","OK")))</f>
        <v/>
      </c>
    </row>
    <row r="152">
      <c r="A152" s="26" t="inlineStr">
        <is>
          <t>N001</t>
        </is>
      </c>
      <c r="B152" s="27" t="n">
        <v>46319</v>
      </c>
      <c r="C152" s="28" t="n">
        <v>0.3715277777777778</v>
      </c>
      <c r="D152" s="28" t="n">
        <v>0.7555555555555555</v>
      </c>
      <c r="E152" s="29">
        <f>IF($A152="","",$A152&amp;"|"&amp;DAY($B152))</f>
        <v/>
      </c>
      <c r="F152" s="29">
        <f>IF($A152="","",IF(COUNTIF(設定!$B$41:$B$70,$A152)=0,"⚠ 查無員編",IF(COUNTIF($E$3:$E$1002,$E152)&gt;1,"⚠ 重複打卡","OK")))</f>
        <v/>
      </c>
    </row>
    <row r="153">
      <c r="A153" s="26" t="inlineStr">
        <is>
          <t>A002</t>
        </is>
      </c>
      <c r="B153" s="27" t="n">
        <v>46321</v>
      </c>
      <c r="C153" s="28" t="n">
        <v>0.5159722222222223</v>
      </c>
      <c r="D153" s="28" t="n">
        <v>0.8986111111111111</v>
      </c>
      <c r="E153" s="29">
        <f>IF($A153="","",$A153&amp;"|"&amp;DAY($B153))</f>
        <v/>
      </c>
      <c r="F153" s="29">
        <f>IF($A153="","",IF(COUNTIF(設定!$B$41:$B$70,$A153)=0,"⚠ 查無員編",IF(COUNTIF($E$3:$E$1002,$E153)&gt;1,"⚠ 重複打卡","OK")))</f>
        <v/>
      </c>
    </row>
    <row r="154">
      <c r="A154" s="26" t="inlineStr">
        <is>
          <t>A003</t>
        </is>
      </c>
      <c r="B154" s="27" t="n">
        <v>46321</v>
      </c>
      <c r="C154" s="28" t="n">
        <v>0.3715277777777778</v>
      </c>
      <c r="D154" s="28" t="n">
        <v>0.7513888888888889</v>
      </c>
      <c r="E154" s="29">
        <f>IF($A154="","",$A154&amp;"|"&amp;DAY($B154))</f>
        <v/>
      </c>
      <c r="F154" s="29">
        <f>IF($A154="","",IF(COUNTIF(設定!$B$41:$B$70,$A154)=0,"⚠ 查無員編",IF(COUNTIF($E$3:$E$1002,$E154)&gt;1,"⚠ 重複打卡","OK")))</f>
        <v/>
      </c>
    </row>
    <row r="155">
      <c r="A155" s="26" t="inlineStr">
        <is>
          <t>A004</t>
        </is>
      </c>
      <c r="B155" s="27" t="n">
        <v>46321</v>
      </c>
      <c r="C155" s="28" t="n">
        <v>0.51875</v>
      </c>
      <c r="D155" s="28" t="n">
        <v>0.9034722222222222</v>
      </c>
      <c r="E155" s="29">
        <f>IF($A155="","",$A155&amp;"|"&amp;DAY($B155))</f>
        <v/>
      </c>
      <c r="F155" s="29">
        <f>IF($A155="","",IF(COUNTIF(設定!$B$41:$B$70,$A155)=0,"⚠ 查無員編",IF(COUNTIF($E$3:$E$1002,$E155)&gt;1,"⚠ 重複打卡","OK")))</f>
        <v/>
      </c>
    </row>
    <row r="156">
      <c r="A156" s="26" t="inlineStr">
        <is>
          <t>A005</t>
        </is>
      </c>
      <c r="B156" s="27" t="n">
        <v>46321</v>
      </c>
      <c r="C156" s="28" t="n">
        <v>0.3736111111111111</v>
      </c>
      <c r="D156" s="28" t="n">
        <v>0.7555555555555555</v>
      </c>
      <c r="E156" s="29">
        <f>IF($A156="","",$A156&amp;"|"&amp;DAY($B156))</f>
        <v/>
      </c>
      <c r="F156" s="29">
        <f>IF($A156="","",IF(COUNTIF(設定!$B$41:$B$70,$A156)=0,"⚠ 查無員編",IF(COUNTIF($E$3:$E$1002,$E156)&gt;1,"⚠ 重複打卡","OK")))</f>
        <v/>
      </c>
    </row>
    <row r="157">
      <c r="A157" s="26" t="inlineStr">
        <is>
          <t>D002</t>
        </is>
      </c>
      <c r="B157" s="27" t="n">
        <v>46321</v>
      </c>
      <c r="C157" s="28" t="n">
        <v>0.7465277777777778</v>
      </c>
      <c r="D157" s="28" t="n">
        <v>0.8854166666666666</v>
      </c>
      <c r="E157" s="29">
        <f>IF($A157="","",$A157&amp;"|"&amp;DAY($B157))</f>
        <v/>
      </c>
      <c r="F157" s="29">
        <f>IF($A157="","",IF(COUNTIF(設定!$B$41:$B$70,$A157)=0,"⚠ 查無員編",IF(COUNTIF($E$3:$E$1002,$E157)&gt;1,"⚠ 重複打卡","OK")))</f>
        <v/>
      </c>
    </row>
    <row r="158">
      <c r="A158" s="26" t="inlineStr">
        <is>
          <t>D003</t>
        </is>
      </c>
      <c r="B158" s="27" t="n">
        <v>46321</v>
      </c>
      <c r="C158" s="28" t="n">
        <v>0.3736111111111111</v>
      </c>
      <c r="D158" s="28" t="n">
        <v>0.7118055555555556</v>
      </c>
      <c r="E158" s="29">
        <f>IF($A158="","",$A158&amp;"|"&amp;DAY($B158))</f>
        <v/>
      </c>
      <c r="F158" s="29">
        <f>IF($A158="","",IF(COUNTIF(設定!$B$41:$B$70,$A158)=0,"⚠ 查無員編",IF(COUNTIF($E$3:$E$1002,$E158)&gt;1,"⚠ 重複打卡","OK")))</f>
        <v/>
      </c>
    </row>
    <row r="159">
      <c r="A159" s="26" t="inlineStr">
        <is>
          <t>N001</t>
        </is>
      </c>
      <c r="B159" s="27" t="n">
        <v>46321</v>
      </c>
      <c r="C159" s="28" t="n">
        <v>0.3736111111111111</v>
      </c>
      <c r="D159" s="28" t="n">
        <v>0.75</v>
      </c>
      <c r="E159" s="29">
        <f>IF($A159="","",$A159&amp;"|"&amp;DAY($B159))</f>
        <v/>
      </c>
      <c r="F159" s="29">
        <f>IF($A159="","",IF(COUNTIF(設定!$B$41:$B$70,$A159)=0,"⚠ 查無員編",IF(COUNTIF($E$3:$E$1002,$E159)&gt;1,"⚠ 重複打卡","OK")))</f>
        <v/>
      </c>
    </row>
    <row r="160">
      <c r="A160" s="26" t="inlineStr">
        <is>
          <t>A001</t>
        </is>
      </c>
      <c r="B160" s="27" t="n">
        <v>46322</v>
      </c>
      <c r="C160" s="28" t="n">
        <v>0.5166666666666667</v>
      </c>
      <c r="D160" s="28" t="n">
        <v>0.9006944444444445</v>
      </c>
      <c r="E160" s="29">
        <f>IF($A160="","",$A160&amp;"|"&amp;DAY($B160))</f>
        <v/>
      </c>
      <c r="F160" s="29">
        <f>IF($A160="","",IF(COUNTIF(設定!$B$41:$B$70,$A160)=0,"⚠ 查無員編",IF(COUNTIF($E$3:$E$1002,$E160)&gt;1,"⚠ 重複打卡","OK")))</f>
        <v/>
      </c>
    </row>
    <row r="161">
      <c r="A161" s="26" t="inlineStr">
        <is>
          <t>A003</t>
        </is>
      </c>
      <c r="B161" s="27" t="n">
        <v>46322</v>
      </c>
      <c r="C161" s="28" t="n">
        <v>0.5180555555555556</v>
      </c>
      <c r="D161" s="28" t="n">
        <v>0.9013888888888889</v>
      </c>
      <c r="E161" s="29">
        <f>IF($A161="","",$A161&amp;"|"&amp;DAY($B161))</f>
        <v/>
      </c>
      <c r="F161" s="29">
        <f>IF($A161="","",IF(COUNTIF(設定!$B$41:$B$70,$A161)=0,"⚠ 查無員編",IF(COUNTIF($E$3:$E$1002,$E161)&gt;1,"⚠ 重複打卡","OK")))</f>
        <v/>
      </c>
    </row>
    <row r="162">
      <c r="A162" s="26" t="inlineStr">
        <is>
          <t>A004</t>
        </is>
      </c>
      <c r="B162" s="27" t="n">
        <v>46322</v>
      </c>
      <c r="C162" s="28" t="n">
        <v>0.3715277777777778</v>
      </c>
      <c r="D162" s="28" t="n">
        <v>0.7527777777777778</v>
      </c>
      <c r="E162" s="29">
        <f>IF($A162="","",$A162&amp;"|"&amp;DAY($B162))</f>
        <v/>
      </c>
      <c r="F162" s="29">
        <f>IF($A162="","",IF(COUNTIF(設定!$B$41:$B$70,$A162)=0,"⚠ 查無員編",IF(COUNTIF($E$3:$E$1002,$E162)&gt;1,"⚠ 重複打卡","OK")))</f>
        <v/>
      </c>
    </row>
    <row r="163">
      <c r="A163" s="26" t="inlineStr">
        <is>
          <t>A005</t>
        </is>
      </c>
      <c r="B163" s="27" t="n">
        <v>46322</v>
      </c>
      <c r="C163" s="28" t="n">
        <v>0.5180555555555556</v>
      </c>
      <c r="D163" s="28" t="n">
        <v>0.8986111111111111</v>
      </c>
      <c r="E163" s="29">
        <f>IF($A163="","",$A163&amp;"|"&amp;DAY($B163))</f>
        <v/>
      </c>
      <c r="F163" s="29">
        <f>IF($A163="","",IF(COUNTIF(設定!$B$41:$B$70,$A163)=0,"⚠ 查無員編",IF(COUNTIF($E$3:$E$1002,$E163)&gt;1,"⚠ 重複打卡","OK")))</f>
        <v/>
      </c>
    </row>
    <row r="164">
      <c r="A164" s="26" t="inlineStr">
        <is>
          <t>D001</t>
        </is>
      </c>
      <c r="B164" s="27" t="n">
        <v>46322</v>
      </c>
      <c r="C164" s="28" t="n">
        <v>0.75</v>
      </c>
      <c r="D164" s="28" t="n">
        <v>0.8847222222222222</v>
      </c>
      <c r="E164" s="29">
        <f>IF($A164="","",$A164&amp;"|"&amp;DAY($B164))</f>
        <v/>
      </c>
      <c r="F164" s="29">
        <f>IF($A164="","",IF(COUNTIF(設定!$B$41:$B$70,$A164)=0,"⚠ 查無員編",IF(COUNTIF($E$3:$E$1002,$E164)&gt;1,"⚠ 重複打卡","OK")))</f>
        <v/>
      </c>
    </row>
    <row r="165">
      <c r="A165" s="26" t="inlineStr">
        <is>
          <t>D003</t>
        </is>
      </c>
      <c r="B165" s="27" t="n">
        <v>46322</v>
      </c>
      <c r="C165" s="28" t="n">
        <v>0.5819444444444445</v>
      </c>
      <c r="D165" s="28" t="n">
        <v>0.7111111111111111</v>
      </c>
      <c r="E165" s="29">
        <f>IF($A165="","",$A165&amp;"|"&amp;DAY($B165))</f>
        <v/>
      </c>
      <c r="F165" s="29">
        <f>IF($A165="","",IF(COUNTIF(設定!$B$41:$B$70,$A165)=0,"⚠ 查無員編",IF(COUNTIF($E$3:$E$1002,$E165)&gt;1,"⚠ 重複打卡","OK")))</f>
        <v/>
      </c>
    </row>
    <row r="166">
      <c r="A166" s="26" t="inlineStr">
        <is>
          <t>N001</t>
        </is>
      </c>
      <c r="B166" s="27" t="n">
        <v>46322</v>
      </c>
      <c r="C166" s="28" t="n">
        <v>0.3708333333333333</v>
      </c>
      <c r="D166" s="28" t="n">
        <v>0.7527777777777778</v>
      </c>
      <c r="E166" s="29">
        <f>IF($A166="","",$A166&amp;"|"&amp;DAY($B166))</f>
        <v/>
      </c>
      <c r="F166" s="29">
        <f>IF($A166="","",IF(COUNTIF(設定!$B$41:$B$70,$A166)=0,"⚠ 查無員編",IF(COUNTIF($E$3:$E$1002,$E166)&gt;1,"⚠ 重複打卡","OK")))</f>
        <v/>
      </c>
    </row>
    <row r="167">
      <c r="A167" s="26" t="inlineStr">
        <is>
          <t>A001</t>
        </is>
      </c>
      <c r="B167" s="27" t="n">
        <v>46323</v>
      </c>
      <c r="C167" s="28" t="n">
        <v>0.3715277777777778</v>
      </c>
      <c r="D167" s="28" t="n">
        <v>0.7611111111111111</v>
      </c>
      <c r="E167" s="29">
        <f>IF($A167="","",$A167&amp;"|"&amp;DAY($B167))</f>
        <v/>
      </c>
      <c r="F167" s="29">
        <f>IF($A167="","",IF(COUNTIF(設定!$B$41:$B$70,$A167)=0,"⚠ 查無員編",IF(COUNTIF($E$3:$E$1002,$E167)&gt;1,"⚠ 重複打卡","OK")))</f>
        <v/>
      </c>
    </row>
    <row r="168">
      <c r="A168" s="26" t="inlineStr">
        <is>
          <t>A002</t>
        </is>
      </c>
      <c r="B168" s="27" t="n">
        <v>46323</v>
      </c>
      <c r="C168" s="28" t="n">
        <v>0.5201388888888889</v>
      </c>
      <c r="D168" s="28" t="n">
        <v>0.9083333333333333</v>
      </c>
      <c r="E168" s="29">
        <f>IF($A168="","",$A168&amp;"|"&amp;DAY($B168))</f>
        <v/>
      </c>
      <c r="F168" s="29">
        <f>IF($A168="","",IF(COUNTIF(設定!$B$41:$B$70,$A168)=0,"⚠ 查無員編",IF(COUNTIF($E$3:$E$1002,$E168)&gt;1,"⚠ 重複打卡","OK")))</f>
        <v/>
      </c>
    </row>
    <row r="169">
      <c r="A169" s="26" t="inlineStr">
        <is>
          <t>A004</t>
        </is>
      </c>
      <c r="B169" s="27" t="n">
        <v>46323</v>
      </c>
      <c r="C169" s="28" t="n">
        <v>0.5194444444444445</v>
      </c>
      <c r="D169" s="28" t="n">
        <v>0.8958333333333334</v>
      </c>
      <c r="E169" s="29">
        <f>IF($A169="","",$A169&amp;"|"&amp;DAY($B169))</f>
        <v/>
      </c>
      <c r="F169" s="29">
        <f>IF($A169="","",IF(COUNTIF(設定!$B$41:$B$70,$A169)=0,"⚠ 查無員編",IF(COUNTIF($E$3:$E$1002,$E169)&gt;1,"⚠ 重複打卡","OK")))</f>
        <v/>
      </c>
    </row>
    <row r="170">
      <c r="A170" s="26" t="inlineStr">
        <is>
          <t>A005</t>
        </is>
      </c>
      <c r="B170" s="27" t="n">
        <v>46323</v>
      </c>
      <c r="C170" s="28" t="n">
        <v>0.3715277777777778</v>
      </c>
      <c r="D170" s="28" t="n">
        <v>0.7590277777777777</v>
      </c>
      <c r="E170" s="29">
        <f>IF($A170="","",$A170&amp;"|"&amp;DAY($B170))</f>
        <v/>
      </c>
      <c r="F170" s="29">
        <f>IF($A170="","",IF(COUNTIF(設定!$B$41:$B$70,$A170)=0,"⚠ 查無員編",IF(COUNTIF($E$3:$E$1002,$E170)&gt;1,"⚠ 重複打卡","OK")))</f>
        <v/>
      </c>
    </row>
    <row r="171">
      <c r="A171" s="26" t="inlineStr">
        <is>
          <t>D001</t>
        </is>
      </c>
      <c r="B171" s="27" t="n">
        <v>46323</v>
      </c>
      <c r="C171" s="28" t="n">
        <v>0.3708333333333333</v>
      </c>
      <c r="D171" s="28" t="n">
        <v>0.7208333333333333</v>
      </c>
      <c r="E171" s="29">
        <f>IF($A171="","",$A171&amp;"|"&amp;DAY($B171))</f>
        <v/>
      </c>
      <c r="F171" s="29">
        <f>IF($A171="","",IF(COUNTIF(設定!$B$41:$B$70,$A171)=0,"⚠ 查無員編",IF(COUNTIF($E$3:$E$1002,$E171)&gt;1,"⚠ 重複打卡","OK")))</f>
        <v/>
      </c>
    </row>
    <row r="172">
      <c r="A172" s="26" t="inlineStr">
        <is>
          <t>D002</t>
        </is>
      </c>
      <c r="B172" s="27" t="n">
        <v>46323</v>
      </c>
      <c r="C172" s="28" t="n">
        <v>0.5805555555555556</v>
      </c>
      <c r="D172" s="28" t="n">
        <v>0.7201388888888889</v>
      </c>
      <c r="E172" s="29">
        <f>IF($A172="","",$A172&amp;"|"&amp;DAY($B172))</f>
        <v/>
      </c>
      <c r="F172" s="29">
        <f>IF($A172="","",IF(COUNTIF(設定!$B$41:$B$70,$A172)=0,"⚠ 查無員編",IF(COUNTIF($E$3:$E$1002,$E172)&gt;1,"⚠ 重複打卡","OK")))</f>
        <v/>
      </c>
    </row>
    <row r="173">
      <c r="A173" s="26" t="inlineStr">
        <is>
          <t>D003</t>
        </is>
      </c>
      <c r="B173" s="27" t="n">
        <v>46323</v>
      </c>
      <c r="C173" s="28" t="n">
        <v>0.375</v>
      </c>
      <c r="D173" s="28" t="n">
        <v>0.75</v>
      </c>
      <c r="E173" s="29">
        <f>IF($A173="","",$A173&amp;"|"&amp;DAY($B173))</f>
        <v/>
      </c>
      <c r="F173" s="29">
        <f>IF($A173="","",IF(COUNTIF(設定!$B$41:$B$70,$A173)=0,"⚠ 查無員編",IF(COUNTIF($E$3:$E$1002,$E173)&gt;1,"⚠ 重複打卡","OK")))</f>
        <v/>
      </c>
    </row>
    <row r="174">
      <c r="A174" s="26" t="inlineStr">
        <is>
          <t>N001</t>
        </is>
      </c>
      <c r="B174" s="27" t="n">
        <v>46323</v>
      </c>
      <c r="C174" s="28" t="n">
        <v>0.3743055555555556</v>
      </c>
      <c r="D174" s="28" t="n">
        <v>0.7625</v>
      </c>
      <c r="E174" s="29">
        <f>IF($A174="","",$A174&amp;"|"&amp;DAY($B174))</f>
        <v/>
      </c>
      <c r="F174" s="29">
        <f>IF($A174="","",IF(COUNTIF(設定!$B$41:$B$70,$A174)=0,"⚠ 查無員編",IF(COUNTIF($E$3:$E$1002,$E174)&gt;1,"⚠ 重複打卡","OK")))</f>
        <v/>
      </c>
    </row>
    <row r="175">
      <c r="A175" s="26" t="inlineStr">
        <is>
          <t>A001</t>
        </is>
      </c>
      <c r="B175" s="27" t="n">
        <v>46324</v>
      </c>
      <c r="C175" s="28" t="n">
        <v>0.51875</v>
      </c>
      <c r="D175" s="28" t="n">
        <v>0.9006944444444445</v>
      </c>
      <c r="E175" s="29">
        <f>IF($A175="","",$A175&amp;"|"&amp;DAY($B175))</f>
        <v/>
      </c>
      <c r="F175" s="29">
        <f>IF($A175="","",IF(COUNTIF(設定!$B$41:$B$70,$A175)=0,"⚠ 查無員編",IF(COUNTIF($E$3:$E$1002,$E175)&gt;1,"⚠ 重複打卡","OK")))</f>
        <v/>
      </c>
    </row>
    <row r="176">
      <c r="A176" s="26" t="inlineStr">
        <is>
          <t>A002</t>
        </is>
      </c>
      <c r="B176" s="27" t="n">
        <v>46324</v>
      </c>
      <c r="C176" s="28" t="n">
        <v>0.3715277777777778</v>
      </c>
      <c r="D176" s="28" t="n">
        <v>0.75625</v>
      </c>
      <c r="E176" s="29">
        <f>IF($A176="","",$A176&amp;"|"&amp;DAY($B176))</f>
        <v/>
      </c>
      <c r="F176" s="29">
        <f>IF($A176="","",IF(COUNTIF(設定!$B$41:$B$70,$A176)=0,"⚠ 查無員編",IF(COUNTIF($E$3:$E$1002,$E176)&gt;1,"⚠ 重複打卡","OK")))</f>
        <v/>
      </c>
    </row>
    <row r="177">
      <c r="A177" s="26" t="inlineStr">
        <is>
          <t>A003</t>
        </is>
      </c>
      <c r="B177" s="27" t="n">
        <v>46324</v>
      </c>
      <c r="C177" s="28" t="n">
        <v>0.5180555555555556</v>
      </c>
      <c r="D177" s="28" t="n">
        <v>0.90625</v>
      </c>
      <c r="E177" s="29">
        <f>IF($A177="","",$A177&amp;"|"&amp;DAY($B177))</f>
        <v/>
      </c>
      <c r="F177" s="29">
        <f>IF($A177="","",IF(COUNTIF(設定!$B$41:$B$70,$A177)=0,"⚠ 查無員編",IF(COUNTIF($E$3:$E$1002,$E177)&gt;1,"⚠ 重複打卡","OK")))</f>
        <v/>
      </c>
    </row>
    <row r="178">
      <c r="A178" s="26" t="inlineStr">
        <is>
          <t>A005</t>
        </is>
      </c>
      <c r="B178" s="27" t="n">
        <v>46324</v>
      </c>
      <c r="C178" s="28" t="n">
        <v>0.5180555555555556</v>
      </c>
      <c r="D178" s="28" t="n">
        <v>0.9048611111111111</v>
      </c>
      <c r="E178" s="29">
        <f>IF($A178="","",$A178&amp;"|"&amp;DAY($B178))</f>
        <v/>
      </c>
      <c r="F178" s="29">
        <f>IF($A178="","",IF(COUNTIF(設定!$B$41:$B$70,$A178)=0,"⚠ 查無員編",IF(COUNTIF($E$3:$E$1002,$E178)&gt;1,"⚠ 重複打卡","OK")))</f>
        <v/>
      </c>
    </row>
    <row r="179">
      <c r="A179" s="26" t="inlineStr">
        <is>
          <t>D001</t>
        </is>
      </c>
      <c r="B179" s="27" t="n">
        <v>46324</v>
      </c>
      <c r="C179" s="28" t="n">
        <v>0.5784722222222223</v>
      </c>
      <c r="D179" s="28" t="n">
        <v>0.7104166666666667</v>
      </c>
      <c r="E179" s="29">
        <f>IF($A179="","",$A179&amp;"|"&amp;DAY($B179))</f>
        <v/>
      </c>
      <c r="F179" s="29">
        <f>IF($A179="","",IF(COUNTIF(設定!$B$41:$B$70,$A179)=0,"⚠ 查無員編",IF(COUNTIF($E$3:$E$1002,$E179)&gt;1,"⚠ 重複打卡","OK")))</f>
        <v/>
      </c>
    </row>
    <row r="180">
      <c r="A180" s="26" t="inlineStr">
        <is>
          <t>D002</t>
        </is>
      </c>
      <c r="B180" s="27" t="n">
        <v>46324</v>
      </c>
      <c r="C180" s="28" t="n">
        <v>0.3736111111111111</v>
      </c>
      <c r="D180" s="28" t="n">
        <v>0.7125</v>
      </c>
      <c r="E180" s="29">
        <f>IF($A180="","",$A180&amp;"|"&amp;DAY($B180))</f>
        <v/>
      </c>
      <c r="F180" s="29">
        <f>IF($A180="","",IF(COUNTIF(設定!$B$41:$B$70,$A180)=0,"⚠ 查無員編",IF(COUNTIF($E$3:$E$1002,$E180)&gt;1,"⚠ 重複打卡","OK")))</f>
        <v/>
      </c>
    </row>
    <row r="181">
      <c r="A181" s="26" t="inlineStr">
        <is>
          <t>D003</t>
        </is>
      </c>
      <c r="B181" s="27" t="n">
        <v>46324</v>
      </c>
      <c r="C181" s="28" t="n">
        <v>0.3715277777777778</v>
      </c>
      <c r="D181" s="28" t="n">
        <v>0.5083333333333333</v>
      </c>
      <c r="E181" s="29">
        <f>IF($A181="","",$A181&amp;"|"&amp;DAY($B181))</f>
        <v/>
      </c>
      <c r="F181" s="29">
        <f>IF($A181="","",IF(COUNTIF(設定!$B$41:$B$70,$A181)=0,"⚠ 查無員編",IF(COUNTIF($E$3:$E$1002,$E181)&gt;1,"⚠ 重複打卡","OK")))</f>
        <v/>
      </c>
    </row>
    <row r="182">
      <c r="A182" s="26" t="inlineStr">
        <is>
          <t>N001</t>
        </is>
      </c>
      <c r="B182" s="27" t="n">
        <v>46324</v>
      </c>
      <c r="C182" s="28" t="n">
        <v>0.3736111111111111</v>
      </c>
      <c r="D182" s="28" t="n">
        <v>0.7576388888888889</v>
      </c>
      <c r="E182" s="29">
        <f>IF($A182="","",$A182&amp;"|"&amp;DAY($B182))</f>
        <v/>
      </c>
      <c r="F182" s="29">
        <f>IF($A182="","",IF(COUNTIF(設定!$B$41:$B$70,$A182)=0,"⚠ 查無員編",IF(COUNTIF($E$3:$E$1002,$E182)&gt;1,"⚠ 重複打卡","OK")))</f>
        <v/>
      </c>
    </row>
    <row r="183">
      <c r="A183" s="26" t="inlineStr">
        <is>
          <t>A001</t>
        </is>
      </c>
      <c r="B183" s="27" t="n">
        <v>46325</v>
      </c>
      <c r="C183" s="28" t="n">
        <v>0.375</v>
      </c>
      <c r="D183" s="28" t="n">
        <v>0.7576388888888889</v>
      </c>
      <c r="E183" s="29">
        <f>IF($A183="","",$A183&amp;"|"&amp;DAY($B183))</f>
        <v/>
      </c>
      <c r="F183" s="29">
        <f>IF($A183="","",IF(COUNTIF(設定!$B$41:$B$70,$A183)=0,"⚠ 查無員編",IF(COUNTIF($E$3:$E$1002,$E183)&gt;1,"⚠ 重複打卡","OK")))</f>
        <v/>
      </c>
    </row>
    <row r="184">
      <c r="A184" s="26" t="inlineStr">
        <is>
          <t>A002</t>
        </is>
      </c>
      <c r="B184" s="27" t="n">
        <v>46325</v>
      </c>
      <c r="C184" s="28" t="n">
        <v>0.5194444444444445</v>
      </c>
      <c r="D184" s="28" t="n">
        <v>0.9055555555555556</v>
      </c>
      <c r="E184" s="29">
        <f>IF($A184="","",$A184&amp;"|"&amp;DAY($B184))</f>
        <v/>
      </c>
      <c r="F184" s="29">
        <f>IF($A184="","",IF(COUNTIF(設定!$B$41:$B$70,$A184)=0,"⚠ 查無員編",IF(COUNTIF($E$3:$E$1002,$E184)&gt;1,"⚠ 重複打卡","OK")))</f>
        <v/>
      </c>
    </row>
    <row r="185">
      <c r="A185" s="26" t="inlineStr">
        <is>
          <t>A003</t>
        </is>
      </c>
      <c r="B185" s="27" t="n">
        <v>46325</v>
      </c>
      <c r="C185" s="28" t="n">
        <v>0.3715277777777778</v>
      </c>
      <c r="D185" s="28" t="n">
        <v>0.7576388888888889</v>
      </c>
      <c r="E185" s="29">
        <f>IF($A185="","",$A185&amp;"|"&amp;DAY($B185))</f>
        <v/>
      </c>
      <c r="F185" s="29">
        <f>IF($A185="","",IF(COUNTIF(設定!$B$41:$B$70,$A185)=0,"⚠ 查無員編",IF(COUNTIF($E$3:$E$1002,$E185)&gt;1,"⚠ 重複打卡","OK")))</f>
        <v/>
      </c>
    </row>
    <row r="186">
      <c r="A186" s="26" t="inlineStr">
        <is>
          <t>A004</t>
        </is>
      </c>
      <c r="B186" s="27" t="n">
        <v>46325</v>
      </c>
      <c r="C186" s="28" t="n">
        <v>0.5173611111111112</v>
      </c>
      <c r="D186" s="28" t="n">
        <v>0.8986111111111111</v>
      </c>
      <c r="E186" s="29">
        <f>IF($A186="","",$A186&amp;"|"&amp;DAY($B186))</f>
        <v/>
      </c>
      <c r="F186" s="29">
        <f>IF($A186="","",IF(COUNTIF(設定!$B$41:$B$70,$A186)=0,"⚠ 查無員編",IF(COUNTIF($E$3:$E$1002,$E186)&gt;1,"⚠ 重複打卡","OK")))</f>
        <v/>
      </c>
    </row>
    <row r="187">
      <c r="A187" s="26" t="inlineStr">
        <is>
          <t>D001</t>
        </is>
      </c>
      <c r="B187" s="27" t="n">
        <v>46325</v>
      </c>
      <c r="C187" s="28" t="n">
        <v>0.3743055555555556</v>
      </c>
      <c r="D187" s="28" t="n">
        <v>0.71875</v>
      </c>
      <c r="E187" s="29">
        <f>IF($A187="","",$A187&amp;"|"&amp;DAY($B187))</f>
        <v/>
      </c>
      <c r="F187" s="29">
        <f>IF($A187="","",IF(COUNTIF(設定!$B$41:$B$70,$A187)=0,"⚠ 查無員編",IF(COUNTIF($E$3:$E$1002,$E187)&gt;1,"⚠ 重複打卡","OK")))</f>
        <v/>
      </c>
    </row>
    <row r="188">
      <c r="A188" s="26" t="inlineStr">
        <is>
          <t>D002</t>
        </is>
      </c>
      <c r="B188" s="27" t="n">
        <v>46325</v>
      </c>
      <c r="C188" s="28" t="n">
        <v>0.3715277777777778</v>
      </c>
      <c r="D188" s="28" t="n">
        <v>0.5097222222222222</v>
      </c>
      <c r="E188" s="29">
        <f>IF($A188="","",$A188&amp;"|"&amp;DAY($B188))</f>
        <v/>
      </c>
      <c r="F188" s="29">
        <f>IF($A188="","",IF(COUNTIF(設定!$B$41:$B$70,$A188)=0,"⚠ 查無員編",IF(COUNTIF($E$3:$E$1002,$E188)&gt;1,"⚠ 重複打卡","OK")))</f>
        <v/>
      </c>
    </row>
    <row r="189">
      <c r="A189" s="26" t="inlineStr">
        <is>
          <t>N001</t>
        </is>
      </c>
      <c r="B189" s="27" t="n">
        <v>46325</v>
      </c>
      <c r="C189" s="28" t="n">
        <v>0.3722222222222222</v>
      </c>
      <c r="D189" s="28" t="n">
        <v>0.7597222222222222</v>
      </c>
      <c r="E189" s="29">
        <f>IF($A189="","",$A189&amp;"|"&amp;DAY($B189))</f>
        <v/>
      </c>
      <c r="F189" s="29">
        <f>IF($A189="","",IF(COUNTIF(設定!$B$41:$B$70,$A189)=0,"⚠ 查無員編",IF(COUNTIF($E$3:$E$1002,$E189)&gt;1,"⚠ 重複打卡","OK")))</f>
        <v/>
      </c>
    </row>
    <row r="190">
      <c r="A190" s="26" t="inlineStr">
        <is>
          <t>A001</t>
        </is>
      </c>
      <c r="B190" s="27" t="n">
        <v>46326</v>
      </c>
      <c r="C190" s="28" t="n">
        <v>0.5201388888888889</v>
      </c>
      <c r="D190" s="28" t="n">
        <v>0.90625</v>
      </c>
      <c r="E190" s="29">
        <f>IF($A190="","",$A190&amp;"|"&amp;DAY($B190))</f>
        <v/>
      </c>
      <c r="F190" s="29">
        <f>IF($A190="","",IF(COUNTIF(設定!$B$41:$B$70,$A190)=0,"⚠ 查無員編",IF(COUNTIF($E$3:$E$1002,$E190)&gt;1,"⚠ 重複打卡","OK")))</f>
        <v/>
      </c>
    </row>
    <row r="191">
      <c r="A191" s="26" t="inlineStr">
        <is>
          <t>A002</t>
        </is>
      </c>
      <c r="B191" s="27" t="n">
        <v>46326</v>
      </c>
      <c r="C191" s="28" t="n">
        <v>0.3743055555555556</v>
      </c>
      <c r="D191" s="28" t="n">
        <v>0.7513888888888889</v>
      </c>
      <c r="E191" s="29">
        <f>IF($A191="","",$A191&amp;"|"&amp;DAY($B191))</f>
        <v/>
      </c>
      <c r="F191" s="29">
        <f>IF($A191="","",IF(COUNTIF(設定!$B$41:$B$70,$A191)=0,"⚠ 查無員編",IF(COUNTIF($E$3:$E$1002,$E191)&gt;1,"⚠ 重複打卡","OK")))</f>
        <v/>
      </c>
    </row>
    <row r="192">
      <c r="A192" s="26" t="inlineStr">
        <is>
          <t>A003</t>
        </is>
      </c>
      <c r="B192" s="27" t="n">
        <v>46326</v>
      </c>
      <c r="C192" s="28" t="n">
        <v>0.5166666666666667</v>
      </c>
      <c r="D192" s="28" t="n">
        <v>0.8958333333333334</v>
      </c>
      <c r="E192" s="29">
        <f>IF($A192="","",$A192&amp;"|"&amp;DAY($B192))</f>
        <v/>
      </c>
      <c r="F192" s="29">
        <f>IF($A192="","",IF(COUNTIF(設定!$B$41:$B$70,$A192)=0,"⚠ 查無員編",IF(COUNTIF($E$3:$E$1002,$E192)&gt;1,"⚠ 重複打卡","OK")))</f>
        <v/>
      </c>
    </row>
    <row r="193">
      <c r="A193" s="26" t="inlineStr">
        <is>
          <t>A004</t>
        </is>
      </c>
      <c r="B193" s="27" t="n">
        <v>46326</v>
      </c>
      <c r="C193" s="28" t="n">
        <v>0.3729166666666667</v>
      </c>
      <c r="D193" s="28" t="n">
        <v>0.7597222222222222</v>
      </c>
      <c r="E193" s="29">
        <f>IF($A193="","",$A193&amp;"|"&amp;DAY($B193))</f>
        <v/>
      </c>
      <c r="F193" s="29">
        <f>IF($A193="","",IF(COUNTIF(設定!$B$41:$B$70,$A193)=0,"⚠ 查無員編",IF(COUNTIF($E$3:$E$1002,$E193)&gt;1,"⚠ 重複打卡","OK")))</f>
        <v/>
      </c>
    </row>
    <row r="194">
      <c r="A194" s="26" t="inlineStr">
        <is>
          <t>A005</t>
        </is>
      </c>
      <c r="B194" s="27" t="n">
        <v>46326</v>
      </c>
      <c r="C194" s="28" t="n">
        <v>0.5208333333333334</v>
      </c>
      <c r="D194" s="28" t="n">
        <v>0.9020833333333333</v>
      </c>
      <c r="E194" s="29">
        <f>IF($A194="","",$A194&amp;"|"&amp;DAY($B194))</f>
        <v/>
      </c>
      <c r="F194" s="29">
        <f>IF($A194="","",IF(COUNTIF(設定!$B$41:$B$70,$A194)=0,"⚠ 查無員編",IF(COUNTIF($E$3:$E$1002,$E194)&gt;1,"⚠ 重複打卡","OK")))</f>
        <v/>
      </c>
    </row>
    <row r="195">
      <c r="A195" s="26" t="inlineStr">
        <is>
          <t>D001</t>
        </is>
      </c>
      <c r="B195" s="27" t="n">
        <v>46326</v>
      </c>
      <c r="C195" s="28" t="n">
        <v>0.3708333333333333</v>
      </c>
      <c r="D195" s="28" t="n">
        <v>0.5034722222222222</v>
      </c>
      <c r="E195" s="29">
        <f>IF($A195="","",$A195&amp;"|"&amp;DAY($B195))</f>
        <v/>
      </c>
      <c r="F195" s="29">
        <f>IF($A195="","",IF(COUNTIF(設定!$B$41:$B$70,$A195)=0,"⚠ 查無員編",IF(COUNTIF($E$3:$E$1002,$E195)&gt;1,"⚠ 重複打卡","OK")))</f>
        <v/>
      </c>
    </row>
    <row r="196">
      <c r="A196" s="26" t="inlineStr">
        <is>
          <t>D002</t>
        </is>
      </c>
      <c r="B196" s="27" t="n">
        <v>46326</v>
      </c>
      <c r="C196" s="28" t="n">
        <v>0.5833333333333334</v>
      </c>
      <c r="D196" s="28" t="n">
        <v>0.7180555555555556</v>
      </c>
      <c r="E196" s="29">
        <f>IF($A196="","",$A196&amp;"|"&amp;DAY($B196))</f>
        <v/>
      </c>
      <c r="F196" s="29">
        <f>IF($A196="","",IF(COUNTIF(設定!$B$41:$B$70,$A196)=0,"⚠ 查無員編",IF(COUNTIF($E$3:$E$1002,$E196)&gt;1,"⚠ 重複打卡","OK")))</f>
        <v/>
      </c>
    </row>
    <row r="197">
      <c r="A197" s="26" t="inlineStr">
        <is>
          <t>D003</t>
        </is>
      </c>
      <c r="B197" s="27" t="n">
        <v>46326</v>
      </c>
      <c r="C197" s="28" t="n">
        <v>0.7472222222222222</v>
      </c>
      <c r="D197" s="28" t="n">
        <v>0.8756944444444444</v>
      </c>
      <c r="E197" s="29">
        <f>IF($A197="","",$A197&amp;"|"&amp;DAY($B197))</f>
        <v/>
      </c>
      <c r="F197" s="29">
        <f>IF($A197="","",IF(COUNTIF(設定!$B$41:$B$70,$A197)=0,"⚠ 查無員編",IF(COUNTIF($E$3:$E$1002,$E197)&gt;1,"⚠ 重複打卡","OK")))</f>
        <v/>
      </c>
    </row>
    <row r="198">
      <c r="A198" s="26" t="inlineStr">
        <is>
          <t>N001</t>
        </is>
      </c>
      <c r="B198" s="27" t="n">
        <v>46326</v>
      </c>
      <c r="C198" s="28" t="n">
        <v>0.3729166666666667</v>
      </c>
      <c r="D198" s="28" t="n">
        <v>0.7534722222222222</v>
      </c>
      <c r="E198" s="29">
        <f>IF($A198="","",$A198&amp;"|"&amp;DAY($B198))</f>
        <v/>
      </c>
      <c r="F198" s="29">
        <f>IF($A198="","",IF(COUNTIF(設定!$B$41:$B$70,$A198)=0,"⚠ 查無員編",IF(COUNTIF($E$3:$E$1002,$E198)&gt;1,"⚠ 重複打卡","OK")))</f>
        <v/>
      </c>
    </row>
    <row r="199">
      <c r="A199" s="26" t="n"/>
      <c r="B199" s="27" t="n"/>
      <c r="C199" s="28" t="n"/>
      <c r="D199" s="28" t="n"/>
      <c r="E199" s="29">
        <f>IF($A199="","",$A199&amp;"|"&amp;DAY($B199))</f>
        <v/>
      </c>
      <c r="F199" s="29">
        <f>IF($A199="","",IF(COUNTIF(設定!$B$41:$B$70,$A199)=0,"⚠ 查無員編",IF(COUNTIF($E$3:$E$1002,$E199)&gt;1,"⚠ 重複打卡","OK")))</f>
        <v/>
      </c>
    </row>
    <row r="200">
      <c r="A200" s="26" t="n"/>
      <c r="B200" s="27" t="n"/>
      <c r="C200" s="28" t="n"/>
      <c r="D200" s="28" t="n"/>
      <c r="E200" s="29">
        <f>IF($A200="","",$A200&amp;"|"&amp;DAY($B200))</f>
        <v/>
      </c>
      <c r="F200" s="29">
        <f>IF($A200="","",IF(COUNTIF(設定!$B$41:$B$70,$A200)=0,"⚠ 查無員編",IF(COUNTIF($E$3:$E$1002,$E200)&gt;1,"⚠ 重複打卡","OK")))</f>
        <v/>
      </c>
    </row>
    <row r="201">
      <c r="A201" s="26" t="n"/>
      <c r="B201" s="27" t="n"/>
      <c r="C201" s="28" t="n"/>
      <c r="D201" s="28" t="n"/>
      <c r="E201" s="29">
        <f>IF($A201="","",$A201&amp;"|"&amp;DAY($B201))</f>
        <v/>
      </c>
      <c r="F201" s="29">
        <f>IF($A201="","",IF(COUNTIF(設定!$B$41:$B$70,$A201)=0,"⚠ 查無員編",IF(COUNTIF($E$3:$E$1002,$E201)&gt;1,"⚠ 重複打卡","OK")))</f>
        <v/>
      </c>
    </row>
    <row r="202">
      <c r="A202" s="26" t="n"/>
      <c r="B202" s="27" t="n"/>
      <c r="C202" s="28" t="n"/>
      <c r="D202" s="28" t="n"/>
      <c r="E202" s="29">
        <f>IF($A202="","",$A202&amp;"|"&amp;DAY($B202))</f>
        <v/>
      </c>
      <c r="F202" s="29">
        <f>IF($A202="","",IF(COUNTIF(設定!$B$41:$B$70,$A202)=0,"⚠ 查無員編",IF(COUNTIF($E$3:$E$1002,$E202)&gt;1,"⚠ 重複打卡","OK")))</f>
        <v/>
      </c>
    </row>
    <row r="203">
      <c r="A203" s="26" t="n"/>
      <c r="B203" s="27" t="n"/>
      <c r="C203" s="28" t="n"/>
      <c r="D203" s="28" t="n"/>
      <c r="E203" s="29">
        <f>IF($A203="","",$A203&amp;"|"&amp;DAY($B203))</f>
        <v/>
      </c>
      <c r="F203" s="29">
        <f>IF($A203="","",IF(COUNTIF(設定!$B$41:$B$70,$A203)=0,"⚠ 查無員編",IF(COUNTIF($E$3:$E$1002,$E203)&gt;1,"⚠ 重複打卡","OK")))</f>
        <v/>
      </c>
    </row>
    <row r="204">
      <c r="A204" s="26" t="n"/>
      <c r="B204" s="27" t="n"/>
      <c r="C204" s="28" t="n"/>
      <c r="D204" s="28" t="n"/>
      <c r="E204" s="29">
        <f>IF($A204="","",$A204&amp;"|"&amp;DAY($B204))</f>
        <v/>
      </c>
      <c r="F204" s="29">
        <f>IF($A204="","",IF(COUNTIF(設定!$B$41:$B$70,$A204)=0,"⚠ 查無員編",IF(COUNTIF($E$3:$E$1002,$E204)&gt;1,"⚠ 重複打卡","OK")))</f>
        <v/>
      </c>
    </row>
    <row r="205">
      <c r="A205" s="26" t="n"/>
      <c r="B205" s="27" t="n"/>
      <c r="C205" s="28" t="n"/>
      <c r="D205" s="28" t="n"/>
      <c r="E205" s="29">
        <f>IF($A205="","",$A205&amp;"|"&amp;DAY($B205))</f>
        <v/>
      </c>
      <c r="F205" s="29">
        <f>IF($A205="","",IF(COUNTIF(設定!$B$41:$B$70,$A205)=0,"⚠ 查無員編",IF(COUNTIF($E$3:$E$1002,$E205)&gt;1,"⚠ 重複打卡","OK")))</f>
        <v/>
      </c>
    </row>
    <row r="206">
      <c r="A206" s="26" t="n"/>
      <c r="B206" s="27" t="n"/>
      <c r="C206" s="28" t="n"/>
      <c r="D206" s="28" t="n"/>
      <c r="E206" s="29">
        <f>IF($A206="","",$A206&amp;"|"&amp;DAY($B206))</f>
        <v/>
      </c>
      <c r="F206" s="29">
        <f>IF($A206="","",IF(COUNTIF(設定!$B$41:$B$70,$A206)=0,"⚠ 查無員編",IF(COUNTIF($E$3:$E$1002,$E206)&gt;1,"⚠ 重複打卡","OK")))</f>
        <v/>
      </c>
    </row>
    <row r="207">
      <c r="A207" s="26" t="n"/>
      <c r="B207" s="27" t="n"/>
      <c r="C207" s="28" t="n"/>
      <c r="D207" s="28" t="n"/>
      <c r="E207" s="29">
        <f>IF($A207="","",$A207&amp;"|"&amp;DAY($B207))</f>
        <v/>
      </c>
      <c r="F207" s="29">
        <f>IF($A207="","",IF(COUNTIF(設定!$B$41:$B$70,$A207)=0,"⚠ 查無員編",IF(COUNTIF($E$3:$E$1002,$E207)&gt;1,"⚠ 重複打卡","OK")))</f>
        <v/>
      </c>
    </row>
    <row r="208">
      <c r="A208" s="26" t="n"/>
      <c r="B208" s="27" t="n"/>
      <c r="C208" s="28" t="n"/>
      <c r="D208" s="28" t="n"/>
      <c r="E208" s="29">
        <f>IF($A208="","",$A208&amp;"|"&amp;DAY($B208))</f>
        <v/>
      </c>
      <c r="F208" s="29">
        <f>IF($A208="","",IF(COUNTIF(設定!$B$41:$B$70,$A208)=0,"⚠ 查無員編",IF(COUNTIF($E$3:$E$1002,$E208)&gt;1,"⚠ 重複打卡","OK")))</f>
        <v/>
      </c>
    </row>
    <row r="209">
      <c r="A209" s="26" t="n"/>
      <c r="B209" s="27" t="n"/>
      <c r="C209" s="28" t="n"/>
      <c r="D209" s="28" t="n"/>
      <c r="E209" s="29">
        <f>IF($A209="","",$A209&amp;"|"&amp;DAY($B209))</f>
        <v/>
      </c>
      <c r="F209" s="29">
        <f>IF($A209="","",IF(COUNTIF(設定!$B$41:$B$70,$A209)=0,"⚠ 查無員編",IF(COUNTIF($E$3:$E$1002,$E209)&gt;1,"⚠ 重複打卡","OK")))</f>
        <v/>
      </c>
    </row>
    <row r="210">
      <c r="A210" s="26" t="n"/>
      <c r="B210" s="27" t="n"/>
      <c r="C210" s="28" t="n"/>
      <c r="D210" s="28" t="n"/>
      <c r="E210" s="29">
        <f>IF($A210="","",$A210&amp;"|"&amp;DAY($B210))</f>
        <v/>
      </c>
      <c r="F210" s="29">
        <f>IF($A210="","",IF(COUNTIF(設定!$B$41:$B$70,$A210)=0,"⚠ 查無員編",IF(COUNTIF($E$3:$E$1002,$E210)&gt;1,"⚠ 重複打卡","OK")))</f>
        <v/>
      </c>
    </row>
    <row r="211">
      <c r="A211" s="26" t="n"/>
      <c r="B211" s="27" t="n"/>
      <c r="C211" s="28" t="n"/>
      <c r="D211" s="28" t="n"/>
      <c r="E211" s="29">
        <f>IF($A211="","",$A211&amp;"|"&amp;DAY($B211))</f>
        <v/>
      </c>
      <c r="F211" s="29">
        <f>IF($A211="","",IF(COUNTIF(設定!$B$41:$B$70,$A211)=0,"⚠ 查無員編",IF(COUNTIF($E$3:$E$1002,$E211)&gt;1,"⚠ 重複打卡","OK")))</f>
        <v/>
      </c>
    </row>
    <row r="212">
      <c r="A212" s="26" t="n"/>
      <c r="B212" s="27" t="n"/>
      <c r="C212" s="28" t="n"/>
      <c r="D212" s="28" t="n"/>
      <c r="E212" s="29">
        <f>IF($A212="","",$A212&amp;"|"&amp;DAY($B212))</f>
        <v/>
      </c>
      <c r="F212" s="29">
        <f>IF($A212="","",IF(COUNTIF(設定!$B$41:$B$70,$A212)=0,"⚠ 查無員編",IF(COUNTIF($E$3:$E$1002,$E212)&gt;1,"⚠ 重複打卡","OK")))</f>
        <v/>
      </c>
    </row>
    <row r="213">
      <c r="A213" s="26" t="n"/>
      <c r="B213" s="27" t="n"/>
      <c r="C213" s="28" t="n"/>
      <c r="D213" s="28" t="n"/>
      <c r="E213" s="29">
        <f>IF($A213="","",$A213&amp;"|"&amp;DAY($B213))</f>
        <v/>
      </c>
      <c r="F213" s="29">
        <f>IF($A213="","",IF(COUNTIF(設定!$B$41:$B$70,$A213)=0,"⚠ 查無員編",IF(COUNTIF($E$3:$E$1002,$E213)&gt;1,"⚠ 重複打卡","OK")))</f>
        <v/>
      </c>
    </row>
    <row r="214">
      <c r="A214" s="26" t="n"/>
      <c r="B214" s="27" t="n"/>
      <c r="C214" s="28" t="n"/>
      <c r="D214" s="28" t="n"/>
      <c r="E214" s="29">
        <f>IF($A214="","",$A214&amp;"|"&amp;DAY($B214))</f>
        <v/>
      </c>
      <c r="F214" s="29">
        <f>IF($A214="","",IF(COUNTIF(設定!$B$41:$B$70,$A214)=0,"⚠ 查無員編",IF(COUNTIF($E$3:$E$1002,$E214)&gt;1,"⚠ 重複打卡","OK")))</f>
        <v/>
      </c>
    </row>
    <row r="215">
      <c r="A215" s="26" t="n"/>
      <c r="B215" s="27" t="n"/>
      <c r="C215" s="28" t="n"/>
      <c r="D215" s="28" t="n"/>
      <c r="E215" s="29">
        <f>IF($A215="","",$A215&amp;"|"&amp;DAY($B215))</f>
        <v/>
      </c>
      <c r="F215" s="29">
        <f>IF($A215="","",IF(COUNTIF(設定!$B$41:$B$70,$A215)=0,"⚠ 查無員編",IF(COUNTIF($E$3:$E$1002,$E215)&gt;1,"⚠ 重複打卡","OK")))</f>
        <v/>
      </c>
    </row>
    <row r="216">
      <c r="A216" s="26" t="n"/>
      <c r="B216" s="27" t="n"/>
      <c r="C216" s="28" t="n"/>
      <c r="D216" s="28" t="n"/>
      <c r="E216" s="29">
        <f>IF($A216="","",$A216&amp;"|"&amp;DAY($B216))</f>
        <v/>
      </c>
      <c r="F216" s="29">
        <f>IF($A216="","",IF(COUNTIF(設定!$B$41:$B$70,$A216)=0,"⚠ 查無員編",IF(COUNTIF($E$3:$E$1002,$E216)&gt;1,"⚠ 重複打卡","OK")))</f>
        <v/>
      </c>
    </row>
    <row r="217">
      <c r="A217" s="26" t="n"/>
      <c r="B217" s="27" t="n"/>
      <c r="C217" s="28" t="n"/>
      <c r="D217" s="28" t="n"/>
      <c r="E217" s="29">
        <f>IF($A217="","",$A217&amp;"|"&amp;DAY($B217))</f>
        <v/>
      </c>
      <c r="F217" s="29">
        <f>IF($A217="","",IF(COUNTIF(設定!$B$41:$B$70,$A217)=0,"⚠ 查無員編",IF(COUNTIF($E$3:$E$1002,$E217)&gt;1,"⚠ 重複打卡","OK")))</f>
        <v/>
      </c>
    </row>
    <row r="218">
      <c r="A218" s="26" t="n"/>
      <c r="B218" s="27" t="n"/>
      <c r="C218" s="28" t="n"/>
      <c r="D218" s="28" t="n"/>
      <c r="E218" s="29">
        <f>IF($A218="","",$A218&amp;"|"&amp;DAY($B218))</f>
        <v/>
      </c>
      <c r="F218" s="29">
        <f>IF($A218="","",IF(COUNTIF(設定!$B$41:$B$70,$A218)=0,"⚠ 查無員編",IF(COUNTIF($E$3:$E$1002,$E218)&gt;1,"⚠ 重複打卡","OK")))</f>
        <v/>
      </c>
    </row>
    <row r="219">
      <c r="A219" s="26" t="n"/>
      <c r="B219" s="27" t="n"/>
      <c r="C219" s="28" t="n"/>
      <c r="D219" s="28" t="n"/>
      <c r="E219" s="29">
        <f>IF($A219="","",$A219&amp;"|"&amp;DAY($B219))</f>
        <v/>
      </c>
      <c r="F219" s="29">
        <f>IF($A219="","",IF(COUNTIF(設定!$B$41:$B$70,$A219)=0,"⚠ 查無員編",IF(COUNTIF($E$3:$E$1002,$E219)&gt;1,"⚠ 重複打卡","OK")))</f>
        <v/>
      </c>
    </row>
    <row r="220">
      <c r="A220" s="26" t="n"/>
      <c r="B220" s="27" t="n"/>
      <c r="C220" s="28" t="n"/>
      <c r="D220" s="28" t="n"/>
      <c r="E220" s="29">
        <f>IF($A220="","",$A220&amp;"|"&amp;DAY($B220))</f>
        <v/>
      </c>
      <c r="F220" s="29">
        <f>IF($A220="","",IF(COUNTIF(設定!$B$41:$B$70,$A220)=0,"⚠ 查無員編",IF(COUNTIF($E$3:$E$1002,$E220)&gt;1,"⚠ 重複打卡","OK")))</f>
        <v/>
      </c>
    </row>
    <row r="221">
      <c r="A221" s="26" t="n"/>
      <c r="B221" s="27" t="n"/>
      <c r="C221" s="28" t="n"/>
      <c r="D221" s="28" t="n"/>
      <c r="E221" s="29">
        <f>IF($A221="","",$A221&amp;"|"&amp;DAY($B221))</f>
        <v/>
      </c>
      <c r="F221" s="29">
        <f>IF($A221="","",IF(COUNTIF(設定!$B$41:$B$70,$A221)=0,"⚠ 查無員編",IF(COUNTIF($E$3:$E$1002,$E221)&gt;1,"⚠ 重複打卡","OK")))</f>
        <v/>
      </c>
    </row>
    <row r="222">
      <c r="A222" s="26" t="n"/>
      <c r="B222" s="27" t="n"/>
      <c r="C222" s="28" t="n"/>
      <c r="D222" s="28" t="n"/>
      <c r="E222" s="29">
        <f>IF($A222="","",$A222&amp;"|"&amp;DAY($B222))</f>
        <v/>
      </c>
      <c r="F222" s="29">
        <f>IF($A222="","",IF(COUNTIF(設定!$B$41:$B$70,$A222)=0,"⚠ 查無員編",IF(COUNTIF($E$3:$E$1002,$E222)&gt;1,"⚠ 重複打卡","OK")))</f>
        <v/>
      </c>
    </row>
    <row r="223">
      <c r="A223" s="26" t="n"/>
      <c r="B223" s="27" t="n"/>
      <c r="C223" s="28" t="n"/>
      <c r="D223" s="28" t="n"/>
      <c r="E223" s="29">
        <f>IF($A223="","",$A223&amp;"|"&amp;DAY($B223))</f>
        <v/>
      </c>
      <c r="F223" s="29">
        <f>IF($A223="","",IF(COUNTIF(設定!$B$41:$B$70,$A223)=0,"⚠ 查無員編",IF(COUNTIF($E$3:$E$1002,$E223)&gt;1,"⚠ 重複打卡","OK")))</f>
        <v/>
      </c>
    </row>
    <row r="224">
      <c r="A224" s="26" t="n"/>
      <c r="B224" s="27" t="n"/>
      <c r="C224" s="28" t="n"/>
      <c r="D224" s="28" t="n"/>
      <c r="E224" s="29">
        <f>IF($A224="","",$A224&amp;"|"&amp;DAY($B224))</f>
        <v/>
      </c>
      <c r="F224" s="29">
        <f>IF($A224="","",IF(COUNTIF(設定!$B$41:$B$70,$A224)=0,"⚠ 查無員編",IF(COUNTIF($E$3:$E$1002,$E224)&gt;1,"⚠ 重複打卡","OK")))</f>
        <v/>
      </c>
    </row>
    <row r="225">
      <c r="A225" s="26" t="n"/>
      <c r="B225" s="27" t="n"/>
      <c r="C225" s="28" t="n"/>
      <c r="D225" s="28" t="n"/>
      <c r="E225" s="29">
        <f>IF($A225="","",$A225&amp;"|"&amp;DAY($B225))</f>
        <v/>
      </c>
      <c r="F225" s="29">
        <f>IF($A225="","",IF(COUNTIF(設定!$B$41:$B$70,$A225)=0,"⚠ 查無員編",IF(COUNTIF($E$3:$E$1002,$E225)&gt;1,"⚠ 重複打卡","OK")))</f>
        <v/>
      </c>
    </row>
    <row r="226">
      <c r="A226" s="26" t="n"/>
      <c r="B226" s="27" t="n"/>
      <c r="C226" s="28" t="n"/>
      <c r="D226" s="28" t="n"/>
      <c r="E226" s="29">
        <f>IF($A226="","",$A226&amp;"|"&amp;DAY($B226))</f>
        <v/>
      </c>
      <c r="F226" s="29">
        <f>IF($A226="","",IF(COUNTIF(設定!$B$41:$B$70,$A226)=0,"⚠ 查無員編",IF(COUNTIF($E$3:$E$1002,$E226)&gt;1,"⚠ 重複打卡","OK")))</f>
        <v/>
      </c>
    </row>
    <row r="227">
      <c r="A227" s="26" t="n"/>
      <c r="B227" s="27" t="n"/>
      <c r="C227" s="28" t="n"/>
      <c r="D227" s="28" t="n"/>
      <c r="E227" s="29">
        <f>IF($A227="","",$A227&amp;"|"&amp;DAY($B227))</f>
        <v/>
      </c>
      <c r="F227" s="29">
        <f>IF($A227="","",IF(COUNTIF(設定!$B$41:$B$70,$A227)=0,"⚠ 查無員編",IF(COUNTIF($E$3:$E$1002,$E227)&gt;1,"⚠ 重複打卡","OK")))</f>
        <v/>
      </c>
    </row>
    <row r="228">
      <c r="A228" s="26" t="n"/>
      <c r="B228" s="27" t="n"/>
      <c r="C228" s="28" t="n"/>
      <c r="D228" s="28" t="n"/>
      <c r="E228" s="29">
        <f>IF($A228="","",$A228&amp;"|"&amp;DAY($B228))</f>
        <v/>
      </c>
      <c r="F228" s="29">
        <f>IF($A228="","",IF(COUNTIF(設定!$B$41:$B$70,$A228)=0,"⚠ 查無員編",IF(COUNTIF($E$3:$E$1002,$E228)&gt;1,"⚠ 重複打卡","OK")))</f>
        <v/>
      </c>
    </row>
    <row r="229">
      <c r="A229" s="26" t="n"/>
      <c r="B229" s="27" t="n"/>
      <c r="C229" s="28" t="n"/>
      <c r="D229" s="28" t="n"/>
      <c r="E229" s="29">
        <f>IF($A229="","",$A229&amp;"|"&amp;DAY($B229))</f>
        <v/>
      </c>
      <c r="F229" s="29">
        <f>IF($A229="","",IF(COUNTIF(設定!$B$41:$B$70,$A229)=0,"⚠ 查無員編",IF(COUNTIF($E$3:$E$1002,$E229)&gt;1,"⚠ 重複打卡","OK")))</f>
        <v/>
      </c>
    </row>
    <row r="230">
      <c r="A230" s="26" t="n"/>
      <c r="B230" s="27" t="n"/>
      <c r="C230" s="28" t="n"/>
      <c r="D230" s="28" t="n"/>
      <c r="E230" s="29">
        <f>IF($A230="","",$A230&amp;"|"&amp;DAY($B230))</f>
        <v/>
      </c>
      <c r="F230" s="29">
        <f>IF($A230="","",IF(COUNTIF(設定!$B$41:$B$70,$A230)=0,"⚠ 查無員編",IF(COUNTIF($E$3:$E$1002,$E230)&gt;1,"⚠ 重複打卡","OK")))</f>
        <v/>
      </c>
    </row>
    <row r="231">
      <c r="A231" s="26" t="n"/>
      <c r="B231" s="27" t="n"/>
      <c r="C231" s="28" t="n"/>
      <c r="D231" s="28" t="n"/>
      <c r="E231" s="29">
        <f>IF($A231="","",$A231&amp;"|"&amp;DAY($B231))</f>
        <v/>
      </c>
      <c r="F231" s="29">
        <f>IF($A231="","",IF(COUNTIF(設定!$B$41:$B$70,$A231)=0,"⚠ 查無員編",IF(COUNTIF($E$3:$E$1002,$E231)&gt;1,"⚠ 重複打卡","OK")))</f>
        <v/>
      </c>
    </row>
    <row r="232">
      <c r="A232" s="26" t="n"/>
      <c r="B232" s="27" t="n"/>
      <c r="C232" s="28" t="n"/>
      <c r="D232" s="28" t="n"/>
      <c r="E232" s="29">
        <f>IF($A232="","",$A232&amp;"|"&amp;DAY($B232))</f>
        <v/>
      </c>
      <c r="F232" s="29">
        <f>IF($A232="","",IF(COUNTIF(設定!$B$41:$B$70,$A232)=0,"⚠ 查無員編",IF(COUNTIF($E$3:$E$1002,$E232)&gt;1,"⚠ 重複打卡","OK")))</f>
        <v/>
      </c>
    </row>
    <row r="233">
      <c r="A233" s="26" t="n"/>
      <c r="B233" s="27" t="n"/>
      <c r="C233" s="28" t="n"/>
      <c r="D233" s="28" t="n"/>
      <c r="E233" s="29">
        <f>IF($A233="","",$A233&amp;"|"&amp;DAY($B233))</f>
        <v/>
      </c>
      <c r="F233" s="29">
        <f>IF($A233="","",IF(COUNTIF(設定!$B$41:$B$70,$A233)=0,"⚠ 查無員編",IF(COUNTIF($E$3:$E$1002,$E233)&gt;1,"⚠ 重複打卡","OK")))</f>
        <v/>
      </c>
    </row>
    <row r="234">
      <c r="A234" s="26" t="n"/>
      <c r="B234" s="27" t="n"/>
      <c r="C234" s="28" t="n"/>
      <c r="D234" s="28" t="n"/>
      <c r="E234" s="29">
        <f>IF($A234="","",$A234&amp;"|"&amp;DAY($B234))</f>
        <v/>
      </c>
      <c r="F234" s="29">
        <f>IF($A234="","",IF(COUNTIF(設定!$B$41:$B$70,$A234)=0,"⚠ 查無員編",IF(COUNTIF($E$3:$E$1002,$E234)&gt;1,"⚠ 重複打卡","OK")))</f>
        <v/>
      </c>
    </row>
    <row r="235">
      <c r="A235" s="26" t="n"/>
      <c r="B235" s="27" t="n"/>
      <c r="C235" s="28" t="n"/>
      <c r="D235" s="28" t="n"/>
      <c r="E235" s="29">
        <f>IF($A235="","",$A235&amp;"|"&amp;DAY($B235))</f>
        <v/>
      </c>
      <c r="F235" s="29">
        <f>IF($A235="","",IF(COUNTIF(設定!$B$41:$B$70,$A235)=0,"⚠ 查無員編",IF(COUNTIF($E$3:$E$1002,$E235)&gt;1,"⚠ 重複打卡","OK")))</f>
        <v/>
      </c>
    </row>
    <row r="236">
      <c r="A236" s="26" t="n"/>
      <c r="B236" s="27" t="n"/>
      <c r="C236" s="28" t="n"/>
      <c r="D236" s="28" t="n"/>
      <c r="E236" s="29">
        <f>IF($A236="","",$A236&amp;"|"&amp;DAY($B236))</f>
        <v/>
      </c>
      <c r="F236" s="29">
        <f>IF($A236="","",IF(COUNTIF(設定!$B$41:$B$70,$A236)=0,"⚠ 查無員編",IF(COUNTIF($E$3:$E$1002,$E236)&gt;1,"⚠ 重複打卡","OK")))</f>
        <v/>
      </c>
    </row>
    <row r="237">
      <c r="A237" s="26" t="n"/>
      <c r="B237" s="27" t="n"/>
      <c r="C237" s="28" t="n"/>
      <c r="D237" s="28" t="n"/>
      <c r="E237" s="29">
        <f>IF($A237="","",$A237&amp;"|"&amp;DAY($B237))</f>
        <v/>
      </c>
      <c r="F237" s="29">
        <f>IF($A237="","",IF(COUNTIF(設定!$B$41:$B$70,$A237)=0,"⚠ 查無員編",IF(COUNTIF($E$3:$E$1002,$E237)&gt;1,"⚠ 重複打卡","OK")))</f>
        <v/>
      </c>
    </row>
    <row r="238">
      <c r="A238" s="26" t="n"/>
      <c r="B238" s="27" t="n"/>
      <c r="C238" s="28" t="n"/>
      <c r="D238" s="28" t="n"/>
      <c r="E238" s="29">
        <f>IF($A238="","",$A238&amp;"|"&amp;DAY($B238))</f>
        <v/>
      </c>
      <c r="F238" s="29">
        <f>IF($A238="","",IF(COUNTIF(設定!$B$41:$B$70,$A238)=0,"⚠ 查無員編",IF(COUNTIF($E$3:$E$1002,$E238)&gt;1,"⚠ 重複打卡","OK")))</f>
        <v/>
      </c>
    </row>
    <row r="239">
      <c r="A239" s="26" t="n"/>
      <c r="B239" s="27" t="n"/>
      <c r="C239" s="28" t="n"/>
      <c r="D239" s="28" t="n"/>
      <c r="E239" s="29">
        <f>IF($A239="","",$A239&amp;"|"&amp;DAY($B239))</f>
        <v/>
      </c>
      <c r="F239" s="29">
        <f>IF($A239="","",IF(COUNTIF(設定!$B$41:$B$70,$A239)=0,"⚠ 查無員編",IF(COUNTIF($E$3:$E$1002,$E239)&gt;1,"⚠ 重複打卡","OK")))</f>
        <v/>
      </c>
    </row>
    <row r="240">
      <c r="A240" s="26" t="n"/>
      <c r="B240" s="27" t="n"/>
      <c r="C240" s="28" t="n"/>
      <c r="D240" s="28" t="n"/>
      <c r="E240" s="29">
        <f>IF($A240="","",$A240&amp;"|"&amp;DAY($B240))</f>
        <v/>
      </c>
      <c r="F240" s="29">
        <f>IF($A240="","",IF(COUNTIF(設定!$B$41:$B$70,$A240)=0,"⚠ 查無員編",IF(COUNTIF($E$3:$E$1002,$E240)&gt;1,"⚠ 重複打卡","OK")))</f>
        <v/>
      </c>
    </row>
    <row r="241">
      <c r="A241" s="26" t="n"/>
      <c r="B241" s="27" t="n"/>
      <c r="C241" s="28" t="n"/>
      <c r="D241" s="28" t="n"/>
      <c r="E241" s="29">
        <f>IF($A241="","",$A241&amp;"|"&amp;DAY($B241))</f>
        <v/>
      </c>
      <c r="F241" s="29">
        <f>IF($A241="","",IF(COUNTIF(設定!$B$41:$B$70,$A241)=0,"⚠ 查無員編",IF(COUNTIF($E$3:$E$1002,$E241)&gt;1,"⚠ 重複打卡","OK")))</f>
        <v/>
      </c>
    </row>
    <row r="242">
      <c r="A242" s="26" t="n"/>
      <c r="B242" s="27" t="n"/>
      <c r="C242" s="28" t="n"/>
      <c r="D242" s="28" t="n"/>
      <c r="E242" s="29">
        <f>IF($A242="","",$A242&amp;"|"&amp;DAY($B242))</f>
        <v/>
      </c>
      <c r="F242" s="29">
        <f>IF($A242="","",IF(COUNTIF(設定!$B$41:$B$70,$A242)=0,"⚠ 查無員編",IF(COUNTIF($E$3:$E$1002,$E242)&gt;1,"⚠ 重複打卡","OK")))</f>
        <v/>
      </c>
    </row>
    <row r="243">
      <c r="A243" s="26" t="n"/>
      <c r="B243" s="27" t="n"/>
      <c r="C243" s="28" t="n"/>
      <c r="D243" s="28" t="n"/>
      <c r="E243" s="29">
        <f>IF($A243="","",$A243&amp;"|"&amp;DAY($B243))</f>
        <v/>
      </c>
      <c r="F243" s="29">
        <f>IF($A243="","",IF(COUNTIF(設定!$B$41:$B$70,$A243)=0,"⚠ 查無員編",IF(COUNTIF($E$3:$E$1002,$E243)&gt;1,"⚠ 重複打卡","OK")))</f>
        <v/>
      </c>
    </row>
    <row r="244">
      <c r="A244" s="26" t="n"/>
      <c r="B244" s="27" t="n"/>
      <c r="C244" s="28" t="n"/>
      <c r="D244" s="28" t="n"/>
      <c r="E244" s="29">
        <f>IF($A244="","",$A244&amp;"|"&amp;DAY($B244))</f>
        <v/>
      </c>
      <c r="F244" s="29">
        <f>IF($A244="","",IF(COUNTIF(設定!$B$41:$B$70,$A244)=0,"⚠ 查無員編",IF(COUNTIF($E$3:$E$1002,$E244)&gt;1,"⚠ 重複打卡","OK")))</f>
        <v/>
      </c>
    </row>
    <row r="245">
      <c r="A245" s="26" t="n"/>
      <c r="B245" s="27" t="n"/>
      <c r="C245" s="28" t="n"/>
      <c r="D245" s="28" t="n"/>
      <c r="E245" s="29">
        <f>IF($A245="","",$A245&amp;"|"&amp;DAY($B245))</f>
        <v/>
      </c>
      <c r="F245" s="29">
        <f>IF($A245="","",IF(COUNTIF(設定!$B$41:$B$70,$A245)=0,"⚠ 查無員編",IF(COUNTIF($E$3:$E$1002,$E245)&gt;1,"⚠ 重複打卡","OK")))</f>
        <v/>
      </c>
    </row>
    <row r="246">
      <c r="A246" s="26" t="n"/>
      <c r="B246" s="27" t="n"/>
      <c r="C246" s="28" t="n"/>
      <c r="D246" s="28" t="n"/>
      <c r="E246" s="29">
        <f>IF($A246="","",$A246&amp;"|"&amp;DAY($B246))</f>
        <v/>
      </c>
      <c r="F246" s="29">
        <f>IF($A246="","",IF(COUNTIF(設定!$B$41:$B$70,$A246)=0,"⚠ 查無員編",IF(COUNTIF($E$3:$E$1002,$E246)&gt;1,"⚠ 重複打卡","OK")))</f>
        <v/>
      </c>
    </row>
    <row r="247">
      <c r="A247" s="26" t="n"/>
      <c r="B247" s="27" t="n"/>
      <c r="C247" s="28" t="n"/>
      <c r="D247" s="28" t="n"/>
      <c r="E247" s="29">
        <f>IF($A247="","",$A247&amp;"|"&amp;DAY($B247))</f>
        <v/>
      </c>
      <c r="F247" s="29">
        <f>IF($A247="","",IF(COUNTIF(設定!$B$41:$B$70,$A247)=0,"⚠ 查無員編",IF(COUNTIF($E$3:$E$1002,$E247)&gt;1,"⚠ 重複打卡","OK")))</f>
        <v/>
      </c>
    </row>
    <row r="248">
      <c r="A248" s="26" t="n"/>
      <c r="B248" s="27" t="n"/>
      <c r="C248" s="28" t="n"/>
      <c r="D248" s="28" t="n"/>
      <c r="E248" s="29">
        <f>IF($A248="","",$A248&amp;"|"&amp;DAY($B248))</f>
        <v/>
      </c>
      <c r="F248" s="29">
        <f>IF($A248="","",IF(COUNTIF(設定!$B$41:$B$70,$A248)=0,"⚠ 查無員編",IF(COUNTIF($E$3:$E$1002,$E248)&gt;1,"⚠ 重複打卡","OK")))</f>
        <v/>
      </c>
    </row>
    <row r="249">
      <c r="A249" s="26" t="n"/>
      <c r="B249" s="27" t="n"/>
      <c r="C249" s="28" t="n"/>
      <c r="D249" s="28" t="n"/>
      <c r="E249" s="29">
        <f>IF($A249="","",$A249&amp;"|"&amp;DAY($B249))</f>
        <v/>
      </c>
      <c r="F249" s="29">
        <f>IF($A249="","",IF(COUNTIF(設定!$B$41:$B$70,$A249)=0,"⚠ 查無員編",IF(COUNTIF($E$3:$E$1002,$E249)&gt;1,"⚠ 重複打卡","OK")))</f>
        <v/>
      </c>
    </row>
    <row r="250">
      <c r="A250" s="26" t="n"/>
      <c r="B250" s="27" t="n"/>
      <c r="C250" s="28" t="n"/>
      <c r="D250" s="28" t="n"/>
      <c r="E250" s="29">
        <f>IF($A250="","",$A250&amp;"|"&amp;DAY($B250))</f>
        <v/>
      </c>
      <c r="F250" s="29">
        <f>IF($A250="","",IF(COUNTIF(設定!$B$41:$B$70,$A250)=0,"⚠ 查無員編",IF(COUNTIF($E$3:$E$1002,$E250)&gt;1,"⚠ 重複打卡","OK")))</f>
        <v/>
      </c>
    </row>
    <row r="251">
      <c r="A251" s="26" t="n"/>
      <c r="B251" s="27" t="n"/>
      <c r="C251" s="28" t="n"/>
      <c r="D251" s="28" t="n"/>
      <c r="E251" s="29">
        <f>IF($A251="","",$A251&amp;"|"&amp;DAY($B251))</f>
        <v/>
      </c>
      <c r="F251" s="29">
        <f>IF($A251="","",IF(COUNTIF(設定!$B$41:$B$70,$A251)=0,"⚠ 查無員編",IF(COUNTIF($E$3:$E$1002,$E251)&gt;1,"⚠ 重複打卡","OK")))</f>
        <v/>
      </c>
    </row>
    <row r="252">
      <c r="A252" s="26" t="n"/>
      <c r="B252" s="27" t="n"/>
      <c r="C252" s="28" t="n"/>
      <c r="D252" s="28" t="n"/>
      <c r="E252" s="29">
        <f>IF($A252="","",$A252&amp;"|"&amp;DAY($B252))</f>
        <v/>
      </c>
      <c r="F252" s="29">
        <f>IF($A252="","",IF(COUNTIF(設定!$B$41:$B$70,$A252)=0,"⚠ 查無員編",IF(COUNTIF($E$3:$E$1002,$E252)&gt;1,"⚠ 重複打卡","OK")))</f>
        <v/>
      </c>
    </row>
    <row r="253">
      <c r="A253" s="26" t="n"/>
      <c r="B253" s="27" t="n"/>
      <c r="C253" s="28" t="n"/>
      <c r="D253" s="28" t="n"/>
      <c r="E253" s="29">
        <f>IF($A253="","",$A253&amp;"|"&amp;DAY($B253))</f>
        <v/>
      </c>
      <c r="F253" s="29">
        <f>IF($A253="","",IF(COUNTIF(設定!$B$41:$B$70,$A253)=0,"⚠ 查無員編",IF(COUNTIF($E$3:$E$1002,$E253)&gt;1,"⚠ 重複打卡","OK")))</f>
        <v/>
      </c>
    </row>
    <row r="254">
      <c r="A254" s="26" t="n"/>
      <c r="B254" s="27" t="n"/>
      <c r="C254" s="28" t="n"/>
      <c r="D254" s="28" t="n"/>
      <c r="E254" s="29">
        <f>IF($A254="","",$A254&amp;"|"&amp;DAY($B254))</f>
        <v/>
      </c>
      <c r="F254" s="29">
        <f>IF($A254="","",IF(COUNTIF(設定!$B$41:$B$70,$A254)=0,"⚠ 查無員編",IF(COUNTIF($E$3:$E$1002,$E254)&gt;1,"⚠ 重複打卡","OK")))</f>
        <v/>
      </c>
    </row>
    <row r="255">
      <c r="A255" s="26" t="n"/>
      <c r="B255" s="27" t="n"/>
      <c r="C255" s="28" t="n"/>
      <c r="D255" s="28" t="n"/>
      <c r="E255" s="29">
        <f>IF($A255="","",$A255&amp;"|"&amp;DAY($B255))</f>
        <v/>
      </c>
      <c r="F255" s="29">
        <f>IF($A255="","",IF(COUNTIF(設定!$B$41:$B$70,$A255)=0,"⚠ 查無員編",IF(COUNTIF($E$3:$E$1002,$E255)&gt;1,"⚠ 重複打卡","OK")))</f>
        <v/>
      </c>
    </row>
    <row r="256">
      <c r="A256" s="26" t="n"/>
      <c r="B256" s="27" t="n"/>
      <c r="C256" s="28" t="n"/>
      <c r="D256" s="28" t="n"/>
      <c r="E256" s="29">
        <f>IF($A256="","",$A256&amp;"|"&amp;DAY($B256))</f>
        <v/>
      </c>
      <c r="F256" s="29">
        <f>IF($A256="","",IF(COUNTIF(設定!$B$41:$B$70,$A256)=0,"⚠ 查無員編",IF(COUNTIF($E$3:$E$1002,$E256)&gt;1,"⚠ 重複打卡","OK")))</f>
        <v/>
      </c>
    </row>
    <row r="257">
      <c r="A257" s="26" t="n"/>
      <c r="B257" s="27" t="n"/>
      <c r="C257" s="28" t="n"/>
      <c r="D257" s="28" t="n"/>
      <c r="E257" s="29">
        <f>IF($A257="","",$A257&amp;"|"&amp;DAY($B257))</f>
        <v/>
      </c>
      <c r="F257" s="29">
        <f>IF($A257="","",IF(COUNTIF(設定!$B$41:$B$70,$A257)=0,"⚠ 查無員編",IF(COUNTIF($E$3:$E$1002,$E257)&gt;1,"⚠ 重複打卡","OK")))</f>
        <v/>
      </c>
    </row>
    <row r="258">
      <c r="A258" s="26" t="n"/>
      <c r="B258" s="27" t="n"/>
      <c r="C258" s="28" t="n"/>
      <c r="D258" s="28" t="n"/>
      <c r="E258" s="29">
        <f>IF($A258="","",$A258&amp;"|"&amp;DAY($B258))</f>
        <v/>
      </c>
      <c r="F258" s="29">
        <f>IF($A258="","",IF(COUNTIF(設定!$B$41:$B$70,$A258)=0,"⚠ 查無員編",IF(COUNTIF($E$3:$E$1002,$E258)&gt;1,"⚠ 重複打卡","OK")))</f>
        <v/>
      </c>
    </row>
    <row r="259">
      <c r="A259" s="26" t="n"/>
      <c r="B259" s="27" t="n"/>
      <c r="C259" s="28" t="n"/>
      <c r="D259" s="28" t="n"/>
      <c r="E259" s="29">
        <f>IF($A259="","",$A259&amp;"|"&amp;DAY($B259))</f>
        <v/>
      </c>
      <c r="F259" s="29">
        <f>IF($A259="","",IF(COUNTIF(設定!$B$41:$B$70,$A259)=0,"⚠ 查無員編",IF(COUNTIF($E$3:$E$1002,$E259)&gt;1,"⚠ 重複打卡","OK")))</f>
        <v/>
      </c>
    </row>
    <row r="260">
      <c r="A260" s="26" t="n"/>
      <c r="B260" s="27" t="n"/>
      <c r="C260" s="28" t="n"/>
      <c r="D260" s="28" t="n"/>
      <c r="E260" s="29">
        <f>IF($A260="","",$A260&amp;"|"&amp;DAY($B260))</f>
        <v/>
      </c>
      <c r="F260" s="29">
        <f>IF($A260="","",IF(COUNTIF(設定!$B$41:$B$70,$A260)=0,"⚠ 查無員編",IF(COUNTIF($E$3:$E$1002,$E260)&gt;1,"⚠ 重複打卡","OK")))</f>
        <v/>
      </c>
    </row>
    <row r="261">
      <c r="A261" s="26" t="n"/>
      <c r="B261" s="27" t="n"/>
      <c r="C261" s="28" t="n"/>
      <c r="D261" s="28" t="n"/>
      <c r="E261" s="29">
        <f>IF($A261="","",$A261&amp;"|"&amp;DAY($B261))</f>
        <v/>
      </c>
      <c r="F261" s="29">
        <f>IF($A261="","",IF(COUNTIF(設定!$B$41:$B$70,$A261)=0,"⚠ 查無員編",IF(COUNTIF($E$3:$E$1002,$E261)&gt;1,"⚠ 重複打卡","OK")))</f>
        <v/>
      </c>
    </row>
    <row r="262">
      <c r="A262" s="26" t="n"/>
      <c r="B262" s="27" t="n"/>
      <c r="C262" s="28" t="n"/>
      <c r="D262" s="28" t="n"/>
      <c r="E262" s="29">
        <f>IF($A262="","",$A262&amp;"|"&amp;DAY($B262))</f>
        <v/>
      </c>
      <c r="F262" s="29">
        <f>IF($A262="","",IF(COUNTIF(設定!$B$41:$B$70,$A262)=0,"⚠ 查無員編",IF(COUNTIF($E$3:$E$1002,$E262)&gt;1,"⚠ 重複打卡","OK")))</f>
        <v/>
      </c>
    </row>
    <row r="263">
      <c r="A263" s="26" t="n"/>
      <c r="B263" s="27" t="n"/>
      <c r="C263" s="28" t="n"/>
      <c r="D263" s="28" t="n"/>
      <c r="E263" s="29">
        <f>IF($A263="","",$A263&amp;"|"&amp;DAY($B263))</f>
        <v/>
      </c>
      <c r="F263" s="29">
        <f>IF($A263="","",IF(COUNTIF(設定!$B$41:$B$70,$A263)=0,"⚠ 查無員編",IF(COUNTIF($E$3:$E$1002,$E263)&gt;1,"⚠ 重複打卡","OK")))</f>
        <v/>
      </c>
    </row>
    <row r="264">
      <c r="A264" s="26" t="n"/>
      <c r="B264" s="27" t="n"/>
      <c r="C264" s="28" t="n"/>
      <c r="D264" s="28" t="n"/>
      <c r="E264" s="29">
        <f>IF($A264="","",$A264&amp;"|"&amp;DAY($B264))</f>
        <v/>
      </c>
      <c r="F264" s="29">
        <f>IF($A264="","",IF(COUNTIF(設定!$B$41:$B$70,$A264)=0,"⚠ 查無員編",IF(COUNTIF($E$3:$E$1002,$E264)&gt;1,"⚠ 重複打卡","OK")))</f>
        <v/>
      </c>
    </row>
    <row r="265">
      <c r="A265" s="26" t="n"/>
      <c r="B265" s="27" t="n"/>
      <c r="C265" s="28" t="n"/>
      <c r="D265" s="28" t="n"/>
      <c r="E265" s="29">
        <f>IF($A265="","",$A265&amp;"|"&amp;DAY($B265))</f>
        <v/>
      </c>
      <c r="F265" s="29">
        <f>IF($A265="","",IF(COUNTIF(設定!$B$41:$B$70,$A265)=0,"⚠ 查無員編",IF(COUNTIF($E$3:$E$1002,$E265)&gt;1,"⚠ 重複打卡","OK")))</f>
        <v/>
      </c>
    </row>
    <row r="266">
      <c r="A266" s="26" t="n"/>
      <c r="B266" s="27" t="n"/>
      <c r="C266" s="28" t="n"/>
      <c r="D266" s="28" t="n"/>
      <c r="E266" s="29">
        <f>IF($A266="","",$A266&amp;"|"&amp;DAY($B266))</f>
        <v/>
      </c>
      <c r="F266" s="29">
        <f>IF($A266="","",IF(COUNTIF(設定!$B$41:$B$70,$A266)=0,"⚠ 查無員編",IF(COUNTIF($E$3:$E$1002,$E266)&gt;1,"⚠ 重複打卡","OK")))</f>
        <v/>
      </c>
    </row>
    <row r="267">
      <c r="A267" s="26" t="n"/>
      <c r="B267" s="27" t="n"/>
      <c r="C267" s="28" t="n"/>
      <c r="D267" s="28" t="n"/>
      <c r="E267" s="29">
        <f>IF($A267="","",$A267&amp;"|"&amp;DAY($B267))</f>
        <v/>
      </c>
      <c r="F267" s="29">
        <f>IF($A267="","",IF(COUNTIF(設定!$B$41:$B$70,$A267)=0,"⚠ 查無員編",IF(COUNTIF($E$3:$E$1002,$E267)&gt;1,"⚠ 重複打卡","OK")))</f>
        <v/>
      </c>
    </row>
    <row r="268">
      <c r="A268" s="26" t="n"/>
      <c r="B268" s="27" t="n"/>
      <c r="C268" s="28" t="n"/>
      <c r="D268" s="28" t="n"/>
      <c r="E268" s="29">
        <f>IF($A268="","",$A268&amp;"|"&amp;DAY($B268))</f>
        <v/>
      </c>
      <c r="F268" s="29">
        <f>IF($A268="","",IF(COUNTIF(設定!$B$41:$B$70,$A268)=0,"⚠ 查無員編",IF(COUNTIF($E$3:$E$1002,$E268)&gt;1,"⚠ 重複打卡","OK")))</f>
        <v/>
      </c>
    </row>
    <row r="269">
      <c r="A269" s="26" t="n"/>
      <c r="B269" s="27" t="n"/>
      <c r="C269" s="28" t="n"/>
      <c r="D269" s="28" t="n"/>
      <c r="E269" s="29">
        <f>IF($A269="","",$A269&amp;"|"&amp;DAY($B269))</f>
        <v/>
      </c>
      <c r="F269" s="29">
        <f>IF($A269="","",IF(COUNTIF(設定!$B$41:$B$70,$A269)=0,"⚠ 查無員編",IF(COUNTIF($E$3:$E$1002,$E269)&gt;1,"⚠ 重複打卡","OK")))</f>
        <v/>
      </c>
    </row>
    <row r="270">
      <c r="A270" s="26" t="n"/>
      <c r="B270" s="27" t="n"/>
      <c r="C270" s="28" t="n"/>
      <c r="D270" s="28" t="n"/>
      <c r="E270" s="29">
        <f>IF($A270="","",$A270&amp;"|"&amp;DAY($B270))</f>
        <v/>
      </c>
      <c r="F270" s="29">
        <f>IF($A270="","",IF(COUNTIF(設定!$B$41:$B$70,$A270)=0,"⚠ 查無員編",IF(COUNTIF($E$3:$E$1002,$E270)&gt;1,"⚠ 重複打卡","OK")))</f>
        <v/>
      </c>
    </row>
    <row r="271">
      <c r="A271" s="26" t="n"/>
      <c r="B271" s="27" t="n"/>
      <c r="C271" s="28" t="n"/>
      <c r="D271" s="28" t="n"/>
      <c r="E271" s="29">
        <f>IF($A271="","",$A271&amp;"|"&amp;DAY($B271))</f>
        <v/>
      </c>
      <c r="F271" s="29">
        <f>IF($A271="","",IF(COUNTIF(設定!$B$41:$B$70,$A271)=0,"⚠ 查無員編",IF(COUNTIF($E$3:$E$1002,$E271)&gt;1,"⚠ 重複打卡","OK")))</f>
        <v/>
      </c>
    </row>
    <row r="272">
      <c r="A272" s="26" t="n"/>
      <c r="B272" s="27" t="n"/>
      <c r="C272" s="28" t="n"/>
      <c r="D272" s="28" t="n"/>
      <c r="E272" s="29">
        <f>IF($A272="","",$A272&amp;"|"&amp;DAY($B272))</f>
        <v/>
      </c>
      <c r="F272" s="29">
        <f>IF($A272="","",IF(COUNTIF(設定!$B$41:$B$70,$A272)=0,"⚠ 查無員編",IF(COUNTIF($E$3:$E$1002,$E272)&gt;1,"⚠ 重複打卡","OK")))</f>
        <v/>
      </c>
    </row>
    <row r="273">
      <c r="A273" s="26" t="n"/>
      <c r="B273" s="27" t="n"/>
      <c r="C273" s="28" t="n"/>
      <c r="D273" s="28" t="n"/>
      <c r="E273" s="29">
        <f>IF($A273="","",$A273&amp;"|"&amp;DAY($B273))</f>
        <v/>
      </c>
      <c r="F273" s="29">
        <f>IF($A273="","",IF(COUNTIF(設定!$B$41:$B$70,$A273)=0,"⚠ 查無員編",IF(COUNTIF($E$3:$E$1002,$E273)&gt;1,"⚠ 重複打卡","OK")))</f>
        <v/>
      </c>
    </row>
    <row r="274">
      <c r="A274" s="26" t="n"/>
      <c r="B274" s="27" t="n"/>
      <c r="C274" s="28" t="n"/>
      <c r="D274" s="28" t="n"/>
      <c r="E274" s="29">
        <f>IF($A274="","",$A274&amp;"|"&amp;DAY($B274))</f>
        <v/>
      </c>
      <c r="F274" s="29">
        <f>IF($A274="","",IF(COUNTIF(設定!$B$41:$B$70,$A274)=0,"⚠ 查無員編",IF(COUNTIF($E$3:$E$1002,$E274)&gt;1,"⚠ 重複打卡","OK")))</f>
        <v/>
      </c>
    </row>
    <row r="275">
      <c r="A275" s="26" t="n"/>
      <c r="B275" s="27" t="n"/>
      <c r="C275" s="28" t="n"/>
      <c r="D275" s="28" t="n"/>
      <c r="E275" s="29">
        <f>IF($A275="","",$A275&amp;"|"&amp;DAY($B275))</f>
        <v/>
      </c>
      <c r="F275" s="29">
        <f>IF($A275="","",IF(COUNTIF(設定!$B$41:$B$70,$A275)=0,"⚠ 查無員編",IF(COUNTIF($E$3:$E$1002,$E275)&gt;1,"⚠ 重複打卡","OK")))</f>
        <v/>
      </c>
    </row>
    <row r="276">
      <c r="A276" s="26" t="n"/>
      <c r="B276" s="27" t="n"/>
      <c r="C276" s="28" t="n"/>
      <c r="D276" s="28" t="n"/>
      <c r="E276" s="29">
        <f>IF($A276="","",$A276&amp;"|"&amp;DAY($B276))</f>
        <v/>
      </c>
      <c r="F276" s="29">
        <f>IF($A276="","",IF(COUNTIF(設定!$B$41:$B$70,$A276)=0,"⚠ 查無員編",IF(COUNTIF($E$3:$E$1002,$E276)&gt;1,"⚠ 重複打卡","OK")))</f>
        <v/>
      </c>
    </row>
    <row r="277">
      <c r="A277" s="26" t="n"/>
      <c r="B277" s="27" t="n"/>
      <c r="C277" s="28" t="n"/>
      <c r="D277" s="28" t="n"/>
      <c r="E277" s="29">
        <f>IF($A277="","",$A277&amp;"|"&amp;DAY($B277))</f>
        <v/>
      </c>
      <c r="F277" s="29">
        <f>IF($A277="","",IF(COUNTIF(設定!$B$41:$B$70,$A277)=0,"⚠ 查無員編",IF(COUNTIF($E$3:$E$1002,$E277)&gt;1,"⚠ 重複打卡","OK")))</f>
        <v/>
      </c>
    </row>
    <row r="278">
      <c r="A278" s="26" t="n"/>
      <c r="B278" s="27" t="n"/>
      <c r="C278" s="28" t="n"/>
      <c r="D278" s="28" t="n"/>
      <c r="E278" s="29">
        <f>IF($A278="","",$A278&amp;"|"&amp;DAY($B278))</f>
        <v/>
      </c>
      <c r="F278" s="29">
        <f>IF($A278="","",IF(COUNTIF(設定!$B$41:$B$70,$A278)=0,"⚠ 查無員編",IF(COUNTIF($E$3:$E$1002,$E278)&gt;1,"⚠ 重複打卡","OK")))</f>
        <v/>
      </c>
    </row>
    <row r="279">
      <c r="A279" s="26" t="n"/>
      <c r="B279" s="27" t="n"/>
      <c r="C279" s="28" t="n"/>
      <c r="D279" s="28" t="n"/>
      <c r="E279" s="29">
        <f>IF($A279="","",$A279&amp;"|"&amp;DAY($B279))</f>
        <v/>
      </c>
      <c r="F279" s="29">
        <f>IF($A279="","",IF(COUNTIF(設定!$B$41:$B$70,$A279)=0,"⚠ 查無員編",IF(COUNTIF($E$3:$E$1002,$E279)&gt;1,"⚠ 重複打卡","OK")))</f>
        <v/>
      </c>
    </row>
    <row r="280">
      <c r="A280" s="26" t="n"/>
      <c r="B280" s="27" t="n"/>
      <c r="C280" s="28" t="n"/>
      <c r="D280" s="28" t="n"/>
      <c r="E280" s="29">
        <f>IF($A280="","",$A280&amp;"|"&amp;DAY($B280))</f>
        <v/>
      </c>
      <c r="F280" s="29">
        <f>IF($A280="","",IF(COUNTIF(設定!$B$41:$B$70,$A280)=0,"⚠ 查無員編",IF(COUNTIF($E$3:$E$1002,$E280)&gt;1,"⚠ 重複打卡","OK")))</f>
        <v/>
      </c>
    </row>
    <row r="281">
      <c r="A281" s="26" t="n"/>
      <c r="B281" s="27" t="n"/>
      <c r="C281" s="28" t="n"/>
      <c r="D281" s="28" t="n"/>
      <c r="E281" s="29">
        <f>IF($A281="","",$A281&amp;"|"&amp;DAY($B281))</f>
        <v/>
      </c>
      <c r="F281" s="29">
        <f>IF($A281="","",IF(COUNTIF(設定!$B$41:$B$70,$A281)=0,"⚠ 查無員編",IF(COUNTIF($E$3:$E$1002,$E281)&gt;1,"⚠ 重複打卡","OK")))</f>
        <v/>
      </c>
    </row>
    <row r="282">
      <c r="A282" s="26" t="n"/>
      <c r="B282" s="27" t="n"/>
      <c r="C282" s="28" t="n"/>
      <c r="D282" s="28" t="n"/>
      <c r="E282" s="29">
        <f>IF($A282="","",$A282&amp;"|"&amp;DAY($B282))</f>
        <v/>
      </c>
      <c r="F282" s="29">
        <f>IF($A282="","",IF(COUNTIF(設定!$B$41:$B$70,$A282)=0,"⚠ 查無員編",IF(COUNTIF($E$3:$E$1002,$E282)&gt;1,"⚠ 重複打卡","OK")))</f>
        <v/>
      </c>
    </row>
    <row r="283">
      <c r="A283" s="26" t="n"/>
      <c r="B283" s="27" t="n"/>
      <c r="C283" s="28" t="n"/>
      <c r="D283" s="28" t="n"/>
      <c r="E283" s="29">
        <f>IF($A283="","",$A283&amp;"|"&amp;DAY($B283))</f>
        <v/>
      </c>
      <c r="F283" s="29">
        <f>IF($A283="","",IF(COUNTIF(設定!$B$41:$B$70,$A283)=0,"⚠ 查無員編",IF(COUNTIF($E$3:$E$1002,$E283)&gt;1,"⚠ 重複打卡","OK")))</f>
        <v/>
      </c>
    </row>
    <row r="284">
      <c r="A284" s="26" t="n"/>
      <c r="B284" s="27" t="n"/>
      <c r="C284" s="28" t="n"/>
      <c r="D284" s="28" t="n"/>
      <c r="E284" s="29">
        <f>IF($A284="","",$A284&amp;"|"&amp;DAY($B284))</f>
        <v/>
      </c>
      <c r="F284" s="29">
        <f>IF($A284="","",IF(COUNTIF(設定!$B$41:$B$70,$A284)=0,"⚠ 查無員編",IF(COUNTIF($E$3:$E$1002,$E284)&gt;1,"⚠ 重複打卡","OK")))</f>
        <v/>
      </c>
    </row>
    <row r="285">
      <c r="A285" s="26" t="n"/>
      <c r="B285" s="27" t="n"/>
      <c r="C285" s="28" t="n"/>
      <c r="D285" s="28" t="n"/>
      <c r="E285" s="29">
        <f>IF($A285="","",$A285&amp;"|"&amp;DAY($B285))</f>
        <v/>
      </c>
      <c r="F285" s="29">
        <f>IF($A285="","",IF(COUNTIF(設定!$B$41:$B$70,$A285)=0,"⚠ 查無員編",IF(COUNTIF($E$3:$E$1002,$E285)&gt;1,"⚠ 重複打卡","OK")))</f>
        <v/>
      </c>
    </row>
    <row r="286">
      <c r="A286" s="26" t="n"/>
      <c r="B286" s="27" t="n"/>
      <c r="C286" s="28" t="n"/>
      <c r="D286" s="28" t="n"/>
      <c r="E286" s="29">
        <f>IF($A286="","",$A286&amp;"|"&amp;DAY($B286))</f>
        <v/>
      </c>
      <c r="F286" s="29">
        <f>IF($A286="","",IF(COUNTIF(設定!$B$41:$B$70,$A286)=0,"⚠ 查無員編",IF(COUNTIF($E$3:$E$1002,$E286)&gt;1,"⚠ 重複打卡","OK")))</f>
        <v/>
      </c>
    </row>
    <row r="287">
      <c r="A287" s="26" t="n"/>
      <c r="B287" s="27" t="n"/>
      <c r="C287" s="28" t="n"/>
      <c r="D287" s="28" t="n"/>
      <c r="E287" s="29">
        <f>IF($A287="","",$A287&amp;"|"&amp;DAY($B287))</f>
        <v/>
      </c>
      <c r="F287" s="29">
        <f>IF($A287="","",IF(COUNTIF(設定!$B$41:$B$70,$A287)=0,"⚠ 查無員編",IF(COUNTIF($E$3:$E$1002,$E287)&gt;1,"⚠ 重複打卡","OK")))</f>
        <v/>
      </c>
    </row>
    <row r="288">
      <c r="A288" s="26" t="n"/>
      <c r="B288" s="27" t="n"/>
      <c r="C288" s="28" t="n"/>
      <c r="D288" s="28" t="n"/>
      <c r="E288" s="29">
        <f>IF($A288="","",$A288&amp;"|"&amp;DAY($B288))</f>
        <v/>
      </c>
      <c r="F288" s="29">
        <f>IF($A288="","",IF(COUNTIF(設定!$B$41:$B$70,$A288)=0,"⚠ 查無員編",IF(COUNTIF($E$3:$E$1002,$E288)&gt;1,"⚠ 重複打卡","OK")))</f>
        <v/>
      </c>
    </row>
    <row r="289">
      <c r="A289" s="26" t="n"/>
      <c r="B289" s="27" t="n"/>
      <c r="C289" s="28" t="n"/>
      <c r="D289" s="28" t="n"/>
      <c r="E289" s="29">
        <f>IF($A289="","",$A289&amp;"|"&amp;DAY($B289))</f>
        <v/>
      </c>
      <c r="F289" s="29">
        <f>IF($A289="","",IF(COUNTIF(設定!$B$41:$B$70,$A289)=0,"⚠ 查無員編",IF(COUNTIF($E$3:$E$1002,$E289)&gt;1,"⚠ 重複打卡","OK")))</f>
        <v/>
      </c>
    </row>
    <row r="290">
      <c r="A290" s="26" t="n"/>
      <c r="B290" s="27" t="n"/>
      <c r="C290" s="28" t="n"/>
      <c r="D290" s="28" t="n"/>
      <c r="E290" s="29">
        <f>IF($A290="","",$A290&amp;"|"&amp;DAY($B290))</f>
        <v/>
      </c>
      <c r="F290" s="29">
        <f>IF($A290="","",IF(COUNTIF(設定!$B$41:$B$70,$A290)=0,"⚠ 查無員編",IF(COUNTIF($E$3:$E$1002,$E290)&gt;1,"⚠ 重複打卡","OK")))</f>
        <v/>
      </c>
    </row>
    <row r="291">
      <c r="A291" s="26" t="n"/>
      <c r="B291" s="27" t="n"/>
      <c r="C291" s="28" t="n"/>
      <c r="D291" s="28" t="n"/>
      <c r="E291" s="29">
        <f>IF($A291="","",$A291&amp;"|"&amp;DAY($B291))</f>
        <v/>
      </c>
      <c r="F291" s="29">
        <f>IF($A291="","",IF(COUNTIF(設定!$B$41:$B$70,$A291)=0,"⚠ 查無員編",IF(COUNTIF($E$3:$E$1002,$E291)&gt;1,"⚠ 重複打卡","OK")))</f>
        <v/>
      </c>
    </row>
    <row r="292">
      <c r="A292" s="26" t="n"/>
      <c r="B292" s="27" t="n"/>
      <c r="C292" s="28" t="n"/>
      <c r="D292" s="28" t="n"/>
      <c r="E292" s="29">
        <f>IF($A292="","",$A292&amp;"|"&amp;DAY($B292))</f>
        <v/>
      </c>
      <c r="F292" s="29">
        <f>IF($A292="","",IF(COUNTIF(設定!$B$41:$B$70,$A292)=0,"⚠ 查無員編",IF(COUNTIF($E$3:$E$1002,$E292)&gt;1,"⚠ 重複打卡","OK")))</f>
        <v/>
      </c>
    </row>
    <row r="293">
      <c r="A293" s="26" t="n"/>
      <c r="B293" s="27" t="n"/>
      <c r="C293" s="28" t="n"/>
      <c r="D293" s="28" t="n"/>
      <c r="E293" s="29">
        <f>IF($A293="","",$A293&amp;"|"&amp;DAY($B293))</f>
        <v/>
      </c>
      <c r="F293" s="29">
        <f>IF($A293="","",IF(COUNTIF(設定!$B$41:$B$70,$A293)=0,"⚠ 查無員編",IF(COUNTIF($E$3:$E$1002,$E293)&gt;1,"⚠ 重複打卡","OK")))</f>
        <v/>
      </c>
    </row>
    <row r="294">
      <c r="A294" s="26" t="n"/>
      <c r="B294" s="27" t="n"/>
      <c r="C294" s="28" t="n"/>
      <c r="D294" s="28" t="n"/>
      <c r="E294" s="29">
        <f>IF($A294="","",$A294&amp;"|"&amp;DAY($B294))</f>
        <v/>
      </c>
      <c r="F294" s="29">
        <f>IF($A294="","",IF(COUNTIF(設定!$B$41:$B$70,$A294)=0,"⚠ 查無員編",IF(COUNTIF($E$3:$E$1002,$E294)&gt;1,"⚠ 重複打卡","OK")))</f>
        <v/>
      </c>
    </row>
    <row r="295">
      <c r="A295" s="26" t="n"/>
      <c r="B295" s="27" t="n"/>
      <c r="C295" s="28" t="n"/>
      <c r="D295" s="28" t="n"/>
      <c r="E295" s="29">
        <f>IF($A295="","",$A295&amp;"|"&amp;DAY($B295))</f>
        <v/>
      </c>
      <c r="F295" s="29">
        <f>IF($A295="","",IF(COUNTIF(設定!$B$41:$B$70,$A295)=0,"⚠ 查無員編",IF(COUNTIF($E$3:$E$1002,$E295)&gt;1,"⚠ 重複打卡","OK")))</f>
        <v/>
      </c>
    </row>
    <row r="296">
      <c r="A296" s="26" t="n"/>
      <c r="B296" s="27" t="n"/>
      <c r="C296" s="28" t="n"/>
      <c r="D296" s="28" t="n"/>
      <c r="E296" s="29">
        <f>IF($A296="","",$A296&amp;"|"&amp;DAY($B296))</f>
        <v/>
      </c>
      <c r="F296" s="29">
        <f>IF($A296="","",IF(COUNTIF(設定!$B$41:$B$70,$A296)=0,"⚠ 查無員編",IF(COUNTIF($E$3:$E$1002,$E296)&gt;1,"⚠ 重複打卡","OK")))</f>
        <v/>
      </c>
    </row>
    <row r="297">
      <c r="A297" s="26" t="n"/>
      <c r="B297" s="27" t="n"/>
      <c r="C297" s="28" t="n"/>
      <c r="D297" s="28" t="n"/>
      <c r="E297" s="29">
        <f>IF($A297="","",$A297&amp;"|"&amp;DAY($B297))</f>
        <v/>
      </c>
      <c r="F297" s="29">
        <f>IF($A297="","",IF(COUNTIF(設定!$B$41:$B$70,$A297)=0,"⚠ 查無員編",IF(COUNTIF($E$3:$E$1002,$E297)&gt;1,"⚠ 重複打卡","OK")))</f>
        <v/>
      </c>
    </row>
    <row r="298">
      <c r="A298" s="26" t="n"/>
      <c r="B298" s="27" t="n"/>
      <c r="C298" s="28" t="n"/>
      <c r="D298" s="28" t="n"/>
      <c r="E298" s="29">
        <f>IF($A298="","",$A298&amp;"|"&amp;DAY($B298))</f>
        <v/>
      </c>
      <c r="F298" s="29">
        <f>IF($A298="","",IF(COUNTIF(設定!$B$41:$B$70,$A298)=0,"⚠ 查無員編",IF(COUNTIF($E$3:$E$1002,$E298)&gt;1,"⚠ 重複打卡","OK")))</f>
        <v/>
      </c>
    </row>
    <row r="299">
      <c r="A299" s="26" t="n"/>
      <c r="B299" s="27" t="n"/>
      <c r="C299" s="28" t="n"/>
      <c r="D299" s="28" t="n"/>
      <c r="E299" s="29">
        <f>IF($A299="","",$A299&amp;"|"&amp;DAY($B299))</f>
        <v/>
      </c>
      <c r="F299" s="29">
        <f>IF($A299="","",IF(COUNTIF(設定!$B$41:$B$70,$A299)=0,"⚠ 查無員編",IF(COUNTIF($E$3:$E$1002,$E299)&gt;1,"⚠ 重複打卡","OK")))</f>
        <v/>
      </c>
    </row>
    <row r="300">
      <c r="A300" s="26" t="n"/>
      <c r="B300" s="27" t="n"/>
      <c r="C300" s="28" t="n"/>
      <c r="D300" s="28" t="n"/>
      <c r="E300" s="29">
        <f>IF($A300="","",$A300&amp;"|"&amp;DAY($B300))</f>
        <v/>
      </c>
      <c r="F300" s="29">
        <f>IF($A300="","",IF(COUNTIF(設定!$B$41:$B$70,$A300)=0,"⚠ 查無員編",IF(COUNTIF($E$3:$E$1002,$E300)&gt;1,"⚠ 重複打卡","OK")))</f>
        <v/>
      </c>
    </row>
    <row r="301">
      <c r="A301" s="26" t="n"/>
      <c r="B301" s="27" t="n"/>
      <c r="C301" s="28" t="n"/>
      <c r="D301" s="28" t="n"/>
      <c r="E301" s="29">
        <f>IF($A301="","",$A301&amp;"|"&amp;DAY($B301))</f>
        <v/>
      </c>
      <c r="F301" s="29">
        <f>IF($A301="","",IF(COUNTIF(設定!$B$41:$B$70,$A301)=0,"⚠ 查無員編",IF(COUNTIF($E$3:$E$1002,$E301)&gt;1,"⚠ 重複打卡","OK")))</f>
        <v/>
      </c>
    </row>
    <row r="302">
      <c r="A302" s="26" t="n"/>
      <c r="B302" s="27" t="n"/>
      <c r="C302" s="28" t="n"/>
      <c r="D302" s="28" t="n"/>
      <c r="E302" s="29">
        <f>IF($A302="","",$A302&amp;"|"&amp;DAY($B302))</f>
        <v/>
      </c>
      <c r="F302" s="29">
        <f>IF($A302="","",IF(COUNTIF(設定!$B$41:$B$70,$A302)=0,"⚠ 查無員編",IF(COUNTIF($E$3:$E$1002,$E302)&gt;1,"⚠ 重複打卡","OK")))</f>
        <v/>
      </c>
    </row>
    <row r="303">
      <c r="A303" s="26" t="n"/>
      <c r="B303" s="27" t="n"/>
      <c r="C303" s="28" t="n"/>
      <c r="D303" s="28" t="n"/>
      <c r="E303" s="29">
        <f>IF($A303="","",$A303&amp;"|"&amp;DAY($B303))</f>
        <v/>
      </c>
      <c r="F303" s="29">
        <f>IF($A303="","",IF(COUNTIF(設定!$B$41:$B$70,$A303)=0,"⚠ 查無員編",IF(COUNTIF($E$3:$E$1002,$E303)&gt;1,"⚠ 重複打卡","OK")))</f>
        <v/>
      </c>
    </row>
    <row r="304">
      <c r="A304" s="26" t="n"/>
      <c r="B304" s="27" t="n"/>
      <c r="C304" s="28" t="n"/>
      <c r="D304" s="28" t="n"/>
      <c r="E304" s="29">
        <f>IF($A304="","",$A304&amp;"|"&amp;DAY($B304))</f>
        <v/>
      </c>
      <c r="F304" s="29">
        <f>IF($A304="","",IF(COUNTIF(設定!$B$41:$B$70,$A304)=0,"⚠ 查無員編",IF(COUNTIF($E$3:$E$1002,$E304)&gt;1,"⚠ 重複打卡","OK")))</f>
        <v/>
      </c>
    </row>
    <row r="305">
      <c r="A305" s="26" t="n"/>
      <c r="B305" s="27" t="n"/>
      <c r="C305" s="28" t="n"/>
      <c r="D305" s="28" t="n"/>
      <c r="E305" s="29">
        <f>IF($A305="","",$A305&amp;"|"&amp;DAY($B305))</f>
        <v/>
      </c>
      <c r="F305" s="29">
        <f>IF($A305="","",IF(COUNTIF(設定!$B$41:$B$70,$A305)=0,"⚠ 查無員編",IF(COUNTIF($E$3:$E$1002,$E305)&gt;1,"⚠ 重複打卡","OK")))</f>
        <v/>
      </c>
    </row>
    <row r="306">
      <c r="A306" s="26" t="n"/>
      <c r="B306" s="27" t="n"/>
      <c r="C306" s="28" t="n"/>
      <c r="D306" s="28" t="n"/>
      <c r="E306" s="29">
        <f>IF($A306="","",$A306&amp;"|"&amp;DAY($B306))</f>
        <v/>
      </c>
      <c r="F306" s="29">
        <f>IF($A306="","",IF(COUNTIF(設定!$B$41:$B$70,$A306)=0,"⚠ 查無員編",IF(COUNTIF($E$3:$E$1002,$E306)&gt;1,"⚠ 重複打卡","OK")))</f>
        <v/>
      </c>
    </row>
    <row r="307">
      <c r="A307" s="26" t="n"/>
      <c r="B307" s="27" t="n"/>
      <c r="C307" s="28" t="n"/>
      <c r="D307" s="28" t="n"/>
      <c r="E307" s="29">
        <f>IF($A307="","",$A307&amp;"|"&amp;DAY($B307))</f>
        <v/>
      </c>
      <c r="F307" s="29">
        <f>IF($A307="","",IF(COUNTIF(設定!$B$41:$B$70,$A307)=0,"⚠ 查無員編",IF(COUNTIF($E$3:$E$1002,$E307)&gt;1,"⚠ 重複打卡","OK")))</f>
        <v/>
      </c>
    </row>
    <row r="308">
      <c r="A308" s="26" t="n"/>
      <c r="B308" s="27" t="n"/>
      <c r="C308" s="28" t="n"/>
      <c r="D308" s="28" t="n"/>
      <c r="E308" s="29">
        <f>IF($A308="","",$A308&amp;"|"&amp;DAY($B308))</f>
        <v/>
      </c>
      <c r="F308" s="29">
        <f>IF($A308="","",IF(COUNTIF(設定!$B$41:$B$70,$A308)=0,"⚠ 查無員編",IF(COUNTIF($E$3:$E$1002,$E308)&gt;1,"⚠ 重複打卡","OK")))</f>
        <v/>
      </c>
    </row>
    <row r="309">
      <c r="A309" s="26" t="n"/>
      <c r="B309" s="27" t="n"/>
      <c r="C309" s="28" t="n"/>
      <c r="D309" s="28" t="n"/>
      <c r="E309" s="29">
        <f>IF($A309="","",$A309&amp;"|"&amp;DAY($B309))</f>
        <v/>
      </c>
      <c r="F309" s="29">
        <f>IF($A309="","",IF(COUNTIF(設定!$B$41:$B$70,$A309)=0,"⚠ 查無員編",IF(COUNTIF($E$3:$E$1002,$E309)&gt;1,"⚠ 重複打卡","OK")))</f>
        <v/>
      </c>
    </row>
    <row r="310">
      <c r="A310" s="26" t="n"/>
      <c r="B310" s="27" t="n"/>
      <c r="C310" s="28" t="n"/>
      <c r="D310" s="28" t="n"/>
      <c r="E310" s="29">
        <f>IF($A310="","",$A310&amp;"|"&amp;DAY($B310))</f>
        <v/>
      </c>
      <c r="F310" s="29">
        <f>IF($A310="","",IF(COUNTIF(設定!$B$41:$B$70,$A310)=0,"⚠ 查無員編",IF(COUNTIF($E$3:$E$1002,$E310)&gt;1,"⚠ 重複打卡","OK")))</f>
        <v/>
      </c>
    </row>
    <row r="311">
      <c r="A311" s="26" t="n"/>
      <c r="B311" s="27" t="n"/>
      <c r="C311" s="28" t="n"/>
      <c r="D311" s="28" t="n"/>
      <c r="E311" s="29">
        <f>IF($A311="","",$A311&amp;"|"&amp;DAY($B311))</f>
        <v/>
      </c>
      <c r="F311" s="29">
        <f>IF($A311="","",IF(COUNTIF(設定!$B$41:$B$70,$A311)=0,"⚠ 查無員編",IF(COUNTIF($E$3:$E$1002,$E311)&gt;1,"⚠ 重複打卡","OK")))</f>
        <v/>
      </c>
    </row>
    <row r="312">
      <c r="A312" s="26" t="n"/>
      <c r="B312" s="27" t="n"/>
      <c r="C312" s="28" t="n"/>
      <c r="D312" s="28" t="n"/>
      <c r="E312" s="29">
        <f>IF($A312="","",$A312&amp;"|"&amp;DAY($B312))</f>
        <v/>
      </c>
      <c r="F312" s="29">
        <f>IF($A312="","",IF(COUNTIF(設定!$B$41:$B$70,$A312)=0,"⚠ 查無員編",IF(COUNTIF($E$3:$E$1002,$E312)&gt;1,"⚠ 重複打卡","OK")))</f>
        <v/>
      </c>
    </row>
    <row r="313">
      <c r="A313" s="26" t="n"/>
      <c r="B313" s="27" t="n"/>
      <c r="C313" s="28" t="n"/>
      <c r="D313" s="28" t="n"/>
      <c r="E313" s="29">
        <f>IF($A313="","",$A313&amp;"|"&amp;DAY($B313))</f>
        <v/>
      </c>
      <c r="F313" s="29">
        <f>IF($A313="","",IF(COUNTIF(設定!$B$41:$B$70,$A313)=0,"⚠ 查無員編",IF(COUNTIF($E$3:$E$1002,$E313)&gt;1,"⚠ 重複打卡","OK")))</f>
        <v/>
      </c>
    </row>
    <row r="314">
      <c r="A314" s="26" t="n"/>
      <c r="B314" s="27" t="n"/>
      <c r="C314" s="28" t="n"/>
      <c r="D314" s="28" t="n"/>
      <c r="E314" s="29">
        <f>IF($A314="","",$A314&amp;"|"&amp;DAY($B314))</f>
        <v/>
      </c>
      <c r="F314" s="29">
        <f>IF($A314="","",IF(COUNTIF(設定!$B$41:$B$70,$A314)=0,"⚠ 查無員編",IF(COUNTIF($E$3:$E$1002,$E314)&gt;1,"⚠ 重複打卡","OK")))</f>
        <v/>
      </c>
    </row>
    <row r="315">
      <c r="A315" s="26" t="n"/>
      <c r="B315" s="27" t="n"/>
      <c r="C315" s="28" t="n"/>
      <c r="D315" s="28" t="n"/>
      <c r="E315" s="29">
        <f>IF($A315="","",$A315&amp;"|"&amp;DAY($B315))</f>
        <v/>
      </c>
      <c r="F315" s="29">
        <f>IF($A315="","",IF(COUNTIF(設定!$B$41:$B$70,$A315)=0,"⚠ 查無員編",IF(COUNTIF($E$3:$E$1002,$E315)&gt;1,"⚠ 重複打卡","OK")))</f>
        <v/>
      </c>
    </row>
    <row r="316">
      <c r="A316" s="26" t="n"/>
      <c r="B316" s="27" t="n"/>
      <c r="C316" s="28" t="n"/>
      <c r="D316" s="28" t="n"/>
      <c r="E316" s="29">
        <f>IF($A316="","",$A316&amp;"|"&amp;DAY($B316))</f>
        <v/>
      </c>
      <c r="F316" s="29">
        <f>IF($A316="","",IF(COUNTIF(設定!$B$41:$B$70,$A316)=0,"⚠ 查無員編",IF(COUNTIF($E$3:$E$1002,$E316)&gt;1,"⚠ 重複打卡","OK")))</f>
        <v/>
      </c>
    </row>
    <row r="317">
      <c r="A317" s="26" t="n"/>
      <c r="B317" s="27" t="n"/>
      <c r="C317" s="28" t="n"/>
      <c r="D317" s="28" t="n"/>
      <c r="E317" s="29">
        <f>IF($A317="","",$A317&amp;"|"&amp;DAY($B317))</f>
        <v/>
      </c>
      <c r="F317" s="29">
        <f>IF($A317="","",IF(COUNTIF(設定!$B$41:$B$70,$A317)=0,"⚠ 查無員編",IF(COUNTIF($E$3:$E$1002,$E317)&gt;1,"⚠ 重複打卡","OK")))</f>
        <v/>
      </c>
    </row>
    <row r="318">
      <c r="A318" s="26" t="n"/>
      <c r="B318" s="27" t="n"/>
      <c r="C318" s="28" t="n"/>
      <c r="D318" s="28" t="n"/>
      <c r="E318" s="29">
        <f>IF($A318="","",$A318&amp;"|"&amp;DAY($B318))</f>
        <v/>
      </c>
      <c r="F318" s="29">
        <f>IF($A318="","",IF(COUNTIF(設定!$B$41:$B$70,$A318)=0,"⚠ 查無員編",IF(COUNTIF($E$3:$E$1002,$E318)&gt;1,"⚠ 重複打卡","OK")))</f>
        <v/>
      </c>
    </row>
    <row r="319">
      <c r="A319" s="26" t="n"/>
      <c r="B319" s="27" t="n"/>
      <c r="C319" s="28" t="n"/>
      <c r="D319" s="28" t="n"/>
      <c r="E319" s="29">
        <f>IF($A319="","",$A319&amp;"|"&amp;DAY($B319))</f>
        <v/>
      </c>
      <c r="F319" s="29">
        <f>IF($A319="","",IF(COUNTIF(設定!$B$41:$B$70,$A319)=0,"⚠ 查無員編",IF(COUNTIF($E$3:$E$1002,$E319)&gt;1,"⚠ 重複打卡","OK")))</f>
        <v/>
      </c>
    </row>
    <row r="320">
      <c r="A320" s="26" t="n"/>
      <c r="B320" s="27" t="n"/>
      <c r="C320" s="28" t="n"/>
      <c r="D320" s="28" t="n"/>
      <c r="E320" s="29">
        <f>IF($A320="","",$A320&amp;"|"&amp;DAY($B320))</f>
        <v/>
      </c>
      <c r="F320" s="29">
        <f>IF($A320="","",IF(COUNTIF(設定!$B$41:$B$70,$A320)=0,"⚠ 查無員編",IF(COUNTIF($E$3:$E$1002,$E320)&gt;1,"⚠ 重複打卡","OK")))</f>
        <v/>
      </c>
    </row>
    <row r="321">
      <c r="A321" s="26" t="n"/>
      <c r="B321" s="27" t="n"/>
      <c r="C321" s="28" t="n"/>
      <c r="D321" s="28" t="n"/>
      <c r="E321" s="29">
        <f>IF($A321="","",$A321&amp;"|"&amp;DAY($B321))</f>
        <v/>
      </c>
      <c r="F321" s="29">
        <f>IF($A321="","",IF(COUNTIF(設定!$B$41:$B$70,$A321)=0,"⚠ 查無員編",IF(COUNTIF($E$3:$E$1002,$E321)&gt;1,"⚠ 重複打卡","OK")))</f>
        <v/>
      </c>
    </row>
    <row r="322">
      <c r="A322" s="26" t="n"/>
      <c r="B322" s="27" t="n"/>
      <c r="C322" s="28" t="n"/>
      <c r="D322" s="28" t="n"/>
      <c r="E322" s="29">
        <f>IF($A322="","",$A322&amp;"|"&amp;DAY($B322))</f>
        <v/>
      </c>
      <c r="F322" s="29">
        <f>IF($A322="","",IF(COUNTIF(設定!$B$41:$B$70,$A322)=0,"⚠ 查無員編",IF(COUNTIF($E$3:$E$1002,$E322)&gt;1,"⚠ 重複打卡","OK")))</f>
        <v/>
      </c>
    </row>
    <row r="323">
      <c r="A323" s="26" t="n"/>
      <c r="B323" s="27" t="n"/>
      <c r="C323" s="28" t="n"/>
      <c r="D323" s="28" t="n"/>
      <c r="E323" s="29">
        <f>IF($A323="","",$A323&amp;"|"&amp;DAY($B323))</f>
        <v/>
      </c>
      <c r="F323" s="29">
        <f>IF($A323="","",IF(COUNTIF(設定!$B$41:$B$70,$A323)=0,"⚠ 查無員編",IF(COUNTIF($E$3:$E$1002,$E323)&gt;1,"⚠ 重複打卡","OK")))</f>
        <v/>
      </c>
    </row>
    <row r="324">
      <c r="A324" s="26" t="n"/>
      <c r="B324" s="27" t="n"/>
      <c r="C324" s="28" t="n"/>
      <c r="D324" s="28" t="n"/>
      <c r="E324" s="29">
        <f>IF($A324="","",$A324&amp;"|"&amp;DAY($B324))</f>
        <v/>
      </c>
      <c r="F324" s="29">
        <f>IF($A324="","",IF(COUNTIF(設定!$B$41:$B$70,$A324)=0,"⚠ 查無員編",IF(COUNTIF($E$3:$E$1002,$E324)&gt;1,"⚠ 重複打卡","OK")))</f>
        <v/>
      </c>
    </row>
    <row r="325">
      <c r="A325" s="26" t="n"/>
      <c r="B325" s="27" t="n"/>
      <c r="C325" s="28" t="n"/>
      <c r="D325" s="28" t="n"/>
      <c r="E325" s="29">
        <f>IF($A325="","",$A325&amp;"|"&amp;DAY($B325))</f>
        <v/>
      </c>
      <c r="F325" s="29">
        <f>IF($A325="","",IF(COUNTIF(設定!$B$41:$B$70,$A325)=0,"⚠ 查無員編",IF(COUNTIF($E$3:$E$1002,$E325)&gt;1,"⚠ 重複打卡","OK")))</f>
        <v/>
      </c>
    </row>
    <row r="326">
      <c r="A326" s="26" t="n"/>
      <c r="B326" s="27" t="n"/>
      <c r="C326" s="28" t="n"/>
      <c r="D326" s="28" t="n"/>
      <c r="E326" s="29">
        <f>IF($A326="","",$A326&amp;"|"&amp;DAY($B326))</f>
        <v/>
      </c>
      <c r="F326" s="29">
        <f>IF($A326="","",IF(COUNTIF(設定!$B$41:$B$70,$A326)=0,"⚠ 查無員編",IF(COUNTIF($E$3:$E$1002,$E326)&gt;1,"⚠ 重複打卡","OK")))</f>
        <v/>
      </c>
    </row>
    <row r="327">
      <c r="A327" s="26" t="n"/>
      <c r="B327" s="27" t="n"/>
      <c r="C327" s="28" t="n"/>
      <c r="D327" s="28" t="n"/>
      <c r="E327" s="29">
        <f>IF($A327="","",$A327&amp;"|"&amp;DAY($B327))</f>
        <v/>
      </c>
      <c r="F327" s="29">
        <f>IF($A327="","",IF(COUNTIF(設定!$B$41:$B$70,$A327)=0,"⚠ 查無員編",IF(COUNTIF($E$3:$E$1002,$E327)&gt;1,"⚠ 重複打卡","OK")))</f>
        <v/>
      </c>
    </row>
    <row r="328">
      <c r="A328" s="26" t="n"/>
      <c r="B328" s="27" t="n"/>
      <c r="C328" s="28" t="n"/>
      <c r="D328" s="28" t="n"/>
      <c r="E328" s="29">
        <f>IF($A328="","",$A328&amp;"|"&amp;DAY($B328))</f>
        <v/>
      </c>
      <c r="F328" s="29">
        <f>IF($A328="","",IF(COUNTIF(設定!$B$41:$B$70,$A328)=0,"⚠ 查無員編",IF(COUNTIF($E$3:$E$1002,$E328)&gt;1,"⚠ 重複打卡","OK")))</f>
        <v/>
      </c>
    </row>
    <row r="329">
      <c r="A329" s="26" t="n"/>
      <c r="B329" s="27" t="n"/>
      <c r="C329" s="28" t="n"/>
      <c r="D329" s="28" t="n"/>
      <c r="E329" s="29">
        <f>IF($A329="","",$A329&amp;"|"&amp;DAY($B329))</f>
        <v/>
      </c>
      <c r="F329" s="29">
        <f>IF($A329="","",IF(COUNTIF(設定!$B$41:$B$70,$A329)=0,"⚠ 查無員編",IF(COUNTIF($E$3:$E$1002,$E329)&gt;1,"⚠ 重複打卡","OK")))</f>
        <v/>
      </c>
    </row>
    <row r="330">
      <c r="A330" s="26" t="n"/>
      <c r="B330" s="27" t="n"/>
      <c r="C330" s="28" t="n"/>
      <c r="D330" s="28" t="n"/>
      <c r="E330" s="29">
        <f>IF($A330="","",$A330&amp;"|"&amp;DAY($B330))</f>
        <v/>
      </c>
      <c r="F330" s="29">
        <f>IF($A330="","",IF(COUNTIF(設定!$B$41:$B$70,$A330)=0,"⚠ 查無員編",IF(COUNTIF($E$3:$E$1002,$E330)&gt;1,"⚠ 重複打卡","OK")))</f>
        <v/>
      </c>
    </row>
    <row r="331">
      <c r="A331" s="26" t="n"/>
      <c r="B331" s="27" t="n"/>
      <c r="C331" s="28" t="n"/>
      <c r="D331" s="28" t="n"/>
      <c r="E331" s="29">
        <f>IF($A331="","",$A331&amp;"|"&amp;DAY($B331))</f>
        <v/>
      </c>
      <c r="F331" s="29">
        <f>IF($A331="","",IF(COUNTIF(設定!$B$41:$B$70,$A331)=0,"⚠ 查無員編",IF(COUNTIF($E$3:$E$1002,$E331)&gt;1,"⚠ 重複打卡","OK")))</f>
        <v/>
      </c>
    </row>
    <row r="332">
      <c r="A332" s="26" t="n"/>
      <c r="B332" s="27" t="n"/>
      <c r="C332" s="28" t="n"/>
      <c r="D332" s="28" t="n"/>
      <c r="E332" s="29">
        <f>IF($A332="","",$A332&amp;"|"&amp;DAY($B332))</f>
        <v/>
      </c>
      <c r="F332" s="29">
        <f>IF($A332="","",IF(COUNTIF(設定!$B$41:$B$70,$A332)=0,"⚠ 查無員編",IF(COUNTIF($E$3:$E$1002,$E332)&gt;1,"⚠ 重複打卡","OK")))</f>
        <v/>
      </c>
    </row>
    <row r="333">
      <c r="A333" s="26" t="n"/>
      <c r="B333" s="27" t="n"/>
      <c r="C333" s="28" t="n"/>
      <c r="D333" s="28" t="n"/>
      <c r="E333" s="29">
        <f>IF($A333="","",$A333&amp;"|"&amp;DAY($B333))</f>
        <v/>
      </c>
      <c r="F333" s="29">
        <f>IF($A333="","",IF(COUNTIF(設定!$B$41:$B$70,$A333)=0,"⚠ 查無員編",IF(COUNTIF($E$3:$E$1002,$E333)&gt;1,"⚠ 重複打卡","OK")))</f>
        <v/>
      </c>
    </row>
    <row r="334">
      <c r="A334" s="26" t="n"/>
      <c r="B334" s="27" t="n"/>
      <c r="C334" s="28" t="n"/>
      <c r="D334" s="28" t="n"/>
      <c r="E334" s="29">
        <f>IF($A334="","",$A334&amp;"|"&amp;DAY($B334))</f>
        <v/>
      </c>
      <c r="F334" s="29">
        <f>IF($A334="","",IF(COUNTIF(設定!$B$41:$B$70,$A334)=0,"⚠ 查無員編",IF(COUNTIF($E$3:$E$1002,$E334)&gt;1,"⚠ 重複打卡","OK")))</f>
        <v/>
      </c>
    </row>
    <row r="335">
      <c r="A335" s="26" t="n"/>
      <c r="B335" s="27" t="n"/>
      <c r="C335" s="28" t="n"/>
      <c r="D335" s="28" t="n"/>
      <c r="E335" s="29">
        <f>IF($A335="","",$A335&amp;"|"&amp;DAY($B335))</f>
        <v/>
      </c>
      <c r="F335" s="29">
        <f>IF($A335="","",IF(COUNTIF(設定!$B$41:$B$70,$A335)=0,"⚠ 查無員編",IF(COUNTIF($E$3:$E$1002,$E335)&gt;1,"⚠ 重複打卡","OK")))</f>
        <v/>
      </c>
    </row>
    <row r="336">
      <c r="A336" s="26" t="n"/>
      <c r="B336" s="27" t="n"/>
      <c r="C336" s="28" t="n"/>
      <c r="D336" s="28" t="n"/>
      <c r="E336" s="29">
        <f>IF($A336="","",$A336&amp;"|"&amp;DAY($B336))</f>
        <v/>
      </c>
      <c r="F336" s="29">
        <f>IF($A336="","",IF(COUNTIF(設定!$B$41:$B$70,$A336)=0,"⚠ 查無員編",IF(COUNTIF($E$3:$E$1002,$E336)&gt;1,"⚠ 重複打卡","OK")))</f>
        <v/>
      </c>
    </row>
    <row r="337">
      <c r="A337" s="26" t="n"/>
      <c r="B337" s="27" t="n"/>
      <c r="C337" s="28" t="n"/>
      <c r="D337" s="28" t="n"/>
      <c r="E337" s="29">
        <f>IF($A337="","",$A337&amp;"|"&amp;DAY($B337))</f>
        <v/>
      </c>
      <c r="F337" s="29">
        <f>IF($A337="","",IF(COUNTIF(設定!$B$41:$B$70,$A337)=0,"⚠ 查無員編",IF(COUNTIF($E$3:$E$1002,$E337)&gt;1,"⚠ 重複打卡","OK")))</f>
        <v/>
      </c>
    </row>
    <row r="338">
      <c r="A338" s="26" t="n"/>
      <c r="B338" s="27" t="n"/>
      <c r="C338" s="28" t="n"/>
      <c r="D338" s="28" t="n"/>
      <c r="E338" s="29">
        <f>IF($A338="","",$A338&amp;"|"&amp;DAY($B338))</f>
        <v/>
      </c>
      <c r="F338" s="29">
        <f>IF($A338="","",IF(COUNTIF(設定!$B$41:$B$70,$A338)=0,"⚠ 查無員編",IF(COUNTIF($E$3:$E$1002,$E338)&gt;1,"⚠ 重複打卡","OK")))</f>
        <v/>
      </c>
    </row>
    <row r="339">
      <c r="A339" s="26" t="n"/>
      <c r="B339" s="27" t="n"/>
      <c r="C339" s="28" t="n"/>
      <c r="D339" s="28" t="n"/>
      <c r="E339" s="29">
        <f>IF($A339="","",$A339&amp;"|"&amp;DAY($B339))</f>
        <v/>
      </c>
      <c r="F339" s="29">
        <f>IF($A339="","",IF(COUNTIF(設定!$B$41:$B$70,$A339)=0,"⚠ 查無員編",IF(COUNTIF($E$3:$E$1002,$E339)&gt;1,"⚠ 重複打卡","OK")))</f>
        <v/>
      </c>
    </row>
    <row r="340">
      <c r="A340" s="26" t="n"/>
      <c r="B340" s="27" t="n"/>
      <c r="C340" s="28" t="n"/>
      <c r="D340" s="28" t="n"/>
      <c r="E340" s="29">
        <f>IF($A340="","",$A340&amp;"|"&amp;DAY($B340))</f>
        <v/>
      </c>
      <c r="F340" s="29">
        <f>IF($A340="","",IF(COUNTIF(設定!$B$41:$B$70,$A340)=0,"⚠ 查無員編",IF(COUNTIF($E$3:$E$1002,$E340)&gt;1,"⚠ 重複打卡","OK")))</f>
        <v/>
      </c>
    </row>
    <row r="341">
      <c r="A341" s="26" t="n"/>
      <c r="B341" s="27" t="n"/>
      <c r="C341" s="28" t="n"/>
      <c r="D341" s="28" t="n"/>
      <c r="E341" s="29">
        <f>IF($A341="","",$A341&amp;"|"&amp;DAY($B341))</f>
        <v/>
      </c>
      <c r="F341" s="29">
        <f>IF($A341="","",IF(COUNTIF(設定!$B$41:$B$70,$A341)=0,"⚠ 查無員編",IF(COUNTIF($E$3:$E$1002,$E341)&gt;1,"⚠ 重複打卡","OK")))</f>
        <v/>
      </c>
    </row>
    <row r="342">
      <c r="A342" s="26" t="n"/>
      <c r="B342" s="27" t="n"/>
      <c r="C342" s="28" t="n"/>
      <c r="D342" s="28" t="n"/>
      <c r="E342" s="29">
        <f>IF($A342="","",$A342&amp;"|"&amp;DAY($B342))</f>
        <v/>
      </c>
      <c r="F342" s="29">
        <f>IF($A342="","",IF(COUNTIF(設定!$B$41:$B$70,$A342)=0,"⚠ 查無員編",IF(COUNTIF($E$3:$E$1002,$E342)&gt;1,"⚠ 重複打卡","OK")))</f>
        <v/>
      </c>
    </row>
    <row r="343">
      <c r="A343" s="26" t="n"/>
      <c r="B343" s="27" t="n"/>
      <c r="C343" s="28" t="n"/>
      <c r="D343" s="28" t="n"/>
      <c r="E343" s="29">
        <f>IF($A343="","",$A343&amp;"|"&amp;DAY($B343))</f>
        <v/>
      </c>
      <c r="F343" s="29">
        <f>IF($A343="","",IF(COUNTIF(設定!$B$41:$B$70,$A343)=0,"⚠ 查無員編",IF(COUNTIF($E$3:$E$1002,$E343)&gt;1,"⚠ 重複打卡","OK")))</f>
        <v/>
      </c>
    </row>
    <row r="344">
      <c r="A344" s="26" t="n"/>
      <c r="B344" s="27" t="n"/>
      <c r="C344" s="28" t="n"/>
      <c r="D344" s="28" t="n"/>
      <c r="E344" s="29">
        <f>IF($A344="","",$A344&amp;"|"&amp;DAY($B344))</f>
        <v/>
      </c>
      <c r="F344" s="29">
        <f>IF($A344="","",IF(COUNTIF(設定!$B$41:$B$70,$A344)=0,"⚠ 查無員編",IF(COUNTIF($E$3:$E$1002,$E344)&gt;1,"⚠ 重複打卡","OK")))</f>
        <v/>
      </c>
    </row>
    <row r="345">
      <c r="A345" s="26" t="n"/>
      <c r="B345" s="27" t="n"/>
      <c r="C345" s="28" t="n"/>
      <c r="D345" s="28" t="n"/>
      <c r="E345" s="29">
        <f>IF($A345="","",$A345&amp;"|"&amp;DAY($B345))</f>
        <v/>
      </c>
      <c r="F345" s="29">
        <f>IF($A345="","",IF(COUNTIF(設定!$B$41:$B$70,$A345)=0,"⚠ 查無員編",IF(COUNTIF($E$3:$E$1002,$E345)&gt;1,"⚠ 重複打卡","OK")))</f>
        <v/>
      </c>
    </row>
    <row r="346">
      <c r="A346" s="26" t="n"/>
      <c r="B346" s="27" t="n"/>
      <c r="C346" s="28" t="n"/>
      <c r="D346" s="28" t="n"/>
      <c r="E346" s="29">
        <f>IF($A346="","",$A346&amp;"|"&amp;DAY($B346))</f>
        <v/>
      </c>
      <c r="F346" s="29">
        <f>IF($A346="","",IF(COUNTIF(設定!$B$41:$B$70,$A346)=0,"⚠ 查無員編",IF(COUNTIF($E$3:$E$1002,$E346)&gt;1,"⚠ 重複打卡","OK")))</f>
        <v/>
      </c>
    </row>
    <row r="347">
      <c r="A347" s="26" t="n"/>
      <c r="B347" s="27" t="n"/>
      <c r="C347" s="28" t="n"/>
      <c r="D347" s="28" t="n"/>
      <c r="E347" s="29">
        <f>IF($A347="","",$A347&amp;"|"&amp;DAY($B347))</f>
        <v/>
      </c>
      <c r="F347" s="29">
        <f>IF($A347="","",IF(COUNTIF(設定!$B$41:$B$70,$A347)=0,"⚠ 查無員編",IF(COUNTIF($E$3:$E$1002,$E347)&gt;1,"⚠ 重複打卡","OK")))</f>
        <v/>
      </c>
    </row>
    <row r="348">
      <c r="A348" s="26" t="n"/>
      <c r="B348" s="27" t="n"/>
      <c r="C348" s="28" t="n"/>
      <c r="D348" s="28" t="n"/>
      <c r="E348" s="29">
        <f>IF($A348="","",$A348&amp;"|"&amp;DAY($B348))</f>
        <v/>
      </c>
      <c r="F348" s="29">
        <f>IF($A348="","",IF(COUNTIF(設定!$B$41:$B$70,$A348)=0,"⚠ 查無員編",IF(COUNTIF($E$3:$E$1002,$E348)&gt;1,"⚠ 重複打卡","OK")))</f>
        <v/>
      </c>
    </row>
    <row r="349">
      <c r="A349" s="26" t="n"/>
      <c r="B349" s="27" t="n"/>
      <c r="C349" s="28" t="n"/>
      <c r="D349" s="28" t="n"/>
      <c r="E349" s="29">
        <f>IF($A349="","",$A349&amp;"|"&amp;DAY($B349))</f>
        <v/>
      </c>
      <c r="F349" s="29">
        <f>IF($A349="","",IF(COUNTIF(設定!$B$41:$B$70,$A349)=0,"⚠ 查無員編",IF(COUNTIF($E$3:$E$1002,$E349)&gt;1,"⚠ 重複打卡","OK")))</f>
        <v/>
      </c>
    </row>
    <row r="350">
      <c r="A350" s="26" t="n"/>
      <c r="B350" s="27" t="n"/>
      <c r="C350" s="28" t="n"/>
      <c r="D350" s="28" t="n"/>
      <c r="E350" s="29">
        <f>IF($A350="","",$A350&amp;"|"&amp;DAY($B350))</f>
        <v/>
      </c>
      <c r="F350" s="29">
        <f>IF($A350="","",IF(COUNTIF(設定!$B$41:$B$70,$A350)=0,"⚠ 查無員編",IF(COUNTIF($E$3:$E$1002,$E350)&gt;1,"⚠ 重複打卡","OK")))</f>
        <v/>
      </c>
    </row>
    <row r="351">
      <c r="A351" s="26" t="n"/>
      <c r="B351" s="27" t="n"/>
      <c r="C351" s="28" t="n"/>
      <c r="D351" s="28" t="n"/>
      <c r="E351" s="29">
        <f>IF($A351="","",$A351&amp;"|"&amp;DAY($B351))</f>
        <v/>
      </c>
      <c r="F351" s="29">
        <f>IF($A351="","",IF(COUNTIF(設定!$B$41:$B$70,$A351)=0,"⚠ 查無員編",IF(COUNTIF($E$3:$E$1002,$E351)&gt;1,"⚠ 重複打卡","OK")))</f>
        <v/>
      </c>
    </row>
    <row r="352">
      <c r="A352" s="26" t="n"/>
      <c r="B352" s="27" t="n"/>
      <c r="C352" s="28" t="n"/>
      <c r="D352" s="28" t="n"/>
      <c r="E352" s="29">
        <f>IF($A352="","",$A352&amp;"|"&amp;DAY($B352))</f>
        <v/>
      </c>
      <c r="F352" s="29">
        <f>IF($A352="","",IF(COUNTIF(設定!$B$41:$B$70,$A352)=0,"⚠ 查無員編",IF(COUNTIF($E$3:$E$1002,$E352)&gt;1,"⚠ 重複打卡","OK")))</f>
        <v/>
      </c>
    </row>
    <row r="353">
      <c r="A353" s="26" t="n"/>
      <c r="B353" s="27" t="n"/>
      <c r="C353" s="28" t="n"/>
      <c r="D353" s="28" t="n"/>
      <c r="E353" s="29">
        <f>IF($A353="","",$A353&amp;"|"&amp;DAY($B353))</f>
        <v/>
      </c>
      <c r="F353" s="29">
        <f>IF($A353="","",IF(COUNTIF(設定!$B$41:$B$70,$A353)=0,"⚠ 查無員編",IF(COUNTIF($E$3:$E$1002,$E353)&gt;1,"⚠ 重複打卡","OK")))</f>
        <v/>
      </c>
    </row>
    <row r="354">
      <c r="A354" s="26" t="n"/>
      <c r="B354" s="27" t="n"/>
      <c r="C354" s="28" t="n"/>
      <c r="D354" s="28" t="n"/>
      <c r="E354" s="29">
        <f>IF($A354="","",$A354&amp;"|"&amp;DAY($B354))</f>
        <v/>
      </c>
      <c r="F354" s="29">
        <f>IF($A354="","",IF(COUNTIF(設定!$B$41:$B$70,$A354)=0,"⚠ 查無員編",IF(COUNTIF($E$3:$E$1002,$E354)&gt;1,"⚠ 重複打卡","OK")))</f>
        <v/>
      </c>
    </row>
    <row r="355">
      <c r="A355" s="26" t="n"/>
      <c r="B355" s="27" t="n"/>
      <c r="C355" s="28" t="n"/>
      <c r="D355" s="28" t="n"/>
      <c r="E355" s="29">
        <f>IF($A355="","",$A355&amp;"|"&amp;DAY($B355))</f>
        <v/>
      </c>
      <c r="F355" s="29">
        <f>IF($A355="","",IF(COUNTIF(設定!$B$41:$B$70,$A355)=0,"⚠ 查無員編",IF(COUNTIF($E$3:$E$1002,$E355)&gt;1,"⚠ 重複打卡","OK")))</f>
        <v/>
      </c>
    </row>
    <row r="356">
      <c r="A356" s="26" t="n"/>
      <c r="B356" s="27" t="n"/>
      <c r="C356" s="28" t="n"/>
      <c r="D356" s="28" t="n"/>
      <c r="E356" s="29">
        <f>IF($A356="","",$A356&amp;"|"&amp;DAY($B356))</f>
        <v/>
      </c>
      <c r="F356" s="29">
        <f>IF($A356="","",IF(COUNTIF(設定!$B$41:$B$70,$A356)=0,"⚠ 查無員編",IF(COUNTIF($E$3:$E$1002,$E356)&gt;1,"⚠ 重複打卡","OK")))</f>
        <v/>
      </c>
    </row>
    <row r="357">
      <c r="A357" s="26" t="n"/>
      <c r="B357" s="27" t="n"/>
      <c r="C357" s="28" t="n"/>
      <c r="D357" s="28" t="n"/>
      <c r="E357" s="29">
        <f>IF($A357="","",$A357&amp;"|"&amp;DAY($B357))</f>
        <v/>
      </c>
      <c r="F357" s="29">
        <f>IF($A357="","",IF(COUNTIF(設定!$B$41:$B$70,$A357)=0,"⚠ 查無員編",IF(COUNTIF($E$3:$E$1002,$E357)&gt;1,"⚠ 重複打卡","OK")))</f>
        <v/>
      </c>
    </row>
    <row r="358">
      <c r="A358" s="26" t="n"/>
      <c r="B358" s="27" t="n"/>
      <c r="C358" s="28" t="n"/>
      <c r="D358" s="28" t="n"/>
      <c r="E358" s="29">
        <f>IF($A358="","",$A358&amp;"|"&amp;DAY($B358))</f>
        <v/>
      </c>
      <c r="F358" s="29">
        <f>IF($A358="","",IF(COUNTIF(設定!$B$41:$B$70,$A358)=0,"⚠ 查無員編",IF(COUNTIF($E$3:$E$1002,$E358)&gt;1,"⚠ 重複打卡","OK")))</f>
        <v/>
      </c>
    </row>
    <row r="359">
      <c r="A359" s="26" t="n"/>
      <c r="B359" s="27" t="n"/>
      <c r="C359" s="28" t="n"/>
      <c r="D359" s="28" t="n"/>
      <c r="E359" s="29">
        <f>IF($A359="","",$A359&amp;"|"&amp;DAY($B359))</f>
        <v/>
      </c>
      <c r="F359" s="29">
        <f>IF($A359="","",IF(COUNTIF(設定!$B$41:$B$70,$A359)=0,"⚠ 查無員編",IF(COUNTIF($E$3:$E$1002,$E359)&gt;1,"⚠ 重複打卡","OK")))</f>
        <v/>
      </c>
    </row>
    <row r="360">
      <c r="A360" s="26" t="n"/>
      <c r="B360" s="27" t="n"/>
      <c r="C360" s="28" t="n"/>
      <c r="D360" s="28" t="n"/>
      <c r="E360" s="29">
        <f>IF($A360="","",$A360&amp;"|"&amp;DAY($B360))</f>
        <v/>
      </c>
      <c r="F360" s="29">
        <f>IF($A360="","",IF(COUNTIF(設定!$B$41:$B$70,$A360)=0,"⚠ 查無員編",IF(COUNTIF($E$3:$E$1002,$E360)&gt;1,"⚠ 重複打卡","OK")))</f>
        <v/>
      </c>
    </row>
    <row r="361">
      <c r="A361" s="26" t="n"/>
      <c r="B361" s="27" t="n"/>
      <c r="C361" s="28" t="n"/>
      <c r="D361" s="28" t="n"/>
      <c r="E361" s="29">
        <f>IF($A361="","",$A361&amp;"|"&amp;DAY($B361))</f>
        <v/>
      </c>
      <c r="F361" s="29">
        <f>IF($A361="","",IF(COUNTIF(設定!$B$41:$B$70,$A361)=0,"⚠ 查無員編",IF(COUNTIF($E$3:$E$1002,$E361)&gt;1,"⚠ 重複打卡","OK")))</f>
        <v/>
      </c>
    </row>
    <row r="362">
      <c r="A362" s="26" t="n"/>
      <c r="B362" s="27" t="n"/>
      <c r="C362" s="28" t="n"/>
      <c r="D362" s="28" t="n"/>
      <c r="E362" s="29">
        <f>IF($A362="","",$A362&amp;"|"&amp;DAY($B362))</f>
        <v/>
      </c>
      <c r="F362" s="29">
        <f>IF($A362="","",IF(COUNTIF(設定!$B$41:$B$70,$A362)=0,"⚠ 查無員編",IF(COUNTIF($E$3:$E$1002,$E362)&gt;1,"⚠ 重複打卡","OK")))</f>
        <v/>
      </c>
    </row>
    <row r="363">
      <c r="A363" s="26" t="n"/>
      <c r="B363" s="27" t="n"/>
      <c r="C363" s="28" t="n"/>
      <c r="D363" s="28" t="n"/>
      <c r="E363" s="29">
        <f>IF($A363="","",$A363&amp;"|"&amp;DAY($B363))</f>
        <v/>
      </c>
      <c r="F363" s="29">
        <f>IF($A363="","",IF(COUNTIF(設定!$B$41:$B$70,$A363)=0,"⚠ 查無員編",IF(COUNTIF($E$3:$E$1002,$E363)&gt;1,"⚠ 重複打卡","OK")))</f>
        <v/>
      </c>
    </row>
    <row r="364">
      <c r="A364" s="26" t="n"/>
      <c r="B364" s="27" t="n"/>
      <c r="C364" s="28" t="n"/>
      <c r="D364" s="28" t="n"/>
      <c r="E364" s="29">
        <f>IF($A364="","",$A364&amp;"|"&amp;DAY($B364))</f>
        <v/>
      </c>
      <c r="F364" s="29">
        <f>IF($A364="","",IF(COUNTIF(設定!$B$41:$B$70,$A364)=0,"⚠ 查無員編",IF(COUNTIF($E$3:$E$1002,$E364)&gt;1,"⚠ 重複打卡","OK")))</f>
        <v/>
      </c>
    </row>
    <row r="365">
      <c r="A365" s="26" t="n"/>
      <c r="B365" s="27" t="n"/>
      <c r="C365" s="28" t="n"/>
      <c r="D365" s="28" t="n"/>
      <c r="E365" s="29">
        <f>IF($A365="","",$A365&amp;"|"&amp;DAY($B365))</f>
        <v/>
      </c>
      <c r="F365" s="29">
        <f>IF($A365="","",IF(COUNTIF(設定!$B$41:$B$70,$A365)=0,"⚠ 查無員編",IF(COUNTIF($E$3:$E$1002,$E365)&gt;1,"⚠ 重複打卡","OK")))</f>
        <v/>
      </c>
    </row>
    <row r="366">
      <c r="A366" s="26" t="n"/>
      <c r="B366" s="27" t="n"/>
      <c r="C366" s="28" t="n"/>
      <c r="D366" s="28" t="n"/>
      <c r="E366" s="29">
        <f>IF($A366="","",$A366&amp;"|"&amp;DAY($B366))</f>
        <v/>
      </c>
      <c r="F366" s="29">
        <f>IF($A366="","",IF(COUNTIF(設定!$B$41:$B$70,$A366)=0,"⚠ 查無員編",IF(COUNTIF($E$3:$E$1002,$E366)&gt;1,"⚠ 重複打卡","OK")))</f>
        <v/>
      </c>
    </row>
    <row r="367">
      <c r="A367" s="26" t="n"/>
      <c r="B367" s="27" t="n"/>
      <c r="C367" s="28" t="n"/>
      <c r="D367" s="28" t="n"/>
      <c r="E367" s="29">
        <f>IF($A367="","",$A367&amp;"|"&amp;DAY($B367))</f>
        <v/>
      </c>
      <c r="F367" s="29">
        <f>IF($A367="","",IF(COUNTIF(設定!$B$41:$B$70,$A367)=0,"⚠ 查無員編",IF(COUNTIF($E$3:$E$1002,$E367)&gt;1,"⚠ 重複打卡","OK")))</f>
        <v/>
      </c>
    </row>
    <row r="368">
      <c r="A368" s="26" t="n"/>
      <c r="B368" s="27" t="n"/>
      <c r="C368" s="28" t="n"/>
      <c r="D368" s="28" t="n"/>
      <c r="E368" s="29">
        <f>IF($A368="","",$A368&amp;"|"&amp;DAY($B368))</f>
        <v/>
      </c>
      <c r="F368" s="29">
        <f>IF($A368="","",IF(COUNTIF(設定!$B$41:$B$70,$A368)=0,"⚠ 查無員編",IF(COUNTIF($E$3:$E$1002,$E368)&gt;1,"⚠ 重複打卡","OK")))</f>
        <v/>
      </c>
    </row>
    <row r="369">
      <c r="A369" s="26" t="n"/>
      <c r="B369" s="27" t="n"/>
      <c r="C369" s="28" t="n"/>
      <c r="D369" s="28" t="n"/>
      <c r="E369" s="29">
        <f>IF($A369="","",$A369&amp;"|"&amp;DAY($B369))</f>
        <v/>
      </c>
      <c r="F369" s="29">
        <f>IF($A369="","",IF(COUNTIF(設定!$B$41:$B$70,$A369)=0,"⚠ 查無員編",IF(COUNTIF($E$3:$E$1002,$E369)&gt;1,"⚠ 重複打卡","OK")))</f>
        <v/>
      </c>
    </row>
    <row r="370">
      <c r="A370" s="26" t="n"/>
      <c r="B370" s="27" t="n"/>
      <c r="C370" s="28" t="n"/>
      <c r="D370" s="28" t="n"/>
      <c r="E370" s="29">
        <f>IF($A370="","",$A370&amp;"|"&amp;DAY($B370))</f>
        <v/>
      </c>
      <c r="F370" s="29">
        <f>IF($A370="","",IF(COUNTIF(設定!$B$41:$B$70,$A370)=0,"⚠ 查無員編",IF(COUNTIF($E$3:$E$1002,$E370)&gt;1,"⚠ 重複打卡","OK")))</f>
        <v/>
      </c>
    </row>
    <row r="371">
      <c r="A371" s="26" t="n"/>
      <c r="B371" s="27" t="n"/>
      <c r="C371" s="28" t="n"/>
      <c r="D371" s="28" t="n"/>
      <c r="E371" s="29">
        <f>IF($A371="","",$A371&amp;"|"&amp;DAY($B371))</f>
        <v/>
      </c>
      <c r="F371" s="29">
        <f>IF($A371="","",IF(COUNTIF(設定!$B$41:$B$70,$A371)=0,"⚠ 查無員編",IF(COUNTIF($E$3:$E$1002,$E371)&gt;1,"⚠ 重複打卡","OK")))</f>
        <v/>
      </c>
    </row>
    <row r="372">
      <c r="A372" s="26" t="n"/>
      <c r="B372" s="27" t="n"/>
      <c r="C372" s="28" t="n"/>
      <c r="D372" s="28" t="n"/>
      <c r="E372" s="29">
        <f>IF($A372="","",$A372&amp;"|"&amp;DAY($B372))</f>
        <v/>
      </c>
      <c r="F372" s="29">
        <f>IF($A372="","",IF(COUNTIF(設定!$B$41:$B$70,$A372)=0,"⚠ 查無員編",IF(COUNTIF($E$3:$E$1002,$E372)&gt;1,"⚠ 重複打卡","OK")))</f>
        <v/>
      </c>
    </row>
    <row r="373">
      <c r="A373" s="26" t="n"/>
      <c r="B373" s="27" t="n"/>
      <c r="C373" s="28" t="n"/>
      <c r="D373" s="28" t="n"/>
      <c r="E373" s="29">
        <f>IF($A373="","",$A373&amp;"|"&amp;DAY($B373))</f>
        <v/>
      </c>
      <c r="F373" s="29">
        <f>IF($A373="","",IF(COUNTIF(設定!$B$41:$B$70,$A373)=0,"⚠ 查無員編",IF(COUNTIF($E$3:$E$1002,$E373)&gt;1,"⚠ 重複打卡","OK")))</f>
        <v/>
      </c>
    </row>
    <row r="374">
      <c r="A374" s="26" t="n"/>
      <c r="B374" s="27" t="n"/>
      <c r="C374" s="28" t="n"/>
      <c r="D374" s="28" t="n"/>
      <c r="E374" s="29">
        <f>IF($A374="","",$A374&amp;"|"&amp;DAY($B374))</f>
        <v/>
      </c>
      <c r="F374" s="29">
        <f>IF($A374="","",IF(COUNTIF(設定!$B$41:$B$70,$A374)=0,"⚠ 查無員編",IF(COUNTIF($E$3:$E$1002,$E374)&gt;1,"⚠ 重複打卡","OK")))</f>
        <v/>
      </c>
    </row>
    <row r="375">
      <c r="A375" s="26" t="n"/>
      <c r="B375" s="27" t="n"/>
      <c r="C375" s="28" t="n"/>
      <c r="D375" s="28" t="n"/>
      <c r="E375" s="29">
        <f>IF($A375="","",$A375&amp;"|"&amp;DAY($B375))</f>
        <v/>
      </c>
      <c r="F375" s="29">
        <f>IF($A375="","",IF(COUNTIF(設定!$B$41:$B$70,$A375)=0,"⚠ 查無員編",IF(COUNTIF($E$3:$E$1002,$E375)&gt;1,"⚠ 重複打卡","OK")))</f>
        <v/>
      </c>
    </row>
    <row r="376">
      <c r="A376" s="26" t="n"/>
      <c r="B376" s="27" t="n"/>
      <c r="C376" s="28" t="n"/>
      <c r="D376" s="28" t="n"/>
      <c r="E376" s="29">
        <f>IF($A376="","",$A376&amp;"|"&amp;DAY($B376))</f>
        <v/>
      </c>
      <c r="F376" s="29">
        <f>IF($A376="","",IF(COUNTIF(設定!$B$41:$B$70,$A376)=0,"⚠ 查無員編",IF(COUNTIF($E$3:$E$1002,$E376)&gt;1,"⚠ 重複打卡","OK")))</f>
        <v/>
      </c>
    </row>
    <row r="377">
      <c r="A377" s="26" t="n"/>
      <c r="B377" s="27" t="n"/>
      <c r="C377" s="28" t="n"/>
      <c r="D377" s="28" t="n"/>
      <c r="E377" s="29">
        <f>IF($A377="","",$A377&amp;"|"&amp;DAY($B377))</f>
        <v/>
      </c>
      <c r="F377" s="29">
        <f>IF($A377="","",IF(COUNTIF(設定!$B$41:$B$70,$A377)=0,"⚠ 查無員編",IF(COUNTIF($E$3:$E$1002,$E377)&gt;1,"⚠ 重複打卡","OK")))</f>
        <v/>
      </c>
    </row>
    <row r="378">
      <c r="A378" s="26" t="n"/>
      <c r="B378" s="27" t="n"/>
      <c r="C378" s="28" t="n"/>
      <c r="D378" s="28" t="n"/>
      <c r="E378" s="29">
        <f>IF($A378="","",$A378&amp;"|"&amp;DAY($B378))</f>
        <v/>
      </c>
      <c r="F378" s="29">
        <f>IF($A378="","",IF(COUNTIF(設定!$B$41:$B$70,$A378)=0,"⚠ 查無員編",IF(COUNTIF($E$3:$E$1002,$E378)&gt;1,"⚠ 重複打卡","OK")))</f>
        <v/>
      </c>
    </row>
    <row r="379">
      <c r="A379" s="26" t="n"/>
      <c r="B379" s="27" t="n"/>
      <c r="C379" s="28" t="n"/>
      <c r="D379" s="28" t="n"/>
      <c r="E379" s="29">
        <f>IF($A379="","",$A379&amp;"|"&amp;DAY($B379))</f>
        <v/>
      </c>
      <c r="F379" s="29">
        <f>IF($A379="","",IF(COUNTIF(設定!$B$41:$B$70,$A379)=0,"⚠ 查無員編",IF(COUNTIF($E$3:$E$1002,$E379)&gt;1,"⚠ 重複打卡","OK")))</f>
        <v/>
      </c>
    </row>
    <row r="380">
      <c r="A380" s="26" t="n"/>
      <c r="B380" s="27" t="n"/>
      <c r="C380" s="28" t="n"/>
      <c r="D380" s="28" t="n"/>
      <c r="E380" s="29">
        <f>IF($A380="","",$A380&amp;"|"&amp;DAY($B380))</f>
        <v/>
      </c>
      <c r="F380" s="29">
        <f>IF($A380="","",IF(COUNTIF(設定!$B$41:$B$70,$A380)=0,"⚠ 查無員編",IF(COUNTIF($E$3:$E$1002,$E380)&gt;1,"⚠ 重複打卡","OK")))</f>
        <v/>
      </c>
    </row>
    <row r="381">
      <c r="A381" s="26" t="n"/>
      <c r="B381" s="27" t="n"/>
      <c r="C381" s="28" t="n"/>
      <c r="D381" s="28" t="n"/>
      <c r="E381" s="29">
        <f>IF($A381="","",$A381&amp;"|"&amp;DAY($B381))</f>
        <v/>
      </c>
      <c r="F381" s="29">
        <f>IF($A381="","",IF(COUNTIF(設定!$B$41:$B$70,$A381)=0,"⚠ 查無員編",IF(COUNTIF($E$3:$E$1002,$E381)&gt;1,"⚠ 重複打卡","OK")))</f>
        <v/>
      </c>
    </row>
    <row r="382">
      <c r="A382" s="26" t="n"/>
      <c r="B382" s="27" t="n"/>
      <c r="C382" s="28" t="n"/>
      <c r="D382" s="28" t="n"/>
      <c r="E382" s="29">
        <f>IF($A382="","",$A382&amp;"|"&amp;DAY($B382))</f>
        <v/>
      </c>
      <c r="F382" s="29">
        <f>IF($A382="","",IF(COUNTIF(設定!$B$41:$B$70,$A382)=0,"⚠ 查無員編",IF(COUNTIF($E$3:$E$1002,$E382)&gt;1,"⚠ 重複打卡","OK")))</f>
        <v/>
      </c>
    </row>
    <row r="383">
      <c r="A383" s="26" t="n"/>
      <c r="B383" s="27" t="n"/>
      <c r="C383" s="28" t="n"/>
      <c r="D383" s="28" t="n"/>
      <c r="E383" s="29">
        <f>IF($A383="","",$A383&amp;"|"&amp;DAY($B383))</f>
        <v/>
      </c>
      <c r="F383" s="29">
        <f>IF($A383="","",IF(COUNTIF(設定!$B$41:$B$70,$A383)=0,"⚠ 查無員編",IF(COUNTIF($E$3:$E$1002,$E383)&gt;1,"⚠ 重複打卡","OK")))</f>
        <v/>
      </c>
    </row>
    <row r="384">
      <c r="A384" s="26" t="n"/>
      <c r="B384" s="27" t="n"/>
      <c r="C384" s="28" t="n"/>
      <c r="D384" s="28" t="n"/>
      <c r="E384" s="29">
        <f>IF($A384="","",$A384&amp;"|"&amp;DAY($B384))</f>
        <v/>
      </c>
      <c r="F384" s="29">
        <f>IF($A384="","",IF(COUNTIF(設定!$B$41:$B$70,$A384)=0,"⚠ 查無員編",IF(COUNTIF($E$3:$E$1002,$E384)&gt;1,"⚠ 重複打卡","OK")))</f>
        <v/>
      </c>
    </row>
    <row r="385">
      <c r="A385" s="26" t="n"/>
      <c r="B385" s="27" t="n"/>
      <c r="C385" s="28" t="n"/>
      <c r="D385" s="28" t="n"/>
      <c r="E385" s="29">
        <f>IF($A385="","",$A385&amp;"|"&amp;DAY($B385))</f>
        <v/>
      </c>
      <c r="F385" s="29">
        <f>IF($A385="","",IF(COUNTIF(設定!$B$41:$B$70,$A385)=0,"⚠ 查無員編",IF(COUNTIF($E$3:$E$1002,$E385)&gt;1,"⚠ 重複打卡","OK")))</f>
        <v/>
      </c>
    </row>
    <row r="386">
      <c r="A386" s="26" t="n"/>
      <c r="B386" s="27" t="n"/>
      <c r="C386" s="28" t="n"/>
      <c r="D386" s="28" t="n"/>
      <c r="E386" s="29">
        <f>IF($A386="","",$A386&amp;"|"&amp;DAY($B386))</f>
        <v/>
      </c>
      <c r="F386" s="29">
        <f>IF($A386="","",IF(COUNTIF(設定!$B$41:$B$70,$A386)=0,"⚠ 查無員編",IF(COUNTIF($E$3:$E$1002,$E386)&gt;1,"⚠ 重複打卡","OK")))</f>
        <v/>
      </c>
    </row>
    <row r="387">
      <c r="A387" s="26" t="n"/>
      <c r="B387" s="27" t="n"/>
      <c r="C387" s="28" t="n"/>
      <c r="D387" s="28" t="n"/>
      <c r="E387" s="29">
        <f>IF($A387="","",$A387&amp;"|"&amp;DAY($B387))</f>
        <v/>
      </c>
      <c r="F387" s="29">
        <f>IF($A387="","",IF(COUNTIF(設定!$B$41:$B$70,$A387)=0,"⚠ 查無員編",IF(COUNTIF($E$3:$E$1002,$E387)&gt;1,"⚠ 重複打卡","OK")))</f>
        <v/>
      </c>
    </row>
    <row r="388">
      <c r="A388" s="26" t="n"/>
      <c r="B388" s="27" t="n"/>
      <c r="C388" s="28" t="n"/>
      <c r="D388" s="28" t="n"/>
      <c r="E388" s="29">
        <f>IF($A388="","",$A388&amp;"|"&amp;DAY($B388))</f>
        <v/>
      </c>
      <c r="F388" s="29">
        <f>IF($A388="","",IF(COUNTIF(設定!$B$41:$B$70,$A388)=0,"⚠ 查無員編",IF(COUNTIF($E$3:$E$1002,$E388)&gt;1,"⚠ 重複打卡","OK")))</f>
        <v/>
      </c>
    </row>
    <row r="389">
      <c r="A389" s="26" t="n"/>
      <c r="B389" s="27" t="n"/>
      <c r="C389" s="28" t="n"/>
      <c r="D389" s="28" t="n"/>
      <c r="E389" s="29">
        <f>IF($A389="","",$A389&amp;"|"&amp;DAY($B389))</f>
        <v/>
      </c>
      <c r="F389" s="29">
        <f>IF($A389="","",IF(COUNTIF(設定!$B$41:$B$70,$A389)=0,"⚠ 查無員編",IF(COUNTIF($E$3:$E$1002,$E389)&gt;1,"⚠ 重複打卡","OK")))</f>
        <v/>
      </c>
    </row>
    <row r="390">
      <c r="A390" s="26" t="n"/>
      <c r="B390" s="27" t="n"/>
      <c r="C390" s="28" t="n"/>
      <c r="D390" s="28" t="n"/>
      <c r="E390" s="29">
        <f>IF($A390="","",$A390&amp;"|"&amp;DAY($B390))</f>
        <v/>
      </c>
      <c r="F390" s="29">
        <f>IF($A390="","",IF(COUNTIF(設定!$B$41:$B$70,$A390)=0,"⚠ 查無員編",IF(COUNTIF($E$3:$E$1002,$E390)&gt;1,"⚠ 重複打卡","OK")))</f>
        <v/>
      </c>
    </row>
    <row r="391">
      <c r="A391" s="26" t="n"/>
      <c r="B391" s="27" t="n"/>
      <c r="C391" s="28" t="n"/>
      <c r="D391" s="28" t="n"/>
      <c r="E391" s="29">
        <f>IF($A391="","",$A391&amp;"|"&amp;DAY($B391))</f>
        <v/>
      </c>
      <c r="F391" s="29">
        <f>IF($A391="","",IF(COUNTIF(設定!$B$41:$B$70,$A391)=0,"⚠ 查無員編",IF(COUNTIF($E$3:$E$1002,$E391)&gt;1,"⚠ 重複打卡","OK")))</f>
        <v/>
      </c>
    </row>
    <row r="392">
      <c r="A392" s="26" t="n"/>
      <c r="B392" s="27" t="n"/>
      <c r="C392" s="28" t="n"/>
      <c r="D392" s="28" t="n"/>
      <c r="E392" s="29">
        <f>IF($A392="","",$A392&amp;"|"&amp;DAY($B392))</f>
        <v/>
      </c>
      <c r="F392" s="29">
        <f>IF($A392="","",IF(COUNTIF(設定!$B$41:$B$70,$A392)=0,"⚠ 查無員編",IF(COUNTIF($E$3:$E$1002,$E392)&gt;1,"⚠ 重複打卡","OK")))</f>
        <v/>
      </c>
    </row>
    <row r="393">
      <c r="A393" s="26" t="n"/>
      <c r="B393" s="27" t="n"/>
      <c r="C393" s="28" t="n"/>
      <c r="D393" s="28" t="n"/>
      <c r="E393" s="29">
        <f>IF($A393="","",$A393&amp;"|"&amp;DAY($B393))</f>
        <v/>
      </c>
      <c r="F393" s="29">
        <f>IF($A393="","",IF(COUNTIF(設定!$B$41:$B$70,$A393)=0,"⚠ 查無員編",IF(COUNTIF($E$3:$E$1002,$E393)&gt;1,"⚠ 重複打卡","OK")))</f>
        <v/>
      </c>
    </row>
    <row r="394">
      <c r="A394" s="26" t="n"/>
      <c r="B394" s="27" t="n"/>
      <c r="C394" s="28" t="n"/>
      <c r="D394" s="28" t="n"/>
      <c r="E394" s="29">
        <f>IF($A394="","",$A394&amp;"|"&amp;DAY($B394))</f>
        <v/>
      </c>
      <c r="F394" s="29">
        <f>IF($A394="","",IF(COUNTIF(設定!$B$41:$B$70,$A394)=0,"⚠ 查無員編",IF(COUNTIF($E$3:$E$1002,$E394)&gt;1,"⚠ 重複打卡","OK")))</f>
        <v/>
      </c>
    </row>
    <row r="395">
      <c r="A395" s="26" t="n"/>
      <c r="B395" s="27" t="n"/>
      <c r="C395" s="28" t="n"/>
      <c r="D395" s="28" t="n"/>
      <c r="E395" s="29">
        <f>IF($A395="","",$A395&amp;"|"&amp;DAY($B395))</f>
        <v/>
      </c>
      <c r="F395" s="29">
        <f>IF($A395="","",IF(COUNTIF(設定!$B$41:$B$70,$A395)=0,"⚠ 查無員編",IF(COUNTIF($E$3:$E$1002,$E395)&gt;1,"⚠ 重複打卡","OK")))</f>
        <v/>
      </c>
    </row>
    <row r="396">
      <c r="A396" s="26" t="n"/>
      <c r="B396" s="27" t="n"/>
      <c r="C396" s="28" t="n"/>
      <c r="D396" s="28" t="n"/>
      <c r="E396" s="29">
        <f>IF($A396="","",$A396&amp;"|"&amp;DAY($B396))</f>
        <v/>
      </c>
      <c r="F396" s="29">
        <f>IF($A396="","",IF(COUNTIF(設定!$B$41:$B$70,$A396)=0,"⚠ 查無員編",IF(COUNTIF($E$3:$E$1002,$E396)&gt;1,"⚠ 重複打卡","OK")))</f>
        <v/>
      </c>
    </row>
    <row r="397">
      <c r="A397" s="26" t="n"/>
      <c r="B397" s="27" t="n"/>
      <c r="C397" s="28" t="n"/>
      <c r="D397" s="28" t="n"/>
      <c r="E397" s="29">
        <f>IF($A397="","",$A397&amp;"|"&amp;DAY($B397))</f>
        <v/>
      </c>
      <c r="F397" s="29">
        <f>IF($A397="","",IF(COUNTIF(設定!$B$41:$B$70,$A397)=0,"⚠ 查無員編",IF(COUNTIF($E$3:$E$1002,$E397)&gt;1,"⚠ 重複打卡","OK")))</f>
        <v/>
      </c>
    </row>
    <row r="398">
      <c r="A398" s="26" t="n"/>
      <c r="B398" s="27" t="n"/>
      <c r="C398" s="28" t="n"/>
      <c r="D398" s="28" t="n"/>
      <c r="E398" s="29">
        <f>IF($A398="","",$A398&amp;"|"&amp;DAY($B398))</f>
        <v/>
      </c>
      <c r="F398" s="29">
        <f>IF($A398="","",IF(COUNTIF(設定!$B$41:$B$70,$A398)=0,"⚠ 查無員編",IF(COUNTIF($E$3:$E$1002,$E398)&gt;1,"⚠ 重複打卡","OK")))</f>
        <v/>
      </c>
    </row>
    <row r="399">
      <c r="A399" s="26" t="n"/>
      <c r="B399" s="27" t="n"/>
      <c r="C399" s="28" t="n"/>
      <c r="D399" s="28" t="n"/>
      <c r="E399" s="29">
        <f>IF($A399="","",$A399&amp;"|"&amp;DAY($B399))</f>
        <v/>
      </c>
      <c r="F399" s="29">
        <f>IF($A399="","",IF(COUNTIF(設定!$B$41:$B$70,$A399)=0,"⚠ 查無員編",IF(COUNTIF($E$3:$E$1002,$E399)&gt;1,"⚠ 重複打卡","OK")))</f>
        <v/>
      </c>
    </row>
    <row r="400">
      <c r="A400" s="26" t="n"/>
      <c r="B400" s="27" t="n"/>
      <c r="C400" s="28" t="n"/>
      <c r="D400" s="28" t="n"/>
      <c r="E400" s="29">
        <f>IF($A400="","",$A400&amp;"|"&amp;DAY($B400))</f>
        <v/>
      </c>
      <c r="F400" s="29">
        <f>IF($A400="","",IF(COUNTIF(設定!$B$41:$B$70,$A400)=0,"⚠ 查無員編",IF(COUNTIF($E$3:$E$1002,$E400)&gt;1,"⚠ 重複打卡","OK")))</f>
        <v/>
      </c>
    </row>
    <row r="401">
      <c r="A401" s="26" t="n"/>
      <c r="B401" s="27" t="n"/>
      <c r="C401" s="28" t="n"/>
      <c r="D401" s="28" t="n"/>
      <c r="E401" s="29">
        <f>IF($A401="","",$A401&amp;"|"&amp;DAY($B401))</f>
        <v/>
      </c>
      <c r="F401" s="29">
        <f>IF($A401="","",IF(COUNTIF(設定!$B$41:$B$70,$A401)=0,"⚠ 查無員編",IF(COUNTIF($E$3:$E$1002,$E401)&gt;1,"⚠ 重複打卡","OK")))</f>
        <v/>
      </c>
    </row>
    <row r="402">
      <c r="A402" s="26" t="n"/>
      <c r="B402" s="27" t="n"/>
      <c r="C402" s="28" t="n"/>
      <c r="D402" s="28" t="n"/>
      <c r="E402" s="29">
        <f>IF($A402="","",$A402&amp;"|"&amp;DAY($B402))</f>
        <v/>
      </c>
      <c r="F402" s="29">
        <f>IF($A402="","",IF(COUNTIF(設定!$B$41:$B$70,$A402)=0,"⚠ 查無員編",IF(COUNTIF($E$3:$E$1002,$E402)&gt;1,"⚠ 重複打卡","OK")))</f>
        <v/>
      </c>
    </row>
    <row r="403">
      <c r="A403" s="26" t="n"/>
      <c r="B403" s="27" t="n"/>
      <c r="C403" s="28" t="n"/>
      <c r="D403" s="28" t="n"/>
      <c r="E403" s="29">
        <f>IF($A403="","",$A403&amp;"|"&amp;DAY($B403))</f>
        <v/>
      </c>
      <c r="F403" s="29">
        <f>IF($A403="","",IF(COUNTIF(設定!$B$41:$B$70,$A403)=0,"⚠ 查無員編",IF(COUNTIF($E$3:$E$1002,$E403)&gt;1,"⚠ 重複打卡","OK")))</f>
        <v/>
      </c>
    </row>
    <row r="404">
      <c r="A404" s="26" t="n"/>
      <c r="B404" s="27" t="n"/>
      <c r="C404" s="28" t="n"/>
      <c r="D404" s="28" t="n"/>
      <c r="E404" s="29">
        <f>IF($A404="","",$A404&amp;"|"&amp;DAY($B404))</f>
        <v/>
      </c>
      <c r="F404" s="29">
        <f>IF($A404="","",IF(COUNTIF(設定!$B$41:$B$70,$A404)=0,"⚠ 查無員編",IF(COUNTIF($E$3:$E$1002,$E404)&gt;1,"⚠ 重複打卡","OK")))</f>
        <v/>
      </c>
    </row>
    <row r="405">
      <c r="A405" s="26" t="n"/>
      <c r="B405" s="27" t="n"/>
      <c r="C405" s="28" t="n"/>
      <c r="D405" s="28" t="n"/>
      <c r="E405" s="29">
        <f>IF($A405="","",$A405&amp;"|"&amp;DAY($B405))</f>
        <v/>
      </c>
      <c r="F405" s="29">
        <f>IF($A405="","",IF(COUNTIF(設定!$B$41:$B$70,$A405)=0,"⚠ 查無員編",IF(COUNTIF($E$3:$E$1002,$E405)&gt;1,"⚠ 重複打卡","OK")))</f>
        <v/>
      </c>
    </row>
    <row r="406">
      <c r="A406" s="26" t="n"/>
      <c r="B406" s="27" t="n"/>
      <c r="C406" s="28" t="n"/>
      <c r="D406" s="28" t="n"/>
      <c r="E406" s="29">
        <f>IF($A406="","",$A406&amp;"|"&amp;DAY($B406))</f>
        <v/>
      </c>
      <c r="F406" s="29">
        <f>IF($A406="","",IF(COUNTIF(設定!$B$41:$B$70,$A406)=0,"⚠ 查無員編",IF(COUNTIF($E$3:$E$1002,$E406)&gt;1,"⚠ 重複打卡","OK")))</f>
        <v/>
      </c>
    </row>
    <row r="407">
      <c r="A407" s="26" t="n"/>
      <c r="B407" s="27" t="n"/>
      <c r="C407" s="28" t="n"/>
      <c r="D407" s="28" t="n"/>
      <c r="E407" s="29">
        <f>IF($A407="","",$A407&amp;"|"&amp;DAY($B407))</f>
        <v/>
      </c>
      <c r="F407" s="29">
        <f>IF($A407="","",IF(COUNTIF(設定!$B$41:$B$70,$A407)=0,"⚠ 查無員編",IF(COUNTIF($E$3:$E$1002,$E407)&gt;1,"⚠ 重複打卡","OK")))</f>
        <v/>
      </c>
    </row>
    <row r="408">
      <c r="A408" s="26" t="n"/>
      <c r="B408" s="27" t="n"/>
      <c r="C408" s="28" t="n"/>
      <c r="D408" s="28" t="n"/>
      <c r="E408" s="29">
        <f>IF($A408="","",$A408&amp;"|"&amp;DAY($B408))</f>
        <v/>
      </c>
      <c r="F408" s="29">
        <f>IF($A408="","",IF(COUNTIF(設定!$B$41:$B$70,$A408)=0,"⚠ 查無員編",IF(COUNTIF($E$3:$E$1002,$E408)&gt;1,"⚠ 重複打卡","OK")))</f>
        <v/>
      </c>
    </row>
    <row r="409">
      <c r="A409" s="26" t="n"/>
      <c r="B409" s="27" t="n"/>
      <c r="C409" s="28" t="n"/>
      <c r="D409" s="28" t="n"/>
      <c r="E409" s="29">
        <f>IF($A409="","",$A409&amp;"|"&amp;DAY($B409))</f>
        <v/>
      </c>
      <c r="F409" s="29">
        <f>IF($A409="","",IF(COUNTIF(設定!$B$41:$B$70,$A409)=0,"⚠ 查無員編",IF(COUNTIF($E$3:$E$1002,$E409)&gt;1,"⚠ 重複打卡","OK")))</f>
        <v/>
      </c>
    </row>
    <row r="410">
      <c r="A410" s="26" t="n"/>
      <c r="B410" s="27" t="n"/>
      <c r="C410" s="28" t="n"/>
      <c r="D410" s="28" t="n"/>
      <c r="E410" s="29">
        <f>IF($A410="","",$A410&amp;"|"&amp;DAY($B410))</f>
        <v/>
      </c>
      <c r="F410" s="29">
        <f>IF($A410="","",IF(COUNTIF(設定!$B$41:$B$70,$A410)=0,"⚠ 查無員編",IF(COUNTIF($E$3:$E$1002,$E410)&gt;1,"⚠ 重複打卡","OK")))</f>
        <v/>
      </c>
    </row>
    <row r="411">
      <c r="A411" s="26" t="n"/>
      <c r="B411" s="27" t="n"/>
      <c r="C411" s="28" t="n"/>
      <c r="D411" s="28" t="n"/>
      <c r="E411" s="29">
        <f>IF($A411="","",$A411&amp;"|"&amp;DAY($B411))</f>
        <v/>
      </c>
      <c r="F411" s="29">
        <f>IF($A411="","",IF(COUNTIF(設定!$B$41:$B$70,$A411)=0,"⚠ 查無員編",IF(COUNTIF($E$3:$E$1002,$E411)&gt;1,"⚠ 重複打卡","OK")))</f>
        <v/>
      </c>
    </row>
    <row r="412">
      <c r="A412" s="26" t="n"/>
      <c r="B412" s="27" t="n"/>
      <c r="C412" s="28" t="n"/>
      <c r="D412" s="28" t="n"/>
      <c r="E412" s="29">
        <f>IF($A412="","",$A412&amp;"|"&amp;DAY($B412))</f>
        <v/>
      </c>
      <c r="F412" s="29">
        <f>IF($A412="","",IF(COUNTIF(設定!$B$41:$B$70,$A412)=0,"⚠ 查無員編",IF(COUNTIF($E$3:$E$1002,$E412)&gt;1,"⚠ 重複打卡","OK")))</f>
        <v/>
      </c>
    </row>
    <row r="413">
      <c r="A413" s="26" t="n"/>
      <c r="B413" s="27" t="n"/>
      <c r="C413" s="28" t="n"/>
      <c r="D413" s="28" t="n"/>
      <c r="E413" s="29">
        <f>IF($A413="","",$A413&amp;"|"&amp;DAY($B413))</f>
        <v/>
      </c>
      <c r="F413" s="29">
        <f>IF($A413="","",IF(COUNTIF(設定!$B$41:$B$70,$A413)=0,"⚠ 查無員編",IF(COUNTIF($E$3:$E$1002,$E413)&gt;1,"⚠ 重複打卡","OK")))</f>
        <v/>
      </c>
    </row>
    <row r="414">
      <c r="A414" s="26" t="n"/>
      <c r="B414" s="27" t="n"/>
      <c r="C414" s="28" t="n"/>
      <c r="D414" s="28" t="n"/>
      <c r="E414" s="29">
        <f>IF($A414="","",$A414&amp;"|"&amp;DAY($B414))</f>
        <v/>
      </c>
      <c r="F414" s="29">
        <f>IF($A414="","",IF(COUNTIF(設定!$B$41:$B$70,$A414)=0,"⚠ 查無員編",IF(COUNTIF($E$3:$E$1002,$E414)&gt;1,"⚠ 重複打卡","OK")))</f>
        <v/>
      </c>
    </row>
    <row r="415">
      <c r="A415" s="26" t="n"/>
      <c r="B415" s="27" t="n"/>
      <c r="C415" s="28" t="n"/>
      <c r="D415" s="28" t="n"/>
      <c r="E415" s="29">
        <f>IF($A415="","",$A415&amp;"|"&amp;DAY($B415))</f>
        <v/>
      </c>
      <c r="F415" s="29">
        <f>IF($A415="","",IF(COUNTIF(設定!$B$41:$B$70,$A415)=0,"⚠ 查無員編",IF(COUNTIF($E$3:$E$1002,$E415)&gt;1,"⚠ 重複打卡","OK")))</f>
        <v/>
      </c>
    </row>
    <row r="416">
      <c r="A416" s="26" t="n"/>
      <c r="B416" s="27" t="n"/>
      <c r="C416" s="28" t="n"/>
      <c r="D416" s="28" t="n"/>
      <c r="E416" s="29">
        <f>IF($A416="","",$A416&amp;"|"&amp;DAY($B416))</f>
        <v/>
      </c>
      <c r="F416" s="29">
        <f>IF($A416="","",IF(COUNTIF(設定!$B$41:$B$70,$A416)=0,"⚠ 查無員編",IF(COUNTIF($E$3:$E$1002,$E416)&gt;1,"⚠ 重複打卡","OK")))</f>
        <v/>
      </c>
    </row>
    <row r="417">
      <c r="A417" s="26" t="n"/>
      <c r="B417" s="27" t="n"/>
      <c r="C417" s="28" t="n"/>
      <c r="D417" s="28" t="n"/>
      <c r="E417" s="29">
        <f>IF($A417="","",$A417&amp;"|"&amp;DAY($B417))</f>
        <v/>
      </c>
      <c r="F417" s="29">
        <f>IF($A417="","",IF(COUNTIF(設定!$B$41:$B$70,$A417)=0,"⚠ 查無員編",IF(COUNTIF($E$3:$E$1002,$E417)&gt;1,"⚠ 重複打卡","OK")))</f>
        <v/>
      </c>
    </row>
    <row r="418">
      <c r="A418" s="26" t="n"/>
      <c r="B418" s="27" t="n"/>
      <c r="C418" s="28" t="n"/>
      <c r="D418" s="28" t="n"/>
      <c r="E418" s="29">
        <f>IF($A418="","",$A418&amp;"|"&amp;DAY($B418))</f>
        <v/>
      </c>
      <c r="F418" s="29">
        <f>IF($A418="","",IF(COUNTIF(設定!$B$41:$B$70,$A418)=0,"⚠ 查無員編",IF(COUNTIF($E$3:$E$1002,$E418)&gt;1,"⚠ 重複打卡","OK")))</f>
        <v/>
      </c>
    </row>
    <row r="419">
      <c r="A419" s="26" t="n"/>
      <c r="B419" s="27" t="n"/>
      <c r="C419" s="28" t="n"/>
      <c r="D419" s="28" t="n"/>
      <c r="E419" s="29">
        <f>IF($A419="","",$A419&amp;"|"&amp;DAY($B419))</f>
        <v/>
      </c>
      <c r="F419" s="29">
        <f>IF($A419="","",IF(COUNTIF(設定!$B$41:$B$70,$A419)=0,"⚠ 查無員編",IF(COUNTIF($E$3:$E$1002,$E419)&gt;1,"⚠ 重複打卡","OK")))</f>
        <v/>
      </c>
    </row>
    <row r="420">
      <c r="A420" s="26" t="n"/>
      <c r="B420" s="27" t="n"/>
      <c r="C420" s="28" t="n"/>
      <c r="D420" s="28" t="n"/>
      <c r="E420" s="29">
        <f>IF($A420="","",$A420&amp;"|"&amp;DAY($B420))</f>
        <v/>
      </c>
      <c r="F420" s="29">
        <f>IF($A420="","",IF(COUNTIF(設定!$B$41:$B$70,$A420)=0,"⚠ 查無員編",IF(COUNTIF($E$3:$E$1002,$E420)&gt;1,"⚠ 重複打卡","OK")))</f>
        <v/>
      </c>
    </row>
    <row r="421">
      <c r="A421" s="26" t="n"/>
      <c r="B421" s="27" t="n"/>
      <c r="C421" s="28" t="n"/>
      <c r="D421" s="28" t="n"/>
      <c r="E421" s="29">
        <f>IF($A421="","",$A421&amp;"|"&amp;DAY($B421))</f>
        <v/>
      </c>
      <c r="F421" s="29">
        <f>IF($A421="","",IF(COUNTIF(設定!$B$41:$B$70,$A421)=0,"⚠ 查無員編",IF(COUNTIF($E$3:$E$1002,$E421)&gt;1,"⚠ 重複打卡","OK")))</f>
        <v/>
      </c>
    </row>
    <row r="422">
      <c r="A422" s="26" t="n"/>
      <c r="B422" s="27" t="n"/>
      <c r="C422" s="28" t="n"/>
      <c r="D422" s="28" t="n"/>
      <c r="E422" s="29">
        <f>IF($A422="","",$A422&amp;"|"&amp;DAY($B422))</f>
        <v/>
      </c>
      <c r="F422" s="29">
        <f>IF($A422="","",IF(COUNTIF(設定!$B$41:$B$70,$A422)=0,"⚠ 查無員編",IF(COUNTIF($E$3:$E$1002,$E422)&gt;1,"⚠ 重複打卡","OK")))</f>
        <v/>
      </c>
    </row>
    <row r="423">
      <c r="A423" s="26" t="n"/>
      <c r="B423" s="27" t="n"/>
      <c r="C423" s="28" t="n"/>
      <c r="D423" s="28" t="n"/>
      <c r="E423" s="29">
        <f>IF($A423="","",$A423&amp;"|"&amp;DAY($B423))</f>
        <v/>
      </c>
      <c r="F423" s="29">
        <f>IF($A423="","",IF(COUNTIF(設定!$B$41:$B$70,$A423)=0,"⚠ 查無員編",IF(COUNTIF($E$3:$E$1002,$E423)&gt;1,"⚠ 重複打卡","OK")))</f>
        <v/>
      </c>
    </row>
    <row r="424">
      <c r="A424" s="26" t="n"/>
      <c r="B424" s="27" t="n"/>
      <c r="C424" s="28" t="n"/>
      <c r="D424" s="28" t="n"/>
      <c r="E424" s="29">
        <f>IF($A424="","",$A424&amp;"|"&amp;DAY($B424))</f>
        <v/>
      </c>
      <c r="F424" s="29">
        <f>IF($A424="","",IF(COUNTIF(設定!$B$41:$B$70,$A424)=0,"⚠ 查無員編",IF(COUNTIF($E$3:$E$1002,$E424)&gt;1,"⚠ 重複打卡","OK")))</f>
        <v/>
      </c>
    </row>
    <row r="425">
      <c r="A425" s="26" t="n"/>
      <c r="B425" s="27" t="n"/>
      <c r="C425" s="28" t="n"/>
      <c r="D425" s="28" t="n"/>
      <c r="E425" s="29">
        <f>IF($A425="","",$A425&amp;"|"&amp;DAY($B425))</f>
        <v/>
      </c>
      <c r="F425" s="29">
        <f>IF($A425="","",IF(COUNTIF(設定!$B$41:$B$70,$A425)=0,"⚠ 查無員編",IF(COUNTIF($E$3:$E$1002,$E425)&gt;1,"⚠ 重複打卡","OK")))</f>
        <v/>
      </c>
    </row>
    <row r="426">
      <c r="A426" s="26" t="n"/>
      <c r="B426" s="27" t="n"/>
      <c r="C426" s="28" t="n"/>
      <c r="D426" s="28" t="n"/>
      <c r="E426" s="29">
        <f>IF($A426="","",$A426&amp;"|"&amp;DAY($B426))</f>
        <v/>
      </c>
      <c r="F426" s="29">
        <f>IF($A426="","",IF(COUNTIF(設定!$B$41:$B$70,$A426)=0,"⚠ 查無員編",IF(COUNTIF($E$3:$E$1002,$E426)&gt;1,"⚠ 重複打卡","OK")))</f>
        <v/>
      </c>
    </row>
    <row r="427">
      <c r="A427" s="26" t="n"/>
      <c r="B427" s="27" t="n"/>
      <c r="C427" s="28" t="n"/>
      <c r="D427" s="28" t="n"/>
      <c r="E427" s="29">
        <f>IF($A427="","",$A427&amp;"|"&amp;DAY($B427))</f>
        <v/>
      </c>
      <c r="F427" s="29">
        <f>IF($A427="","",IF(COUNTIF(設定!$B$41:$B$70,$A427)=0,"⚠ 查無員編",IF(COUNTIF($E$3:$E$1002,$E427)&gt;1,"⚠ 重複打卡","OK")))</f>
        <v/>
      </c>
    </row>
    <row r="428">
      <c r="A428" s="26" t="n"/>
      <c r="B428" s="27" t="n"/>
      <c r="C428" s="28" t="n"/>
      <c r="D428" s="28" t="n"/>
      <c r="E428" s="29">
        <f>IF($A428="","",$A428&amp;"|"&amp;DAY($B428))</f>
        <v/>
      </c>
      <c r="F428" s="29">
        <f>IF($A428="","",IF(COUNTIF(設定!$B$41:$B$70,$A428)=0,"⚠ 查無員編",IF(COUNTIF($E$3:$E$1002,$E428)&gt;1,"⚠ 重複打卡","OK")))</f>
        <v/>
      </c>
    </row>
    <row r="429">
      <c r="A429" s="26" t="n"/>
      <c r="B429" s="27" t="n"/>
      <c r="C429" s="28" t="n"/>
      <c r="D429" s="28" t="n"/>
      <c r="E429" s="29">
        <f>IF($A429="","",$A429&amp;"|"&amp;DAY($B429))</f>
        <v/>
      </c>
      <c r="F429" s="29">
        <f>IF($A429="","",IF(COUNTIF(設定!$B$41:$B$70,$A429)=0,"⚠ 查無員編",IF(COUNTIF($E$3:$E$1002,$E429)&gt;1,"⚠ 重複打卡","OK")))</f>
        <v/>
      </c>
    </row>
    <row r="430">
      <c r="A430" s="26" t="n"/>
      <c r="B430" s="27" t="n"/>
      <c r="C430" s="28" t="n"/>
      <c r="D430" s="28" t="n"/>
      <c r="E430" s="29">
        <f>IF($A430="","",$A430&amp;"|"&amp;DAY($B430))</f>
        <v/>
      </c>
      <c r="F430" s="29">
        <f>IF($A430="","",IF(COUNTIF(設定!$B$41:$B$70,$A430)=0,"⚠ 查無員編",IF(COUNTIF($E$3:$E$1002,$E430)&gt;1,"⚠ 重複打卡","OK")))</f>
        <v/>
      </c>
    </row>
    <row r="431">
      <c r="A431" s="26" t="n"/>
      <c r="B431" s="27" t="n"/>
      <c r="C431" s="28" t="n"/>
      <c r="D431" s="28" t="n"/>
      <c r="E431" s="29">
        <f>IF($A431="","",$A431&amp;"|"&amp;DAY($B431))</f>
        <v/>
      </c>
      <c r="F431" s="29">
        <f>IF($A431="","",IF(COUNTIF(設定!$B$41:$B$70,$A431)=0,"⚠ 查無員編",IF(COUNTIF($E$3:$E$1002,$E431)&gt;1,"⚠ 重複打卡","OK")))</f>
        <v/>
      </c>
    </row>
    <row r="432">
      <c r="A432" s="26" t="n"/>
      <c r="B432" s="27" t="n"/>
      <c r="C432" s="28" t="n"/>
      <c r="D432" s="28" t="n"/>
      <c r="E432" s="29">
        <f>IF($A432="","",$A432&amp;"|"&amp;DAY($B432))</f>
        <v/>
      </c>
      <c r="F432" s="29">
        <f>IF($A432="","",IF(COUNTIF(設定!$B$41:$B$70,$A432)=0,"⚠ 查無員編",IF(COUNTIF($E$3:$E$1002,$E432)&gt;1,"⚠ 重複打卡","OK")))</f>
        <v/>
      </c>
    </row>
    <row r="433">
      <c r="A433" s="26" t="n"/>
      <c r="B433" s="27" t="n"/>
      <c r="C433" s="28" t="n"/>
      <c r="D433" s="28" t="n"/>
      <c r="E433" s="29">
        <f>IF($A433="","",$A433&amp;"|"&amp;DAY($B433))</f>
        <v/>
      </c>
      <c r="F433" s="29">
        <f>IF($A433="","",IF(COUNTIF(設定!$B$41:$B$70,$A433)=0,"⚠ 查無員編",IF(COUNTIF($E$3:$E$1002,$E433)&gt;1,"⚠ 重複打卡","OK")))</f>
        <v/>
      </c>
    </row>
    <row r="434">
      <c r="A434" s="26" t="n"/>
      <c r="B434" s="27" t="n"/>
      <c r="C434" s="28" t="n"/>
      <c r="D434" s="28" t="n"/>
      <c r="E434" s="29">
        <f>IF($A434="","",$A434&amp;"|"&amp;DAY($B434))</f>
        <v/>
      </c>
      <c r="F434" s="29">
        <f>IF($A434="","",IF(COUNTIF(設定!$B$41:$B$70,$A434)=0,"⚠ 查無員編",IF(COUNTIF($E$3:$E$1002,$E434)&gt;1,"⚠ 重複打卡","OK")))</f>
        <v/>
      </c>
    </row>
    <row r="435">
      <c r="A435" s="26" t="n"/>
      <c r="B435" s="27" t="n"/>
      <c r="C435" s="28" t="n"/>
      <c r="D435" s="28" t="n"/>
      <c r="E435" s="29">
        <f>IF($A435="","",$A435&amp;"|"&amp;DAY($B435))</f>
        <v/>
      </c>
      <c r="F435" s="29">
        <f>IF($A435="","",IF(COUNTIF(設定!$B$41:$B$70,$A435)=0,"⚠ 查無員編",IF(COUNTIF($E$3:$E$1002,$E435)&gt;1,"⚠ 重複打卡","OK")))</f>
        <v/>
      </c>
    </row>
    <row r="436">
      <c r="A436" s="26" t="n"/>
      <c r="B436" s="27" t="n"/>
      <c r="C436" s="28" t="n"/>
      <c r="D436" s="28" t="n"/>
      <c r="E436" s="29">
        <f>IF($A436="","",$A436&amp;"|"&amp;DAY($B436))</f>
        <v/>
      </c>
      <c r="F436" s="29">
        <f>IF($A436="","",IF(COUNTIF(設定!$B$41:$B$70,$A436)=0,"⚠ 查無員編",IF(COUNTIF($E$3:$E$1002,$E436)&gt;1,"⚠ 重複打卡","OK")))</f>
        <v/>
      </c>
    </row>
    <row r="437">
      <c r="A437" s="26" t="n"/>
      <c r="B437" s="27" t="n"/>
      <c r="C437" s="28" t="n"/>
      <c r="D437" s="28" t="n"/>
      <c r="E437" s="29">
        <f>IF($A437="","",$A437&amp;"|"&amp;DAY($B437))</f>
        <v/>
      </c>
      <c r="F437" s="29">
        <f>IF($A437="","",IF(COUNTIF(設定!$B$41:$B$70,$A437)=0,"⚠ 查無員編",IF(COUNTIF($E$3:$E$1002,$E437)&gt;1,"⚠ 重複打卡","OK")))</f>
        <v/>
      </c>
    </row>
    <row r="438">
      <c r="A438" s="26" t="n"/>
      <c r="B438" s="27" t="n"/>
      <c r="C438" s="28" t="n"/>
      <c r="D438" s="28" t="n"/>
      <c r="E438" s="29">
        <f>IF($A438="","",$A438&amp;"|"&amp;DAY($B438))</f>
        <v/>
      </c>
      <c r="F438" s="29">
        <f>IF($A438="","",IF(COUNTIF(設定!$B$41:$B$70,$A438)=0,"⚠ 查無員編",IF(COUNTIF($E$3:$E$1002,$E438)&gt;1,"⚠ 重複打卡","OK")))</f>
        <v/>
      </c>
    </row>
    <row r="439">
      <c r="A439" s="26" t="n"/>
      <c r="B439" s="27" t="n"/>
      <c r="C439" s="28" t="n"/>
      <c r="D439" s="28" t="n"/>
      <c r="E439" s="29">
        <f>IF($A439="","",$A439&amp;"|"&amp;DAY($B439))</f>
        <v/>
      </c>
      <c r="F439" s="29">
        <f>IF($A439="","",IF(COUNTIF(設定!$B$41:$B$70,$A439)=0,"⚠ 查無員編",IF(COUNTIF($E$3:$E$1002,$E439)&gt;1,"⚠ 重複打卡","OK")))</f>
        <v/>
      </c>
    </row>
    <row r="440">
      <c r="A440" s="26" t="n"/>
      <c r="B440" s="27" t="n"/>
      <c r="C440" s="28" t="n"/>
      <c r="D440" s="28" t="n"/>
      <c r="E440" s="29">
        <f>IF($A440="","",$A440&amp;"|"&amp;DAY($B440))</f>
        <v/>
      </c>
      <c r="F440" s="29">
        <f>IF($A440="","",IF(COUNTIF(設定!$B$41:$B$70,$A440)=0,"⚠ 查無員編",IF(COUNTIF($E$3:$E$1002,$E440)&gt;1,"⚠ 重複打卡","OK")))</f>
        <v/>
      </c>
    </row>
    <row r="441">
      <c r="A441" s="26" t="n"/>
      <c r="B441" s="27" t="n"/>
      <c r="C441" s="28" t="n"/>
      <c r="D441" s="28" t="n"/>
      <c r="E441" s="29">
        <f>IF($A441="","",$A441&amp;"|"&amp;DAY($B441))</f>
        <v/>
      </c>
      <c r="F441" s="29">
        <f>IF($A441="","",IF(COUNTIF(設定!$B$41:$B$70,$A441)=0,"⚠ 查無員編",IF(COUNTIF($E$3:$E$1002,$E441)&gt;1,"⚠ 重複打卡","OK")))</f>
        <v/>
      </c>
    </row>
    <row r="442">
      <c r="A442" s="26" t="n"/>
      <c r="B442" s="27" t="n"/>
      <c r="C442" s="28" t="n"/>
      <c r="D442" s="28" t="n"/>
      <c r="E442" s="29">
        <f>IF($A442="","",$A442&amp;"|"&amp;DAY($B442))</f>
        <v/>
      </c>
      <c r="F442" s="29">
        <f>IF($A442="","",IF(COUNTIF(設定!$B$41:$B$70,$A442)=0,"⚠ 查無員編",IF(COUNTIF($E$3:$E$1002,$E442)&gt;1,"⚠ 重複打卡","OK")))</f>
        <v/>
      </c>
    </row>
    <row r="443">
      <c r="A443" s="26" t="n"/>
      <c r="B443" s="27" t="n"/>
      <c r="C443" s="28" t="n"/>
      <c r="D443" s="28" t="n"/>
      <c r="E443" s="29">
        <f>IF($A443="","",$A443&amp;"|"&amp;DAY($B443))</f>
        <v/>
      </c>
      <c r="F443" s="29">
        <f>IF($A443="","",IF(COUNTIF(設定!$B$41:$B$70,$A443)=0,"⚠ 查無員編",IF(COUNTIF($E$3:$E$1002,$E443)&gt;1,"⚠ 重複打卡","OK")))</f>
        <v/>
      </c>
    </row>
    <row r="444">
      <c r="A444" s="26" t="n"/>
      <c r="B444" s="27" t="n"/>
      <c r="C444" s="28" t="n"/>
      <c r="D444" s="28" t="n"/>
      <c r="E444" s="29">
        <f>IF($A444="","",$A444&amp;"|"&amp;DAY($B444))</f>
        <v/>
      </c>
      <c r="F444" s="29">
        <f>IF($A444="","",IF(COUNTIF(設定!$B$41:$B$70,$A444)=0,"⚠ 查無員編",IF(COUNTIF($E$3:$E$1002,$E444)&gt;1,"⚠ 重複打卡","OK")))</f>
        <v/>
      </c>
    </row>
    <row r="445">
      <c r="A445" s="26" t="n"/>
      <c r="B445" s="27" t="n"/>
      <c r="C445" s="28" t="n"/>
      <c r="D445" s="28" t="n"/>
      <c r="E445" s="29">
        <f>IF($A445="","",$A445&amp;"|"&amp;DAY($B445))</f>
        <v/>
      </c>
      <c r="F445" s="29">
        <f>IF($A445="","",IF(COUNTIF(設定!$B$41:$B$70,$A445)=0,"⚠ 查無員編",IF(COUNTIF($E$3:$E$1002,$E445)&gt;1,"⚠ 重複打卡","OK")))</f>
        <v/>
      </c>
    </row>
    <row r="446">
      <c r="A446" s="26" t="n"/>
      <c r="B446" s="27" t="n"/>
      <c r="C446" s="28" t="n"/>
      <c r="D446" s="28" t="n"/>
      <c r="E446" s="29">
        <f>IF($A446="","",$A446&amp;"|"&amp;DAY($B446))</f>
        <v/>
      </c>
      <c r="F446" s="29">
        <f>IF($A446="","",IF(COUNTIF(設定!$B$41:$B$70,$A446)=0,"⚠ 查無員編",IF(COUNTIF($E$3:$E$1002,$E446)&gt;1,"⚠ 重複打卡","OK")))</f>
        <v/>
      </c>
    </row>
    <row r="447">
      <c r="A447" s="26" t="n"/>
      <c r="B447" s="27" t="n"/>
      <c r="C447" s="28" t="n"/>
      <c r="D447" s="28" t="n"/>
      <c r="E447" s="29">
        <f>IF($A447="","",$A447&amp;"|"&amp;DAY($B447))</f>
        <v/>
      </c>
      <c r="F447" s="29">
        <f>IF($A447="","",IF(COUNTIF(設定!$B$41:$B$70,$A447)=0,"⚠ 查無員編",IF(COUNTIF($E$3:$E$1002,$E447)&gt;1,"⚠ 重複打卡","OK")))</f>
        <v/>
      </c>
    </row>
    <row r="448">
      <c r="A448" s="26" t="n"/>
      <c r="B448" s="27" t="n"/>
      <c r="C448" s="28" t="n"/>
      <c r="D448" s="28" t="n"/>
      <c r="E448" s="29">
        <f>IF($A448="","",$A448&amp;"|"&amp;DAY($B448))</f>
        <v/>
      </c>
      <c r="F448" s="29">
        <f>IF($A448="","",IF(COUNTIF(設定!$B$41:$B$70,$A448)=0,"⚠ 查無員編",IF(COUNTIF($E$3:$E$1002,$E448)&gt;1,"⚠ 重複打卡","OK")))</f>
        <v/>
      </c>
    </row>
    <row r="449">
      <c r="A449" s="26" t="n"/>
      <c r="B449" s="27" t="n"/>
      <c r="C449" s="28" t="n"/>
      <c r="D449" s="28" t="n"/>
      <c r="E449" s="29">
        <f>IF($A449="","",$A449&amp;"|"&amp;DAY($B449))</f>
        <v/>
      </c>
      <c r="F449" s="29">
        <f>IF($A449="","",IF(COUNTIF(設定!$B$41:$B$70,$A449)=0,"⚠ 查無員編",IF(COUNTIF($E$3:$E$1002,$E449)&gt;1,"⚠ 重複打卡","OK")))</f>
        <v/>
      </c>
    </row>
    <row r="450">
      <c r="A450" s="26" t="n"/>
      <c r="B450" s="27" t="n"/>
      <c r="C450" s="28" t="n"/>
      <c r="D450" s="28" t="n"/>
      <c r="E450" s="29">
        <f>IF($A450="","",$A450&amp;"|"&amp;DAY($B450))</f>
        <v/>
      </c>
      <c r="F450" s="29">
        <f>IF($A450="","",IF(COUNTIF(設定!$B$41:$B$70,$A450)=0,"⚠ 查無員編",IF(COUNTIF($E$3:$E$1002,$E450)&gt;1,"⚠ 重複打卡","OK")))</f>
        <v/>
      </c>
    </row>
    <row r="451">
      <c r="A451" s="26" t="n"/>
      <c r="B451" s="27" t="n"/>
      <c r="C451" s="28" t="n"/>
      <c r="D451" s="28" t="n"/>
      <c r="E451" s="29">
        <f>IF($A451="","",$A451&amp;"|"&amp;DAY($B451))</f>
        <v/>
      </c>
      <c r="F451" s="29">
        <f>IF($A451="","",IF(COUNTIF(設定!$B$41:$B$70,$A451)=0,"⚠ 查無員編",IF(COUNTIF($E$3:$E$1002,$E451)&gt;1,"⚠ 重複打卡","OK")))</f>
        <v/>
      </c>
    </row>
    <row r="452">
      <c r="A452" s="26" t="n"/>
      <c r="B452" s="27" t="n"/>
      <c r="C452" s="28" t="n"/>
      <c r="D452" s="28" t="n"/>
      <c r="E452" s="29">
        <f>IF($A452="","",$A452&amp;"|"&amp;DAY($B452))</f>
        <v/>
      </c>
      <c r="F452" s="29">
        <f>IF($A452="","",IF(COUNTIF(設定!$B$41:$B$70,$A452)=0,"⚠ 查無員編",IF(COUNTIF($E$3:$E$1002,$E452)&gt;1,"⚠ 重複打卡","OK")))</f>
        <v/>
      </c>
    </row>
    <row r="453">
      <c r="A453" s="26" t="n"/>
      <c r="B453" s="27" t="n"/>
      <c r="C453" s="28" t="n"/>
      <c r="D453" s="28" t="n"/>
      <c r="E453" s="29">
        <f>IF($A453="","",$A453&amp;"|"&amp;DAY($B453))</f>
        <v/>
      </c>
      <c r="F453" s="29">
        <f>IF($A453="","",IF(COUNTIF(設定!$B$41:$B$70,$A453)=0,"⚠ 查無員編",IF(COUNTIF($E$3:$E$1002,$E453)&gt;1,"⚠ 重複打卡","OK")))</f>
        <v/>
      </c>
    </row>
    <row r="454">
      <c r="A454" s="26" t="n"/>
      <c r="B454" s="27" t="n"/>
      <c r="C454" s="28" t="n"/>
      <c r="D454" s="28" t="n"/>
      <c r="E454" s="29">
        <f>IF($A454="","",$A454&amp;"|"&amp;DAY($B454))</f>
        <v/>
      </c>
      <c r="F454" s="29">
        <f>IF($A454="","",IF(COUNTIF(設定!$B$41:$B$70,$A454)=0,"⚠ 查無員編",IF(COUNTIF($E$3:$E$1002,$E454)&gt;1,"⚠ 重複打卡","OK")))</f>
        <v/>
      </c>
    </row>
    <row r="455">
      <c r="A455" s="26" t="n"/>
      <c r="B455" s="27" t="n"/>
      <c r="C455" s="28" t="n"/>
      <c r="D455" s="28" t="n"/>
      <c r="E455" s="29">
        <f>IF($A455="","",$A455&amp;"|"&amp;DAY($B455))</f>
        <v/>
      </c>
      <c r="F455" s="29">
        <f>IF($A455="","",IF(COUNTIF(設定!$B$41:$B$70,$A455)=0,"⚠ 查無員編",IF(COUNTIF($E$3:$E$1002,$E455)&gt;1,"⚠ 重複打卡","OK")))</f>
        <v/>
      </c>
    </row>
    <row r="456">
      <c r="A456" s="26" t="n"/>
      <c r="B456" s="27" t="n"/>
      <c r="C456" s="28" t="n"/>
      <c r="D456" s="28" t="n"/>
      <c r="E456" s="29">
        <f>IF($A456="","",$A456&amp;"|"&amp;DAY($B456))</f>
        <v/>
      </c>
      <c r="F456" s="29">
        <f>IF($A456="","",IF(COUNTIF(設定!$B$41:$B$70,$A456)=0,"⚠ 查無員編",IF(COUNTIF($E$3:$E$1002,$E456)&gt;1,"⚠ 重複打卡","OK")))</f>
        <v/>
      </c>
    </row>
    <row r="457">
      <c r="A457" s="26" t="n"/>
      <c r="B457" s="27" t="n"/>
      <c r="C457" s="28" t="n"/>
      <c r="D457" s="28" t="n"/>
      <c r="E457" s="29">
        <f>IF($A457="","",$A457&amp;"|"&amp;DAY($B457))</f>
        <v/>
      </c>
      <c r="F457" s="29">
        <f>IF($A457="","",IF(COUNTIF(設定!$B$41:$B$70,$A457)=0,"⚠ 查無員編",IF(COUNTIF($E$3:$E$1002,$E457)&gt;1,"⚠ 重複打卡","OK")))</f>
        <v/>
      </c>
    </row>
    <row r="458">
      <c r="A458" s="26" t="n"/>
      <c r="B458" s="27" t="n"/>
      <c r="C458" s="28" t="n"/>
      <c r="D458" s="28" t="n"/>
      <c r="E458" s="29">
        <f>IF($A458="","",$A458&amp;"|"&amp;DAY($B458))</f>
        <v/>
      </c>
      <c r="F458" s="29">
        <f>IF($A458="","",IF(COUNTIF(設定!$B$41:$B$70,$A458)=0,"⚠ 查無員編",IF(COUNTIF($E$3:$E$1002,$E458)&gt;1,"⚠ 重複打卡","OK")))</f>
        <v/>
      </c>
    </row>
    <row r="459">
      <c r="A459" s="26" t="n"/>
      <c r="B459" s="27" t="n"/>
      <c r="C459" s="28" t="n"/>
      <c r="D459" s="28" t="n"/>
      <c r="E459" s="29">
        <f>IF($A459="","",$A459&amp;"|"&amp;DAY($B459))</f>
        <v/>
      </c>
      <c r="F459" s="29">
        <f>IF($A459="","",IF(COUNTIF(設定!$B$41:$B$70,$A459)=0,"⚠ 查無員編",IF(COUNTIF($E$3:$E$1002,$E459)&gt;1,"⚠ 重複打卡","OK")))</f>
        <v/>
      </c>
    </row>
    <row r="460">
      <c r="A460" s="26" t="n"/>
      <c r="B460" s="27" t="n"/>
      <c r="C460" s="28" t="n"/>
      <c r="D460" s="28" t="n"/>
      <c r="E460" s="29">
        <f>IF($A460="","",$A460&amp;"|"&amp;DAY($B460))</f>
        <v/>
      </c>
      <c r="F460" s="29">
        <f>IF($A460="","",IF(COUNTIF(設定!$B$41:$B$70,$A460)=0,"⚠ 查無員編",IF(COUNTIF($E$3:$E$1002,$E460)&gt;1,"⚠ 重複打卡","OK")))</f>
        <v/>
      </c>
    </row>
    <row r="461">
      <c r="A461" s="26" t="n"/>
      <c r="B461" s="27" t="n"/>
      <c r="C461" s="28" t="n"/>
      <c r="D461" s="28" t="n"/>
      <c r="E461" s="29">
        <f>IF($A461="","",$A461&amp;"|"&amp;DAY($B461))</f>
        <v/>
      </c>
      <c r="F461" s="29">
        <f>IF($A461="","",IF(COUNTIF(設定!$B$41:$B$70,$A461)=0,"⚠ 查無員編",IF(COUNTIF($E$3:$E$1002,$E461)&gt;1,"⚠ 重複打卡","OK")))</f>
        <v/>
      </c>
    </row>
    <row r="462">
      <c r="A462" s="26" t="n"/>
      <c r="B462" s="27" t="n"/>
      <c r="C462" s="28" t="n"/>
      <c r="D462" s="28" t="n"/>
      <c r="E462" s="29">
        <f>IF($A462="","",$A462&amp;"|"&amp;DAY($B462))</f>
        <v/>
      </c>
      <c r="F462" s="29">
        <f>IF($A462="","",IF(COUNTIF(設定!$B$41:$B$70,$A462)=0,"⚠ 查無員編",IF(COUNTIF($E$3:$E$1002,$E462)&gt;1,"⚠ 重複打卡","OK")))</f>
        <v/>
      </c>
    </row>
    <row r="463">
      <c r="A463" s="26" t="n"/>
      <c r="B463" s="27" t="n"/>
      <c r="C463" s="28" t="n"/>
      <c r="D463" s="28" t="n"/>
      <c r="E463" s="29">
        <f>IF($A463="","",$A463&amp;"|"&amp;DAY($B463))</f>
        <v/>
      </c>
      <c r="F463" s="29">
        <f>IF($A463="","",IF(COUNTIF(設定!$B$41:$B$70,$A463)=0,"⚠ 查無員編",IF(COUNTIF($E$3:$E$1002,$E463)&gt;1,"⚠ 重複打卡","OK")))</f>
        <v/>
      </c>
    </row>
    <row r="464">
      <c r="A464" s="26" t="n"/>
      <c r="B464" s="27" t="n"/>
      <c r="C464" s="28" t="n"/>
      <c r="D464" s="28" t="n"/>
      <c r="E464" s="29">
        <f>IF($A464="","",$A464&amp;"|"&amp;DAY($B464))</f>
        <v/>
      </c>
      <c r="F464" s="29">
        <f>IF($A464="","",IF(COUNTIF(設定!$B$41:$B$70,$A464)=0,"⚠ 查無員編",IF(COUNTIF($E$3:$E$1002,$E464)&gt;1,"⚠ 重複打卡","OK")))</f>
        <v/>
      </c>
    </row>
    <row r="465">
      <c r="A465" s="26" t="n"/>
      <c r="B465" s="27" t="n"/>
      <c r="C465" s="28" t="n"/>
      <c r="D465" s="28" t="n"/>
      <c r="E465" s="29">
        <f>IF($A465="","",$A465&amp;"|"&amp;DAY($B465))</f>
        <v/>
      </c>
      <c r="F465" s="29">
        <f>IF($A465="","",IF(COUNTIF(設定!$B$41:$B$70,$A465)=0,"⚠ 查無員編",IF(COUNTIF($E$3:$E$1002,$E465)&gt;1,"⚠ 重複打卡","OK")))</f>
        <v/>
      </c>
    </row>
    <row r="466">
      <c r="A466" s="26" t="n"/>
      <c r="B466" s="27" t="n"/>
      <c r="C466" s="28" t="n"/>
      <c r="D466" s="28" t="n"/>
      <c r="E466" s="29">
        <f>IF($A466="","",$A466&amp;"|"&amp;DAY($B466))</f>
        <v/>
      </c>
      <c r="F466" s="29">
        <f>IF($A466="","",IF(COUNTIF(設定!$B$41:$B$70,$A466)=0,"⚠ 查無員編",IF(COUNTIF($E$3:$E$1002,$E466)&gt;1,"⚠ 重複打卡","OK")))</f>
        <v/>
      </c>
    </row>
    <row r="467">
      <c r="A467" s="26" t="n"/>
      <c r="B467" s="27" t="n"/>
      <c r="C467" s="28" t="n"/>
      <c r="D467" s="28" t="n"/>
      <c r="E467" s="29">
        <f>IF($A467="","",$A467&amp;"|"&amp;DAY($B467))</f>
        <v/>
      </c>
      <c r="F467" s="29">
        <f>IF($A467="","",IF(COUNTIF(設定!$B$41:$B$70,$A467)=0,"⚠ 查無員編",IF(COUNTIF($E$3:$E$1002,$E467)&gt;1,"⚠ 重複打卡","OK")))</f>
        <v/>
      </c>
    </row>
    <row r="468">
      <c r="A468" s="26" t="n"/>
      <c r="B468" s="27" t="n"/>
      <c r="C468" s="28" t="n"/>
      <c r="D468" s="28" t="n"/>
      <c r="E468" s="29">
        <f>IF($A468="","",$A468&amp;"|"&amp;DAY($B468))</f>
        <v/>
      </c>
      <c r="F468" s="29">
        <f>IF($A468="","",IF(COUNTIF(設定!$B$41:$B$70,$A468)=0,"⚠ 查無員編",IF(COUNTIF($E$3:$E$1002,$E468)&gt;1,"⚠ 重複打卡","OK")))</f>
        <v/>
      </c>
    </row>
    <row r="469">
      <c r="A469" s="26" t="n"/>
      <c r="B469" s="27" t="n"/>
      <c r="C469" s="28" t="n"/>
      <c r="D469" s="28" t="n"/>
      <c r="E469" s="29">
        <f>IF($A469="","",$A469&amp;"|"&amp;DAY($B469))</f>
        <v/>
      </c>
      <c r="F469" s="29">
        <f>IF($A469="","",IF(COUNTIF(設定!$B$41:$B$70,$A469)=0,"⚠ 查無員編",IF(COUNTIF($E$3:$E$1002,$E469)&gt;1,"⚠ 重複打卡","OK")))</f>
        <v/>
      </c>
    </row>
    <row r="470">
      <c r="A470" s="26" t="n"/>
      <c r="B470" s="27" t="n"/>
      <c r="C470" s="28" t="n"/>
      <c r="D470" s="28" t="n"/>
      <c r="E470" s="29">
        <f>IF($A470="","",$A470&amp;"|"&amp;DAY($B470))</f>
        <v/>
      </c>
      <c r="F470" s="29">
        <f>IF($A470="","",IF(COUNTIF(設定!$B$41:$B$70,$A470)=0,"⚠ 查無員編",IF(COUNTIF($E$3:$E$1002,$E470)&gt;1,"⚠ 重複打卡","OK")))</f>
        <v/>
      </c>
    </row>
    <row r="471">
      <c r="A471" s="26" t="n"/>
      <c r="B471" s="27" t="n"/>
      <c r="C471" s="28" t="n"/>
      <c r="D471" s="28" t="n"/>
      <c r="E471" s="29">
        <f>IF($A471="","",$A471&amp;"|"&amp;DAY($B471))</f>
        <v/>
      </c>
      <c r="F471" s="29">
        <f>IF($A471="","",IF(COUNTIF(設定!$B$41:$B$70,$A471)=0,"⚠ 查無員編",IF(COUNTIF($E$3:$E$1002,$E471)&gt;1,"⚠ 重複打卡","OK")))</f>
        <v/>
      </c>
    </row>
    <row r="472">
      <c r="A472" s="26" t="n"/>
      <c r="B472" s="27" t="n"/>
      <c r="C472" s="28" t="n"/>
      <c r="D472" s="28" t="n"/>
      <c r="E472" s="29">
        <f>IF($A472="","",$A472&amp;"|"&amp;DAY($B472))</f>
        <v/>
      </c>
      <c r="F472" s="29">
        <f>IF($A472="","",IF(COUNTIF(設定!$B$41:$B$70,$A472)=0,"⚠ 查無員編",IF(COUNTIF($E$3:$E$1002,$E472)&gt;1,"⚠ 重複打卡","OK")))</f>
        <v/>
      </c>
    </row>
    <row r="473">
      <c r="A473" s="26" t="n"/>
      <c r="B473" s="27" t="n"/>
      <c r="C473" s="28" t="n"/>
      <c r="D473" s="28" t="n"/>
      <c r="E473" s="29">
        <f>IF($A473="","",$A473&amp;"|"&amp;DAY($B473))</f>
        <v/>
      </c>
      <c r="F473" s="29">
        <f>IF($A473="","",IF(COUNTIF(設定!$B$41:$B$70,$A473)=0,"⚠ 查無員編",IF(COUNTIF($E$3:$E$1002,$E473)&gt;1,"⚠ 重複打卡","OK")))</f>
        <v/>
      </c>
    </row>
    <row r="474">
      <c r="A474" s="26" t="n"/>
      <c r="B474" s="27" t="n"/>
      <c r="C474" s="28" t="n"/>
      <c r="D474" s="28" t="n"/>
      <c r="E474" s="29">
        <f>IF($A474="","",$A474&amp;"|"&amp;DAY($B474))</f>
        <v/>
      </c>
      <c r="F474" s="29">
        <f>IF($A474="","",IF(COUNTIF(設定!$B$41:$B$70,$A474)=0,"⚠ 查無員編",IF(COUNTIF($E$3:$E$1002,$E474)&gt;1,"⚠ 重複打卡","OK")))</f>
        <v/>
      </c>
    </row>
    <row r="475">
      <c r="A475" s="26" t="n"/>
      <c r="B475" s="27" t="n"/>
      <c r="C475" s="28" t="n"/>
      <c r="D475" s="28" t="n"/>
      <c r="E475" s="29">
        <f>IF($A475="","",$A475&amp;"|"&amp;DAY($B475))</f>
        <v/>
      </c>
      <c r="F475" s="29">
        <f>IF($A475="","",IF(COUNTIF(設定!$B$41:$B$70,$A475)=0,"⚠ 查無員編",IF(COUNTIF($E$3:$E$1002,$E475)&gt;1,"⚠ 重複打卡","OK")))</f>
        <v/>
      </c>
    </row>
    <row r="476">
      <c r="A476" s="26" t="n"/>
      <c r="B476" s="27" t="n"/>
      <c r="C476" s="28" t="n"/>
      <c r="D476" s="28" t="n"/>
      <c r="E476" s="29">
        <f>IF($A476="","",$A476&amp;"|"&amp;DAY($B476))</f>
        <v/>
      </c>
      <c r="F476" s="29">
        <f>IF($A476="","",IF(COUNTIF(設定!$B$41:$B$70,$A476)=0,"⚠ 查無員編",IF(COUNTIF($E$3:$E$1002,$E476)&gt;1,"⚠ 重複打卡","OK")))</f>
        <v/>
      </c>
    </row>
    <row r="477">
      <c r="A477" s="26" t="n"/>
      <c r="B477" s="27" t="n"/>
      <c r="C477" s="28" t="n"/>
      <c r="D477" s="28" t="n"/>
      <c r="E477" s="29">
        <f>IF($A477="","",$A477&amp;"|"&amp;DAY($B477))</f>
        <v/>
      </c>
      <c r="F477" s="29">
        <f>IF($A477="","",IF(COUNTIF(設定!$B$41:$B$70,$A477)=0,"⚠ 查無員編",IF(COUNTIF($E$3:$E$1002,$E477)&gt;1,"⚠ 重複打卡","OK")))</f>
        <v/>
      </c>
    </row>
    <row r="478">
      <c r="A478" s="26" t="n"/>
      <c r="B478" s="27" t="n"/>
      <c r="C478" s="28" t="n"/>
      <c r="D478" s="28" t="n"/>
      <c r="E478" s="29">
        <f>IF($A478="","",$A478&amp;"|"&amp;DAY($B478))</f>
        <v/>
      </c>
      <c r="F478" s="29">
        <f>IF($A478="","",IF(COUNTIF(設定!$B$41:$B$70,$A478)=0,"⚠ 查無員編",IF(COUNTIF($E$3:$E$1002,$E478)&gt;1,"⚠ 重複打卡","OK")))</f>
        <v/>
      </c>
    </row>
    <row r="479">
      <c r="A479" s="26" t="n"/>
      <c r="B479" s="27" t="n"/>
      <c r="C479" s="28" t="n"/>
      <c r="D479" s="28" t="n"/>
      <c r="E479" s="29">
        <f>IF($A479="","",$A479&amp;"|"&amp;DAY($B479))</f>
        <v/>
      </c>
      <c r="F479" s="29">
        <f>IF($A479="","",IF(COUNTIF(設定!$B$41:$B$70,$A479)=0,"⚠ 查無員編",IF(COUNTIF($E$3:$E$1002,$E479)&gt;1,"⚠ 重複打卡","OK")))</f>
        <v/>
      </c>
    </row>
    <row r="480">
      <c r="A480" s="26" t="n"/>
      <c r="B480" s="27" t="n"/>
      <c r="C480" s="28" t="n"/>
      <c r="D480" s="28" t="n"/>
      <c r="E480" s="29">
        <f>IF($A480="","",$A480&amp;"|"&amp;DAY($B480))</f>
        <v/>
      </c>
      <c r="F480" s="29">
        <f>IF($A480="","",IF(COUNTIF(設定!$B$41:$B$70,$A480)=0,"⚠ 查無員編",IF(COUNTIF($E$3:$E$1002,$E480)&gt;1,"⚠ 重複打卡","OK")))</f>
        <v/>
      </c>
    </row>
    <row r="481">
      <c r="A481" s="26" t="n"/>
      <c r="B481" s="27" t="n"/>
      <c r="C481" s="28" t="n"/>
      <c r="D481" s="28" t="n"/>
      <c r="E481" s="29">
        <f>IF($A481="","",$A481&amp;"|"&amp;DAY($B481))</f>
        <v/>
      </c>
      <c r="F481" s="29">
        <f>IF($A481="","",IF(COUNTIF(設定!$B$41:$B$70,$A481)=0,"⚠ 查無員編",IF(COUNTIF($E$3:$E$1002,$E481)&gt;1,"⚠ 重複打卡","OK")))</f>
        <v/>
      </c>
    </row>
    <row r="482">
      <c r="A482" s="26" t="n"/>
      <c r="B482" s="27" t="n"/>
      <c r="C482" s="28" t="n"/>
      <c r="D482" s="28" t="n"/>
      <c r="E482" s="29">
        <f>IF($A482="","",$A482&amp;"|"&amp;DAY($B482))</f>
        <v/>
      </c>
      <c r="F482" s="29">
        <f>IF($A482="","",IF(COUNTIF(設定!$B$41:$B$70,$A482)=0,"⚠ 查無員編",IF(COUNTIF($E$3:$E$1002,$E482)&gt;1,"⚠ 重複打卡","OK")))</f>
        <v/>
      </c>
    </row>
    <row r="483">
      <c r="A483" s="26" t="n"/>
      <c r="B483" s="27" t="n"/>
      <c r="C483" s="28" t="n"/>
      <c r="D483" s="28" t="n"/>
      <c r="E483" s="29">
        <f>IF($A483="","",$A483&amp;"|"&amp;DAY($B483))</f>
        <v/>
      </c>
      <c r="F483" s="29">
        <f>IF($A483="","",IF(COUNTIF(設定!$B$41:$B$70,$A483)=0,"⚠ 查無員編",IF(COUNTIF($E$3:$E$1002,$E483)&gt;1,"⚠ 重複打卡","OK")))</f>
        <v/>
      </c>
    </row>
    <row r="484">
      <c r="A484" s="26" t="n"/>
      <c r="B484" s="27" t="n"/>
      <c r="C484" s="28" t="n"/>
      <c r="D484" s="28" t="n"/>
      <c r="E484" s="29">
        <f>IF($A484="","",$A484&amp;"|"&amp;DAY($B484))</f>
        <v/>
      </c>
      <c r="F484" s="29">
        <f>IF($A484="","",IF(COUNTIF(設定!$B$41:$B$70,$A484)=0,"⚠ 查無員編",IF(COUNTIF($E$3:$E$1002,$E484)&gt;1,"⚠ 重複打卡","OK")))</f>
        <v/>
      </c>
    </row>
    <row r="485">
      <c r="A485" s="26" t="n"/>
      <c r="B485" s="27" t="n"/>
      <c r="C485" s="28" t="n"/>
      <c r="D485" s="28" t="n"/>
      <c r="E485" s="29">
        <f>IF($A485="","",$A485&amp;"|"&amp;DAY($B485))</f>
        <v/>
      </c>
      <c r="F485" s="29">
        <f>IF($A485="","",IF(COUNTIF(設定!$B$41:$B$70,$A485)=0,"⚠ 查無員編",IF(COUNTIF($E$3:$E$1002,$E485)&gt;1,"⚠ 重複打卡","OK")))</f>
        <v/>
      </c>
    </row>
    <row r="486">
      <c r="A486" s="26" t="n"/>
      <c r="B486" s="27" t="n"/>
      <c r="C486" s="28" t="n"/>
      <c r="D486" s="28" t="n"/>
      <c r="E486" s="29">
        <f>IF($A486="","",$A486&amp;"|"&amp;DAY($B486))</f>
        <v/>
      </c>
      <c r="F486" s="29">
        <f>IF($A486="","",IF(COUNTIF(設定!$B$41:$B$70,$A486)=0,"⚠ 查無員編",IF(COUNTIF($E$3:$E$1002,$E486)&gt;1,"⚠ 重複打卡","OK")))</f>
        <v/>
      </c>
    </row>
    <row r="487">
      <c r="A487" s="26" t="n"/>
      <c r="B487" s="27" t="n"/>
      <c r="C487" s="28" t="n"/>
      <c r="D487" s="28" t="n"/>
      <c r="E487" s="29">
        <f>IF($A487="","",$A487&amp;"|"&amp;DAY($B487))</f>
        <v/>
      </c>
      <c r="F487" s="29">
        <f>IF($A487="","",IF(COUNTIF(設定!$B$41:$B$70,$A487)=0,"⚠ 查無員編",IF(COUNTIF($E$3:$E$1002,$E487)&gt;1,"⚠ 重複打卡","OK")))</f>
        <v/>
      </c>
    </row>
    <row r="488">
      <c r="A488" s="26" t="n"/>
      <c r="B488" s="27" t="n"/>
      <c r="C488" s="28" t="n"/>
      <c r="D488" s="28" t="n"/>
      <c r="E488" s="29">
        <f>IF($A488="","",$A488&amp;"|"&amp;DAY($B488))</f>
        <v/>
      </c>
      <c r="F488" s="29">
        <f>IF($A488="","",IF(COUNTIF(設定!$B$41:$B$70,$A488)=0,"⚠ 查無員編",IF(COUNTIF($E$3:$E$1002,$E488)&gt;1,"⚠ 重複打卡","OK")))</f>
        <v/>
      </c>
    </row>
    <row r="489">
      <c r="A489" s="26" t="n"/>
      <c r="B489" s="27" t="n"/>
      <c r="C489" s="28" t="n"/>
      <c r="D489" s="28" t="n"/>
      <c r="E489" s="29">
        <f>IF($A489="","",$A489&amp;"|"&amp;DAY($B489))</f>
        <v/>
      </c>
      <c r="F489" s="29">
        <f>IF($A489="","",IF(COUNTIF(設定!$B$41:$B$70,$A489)=0,"⚠ 查無員編",IF(COUNTIF($E$3:$E$1002,$E489)&gt;1,"⚠ 重複打卡","OK")))</f>
        <v/>
      </c>
    </row>
    <row r="490">
      <c r="A490" s="26" t="n"/>
      <c r="B490" s="27" t="n"/>
      <c r="C490" s="28" t="n"/>
      <c r="D490" s="28" t="n"/>
      <c r="E490" s="29">
        <f>IF($A490="","",$A490&amp;"|"&amp;DAY($B490))</f>
        <v/>
      </c>
      <c r="F490" s="29">
        <f>IF($A490="","",IF(COUNTIF(設定!$B$41:$B$70,$A490)=0,"⚠ 查無員編",IF(COUNTIF($E$3:$E$1002,$E490)&gt;1,"⚠ 重複打卡","OK")))</f>
        <v/>
      </c>
    </row>
    <row r="491">
      <c r="A491" s="26" t="n"/>
      <c r="B491" s="27" t="n"/>
      <c r="C491" s="28" t="n"/>
      <c r="D491" s="28" t="n"/>
      <c r="E491" s="29">
        <f>IF($A491="","",$A491&amp;"|"&amp;DAY($B491))</f>
        <v/>
      </c>
      <c r="F491" s="29">
        <f>IF($A491="","",IF(COUNTIF(設定!$B$41:$B$70,$A491)=0,"⚠ 查無員編",IF(COUNTIF($E$3:$E$1002,$E491)&gt;1,"⚠ 重複打卡","OK")))</f>
        <v/>
      </c>
    </row>
    <row r="492">
      <c r="A492" s="26" t="n"/>
      <c r="B492" s="27" t="n"/>
      <c r="C492" s="28" t="n"/>
      <c r="D492" s="28" t="n"/>
      <c r="E492" s="29">
        <f>IF($A492="","",$A492&amp;"|"&amp;DAY($B492))</f>
        <v/>
      </c>
      <c r="F492" s="29">
        <f>IF($A492="","",IF(COUNTIF(設定!$B$41:$B$70,$A492)=0,"⚠ 查無員編",IF(COUNTIF($E$3:$E$1002,$E492)&gt;1,"⚠ 重複打卡","OK")))</f>
        <v/>
      </c>
    </row>
    <row r="493">
      <c r="A493" s="26" t="n"/>
      <c r="B493" s="27" t="n"/>
      <c r="C493" s="28" t="n"/>
      <c r="D493" s="28" t="n"/>
      <c r="E493" s="29">
        <f>IF($A493="","",$A493&amp;"|"&amp;DAY($B493))</f>
        <v/>
      </c>
      <c r="F493" s="29">
        <f>IF($A493="","",IF(COUNTIF(設定!$B$41:$B$70,$A493)=0,"⚠ 查無員編",IF(COUNTIF($E$3:$E$1002,$E493)&gt;1,"⚠ 重複打卡","OK")))</f>
        <v/>
      </c>
    </row>
    <row r="494">
      <c r="A494" s="26" t="n"/>
      <c r="B494" s="27" t="n"/>
      <c r="C494" s="28" t="n"/>
      <c r="D494" s="28" t="n"/>
      <c r="E494" s="29">
        <f>IF($A494="","",$A494&amp;"|"&amp;DAY($B494))</f>
        <v/>
      </c>
      <c r="F494" s="29">
        <f>IF($A494="","",IF(COUNTIF(設定!$B$41:$B$70,$A494)=0,"⚠ 查無員編",IF(COUNTIF($E$3:$E$1002,$E494)&gt;1,"⚠ 重複打卡","OK")))</f>
        <v/>
      </c>
    </row>
    <row r="495">
      <c r="A495" s="26" t="n"/>
      <c r="B495" s="27" t="n"/>
      <c r="C495" s="28" t="n"/>
      <c r="D495" s="28" t="n"/>
      <c r="E495" s="29">
        <f>IF($A495="","",$A495&amp;"|"&amp;DAY($B495))</f>
        <v/>
      </c>
      <c r="F495" s="29">
        <f>IF($A495="","",IF(COUNTIF(設定!$B$41:$B$70,$A495)=0,"⚠ 查無員編",IF(COUNTIF($E$3:$E$1002,$E495)&gt;1,"⚠ 重複打卡","OK")))</f>
        <v/>
      </c>
    </row>
    <row r="496">
      <c r="A496" s="26" t="n"/>
      <c r="B496" s="27" t="n"/>
      <c r="C496" s="28" t="n"/>
      <c r="D496" s="28" t="n"/>
      <c r="E496" s="29">
        <f>IF($A496="","",$A496&amp;"|"&amp;DAY($B496))</f>
        <v/>
      </c>
      <c r="F496" s="29">
        <f>IF($A496="","",IF(COUNTIF(設定!$B$41:$B$70,$A496)=0,"⚠ 查無員編",IF(COUNTIF($E$3:$E$1002,$E496)&gt;1,"⚠ 重複打卡","OK")))</f>
        <v/>
      </c>
    </row>
    <row r="497">
      <c r="A497" s="26" t="n"/>
      <c r="B497" s="27" t="n"/>
      <c r="C497" s="28" t="n"/>
      <c r="D497" s="28" t="n"/>
      <c r="E497" s="29">
        <f>IF($A497="","",$A497&amp;"|"&amp;DAY($B497))</f>
        <v/>
      </c>
      <c r="F497" s="29">
        <f>IF($A497="","",IF(COUNTIF(設定!$B$41:$B$70,$A497)=0,"⚠ 查無員編",IF(COUNTIF($E$3:$E$1002,$E497)&gt;1,"⚠ 重複打卡","OK")))</f>
        <v/>
      </c>
    </row>
    <row r="498">
      <c r="A498" s="26" t="n"/>
      <c r="B498" s="27" t="n"/>
      <c r="C498" s="28" t="n"/>
      <c r="D498" s="28" t="n"/>
      <c r="E498" s="29">
        <f>IF($A498="","",$A498&amp;"|"&amp;DAY($B498))</f>
        <v/>
      </c>
      <c r="F498" s="29">
        <f>IF($A498="","",IF(COUNTIF(設定!$B$41:$B$70,$A498)=0,"⚠ 查無員編",IF(COUNTIF($E$3:$E$1002,$E498)&gt;1,"⚠ 重複打卡","OK")))</f>
        <v/>
      </c>
    </row>
    <row r="499">
      <c r="A499" s="26" t="n"/>
      <c r="B499" s="27" t="n"/>
      <c r="C499" s="28" t="n"/>
      <c r="D499" s="28" t="n"/>
      <c r="E499" s="29">
        <f>IF($A499="","",$A499&amp;"|"&amp;DAY($B499))</f>
        <v/>
      </c>
      <c r="F499" s="29">
        <f>IF($A499="","",IF(COUNTIF(設定!$B$41:$B$70,$A499)=0,"⚠ 查無員編",IF(COUNTIF($E$3:$E$1002,$E499)&gt;1,"⚠ 重複打卡","OK")))</f>
        <v/>
      </c>
    </row>
    <row r="500">
      <c r="A500" s="26" t="n"/>
      <c r="B500" s="27" t="n"/>
      <c r="C500" s="28" t="n"/>
      <c r="D500" s="28" t="n"/>
      <c r="E500" s="29">
        <f>IF($A500="","",$A500&amp;"|"&amp;DAY($B500))</f>
        <v/>
      </c>
      <c r="F500" s="29">
        <f>IF($A500="","",IF(COUNTIF(設定!$B$41:$B$70,$A500)=0,"⚠ 查無員編",IF(COUNTIF($E$3:$E$1002,$E500)&gt;1,"⚠ 重複打卡","OK")))</f>
        <v/>
      </c>
    </row>
    <row r="501">
      <c r="A501" s="26" t="n"/>
      <c r="B501" s="27" t="n"/>
      <c r="C501" s="28" t="n"/>
      <c r="D501" s="28" t="n"/>
      <c r="E501" s="29">
        <f>IF($A501="","",$A501&amp;"|"&amp;DAY($B501))</f>
        <v/>
      </c>
      <c r="F501" s="29">
        <f>IF($A501="","",IF(COUNTIF(設定!$B$41:$B$70,$A501)=0,"⚠ 查無員編",IF(COUNTIF($E$3:$E$1002,$E501)&gt;1,"⚠ 重複打卡","OK")))</f>
        <v/>
      </c>
    </row>
    <row r="502">
      <c r="A502" s="26" t="n"/>
      <c r="B502" s="27" t="n"/>
      <c r="C502" s="28" t="n"/>
      <c r="D502" s="28" t="n"/>
      <c r="E502" s="29">
        <f>IF($A502="","",$A502&amp;"|"&amp;DAY($B502))</f>
        <v/>
      </c>
      <c r="F502" s="29">
        <f>IF($A502="","",IF(COUNTIF(設定!$B$41:$B$70,$A502)=0,"⚠ 查無員編",IF(COUNTIF($E$3:$E$1002,$E502)&gt;1,"⚠ 重複打卡","OK")))</f>
        <v/>
      </c>
    </row>
    <row r="503">
      <c r="A503" s="26" t="n"/>
      <c r="B503" s="27" t="n"/>
      <c r="C503" s="28" t="n"/>
      <c r="D503" s="28" t="n"/>
      <c r="E503" s="29">
        <f>IF($A503="","",$A503&amp;"|"&amp;DAY($B503))</f>
        <v/>
      </c>
      <c r="F503" s="29">
        <f>IF($A503="","",IF(COUNTIF(設定!$B$41:$B$70,$A503)=0,"⚠ 查無員編",IF(COUNTIF($E$3:$E$1002,$E503)&gt;1,"⚠ 重複打卡","OK")))</f>
        <v/>
      </c>
    </row>
    <row r="504">
      <c r="A504" s="26" t="n"/>
      <c r="B504" s="27" t="n"/>
      <c r="C504" s="28" t="n"/>
      <c r="D504" s="28" t="n"/>
      <c r="E504" s="29">
        <f>IF($A504="","",$A504&amp;"|"&amp;DAY($B504))</f>
        <v/>
      </c>
      <c r="F504" s="29">
        <f>IF($A504="","",IF(COUNTIF(設定!$B$41:$B$70,$A504)=0,"⚠ 查無員編",IF(COUNTIF($E$3:$E$1002,$E504)&gt;1,"⚠ 重複打卡","OK")))</f>
        <v/>
      </c>
    </row>
    <row r="505">
      <c r="A505" s="26" t="n"/>
      <c r="B505" s="27" t="n"/>
      <c r="C505" s="28" t="n"/>
      <c r="D505" s="28" t="n"/>
      <c r="E505" s="29">
        <f>IF($A505="","",$A505&amp;"|"&amp;DAY($B505))</f>
        <v/>
      </c>
      <c r="F505" s="29">
        <f>IF($A505="","",IF(COUNTIF(設定!$B$41:$B$70,$A505)=0,"⚠ 查無員編",IF(COUNTIF($E$3:$E$1002,$E505)&gt;1,"⚠ 重複打卡","OK")))</f>
        <v/>
      </c>
    </row>
    <row r="506">
      <c r="A506" s="26" t="n"/>
      <c r="B506" s="27" t="n"/>
      <c r="C506" s="28" t="n"/>
      <c r="D506" s="28" t="n"/>
      <c r="E506" s="29">
        <f>IF($A506="","",$A506&amp;"|"&amp;DAY($B506))</f>
        <v/>
      </c>
      <c r="F506" s="29">
        <f>IF($A506="","",IF(COUNTIF(設定!$B$41:$B$70,$A506)=0,"⚠ 查無員編",IF(COUNTIF($E$3:$E$1002,$E506)&gt;1,"⚠ 重複打卡","OK")))</f>
        <v/>
      </c>
    </row>
    <row r="507">
      <c r="A507" s="26" t="n"/>
      <c r="B507" s="27" t="n"/>
      <c r="C507" s="28" t="n"/>
      <c r="D507" s="28" t="n"/>
      <c r="E507" s="29">
        <f>IF($A507="","",$A507&amp;"|"&amp;DAY($B507))</f>
        <v/>
      </c>
      <c r="F507" s="29">
        <f>IF($A507="","",IF(COUNTIF(設定!$B$41:$B$70,$A507)=0,"⚠ 查無員編",IF(COUNTIF($E$3:$E$1002,$E507)&gt;1,"⚠ 重複打卡","OK")))</f>
        <v/>
      </c>
    </row>
    <row r="508">
      <c r="A508" s="26" t="n"/>
      <c r="B508" s="27" t="n"/>
      <c r="C508" s="28" t="n"/>
      <c r="D508" s="28" t="n"/>
      <c r="E508" s="29">
        <f>IF($A508="","",$A508&amp;"|"&amp;DAY($B508))</f>
        <v/>
      </c>
      <c r="F508" s="29">
        <f>IF($A508="","",IF(COUNTIF(設定!$B$41:$B$70,$A508)=0,"⚠ 查無員編",IF(COUNTIF($E$3:$E$1002,$E508)&gt;1,"⚠ 重複打卡","OK")))</f>
        <v/>
      </c>
    </row>
    <row r="509">
      <c r="A509" s="26" t="n"/>
      <c r="B509" s="27" t="n"/>
      <c r="C509" s="28" t="n"/>
      <c r="D509" s="28" t="n"/>
      <c r="E509" s="29">
        <f>IF($A509="","",$A509&amp;"|"&amp;DAY($B509))</f>
        <v/>
      </c>
      <c r="F509" s="29">
        <f>IF($A509="","",IF(COUNTIF(設定!$B$41:$B$70,$A509)=0,"⚠ 查無員編",IF(COUNTIF($E$3:$E$1002,$E509)&gt;1,"⚠ 重複打卡","OK")))</f>
        <v/>
      </c>
    </row>
    <row r="510">
      <c r="A510" s="26" t="n"/>
      <c r="B510" s="27" t="n"/>
      <c r="C510" s="28" t="n"/>
      <c r="D510" s="28" t="n"/>
      <c r="E510" s="29">
        <f>IF($A510="","",$A510&amp;"|"&amp;DAY($B510))</f>
        <v/>
      </c>
      <c r="F510" s="29">
        <f>IF($A510="","",IF(COUNTIF(設定!$B$41:$B$70,$A510)=0,"⚠ 查無員編",IF(COUNTIF($E$3:$E$1002,$E510)&gt;1,"⚠ 重複打卡","OK")))</f>
        <v/>
      </c>
    </row>
    <row r="511">
      <c r="A511" s="26" t="n"/>
      <c r="B511" s="27" t="n"/>
      <c r="C511" s="28" t="n"/>
      <c r="D511" s="28" t="n"/>
      <c r="E511" s="29">
        <f>IF($A511="","",$A511&amp;"|"&amp;DAY($B511))</f>
        <v/>
      </c>
      <c r="F511" s="29">
        <f>IF($A511="","",IF(COUNTIF(設定!$B$41:$B$70,$A511)=0,"⚠ 查無員編",IF(COUNTIF($E$3:$E$1002,$E511)&gt;1,"⚠ 重複打卡","OK")))</f>
        <v/>
      </c>
    </row>
    <row r="512">
      <c r="A512" s="26" t="n"/>
      <c r="B512" s="27" t="n"/>
      <c r="C512" s="28" t="n"/>
      <c r="D512" s="28" t="n"/>
      <c r="E512" s="29">
        <f>IF($A512="","",$A512&amp;"|"&amp;DAY($B512))</f>
        <v/>
      </c>
      <c r="F512" s="29">
        <f>IF($A512="","",IF(COUNTIF(設定!$B$41:$B$70,$A512)=0,"⚠ 查無員編",IF(COUNTIF($E$3:$E$1002,$E512)&gt;1,"⚠ 重複打卡","OK")))</f>
        <v/>
      </c>
    </row>
    <row r="513">
      <c r="A513" s="26" t="n"/>
      <c r="B513" s="27" t="n"/>
      <c r="C513" s="28" t="n"/>
      <c r="D513" s="28" t="n"/>
      <c r="E513" s="29">
        <f>IF($A513="","",$A513&amp;"|"&amp;DAY($B513))</f>
        <v/>
      </c>
      <c r="F513" s="29">
        <f>IF($A513="","",IF(COUNTIF(設定!$B$41:$B$70,$A513)=0,"⚠ 查無員編",IF(COUNTIF($E$3:$E$1002,$E513)&gt;1,"⚠ 重複打卡","OK")))</f>
        <v/>
      </c>
    </row>
    <row r="514">
      <c r="A514" s="26" t="n"/>
      <c r="B514" s="27" t="n"/>
      <c r="C514" s="28" t="n"/>
      <c r="D514" s="28" t="n"/>
      <c r="E514" s="29">
        <f>IF($A514="","",$A514&amp;"|"&amp;DAY($B514))</f>
        <v/>
      </c>
      <c r="F514" s="29">
        <f>IF($A514="","",IF(COUNTIF(設定!$B$41:$B$70,$A514)=0,"⚠ 查無員編",IF(COUNTIF($E$3:$E$1002,$E514)&gt;1,"⚠ 重複打卡","OK")))</f>
        <v/>
      </c>
    </row>
    <row r="515">
      <c r="A515" s="26" t="n"/>
      <c r="B515" s="27" t="n"/>
      <c r="C515" s="28" t="n"/>
      <c r="D515" s="28" t="n"/>
      <c r="E515" s="29">
        <f>IF($A515="","",$A515&amp;"|"&amp;DAY($B515))</f>
        <v/>
      </c>
      <c r="F515" s="29">
        <f>IF($A515="","",IF(COUNTIF(設定!$B$41:$B$70,$A515)=0,"⚠ 查無員編",IF(COUNTIF($E$3:$E$1002,$E515)&gt;1,"⚠ 重複打卡","OK")))</f>
        <v/>
      </c>
    </row>
    <row r="516">
      <c r="A516" s="26" t="n"/>
      <c r="B516" s="27" t="n"/>
      <c r="C516" s="28" t="n"/>
      <c r="D516" s="28" t="n"/>
      <c r="E516" s="29">
        <f>IF($A516="","",$A516&amp;"|"&amp;DAY($B516))</f>
        <v/>
      </c>
      <c r="F516" s="29">
        <f>IF($A516="","",IF(COUNTIF(設定!$B$41:$B$70,$A516)=0,"⚠ 查無員編",IF(COUNTIF($E$3:$E$1002,$E516)&gt;1,"⚠ 重複打卡","OK")))</f>
        <v/>
      </c>
    </row>
    <row r="517">
      <c r="A517" s="26" t="n"/>
      <c r="B517" s="27" t="n"/>
      <c r="C517" s="28" t="n"/>
      <c r="D517" s="28" t="n"/>
      <c r="E517" s="29">
        <f>IF($A517="","",$A517&amp;"|"&amp;DAY($B517))</f>
        <v/>
      </c>
      <c r="F517" s="29">
        <f>IF($A517="","",IF(COUNTIF(設定!$B$41:$B$70,$A517)=0,"⚠ 查無員編",IF(COUNTIF($E$3:$E$1002,$E517)&gt;1,"⚠ 重複打卡","OK")))</f>
        <v/>
      </c>
    </row>
    <row r="518">
      <c r="A518" s="26" t="n"/>
      <c r="B518" s="27" t="n"/>
      <c r="C518" s="28" t="n"/>
      <c r="D518" s="28" t="n"/>
      <c r="E518" s="29">
        <f>IF($A518="","",$A518&amp;"|"&amp;DAY($B518))</f>
        <v/>
      </c>
      <c r="F518" s="29">
        <f>IF($A518="","",IF(COUNTIF(設定!$B$41:$B$70,$A518)=0,"⚠ 查無員編",IF(COUNTIF($E$3:$E$1002,$E518)&gt;1,"⚠ 重複打卡","OK")))</f>
        <v/>
      </c>
    </row>
    <row r="519">
      <c r="A519" s="26" t="n"/>
      <c r="B519" s="27" t="n"/>
      <c r="C519" s="28" t="n"/>
      <c r="D519" s="28" t="n"/>
      <c r="E519" s="29">
        <f>IF($A519="","",$A519&amp;"|"&amp;DAY($B519))</f>
        <v/>
      </c>
      <c r="F519" s="29">
        <f>IF($A519="","",IF(COUNTIF(設定!$B$41:$B$70,$A519)=0,"⚠ 查無員編",IF(COUNTIF($E$3:$E$1002,$E519)&gt;1,"⚠ 重複打卡","OK")))</f>
        <v/>
      </c>
    </row>
    <row r="520">
      <c r="A520" s="26" t="n"/>
      <c r="B520" s="27" t="n"/>
      <c r="C520" s="28" t="n"/>
      <c r="D520" s="28" t="n"/>
      <c r="E520" s="29">
        <f>IF($A520="","",$A520&amp;"|"&amp;DAY($B520))</f>
        <v/>
      </c>
      <c r="F520" s="29">
        <f>IF($A520="","",IF(COUNTIF(設定!$B$41:$B$70,$A520)=0,"⚠ 查無員編",IF(COUNTIF($E$3:$E$1002,$E520)&gt;1,"⚠ 重複打卡","OK")))</f>
        <v/>
      </c>
    </row>
    <row r="521">
      <c r="A521" s="26" t="n"/>
      <c r="B521" s="27" t="n"/>
      <c r="C521" s="28" t="n"/>
      <c r="D521" s="28" t="n"/>
      <c r="E521" s="29">
        <f>IF($A521="","",$A521&amp;"|"&amp;DAY($B521))</f>
        <v/>
      </c>
      <c r="F521" s="29">
        <f>IF($A521="","",IF(COUNTIF(設定!$B$41:$B$70,$A521)=0,"⚠ 查無員編",IF(COUNTIF($E$3:$E$1002,$E521)&gt;1,"⚠ 重複打卡","OK")))</f>
        <v/>
      </c>
    </row>
    <row r="522">
      <c r="A522" s="26" t="n"/>
      <c r="B522" s="27" t="n"/>
      <c r="C522" s="28" t="n"/>
      <c r="D522" s="28" t="n"/>
      <c r="E522" s="29">
        <f>IF($A522="","",$A522&amp;"|"&amp;DAY($B522))</f>
        <v/>
      </c>
      <c r="F522" s="29">
        <f>IF($A522="","",IF(COUNTIF(設定!$B$41:$B$70,$A522)=0,"⚠ 查無員編",IF(COUNTIF($E$3:$E$1002,$E522)&gt;1,"⚠ 重複打卡","OK")))</f>
        <v/>
      </c>
    </row>
    <row r="523">
      <c r="A523" s="26" t="n"/>
      <c r="B523" s="27" t="n"/>
      <c r="C523" s="28" t="n"/>
      <c r="D523" s="28" t="n"/>
      <c r="E523" s="29">
        <f>IF($A523="","",$A523&amp;"|"&amp;DAY($B523))</f>
        <v/>
      </c>
      <c r="F523" s="29">
        <f>IF($A523="","",IF(COUNTIF(設定!$B$41:$B$70,$A523)=0,"⚠ 查無員編",IF(COUNTIF($E$3:$E$1002,$E523)&gt;1,"⚠ 重複打卡","OK")))</f>
        <v/>
      </c>
    </row>
    <row r="524">
      <c r="A524" s="26" t="n"/>
      <c r="B524" s="27" t="n"/>
      <c r="C524" s="28" t="n"/>
      <c r="D524" s="28" t="n"/>
      <c r="E524" s="29">
        <f>IF($A524="","",$A524&amp;"|"&amp;DAY($B524))</f>
        <v/>
      </c>
      <c r="F524" s="29">
        <f>IF($A524="","",IF(COUNTIF(設定!$B$41:$B$70,$A524)=0,"⚠ 查無員編",IF(COUNTIF($E$3:$E$1002,$E524)&gt;1,"⚠ 重複打卡","OK")))</f>
        <v/>
      </c>
    </row>
    <row r="525">
      <c r="A525" s="26" t="n"/>
      <c r="B525" s="27" t="n"/>
      <c r="C525" s="28" t="n"/>
      <c r="D525" s="28" t="n"/>
      <c r="E525" s="29">
        <f>IF($A525="","",$A525&amp;"|"&amp;DAY($B525))</f>
        <v/>
      </c>
      <c r="F525" s="29">
        <f>IF($A525="","",IF(COUNTIF(設定!$B$41:$B$70,$A525)=0,"⚠ 查無員編",IF(COUNTIF($E$3:$E$1002,$E525)&gt;1,"⚠ 重複打卡","OK")))</f>
        <v/>
      </c>
    </row>
    <row r="526">
      <c r="A526" s="26" t="n"/>
      <c r="B526" s="27" t="n"/>
      <c r="C526" s="28" t="n"/>
      <c r="D526" s="28" t="n"/>
      <c r="E526" s="29">
        <f>IF($A526="","",$A526&amp;"|"&amp;DAY($B526))</f>
        <v/>
      </c>
      <c r="F526" s="29">
        <f>IF($A526="","",IF(COUNTIF(設定!$B$41:$B$70,$A526)=0,"⚠ 查無員編",IF(COUNTIF($E$3:$E$1002,$E526)&gt;1,"⚠ 重複打卡","OK")))</f>
        <v/>
      </c>
    </row>
    <row r="527">
      <c r="A527" s="26" t="n"/>
      <c r="B527" s="27" t="n"/>
      <c r="C527" s="28" t="n"/>
      <c r="D527" s="28" t="n"/>
      <c r="E527" s="29">
        <f>IF($A527="","",$A527&amp;"|"&amp;DAY($B527))</f>
        <v/>
      </c>
      <c r="F527" s="29">
        <f>IF($A527="","",IF(COUNTIF(設定!$B$41:$B$70,$A527)=0,"⚠ 查無員編",IF(COUNTIF($E$3:$E$1002,$E527)&gt;1,"⚠ 重複打卡","OK")))</f>
        <v/>
      </c>
    </row>
    <row r="528">
      <c r="A528" s="26" t="n"/>
      <c r="B528" s="27" t="n"/>
      <c r="C528" s="28" t="n"/>
      <c r="D528" s="28" t="n"/>
      <c r="E528" s="29">
        <f>IF($A528="","",$A528&amp;"|"&amp;DAY($B528))</f>
        <v/>
      </c>
      <c r="F528" s="29">
        <f>IF($A528="","",IF(COUNTIF(設定!$B$41:$B$70,$A528)=0,"⚠ 查無員編",IF(COUNTIF($E$3:$E$1002,$E528)&gt;1,"⚠ 重複打卡","OK")))</f>
        <v/>
      </c>
    </row>
    <row r="529">
      <c r="A529" s="26" t="n"/>
      <c r="B529" s="27" t="n"/>
      <c r="C529" s="28" t="n"/>
      <c r="D529" s="28" t="n"/>
      <c r="E529" s="29">
        <f>IF($A529="","",$A529&amp;"|"&amp;DAY($B529))</f>
        <v/>
      </c>
      <c r="F529" s="29">
        <f>IF($A529="","",IF(COUNTIF(設定!$B$41:$B$70,$A529)=0,"⚠ 查無員編",IF(COUNTIF($E$3:$E$1002,$E529)&gt;1,"⚠ 重複打卡","OK")))</f>
        <v/>
      </c>
    </row>
    <row r="530">
      <c r="A530" s="26" t="n"/>
      <c r="B530" s="27" t="n"/>
      <c r="C530" s="28" t="n"/>
      <c r="D530" s="28" t="n"/>
      <c r="E530" s="29">
        <f>IF($A530="","",$A530&amp;"|"&amp;DAY($B530))</f>
        <v/>
      </c>
      <c r="F530" s="29">
        <f>IF($A530="","",IF(COUNTIF(設定!$B$41:$B$70,$A530)=0,"⚠ 查無員編",IF(COUNTIF($E$3:$E$1002,$E530)&gt;1,"⚠ 重複打卡","OK")))</f>
        <v/>
      </c>
    </row>
    <row r="531">
      <c r="A531" s="26" t="n"/>
      <c r="B531" s="27" t="n"/>
      <c r="C531" s="28" t="n"/>
      <c r="D531" s="28" t="n"/>
      <c r="E531" s="29">
        <f>IF($A531="","",$A531&amp;"|"&amp;DAY($B531))</f>
        <v/>
      </c>
      <c r="F531" s="29">
        <f>IF($A531="","",IF(COUNTIF(設定!$B$41:$B$70,$A531)=0,"⚠ 查無員編",IF(COUNTIF($E$3:$E$1002,$E531)&gt;1,"⚠ 重複打卡","OK")))</f>
        <v/>
      </c>
    </row>
    <row r="532">
      <c r="A532" s="26" t="n"/>
      <c r="B532" s="27" t="n"/>
      <c r="C532" s="28" t="n"/>
      <c r="D532" s="28" t="n"/>
      <c r="E532" s="29">
        <f>IF($A532="","",$A532&amp;"|"&amp;DAY($B532))</f>
        <v/>
      </c>
      <c r="F532" s="29">
        <f>IF($A532="","",IF(COUNTIF(設定!$B$41:$B$70,$A532)=0,"⚠ 查無員編",IF(COUNTIF($E$3:$E$1002,$E532)&gt;1,"⚠ 重複打卡","OK")))</f>
        <v/>
      </c>
    </row>
    <row r="533">
      <c r="A533" s="26" t="n"/>
      <c r="B533" s="27" t="n"/>
      <c r="C533" s="28" t="n"/>
      <c r="D533" s="28" t="n"/>
      <c r="E533" s="29">
        <f>IF($A533="","",$A533&amp;"|"&amp;DAY($B533))</f>
        <v/>
      </c>
      <c r="F533" s="29">
        <f>IF($A533="","",IF(COUNTIF(設定!$B$41:$B$70,$A533)=0,"⚠ 查無員編",IF(COUNTIF($E$3:$E$1002,$E533)&gt;1,"⚠ 重複打卡","OK")))</f>
        <v/>
      </c>
    </row>
    <row r="534">
      <c r="A534" s="26" t="n"/>
      <c r="B534" s="27" t="n"/>
      <c r="C534" s="28" t="n"/>
      <c r="D534" s="28" t="n"/>
      <c r="E534" s="29">
        <f>IF($A534="","",$A534&amp;"|"&amp;DAY($B534))</f>
        <v/>
      </c>
      <c r="F534" s="29">
        <f>IF($A534="","",IF(COUNTIF(設定!$B$41:$B$70,$A534)=0,"⚠ 查無員編",IF(COUNTIF($E$3:$E$1002,$E534)&gt;1,"⚠ 重複打卡","OK")))</f>
        <v/>
      </c>
    </row>
    <row r="535">
      <c r="A535" s="26" t="n"/>
      <c r="B535" s="27" t="n"/>
      <c r="C535" s="28" t="n"/>
      <c r="D535" s="28" t="n"/>
      <c r="E535" s="29">
        <f>IF($A535="","",$A535&amp;"|"&amp;DAY($B535))</f>
        <v/>
      </c>
      <c r="F535" s="29">
        <f>IF($A535="","",IF(COUNTIF(設定!$B$41:$B$70,$A535)=0,"⚠ 查無員編",IF(COUNTIF($E$3:$E$1002,$E535)&gt;1,"⚠ 重複打卡","OK")))</f>
        <v/>
      </c>
    </row>
    <row r="536">
      <c r="A536" s="26" t="n"/>
      <c r="B536" s="27" t="n"/>
      <c r="C536" s="28" t="n"/>
      <c r="D536" s="28" t="n"/>
      <c r="E536" s="29">
        <f>IF($A536="","",$A536&amp;"|"&amp;DAY($B536))</f>
        <v/>
      </c>
      <c r="F536" s="29">
        <f>IF($A536="","",IF(COUNTIF(設定!$B$41:$B$70,$A536)=0,"⚠ 查無員編",IF(COUNTIF($E$3:$E$1002,$E536)&gt;1,"⚠ 重複打卡","OK")))</f>
        <v/>
      </c>
    </row>
    <row r="537">
      <c r="A537" s="26" t="n"/>
      <c r="B537" s="27" t="n"/>
      <c r="C537" s="28" t="n"/>
      <c r="D537" s="28" t="n"/>
      <c r="E537" s="29">
        <f>IF($A537="","",$A537&amp;"|"&amp;DAY($B537))</f>
        <v/>
      </c>
      <c r="F537" s="29">
        <f>IF($A537="","",IF(COUNTIF(設定!$B$41:$B$70,$A537)=0,"⚠ 查無員編",IF(COUNTIF($E$3:$E$1002,$E537)&gt;1,"⚠ 重複打卡","OK")))</f>
        <v/>
      </c>
    </row>
    <row r="538">
      <c r="A538" s="26" t="n"/>
      <c r="B538" s="27" t="n"/>
      <c r="C538" s="28" t="n"/>
      <c r="D538" s="28" t="n"/>
      <c r="E538" s="29">
        <f>IF($A538="","",$A538&amp;"|"&amp;DAY($B538))</f>
        <v/>
      </c>
      <c r="F538" s="29">
        <f>IF($A538="","",IF(COUNTIF(設定!$B$41:$B$70,$A538)=0,"⚠ 查無員編",IF(COUNTIF($E$3:$E$1002,$E538)&gt;1,"⚠ 重複打卡","OK")))</f>
        <v/>
      </c>
    </row>
    <row r="539">
      <c r="A539" s="26" t="n"/>
      <c r="B539" s="27" t="n"/>
      <c r="C539" s="28" t="n"/>
      <c r="D539" s="28" t="n"/>
      <c r="E539" s="29">
        <f>IF($A539="","",$A539&amp;"|"&amp;DAY($B539))</f>
        <v/>
      </c>
      <c r="F539" s="29">
        <f>IF($A539="","",IF(COUNTIF(設定!$B$41:$B$70,$A539)=0,"⚠ 查無員編",IF(COUNTIF($E$3:$E$1002,$E539)&gt;1,"⚠ 重複打卡","OK")))</f>
        <v/>
      </c>
    </row>
    <row r="540">
      <c r="A540" s="26" t="n"/>
      <c r="B540" s="27" t="n"/>
      <c r="C540" s="28" t="n"/>
      <c r="D540" s="28" t="n"/>
      <c r="E540" s="29">
        <f>IF($A540="","",$A540&amp;"|"&amp;DAY($B540))</f>
        <v/>
      </c>
      <c r="F540" s="29">
        <f>IF($A540="","",IF(COUNTIF(設定!$B$41:$B$70,$A540)=0,"⚠ 查無員編",IF(COUNTIF($E$3:$E$1002,$E540)&gt;1,"⚠ 重複打卡","OK")))</f>
        <v/>
      </c>
    </row>
    <row r="541">
      <c r="A541" s="26" t="n"/>
      <c r="B541" s="27" t="n"/>
      <c r="C541" s="28" t="n"/>
      <c r="D541" s="28" t="n"/>
      <c r="E541" s="29">
        <f>IF($A541="","",$A541&amp;"|"&amp;DAY($B541))</f>
        <v/>
      </c>
      <c r="F541" s="29">
        <f>IF($A541="","",IF(COUNTIF(設定!$B$41:$B$70,$A541)=0,"⚠ 查無員編",IF(COUNTIF($E$3:$E$1002,$E541)&gt;1,"⚠ 重複打卡","OK")))</f>
        <v/>
      </c>
    </row>
    <row r="542">
      <c r="A542" s="26" t="n"/>
      <c r="B542" s="27" t="n"/>
      <c r="C542" s="28" t="n"/>
      <c r="D542" s="28" t="n"/>
      <c r="E542" s="29">
        <f>IF($A542="","",$A542&amp;"|"&amp;DAY($B542))</f>
        <v/>
      </c>
      <c r="F542" s="29">
        <f>IF($A542="","",IF(COUNTIF(設定!$B$41:$B$70,$A542)=0,"⚠ 查無員編",IF(COUNTIF($E$3:$E$1002,$E542)&gt;1,"⚠ 重複打卡","OK")))</f>
        <v/>
      </c>
    </row>
    <row r="543">
      <c r="A543" s="26" t="n"/>
      <c r="B543" s="27" t="n"/>
      <c r="C543" s="28" t="n"/>
      <c r="D543" s="28" t="n"/>
      <c r="E543" s="29">
        <f>IF($A543="","",$A543&amp;"|"&amp;DAY($B543))</f>
        <v/>
      </c>
      <c r="F543" s="29">
        <f>IF($A543="","",IF(COUNTIF(設定!$B$41:$B$70,$A543)=0,"⚠ 查無員編",IF(COUNTIF($E$3:$E$1002,$E543)&gt;1,"⚠ 重複打卡","OK")))</f>
        <v/>
      </c>
    </row>
    <row r="544">
      <c r="A544" s="26" t="n"/>
      <c r="B544" s="27" t="n"/>
      <c r="C544" s="28" t="n"/>
      <c r="D544" s="28" t="n"/>
      <c r="E544" s="29">
        <f>IF($A544="","",$A544&amp;"|"&amp;DAY($B544))</f>
        <v/>
      </c>
      <c r="F544" s="29">
        <f>IF($A544="","",IF(COUNTIF(設定!$B$41:$B$70,$A544)=0,"⚠ 查無員編",IF(COUNTIF($E$3:$E$1002,$E544)&gt;1,"⚠ 重複打卡","OK")))</f>
        <v/>
      </c>
    </row>
    <row r="545">
      <c r="A545" s="26" t="n"/>
      <c r="B545" s="27" t="n"/>
      <c r="C545" s="28" t="n"/>
      <c r="D545" s="28" t="n"/>
      <c r="E545" s="29">
        <f>IF($A545="","",$A545&amp;"|"&amp;DAY($B545))</f>
        <v/>
      </c>
      <c r="F545" s="29">
        <f>IF($A545="","",IF(COUNTIF(設定!$B$41:$B$70,$A545)=0,"⚠ 查無員編",IF(COUNTIF($E$3:$E$1002,$E545)&gt;1,"⚠ 重複打卡","OK")))</f>
        <v/>
      </c>
    </row>
    <row r="546">
      <c r="A546" s="26" t="n"/>
      <c r="B546" s="27" t="n"/>
      <c r="C546" s="28" t="n"/>
      <c r="D546" s="28" t="n"/>
      <c r="E546" s="29">
        <f>IF($A546="","",$A546&amp;"|"&amp;DAY($B546))</f>
        <v/>
      </c>
      <c r="F546" s="29">
        <f>IF($A546="","",IF(COUNTIF(設定!$B$41:$B$70,$A546)=0,"⚠ 查無員編",IF(COUNTIF($E$3:$E$1002,$E546)&gt;1,"⚠ 重複打卡","OK")))</f>
        <v/>
      </c>
    </row>
    <row r="547">
      <c r="A547" s="26" t="n"/>
      <c r="B547" s="27" t="n"/>
      <c r="C547" s="28" t="n"/>
      <c r="D547" s="28" t="n"/>
      <c r="E547" s="29">
        <f>IF($A547="","",$A547&amp;"|"&amp;DAY($B547))</f>
        <v/>
      </c>
      <c r="F547" s="29">
        <f>IF($A547="","",IF(COUNTIF(設定!$B$41:$B$70,$A547)=0,"⚠ 查無員編",IF(COUNTIF($E$3:$E$1002,$E547)&gt;1,"⚠ 重複打卡","OK")))</f>
        <v/>
      </c>
    </row>
    <row r="548">
      <c r="A548" s="26" t="n"/>
      <c r="B548" s="27" t="n"/>
      <c r="C548" s="28" t="n"/>
      <c r="D548" s="28" t="n"/>
      <c r="E548" s="29">
        <f>IF($A548="","",$A548&amp;"|"&amp;DAY($B548))</f>
        <v/>
      </c>
      <c r="F548" s="29">
        <f>IF($A548="","",IF(COUNTIF(設定!$B$41:$B$70,$A548)=0,"⚠ 查無員編",IF(COUNTIF($E$3:$E$1002,$E548)&gt;1,"⚠ 重複打卡","OK")))</f>
        <v/>
      </c>
    </row>
    <row r="549">
      <c r="A549" s="26" t="n"/>
      <c r="B549" s="27" t="n"/>
      <c r="C549" s="28" t="n"/>
      <c r="D549" s="28" t="n"/>
      <c r="E549" s="29">
        <f>IF($A549="","",$A549&amp;"|"&amp;DAY($B549))</f>
        <v/>
      </c>
      <c r="F549" s="29">
        <f>IF($A549="","",IF(COUNTIF(設定!$B$41:$B$70,$A549)=0,"⚠ 查無員編",IF(COUNTIF($E$3:$E$1002,$E549)&gt;1,"⚠ 重複打卡","OK")))</f>
        <v/>
      </c>
    </row>
    <row r="550">
      <c r="A550" s="26" t="n"/>
      <c r="B550" s="27" t="n"/>
      <c r="C550" s="28" t="n"/>
      <c r="D550" s="28" t="n"/>
      <c r="E550" s="29">
        <f>IF($A550="","",$A550&amp;"|"&amp;DAY($B550))</f>
        <v/>
      </c>
      <c r="F550" s="29">
        <f>IF($A550="","",IF(COUNTIF(設定!$B$41:$B$70,$A550)=0,"⚠ 查無員編",IF(COUNTIF($E$3:$E$1002,$E550)&gt;1,"⚠ 重複打卡","OK")))</f>
        <v/>
      </c>
    </row>
    <row r="551">
      <c r="A551" s="26" t="n"/>
      <c r="B551" s="27" t="n"/>
      <c r="C551" s="28" t="n"/>
      <c r="D551" s="28" t="n"/>
      <c r="E551" s="29">
        <f>IF($A551="","",$A551&amp;"|"&amp;DAY($B551))</f>
        <v/>
      </c>
      <c r="F551" s="29">
        <f>IF($A551="","",IF(COUNTIF(設定!$B$41:$B$70,$A551)=0,"⚠ 查無員編",IF(COUNTIF($E$3:$E$1002,$E551)&gt;1,"⚠ 重複打卡","OK")))</f>
        <v/>
      </c>
    </row>
    <row r="552">
      <c r="A552" s="26" t="n"/>
      <c r="B552" s="27" t="n"/>
      <c r="C552" s="28" t="n"/>
      <c r="D552" s="28" t="n"/>
      <c r="E552" s="29">
        <f>IF($A552="","",$A552&amp;"|"&amp;DAY($B552))</f>
        <v/>
      </c>
      <c r="F552" s="29">
        <f>IF($A552="","",IF(COUNTIF(設定!$B$41:$B$70,$A552)=0,"⚠ 查無員編",IF(COUNTIF($E$3:$E$1002,$E552)&gt;1,"⚠ 重複打卡","OK")))</f>
        <v/>
      </c>
    </row>
    <row r="553">
      <c r="A553" s="26" t="n"/>
      <c r="B553" s="27" t="n"/>
      <c r="C553" s="28" t="n"/>
      <c r="D553" s="28" t="n"/>
      <c r="E553" s="29">
        <f>IF($A553="","",$A553&amp;"|"&amp;DAY($B553))</f>
        <v/>
      </c>
      <c r="F553" s="29">
        <f>IF($A553="","",IF(COUNTIF(設定!$B$41:$B$70,$A553)=0,"⚠ 查無員編",IF(COUNTIF($E$3:$E$1002,$E553)&gt;1,"⚠ 重複打卡","OK")))</f>
        <v/>
      </c>
    </row>
    <row r="554">
      <c r="A554" s="26" t="n"/>
      <c r="B554" s="27" t="n"/>
      <c r="C554" s="28" t="n"/>
      <c r="D554" s="28" t="n"/>
      <c r="E554" s="29">
        <f>IF($A554="","",$A554&amp;"|"&amp;DAY($B554))</f>
        <v/>
      </c>
      <c r="F554" s="29">
        <f>IF($A554="","",IF(COUNTIF(設定!$B$41:$B$70,$A554)=0,"⚠ 查無員編",IF(COUNTIF($E$3:$E$1002,$E554)&gt;1,"⚠ 重複打卡","OK")))</f>
        <v/>
      </c>
    </row>
    <row r="555">
      <c r="A555" s="26" t="n"/>
      <c r="B555" s="27" t="n"/>
      <c r="C555" s="28" t="n"/>
      <c r="D555" s="28" t="n"/>
      <c r="E555" s="29">
        <f>IF($A555="","",$A555&amp;"|"&amp;DAY($B555))</f>
        <v/>
      </c>
      <c r="F555" s="29">
        <f>IF($A555="","",IF(COUNTIF(設定!$B$41:$B$70,$A555)=0,"⚠ 查無員編",IF(COUNTIF($E$3:$E$1002,$E555)&gt;1,"⚠ 重複打卡","OK")))</f>
        <v/>
      </c>
    </row>
    <row r="556">
      <c r="A556" s="26" t="n"/>
      <c r="B556" s="27" t="n"/>
      <c r="C556" s="28" t="n"/>
      <c r="D556" s="28" t="n"/>
      <c r="E556" s="29">
        <f>IF($A556="","",$A556&amp;"|"&amp;DAY($B556))</f>
        <v/>
      </c>
      <c r="F556" s="29">
        <f>IF($A556="","",IF(COUNTIF(設定!$B$41:$B$70,$A556)=0,"⚠ 查無員編",IF(COUNTIF($E$3:$E$1002,$E556)&gt;1,"⚠ 重複打卡","OK")))</f>
        <v/>
      </c>
    </row>
    <row r="557">
      <c r="A557" s="26" t="n"/>
      <c r="B557" s="27" t="n"/>
      <c r="C557" s="28" t="n"/>
      <c r="D557" s="28" t="n"/>
      <c r="E557" s="29">
        <f>IF($A557="","",$A557&amp;"|"&amp;DAY($B557))</f>
        <v/>
      </c>
      <c r="F557" s="29">
        <f>IF($A557="","",IF(COUNTIF(設定!$B$41:$B$70,$A557)=0,"⚠ 查無員編",IF(COUNTIF($E$3:$E$1002,$E557)&gt;1,"⚠ 重複打卡","OK")))</f>
        <v/>
      </c>
    </row>
    <row r="558">
      <c r="A558" s="26" t="n"/>
      <c r="B558" s="27" t="n"/>
      <c r="C558" s="28" t="n"/>
      <c r="D558" s="28" t="n"/>
      <c r="E558" s="29">
        <f>IF($A558="","",$A558&amp;"|"&amp;DAY($B558))</f>
        <v/>
      </c>
      <c r="F558" s="29">
        <f>IF($A558="","",IF(COUNTIF(設定!$B$41:$B$70,$A558)=0,"⚠ 查無員編",IF(COUNTIF($E$3:$E$1002,$E558)&gt;1,"⚠ 重複打卡","OK")))</f>
        <v/>
      </c>
    </row>
    <row r="559">
      <c r="A559" s="26" t="n"/>
      <c r="B559" s="27" t="n"/>
      <c r="C559" s="28" t="n"/>
      <c r="D559" s="28" t="n"/>
      <c r="E559" s="29">
        <f>IF($A559="","",$A559&amp;"|"&amp;DAY($B559))</f>
        <v/>
      </c>
      <c r="F559" s="29">
        <f>IF($A559="","",IF(COUNTIF(設定!$B$41:$B$70,$A559)=0,"⚠ 查無員編",IF(COUNTIF($E$3:$E$1002,$E559)&gt;1,"⚠ 重複打卡","OK")))</f>
        <v/>
      </c>
    </row>
    <row r="560">
      <c r="A560" s="26" t="n"/>
      <c r="B560" s="27" t="n"/>
      <c r="C560" s="28" t="n"/>
      <c r="D560" s="28" t="n"/>
      <c r="E560" s="29">
        <f>IF($A560="","",$A560&amp;"|"&amp;DAY($B560))</f>
        <v/>
      </c>
      <c r="F560" s="29">
        <f>IF($A560="","",IF(COUNTIF(設定!$B$41:$B$70,$A560)=0,"⚠ 查無員編",IF(COUNTIF($E$3:$E$1002,$E560)&gt;1,"⚠ 重複打卡","OK")))</f>
        <v/>
      </c>
    </row>
    <row r="561">
      <c r="A561" s="26" t="n"/>
      <c r="B561" s="27" t="n"/>
      <c r="C561" s="28" t="n"/>
      <c r="D561" s="28" t="n"/>
      <c r="E561" s="29">
        <f>IF($A561="","",$A561&amp;"|"&amp;DAY($B561))</f>
        <v/>
      </c>
      <c r="F561" s="29">
        <f>IF($A561="","",IF(COUNTIF(設定!$B$41:$B$70,$A561)=0,"⚠ 查無員編",IF(COUNTIF($E$3:$E$1002,$E561)&gt;1,"⚠ 重複打卡","OK")))</f>
        <v/>
      </c>
    </row>
    <row r="562">
      <c r="A562" s="26" t="n"/>
      <c r="B562" s="27" t="n"/>
      <c r="C562" s="28" t="n"/>
      <c r="D562" s="28" t="n"/>
      <c r="E562" s="29">
        <f>IF($A562="","",$A562&amp;"|"&amp;DAY($B562))</f>
        <v/>
      </c>
      <c r="F562" s="29">
        <f>IF($A562="","",IF(COUNTIF(設定!$B$41:$B$70,$A562)=0,"⚠ 查無員編",IF(COUNTIF($E$3:$E$1002,$E562)&gt;1,"⚠ 重複打卡","OK")))</f>
        <v/>
      </c>
    </row>
    <row r="563">
      <c r="A563" s="26" t="n"/>
      <c r="B563" s="27" t="n"/>
      <c r="C563" s="28" t="n"/>
      <c r="D563" s="28" t="n"/>
      <c r="E563" s="29">
        <f>IF($A563="","",$A563&amp;"|"&amp;DAY($B563))</f>
        <v/>
      </c>
      <c r="F563" s="29">
        <f>IF($A563="","",IF(COUNTIF(設定!$B$41:$B$70,$A563)=0,"⚠ 查無員編",IF(COUNTIF($E$3:$E$1002,$E563)&gt;1,"⚠ 重複打卡","OK")))</f>
        <v/>
      </c>
    </row>
    <row r="564">
      <c r="A564" s="26" t="n"/>
      <c r="B564" s="27" t="n"/>
      <c r="C564" s="28" t="n"/>
      <c r="D564" s="28" t="n"/>
      <c r="E564" s="29">
        <f>IF($A564="","",$A564&amp;"|"&amp;DAY($B564))</f>
        <v/>
      </c>
      <c r="F564" s="29">
        <f>IF($A564="","",IF(COUNTIF(設定!$B$41:$B$70,$A564)=0,"⚠ 查無員編",IF(COUNTIF($E$3:$E$1002,$E564)&gt;1,"⚠ 重複打卡","OK")))</f>
        <v/>
      </c>
    </row>
    <row r="565">
      <c r="A565" s="26" t="n"/>
      <c r="B565" s="27" t="n"/>
      <c r="C565" s="28" t="n"/>
      <c r="D565" s="28" t="n"/>
      <c r="E565" s="29">
        <f>IF($A565="","",$A565&amp;"|"&amp;DAY($B565))</f>
        <v/>
      </c>
      <c r="F565" s="29">
        <f>IF($A565="","",IF(COUNTIF(設定!$B$41:$B$70,$A565)=0,"⚠ 查無員編",IF(COUNTIF($E$3:$E$1002,$E565)&gt;1,"⚠ 重複打卡","OK")))</f>
        <v/>
      </c>
    </row>
    <row r="566">
      <c r="A566" s="26" t="n"/>
      <c r="B566" s="27" t="n"/>
      <c r="C566" s="28" t="n"/>
      <c r="D566" s="28" t="n"/>
      <c r="E566" s="29">
        <f>IF($A566="","",$A566&amp;"|"&amp;DAY($B566))</f>
        <v/>
      </c>
      <c r="F566" s="29">
        <f>IF($A566="","",IF(COUNTIF(設定!$B$41:$B$70,$A566)=0,"⚠ 查無員編",IF(COUNTIF($E$3:$E$1002,$E566)&gt;1,"⚠ 重複打卡","OK")))</f>
        <v/>
      </c>
    </row>
    <row r="567">
      <c r="A567" s="26" t="n"/>
      <c r="B567" s="27" t="n"/>
      <c r="C567" s="28" t="n"/>
      <c r="D567" s="28" t="n"/>
      <c r="E567" s="29">
        <f>IF($A567="","",$A567&amp;"|"&amp;DAY($B567))</f>
        <v/>
      </c>
      <c r="F567" s="29">
        <f>IF($A567="","",IF(COUNTIF(設定!$B$41:$B$70,$A567)=0,"⚠ 查無員編",IF(COUNTIF($E$3:$E$1002,$E567)&gt;1,"⚠ 重複打卡","OK")))</f>
        <v/>
      </c>
    </row>
    <row r="568">
      <c r="A568" s="26" t="n"/>
      <c r="B568" s="27" t="n"/>
      <c r="C568" s="28" t="n"/>
      <c r="D568" s="28" t="n"/>
      <c r="E568" s="29">
        <f>IF($A568="","",$A568&amp;"|"&amp;DAY($B568))</f>
        <v/>
      </c>
      <c r="F568" s="29">
        <f>IF($A568="","",IF(COUNTIF(設定!$B$41:$B$70,$A568)=0,"⚠ 查無員編",IF(COUNTIF($E$3:$E$1002,$E568)&gt;1,"⚠ 重複打卡","OK")))</f>
        <v/>
      </c>
    </row>
    <row r="569">
      <c r="A569" s="26" t="n"/>
      <c r="B569" s="27" t="n"/>
      <c r="C569" s="28" t="n"/>
      <c r="D569" s="28" t="n"/>
      <c r="E569" s="29">
        <f>IF($A569="","",$A569&amp;"|"&amp;DAY($B569))</f>
        <v/>
      </c>
      <c r="F569" s="29">
        <f>IF($A569="","",IF(COUNTIF(設定!$B$41:$B$70,$A569)=0,"⚠ 查無員編",IF(COUNTIF($E$3:$E$1002,$E569)&gt;1,"⚠ 重複打卡","OK")))</f>
        <v/>
      </c>
    </row>
    <row r="570">
      <c r="A570" s="26" t="n"/>
      <c r="B570" s="27" t="n"/>
      <c r="C570" s="28" t="n"/>
      <c r="D570" s="28" t="n"/>
      <c r="E570" s="29">
        <f>IF($A570="","",$A570&amp;"|"&amp;DAY($B570))</f>
        <v/>
      </c>
      <c r="F570" s="29">
        <f>IF($A570="","",IF(COUNTIF(設定!$B$41:$B$70,$A570)=0,"⚠ 查無員編",IF(COUNTIF($E$3:$E$1002,$E570)&gt;1,"⚠ 重複打卡","OK")))</f>
        <v/>
      </c>
    </row>
    <row r="571">
      <c r="A571" s="26" t="n"/>
      <c r="B571" s="27" t="n"/>
      <c r="C571" s="28" t="n"/>
      <c r="D571" s="28" t="n"/>
      <c r="E571" s="29">
        <f>IF($A571="","",$A571&amp;"|"&amp;DAY($B571))</f>
        <v/>
      </c>
      <c r="F571" s="29">
        <f>IF($A571="","",IF(COUNTIF(設定!$B$41:$B$70,$A571)=0,"⚠ 查無員編",IF(COUNTIF($E$3:$E$1002,$E571)&gt;1,"⚠ 重複打卡","OK")))</f>
        <v/>
      </c>
    </row>
    <row r="572">
      <c r="A572" s="26" t="n"/>
      <c r="B572" s="27" t="n"/>
      <c r="C572" s="28" t="n"/>
      <c r="D572" s="28" t="n"/>
      <c r="E572" s="29">
        <f>IF($A572="","",$A572&amp;"|"&amp;DAY($B572))</f>
        <v/>
      </c>
      <c r="F572" s="29">
        <f>IF($A572="","",IF(COUNTIF(設定!$B$41:$B$70,$A572)=0,"⚠ 查無員編",IF(COUNTIF($E$3:$E$1002,$E572)&gt;1,"⚠ 重複打卡","OK")))</f>
        <v/>
      </c>
    </row>
    <row r="573">
      <c r="A573" s="26" t="n"/>
      <c r="B573" s="27" t="n"/>
      <c r="C573" s="28" t="n"/>
      <c r="D573" s="28" t="n"/>
      <c r="E573" s="29">
        <f>IF($A573="","",$A573&amp;"|"&amp;DAY($B573))</f>
        <v/>
      </c>
      <c r="F573" s="29">
        <f>IF($A573="","",IF(COUNTIF(設定!$B$41:$B$70,$A573)=0,"⚠ 查無員編",IF(COUNTIF($E$3:$E$1002,$E573)&gt;1,"⚠ 重複打卡","OK")))</f>
        <v/>
      </c>
    </row>
    <row r="574">
      <c r="A574" s="26" t="n"/>
      <c r="B574" s="27" t="n"/>
      <c r="C574" s="28" t="n"/>
      <c r="D574" s="28" t="n"/>
      <c r="E574" s="29">
        <f>IF($A574="","",$A574&amp;"|"&amp;DAY($B574))</f>
        <v/>
      </c>
      <c r="F574" s="29">
        <f>IF($A574="","",IF(COUNTIF(設定!$B$41:$B$70,$A574)=0,"⚠ 查無員編",IF(COUNTIF($E$3:$E$1002,$E574)&gt;1,"⚠ 重複打卡","OK")))</f>
        <v/>
      </c>
    </row>
    <row r="575">
      <c r="A575" s="26" t="n"/>
      <c r="B575" s="27" t="n"/>
      <c r="C575" s="28" t="n"/>
      <c r="D575" s="28" t="n"/>
      <c r="E575" s="29">
        <f>IF($A575="","",$A575&amp;"|"&amp;DAY($B575))</f>
        <v/>
      </c>
      <c r="F575" s="29">
        <f>IF($A575="","",IF(COUNTIF(設定!$B$41:$B$70,$A575)=0,"⚠ 查無員編",IF(COUNTIF($E$3:$E$1002,$E575)&gt;1,"⚠ 重複打卡","OK")))</f>
        <v/>
      </c>
    </row>
    <row r="576">
      <c r="A576" s="26" t="n"/>
      <c r="B576" s="27" t="n"/>
      <c r="C576" s="28" t="n"/>
      <c r="D576" s="28" t="n"/>
      <c r="E576" s="29">
        <f>IF($A576="","",$A576&amp;"|"&amp;DAY($B576))</f>
        <v/>
      </c>
      <c r="F576" s="29">
        <f>IF($A576="","",IF(COUNTIF(設定!$B$41:$B$70,$A576)=0,"⚠ 查無員編",IF(COUNTIF($E$3:$E$1002,$E576)&gt;1,"⚠ 重複打卡","OK")))</f>
        <v/>
      </c>
    </row>
    <row r="577">
      <c r="A577" s="26" t="n"/>
      <c r="B577" s="27" t="n"/>
      <c r="C577" s="28" t="n"/>
      <c r="D577" s="28" t="n"/>
      <c r="E577" s="29">
        <f>IF($A577="","",$A577&amp;"|"&amp;DAY($B577))</f>
        <v/>
      </c>
      <c r="F577" s="29">
        <f>IF($A577="","",IF(COUNTIF(設定!$B$41:$B$70,$A577)=0,"⚠ 查無員編",IF(COUNTIF($E$3:$E$1002,$E577)&gt;1,"⚠ 重複打卡","OK")))</f>
        <v/>
      </c>
    </row>
    <row r="578">
      <c r="A578" s="26" t="n"/>
      <c r="B578" s="27" t="n"/>
      <c r="C578" s="28" t="n"/>
      <c r="D578" s="28" t="n"/>
      <c r="E578" s="29">
        <f>IF($A578="","",$A578&amp;"|"&amp;DAY($B578))</f>
        <v/>
      </c>
      <c r="F578" s="29">
        <f>IF($A578="","",IF(COUNTIF(設定!$B$41:$B$70,$A578)=0,"⚠ 查無員編",IF(COUNTIF($E$3:$E$1002,$E578)&gt;1,"⚠ 重複打卡","OK")))</f>
        <v/>
      </c>
    </row>
    <row r="579">
      <c r="A579" s="26" t="n"/>
      <c r="B579" s="27" t="n"/>
      <c r="C579" s="28" t="n"/>
      <c r="D579" s="28" t="n"/>
      <c r="E579" s="29">
        <f>IF($A579="","",$A579&amp;"|"&amp;DAY($B579))</f>
        <v/>
      </c>
      <c r="F579" s="29">
        <f>IF($A579="","",IF(COUNTIF(設定!$B$41:$B$70,$A579)=0,"⚠ 查無員編",IF(COUNTIF($E$3:$E$1002,$E579)&gt;1,"⚠ 重複打卡","OK")))</f>
        <v/>
      </c>
    </row>
    <row r="580">
      <c r="A580" s="26" t="n"/>
      <c r="B580" s="27" t="n"/>
      <c r="C580" s="28" t="n"/>
      <c r="D580" s="28" t="n"/>
      <c r="E580" s="29">
        <f>IF($A580="","",$A580&amp;"|"&amp;DAY($B580))</f>
        <v/>
      </c>
      <c r="F580" s="29">
        <f>IF($A580="","",IF(COUNTIF(設定!$B$41:$B$70,$A580)=0,"⚠ 查無員編",IF(COUNTIF($E$3:$E$1002,$E580)&gt;1,"⚠ 重複打卡","OK")))</f>
        <v/>
      </c>
    </row>
    <row r="581">
      <c r="A581" s="26" t="n"/>
      <c r="B581" s="27" t="n"/>
      <c r="C581" s="28" t="n"/>
      <c r="D581" s="28" t="n"/>
      <c r="E581" s="29">
        <f>IF($A581="","",$A581&amp;"|"&amp;DAY($B581))</f>
        <v/>
      </c>
      <c r="F581" s="29">
        <f>IF($A581="","",IF(COUNTIF(設定!$B$41:$B$70,$A581)=0,"⚠ 查無員編",IF(COUNTIF($E$3:$E$1002,$E581)&gt;1,"⚠ 重複打卡","OK")))</f>
        <v/>
      </c>
    </row>
    <row r="582">
      <c r="A582" s="26" t="n"/>
      <c r="B582" s="27" t="n"/>
      <c r="C582" s="28" t="n"/>
      <c r="D582" s="28" t="n"/>
      <c r="E582" s="29">
        <f>IF($A582="","",$A582&amp;"|"&amp;DAY($B582))</f>
        <v/>
      </c>
      <c r="F582" s="29">
        <f>IF($A582="","",IF(COUNTIF(設定!$B$41:$B$70,$A582)=0,"⚠ 查無員編",IF(COUNTIF($E$3:$E$1002,$E582)&gt;1,"⚠ 重複打卡","OK")))</f>
        <v/>
      </c>
    </row>
    <row r="583">
      <c r="A583" s="26" t="n"/>
      <c r="B583" s="27" t="n"/>
      <c r="C583" s="28" t="n"/>
      <c r="D583" s="28" t="n"/>
      <c r="E583" s="29">
        <f>IF($A583="","",$A583&amp;"|"&amp;DAY($B583))</f>
        <v/>
      </c>
      <c r="F583" s="29">
        <f>IF($A583="","",IF(COUNTIF(設定!$B$41:$B$70,$A583)=0,"⚠ 查無員編",IF(COUNTIF($E$3:$E$1002,$E583)&gt;1,"⚠ 重複打卡","OK")))</f>
        <v/>
      </c>
    </row>
    <row r="584">
      <c r="A584" s="26" t="n"/>
      <c r="B584" s="27" t="n"/>
      <c r="C584" s="28" t="n"/>
      <c r="D584" s="28" t="n"/>
      <c r="E584" s="29">
        <f>IF($A584="","",$A584&amp;"|"&amp;DAY($B584))</f>
        <v/>
      </c>
      <c r="F584" s="29">
        <f>IF($A584="","",IF(COUNTIF(設定!$B$41:$B$70,$A584)=0,"⚠ 查無員編",IF(COUNTIF($E$3:$E$1002,$E584)&gt;1,"⚠ 重複打卡","OK")))</f>
        <v/>
      </c>
    </row>
    <row r="585">
      <c r="A585" s="26" t="n"/>
      <c r="B585" s="27" t="n"/>
      <c r="C585" s="28" t="n"/>
      <c r="D585" s="28" t="n"/>
      <c r="E585" s="29">
        <f>IF($A585="","",$A585&amp;"|"&amp;DAY($B585))</f>
        <v/>
      </c>
      <c r="F585" s="29">
        <f>IF($A585="","",IF(COUNTIF(設定!$B$41:$B$70,$A585)=0,"⚠ 查無員編",IF(COUNTIF($E$3:$E$1002,$E585)&gt;1,"⚠ 重複打卡","OK")))</f>
        <v/>
      </c>
    </row>
    <row r="586">
      <c r="A586" s="26" t="n"/>
      <c r="B586" s="27" t="n"/>
      <c r="C586" s="28" t="n"/>
      <c r="D586" s="28" t="n"/>
      <c r="E586" s="29">
        <f>IF($A586="","",$A586&amp;"|"&amp;DAY($B586))</f>
        <v/>
      </c>
      <c r="F586" s="29">
        <f>IF($A586="","",IF(COUNTIF(設定!$B$41:$B$70,$A586)=0,"⚠ 查無員編",IF(COUNTIF($E$3:$E$1002,$E586)&gt;1,"⚠ 重複打卡","OK")))</f>
        <v/>
      </c>
    </row>
    <row r="587">
      <c r="A587" s="26" t="n"/>
      <c r="B587" s="27" t="n"/>
      <c r="C587" s="28" t="n"/>
      <c r="D587" s="28" t="n"/>
      <c r="E587" s="29">
        <f>IF($A587="","",$A587&amp;"|"&amp;DAY($B587))</f>
        <v/>
      </c>
      <c r="F587" s="29">
        <f>IF($A587="","",IF(COUNTIF(設定!$B$41:$B$70,$A587)=0,"⚠ 查無員編",IF(COUNTIF($E$3:$E$1002,$E587)&gt;1,"⚠ 重複打卡","OK")))</f>
        <v/>
      </c>
    </row>
    <row r="588">
      <c r="A588" s="26" t="n"/>
      <c r="B588" s="27" t="n"/>
      <c r="C588" s="28" t="n"/>
      <c r="D588" s="28" t="n"/>
      <c r="E588" s="29">
        <f>IF($A588="","",$A588&amp;"|"&amp;DAY($B588))</f>
        <v/>
      </c>
      <c r="F588" s="29">
        <f>IF($A588="","",IF(COUNTIF(設定!$B$41:$B$70,$A588)=0,"⚠ 查無員編",IF(COUNTIF($E$3:$E$1002,$E588)&gt;1,"⚠ 重複打卡","OK")))</f>
        <v/>
      </c>
    </row>
    <row r="589">
      <c r="A589" s="26" t="n"/>
      <c r="B589" s="27" t="n"/>
      <c r="C589" s="28" t="n"/>
      <c r="D589" s="28" t="n"/>
      <c r="E589" s="29">
        <f>IF($A589="","",$A589&amp;"|"&amp;DAY($B589))</f>
        <v/>
      </c>
      <c r="F589" s="29">
        <f>IF($A589="","",IF(COUNTIF(設定!$B$41:$B$70,$A589)=0,"⚠ 查無員編",IF(COUNTIF($E$3:$E$1002,$E589)&gt;1,"⚠ 重複打卡","OK")))</f>
        <v/>
      </c>
    </row>
    <row r="590">
      <c r="A590" s="26" t="n"/>
      <c r="B590" s="27" t="n"/>
      <c r="C590" s="28" t="n"/>
      <c r="D590" s="28" t="n"/>
      <c r="E590" s="29">
        <f>IF($A590="","",$A590&amp;"|"&amp;DAY($B590))</f>
        <v/>
      </c>
      <c r="F590" s="29">
        <f>IF($A590="","",IF(COUNTIF(設定!$B$41:$B$70,$A590)=0,"⚠ 查無員編",IF(COUNTIF($E$3:$E$1002,$E590)&gt;1,"⚠ 重複打卡","OK")))</f>
        <v/>
      </c>
    </row>
    <row r="591">
      <c r="A591" s="26" t="n"/>
      <c r="B591" s="27" t="n"/>
      <c r="C591" s="28" t="n"/>
      <c r="D591" s="28" t="n"/>
      <c r="E591" s="29">
        <f>IF($A591="","",$A591&amp;"|"&amp;DAY($B591))</f>
        <v/>
      </c>
      <c r="F591" s="29">
        <f>IF($A591="","",IF(COUNTIF(設定!$B$41:$B$70,$A591)=0,"⚠ 查無員編",IF(COUNTIF($E$3:$E$1002,$E591)&gt;1,"⚠ 重複打卡","OK")))</f>
        <v/>
      </c>
    </row>
    <row r="592">
      <c r="A592" s="26" t="n"/>
      <c r="B592" s="27" t="n"/>
      <c r="C592" s="28" t="n"/>
      <c r="D592" s="28" t="n"/>
      <c r="E592" s="29">
        <f>IF($A592="","",$A592&amp;"|"&amp;DAY($B592))</f>
        <v/>
      </c>
      <c r="F592" s="29">
        <f>IF($A592="","",IF(COUNTIF(設定!$B$41:$B$70,$A592)=0,"⚠ 查無員編",IF(COUNTIF($E$3:$E$1002,$E592)&gt;1,"⚠ 重複打卡","OK")))</f>
        <v/>
      </c>
    </row>
    <row r="593">
      <c r="A593" s="26" t="n"/>
      <c r="B593" s="27" t="n"/>
      <c r="C593" s="28" t="n"/>
      <c r="D593" s="28" t="n"/>
      <c r="E593" s="29">
        <f>IF($A593="","",$A593&amp;"|"&amp;DAY($B593))</f>
        <v/>
      </c>
      <c r="F593" s="29">
        <f>IF($A593="","",IF(COUNTIF(設定!$B$41:$B$70,$A593)=0,"⚠ 查無員編",IF(COUNTIF($E$3:$E$1002,$E593)&gt;1,"⚠ 重複打卡","OK")))</f>
        <v/>
      </c>
    </row>
    <row r="594">
      <c r="A594" s="26" t="n"/>
      <c r="B594" s="27" t="n"/>
      <c r="C594" s="28" t="n"/>
      <c r="D594" s="28" t="n"/>
      <c r="E594" s="29">
        <f>IF($A594="","",$A594&amp;"|"&amp;DAY($B594))</f>
        <v/>
      </c>
      <c r="F594" s="29">
        <f>IF($A594="","",IF(COUNTIF(設定!$B$41:$B$70,$A594)=0,"⚠ 查無員編",IF(COUNTIF($E$3:$E$1002,$E594)&gt;1,"⚠ 重複打卡","OK")))</f>
        <v/>
      </c>
    </row>
    <row r="595">
      <c r="A595" s="26" t="n"/>
      <c r="B595" s="27" t="n"/>
      <c r="C595" s="28" t="n"/>
      <c r="D595" s="28" t="n"/>
      <c r="E595" s="29">
        <f>IF($A595="","",$A595&amp;"|"&amp;DAY($B595))</f>
        <v/>
      </c>
      <c r="F595" s="29">
        <f>IF($A595="","",IF(COUNTIF(設定!$B$41:$B$70,$A595)=0,"⚠ 查無員編",IF(COUNTIF($E$3:$E$1002,$E595)&gt;1,"⚠ 重複打卡","OK")))</f>
        <v/>
      </c>
    </row>
    <row r="596">
      <c r="A596" s="26" t="n"/>
      <c r="B596" s="27" t="n"/>
      <c r="C596" s="28" t="n"/>
      <c r="D596" s="28" t="n"/>
      <c r="E596" s="29">
        <f>IF($A596="","",$A596&amp;"|"&amp;DAY($B596))</f>
        <v/>
      </c>
      <c r="F596" s="29">
        <f>IF($A596="","",IF(COUNTIF(設定!$B$41:$B$70,$A596)=0,"⚠ 查無員編",IF(COUNTIF($E$3:$E$1002,$E596)&gt;1,"⚠ 重複打卡","OK")))</f>
        <v/>
      </c>
    </row>
    <row r="597">
      <c r="A597" s="26" t="n"/>
      <c r="B597" s="27" t="n"/>
      <c r="C597" s="28" t="n"/>
      <c r="D597" s="28" t="n"/>
      <c r="E597" s="29">
        <f>IF($A597="","",$A597&amp;"|"&amp;DAY($B597))</f>
        <v/>
      </c>
      <c r="F597" s="29">
        <f>IF($A597="","",IF(COUNTIF(設定!$B$41:$B$70,$A597)=0,"⚠ 查無員編",IF(COUNTIF($E$3:$E$1002,$E597)&gt;1,"⚠ 重複打卡","OK")))</f>
        <v/>
      </c>
    </row>
    <row r="598">
      <c r="A598" s="26" t="n"/>
      <c r="B598" s="27" t="n"/>
      <c r="C598" s="28" t="n"/>
      <c r="D598" s="28" t="n"/>
      <c r="E598" s="29">
        <f>IF($A598="","",$A598&amp;"|"&amp;DAY($B598))</f>
        <v/>
      </c>
      <c r="F598" s="29">
        <f>IF($A598="","",IF(COUNTIF(設定!$B$41:$B$70,$A598)=0,"⚠ 查無員編",IF(COUNTIF($E$3:$E$1002,$E598)&gt;1,"⚠ 重複打卡","OK")))</f>
        <v/>
      </c>
    </row>
    <row r="599">
      <c r="A599" s="26" t="n"/>
      <c r="B599" s="27" t="n"/>
      <c r="C599" s="28" t="n"/>
      <c r="D599" s="28" t="n"/>
      <c r="E599" s="29">
        <f>IF($A599="","",$A599&amp;"|"&amp;DAY($B599))</f>
        <v/>
      </c>
      <c r="F599" s="29">
        <f>IF($A599="","",IF(COUNTIF(設定!$B$41:$B$70,$A599)=0,"⚠ 查無員編",IF(COUNTIF($E$3:$E$1002,$E599)&gt;1,"⚠ 重複打卡","OK")))</f>
        <v/>
      </c>
    </row>
    <row r="600">
      <c r="A600" s="26" t="n"/>
      <c r="B600" s="27" t="n"/>
      <c r="C600" s="28" t="n"/>
      <c r="D600" s="28" t="n"/>
      <c r="E600" s="29">
        <f>IF($A600="","",$A600&amp;"|"&amp;DAY($B600))</f>
        <v/>
      </c>
      <c r="F600" s="29">
        <f>IF($A600="","",IF(COUNTIF(設定!$B$41:$B$70,$A600)=0,"⚠ 查無員編",IF(COUNTIF($E$3:$E$1002,$E600)&gt;1,"⚠ 重複打卡","OK")))</f>
        <v/>
      </c>
    </row>
    <row r="601">
      <c r="A601" s="26" t="n"/>
      <c r="B601" s="27" t="n"/>
      <c r="C601" s="28" t="n"/>
      <c r="D601" s="28" t="n"/>
      <c r="E601" s="29">
        <f>IF($A601="","",$A601&amp;"|"&amp;DAY($B601))</f>
        <v/>
      </c>
      <c r="F601" s="29">
        <f>IF($A601="","",IF(COUNTIF(設定!$B$41:$B$70,$A601)=0,"⚠ 查無員編",IF(COUNTIF($E$3:$E$1002,$E601)&gt;1,"⚠ 重複打卡","OK")))</f>
        <v/>
      </c>
    </row>
    <row r="602">
      <c r="A602" s="26" t="n"/>
      <c r="B602" s="27" t="n"/>
      <c r="C602" s="28" t="n"/>
      <c r="D602" s="28" t="n"/>
      <c r="E602" s="29">
        <f>IF($A602="","",$A602&amp;"|"&amp;DAY($B602))</f>
        <v/>
      </c>
      <c r="F602" s="29">
        <f>IF($A602="","",IF(COUNTIF(設定!$B$41:$B$70,$A602)=0,"⚠ 查無員編",IF(COUNTIF($E$3:$E$1002,$E602)&gt;1,"⚠ 重複打卡","OK")))</f>
        <v/>
      </c>
    </row>
    <row r="603">
      <c r="A603" s="26" t="n"/>
      <c r="B603" s="27" t="n"/>
      <c r="C603" s="28" t="n"/>
      <c r="D603" s="28" t="n"/>
      <c r="E603" s="29">
        <f>IF($A603="","",$A603&amp;"|"&amp;DAY($B603))</f>
        <v/>
      </c>
      <c r="F603" s="29">
        <f>IF($A603="","",IF(COUNTIF(設定!$B$41:$B$70,$A603)=0,"⚠ 查無員編",IF(COUNTIF($E$3:$E$1002,$E603)&gt;1,"⚠ 重複打卡","OK")))</f>
        <v/>
      </c>
    </row>
    <row r="604">
      <c r="A604" s="26" t="n"/>
      <c r="B604" s="27" t="n"/>
      <c r="C604" s="28" t="n"/>
      <c r="D604" s="28" t="n"/>
      <c r="E604" s="29">
        <f>IF($A604="","",$A604&amp;"|"&amp;DAY($B604))</f>
        <v/>
      </c>
      <c r="F604" s="29">
        <f>IF($A604="","",IF(COUNTIF(設定!$B$41:$B$70,$A604)=0,"⚠ 查無員編",IF(COUNTIF($E$3:$E$1002,$E604)&gt;1,"⚠ 重複打卡","OK")))</f>
        <v/>
      </c>
    </row>
    <row r="605">
      <c r="A605" s="26" t="n"/>
      <c r="B605" s="27" t="n"/>
      <c r="C605" s="28" t="n"/>
      <c r="D605" s="28" t="n"/>
      <c r="E605" s="29">
        <f>IF($A605="","",$A605&amp;"|"&amp;DAY($B605))</f>
        <v/>
      </c>
      <c r="F605" s="29">
        <f>IF($A605="","",IF(COUNTIF(設定!$B$41:$B$70,$A605)=0,"⚠ 查無員編",IF(COUNTIF($E$3:$E$1002,$E605)&gt;1,"⚠ 重複打卡","OK")))</f>
        <v/>
      </c>
    </row>
    <row r="606">
      <c r="A606" s="26" t="n"/>
      <c r="B606" s="27" t="n"/>
      <c r="C606" s="28" t="n"/>
      <c r="D606" s="28" t="n"/>
      <c r="E606" s="29">
        <f>IF($A606="","",$A606&amp;"|"&amp;DAY($B606))</f>
        <v/>
      </c>
      <c r="F606" s="29">
        <f>IF($A606="","",IF(COUNTIF(設定!$B$41:$B$70,$A606)=0,"⚠ 查無員編",IF(COUNTIF($E$3:$E$1002,$E606)&gt;1,"⚠ 重複打卡","OK")))</f>
        <v/>
      </c>
    </row>
    <row r="607">
      <c r="A607" s="26" t="n"/>
      <c r="B607" s="27" t="n"/>
      <c r="C607" s="28" t="n"/>
      <c r="D607" s="28" t="n"/>
      <c r="E607" s="29">
        <f>IF($A607="","",$A607&amp;"|"&amp;DAY($B607))</f>
        <v/>
      </c>
      <c r="F607" s="29">
        <f>IF($A607="","",IF(COUNTIF(設定!$B$41:$B$70,$A607)=0,"⚠ 查無員編",IF(COUNTIF($E$3:$E$1002,$E607)&gt;1,"⚠ 重複打卡","OK")))</f>
        <v/>
      </c>
    </row>
    <row r="608">
      <c r="A608" s="26" t="n"/>
      <c r="B608" s="27" t="n"/>
      <c r="C608" s="28" t="n"/>
      <c r="D608" s="28" t="n"/>
      <c r="E608" s="29">
        <f>IF($A608="","",$A608&amp;"|"&amp;DAY($B608))</f>
        <v/>
      </c>
      <c r="F608" s="29">
        <f>IF($A608="","",IF(COUNTIF(設定!$B$41:$B$70,$A608)=0,"⚠ 查無員編",IF(COUNTIF($E$3:$E$1002,$E608)&gt;1,"⚠ 重複打卡","OK")))</f>
        <v/>
      </c>
    </row>
    <row r="609">
      <c r="A609" s="26" t="n"/>
      <c r="B609" s="27" t="n"/>
      <c r="C609" s="28" t="n"/>
      <c r="D609" s="28" t="n"/>
      <c r="E609" s="29">
        <f>IF($A609="","",$A609&amp;"|"&amp;DAY($B609))</f>
        <v/>
      </c>
      <c r="F609" s="29">
        <f>IF($A609="","",IF(COUNTIF(設定!$B$41:$B$70,$A609)=0,"⚠ 查無員編",IF(COUNTIF($E$3:$E$1002,$E609)&gt;1,"⚠ 重複打卡","OK")))</f>
        <v/>
      </c>
    </row>
    <row r="610">
      <c r="A610" s="26" t="n"/>
      <c r="B610" s="27" t="n"/>
      <c r="C610" s="28" t="n"/>
      <c r="D610" s="28" t="n"/>
      <c r="E610" s="29">
        <f>IF($A610="","",$A610&amp;"|"&amp;DAY($B610))</f>
        <v/>
      </c>
      <c r="F610" s="29">
        <f>IF($A610="","",IF(COUNTIF(設定!$B$41:$B$70,$A610)=0,"⚠ 查無員編",IF(COUNTIF($E$3:$E$1002,$E610)&gt;1,"⚠ 重複打卡","OK")))</f>
        <v/>
      </c>
    </row>
    <row r="611">
      <c r="A611" s="26" t="n"/>
      <c r="B611" s="27" t="n"/>
      <c r="C611" s="28" t="n"/>
      <c r="D611" s="28" t="n"/>
      <c r="E611" s="29">
        <f>IF($A611="","",$A611&amp;"|"&amp;DAY($B611))</f>
        <v/>
      </c>
      <c r="F611" s="29">
        <f>IF($A611="","",IF(COUNTIF(設定!$B$41:$B$70,$A611)=0,"⚠ 查無員編",IF(COUNTIF($E$3:$E$1002,$E611)&gt;1,"⚠ 重複打卡","OK")))</f>
        <v/>
      </c>
    </row>
    <row r="612">
      <c r="A612" s="26" t="n"/>
      <c r="B612" s="27" t="n"/>
      <c r="C612" s="28" t="n"/>
      <c r="D612" s="28" t="n"/>
      <c r="E612" s="29">
        <f>IF($A612="","",$A612&amp;"|"&amp;DAY($B612))</f>
        <v/>
      </c>
      <c r="F612" s="29">
        <f>IF($A612="","",IF(COUNTIF(設定!$B$41:$B$70,$A612)=0,"⚠ 查無員編",IF(COUNTIF($E$3:$E$1002,$E612)&gt;1,"⚠ 重複打卡","OK")))</f>
        <v/>
      </c>
    </row>
    <row r="613">
      <c r="A613" s="26" t="n"/>
      <c r="B613" s="27" t="n"/>
      <c r="C613" s="28" t="n"/>
      <c r="D613" s="28" t="n"/>
      <c r="E613" s="29">
        <f>IF($A613="","",$A613&amp;"|"&amp;DAY($B613))</f>
        <v/>
      </c>
      <c r="F613" s="29">
        <f>IF($A613="","",IF(COUNTIF(設定!$B$41:$B$70,$A613)=0,"⚠ 查無員編",IF(COUNTIF($E$3:$E$1002,$E613)&gt;1,"⚠ 重複打卡","OK")))</f>
        <v/>
      </c>
    </row>
    <row r="614">
      <c r="A614" s="26" t="n"/>
      <c r="B614" s="27" t="n"/>
      <c r="C614" s="28" t="n"/>
      <c r="D614" s="28" t="n"/>
      <c r="E614" s="29">
        <f>IF($A614="","",$A614&amp;"|"&amp;DAY($B614))</f>
        <v/>
      </c>
      <c r="F614" s="29">
        <f>IF($A614="","",IF(COUNTIF(設定!$B$41:$B$70,$A614)=0,"⚠ 查無員編",IF(COUNTIF($E$3:$E$1002,$E614)&gt;1,"⚠ 重複打卡","OK")))</f>
        <v/>
      </c>
    </row>
    <row r="615">
      <c r="A615" s="26" t="n"/>
      <c r="B615" s="27" t="n"/>
      <c r="C615" s="28" t="n"/>
      <c r="D615" s="28" t="n"/>
      <c r="E615" s="29">
        <f>IF($A615="","",$A615&amp;"|"&amp;DAY($B615))</f>
        <v/>
      </c>
      <c r="F615" s="29">
        <f>IF($A615="","",IF(COUNTIF(設定!$B$41:$B$70,$A615)=0,"⚠ 查無員編",IF(COUNTIF($E$3:$E$1002,$E615)&gt;1,"⚠ 重複打卡","OK")))</f>
        <v/>
      </c>
    </row>
    <row r="616">
      <c r="A616" s="26" t="n"/>
      <c r="B616" s="27" t="n"/>
      <c r="C616" s="28" t="n"/>
      <c r="D616" s="28" t="n"/>
      <c r="E616" s="29">
        <f>IF($A616="","",$A616&amp;"|"&amp;DAY($B616))</f>
        <v/>
      </c>
      <c r="F616" s="29">
        <f>IF($A616="","",IF(COUNTIF(設定!$B$41:$B$70,$A616)=0,"⚠ 查無員編",IF(COUNTIF($E$3:$E$1002,$E616)&gt;1,"⚠ 重複打卡","OK")))</f>
        <v/>
      </c>
    </row>
    <row r="617">
      <c r="A617" s="26" t="n"/>
      <c r="B617" s="27" t="n"/>
      <c r="C617" s="28" t="n"/>
      <c r="D617" s="28" t="n"/>
      <c r="E617" s="29">
        <f>IF($A617="","",$A617&amp;"|"&amp;DAY($B617))</f>
        <v/>
      </c>
      <c r="F617" s="29">
        <f>IF($A617="","",IF(COUNTIF(設定!$B$41:$B$70,$A617)=0,"⚠ 查無員編",IF(COUNTIF($E$3:$E$1002,$E617)&gt;1,"⚠ 重複打卡","OK")))</f>
        <v/>
      </c>
    </row>
    <row r="618">
      <c r="A618" s="26" t="n"/>
      <c r="B618" s="27" t="n"/>
      <c r="C618" s="28" t="n"/>
      <c r="D618" s="28" t="n"/>
      <c r="E618" s="29">
        <f>IF($A618="","",$A618&amp;"|"&amp;DAY($B618))</f>
        <v/>
      </c>
      <c r="F618" s="29">
        <f>IF($A618="","",IF(COUNTIF(設定!$B$41:$B$70,$A618)=0,"⚠ 查無員編",IF(COUNTIF($E$3:$E$1002,$E618)&gt;1,"⚠ 重複打卡","OK")))</f>
        <v/>
      </c>
    </row>
    <row r="619">
      <c r="A619" s="26" t="n"/>
      <c r="B619" s="27" t="n"/>
      <c r="C619" s="28" t="n"/>
      <c r="D619" s="28" t="n"/>
      <c r="E619" s="29">
        <f>IF($A619="","",$A619&amp;"|"&amp;DAY($B619))</f>
        <v/>
      </c>
      <c r="F619" s="29">
        <f>IF($A619="","",IF(COUNTIF(設定!$B$41:$B$70,$A619)=0,"⚠ 查無員編",IF(COUNTIF($E$3:$E$1002,$E619)&gt;1,"⚠ 重複打卡","OK")))</f>
        <v/>
      </c>
    </row>
    <row r="620">
      <c r="A620" s="26" t="n"/>
      <c r="B620" s="27" t="n"/>
      <c r="C620" s="28" t="n"/>
      <c r="D620" s="28" t="n"/>
      <c r="E620" s="29">
        <f>IF($A620="","",$A620&amp;"|"&amp;DAY($B620))</f>
        <v/>
      </c>
      <c r="F620" s="29">
        <f>IF($A620="","",IF(COUNTIF(設定!$B$41:$B$70,$A620)=0,"⚠ 查無員編",IF(COUNTIF($E$3:$E$1002,$E620)&gt;1,"⚠ 重複打卡","OK")))</f>
        <v/>
      </c>
    </row>
    <row r="621">
      <c r="A621" s="26" t="n"/>
      <c r="B621" s="27" t="n"/>
      <c r="C621" s="28" t="n"/>
      <c r="D621" s="28" t="n"/>
      <c r="E621" s="29">
        <f>IF($A621="","",$A621&amp;"|"&amp;DAY($B621))</f>
        <v/>
      </c>
      <c r="F621" s="29">
        <f>IF($A621="","",IF(COUNTIF(設定!$B$41:$B$70,$A621)=0,"⚠ 查無員編",IF(COUNTIF($E$3:$E$1002,$E621)&gt;1,"⚠ 重複打卡","OK")))</f>
        <v/>
      </c>
    </row>
    <row r="622">
      <c r="A622" s="26" t="n"/>
      <c r="B622" s="27" t="n"/>
      <c r="C622" s="28" t="n"/>
      <c r="D622" s="28" t="n"/>
      <c r="E622" s="29">
        <f>IF($A622="","",$A622&amp;"|"&amp;DAY($B622))</f>
        <v/>
      </c>
      <c r="F622" s="29">
        <f>IF($A622="","",IF(COUNTIF(設定!$B$41:$B$70,$A622)=0,"⚠ 查無員編",IF(COUNTIF($E$3:$E$1002,$E622)&gt;1,"⚠ 重複打卡","OK")))</f>
        <v/>
      </c>
    </row>
    <row r="623">
      <c r="A623" s="26" t="n"/>
      <c r="B623" s="27" t="n"/>
      <c r="C623" s="28" t="n"/>
      <c r="D623" s="28" t="n"/>
      <c r="E623" s="29">
        <f>IF($A623="","",$A623&amp;"|"&amp;DAY($B623))</f>
        <v/>
      </c>
      <c r="F623" s="29">
        <f>IF($A623="","",IF(COUNTIF(設定!$B$41:$B$70,$A623)=0,"⚠ 查無員編",IF(COUNTIF($E$3:$E$1002,$E623)&gt;1,"⚠ 重複打卡","OK")))</f>
        <v/>
      </c>
    </row>
    <row r="624">
      <c r="A624" s="26" t="n"/>
      <c r="B624" s="27" t="n"/>
      <c r="C624" s="28" t="n"/>
      <c r="D624" s="28" t="n"/>
      <c r="E624" s="29">
        <f>IF($A624="","",$A624&amp;"|"&amp;DAY($B624))</f>
        <v/>
      </c>
      <c r="F624" s="29">
        <f>IF($A624="","",IF(COUNTIF(設定!$B$41:$B$70,$A624)=0,"⚠ 查無員編",IF(COUNTIF($E$3:$E$1002,$E624)&gt;1,"⚠ 重複打卡","OK")))</f>
        <v/>
      </c>
    </row>
    <row r="625">
      <c r="A625" s="26" t="n"/>
      <c r="B625" s="27" t="n"/>
      <c r="C625" s="28" t="n"/>
      <c r="D625" s="28" t="n"/>
      <c r="E625" s="29">
        <f>IF($A625="","",$A625&amp;"|"&amp;DAY($B625))</f>
        <v/>
      </c>
      <c r="F625" s="29">
        <f>IF($A625="","",IF(COUNTIF(設定!$B$41:$B$70,$A625)=0,"⚠ 查無員編",IF(COUNTIF($E$3:$E$1002,$E625)&gt;1,"⚠ 重複打卡","OK")))</f>
        <v/>
      </c>
    </row>
    <row r="626">
      <c r="A626" s="26" t="n"/>
      <c r="B626" s="27" t="n"/>
      <c r="C626" s="28" t="n"/>
      <c r="D626" s="28" t="n"/>
      <c r="E626" s="29">
        <f>IF($A626="","",$A626&amp;"|"&amp;DAY($B626))</f>
        <v/>
      </c>
      <c r="F626" s="29">
        <f>IF($A626="","",IF(COUNTIF(設定!$B$41:$B$70,$A626)=0,"⚠ 查無員編",IF(COUNTIF($E$3:$E$1002,$E626)&gt;1,"⚠ 重複打卡","OK")))</f>
        <v/>
      </c>
    </row>
    <row r="627">
      <c r="A627" s="26" t="n"/>
      <c r="B627" s="27" t="n"/>
      <c r="C627" s="28" t="n"/>
      <c r="D627" s="28" t="n"/>
      <c r="E627" s="29">
        <f>IF($A627="","",$A627&amp;"|"&amp;DAY($B627))</f>
        <v/>
      </c>
      <c r="F627" s="29">
        <f>IF($A627="","",IF(COUNTIF(設定!$B$41:$B$70,$A627)=0,"⚠ 查無員編",IF(COUNTIF($E$3:$E$1002,$E627)&gt;1,"⚠ 重複打卡","OK")))</f>
        <v/>
      </c>
    </row>
    <row r="628">
      <c r="A628" s="26" t="n"/>
      <c r="B628" s="27" t="n"/>
      <c r="C628" s="28" t="n"/>
      <c r="D628" s="28" t="n"/>
      <c r="E628" s="29">
        <f>IF($A628="","",$A628&amp;"|"&amp;DAY($B628))</f>
        <v/>
      </c>
      <c r="F628" s="29">
        <f>IF($A628="","",IF(COUNTIF(設定!$B$41:$B$70,$A628)=0,"⚠ 查無員編",IF(COUNTIF($E$3:$E$1002,$E628)&gt;1,"⚠ 重複打卡","OK")))</f>
        <v/>
      </c>
    </row>
    <row r="629">
      <c r="A629" s="26" t="n"/>
      <c r="B629" s="27" t="n"/>
      <c r="C629" s="28" t="n"/>
      <c r="D629" s="28" t="n"/>
      <c r="E629" s="29">
        <f>IF($A629="","",$A629&amp;"|"&amp;DAY($B629))</f>
        <v/>
      </c>
      <c r="F629" s="29">
        <f>IF($A629="","",IF(COUNTIF(設定!$B$41:$B$70,$A629)=0,"⚠ 查無員編",IF(COUNTIF($E$3:$E$1002,$E629)&gt;1,"⚠ 重複打卡","OK")))</f>
        <v/>
      </c>
    </row>
    <row r="630">
      <c r="A630" s="26" t="n"/>
      <c r="B630" s="27" t="n"/>
      <c r="C630" s="28" t="n"/>
      <c r="D630" s="28" t="n"/>
      <c r="E630" s="29">
        <f>IF($A630="","",$A630&amp;"|"&amp;DAY($B630))</f>
        <v/>
      </c>
      <c r="F630" s="29">
        <f>IF($A630="","",IF(COUNTIF(設定!$B$41:$B$70,$A630)=0,"⚠ 查無員編",IF(COUNTIF($E$3:$E$1002,$E630)&gt;1,"⚠ 重複打卡","OK")))</f>
        <v/>
      </c>
    </row>
    <row r="631">
      <c r="A631" s="26" t="n"/>
      <c r="B631" s="27" t="n"/>
      <c r="C631" s="28" t="n"/>
      <c r="D631" s="28" t="n"/>
      <c r="E631" s="29">
        <f>IF($A631="","",$A631&amp;"|"&amp;DAY($B631))</f>
        <v/>
      </c>
      <c r="F631" s="29">
        <f>IF($A631="","",IF(COUNTIF(設定!$B$41:$B$70,$A631)=0,"⚠ 查無員編",IF(COUNTIF($E$3:$E$1002,$E631)&gt;1,"⚠ 重複打卡","OK")))</f>
        <v/>
      </c>
    </row>
    <row r="632">
      <c r="A632" s="26" t="n"/>
      <c r="B632" s="27" t="n"/>
      <c r="C632" s="28" t="n"/>
      <c r="D632" s="28" t="n"/>
      <c r="E632" s="29">
        <f>IF($A632="","",$A632&amp;"|"&amp;DAY($B632))</f>
        <v/>
      </c>
      <c r="F632" s="29">
        <f>IF($A632="","",IF(COUNTIF(設定!$B$41:$B$70,$A632)=0,"⚠ 查無員編",IF(COUNTIF($E$3:$E$1002,$E632)&gt;1,"⚠ 重複打卡","OK")))</f>
        <v/>
      </c>
    </row>
    <row r="633">
      <c r="A633" s="26" t="n"/>
      <c r="B633" s="27" t="n"/>
      <c r="C633" s="28" t="n"/>
      <c r="D633" s="28" t="n"/>
      <c r="E633" s="29">
        <f>IF($A633="","",$A633&amp;"|"&amp;DAY($B633))</f>
        <v/>
      </c>
      <c r="F633" s="29">
        <f>IF($A633="","",IF(COUNTIF(設定!$B$41:$B$70,$A633)=0,"⚠ 查無員編",IF(COUNTIF($E$3:$E$1002,$E633)&gt;1,"⚠ 重複打卡","OK")))</f>
        <v/>
      </c>
    </row>
    <row r="634">
      <c r="A634" s="26" t="n"/>
      <c r="B634" s="27" t="n"/>
      <c r="C634" s="28" t="n"/>
      <c r="D634" s="28" t="n"/>
      <c r="E634" s="29">
        <f>IF($A634="","",$A634&amp;"|"&amp;DAY($B634))</f>
        <v/>
      </c>
      <c r="F634" s="29">
        <f>IF($A634="","",IF(COUNTIF(設定!$B$41:$B$70,$A634)=0,"⚠ 查無員編",IF(COUNTIF($E$3:$E$1002,$E634)&gt;1,"⚠ 重複打卡","OK")))</f>
        <v/>
      </c>
    </row>
    <row r="635">
      <c r="A635" s="26" t="n"/>
      <c r="B635" s="27" t="n"/>
      <c r="C635" s="28" t="n"/>
      <c r="D635" s="28" t="n"/>
      <c r="E635" s="29">
        <f>IF($A635="","",$A635&amp;"|"&amp;DAY($B635))</f>
        <v/>
      </c>
      <c r="F635" s="29">
        <f>IF($A635="","",IF(COUNTIF(設定!$B$41:$B$70,$A635)=0,"⚠ 查無員編",IF(COUNTIF($E$3:$E$1002,$E635)&gt;1,"⚠ 重複打卡","OK")))</f>
        <v/>
      </c>
    </row>
    <row r="636">
      <c r="A636" s="26" t="n"/>
      <c r="B636" s="27" t="n"/>
      <c r="C636" s="28" t="n"/>
      <c r="D636" s="28" t="n"/>
      <c r="E636" s="29">
        <f>IF($A636="","",$A636&amp;"|"&amp;DAY($B636))</f>
        <v/>
      </c>
      <c r="F636" s="29">
        <f>IF($A636="","",IF(COUNTIF(設定!$B$41:$B$70,$A636)=0,"⚠ 查無員編",IF(COUNTIF($E$3:$E$1002,$E636)&gt;1,"⚠ 重複打卡","OK")))</f>
        <v/>
      </c>
    </row>
    <row r="637">
      <c r="A637" s="26" t="n"/>
      <c r="B637" s="27" t="n"/>
      <c r="C637" s="28" t="n"/>
      <c r="D637" s="28" t="n"/>
      <c r="E637" s="29">
        <f>IF($A637="","",$A637&amp;"|"&amp;DAY($B637))</f>
        <v/>
      </c>
      <c r="F637" s="29">
        <f>IF($A637="","",IF(COUNTIF(設定!$B$41:$B$70,$A637)=0,"⚠ 查無員編",IF(COUNTIF($E$3:$E$1002,$E637)&gt;1,"⚠ 重複打卡","OK")))</f>
        <v/>
      </c>
    </row>
    <row r="638">
      <c r="A638" s="26" t="n"/>
      <c r="B638" s="27" t="n"/>
      <c r="C638" s="28" t="n"/>
      <c r="D638" s="28" t="n"/>
      <c r="E638" s="29">
        <f>IF($A638="","",$A638&amp;"|"&amp;DAY($B638))</f>
        <v/>
      </c>
      <c r="F638" s="29">
        <f>IF($A638="","",IF(COUNTIF(設定!$B$41:$B$70,$A638)=0,"⚠ 查無員編",IF(COUNTIF($E$3:$E$1002,$E638)&gt;1,"⚠ 重複打卡","OK")))</f>
        <v/>
      </c>
    </row>
    <row r="639">
      <c r="A639" s="26" t="n"/>
      <c r="B639" s="27" t="n"/>
      <c r="C639" s="28" t="n"/>
      <c r="D639" s="28" t="n"/>
      <c r="E639" s="29">
        <f>IF($A639="","",$A639&amp;"|"&amp;DAY($B639))</f>
        <v/>
      </c>
      <c r="F639" s="29">
        <f>IF($A639="","",IF(COUNTIF(設定!$B$41:$B$70,$A639)=0,"⚠ 查無員編",IF(COUNTIF($E$3:$E$1002,$E639)&gt;1,"⚠ 重複打卡","OK")))</f>
        <v/>
      </c>
    </row>
    <row r="640">
      <c r="A640" s="26" t="n"/>
      <c r="B640" s="27" t="n"/>
      <c r="C640" s="28" t="n"/>
      <c r="D640" s="28" t="n"/>
      <c r="E640" s="29">
        <f>IF($A640="","",$A640&amp;"|"&amp;DAY($B640))</f>
        <v/>
      </c>
      <c r="F640" s="29">
        <f>IF($A640="","",IF(COUNTIF(設定!$B$41:$B$70,$A640)=0,"⚠ 查無員編",IF(COUNTIF($E$3:$E$1002,$E640)&gt;1,"⚠ 重複打卡","OK")))</f>
        <v/>
      </c>
    </row>
    <row r="641">
      <c r="A641" s="26" t="n"/>
      <c r="B641" s="27" t="n"/>
      <c r="C641" s="28" t="n"/>
      <c r="D641" s="28" t="n"/>
      <c r="E641" s="29">
        <f>IF($A641="","",$A641&amp;"|"&amp;DAY($B641))</f>
        <v/>
      </c>
      <c r="F641" s="29">
        <f>IF($A641="","",IF(COUNTIF(設定!$B$41:$B$70,$A641)=0,"⚠ 查無員編",IF(COUNTIF($E$3:$E$1002,$E641)&gt;1,"⚠ 重複打卡","OK")))</f>
        <v/>
      </c>
    </row>
    <row r="642">
      <c r="A642" s="26" t="n"/>
      <c r="B642" s="27" t="n"/>
      <c r="C642" s="28" t="n"/>
      <c r="D642" s="28" t="n"/>
      <c r="E642" s="29">
        <f>IF($A642="","",$A642&amp;"|"&amp;DAY($B642))</f>
        <v/>
      </c>
      <c r="F642" s="29">
        <f>IF($A642="","",IF(COUNTIF(設定!$B$41:$B$70,$A642)=0,"⚠ 查無員編",IF(COUNTIF($E$3:$E$1002,$E642)&gt;1,"⚠ 重複打卡","OK")))</f>
        <v/>
      </c>
    </row>
    <row r="643">
      <c r="A643" s="26" t="n"/>
      <c r="B643" s="27" t="n"/>
      <c r="C643" s="28" t="n"/>
      <c r="D643" s="28" t="n"/>
      <c r="E643" s="29">
        <f>IF($A643="","",$A643&amp;"|"&amp;DAY($B643))</f>
        <v/>
      </c>
      <c r="F643" s="29">
        <f>IF($A643="","",IF(COUNTIF(設定!$B$41:$B$70,$A643)=0,"⚠ 查無員編",IF(COUNTIF($E$3:$E$1002,$E643)&gt;1,"⚠ 重複打卡","OK")))</f>
        <v/>
      </c>
    </row>
    <row r="644">
      <c r="A644" s="26" t="n"/>
      <c r="B644" s="27" t="n"/>
      <c r="C644" s="28" t="n"/>
      <c r="D644" s="28" t="n"/>
      <c r="E644" s="29">
        <f>IF($A644="","",$A644&amp;"|"&amp;DAY($B644))</f>
        <v/>
      </c>
      <c r="F644" s="29">
        <f>IF($A644="","",IF(COUNTIF(設定!$B$41:$B$70,$A644)=0,"⚠ 查無員編",IF(COUNTIF($E$3:$E$1002,$E644)&gt;1,"⚠ 重複打卡","OK")))</f>
        <v/>
      </c>
    </row>
    <row r="645">
      <c r="A645" s="26" t="n"/>
      <c r="B645" s="27" t="n"/>
      <c r="C645" s="28" t="n"/>
      <c r="D645" s="28" t="n"/>
      <c r="E645" s="29">
        <f>IF($A645="","",$A645&amp;"|"&amp;DAY($B645))</f>
        <v/>
      </c>
      <c r="F645" s="29">
        <f>IF($A645="","",IF(COUNTIF(設定!$B$41:$B$70,$A645)=0,"⚠ 查無員編",IF(COUNTIF($E$3:$E$1002,$E645)&gt;1,"⚠ 重複打卡","OK")))</f>
        <v/>
      </c>
    </row>
    <row r="646">
      <c r="A646" s="26" t="n"/>
      <c r="B646" s="27" t="n"/>
      <c r="C646" s="28" t="n"/>
      <c r="D646" s="28" t="n"/>
      <c r="E646" s="29">
        <f>IF($A646="","",$A646&amp;"|"&amp;DAY($B646))</f>
        <v/>
      </c>
      <c r="F646" s="29">
        <f>IF($A646="","",IF(COUNTIF(設定!$B$41:$B$70,$A646)=0,"⚠ 查無員編",IF(COUNTIF($E$3:$E$1002,$E646)&gt;1,"⚠ 重複打卡","OK")))</f>
        <v/>
      </c>
    </row>
    <row r="647">
      <c r="A647" s="26" t="n"/>
      <c r="B647" s="27" t="n"/>
      <c r="C647" s="28" t="n"/>
      <c r="D647" s="28" t="n"/>
      <c r="E647" s="29">
        <f>IF($A647="","",$A647&amp;"|"&amp;DAY($B647))</f>
        <v/>
      </c>
      <c r="F647" s="29">
        <f>IF($A647="","",IF(COUNTIF(設定!$B$41:$B$70,$A647)=0,"⚠ 查無員編",IF(COUNTIF($E$3:$E$1002,$E647)&gt;1,"⚠ 重複打卡","OK")))</f>
        <v/>
      </c>
    </row>
    <row r="648">
      <c r="A648" s="26" t="n"/>
      <c r="B648" s="27" t="n"/>
      <c r="C648" s="28" t="n"/>
      <c r="D648" s="28" t="n"/>
      <c r="E648" s="29">
        <f>IF($A648="","",$A648&amp;"|"&amp;DAY($B648))</f>
        <v/>
      </c>
      <c r="F648" s="29">
        <f>IF($A648="","",IF(COUNTIF(設定!$B$41:$B$70,$A648)=0,"⚠ 查無員編",IF(COUNTIF($E$3:$E$1002,$E648)&gt;1,"⚠ 重複打卡","OK")))</f>
        <v/>
      </c>
    </row>
    <row r="649">
      <c r="A649" s="26" t="n"/>
      <c r="B649" s="27" t="n"/>
      <c r="C649" s="28" t="n"/>
      <c r="D649" s="28" t="n"/>
      <c r="E649" s="29">
        <f>IF($A649="","",$A649&amp;"|"&amp;DAY($B649))</f>
        <v/>
      </c>
      <c r="F649" s="29">
        <f>IF($A649="","",IF(COUNTIF(設定!$B$41:$B$70,$A649)=0,"⚠ 查無員編",IF(COUNTIF($E$3:$E$1002,$E649)&gt;1,"⚠ 重複打卡","OK")))</f>
        <v/>
      </c>
    </row>
    <row r="650">
      <c r="A650" s="26" t="n"/>
      <c r="B650" s="27" t="n"/>
      <c r="C650" s="28" t="n"/>
      <c r="D650" s="28" t="n"/>
      <c r="E650" s="29">
        <f>IF($A650="","",$A650&amp;"|"&amp;DAY($B650))</f>
        <v/>
      </c>
      <c r="F650" s="29">
        <f>IF($A650="","",IF(COUNTIF(設定!$B$41:$B$70,$A650)=0,"⚠ 查無員編",IF(COUNTIF($E$3:$E$1002,$E650)&gt;1,"⚠ 重複打卡","OK")))</f>
        <v/>
      </c>
    </row>
    <row r="651">
      <c r="A651" s="26" t="n"/>
      <c r="B651" s="27" t="n"/>
      <c r="C651" s="28" t="n"/>
      <c r="D651" s="28" t="n"/>
      <c r="E651" s="29">
        <f>IF($A651="","",$A651&amp;"|"&amp;DAY($B651))</f>
        <v/>
      </c>
      <c r="F651" s="29">
        <f>IF($A651="","",IF(COUNTIF(設定!$B$41:$B$70,$A651)=0,"⚠ 查無員編",IF(COUNTIF($E$3:$E$1002,$E651)&gt;1,"⚠ 重複打卡","OK")))</f>
        <v/>
      </c>
    </row>
    <row r="652">
      <c r="A652" s="26" t="n"/>
      <c r="B652" s="27" t="n"/>
      <c r="C652" s="28" t="n"/>
      <c r="D652" s="28" t="n"/>
      <c r="E652" s="29">
        <f>IF($A652="","",$A652&amp;"|"&amp;DAY($B652))</f>
        <v/>
      </c>
      <c r="F652" s="29">
        <f>IF($A652="","",IF(COUNTIF(設定!$B$41:$B$70,$A652)=0,"⚠ 查無員編",IF(COUNTIF($E$3:$E$1002,$E652)&gt;1,"⚠ 重複打卡","OK")))</f>
        <v/>
      </c>
    </row>
    <row r="653">
      <c r="A653" s="26" t="n"/>
      <c r="B653" s="27" t="n"/>
      <c r="C653" s="28" t="n"/>
      <c r="D653" s="28" t="n"/>
      <c r="E653" s="29">
        <f>IF($A653="","",$A653&amp;"|"&amp;DAY($B653))</f>
        <v/>
      </c>
      <c r="F653" s="29">
        <f>IF($A653="","",IF(COUNTIF(設定!$B$41:$B$70,$A653)=0,"⚠ 查無員編",IF(COUNTIF($E$3:$E$1002,$E653)&gt;1,"⚠ 重複打卡","OK")))</f>
        <v/>
      </c>
    </row>
    <row r="654">
      <c r="A654" s="26" t="n"/>
      <c r="B654" s="27" t="n"/>
      <c r="C654" s="28" t="n"/>
      <c r="D654" s="28" t="n"/>
      <c r="E654" s="29">
        <f>IF($A654="","",$A654&amp;"|"&amp;DAY($B654))</f>
        <v/>
      </c>
      <c r="F654" s="29">
        <f>IF($A654="","",IF(COUNTIF(設定!$B$41:$B$70,$A654)=0,"⚠ 查無員編",IF(COUNTIF($E$3:$E$1002,$E654)&gt;1,"⚠ 重複打卡","OK")))</f>
        <v/>
      </c>
    </row>
    <row r="655">
      <c r="A655" s="26" t="n"/>
      <c r="B655" s="27" t="n"/>
      <c r="C655" s="28" t="n"/>
      <c r="D655" s="28" t="n"/>
      <c r="E655" s="29">
        <f>IF($A655="","",$A655&amp;"|"&amp;DAY($B655))</f>
        <v/>
      </c>
      <c r="F655" s="29">
        <f>IF($A655="","",IF(COUNTIF(設定!$B$41:$B$70,$A655)=0,"⚠ 查無員編",IF(COUNTIF($E$3:$E$1002,$E655)&gt;1,"⚠ 重複打卡","OK")))</f>
        <v/>
      </c>
    </row>
    <row r="656">
      <c r="A656" s="26" t="n"/>
      <c r="B656" s="27" t="n"/>
      <c r="C656" s="28" t="n"/>
      <c r="D656" s="28" t="n"/>
      <c r="E656" s="29">
        <f>IF($A656="","",$A656&amp;"|"&amp;DAY($B656))</f>
        <v/>
      </c>
      <c r="F656" s="29">
        <f>IF($A656="","",IF(COUNTIF(設定!$B$41:$B$70,$A656)=0,"⚠ 查無員編",IF(COUNTIF($E$3:$E$1002,$E656)&gt;1,"⚠ 重複打卡","OK")))</f>
        <v/>
      </c>
    </row>
    <row r="657">
      <c r="A657" s="26" t="n"/>
      <c r="B657" s="27" t="n"/>
      <c r="C657" s="28" t="n"/>
      <c r="D657" s="28" t="n"/>
      <c r="E657" s="29">
        <f>IF($A657="","",$A657&amp;"|"&amp;DAY($B657))</f>
        <v/>
      </c>
      <c r="F657" s="29">
        <f>IF($A657="","",IF(COUNTIF(設定!$B$41:$B$70,$A657)=0,"⚠ 查無員編",IF(COUNTIF($E$3:$E$1002,$E657)&gt;1,"⚠ 重複打卡","OK")))</f>
        <v/>
      </c>
    </row>
    <row r="658">
      <c r="A658" s="26" t="n"/>
      <c r="B658" s="27" t="n"/>
      <c r="C658" s="28" t="n"/>
      <c r="D658" s="28" t="n"/>
      <c r="E658" s="29">
        <f>IF($A658="","",$A658&amp;"|"&amp;DAY($B658))</f>
        <v/>
      </c>
      <c r="F658" s="29">
        <f>IF($A658="","",IF(COUNTIF(設定!$B$41:$B$70,$A658)=0,"⚠ 查無員編",IF(COUNTIF($E$3:$E$1002,$E658)&gt;1,"⚠ 重複打卡","OK")))</f>
        <v/>
      </c>
    </row>
    <row r="659">
      <c r="A659" s="26" t="n"/>
      <c r="B659" s="27" t="n"/>
      <c r="C659" s="28" t="n"/>
      <c r="D659" s="28" t="n"/>
      <c r="E659" s="29">
        <f>IF($A659="","",$A659&amp;"|"&amp;DAY($B659))</f>
        <v/>
      </c>
      <c r="F659" s="29">
        <f>IF($A659="","",IF(COUNTIF(設定!$B$41:$B$70,$A659)=0,"⚠ 查無員編",IF(COUNTIF($E$3:$E$1002,$E659)&gt;1,"⚠ 重複打卡","OK")))</f>
        <v/>
      </c>
    </row>
    <row r="660">
      <c r="A660" s="26" t="n"/>
      <c r="B660" s="27" t="n"/>
      <c r="C660" s="28" t="n"/>
      <c r="D660" s="28" t="n"/>
      <c r="E660" s="29">
        <f>IF($A660="","",$A660&amp;"|"&amp;DAY($B660))</f>
        <v/>
      </c>
      <c r="F660" s="29">
        <f>IF($A660="","",IF(COUNTIF(設定!$B$41:$B$70,$A660)=0,"⚠ 查無員編",IF(COUNTIF($E$3:$E$1002,$E660)&gt;1,"⚠ 重複打卡","OK")))</f>
        <v/>
      </c>
    </row>
    <row r="661">
      <c r="A661" s="26" t="n"/>
      <c r="B661" s="27" t="n"/>
      <c r="C661" s="28" t="n"/>
      <c r="D661" s="28" t="n"/>
      <c r="E661" s="29">
        <f>IF($A661="","",$A661&amp;"|"&amp;DAY($B661))</f>
        <v/>
      </c>
      <c r="F661" s="29">
        <f>IF($A661="","",IF(COUNTIF(設定!$B$41:$B$70,$A661)=0,"⚠ 查無員編",IF(COUNTIF($E$3:$E$1002,$E661)&gt;1,"⚠ 重複打卡","OK")))</f>
        <v/>
      </c>
    </row>
    <row r="662">
      <c r="A662" s="26" t="n"/>
      <c r="B662" s="27" t="n"/>
      <c r="C662" s="28" t="n"/>
      <c r="D662" s="28" t="n"/>
      <c r="E662" s="29">
        <f>IF($A662="","",$A662&amp;"|"&amp;DAY($B662))</f>
        <v/>
      </c>
      <c r="F662" s="29">
        <f>IF($A662="","",IF(COUNTIF(設定!$B$41:$B$70,$A662)=0,"⚠ 查無員編",IF(COUNTIF($E$3:$E$1002,$E662)&gt;1,"⚠ 重複打卡","OK")))</f>
        <v/>
      </c>
    </row>
    <row r="663">
      <c r="A663" s="26" t="n"/>
      <c r="B663" s="27" t="n"/>
      <c r="C663" s="28" t="n"/>
      <c r="D663" s="28" t="n"/>
      <c r="E663" s="29">
        <f>IF($A663="","",$A663&amp;"|"&amp;DAY($B663))</f>
        <v/>
      </c>
      <c r="F663" s="29">
        <f>IF($A663="","",IF(COUNTIF(設定!$B$41:$B$70,$A663)=0,"⚠ 查無員編",IF(COUNTIF($E$3:$E$1002,$E663)&gt;1,"⚠ 重複打卡","OK")))</f>
        <v/>
      </c>
    </row>
    <row r="664">
      <c r="A664" s="26" t="n"/>
      <c r="B664" s="27" t="n"/>
      <c r="C664" s="28" t="n"/>
      <c r="D664" s="28" t="n"/>
      <c r="E664" s="29">
        <f>IF($A664="","",$A664&amp;"|"&amp;DAY($B664))</f>
        <v/>
      </c>
      <c r="F664" s="29">
        <f>IF($A664="","",IF(COUNTIF(設定!$B$41:$B$70,$A664)=0,"⚠ 查無員編",IF(COUNTIF($E$3:$E$1002,$E664)&gt;1,"⚠ 重複打卡","OK")))</f>
        <v/>
      </c>
    </row>
    <row r="665">
      <c r="A665" s="26" t="n"/>
      <c r="B665" s="27" t="n"/>
      <c r="C665" s="28" t="n"/>
      <c r="D665" s="28" t="n"/>
      <c r="E665" s="29">
        <f>IF($A665="","",$A665&amp;"|"&amp;DAY($B665))</f>
        <v/>
      </c>
      <c r="F665" s="29">
        <f>IF($A665="","",IF(COUNTIF(設定!$B$41:$B$70,$A665)=0,"⚠ 查無員編",IF(COUNTIF($E$3:$E$1002,$E665)&gt;1,"⚠ 重複打卡","OK")))</f>
        <v/>
      </c>
    </row>
    <row r="666">
      <c r="A666" s="26" t="n"/>
      <c r="B666" s="27" t="n"/>
      <c r="C666" s="28" t="n"/>
      <c r="D666" s="28" t="n"/>
      <c r="E666" s="29">
        <f>IF($A666="","",$A666&amp;"|"&amp;DAY($B666))</f>
        <v/>
      </c>
      <c r="F666" s="29">
        <f>IF($A666="","",IF(COUNTIF(設定!$B$41:$B$70,$A666)=0,"⚠ 查無員編",IF(COUNTIF($E$3:$E$1002,$E666)&gt;1,"⚠ 重複打卡","OK")))</f>
        <v/>
      </c>
    </row>
    <row r="667">
      <c r="A667" s="26" t="n"/>
      <c r="B667" s="27" t="n"/>
      <c r="C667" s="28" t="n"/>
      <c r="D667" s="28" t="n"/>
      <c r="E667" s="29">
        <f>IF($A667="","",$A667&amp;"|"&amp;DAY($B667))</f>
        <v/>
      </c>
      <c r="F667" s="29">
        <f>IF($A667="","",IF(COUNTIF(設定!$B$41:$B$70,$A667)=0,"⚠ 查無員編",IF(COUNTIF($E$3:$E$1002,$E667)&gt;1,"⚠ 重複打卡","OK")))</f>
        <v/>
      </c>
    </row>
    <row r="668">
      <c r="A668" s="26" t="n"/>
      <c r="B668" s="27" t="n"/>
      <c r="C668" s="28" t="n"/>
      <c r="D668" s="28" t="n"/>
      <c r="E668" s="29">
        <f>IF($A668="","",$A668&amp;"|"&amp;DAY($B668))</f>
        <v/>
      </c>
      <c r="F668" s="29">
        <f>IF($A668="","",IF(COUNTIF(設定!$B$41:$B$70,$A668)=0,"⚠ 查無員編",IF(COUNTIF($E$3:$E$1002,$E668)&gt;1,"⚠ 重複打卡","OK")))</f>
        <v/>
      </c>
    </row>
    <row r="669">
      <c r="A669" s="26" t="n"/>
      <c r="B669" s="27" t="n"/>
      <c r="C669" s="28" t="n"/>
      <c r="D669" s="28" t="n"/>
      <c r="E669" s="29">
        <f>IF($A669="","",$A669&amp;"|"&amp;DAY($B669))</f>
        <v/>
      </c>
      <c r="F669" s="29">
        <f>IF($A669="","",IF(COUNTIF(設定!$B$41:$B$70,$A669)=0,"⚠ 查無員編",IF(COUNTIF($E$3:$E$1002,$E669)&gt;1,"⚠ 重複打卡","OK")))</f>
        <v/>
      </c>
    </row>
    <row r="670">
      <c r="A670" s="26" t="n"/>
      <c r="B670" s="27" t="n"/>
      <c r="C670" s="28" t="n"/>
      <c r="D670" s="28" t="n"/>
      <c r="E670" s="29">
        <f>IF($A670="","",$A670&amp;"|"&amp;DAY($B670))</f>
        <v/>
      </c>
      <c r="F670" s="29">
        <f>IF($A670="","",IF(COUNTIF(設定!$B$41:$B$70,$A670)=0,"⚠ 查無員編",IF(COUNTIF($E$3:$E$1002,$E670)&gt;1,"⚠ 重複打卡","OK")))</f>
        <v/>
      </c>
    </row>
    <row r="671">
      <c r="A671" s="26" t="n"/>
      <c r="B671" s="27" t="n"/>
      <c r="C671" s="28" t="n"/>
      <c r="D671" s="28" t="n"/>
      <c r="E671" s="29">
        <f>IF($A671="","",$A671&amp;"|"&amp;DAY($B671))</f>
        <v/>
      </c>
      <c r="F671" s="29">
        <f>IF($A671="","",IF(COUNTIF(設定!$B$41:$B$70,$A671)=0,"⚠ 查無員編",IF(COUNTIF($E$3:$E$1002,$E671)&gt;1,"⚠ 重複打卡","OK")))</f>
        <v/>
      </c>
    </row>
    <row r="672">
      <c r="A672" s="26" t="n"/>
      <c r="B672" s="27" t="n"/>
      <c r="C672" s="28" t="n"/>
      <c r="D672" s="28" t="n"/>
      <c r="E672" s="29">
        <f>IF($A672="","",$A672&amp;"|"&amp;DAY($B672))</f>
        <v/>
      </c>
      <c r="F672" s="29">
        <f>IF($A672="","",IF(COUNTIF(設定!$B$41:$B$70,$A672)=0,"⚠ 查無員編",IF(COUNTIF($E$3:$E$1002,$E672)&gt;1,"⚠ 重複打卡","OK")))</f>
        <v/>
      </c>
    </row>
    <row r="673">
      <c r="A673" s="26" t="n"/>
      <c r="B673" s="27" t="n"/>
      <c r="C673" s="28" t="n"/>
      <c r="D673" s="28" t="n"/>
      <c r="E673" s="29">
        <f>IF($A673="","",$A673&amp;"|"&amp;DAY($B673))</f>
        <v/>
      </c>
      <c r="F673" s="29">
        <f>IF($A673="","",IF(COUNTIF(設定!$B$41:$B$70,$A673)=0,"⚠ 查無員編",IF(COUNTIF($E$3:$E$1002,$E673)&gt;1,"⚠ 重複打卡","OK")))</f>
        <v/>
      </c>
    </row>
    <row r="674">
      <c r="A674" s="26" t="n"/>
      <c r="B674" s="27" t="n"/>
      <c r="C674" s="28" t="n"/>
      <c r="D674" s="28" t="n"/>
      <c r="E674" s="29">
        <f>IF($A674="","",$A674&amp;"|"&amp;DAY($B674))</f>
        <v/>
      </c>
      <c r="F674" s="29">
        <f>IF($A674="","",IF(COUNTIF(設定!$B$41:$B$70,$A674)=0,"⚠ 查無員編",IF(COUNTIF($E$3:$E$1002,$E674)&gt;1,"⚠ 重複打卡","OK")))</f>
        <v/>
      </c>
    </row>
    <row r="675">
      <c r="A675" s="26" t="n"/>
      <c r="B675" s="27" t="n"/>
      <c r="C675" s="28" t="n"/>
      <c r="D675" s="28" t="n"/>
      <c r="E675" s="29">
        <f>IF($A675="","",$A675&amp;"|"&amp;DAY($B675))</f>
        <v/>
      </c>
      <c r="F675" s="29">
        <f>IF($A675="","",IF(COUNTIF(設定!$B$41:$B$70,$A675)=0,"⚠ 查無員編",IF(COUNTIF($E$3:$E$1002,$E675)&gt;1,"⚠ 重複打卡","OK")))</f>
        <v/>
      </c>
    </row>
    <row r="676">
      <c r="A676" s="26" t="n"/>
      <c r="B676" s="27" t="n"/>
      <c r="C676" s="28" t="n"/>
      <c r="D676" s="28" t="n"/>
      <c r="E676" s="29">
        <f>IF($A676="","",$A676&amp;"|"&amp;DAY($B676))</f>
        <v/>
      </c>
      <c r="F676" s="29">
        <f>IF($A676="","",IF(COUNTIF(設定!$B$41:$B$70,$A676)=0,"⚠ 查無員編",IF(COUNTIF($E$3:$E$1002,$E676)&gt;1,"⚠ 重複打卡","OK")))</f>
        <v/>
      </c>
    </row>
    <row r="677">
      <c r="A677" s="26" t="n"/>
      <c r="B677" s="27" t="n"/>
      <c r="C677" s="28" t="n"/>
      <c r="D677" s="28" t="n"/>
      <c r="E677" s="29">
        <f>IF($A677="","",$A677&amp;"|"&amp;DAY($B677))</f>
        <v/>
      </c>
      <c r="F677" s="29">
        <f>IF($A677="","",IF(COUNTIF(設定!$B$41:$B$70,$A677)=0,"⚠ 查無員編",IF(COUNTIF($E$3:$E$1002,$E677)&gt;1,"⚠ 重複打卡","OK")))</f>
        <v/>
      </c>
    </row>
    <row r="678">
      <c r="A678" s="26" t="n"/>
      <c r="B678" s="27" t="n"/>
      <c r="C678" s="28" t="n"/>
      <c r="D678" s="28" t="n"/>
      <c r="E678" s="29">
        <f>IF($A678="","",$A678&amp;"|"&amp;DAY($B678))</f>
        <v/>
      </c>
      <c r="F678" s="29">
        <f>IF($A678="","",IF(COUNTIF(設定!$B$41:$B$70,$A678)=0,"⚠ 查無員編",IF(COUNTIF($E$3:$E$1002,$E678)&gt;1,"⚠ 重複打卡","OK")))</f>
        <v/>
      </c>
    </row>
    <row r="679">
      <c r="A679" s="26" t="n"/>
      <c r="B679" s="27" t="n"/>
      <c r="C679" s="28" t="n"/>
      <c r="D679" s="28" t="n"/>
      <c r="E679" s="29">
        <f>IF($A679="","",$A679&amp;"|"&amp;DAY($B679))</f>
        <v/>
      </c>
      <c r="F679" s="29">
        <f>IF($A679="","",IF(COUNTIF(設定!$B$41:$B$70,$A679)=0,"⚠ 查無員編",IF(COUNTIF($E$3:$E$1002,$E679)&gt;1,"⚠ 重複打卡","OK")))</f>
        <v/>
      </c>
    </row>
    <row r="680">
      <c r="A680" s="26" t="n"/>
      <c r="B680" s="27" t="n"/>
      <c r="C680" s="28" t="n"/>
      <c r="D680" s="28" t="n"/>
      <c r="E680" s="29">
        <f>IF($A680="","",$A680&amp;"|"&amp;DAY($B680))</f>
        <v/>
      </c>
      <c r="F680" s="29">
        <f>IF($A680="","",IF(COUNTIF(設定!$B$41:$B$70,$A680)=0,"⚠ 查無員編",IF(COUNTIF($E$3:$E$1002,$E680)&gt;1,"⚠ 重複打卡","OK")))</f>
        <v/>
      </c>
    </row>
    <row r="681">
      <c r="A681" s="26" t="n"/>
      <c r="B681" s="27" t="n"/>
      <c r="C681" s="28" t="n"/>
      <c r="D681" s="28" t="n"/>
      <c r="E681" s="29">
        <f>IF($A681="","",$A681&amp;"|"&amp;DAY($B681))</f>
        <v/>
      </c>
      <c r="F681" s="29">
        <f>IF($A681="","",IF(COUNTIF(設定!$B$41:$B$70,$A681)=0,"⚠ 查無員編",IF(COUNTIF($E$3:$E$1002,$E681)&gt;1,"⚠ 重複打卡","OK")))</f>
        <v/>
      </c>
    </row>
    <row r="682">
      <c r="A682" s="26" t="n"/>
      <c r="B682" s="27" t="n"/>
      <c r="C682" s="28" t="n"/>
      <c r="D682" s="28" t="n"/>
      <c r="E682" s="29">
        <f>IF($A682="","",$A682&amp;"|"&amp;DAY($B682))</f>
        <v/>
      </c>
      <c r="F682" s="29">
        <f>IF($A682="","",IF(COUNTIF(設定!$B$41:$B$70,$A682)=0,"⚠ 查無員編",IF(COUNTIF($E$3:$E$1002,$E682)&gt;1,"⚠ 重複打卡","OK")))</f>
        <v/>
      </c>
    </row>
    <row r="683">
      <c r="A683" s="26" t="n"/>
      <c r="B683" s="27" t="n"/>
      <c r="C683" s="28" t="n"/>
      <c r="D683" s="28" t="n"/>
      <c r="E683" s="29">
        <f>IF($A683="","",$A683&amp;"|"&amp;DAY($B683))</f>
        <v/>
      </c>
      <c r="F683" s="29">
        <f>IF($A683="","",IF(COUNTIF(設定!$B$41:$B$70,$A683)=0,"⚠ 查無員編",IF(COUNTIF($E$3:$E$1002,$E683)&gt;1,"⚠ 重複打卡","OK")))</f>
        <v/>
      </c>
    </row>
    <row r="684">
      <c r="A684" s="26" t="n"/>
      <c r="B684" s="27" t="n"/>
      <c r="C684" s="28" t="n"/>
      <c r="D684" s="28" t="n"/>
      <c r="E684" s="29">
        <f>IF($A684="","",$A684&amp;"|"&amp;DAY($B684))</f>
        <v/>
      </c>
      <c r="F684" s="29">
        <f>IF($A684="","",IF(COUNTIF(設定!$B$41:$B$70,$A684)=0,"⚠ 查無員編",IF(COUNTIF($E$3:$E$1002,$E684)&gt;1,"⚠ 重複打卡","OK")))</f>
        <v/>
      </c>
    </row>
    <row r="685">
      <c r="A685" s="26" t="n"/>
      <c r="B685" s="27" t="n"/>
      <c r="C685" s="28" t="n"/>
      <c r="D685" s="28" t="n"/>
      <c r="E685" s="29">
        <f>IF($A685="","",$A685&amp;"|"&amp;DAY($B685))</f>
        <v/>
      </c>
      <c r="F685" s="29">
        <f>IF($A685="","",IF(COUNTIF(設定!$B$41:$B$70,$A685)=0,"⚠ 查無員編",IF(COUNTIF($E$3:$E$1002,$E685)&gt;1,"⚠ 重複打卡","OK")))</f>
        <v/>
      </c>
    </row>
    <row r="686">
      <c r="A686" s="26" t="n"/>
      <c r="B686" s="27" t="n"/>
      <c r="C686" s="28" t="n"/>
      <c r="D686" s="28" t="n"/>
      <c r="E686" s="29">
        <f>IF($A686="","",$A686&amp;"|"&amp;DAY($B686))</f>
        <v/>
      </c>
      <c r="F686" s="29">
        <f>IF($A686="","",IF(COUNTIF(設定!$B$41:$B$70,$A686)=0,"⚠ 查無員編",IF(COUNTIF($E$3:$E$1002,$E686)&gt;1,"⚠ 重複打卡","OK")))</f>
        <v/>
      </c>
    </row>
    <row r="687">
      <c r="A687" s="26" t="n"/>
      <c r="B687" s="27" t="n"/>
      <c r="C687" s="28" t="n"/>
      <c r="D687" s="28" t="n"/>
      <c r="E687" s="29">
        <f>IF($A687="","",$A687&amp;"|"&amp;DAY($B687))</f>
        <v/>
      </c>
      <c r="F687" s="29">
        <f>IF($A687="","",IF(COUNTIF(設定!$B$41:$B$70,$A687)=0,"⚠ 查無員編",IF(COUNTIF($E$3:$E$1002,$E687)&gt;1,"⚠ 重複打卡","OK")))</f>
        <v/>
      </c>
    </row>
    <row r="688">
      <c r="A688" s="26" t="n"/>
      <c r="B688" s="27" t="n"/>
      <c r="C688" s="28" t="n"/>
      <c r="D688" s="28" t="n"/>
      <c r="E688" s="29">
        <f>IF($A688="","",$A688&amp;"|"&amp;DAY($B688))</f>
        <v/>
      </c>
      <c r="F688" s="29">
        <f>IF($A688="","",IF(COUNTIF(設定!$B$41:$B$70,$A688)=0,"⚠ 查無員編",IF(COUNTIF($E$3:$E$1002,$E688)&gt;1,"⚠ 重複打卡","OK")))</f>
        <v/>
      </c>
    </row>
    <row r="689">
      <c r="A689" s="26" t="n"/>
      <c r="B689" s="27" t="n"/>
      <c r="C689" s="28" t="n"/>
      <c r="D689" s="28" t="n"/>
      <c r="E689" s="29">
        <f>IF($A689="","",$A689&amp;"|"&amp;DAY($B689))</f>
        <v/>
      </c>
      <c r="F689" s="29">
        <f>IF($A689="","",IF(COUNTIF(設定!$B$41:$B$70,$A689)=0,"⚠ 查無員編",IF(COUNTIF($E$3:$E$1002,$E689)&gt;1,"⚠ 重複打卡","OK")))</f>
        <v/>
      </c>
    </row>
    <row r="690">
      <c r="A690" s="26" t="n"/>
      <c r="B690" s="27" t="n"/>
      <c r="C690" s="28" t="n"/>
      <c r="D690" s="28" t="n"/>
      <c r="E690" s="29">
        <f>IF($A690="","",$A690&amp;"|"&amp;DAY($B690))</f>
        <v/>
      </c>
      <c r="F690" s="29">
        <f>IF($A690="","",IF(COUNTIF(設定!$B$41:$B$70,$A690)=0,"⚠ 查無員編",IF(COUNTIF($E$3:$E$1002,$E690)&gt;1,"⚠ 重複打卡","OK")))</f>
        <v/>
      </c>
    </row>
    <row r="691">
      <c r="A691" s="26" t="n"/>
      <c r="B691" s="27" t="n"/>
      <c r="C691" s="28" t="n"/>
      <c r="D691" s="28" t="n"/>
      <c r="E691" s="29">
        <f>IF($A691="","",$A691&amp;"|"&amp;DAY($B691))</f>
        <v/>
      </c>
      <c r="F691" s="29">
        <f>IF($A691="","",IF(COUNTIF(設定!$B$41:$B$70,$A691)=0,"⚠ 查無員編",IF(COUNTIF($E$3:$E$1002,$E691)&gt;1,"⚠ 重複打卡","OK")))</f>
        <v/>
      </c>
    </row>
    <row r="692">
      <c r="A692" s="26" t="n"/>
      <c r="B692" s="27" t="n"/>
      <c r="C692" s="28" t="n"/>
      <c r="D692" s="28" t="n"/>
      <c r="E692" s="29">
        <f>IF($A692="","",$A692&amp;"|"&amp;DAY($B692))</f>
        <v/>
      </c>
      <c r="F692" s="29">
        <f>IF($A692="","",IF(COUNTIF(設定!$B$41:$B$70,$A692)=0,"⚠ 查無員編",IF(COUNTIF($E$3:$E$1002,$E692)&gt;1,"⚠ 重複打卡","OK")))</f>
        <v/>
      </c>
    </row>
    <row r="693">
      <c r="A693" s="26" t="n"/>
      <c r="B693" s="27" t="n"/>
      <c r="C693" s="28" t="n"/>
      <c r="D693" s="28" t="n"/>
      <c r="E693" s="29">
        <f>IF($A693="","",$A693&amp;"|"&amp;DAY($B693))</f>
        <v/>
      </c>
      <c r="F693" s="29">
        <f>IF($A693="","",IF(COUNTIF(設定!$B$41:$B$70,$A693)=0,"⚠ 查無員編",IF(COUNTIF($E$3:$E$1002,$E693)&gt;1,"⚠ 重複打卡","OK")))</f>
        <v/>
      </c>
    </row>
    <row r="694">
      <c r="A694" s="26" t="n"/>
      <c r="B694" s="27" t="n"/>
      <c r="C694" s="28" t="n"/>
      <c r="D694" s="28" t="n"/>
      <c r="E694" s="29">
        <f>IF($A694="","",$A694&amp;"|"&amp;DAY($B694))</f>
        <v/>
      </c>
      <c r="F694" s="29">
        <f>IF($A694="","",IF(COUNTIF(設定!$B$41:$B$70,$A694)=0,"⚠ 查無員編",IF(COUNTIF($E$3:$E$1002,$E694)&gt;1,"⚠ 重複打卡","OK")))</f>
        <v/>
      </c>
    </row>
    <row r="695">
      <c r="A695" s="26" t="n"/>
      <c r="B695" s="27" t="n"/>
      <c r="C695" s="28" t="n"/>
      <c r="D695" s="28" t="n"/>
      <c r="E695" s="29">
        <f>IF($A695="","",$A695&amp;"|"&amp;DAY($B695))</f>
        <v/>
      </c>
      <c r="F695" s="29">
        <f>IF($A695="","",IF(COUNTIF(設定!$B$41:$B$70,$A695)=0,"⚠ 查無員編",IF(COUNTIF($E$3:$E$1002,$E695)&gt;1,"⚠ 重複打卡","OK")))</f>
        <v/>
      </c>
    </row>
    <row r="696">
      <c r="A696" s="26" t="n"/>
      <c r="B696" s="27" t="n"/>
      <c r="C696" s="28" t="n"/>
      <c r="D696" s="28" t="n"/>
      <c r="E696" s="29">
        <f>IF($A696="","",$A696&amp;"|"&amp;DAY($B696))</f>
        <v/>
      </c>
      <c r="F696" s="29">
        <f>IF($A696="","",IF(COUNTIF(設定!$B$41:$B$70,$A696)=0,"⚠ 查無員編",IF(COUNTIF($E$3:$E$1002,$E696)&gt;1,"⚠ 重複打卡","OK")))</f>
        <v/>
      </c>
    </row>
    <row r="697">
      <c r="A697" s="26" t="n"/>
      <c r="B697" s="27" t="n"/>
      <c r="C697" s="28" t="n"/>
      <c r="D697" s="28" t="n"/>
      <c r="E697" s="29">
        <f>IF($A697="","",$A697&amp;"|"&amp;DAY($B697))</f>
        <v/>
      </c>
      <c r="F697" s="29">
        <f>IF($A697="","",IF(COUNTIF(設定!$B$41:$B$70,$A697)=0,"⚠ 查無員編",IF(COUNTIF($E$3:$E$1002,$E697)&gt;1,"⚠ 重複打卡","OK")))</f>
        <v/>
      </c>
    </row>
    <row r="698">
      <c r="A698" s="26" t="n"/>
      <c r="B698" s="27" t="n"/>
      <c r="C698" s="28" t="n"/>
      <c r="D698" s="28" t="n"/>
      <c r="E698" s="29">
        <f>IF($A698="","",$A698&amp;"|"&amp;DAY($B698))</f>
        <v/>
      </c>
      <c r="F698" s="29">
        <f>IF($A698="","",IF(COUNTIF(設定!$B$41:$B$70,$A698)=0,"⚠ 查無員編",IF(COUNTIF($E$3:$E$1002,$E698)&gt;1,"⚠ 重複打卡","OK")))</f>
        <v/>
      </c>
    </row>
    <row r="699">
      <c r="A699" s="26" t="n"/>
      <c r="B699" s="27" t="n"/>
      <c r="C699" s="28" t="n"/>
      <c r="D699" s="28" t="n"/>
      <c r="E699" s="29">
        <f>IF($A699="","",$A699&amp;"|"&amp;DAY($B699))</f>
        <v/>
      </c>
      <c r="F699" s="29">
        <f>IF($A699="","",IF(COUNTIF(設定!$B$41:$B$70,$A699)=0,"⚠ 查無員編",IF(COUNTIF($E$3:$E$1002,$E699)&gt;1,"⚠ 重複打卡","OK")))</f>
        <v/>
      </c>
    </row>
    <row r="700">
      <c r="A700" s="26" t="n"/>
      <c r="B700" s="27" t="n"/>
      <c r="C700" s="28" t="n"/>
      <c r="D700" s="28" t="n"/>
      <c r="E700" s="29">
        <f>IF($A700="","",$A700&amp;"|"&amp;DAY($B700))</f>
        <v/>
      </c>
      <c r="F700" s="29">
        <f>IF($A700="","",IF(COUNTIF(設定!$B$41:$B$70,$A700)=0,"⚠ 查無員編",IF(COUNTIF($E$3:$E$1002,$E700)&gt;1,"⚠ 重複打卡","OK")))</f>
        <v/>
      </c>
    </row>
    <row r="701">
      <c r="A701" s="26" t="n"/>
      <c r="B701" s="27" t="n"/>
      <c r="C701" s="28" t="n"/>
      <c r="D701" s="28" t="n"/>
      <c r="E701" s="29">
        <f>IF($A701="","",$A701&amp;"|"&amp;DAY($B701))</f>
        <v/>
      </c>
      <c r="F701" s="29">
        <f>IF($A701="","",IF(COUNTIF(設定!$B$41:$B$70,$A701)=0,"⚠ 查無員編",IF(COUNTIF($E$3:$E$1002,$E701)&gt;1,"⚠ 重複打卡","OK")))</f>
        <v/>
      </c>
    </row>
    <row r="702">
      <c r="A702" s="26" t="n"/>
      <c r="B702" s="27" t="n"/>
      <c r="C702" s="28" t="n"/>
      <c r="D702" s="28" t="n"/>
      <c r="E702" s="29">
        <f>IF($A702="","",$A702&amp;"|"&amp;DAY($B702))</f>
        <v/>
      </c>
      <c r="F702" s="29">
        <f>IF($A702="","",IF(COUNTIF(設定!$B$41:$B$70,$A702)=0,"⚠ 查無員編",IF(COUNTIF($E$3:$E$1002,$E702)&gt;1,"⚠ 重複打卡","OK")))</f>
        <v/>
      </c>
    </row>
    <row r="703">
      <c r="A703" s="26" t="n"/>
      <c r="B703" s="27" t="n"/>
      <c r="C703" s="28" t="n"/>
      <c r="D703" s="28" t="n"/>
      <c r="E703" s="29">
        <f>IF($A703="","",$A703&amp;"|"&amp;DAY($B703))</f>
        <v/>
      </c>
      <c r="F703" s="29">
        <f>IF($A703="","",IF(COUNTIF(設定!$B$41:$B$70,$A703)=0,"⚠ 查無員編",IF(COUNTIF($E$3:$E$1002,$E703)&gt;1,"⚠ 重複打卡","OK")))</f>
        <v/>
      </c>
    </row>
    <row r="704">
      <c r="A704" s="26" t="n"/>
      <c r="B704" s="27" t="n"/>
      <c r="C704" s="28" t="n"/>
      <c r="D704" s="28" t="n"/>
      <c r="E704" s="29">
        <f>IF($A704="","",$A704&amp;"|"&amp;DAY($B704))</f>
        <v/>
      </c>
      <c r="F704" s="29">
        <f>IF($A704="","",IF(COUNTIF(設定!$B$41:$B$70,$A704)=0,"⚠ 查無員編",IF(COUNTIF($E$3:$E$1002,$E704)&gt;1,"⚠ 重複打卡","OK")))</f>
        <v/>
      </c>
    </row>
    <row r="705">
      <c r="A705" s="26" t="n"/>
      <c r="B705" s="27" t="n"/>
      <c r="C705" s="28" t="n"/>
      <c r="D705" s="28" t="n"/>
      <c r="E705" s="29">
        <f>IF($A705="","",$A705&amp;"|"&amp;DAY($B705))</f>
        <v/>
      </c>
      <c r="F705" s="29">
        <f>IF($A705="","",IF(COUNTIF(設定!$B$41:$B$70,$A705)=0,"⚠ 查無員編",IF(COUNTIF($E$3:$E$1002,$E705)&gt;1,"⚠ 重複打卡","OK")))</f>
        <v/>
      </c>
    </row>
    <row r="706">
      <c r="A706" s="26" t="n"/>
      <c r="B706" s="27" t="n"/>
      <c r="C706" s="28" t="n"/>
      <c r="D706" s="28" t="n"/>
      <c r="E706" s="29">
        <f>IF($A706="","",$A706&amp;"|"&amp;DAY($B706))</f>
        <v/>
      </c>
      <c r="F706" s="29">
        <f>IF($A706="","",IF(COUNTIF(設定!$B$41:$B$70,$A706)=0,"⚠ 查無員編",IF(COUNTIF($E$3:$E$1002,$E706)&gt;1,"⚠ 重複打卡","OK")))</f>
        <v/>
      </c>
    </row>
    <row r="707">
      <c r="A707" s="26" t="n"/>
      <c r="B707" s="27" t="n"/>
      <c r="C707" s="28" t="n"/>
      <c r="D707" s="28" t="n"/>
      <c r="E707" s="29">
        <f>IF($A707="","",$A707&amp;"|"&amp;DAY($B707))</f>
        <v/>
      </c>
      <c r="F707" s="29">
        <f>IF($A707="","",IF(COUNTIF(設定!$B$41:$B$70,$A707)=0,"⚠ 查無員編",IF(COUNTIF($E$3:$E$1002,$E707)&gt;1,"⚠ 重複打卡","OK")))</f>
        <v/>
      </c>
    </row>
    <row r="708">
      <c r="A708" s="26" t="n"/>
      <c r="B708" s="27" t="n"/>
      <c r="C708" s="28" t="n"/>
      <c r="D708" s="28" t="n"/>
      <c r="E708" s="29">
        <f>IF($A708="","",$A708&amp;"|"&amp;DAY($B708))</f>
        <v/>
      </c>
      <c r="F708" s="29">
        <f>IF($A708="","",IF(COUNTIF(設定!$B$41:$B$70,$A708)=0,"⚠ 查無員編",IF(COUNTIF($E$3:$E$1002,$E708)&gt;1,"⚠ 重複打卡","OK")))</f>
        <v/>
      </c>
    </row>
    <row r="709">
      <c r="A709" s="26" t="n"/>
      <c r="B709" s="27" t="n"/>
      <c r="C709" s="28" t="n"/>
      <c r="D709" s="28" t="n"/>
      <c r="E709" s="29">
        <f>IF($A709="","",$A709&amp;"|"&amp;DAY($B709))</f>
        <v/>
      </c>
      <c r="F709" s="29">
        <f>IF($A709="","",IF(COUNTIF(設定!$B$41:$B$70,$A709)=0,"⚠ 查無員編",IF(COUNTIF($E$3:$E$1002,$E709)&gt;1,"⚠ 重複打卡","OK")))</f>
        <v/>
      </c>
    </row>
    <row r="710">
      <c r="A710" s="26" t="n"/>
      <c r="B710" s="27" t="n"/>
      <c r="C710" s="28" t="n"/>
      <c r="D710" s="28" t="n"/>
      <c r="E710" s="29">
        <f>IF($A710="","",$A710&amp;"|"&amp;DAY($B710))</f>
        <v/>
      </c>
      <c r="F710" s="29">
        <f>IF($A710="","",IF(COUNTIF(設定!$B$41:$B$70,$A710)=0,"⚠ 查無員編",IF(COUNTIF($E$3:$E$1002,$E710)&gt;1,"⚠ 重複打卡","OK")))</f>
        <v/>
      </c>
    </row>
    <row r="711">
      <c r="A711" s="26" t="n"/>
      <c r="B711" s="27" t="n"/>
      <c r="C711" s="28" t="n"/>
      <c r="D711" s="28" t="n"/>
      <c r="E711" s="29">
        <f>IF($A711="","",$A711&amp;"|"&amp;DAY($B711))</f>
        <v/>
      </c>
      <c r="F711" s="29">
        <f>IF($A711="","",IF(COUNTIF(設定!$B$41:$B$70,$A711)=0,"⚠ 查無員編",IF(COUNTIF($E$3:$E$1002,$E711)&gt;1,"⚠ 重複打卡","OK")))</f>
        <v/>
      </c>
    </row>
    <row r="712">
      <c r="A712" s="26" t="n"/>
      <c r="B712" s="27" t="n"/>
      <c r="C712" s="28" t="n"/>
      <c r="D712" s="28" t="n"/>
      <c r="E712" s="29">
        <f>IF($A712="","",$A712&amp;"|"&amp;DAY($B712))</f>
        <v/>
      </c>
      <c r="F712" s="29">
        <f>IF($A712="","",IF(COUNTIF(設定!$B$41:$B$70,$A712)=0,"⚠ 查無員編",IF(COUNTIF($E$3:$E$1002,$E712)&gt;1,"⚠ 重複打卡","OK")))</f>
        <v/>
      </c>
    </row>
    <row r="713">
      <c r="A713" s="26" t="n"/>
      <c r="B713" s="27" t="n"/>
      <c r="C713" s="28" t="n"/>
      <c r="D713" s="28" t="n"/>
      <c r="E713" s="29">
        <f>IF($A713="","",$A713&amp;"|"&amp;DAY($B713))</f>
        <v/>
      </c>
      <c r="F713" s="29">
        <f>IF($A713="","",IF(COUNTIF(設定!$B$41:$B$70,$A713)=0,"⚠ 查無員編",IF(COUNTIF($E$3:$E$1002,$E713)&gt;1,"⚠ 重複打卡","OK")))</f>
        <v/>
      </c>
    </row>
    <row r="714">
      <c r="A714" s="26" t="n"/>
      <c r="B714" s="27" t="n"/>
      <c r="C714" s="28" t="n"/>
      <c r="D714" s="28" t="n"/>
      <c r="E714" s="29">
        <f>IF($A714="","",$A714&amp;"|"&amp;DAY($B714))</f>
        <v/>
      </c>
      <c r="F714" s="29">
        <f>IF($A714="","",IF(COUNTIF(設定!$B$41:$B$70,$A714)=0,"⚠ 查無員編",IF(COUNTIF($E$3:$E$1002,$E714)&gt;1,"⚠ 重複打卡","OK")))</f>
        <v/>
      </c>
    </row>
    <row r="715">
      <c r="A715" s="26" t="n"/>
      <c r="B715" s="27" t="n"/>
      <c r="C715" s="28" t="n"/>
      <c r="D715" s="28" t="n"/>
      <c r="E715" s="29">
        <f>IF($A715="","",$A715&amp;"|"&amp;DAY($B715))</f>
        <v/>
      </c>
      <c r="F715" s="29">
        <f>IF($A715="","",IF(COUNTIF(設定!$B$41:$B$70,$A715)=0,"⚠ 查無員編",IF(COUNTIF($E$3:$E$1002,$E715)&gt;1,"⚠ 重複打卡","OK")))</f>
        <v/>
      </c>
    </row>
    <row r="716">
      <c r="A716" s="26" t="n"/>
      <c r="B716" s="27" t="n"/>
      <c r="C716" s="28" t="n"/>
      <c r="D716" s="28" t="n"/>
      <c r="E716" s="29">
        <f>IF($A716="","",$A716&amp;"|"&amp;DAY($B716))</f>
        <v/>
      </c>
      <c r="F716" s="29">
        <f>IF($A716="","",IF(COUNTIF(設定!$B$41:$B$70,$A716)=0,"⚠ 查無員編",IF(COUNTIF($E$3:$E$1002,$E716)&gt;1,"⚠ 重複打卡","OK")))</f>
        <v/>
      </c>
    </row>
    <row r="717">
      <c r="A717" s="26" t="n"/>
      <c r="B717" s="27" t="n"/>
      <c r="C717" s="28" t="n"/>
      <c r="D717" s="28" t="n"/>
      <c r="E717" s="29">
        <f>IF($A717="","",$A717&amp;"|"&amp;DAY($B717))</f>
        <v/>
      </c>
      <c r="F717" s="29">
        <f>IF($A717="","",IF(COUNTIF(設定!$B$41:$B$70,$A717)=0,"⚠ 查無員編",IF(COUNTIF($E$3:$E$1002,$E717)&gt;1,"⚠ 重複打卡","OK")))</f>
        <v/>
      </c>
    </row>
    <row r="718">
      <c r="A718" s="26" t="n"/>
      <c r="B718" s="27" t="n"/>
      <c r="C718" s="28" t="n"/>
      <c r="D718" s="28" t="n"/>
      <c r="E718" s="29">
        <f>IF($A718="","",$A718&amp;"|"&amp;DAY($B718))</f>
        <v/>
      </c>
      <c r="F718" s="29">
        <f>IF($A718="","",IF(COUNTIF(設定!$B$41:$B$70,$A718)=0,"⚠ 查無員編",IF(COUNTIF($E$3:$E$1002,$E718)&gt;1,"⚠ 重複打卡","OK")))</f>
        <v/>
      </c>
    </row>
    <row r="719">
      <c r="A719" s="26" t="n"/>
      <c r="B719" s="27" t="n"/>
      <c r="C719" s="28" t="n"/>
      <c r="D719" s="28" t="n"/>
      <c r="E719" s="29">
        <f>IF($A719="","",$A719&amp;"|"&amp;DAY($B719))</f>
        <v/>
      </c>
      <c r="F719" s="29">
        <f>IF($A719="","",IF(COUNTIF(設定!$B$41:$B$70,$A719)=0,"⚠ 查無員編",IF(COUNTIF($E$3:$E$1002,$E719)&gt;1,"⚠ 重複打卡","OK")))</f>
        <v/>
      </c>
    </row>
    <row r="720">
      <c r="A720" s="26" t="n"/>
      <c r="B720" s="27" t="n"/>
      <c r="C720" s="28" t="n"/>
      <c r="D720" s="28" t="n"/>
      <c r="E720" s="29">
        <f>IF($A720="","",$A720&amp;"|"&amp;DAY($B720))</f>
        <v/>
      </c>
      <c r="F720" s="29">
        <f>IF($A720="","",IF(COUNTIF(設定!$B$41:$B$70,$A720)=0,"⚠ 查無員編",IF(COUNTIF($E$3:$E$1002,$E720)&gt;1,"⚠ 重複打卡","OK")))</f>
        <v/>
      </c>
    </row>
    <row r="721">
      <c r="A721" s="26" t="n"/>
      <c r="B721" s="27" t="n"/>
      <c r="C721" s="28" t="n"/>
      <c r="D721" s="28" t="n"/>
      <c r="E721" s="29">
        <f>IF($A721="","",$A721&amp;"|"&amp;DAY($B721))</f>
        <v/>
      </c>
      <c r="F721" s="29">
        <f>IF($A721="","",IF(COUNTIF(設定!$B$41:$B$70,$A721)=0,"⚠ 查無員編",IF(COUNTIF($E$3:$E$1002,$E721)&gt;1,"⚠ 重複打卡","OK")))</f>
        <v/>
      </c>
    </row>
    <row r="722">
      <c r="A722" s="26" t="n"/>
      <c r="B722" s="27" t="n"/>
      <c r="C722" s="28" t="n"/>
      <c r="D722" s="28" t="n"/>
      <c r="E722" s="29">
        <f>IF($A722="","",$A722&amp;"|"&amp;DAY($B722))</f>
        <v/>
      </c>
      <c r="F722" s="29">
        <f>IF($A722="","",IF(COUNTIF(設定!$B$41:$B$70,$A722)=0,"⚠ 查無員編",IF(COUNTIF($E$3:$E$1002,$E722)&gt;1,"⚠ 重複打卡","OK")))</f>
        <v/>
      </c>
    </row>
    <row r="723">
      <c r="A723" s="26" t="n"/>
      <c r="B723" s="27" t="n"/>
      <c r="C723" s="28" t="n"/>
      <c r="D723" s="28" t="n"/>
      <c r="E723" s="29">
        <f>IF($A723="","",$A723&amp;"|"&amp;DAY($B723))</f>
        <v/>
      </c>
      <c r="F723" s="29">
        <f>IF($A723="","",IF(COUNTIF(設定!$B$41:$B$70,$A723)=0,"⚠ 查無員編",IF(COUNTIF($E$3:$E$1002,$E723)&gt;1,"⚠ 重複打卡","OK")))</f>
        <v/>
      </c>
    </row>
    <row r="724">
      <c r="A724" s="26" t="n"/>
      <c r="B724" s="27" t="n"/>
      <c r="C724" s="28" t="n"/>
      <c r="D724" s="28" t="n"/>
      <c r="E724" s="29">
        <f>IF($A724="","",$A724&amp;"|"&amp;DAY($B724))</f>
        <v/>
      </c>
      <c r="F724" s="29">
        <f>IF($A724="","",IF(COUNTIF(設定!$B$41:$B$70,$A724)=0,"⚠ 查無員編",IF(COUNTIF($E$3:$E$1002,$E724)&gt;1,"⚠ 重複打卡","OK")))</f>
        <v/>
      </c>
    </row>
    <row r="725">
      <c r="A725" s="26" t="n"/>
      <c r="B725" s="27" t="n"/>
      <c r="C725" s="28" t="n"/>
      <c r="D725" s="28" t="n"/>
      <c r="E725" s="29">
        <f>IF($A725="","",$A725&amp;"|"&amp;DAY($B725))</f>
        <v/>
      </c>
      <c r="F725" s="29">
        <f>IF($A725="","",IF(COUNTIF(設定!$B$41:$B$70,$A725)=0,"⚠ 查無員編",IF(COUNTIF($E$3:$E$1002,$E725)&gt;1,"⚠ 重複打卡","OK")))</f>
        <v/>
      </c>
    </row>
    <row r="726">
      <c r="A726" s="26" t="n"/>
      <c r="B726" s="27" t="n"/>
      <c r="C726" s="28" t="n"/>
      <c r="D726" s="28" t="n"/>
      <c r="E726" s="29">
        <f>IF($A726="","",$A726&amp;"|"&amp;DAY($B726))</f>
        <v/>
      </c>
      <c r="F726" s="29">
        <f>IF($A726="","",IF(COUNTIF(設定!$B$41:$B$70,$A726)=0,"⚠ 查無員編",IF(COUNTIF($E$3:$E$1002,$E726)&gt;1,"⚠ 重複打卡","OK")))</f>
        <v/>
      </c>
    </row>
    <row r="727">
      <c r="A727" s="26" t="n"/>
      <c r="B727" s="27" t="n"/>
      <c r="C727" s="28" t="n"/>
      <c r="D727" s="28" t="n"/>
      <c r="E727" s="29">
        <f>IF($A727="","",$A727&amp;"|"&amp;DAY($B727))</f>
        <v/>
      </c>
      <c r="F727" s="29">
        <f>IF($A727="","",IF(COUNTIF(設定!$B$41:$B$70,$A727)=0,"⚠ 查無員編",IF(COUNTIF($E$3:$E$1002,$E727)&gt;1,"⚠ 重複打卡","OK")))</f>
        <v/>
      </c>
    </row>
    <row r="728">
      <c r="A728" s="26" t="n"/>
      <c r="B728" s="27" t="n"/>
      <c r="C728" s="28" t="n"/>
      <c r="D728" s="28" t="n"/>
      <c r="E728" s="29">
        <f>IF($A728="","",$A728&amp;"|"&amp;DAY($B728))</f>
        <v/>
      </c>
      <c r="F728" s="29">
        <f>IF($A728="","",IF(COUNTIF(設定!$B$41:$B$70,$A728)=0,"⚠ 查無員編",IF(COUNTIF($E$3:$E$1002,$E728)&gt;1,"⚠ 重複打卡","OK")))</f>
        <v/>
      </c>
    </row>
    <row r="729">
      <c r="A729" s="26" t="n"/>
      <c r="B729" s="27" t="n"/>
      <c r="C729" s="28" t="n"/>
      <c r="D729" s="28" t="n"/>
      <c r="E729" s="29">
        <f>IF($A729="","",$A729&amp;"|"&amp;DAY($B729))</f>
        <v/>
      </c>
      <c r="F729" s="29">
        <f>IF($A729="","",IF(COUNTIF(設定!$B$41:$B$70,$A729)=0,"⚠ 查無員編",IF(COUNTIF($E$3:$E$1002,$E729)&gt;1,"⚠ 重複打卡","OK")))</f>
        <v/>
      </c>
    </row>
    <row r="730">
      <c r="A730" s="26" t="n"/>
      <c r="B730" s="27" t="n"/>
      <c r="C730" s="28" t="n"/>
      <c r="D730" s="28" t="n"/>
      <c r="E730" s="29">
        <f>IF($A730="","",$A730&amp;"|"&amp;DAY($B730))</f>
        <v/>
      </c>
      <c r="F730" s="29">
        <f>IF($A730="","",IF(COUNTIF(設定!$B$41:$B$70,$A730)=0,"⚠ 查無員編",IF(COUNTIF($E$3:$E$1002,$E730)&gt;1,"⚠ 重複打卡","OK")))</f>
        <v/>
      </c>
    </row>
    <row r="731">
      <c r="A731" s="26" t="n"/>
      <c r="B731" s="27" t="n"/>
      <c r="C731" s="28" t="n"/>
      <c r="D731" s="28" t="n"/>
      <c r="E731" s="29">
        <f>IF($A731="","",$A731&amp;"|"&amp;DAY($B731))</f>
        <v/>
      </c>
      <c r="F731" s="29">
        <f>IF($A731="","",IF(COUNTIF(設定!$B$41:$B$70,$A731)=0,"⚠ 查無員編",IF(COUNTIF($E$3:$E$1002,$E731)&gt;1,"⚠ 重複打卡","OK")))</f>
        <v/>
      </c>
    </row>
    <row r="732">
      <c r="A732" s="26" t="n"/>
      <c r="B732" s="27" t="n"/>
      <c r="C732" s="28" t="n"/>
      <c r="D732" s="28" t="n"/>
      <c r="E732" s="29">
        <f>IF($A732="","",$A732&amp;"|"&amp;DAY($B732))</f>
        <v/>
      </c>
      <c r="F732" s="29">
        <f>IF($A732="","",IF(COUNTIF(設定!$B$41:$B$70,$A732)=0,"⚠ 查無員編",IF(COUNTIF($E$3:$E$1002,$E732)&gt;1,"⚠ 重複打卡","OK")))</f>
        <v/>
      </c>
    </row>
    <row r="733">
      <c r="A733" s="26" t="n"/>
      <c r="B733" s="27" t="n"/>
      <c r="C733" s="28" t="n"/>
      <c r="D733" s="28" t="n"/>
      <c r="E733" s="29">
        <f>IF($A733="","",$A733&amp;"|"&amp;DAY($B733))</f>
        <v/>
      </c>
      <c r="F733" s="29">
        <f>IF($A733="","",IF(COUNTIF(設定!$B$41:$B$70,$A733)=0,"⚠ 查無員編",IF(COUNTIF($E$3:$E$1002,$E733)&gt;1,"⚠ 重複打卡","OK")))</f>
        <v/>
      </c>
    </row>
    <row r="734">
      <c r="A734" s="26" t="n"/>
      <c r="B734" s="27" t="n"/>
      <c r="C734" s="28" t="n"/>
      <c r="D734" s="28" t="n"/>
      <c r="E734" s="29">
        <f>IF($A734="","",$A734&amp;"|"&amp;DAY($B734))</f>
        <v/>
      </c>
      <c r="F734" s="29">
        <f>IF($A734="","",IF(COUNTIF(設定!$B$41:$B$70,$A734)=0,"⚠ 查無員編",IF(COUNTIF($E$3:$E$1002,$E734)&gt;1,"⚠ 重複打卡","OK")))</f>
        <v/>
      </c>
    </row>
    <row r="735">
      <c r="A735" s="26" t="n"/>
      <c r="B735" s="27" t="n"/>
      <c r="C735" s="28" t="n"/>
      <c r="D735" s="28" t="n"/>
      <c r="E735" s="29">
        <f>IF($A735="","",$A735&amp;"|"&amp;DAY($B735))</f>
        <v/>
      </c>
      <c r="F735" s="29">
        <f>IF($A735="","",IF(COUNTIF(設定!$B$41:$B$70,$A735)=0,"⚠ 查無員編",IF(COUNTIF($E$3:$E$1002,$E735)&gt;1,"⚠ 重複打卡","OK")))</f>
        <v/>
      </c>
    </row>
    <row r="736">
      <c r="A736" s="26" t="n"/>
      <c r="B736" s="27" t="n"/>
      <c r="C736" s="28" t="n"/>
      <c r="D736" s="28" t="n"/>
      <c r="E736" s="29">
        <f>IF($A736="","",$A736&amp;"|"&amp;DAY($B736))</f>
        <v/>
      </c>
      <c r="F736" s="29">
        <f>IF($A736="","",IF(COUNTIF(設定!$B$41:$B$70,$A736)=0,"⚠ 查無員編",IF(COUNTIF($E$3:$E$1002,$E736)&gt;1,"⚠ 重複打卡","OK")))</f>
        <v/>
      </c>
    </row>
    <row r="737">
      <c r="A737" s="26" t="n"/>
      <c r="B737" s="27" t="n"/>
      <c r="C737" s="28" t="n"/>
      <c r="D737" s="28" t="n"/>
      <c r="E737" s="29">
        <f>IF($A737="","",$A737&amp;"|"&amp;DAY($B737))</f>
        <v/>
      </c>
      <c r="F737" s="29">
        <f>IF($A737="","",IF(COUNTIF(設定!$B$41:$B$70,$A737)=0,"⚠ 查無員編",IF(COUNTIF($E$3:$E$1002,$E737)&gt;1,"⚠ 重複打卡","OK")))</f>
        <v/>
      </c>
    </row>
    <row r="738">
      <c r="A738" s="26" t="n"/>
      <c r="B738" s="27" t="n"/>
      <c r="C738" s="28" t="n"/>
      <c r="D738" s="28" t="n"/>
      <c r="E738" s="29">
        <f>IF($A738="","",$A738&amp;"|"&amp;DAY($B738))</f>
        <v/>
      </c>
      <c r="F738" s="29">
        <f>IF($A738="","",IF(COUNTIF(設定!$B$41:$B$70,$A738)=0,"⚠ 查無員編",IF(COUNTIF($E$3:$E$1002,$E738)&gt;1,"⚠ 重複打卡","OK")))</f>
        <v/>
      </c>
    </row>
    <row r="739">
      <c r="A739" s="26" t="n"/>
      <c r="B739" s="27" t="n"/>
      <c r="C739" s="28" t="n"/>
      <c r="D739" s="28" t="n"/>
      <c r="E739" s="29">
        <f>IF($A739="","",$A739&amp;"|"&amp;DAY($B739))</f>
        <v/>
      </c>
      <c r="F739" s="29">
        <f>IF($A739="","",IF(COUNTIF(設定!$B$41:$B$70,$A739)=0,"⚠ 查無員編",IF(COUNTIF($E$3:$E$1002,$E739)&gt;1,"⚠ 重複打卡","OK")))</f>
        <v/>
      </c>
    </row>
    <row r="740">
      <c r="A740" s="26" t="n"/>
      <c r="B740" s="27" t="n"/>
      <c r="C740" s="28" t="n"/>
      <c r="D740" s="28" t="n"/>
      <c r="E740" s="29">
        <f>IF($A740="","",$A740&amp;"|"&amp;DAY($B740))</f>
        <v/>
      </c>
      <c r="F740" s="29">
        <f>IF($A740="","",IF(COUNTIF(設定!$B$41:$B$70,$A740)=0,"⚠ 查無員編",IF(COUNTIF($E$3:$E$1002,$E740)&gt;1,"⚠ 重複打卡","OK")))</f>
        <v/>
      </c>
    </row>
    <row r="741">
      <c r="A741" s="26" t="n"/>
      <c r="B741" s="27" t="n"/>
      <c r="C741" s="28" t="n"/>
      <c r="D741" s="28" t="n"/>
      <c r="E741" s="29">
        <f>IF($A741="","",$A741&amp;"|"&amp;DAY($B741))</f>
        <v/>
      </c>
      <c r="F741" s="29">
        <f>IF($A741="","",IF(COUNTIF(設定!$B$41:$B$70,$A741)=0,"⚠ 查無員編",IF(COUNTIF($E$3:$E$1002,$E741)&gt;1,"⚠ 重複打卡","OK")))</f>
        <v/>
      </c>
    </row>
    <row r="742">
      <c r="A742" s="26" t="n"/>
      <c r="B742" s="27" t="n"/>
      <c r="C742" s="28" t="n"/>
      <c r="D742" s="28" t="n"/>
      <c r="E742" s="29">
        <f>IF($A742="","",$A742&amp;"|"&amp;DAY($B742))</f>
        <v/>
      </c>
      <c r="F742" s="29">
        <f>IF($A742="","",IF(COUNTIF(設定!$B$41:$B$70,$A742)=0,"⚠ 查無員編",IF(COUNTIF($E$3:$E$1002,$E742)&gt;1,"⚠ 重複打卡","OK")))</f>
        <v/>
      </c>
    </row>
    <row r="743">
      <c r="A743" s="26" t="n"/>
      <c r="B743" s="27" t="n"/>
      <c r="C743" s="28" t="n"/>
      <c r="D743" s="28" t="n"/>
      <c r="E743" s="29">
        <f>IF($A743="","",$A743&amp;"|"&amp;DAY($B743))</f>
        <v/>
      </c>
      <c r="F743" s="29">
        <f>IF($A743="","",IF(COUNTIF(設定!$B$41:$B$70,$A743)=0,"⚠ 查無員編",IF(COUNTIF($E$3:$E$1002,$E743)&gt;1,"⚠ 重複打卡","OK")))</f>
        <v/>
      </c>
    </row>
    <row r="744">
      <c r="A744" s="26" t="n"/>
      <c r="B744" s="27" t="n"/>
      <c r="C744" s="28" t="n"/>
      <c r="D744" s="28" t="n"/>
      <c r="E744" s="29">
        <f>IF($A744="","",$A744&amp;"|"&amp;DAY($B744))</f>
        <v/>
      </c>
      <c r="F744" s="29">
        <f>IF($A744="","",IF(COUNTIF(設定!$B$41:$B$70,$A744)=0,"⚠ 查無員編",IF(COUNTIF($E$3:$E$1002,$E744)&gt;1,"⚠ 重複打卡","OK")))</f>
        <v/>
      </c>
    </row>
    <row r="745">
      <c r="A745" s="26" t="n"/>
      <c r="B745" s="27" t="n"/>
      <c r="C745" s="28" t="n"/>
      <c r="D745" s="28" t="n"/>
      <c r="E745" s="29">
        <f>IF($A745="","",$A745&amp;"|"&amp;DAY($B745))</f>
        <v/>
      </c>
      <c r="F745" s="29">
        <f>IF($A745="","",IF(COUNTIF(設定!$B$41:$B$70,$A745)=0,"⚠ 查無員編",IF(COUNTIF($E$3:$E$1002,$E745)&gt;1,"⚠ 重複打卡","OK")))</f>
        <v/>
      </c>
    </row>
    <row r="746">
      <c r="A746" s="26" t="n"/>
      <c r="B746" s="27" t="n"/>
      <c r="C746" s="28" t="n"/>
      <c r="D746" s="28" t="n"/>
      <c r="E746" s="29">
        <f>IF($A746="","",$A746&amp;"|"&amp;DAY($B746))</f>
        <v/>
      </c>
      <c r="F746" s="29">
        <f>IF($A746="","",IF(COUNTIF(設定!$B$41:$B$70,$A746)=0,"⚠ 查無員編",IF(COUNTIF($E$3:$E$1002,$E746)&gt;1,"⚠ 重複打卡","OK")))</f>
        <v/>
      </c>
    </row>
    <row r="747">
      <c r="A747" s="26" t="n"/>
      <c r="B747" s="27" t="n"/>
      <c r="C747" s="28" t="n"/>
      <c r="D747" s="28" t="n"/>
      <c r="E747" s="29">
        <f>IF($A747="","",$A747&amp;"|"&amp;DAY($B747))</f>
        <v/>
      </c>
      <c r="F747" s="29">
        <f>IF($A747="","",IF(COUNTIF(設定!$B$41:$B$70,$A747)=0,"⚠ 查無員編",IF(COUNTIF($E$3:$E$1002,$E747)&gt;1,"⚠ 重複打卡","OK")))</f>
        <v/>
      </c>
    </row>
    <row r="748">
      <c r="A748" s="26" t="n"/>
      <c r="B748" s="27" t="n"/>
      <c r="C748" s="28" t="n"/>
      <c r="D748" s="28" t="n"/>
      <c r="E748" s="29">
        <f>IF($A748="","",$A748&amp;"|"&amp;DAY($B748))</f>
        <v/>
      </c>
      <c r="F748" s="29">
        <f>IF($A748="","",IF(COUNTIF(設定!$B$41:$B$70,$A748)=0,"⚠ 查無員編",IF(COUNTIF($E$3:$E$1002,$E748)&gt;1,"⚠ 重複打卡","OK")))</f>
        <v/>
      </c>
    </row>
    <row r="749">
      <c r="A749" s="26" t="n"/>
      <c r="B749" s="27" t="n"/>
      <c r="C749" s="28" t="n"/>
      <c r="D749" s="28" t="n"/>
      <c r="E749" s="29">
        <f>IF($A749="","",$A749&amp;"|"&amp;DAY($B749))</f>
        <v/>
      </c>
      <c r="F749" s="29">
        <f>IF($A749="","",IF(COUNTIF(設定!$B$41:$B$70,$A749)=0,"⚠ 查無員編",IF(COUNTIF($E$3:$E$1002,$E749)&gt;1,"⚠ 重複打卡","OK")))</f>
        <v/>
      </c>
    </row>
    <row r="750">
      <c r="A750" s="26" t="n"/>
      <c r="B750" s="27" t="n"/>
      <c r="C750" s="28" t="n"/>
      <c r="D750" s="28" t="n"/>
      <c r="E750" s="29">
        <f>IF($A750="","",$A750&amp;"|"&amp;DAY($B750))</f>
        <v/>
      </c>
      <c r="F750" s="29">
        <f>IF($A750="","",IF(COUNTIF(設定!$B$41:$B$70,$A750)=0,"⚠ 查無員編",IF(COUNTIF($E$3:$E$1002,$E750)&gt;1,"⚠ 重複打卡","OK")))</f>
        <v/>
      </c>
    </row>
    <row r="751">
      <c r="A751" s="26" t="n"/>
      <c r="B751" s="27" t="n"/>
      <c r="C751" s="28" t="n"/>
      <c r="D751" s="28" t="n"/>
      <c r="E751" s="29">
        <f>IF($A751="","",$A751&amp;"|"&amp;DAY($B751))</f>
        <v/>
      </c>
      <c r="F751" s="29">
        <f>IF($A751="","",IF(COUNTIF(設定!$B$41:$B$70,$A751)=0,"⚠ 查無員編",IF(COUNTIF($E$3:$E$1002,$E751)&gt;1,"⚠ 重複打卡","OK")))</f>
        <v/>
      </c>
    </row>
    <row r="752">
      <c r="A752" s="26" t="n"/>
      <c r="B752" s="27" t="n"/>
      <c r="C752" s="28" t="n"/>
      <c r="D752" s="28" t="n"/>
      <c r="E752" s="29">
        <f>IF($A752="","",$A752&amp;"|"&amp;DAY($B752))</f>
        <v/>
      </c>
      <c r="F752" s="29">
        <f>IF($A752="","",IF(COUNTIF(設定!$B$41:$B$70,$A752)=0,"⚠ 查無員編",IF(COUNTIF($E$3:$E$1002,$E752)&gt;1,"⚠ 重複打卡","OK")))</f>
        <v/>
      </c>
    </row>
    <row r="753">
      <c r="A753" s="26" t="n"/>
      <c r="B753" s="27" t="n"/>
      <c r="C753" s="28" t="n"/>
      <c r="D753" s="28" t="n"/>
      <c r="E753" s="29">
        <f>IF($A753="","",$A753&amp;"|"&amp;DAY($B753))</f>
        <v/>
      </c>
      <c r="F753" s="29">
        <f>IF($A753="","",IF(COUNTIF(設定!$B$41:$B$70,$A753)=0,"⚠ 查無員編",IF(COUNTIF($E$3:$E$1002,$E753)&gt;1,"⚠ 重複打卡","OK")))</f>
        <v/>
      </c>
    </row>
    <row r="754">
      <c r="A754" s="26" t="n"/>
      <c r="B754" s="27" t="n"/>
      <c r="C754" s="28" t="n"/>
      <c r="D754" s="28" t="n"/>
      <c r="E754" s="29">
        <f>IF($A754="","",$A754&amp;"|"&amp;DAY($B754))</f>
        <v/>
      </c>
      <c r="F754" s="29">
        <f>IF($A754="","",IF(COUNTIF(設定!$B$41:$B$70,$A754)=0,"⚠ 查無員編",IF(COUNTIF($E$3:$E$1002,$E754)&gt;1,"⚠ 重複打卡","OK")))</f>
        <v/>
      </c>
    </row>
    <row r="755">
      <c r="A755" s="26" t="n"/>
      <c r="B755" s="27" t="n"/>
      <c r="C755" s="28" t="n"/>
      <c r="D755" s="28" t="n"/>
      <c r="E755" s="29">
        <f>IF($A755="","",$A755&amp;"|"&amp;DAY($B755))</f>
        <v/>
      </c>
      <c r="F755" s="29">
        <f>IF($A755="","",IF(COUNTIF(設定!$B$41:$B$70,$A755)=0,"⚠ 查無員編",IF(COUNTIF($E$3:$E$1002,$E755)&gt;1,"⚠ 重複打卡","OK")))</f>
        <v/>
      </c>
    </row>
    <row r="756">
      <c r="A756" s="26" t="n"/>
      <c r="B756" s="27" t="n"/>
      <c r="C756" s="28" t="n"/>
      <c r="D756" s="28" t="n"/>
      <c r="E756" s="29">
        <f>IF($A756="","",$A756&amp;"|"&amp;DAY($B756))</f>
        <v/>
      </c>
      <c r="F756" s="29">
        <f>IF($A756="","",IF(COUNTIF(設定!$B$41:$B$70,$A756)=0,"⚠ 查無員編",IF(COUNTIF($E$3:$E$1002,$E756)&gt;1,"⚠ 重複打卡","OK")))</f>
        <v/>
      </c>
    </row>
    <row r="757">
      <c r="A757" s="26" t="n"/>
      <c r="B757" s="27" t="n"/>
      <c r="C757" s="28" t="n"/>
      <c r="D757" s="28" t="n"/>
      <c r="E757" s="29">
        <f>IF($A757="","",$A757&amp;"|"&amp;DAY($B757))</f>
        <v/>
      </c>
      <c r="F757" s="29">
        <f>IF($A757="","",IF(COUNTIF(設定!$B$41:$B$70,$A757)=0,"⚠ 查無員編",IF(COUNTIF($E$3:$E$1002,$E757)&gt;1,"⚠ 重複打卡","OK")))</f>
        <v/>
      </c>
    </row>
    <row r="758">
      <c r="A758" s="26" t="n"/>
      <c r="B758" s="27" t="n"/>
      <c r="C758" s="28" t="n"/>
      <c r="D758" s="28" t="n"/>
      <c r="E758" s="29">
        <f>IF($A758="","",$A758&amp;"|"&amp;DAY($B758))</f>
        <v/>
      </c>
      <c r="F758" s="29">
        <f>IF($A758="","",IF(COUNTIF(設定!$B$41:$B$70,$A758)=0,"⚠ 查無員編",IF(COUNTIF($E$3:$E$1002,$E758)&gt;1,"⚠ 重複打卡","OK")))</f>
        <v/>
      </c>
    </row>
    <row r="759">
      <c r="A759" s="26" t="n"/>
      <c r="B759" s="27" t="n"/>
      <c r="C759" s="28" t="n"/>
      <c r="D759" s="28" t="n"/>
      <c r="E759" s="29">
        <f>IF($A759="","",$A759&amp;"|"&amp;DAY($B759))</f>
        <v/>
      </c>
      <c r="F759" s="29">
        <f>IF($A759="","",IF(COUNTIF(設定!$B$41:$B$70,$A759)=0,"⚠ 查無員編",IF(COUNTIF($E$3:$E$1002,$E759)&gt;1,"⚠ 重複打卡","OK")))</f>
        <v/>
      </c>
    </row>
    <row r="760">
      <c r="A760" s="26" t="n"/>
      <c r="B760" s="27" t="n"/>
      <c r="C760" s="28" t="n"/>
      <c r="D760" s="28" t="n"/>
      <c r="E760" s="29">
        <f>IF($A760="","",$A760&amp;"|"&amp;DAY($B760))</f>
        <v/>
      </c>
      <c r="F760" s="29">
        <f>IF($A760="","",IF(COUNTIF(設定!$B$41:$B$70,$A760)=0,"⚠ 查無員編",IF(COUNTIF($E$3:$E$1002,$E760)&gt;1,"⚠ 重複打卡","OK")))</f>
        <v/>
      </c>
    </row>
    <row r="761">
      <c r="A761" s="26" t="n"/>
      <c r="B761" s="27" t="n"/>
      <c r="C761" s="28" t="n"/>
      <c r="D761" s="28" t="n"/>
      <c r="E761" s="29">
        <f>IF($A761="","",$A761&amp;"|"&amp;DAY($B761))</f>
        <v/>
      </c>
      <c r="F761" s="29">
        <f>IF($A761="","",IF(COUNTIF(設定!$B$41:$B$70,$A761)=0,"⚠ 查無員編",IF(COUNTIF($E$3:$E$1002,$E761)&gt;1,"⚠ 重複打卡","OK")))</f>
        <v/>
      </c>
    </row>
    <row r="762">
      <c r="A762" s="26" t="n"/>
      <c r="B762" s="27" t="n"/>
      <c r="C762" s="28" t="n"/>
      <c r="D762" s="28" t="n"/>
      <c r="E762" s="29">
        <f>IF($A762="","",$A762&amp;"|"&amp;DAY($B762))</f>
        <v/>
      </c>
      <c r="F762" s="29">
        <f>IF($A762="","",IF(COUNTIF(設定!$B$41:$B$70,$A762)=0,"⚠ 查無員編",IF(COUNTIF($E$3:$E$1002,$E762)&gt;1,"⚠ 重複打卡","OK")))</f>
        <v/>
      </c>
    </row>
    <row r="763">
      <c r="A763" s="26" t="n"/>
      <c r="B763" s="27" t="n"/>
      <c r="C763" s="28" t="n"/>
      <c r="D763" s="28" t="n"/>
      <c r="E763" s="29">
        <f>IF($A763="","",$A763&amp;"|"&amp;DAY($B763))</f>
        <v/>
      </c>
      <c r="F763" s="29">
        <f>IF($A763="","",IF(COUNTIF(設定!$B$41:$B$70,$A763)=0,"⚠ 查無員編",IF(COUNTIF($E$3:$E$1002,$E763)&gt;1,"⚠ 重複打卡","OK")))</f>
        <v/>
      </c>
    </row>
    <row r="764">
      <c r="A764" s="26" t="n"/>
      <c r="B764" s="27" t="n"/>
      <c r="C764" s="28" t="n"/>
      <c r="D764" s="28" t="n"/>
      <c r="E764" s="29">
        <f>IF($A764="","",$A764&amp;"|"&amp;DAY($B764))</f>
        <v/>
      </c>
      <c r="F764" s="29">
        <f>IF($A764="","",IF(COUNTIF(設定!$B$41:$B$70,$A764)=0,"⚠ 查無員編",IF(COUNTIF($E$3:$E$1002,$E764)&gt;1,"⚠ 重複打卡","OK")))</f>
        <v/>
      </c>
    </row>
    <row r="765">
      <c r="A765" s="26" t="n"/>
      <c r="B765" s="27" t="n"/>
      <c r="C765" s="28" t="n"/>
      <c r="D765" s="28" t="n"/>
      <c r="E765" s="29">
        <f>IF($A765="","",$A765&amp;"|"&amp;DAY($B765))</f>
        <v/>
      </c>
      <c r="F765" s="29">
        <f>IF($A765="","",IF(COUNTIF(設定!$B$41:$B$70,$A765)=0,"⚠ 查無員編",IF(COUNTIF($E$3:$E$1002,$E765)&gt;1,"⚠ 重複打卡","OK")))</f>
        <v/>
      </c>
    </row>
    <row r="766">
      <c r="A766" s="26" t="n"/>
      <c r="B766" s="27" t="n"/>
      <c r="C766" s="28" t="n"/>
      <c r="D766" s="28" t="n"/>
      <c r="E766" s="29">
        <f>IF($A766="","",$A766&amp;"|"&amp;DAY($B766))</f>
        <v/>
      </c>
      <c r="F766" s="29">
        <f>IF($A766="","",IF(COUNTIF(設定!$B$41:$B$70,$A766)=0,"⚠ 查無員編",IF(COUNTIF($E$3:$E$1002,$E766)&gt;1,"⚠ 重複打卡","OK")))</f>
        <v/>
      </c>
    </row>
    <row r="767">
      <c r="A767" s="26" t="n"/>
      <c r="B767" s="27" t="n"/>
      <c r="C767" s="28" t="n"/>
      <c r="D767" s="28" t="n"/>
      <c r="E767" s="29">
        <f>IF($A767="","",$A767&amp;"|"&amp;DAY($B767))</f>
        <v/>
      </c>
      <c r="F767" s="29">
        <f>IF($A767="","",IF(COUNTIF(設定!$B$41:$B$70,$A767)=0,"⚠ 查無員編",IF(COUNTIF($E$3:$E$1002,$E767)&gt;1,"⚠ 重複打卡","OK")))</f>
        <v/>
      </c>
    </row>
    <row r="768">
      <c r="A768" s="26" t="n"/>
      <c r="B768" s="27" t="n"/>
      <c r="C768" s="28" t="n"/>
      <c r="D768" s="28" t="n"/>
      <c r="E768" s="29">
        <f>IF($A768="","",$A768&amp;"|"&amp;DAY($B768))</f>
        <v/>
      </c>
      <c r="F768" s="29">
        <f>IF($A768="","",IF(COUNTIF(設定!$B$41:$B$70,$A768)=0,"⚠ 查無員編",IF(COUNTIF($E$3:$E$1002,$E768)&gt;1,"⚠ 重複打卡","OK")))</f>
        <v/>
      </c>
    </row>
    <row r="769">
      <c r="A769" s="26" t="n"/>
      <c r="B769" s="27" t="n"/>
      <c r="C769" s="28" t="n"/>
      <c r="D769" s="28" t="n"/>
      <c r="E769" s="29">
        <f>IF($A769="","",$A769&amp;"|"&amp;DAY($B769))</f>
        <v/>
      </c>
      <c r="F769" s="29">
        <f>IF($A769="","",IF(COUNTIF(設定!$B$41:$B$70,$A769)=0,"⚠ 查無員編",IF(COUNTIF($E$3:$E$1002,$E769)&gt;1,"⚠ 重複打卡","OK")))</f>
        <v/>
      </c>
    </row>
    <row r="770">
      <c r="A770" s="26" t="n"/>
      <c r="B770" s="27" t="n"/>
      <c r="C770" s="28" t="n"/>
      <c r="D770" s="28" t="n"/>
      <c r="E770" s="29">
        <f>IF($A770="","",$A770&amp;"|"&amp;DAY($B770))</f>
        <v/>
      </c>
      <c r="F770" s="29">
        <f>IF($A770="","",IF(COUNTIF(設定!$B$41:$B$70,$A770)=0,"⚠ 查無員編",IF(COUNTIF($E$3:$E$1002,$E770)&gt;1,"⚠ 重複打卡","OK")))</f>
        <v/>
      </c>
    </row>
    <row r="771">
      <c r="A771" s="26" t="n"/>
      <c r="B771" s="27" t="n"/>
      <c r="C771" s="28" t="n"/>
      <c r="D771" s="28" t="n"/>
      <c r="E771" s="29">
        <f>IF($A771="","",$A771&amp;"|"&amp;DAY($B771))</f>
        <v/>
      </c>
      <c r="F771" s="29">
        <f>IF($A771="","",IF(COUNTIF(設定!$B$41:$B$70,$A771)=0,"⚠ 查無員編",IF(COUNTIF($E$3:$E$1002,$E771)&gt;1,"⚠ 重複打卡","OK")))</f>
        <v/>
      </c>
    </row>
    <row r="772">
      <c r="A772" s="26" t="n"/>
      <c r="B772" s="27" t="n"/>
      <c r="C772" s="28" t="n"/>
      <c r="D772" s="28" t="n"/>
      <c r="E772" s="29">
        <f>IF($A772="","",$A772&amp;"|"&amp;DAY($B772))</f>
        <v/>
      </c>
      <c r="F772" s="29">
        <f>IF($A772="","",IF(COUNTIF(設定!$B$41:$B$70,$A772)=0,"⚠ 查無員編",IF(COUNTIF($E$3:$E$1002,$E772)&gt;1,"⚠ 重複打卡","OK")))</f>
        <v/>
      </c>
    </row>
    <row r="773">
      <c r="A773" s="26" t="n"/>
      <c r="B773" s="27" t="n"/>
      <c r="C773" s="28" t="n"/>
      <c r="D773" s="28" t="n"/>
      <c r="E773" s="29">
        <f>IF($A773="","",$A773&amp;"|"&amp;DAY($B773))</f>
        <v/>
      </c>
      <c r="F773" s="29">
        <f>IF($A773="","",IF(COUNTIF(設定!$B$41:$B$70,$A773)=0,"⚠ 查無員編",IF(COUNTIF($E$3:$E$1002,$E773)&gt;1,"⚠ 重複打卡","OK")))</f>
        <v/>
      </c>
    </row>
    <row r="774">
      <c r="A774" s="26" t="n"/>
      <c r="B774" s="27" t="n"/>
      <c r="C774" s="28" t="n"/>
      <c r="D774" s="28" t="n"/>
      <c r="E774" s="29">
        <f>IF($A774="","",$A774&amp;"|"&amp;DAY($B774))</f>
        <v/>
      </c>
      <c r="F774" s="29">
        <f>IF($A774="","",IF(COUNTIF(設定!$B$41:$B$70,$A774)=0,"⚠ 查無員編",IF(COUNTIF($E$3:$E$1002,$E774)&gt;1,"⚠ 重複打卡","OK")))</f>
        <v/>
      </c>
    </row>
    <row r="775">
      <c r="A775" s="26" t="n"/>
      <c r="B775" s="27" t="n"/>
      <c r="C775" s="28" t="n"/>
      <c r="D775" s="28" t="n"/>
      <c r="E775" s="29">
        <f>IF($A775="","",$A775&amp;"|"&amp;DAY($B775))</f>
        <v/>
      </c>
      <c r="F775" s="29">
        <f>IF($A775="","",IF(COUNTIF(設定!$B$41:$B$70,$A775)=0,"⚠ 查無員編",IF(COUNTIF($E$3:$E$1002,$E775)&gt;1,"⚠ 重複打卡","OK")))</f>
        <v/>
      </c>
    </row>
    <row r="776">
      <c r="A776" s="26" t="n"/>
      <c r="B776" s="27" t="n"/>
      <c r="C776" s="28" t="n"/>
      <c r="D776" s="28" t="n"/>
      <c r="E776" s="29">
        <f>IF($A776="","",$A776&amp;"|"&amp;DAY($B776))</f>
        <v/>
      </c>
      <c r="F776" s="29">
        <f>IF($A776="","",IF(COUNTIF(設定!$B$41:$B$70,$A776)=0,"⚠ 查無員編",IF(COUNTIF($E$3:$E$1002,$E776)&gt;1,"⚠ 重複打卡","OK")))</f>
        <v/>
      </c>
    </row>
    <row r="777">
      <c r="A777" s="26" t="n"/>
      <c r="B777" s="27" t="n"/>
      <c r="C777" s="28" t="n"/>
      <c r="D777" s="28" t="n"/>
      <c r="E777" s="29">
        <f>IF($A777="","",$A777&amp;"|"&amp;DAY($B777))</f>
        <v/>
      </c>
      <c r="F777" s="29">
        <f>IF($A777="","",IF(COUNTIF(設定!$B$41:$B$70,$A777)=0,"⚠ 查無員編",IF(COUNTIF($E$3:$E$1002,$E777)&gt;1,"⚠ 重複打卡","OK")))</f>
        <v/>
      </c>
    </row>
    <row r="778">
      <c r="A778" s="26" t="n"/>
      <c r="B778" s="27" t="n"/>
      <c r="C778" s="28" t="n"/>
      <c r="D778" s="28" t="n"/>
      <c r="E778" s="29">
        <f>IF($A778="","",$A778&amp;"|"&amp;DAY($B778))</f>
        <v/>
      </c>
      <c r="F778" s="29">
        <f>IF($A778="","",IF(COUNTIF(設定!$B$41:$B$70,$A778)=0,"⚠ 查無員編",IF(COUNTIF($E$3:$E$1002,$E778)&gt;1,"⚠ 重複打卡","OK")))</f>
        <v/>
      </c>
    </row>
    <row r="779">
      <c r="A779" s="26" t="n"/>
      <c r="B779" s="27" t="n"/>
      <c r="C779" s="28" t="n"/>
      <c r="D779" s="28" t="n"/>
      <c r="E779" s="29">
        <f>IF($A779="","",$A779&amp;"|"&amp;DAY($B779))</f>
        <v/>
      </c>
      <c r="F779" s="29">
        <f>IF($A779="","",IF(COUNTIF(設定!$B$41:$B$70,$A779)=0,"⚠ 查無員編",IF(COUNTIF($E$3:$E$1002,$E779)&gt;1,"⚠ 重複打卡","OK")))</f>
        <v/>
      </c>
    </row>
    <row r="780">
      <c r="A780" s="26" t="n"/>
      <c r="B780" s="27" t="n"/>
      <c r="C780" s="28" t="n"/>
      <c r="D780" s="28" t="n"/>
      <c r="E780" s="29">
        <f>IF($A780="","",$A780&amp;"|"&amp;DAY($B780))</f>
        <v/>
      </c>
      <c r="F780" s="29">
        <f>IF($A780="","",IF(COUNTIF(設定!$B$41:$B$70,$A780)=0,"⚠ 查無員編",IF(COUNTIF($E$3:$E$1002,$E780)&gt;1,"⚠ 重複打卡","OK")))</f>
        <v/>
      </c>
    </row>
    <row r="781">
      <c r="A781" s="26" t="n"/>
      <c r="B781" s="27" t="n"/>
      <c r="C781" s="28" t="n"/>
      <c r="D781" s="28" t="n"/>
      <c r="E781" s="29">
        <f>IF($A781="","",$A781&amp;"|"&amp;DAY($B781))</f>
        <v/>
      </c>
      <c r="F781" s="29">
        <f>IF($A781="","",IF(COUNTIF(設定!$B$41:$B$70,$A781)=0,"⚠ 查無員編",IF(COUNTIF($E$3:$E$1002,$E781)&gt;1,"⚠ 重複打卡","OK")))</f>
        <v/>
      </c>
    </row>
    <row r="782">
      <c r="A782" s="26" t="n"/>
      <c r="B782" s="27" t="n"/>
      <c r="C782" s="28" t="n"/>
      <c r="D782" s="28" t="n"/>
      <c r="E782" s="29">
        <f>IF($A782="","",$A782&amp;"|"&amp;DAY($B782))</f>
        <v/>
      </c>
      <c r="F782" s="29">
        <f>IF($A782="","",IF(COUNTIF(設定!$B$41:$B$70,$A782)=0,"⚠ 查無員編",IF(COUNTIF($E$3:$E$1002,$E782)&gt;1,"⚠ 重複打卡","OK")))</f>
        <v/>
      </c>
    </row>
    <row r="783">
      <c r="A783" s="26" t="n"/>
      <c r="B783" s="27" t="n"/>
      <c r="C783" s="28" t="n"/>
      <c r="D783" s="28" t="n"/>
      <c r="E783" s="29">
        <f>IF($A783="","",$A783&amp;"|"&amp;DAY($B783))</f>
        <v/>
      </c>
      <c r="F783" s="29">
        <f>IF($A783="","",IF(COUNTIF(設定!$B$41:$B$70,$A783)=0,"⚠ 查無員編",IF(COUNTIF($E$3:$E$1002,$E783)&gt;1,"⚠ 重複打卡","OK")))</f>
        <v/>
      </c>
    </row>
    <row r="784">
      <c r="A784" s="26" t="n"/>
      <c r="B784" s="27" t="n"/>
      <c r="C784" s="28" t="n"/>
      <c r="D784" s="28" t="n"/>
      <c r="E784" s="29">
        <f>IF($A784="","",$A784&amp;"|"&amp;DAY($B784))</f>
        <v/>
      </c>
      <c r="F784" s="29">
        <f>IF($A784="","",IF(COUNTIF(設定!$B$41:$B$70,$A784)=0,"⚠ 查無員編",IF(COUNTIF($E$3:$E$1002,$E784)&gt;1,"⚠ 重複打卡","OK")))</f>
        <v/>
      </c>
    </row>
    <row r="785">
      <c r="A785" s="26" t="n"/>
      <c r="B785" s="27" t="n"/>
      <c r="C785" s="28" t="n"/>
      <c r="D785" s="28" t="n"/>
      <c r="E785" s="29">
        <f>IF($A785="","",$A785&amp;"|"&amp;DAY($B785))</f>
        <v/>
      </c>
      <c r="F785" s="29">
        <f>IF($A785="","",IF(COUNTIF(設定!$B$41:$B$70,$A785)=0,"⚠ 查無員編",IF(COUNTIF($E$3:$E$1002,$E785)&gt;1,"⚠ 重複打卡","OK")))</f>
        <v/>
      </c>
    </row>
    <row r="786">
      <c r="A786" s="26" t="n"/>
      <c r="B786" s="27" t="n"/>
      <c r="C786" s="28" t="n"/>
      <c r="D786" s="28" t="n"/>
      <c r="E786" s="29">
        <f>IF($A786="","",$A786&amp;"|"&amp;DAY($B786))</f>
        <v/>
      </c>
      <c r="F786" s="29">
        <f>IF($A786="","",IF(COUNTIF(設定!$B$41:$B$70,$A786)=0,"⚠ 查無員編",IF(COUNTIF($E$3:$E$1002,$E786)&gt;1,"⚠ 重複打卡","OK")))</f>
        <v/>
      </c>
    </row>
    <row r="787">
      <c r="A787" s="26" t="n"/>
      <c r="B787" s="27" t="n"/>
      <c r="C787" s="28" t="n"/>
      <c r="D787" s="28" t="n"/>
      <c r="E787" s="29">
        <f>IF($A787="","",$A787&amp;"|"&amp;DAY($B787))</f>
        <v/>
      </c>
      <c r="F787" s="29">
        <f>IF($A787="","",IF(COUNTIF(設定!$B$41:$B$70,$A787)=0,"⚠ 查無員編",IF(COUNTIF($E$3:$E$1002,$E787)&gt;1,"⚠ 重複打卡","OK")))</f>
        <v/>
      </c>
    </row>
    <row r="788">
      <c r="A788" s="26" t="n"/>
      <c r="B788" s="27" t="n"/>
      <c r="C788" s="28" t="n"/>
      <c r="D788" s="28" t="n"/>
      <c r="E788" s="29">
        <f>IF($A788="","",$A788&amp;"|"&amp;DAY($B788))</f>
        <v/>
      </c>
      <c r="F788" s="29">
        <f>IF($A788="","",IF(COUNTIF(設定!$B$41:$B$70,$A788)=0,"⚠ 查無員編",IF(COUNTIF($E$3:$E$1002,$E788)&gt;1,"⚠ 重複打卡","OK")))</f>
        <v/>
      </c>
    </row>
    <row r="789">
      <c r="A789" s="26" t="n"/>
      <c r="B789" s="27" t="n"/>
      <c r="C789" s="28" t="n"/>
      <c r="D789" s="28" t="n"/>
      <c r="E789" s="29">
        <f>IF($A789="","",$A789&amp;"|"&amp;DAY($B789))</f>
        <v/>
      </c>
      <c r="F789" s="29">
        <f>IF($A789="","",IF(COUNTIF(設定!$B$41:$B$70,$A789)=0,"⚠ 查無員編",IF(COUNTIF($E$3:$E$1002,$E789)&gt;1,"⚠ 重複打卡","OK")))</f>
        <v/>
      </c>
    </row>
    <row r="790">
      <c r="A790" s="26" t="n"/>
      <c r="B790" s="27" t="n"/>
      <c r="C790" s="28" t="n"/>
      <c r="D790" s="28" t="n"/>
      <c r="E790" s="29">
        <f>IF($A790="","",$A790&amp;"|"&amp;DAY($B790))</f>
        <v/>
      </c>
      <c r="F790" s="29">
        <f>IF($A790="","",IF(COUNTIF(設定!$B$41:$B$70,$A790)=0,"⚠ 查無員編",IF(COUNTIF($E$3:$E$1002,$E790)&gt;1,"⚠ 重複打卡","OK")))</f>
        <v/>
      </c>
    </row>
    <row r="791">
      <c r="A791" s="26" t="n"/>
      <c r="B791" s="27" t="n"/>
      <c r="C791" s="28" t="n"/>
      <c r="D791" s="28" t="n"/>
      <c r="E791" s="29">
        <f>IF($A791="","",$A791&amp;"|"&amp;DAY($B791))</f>
        <v/>
      </c>
      <c r="F791" s="29">
        <f>IF($A791="","",IF(COUNTIF(設定!$B$41:$B$70,$A791)=0,"⚠ 查無員編",IF(COUNTIF($E$3:$E$1002,$E791)&gt;1,"⚠ 重複打卡","OK")))</f>
        <v/>
      </c>
    </row>
    <row r="792">
      <c r="A792" s="26" t="n"/>
      <c r="B792" s="27" t="n"/>
      <c r="C792" s="28" t="n"/>
      <c r="D792" s="28" t="n"/>
      <c r="E792" s="29">
        <f>IF($A792="","",$A792&amp;"|"&amp;DAY($B792))</f>
        <v/>
      </c>
      <c r="F792" s="29">
        <f>IF($A792="","",IF(COUNTIF(設定!$B$41:$B$70,$A792)=0,"⚠ 查無員編",IF(COUNTIF($E$3:$E$1002,$E792)&gt;1,"⚠ 重複打卡","OK")))</f>
        <v/>
      </c>
    </row>
    <row r="793">
      <c r="A793" s="26" t="n"/>
      <c r="B793" s="27" t="n"/>
      <c r="C793" s="28" t="n"/>
      <c r="D793" s="28" t="n"/>
      <c r="E793" s="29">
        <f>IF($A793="","",$A793&amp;"|"&amp;DAY($B793))</f>
        <v/>
      </c>
      <c r="F793" s="29">
        <f>IF($A793="","",IF(COUNTIF(設定!$B$41:$B$70,$A793)=0,"⚠ 查無員編",IF(COUNTIF($E$3:$E$1002,$E793)&gt;1,"⚠ 重複打卡","OK")))</f>
        <v/>
      </c>
    </row>
    <row r="794">
      <c r="A794" s="26" t="n"/>
      <c r="B794" s="27" t="n"/>
      <c r="C794" s="28" t="n"/>
      <c r="D794" s="28" t="n"/>
      <c r="E794" s="29">
        <f>IF($A794="","",$A794&amp;"|"&amp;DAY($B794))</f>
        <v/>
      </c>
      <c r="F794" s="29">
        <f>IF($A794="","",IF(COUNTIF(設定!$B$41:$B$70,$A794)=0,"⚠ 查無員編",IF(COUNTIF($E$3:$E$1002,$E794)&gt;1,"⚠ 重複打卡","OK")))</f>
        <v/>
      </c>
    </row>
    <row r="795">
      <c r="A795" s="26" t="n"/>
      <c r="B795" s="27" t="n"/>
      <c r="C795" s="28" t="n"/>
      <c r="D795" s="28" t="n"/>
      <c r="E795" s="29">
        <f>IF($A795="","",$A795&amp;"|"&amp;DAY($B795))</f>
        <v/>
      </c>
      <c r="F795" s="29">
        <f>IF($A795="","",IF(COUNTIF(設定!$B$41:$B$70,$A795)=0,"⚠ 查無員編",IF(COUNTIF($E$3:$E$1002,$E795)&gt;1,"⚠ 重複打卡","OK")))</f>
        <v/>
      </c>
    </row>
    <row r="796">
      <c r="A796" s="26" t="n"/>
      <c r="B796" s="27" t="n"/>
      <c r="C796" s="28" t="n"/>
      <c r="D796" s="28" t="n"/>
      <c r="E796" s="29">
        <f>IF($A796="","",$A796&amp;"|"&amp;DAY($B796))</f>
        <v/>
      </c>
      <c r="F796" s="29">
        <f>IF($A796="","",IF(COUNTIF(設定!$B$41:$B$70,$A796)=0,"⚠ 查無員編",IF(COUNTIF($E$3:$E$1002,$E796)&gt;1,"⚠ 重複打卡","OK")))</f>
        <v/>
      </c>
    </row>
    <row r="797">
      <c r="A797" s="26" t="n"/>
      <c r="B797" s="27" t="n"/>
      <c r="C797" s="28" t="n"/>
      <c r="D797" s="28" t="n"/>
      <c r="E797" s="29">
        <f>IF($A797="","",$A797&amp;"|"&amp;DAY($B797))</f>
        <v/>
      </c>
      <c r="F797" s="29">
        <f>IF($A797="","",IF(COUNTIF(設定!$B$41:$B$70,$A797)=0,"⚠ 查無員編",IF(COUNTIF($E$3:$E$1002,$E797)&gt;1,"⚠ 重複打卡","OK")))</f>
        <v/>
      </c>
    </row>
    <row r="798">
      <c r="A798" s="26" t="n"/>
      <c r="B798" s="27" t="n"/>
      <c r="C798" s="28" t="n"/>
      <c r="D798" s="28" t="n"/>
      <c r="E798" s="29">
        <f>IF($A798="","",$A798&amp;"|"&amp;DAY($B798))</f>
        <v/>
      </c>
      <c r="F798" s="29">
        <f>IF($A798="","",IF(COUNTIF(設定!$B$41:$B$70,$A798)=0,"⚠ 查無員編",IF(COUNTIF($E$3:$E$1002,$E798)&gt;1,"⚠ 重複打卡","OK")))</f>
        <v/>
      </c>
    </row>
    <row r="799">
      <c r="A799" s="26" t="n"/>
      <c r="B799" s="27" t="n"/>
      <c r="C799" s="28" t="n"/>
      <c r="D799" s="28" t="n"/>
      <c r="E799" s="29">
        <f>IF($A799="","",$A799&amp;"|"&amp;DAY($B799))</f>
        <v/>
      </c>
      <c r="F799" s="29">
        <f>IF($A799="","",IF(COUNTIF(設定!$B$41:$B$70,$A799)=0,"⚠ 查無員編",IF(COUNTIF($E$3:$E$1002,$E799)&gt;1,"⚠ 重複打卡","OK")))</f>
        <v/>
      </c>
    </row>
    <row r="800">
      <c r="A800" s="26" t="n"/>
      <c r="B800" s="27" t="n"/>
      <c r="C800" s="28" t="n"/>
      <c r="D800" s="28" t="n"/>
      <c r="E800" s="29">
        <f>IF($A800="","",$A800&amp;"|"&amp;DAY($B800))</f>
        <v/>
      </c>
      <c r="F800" s="29">
        <f>IF($A800="","",IF(COUNTIF(設定!$B$41:$B$70,$A800)=0,"⚠ 查無員編",IF(COUNTIF($E$3:$E$1002,$E800)&gt;1,"⚠ 重複打卡","OK")))</f>
        <v/>
      </c>
    </row>
    <row r="801">
      <c r="A801" s="26" t="n"/>
      <c r="B801" s="27" t="n"/>
      <c r="C801" s="28" t="n"/>
      <c r="D801" s="28" t="n"/>
      <c r="E801" s="29">
        <f>IF($A801="","",$A801&amp;"|"&amp;DAY($B801))</f>
        <v/>
      </c>
      <c r="F801" s="29">
        <f>IF($A801="","",IF(COUNTIF(設定!$B$41:$B$70,$A801)=0,"⚠ 查無員編",IF(COUNTIF($E$3:$E$1002,$E801)&gt;1,"⚠ 重複打卡","OK")))</f>
        <v/>
      </c>
    </row>
    <row r="802">
      <c r="A802" s="26" t="n"/>
      <c r="B802" s="27" t="n"/>
      <c r="C802" s="28" t="n"/>
      <c r="D802" s="28" t="n"/>
      <c r="E802" s="29">
        <f>IF($A802="","",$A802&amp;"|"&amp;DAY($B802))</f>
        <v/>
      </c>
      <c r="F802" s="29">
        <f>IF($A802="","",IF(COUNTIF(設定!$B$41:$B$70,$A802)=0,"⚠ 查無員編",IF(COUNTIF($E$3:$E$1002,$E802)&gt;1,"⚠ 重複打卡","OK")))</f>
        <v/>
      </c>
    </row>
    <row r="803">
      <c r="A803" s="26" t="n"/>
      <c r="B803" s="27" t="n"/>
      <c r="C803" s="28" t="n"/>
      <c r="D803" s="28" t="n"/>
      <c r="E803" s="29">
        <f>IF($A803="","",$A803&amp;"|"&amp;DAY($B803))</f>
        <v/>
      </c>
      <c r="F803" s="29">
        <f>IF($A803="","",IF(COUNTIF(設定!$B$41:$B$70,$A803)=0,"⚠ 查無員編",IF(COUNTIF($E$3:$E$1002,$E803)&gt;1,"⚠ 重複打卡","OK")))</f>
        <v/>
      </c>
    </row>
    <row r="804">
      <c r="A804" s="26" t="n"/>
      <c r="B804" s="27" t="n"/>
      <c r="C804" s="28" t="n"/>
      <c r="D804" s="28" t="n"/>
      <c r="E804" s="29">
        <f>IF($A804="","",$A804&amp;"|"&amp;DAY($B804))</f>
        <v/>
      </c>
      <c r="F804" s="29">
        <f>IF($A804="","",IF(COUNTIF(設定!$B$41:$B$70,$A804)=0,"⚠ 查無員編",IF(COUNTIF($E$3:$E$1002,$E804)&gt;1,"⚠ 重複打卡","OK")))</f>
        <v/>
      </c>
    </row>
    <row r="805">
      <c r="A805" s="26" t="n"/>
      <c r="B805" s="27" t="n"/>
      <c r="C805" s="28" t="n"/>
      <c r="D805" s="28" t="n"/>
      <c r="E805" s="29">
        <f>IF($A805="","",$A805&amp;"|"&amp;DAY($B805))</f>
        <v/>
      </c>
      <c r="F805" s="29">
        <f>IF($A805="","",IF(COUNTIF(設定!$B$41:$B$70,$A805)=0,"⚠ 查無員編",IF(COUNTIF($E$3:$E$1002,$E805)&gt;1,"⚠ 重複打卡","OK")))</f>
        <v/>
      </c>
    </row>
    <row r="806">
      <c r="A806" s="26" t="n"/>
      <c r="B806" s="27" t="n"/>
      <c r="C806" s="28" t="n"/>
      <c r="D806" s="28" t="n"/>
      <c r="E806" s="29">
        <f>IF($A806="","",$A806&amp;"|"&amp;DAY($B806))</f>
        <v/>
      </c>
      <c r="F806" s="29">
        <f>IF($A806="","",IF(COUNTIF(設定!$B$41:$B$70,$A806)=0,"⚠ 查無員編",IF(COUNTIF($E$3:$E$1002,$E806)&gt;1,"⚠ 重複打卡","OK")))</f>
        <v/>
      </c>
    </row>
    <row r="807">
      <c r="A807" s="26" t="n"/>
      <c r="B807" s="27" t="n"/>
      <c r="C807" s="28" t="n"/>
      <c r="D807" s="28" t="n"/>
      <c r="E807" s="29">
        <f>IF($A807="","",$A807&amp;"|"&amp;DAY($B807))</f>
        <v/>
      </c>
      <c r="F807" s="29">
        <f>IF($A807="","",IF(COUNTIF(設定!$B$41:$B$70,$A807)=0,"⚠ 查無員編",IF(COUNTIF($E$3:$E$1002,$E807)&gt;1,"⚠ 重複打卡","OK")))</f>
        <v/>
      </c>
    </row>
    <row r="808">
      <c r="A808" s="26" t="n"/>
      <c r="B808" s="27" t="n"/>
      <c r="C808" s="28" t="n"/>
      <c r="D808" s="28" t="n"/>
      <c r="E808" s="29">
        <f>IF($A808="","",$A808&amp;"|"&amp;DAY($B808))</f>
        <v/>
      </c>
      <c r="F808" s="29">
        <f>IF($A808="","",IF(COUNTIF(設定!$B$41:$B$70,$A808)=0,"⚠ 查無員編",IF(COUNTIF($E$3:$E$1002,$E808)&gt;1,"⚠ 重複打卡","OK")))</f>
        <v/>
      </c>
    </row>
    <row r="809">
      <c r="A809" s="26" t="n"/>
      <c r="B809" s="27" t="n"/>
      <c r="C809" s="28" t="n"/>
      <c r="D809" s="28" t="n"/>
      <c r="E809" s="29">
        <f>IF($A809="","",$A809&amp;"|"&amp;DAY($B809))</f>
        <v/>
      </c>
      <c r="F809" s="29">
        <f>IF($A809="","",IF(COUNTIF(設定!$B$41:$B$70,$A809)=0,"⚠ 查無員編",IF(COUNTIF($E$3:$E$1002,$E809)&gt;1,"⚠ 重複打卡","OK")))</f>
        <v/>
      </c>
    </row>
    <row r="810">
      <c r="A810" s="26" t="n"/>
      <c r="B810" s="27" t="n"/>
      <c r="C810" s="28" t="n"/>
      <c r="D810" s="28" t="n"/>
      <c r="E810" s="29">
        <f>IF($A810="","",$A810&amp;"|"&amp;DAY($B810))</f>
        <v/>
      </c>
      <c r="F810" s="29">
        <f>IF($A810="","",IF(COUNTIF(設定!$B$41:$B$70,$A810)=0,"⚠ 查無員編",IF(COUNTIF($E$3:$E$1002,$E810)&gt;1,"⚠ 重複打卡","OK")))</f>
        <v/>
      </c>
    </row>
    <row r="811">
      <c r="A811" s="26" t="n"/>
      <c r="B811" s="27" t="n"/>
      <c r="C811" s="28" t="n"/>
      <c r="D811" s="28" t="n"/>
      <c r="E811" s="29">
        <f>IF($A811="","",$A811&amp;"|"&amp;DAY($B811))</f>
        <v/>
      </c>
      <c r="F811" s="29">
        <f>IF($A811="","",IF(COUNTIF(設定!$B$41:$B$70,$A811)=0,"⚠ 查無員編",IF(COUNTIF($E$3:$E$1002,$E811)&gt;1,"⚠ 重複打卡","OK")))</f>
        <v/>
      </c>
    </row>
    <row r="812">
      <c r="A812" s="26" t="n"/>
      <c r="B812" s="27" t="n"/>
      <c r="C812" s="28" t="n"/>
      <c r="D812" s="28" t="n"/>
      <c r="E812" s="29">
        <f>IF($A812="","",$A812&amp;"|"&amp;DAY($B812))</f>
        <v/>
      </c>
      <c r="F812" s="29">
        <f>IF($A812="","",IF(COUNTIF(設定!$B$41:$B$70,$A812)=0,"⚠ 查無員編",IF(COUNTIF($E$3:$E$1002,$E812)&gt;1,"⚠ 重複打卡","OK")))</f>
        <v/>
      </c>
    </row>
    <row r="813">
      <c r="A813" s="26" t="n"/>
      <c r="B813" s="27" t="n"/>
      <c r="C813" s="28" t="n"/>
      <c r="D813" s="28" t="n"/>
      <c r="E813" s="29">
        <f>IF($A813="","",$A813&amp;"|"&amp;DAY($B813))</f>
        <v/>
      </c>
      <c r="F813" s="29">
        <f>IF($A813="","",IF(COUNTIF(設定!$B$41:$B$70,$A813)=0,"⚠ 查無員編",IF(COUNTIF($E$3:$E$1002,$E813)&gt;1,"⚠ 重複打卡","OK")))</f>
        <v/>
      </c>
    </row>
    <row r="814">
      <c r="A814" s="26" t="n"/>
      <c r="B814" s="27" t="n"/>
      <c r="C814" s="28" t="n"/>
      <c r="D814" s="28" t="n"/>
      <c r="E814" s="29">
        <f>IF($A814="","",$A814&amp;"|"&amp;DAY($B814))</f>
        <v/>
      </c>
      <c r="F814" s="29">
        <f>IF($A814="","",IF(COUNTIF(設定!$B$41:$B$70,$A814)=0,"⚠ 查無員編",IF(COUNTIF($E$3:$E$1002,$E814)&gt;1,"⚠ 重複打卡","OK")))</f>
        <v/>
      </c>
    </row>
    <row r="815">
      <c r="A815" s="26" t="n"/>
      <c r="B815" s="27" t="n"/>
      <c r="C815" s="28" t="n"/>
      <c r="D815" s="28" t="n"/>
      <c r="E815" s="29">
        <f>IF($A815="","",$A815&amp;"|"&amp;DAY($B815))</f>
        <v/>
      </c>
      <c r="F815" s="29">
        <f>IF($A815="","",IF(COUNTIF(設定!$B$41:$B$70,$A815)=0,"⚠ 查無員編",IF(COUNTIF($E$3:$E$1002,$E815)&gt;1,"⚠ 重複打卡","OK")))</f>
        <v/>
      </c>
    </row>
    <row r="816">
      <c r="A816" s="26" t="n"/>
      <c r="B816" s="27" t="n"/>
      <c r="C816" s="28" t="n"/>
      <c r="D816" s="28" t="n"/>
      <c r="E816" s="29">
        <f>IF($A816="","",$A816&amp;"|"&amp;DAY($B816))</f>
        <v/>
      </c>
      <c r="F816" s="29">
        <f>IF($A816="","",IF(COUNTIF(設定!$B$41:$B$70,$A816)=0,"⚠ 查無員編",IF(COUNTIF($E$3:$E$1002,$E816)&gt;1,"⚠ 重複打卡","OK")))</f>
        <v/>
      </c>
    </row>
    <row r="817">
      <c r="A817" s="26" t="n"/>
      <c r="B817" s="27" t="n"/>
      <c r="C817" s="28" t="n"/>
      <c r="D817" s="28" t="n"/>
      <c r="E817" s="29">
        <f>IF($A817="","",$A817&amp;"|"&amp;DAY($B817))</f>
        <v/>
      </c>
      <c r="F817" s="29">
        <f>IF($A817="","",IF(COUNTIF(設定!$B$41:$B$70,$A817)=0,"⚠ 查無員編",IF(COUNTIF($E$3:$E$1002,$E817)&gt;1,"⚠ 重複打卡","OK")))</f>
        <v/>
      </c>
    </row>
    <row r="818">
      <c r="A818" s="26" t="n"/>
      <c r="B818" s="27" t="n"/>
      <c r="C818" s="28" t="n"/>
      <c r="D818" s="28" t="n"/>
      <c r="E818" s="29">
        <f>IF($A818="","",$A818&amp;"|"&amp;DAY($B818))</f>
        <v/>
      </c>
      <c r="F818" s="29">
        <f>IF($A818="","",IF(COUNTIF(設定!$B$41:$B$70,$A818)=0,"⚠ 查無員編",IF(COUNTIF($E$3:$E$1002,$E818)&gt;1,"⚠ 重複打卡","OK")))</f>
        <v/>
      </c>
    </row>
    <row r="819">
      <c r="A819" s="26" t="n"/>
      <c r="B819" s="27" t="n"/>
      <c r="C819" s="28" t="n"/>
      <c r="D819" s="28" t="n"/>
      <c r="E819" s="29">
        <f>IF($A819="","",$A819&amp;"|"&amp;DAY($B819))</f>
        <v/>
      </c>
      <c r="F819" s="29">
        <f>IF($A819="","",IF(COUNTIF(設定!$B$41:$B$70,$A819)=0,"⚠ 查無員編",IF(COUNTIF($E$3:$E$1002,$E819)&gt;1,"⚠ 重複打卡","OK")))</f>
        <v/>
      </c>
    </row>
    <row r="820">
      <c r="A820" s="26" t="n"/>
      <c r="B820" s="27" t="n"/>
      <c r="C820" s="28" t="n"/>
      <c r="D820" s="28" t="n"/>
      <c r="E820" s="29">
        <f>IF($A820="","",$A820&amp;"|"&amp;DAY($B820))</f>
        <v/>
      </c>
      <c r="F820" s="29">
        <f>IF($A820="","",IF(COUNTIF(設定!$B$41:$B$70,$A820)=0,"⚠ 查無員編",IF(COUNTIF($E$3:$E$1002,$E820)&gt;1,"⚠ 重複打卡","OK")))</f>
        <v/>
      </c>
    </row>
    <row r="821">
      <c r="A821" s="26" t="n"/>
      <c r="B821" s="27" t="n"/>
      <c r="C821" s="28" t="n"/>
      <c r="D821" s="28" t="n"/>
      <c r="E821" s="29">
        <f>IF($A821="","",$A821&amp;"|"&amp;DAY($B821))</f>
        <v/>
      </c>
      <c r="F821" s="29">
        <f>IF($A821="","",IF(COUNTIF(設定!$B$41:$B$70,$A821)=0,"⚠ 查無員編",IF(COUNTIF($E$3:$E$1002,$E821)&gt;1,"⚠ 重複打卡","OK")))</f>
        <v/>
      </c>
    </row>
    <row r="822">
      <c r="A822" s="26" t="n"/>
      <c r="B822" s="27" t="n"/>
      <c r="C822" s="28" t="n"/>
      <c r="D822" s="28" t="n"/>
      <c r="E822" s="29">
        <f>IF($A822="","",$A822&amp;"|"&amp;DAY($B822))</f>
        <v/>
      </c>
      <c r="F822" s="29">
        <f>IF($A822="","",IF(COUNTIF(設定!$B$41:$B$70,$A822)=0,"⚠ 查無員編",IF(COUNTIF($E$3:$E$1002,$E822)&gt;1,"⚠ 重複打卡","OK")))</f>
        <v/>
      </c>
    </row>
    <row r="823">
      <c r="A823" s="26" t="n"/>
      <c r="B823" s="27" t="n"/>
      <c r="C823" s="28" t="n"/>
      <c r="D823" s="28" t="n"/>
      <c r="E823" s="29">
        <f>IF($A823="","",$A823&amp;"|"&amp;DAY($B823))</f>
        <v/>
      </c>
      <c r="F823" s="29">
        <f>IF($A823="","",IF(COUNTIF(設定!$B$41:$B$70,$A823)=0,"⚠ 查無員編",IF(COUNTIF($E$3:$E$1002,$E823)&gt;1,"⚠ 重複打卡","OK")))</f>
        <v/>
      </c>
    </row>
    <row r="824">
      <c r="A824" s="26" t="n"/>
      <c r="B824" s="27" t="n"/>
      <c r="C824" s="28" t="n"/>
      <c r="D824" s="28" t="n"/>
      <c r="E824" s="29">
        <f>IF($A824="","",$A824&amp;"|"&amp;DAY($B824))</f>
        <v/>
      </c>
      <c r="F824" s="29">
        <f>IF($A824="","",IF(COUNTIF(設定!$B$41:$B$70,$A824)=0,"⚠ 查無員編",IF(COUNTIF($E$3:$E$1002,$E824)&gt;1,"⚠ 重複打卡","OK")))</f>
        <v/>
      </c>
    </row>
    <row r="825">
      <c r="A825" s="26" t="n"/>
      <c r="B825" s="27" t="n"/>
      <c r="C825" s="28" t="n"/>
      <c r="D825" s="28" t="n"/>
      <c r="E825" s="29">
        <f>IF($A825="","",$A825&amp;"|"&amp;DAY($B825))</f>
        <v/>
      </c>
      <c r="F825" s="29">
        <f>IF($A825="","",IF(COUNTIF(設定!$B$41:$B$70,$A825)=0,"⚠ 查無員編",IF(COUNTIF($E$3:$E$1002,$E825)&gt;1,"⚠ 重複打卡","OK")))</f>
        <v/>
      </c>
    </row>
    <row r="826">
      <c r="A826" s="26" t="n"/>
      <c r="B826" s="27" t="n"/>
      <c r="C826" s="28" t="n"/>
      <c r="D826" s="28" t="n"/>
      <c r="E826" s="29">
        <f>IF($A826="","",$A826&amp;"|"&amp;DAY($B826))</f>
        <v/>
      </c>
      <c r="F826" s="29">
        <f>IF($A826="","",IF(COUNTIF(設定!$B$41:$B$70,$A826)=0,"⚠ 查無員編",IF(COUNTIF($E$3:$E$1002,$E826)&gt;1,"⚠ 重複打卡","OK")))</f>
        <v/>
      </c>
    </row>
    <row r="827">
      <c r="A827" s="26" t="n"/>
      <c r="B827" s="27" t="n"/>
      <c r="C827" s="28" t="n"/>
      <c r="D827" s="28" t="n"/>
      <c r="E827" s="29">
        <f>IF($A827="","",$A827&amp;"|"&amp;DAY($B827))</f>
        <v/>
      </c>
      <c r="F827" s="29">
        <f>IF($A827="","",IF(COUNTIF(設定!$B$41:$B$70,$A827)=0,"⚠ 查無員編",IF(COUNTIF($E$3:$E$1002,$E827)&gt;1,"⚠ 重複打卡","OK")))</f>
        <v/>
      </c>
    </row>
    <row r="828">
      <c r="A828" s="26" t="n"/>
      <c r="B828" s="27" t="n"/>
      <c r="C828" s="28" t="n"/>
      <c r="D828" s="28" t="n"/>
      <c r="E828" s="29">
        <f>IF($A828="","",$A828&amp;"|"&amp;DAY($B828))</f>
        <v/>
      </c>
      <c r="F828" s="29">
        <f>IF($A828="","",IF(COUNTIF(設定!$B$41:$B$70,$A828)=0,"⚠ 查無員編",IF(COUNTIF($E$3:$E$1002,$E828)&gt;1,"⚠ 重複打卡","OK")))</f>
        <v/>
      </c>
    </row>
    <row r="829">
      <c r="A829" s="26" t="n"/>
      <c r="B829" s="27" t="n"/>
      <c r="C829" s="28" t="n"/>
      <c r="D829" s="28" t="n"/>
      <c r="E829" s="29">
        <f>IF($A829="","",$A829&amp;"|"&amp;DAY($B829))</f>
        <v/>
      </c>
      <c r="F829" s="29">
        <f>IF($A829="","",IF(COUNTIF(設定!$B$41:$B$70,$A829)=0,"⚠ 查無員編",IF(COUNTIF($E$3:$E$1002,$E829)&gt;1,"⚠ 重複打卡","OK")))</f>
        <v/>
      </c>
    </row>
    <row r="830">
      <c r="A830" s="26" t="n"/>
      <c r="B830" s="27" t="n"/>
      <c r="C830" s="28" t="n"/>
      <c r="D830" s="28" t="n"/>
      <c r="E830" s="29">
        <f>IF($A830="","",$A830&amp;"|"&amp;DAY($B830))</f>
        <v/>
      </c>
      <c r="F830" s="29">
        <f>IF($A830="","",IF(COUNTIF(設定!$B$41:$B$70,$A830)=0,"⚠ 查無員編",IF(COUNTIF($E$3:$E$1002,$E830)&gt;1,"⚠ 重複打卡","OK")))</f>
        <v/>
      </c>
    </row>
    <row r="831">
      <c r="A831" s="26" t="n"/>
      <c r="B831" s="27" t="n"/>
      <c r="C831" s="28" t="n"/>
      <c r="D831" s="28" t="n"/>
      <c r="E831" s="29">
        <f>IF($A831="","",$A831&amp;"|"&amp;DAY($B831))</f>
        <v/>
      </c>
      <c r="F831" s="29">
        <f>IF($A831="","",IF(COUNTIF(設定!$B$41:$B$70,$A831)=0,"⚠ 查無員編",IF(COUNTIF($E$3:$E$1002,$E831)&gt;1,"⚠ 重複打卡","OK")))</f>
        <v/>
      </c>
    </row>
    <row r="832">
      <c r="A832" s="26" t="n"/>
      <c r="B832" s="27" t="n"/>
      <c r="C832" s="28" t="n"/>
      <c r="D832" s="28" t="n"/>
      <c r="E832" s="29">
        <f>IF($A832="","",$A832&amp;"|"&amp;DAY($B832))</f>
        <v/>
      </c>
      <c r="F832" s="29">
        <f>IF($A832="","",IF(COUNTIF(設定!$B$41:$B$70,$A832)=0,"⚠ 查無員編",IF(COUNTIF($E$3:$E$1002,$E832)&gt;1,"⚠ 重複打卡","OK")))</f>
        <v/>
      </c>
    </row>
    <row r="833">
      <c r="A833" s="26" t="n"/>
      <c r="B833" s="27" t="n"/>
      <c r="C833" s="28" t="n"/>
      <c r="D833" s="28" t="n"/>
      <c r="E833" s="29">
        <f>IF($A833="","",$A833&amp;"|"&amp;DAY($B833))</f>
        <v/>
      </c>
      <c r="F833" s="29">
        <f>IF($A833="","",IF(COUNTIF(設定!$B$41:$B$70,$A833)=0,"⚠ 查無員編",IF(COUNTIF($E$3:$E$1002,$E833)&gt;1,"⚠ 重複打卡","OK")))</f>
        <v/>
      </c>
    </row>
    <row r="834">
      <c r="A834" s="26" t="n"/>
      <c r="B834" s="27" t="n"/>
      <c r="C834" s="28" t="n"/>
      <c r="D834" s="28" t="n"/>
      <c r="E834" s="29">
        <f>IF($A834="","",$A834&amp;"|"&amp;DAY($B834))</f>
        <v/>
      </c>
      <c r="F834" s="29">
        <f>IF($A834="","",IF(COUNTIF(設定!$B$41:$B$70,$A834)=0,"⚠ 查無員編",IF(COUNTIF($E$3:$E$1002,$E834)&gt;1,"⚠ 重複打卡","OK")))</f>
        <v/>
      </c>
    </row>
    <row r="835">
      <c r="A835" s="26" t="n"/>
      <c r="B835" s="27" t="n"/>
      <c r="C835" s="28" t="n"/>
      <c r="D835" s="28" t="n"/>
      <c r="E835" s="29">
        <f>IF($A835="","",$A835&amp;"|"&amp;DAY($B835))</f>
        <v/>
      </c>
      <c r="F835" s="29">
        <f>IF($A835="","",IF(COUNTIF(設定!$B$41:$B$70,$A835)=0,"⚠ 查無員編",IF(COUNTIF($E$3:$E$1002,$E835)&gt;1,"⚠ 重複打卡","OK")))</f>
        <v/>
      </c>
    </row>
    <row r="836">
      <c r="A836" s="26" t="n"/>
      <c r="B836" s="27" t="n"/>
      <c r="C836" s="28" t="n"/>
      <c r="D836" s="28" t="n"/>
      <c r="E836" s="29">
        <f>IF($A836="","",$A836&amp;"|"&amp;DAY($B836))</f>
        <v/>
      </c>
      <c r="F836" s="29">
        <f>IF($A836="","",IF(COUNTIF(設定!$B$41:$B$70,$A836)=0,"⚠ 查無員編",IF(COUNTIF($E$3:$E$1002,$E836)&gt;1,"⚠ 重複打卡","OK")))</f>
        <v/>
      </c>
    </row>
    <row r="837">
      <c r="A837" s="26" t="n"/>
      <c r="B837" s="27" t="n"/>
      <c r="C837" s="28" t="n"/>
      <c r="D837" s="28" t="n"/>
      <c r="E837" s="29">
        <f>IF($A837="","",$A837&amp;"|"&amp;DAY($B837))</f>
        <v/>
      </c>
      <c r="F837" s="29">
        <f>IF($A837="","",IF(COUNTIF(設定!$B$41:$B$70,$A837)=0,"⚠ 查無員編",IF(COUNTIF($E$3:$E$1002,$E837)&gt;1,"⚠ 重複打卡","OK")))</f>
        <v/>
      </c>
    </row>
    <row r="838">
      <c r="A838" s="26" t="n"/>
      <c r="B838" s="27" t="n"/>
      <c r="C838" s="28" t="n"/>
      <c r="D838" s="28" t="n"/>
      <c r="E838" s="29">
        <f>IF($A838="","",$A838&amp;"|"&amp;DAY($B838))</f>
        <v/>
      </c>
      <c r="F838" s="29">
        <f>IF($A838="","",IF(COUNTIF(設定!$B$41:$B$70,$A838)=0,"⚠ 查無員編",IF(COUNTIF($E$3:$E$1002,$E838)&gt;1,"⚠ 重複打卡","OK")))</f>
        <v/>
      </c>
    </row>
    <row r="839">
      <c r="A839" s="26" t="n"/>
      <c r="B839" s="27" t="n"/>
      <c r="C839" s="28" t="n"/>
      <c r="D839" s="28" t="n"/>
      <c r="E839" s="29">
        <f>IF($A839="","",$A839&amp;"|"&amp;DAY($B839))</f>
        <v/>
      </c>
      <c r="F839" s="29">
        <f>IF($A839="","",IF(COUNTIF(設定!$B$41:$B$70,$A839)=0,"⚠ 查無員編",IF(COUNTIF($E$3:$E$1002,$E839)&gt;1,"⚠ 重複打卡","OK")))</f>
        <v/>
      </c>
    </row>
    <row r="840">
      <c r="A840" s="26" t="n"/>
      <c r="B840" s="27" t="n"/>
      <c r="C840" s="28" t="n"/>
      <c r="D840" s="28" t="n"/>
      <c r="E840" s="29">
        <f>IF($A840="","",$A840&amp;"|"&amp;DAY($B840))</f>
        <v/>
      </c>
      <c r="F840" s="29">
        <f>IF($A840="","",IF(COUNTIF(設定!$B$41:$B$70,$A840)=0,"⚠ 查無員編",IF(COUNTIF($E$3:$E$1002,$E840)&gt;1,"⚠ 重複打卡","OK")))</f>
        <v/>
      </c>
    </row>
    <row r="841">
      <c r="A841" s="26" t="n"/>
      <c r="B841" s="27" t="n"/>
      <c r="C841" s="28" t="n"/>
      <c r="D841" s="28" t="n"/>
      <c r="E841" s="29">
        <f>IF($A841="","",$A841&amp;"|"&amp;DAY($B841))</f>
        <v/>
      </c>
      <c r="F841" s="29">
        <f>IF($A841="","",IF(COUNTIF(設定!$B$41:$B$70,$A841)=0,"⚠ 查無員編",IF(COUNTIF($E$3:$E$1002,$E841)&gt;1,"⚠ 重複打卡","OK")))</f>
        <v/>
      </c>
    </row>
    <row r="842">
      <c r="A842" s="26" t="n"/>
      <c r="B842" s="27" t="n"/>
      <c r="C842" s="28" t="n"/>
      <c r="D842" s="28" t="n"/>
      <c r="E842" s="29">
        <f>IF($A842="","",$A842&amp;"|"&amp;DAY($B842))</f>
        <v/>
      </c>
      <c r="F842" s="29">
        <f>IF($A842="","",IF(COUNTIF(設定!$B$41:$B$70,$A842)=0,"⚠ 查無員編",IF(COUNTIF($E$3:$E$1002,$E842)&gt;1,"⚠ 重複打卡","OK")))</f>
        <v/>
      </c>
    </row>
    <row r="843">
      <c r="A843" s="26" t="n"/>
      <c r="B843" s="27" t="n"/>
      <c r="C843" s="28" t="n"/>
      <c r="D843" s="28" t="n"/>
      <c r="E843" s="29">
        <f>IF($A843="","",$A843&amp;"|"&amp;DAY($B843))</f>
        <v/>
      </c>
      <c r="F843" s="29">
        <f>IF($A843="","",IF(COUNTIF(設定!$B$41:$B$70,$A843)=0,"⚠ 查無員編",IF(COUNTIF($E$3:$E$1002,$E843)&gt;1,"⚠ 重複打卡","OK")))</f>
        <v/>
      </c>
    </row>
    <row r="844">
      <c r="A844" s="26" t="n"/>
      <c r="B844" s="27" t="n"/>
      <c r="C844" s="28" t="n"/>
      <c r="D844" s="28" t="n"/>
      <c r="E844" s="29">
        <f>IF($A844="","",$A844&amp;"|"&amp;DAY($B844))</f>
        <v/>
      </c>
      <c r="F844" s="29">
        <f>IF($A844="","",IF(COUNTIF(設定!$B$41:$B$70,$A844)=0,"⚠ 查無員編",IF(COUNTIF($E$3:$E$1002,$E844)&gt;1,"⚠ 重複打卡","OK")))</f>
        <v/>
      </c>
    </row>
    <row r="845">
      <c r="A845" s="26" t="n"/>
      <c r="B845" s="27" t="n"/>
      <c r="C845" s="28" t="n"/>
      <c r="D845" s="28" t="n"/>
      <c r="E845" s="29">
        <f>IF($A845="","",$A845&amp;"|"&amp;DAY($B845))</f>
        <v/>
      </c>
      <c r="F845" s="29">
        <f>IF($A845="","",IF(COUNTIF(設定!$B$41:$B$70,$A845)=0,"⚠ 查無員編",IF(COUNTIF($E$3:$E$1002,$E845)&gt;1,"⚠ 重複打卡","OK")))</f>
        <v/>
      </c>
    </row>
    <row r="846">
      <c r="A846" s="26" t="n"/>
      <c r="B846" s="27" t="n"/>
      <c r="C846" s="28" t="n"/>
      <c r="D846" s="28" t="n"/>
      <c r="E846" s="29">
        <f>IF($A846="","",$A846&amp;"|"&amp;DAY($B846))</f>
        <v/>
      </c>
      <c r="F846" s="29">
        <f>IF($A846="","",IF(COUNTIF(設定!$B$41:$B$70,$A846)=0,"⚠ 查無員編",IF(COUNTIF($E$3:$E$1002,$E846)&gt;1,"⚠ 重複打卡","OK")))</f>
        <v/>
      </c>
    </row>
    <row r="847">
      <c r="A847" s="26" t="n"/>
      <c r="B847" s="27" t="n"/>
      <c r="C847" s="28" t="n"/>
      <c r="D847" s="28" t="n"/>
      <c r="E847" s="29">
        <f>IF($A847="","",$A847&amp;"|"&amp;DAY($B847))</f>
        <v/>
      </c>
      <c r="F847" s="29">
        <f>IF($A847="","",IF(COUNTIF(設定!$B$41:$B$70,$A847)=0,"⚠ 查無員編",IF(COUNTIF($E$3:$E$1002,$E847)&gt;1,"⚠ 重複打卡","OK")))</f>
        <v/>
      </c>
    </row>
    <row r="848">
      <c r="A848" s="26" t="n"/>
      <c r="B848" s="27" t="n"/>
      <c r="C848" s="28" t="n"/>
      <c r="D848" s="28" t="n"/>
      <c r="E848" s="29">
        <f>IF($A848="","",$A848&amp;"|"&amp;DAY($B848))</f>
        <v/>
      </c>
      <c r="F848" s="29">
        <f>IF($A848="","",IF(COUNTIF(設定!$B$41:$B$70,$A848)=0,"⚠ 查無員編",IF(COUNTIF($E$3:$E$1002,$E848)&gt;1,"⚠ 重複打卡","OK")))</f>
        <v/>
      </c>
    </row>
    <row r="849">
      <c r="A849" s="26" t="n"/>
      <c r="B849" s="27" t="n"/>
      <c r="C849" s="28" t="n"/>
      <c r="D849" s="28" t="n"/>
      <c r="E849" s="29">
        <f>IF($A849="","",$A849&amp;"|"&amp;DAY($B849))</f>
        <v/>
      </c>
      <c r="F849" s="29">
        <f>IF($A849="","",IF(COUNTIF(設定!$B$41:$B$70,$A849)=0,"⚠ 查無員編",IF(COUNTIF($E$3:$E$1002,$E849)&gt;1,"⚠ 重複打卡","OK")))</f>
        <v/>
      </c>
    </row>
    <row r="850">
      <c r="A850" s="26" t="n"/>
      <c r="B850" s="27" t="n"/>
      <c r="C850" s="28" t="n"/>
      <c r="D850" s="28" t="n"/>
      <c r="E850" s="29">
        <f>IF($A850="","",$A850&amp;"|"&amp;DAY($B850))</f>
        <v/>
      </c>
      <c r="F850" s="29">
        <f>IF($A850="","",IF(COUNTIF(設定!$B$41:$B$70,$A850)=0,"⚠ 查無員編",IF(COUNTIF($E$3:$E$1002,$E850)&gt;1,"⚠ 重複打卡","OK")))</f>
        <v/>
      </c>
    </row>
    <row r="851">
      <c r="A851" s="26" t="n"/>
      <c r="B851" s="27" t="n"/>
      <c r="C851" s="28" t="n"/>
      <c r="D851" s="28" t="n"/>
      <c r="E851" s="29">
        <f>IF($A851="","",$A851&amp;"|"&amp;DAY($B851))</f>
        <v/>
      </c>
      <c r="F851" s="29">
        <f>IF($A851="","",IF(COUNTIF(設定!$B$41:$B$70,$A851)=0,"⚠ 查無員編",IF(COUNTIF($E$3:$E$1002,$E851)&gt;1,"⚠ 重複打卡","OK")))</f>
        <v/>
      </c>
    </row>
    <row r="852">
      <c r="A852" s="26" t="n"/>
      <c r="B852" s="27" t="n"/>
      <c r="C852" s="28" t="n"/>
      <c r="D852" s="28" t="n"/>
      <c r="E852" s="29">
        <f>IF($A852="","",$A852&amp;"|"&amp;DAY($B852))</f>
        <v/>
      </c>
      <c r="F852" s="29">
        <f>IF($A852="","",IF(COUNTIF(設定!$B$41:$B$70,$A852)=0,"⚠ 查無員編",IF(COUNTIF($E$3:$E$1002,$E852)&gt;1,"⚠ 重複打卡","OK")))</f>
        <v/>
      </c>
    </row>
    <row r="853">
      <c r="A853" s="26" t="n"/>
      <c r="B853" s="27" t="n"/>
      <c r="C853" s="28" t="n"/>
      <c r="D853" s="28" t="n"/>
      <c r="E853" s="29">
        <f>IF($A853="","",$A853&amp;"|"&amp;DAY($B853))</f>
        <v/>
      </c>
      <c r="F853" s="29">
        <f>IF($A853="","",IF(COUNTIF(設定!$B$41:$B$70,$A853)=0,"⚠ 查無員編",IF(COUNTIF($E$3:$E$1002,$E853)&gt;1,"⚠ 重複打卡","OK")))</f>
        <v/>
      </c>
    </row>
    <row r="854">
      <c r="A854" s="26" t="n"/>
      <c r="B854" s="27" t="n"/>
      <c r="C854" s="28" t="n"/>
      <c r="D854" s="28" t="n"/>
      <c r="E854" s="29">
        <f>IF($A854="","",$A854&amp;"|"&amp;DAY($B854))</f>
        <v/>
      </c>
      <c r="F854" s="29">
        <f>IF($A854="","",IF(COUNTIF(設定!$B$41:$B$70,$A854)=0,"⚠ 查無員編",IF(COUNTIF($E$3:$E$1002,$E854)&gt;1,"⚠ 重複打卡","OK")))</f>
        <v/>
      </c>
    </row>
    <row r="855">
      <c r="A855" s="26" t="n"/>
      <c r="B855" s="27" t="n"/>
      <c r="C855" s="28" t="n"/>
      <c r="D855" s="28" t="n"/>
      <c r="E855" s="29">
        <f>IF($A855="","",$A855&amp;"|"&amp;DAY($B855))</f>
        <v/>
      </c>
      <c r="F855" s="29">
        <f>IF($A855="","",IF(COUNTIF(設定!$B$41:$B$70,$A855)=0,"⚠ 查無員編",IF(COUNTIF($E$3:$E$1002,$E855)&gt;1,"⚠ 重複打卡","OK")))</f>
        <v/>
      </c>
    </row>
    <row r="856">
      <c r="A856" s="26" t="n"/>
      <c r="B856" s="27" t="n"/>
      <c r="C856" s="28" t="n"/>
      <c r="D856" s="28" t="n"/>
      <c r="E856" s="29">
        <f>IF($A856="","",$A856&amp;"|"&amp;DAY($B856))</f>
        <v/>
      </c>
      <c r="F856" s="29">
        <f>IF($A856="","",IF(COUNTIF(設定!$B$41:$B$70,$A856)=0,"⚠ 查無員編",IF(COUNTIF($E$3:$E$1002,$E856)&gt;1,"⚠ 重複打卡","OK")))</f>
        <v/>
      </c>
    </row>
    <row r="857">
      <c r="A857" s="26" t="n"/>
      <c r="B857" s="27" t="n"/>
      <c r="C857" s="28" t="n"/>
      <c r="D857" s="28" t="n"/>
      <c r="E857" s="29">
        <f>IF($A857="","",$A857&amp;"|"&amp;DAY($B857))</f>
        <v/>
      </c>
      <c r="F857" s="29">
        <f>IF($A857="","",IF(COUNTIF(設定!$B$41:$B$70,$A857)=0,"⚠ 查無員編",IF(COUNTIF($E$3:$E$1002,$E857)&gt;1,"⚠ 重複打卡","OK")))</f>
        <v/>
      </c>
    </row>
    <row r="858">
      <c r="A858" s="26" t="n"/>
      <c r="B858" s="27" t="n"/>
      <c r="C858" s="28" t="n"/>
      <c r="D858" s="28" t="n"/>
      <c r="E858" s="29">
        <f>IF($A858="","",$A858&amp;"|"&amp;DAY($B858))</f>
        <v/>
      </c>
      <c r="F858" s="29">
        <f>IF($A858="","",IF(COUNTIF(設定!$B$41:$B$70,$A858)=0,"⚠ 查無員編",IF(COUNTIF($E$3:$E$1002,$E858)&gt;1,"⚠ 重複打卡","OK")))</f>
        <v/>
      </c>
    </row>
    <row r="859">
      <c r="A859" s="26" t="n"/>
      <c r="B859" s="27" t="n"/>
      <c r="C859" s="28" t="n"/>
      <c r="D859" s="28" t="n"/>
      <c r="E859" s="29">
        <f>IF($A859="","",$A859&amp;"|"&amp;DAY($B859))</f>
        <v/>
      </c>
      <c r="F859" s="29">
        <f>IF($A859="","",IF(COUNTIF(設定!$B$41:$B$70,$A859)=0,"⚠ 查無員編",IF(COUNTIF($E$3:$E$1002,$E859)&gt;1,"⚠ 重複打卡","OK")))</f>
        <v/>
      </c>
    </row>
    <row r="860">
      <c r="A860" s="26" t="n"/>
      <c r="B860" s="27" t="n"/>
      <c r="C860" s="28" t="n"/>
      <c r="D860" s="28" t="n"/>
      <c r="E860" s="29">
        <f>IF($A860="","",$A860&amp;"|"&amp;DAY($B860))</f>
        <v/>
      </c>
      <c r="F860" s="29">
        <f>IF($A860="","",IF(COUNTIF(設定!$B$41:$B$70,$A860)=0,"⚠ 查無員編",IF(COUNTIF($E$3:$E$1002,$E860)&gt;1,"⚠ 重複打卡","OK")))</f>
        <v/>
      </c>
    </row>
    <row r="861">
      <c r="A861" s="26" t="n"/>
      <c r="B861" s="27" t="n"/>
      <c r="C861" s="28" t="n"/>
      <c r="D861" s="28" t="n"/>
      <c r="E861" s="29">
        <f>IF($A861="","",$A861&amp;"|"&amp;DAY($B861))</f>
        <v/>
      </c>
      <c r="F861" s="29">
        <f>IF($A861="","",IF(COUNTIF(設定!$B$41:$B$70,$A861)=0,"⚠ 查無員編",IF(COUNTIF($E$3:$E$1002,$E861)&gt;1,"⚠ 重複打卡","OK")))</f>
        <v/>
      </c>
    </row>
    <row r="862">
      <c r="A862" s="26" t="n"/>
      <c r="B862" s="27" t="n"/>
      <c r="C862" s="28" t="n"/>
      <c r="D862" s="28" t="n"/>
      <c r="E862" s="29">
        <f>IF($A862="","",$A862&amp;"|"&amp;DAY($B862))</f>
        <v/>
      </c>
      <c r="F862" s="29">
        <f>IF($A862="","",IF(COUNTIF(設定!$B$41:$B$70,$A862)=0,"⚠ 查無員編",IF(COUNTIF($E$3:$E$1002,$E862)&gt;1,"⚠ 重複打卡","OK")))</f>
        <v/>
      </c>
    </row>
    <row r="863">
      <c r="A863" s="26" t="n"/>
      <c r="B863" s="27" t="n"/>
      <c r="C863" s="28" t="n"/>
      <c r="D863" s="28" t="n"/>
      <c r="E863" s="29">
        <f>IF($A863="","",$A863&amp;"|"&amp;DAY($B863))</f>
        <v/>
      </c>
      <c r="F863" s="29">
        <f>IF($A863="","",IF(COUNTIF(設定!$B$41:$B$70,$A863)=0,"⚠ 查無員編",IF(COUNTIF($E$3:$E$1002,$E863)&gt;1,"⚠ 重複打卡","OK")))</f>
        <v/>
      </c>
    </row>
    <row r="864">
      <c r="A864" s="26" t="n"/>
      <c r="B864" s="27" t="n"/>
      <c r="C864" s="28" t="n"/>
      <c r="D864" s="28" t="n"/>
      <c r="E864" s="29">
        <f>IF($A864="","",$A864&amp;"|"&amp;DAY($B864))</f>
        <v/>
      </c>
      <c r="F864" s="29">
        <f>IF($A864="","",IF(COUNTIF(設定!$B$41:$B$70,$A864)=0,"⚠ 查無員編",IF(COUNTIF($E$3:$E$1002,$E864)&gt;1,"⚠ 重複打卡","OK")))</f>
        <v/>
      </c>
    </row>
    <row r="865">
      <c r="A865" s="26" t="n"/>
      <c r="B865" s="27" t="n"/>
      <c r="C865" s="28" t="n"/>
      <c r="D865" s="28" t="n"/>
      <c r="E865" s="29">
        <f>IF($A865="","",$A865&amp;"|"&amp;DAY($B865))</f>
        <v/>
      </c>
      <c r="F865" s="29">
        <f>IF($A865="","",IF(COUNTIF(設定!$B$41:$B$70,$A865)=0,"⚠ 查無員編",IF(COUNTIF($E$3:$E$1002,$E865)&gt;1,"⚠ 重複打卡","OK")))</f>
        <v/>
      </c>
    </row>
    <row r="866">
      <c r="A866" s="26" t="n"/>
      <c r="B866" s="27" t="n"/>
      <c r="C866" s="28" t="n"/>
      <c r="D866" s="28" t="n"/>
      <c r="E866" s="29">
        <f>IF($A866="","",$A866&amp;"|"&amp;DAY($B866))</f>
        <v/>
      </c>
      <c r="F866" s="29">
        <f>IF($A866="","",IF(COUNTIF(設定!$B$41:$B$70,$A866)=0,"⚠ 查無員編",IF(COUNTIF($E$3:$E$1002,$E866)&gt;1,"⚠ 重複打卡","OK")))</f>
        <v/>
      </c>
    </row>
    <row r="867">
      <c r="A867" s="26" t="n"/>
      <c r="B867" s="27" t="n"/>
      <c r="C867" s="28" t="n"/>
      <c r="D867" s="28" t="n"/>
      <c r="E867" s="29">
        <f>IF($A867="","",$A867&amp;"|"&amp;DAY($B867))</f>
        <v/>
      </c>
      <c r="F867" s="29">
        <f>IF($A867="","",IF(COUNTIF(設定!$B$41:$B$70,$A867)=0,"⚠ 查無員編",IF(COUNTIF($E$3:$E$1002,$E867)&gt;1,"⚠ 重複打卡","OK")))</f>
        <v/>
      </c>
    </row>
    <row r="868">
      <c r="A868" s="26" t="n"/>
      <c r="B868" s="27" t="n"/>
      <c r="C868" s="28" t="n"/>
      <c r="D868" s="28" t="n"/>
      <c r="E868" s="29">
        <f>IF($A868="","",$A868&amp;"|"&amp;DAY($B868))</f>
        <v/>
      </c>
      <c r="F868" s="29">
        <f>IF($A868="","",IF(COUNTIF(設定!$B$41:$B$70,$A868)=0,"⚠ 查無員編",IF(COUNTIF($E$3:$E$1002,$E868)&gt;1,"⚠ 重複打卡","OK")))</f>
        <v/>
      </c>
    </row>
    <row r="869">
      <c r="A869" s="26" t="n"/>
      <c r="B869" s="27" t="n"/>
      <c r="C869" s="28" t="n"/>
      <c r="D869" s="28" t="n"/>
      <c r="E869" s="29">
        <f>IF($A869="","",$A869&amp;"|"&amp;DAY($B869))</f>
        <v/>
      </c>
      <c r="F869" s="29">
        <f>IF($A869="","",IF(COUNTIF(設定!$B$41:$B$70,$A869)=0,"⚠ 查無員編",IF(COUNTIF($E$3:$E$1002,$E869)&gt;1,"⚠ 重複打卡","OK")))</f>
        <v/>
      </c>
    </row>
    <row r="870">
      <c r="A870" s="26" t="n"/>
      <c r="B870" s="27" t="n"/>
      <c r="C870" s="28" t="n"/>
      <c r="D870" s="28" t="n"/>
      <c r="E870" s="29">
        <f>IF($A870="","",$A870&amp;"|"&amp;DAY($B870))</f>
        <v/>
      </c>
      <c r="F870" s="29">
        <f>IF($A870="","",IF(COUNTIF(設定!$B$41:$B$70,$A870)=0,"⚠ 查無員編",IF(COUNTIF($E$3:$E$1002,$E870)&gt;1,"⚠ 重複打卡","OK")))</f>
        <v/>
      </c>
    </row>
    <row r="871">
      <c r="A871" s="26" t="n"/>
      <c r="B871" s="27" t="n"/>
      <c r="C871" s="28" t="n"/>
      <c r="D871" s="28" t="n"/>
      <c r="E871" s="29">
        <f>IF($A871="","",$A871&amp;"|"&amp;DAY($B871))</f>
        <v/>
      </c>
      <c r="F871" s="29">
        <f>IF($A871="","",IF(COUNTIF(設定!$B$41:$B$70,$A871)=0,"⚠ 查無員編",IF(COUNTIF($E$3:$E$1002,$E871)&gt;1,"⚠ 重複打卡","OK")))</f>
        <v/>
      </c>
    </row>
    <row r="872">
      <c r="A872" s="26" t="n"/>
      <c r="B872" s="27" t="n"/>
      <c r="C872" s="28" t="n"/>
      <c r="D872" s="28" t="n"/>
      <c r="E872" s="29">
        <f>IF($A872="","",$A872&amp;"|"&amp;DAY($B872))</f>
        <v/>
      </c>
      <c r="F872" s="29">
        <f>IF($A872="","",IF(COUNTIF(設定!$B$41:$B$70,$A872)=0,"⚠ 查無員編",IF(COUNTIF($E$3:$E$1002,$E872)&gt;1,"⚠ 重複打卡","OK")))</f>
        <v/>
      </c>
    </row>
    <row r="873">
      <c r="A873" s="26" t="n"/>
      <c r="B873" s="27" t="n"/>
      <c r="C873" s="28" t="n"/>
      <c r="D873" s="28" t="n"/>
      <c r="E873" s="29">
        <f>IF($A873="","",$A873&amp;"|"&amp;DAY($B873))</f>
        <v/>
      </c>
      <c r="F873" s="29">
        <f>IF($A873="","",IF(COUNTIF(設定!$B$41:$B$70,$A873)=0,"⚠ 查無員編",IF(COUNTIF($E$3:$E$1002,$E873)&gt;1,"⚠ 重複打卡","OK")))</f>
        <v/>
      </c>
    </row>
    <row r="874">
      <c r="A874" s="26" t="n"/>
      <c r="B874" s="27" t="n"/>
      <c r="C874" s="28" t="n"/>
      <c r="D874" s="28" t="n"/>
      <c r="E874" s="29">
        <f>IF($A874="","",$A874&amp;"|"&amp;DAY($B874))</f>
        <v/>
      </c>
      <c r="F874" s="29">
        <f>IF($A874="","",IF(COUNTIF(設定!$B$41:$B$70,$A874)=0,"⚠ 查無員編",IF(COUNTIF($E$3:$E$1002,$E874)&gt;1,"⚠ 重複打卡","OK")))</f>
        <v/>
      </c>
    </row>
    <row r="875">
      <c r="A875" s="26" t="n"/>
      <c r="B875" s="27" t="n"/>
      <c r="C875" s="28" t="n"/>
      <c r="D875" s="28" t="n"/>
      <c r="E875" s="29">
        <f>IF($A875="","",$A875&amp;"|"&amp;DAY($B875))</f>
        <v/>
      </c>
      <c r="F875" s="29">
        <f>IF($A875="","",IF(COUNTIF(設定!$B$41:$B$70,$A875)=0,"⚠ 查無員編",IF(COUNTIF($E$3:$E$1002,$E875)&gt;1,"⚠ 重複打卡","OK")))</f>
        <v/>
      </c>
    </row>
    <row r="876">
      <c r="A876" s="26" t="n"/>
      <c r="B876" s="27" t="n"/>
      <c r="C876" s="28" t="n"/>
      <c r="D876" s="28" t="n"/>
      <c r="E876" s="29">
        <f>IF($A876="","",$A876&amp;"|"&amp;DAY($B876))</f>
        <v/>
      </c>
      <c r="F876" s="29">
        <f>IF($A876="","",IF(COUNTIF(設定!$B$41:$B$70,$A876)=0,"⚠ 查無員編",IF(COUNTIF($E$3:$E$1002,$E876)&gt;1,"⚠ 重複打卡","OK")))</f>
        <v/>
      </c>
    </row>
    <row r="877">
      <c r="A877" s="26" t="n"/>
      <c r="B877" s="27" t="n"/>
      <c r="C877" s="28" t="n"/>
      <c r="D877" s="28" t="n"/>
      <c r="E877" s="29">
        <f>IF($A877="","",$A877&amp;"|"&amp;DAY($B877))</f>
        <v/>
      </c>
      <c r="F877" s="29">
        <f>IF($A877="","",IF(COUNTIF(設定!$B$41:$B$70,$A877)=0,"⚠ 查無員編",IF(COUNTIF($E$3:$E$1002,$E877)&gt;1,"⚠ 重複打卡","OK")))</f>
        <v/>
      </c>
    </row>
    <row r="878">
      <c r="A878" s="26" t="n"/>
      <c r="B878" s="27" t="n"/>
      <c r="C878" s="28" t="n"/>
      <c r="D878" s="28" t="n"/>
      <c r="E878" s="29">
        <f>IF($A878="","",$A878&amp;"|"&amp;DAY($B878))</f>
        <v/>
      </c>
      <c r="F878" s="29">
        <f>IF($A878="","",IF(COUNTIF(設定!$B$41:$B$70,$A878)=0,"⚠ 查無員編",IF(COUNTIF($E$3:$E$1002,$E878)&gt;1,"⚠ 重複打卡","OK")))</f>
        <v/>
      </c>
    </row>
    <row r="879">
      <c r="A879" s="26" t="n"/>
      <c r="B879" s="27" t="n"/>
      <c r="C879" s="28" t="n"/>
      <c r="D879" s="28" t="n"/>
      <c r="E879" s="29">
        <f>IF($A879="","",$A879&amp;"|"&amp;DAY($B879))</f>
        <v/>
      </c>
      <c r="F879" s="29">
        <f>IF($A879="","",IF(COUNTIF(設定!$B$41:$B$70,$A879)=0,"⚠ 查無員編",IF(COUNTIF($E$3:$E$1002,$E879)&gt;1,"⚠ 重複打卡","OK")))</f>
        <v/>
      </c>
    </row>
    <row r="880">
      <c r="A880" s="26" t="n"/>
      <c r="B880" s="27" t="n"/>
      <c r="C880" s="28" t="n"/>
      <c r="D880" s="28" t="n"/>
      <c r="E880" s="29">
        <f>IF($A880="","",$A880&amp;"|"&amp;DAY($B880))</f>
        <v/>
      </c>
      <c r="F880" s="29">
        <f>IF($A880="","",IF(COUNTIF(設定!$B$41:$B$70,$A880)=0,"⚠ 查無員編",IF(COUNTIF($E$3:$E$1002,$E880)&gt;1,"⚠ 重複打卡","OK")))</f>
        <v/>
      </c>
    </row>
    <row r="881">
      <c r="A881" s="26" t="n"/>
      <c r="B881" s="27" t="n"/>
      <c r="C881" s="28" t="n"/>
      <c r="D881" s="28" t="n"/>
      <c r="E881" s="29">
        <f>IF($A881="","",$A881&amp;"|"&amp;DAY($B881))</f>
        <v/>
      </c>
      <c r="F881" s="29">
        <f>IF($A881="","",IF(COUNTIF(設定!$B$41:$B$70,$A881)=0,"⚠ 查無員編",IF(COUNTIF($E$3:$E$1002,$E881)&gt;1,"⚠ 重複打卡","OK")))</f>
        <v/>
      </c>
    </row>
    <row r="882">
      <c r="A882" s="26" t="n"/>
      <c r="B882" s="27" t="n"/>
      <c r="C882" s="28" t="n"/>
      <c r="D882" s="28" t="n"/>
      <c r="E882" s="29">
        <f>IF($A882="","",$A882&amp;"|"&amp;DAY($B882))</f>
        <v/>
      </c>
      <c r="F882" s="29">
        <f>IF($A882="","",IF(COUNTIF(設定!$B$41:$B$70,$A882)=0,"⚠ 查無員編",IF(COUNTIF($E$3:$E$1002,$E882)&gt;1,"⚠ 重複打卡","OK")))</f>
        <v/>
      </c>
    </row>
    <row r="883">
      <c r="A883" s="26" t="n"/>
      <c r="B883" s="27" t="n"/>
      <c r="C883" s="28" t="n"/>
      <c r="D883" s="28" t="n"/>
      <c r="E883" s="29">
        <f>IF($A883="","",$A883&amp;"|"&amp;DAY($B883))</f>
        <v/>
      </c>
      <c r="F883" s="29">
        <f>IF($A883="","",IF(COUNTIF(設定!$B$41:$B$70,$A883)=0,"⚠ 查無員編",IF(COUNTIF($E$3:$E$1002,$E883)&gt;1,"⚠ 重複打卡","OK")))</f>
        <v/>
      </c>
    </row>
    <row r="884">
      <c r="A884" s="26" t="n"/>
      <c r="B884" s="27" t="n"/>
      <c r="C884" s="28" t="n"/>
      <c r="D884" s="28" t="n"/>
      <c r="E884" s="29">
        <f>IF($A884="","",$A884&amp;"|"&amp;DAY($B884))</f>
        <v/>
      </c>
      <c r="F884" s="29">
        <f>IF($A884="","",IF(COUNTIF(設定!$B$41:$B$70,$A884)=0,"⚠ 查無員編",IF(COUNTIF($E$3:$E$1002,$E884)&gt;1,"⚠ 重複打卡","OK")))</f>
        <v/>
      </c>
    </row>
    <row r="885">
      <c r="A885" s="26" t="n"/>
      <c r="B885" s="27" t="n"/>
      <c r="C885" s="28" t="n"/>
      <c r="D885" s="28" t="n"/>
      <c r="E885" s="29">
        <f>IF($A885="","",$A885&amp;"|"&amp;DAY($B885))</f>
        <v/>
      </c>
      <c r="F885" s="29">
        <f>IF($A885="","",IF(COUNTIF(設定!$B$41:$B$70,$A885)=0,"⚠ 查無員編",IF(COUNTIF($E$3:$E$1002,$E885)&gt;1,"⚠ 重複打卡","OK")))</f>
        <v/>
      </c>
    </row>
    <row r="886">
      <c r="A886" s="26" t="n"/>
      <c r="B886" s="27" t="n"/>
      <c r="C886" s="28" t="n"/>
      <c r="D886" s="28" t="n"/>
      <c r="E886" s="29">
        <f>IF($A886="","",$A886&amp;"|"&amp;DAY($B886))</f>
        <v/>
      </c>
      <c r="F886" s="29">
        <f>IF($A886="","",IF(COUNTIF(設定!$B$41:$B$70,$A886)=0,"⚠ 查無員編",IF(COUNTIF($E$3:$E$1002,$E886)&gt;1,"⚠ 重複打卡","OK")))</f>
        <v/>
      </c>
    </row>
    <row r="887">
      <c r="A887" s="26" t="n"/>
      <c r="B887" s="27" t="n"/>
      <c r="C887" s="28" t="n"/>
      <c r="D887" s="28" t="n"/>
      <c r="E887" s="29">
        <f>IF($A887="","",$A887&amp;"|"&amp;DAY($B887))</f>
        <v/>
      </c>
      <c r="F887" s="29">
        <f>IF($A887="","",IF(COUNTIF(設定!$B$41:$B$70,$A887)=0,"⚠ 查無員編",IF(COUNTIF($E$3:$E$1002,$E887)&gt;1,"⚠ 重複打卡","OK")))</f>
        <v/>
      </c>
    </row>
    <row r="888">
      <c r="A888" s="26" t="n"/>
      <c r="B888" s="27" t="n"/>
      <c r="C888" s="28" t="n"/>
      <c r="D888" s="28" t="n"/>
      <c r="E888" s="29">
        <f>IF($A888="","",$A888&amp;"|"&amp;DAY($B888))</f>
        <v/>
      </c>
      <c r="F888" s="29">
        <f>IF($A888="","",IF(COUNTIF(設定!$B$41:$B$70,$A888)=0,"⚠ 查無員編",IF(COUNTIF($E$3:$E$1002,$E888)&gt;1,"⚠ 重複打卡","OK")))</f>
        <v/>
      </c>
    </row>
    <row r="889">
      <c r="A889" s="26" t="n"/>
      <c r="B889" s="27" t="n"/>
      <c r="C889" s="28" t="n"/>
      <c r="D889" s="28" t="n"/>
      <c r="E889" s="29">
        <f>IF($A889="","",$A889&amp;"|"&amp;DAY($B889))</f>
        <v/>
      </c>
      <c r="F889" s="29">
        <f>IF($A889="","",IF(COUNTIF(設定!$B$41:$B$70,$A889)=0,"⚠ 查無員編",IF(COUNTIF($E$3:$E$1002,$E889)&gt;1,"⚠ 重複打卡","OK")))</f>
        <v/>
      </c>
    </row>
    <row r="890">
      <c r="A890" s="26" t="n"/>
      <c r="B890" s="27" t="n"/>
      <c r="C890" s="28" t="n"/>
      <c r="D890" s="28" t="n"/>
      <c r="E890" s="29">
        <f>IF($A890="","",$A890&amp;"|"&amp;DAY($B890))</f>
        <v/>
      </c>
      <c r="F890" s="29">
        <f>IF($A890="","",IF(COUNTIF(設定!$B$41:$B$70,$A890)=0,"⚠ 查無員編",IF(COUNTIF($E$3:$E$1002,$E890)&gt;1,"⚠ 重複打卡","OK")))</f>
        <v/>
      </c>
    </row>
    <row r="891">
      <c r="A891" s="26" t="n"/>
      <c r="B891" s="27" t="n"/>
      <c r="C891" s="28" t="n"/>
      <c r="D891" s="28" t="n"/>
      <c r="E891" s="29">
        <f>IF($A891="","",$A891&amp;"|"&amp;DAY($B891))</f>
        <v/>
      </c>
      <c r="F891" s="29">
        <f>IF($A891="","",IF(COUNTIF(設定!$B$41:$B$70,$A891)=0,"⚠ 查無員編",IF(COUNTIF($E$3:$E$1002,$E891)&gt;1,"⚠ 重複打卡","OK")))</f>
        <v/>
      </c>
    </row>
    <row r="892">
      <c r="A892" s="26" t="n"/>
      <c r="B892" s="27" t="n"/>
      <c r="C892" s="28" t="n"/>
      <c r="D892" s="28" t="n"/>
      <c r="E892" s="29">
        <f>IF($A892="","",$A892&amp;"|"&amp;DAY($B892))</f>
        <v/>
      </c>
      <c r="F892" s="29">
        <f>IF($A892="","",IF(COUNTIF(設定!$B$41:$B$70,$A892)=0,"⚠ 查無員編",IF(COUNTIF($E$3:$E$1002,$E892)&gt;1,"⚠ 重複打卡","OK")))</f>
        <v/>
      </c>
    </row>
    <row r="893">
      <c r="A893" s="26" t="n"/>
      <c r="B893" s="27" t="n"/>
      <c r="C893" s="28" t="n"/>
      <c r="D893" s="28" t="n"/>
      <c r="E893" s="29">
        <f>IF($A893="","",$A893&amp;"|"&amp;DAY($B893))</f>
        <v/>
      </c>
      <c r="F893" s="29">
        <f>IF($A893="","",IF(COUNTIF(設定!$B$41:$B$70,$A893)=0,"⚠ 查無員編",IF(COUNTIF($E$3:$E$1002,$E893)&gt;1,"⚠ 重複打卡","OK")))</f>
        <v/>
      </c>
    </row>
    <row r="894">
      <c r="A894" s="26" t="n"/>
      <c r="B894" s="27" t="n"/>
      <c r="C894" s="28" t="n"/>
      <c r="D894" s="28" t="n"/>
      <c r="E894" s="29">
        <f>IF($A894="","",$A894&amp;"|"&amp;DAY($B894))</f>
        <v/>
      </c>
      <c r="F894" s="29">
        <f>IF($A894="","",IF(COUNTIF(設定!$B$41:$B$70,$A894)=0,"⚠ 查無員編",IF(COUNTIF($E$3:$E$1002,$E894)&gt;1,"⚠ 重複打卡","OK")))</f>
        <v/>
      </c>
    </row>
    <row r="895">
      <c r="A895" s="26" t="n"/>
      <c r="B895" s="27" t="n"/>
      <c r="C895" s="28" t="n"/>
      <c r="D895" s="28" t="n"/>
      <c r="E895" s="29">
        <f>IF($A895="","",$A895&amp;"|"&amp;DAY($B895))</f>
        <v/>
      </c>
      <c r="F895" s="29">
        <f>IF($A895="","",IF(COUNTIF(設定!$B$41:$B$70,$A895)=0,"⚠ 查無員編",IF(COUNTIF($E$3:$E$1002,$E895)&gt;1,"⚠ 重複打卡","OK")))</f>
        <v/>
      </c>
    </row>
    <row r="896">
      <c r="A896" s="26" t="n"/>
      <c r="B896" s="27" t="n"/>
      <c r="C896" s="28" t="n"/>
      <c r="D896" s="28" t="n"/>
      <c r="E896" s="29">
        <f>IF($A896="","",$A896&amp;"|"&amp;DAY($B896))</f>
        <v/>
      </c>
      <c r="F896" s="29">
        <f>IF($A896="","",IF(COUNTIF(設定!$B$41:$B$70,$A896)=0,"⚠ 查無員編",IF(COUNTIF($E$3:$E$1002,$E896)&gt;1,"⚠ 重複打卡","OK")))</f>
        <v/>
      </c>
    </row>
    <row r="897">
      <c r="A897" s="26" t="n"/>
      <c r="B897" s="27" t="n"/>
      <c r="C897" s="28" t="n"/>
      <c r="D897" s="28" t="n"/>
      <c r="E897" s="29">
        <f>IF($A897="","",$A897&amp;"|"&amp;DAY($B897))</f>
        <v/>
      </c>
      <c r="F897" s="29">
        <f>IF($A897="","",IF(COUNTIF(設定!$B$41:$B$70,$A897)=0,"⚠ 查無員編",IF(COUNTIF($E$3:$E$1002,$E897)&gt;1,"⚠ 重複打卡","OK")))</f>
        <v/>
      </c>
    </row>
    <row r="898">
      <c r="A898" s="26" t="n"/>
      <c r="B898" s="27" t="n"/>
      <c r="C898" s="28" t="n"/>
      <c r="D898" s="28" t="n"/>
      <c r="E898" s="29">
        <f>IF($A898="","",$A898&amp;"|"&amp;DAY($B898))</f>
        <v/>
      </c>
      <c r="F898" s="29">
        <f>IF($A898="","",IF(COUNTIF(設定!$B$41:$B$70,$A898)=0,"⚠ 查無員編",IF(COUNTIF($E$3:$E$1002,$E898)&gt;1,"⚠ 重複打卡","OK")))</f>
        <v/>
      </c>
    </row>
    <row r="899">
      <c r="A899" s="26" t="n"/>
      <c r="B899" s="27" t="n"/>
      <c r="C899" s="28" t="n"/>
      <c r="D899" s="28" t="n"/>
      <c r="E899" s="29">
        <f>IF($A899="","",$A899&amp;"|"&amp;DAY($B899))</f>
        <v/>
      </c>
      <c r="F899" s="29">
        <f>IF($A899="","",IF(COUNTIF(設定!$B$41:$B$70,$A899)=0,"⚠ 查無員編",IF(COUNTIF($E$3:$E$1002,$E899)&gt;1,"⚠ 重複打卡","OK")))</f>
        <v/>
      </c>
    </row>
    <row r="900">
      <c r="A900" s="26" t="n"/>
      <c r="B900" s="27" t="n"/>
      <c r="C900" s="28" t="n"/>
      <c r="D900" s="28" t="n"/>
      <c r="E900" s="29">
        <f>IF($A900="","",$A900&amp;"|"&amp;DAY($B900))</f>
        <v/>
      </c>
      <c r="F900" s="29">
        <f>IF($A900="","",IF(COUNTIF(設定!$B$41:$B$70,$A900)=0,"⚠ 查無員編",IF(COUNTIF($E$3:$E$1002,$E900)&gt;1,"⚠ 重複打卡","OK")))</f>
        <v/>
      </c>
    </row>
    <row r="901">
      <c r="A901" s="26" t="n"/>
      <c r="B901" s="27" t="n"/>
      <c r="C901" s="28" t="n"/>
      <c r="D901" s="28" t="n"/>
      <c r="E901" s="29">
        <f>IF($A901="","",$A901&amp;"|"&amp;DAY($B901))</f>
        <v/>
      </c>
      <c r="F901" s="29">
        <f>IF($A901="","",IF(COUNTIF(設定!$B$41:$B$70,$A901)=0,"⚠ 查無員編",IF(COUNTIF($E$3:$E$1002,$E901)&gt;1,"⚠ 重複打卡","OK")))</f>
        <v/>
      </c>
    </row>
    <row r="902">
      <c r="A902" s="26" t="n"/>
      <c r="B902" s="27" t="n"/>
      <c r="C902" s="28" t="n"/>
      <c r="D902" s="28" t="n"/>
      <c r="E902" s="29">
        <f>IF($A902="","",$A902&amp;"|"&amp;DAY($B902))</f>
        <v/>
      </c>
      <c r="F902" s="29">
        <f>IF($A902="","",IF(COUNTIF(設定!$B$41:$B$70,$A902)=0,"⚠ 查無員編",IF(COUNTIF($E$3:$E$1002,$E902)&gt;1,"⚠ 重複打卡","OK")))</f>
        <v/>
      </c>
    </row>
    <row r="903">
      <c r="A903" s="26" t="n"/>
      <c r="B903" s="27" t="n"/>
      <c r="C903" s="28" t="n"/>
      <c r="D903" s="28" t="n"/>
      <c r="E903" s="29">
        <f>IF($A903="","",$A903&amp;"|"&amp;DAY($B903))</f>
        <v/>
      </c>
      <c r="F903" s="29">
        <f>IF($A903="","",IF(COUNTIF(設定!$B$41:$B$70,$A903)=0,"⚠ 查無員編",IF(COUNTIF($E$3:$E$1002,$E903)&gt;1,"⚠ 重複打卡","OK")))</f>
        <v/>
      </c>
    </row>
    <row r="904">
      <c r="A904" s="26" t="n"/>
      <c r="B904" s="27" t="n"/>
      <c r="C904" s="28" t="n"/>
      <c r="D904" s="28" t="n"/>
      <c r="E904" s="29">
        <f>IF($A904="","",$A904&amp;"|"&amp;DAY($B904))</f>
        <v/>
      </c>
      <c r="F904" s="29">
        <f>IF($A904="","",IF(COUNTIF(設定!$B$41:$B$70,$A904)=0,"⚠ 查無員編",IF(COUNTIF($E$3:$E$1002,$E904)&gt;1,"⚠ 重複打卡","OK")))</f>
        <v/>
      </c>
    </row>
    <row r="905">
      <c r="A905" s="26" t="n"/>
      <c r="B905" s="27" t="n"/>
      <c r="C905" s="28" t="n"/>
      <c r="D905" s="28" t="n"/>
      <c r="E905" s="29">
        <f>IF($A905="","",$A905&amp;"|"&amp;DAY($B905))</f>
        <v/>
      </c>
      <c r="F905" s="29">
        <f>IF($A905="","",IF(COUNTIF(設定!$B$41:$B$70,$A905)=0,"⚠ 查無員編",IF(COUNTIF($E$3:$E$1002,$E905)&gt;1,"⚠ 重複打卡","OK")))</f>
        <v/>
      </c>
    </row>
    <row r="906">
      <c r="A906" s="26" t="n"/>
      <c r="B906" s="27" t="n"/>
      <c r="C906" s="28" t="n"/>
      <c r="D906" s="28" t="n"/>
      <c r="E906" s="29">
        <f>IF($A906="","",$A906&amp;"|"&amp;DAY($B906))</f>
        <v/>
      </c>
      <c r="F906" s="29">
        <f>IF($A906="","",IF(COUNTIF(設定!$B$41:$B$70,$A906)=0,"⚠ 查無員編",IF(COUNTIF($E$3:$E$1002,$E906)&gt;1,"⚠ 重複打卡","OK")))</f>
        <v/>
      </c>
    </row>
    <row r="907">
      <c r="A907" s="26" t="n"/>
      <c r="B907" s="27" t="n"/>
      <c r="C907" s="28" t="n"/>
      <c r="D907" s="28" t="n"/>
      <c r="E907" s="29">
        <f>IF($A907="","",$A907&amp;"|"&amp;DAY($B907))</f>
        <v/>
      </c>
      <c r="F907" s="29">
        <f>IF($A907="","",IF(COUNTIF(設定!$B$41:$B$70,$A907)=0,"⚠ 查無員編",IF(COUNTIF($E$3:$E$1002,$E907)&gt;1,"⚠ 重複打卡","OK")))</f>
        <v/>
      </c>
    </row>
    <row r="908">
      <c r="A908" s="26" t="n"/>
      <c r="B908" s="27" t="n"/>
      <c r="C908" s="28" t="n"/>
      <c r="D908" s="28" t="n"/>
      <c r="E908" s="29">
        <f>IF($A908="","",$A908&amp;"|"&amp;DAY($B908))</f>
        <v/>
      </c>
      <c r="F908" s="29">
        <f>IF($A908="","",IF(COUNTIF(設定!$B$41:$B$70,$A908)=0,"⚠ 查無員編",IF(COUNTIF($E$3:$E$1002,$E908)&gt;1,"⚠ 重複打卡","OK")))</f>
        <v/>
      </c>
    </row>
    <row r="909">
      <c r="A909" s="26" t="n"/>
      <c r="B909" s="27" t="n"/>
      <c r="C909" s="28" t="n"/>
      <c r="D909" s="28" t="n"/>
      <c r="E909" s="29">
        <f>IF($A909="","",$A909&amp;"|"&amp;DAY($B909))</f>
        <v/>
      </c>
      <c r="F909" s="29">
        <f>IF($A909="","",IF(COUNTIF(設定!$B$41:$B$70,$A909)=0,"⚠ 查無員編",IF(COUNTIF($E$3:$E$1002,$E909)&gt;1,"⚠ 重複打卡","OK")))</f>
        <v/>
      </c>
    </row>
    <row r="910">
      <c r="A910" s="26" t="n"/>
      <c r="B910" s="27" t="n"/>
      <c r="C910" s="28" t="n"/>
      <c r="D910" s="28" t="n"/>
      <c r="E910" s="29">
        <f>IF($A910="","",$A910&amp;"|"&amp;DAY($B910))</f>
        <v/>
      </c>
      <c r="F910" s="29">
        <f>IF($A910="","",IF(COUNTIF(設定!$B$41:$B$70,$A910)=0,"⚠ 查無員編",IF(COUNTIF($E$3:$E$1002,$E910)&gt;1,"⚠ 重複打卡","OK")))</f>
        <v/>
      </c>
    </row>
    <row r="911">
      <c r="A911" s="26" t="n"/>
      <c r="B911" s="27" t="n"/>
      <c r="C911" s="28" t="n"/>
      <c r="D911" s="28" t="n"/>
      <c r="E911" s="29">
        <f>IF($A911="","",$A911&amp;"|"&amp;DAY($B911))</f>
        <v/>
      </c>
      <c r="F911" s="29">
        <f>IF($A911="","",IF(COUNTIF(設定!$B$41:$B$70,$A911)=0,"⚠ 查無員編",IF(COUNTIF($E$3:$E$1002,$E911)&gt;1,"⚠ 重複打卡","OK")))</f>
        <v/>
      </c>
    </row>
    <row r="912">
      <c r="A912" s="26" t="n"/>
      <c r="B912" s="27" t="n"/>
      <c r="C912" s="28" t="n"/>
      <c r="D912" s="28" t="n"/>
      <c r="E912" s="29">
        <f>IF($A912="","",$A912&amp;"|"&amp;DAY($B912))</f>
        <v/>
      </c>
      <c r="F912" s="29">
        <f>IF($A912="","",IF(COUNTIF(設定!$B$41:$B$70,$A912)=0,"⚠ 查無員編",IF(COUNTIF($E$3:$E$1002,$E912)&gt;1,"⚠ 重複打卡","OK")))</f>
        <v/>
      </c>
    </row>
    <row r="913">
      <c r="A913" s="26" t="n"/>
      <c r="B913" s="27" t="n"/>
      <c r="C913" s="28" t="n"/>
      <c r="D913" s="28" t="n"/>
      <c r="E913" s="29">
        <f>IF($A913="","",$A913&amp;"|"&amp;DAY($B913))</f>
        <v/>
      </c>
      <c r="F913" s="29">
        <f>IF($A913="","",IF(COUNTIF(設定!$B$41:$B$70,$A913)=0,"⚠ 查無員編",IF(COUNTIF($E$3:$E$1002,$E913)&gt;1,"⚠ 重複打卡","OK")))</f>
        <v/>
      </c>
    </row>
    <row r="914">
      <c r="A914" s="26" t="n"/>
      <c r="B914" s="27" t="n"/>
      <c r="C914" s="28" t="n"/>
      <c r="D914" s="28" t="n"/>
      <c r="E914" s="29">
        <f>IF($A914="","",$A914&amp;"|"&amp;DAY($B914))</f>
        <v/>
      </c>
      <c r="F914" s="29">
        <f>IF($A914="","",IF(COUNTIF(設定!$B$41:$B$70,$A914)=0,"⚠ 查無員編",IF(COUNTIF($E$3:$E$1002,$E914)&gt;1,"⚠ 重複打卡","OK")))</f>
        <v/>
      </c>
    </row>
    <row r="915">
      <c r="A915" s="26" t="n"/>
      <c r="B915" s="27" t="n"/>
      <c r="C915" s="28" t="n"/>
      <c r="D915" s="28" t="n"/>
      <c r="E915" s="29">
        <f>IF($A915="","",$A915&amp;"|"&amp;DAY($B915))</f>
        <v/>
      </c>
      <c r="F915" s="29">
        <f>IF($A915="","",IF(COUNTIF(設定!$B$41:$B$70,$A915)=0,"⚠ 查無員編",IF(COUNTIF($E$3:$E$1002,$E915)&gt;1,"⚠ 重複打卡","OK")))</f>
        <v/>
      </c>
    </row>
    <row r="916">
      <c r="A916" s="26" t="n"/>
      <c r="B916" s="27" t="n"/>
      <c r="C916" s="28" t="n"/>
      <c r="D916" s="28" t="n"/>
      <c r="E916" s="29">
        <f>IF($A916="","",$A916&amp;"|"&amp;DAY($B916))</f>
        <v/>
      </c>
      <c r="F916" s="29">
        <f>IF($A916="","",IF(COUNTIF(設定!$B$41:$B$70,$A916)=0,"⚠ 查無員編",IF(COUNTIF($E$3:$E$1002,$E916)&gt;1,"⚠ 重複打卡","OK")))</f>
        <v/>
      </c>
    </row>
    <row r="917">
      <c r="A917" s="26" t="n"/>
      <c r="B917" s="27" t="n"/>
      <c r="C917" s="28" t="n"/>
      <c r="D917" s="28" t="n"/>
      <c r="E917" s="29">
        <f>IF($A917="","",$A917&amp;"|"&amp;DAY($B917))</f>
        <v/>
      </c>
      <c r="F917" s="29">
        <f>IF($A917="","",IF(COUNTIF(設定!$B$41:$B$70,$A917)=0,"⚠ 查無員編",IF(COUNTIF($E$3:$E$1002,$E917)&gt;1,"⚠ 重複打卡","OK")))</f>
        <v/>
      </c>
    </row>
    <row r="918">
      <c r="A918" s="26" t="n"/>
      <c r="B918" s="27" t="n"/>
      <c r="C918" s="28" t="n"/>
      <c r="D918" s="28" t="n"/>
      <c r="E918" s="29">
        <f>IF($A918="","",$A918&amp;"|"&amp;DAY($B918))</f>
        <v/>
      </c>
      <c r="F918" s="29">
        <f>IF($A918="","",IF(COUNTIF(設定!$B$41:$B$70,$A918)=0,"⚠ 查無員編",IF(COUNTIF($E$3:$E$1002,$E918)&gt;1,"⚠ 重複打卡","OK")))</f>
        <v/>
      </c>
    </row>
    <row r="919">
      <c r="A919" s="26" t="n"/>
      <c r="B919" s="27" t="n"/>
      <c r="C919" s="28" t="n"/>
      <c r="D919" s="28" t="n"/>
      <c r="E919" s="29">
        <f>IF($A919="","",$A919&amp;"|"&amp;DAY($B919))</f>
        <v/>
      </c>
      <c r="F919" s="29">
        <f>IF($A919="","",IF(COUNTIF(設定!$B$41:$B$70,$A919)=0,"⚠ 查無員編",IF(COUNTIF($E$3:$E$1002,$E919)&gt;1,"⚠ 重複打卡","OK")))</f>
        <v/>
      </c>
    </row>
    <row r="920">
      <c r="A920" s="26" t="n"/>
      <c r="B920" s="27" t="n"/>
      <c r="C920" s="28" t="n"/>
      <c r="D920" s="28" t="n"/>
      <c r="E920" s="29">
        <f>IF($A920="","",$A920&amp;"|"&amp;DAY($B920))</f>
        <v/>
      </c>
      <c r="F920" s="29">
        <f>IF($A920="","",IF(COUNTIF(設定!$B$41:$B$70,$A920)=0,"⚠ 查無員編",IF(COUNTIF($E$3:$E$1002,$E920)&gt;1,"⚠ 重複打卡","OK")))</f>
        <v/>
      </c>
    </row>
    <row r="921">
      <c r="A921" s="26" t="n"/>
      <c r="B921" s="27" t="n"/>
      <c r="C921" s="28" t="n"/>
      <c r="D921" s="28" t="n"/>
      <c r="E921" s="29">
        <f>IF($A921="","",$A921&amp;"|"&amp;DAY($B921))</f>
        <v/>
      </c>
      <c r="F921" s="29">
        <f>IF($A921="","",IF(COUNTIF(設定!$B$41:$B$70,$A921)=0,"⚠ 查無員編",IF(COUNTIF($E$3:$E$1002,$E921)&gt;1,"⚠ 重複打卡","OK")))</f>
        <v/>
      </c>
    </row>
    <row r="922">
      <c r="A922" s="26" t="n"/>
      <c r="B922" s="27" t="n"/>
      <c r="C922" s="28" t="n"/>
      <c r="D922" s="28" t="n"/>
      <c r="E922" s="29">
        <f>IF($A922="","",$A922&amp;"|"&amp;DAY($B922))</f>
        <v/>
      </c>
      <c r="F922" s="29">
        <f>IF($A922="","",IF(COUNTIF(設定!$B$41:$B$70,$A922)=0,"⚠ 查無員編",IF(COUNTIF($E$3:$E$1002,$E922)&gt;1,"⚠ 重複打卡","OK")))</f>
        <v/>
      </c>
    </row>
    <row r="923">
      <c r="A923" s="26" t="n"/>
      <c r="B923" s="27" t="n"/>
      <c r="C923" s="28" t="n"/>
      <c r="D923" s="28" t="n"/>
      <c r="E923" s="29">
        <f>IF($A923="","",$A923&amp;"|"&amp;DAY($B923))</f>
        <v/>
      </c>
      <c r="F923" s="29">
        <f>IF($A923="","",IF(COUNTIF(設定!$B$41:$B$70,$A923)=0,"⚠ 查無員編",IF(COUNTIF($E$3:$E$1002,$E923)&gt;1,"⚠ 重複打卡","OK")))</f>
        <v/>
      </c>
    </row>
    <row r="924">
      <c r="A924" s="26" t="n"/>
      <c r="B924" s="27" t="n"/>
      <c r="C924" s="28" t="n"/>
      <c r="D924" s="28" t="n"/>
      <c r="E924" s="29">
        <f>IF($A924="","",$A924&amp;"|"&amp;DAY($B924))</f>
        <v/>
      </c>
      <c r="F924" s="29">
        <f>IF($A924="","",IF(COUNTIF(設定!$B$41:$B$70,$A924)=0,"⚠ 查無員編",IF(COUNTIF($E$3:$E$1002,$E924)&gt;1,"⚠ 重複打卡","OK")))</f>
        <v/>
      </c>
    </row>
    <row r="925">
      <c r="A925" s="26" t="n"/>
      <c r="B925" s="27" t="n"/>
      <c r="C925" s="28" t="n"/>
      <c r="D925" s="28" t="n"/>
      <c r="E925" s="29">
        <f>IF($A925="","",$A925&amp;"|"&amp;DAY($B925))</f>
        <v/>
      </c>
      <c r="F925" s="29">
        <f>IF($A925="","",IF(COUNTIF(設定!$B$41:$B$70,$A925)=0,"⚠ 查無員編",IF(COUNTIF($E$3:$E$1002,$E925)&gt;1,"⚠ 重複打卡","OK")))</f>
        <v/>
      </c>
    </row>
    <row r="926">
      <c r="A926" s="26" t="n"/>
      <c r="B926" s="27" t="n"/>
      <c r="C926" s="28" t="n"/>
      <c r="D926" s="28" t="n"/>
      <c r="E926" s="29">
        <f>IF($A926="","",$A926&amp;"|"&amp;DAY($B926))</f>
        <v/>
      </c>
      <c r="F926" s="29">
        <f>IF($A926="","",IF(COUNTIF(設定!$B$41:$B$70,$A926)=0,"⚠ 查無員編",IF(COUNTIF($E$3:$E$1002,$E926)&gt;1,"⚠ 重複打卡","OK")))</f>
        <v/>
      </c>
    </row>
    <row r="927">
      <c r="A927" s="26" t="n"/>
      <c r="B927" s="27" t="n"/>
      <c r="C927" s="28" t="n"/>
      <c r="D927" s="28" t="n"/>
      <c r="E927" s="29">
        <f>IF($A927="","",$A927&amp;"|"&amp;DAY($B927))</f>
        <v/>
      </c>
      <c r="F927" s="29">
        <f>IF($A927="","",IF(COUNTIF(設定!$B$41:$B$70,$A927)=0,"⚠ 查無員編",IF(COUNTIF($E$3:$E$1002,$E927)&gt;1,"⚠ 重複打卡","OK")))</f>
        <v/>
      </c>
    </row>
    <row r="928">
      <c r="A928" s="26" t="n"/>
      <c r="B928" s="27" t="n"/>
      <c r="C928" s="28" t="n"/>
      <c r="D928" s="28" t="n"/>
      <c r="E928" s="29">
        <f>IF($A928="","",$A928&amp;"|"&amp;DAY($B928))</f>
        <v/>
      </c>
      <c r="F928" s="29">
        <f>IF($A928="","",IF(COUNTIF(設定!$B$41:$B$70,$A928)=0,"⚠ 查無員編",IF(COUNTIF($E$3:$E$1002,$E928)&gt;1,"⚠ 重複打卡","OK")))</f>
        <v/>
      </c>
    </row>
    <row r="929">
      <c r="A929" s="26" t="n"/>
      <c r="B929" s="27" t="n"/>
      <c r="C929" s="28" t="n"/>
      <c r="D929" s="28" t="n"/>
      <c r="E929" s="29">
        <f>IF($A929="","",$A929&amp;"|"&amp;DAY($B929))</f>
        <v/>
      </c>
      <c r="F929" s="29">
        <f>IF($A929="","",IF(COUNTIF(設定!$B$41:$B$70,$A929)=0,"⚠ 查無員編",IF(COUNTIF($E$3:$E$1002,$E929)&gt;1,"⚠ 重複打卡","OK")))</f>
        <v/>
      </c>
    </row>
    <row r="930">
      <c r="A930" s="26" t="n"/>
      <c r="B930" s="27" t="n"/>
      <c r="C930" s="28" t="n"/>
      <c r="D930" s="28" t="n"/>
      <c r="E930" s="29">
        <f>IF($A930="","",$A930&amp;"|"&amp;DAY($B930))</f>
        <v/>
      </c>
      <c r="F930" s="29">
        <f>IF($A930="","",IF(COUNTIF(設定!$B$41:$B$70,$A930)=0,"⚠ 查無員編",IF(COUNTIF($E$3:$E$1002,$E930)&gt;1,"⚠ 重複打卡","OK")))</f>
        <v/>
      </c>
    </row>
    <row r="931">
      <c r="A931" s="26" t="n"/>
      <c r="B931" s="27" t="n"/>
      <c r="C931" s="28" t="n"/>
      <c r="D931" s="28" t="n"/>
      <c r="E931" s="29">
        <f>IF($A931="","",$A931&amp;"|"&amp;DAY($B931))</f>
        <v/>
      </c>
      <c r="F931" s="29">
        <f>IF($A931="","",IF(COUNTIF(設定!$B$41:$B$70,$A931)=0,"⚠ 查無員編",IF(COUNTIF($E$3:$E$1002,$E931)&gt;1,"⚠ 重複打卡","OK")))</f>
        <v/>
      </c>
    </row>
    <row r="932">
      <c r="A932" s="26" t="n"/>
      <c r="B932" s="27" t="n"/>
      <c r="C932" s="28" t="n"/>
      <c r="D932" s="28" t="n"/>
      <c r="E932" s="29">
        <f>IF($A932="","",$A932&amp;"|"&amp;DAY($B932))</f>
        <v/>
      </c>
      <c r="F932" s="29">
        <f>IF($A932="","",IF(COUNTIF(設定!$B$41:$B$70,$A932)=0,"⚠ 查無員編",IF(COUNTIF($E$3:$E$1002,$E932)&gt;1,"⚠ 重複打卡","OK")))</f>
        <v/>
      </c>
    </row>
    <row r="933">
      <c r="A933" s="26" t="n"/>
      <c r="B933" s="27" t="n"/>
      <c r="C933" s="28" t="n"/>
      <c r="D933" s="28" t="n"/>
      <c r="E933" s="29">
        <f>IF($A933="","",$A933&amp;"|"&amp;DAY($B933))</f>
        <v/>
      </c>
      <c r="F933" s="29">
        <f>IF($A933="","",IF(COUNTIF(設定!$B$41:$B$70,$A933)=0,"⚠ 查無員編",IF(COUNTIF($E$3:$E$1002,$E933)&gt;1,"⚠ 重複打卡","OK")))</f>
        <v/>
      </c>
    </row>
    <row r="934">
      <c r="A934" s="26" t="n"/>
      <c r="B934" s="27" t="n"/>
      <c r="C934" s="28" t="n"/>
      <c r="D934" s="28" t="n"/>
      <c r="E934" s="29">
        <f>IF($A934="","",$A934&amp;"|"&amp;DAY($B934))</f>
        <v/>
      </c>
      <c r="F934" s="29">
        <f>IF($A934="","",IF(COUNTIF(設定!$B$41:$B$70,$A934)=0,"⚠ 查無員編",IF(COUNTIF($E$3:$E$1002,$E934)&gt;1,"⚠ 重複打卡","OK")))</f>
        <v/>
      </c>
    </row>
    <row r="935">
      <c r="A935" s="26" t="n"/>
      <c r="B935" s="27" t="n"/>
      <c r="C935" s="28" t="n"/>
      <c r="D935" s="28" t="n"/>
      <c r="E935" s="29">
        <f>IF($A935="","",$A935&amp;"|"&amp;DAY($B935))</f>
        <v/>
      </c>
      <c r="F935" s="29">
        <f>IF($A935="","",IF(COUNTIF(設定!$B$41:$B$70,$A935)=0,"⚠ 查無員編",IF(COUNTIF($E$3:$E$1002,$E935)&gt;1,"⚠ 重複打卡","OK")))</f>
        <v/>
      </c>
    </row>
    <row r="936">
      <c r="A936" s="26" t="n"/>
      <c r="B936" s="27" t="n"/>
      <c r="C936" s="28" t="n"/>
      <c r="D936" s="28" t="n"/>
      <c r="E936" s="29">
        <f>IF($A936="","",$A936&amp;"|"&amp;DAY($B936))</f>
        <v/>
      </c>
      <c r="F936" s="29">
        <f>IF($A936="","",IF(COUNTIF(設定!$B$41:$B$70,$A936)=0,"⚠ 查無員編",IF(COUNTIF($E$3:$E$1002,$E936)&gt;1,"⚠ 重複打卡","OK")))</f>
        <v/>
      </c>
    </row>
    <row r="937">
      <c r="A937" s="26" t="n"/>
      <c r="B937" s="27" t="n"/>
      <c r="C937" s="28" t="n"/>
      <c r="D937" s="28" t="n"/>
      <c r="E937" s="29">
        <f>IF($A937="","",$A937&amp;"|"&amp;DAY($B937))</f>
        <v/>
      </c>
      <c r="F937" s="29">
        <f>IF($A937="","",IF(COUNTIF(設定!$B$41:$B$70,$A937)=0,"⚠ 查無員編",IF(COUNTIF($E$3:$E$1002,$E937)&gt;1,"⚠ 重複打卡","OK")))</f>
        <v/>
      </c>
    </row>
    <row r="938">
      <c r="A938" s="26" t="n"/>
      <c r="B938" s="27" t="n"/>
      <c r="C938" s="28" t="n"/>
      <c r="D938" s="28" t="n"/>
      <c r="E938" s="29">
        <f>IF($A938="","",$A938&amp;"|"&amp;DAY($B938))</f>
        <v/>
      </c>
      <c r="F938" s="29">
        <f>IF($A938="","",IF(COUNTIF(設定!$B$41:$B$70,$A938)=0,"⚠ 查無員編",IF(COUNTIF($E$3:$E$1002,$E938)&gt;1,"⚠ 重複打卡","OK")))</f>
        <v/>
      </c>
    </row>
    <row r="939">
      <c r="A939" s="26" t="n"/>
      <c r="B939" s="27" t="n"/>
      <c r="C939" s="28" t="n"/>
      <c r="D939" s="28" t="n"/>
      <c r="E939" s="29">
        <f>IF($A939="","",$A939&amp;"|"&amp;DAY($B939))</f>
        <v/>
      </c>
      <c r="F939" s="29">
        <f>IF($A939="","",IF(COUNTIF(設定!$B$41:$B$70,$A939)=0,"⚠ 查無員編",IF(COUNTIF($E$3:$E$1002,$E939)&gt;1,"⚠ 重複打卡","OK")))</f>
        <v/>
      </c>
    </row>
    <row r="940">
      <c r="A940" s="26" t="n"/>
      <c r="B940" s="27" t="n"/>
      <c r="C940" s="28" t="n"/>
      <c r="D940" s="28" t="n"/>
      <c r="E940" s="29">
        <f>IF($A940="","",$A940&amp;"|"&amp;DAY($B940))</f>
        <v/>
      </c>
      <c r="F940" s="29">
        <f>IF($A940="","",IF(COUNTIF(設定!$B$41:$B$70,$A940)=0,"⚠ 查無員編",IF(COUNTIF($E$3:$E$1002,$E940)&gt;1,"⚠ 重複打卡","OK")))</f>
        <v/>
      </c>
    </row>
    <row r="941">
      <c r="A941" s="26" t="n"/>
      <c r="B941" s="27" t="n"/>
      <c r="C941" s="28" t="n"/>
      <c r="D941" s="28" t="n"/>
      <c r="E941" s="29">
        <f>IF($A941="","",$A941&amp;"|"&amp;DAY($B941))</f>
        <v/>
      </c>
      <c r="F941" s="29">
        <f>IF($A941="","",IF(COUNTIF(設定!$B$41:$B$70,$A941)=0,"⚠ 查無員編",IF(COUNTIF($E$3:$E$1002,$E941)&gt;1,"⚠ 重複打卡","OK")))</f>
        <v/>
      </c>
    </row>
    <row r="942">
      <c r="A942" s="26" t="n"/>
      <c r="B942" s="27" t="n"/>
      <c r="C942" s="28" t="n"/>
      <c r="D942" s="28" t="n"/>
      <c r="E942" s="29">
        <f>IF($A942="","",$A942&amp;"|"&amp;DAY($B942))</f>
        <v/>
      </c>
      <c r="F942" s="29">
        <f>IF($A942="","",IF(COUNTIF(設定!$B$41:$B$70,$A942)=0,"⚠ 查無員編",IF(COUNTIF($E$3:$E$1002,$E942)&gt;1,"⚠ 重複打卡","OK")))</f>
        <v/>
      </c>
    </row>
    <row r="943">
      <c r="A943" s="26" t="n"/>
      <c r="B943" s="27" t="n"/>
      <c r="C943" s="28" t="n"/>
      <c r="D943" s="28" t="n"/>
      <c r="E943" s="29">
        <f>IF($A943="","",$A943&amp;"|"&amp;DAY($B943))</f>
        <v/>
      </c>
      <c r="F943" s="29">
        <f>IF($A943="","",IF(COUNTIF(設定!$B$41:$B$70,$A943)=0,"⚠ 查無員編",IF(COUNTIF($E$3:$E$1002,$E943)&gt;1,"⚠ 重複打卡","OK")))</f>
        <v/>
      </c>
    </row>
    <row r="944">
      <c r="A944" s="26" t="n"/>
      <c r="B944" s="27" t="n"/>
      <c r="C944" s="28" t="n"/>
      <c r="D944" s="28" t="n"/>
      <c r="E944" s="29">
        <f>IF($A944="","",$A944&amp;"|"&amp;DAY($B944))</f>
        <v/>
      </c>
      <c r="F944" s="29">
        <f>IF($A944="","",IF(COUNTIF(設定!$B$41:$B$70,$A944)=0,"⚠ 查無員編",IF(COUNTIF($E$3:$E$1002,$E944)&gt;1,"⚠ 重複打卡","OK")))</f>
        <v/>
      </c>
    </row>
    <row r="945">
      <c r="A945" s="26" t="n"/>
      <c r="B945" s="27" t="n"/>
      <c r="C945" s="28" t="n"/>
      <c r="D945" s="28" t="n"/>
      <c r="E945" s="29">
        <f>IF($A945="","",$A945&amp;"|"&amp;DAY($B945))</f>
        <v/>
      </c>
      <c r="F945" s="29">
        <f>IF($A945="","",IF(COUNTIF(設定!$B$41:$B$70,$A945)=0,"⚠ 查無員編",IF(COUNTIF($E$3:$E$1002,$E945)&gt;1,"⚠ 重複打卡","OK")))</f>
        <v/>
      </c>
    </row>
    <row r="946">
      <c r="A946" s="26" t="n"/>
      <c r="B946" s="27" t="n"/>
      <c r="C946" s="28" t="n"/>
      <c r="D946" s="28" t="n"/>
      <c r="E946" s="29">
        <f>IF($A946="","",$A946&amp;"|"&amp;DAY($B946))</f>
        <v/>
      </c>
      <c r="F946" s="29">
        <f>IF($A946="","",IF(COUNTIF(設定!$B$41:$B$70,$A946)=0,"⚠ 查無員編",IF(COUNTIF($E$3:$E$1002,$E946)&gt;1,"⚠ 重複打卡","OK")))</f>
        <v/>
      </c>
    </row>
    <row r="947">
      <c r="A947" s="26" t="n"/>
      <c r="B947" s="27" t="n"/>
      <c r="C947" s="28" t="n"/>
      <c r="D947" s="28" t="n"/>
      <c r="E947" s="29">
        <f>IF($A947="","",$A947&amp;"|"&amp;DAY($B947))</f>
        <v/>
      </c>
      <c r="F947" s="29">
        <f>IF($A947="","",IF(COUNTIF(設定!$B$41:$B$70,$A947)=0,"⚠ 查無員編",IF(COUNTIF($E$3:$E$1002,$E947)&gt;1,"⚠ 重複打卡","OK")))</f>
        <v/>
      </c>
    </row>
    <row r="948">
      <c r="A948" s="26" t="n"/>
      <c r="B948" s="27" t="n"/>
      <c r="C948" s="28" t="n"/>
      <c r="D948" s="28" t="n"/>
      <c r="E948" s="29">
        <f>IF($A948="","",$A948&amp;"|"&amp;DAY($B948))</f>
        <v/>
      </c>
      <c r="F948" s="29">
        <f>IF($A948="","",IF(COUNTIF(設定!$B$41:$B$70,$A948)=0,"⚠ 查無員編",IF(COUNTIF($E$3:$E$1002,$E948)&gt;1,"⚠ 重複打卡","OK")))</f>
        <v/>
      </c>
    </row>
    <row r="949">
      <c r="A949" s="26" t="n"/>
      <c r="B949" s="27" t="n"/>
      <c r="C949" s="28" t="n"/>
      <c r="D949" s="28" t="n"/>
      <c r="E949" s="29">
        <f>IF($A949="","",$A949&amp;"|"&amp;DAY($B949))</f>
        <v/>
      </c>
      <c r="F949" s="29">
        <f>IF($A949="","",IF(COUNTIF(設定!$B$41:$B$70,$A949)=0,"⚠ 查無員編",IF(COUNTIF($E$3:$E$1002,$E949)&gt;1,"⚠ 重複打卡","OK")))</f>
        <v/>
      </c>
    </row>
    <row r="950">
      <c r="A950" s="26" t="n"/>
      <c r="B950" s="27" t="n"/>
      <c r="C950" s="28" t="n"/>
      <c r="D950" s="28" t="n"/>
      <c r="E950" s="29">
        <f>IF($A950="","",$A950&amp;"|"&amp;DAY($B950))</f>
        <v/>
      </c>
      <c r="F950" s="29">
        <f>IF($A950="","",IF(COUNTIF(設定!$B$41:$B$70,$A950)=0,"⚠ 查無員編",IF(COUNTIF($E$3:$E$1002,$E950)&gt;1,"⚠ 重複打卡","OK")))</f>
        <v/>
      </c>
    </row>
    <row r="951">
      <c r="A951" s="26" t="n"/>
      <c r="B951" s="27" t="n"/>
      <c r="C951" s="28" t="n"/>
      <c r="D951" s="28" t="n"/>
      <c r="E951" s="29">
        <f>IF($A951="","",$A951&amp;"|"&amp;DAY($B951))</f>
        <v/>
      </c>
      <c r="F951" s="29">
        <f>IF($A951="","",IF(COUNTIF(設定!$B$41:$B$70,$A951)=0,"⚠ 查無員編",IF(COUNTIF($E$3:$E$1002,$E951)&gt;1,"⚠ 重複打卡","OK")))</f>
        <v/>
      </c>
    </row>
    <row r="952">
      <c r="A952" s="26" t="n"/>
      <c r="B952" s="27" t="n"/>
      <c r="C952" s="28" t="n"/>
      <c r="D952" s="28" t="n"/>
      <c r="E952" s="29">
        <f>IF($A952="","",$A952&amp;"|"&amp;DAY($B952))</f>
        <v/>
      </c>
      <c r="F952" s="29">
        <f>IF($A952="","",IF(COUNTIF(設定!$B$41:$B$70,$A952)=0,"⚠ 查無員編",IF(COUNTIF($E$3:$E$1002,$E952)&gt;1,"⚠ 重複打卡","OK")))</f>
        <v/>
      </c>
    </row>
    <row r="953">
      <c r="A953" s="26" t="n"/>
      <c r="B953" s="27" t="n"/>
      <c r="C953" s="28" t="n"/>
      <c r="D953" s="28" t="n"/>
      <c r="E953" s="29">
        <f>IF($A953="","",$A953&amp;"|"&amp;DAY($B953))</f>
        <v/>
      </c>
      <c r="F953" s="29">
        <f>IF($A953="","",IF(COUNTIF(設定!$B$41:$B$70,$A953)=0,"⚠ 查無員編",IF(COUNTIF($E$3:$E$1002,$E953)&gt;1,"⚠ 重複打卡","OK")))</f>
        <v/>
      </c>
    </row>
    <row r="954">
      <c r="A954" s="26" t="n"/>
      <c r="B954" s="27" t="n"/>
      <c r="C954" s="28" t="n"/>
      <c r="D954" s="28" t="n"/>
      <c r="E954" s="29">
        <f>IF($A954="","",$A954&amp;"|"&amp;DAY($B954))</f>
        <v/>
      </c>
      <c r="F954" s="29">
        <f>IF($A954="","",IF(COUNTIF(設定!$B$41:$B$70,$A954)=0,"⚠ 查無員編",IF(COUNTIF($E$3:$E$1002,$E954)&gt;1,"⚠ 重複打卡","OK")))</f>
        <v/>
      </c>
    </row>
    <row r="955">
      <c r="A955" s="26" t="n"/>
      <c r="B955" s="27" t="n"/>
      <c r="C955" s="28" t="n"/>
      <c r="D955" s="28" t="n"/>
      <c r="E955" s="29">
        <f>IF($A955="","",$A955&amp;"|"&amp;DAY($B955))</f>
        <v/>
      </c>
      <c r="F955" s="29">
        <f>IF($A955="","",IF(COUNTIF(設定!$B$41:$B$70,$A955)=0,"⚠ 查無員編",IF(COUNTIF($E$3:$E$1002,$E955)&gt;1,"⚠ 重複打卡","OK")))</f>
        <v/>
      </c>
    </row>
    <row r="956">
      <c r="A956" s="26" t="n"/>
      <c r="B956" s="27" t="n"/>
      <c r="C956" s="28" t="n"/>
      <c r="D956" s="28" t="n"/>
      <c r="E956" s="29">
        <f>IF($A956="","",$A956&amp;"|"&amp;DAY($B956))</f>
        <v/>
      </c>
      <c r="F956" s="29">
        <f>IF($A956="","",IF(COUNTIF(設定!$B$41:$B$70,$A956)=0,"⚠ 查無員編",IF(COUNTIF($E$3:$E$1002,$E956)&gt;1,"⚠ 重複打卡","OK")))</f>
        <v/>
      </c>
    </row>
    <row r="957">
      <c r="A957" s="26" t="n"/>
      <c r="B957" s="27" t="n"/>
      <c r="C957" s="28" t="n"/>
      <c r="D957" s="28" t="n"/>
      <c r="E957" s="29">
        <f>IF($A957="","",$A957&amp;"|"&amp;DAY($B957))</f>
        <v/>
      </c>
      <c r="F957" s="29">
        <f>IF($A957="","",IF(COUNTIF(設定!$B$41:$B$70,$A957)=0,"⚠ 查無員編",IF(COUNTIF($E$3:$E$1002,$E957)&gt;1,"⚠ 重複打卡","OK")))</f>
        <v/>
      </c>
    </row>
    <row r="958">
      <c r="A958" s="26" t="n"/>
      <c r="B958" s="27" t="n"/>
      <c r="C958" s="28" t="n"/>
      <c r="D958" s="28" t="n"/>
      <c r="E958" s="29">
        <f>IF($A958="","",$A958&amp;"|"&amp;DAY($B958))</f>
        <v/>
      </c>
      <c r="F958" s="29">
        <f>IF($A958="","",IF(COUNTIF(設定!$B$41:$B$70,$A958)=0,"⚠ 查無員編",IF(COUNTIF($E$3:$E$1002,$E958)&gt;1,"⚠ 重複打卡","OK")))</f>
        <v/>
      </c>
    </row>
    <row r="959">
      <c r="A959" s="26" t="n"/>
      <c r="B959" s="27" t="n"/>
      <c r="C959" s="28" t="n"/>
      <c r="D959" s="28" t="n"/>
      <c r="E959" s="29">
        <f>IF($A959="","",$A959&amp;"|"&amp;DAY($B959))</f>
        <v/>
      </c>
      <c r="F959" s="29">
        <f>IF($A959="","",IF(COUNTIF(設定!$B$41:$B$70,$A959)=0,"⚠ 查無員編",IF(COUNTIF($E$3:$E$1002,$E959)&gt;1,"⚠ 重複打卡","OK")))</f>
        <v/>
      </c>
    </row>
    <row r="960">
      <c r="A960" s="26" t="n"/>
      <c r="B960" s="27" t="n"/>
      <c r="C960" s="28" t="n"/>
      <c r="D960" s="28" t="n"/>
      <c r="E960" s="29">
        <f>IF($A960="","",$A960&amp;"|"&amp;DAY($B960))</f>
        <v/>
      </c>
      <c r="F960" s="29">
        <f>IF($A960="","",IF(COUNTIF(設定!$B$41:$B$70,$A960)=0,"⚠ 查無員編",IF(COUNTIF($E$3:$E$1002,$E960)&gt;1,"⚠ 重複打卡","OK")))</f>
        <v/>
      </c>
    </row>
    <row r="961">
      <c r="A961" s="26" t="n"/>
      <c r="B961" s="27" t="n"/>
      <c r="C961" s="28" t="n"/>
      <c r="D961" s="28" t="n"/>
      <c r="E961" s="29">
        <f>IF($A961="","",$A961&amp;"|"&amp;DAY($B961))</f>
        <v/>
      </c>
      <c r="F961" s="29">
        <f>IF($A961="","",IF(COUNTIF(設定!$B$41:$B$70,$A961)=0,"⚠ 查無員編",IF(COUNTIF($E$3:$E$1002,$E961)&gt;1,"⚠ 重複打卡","OK")))</f>
        <v/>
      </c>
    </row>
    <row r="962">
      <c r="A962" s="26" t="n"/>
      <c r="B962" s="27" t="n"/>
      <c r="C962" s="28" t="n"/>
      <c r="D962" s="28" t="n"/>
      <c r="E962" s="29">
        <f>IF($A962="","",$A962&amp;"|"&amp;DAY($B962))</f>
        <v/>
      </c>
      <c r="F962" s="29">
        <f>IF($A962="","",IF(COUNTIF(設定!$B$41:$B$70,$A962)=0,"⚠ 查無員編",IF(COUNTIF($E$3:$E$1002,$E962)&gt;1,"⚠ 重複打卡","OK")))</f>
        <v/>
      </c>
    </row>
    <row r="963">
      <c r="A963" s="26" t="n"/>
      <c r="B963" s="27" t="n"/>
      <c r="C963" s="28" t="n"/>
      <c r="D963" s="28" t="n"/>
      <c r="E963" s="29">
        <f>IF($A963="","",$A963&amp;"|"&amp;DAY($B963))</f>
        <v/>
      </c>
      <c r="F963" s="29">
        <f>IF($A963="","",IF(COUNTIF(設定!$B$41:$B$70,$A963)=0,"⚠ 查無員編",IF(COUNTIF($E$3:$E$1002,$E963)&gt;1,"⚠ 重複打卡","OK")))</f>
        <v/>
      </c>
    </row>
    <row r="964">
      <c r="A964" s="26" t="n"/>
      <c r="B964" s="27" t="n"/>
      <c r="C964" s="28" t="n"/>
      <c r="D964" s="28" t="n"/>
      <c r="E964" s="29">
        <f>IF($A964="","",$A964&amp;"|"&amp;DAY($B964))</f>
        <v/>
      </c>
      <c r="F964" s="29">
        <f>IF($A964="","",IF(COUNTIF(設定!$B$41:$B$70,$A964)=0,"⚠ 查無員編",IF(COUNTIF($E$3:$E$1002,$E964)&gt;1,"⚠ 重複打卡","OK")))</f>
        <v/>
      </c>
    </row>
    <row r="965">
      <c r="A965" s="26" t="n"/>
      <c r="B965" s="27" t="n"/>
      <c r="C965" s="28" t="n"/>
      <c r="D965" s="28" t="n"/>
      <c r="E965" s="29">
        <f>IF($A965="","",$A965&amp;"|"&amp;DAY($B965))</f>
        <v/>
      </c>
      <c r="F965" s="29">
        <f>IF($A965="","",IF(COUNTIF(設定!$B$41:$B$70,$A965)=0,"⚠ 查無員編",IF(COUNTIF($E$3:$E$1002,$E965)&gt;1,"⚠ 重複打卡","OK")))</f>
        <v/>
      </c>
    </row>
    <row r="966">
      <c r="A966" s="26" t="n"/>
      <c r="B966" s="27" t="n"/>
      <c r="C966" s="28" t="n"/>
      <c r="D966" s="28" t="n"/>
      <c r="E966" s="29">
        <f>IF($A966="","",$A966&amp;"|"&amp;DAY($B966))</f>
        <v/>
      </c>
      <c r="F966" s="29">
        <f>IF($A966="","",IF(COUNTIF(設定!$B$41:$B$70,$A966)=0,"⚠ 查無員編",IF(COUNTIF($E$3:$E$1002,$E966)&gt;1,"⚠ 重複打卡","OK")))</f>
        <v/>
      </c>
    </row>
    <row r="967">
      <c r="A967" s="26" t="n"/>
      <c r="B967" s="27" t="n"/>
      <c r="C967" s="28" t="n"/>
      <c r="D967" s="28" t="n"/>
      <c r="E967" s="29">
        <f>IF($A967="","",$A967&amp;"|"&amp;DAY($B967))</f>
        <v/>
      </c>
      <c r="F967" s="29">
        <f>IF($A967="","",IF(COUNTIF(設定!$B$41:$B$70,$A967)=0,"⚠ 查無員編",IF(COUNTIF($E$3:$E$1002,$E967)&gt;1,"⚠ 重複打卡","OK")))</f>
        <v/>
      </c>
    </row>
    <row r="968">
      <c r="A968" s="26" t="n"/>
      <c r="B968" s="27" t="n"/>
      <c r="C968" s="28" t="n"/>
      <c r="D968" s="28" t="n"/>
      <c r="E968" s="29">
        <f>IF($A968="","",$A968&amp;"|"&amp;DAY($B968))</f>
        <v/>
      </c>
      <c r="F968" s="29">
        <f>IF($A968="","",IF(COUNTIF(設定!$B$41:$B$70,$A968)=0,"⚠ 查無員編",IF(COUNTIF($E$3:$E$1002,$E968)&gt;1,"⚠ 重複打卡","OK")))</f>
        <v/>
      </c>
    </row>
    <row r="969">
      <c r="A969" s="26" t="n"/>
      <c r="B969" s="27" t="n"/>
      <c r="C969" s="28" t="n"/>
      <c r="D969" s="28" t="n"/>
      <c r="E969" s="29">
        <f>IF($A969="","",$A969&amp;"|"&amp;DAY($B969))</f>
        <v/>
      </c>
      <c r="F969" s="29">
        <f>IF($A969="","",IF(COUNTIF(設定!$B$41:$B$70,$A969)=0,"⚠ 查無員編",IF(COUNTIF($E$3:$E$1002,$E969)&gt;1,"⚠ 重複打卡","OK")))</f>
        <v/>
      </c>
    </row>
    <row r="970">
      <c r="A970" s="26" t="n"/>
      <c r="B970" s="27" t="n"/>
      <c r="C970" s="28" t="n"/>
      <c r="D970" s="28" t="n"/>
      <c r="E970" s="29">
        <f>IF($A970="","",$A970&amp;"|"&amp;DAY($B970))</f>
        <v/>
      </c>
      <c r="F970" s="29">
        <f>IF($A970="","",IF(COUNTIF(設定!$B$41:$B$70,$A970)=0,"⚠ 查無員編",IF(COUNTIF($E$3:$E$1002,$E970)&gt;1,"⚠ 重複打卡","OK")))</f>
        <v/>
      </c>
    </row>
    <row r="971">
      <c r="A971" s="26" t="n"/>
      <c r="B971" s="27" t="n"/>
      <c r="C971" s="28" t="n"/>
      <c r="D971" s="28" t="n"/>
      <c r="E971" s="29">
        <f>IF($A971="","",$A971&amp;"|"&amp;DAY($B971))</f>
        <v/>
      </c>
      <c r="F971" s="29">
        <f>IF($A971="","",IF(COUNTIF(設定!$B$41:$B$70,$A971)=0,"⚠ 查無員編",IF(COUNTIF($E$3:$E$1002,$E971)&gt;1,"⚠ 重複打卡","OK")))</f>
        <v/>
      </c>
    </row>
    <row r="972">
      <c r="A972" s="26" t="n"/>
      <c r="B972" s="27" t="n"/>
      <c r="C972" s="28" t="n"/>
      <c r="D972" s="28" t="n"/>
      <c r="E972" s="29">
        <f>IF($A972="","",$A972&amp;"|"&amp;DAY($B972))</f>
        <v/>
      </c>
      <c r="F972" s="29">
        <f>IF($A972="","",IF(COUNTIF(設定!$B$41:$B$70,$A972)=0,"⚠ 查無員編",IF(COUNTIF($E$3:$E$1002,$E972)&gt;1,"⚠ 重複打卡","OK")))</f>
        <v/>
      </c>
    </row>
    <row r="973">
      <c r="A973" s="26" t="n"/>
      <c r="B973" s="27" t="n"/>
      <c r="C973" s="28" t="n"/>
      <c r="D973" s="28" t="n"/>
      <c r="E973" s="29">
        <f>IF($A973="","",$A973&amp;"|"&amp;DAY($B973))</f>
        <v/>
      </c>
      <c r="F973" s="29">
        <f>IF($A973="","",IF(COUNTIF(設定!$B$41:$B$70,$A973)=0,"⚠ 查無員編",IF(COUNTIF($E$3:$E$1002,$E973)&gt;1,"⚠ 重複打卡","OK")))</f>
        <v/>
      </c>
    </row>
    <row r="974">
      <c r="A974" s="26" t="n"/>
      <c r="B974" s="27" t="n"/>
      <c r="C974" s="28" t="n"/>
      <c r="D974" s="28" t="n"/>
      <c r="E974" s="29">
        <f>IF($A974="","",$A974&amp;"|"&amp;DAY($B974))</f>
        <v/>
      </c>
      <c r="F974" s="29">
        <f>IF($A974="","",IF(COUNTIF(設定!$B$41:$B$70,$A974)=0,"⚠ 查無員編",IF(COUNTIF($E$3:$E$1002,$E974)&gt;1,"⚠ 重複打卡","OK")))</f>
        <v/>
      </c>
    </row>
    <row r="975">
      <c r="A975" s="26" t="n"/>
      <c r="B975" s="27" t="n"/>
      <c r="C975" s="28" t="n"/>
      <c r="D975" s="28" t="n"/>
      <c r="E975" s="29">
        <f>IF($A975="","",$A975&amp;"|"&amp;DAY($B975))</f>
        <v/>
      </c>
      <c r="F975" s="29">
        <f>IF($A975="","",IF(COUNTIF(設定!$B$41:$B$70,$A975)=0,"⚠ 查無員編",IF(COUNTIF($E$3:$E$1002,$E975)&gt;1,"⚠ 重複打卡","OK")))</f>
        <v/>
      </c>
    </row>
    <row r="976">
      <c r="A976" s="26" t="n"/>
      <c r="B976" s="27" t="n"/>
      <c r="C976" s="28" t="n"/>
      <c r="D976" s="28" t="n"/>
      <c r="E976" s="29">
        <f>IF($A976="","",$A976&amp;"|"&amp;DAY($B976))</f>
        <v/>
      </c>
      <c r="F976" s="29">
        <f>IF($A976="","",IF(COUNTIF(設定!$B$41:$B$70,$A976)=0,"⚠ 查無員編",IF(COUNTIF($E$3:$E$1002,$E976)&gt;1,"⚠ 重複打卡","OK")))</f>
        <v/>
      </c>
    </row>
    <row r="977">
      <c r="A977" s="26" t="n"/>
      <c r="B977" s="27" t="n"/>
      <c r="C977" s="28" t="n"/>
      <c r="D977" s="28" t="n"/>
      <c r="E977" s="29">
        <f>IF($A977="","",$A977&amp;"|"&amp;DAY($B977))</f>
        <v/>
      </c>
      <c r="F977" s="29">
        <f>IF($A977="","",IF(COUNTIF(設定!$B$41:$B$70,$A977)=0,"⚠ 查無員編",IF(COUNTIF($E$3:$E$1002,$E977)&gt;1,"⚠ 重複打卡","OK")))</f>
        <v/>
      </c>
    </row>
    <row r="978">
      <c r="A978" s="26" t="n"/>
      <c r="B978" s="27" t="n"/>
      <c r="C978" s="28" t="n"/>
      <c r="D978" s="28" t="n"/>
      <c r="E978" s="29">
        <f>IF($A978="","",$A978&amp;"|"&amp;DAY($B978))</f>
        <v/>
      </c>
      <c r="F978" s="29">
        <f>IF($A978="","",IF(COUNTIF(設定!$B$41:$B$70,$A978)=0,"⚠ 查無員編",IF(COUNTIF($E$3:$E$1002,$E978)&gt;1,"⚠ 重複打卡","OK")))</f>
        <v/>
      </c>
    </row>
    <row r="979">
      <c r="A979" s="26" t="n"/>
      <c r="B979" s="27" t="n"/>
      <c r="C979" s="28" t="n"/>
      <c r="D979" s="28" t="n"/>
      <c r="E979" s="29">
        <f>IF($A979="","",$A979&amp;"|"&amp;DAY($B979))</f>
        <v/>
      </c>
      <c r="F979" s="29">
        <f>IF($A979="","",IF(COUNTIF(設定!$B$41:$B$70,$A979)=0,"⚠ 查無員編",IF(COUNTIF($E$3:$E$1002,$E979)&gt;1,"⚠ 重複打卡","OK")))</f>
        <v/>
      </c>
    </row>
    <row r="980">
      <c r="A980" s="26" t="n"/>
      <c r="B980" s="27" t="n"/>
      <c r="C980" s="28" t="n"/>
      <c r="D980" s="28" t="n"/>
      <c r="E980" s="29">
        <f>IF($A980="","",$A980&amp;"|"&amp;DAY($B980))</f>
        <v/>
      </c>
      <c r="F980" s="29">
        <f>IF($A980="","",IF(COUNTIF(設定!$B$41:$B$70,$A980)=0,"⚠ 查無員編",IF(COUNTIF($E$3:$E$1002,$E980)&gt;1,"⚠ 重複打卡","OK")))</f>
        <v/>
      </c>
    </row>
    <row r="981">
      <c r="A981" s="26" t="n"/>
      <c r="B981" s="27" t="n"/>
      <c r="C981" s="28" t="n"/>
      <c r="D981" s="28" t="n"/>
      <c r="E981" s="29">
        <f>IF($A981="","",$A981&amp;"|"&amp;DAY($B981))</f>
        <v/>
      </c>
      <c r="F981" s="29">
        <f>IF($A981="","",IF(COUNTIF(設定!$B$41:$B$70,$A981)=0,"⚠ 查無員編",IF(COUNTIF($E$3:$E$1002,$E981)&gt;1,"⚠ 重複打卡","OK")))</f>
        <v/>
      </c>
    </row>
    <row r="982">
      <c r="A982" s="26" t="n"/>
      <c r="B982" s="27" t="n"/>
      <c r="C982" s="28" t="n"/>
      <c r="D982" s="28" t="n"/>
      <c r="E982" s="29">
        <f>IF($A982="","",$A982&amp;"|"&amp;DAY($B982))</f>
        <v/>
      </c>
      <c r="F982" s="29">
        <f>IF($A982="","",IF(COUNTIF(設定!$B$41:$B$70,$A982)=0,"⚠ 查無員編",IF(COUNTIF($E$3:$E$1002,$E982)&gt;1,"⚠ 重複打卡","OK")))</f>
        <v/>
      </c>
    </row>
    <row r="983">
      <c r="A983" s="26" t="n"/>
      <c r="B983" s="27" t="n"/>
      <c r="C983" s="28" t="n"/>
      <c r="D983" s="28" t="n"/>
      <c r="E983" s="29">
        <f>IF($A983="","",$A983&amp;"|"&amp;DAY($B983))</f>
        <v/>
      </c>
      <c r="F983" s="29">
        <f>IF($A983="","",IF(COUNTIF(設定!$B$41:$B$70,$A983)=0,"⚠ 查無員編",IF(COUNTIF($E$3:$E$1002,$E983)&gt;1,"⚠ 重複打卡","OK")))</f>
        <v/>
      </c>
    </row>
    <row r="984">
      <c r="A984" s="26" t="n"/>
      <c r="B984" s="27" t="n"/>
      <c r="C984" s="28" t="n"/>
      <c r="D984" s="28" t="n"/>
      <c r="E984" s="29">
        <f>IF($A984="","",$A984&amp;"|"&amp;DAY($B984))</f>
        <v/>
      </c>
      <c r="F984" s="29">
        <f>IF($A984="","",IF(COUNTIF(設定!$B$41:$B$70,$A984)=0,"⚠ 查無員編",IF(COUNTIF($E$3:$E$1002,$E984)&gt;1,"⚠ 重複打卡","OK")))</f>
        <v/>
      </c>
    </row>
    <row r="985">
      <c r="A985" s="26" t="n"/>
      <c r="B985" s="27" t="n"/>
      <c r="C985" s="28" t="n"/>
      <c r="D985" s="28" t="n"/>
      <c r="E985" s="29">
        <f>IF($A985="","",$A985&amp;"|"&amp;DAY($B985))</f>
        <v/>
      </c>
      <c r="F985" s="29">
        <f>IF($A985="","",IF(COUNTIF(設定!$B$41:$B$70,$A985)=0,"⚠ 查無員編",IF(COUNTIF($E$3:$E$1002,$E985)&gt;1,"⚠ 重複打卡","OK")))</f>
        <v/>
      </c>
    </row>
    <row r="986">
      <c r="A986" s="26" t="n"/>
      <c r="B986" s="27" t="n"/>
      <c r="C986" s="28" t="n"/>
      <c r="D986" s="28" t="n"/>
      <c r="E986" s="29">
        <f>IF($A986="","",$A986&amp;"|"&amp;DAY($B986))</f>
        <v/>
      </c>
      <c r="F986" s="29">
        <f>IF($A986="","",IF(COUNTIF(設定!$B$41:$B$70,$A986)=0,"⚠ 查無員編",IF(COUNTIF($E$3:$E$1002,$E986)&gt;1,"⚠ 重複打卡","OK")))</f>
        <v/>
      </c>
    </row>
    <row r="987">
      <c r="A987" s="26" t="n"/>
      <c r="B987" s="27" t="n"/>
      <c r="C987" s="28" t="n"/>
      <c r="D987" s="28" t="n"/>
      <c r="E987" s="29">
        <f>IF($A987="","",$A987&amp;"|"&amp;DAY($B987))</f>
        <v/>
      </c>
      <c r="F987" s="29">
        <f>IF($A987="","",IF(COUNTIF(設定!$B$41:$B$70,$A987)=0,"⚠ 查無員編",IF(COUNTIF($E$3:$E$1002,$E987)&gt;1,"⚠ 重複打卡","OK")))</f>
        <v/>
      </c>
    </row>
    <row r="988">
      <c r="A988" s="26" t="n"/>
      <c r="B988" s="27" t="n"/>
      <c r="C988" s="28" t="n"/>
      <c r="D988" s="28" t="n"/>
      <c r="E988" s="29">
        <f>IF($A988="","",$A988&amp;"|"&amp;DAY($B988))</f>
        <v/>
      </c>
      <c r="F988" s="29">
        <f>IF($A988="","",IF(COUNTIF(設定!$B$41:$B$70,$A988)=0,"⚠ 查無員編",IF(COUNTIF($E$3:$E$1002,$E988)&gt;1,"⚠ 重複打卡","OK")))</f>
        <v/>
      </c>
    </row>
    <row r="989">
      <c r="A989" s="26" t="n"/>
      <c r="B989" s="27" t="n"/>
      <c r="C989" s="28" t="n"/>
      <c r="D989" s="28" t="n"/>
      <c r="E989" s="29">
        <f>IF($A989="","",$A989&amp;"|"&amp;DAY($B989))</f>
        <v/>
      </c>
      <c r="F989" s="29">
        <f>IF($A989="","",IF(COUNTIF(設定!$B$41:$B$70,$A989)=0,"⚠ 查無員編",IF(COUNTIF($E$3:$E$1002,$E989)&gt;1,"⚠ 重複打卡","OK")))</f>
        <v/>
      </c>
    </row>
    <row r="990">
      <c r="A990" s="26" t="n"/>
      <c r="B990" s="27" t="n"/>
      <c r="C990" s="28" t="n"/>
      <c r="D990" s="28" t="n"/>
      <c r="E990" s="29">
        <f>IF($A990="","",$A990&amp;"|"&amp;DAY($B990))</f>
        <v/>
      </c>
      <c r="F990" s="29">
        <f>IF($A990="","",IF(COUNTIF(設定!$B$41:$B$70,$A990)=0,"⚠ 查無員編",IF(COUNTIF($E$3:$E$1002,$E990)&gt;1,"⚠ 重複打卡","OK")))</f>
        <v/>
      </c>
    </row>
    <row r="991">
      <c r="A991" s="26" t="n"/>
      <c r="B991" s="27" t="n"/>
      <c r="C991" s="28" t="n"/>
      <c r="D991" s="28" t="n"/>
      <c r="E991" s="29">
        <f>IF($A991="","",$A991&amp;"|"&amp;DAY($B991))</f>
        <v/>
      </c>
      <c r="F991" s="29">
        <f>IF($A991="","",IF(COUNTIF(設定!$B$41:$B$70,$A991)=0,"⚠ 查無員編",IF(COUNTIF($E$3:$E$1002,$E991)&gt;1,"⚠ 重複打卡","OK")))</f>
        <v/>
      </c>
    </row>
    <row r="992">
      <c r="A992" s="26" t="n"/>
      <c r="B992" s="27" t="n"/>
      <c r="C992" s="28" t="n"/>
      <c r="D992" s="28" t="n"/>
      <c r="E992" s="29">
        <f>IF($A992="","",$A992&amp;"|"&amp;DAY($B992))</f>
        <v/>
      </c>
      <c r="F992" s="29">
        <f>IF($A992="","",IF(COUNTIF(設定!$B$41:$B$70,$A992)=0,"⚠ 查無員編",IF(COUNTIF($E$3:$E$1002,$E992)&gt;1,"⚠ 重複打卡","OK")))</f>
        <v/>
      </c>
    </row>
    <row r="993">
      <c r="A993" s="26" t="n"/>
      <c r="B993" s="27" t="n"/>
      <c r="C993" s="28" t="n"/>
      <c r="D993" s="28" t="n"/>
      <c r="E993" s="29">
        <f>IF($A993="","",$A993&amp;"|"&amp;DAY($B993))</f>
        <v/>
      </c>
      <c r="F993" s="29">
        <f>IF($A993="","",IF(COUNTIF(設定!$B$41:$B$70,$A993)=0,"⚠ 查無員編",IF(COUNTIF($E$3:$E$1002,$E993)&gt;1,"⚠ 重複打卡","OK")))</f>
        <v/>
      </c>
    </row>
    <row r="994">
      <c r="A994" s="26" t="n"/>
      <c r="B994" s="27" t="n"/>
      <c r="C994" s="28" t="n"/>
      <c r="D994" s="28" t="n"/>
      <c r="E994" s="29">
        <f>IF($A994="","",$A994&amp;"|"&amp;DAY($B994))</f>
        <v/>
      </c>
      <c r="F994" s="29">
        <f>IF($A994="","",IF(COUNTIF(設定!$B$41:$B$70,$A994)=0,"⚠ 查無員編",IF(COUNTIF($E$3:$E$1002,$E994)&gt;1,"⚠ 重複打卡","OK")))</f>
        <v/>
      </c>
    </row>
    <row r="995">
      <c r="A995" s="26" t="n"/>
      <c r="B995" s="27" t="n"/>
      <c r="C995" s="28" t="n"/>
      <c r="D995" s="28" t="n"/>
      <c r="E995" s="29">
        <f>IF($A995="","",$A995&amp;"|"&amp;DAY($B995))</f>
        <v/>
      </c>
      <c r="F995" s="29">
        <f>IF($A995="","",IF(COUNTIF(設定!$B$41:$B$70,$A995)=0,"⚠ 查無員編",IF(COUNTIF($E$3:$E$1002,$E995)&gt;1,"⚠ 重複打卡","OK")))</f>
        <v/>
      </c>
    </row>
    <row r="996">
      <c r="A996" s="26" t="n"/>
      <c r="B996" s="27" t="n"/>
      <c r="C996" s="28" t="n"/>
      <c r="D996" s="28" t="n"/>
      <c r="E996" s="29">
        <f>IF($A996="","",$A996&amp;"|"&amp;DAY($B996))</f>
        <v/>
      </c>
      <c r="F996" s="29">
        <f>IF($A996="","",IF(COUNTIF(設定!$B$41:$B$70,$A996)=0,"⚠ 查無員編",IF(COUNTIF($E$3:$E$1002,$E996)&gt;1,"⚠ 重複打卡","OK")))</f>
        <v/>
      </c>
    </row>
    <row r="997">
      <c r="A997" s="26" t="n"/>
      <c r="B997" s="27" t="n"/>
      <c r="C997" s="28" t="n"/>
      <c r="D997" s="28" t="n"/>
      <c r="E997" s="29">
        <f>IF($A997="","",$A997&amp;"|"&amp;DAY($B997))</f>
        <v/>
      </c>
      <c r="F997" s="29">
        <f>IF($A997="","",IF(COUNTIF(設定!$B$41:$B$70,$A997)=0,"⚠ 查無員編",IF(COUNTIF($E$3:$E$1002,$E997)&gt;1,"⚠ 重複打卡","OK")))</f>
        <v/>
      </c>
    </row>
    <row r="998">
      <c r="A998" s="26" t="n"/>
      <c r="B998" s="27" t="n"/>
      <c r="C998" s="28" t="n"/>
      <c r="D998" s="28" t="n"/>
      <c r="E998" s="29">
        <f>IF($A998="","",$A998&amp;"|"&amp;DAY($B998))</f>
        <v/>
      </c>
      <c r="F998" s="29">
        <f>IF($A998="","",IF(COUNTIF(設定!$B$41:$B$70,$A998)=0,"⚠ 查無員編",IF(COUNTIF($E$3:$E$1002,$E998)&gt;1,"⚠ 重複打卡","OK")))</f>
        <v/>
      </c>
    </row>
    <row r="999">
      <c r="A999" s="26" t="n"/>
      <c r="B999" s="27" t="n"/>
      <c r="C999" s="28" t="n"/>
      <c r="D999" s="28" t="n"/>
      <c r="E999" s="29">
        <f>IF($A999="","",$A999&amp;"|"&amp;DAY($B999))</f>
        <v/>
      </c>
      <c r="F999" s="29">
        <f>IF($A999="","",IF(COUNTIF(設定!$B$41:$B$70,$A999)=0,"⚠ 查無員編",IF(COUNTIF($E$3:$E$1002,$E999)&gt;1,"⚠ 重複打卡","OK")))</f>
        <v/>
      </c>
    </row>
    <row r="1000">
      <c r="A1000" s="26" t="n"/>
      <c r="B1000" s="27" t="n"/>
      <c r="C1000" s="28" t="n"/>
      <c r="D1000" s="28" t="n"/>
      <c r="E1000" s="29">
        <f>IF($A1000="","",$A1000&amp;"|"&amp;DAY($B1000))</f>
        <v/>
      </c>
      <c r="F1000" s="29">
        <f>IF($A1000="","",IF(COUNTIF(設定!$B$41:$B$70,$A1000)=0,"⚠ 查無員編",IF(COUNTIF($E$3:$E$1002,$E1000)&gt;1,"⚠ 重複打卡","OK")))</f>
        <v/>
      </c>
    </row>
    <row r="1001">
      <c r="A1001" s="26" t="n"/>
      <c r="B1001" s="27" t="n"/>
      <c r="C1001" s="28" t="n"/>
      <c r="D1001" s="28" t="n"/>
      <c r="E1001" s="29">
        <f>IF($A1001="","",$A1001&amp;"|"&amp;DAY($B1001))</f>
        <v/>
      </c>
      <c r="F1001" s="29">
        <f>IF($A1001="","",IF(COUNTIF(設定!$B$41:$B$70,$A1001)=0,"⚠ 查無員編",IF(COUNTIF($E$3:$E$1002,$E1001)&gt;1,"⚠ 重複打卡","OK")))</f>
        <v/>
      </c>
    </row>
    <row r="1002">
      <c r="A1002" s="26" t="n"/>
      <c r="B1002" s="27" t="n"/>
      <c r="C1002" s="28" t="n"/>
      <c r="D1002" s="28" t="n"/>
      <c r="E1002" s="29">
        <f>IF($A1002="","",$A1002&amp;"|"&amp;DAY($B1002))</f>
        <v/>
      </c>
      <c r="F1002" s="29">
        <f>IF($A1002="","",IF(COUNTIF(設定!$B$41:$B$70,$A1002)=0,"⚠ 查無員編",IF(COUNTIF($E$3:$E$1002,$E1002)&gt;1,"⚠ 重複打卡","OK")))</f>
        <v/>
      </c>
    </row>
  </sheetData>
  <autoFilter ref="A2:F1002"/>
  <mergeCells count="1">
    <mergeCell ref="A1:F1"/>
  </mergeCells>
  <conditionalFormatting sqref="A3:F1002">
    <cfRule type="expression" priority="1" dxfId="0">
      <formula>AND($A3&lt;&gt;"",LEFT($F3,1)="⚠")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3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9" customWidth="1" min="5" max="5"/>
    <col width="9" customWidth="1" min="6" max="6"/>
    <col width="8" customWidth="1" min="7" max="7"/>
    <col width="8" customWidth="1" min="8" max="8"/>
    <col width="10" customWidth="1" min="9" max="9"/>
    <col width="10" customWidth="1" min="10" max="10"/>
    <col width="9" customWidth="1" min="11" max="11"/>
    <col width="10" customWidth="1" min="12" max="12"/>
    <col width="11" customWidth="1" min="13" max="13"/>
    <col width="9" customWidth="1" min="14" max="14"/>
    <col width="9" customWidth="1" min="15" max="15"/>
    <col width="10" customWidth="1" min="16" max="16"/>
    <col width="10" customWidth="1" min="17" max="17"/>
    <col width="22" customWidth="1" min="18" max="18"/>
  </cols>
  <sheetData>
    <row r="1">
      <c r="A1" s="1" t="inlineStr">
        <is>
          <t>出勤紀錄(法定紀錄:逐日記載至分鐘,保存 5 年)</t>
        </is>
      </c>
    </row>
    <row r="2" ht="28" customHeight="1">
      <c r="A2" s="5" t="inlineStr">
        <is>
          <t>日期</t>
        </is>
      </c>
      <c r="B2" s="5" t="inlineStr">
        <is>
          <t>星期</t>
        </is>
      </c>
      <c r="C2" s="5" t="inlineStr">
        <is>
          <t>員工編號</t>
        </is>
      </c>
      <c r="D2" s="5" t="inlineStr">
        <is>
          <t>姓名</t>
        </is>
      </c>
      <c r="E2" s="5" t="inlineStr">
        <is>
          <t>職類</t>
        </is>
      </c>
      <c r="F2" s="5" t="inlineStr">
        <is>
          <t>排班代碼</t>
        </is>
      </c>
      <c r="G2" s="5" t="inlineStr">
        <is>
          <t>應到</t>
        </is>
      </c>
      <c r="H2" s="5" t="inlineStr">
        <is>
          <t>應退</t>
        </is>
      </c>
      <c r="I2" s="5" t="inlineStr">
        <is>
          <t>實際上班</t>
        </is>
      </c>
      <c r="J2" s="5" t="inlineStr">
        <is>
          <t>實際下班</t>
        </is>
      </c>
      <c r="K2" s="5" t="inlineStr">
        <is>
          <t>休息(分)</t>
        </is>
      </c>
      <c r="L2" s="5" t="inlineStr">
        <is>
          <t>實際工時</t>
        </is>
      </c>
      <c r="M2" s="5" t="inlineStr">
        <is>
          <t>出勤異常</t>
        </is>
      </c>
      <c r="N2" s="5" t="inlineStr">
        <is>
          <t>遲到(分)</t>
        </is>
      </c>
      <c r="O2" s="5" t="inlineStr">
        <is>
          <t>早退(分)</t>
        </is>
      </c>
      <c r="P2" s="5" t="inlineStr">
        <is>
          <t>加班時數</t>
        </is>
      </c>
      <c r="Q2" s="5" t="inlineStr">
        <is>
          <t>加班別</t>
        </is>
      </c>
      <c r="R2" s="5" t="inlineStr">
        <is>
          <t>備註</t>
        </is>
      </c>
    </row>
    <row r="3">
      <c r="A3" s="30">
        <f>IF(OR(班表!$A6="",1&gt;DAY(EOMONTH(DATE(班表!$E$2,班表!$G$2,1),0))),"",DATE(班表!$E$2,班表!$G$2,1))</f>
        <v/>
      </c>
      <c r="B3" s="29">
        <f>IF($A3="","",INDEX(設定!$L$5:$L$11,WEEKDAY($A3,1)))</f>
        <v/>
      </c>
      <c r="C3" s="29">
        <f>IF($A3="","",班表!$A6)</f>
        <v/>
      </c>
      <c r="D3" s="29">
        <f>IF($C3="","",班表!$B6)</f>
        <v/>
      </c>
      <c r="E3" s="29">
        <f>IF($C3="","",班表!$C6)</f>
        <v/>
      </c>
      <c r="F3" s="29">
        <f>IF($C3="","",班表!D6)</f>
        <v/>
      </c>
      <c r="G3" s="31">
        <f>IF($F3="","",IFERROR(INDEX(設定!$D$5:$D$20,MATCH($F3,設定!$B$5:$B$20,0)),""))</f>
        <v/>
      </c>
      <c r="H3" s="31">
        <f>IF($F3="","",IFERROR(INDEX(設定!$E$5:$E$20,MATCH($F3,設定!$B$5:$B$20,0)),""))</f>
        <v/>
      </c>
      <c r="I3" s="31">
        <f>IFERROR(INDEX(打卡匯入!$C$3:$C$1002,MATCH($C3&amp;"|"&amp;DAY($A3),打卡匯入!$E$3:$E$1002,0)),"")</f>
        <v/>
      </c>
      <c r="J3" s="31">
        <f>IFERROR(INDEX(打卡匯入!$D$3:$D$1002,MATCH($C3&amp;"|"&amp;DAY($A3),打卡匯入!$E$3:$E$1002,0)),"")</f>
        <v/>
      </c>
      <c r="K3" s="32">
        <f>IF(OR($I3="",$J3=""),"",IFERROR(INDEX(設定!$F$5:$F$20,MATCH($F3,設定!$B$5:$B$20,0)),0))</f>
        <v/>
      </c>
      <c r="L3" s="33">
        <f>IF(OR($I3="",$J3=""),"",ROUND(($J3-$I3)*24-$K3/60,2))</f>
        <v/>
      </c>
      <c r="M3" s="29">
        <f>IF($C3="","",IF(AND(COUNTIF(設定!$B$14:$B$20,$F3)&gt;0,$I3&lt;&gt;""),"假日出勤",IF(AND(COUNTIF(設定!$B$5:$B$13,$F3)&gt;0,$I3=""),"未打卡",IF($I3="","",IF($N3&gt;0,"遲到",IF($O3&gt;0,"早退","正常"))))))</f>
        <v/>
      </c>
      <c r="N3" s="32">
        <f>IF(OR($C3="",$G3="",$I3=""),0,IF(ROUND(($I3-$G3)*1440,0)&gt;設定!$C$28,ROUND(($I3-$G3)*1440,0),0))</f>
        <v/>
      </c>
      <c r="O3" s="32">
        <f>IF(OR($C3="",$H3="",$J3=""),0,IF(ROUND(($H3-$J3)*1440,0)&gt;設定!$C$28,ROUND(($H3-$J3)*1440,0),0))</f>
        <v/>
      </c>
      <c r="P3" s="33">
        <f>IF($L3="",0,IF(($L3-IFERROR(INDEX(設定!$G$5:$G$20,MATCH($F3,設定!$B$5:$B$20,0)),0))*60&gt;=設定!$C$26,ROUND(FLOOR(($L3-IFERROR(INDEX(設定!$G$5:$G$20,MATCH($F3,設定!$B$5:$B$20,0)),0))*60,設定!$C$27)/60,2),0))</f>
        <v/>
      </c>
      <c r="Q3" s="29">
        <f>IF(OR($C3="",$P3=0),"",IF($F3="國","國定假日",IF($B3="日","例假",IF($B3="六","休息日","平日"))))</f>
        <v/>
      </c>
      <c r="R3" s="34" t="n"/>
    </row>
    <row r="4">
      <c r="A4" s="30">
        <f>IF(OR(班表!$A6="",2&gt;DAY(EOMONTH(DATE(班表!$E$2,班表!$G$2,1),0))),"",DATE(班表!$E$2,班表!$G$2,2))</f>
        <v/>
      </c>
      <c r="B4" s="29">
        <f>IF($A4="","",INDEX(設定!$L$5:$L$11,WEEKDAY($A4,1)))</f>
        <v/>
      </c>
      <c r="C4" s="29">
        <f>IF($A4="","",班表!$A6)</f>
        <v/>
      </c>
      <c r="D4" s="29">
        <f>IF($C4="","",班表!$B6)</f>
        <v/>
      </c>
      <c r="E4" s="29">
        <f>IF($C4="","",班表!$C6)</f>
        <v/>
      </c>
      <c r="F4" s="29">
        <f>IF($C4="","",班表!E6)</f>
        <v/>
      </c>
      <c r="G4" s="31">
        <f>IF($F4="","",IFERROR(INDEX(設定!$D$5:$D$20,MATCH($F4,設定!$B$5:$B$20,0)),""))</f>
        <v/>
      </c>
      <c r="H4" s="31">
        <f>IF($F4="","",IFERROR(INDEX(設定!$E$5:$E$20,MATCH($F4,設定!$B$5:$B$20,0)),""))</f>
        <v/>
      </c>
      <c r="I4" s="31">
        <f>IFERROR(INDEX(打卡匯入!$C$3:$C$1002,MATCH($C4&amp;"|"&amp;DAY($A4),打卡匯入!$E$3:$E$1002,0)),"")</f>
        <v/>
      </c>
      <c r="J4" s="31">
        <f>IFERROR(INDEX(打卡匯入!$D$3:$D$1002,MATCH($C4&amp;"|"&amp;DAY($A4),打卡匯入!$E$3:$E$1002,0)),"")</f>
        <v/>
      </c>
      <c r="K4" s="32">
        <f>IF(OR($I4="",$J4=""),"",IFERROR(INDEX(設定!$F$5:$F$20,MATCH($F4,設定!$B$5:$B$20,0)),0))</f>
        <v/>
      </c>
      <c r="L4" s="33">
        <f>IF(OR($I4="",$J4=""),"",ROUND(($J4-$I4)*24-$K4/60,2))</f>
        <v/>
      </c>
      <c r="M4" s="29">
        <f>IF($C4="","",IF(AND(COUNTIF(設定!$B$14:$B$20,$F4)&gt;0,$I4&lt;&gt;""),"假日出勤",IF(AND(COUNTIF(設定!$B$5:$B$13,$F4)&gt;0,$I4=""),"未打卡",IF($I4="","",IF($N4&gt;0,"遲到",IF($O4&gt;0,"早退","正常"))))))</f>
        <v/>
      </c>
      <c r="N4" s="32">
        <f>IF(OR($C4="",$G4="",$I4=""),0,IF(ROUND(($I4-$G4)*1440,0)&gt;設定!$C$28,ROUND(($I4-$G4)*1440,0),0))</f>
        <v/>
      </c>
      <c r="O4" s="32">
        <f>IF(OR($C4="",$H4="",$J4=""),0,IF(ROUND(($H4-$J4)*1440,0)&gt;設定!$C$28,ROUND(($H4-$J4)*1440,0),0))</f>
        <v/>
      </c>
      <c r="P4" s="33">
        <f>IF($L4="",0,IF(($L4-IFERROR(INDEX(設定!$G$5:$G$20,MATCH($F4,設定!$B$5:$B$20,0)),0))*60&gt;=設定!$C$26,ROUND(FLOOR(($L4-IFERROR(INDEX(設定!$G$5:$G$20,MATCH($F4,設定!$B$5:$B$20,0)),0))*60,設定!$C$27)/60,2),0))</f>
        <v/>
      </c>
      <c r="Q4" s="29">
        <f>IF(OR($C4="",$P4=0),"",IF($F4="國","國定假日",IF($B4="日","例假",IF($B4="六","休息日","平日"))))</f>
        <v/>
      </c>
      <c r="R4" s="34" t="n"/>
    </row>
    <row r="5">
      <c r="A5" s="30">
        <f>IF(OR(班表!$A6="",3&gt;DAY(EOMONTH(DATE(班表!$E$2,班表!$G$2,1),0))),"",DATE(班表!$E$2,班表!$G$2,3))</f>
        <v/>
      </c>
      <c r="B5" s="29">
        <f>IF($A5="","",INDEX(設定!$L$5:$L$11,WEEKDAY($A5,1)))</f>
        <v/>
      </c>
      <c r="C5" s="29">
        <f>IF($A5="","",班表!$A6)</f>
        <v/>
      </c>
      <c r="D5" s="29">
        <f>IF($C5="","",班表!$B6)</f>
        <v/>
      </c>
      <c r="E5" s="29">
        <f>IF($C5="","",班表!$C6)</f>
        <v/>
      </c>
      <c r="F5" s="29">
        <f>IF($C5="","",班表!F6)</f>
        <v/>
      </c>
      <c r="G5" s="31">
        <f>IF($F5="","",IFERROR(INDEX(設定!$D$5:$D$20,MATCH($F5,設定!$B$5:$B$20,0)),""))</f>
        <v/>
      </c>
      <c r="H5" s="31">
        <f>IF($F5="","",IFERROR(INDEX(設定!$E$5:$E$20,MATCH($F5,設定!$B$5:$B$20,0)),""))</f>
        <v/>
      </c>
      <c r="I5" s="31">
        <f>IFERROR(INDEX(打卡匯入!$C$3:$C$1002,MATCH($C5&amp;"|"&amp;DAY($A5),打卡匯入!$E$3:$E$1002,0)),"")</f>
        <v/>
      </c>
      <c r="J5" s="31">
        <f>IFERROR(INDEX(打卡匯入!$D$3:$D$1002,MATCH($C5&amp;"|"&amp;DAY($A5),打卡匯入!$E$3:$E$1002,0)),"")</f>
        <v/>
      </c>
      <c r="K5" s="32">
        <f>IF(OR($I5="",$J5=""),"",IFERROR(INDEX(設定!$F$5:$F$20,MATCH($F5,設定!$B$5:$B$20,0)),0))</f>
        <v/>
      </c>
      <c r="L5" s="33">
        <f>IF(OR($I5="",$J5=""),"",ROUND(($J5-$I5)*24-$K5/60,2))</f>
        <v/>
      </c>
      <c r="M5" s="29">
        <f>IF($C5="","",IF(AND(COUNTIF(設定!$B$14:$B$20,$F5)&gt;0,$I5&lt;&gt;""),"假日出勤",IF(AND(COUNTIF(設定!$B$5:$B$13,$F5)&gt;0,$I5=""),"未打卡",IF($I5="","",IF($N5&gt;0,"遲到",IF($O5&gt;0,"早退","正常"))))))</f>
        <v/>
      </c>
      <c r="N5" s="32">
        <f>IF(OR($C5="",$G5="",$I5=""),0,IF(ROUND(($I5-$G5)*1440,0)&gt;設定!$C$28,ROUND(($I5-$G5)*1440,0),0))</f>
        <v/>
      </c>
      <c r="O5" s="32">
        <f>IF(OR($C5="",$H5="",$J5=""),0,IF(ROUND(($H5-$J5)*1440,0)&gt;設定!$C$28,ROUND(($H5-$J5)*1440,0),0))</f>
        <v/>
      </c>
      <c r="P5" s="33">
        <f>IF($L5="",0,IF(($L5-IFERROR(INDEX(設定!$G$5:$G$20,MATCH($F5,設定!$B$5:$B$20,0)),0))*60&gt;=設定!$C$26,ROUND(FLOOR(($L5-IFERROR(INDEX(設定!$G$5:$G$20,MATCH($F5,設定!$B$5:$B$20,0)),0))*60,設定!$C$27)/60,2),0))</f>
        <v/>
      </c>
      <c r="Q5" s="29">
        <f>IF(OR($C5="",$P5=0),"",IF($F5="國","國定假日",IF($B5="日","例假",IF($B5="六","休息日","平日"))))</f>
        <v/>
      </c>
      <c r="R5" s="34" t="n"/>
    </row>
    <row r="6">
      <c r="A6" s="30">
        <f>IF(OR(班表!$A6="",4&gt;DAY(EOMONTH(DATE(班表!$E$2,班表!$G$2,1),0))),"",DATE(班表!$E$2,班表!$G$2,4))</f>
        <v/>
      </c>
      <c r="B6" s="29">
        <f>IF($A6="","",INDEX(設定!$L$5:$L$11,WEEKDAY($A6,1)))</f>
        <v/>
      </c>
      <c r="C6" s="29">
        <f>IF($A6="","",班表!$A6)</f>
        <v/>
      </c>
      <c r="D6" s="29">
        <f>IF($C6="","",班表!$B6)</f>
        <v/>
      </c>
      <c r="E6" s="29">
        <f>IF($C6="","",班表!$C6)</f>
        <v/>
      </c>
      <c r="F6" s="29">
        <f>IF($C6="","",班表!G6)</f>
        <v/>
      </c>
      <c r="G6" s="31">
        <f>IF($F6="","",IFERROR(INDEX(設定!$D$5:$D$20,MATCH($F6,設定!$B$5:$B$20,0)),""))</f>
        <v/>
      </c>
      <c r="H6" s="31">
        <f>IF($F6="","",IFERROR(INDEX(設定!$E$5:$E$20,MATCH($F6,設定!$B$5:$B$20,0)),""))</f>
        <v/>
      </c>
      <c r="I6" s="31">
        <f>IFERROR(INDEX(打卡匯入!$C$3:$C$1002,MATCH($C6&amp;"|"&amp;DAY($A6),打卡匯入!$E$3:$E$1002,0)),"")</f>
        <v/>
      </c>
      <c r="J6" s="31">
        <f>IFERROR(INDEX(打卡匯入!$D$3:$D$1002,MATCH($C6&amp;"|"&amp;DAY($A6),打卡匯入!$E$3:$E$1002,0)),"")</f>
        <v/>
      </c>
      <c r="K6" s="32">
        <f>IF(OR($I6="",$J6=""),"",IFERROR(INDEX(設定!$F$5:$F$20,MATCH($F6,設定!$B$5:$B$20,0)),0))</f>
        <v/>
      </c>
      <c r="L6" s="33">
        <f>IF(OR($I6="",$J6=""),"",ROUND(($J6-$I6)*24-$K6/60,2))</f>
        <v/>
      </c>
      <c r="M6" s="29">
        <f>IF($C6="","",IF(AND(COUNTIF(設定!$B$14:$B$20,$F6)&gt;0,$I6&lt;&gt;""),"假日出勤",IF(AND(COUNTIF(設定!$B$5:$B$13,$F6)&gt;0,$I6=""),"未打卡",IF($I6="","",IF($N6&gt;0,"遲到",IF($O6&gt;0,"早退","正常"))))))</f>
        <v/>
      </c>
      <c r="N6" s="32">
        <f>IF(OR($C6="",$G6="",$I6=""),0,IF(ROUND(($I6-$G6)*1440,0)&gt;設定!$C$28,ROUND(($I6-$G6)*1440,0),0))</f>
        <v/>
      </c>
      <c r="O6" s="32">
        <f>IF(OR($C6="",$H6="",$J6=""),0,IF(ROUND(($H6-$J6)*1440,0)&gt;設定!$C$28,ROUND(($H6-$J6)*1440,0),0))</f>
        <v/>
      </c>
      <c r="P6" s="33">
        <f>IF($L6="",0,IF(($L6-IFERROR(INDEX(設定!$G$5:$G$20,MATCH($F6,設定!$B$5:$B$20,0)),0))*60&gt;=設定!$C$26,ROUND(FLOOR(($L6-IFERROR(INDEX(設定!$G$5:$G$20,MATCH($F6,設定!$B$5:$B$20,0)),0))*60,設定!$C$27)/60,2),0))</f>
        <v/>
      </c>
      <c r="Q6" s="29">
        <f>IF(OR($C6="",$P6=0),"",IF($F6="國","國定假日",IF($B6="日","例假",IF($B6="六","休息日","平日"))))</f>
        <v/>
      </c>
      <c r="R6" s="34" t="n"/>
    </row>
    <row r="7">
      <c r="A7" s="30">
        <f>IF(OR(班表!$A6="",5&gt;DAY(EOMONTH(DATE(班表!$E$2,班表!$G$2,1),0))),"",DATE(班表!$E$2,班表!$G$2,5))</f>
        <v/>
      </c>
      <c r="B7" s="29">
        <f>IF($A7="","",INDEX(設定!$L$5:$L$11,WEEKDAY($A7,1)))</f>
        <v/>
      </c>
      <c r="C7" s="29">
        <f>IF($A7="","",班表!$A6)</f>
        <v/>
      </c>
      <c r="D7" s="29">
        <f>IF($C7="","",班表!$B6)</f>
        <v/>
      </c>
      <c r="E7" s="29">
        <f>IF($C7="","",班表!$C6)</f>
        <v/>
      </c>
      <c r="F7" s="29">
        <f>IF($C7="","",班表!H6)</f>
        <v/>
      </c>
      <c r="G7" s="31">
        <f>IF($F7="","",IFERROR(INDEX(設定!$D$5:$D$20,MATCH($F7,設定!$B$5:$B$20,0)),""))</f>
        <v/>
      </c>
      <c r="H7" s="31">
        <f>IF($F7="","",IFERROR(INDEX(設定!$E$5:$E$20,MATCH($F7,設定!$B$5:$B$20,0)),""))</f>
        <v/>
      </c>
      <c r="I7" s="31">
        <f>IFERROR(INDEX(打卡匯入!$C$3:$C$1002,MATCH($C7&amp;"|"&amp;DAY($A7),打卡匯入!$E$3:$E$1002,0)),"")</f>
        <v/>
      </c>
      <c r="J7" s="31">
        <f>IFERROR(INDEX(打卡匯入!$D$3:$D$1002,MATCH($C7&amp;"|"&amp;DAY($A7),打卡匯入!$E$3:$E$1002,0)),"")</f>
        <v/>
      </c>
      <c r="K7" s="32">
        <f>IF(OR($I7="",$J7=""),"",IFERROR(INDEX(設定!$F$5:$F$20,MATCH($F7,設定!$B$5:$B$20,0)),0))</f>
        <v/>
      </c>
      <c r="L7" s="33">
        <f>IF(OR($I7="",$J7=""),"",ROUND(($J7-$I7)*24-$K7/60,2))</f>
        <v/>
      </c>
      <c r="M7" s="29">
        <f>IF($C7="","",IF(AND(COUNTIF(設定!$B$14:$B$20,$F7)&gt;0,$I7&lt;&gt;""),"假日出勤",IF(AND(COUNTIF(設定!$B$5:$B$13,$F7)&gt;0,$I7=""),"未打卡",IF($I7="","",IF($N7&gt;0,"遲到",IF($O7&gt;0,"早退","正常"))))))</f>
        <v/>
      </c>
      <c r="N7" s="32">
        <f>IF(OR($C7="",$G7="",$I7=""),0,IF(ROUND(($I7-$G7)*1440,0)&gt;設定!$C$28,ROUND(($I7-$G7)*1440,0),0))</f>
        <v/>
      </c>
      <c r="O7" s="32">
        <f>IF(OR($C7="",$H7="",$J7=""),0,IF(ROUND(($H7-$J7)*1440,0)&gt;設定!$C$28,ROUND(($H7-$J7)*1440,0),0))</f>
        <v/>
      </c>
      <c r="P7" s="33">
        <f>IF($L7="",0,IF(($L7-IFERROR(INDEX(設定!$G$5:$G$20,MATCH($F7,設定!$B$5:$B$20,0)),0))*60&gt;=設定!$C$26,ROUND(FLOOR(($L7-IFERROR(INDEX(設定!$G$5:$G$20,MATCH($F7,設定!$B$5:$B$20,0)),0))*60,設定!$C$27)/60,2),0))</f>
        <v/>
      </c>
      <c r="Q7" s="29">
        <f>IF(OR($C7="",$P7=0),"",IF($F7="國","國定假日",IF($B7="日","例假",IF($B7="六","休息日","平日"))))</f>
        <v/>
      </c>
      <c r="R7" s="34" t="n"/>
    </row>
    <row r="8">
      <c r="A8" s="30">
        <f>IF(OR(班表!$A6="",6&gt;DAY(EOMONTH(DATE(班表!$E$2,班表!$G$2,1),0))),"",DATE(班表!$E$2,班表!$G$2,6))</f>
        <v/>
      </c>
      <c r="B8" s="29">
        <f>IF($A8="","",INDEX(設定!$L$5:$L$11,WEEKDAY($A8,1)))</f>
        <v/>
      </c>
      <c r="C8" s="29">
        <f>IF($A8="","",班表!$A6)</f>
        <v/>
      </c>
      <c r="D8" s="29">
        <f>IF($C8="","",班表!$B6)</f>
        <v/>
      </c>
      <c r="E8" s="29">
        <f>IF($C8="","",班表!$C6)</f>
        <v/>
      </c>
      <c r="F8" s="29">
        <f>IF($C8="","",班表!I6)</f>
        <v/>
      </c>
      <c r="G8" s="31">
        <f>IF($F8="","",IFERROR(INDEX(設定!$D$5:$D$20,MATCH($F8,設定!$B$5:$B$20,0)),""))</f>
        <v/>
      </c>
      <c r="H8" s="31">
        <f>IF($F8="","",IFERROR(INDEX(設定!$E$5:$E$20,MATCH($F8,設定!$B$5:$B$20,0)),""))</f>
        <v/>
      </c>
      <c r="I8" s="31">
        <f>IFERROR(INDEX(打卡匯入!$C$3:$C$1002,MATCH($C8&amp;"|"&amp;DAY($A8),打卡匯入!$E$3:$E$1002,0)),"")</f>
        <v/>
      </c>
      <c r="J8" s="31">
        <f>IFERROR(INDEX(打卡匯入!$D$3:$D$1002,MATCH($C8&amp;"|"&amp;DAY($A8),打卡匯入!$E$3:$E$1002,0)),"")</f>
        <v/>
      </c>
      <c r="K8" s="32">
        <f>IF(OR($I8="",$J8=""),"",IFERROR(INDEX(設定!$F$5:$F$20,MATCH($F8,設定!$B$5:$B$20,0)),0))</f>
        <v/>
      </c>
      <c r="L8" s="33">
        <f>IF(OR($I8="",$J8=""),"",ROUND(($J8-$I8)*24-$K8/60,2))</f>
        <v/>
      </c>
      <c r="M8" s="29">
        <f>IF($C8="","",IF(AND(COUNTIF(設定!$B$14:$B$20,$F8)&gt;0,$I8&lt;&gt;""),"假日出勤",IF(AND(COUNTIF(設定!$B$5:$B$13,$F8)&gt;0,$I8=""),"未打卡",IF($I8="","",IF($N8&gt;0,"遲到",IF($O8&gt;0,"早退","正常"))))))</f>
        <v/>
      </c>
      <c r="N8" s="32">
        <f>IF(OR($C8="",$G8="",$I8=""),0,IF(ROUND(($I8-$G8)*1440,0)&gt;設定!$C$28,ROUND(($I8-$G8)*1440,0),0))</f>
        <v/>
      </c>
      <c r="O8" s="32">
        <f>IF(OR($C8="",$H8="",$J8=""),0,IF(ROUND(($H8-$J8)*1440,0)&gt;設定!$C$28,ROUND(($H8-$J8)*1440,0),0))</f>
        <v/>
      </c>
      <c r="P8" s="33">
        <f>IF($L8="",0,IF(($L8-IFERROR(INDEX(設定!$G$5:$G$20,MATCH($F8,設定!$B$5:$B$20,0)),0))*60&gt;=設定!$C$26,ROUND(FLOOR(($L8-IFERROR(INDEX(設定!$G$5:$G$20,MATCH($F8,設定!$B$5:$B$20,0)),0))*60,設定!$C$27)/60,2),0))</f>
        <v/>
      </c>
      <c r="Q8" s="29">
        <f>IF(OR($C8="",$P8=0),"",IF($F8="國","國定假日",IF($B8="日","例假",IF($B8="六","休息日","平日"))))</f>
        <v/>
      </c>
      <c r="R8" s="34" t="n"/>
    </row>
    <row r="9">
      <c r="A9" s="30">
        <f>IF(OR(班表!$A6="",7&gt;DAY(EOMONTH(DATE(班表!$E$2,班表!$G$2,1),0))),"",DATE(班表!$E$2,班表!$G$2,7))</f>
        <v/>
      </c>
      <c r="B9" s="29">
        <f>IF($A9="","",INDEX(設定!$L$5:$L$11,WEEKDAY($A9,1)))</f>
        <v/>
      </c>
      <c r="C9" s="29">
        <f>IF($A9="","",班表!$A6)</f>
        <v/>
      </c>
      <c r="D9" s="29">
        <f>IF($C9="","",班表!$B6)</f>
        <v/>
      </c>
      <c r="E9" s="29">
        <f>IF($C9="","",班表!$C6)</f>
        <v/>
      </c>
      <c r="F9" s="29">
        <f>IF($C9="","",班表!J6)</f>
        <v/>
      </c>
      <c r="G9" s="31">
        <f>IF($F9="","",IFERROR(INDEX(設定!$D$5:$D$20,MATCH($F9,設定!$B$5:$B$20,0)),""))</f>
        <v/>
      </c>
      <c r="H9" s="31">
        <f>IF($F9="","",IFERROR(INDEX(設定!$E$5:$E$20,MATCH($F9,設定!$B$5:$B$20,0)),""))</f>
        <v/>
      </c>
      <c r="I9" s="31">
        <f>IFERROR(INDEX(打卡匯入!$C$3:$C$1002,MATCH($C9&amp;"|"&amp;DAY($A9),打卡匯入!$E$3:$E$1002,0)),"")</f>
        <v/>
      </c>
      <c r="J9" s="31">
        <f>IFERROR(INDEX(打卡匯入!$D$3:$D$1002,MATCH($C9&amp;"|"&amp;DAY($A9),打卡匯入!$E$3:$E$1002,0)),"")</f>
        <v/>
      </c>
      <c r="K9" s="32">
        <f>IF(OR($I9="",$J9=""),"",IFERROR(INDEX(設定!$F$5:$F$20,MATCH($F9,設定!$B$5:$B$20,0)),0))</f>
        <v/>
      </c>
      <c r="L9" s="33">
        <f>IF(OR($I9="",$J9=""),"",ROUND(($J9-$I9)*24-$K9/60,2))</f>
        <v/>
      </c>
      <c r="M9" s="29">
        <f>IF($C9="","",IF(AND(COUNTIF(設定!$B$14:$B$20,$F9)&gt;0,$I9&lt;&gt;""),"假日出勤",IF(AND(COUNTIF(設定!$B$5:$B$13,$F9)&gt;0,$I9=""),"未打卡",IF($I9="","",IF($N9&gt;0,"遲到",IF($O9&gt;0,"早退","正常"))))))</f>
        <v/>
      </c>
      <c r="N9" s="32">
        <f>IF(OR($C9="",$G9="",$I9=""),0,IF(ROUND(($I9-$G9)*1440,0)&gt;設定!$C$28,ROUND(($I9-$G9)*1440,0),0))</f>
        <v/>
      </c>
      <c r="O9" s="32">
        <f>IF(OR($C9="",$H9="",$J9=""),0,IF(ROUND(($H9-$J9)*1440,0)&gt;設定!$C$28,ROUND(($H9-$J9)*1440,0),0))</f>
        <v/>
      </c>
      <c r="P9" s="33">
        <f>IF($L9="",0,IF(($L9-IFERROR(INDEX(設定!$G$5:$G$20,MATCH($F9,設定!$B$5:$B$20,0)),0))*60&gt;=設定!$C$26,ROUND(FLOOR(($L9-IFERROR(INDEX(設定!$G$5:$G$20,MATCH($F9,設定!$B$5:$B$20,0)),0))*60,設定!$C$27)/60,2),0))</f>
        <v/>
      </c>
      <c r="Q9" s="29">
        <f>IF(OR($C9="",$P9=0),"",IF($F9="國","國定假日",IF($B9="日","例假",IF($B9="六","休息日","平日"))))</f>
        <v/>
      </c>
      <c r="R9" s="34" t="n"/>
    </row>
    <row r="10">
      <c r="A10" s="30">
        <f>IF(OR(班表!$A6="",8&gt;DAY(EOMONTH(DATE(班表!$E$2,班表!$G$2,1),0))),"",DATE(班表!$E$2,班表!$G$2,8))</f>
        <v/>
      </c>
      <c r="B10" s="29">
        <f>IF($A10="","",INDEX(設定!$L$5:$L$11,WEEKDAY($A10,1)))</f>
        <v/>
      </c>
      <c r="C10" s="29">
        <f>IF($A10="","",班表!$A6)</f>
        <v/>
      </c>
      <c r="D10" s="29">
        <f>IF($C10="","",班表!$B6)</f>
        <v/>
      </c>
      <c r="E10" s="29">
        <f>IF($C10="","",班表!$C6)</f>
        <v/>
      </c>
      <c r="F10" s="29">
        <f>IF($C10="","",班表!K6)</f>
        <v/>
      </c>
      <c r="G10" s="31">
        <f>IF($F10="","",IFERROR(INDEX(設定!$D$5:$D$20,MATCH($F10,設定!$B$5:$B$20,0)),""))</f>
        <v/>
      </c>
      <c r="H10" s="31">
        <f>IF($F10="","",IFERROR(INDEX(設定!$E$5:$E$20,MATCH($F10,設定!$B$5:$B$20,0)),""))</f>
        <v/>
      </c>
      <c r="I10" s="31">
        <f>IFERROR(INDEX(打卡匯入!$C$3:$C$1002,MATCH($C10&amp;"|"&amp;DAY($A10),打卡匯入!$E$3:$E$1002,0)),"")</f>
        <v/>
      </c>
      <c r="J10" s="31">
        <f>IFERROR(INDEX(打卡匯入!$D$3:$D$1002,MATCH($C10&amp;"|"&amp;DAY($A10),打卡匯入!$E$3:$E$1002,0)),"")</f>
        <v/>
      </c>
      <c r="K10" s="32">
        <f>IF(OR($I10="",$J10=""),"",IFERROR(INDEX(設定!$F$5:$F$20,MATCH($F10,設定!$B$5:$B$20,0)),0))</f>
        <v/>
      </c>
      <c r="L10" s="33">
        <f>IF(OR($I10="",$J10=""),"",ROUND(($J10-$I10)*24-$K10/60,2))</f>
        <v/>
      </c>
      <c r="M10" s="29">
        <f>IF($C10="","",IF(AND(COUNTIF(設定!$B$14:$B$20,$F10)&gt;0,$I10&lt;&gt;""),"假日出勤",IF(AND(COUNTIF(設定!$B$5:$B$13,$F10)&gt;0,$I10=""),"未打卡",IF($I10="","",IF($N10&gt;0,"遲到",IF($O10&gt;0,"早退","正常"))))))</f>
        <v/>
      </c>
      <c r="N10" s="32">
        <f>IF(OR($C10="",$G10="",$I10=""),0,IF(ROUND(($I10-$G10)*1440,0)&gt;設定!$C$28,ROUND(($I10-$G10)*1440,0),0))</f>
        <v/>
      </c>
      <c r="O10" s="32">
        <f>IF(OR($C10="",$H10="",$J10=""),0,IF(ROUND(($H10-$J10)*1440,0)&gt;設定!$C$28,ROUND(($H10-$J10)*1440,0),0))</f>
        <v/>
      </c>
      <c r="P10" s="33">
        <f>IF($L10="",0,IF(($L10-IFERROR(INDEX(設定!$G$5:$G$20,MATCH($F10,設定!$B$5:$B$20,0)),0))*60&gt;=設定!$C$26,ROUND(FLOOR(($L10-IFERROR(INDEX(設定!$G$5:$G$20,MATCH($F10,設定!$B$5:$B$20,0)),0))*60,設定!$C$27)/60,2),0))</f>
        <v/>
      </c>
      <c r="Q10" s="29">
        <f>IF(OR($C10="",$P10=0),"",IF($F10="國","國定假日",IF($B10="日","例假",IF($B10="六","休息日","平日"))))</f>
        <v/>
      </c>
      <c r="R10" s="34" t="n"/>
    </row>
    <row r="11">
      <c r="A11" s="30">
        <f>IF(OR(班表!$A6="",9&gt;DAY(EOMONTH(DATE(班表!$E$2,班表!$G$2,1),0))),"",DATE(班表!$E$2,班表!$G$2,9))</f>
        <v/>
      </c>
      <c r="B11" s="29">
        <f>IF($A11="","",INDEX(設定!$L$5:$L$11,WEEKDAY($A11,1)))</f>
        <v/>
      </c>
      <c r="C11" s="29">
        <f>IF($A11="","",班表!$A6)</f>
        <v/>
      </c>
      <c r="D11" s="29">
        <f>IF($C11="","",班表!$B6)</f>
        <v/>
      </c>
      <c r="E11" s="29">
        <f>IF($C11="","",班表!$C6)</f>
        <v/>
      </c>
      <c r="F11" s="29">
        <f>IF($C11="","",班表!L6)</f>
        <v/>
      </c>
      <c r="G11" s="31">
        <f>IF($F11="","",IFERROR(INDEX(設定!$D$5:$D$20,MATCH($F11,設定!$B$5:$B$20,0)),""))</f>
        <v/>
      </c>
      <c r="H11" s="31">
        <f>IF($F11="","",IFERROR(INDEX(設定!$E$5:$E$20,MATCH($F11,設定!$B$5:$B$20,0)),""))</f>
        <v/>
      </c>
      <c r="I11" s="31">
        <f>IFERROR(INDEX(打卡匯入!$C$3:$C$1002,MATCH($C11&amp;"|"&amp;DAY($A11),打卡匯入!$E$3:$E$1002,0)),"")</f>
        <v/>
      </c>
      <c r="J11" s="31">
        <f>IFERROR(INDEX(打卡匯入!$D$3:$D$1002,MATCH($C11&amp;"|"&amp;DAY($A11),打卡匯入!$E$3:$E$1002,0)),"")</f>
        <v/>
      </c>
      <c r="K11" s="32">
        <f>IF(OR($I11="",$J11=""),"",IFERROR(INDEX(設定!$F$5:$F$20,MATCH($F11,設定!$B$5:$B$20,0)),0))</f>
        <v/>
      </c>
      <c r="L11" s="33">
        <f>IF(OR($I11="",$J11=""),"",ROUND(($J11-$I11)*24-$K11/60,2))</f>
        <v/>
      </c>
      <c r="M11" s="29">
        <f>IF($C11="","",IF(AND(COUNTIF(設定!$B$14:$B$20,$F11)&gt;0,$I11&lt;&gt;""),"假日出勤",IF(AND(COUNTIF(設定!$B$5:$B$13,$F11)&gt;0,$I11=""),"未打卡",IF($I11="","",IF($N11&gt;0,"遲到",IF($O11&gt;0,"早退","正常"))))))</f>
        <v/>
      </c>
      <c r="N11" s="32">
        <f>IF(OR($C11="",$G11="",$I11=""),0,IF(ROUND(($I11-$G11)*1440,0)&gt;設定!$C$28,ROUND(($I11-$G11)*1440,0),0))</f>
        <v/>
      </c>
      <c r="O11" s="32">
        <f>IF(OR($C11="",$H11="",$J11=""),0,IF(ROUND(($H11-$J11)*1440,0)&gt;設定!$C$28,ROUND(($H11-$J11)*1440,0),0))</f>
        <v/>
      </c>
      <c r="P11" s="33">
        <f>IF($L11="",0,IF(($L11-IFERROR(INDEX(設定!$G$5:$G$20,MATCH($F11,設定!$B$5:$B$20,0)),0))*60&gt;=設定!$C$26,ROUND(FLOOR(($L11-IFERROR(INDEX(設定!$G$5:$G$20,MATCH($F11,設定!$B$5:$B$20,0)),0))*60,設定!$C$27)/60,2),0))</f>
        <v/>
      </c>
      <c r="Q11" s="29">
        <f>IF(OR($C11="",$P11=0),"",IF($F11="國","國定假日",IF($B11="日","例假",IF($B11="六","休息日","平日"))))</f>
        <v/>
      </c>
      <c r="R11" s="34" t="n"/>
    </row>
    <row r="12">
      <c r="A12" s="30">
        <f>IF(OR(班表!$A6="",10&gt;DAY(EOMONTH(DATE(班表!$E$2,班表!$G$2,1),0))),"",DATE(班表!$E$2,班表!$G$2,10))</f>
        <v/>
      </c>
      <c r="B12" s="29">
        <f>IF($A12="","",INDEX(設定!$L$5:$L$11,WEEKDAY($A12,1)))</f>
        <v/>
      </c>
      <c r="C12" s="29">
        <f>IF($A12="","",班表!$A6)</f>
        <v/>
      </c>
      <c r="D12" s="29">
        <f>IF($C12="","",班表!$B6)</f>
        <v/>
      </c>
      <c r="E12" s="29">
        <f>IF($C12="","",班表!$C6)</f>
        <v/>
      </c>
      <c r="F12" s="29">
        <f>IF($C12="","",班表!M6)</f>
        <v/>
      </c>
      <c r="G12" s="31">
        <f>IF($F12="","",IFERROR(INDEX(設定!$D$5:$D$20,MATCH($F12,設定!$B$5:$B$20,0)),""))</f>
        <v/>
      </c>
      <c r="H12" s="31">
        <f>IF($F12="","",IFERROR(INDEX(設定!$E$5:$E$20,MATCH($F12,設定!$B$5:$B$20,0)),""))</f>
        <v/>
      </c>
      <c r="I12" s="31">
        <f>IFERROR(INDEX(打卡匯入!$C$3:$C$1002,MATCH($C12&amp;"|"&amp;DAY($A12),打卡匯入!$E$3:$E$1002,0)),"")</f>
        <v/>
      </c>
      <c r="J12" s="31">
        <f>IFERROR(INDEX(打卡匯入!$D$3:$D$1002,MATCH($C12&amp;"|"&amp;DAY($A12),打卡匯入!$E$3:$E$1002,0)),"")</f>
        <v/>
      </c>
      <c r="K12" s="32">
        <f>IF(OR($I12="",$J12=""),"",IFERROR(INDEX(設定!$F$5:$F$20,MATCH($F12,設定!$B$5:$B$20,0)),0))</f>
        <v/>
      </c>
      <c r="L12" s="33">
        <f>IF(OR($I12="",$J12=""),"",ROUND(($J12-$I12)*24-$K12/60,2))</f>
        <v/>
      </c>
      <c r="M12" s="29">
        <f>IF($C12="","",IF(AND(COUNTIF(設定!$B$14:$B$20,$F12)&gt;0,$I12&lt;&gt;""),"假日出勤",IF(AND(COUNTIF(設定!$B$5:$B$13,$F12)&gt;0,$I12=""),"未打卡",IF($I12="","",IF($N12&gt;0,"遲到",IF($O12&gt;0,"早退","正常"))))))</f>
        <v/>
      </c>
      <c r="N12" s="32">
        <f>IF(OR($C12="",$G12="",$I12=""),0,IF(ROUND(($I12-$G12)*1440,0)&gt;設定!$C$28,ROUND(($I12-$G12)*1440,0),0))</f>
        <v/>
      </c>
      <c r="O12" s="32">
        <f>IF(OR($C12="",$H12="",$J12=""),0,IF(ROUND(($H12-$J12)*1440,0)&gt;設定!$C$28,ROUND(($H12-$J12)*1440,0),0))</f>
        <v/>
      </c>
      <c r="P12" s="33">
        <f>IF($L12="",0,IF(($L12-IFERROR(INDEX(設定!$G$5:$G$20,MATCH($F12,設定!$B$5:$B$20,0)),0))*60&gt;=設定!$C$26,ROUND(FLOOR(($L12-IFERROR(INDEX(設定!$G$5:$G$20,MATCH($F12,設定!$B$5:$B$20,0)),0))*60,設定!$C$27)/60,2),0))</f>
        <v/>
      </c>
      <c r="Q12" s="29">
        <f>IF(OR($C12="",$P12=0),"",IF($F12="國","國定假日",IF($B12="日","例假",IF($B12="六","休息日","平日"))))</f>
        <v/>
      </c>
      <c r="R12" s="34" t="n"/>
    </row>
    <row r="13">
      <c r="A13" s="30">
        <f>IF(OR(班表!$A6="",11&gt;DAY(EOMONTH(DATE(班表!$E$2,班表!$G$2,1),0))),"",DATE(班表!$E$2,班表!$G$2,11))</f>
        <v/>
      </c>
      <c r="B13" s="29">
        <f>IF($A13="","",INDEX(設定!$L$5:$L$11,WEEKDAY($A13,1)))</f>
        <v/>
      </c>
      <c r="C13" s="29">
        <f>IF($A13="","",班表!$A6)</f>
        <v/>
      </c>
      <c r="D13" s="29">
        <f>IF($C13="","",班表!$B6)</f>
        <v/>
      </c>
      <c r="E13" s="29">
        <f>IF($C13="","",班表!$C6)</f>
        <v/>
      </c>
      <c r="F13" s="29">
        <f>IF($C13="","",班表!N6)</f>
        <v/>
      </c>
      <c r="G13" s="31">
        <f>IF($F13="","",IFERROR(INDEX(設定!$D$5:$D$20,MATCH($F13,設定!$B$5:$B$20,0)),""))</f>
        <v/>
      </c>
      <c r="H13" s="31">
        <f>IF($F13="","",IFERROR(INDEX(設定!$E$5:$E$20,MATCH($F13,設定!$B$5:$B$20,0)),""))</f>
        <v/>
      </c>
      <c r="I13" s="31">
        <f>IFERROR(INDEX(打卡匯入!$C$3:$C$1002,MATCH($C13&amp;"|"&amp;DAY($A13),打卡匯入!$E$3:$E$1002,0)),"")</f>
        <v/>
      </c>
      <c r="J13" s="31">
        <f>IFERROR(INDEX(打卡匯入!$D$3:$D$1002,MATCH($C13&amp;"|"&amp;DAY($A13),打卡匯入!$E$3:$E$1002,0)),"")</f>
        <v/>
      </c>
      <c r="K13" s="32">
        <f>IF(OR($I13="",$J13=""),"",IFERROR(INDEX(設定!$F$5:$F$20,MATCH($F13,設定!$B$5:$B$20,0)),0))</f>
        <v/>
      </c>
      <c r="L13" s="33">
        <f>IF(OR($I13="",$J13=""),"",ROUND(($J13-$I13)*24-$K13/60,2))</f>
        <v/>
      </c>
      <c r="M13" s="29">
        <f>IF($C13="","",IF(AND(COUNTIF(設定!$B$14:$B$20,$F13)&gt;0,$I13&lt;&gt;""),"假日出勤",IF(AND(COUNTIF(設定!$B$5:$B$13,$F13)&gt;0,$I13=""),"未打卡",IF($I13="","",IF($N13&gt;0,"遲到",IF($O13&gt;0,"早退","正常"))))))</f>
        <v/>
      </c>
      <c r="N13" s="32">
        <f>IF(OR($C13="",$G13="",$I13=""),0,IF(ROUND(($I13-$G13)*1440,0)&gt;設定!$C$28,ROUND(($I13-$G13)*1440,0),0))</f>
        <v/>
      </c>
      <c r="O13" s="32">
        <f>IF(OR($C13="",$H13="",$J13=""),0,IF(ROUND(($H13-$J13)*1440,0)&gt;設定!$C$28,ROUND(($H13-$J13)*1440,0),0))</f>
        <v/>
      </c>
      <c r="P13" s="33">
        <f>IF($L13="",0,IF(($L13-IFERROR(INDEX(設定!$G$5:$G$20,MATCH($F13,設定!$B$5:$B$20,0)),0))*60&gt;=設定!$C$26,ROUND(FLOOR(($L13-IFERROR(INDEX(設定!$G$5:$G$20,MATCH($F13,設定!$B$5:$B$20,0)),0))*60,設定!$C$27)/60,2),0))</f>
        <v/>
      </c>
      <c r="Q13" s="29">
        <f>IF(OR($C13="",$P13=0),"",IF($F13="國","國定假日",IF($B13="日","例假",IF($B13="六","休息日","平日"))))</f>
        <v/>
      </c>
      <c r="R13" s="34" t="n"/>
    </row>
    <row r="14">
      <c r="A14" s="30">
        <f>IF(OR(班表!$A6="",12&gt;DAY(EOMONTH(DATE(班表!$E$2,班表!$G$2,1),0))),"",DATE(班表!$E$2,班表!$G$2,12))</f>
        <v/>
      </c>
      <c r="B14" s="29">
        <f>IF($A14="","",INDEX(設定!$L$5:$L$11,WEEKDAY($A14,1)))</f>
        <v/>
      </c>
      <c r="C14" s="29">
        <f>IF($A14="","",班表!$A6)</f>
        <v/>
      </c>
      <c r="D14" s="29">
        <f>IF($C14="","",班表!$B6)</f>
        <v/>
      </c>
      <c r="E14" s="29">
        <f>IF($C14="","",班表!$C6)</f>
        <v/>
      </c>
      <c r="F14" s="29">
        <f>IF($C14="","",班表!O6)</f>
        <v/>
      </c>
      <c r="G14" s="31">
        <f>IF($F14="","",IFERROR(INDEX(設定!$D$5:$D$20,MATCH($F14,設定!$B$5:$B$20,0)),""))</f>
        <v/>
      </c>
      <c r="H14" s="31">
        <f>IF($F14="","",IFERROR(INDEX(設定!$E$5:$E$20,MATCH($F14,設定!$B$5:$B$20,0)),""))</f>
        <v/>
      </c>
      <c r="I14" s="31">
        <f>IFERROR(INDEX(打卡匯入!$C$3:$C$1002,MATCH($C14&amp;"|"&amp;DAY($A14),打卡匯入!$E$3:$E$1002,0)),"")</f>
        <v/>
      </c>
      <c r="J14" s="31">
        <f>IFERROR(INDEX(打卡匯入!$D$3:$D$1002,MATCH($C14&amp;"|"&amp;DAY($A14),打卡匯入!$E$3:$E$1002,0)),"")</f>
        <v/>
      </c>
      <c r="K14" s="32">
        <f>IF(OR($I14="",$J14=""),"",IFERROR(INDEX(設定!$F$5:$F$20,MATCH($F14,設定!$B$5:$B$20,0)),0))</f>
        <v/>
      </c>
      <c r="L14" s="33">
        <f>IF(OR($I14="",$J14=""),"",ROUND(($J14-$I14)*24-$K14/60,2))</f>
        <v/>
      </c>
      <c r="M14" s="29">
        <f>IF($C14="","",IF(AND(COUNTIF(設定!$B$14:$B$20,$F14)&gt;0,$I14&lt;&gt;""),"假日出勤",IF(AND(COUNTIF(設定!$B$5:$B$13,$F14)&gt;0,$I14=""),"未打卡",IF($I14="","",IF($N14&gt;0,"遲到",IF($O14&gt;0,"早退","正常"))))))</f>
        <v/>
      </c>
      <c r="N14" s="32">
        <f>IF(OR($C14="",$G14="",$I14=""),0,IF(ROUND(($I14-$G14)*1440,0)&gt;設定!$C$28,ROUND(($I14-$G14)*1440,0),0))</f>
        <v/>
      </c>
      <c r="O14" s="32">
        <f>IF(OR($C14="",$H14="",$J14=""),0,IF(ROUND(($H14-$J14)*1440,0)&gt;設定!$C$28,ROUND(($H14-$J14)*1440,0),0))</f>
        <v/>
      </c>
      <c r="P14" s="33">
        <f>IF($L14="",0,IF(($L14-IFERROR(INDEX(設定!$G$5:$G$20,MATCH($F14,設定!$B$5:$B$20,0)),0))*60&gt;=設定!$C$26,ROUND(FLOOR(($L14-IFERROR(INDEX(設定!$G$5:$G$20,MATCH($F14,設定!$B$5:$B$20,0)),0))*60,設定!$C$27)/60,2),0))</f>
        <v/>
      </c>
      <c r="Q14" s="29">
        <f>IF(OR($C14="",$P14=0),"",IF($F14="國","國定假日",IF($B14="日","例假",IF($B14="六","休息日","平日"))))</f>
        <v/>
      </c>
      <c r="R14" s="34" t="n"/>
    </row>
    <row r="15">
      <c r="A15" s="30">
        <f>IF(OR(班表!$A6="",13&gt;DAY(EOMONTH(DATE(班表!$E$2,班表!$G$2,1),0))),"",DATE(班表!$E$2,班表!$G$2,13))</f>
        <v/>
      </c>
      <c r="B15" s="29">
        <f>IF($A15="","",INDEX(設定!$L$5:$L$11,WEEKDAY($A15,1)))</f>
        <v/>
      </c>
      <c r="C15" s="29">
        <f>IF($A15="","",班表!$A6)</f>
        <v/>
      </c>
      <c r="D15" s="29">
        <f>IF($C15="","",班表!$B6)</f>
        <v/>
      </c>
      <c r="E15" s="29">
        <f>IF($C15="","",班表!$C6)</f>
        <v/>
      </c>
      <c r="F15" s="29">
        <f>IF($C15="","",班表!P6)</f>
        <v/>
      </c>
      <c r="G15" s="31">
        <f>IF($F15="","",IFERROR(INDEX(設定!$D$5:$D$20,MATCH($F15,設定!$B$5:$B$20,0)),""))</f>
        <v/>
      </c>
      <c r="H15" s="31">
        <f>IF($F15="","",IFERROR(INDEX(設定!$E$5:$E$20,MATCH($F15,設定!$B$5:$B$20,0)),""))</f>
        <v/>
      </c>
      <c r="I15" s="31">
        <f>IFERROR(INDEX(打卡匯入!$C$3:$C$1002,MATCH($C15&amp;"|"&amp;DAY($A15),打卡匯入!$E$3:$E$1002,0)),"")</f>
        <v/>
      </c>
      <c r="J15" s="31">
        <f>IFERROR(INDEX(打卡匯入!$D$3:$D$1002,MATCH($C15&amp;"|"&amp;DAY($A15),打卡匯入!$E$3:$E$1002,0)),"")</f>
        <v/>
      </c>
      <c r="K15" s="32">
        <f>IF(OR($I15="",$J15=""),"",IFERROR(INDEX(設定!$F$5:$F$20,MATCH($F15,設定!$B$5:$B$20,0)),0))</f>
        <v/>
      </c>
      <c r="L15" s="33">
        <f>IF(OR($I15="",$J15=""),"",ROUND(($J15-$I15)*24-$K15/60,2))</f>
        <v/>
      </c>
      <c r="M15" s="29">
        <f>IF($C15="","",IF(AND(COUNTIF(設定!$B$14:$B$20,$F15)&gt;0,$I15&lt;&gt;""),"假日出勤",IF(AND(COUNTIF(設定!$B$5:$B$13,$F15)&gt;0,$I15=""),"未打卡",IF($I15="","",IF($N15&gt;0,"遲到",IF($O15&gt;0,"早退","正常"))))))</f>
        <v/>
      </c>
      <c r="N15" s="32">
        <f>IF(OR($C15="",$G15="",$I15=""),0,IF(ROUND(($I15-$G15)*1440,0)&gt;設定!$C$28,ROUND(($I15-$G15)*1440,0),0))</f>
        <v/>
      </c>
      <c r="O15" s="32">
        <f>IF(OR($C15="",$H15="",$J15=""),0,IF(ROUND(($H15-$J15)*1440,0)&gt;設定!$C$28,ROUND(($H15-$J15)*1440,0),0))</f>
        <v/>
      </c>
      <c r="P15" s="33">
        <f>IF($L15="",0,IF(($L15-IFERROR(INDEX(設定!$G$5:$G$20,MATCH($F15,設定!$B$5:$B$20,0)),0))*60&gt;=設定!$C$26,ROUND(FLOOR(($L15-IFERROR(INDEX(設定!$G$5:$G$20,MATCH($F15,設定!$B$5:$B$20,0)),0))*60,設定!$C$27)/60,2),0))</f>
        <v/>
      </c>
      <c r="Q15" s="29">
        <f>IF(OR($C15="",$P15=0),"",IF($F15="國","國定假日",IF($B15="日","例假",IF($B15="六","休息日","平日"))))</f>
        <v/>
      </c>
      <c r="R15" s="34" t="n"/>
    </row>
    <row r="16">
      <c r="A16" s="30">
        <f>IF(OR(班表!$A6="",14&gt;DAY(EOMONTH(DATE(班表!$E$2,班表!$G$2,1),0))),"",DATE(班表!$E$2,班表!$G$2,14))</f>
        <v/>
      </c>
      <c r="B16" s="29">
        <f>IF($A16="","",INDEX(設定!$L$5:$L$11,WEEKDAY($A16,1)))</f>
        <v/>
      </c>
      <c r="C16" s="29">
        <f>IF($A16="","",班表!$A6)</f>
        <v/>
      </c>
      <c r="D16" s="29">
        <f>IF($C16="","",班表!$B6)</f>
        <v/>
      </c>
      <c r="E16" s="29">
        <f>IF($C16="","",班表!$C6)</f>
        <v/>
      </c>
      <c r="F16" s="29">
        <f>IF($C16="","",班表!Q6)</f>
        <v/>
      </c>
      <c r="G16" s="31">
        <f>IF($F16="","",IFERROR(INDEX(設定!$D$5:$D$20,MATCH($F16,設定!$B$5:$B$20,0)),""))</f>
        <v/>
      </c>
      <c r="H16" s="31">
        <f>IF($F16="","",IFERROR(INDEX(設定!$E$5:$E$20,MATCH($F16,設定!$B$5:$B$20,0)),""))</f>
        <v/>
      </c>
      <c r="I16" s="31">
        <f>IFERROR(INDEX(打卡匯入!$C$3:$C$1002,MATCH($C16&amp;"|"&amp;DAY($A16),打卡匯入!$E$3:$E$1002,0)),"")</f>
        <v/>
      </c>
      <c r="J16" s="31">
        <f>IFERROR(INDEX(打卡匯入!$D$3:$D$1002,MATCH($C16&amp;"|"&amp;DAY($A16),打卡匯入!$E$3:$E$1002,0)),"")</f>
        <v/>
      </c>
      <c r="K16" s="32">
        <f>IF(OR($I16="",$J16=""),"",IFERROR(INDEX(設定!$F$5:$F$20,MATCH($F16,設定!$B$5:$B$20,0)),0))</f>
        <v/>
      </c>
      <c r="L16" s="33">
        <f>IF(OR($I16="",$J16=""),"",ROUND(($J16-$I16)*24-$K16/60,2))</f>
        <v/>
      </c>
      <c r="M16" s="29">
        <f>IF($C16="","",IF(AND(COUNTIF(設定!$B$14:$B$20,$F16)&gt;0,$I16&lt;&gt;""),"假日出勤",IF(AND(COUNTIF(設定!$B$5:$B$13,$F16)&gt;0,$I16=""),"未打卡",IF($I16="","",IF($N16&gt;0,"遲到",IF($O16&gt;0,"早退","正常"))))))</f>
        <v/>
      </c>
      <c r="N16" s="32">
        <f>IF(OR($C16="",$G16="",$I16=""),0,IF(ROUND(($I16-$G16)*1440,0)&gt;設定!$C$28,ROUND(($I16-$G16)*1440,0),0))</f>
        <v/>
      </c>
      <c r="O16" s="32">
        <f>IF(OR($C16="",$H16="",$J16=""),0,IF(ROUND(($H16-$J16)*1440,0)&gt;設定!$C$28,ROUND(($H16-$J16)*1440,0),0))</f>
        <v/>
      </c>
      <c r="P16" s="33">
        <f>IF($L16="",0,IF(($L16-IFERROR(INDEX(設定!$G$5:$G$20,MATCH($F16,設定!$B$5:$B$20,0)),0))*60&gt;=設定!$C$26,ROUND(FLOOR(($L16-IFERROR(INDEX(設定!$G$5:$G$20,MATCH($F16,設定!$B$5:$B$20,0)),0))*60,設定!$C$27)/60,2),0))</f>
        <v/>
      </c>
      <c r="Q16" s="29">
        <f>IF(OR($C16="",$P16=0),"",IF($F16="國","國定假日",IF($B16="日","例假",IF($B16="六","休息日","平日"))))</f>
        <v/>
      </c>
      <c r="R16" s="34" t="n"/>
    </row>
    <row r="17">
      <c r="A17" s="30">
        <f>IF(OR(班表!$A6="",15&gt;DAY(EOMONTH(DATE(班表!$E$2,班表!$G$2,1),0))),"",DATE(班表!$E$2,班表!$G$2,15))</f>
        <v/>
      </c>
      <c r="B17" s="29">
        <f>IF($A17="","",INDEX(設定!$L$5:$L$11,WEEKDAY($A17,1)))</f>
        <v/>
      </c>
      <c r="C17" s="29">
        <f>IF($A17="","",班表!$A6)</f>
        <v/>
      </c>
      <c r="D17" s="29">
        <f>IF($C17="","",班表!$B6)</f>
        <v/>
      </c>
      <c r="E17" s="29">
        <f>IF($C17="","",班表!$C6)</f>
        <v/>
      </c>
      <c r="F17" s="29">
        <f>IF($C17="","",班表!R6)</f>
        <v/>
      </c>
      <c r="G17" s="31">
        <f>IF($F17="","",IFERROR(INDEX(設定!$D$5:$D$20,MATCH($F17,設定!$B$5:$B$20,0)),""))</f>
        <v/>
      </c>
      <c r="H17" s="31">
        <f>IF($F17="","",IFERROR(INDEX(設定!$E$5:$E$20,MATCH($F17,設定!$B$5:$B$20,0)),""))</f>
        <v/>
      </c>
      <c r="I17" s="31">
        <f>IFERROR(INDEX(打卡匯入!$C$3:$C$1002,MATCH($C17&amp;"|"&amp;DAY($A17),打卡匯入!$E$3:$E$1002,0)),"")</f>
        <v/>
      </c>
      <c r="J17" s="31">
        <f>IFERROR(INDEX(打卡匯入!$D$3:$D$1002,MATCH($C17&amp;"|"&amp;DAY($A17),打卡匯入!$E$3:$E$1002,0)),"")</f>
        <v/>
      </c>
      <c r="K17" s="32">
        <f>IF(OR($I17="",$J17=""),"",IFERROR(INDEX(設定!$F$5:$F$20,MATCH($F17,設定!$B$5:$B$20,0)),0))</f>
        <v/>
      </c>
      <c r="L17" s="33">
        <f>IF(OR($I17="",$J17=""),"",ROUND(($J17-$I17)*24-$K17/60,2))</f>
        <v/>
      </c>
      <c r="M17" s="29">
        <f>IF($C17="","",IF(AND(COUNTIF(設定!$B$14:$B$20,$F17)&gt;0,$I17&lt;&gt;""),"假日出勤",IF(AND(COUNTIF(設定!$B$5:$B$13,$F17)&gt;0,$I17=""),"未打卡",IF($I17="","",IF($N17&gt;0,"遲到",IF($O17&gt;0,"早退","正常"))))))</f>
        <v/>
      </c>
      <c r="N17" s="32">
        <f>IF(OR($C17="",$G17="",$I17=""),0,IF(ROUND(($I17-$G17)*1440,0)&gt;設定!$C$28,ROUND(($I17-$G17)*1440,0),0))</f>
        <v/>
      </c>
      <c r="O17" s="32">
        <f>IF(OR($C17="",$H17="",$J17=""),0,IF(ROUND(($H17-$J17)*1440,0)&gt;設定!$C$28,ROUND(($H17-$J17)*1440,0),0))</f>
        <v/>
      </c>
      <c r="P17" s="33">
        <f>IF($L17="",0,IF(($L17-IFERROR(INDEX(設定!$G$5:$G$20,MATCH($F17,設定!$B$5:$B$20,0)),0))*60&gt;=設定!$C$26,ROUND(FLOOR(($L17-IFERROR(INDEX(設定!$G$5:$G$20,MATCH($F17,設定!$B$5:$B$20,0)),0))*60,設定!$C$27)/60,2),0))</f>
        <v/>
      </c>
      <c r="Q17" s="29">
        <f>IF(OR($C17="",$P17=0),"",IF($F17="國","國定假日",IF($B17="日","例假",IF($B17="六","休息日","平日"))))</f>
        <v/>
      </c>
      <c r="R17" s="34" t="n"/>
    </row>
    <row r="18">
      <c r="A18" s="30">
        <f>IF(OR(班表!$A6="",16&gt;DAY(EOMONTH(DATE(班表!$E$2,班表!$G$2,1),0))),"",DATE(班表!$E$2,班表!$G$2,16))</f>
        <v/>
      </c>
      <c r="B18" s="29">
        <f>IF($A18="","",INDEX(設定!$L$5:$L$11,WEEKDAY($A18,1)))</f>
        <v/>
      </c>
      <c r="C18" s="29">
        <f>IF($A18="","",班表!$A6)</f>
        <v/>
      </c>
      <c r="D18" s="29">
        <f>IF($C18="","",班表!$B6)</f>
        <v/>
      </c>
      <c r="E18" s="29">
        <f>IF($C18="","",班表!$C6)</f>
        <v/>
      </c>
      <c r="F18" s="29">
        <f>IF($C18="","",班表!S6)</f>
        <v/>
      </c>
      <c r="G18" s="31">
        <f>IF($F18="","",IFERROR(INDEX(設定!$D$5:$D$20,MATCH($F18,設定!$B$5:$B$20,0)),""))</f>
        <v/>
      </c>
      <c r="H18" s="31">
        <f>IF($F18="","",IFERROR(INDEX(設定!$E$5:$E$20,MATCH($F18,設定!$B$5:$B$20,0)),""))</f>
        <v/>
      </c>
      <c r="I18" s="31">
        <f>IFERROR(INDEX(打卡匯入!$C$3:$C$1002,MATCH($C18&amp;"|"&amp;DAY($A18),打卡匯入!$E$3:$E$1002,0)),"")</f>
        <v/>
      </c>
      <c r="J18" s="31">
        <f>IFERROR(INDEX(打卡匯入!$D$3:$D$1002,MATCH($C18&amp;"|"&amp;DAY($A18),打卡匯入!$E$3:$E$1002,0)),"")</f>
        <v/>
      </c>
      <c r="K18" s="32">
        <f>IF(OR($I18="",$J18=""),"",IFERROR(INDEX(設定!$F$5:$F$20,MATCH($F18,設定!$B$5:$B$20,0)),0))</f>
        <v/>
      </c>
      <c r="L18" s="33">
        <f>IF(OR($I18="",$J18=""),"",ROUND(($J18-$I18)*24-$K18/60,2))</f>
        <v/>
      </c>
      <c r="M18" s="29">
        <f>IF($C18="","",IF(AND(COUNTIF(設定!$B$14:$B$20,$F18)&gt;0,$I18&lt;&gt;""),"假日出勤",IF(AND(COUNTIF(設定!$B$5:$B$13,$F18)&gt;0,$I18=""),"未打卡",IF($I18="","",IF($N18&gt;0,"遲到",IF($O18&gt;0,"早退","正常"))))))</f>
        <v/>
      </c>
      <c r="N18" s="32">
        <f>IF(OR($C18="",$G18="",$I18=""),0,IF(ROUND(($I18-$G18)*1440,0)&gt;設定!$C$28,ROUND(($I18-$G18)*1440,0),0))</f>
        <v/>
      </c>
      <c r="O18" s="32">
        <f>IF(OR($C18="",$H18="",$J18=""),0,IF(ROUND(($H18-$J18)*1440,0)&gt;設定!$C$28,ROUND(($H18-$J18)*1440,0),0))</f>
        <v/>
      </c>
      <c r="P18" s="33">
        <f>IF($L18="",0,IF(($L18-IFERROR(INDEX(設定!$G$5:$G$20,MATCH($F18,設定!$B$5:$B$20,0)),0))*60&gt;=設定!$C$26,ROUND(FLOOR(($L18-IFERROR(INDEX(設定!$G$5:$G$20,MATCH($F18,設定!$B$5:$B$20,0)),0))*60,設定!$C$27)/60,2),0))</f>
        <v/>
      </c>
      <c r="Q18" s="29">
        <f>IF(OR($C18="",$P18=0),"",IF($F18="國","國定假日",IF($B18="日","例假",IF($B18="六","休息日","平日"))))</f>
        <v/>
      </c>
      <c r="R18" s="34" t="n"/>
    </row>
    <row r="19">
      <c r="A19" s="30">
        <f>IF(OR(班表!$A6="",17&gt;DAY(EOMONTH(DATE(班表!$E$2,班表!$G$2,1),0))),"",DATE(班表!$E$2,班表!$G$2,17))</f>
        <v/>
      </c>
      <c r="B19" s="29">
        <f>IF($A19="","",INDEX(設定!$L$5:$L$11,WEEKDAY($A19,1)))</f>
        <v/>
      </c>
      <c r="C19" s="29">
        <f>IF($A19="","",班表!$A6)</f>
        <v/>
      </c>
      <c r="D19" s="29">
        <f>IF($C19="","",班表!$B6)</f>
        <v/>
      </c>
      <c r="E19" s="29">
        <f>IF($C19="","",班表!$C6)</f>
        <v/>
      </c>
      <c r="F19" s="29">
        <f>IF($C19="","",班表!T6)</f>
        <v/>
      </c>
      <c r="G19" s="31">
        <f>IF($F19="","",IFERROR(INDEX(設定!$D$5:$D$20,MATCH($F19,設定!$B$5:$B$20,0)),""))</f>
        <v/>
      </c>
      <c r="H19" s="31">
        <f>IF($F19="","",IFERROR(INDEX(設定!$E$5:$E$20,MATCH($F19,設定!$B$5:$B$20,0)),""))</f>
        <v/>
      </c>
      <c r="I19" s="31">
        <f>IFERROR(INDEX(打卡匯入!$C$3:$C$1002,MATCH($C19&amp;"|"&amp;DAY($A19),打卡匯入!$E$3:$E$1002,0)),"")</f>
        <v/>
      </c>
      <c r="J19" s="31">
        <f>IFERROR(INDEX(打卡匯入!$D$3:$D$1002,MATCH($C19&amp;"|"&amp;DAY($A19),打卡匯入!$E$3:$E$1002,0)),"")</f>
        <v/>
      </c>
      <c r="K19" s="32">
        <f>IF(OR($I19="",$J19=""),"",IFERROR(INDEX(設定!$F$5:$F$20,MATCH($F19,設定!$B$5:$B$20,0)),0))</f>
        <v/>
      </c>
      <c r="L19" s="33">
        <f>IF(OR($I19="",$J19=""),"",ROUND(($J19-$I19)*24-$K19/60,2))</f>
        <v/>
      </c>
      <c r="M19" s="29">
        <f>IF($C19="","",IF(AND(COUNTIF(設定!$B$14:$B$20,$F19)&gt;0,$I19&lt;&gt;""),"假日出勤",IF(AND(COUNTIF(設定!$B$5:$B$13,$F19)&gt;0,$I19=""),"未打卡",IF($I19="","",IF($N19&gt;0,"遲到",IF($O19&gt;0,"早退","正常"))))))</f>
        <v/>
      </c>
      <c r="N19" s="32">
        <f>IF(OR($C19="",$G19="",$I19=""),0,IF(ROUND(($I19-$G19)*1440,0)&gt;設定!$C$28,ROUND(($I19-$G19)*1440,0),0))</f>
        <v/>
      </c>
      <c r="O19" s="32">
        <f>IF(OR($C19="",$H19="",$J19=""),0,IF(ROUND(($H19-$J19)*1440,0)&gt;設定!$C$28,ROUND(($H19-$J19)*1440,0),0))</f>
        <v/>
      </c>
      <c r="P19" s="33">
        <f>IF($L19="",0,IF(($L19-IFERROR(INDEX(設定!$G$5:$G$20,MATCH($F19,設定!$B$5:$B$20,0)),0))*60&gt;=設定!$C$26,ROUND(FLOOR(($L19-IFERROR(INDEX(設定!$G$5:$G$20,MATCH($F19,設定!$B$5:$B$20,0)),0))*60,設定!$C$27)/60,2),0))</f>
        <v/>
      </c>
      <c r="Q19" s="29">
        <f>IF(OR($C19="",$P19=0),"",IF($F19="國","國定假日",IF($B19="日","例假",IF($B19="六","休息日","平日"))))</f>
        <v/>
      </c>
      <c r="R19" s="34" t="n"/>
    </row>
    <row r="20">
      <c r="A20" s="30">
        <f>IF(OR(班表!$A6="",18&gt;DAY(EOMONTH(DATE(班表!$E$2,班表!$G$2,1),0))),"",DATE(班表!$E$2,班表!$G$2,18))</f>
        <v/>
      </c>
      <c r="B20" s="29">
        <f>IF($A20="","",INDEX(設定!$L$5:$L$11,WEEKDAY($A20,1)))</f>
        <v/>
      </c>
      <c r="C20" s="29">
        <f>IF($A20="","",班表!$A6)</f>
        <v/>
      </c>
      <c r="D20" s="29">
        <f>IF($C20="","",班表!$B6)</f>
        <v/>
      </c>
      <c r="E20" s="29">
        <f>IF($C20="","",班表!$C6)</f>
        <v/>
      </c>
      <c r="F20" s="29">
        <f>IF($C20="","",班表!U6)</f>
        <v/>
      </c>
      <c r="G20" s="31">
        <f>IF($F20="","",IFERROR(INDEX(設定!$D$5:$D$20,MATCH($F20,設定!$B$5:$B$20,0)),""))</f>
        <v/>
      </c>
      <c r="H20" s="31">
        <f>IF($F20="","",IFERROR(INDEX(設定!$E$5:$E$20,MATCH($F20,設定!$B$5:$B$20,0)),""))</f>
        <v/>
      </c>
      <c r="I20" s="31">
        <f>IFERROR(INDEX(打卡匯入!$C$3:$C$1002,MATCH($C20&amp;"|"&amp;DAY($A20),打卡匯入!$E$3:$E$1002,0)),"")</f>
        <v/>
      </c>
      <c r="J20" s="31">
        <f>IFERROR(INDEX(打卡匯入!$D$3:$D$1002,MATCH($C20&amp;"|"&amp;DAY($A20),打卡匯入!$E$3:$E$1002,0)),"")</f>
        <v/>
      </c>
      <c r="K20" s="32">
        <f>IF(OR($I20="",$J20=""),"",IFERROR(INDEX(設定!$F$5:$F$20,MATCH($F20,設定!$B$5:$B$20,0)),0))</f>
        <v/>
      </c>
      <c r="L20" s="33">
        <f>IF(OR($I20="",$J20=""),"",ROUND(($J20-$I20)*24-$K20/60,2))</f>
        <v/>
      </c>
      <c r="M20" s="29">
        <f>IF($C20="","",IF(AND(COUNTIF(設定!$B$14:$B$20,$F20)&gt;0,$I20&lt;&gt;""),"假日出勤",IF(AND(COUNTIF(設定!$B$5:$B$13,$F20)&gt;0,$I20=""),"未打卡",IF($I20="","",IF($N20&gt;0,"遲到",IF($O20&gt;0,"早退","正常"))))))</f>
        <v/>
      </c>
      <c r="N20" s="32">
        <f>IF(OR($C20="",$G20="",$I20=""),0,IF(ROUND(($I20-$G20)*1440,0)&gt;設定!$C$28,ROUND(($I20-$G20)*1440,0),0))</f>
        <v/>
      </c>
      <c r="O20" s="32">
        <f>IF(OR($C20="",$H20="",$J20=""),0,IF(ROUND(($H20-$J20)*1440,0)&gt;設定!$C$28,ROUND(($H20-$J20)*1440,0),0))</f>
        <v/>
      </c>
      <c r="P20" s="33">
        <f>IF($L20="",0,IF(($L20-IFERROR(INDEX(設定!$G$5:$G$20,MATCH($F20,設定!$B$5:$B$20,0)),0))*60&gt;=設定!$C$26,ROUND(FLOOR(($L20-IFERROR(INDEX(設定!$G$5:$G$20,MATCH($F20,設定!$B$5:$B$20,0)),0))*60,設定!$C$27)/60,2),0))</f>
        <v/>
      </c>
      <c r="Q20" s="29">
        <f>IF(OR($C20="",$P20=0),"",IF($F20="國","國定假日",IF($B20="日","例假",IF($B20="六","休息日","平日"))))</f>
        <v/>
      </c>
      <c r="R20" s="34" t="n"/>
    </row>
    <row r="21">
      <c r="A21" s="30">
        <f>IF(OR(班表!$A6="",19&gt;DAY(EOMONTH(DATE(班表!$E$2,班表!$G$2,1),0))),"",DATE(班表!$E$2,班表!$G$2,19))</f>
        <v/>
      </c>
      <c r="B21" s="29">
        <f>IF($A21="","",INDEX(設定!$L$5:$L$11,WEEKDAY($A21,1)))</f>
        <v/>
      </c>
      <c r="C21" s="29">
        <f>IF($A21="","",班表!$A6)</f>
        <v/>
      </c>
      <c r="D21" s="29">
        <f>IF($C21="","",班表!$B6)</f>
        <v/>
      </c>
      <c r="E21" s="29">
        <f>IF($C21="","",班表!$C6)</f>
        <v/>
      </c>
      <c r="F21" s="29">
        <f>IF($C21="","",班表!V6)</f>
        <v/>
      </c>
      <c r="G21" s="31">
        <f>IF($F21="","",IFERROR(INDEX(設定!$D$5:$D$20,MATCH($F21,設定!$B$5:$B$20,0)),""))</f>
        <v/>
      </c>
      <c r="H21" s="31">
        <f>IF($F21="","",IFERROR(INDEX(設定!$E$5:$E$20,MATCH($F21,設定!$B$5:$B$20,0)),""))</f>
        <v/>
      </c>
      <c r="I21" s="31">
        <f>IFERROR(INDEX(打卡匯入!$C$3:$C$1002,MATCH($C21&amp;"|"&amp;DAY($A21),打卡匯入!$E$3:$E$1002,0)),"")</f>
        <v/>
      </c>
      <c r="J21" s="31">
        <f>IFERROR(INDEX(打卡匯入!$D$3:$D$1002,MATCH($C21&amp;"|"&amp;DAY($A21),打卡匯入!$E$3:$E$1002,0)),"")</f>
        <v/>
      </c>
      <c r="K21" s="32">
        <f>IF(OR($I21="",$J21=""),"",IFERROR(INDEX(設定!$F$5:$F$20,MATCH($F21,設定!$B$5:$B$20,0)),0))</f>
        <v/>
      </c>
      <c r="L21" s="33">
        <f>IF(OR($I21="",$J21=""),"",ROUND(($J21-$I21)*24-$K21/60,2))</f>
        <v/>
      </c>
      <c r="M21" s="29">
        <f>IF($C21="","",IF(AND(COUNTIF(設定!$B$14:$B$20,$F21)&gt;0,$I21&lt;&gt;""),"假日出勤",IF(AND(COUNTIF(設定!$B$5:$B$13,$F21)&gt;0,$I21=""),"未打卡",IF($I21="","",IF($N21&gt;0,"遲到",IF($O21&gt;0,"早退","正常"))))))</f>
        <v/>
      </c>
      <c r="N21" s="32">
        <f>IF(OR($C21="",$G21="",$I21=""),0,IF(ROUND(($I21-$G21)*1440,0)&gt;設定!$C$28,ROUND(($I21-$G21)*1440,0),0))</f>
        <v/>
      </c>
      <c r="O21" s="32">
        <f>IF(OR($C21="",$H21="",$J21=""),0,IF(ROUND(($H21-$J21)*1440,0)&gt;設定!$C$28,ROUND(($H21-$J21)*1440,0),0))</f>
        <v/>
      </c>
      <c r="P21" s="33">
        <f>IF($L21="",0,IF(($L21-IFERROR(INDEX(設定!$G$5:$G$20,MATCH($F21,設定!$B$5:$B$20,0)),0))*60&gt;=設定!$C$26,ROUND(FLOOR(($L21-IFERROR(INDEX(設定!$G$5:$G$20,MATCH($F21,設定!$B$5:$B$20,0)),0))*60,設定!$C$27)/60,2),0))</f>
        <v/>
      </c>
      <c r="Q21" s="29">
        <f>IF(OR($C21="",$P21=0),"",IF($F21="國","國定假日",IF($B21="日","例假",IF($B21="六","休息日","平日"))))</f>
        <v/>
      </c>
      <c r="R21" s="34" t="n"/>
    </row>
    <row r="22">
      <c r="A22" s="30">
        <f>IF(OR(班表!$A6="",20&gt;DAY(EOMONTH(DATE(班表!$E$2,班表!$G$2,1),0))),"",DATE(班表!$E$2,班表!$G$2,20))</f>
        <v/>
      </c>
      <c r="B22" s="29">
        <f>IF($A22="","",INDEX(設定!$L$5:$L$11,WEEKDAY($A22,1)))</f>
        <v/>
      </c>
      <c r="C22" s="29">
        <f>IF($A22="","",班表!$A6)</f>
        <v/>
      </c>
      <c r="D22" s="29">
        <f>IF($C22="","",班表!$B6)</f>
        <v/>
      </c>
      <c r="E22" s="29">
        <f>IF($C22="","",班表!$C6)</f>
        <v/>
      </c>
      <c r="F22" s="29">
        <f>IF($C22="","",班表!W6)</f>
        <v/>
      </c>
      <c r="G22" s="31">
        <f>IF($F22="","",IFERROR(INDEX(設定!$D$5:$D$20,MATCH($F22,設定!$B$5:$B$20,0)),""))</f>
        <v/>
      </c>
      <c r="H22" s="31">
        <f>IF($F22="","",IFERROR(INDEX(設定!$E$5:$E$20,MATCH($F22,設定!$B$5:$B$20,0)),""))</f>
        <v/>
      </c>
      <c r="I22" s="31">
        <f>IFERROR(INDEX(打卡匯入!$C$3:$C$1002,MATCH($C22&amp;"|"&amp;DAY($A22),打卡匯入!$E$3:$E$1002,0)),"")</f>
        <v/>
      </c>
      <c r="J22" s="31">
        <f>IFERROR(INDEX(打卡匯入!$D$3:$D$1002,MATCH($C22&amp;"|"&amp;DAY($A22),打卡匯入!$E$3:$E$1002,0)),"")</f>
        <v/>
      </c>
      <c r="K22" s="32">
        <f>IF(OR($I22="",$J22=""),"",IFERROR(INDEX(設定!$F$5:$F$20,MATCH($F22,設定!$B$5:$B$20,0)),0))</f>
        <v/>
      </c>
      <c r="L22" s="33">
        <f>IF(OR($I22="",$J22=""),"",ROUND(($J22-$I22)*24-$K22/60,2))</f>
        <v/>
      </c>
      <c r="M22" s="29">
        <f>IF($C22="","",IF(AND(COUNTIF(設定!$B$14:$B$20,$F22)&gt;0,$I22&lt;&gt;""),"假日出勤",IF(AND(COUNTIF(設定!$B$5:$B$13,$F22)&gt;0,$I22=""),"未打卡",IF($I22="","",IF($N22&gt;0,"遲到",IF($O22&gt;0,"早退","正常"))))))</f>
        <v/>
      </c>
      <c r="N22" s="32">
        <f>IF(OR($C22="",$G22="",$I22=""),0,IF(ROUND(($I22-$G22)*1440,0)&gt;設定!$C$28,ROUND(($I22-$G22)*1440,0),0))</f>
        <v/>
      </c>
      <c r="O22" s="32">
        <f>IF(OR($C22="",$H22="",$J22=""),0,IF(ROUND(($H22-$J22)*1440,0)&gt;設定!$C$28,ROUND(($H22-$J22)*1440,0),0))</f>
        <v/>
      </c>
      <c r="P22" s="33">
        <f>IF($L22="",0,IF(($L22-IFERROR(INDEX(設定!$G$5:$G$20,MATCH($F22,設定!$B$5:$B$20,0)),0))*60&gt;=設定!$C$26,ROUND(FLOOR(($L22-IFERROR(INDEX(設定!$G$5:$G$20,MATCH($F22,設定!$B$5:$B$20,0)),0))*60,設定!$C$27)/60,2),0))</f>
        <v/>
      </c>
      <c r="Q22" s="29">
        <f>IF(OR($C22="",$P22=0),"",IF($F22="國","國定假日",IF($B22="日","例假",IF($B22="六","休息日","平日"))))</f>
        <v/>
      </c>
      <c r="R22" s="34" t="n"/>
    </row>
    <row r="23">
      <c r="A23" s="30">
        <f>IF(OR(班表!$A6="",21&gt;DAY(EOMONTH(DATE(班表!$E$2,班表!$G$2,1),0))),"",DATE(班表!$E$2,班表!$G$2,21))</f>
        <v/>
      </c>
      <c r="B23" s="29">
        <f>IF($A23="","",INDEX(設定!$L$5:$L$11,WEEKDAY($A23,1)))</f>
        <v/>
      </c>
      <c r="C23" s="29">
        <f>IF($A23="","",班表!$A6)</f>
        <v/>
      </c>
      <c r="D23" s="29">
        <f>IF($C23="","",班表!$B6)</f>
        <v/>
      </c>
      <c r="E23" s="29">
        <f>IF($C23="","",班表!$C6)</f>
        <v/>
      </c>
      <c r="F23" s="29">
        <f>IF($C23="","",班表!X6)</f>
        <v/>
      </c>
      <c r="G23" s="31">
        <f>IF($F23="","",IFERROR(INDEX(設定!$D$5:$D$20,MATCH($F23,設定!$B$5:$B$20,0)),""))</f>
        <v/>
      </c>
      <c r="H23" s="31">
        <f>IF($F23="","",IFERROR(INDEX(設定!$E$5:$E$20,MATCH($F23,設定!$B$5:$B$20,0)),""))</f>
        <v/>
      </c>
      <c r="I23" s="31">
        <f>IFERROR(INDEX(打卡匯入!$C$3:$C$1002,MATCH($C23&amp;"|"&amp;DAY($A23),打卡匯入!$E$3:$E$1002,0)),"")</f>
        <v/>
      </c>
      <c r="J23" s="31">
        <f>IFERROR(INDEX(打卡匯入!$D$3:$D$1002,MATCH($C23&amp;"|"&amp;DAY($A23),打卡匯入!$E$3:$E$1002,0)),"")</f>
        <v/>
      </c>
      <c r="K23" s="32">
        <f>IF(OR($I23="",$J23=""),"",IFERROR(INDEX(設定!$F$5:$F$20,MATCH($F23,設定!$B$5:$B$20,0)),0))</f>
        <v/>
      </c>
      <c r="L23" s="33">
        <f>IF(OR($I23="",$J23=""),"",ROUND(($J23-$I23)*24-$K23/60,2))</f>
        <v/>
      </c>
      <c r="M23" s="29">
        <f>IF($C23="","",IF(AND(COUNTIF(設定!$B$14:$B$20,$F23)&gt;0,$I23&lt;&gt;""),"假日出勤",IF(AND(COUNTIF(設定!$B$5:$B$13,$F23)&gt;0,$I23=""),"未打卡",IF($I23="","",IF($N23&gt;0,"遲到",IF($O23&gt;0,"早退","正常"))))))</f>
        <v/>
      </c>
      <c r="N23" s="32">
        <f>IF(OR($C23="",$G23="",$I23=""),0,IF(ROUND(($I23-$G23)*1440,0)&gt;設定!$C$28,ROUND(($I23-$G23)*1440,0),0))</f>
        <v/>
      </c>
      <c r="O23" s="32">
        <f>IF(OR($C23="",$H23="",$J23=""),0,IF(ROUND(($H23-$J23)*1440,0)&gt;設定!$C$28,ROUND(($H23-$J23)*1440,0),0))</f>
        <v/>
      </c>
      <c r="P23" s="33">
        <f>IF($L23="",0,IF(($L23-IFERROR(INDEX(設定!$G$5:$G$20,MATCH($F23,設定!$B$5:$B$20,0)),0))*60&gt;=設定!$C$26,ROUND(FLOOR(($L23-IFERROR(INDEX(設定!$G$5:$G$20,MATCH($F23,設定!$B$5:$B$20,0)),0))*60,設定!$C$27)/60,2),0))</f>
        <v/>
      </c>
      <c r="Q23" s="29">
        <f>IF(OR($C23="",$P23=0),"",IF($F23="國","國定假日",IF($B23="日","例假",IF($B23="六","休息日","平日"))))</f>
        <v/>
      </c>
      <c r="R23" s="34" t="n"/>
    </row>
    <row r="24">
      <c r="A24" s="30">
        <f>IF(OR(班表!$A6="",22&gt;DAY(EOMONTH(DATE(班表!$E$2,班表!$G$2,1),0))),"",DATE(班表!$E$2,班表!$G$2,22))</f>
        <v/>
      </c>
      <c r="B24" s="29">
        <f>IF($A24="","",INDEX(設定!$L$5:$L$11,WEEKDAY($A24,1)))</f>
        <v/>
      </c>
      <c r="C24" s="29">
        <f>IF($A24="","",班表!$A6)</f>
        <v/>
      </c>
      <c r="D24" s="29">
        <f>IF($C24="","",班表!$B6)</f>
        <v/>
      </c>
      <c r="E24" s="29">
        <f>IF($C24="","",班表!$C6)</f>
        <v/>
      </c>
      <c r="F24" s="29">
        <f>IF($C24="","",班表!Y6)</f>
        <v/>
      </c>
      <c r="G24" s="31">
        <f>IF($F24="","",IFERROR(INDEX(設定!$D$5:$D$20,MATCH($F24,設定!$B$5:$B$20,0)),""))</f>
        <v/>
      </c>
      <c r="H24" s="31">
        <f>IF($F24="","",IFERROR(INDEX(設定!$E$5:$E$20,MATCH($F24,設定!$B$5:$B$20,0)),""))</f>
        <v/>
      </c>
      <c r="I24" s="31">
        <f>IFERROR(INDEX(打卡匯入!$C$3:$C$1002,MATCH($C24&amp;"|"&amp;DAY($A24),打卡匯入!$E$3:$E$1002,0)),"")</f>
        <v/>
      </c>
      <c r="J24" s="31">
        <f>IFERROR(INDEX(打卡匯入!$D$3:$D$1002,MATCH($C24&amp;"|"&amp;DAY($A24),打卡匯入!$E$3:$E$1002,0)),"")</f>
        <v/>
      </c>
      <c r="K24" s="32">
        <f>IF(OR($I24="",$J24=""),"",IFERROR(INDEX(設定!$F$5:$F$20,MATCH($F24,設定!$B$5:$B$20,0)),0))</f>
        <v/>
      </c>
      <c r="L24" s="33">
        <f>IF(OR($I24="",$J24=""),"",ROUND(($J24-$I24)*24-$K24/60,2))</f>
        <v/>
      </c>
      <c r="M24" s="29">
        <f>IF($C24="","",IF(AND(COUNTIF(設定!$B$14:$B$20,$F24)&gt;0,$I24&lt;&gt;""),"假日出勤",IF(AND(COUNTIF(設定!$B$5:$B$13,$F24)&gt;0,$I24=""),"未打卡",IF($I24="","",IF($N24&gt;0,"遲到",IF($O24&gt;0,"早退","正常"))))))</f>
        <v/>
      </c>
      <c r="N24" s="32">
        <f>IF(OR($C24="",$G24="",$I24=""),0,IF(ROUND(($I24-$G24)*1440,0)&gt;設定!$C$28,ROUND(($I24-$G24)*1440,0),0))</f>
        <v/>
      </c>
      <c r="O24" s="32">
        <f>IF(OR($C24="",$H24="",$J24=""),0,IF(ROUND(($H24-$J24)*1440,0)&gt;設定!$C$28,ROUND(($H24-$J24)*1440,0),0))</f>
        <v/>
      </c>
      <c r="P24" s="33">
        <f>IF($L24="",0,IF(($L24-IFERROR(INDEX(設定!$G$5:$G$20,MATCH($F24,設定!$B$5:$B$20,0)),0))*60&gt;=設定!$C$26,ROUND(FLOOR(($L24-IFERROR(INDEX(設定!$G$5:$G$20,MATCH($F24,設定!$B$5:$B$20,0)),0))*60,設定!$C$27)/60,2),0))</f>
        <v/>
      </c>
      <c r="Q24" s="29">
        <f>IF(OR($C24="",$P24=0),"",IF($F24="國","國定假日",IF($B24="日","例假",IF($B24="六","休息日","平日"))))</f>
        <v/>
      </c>
      <c r="R24" s="34" t="n"/>
    </row>
    <row r="25">
      <c r="A25" s="30">
        <f>IF(OR(班表!$A6="",23&gt;DAY(EOMONTH(DATE(班表!$E$2,班表!$G$2,1),0))),"",DATE(班表!$E$2,班表!$G$2,23))</f>
        <v/>
      </c>
      <c r="B25" s="29">
        <f>IF($A25="","",INDEX(設定!$L$5:$L$11,WEEKDAY($A25,1)))</f>
        <v/>
      </c>
      <c r="C25" s="29">
        <f>IF($A25="","",班表!$A6)</f>
        <v/>
      </c>
      <c r="D25" s="29">
        <f>IF($C25="","",班表!$B6)</f>
        <v/>
      </c>
      <c r="E25" s="29">
        <f>IF($C25="","",班表!$C6)</f>
        <v/>
      </c>
      <c r="F25" s="29">
        <f>IF($C25="","",班表!Z6)</f>
        <v/>
      </c>
      <c r="G25" s="31">
        <f>IF($F25="","",IFERROR(INDEX(設定!$D$5:$D$20,MATCH($F25,設定!$B$5:$B$20,0)),""))</f>
        <v/>
      </c>
      <c r="H25" s="31">
        <f>IF($F25="","",IFERROR(INDEX(設定!$E$5:$E$20,MATCH($F25,設定!$B$5:$B$20,0)),""))</f>
        <v/>
      </c>
      <c r="I25" s="31">
        <f>IFERROR(INDEX(打卡匯入!$C$3:$C$1002,MATCH($C25&amp;"|"&amp;DAY($A25),打卡匯入!$E$3:$E$1002,0)),"")</f>
        <v/>
      </c>
      <c r="J25" s="31">
        <f>IFERROR(INDEX(打卡匯入!$D$3:$D$1002,MATCH($C25&amp;"|"&amp;DAY($A25),打卡匯入!$E$3:$E$1002,0)),"")</f>
        <v/>
      </c>
      <c r="K25" s="32">
        <f>IF(OR($I25="",$J25=""),"",IFERROR(INDEX(設定!$F$5:$F$20,MATCH($F25,設定!$B$5:$B$20,0)),0))</f>
        <v/>
      </c>
      <c r="L25" s="33">
        <f>IF(OR($I25="",$J25=""),"",ROUND(($J25-$I25)*24-$K25/60,2))</f>
        <v/>
      </c>
      <c r="M25" s="29">
        <f>IF($C25="","",IF(AND(COUNTIF(設定!$B$14:$B$20,$F25)&gt;0,$I25&lt;&gt;""),"假日出勤",IF(AND(COUNTIF(設定!$B$5:$B$13,$F25)&gt;0,$I25=""),"未打卡",IF($I25="","",IF($N25&gt;0,"遲到",IF($O25&gt;0,"早退","正常"))))))</f>
        <v/>
      </c>
      <c r="N25" s="32">
        <f>IF(OR($C25="",$G25="",$I25=""),0,IF(ROUND(($I25-$G25)*1440,0)&gt;設定!$C$28,ROUND(($I25-$G25)*1440,0),0))</f>
        <v/>
      </c>
      <c r="O25" s="32">
        <f>IF(OR($C25="",$H25="",$J25=""),0,IF(ROUND(($H25-$J25)*1440,0)&gt;設定!$C$28,ROUND(($H25-$J25)*1440,0),0))</f>
        <v/>
      </c>
      <c r="P25" s="33">
        <f>IF($L25="",0,IF(($L25-IFERROR(INDEX(設定!$G$5:$G$20,MATCH($F25,設定!$B$5:$B$20,0)),0))*60&gt;=設定!$C$26,ROUND(FLOOR(($L25-IFERROR(INDEX(設定!$G$5:$G$20,MATCH($F25,設定!$B$5:$B$20,0)),0))*60,設定!$C$27)/60,2),0))</f>
        <v/>
      </c>
      <c r="Q25" s="29">
        <f>IF(OR($C25="",$P25=0),"",IF($F25="國","國定假日",IF($B25="日","例假",IF($B25="六","休息日","平日"))))</f>
        <v/>
      </c>
      <c r="R25" s="34" t="n"/>
    </row>
    <row r="26">
      <c r="A26" s="30">
        <f>IF(OR(班表!$A6="",24&gt;DAY(EOMONTH(DATE(班表!$E$2,班表!$G$2,1),0))),"",DATE(班表!$E$2,班表!$G$2,24))</f>
        <v/>
      </c>
      <c r="B26" s="29">
        <f>IF($A26="","",INDEX(設定!$L$5:$L$11,WEEKDAY($A26,1)))</f>
        <v/>
      </c>
      <c r="C26" s="29">
        <f>IF($A26="","",班表!$A6)</f>
        <v/>
      </c>
      <c r="D26" s="29">
        <f>IF($C26="","",班表!$B6)</f>
        <v/>
      </c>
      <c r="E26" s="29">
        <f>IF($C26="","",班表!$C6)</f>
        <v/>
      </c>
      <c r="F26" s="29">
        <f>IF($C26="","",班表!AA6)</f>
        <v/>
      </c>
      <c r="G26" s="31">
        <f>IF($F26="","",IFERROR(INDEX(設定!$D$5:$D$20,MATCH($F26,設定!$B$5:$B$20,0)),""))</f>
        <v/>
      </c>
      <c r="H26" s="31">
        <f>IF($F26="","",IFERROR(INDEX(設定!$E$5:$E$20,MATCH($F26,設定!$B$5:$B$20,0)),""))</f>
        <v/>
      </c>
      <c r="I26" s="31">
        <f>IFERROR(INDEX(打卡匯入!$C$3:$C$1002,MATCH($C26&amp;"|"&amp;DAY($A26),打卡匯入!$E$3:$E$1002,0)),"")</f>
        <v/>
      </c>
      <c r="J26" s="31">
        <f>IFERROR(INDEX(打卡匯入!$D$3:$D$1002,MATCH($C26&amp;"|"&amp;DAY($A26),打卡匯入!$E$3:$E$1002,0)),"")</f>
        <v/>
      </c>
      <c r="K26" s="32">
        <f>IF(OR($I26="",$J26=""),"",IFERROR(INDEX(設定!$F$5:$F$20,MATCH($F26,設定!$B$5:$B$20,0)),0))</f>
        <v/>
      </c>
      <c r="L26" s="33">
        <f>IF(OR($I26="",$J26=""),"",ROUND(($J26-$I26)*24-$K26/60,2))</f>
        <v/>
      </c>
      <c r="M26" s="29">
        <f>IF($C26="","",IF(AND(COUNTIF(設定!$B$14:$B$20,$F26)&gt;0,$I26&lt;&gt;""),"假日出勤",IF(AND(COUNTIF(設定!$B$5:$B$13,$F26)&gt;0,$I26=""),"未打卡",IF($I26="","",IF($N26&gt;0,"遲到",IF($O26&gt;0,"早退","正常"))))))</f>
        <v/>
      </c>
      <c r="N26" s="32">
        <f>IF(OR($C26="",$G26="",$I26=""),0,IF(ROUND(($I26-$G26)*1440,0)&gt;設定!$C$28,ROUND(($I26-$G26)*1440,0),0))</f>
        <v/>
      </c>
      <c r="O26" s="32">
        <f>IF(OR($C26="",$H26="",$J26=""),0,IF(ROUND(($H26-$J26)*1440,0)&gt;設定!$C$28,ROUND(($H26-$J26)*1440,0),0))</f>
        <v/>
      </c>
      <c r="P26" s="33">
        <f>IF($L26="",0,IF(($L26-IFERROR(INDEX(設定!$G$5:$G$20,MATCH($F26,設定!$B$5:$B$20,0)),0))*60&gt;=設定!$C$26,ROUND(FLOOR(($L26-IFERROR(INDEX(設定!$G$5:$G$20,MATCH($F26,設定!$B$5:$B$20,0)),0))*60,設定!$C$27)/60,2),0))</f>
        <v/>
      </c>
      <c r="Q26" s="29">
        <f>IF(OR($C26="",$P26=0),"",IF($F26="國","國定假日",IF($B26="日","例假",IF($B26="六","休息日","平日"))))</f>
        <v/>
      </c>
      <c r="R26" s="34" t="n"/>
    </row>
    <row r="27">
      <c r="A27" s="30">
        <f>IF(OR(班表!$A6="",25&gt;DAY(EOMONTH(DATE(班表!$E$2,班表!$G$2,1),0))),"",DATE(班表!$E$2,班表!$G$2,25))</f>
        <v/>
      </c>
      <c r="B27" s="29">
        <f>IF($A27="","",INDEX(設定!$L$5:$L$11,WEEKDAY($A27,1)))</f>
        <v/>
      </c>
      <c r="C27" s="29">
        <f>IF($A27="","",班表!$A6)</f>
        <v/>
      </c>
      <c r="D27" s="29">
        <f>IF($C27="","",班表!$B6)</f>
        <v/>
      </c>
      <c r="E27" s="29">
        <f>IF($C27="","",班表!$C6)</f>
        <v/>
      </c>
      <c r="F27" s="29">
        <f>IF($C27="","",班表!AB6)</f>
        <v/>
      </c>
      <c r="G27" s="31">
        <f>IF($F27="","",IFERROR(INDEX(設定!$D$5:$D$20,MATCH($F27,設定!$B$5:$B$20,0)),""))</f>
        <v/>
      </c>
      <c r="H27" s="31">
        <f>IF($F27="","",IFERROR(INDEX(設定!$E$5:$E$20,MATCH($F27,設定!$B$5:$B$20,0)),""))</f>
        <v/>
      </c>
      <c r="I27" s="31">
        <f>IFERROR(INDEX(打卡匯入!$C$3:$C$1002,MATCH($C27&amp;"|"&amp;DAY($A27),打卡匯入!$E$3:$E$1002,0)),"")</f>
        <v/>
      </c>
      <c r="J27" s="31">
        <f>IFERROR(INDEX(打卡匯入!$D$3:$D$1002,MATCH($C27&amp;"|"&amp;DAY($A27),打卡匯入!$E$3:$E$1002,0)),"")</f>
        <v/>
      </c>
      <c r="K27" s="32">
        <f>IF(OR($I27="",$J27=""),"",IFERROR(INDEX(設定!$F$5:$F$20,MATCH($F27,設定!$B$5:$B$20,0)),0))</f>
        <v/>
      </c>
      <c r="L27" s="33">
        <f>IF(OR($I27="",$J27=""),"",ROUND(($J27-$I27)*24-$K27/60,2))</f>
        <v/>
      </c>
      <c r="M27" s="29">
        <f>IF($C27="","",IF(AND(COUNTIF(設定!$B$14:$B$20,$F27)&gt;0,$I27&lt;&gt;""),"假日出勤",IF(AND(COUNTIF(設定!$B$5:$B$13,$F27)&gt;0,$I27=""),"未打卡",IF($I27="","",IF($N27&gt;0,"遲到",IF($O27&gt;0,"早退","正常"))))))</f>
        <v/>
      </c>
      <c r="N27" s="32">
        <f>IF(OR($C27="",$G27="",$I27=""),0,IF(ROUND(($I27-$G27)*1440,0)&gt;設定!$C$28,ROUND(($I27-$G27)*1440,0),0))</f>
        <v/>
      </c>
      <c r="O27" s="32">
        <f>IF(OR($C27="",$H27="",$J27=""),0,IF(ROUND(($H27-$J27)*1440,0)&gt;設定!$C$28,ROUND(($H27-$J27)*1440,0),0))</f>
        <v/>
      </c>
      <c r="P27" s="33">
        <f>IF($L27="",0,IF(($L27-IFERROR(INDEX(設定!$G$5:$G$20,MATCH($F27,設定!$B$5:$B$20,0)),0))*60&gt;=設定!$C$26,ROUND(FLOOR(($L27-IFERROR(INDEX(設定!$G$5:$G$20,MATCH($F27,設定!$B$5:$B$20,0)),0))*60,設定!$C$27)/60,2),0))</f>
        <v/>
      </c>
      <c r="Q27" s="29">
        <f>IF(OR($C27="",$P27=0),"",IF($F27="國","國定假日",IF($B27="日","例假",IF($B27="六","休息日","平日"))))</f>
        <v/>
      </c>
      <c r="R27" s="34" t="n"/>
    </row>
    <row r="28">
      <c r="A28" s="30">
        <f>IF(OR(班表!$A6="",26&gt;DAY(EOMONTH(DATE(班表!$E$2,班表!$G$2,1),0))),"",DATE(班表!$E$2,班表!$G$2,26))</f>
        <v/>
      </c>
      <c r="B28" s="29">
        <f>IF($A28="","",INDEX(設定!$L$5:$L$11,WEEKDAY($A28,1)))</f>
        <v/>
      </c>
      <c r="C28" s="29">
        <f>IF($A28="","",班表!$A6)</f>
        <v/>
      </c>
      <c r="D28" s="29">
        <f>IF($C28="","",班表!$B6)</f>
        <v/>
      </c>
      <c r="E28" s="29">
        <f>IF($C28="","",班表!$C6)</f>
        <v/>
      </c>
      <c r="F28" s="29">
        <f>IF($C28="","",班表!AC6)</f>
        <v/>
      </c>
      <c r="G28" s="31">
        <f>IF($F28="","",IFERROR(INDEX(設定!$D$5:$D$20,MATCH($F28,設定!$B$5:$B$20,0)),""))</f>
        <v/>
      </c>
      <c r="H28" s="31">
        <f>IF($F28="","",IFERROR(INDEX(設定!$E$5:$E$20,MATCH($F28,設定!$B$5:$B$20,0)),""))</f>
        <v/>
      </c>
      <c r="I28" s="31">
        <f>IFERROR(INDEX(打卡匯入!$C$3:$C$1002,MATCH($C28&amp;"|"&amp;DAY($A28),打卡匯入!$E$3:$E$1002,0)),"")</f>
        <v/>
      </c>
      <c r="J28" s="31">
        <f>IFERROR(INDEX(打卡匯入!$D$3:$D$1002,MATCH($C28&amp;"|"&amp;DAY($A28),打卡匯入!$E$3:$E$1002,0)),"")</f>
        <v/>
      </c>
      <c r="K28" s="32">
        <f>IF(OR($I28="",$J28=""),"",IFERROR(INDEX(設定!$F$5:$F$20,MATCH($F28,設定!$B$5:$B$20,0)),0))</f>
        <v/>
      </c>
      <c r="L28" s="33">
        <f>IF(OR($I28="",$J28=""),"",ROUND(($J28-$I28)*24-$K28/60,2))</f>
        <v/>
      </c>
      <c r="M28" s="29">
        <f>IF($C28="","",IF(AND(COUNTIF(設定!$B$14:$B$20,$F28)&gt;0,$I28&lt;&gt;""),"假日出勤",IF(AND(COUNTIF(設定!$B$5:$B$13,$F28)&gt;0,$I28=""),"未打卡",IF($I28="","",IF($N28&gt;0,"遲到",IF($O28&gt;0,"早退","正常"))))))</f>
        <v/>
      </c>
      <c r="N28" s="32">
        <f>IF(OR($C28="",$G28="",$I28=""),0,IF(ROUND(($I28-$G28)*1440,0)&gt;設定!$C$28,ROUND(($I28-$G28)*1440,0),0))</f>
        <v/>
      </c>
      <c r="O28" s="32">
        <f>IF(OR($C28="",$H28="",$J28=""),0,IF(ROUND(($H28-$J28)*1440,0)&gt;設定!$C$28,ROUND(($H28-$J28)*1440,0),0))</f>
        <v/>
      </c>
      <c r="P28" s="33">
        <f>IF($L28="",0,IF(($L28-IFERROR(INDEX(設定!$G$5:$G$20,MATCH($F28,設定!$B$5:$B$20,0)),0))*60&gt;=設定!$C$26,ROUND(FLOOR(($L28-IFERROR(INDEX(設定!$G$5:$G$20,MATCH($F28,設定!$B$5:$B$20,0)),0))*60,設定!$C$27)/60,2),0))</f>
        <v/>
      </c>
      <c r="Q28" s="29">
        <f>IF(OR($C28="",$P28=0),"",IF($F28="國","國定假日",IF($B28="日","例假",IF($B28="六","休息日","平日"))))</f>
        <v/>
      </c>
      <c r="R28" s="34" t="n"/>
    </row>
    <row r="29">
      <c r="A29" s="30">
        <f>IF(OR(班表!$A6="",27&gt;DAY(EOMONTH(DATE(班表!$E$2,班表!$G$2,1),0))),"",DATE(班表!$E$2,班表!$G$2,27))</f>
        <v/>
      </c>
      <c r="B29" s="29">
        <f>IF($A29="","",INDEX(設定!$L$5:$L$11,WEEKDAY($A29,1)))</f>
        <v/>
      </c>
      <c r="C29" s="29">
        <f>IF($A29="","",班表!$A6)</f>
        <v/>
      </c>
      <c r="D29" s="29">
        <f>IF($C29="","",班表!$B6)</f>
        <v/>
      </c>
      <c r="E29" s="29">
        <f>IF($C29="","",班表!$C6)</f>
        <v/>
      </c>
      <c r="F29" s="29">
        <f>IF($C29="","",班表!AD6)</f>
        <v/>
      </c>
      <c r="G29" s="31">
        <f>IF($F29="","",IFERROR(INDEX(設定!$D$5:$D$20,MATCH($F29,設定!$B$5:$B$20,0)),""))</f>
        <v/>
      </c>
      <c r="H29" s="31">
        <f>IF($F29="","",IFERROR(INDEX(設定!$E$5:$E$20,MATCH($F29,設定!$B$5:$B$20,0)),""))</f>
        <v/>
      </c>
      <c r="I29" s="31">
        <f>IFERROR(INDEX(打卡匯入!$C$3:$C$1002,MATCH($C29&amp;"|"&amp;DAY($A29),打卡匯入!$E$3:$E$1002,0)),"")</f>
        <v/>
      </c>
      <c r="J29" s="31">
        <f>IFERROR(INDEX(打卡匯入!$D$3:$D$1002,MATCH($C29&amp;"|"&amp;DAY($A29),打卡匯入!$E$3:$E$1002,0)),"")</f>
        <v/>
      </c>
      <c r="K29" s="32">
        <f>IF(OR($I29="",$J29=""),"",IFERROR(INDEX(設定!$F$5:$F$20,MATCH($F29,設定!$B$5:$B$20,0)),0))</f>
        <v/>
      </c>
      <c r="L29" s="33">
        <f>IF(OR($I29="",$J29=""),"",ROUND(($J29-$I29)*24-$K29/60,2))</f>
        <v/>
      </c>
      <c r="M29" s="29">
        <f>IF($C29="","",IF(AND(COUNTIF(設定!$B$14:$B$20,$F29)&gt;0,$I29&lt;&gt;""),"假日出勤",IF(AND(COUNTIF(設定!$B$5:$B$13,$F29)&gt;0,$I29=""),"未打卡",IF($I29="","",IF($N29&gt;0,"遲到",IF($O29&gt;0,"早退","正常"))))))</f>
        <v/>
      </c>
      <c r="N29" s="32">
        <f>IF(OR($C29="",$G29="",$I29=""),0,IF(ROUND(($I29-$G29)*1440,0)&gt;設定!$C$28,ROUND(($I29-$G29)*1440,0),0))</f>
        <v/>
      </c>
      <c r="O29" s="32">
        <f>IF(OR($C29="",$H29="",$J29=""),0,IF(ROUND(($H29-$J29)*1440,0)&gt;設定!$C$28,ROUND(($H29-$J29)*1440,0),0))</f>
        <v/>
      </c>
      <c r="P29" s="33">
        <f>IF($L29="",0,IF(($L29-IFERROR(INDEX(設定!$G$5:$G$20,MATCH($F29,設定!$B$5:$B$20,0)),0))*60&gt;=設定!$C$26,ROUND(FLOOR(($L29-IFERROR(INDEX(設定!$G$5:$G$20,MATCH($F29,設定!$B$5:$B$20,0)),0))*60,設定!$C$27)/60,2),0))</f>
        <v/>
      </c>
      <c r="Q29" s="29">
        <f>IF(OR($C29="",$P29=0),"",IF($F29="國","國定假日",IF($B29="日","例假",IF($B29="六","休息日","平日"))))</f>
        <v/>
      </c>
      <c r="R29" s="34" t="n"/>
    </row>
    <row r="30">
      <c r="A30" s="30">
        <f>IF(OR(班表!$A6="",28&gt;DAY(EOMONTH(DATE(班表!$E$2,班表!$G$2,1),0))),"",DATE(班表!$E$2,班表!$G$2,28))</f>
        <v/>
      </c>
      <c r="B30" s="29">
        <f>IF($A30="","",INDEX(設定!$L$5:$L$11,WEEKDAY($A30,1)))</f>
        <v/>
      </c>
      <c r="C30" s="29">
        <f>IF($A30="","",班表!$A6)</f>
        <v/>
      </c>
      <c r="D30" s="29">
        <f>IF($C30="","",班表!$B6)</f>
        <v/>
      </c>
      <c r="E30" s="29">
        <f>IF($C30="","",班表!$C6)</f>
        <v/>
      </c>
      <c r="F30" s="29">
        <f>IF($C30="","",班表!AE6)</f>
        <v/>
      </c>
      <c r="G30" s="31">
        <f>IF($F30="","",IFERROR(INDEX(設定!$D$5:$D$20,MATCH($F30,設定!$B$5:$B$20,0)),""))</f>
        <v/>
      </c>
      <c r="H30" s="31">
        <f>IF($F30="","",IFERROR(INDEX(設定!$E$5:$E$20,MATCH($F30,設定!$B$5:$B$20,0)),""))</f>
        <v/>
      </c>
      <c r="I30" s="31">
        <f>IFERROR(INDEX(打卡匯入!$C$3:$C$1002,MATCH($C30&amp;"|"&amp;DAY($A30),打卡匯入!$E$3:$E$1002,0)),"")</f>
        <v/>
      </c>
      <c r="J30" s="31">
        <f>IFERROR(INDEX(打卡匯入!$D$3:$D$1002,MATCH($C30&amp;"|"&amp;DAY($A30),打卡匯入!$E$3:$E$1002,0)),"")</f>
        <v/>
      </c>
      <c r="K30" s="32">
        <f>IF(OR($I30="",$J30=""),"",IFERROR(INDEX(設定!$F$5:$F$20,MATCH($F30,設定!$B$5:$B$20,0)),0))</f>
        <v/>
      </c>
      <c r="L30" s="33">
        <f>IF(OR($I30="",$J30=""),"",ROUND(($J30-$I30)*24-$K30/60,2))</f>
        <v/>
      </c>
      <c r="M30" s="29">
        <f>IF($C30="","",IF(AND(COUNTIF(設定!$B$14:$B$20,$F30)&gt;0,$I30&lt;&gt;""),"假日出勤",IF(AND(COUNTIF(設定!$B$5:$B$13,$F30)&gt;0,$I30=""),"未打卡",IF($I30="","",IF($N30&gt;0,"遲到",IF($O30&gt;0,"早退","正常"))))))</f>
        <v/>
      </c>
      <c r="N30" s="32">
        <f>IF(OR($C30="",$G30="",$I30=""),0,IF(ROUND(($I30-$G30)*1440,0)&gt;設定!$C$28,ROUND(($I30-$G30)*1440,0),0))</f>
        <v/>
      </c>
      <c r="O30" s="32">
        <f>IF(OR($C30="",$H30="",$J30=""),0,IF(ROUND(($H30-$J30)*1440,0)&gt;設定!$C$28,ROUND(($H30-$J30)*1440,0),0))</f>
        <v/>
      </c>
      <c r="P30" s="33">
        <f>IF($L30="",0,IF(($L30-IFERROR(INDEX(設定!$G$5:$G$20,MATCH($F30,設定!$B$5:$B$20,0)),0))*60&gt;=設定!$C$26,ROUND(FLOOR(($L30-IFERROR(INDEX(設定!$G$5:$G$20,MATCH($F30,設定!$B$5:$B$20,0)),0))*60,設定!$C$27)/60,2),0))</f>
        <v/>
      </c>
      <c r="Q30" s="29">
        <f>IF(OR($C30="",$P30=0),"",IF($F30="國","國定假日",IF($B30="日","例假",IF($B30="六","休息日","平日"))))</f>
        <v/>
      </c>
      <c r="R30" s="34" t="n"/>
    </row>
    <row r="31">
      <c r="A31" s="30">
        <f>IF(OR(班表!$A6="",29&gt;DAY(EOMONTH(DATE(班表!$E$2,班表!$G$2,1),0))),"",DATE(班表!$E$2,班表!$G$2,29))</f>
        <v/>
      </c>
      <c r="B31" s="29">
        <f>IF($A31="","",INDEX(設定!$L$5:$L$11,WEEKDAY($A31,1)))</f>
        <v/>
      </c>
      <c r="C31" s="29">
        <f>IF($A31="","",班表!$A6)</f>
        <v/>
      </c>
      <c r="D31" s="29">
        <f>IF($C31="","",班表!$B6)</f>
        <v/>
      </c>
      <c r="E31" s="29">
        <f>IF($C31="","",班表!$C6)</f>
        <v/>
      </c>
      <c r="F31" s="29">
        <f>IF($C31="","",班表!AF6)</f>
        <v/>
      </c>
      <c r="G31" s="31">
        <f>IF($F31="","",IFERROR(INDEX(設定!$D$5:$D$20,MATCH($F31,設定!$B$5:$B$20,0)),""))</f>
        <v/>
      </c>
      <c r="H31" s="31">
        <f>IF($F31="","",IFERROR(INDEX(設定!$E$5:$E$20,MATCH($F31,設定!$B$5:$B$20,0)),""))</f>
        <v/>
      </c>
      <c r="I31" s="31">
        <f>IFERROR(INDEX(打卡匯入!$C$3:$C$1002,MATCH($C31&amp;"|"&amp;DAY($A31),打卡匯入!$E$3:$E$1002,0)),"")</f>
        <v/>
      </c>
      <c r="J31" s="31">
        <f>IFERROR(INDEX(打卡匯入!$D$3:$D$1002,MATCH($C31&amp;"|"&amp;DAY($A31),打卡匯入!$E$3:$E$1002,0)),"")</f>
        <v/>
      </c>
      <c r="K31" s="32">
        <f>IF(OR($I31="",$J31=""),"",IFERROR(INDEX(設定!$F$5:$F$20,MATCH($F31,設定!$B$5:$B$20,0)),0))</f>
        <v/>
      </c>
      <c r="L31" s="33">
        <f>IF(OR($I31="",$J31=""),"",ROUND(($J31-$I31)*24-$K31/60,2))</f>
        <v/>
      </c>
      <c r="M31" s="29">
        <f>IF($C31="","",IF(AND(COUNTIF(設定!$B$14:$B$20,$F31)&gt;0,$I31&lt;&gt;""),"假日出勤",IF(AND(COUNTIF(設定!$B$5:$B$13,$F31)&gt;0,$I31=""),"未打卡",IF($I31="","",IF($N31&gt;0,"遲到",IF($O31&gt;0,"早退","正常"))))))</f>
        <v/>
      </c>
      <c r="N31" s="32">
        <f>IF(OR($C31="",$G31="",$I31=""),0,IF(ROUND(($I31-$G31)*1440,0)&gt;設定!$C$28,ROUND(($I31-$G31)*1440,0),0))</f>
        <v/>
      </c>
      <c r="O31" s="32">
        <f>IF(OR($C31="",$H31="",$J31=""),0,IF(ROUND(($H31-$J31)*1440,0)&gt;設定!$C$28,ROUND(($H31-$J31)*1440,0),0))</f>
        <v/>
      </c>
      <c r="P31" s="33">
        <f>IF($L31="",0,IF(($L31-IFERROR(INDEX(設定!$G$5:$G$20,MATCH($F31,設定!$B$5:$B$20,0)),0))*60&gt;=設定!$C$26,ROUND(FLOOR(($L31-IFERROR(INDEX(設定!$G$5:$G$20,MATCH($F31,設定!$B$5:$B$20,0)),0))*60,設定!$C$27)/60,2),0))</f>
        <v/>
      </c>
      <c r="Q31" s="29">
        <f>IF(OR($C31="",$P31=0),"",IF($F31="國","國定假日",IF($B31="日","例假",IF($B31="六","休息日","平日"))))</f>
        <v/>
      </c>
      <c r="R31" s="34" t="n"/>
    </row>
    <row r="32">
      <c r="A32" s="30">
        <f>IF(OR(班表!$A6="",30&gt;DAY(EOMONTH(DATE(班表!$E$2,班表!$G$2,1),0))),"",DATE(班表!$E$2,班表!$G$2,30))</f>
        <v/>
      </c>
      <c r="B32" s="29">
        <f>IF($A32="","",INDEX(設定!$L$5:$L$11,WEEKDAY($A32,1)))</f>
        <v/>
      </c>
      <c r="C32" s="29">
        <f>IF($A32="","",班表!$A6)</f>
        <v/>
      </c>
      <c r="D32" s="29">
        <f>IF($C32="","",班表!$B6)</f>
        <v/>
      </c>
      <c r="E32" s="29">
        <f>IF($C32="","",班表!$C6)</f>
        <v/>
      </c>
      <c r="F32" s="29">
        <f>IF($C32="","",班表!AG6)</f>
        <v/>
      </c>
      <c r="G32" s="31">
        <f>IF($F32="","",IFERROR(INDEX(設定!$D$5:$D$20,MATCH($F32,設定!$B$5:$B$20,0)),""))</f>
        <v/>
      </c>
      <c r="H32" s="31">
        <f>IF($F32="","",IFERROR(INDEX(設定!$E$5:$E$20,MATCH($F32,設定!$B$5:$B$20,0)),""))</f>
        <v/>
      </c>
      <c r="I32" s="31">
        <f>IFERROR(INDEX(打卡匯入!$C$3:$C$1002,MATCH($C32&amp;"|"&amp;DAY($A32),打卡匯入!$E$3:$E$1002,0)),"")</f>
        <v/>
      </c>
      <c r="J32" s="31">
        <f>IFERROR(INDEX(打卡匯入!$D$3:$D$1002,MATCH($C32&amp;"|"&amp;DAY($A32),打卡匯入!$E$3:$E$1002,0)),"")</f>
        <v/>
      </c>
      <c r="K32" s="32">
        <f>IF(OR($I32="",$J32=""),"",IFERROR(INDEX(設定!$F$5:$F$20,MATCH($F32,設定!$B$5:$B$20,0)),0))</f>
        <v/>
      </c>
      <c r="L32" s="33">
        <f>IF(OR($I32="",$J32=""),"",ROUND(($J32-$I32)*24-$K32/60,2))</f>
        <v/>
      </c>
      <c r="M32" s="29">
        <f>IF($C32="","",IF(AND(COUNTIF(設定!$B$14:$B$20,$F32)&gt;0,$I32&lt;&gt;""),"假日出勤",IF(AND(COUNTIF(設定!$B$5:$B$13,$F32)&gt;0,$I32=""),"未打卡",IF($I32="","",IF($N32&gt;0,"遲到",IF($O32&gt;0,"早退","正常"))))))</f>
        <v/>
      </c>
      <c r="N32" s="32">
        <f>IF(OR($C32="",$G32="",$I32=""),0,IF(ROUND(($I32-$G32)*1440,0)&gt;設定!$C$28,ROUND(($I32-$G32)*1440,0),0))</f>
        <v/>
      </c>
      <c r="O32" s="32">
        <f>IF(OR($C32="",$H32="",$J32=""),0,IF(ROUND(($H32-$J32)*1440,0)&gt;設定!$C$28,ROUND(($H32-$J32)*1440,0),0))</f>
        <v/>
      </c>
      <c r="P32" s="33">
        <f>IF($L32="",0,IF(($L32-IFERROR(INDEX(設定!$G$5:$G$20,MATCH($F32,設定!$B$5:$B$20,0)),0))*60&gt;=設定!$C$26,ROUND(FLOOR(($L32-IFERROR(INDEX(設定!$G$5:$G$20,MATCH($F32,設定!$B$5:$B$20,0)),0))*60,設定!$C$27)/60,2),0))</f>
        <v/>
      </c>
      <c r="Q32" s="29">
        <f>IF(OR($C32="",$P32=0),"",IF($F32="國","國定假日",IF($B32="日","例假",IF($B32="六","休息日","平日"))))</f>
        <v/>
      </c>
      <c r="R32" s="34" t="n"/>
    </row>
    <row r="33">
      <c r="A33" s="30">
        <f>IF(OR(班表!$A6="",31&gt;DAY(EOMONTH(DATE(班表!$E$2,班表!$G$2,1),0))),"",DATE(班表!$E$2,班表!$G$2,31))</f>
        <v/>
      </c>
      <c r="B33" s="29">
        <f>IF($A33="","",INDEX(設定!$L$5:$L$11,WEEKDAY($A33,1)))</f>
        <v/>
      </c>
      <c r="C33" s="29">
        <f>IF($A33="","",班表!$A6)</f>
        <v/>
      </c>
      <c r="D33" s="29">
        <f>IF($C33="","",班表!$B6)</f>
        <v/>
      </c>
      <c r="E33" s="29">
        <f>IF($C33="","",班表!$C6)</f>
        <v/>
      </c>
      <c r="F33" s="29">
        <f>IF($C33="","",班表!AH6)</f>
        <v/>
      </c>
      <c r="G33" s="31">
        <f>IF($F33="","",IFERROR(INDEX(設定!$D$5:$D$20,MATCH($F33,設定!$B$5:$B$20,0)),""))</f>
        <v/>
      </c>
      <c r="H33" s="31">
        <f>IF($F33="","",IFERROR(INDEX(設定!$E$5:$E$20,MATCH($F33,設定!$B$5:$B$20,0)),""))</f>
        <v/>
      </c>
      <c r="I33" s="31">
        <f>IFERROR(INDEX(打卡匯入!$C$3:$C$1002,MATCH($C33&amp;"|"&amp;DAY($A33),打卡匯入!$E$3:$E$1002,0)),"")</f>
        <v/>
      </c>
      <c r="J33" s="31">
        <f>IFERROR(INDEX(打卡匯入!$D$3:$D$1002,MATCH($C33&amp;"|"&amp;DAY($A33),打卡匯入!$E$3:$E$1002,0)),"")</f>
        <v/>
      </c>
      <c r="K33" s="32">
        <f>IF(OR($I33="",$J33=""),"",IFERROR(INDEX(設定!$F$5:$F$20,MATCH($F33,設定!$B$5:$B$20,0)),0))</f>
        <v/>
      </c>
      <c r="L33" s="33">
        <f>IF(OR($I33="",$J33=""),"",ROUND(($J33-$I33)*24-$K33/60,2))</f>
        <v/>
      </c>
      <c r="M33" s="29">
        <f>IF($C33="","",IF(AND(COUNTIF(設定!$B$14:$B$20,$F33)&gt;0,$I33&lt;&gt;""),"假日出勤",IF(AND(COUNTIF(設定!$B$5:$B$13,$F33)&gt;0,$I33=""),"未打卡",IF($I33="","",IF($N33&gt;0,"遲到",IF($O33&gt;0,"早退","正常"))))))</f>
        <v/>
      </c>
      <c r="N33" s="32">
        <f>IF(OR($C33="",$G33="",$I33=""),0,IF(ROUND(($I33-$G33)*1440,0)&gt;設定!$C$28,ROUND(($I33-$G33)*1440,0),0))</f>
        <v/>
      </c>
      <c r="O33" s="32">
        <f>IF(OR($C33="",$H33="",$J33=""),0,IF(ROUND(($H33-$J33)*1440,0)&gt;設定!$C$28,ROUND(($H33-$J33)*1440,0),0))</f>
        <v/>
      </c>
      <c r="P33" s="33">
        <f>IF($L33="",0,IF(($L33-IFERROR(INDEX(設定!$G$5:$G$20,MATCH($F33,設定!$B$5:$B$20,0)),0))*60&gt;=設定!$C$26,ROUND(FLOOR(($L33-IFERROR(INDEX(設定!$G$5:$G$20,MATCH($F33,設定!$B$5:$B$20,0)),0))*60,設定!$C$27)/60,2),0))</f>
        <v/>
      </c>
      <c r="Q33" s="29">
        <f>IF(OR($C33="",$P33=0),"",IF($F33="國","國定假日",IF($B33="日","例假",IF($B33="六","休息日","平日"))))</f>
        <v/>
      </c>
      <c r="R33" s="34" t="n"/>
    </row>
    <row r="34">
      <c r="A34" s="30">
        <f>IF(OR(班表!$A7="",1&gt;DAY(EOMONTH(DATE(班表!$E$2,班表!$G$2,1),0))),"",DATE(班表!$E$2,班表!$G$2,1))</f>
        <v/>
      </c>
      <c r="B34" s="29">
        <f>IF($A34="","",INDEX(設定!$L$5:$L$11,WEEKDAY($A34,1)))</f>
        <v/>
      </c>
      <c r="C34" s="29">
        <f>IF($A34="","",班表!$A7)</f>
        <v/>
      </c>
      <c r="D34" s="29">
        <f>IF($C34="","",班表!$B7)</f>
        <v/>
      </c>
      <c r="E34" s="29">
        <f>IF($C34="","",班表!$C7)</f>
        <v/>
      </c>
      <c r="F34" s="29">
        <f>IF($C34="","",班表!D7)</f>
        <v/>
      </c>
      <c r="G34" s="31">
        <f>IF($F34="","",IFERROR(INDEX(設定!$D$5:$D$20,MATCH($F34,設定!$B$5:$B$20,0)),""))</f>
        <v/>
      </c>
      <c r="H34" s="31">
        <f>IF($F34="","",IFERROR(INDEX(設定!$E$5:$E$20,MATCH($F34,設定!$B$5:$B$20,0)),""))</f>
        <v/>
      </c>
      <c r="I34" s="31">
        <f>IFERROR(INDEX(打卡匯入!$C$3:$C$1002,MATCH($C34&amp;"|"&amp;DAY($A34),打卡匯入!$E$3:$E$1002,0)),"")</f>
        <v/>
      </c>
      <c r="J34" s="31">
        <f>IFERROR(INDEX(打卡匯入!$D$3:$D$1002,MATCH($C34&amp;"|"&amp;DAY($A34),打卡匯入!$E$3:$E$1002,0)),"")</f>
        <v/>
      </c>
      <c r="K34" s="32">
        <f>IF(OR($I34="",$J34=""),"",IFERROR(INDEX(設定!$F$5:$F$20,MATCH($F34,設定!$B$5:$B$20,0)),0))</f>
        <v/>
      </c>
      <c r="L34" s="33">
        <f>IF(OR($I34="",$J34=""),"",ROUND(($J34-$I34)*24-$K34/60,2))</f>
        <v/>
      </c>
      <c r="M34" s="29">
        <f>IF($C34="","",IF(AND(COUNTIF(設定!$B$14:$B$20,$F34)&gt;0,$I34&lt;&gt;""),"假日出勤",IF(AND(COUNTIF(設定!$B$5:$B$13,$F34)&gt;0,$I34=""),"未打卡",IF($I34="","",IF($N34&gt;0,"遲到",IF($O34&gt;0,"早退","正常"))))))</f>
        <v/>
      </c>
      <c r="N34" s="32">
        <f>IF(OR($C34="",$G34="",$I34=""),0,IF(ROUND(($I34-$G34)*1440,0)&gt;設定!$C$28,ROUND(($I34-$G34)*1440,0),0))</f>
        <v/>
      </c>
      <c r="O34" s="32">
        <f>IF(OR($C34="",$H34="",$J34=""),0,IF(ROUND(($H34-$J34)*1440,0)&gt;設定!$C$28,ROUND(($H34-$J34)*1440,0),0))</f>
        <v/>
      </c>
      <c r="P34" s="33">
        <f>IF($L34="",0,IF(($L34-IFERROR(INDEX(設定!$G$5:$G$20,MATCH($F34,設定!$B$5:$B$20,0)),0))*60&gt;=設定!$C$26,ROUND(FLOOR(($L34-IFERROR(INDEX(設定!$G$5:$G$20,MATCH($F34,設定!$B$5:$B$20,0)),0))*60,設定!$C$27)/60,2),0))</f>
        <v/>
      </c>
      <c r="Q34" s="29">
        <f>IF(OR($C34="",$P34=0),"",IF($F34="國","國定假日",IF($B34="日","例假",IF($B34="六","休息日","平日"))))</f>
        <v/>
      </c>
      <c r="R34" s="34" t="n"/>
    </row>
    <row r="35">
      <c r="A35" s="30">
        <f>IF(OR(班表!$A7="",2&gt;DAY(EOMONTH(DATE(班表!$E$2,班表!$G$2,1),0))),"",DATE(班表!$E$2,班表!$G$2,2))</f>
        <v/>
      </c>
      <c r="B35" s="29">
        <f>IF($A35="","",INDEX(設定!$L$5:$L$11,WEEKDAY($A35,1)))</f>
        <v/>
      </c>
      <c r="C35" s="29">
        <f>IF($A35="","",班表!$A7)</f>
        <v/>
      </c>
      <c r="D35" s="29">
        <f>IF($C35="","",班表!$B7)</f>
        <v/>
      </c>
      <c r="E35" s="29">
        <f>IF($C35="","",班表!$C7)</f>
        <v/>
      </c>
      <c r="F35" s="29">
        <f>IF($C35="","",班表!E7)</f>
        <v/>
      </c>
      <c r="G35" s="31">
        <f>IF($F35="","",IFERROR(INDEX(設定!$D$5:$D$20,MATCH($F35,設定!$B$5:$B$20,0)),""))</f>
        <v/>
      </c>
      <c r="H35" s="31">
        <f>IF($F35="","",IFERROR(INDEX(設定!$E$5:$E$20,MATCH($F35,設定!$B$5:$B$20,0)),""))</f>
        <v/>
      </c>
      <c r="I35" s="31">
        <f>IFERROR(INDEX(打卡匯入!$C$3:$C$1002,MATCH($C35&amp;"|"&amp;DAY($A35),打卡匯入!$E$3:$E$1002,0)),"")</f>
        <v/>
      </c>
      <c r="J35" s="31">
        <f>IFERROR(INDEX(打卡匯入!$D$3:$D$1002,MATCH($C35&amp;"|"&amp;DAY($A35),打卡匯入!$E$3:$E$1002,0)),"")</f>
        <v/>
      </c>
      <c r="K35" s="32">
        <f>IF(OR($I35="",$J35=""),"",IFERROR(INDEX(設定!$F$5:$F$20,MATCH($F35,設定!$B$5:$B$20,0)),0))</f>
        <v/>
      </c>
      <c r="L35" s="33">
        <f>IF(OR($I35="",$J35=""),"",ROUND(($J35-$I35)*24-$K35/60,2))</f>
        <v/>
      </c>
      <c r="M35" s="29">
        <f>IF($C35="","",IF(AND(COUNTIF(設定!$B$14:$B$20,$F35)&gt;0,$I35&lt;&gt;""),"假日出勤",IF(AND(COUNTIF(設定!$B$5:$B$13,$F35)&gt;0,$I35=""),"未打卡",IF($I35="","",IF($N35&gt;0,"遲到",IF($O35&gt;0,"早退","正常"))))))</f>
        <v/>
      </c>
      <c r="N35" s="32">
        <f>IF(OR($C35="",$G35="",$I35=""),0,IF(ROUND(($I35-$G35)*1440,0)&gt;設定!$C$28,ROUND(($I35-$G35)*1440,0),0))</f>
        <v/>
      </c>
      <c r="O35" s="32">
        <f>IF(OR($C35="",$H35="",$J35=""),0,IF(ROUND(($H35-$J35)*1440,0)&gt;設定!$C$28,ROUND(($H35-$J35)*1440,0),0))</f>
        <v/>
      </c>
      <c r="P35" s="33">
        <f>IF($L35="",0,IF(($L35-IFERROR(INDEX(設定!$G$5:$G$20,MATCH($F35,設定!$B$5:$B$20,0)),0))*60&gt;=設定!$C$26,ROUND(FLOOR(($L35-IFERROR(INDEX(設定!$G$5:$G$20,MATCH($F35,設定!$B$5:$B$20,0)),0))*60,設定!$C$27)/60,2),0))</f>
        <v/>
      </c>
      <c r="Q35" s="29">
        <f>IF(OR($C35="",$P35=0),"",IF($F35="國","國定假日",IF($B35="日","例假",IF($B35="六","休息日","平日"))))</f>
        <v/>
      </c>
      <c r="R35" s="34" t="n"/>
    </row>
    <row r="36">
      <c r="A36" s="30">
        <f>IF(OR(班表!$A7="",3&gt;DAY(EOMONTH(DATE(班表!$E$2,班表!$G$2,1),0))),"",DATE(班表!$E$2,班表!$G$2,3))</f>
        <v/>
      </c>
      <c r="B36" s="29">
        <f>IF($A36="","",INDEX(設定!$L$5:$L$11,WEEKDAY($A36,1)))</f>
        <v/>
      </c>
      <c r="C36" s="29">
        <f>IF($A36="","",班表!$A7)</f>
        <v/>
      </c>
      <c r="D36" s="29">
        <f>IF($C36="","",班表!$B7)</f>
        <v/>
      </c>
      <c r="E36" s="29">
        <f>IF($C36="","",班表!$C7)</f>
        <v/>
      </c>
      <c r="F36" s="29">
        <f>IF($C36="","",班表!F7)</f>
        <v/>
      </c>
      <c r="G36" s="31">
        <f>IF($F36="","",IFERROR(INDEX(設定!$D$5:$D$20,MATCH($F36,設定!$B$5:$B$20,0)),""))</f>
        <v/>
      </c>
      <c r="H36" s="31">
        <f>IF($F36="","",IFERROR(INDEX(設定!$E$5:$E$20,MATCH($F36,設定!$B$5:$B$20,0)),""))</f>
        <v/>
      </c>
      <c r="I36" s="31">
        <f>IFERROR(INDEX(打卡匯入!$C$3:$C$1002,MATCH($C36&amp;"|"&amp;DAY($A36),打卡匯入!$E$3:$E$1002,0)),"")</f>
        <v/>
      </c>
      <c r="J36" s="31">
        <f>IFERROR(INDEX(打卡匯入!$D$3:$D$1002,MATCH($C36&amp;"|"&amp;DAY($A36),打卡匯入!$E$3:$E$1002,0)),"")</f>
        <v/>
      </c>
      <c r="K36" s="32">
        <f>IF(OR($I36="",$J36=""),"",IFERROR(INDEX(設定!$F$5:$F$20,MATCH($F36,設定!$B$5:$B$20,0)),0))</f>
        <v/>
      </c>
      <c r="L36" s="33">
        <f>IF(OR($I36="",$J36=""),"",ROUND(($J36-$I36)*24-$K36/60,2))</f>
        <v/>
      </c>
      <c r="M36" s="29">
        <f>IF($C36="","",IF(AND(COUNTIF(設定!$B$14:$B$20,$F36)&gt;0,$I36&lt;&gt;""),"假日出勤",IF(AND(COUNTIF(設定!$B$5:$B$13,$F36)&gt;0,$I36=""),"未打卡",IF($I36="","",IF($N36&gt;0,"遲到",IF($O36&gt;0,"早退","正常"))))))</f>
        <v/>
      </c>
      <c r="N36" s="32">
        <f>IF(OR($C36="",$G36="",$I36=""),0,IF(ROUND(($I36-$G36)*1440,0)&gt;設定!$C$28,ROUND(($I36-$G36)*1440,0),0))</f>
        <v/>
      </c>
      <c r="O36" s="32">
        <f>IF(OR($C36="",$H36="",$J36=""),0,IF(ROUND(($H36-$J36)*1440,0)&gt;設定!$C$28,ROUND(($H36-$J36)*1440,0),0))</f>
        <v/>
      </c>
      <c r="P36" s="33">
        <f>IF($L36="",0,IF(($L36-IFERROR(INDEX(設定!$G$5:$G$20,MATCH($F36,設定!$B$5:$B$20,0)),0))*60&gt;=設定!$C$26,ROUND(FLOOR(($L36-IFERROR(INDEX(設定!$G$5:$G$20,MATCH($F36,設定!$B$5:$B$20,0)),0))*60,設定!$C$27)/60,2),0))</f>
        <v/>
      </c>
      <c r="Q36" s="29">
        <f>IF(OR($C36="",$P36=0),"",IF($F36="國","國定假日",IF($B36="日","例假",IF($B36="六","休息日","平日"))))</f>
        <v/>
      </c>
      <c r="R36" s="34" t="n"/>
    </row>
    <row r="37">
      <c r="A37" s="30">
        <f>IF(OR(班表!$A7="",4&gt;DAY(EOMONTH(DATE(班表!$E$2,班表!$G$2,1),0))),"",DATE(班表!$E$2,班表!$G$2,4))</f>
        <v/>
      </c>
      <c r="B37" s="29">
        <f>IF($A37="","",INDEX(設定!$L$5:$L$11,WEEKDAY($A37,1)))</f>
        <v/>
      </c>
      <c r="C37" s="29">
        <f>IF($A37="","",班表!$A7)</f>
        <v/>
      </c>
      <c r="D37" s="29">
        <f>IF($C37="","",班表!$B7)</f>
        <v/>
      </c>
      <c r="E37" s="29">
        <f>IF($C37="","",班表!$C7)</f>
        <v/>
      </c>
      <c r="F37" s="29">
        <f>IF($C37="","",班表!G7)</f>
        <v/>
      </c>
      <c r="G37" s="31">
        <f>IF($F37="","",IFERROR(INDEX(設定!$D$5:$D$20,MATCH($F37,設定!$B$5:$B$20,0)),""))</f>
        <v/>
      </c>
      <c r="H37" s="31">
        <f>IF($F37="","",IFERROR(INDEX(設定!$E$5:$E$20,MATCH($F37,設定!$B$5:$B$20,0)),""))</f>
        <v/>
      </c>
      <c r="I37" s="31">
        <f>IFERROR(INDEX(打卡匯入!$C$3:$C$1002,MATCH($C37&amp;"|"&amp;DAY($A37),打卡匯入!$E$3:$E$1002,0)),"")</f>
        <v/>
      </c>
      <c r="J37" s="31">
        <f>IFERROR(INDEX(打卡匯入!$D$3:$D$1002,MATCH($C37&amp;"|"&amp;DAY($A37),打卡匯入!$E$3:$E$1002,0)),"")</f>
        <v/>
      </c>
      <c r="K37" s="32">
        <f>IF(OR($I37="",$J37=""),"",IFERROR(INDEX(設定!$F$5:$F$20,MATCH($F37,設定!$B$5:$B$20,0)),0))</f>
        <v/>
      </c>
      <c r="L37" s="33">
        <f>IF(OR($I37="",$J37=""),"",ROUND(($J37-$I37)*24-$K37/60,2))</f>
        <v/>
      </c>
      <c r="M37" s="29">
        <f>IF($C37="","",IF(AND(COUNTIF(設定!$B$14:$B$20,$F37)&gt;0,$I37&lt;&gt;""),"假日出勤",IF(AND(COUNTIF(設定!$B$5:$B$13,$F37)&gt;0,$I37=""),"未打卡",IF($I37="","",IF($N37&gt;0,"遲到",IF($O37&gt;0,"早退","正常"))))))</f>
        <v/>
      </c>
      <c r="N37" s="32">
        <f>IF(OR($C37="",$G37="",$I37=""),0,IF(ROUND(($I37-$G37)*1440,0)&gt;設定!$C$28,ROUND(($I37-$G37)*1440,0),0))</f>
        <v/>
      </c>
      <c r="O37" s="32">
        <f>IF(OR($C37="",$H37="",$J37=""),0,IF(ROUND(($H37-$J37)*1440,0)&gt;設定!$C$28,ROUND(($H37-$J37)*1440,0),0))</f>
        <v/>
      </c>
      <c r="P37" s="33">
        <f>IF($L37="",0,IF(($L37-IFERROR(INDEX(設定!$G$5:$G$20,MATCH($F37,設定!$B$5:$B$20,0)),0))*60&gt;=設定!$C$26,ROUND(FLOOR(($L37-IFERROR(INDEX(設定!$G$5:$G$20,MATCH($F37,設定!$B$5:$B$20,0)),0))*60,設定!$C$27)/60,2),0))</f>
        <v/>
      </c>
      <c r="Q37" s="29">
        <f>IF(OR($C37="",$P37=0),"",IF($F37="國","國定假日",IF($B37="日","例假",IF($B37="六","休息日","平日"))))</f>
        <v/>
      </c>
      <c r="R37" s="34" t="n"/>
    </row>
    <row r="38">
      <c r="A38" s="30">
        <f>IF(OR(班表!$A7="",5&gt;DAY(EOMONTH(DATE(班表!$E$2,班表!$G$2,1),0))),"",DATE(班表!$E$2,班表!$G$2,5))</f>
        <v/>
      </c>
      <c r="B38" s="29">
        <f>IF($A38="","",INDEX(設定!$L$5:$L$11,WEEKDAY($A38,1)))</f>
        <v/>
      </c>
      <c r="C38" s="29">
        <f>IF($A38="","",班表!$A7)</f>
        <v/>
      </c>
      <c r="D38" s="29">
        <f>IF($C38="","",班表!$B7)</f>
        <v/>
      </c>
      <c r="E38" s="29">
        <f>IF($C38="","",班表!$C7)</f>
        <v/>
      </c>
      <c r="F38" s="29">
        <f>IF($C38="","",班表!H7)</f>
        <v/>
      </c>
      <c r="G38" s="31">
        <f>IF($F38="","",IFERROR(INDEX(設定!$D$5:$D$20,MATCH($F38,設定!$B$5:$B$20,0)),""))</f>
        <v/>
      </c>
      <c r="H38" s="31">
        <f>IF($F38="","",IFERROR(INDEX(設定!$E$5:$E$20,MATCH($F38,設定!$B$5:$B$20,0)),""))</f>
        <v/>
      </c>
      <c r="I38" s="31">
        <f>IFERROR(INDEX(打卡匯入!$C$3:$C$1002,MATCH($C38&amp;"|"&amp;DAY($A38),打卡匯入!$E$3:$E$1002,0)),"")</f>
        <v/>
      </c>
      <c r="J38" s="31">
        <f>IFERROR(INDEX(打卡匯入!$D$3:$D$1002,MATCH($C38&amp;"|"&amp;DAY($A38),打卡匯入!$E$3:$E$1002,0)),"")</f>
        <v/>
      </c>
      <c r="K38" s="32">
        <f>IF(OR($I38="",$J38=""),"",IFERROR(INDEX(設定!$F$5:$F$20,MATCH($F38,設定!$B$5:$B$20,0)),0))</f>
        <v/>
      </c>
      <c r="L38" s="33">
        <f>IF(OR($I38="",$J38=""),"",ROUND(($J38-$I38)*24-$K38/60,2))</f>
        <v/>
      </c>
      <c r="M38" s="29">
        <f>IF($C38="","",IF(AND(COUNTIF(設定!$B$14:$B$20,$F38)&gt;0,$I38&lt;&gt;""),"假日出勤",IF(AND(COUNTIF(設定!$B$5:$B$13,$F38)&gt;0,$I38=""),"未打卡",IF($I38="","",IF($N38&gt;0,"遲到",IF($O38&gt;0,"早退","正常"))))))</f>
        <v/>
      </c>
      <c r="N38" s="32">
        <f>IF(OR($C38="",$G38="",$I38=""),0,IF(ROUND(($I38-$G38)*1440,0)&gt;設定!$C$28,ROUND(($I38-$G38)*1440,0),0))</f>
        <v/>
      </c>
      <c r="O38" s="32">
        <f>IF(OR($C38="",$H38="",$J38=""),0,IF(ROUND(($H38-$J38)*1440,0)&gt;設定!$C$28,ROUND(($H38-$J38)*1440,0),0))</f>
        <v/>
      </c>
      <c r="P38" s="33">
        <f>IF($L38="",0,IF(($L38-IFERROR(INDEX(設定!$G$5:$G$20,MATCH($F38,設定!$B$5:$B$20,0)),0))*60&gt;=設定!$C$26,ROUND(FLOOR(($L38-IFERROR(INDEX(設定!$G$5:$G$20,MATCH($F38,設定!$B$5:$B$20,0)),0))*60,設定!$C$27)/60,2),0))</f>
        <v/>
      </c>
      <c r="Q38" s="29">
        <f>IF(OR($C38="",$P38=0),"",IF($F38="國","國定假日",IF($B38="日","例假",IF($B38="六","休息日","平日"))))</f>
        <v/>
      </c>
      <c r="R38" s="34" t="n"/>
    </row>
    <row r="39">
      <c r="A39" s="30">
        <f>IF(OR(班表!$A7="",6&gt;DAY(EOMONTH(DATE(班表!$E$2,班表!$G$2,1),0))),"",DATE(班表!$E$2,班表!$G$2,6))</f>
        <v/>
      </c>
      <c r="B39" s="29">
        <f>IF($A39="","",INDEX(設定!$L$5:$L$11,WEEKDAY($A39,1)))</f>
        <v/>
      </c>
      <c r="C39" s="29">
        <f>IF($A39="","",班表!$A7)</f>
        <v/>
      </c>
      <c r="D39" s="29">
        <f>IF($C39="","",班表!$B7)</f>
        <v/>
      </c>
      <c r="E39" s="29">
        <f>IF($C39="","",班表!$C7)</f>
        <v/>
      </c>
      <c r="F39" s="29">
        <f>IF($C39="","",班表!I7)</f>
        <v/>
      </c>
      <c r="G39" s="31">
        <f>IF($F39="","",IFERROR(INDEX(設定!$D$5:$D$20,MATCH($F39,設定!$B$5:$B$20,0)),""))</f>
        <v/>
      </c>
      <c r="H39" s="31">
        <f>IF($F39="","",IFERROR(INDEX(設定!$E$5:$E$20,MATCH($F39,設定!$B$5:$B$20,0)),""))</f>
        <v/>
      </c>
      <c r="I39" s="31">
        <f>IFERROR(INDEX(打卡匯入!$C$3:$C$1002,MATCH($C39&amp;"|"&amp;DAY($A39),打卡匯入!$E$3:$E$1002,0)),"")</f>
        <v/>
      </c>
      <c r="J39" s="31">
        <f>IFERROR(INDEX(打卡匯入!$D$3:$D$1002,MATCH($C39&amp;"|"&amp;DAY($A39),打卡匯入!$E$3:$E$1002,0)),"")</f>
        <v/>
      </c>
      <c r="K39" s="32">
        <f>IF(OR($I39="",$J39=""),"",IFERROR(INDEX(設定!$F$5:$F$20,MATCH($F39,設定!$B$5:$B$20,0)),0))</f>
        <v/>
      </c>
      <c r="L39" s="33">
        <f>IF(OR($I39="",$J39=""),"",ROUND(($J39-$I39)*24-$K39/60,2))</f>
        <v/>
      </c>
      <c r="M39" s="29">
        <f>IF($C39="","",IF(AND(COUNTIF(設定!$B$14:$B$20,$F39)&gt;0,$I39&lt;&gt;""),"假日出勤",IF(AND(COUNTIF(設定!$B$5:$B$13,$F39)&gt;0,$I39=""),"未打卡",IF($I39="","",IF($N39&gt;0,"遲到",IF($O39&gt;0,"早退","正常"))))))</f>
        <v/>
      </c>
      <c r="N39" s="32">
        <f>IF(OR($C39="",$G39="",$I39=""),0,IF(ROUND(($I39-$G39)*1440,0)&gt;設定!$C$28,ROUND(($I39-$G39)*1440,0),0))</f>
        <v/>
      </c>
      <c r="O39" s="32">
        <f>IF(OR($C39="",$H39="",$J39=""),0,IF(ROUND(($H39-$J39)*1440,0)&gt;設定!$C$28,ROUND(($H39-$J39)*1440,0),0))</f>
        <v/>
      </c>
      <c r="P39" s="33">
        <f>IF($L39="",0,IF(($L39-IFERROR(INDEX(設定!$G$5:$G$20,MATCH($F39,設定!$B$5:$B$20,0)),0))*60&gt;=設定!$C$26,ROUND(FLOOR(($L39-IFERROR(INDEX(設定!$G$5:$G$20,MATCH($F39,設定!$B$5:$B$20,0)),0))*60,設定!$C$27)/60,2),0))</f>
        <v/>
      </c>
      <c r="Q39" s="29">
        <f>IF(OR($C39="",$P39=0),"",IF($F39="國","國定假日",IF($B39="日","例假",IF($B39="六","休息日","平日"))))</f>
        <v/>
      </c>
      <c r="R39" s="34" t="n"/>
    </row>
    <row r="40">
      <c r="A40" s="30">
        <f>IF(OR(班表!$A7="",7&gt;DAY(EOMONTH(DATE(班表!$E$2,班表!$G$2,1),0))),"",DATE(班表!$E$2,班表!$G$2,7))</f>
        <v/>
      </c>
      <c r="B40" s="29">
        <f>IF($A40="","",INDEX(設定!$L$5:$L$11,WEEKDAY($A40,1)))</f>
        <v/>
      </c>
      <c r="C40" s="29">
        <f>IF($A40="","",班表!$A7)</f>
        <v/>
      </c>
      <c r="D40" s="29">
        <f>IF($C40="","",班表!$B7)</f>
        <v/>
      </c>
      <c r="E40" s="29">
        <f>IF($C40="","",班表!$C7)</f>
        <v/>
      </c>
      <c r="F40" s="29">
        <f>IF($C40="","",班表!J7)</f>
        <v/>
      </c>
      <c r="G40" s="31">
        <f>IF($F40="","",IFERROR(INDEX(設定!$D$5:$D$20,MATCH($F40,設定!$B$5:$B$20,0)),""))</f>
        <v/>
      </c>
      <c r="H40" s="31">
        <f>IF($F40="","",IFERROR(INDEX(設定!$E$5:$E$20,MATCH($F40,設定!$B$5:$B$20,0)),""))</f>
        <v/>
      </c>
      <c r="I40" s="31">
        <f>IFERROR(INDEX(打卡匯入!$C$3:$C$1002,MATCH($C40&amp;"|"&amp;DAY($A40),打卡匯入!$E$3:$E$1002,0)),"")</f>
        <v/>
      </c>
      <c r="J40" s="31">
        <f>IFERROR(INDEX(打卡匯入!$D$3:$D$1002,MATCH($C40&amp;"|"&amp;DAY($A40),打卡匯入!$E$3:$E$1002,0)),"")</f>
        <v/>
      </c>
      <c r="K40" s="32">
        <f>IF(OR($I40="",$J40=""),"",IFERROR(INDEX(設定!$F$5:$F$20,MATCH($F40,設定!$B$5:$B$20,0)),0))</f>
        <v/>
      </c>
      <c r="L40" s="33">
        <f>IF(OR($I40="",$J40=""),"",ROUND(($J40-$I40)*24-$K40/60,2))</f>
        <v/>
      </c>
      <c r="M40" s="29">
        <f>IF($C40="","",IF(AND(COUNTIF(設定!$B$14:$B$20,$F40)&gt;0,$I40&lt;&gt;""),"假日出勤",IF(AND(COUNTIF(設定!$B$5:$B$13,$F40)&gt;0,$I40=""),"未打卡",IF($I40="","",IF($N40&gt;0,"遲到",IF($O40&gt;0,"早退","正常"))))))</f>
        <v/>
      </c>
      <c r="N40" s="32">
        <f>IF(OR($C40="",$G40="",$I40=""),0,IF(ROUND(($I40-$G40)*1440,0)&gt;設定!$C$28,ROUND(($I40-$G40)*1440,0),0))</f>
        <v/>
      </c>
      <c r="O40" s="32">
        <f>IF(OR($C40="",$H40="",$J40=""),0,IF(ROUND(($H40-$J40)*1440,0)&gt;設定!$C$28,ROUND(($H40-$J40)*1440,0),0))</f>
        <v/>
      </c>
      <c r="P40" s="33">
        <f>IF($L40="",0,IF(($L40-IFERROR(INDEX(設定!$G$5:$G$20,MATCH($F40,設定!$B$5:$B$20,0)),0))*60&gt;=設定!$C$26,ROUND(FLOOR(($L40-IFERROR(INDEX(設定!$G$5:$G$20,MATCH($F40,設定!$B$5:$B$20,0)),0))*60,設定!$C$27)/60,2),0))</f>
        <v/>
      </c>
      <c r="Q40" s="29">
        <f>IF(OR($C40="",$P40=0),"",IF($F40="國","國定假日",IF($B40="日","例假",IF($B40="六","休息日","平日"))))</f>
        <v/>
      </c>
      <c r="R40" s="34" t="n"/>
    </row>
    <row r="41">
      <c r="A41" s="30">
        <f>IF(OR(班表!$A7="",8&gt;DAY(EOMONTH(DATE(班表!$E$2,班表!$G$2,1),0))),"",DATE(班表!$E$2,班表!$G$2,8))</f>
        <v/>
      </c>
      <c r="B41" s="29">
        <f>IF($A41="","",INDEX(設定!$L$5:$L$11,WEEKDAY($A41,1)))</f>
        <v/>
      </c>
      <c r="C41" s="29">
        <f>IF($A41="","",班表!$A7)</f>
        <v/>
      </c>
      <c r="D41" s="29">
        <f>IF($C41="","",班表!$B7)</f>
        <v/>
      </c>
      <c r="E41" s="29">
        <f>IF($C41="","",班表!$C7)</f>
        <v/>
      </c>
      <c r="F41" s="29">
        <f>IF($C41="","",班表!K7)</f>
        <v/>
      </c>
      <c r="G41" s="31">
        <f>IF($F41="","",IFERROR(INDEX(設定!$D$5:$D$20,MATCH($F41,設定!$B$5:$B$20,0)),""))</f>
        <v/>
      </c>
      <c r="H41" s="31">
        <f>IF($F41="","",IFERROR(INDEX(設定!$E$5:$E$20,MATCH($F41,設定!$B$5:$B$20,0)),""))</f>
        <v/>
      </c>
      <c r="I41" s="31">
        <f>IFERROR(INDEX(打卡匯入!$C$3:$C$1002,MATCH($C41&amp;"|"&amp;DAY($A41),打卡匯入!$E$3:$E$1002,0)),"")</f>
        <v/>
      </c>
      <c r="J41" s="31">
        <f>IFERROR(INDEX(打卡匯入!$D$3:$D$1002,MATCH($C41&amp;"|"&amp;DAY($A41),打卡匯入!$E$3:$E$1002,0)),"")</f>
        <v/>
      </c>
      <c r="K41" s="32">
        <f>IF(OR($I41="",$J41=""),"",IFERROR(INDEX(設定!$F$5:$F$20,MATCH($F41,設定!$B$5:$B$20,0)),0))</f>
        <v/>
      </c>
      <c r="L41" s="33">
        <f>IF(OR($I41="",$J41=""),"",ROUND(($J41-$I41)*24-$K41/60,2))</f>
        <v/>
      </c>
      <c r="M41" s="29">
        <f>IF($C41="","",IF(AND(COUNTIF(設定!$B$14:$B$20,$F41)&gt;0,$I41&lt;&gt;""),"假日出勤",IF(AND(COUNTIF(設定!$B$5:$B$13,$F41)&gt;0,$I41=""),"未打卡",IF($I41="","",IF($N41&gt;0,"遲到",IF($O41&gt;0,"早退","正常"))))))</f>
        <v/>
      </c>
      <c r="N41" s="32">
        <f>IF(OR($C41="",$G41="",$I41=""),0,IF(ROUND(($I41-$G41)*1440,0)&gt;設定!$C$28,ROUND(($I41-$G41)*1440,0),0))</f>
        <v/>
      </c>
      <c r="O41" s="32">
        <f>IF(OR($C41="",$H41="",$J41=""),0,IF(ROUND(($H41-$J41)*1440,0)&gt;設定!$C$28,ROUND(($H41-$J41)*1440,0),0))</f>
        <v/>
      </c>
      <c r="P41" s="33">
        <f>IF($L41="",0,IF(($L41-IFERROR(INDEX(設定!$G$5:$G$20,MATCH($F41,設定!$B$5:$B$20,0)),0))*60&gt;=設定!$C$26,ROUND(FLOOR(($L41-IFERROR(INDEX(設定!$G$5:$G$20,MATCH($F41,設定!$B$5:$B$20,0)),0))*60,設定!$C$27)/60,2),0))</f>
        <v/>
      </c>
      <c r="Q41" s="29">
        <f>IF(OR($C41="",$P41=0),"",IF($F41="國","國定假日",IF($B41="日","例假",IF($B41="六","休息日","平日"))))</f>
        <v/>
      </c>
      <c r="R41" s="34" t="n"/>
    </row>
    <row r="42">
      <c r="A42" s="30">
        <f>IF(OR(班表!$A7="",9&gt;DAY(EOMONTH(DATE(班表!$E$2,班表!$G$2,1),0))),"",DATE(班表!$E$2,班表!$G$2,9))</f>
        <v/>
      </c>
      <c r="B42" s="29">
        <f>IF($A42="","",INDEX(設定!$L$5:$L$11,WEEKDAY($A42,1)))</f>
        <v/>
      </c>
      <c r="C42" s="29">
        <f>IF($A42="","",班表!$A7)</f>
        <v/>
      </c>
      <c r="D42" s="29">
        <f>IF($C42="","",班表!$B7)</f>
        <v/>
      </c>
      <c r="E42" s="29">
        <f>IF($C42="","",班表!$C7)</f>
        <v/>
      </c>
      <c r="F42" s="29">
        <f>IF($C42="","",班表!L7)</f>
        <v/>
      </c>
      <c r="G42" s="31">
        <f>IF($F42="","",IFERROR(INDEX(設定!$D$5:$D$20,MATCH($F42,設定!$B$5:$B$20,0)),""))</f>
        <v/>
      </c>
      <c r="H42" s="31">
        <f>IF($F42="","",IFERROR(INDEX(設定!$E$5:$E$20,MATCH($F42,設定!$B$5:$B$20,0)),""))</f>
        <v/>
      </c>
      <c r="I42" s="31">
        <f>IFERROR(INDEX(打卡匯入!$C$3:$C$1002,MATCH($C42&amp;"|"&amp;DAY($A42),打卡匯入!$E$3:$E$1002,0)),"")</f>
        <v/>
      </c>
      <c r="J42" s="31">
        <f>IFERROR(INDEX(打卡匯入!$D$3:$D$1002,MATCH($C42&amp;"|"&amp;DAY($A42),打卡匯入!$E$3:$E$1002,0)),"")</f>
        <v/>
      </c>
      <c r="K42" s="32">
        <f>IF(OR($I42="",$J42=""),"",IFERROR(INDEX(設定!$F$5:$F$20,MATCH($F42,設定!$B$5:$B$20,0)),0))</f>
        <v/>
      </c>
      <c r="L42" s="33">
        <f>IF(OR($I42="",$J42=""),"",ROUND(($J42-$I42)*24-$K42/60,2))</f>
        <v/>
      </c>
      <c r="M42" s="29">
        <f>IF($C42="","",IF(AND(COUNTIF(設定!$B$14:$B$20,$F42)&gt;0,$I42&lt;&gt;""),"假日出勤",IF(AND(COUNTIF(設定!$B$5:$B$13,$F42)&gt;0,$I42=""),"未打卡",IF($I42="","",IF($N42&gt;0,"遲到",IF($O42&gt;0,"早退","正常"))))))</f>
        <v/>
      </c>
      <c r="N42" s="32">
        <f>IF(OR($C42="",$G42="",$I42=""),0,IF(ROUND(($I42-$G42)*1440,0)&gt;設定!$C$28,ROUND(($I42-$G42)*1440,0),0))</f>
        <v/>
      </c>
      <c r="O42" s="32">
        <f>IF(OR($C42="",$H42="",$J42=""),0,IF(ROUND(($H42-$J42)*1440,0)&gt;設定!$C$28,ROUND(($H42-$J42)*1440,0),0))</f>
        <v/>
      </c>
      <c r="P42" s="33">
        <f>IF($L42="",0,IF(($L42-IFERROR(INDEX(設定!$G$5:$G$20,MATCH($F42,設定!$B$5:$B$20,0)),0))*60&gt;=設定!$C$26,ROUND(FLOOR(($L42-IFERROR(INDEX(設定!$G$5:$G$20,MATCH($F42,設定!$B$5:$B$20,0)),0))*60,設定!$C$27)/60,2),0))</f>
        <v/>
      </c>
      <c r="Q42" s="29">
        <f>IF(OR($C42="",$P42=0),"",IF($F42="國","國定假日",IF($B42="日","例假",IF($B42="六","休息日","平日"))))</f>
        <v/>
      </c>
      <c r="R42" s="34" t="n"/>
    </row>
    <row r="43">
      <c r="A43" s="30">
        <f>IF(OR(班表!$A7="",10&gt;DAY(EOMONTH(DATE(班表!$E$2,班表!$G$2,1),0))),"",DATE(班表!$E$2,班表!$G$2,10))</f>
        <v/>
      </c>
      <c r="B43" s="29">
        <f>IF($A43="","",INDEX(設定!$L$5:$L$11,WEEKDAY($A43,1)))</f>
        <v/>
      </c>
      <c r="C43" s="29">
        <f>IF($A43="","",班表!$A7)</f>
        <v/>
      </c>
      <c r="D43" s="29">
        <f>IF($C43="","",班表!$B7)</f>
        <v/>
      </c>
      <c r="E43" s="29">
        <f>IF($C43="","",班表!$C7)</f>
        <v/>
      </c>
      <c r="F43" s="29">
        <f>IF($C43="","",班表!M7)</f>
        <v/>
      </c>
      <c r="G43" s="31">
        <f>IF($F43="","",IFERROR(INDEX(設定!$D$5:$D$20,MATCH($F43,設定!$B$5:$B$20,0)),""))</f>
        <v/>
      </c>
      <c r="H43" s="31">
        <f>IF($F43="","",IFERROR(INDEX(設定!$E$5:$E$20,MATCH($F43,設定!$B$5:$B$20,0)),""))</f>
        <v/>
      </c>
      <c r="I43" s="31">
        <f>IFERROR(INDEX(打卡匯入!$C$3:$C$1002,MATCH($C43&amp;"|"&amp;DAY($A43),打卡匯入!$E$3:$E$1002,0)),"")</f>
        <v/>
      </c>
      <c r="J43" s="31">
        <f>IFERROR(INDEX(打卡匯入!$D$3:$D$1002,MATCH($C43&amp;"|"&amp;DAY($A43),打卡匯入!$E$3:$E$1002,0)),"")</f>
        <v/>
      </c>
      <c r="K43" s="32">
        <f>IF(OR($I43="",$J43=""),"",IFERROR(INDEX(設定!$F$5:$F$20,MATCH($F43,設定!$B$5:$B$20,0)),0))</f>
        <v/>
      </c>
      <c r="L43" s="33">
        <f>IF(OR($I43="",$J43=""),"",ROUND(($J43-$I43)*24-$K43/60,2))</f>
        <v/>
      </c>
      <c r="M43" s="29">
        <f>IF($C43="","",IF(AND(COUNTIF(設定!$B$14:$B$20,$F43)&gt;0,$I43&lt;&gt;""),"假日出勤",IF(AND(COUNTIF(設定!$B$5:$B$13,$F43)&gt;0,$I43=""),"未打卡",IF($I43="","",IF($N43&gt;0,"遲到",IF($O43&gt;0,"早退","正常"))))))</f>
        <v/>
      </c>
      <c r="N43" s="32">
        <f>IF(OR($C43="",$G43="",$I43=""),0,IF(ROUND(($I43-$G43)*1440,0)&gt;設定!$C$28,ROUND(($I43-$G43)*1440,0),0))</f>
        <v/>
      </c>
      <c r="O43" s="32">
        <f>IF(OR($C43="",$H43="",$J43=""),0,IF(ROUND(($H43-$J43)*1440,0)&gt;設定!$C$28,ROUND(($H43-$J43)*1440,0),0))</f>
        <v/>
      </c>
      <c r="P43" s="33">
        <f>IF($L43="",0,IF(($L43-IFERROR(INDEX(設定!$G$5:$G$20,MATCH($F43,設定!$B$5:$B$20,0)),0))*60&gt;=設定!$C$26,ROUND(FLOOR(($L43-IFERROR(INDEX(設定!$G$5:$G$20,MATCH($F43,設定!$B$5:$B$20,0)),0))*60,設定!$C$27)/60,2),0))</f>
        <v/>
      </c>
      <c r="Q43" s="29">
        <f>IF(OR($C43="",$P43=0),"",IF($F43="國","國定假日",IF($B43="日","例假",IF($B43="六","休息日","平日"))))</f>
        <v/>
      </c>
      <c r="R43" s="34" t="n"/>
    </row>
    <row r="44">
      <c r="A44" s="30">
        <f>IF(OR(班表!$A7="",11&gt;DAY(EOMONTH(DATE(班表!$E$2,班表!$G$2,1),0))),"",DATE(班表!$E$2,班表!$G$2,11))</f>
        <v/>
      </c>
      <c r="B44" s="29">
        <f>IF($A44="","",INDEX(設定!$L$5:$L$11,WEEKDAY($A44,1)))</f>
        <v/>
      </c>
      <c r="C44" s="29">
        <f>IF($A44="","",班表!$A7)</f>
        <v/>
      </c>
      <c r="D44" s="29">
        <f>IF($C44="","",班表!$B7)</f>
        <v/>
      </c>
      <c r="E44" s="29">
        <f>IF($C44="","",班表!$C7)</f>
        <v/>
      </c>
      <c r="F44" s="29">
        <f>IF($C44="","",班表!N7)</f>
        <v/>
      </c>
      <c r="G44" s="31">
        <f>IF($F44="","",IFERROR(INDEX(設定!$D$5:$D$20,MATCH($F44,設定!$B$5:$B$20,0)),""))</f>
        <v/>
      </c>
      <c r="H44" s="31">
        <f>IF($F44="","",IFERROR(INDEX(設定!$E$5:$E$20,MATCH($F44,設定!$B$5:$B$20,0)),""))</f>
        <v/>
      </c>
      <c r="I44" s="31">
        <f>IFERROR(INDEX(打卡匯入!$C$3:$C$1002,MATCH($C44&amp;"|"&amp;DAY($A44),打卡匯入!$E$3:$E$1002,0)),"")</f>
        <v/>
      </c>
      <c r="J44" s="31">
        <f>IFERROR(INDEX(打卡匯入!$D$3:$D$1002,MATCH($C44&amp;"|"&amp;DAY($A44),打卡匯入!$E$3:$E$1002,0)),"")</f>
        <v/>
      </c>
      <c r="K44" s="32">
        <f>IF(OR($I44="",$J44=""),"",IFERROR(INDEX(設定!$F$5:$F$20,MATCH($F44,設定!$B$5:$B$20,0)),0))</f>
        <v/>
      </c>
      <c r="L44" s="33">
        <f>IF(OR($I44="",$J44=""),"",ROUND(($J44-$I44)*24-$K44/60,2))</f>
        <v/>
      </c>
      <c r="M44" s="29">
        <f>IF($C44="","",IF(AND(COUNTIF(設定!$B$14:$B$20,$F44)&gt;0,$I44&lt;&gt;""),"假日出勤",IF(AND(COUNTIF(設定!$B$5:$B$13,$F44)&gt;0,$I44=""),"未打卡",IF($I44="","",IF($N44&gt;0,"遲到",IF($O44&gt;0,"早退","正常"))))))</f>
        <v/>
      </c>
      <c r="N44" s="32">
        <f>IF(OR($C44="",$G44="",$I44=""),0,IF(ROUND(($I44-$G44)*1440,0)&gt;設定!$C$28,ROUND(($I44-$G44)*1440,0),0))</f>
        <v/>
      </c>
      <c r="O44" s="32">
        <f>IF(OR($C44="",$H44="",$J44=""),0,IF(ROUND(($H44-$J44)*1440,0)&gt;設定!$C$28,ROUND(($H44-$J44)*1440,0),0))</f>
        <v/>
      </c>
      <c r="P44" s="33">
        <f>IF($L44="",0,IF(($L44-IFERROR(INDEX(設定!$G$5:$G$20,MATCH($F44,設定!$B$5:$B$20,0)),0))*60&gt;=設定!$C$26,ROUND(FLOOR(($L44-IFERROR(INDEX(設定!$G$5:$G$20,MATCH($F44,設定!$B$5:$B$20,0)),0))*60,設定!$C$27)/60,2),0))</f>
        <v/>
      </c>
      <c r="Q44" s="29">
        <f>IF(OR($C44="",$P44=0),"",IF($F44="國","國定假日",IF($B44="日","例假",IF($B44="六","休息日","平日"))))</f>
        <v/>
      </c>
      <c r="R44" s="34" t="n"/>
    </row>
    <row r="45">
      <c r="A45" s="30">
        <f>IF(OR(班表!$A7="",12&gt;DAY(EOMONTH(DATE(班表!$E$2,班表!$G$2,1),0))),"",DATE(班表!$E$2,班表!$G$2,12))</f>
        <v/>
      </c>
      <c r="B45" s="29">
        <f>IF($A45="","",INDEX(設定!$L$5:$L$11,WEEKDAY($A45,1)))</f>
        <v/>
      </c>
      <c r="C45" s="29">
        <f>IF($A45="","",班表!$A7)</f>
        <v/>
      </c>
      <c r="D45" s="29">
        <f>IF($C45="","",班表!$B7)</f>
        <v/>
      </c>
      <c r="E45" s="29">
        <f>IF($C45="","",班表!$C7)</f>
        <v/>
      </c>
      <c r="F45" s="29">
        <f>IF($C45="","",班表!O7)</f>
        <v/>
      </c>
      <c r="G45" s="31">
        <f>IF($F45="","",IFERROR(INDEX(設定!$D$5:$D$20,MATCH($F45,設定!$B$5:$B$20,0)),""))</f>
        <v/>
      </c>
      <c r="H45" s="31">
        <f>IF($F45="","",IFERROR(INDEX(設定!$E$5:$E$20,MATCH($F45,設定!$B$5:$B$20,0)),""))</f>
        <v/>
      </c>
      <c r="I45" s="31">
        <f>IFERROR(INDEX(打卡匯入!$C$3:$C$1002,MATCH($C45&amp;"|"&amp;DAY($A45),打卡匯入!$E$3:$E$1002,0)),"")</f>
        <v/>
      </c>
      <c r="J45" s="31">
        <f>IFERROR(INDEX(打卡匯入!$D$3:$D$1002,MATCH($C45&amp;"|"&amp;DAY($A45),打卡匯入!$E$3:$E$1002,0)),"")</f>
        <v/>
      </c>
      <c r="K45" s="32">
        <f>IF(OR($I45="",$J45=""),"",IFERROR(INDEX(設定!$F$5:$F$20,MATCH($F45,設定!$B$5:$B$20,0)),0))</f>
        <v/>
      </c>
      <c r="L45" s="33">
        <f>IF(OR($I45="",$J45=""),"",ROUND(($J45-$I45)*24-$K45/60,2))</f>
        <v/>
      </c>
      <c r="M45" s="29">
        <f>IF($C45="","",IF(AND(COUNTIF(設定!$B$14:$B$20,$F45)&gt;0,$I45&lt;&gt;""),"假日出勤",IF(AND(COUNTIF(設定!$B$5:$B$13,$F45)&gt;0,$I45=""),"未打卡",IF($I45="","",IF($N45&gt;0,"遲到",IF($O45&gt;0,"早退","正常"))))))</f>
        <v/>
      </c>
      <c r="N45" s="32">
        <f>IF(OR($C45="",$G45="",$I45=""),0,IF(ROUND(($I45-$G45)*1440,0)&gt;設定!$C$28,ROUND(($I45-$G45)*1440,0),0))</f>
        <v/>
      </c>
      <c r="O45" s="32">
        <f>IF(OR($C45="",$H45="",$J45=""),0,IF(ROUND(($H45-$J45)*1440,0)&gt;設定!$C$28,ROUND(($H45-$J45)*1440,0),0))</f>
        <v/>
      </c>
      <c r="P45" s="33">
        <f>IF($L45="",0,IF(($L45-IFERROR(INDEX(設定!$G$5:$G$20,MATCH($F45,設定!$B$5:$B$20,0)),0))*60&gt;=設定!$C$26,ROUND(FLOOR(($L45-IFERROR(INDEX(設定!$G$5:$G$20,MATCH($F45,設定!$B$5:$B$20,0)),0))*60,設定!$C$27)/60,2),0))</f>
        <v/>
      </c>
      <c r="Q45" s="29">
        <f>IF(OR($C45="",$P45=0),"",IF($F45="國","國定假日",IF($B45="日","例假",IF($B45="六","休息日","平日"))))</f>
        <v/>
      </c>
      <c r="R45" s="34" t="n"/>
    </row>
    <row r="46">
      <c r="A46" s="30">
        <f>IF(OR(班表!$A7="",13&gt;DAY(EOMONTH(DATE(班表!$E$2,班表!$G$2,1),0))),"",DATE(班表!$E$2,班表!$G$2,13))</f>
        <v/>
      </c>
      <c r="B46" s="29">
        <f>IF($A46="","",INDEX(設定!$L$5:$L$11,WEEKDAY($A46,1)))</f>
        <v/>
      </c>
      <c r="C46" s="29">
        <f>IF($A46="","",班表!$A7)</f>
        <v/>
      </c>
      <c r="D46" s="29">
        <f>IF($C46="","",班表!$B7)</f>
        <v/>
      </c>
      <c r="E46" s="29">
        <f>IF($C46="","",班表!$C7)</f>
        <v/>
      </c>
      <c r="F46" s="29">
        <f>IF($C46="","",班表!P7)</f>
        <v/>
      </c>
      <c r="G46" s="31">
        <f>IF($F46="","",IFERROR(INDEX(設定!$D$5:$D$20,MATCH($F46,設定!$B$5:$B$20,0)),""))</f>
        <v/>
      </c>
      <c r="H46" s="31">
        <f>IF($F46="","",IFERROR(INDEX(設定!$E$5:$E$20,MATCH($F46,設定!$B$5:$B$20,0)),""))</f>
        <v/>
      </c>
      <c r="I46" s="31">
        <f>IFERROR(INDEX(打卡匯入!$C$3:$C$1002,MATCH($C46&amp;"|"&amp;DAY($A46),打卡匯入!$E$3:$E$1002,0)),"")</f>
        <v/>
      </c>
      <c r="J46" s="31">
        <f>IFERROR(INDEX(打卡匯入!$D$3:$D$1002,MATCH($C46&amp;"|"&amp;DAY($A46),打卡匯入!$E$3:$E$1002,0)),"")</f>
        <v/>
      </c>
      <c r="K46" s="32">
        <f>IF(OR($I46="",$J46=""),"",IFERROR(INDEX(設定!$F$5:$F$20,MATCH($F46,設定!$B$5:$B$20,0)),0))</f>
        <v/>
      </c>
      <c r="L46" s="33">
        <f>IF(OR($I46="",$J46=""),"",ROUND(($J46-$I46)*24-$K46/60,2))</f>
        <v/>
      </c>
      <c r="M46" s="29">
        <f>IF($C46="","",IF(AND(COUNTIF(設定!$B$14:$B$20,$F46)&gt;0,$I46&lt;&gt;""),"假日出勤",IF(AND(COUNTIF(設定!$B$5:$B$13,$F46)&gt;0,$I46=""),"未打卡",IF($I46="","",IF($N46&gt;0,"遲到",IF($O46&gt;0,"早退","正常"))))))</f>
        <v/>
      </c>
      <c r="N46" s="32">
        <f>IF(OR($C46="",$G46="",$I46=""),0,IF(ROUND(($I46-$G46)*1440,0)&gt;設定!$C$28,ROUND(($I46-$G46)*1440,0),0))</f>
        <v/>
      </c>
      <c r="O46" s="32">
        <f>IF(OR($C46="",$H46="",$J46=""),0,IF(ROUND(($H46-$J46)*1440,0)&gt;設定!$C$28,ROUND(($H46-$J46)*1440,0),0))</f>
        <v/>
      </c>
      <c r="P46" s="33">
        <f>IF($L46="",0,IF(($L46-IFERROR(INDEX(設定!$G$5:$G$20,MATCH($F46,設定!$B$5:$B$20,0)),0))*60&gt;=設定!$C$26,ROUND(FLOOR(($L46-IFERROR(INDEX(設定!$G$5:$G$20,MATCH($F46,設定!$B$5:$B$20,0)),0))*60,設定!$C$27)/60,2),0))</f>
        <v/>
      </c>
      <c r="Q46" s="29">
        <f>IF(OR($C46="",$P46=0),"",IF($F46="國","國定假日",IF($B46="日","例假",IF($B46="六","休息日","平日"))))</f>
        <v/>
      </c>
      <c r="R46" s="34" t="n"/>
    </row>
    <row r="47">
      <c r="A47" s="30">
        <f>IF(OR(班表!$A7="",14&gt;DAY(EOMONTH(DATE(班表!$E$2,班表!$G$2,1),0))),"",DATE(班表!$E$2,班表!$G$2,14))</f>
        <v/>
      </c>
      <c r="B47" s="29">
        <f>IF($A47="","",INDEX(設定!$L$5:$L$11,WEEKDAY($A47,1)))</f>
        <v/>
      </c>
      <c r="C47" s="29">
        <f>IF($A47="","",班表!$A7)</f>
        <v/>
      </c>
      <c r="D47" s="29">
        <f>IF($C47="","",班表!$B7)</f>
        <v/>
      </c>
      <c r="E47" s="29">
        <f>IF($C47="","",班表!$C7)</f>
        <v/>
      </c>
      <c r="F47" s="29">
        <f>IF($C47="","",班表!Q7)</f>
        <v/>
      </c>
      <c r="G47" s="31">
        <f>IF($F47="","",IFERROR(INDEX(設定!$D$5:$D$20,MATCH($F47,設定!$B$5:$B$20,0)),""))</f>
        <v/>
      </c>
      <c r="H47" s="31">
        <f>IF($F47="","",IFERROR(INDEX(設定!$E$5:$E$20,MATCH($F47,設定!$B$5:$B$20,0)),""))</f>
        <v/>
      </c>
      <c r="I47" s="31">
        <f>IFERROR(INDEX(打卡匯入!$C$3:$C$1002,MATCH($C47&amp;"|"&amp;DAY($A47),打卡匯入!$E$3:$E$1002,0)),"")</f>
        <v/>
      </c>
      <c r="J47" s="31">
        <f>IFERROR(INDEX(打卡匯入!$D$3:$D$1002,MATCH($C47&amp;"|"&amp;DAY($A47),打卡匯入!$E$3:$E$1002,0)),"")</f>
        <v/>
      </c>
      <c r="K47" s="32">
        <f>IF(OR($I47="",$J47=""),"",IFERROR(INDEX(設定!$F$5:$F$20,MATCH($F47,設定!$B$5:$B$20,0)),0))</f>
        <v/>
      </c>
      <c r="L47" s="33">
        <f>IF(OR($I47="",$J47=""),"",ROUND(($J47-$I47)*24-$K47/60,2))</f>
        <v/>
      </c>
      <c r="M47" s="29">
        <f>IF($C47="","",IF(AND(COUNTIF(設定!$B$14:$B$20,$F47)&gt;0,$I47&lt;&gt;""),"假日出勤",IF(AND(COUNTIF(設定!$B$5:$B$13,$F47)&gt;0,$I47=""),"未打卡",IF($I47="","",IF($N47&gt;0,"遲到",IF($O47&gt;0,"早退","正常"))))))</f>
        <v/>
      </c>
      <c r="N47" s="32">
        <f>IF(OR($C47="",$G47="",$I47=""),0,IF(ROUND(($I47-$G47)*1440,0)&gt;設定!$C$28,ROUND(($I47-$G47)*1440,0),0))</f>
        <v/>
      </c>
      <c r="O47" s="32">
        <f>IF(OR($C47="",$H47="",$J47=""),0,IF(ROUND(($H47-$J47)*1440,0)&gt;設定!$C$28,ROUND(($H47-$J47)*1440,0),0))</f>
        <v/>
      </c>
      <c r="P47" s="33">
        <f>IF($L47="",0,IF(($L47-IFERROR(INDEX(設定!$G$5:$G$20,MATCH($F47,設定!$B$5:$B$20,0)),0))*60&gt;=設定!$C$26,ROUND(FLOOR(($L47-IFERROR(INDEX(設定!$G$5:$G$20,MATCH($F47,設定!$B$5:$B$20,0)),0))*60,設定!$C$27)/60,2),0))</f>
        <v/>
      </c>
      <c r="Q47" s="29">
        <f>IF(OR($C47="",$P47=0),"",IF($F47="國","國定假日",IF($B47="日","例假",IF($B47="六","休息日","平日"))))</f>
        <v/>
      </c>
      <c r="R47" s="34" t="n"/>
    </row>
    <row r="48">
      <c r="A48" s="30">
        <f>IF(OR(班表!$A7="",15&gt;DAY(EOMONTH(DATE(班表!$E$2,班表!$G$2,1),0))),"",DATE(班表!$E$2,班表!$G$2,15))</f>
        <v/>
      </c>
      <c r="B48" s="29">
        <f>IF($A48="","",INDEX(設定!$L$5:$L$11,WEEKDAY($A48,1)))</f>
        <v/>
      </c>
      <c r="C48" s="29">
        <f>IF($A48="","",班表!$A7)</f>
        <v/>
      </c>
      <c r="D48" s="29">
        <f>IF($C48="","",班表!$B7)</f>
        <v/>
      </c>
      <c r="E48" s="29">
        <f>IF($C48="","",班表!$C7)</f>
        <v/>
      </c>
      <c r="F48" s="29">
        <f>IF($C48="","",班表!R7)</f>
        <v/>
      </c>
      <c r="G48" s="31">
        <f>IF($F48="","",IFERROR(INDEX(設定!$D$5:$D$20,MATCH($F48,設定!$B$5:$B$20,0)),""))</f>
        <v/>
      </c>
      <c r="H48" s="31">
        <f>IF($F48="","",IFERROR(INDEX(設定!$E$5:$E$20,MATCH($F48,設定!$B$5:$B$20,0)),""))</f>
        <v/>
      </c>
      <c r="I48" s="31">
        <f>IFERROR(INDEX(打卡匯入!$C$3:$C$1002,MATCH($C48&amp;"|"&amp;DAY($A48),打卡匯入!$E$3:$E$1002,0)),"")</f>
        <v/>
      </c>
      <c r="J48" s="31">
        <f>IFERROR(INDEX(打卡匯入!$D$3:$D$1002,MATCH($C48&amp;"|"&amp;DAY($A48),打卡匯入!$E$3:$E$1002,0)),"")</f>
        <v/>
      </c>
      <c r="K48" s="32">
        <f>IF(OR($I48="",$J48=""),"",IFERROR(INDEX(設定!$F$5:$F$20,MATCH($F48,設定!$B$5:$B$20,0)),0))</f>
        <v/>
      </c>
      <c r="L48" s="33">
        <f>IF(OR($I48="",$J48=""),"",ROUND(($J48-$I48)*24-$K48/60,2))</f>
        <v/>
      </c>
      <c r="M48" s="29">
        <f>IF($C48="","",IF(AND(COUNTIF(設定!$B$14:$B$20,$F48)&gt;0,$I48&lt;&gt;""),"假日出勤",IF(AND(COUNTIF(設定!$B$5:$B$13,$F48)&gt;0,$I48=""),"未打卡",IF($I48="","",IF($N48&gt;0,"遲到",IF($O48&gt;0,"早退","正常"))))))</f>
        <v/>
      </c>
      <c r="N48" s="32">
        <f>IF(OR($C48="",$G48="",$I48=""),0,IF(ROUND(($I48-$G48)*1440,0)&gt;設定!$C$28,ROUND(($I48-$G48)*1440,0),0))</f>
        <v/>
      </c>
      <c r="O48" s="32">
        <f>IF(OR($C48="",$H48="",$J48=""),0,IF(ROUND(($H48-$J48)*1440,0)&gt;設定!$C$28,ROUND(($H48-$J48)*1440,0),0))</f>
        <v/>
      </c>
      <c r="P48" s="33">
        <f>IF($L48="",0,IF(($L48-IFERROR(INDEX(設定!$G$5:$G$20,MATCH($F48,設定!$B$5:$B$20,0)),0))*60&gt;=設定!$C$26,ROUND(FLOOR(($L48-IFERROR(INDEX(設定!$G$5:$G$20,MATCH($F48,設定!$B$5:$B$20,0)),0))*60,設定!$C$27)/60,2),0))</f>
        <v/>
      </c>
      <c r="Q48" s="29">
        <f>IF(OR($C48="",$P48=0),"",IF($F48="國","國定假日",IF($B48="日","例假",IF($B48="六","休息日","平日"))))</f>
        <v/>
      </c>
      <c r="R48" s="34" t="n"/>
    </row>
    <row r="49">
      <c r="A49" s="30">
        <f>IF(OR(班表!$A7="",16&gt;DAY(EOMONTH(DATE(班表!$E$2,班表!$G$2,1),0))),"",DATE(班表!$E$2,班表!$G$2,16))</f>
        <v/>
      </c>
      <c r="B49" s="29">
        <f>IF($A49="","",INDEX(設定!$L$5:$L$11,WEEKDAY($A49,1)))</f>
        <v/>
      </c>
      <c r="C49" s="29">
        <f>IF($A49="","",班表!$A7)</f>
        <v/>
      </c>
      <c r="D49" s="29">
        <f>IF($C49="","",班表!$B7)</f>
        <v/>
      </c>
      <c r="E49" s="29">
        <f>IF($C49="","",班表!$C7)</f>
        <v/>
      </c>
      <c r="F49" s="29">
        <f>IF($C49="","",班表!S7)</f>
        <v/>
      </c>
      <c r="G49" s="31">
        <f>IF($F49="","",IFERROR(INDEX(設定!$D$5:$D$20,MATCH($F49,設定!$B$5:$B$20,0)),""))</f>
        <v/>
      </c>
      <c r="H49" s="31">
        <f>IF($F49="","",IFERROR(INDEX(設定!$E$5:$E$20,MATCH($F49,設定!$B$5:$B$20,0)),""))</f>
        <v/>
      </c>
      <c r="I49" s="31">
        <f>IFERROR(INDEX(打卡匯入!$C$3:$C$1002,MATCH($C49&amp;"|"&amp;DAY($A49),打卡匯入!$E$3:$E$1002,0)),"")</f>
        <v/>
      </c>
      <c r="J49" s="31">
        <f>IFERROR(INDEX(打卡匯入!$D$3:$D$1002,MATCH($C49&amp;"|"&amp;DAY($A49),打卡匯入!$E$3:$E$1002,0)),"")</f>
        <v/>
      </c>
      <c r="K49" s="32">
        <f>IF(OR($I49="",$J49=""),"",IFERROR(INDEX(設定!$F$5:$F$20,MATCH($F49,設定!$B$5:$B$20,0)),0))</f>
        <v/>
      </c>
      <c r="L49" s="33">
        <f>IF(OR($I49="",$J49=""),"",ROUND(($J49-$I49)*24-$K49/60,2))</f>
        <v/>
      </c>
      <c r="M49" s="29">
        <f>IF($C49="","",IF(AND(COUNTIF(設定!$B$14:$B$20,$F49)&gt;0,$I49&lt;&gt;""),"假日出勤",IF(AND(COUNTIF(設定!$B$5:$B$13,$F49)&gt;0,$I49=""),"未打卡",IF($I49="","",IF($N49&gt;0,"遲到",IF($O49&gt;0,"早退","正常"))))))</f>
        <v/>
      </c>
      <c r="N49" s="32">
        <f>IF(OR($C49="",$G49="",$I49=""),0,IF(ROUND(($I49-$G49)*1440,0)&gt;設定!$C$28,ROUND(($I49-$G49)*1440,0),0))</f>
        <v/>
      </c>
      <c r="O49" s="32">
        <f>IF(OR($C49="",$H49="",$J49=""),0,IF(ROUND(($H49-$J49)*1440,0)&gt;設定!$C$28,ROUND(($H49-$J49)*1440,0),0))</f>
        <v/>
      </c>
      <c r="P49" s="33">
        <f>IF($L49="",0,IF(($L49-IFERROR(INDEX(設定!$G$5:$G$20,MATCH($F49,設定!$B$5:$B$20,0)),0))*60&gt;=設定!$C$26,ROUND(FLOOR(($L49-IFERROR(INDEX(設定!$G$5:$G$20,MATCH($F49,設定!$B$5:$B$20,0)),0))*60,設定!$C$27)/60,2),0))</f>
        <v/>
      </c>
      <c r="Q49" s="29">
        <f>IF(OR($C49="",$P49=0),"",IF($F49="國","國定假日",IF($B49="日","例假",IF($B49="六","休息日","平日"))))</f>
        <v/>
      </c>
      <c r="R49" s="34" t="n"/>
    </row>
    <row r="50">
      <c r="A50" s="30">
        <f>IF(OR(班表!$A7="",17&gt;DAY(EOMONTH(DATE(班表!$E$2,班表!$G$2,1),0))),"",DATE(班表!$E$2,班表!$G$2,17))</f>
        <v/>
      </c>
      <c r="B50" s="29">
        <f>IF($A50="","",INDEX(設定!$L$5:$L$11,WEEKDAY($A50,1)))</f>
        <v/>
      </c>
      <c r="C50" s="29">
        <f>IF($A50="","",班表!$A7)</f>
        <v/>
      </c>
      <c r="D50" s="29">
        <f>IF($C50="","",班表!$B7)</f>
        <v/>
      </c>
      <c r="E50" s="29">
        <f>IF($C50="","",班表!$C7)</f>
        <v/>
      </c>
      <c r="F50" s="29">
        <f>IF($C50="","",班表!T7)</f>
        <v/>
      </c>
      <c r="G50" s="31">
        <f>IF($F50="","",IFERROR(INDEX(設定!$D$5:$D$20,MATCH($F50,設定!$B$5:$B$20,0)),""))</f>
        <v/>
      </c>
      <c r="H50" s="31">
        <f>IF($F50="","",IFERROR(INDEX(設定!$E$5:$E$20,MATCH($F50,設定!$B$5:$B$20,0)),""))</f>
        <v/>
      </c>
      <c r="I50" s="31">
        <f>IFERROR(INDEX(打卡匯入!$C$3:$C$1002,MATCH($C50&amp;"|"&amp;DAY($A50),打卡匯入!$E$3:$E$1002,0)),"")</f>
        <v/>
      </c>
      <c r="J50" s="31">
        <f>IFERROR(INDEX(打卡匯入!$D$3:$D$1002,MATCH($C50&amp;"|"&amp;DAY($A50),打卡匯入!$E$3:$E$1002,0)),"")</f>
        <v/>
      </c>
      <c r="K50" s="32">
        <f>IF(OR($I50="",$J50=""),"",IFERROR(INDEX(設定!$F$5:$F$20,MATCH($F50,設定!$B$5:$B$20,0)),0))</f>
        <v/>
      </c>
      <c r="L50" s="33">
        <f>IF(OR($I50="",$J50=""),"",ROUND(($J50-$I50)*24-$K50/60,2))</f>
        <v/>
      </c>
      <c r="M50" s="29">
        <f>IF($C50="","",IF(AND(COUNTIF(設定!$B$14:$B$20,$F50)&gt;0,$I50&lt;&gt;""),"假日出勤",IF(AND(COUNTIF(設定!$B$5:$B$13,$F50)&gt;0,$I50=""),"未打卡",IF($I50="","",IF($N50&gt;0,"遲到",IF($O50&gt;0,"早退","正常"))))))</f>
        <v/>
      </c>
      <c r="N50" s="32">
        <f>IF(OR($C50="",$G50="",$I50=""),0,IF(ROUND(($I50-$G50)*1440,0)&gt;設定!$C$28,ROUND(($I50-$G50)*1440,0),0))</f>
        <v/>
      </c>
      <c r="O50" s="32">
        <f>IF(OR($C50="",$H50="",$J50=""),0,IF(ROUND(($H50-$J50)*1440,0)&gt;設定!$C$28,ROUND(($H50-$J50)*1440,0),0))</f>
        <v/>
      </c>
      <c r="P50" s="33">
        <f>IF($L50="",0,IF(($L50-IFERROR(INDEX(設定!$G$5:$G$20,MATCH($F50,設定!$B$5:$B$20,0)),0))*60&gt;=設定!$C$26,ROUND(FLOOR(($L50-IFERROR(INDEX(設定!$G$5:$G$20,MATCH($F50,設定!$B$5:$B$20,0)),0))*60,設定!$C$27)/60,2),0))</f>
        <v/>
      </c>
      <c r="Q50" s="29">
        <f>IF(OR($C50="",$P50=0),"",IF($F50="國","國定假日",IF($B50="日","例假",IF($B50="六","休息日","平日"))))</f>
        <v/>
      </c>
      <c r="R50" s="34" t="n"/>
    </row>
    <row r="51">
      <c r="A51" s="30">
        <f>IF(OR(班表!$A7="",18&gt;DAY(EOMONTH(DATE(班表!$E$2,班表!$G$2,1),0))),"",DATE(班表!$E$2,班表!$G$2,18))</f>
        <v/>
      </c>
      <c r="B51" s="29">
        <f>IF($A51="","",INDEX(設定!$L$5:$L$11,WEEKDAY($A51,1)))</f>
        <v/>
      </c>
      <c r="C51" s="29">
        <f>IF($A51="","",班表!$A7)</f>
        <v/>
      </c>
      <c r="D51" s="29">
        <f>IF($C51="","",班表!$B7)</f>
        <v/>
      </c>
      <c r="E51" s="29">
        <f>IF($C51="","",班表!$C7)</f>
        <v/>
      </c>
      <c r="F51" s="29">
        <f>IF($C51="","",班表!U7)</f>
        <v/>
      </c>
      <c r="G51" s="31">
        <f>IF($F51="","",IFERROR(INDEX(設定!$D$5:$D$20,MATCH($F51,設定!$B$5:$B$20,0)),""))</f>
        <v/>
      </c>
      <c r="H51" s="31">
        <f>IF($F51="","",IFERROR(INDEX(設定!$E$5:$E$20,MATCH($F51,設定!$B$5:$B$20,0)),""))</f>
        <v/>
      </c>
      <c r="I51" s="31">
        <f>IFERROR(INDEX(打卡匯入!$C$3:$C$1002,MATCH($C51&amp;"|"&amp;DAY($A51),打卡匯入!$E$3:$E$1002,0)),"")</f>
        <v/>
      </c>
      <c r="J51" s="31">
        <f>IFERROR(INDEX(打卡匯入!$D$3:$D$1002,MATCH($C51&amp;"|"&amp;DAY($A51),打卡匯入!$E$3:$E$1002,0)),"")</f>
        <v/>
      </c>
      <c r="K51" s="32">
        <f>IF(OR($I51="",$J51=""),"",IFERROR(INDEX(設定!$F$5:$F$20,MATCH($F51,設定!$B$5:$B$20,0)),0))</f>
        <v/>
      </c>
      <c r="L51" s="33">
        <f>IF(OR($I51="",$J51=""),"",ROUND(($J51-$I51)*24-$K51/60,2))</f>
        <v/>
      </c>
      <c r="M51" s="29">
        <f>IF($C51="","",IF(AND(COUNTIF(設定!$B$14:$B$20,$F51)&gt;0,$I51&lt;&gt;""),"假日出勤",IF(AND(COUNTIF(設定!$B$5:$B$13,$F51)&gt;0,$I51=""),"未打卡",IF($I51="","",IF($N51&gt;0,"遲到",IF($O51&gt;0,"早退","正常"))))))</f>
        <v/>
      </c>
      <c r="N51" s="32">
        <f>IF(OR($C51="",$G51="",$I51=""),0,IF(ROUND(($I51-$G51)*1440,0)&gt;設定!$C$28,ROUND(($I51-$G51)*1440,0),0))</f>
        <v/>
      </c>
      <c r="O51" s="32">
        <f>IF(OR($C51="",$H51="",$J51=""),0,IF(ROUND(($H51-$J51)*1440,0)&gt;設定!$C$28,ROUND(($H51-$J51)*1440,0),0))</f>
        <v/>
      </c>
      <c r="P51" s="33">
        <f>IF($L51="",0,IF(($L51-IFERROR(INDEX(設定!$G$5:$G$20,MATCH($F51,設定!$B$5:$B$20,0)),0))*60&gt;=設定!$C$26,ROUND(FLOOR(($L51-IFERROR(INDEX(設定!$G$5:$G$20,MATCH($F51,設定!$B$5:$B$20,0)),0))*60,設定!$C$27)/60,2),0))</f>
        <v/>
      </c>
      <c r="Q51" s="29">
        <f>IF(OR($C51="",$P51=0),"",IF($F51="國","國定假日",IF($B51="日","例假",IF($B51="六","休息日","平日"))))</f>
        <v/>
      </c>
      <c r="R51" s="34" t="n"/>
    </row>
    <row r="52">
      <c r="A52" s="30">
        <f>IF(OR(班表!$A7="",19&gt;DAY(EOMONTH(DATE(班表!$E$2,班表!$G$2,1),0))),"",DATE(班表!$E$2,班表!$G$2,19))</f>
        <v/>
      </c>
      <c r="B52" s="29">
        <f>IF($A52="","",INDEX(設定!$L$5:$L$11,WEEKDAY($A52,1)))</f>
        <v/>
      </c>
      <c r="C52" s="29">
        <f>IF($A52="","",班表!$A7)</f>
        <v/>
      </c>
      <c r="D52" s="29">
        <f>IF($C52="","",班表!$B7)</f>
        <v/>
      </c>
      <c r="E52" s="29">
        <f>IF($C52="","",班表!$C7)</f>
        <v/>
      </c>
      <c r="F52" s="29">
        <f>IF($C52="","",班表!V7)</f>
        <v/>
      </c>
      <c r="G52" s="31">
        <f>IF($F52="","",IFERROR(INDEX(設定!$D$5:$D$20,MATCH($F52,設定!$B$5:$B$20,0)),""))</f>
        <v/>
      </c>
      <c r="H52" s="31">
        <f>IF($F52="","",IFERROR(INDEX(設定!$E$5:$E$20,MATCH($F52,設定!$B$5:$B$20,0)),""))</f>
        <v/>
      </c>
      <c r="I52" s="31">
        <f>IFERROR(INDEX(打卡匯入!$C$3:$C$1002,MATCH($C52&amp;"|"&amp;DAY($A52),打卡匯入!$E$3:$E$1002,0)),"")</f>
        <v/>
      </c>
      <c r="J52" s="31">
        <f>IFERROR(INDEX(打卡匯入!$D$3:$D$1002,MATCH($C52&amp;"|"&amp;DAY($A52),打卡匯入!$E$3:$E$1002,0)),"")</f>
        <v/>
      </c>
      <c r="K52" s="32">
        <f>IF(OR($I52="",$J52=""),"",IFERROR(INDEX(設定!$F$5:$F$20,MATCH($F52,設定!$B$5:$B$20,0)),0))</f>
        <v/>
      </c>
      <c r="L52" s="33">
        <f>IF(OR($I52="",$J52=""),"",ROUND(($J52-$I52)*24-$K52/60,2))</f>
        <v/>
      </c>
      <c r="M52" s="29">
        <f>IF($C52="","",IF(AND(COUNTIF(設定!$B$14:$B$20,$F52)&gt;0,$I52&lt;&gt;""),"假日出勤",IF(AND(COUNTIF(設定!$B$5:$B$13,$F52)&gt;0,$I52=""),"未打卡",IF($I52="","",IF($N52&gt;0,"遲到",IF($O52&gt;0,"早退","正常"))))))</f>
        <v/>
      </c>
      <c r="N52" s="32">
        <f>IF(OR($C52="",$G52="",$I52=""),0,IF(ROUND(($I52-$G52)*1440,0)&gt;設定!$C$28,ROUND(($I52-$G52)*1440,0),0))</f>
        <v/>
      </c>
      <c r="O52" s="32">
        <f>IF(OR($C52="",$H52="",$J52=""),0,IF(ROUND(($H52-$J52)*1440,0)&gt;設定!$C$28,ROUND(($H52-$J52)*1440,0),0))</f>
        <v/>
      </c>
      <c r="P52" s="33">
        <f>IF($L52="",0,IF(($L52-IFERROR(INDEX(設定!$G$5:$G$20,MATCH($F52,設定!$B$5:$B$20,0)),0))*60&gt;=設定!$C$26,ROUND(FLOOR(($L52-IFERROR(INDEX(設定!$G$5:$G$20,MATCH($F52,設定!$B$5:$B$20,0)),0))*60,設定!$C$27)/60,2),0))</f>
        <v/>
      </c>
      <c r="Q52" s="29">
        <f>IF(OR($C52="",$P52=0),"",IF($F52="國","國定假日",IF($B52="日","例假",IF($B52="六","休息日","平日"))))</f>
        <v/>
      </c>
      <c r="R52" s="34" t="n"/>
    </row>
    <row r="53">
      <c r="A53" s="30">
        <f>IF(OR(班表!$A7="",20&gt;DAY(EOMONTH(DATE(班表!$E$2,班表!$G$2,1),0))),"",DATE(班表!$E$2,班表!$G$2,20))</f>
        <v/>
      </c>
      <c r="B53" s="29">
        <f>IF($A53="","",INDEX(設定!$L$5:$L$11,WEEKDAY($A53,1)))</f>
        <v/>
      </c>
      <c r="C53" s="29">
        <f>IF($A53="","",班表!$A7)</f>
        <v/>
      </c>
      <c r="D53" s="29">
        <f>IF($C53="","",班表!$B7)</f>
        <v/>
      </c>
      <c r="E53" s="29">
        <f>IF($C53="","",班表!$C7)</f>
        <v/>
      </c>
      <c r="F53" s="29">
        <f>IF($C53="","",班表!W7)</f>
        <v/>
      </c>
      <c r="G53" s="31">
        <f>IF($F53="","",IFERROR(INDEX(設定!$D$5:$D$20,MATCH($F53,設定!$B$5:$B$20,0)),""))</f>
        <v/>
      </c>
      <c r="H53" s="31">
        <f>IF($F53="","",IFERROR(INDEX(設定!$E$5:$E$20,MATCH($F53,設定!$B$5:$B$20,0)),""))</f>
        <v/>
      </c>
      <c r="I53" s="31">
        <f>IFERROR(INDEX(打卡匯入!$C$3:$C$1002,MATCH($C53&amp;"|"&amp;DAY($A53),打卡匯入!$E$3:$E$1002,0)),"")</f>
        <v/>
      </c>
      <c r="J53" s="31">
        <f>IFERROR(INDEX(打卡匯入!$D$3:$D$1002,MATCH($C53&amp;"|"&amp;DAY($A53),打卡匯入!$E$3:$E$1002,0)),"")</f>
        <v/>
      </c>
      <c r="K53" s="32">
        <f>IF(OR($I53="",$J53=""),"",IFERROR(INDEX(設定!$F$5:$F$20,MATCH($F53,設定!$B$5:$B$20,0)),0))</f>
        <v/>
      </c>
      <c r="L53" s="33">
        <f>IF(OR($I53="",$J53=""),"",ROUND(($J53-$I53)*24-$K53/60,2))</f>
        <v/>
      </c>
      <c r="M53" s="29">
        <f>IF($C53="","",IF(AND(COUNTIF(設定!$B$14:$B$20,$F53)&gt;0,$I53&lt;&gt;""),"假日出勤",IF(AND(COUNTIF(設定!$B$5:$B$13,$F53)&gt;0,$I53=""),"未打卡",IF($I53="","",IF($N53&gt;0,"遲到",IF($O53&gt;0,"早退","正常"))))))</f>
        <v/>
      </c>
      <c r="N53" s="32">
        <f>IF(OR($C53="",$G53="",$I53=""),0,IF(ROUND(($I53-$G53)*1440,0)&gt;設定!$C$28,ROUND(($I53-$G53)*1440,0),0))</f>
        <v/>
      </c>
      <c r="O53" s="32">
        <f>IF(OR($C53="",$H53="",$J53=""),0,IF(ROUND(($H53-$J53)*1440,0)&gt;設定!$C$28,ROUND(($H53-$J53)*1440,0),0))</f>
        <v/>
      </c>
      <c r="P53" s="33">
        <f>IF($L53="",0,IF(($L53-IFERROR(INDEX(設定!$G$5:$G$20,MATCH($F53,設定!$B$5:$B$20,0)),0))*60&gt;=設定!$C$26,ROUND(FLOOR(($L53-IFERROR(INDEX(設定!$G$5:$G$20,MATCH($F53,設定!$B$5:$B$20,0)),0))*60,設定!$C$27)/60,2),0))</f>
        <v/>
      </c>
      <c r="Q53" s="29">
        <f>IF(OR($C53="",$P53=0),"",IF($F53="國","國定假日",IF($B53="日","例假",IF($B53="六","休息日","平日"))))</f>
        <v/>
      </c>
      <c r="R53" s="34" t="n"/>
    </row>
    <row r="54">
      <c r="A54" s="30">
        <f>IF(OR(班表!$A7="",21&gt;DAY(EOMONTH(DATE(班表!$E$2,班表!$G$2,1),0))),"",DATE(班表!$E$2,班表!$G$2,21))</f>
        <v/>
      </c>
      <c r="B54" s="29">
        <f>IF($A54="","",INDEX(設定!$L$5:$L$11,WEEKDAY($A54,1)))</f>
        <v/>
      </c>
      <c r="C54" s="29">
        <f>IF($A54="","",班表!$A7)</f>
        <v/>
      </c>
      <c r="D54" s="29">
        <f>IF($C54="","",班表!$B7)</f>
        <v/>
      </c>
      <c r="E54" s="29">
        <f>IF($C54="","",班表!$C7)</f>
        <v/>
      </c>
      <c r="F54" s="29">
        <f>IF($C54="","",班表!X7)</f>
        <v/>
      </c>
      <c r="G54" s="31">
        <f>IF($F54="","",IFERROR(INDEX(設定!$D$5:$D$20,MATCH($F54,設定!$B$5:$B$20,0)),""))</f>
        <v/>
      </c>
      <c r="H54" s="31">
        <f>IF($F54="","",IFERROR(INDEX(設定!$E$5:$E$20,MATCH($F54,設定!$B$5:$B$20,0)),""))</f>
        <v/>
      </c>
      <c r="I54" s="31">
        <f>IFERROR(INDEX(打卡匯入!$C$3:$C$1002,MATCH($C54&amp;"|"&amp;DAY($A54),打卡匯入!$E$3:$E$1002,0)),"")</f>
        <v/>
      </c>
      <c r="J54" s="31">
        <f>IFERROR(INDEX(打卡匯入!$D$3:$D$1002,MATCH($C54&amp;"|"&amp;DAY($A54),打卡匯入!$E$3:$E$1002,0)),"")</f>
        <v/>
      </c>
      <c r="K54" s="32">
        <f>IF(OR($I54="",$J54=""),"",IFERROR(INDEX(設定!$F$5:$F$20,MATCH($F54,設定!$B$5:$B$20,0)),0))</f>
        <v/>
      </c>
      <c r="L54" s="33">
        <f>IF(OR($I54="",$J54=""),"",ROUND(($J54-$I54)*24-$K54/60,2))</f>
        <v/>
      </c>
      <c r="M54" s="29">
        <f>IF($C54="","",IF(AND(COUNTIF(設定!$B$14:$B$20,$F54)&gt;0,$I54&lt;&gt;""),"假日出勤",IF(AND(COUNTIF(設定!$B$5:$B$13,$F54)&gt;0,$I54=""),"未打卡",IF($I54="","",IF($N54&gt;0,"遲到",IF($O54&gt;0,"早退","正常"))))))</f>
        <v/>
      </c>
      <c r="N54" s="32">
        <f>IF(OR($C54="",$G54="",$I54=""),0,IF(ROUND(($I54-$G54)*1440,0)&gt;設定!$C$28,ROUND(($I54-$G54)*1440,0),0))</f>
        <v/>
      </c>
      <c r="O54" s="32">
        <f>IF(OR($C54="",$H54="",$J54=""),0,IF(ROUND(($H54-$J54)*1440,0)&gt;設定!$C$28,ROUND(($H54-$J54)*1440,0),0))</f>
        <v/>
      </c>
      <c r="P54" s="33">
        <f>IF($L54="",0,IF(($L54-IFERROR(INDEX(設定!$G$5:$G$20,MATCH($F54,設定!$B$5:$B$20,0)),0))*60&gt;=設定!$C$26,ROUND(FLOOR(($L54-IFERROR(INDEX(設定!$G$5:$G$20,MATCH($F54,設定!$B$5:$B$20,0)),0))*60,設定!$C$27)/60,2),0))</f>
        <v/>
      </c>
      <c r="Q54" s="29">
        <f>IF(OR($C54="",$P54=0),"",IF($F54="國","國定假日",IF($B54="日","例假",IF($B54="六","休息日","平日"))))</f>
        <v/>
      </c>
      <c r="R54" s="34" t="n"/>
    </row>
    <row r="55">
      <c r="A55" s="30">
        <f>IF(OR(班表!$A7="",22&gt;DAY(EOMONTH(DATE(班表!$E$2,班表!$G$2,1),0))),"",DATE(班表!$E$2,班表!$G$2,22))</f>
        <v/>
      </c>
      <c r="B55" s="29">
        <f>IF($A55="","",INDEX(設定!$L$5:$L$11,WEEKDAY($A55,1)))</f>
        <v/>
      </c>
      <c r="C55" s="29">
        <f>IF($A55="","",班表!$A7)</f>
        <v/>
      </c>
      <c r="D55" s="29">
        <f>IF($C55="","",班表!$B7)</f>
        <v/>
      </c>
      <c r="E55" s="29">
        <f>IF($C55="","",班表!$C7)</f>
        <v/>
      </c>
      <c r="F55" s="29">
        <f>IF($C55="","",班表!Y7)</f>
        <v/>
      </c>
      <c r="G55" s="31">
        <f>IF($F55="","",IFERROR(INDEX(設定!$D$5:$D$20,MATCH($F55,設定!$B$5:$B$20,0)),""))</f>
        <v/>
      </c>
      <c r="H55" s="31">
        <f>IF($F55="","",IFERROR(INDEX(設定!$E$5:$E$20,MATCH($F55,設定!$B$5:$B$20,0)),""))</f>
        <v/>
      </c>
      <c r="I55" s="31">
        <f>IFERROR(INDEX(打卡匯入!$C$3:$C$1002,MATCH($C55&amp;"|"&amp;DAY($A55),打卡匯入!$E$3:$E$1002,0)),"")</f>
        <v/>
      </c>
      <c r="J55" s="31">
        <f>IFERROR(INDEX(打卡匯入!$D$3:$D$1002,MATCH($C55&amp;"|"&amp;DAY($A55),打卡匯入!$E$3:$E$1002,0)),"")</f>
        <v/>
      </c>
      <c r="K55" s="32">
        <f>IF(OR($I55="",$J55=""),"",IFERROR(INDEX(設定!$F$5:$F$20,MATCH($F55,設定!$B$5:$B$20,0)),0))</f>
        <v/>
      </c>
      <c r="L55" s="33">
        <f>IF(OR($I55="",$J55=""),"",ROUND(($J55-$I55)*24-$K55/60,2))</f>
        <v/>
      </c>
      <c r="M55" s="29">
        <f>IF($C55="","",IF(AND(COUNTIF(設定!$B$14:$B$20,$F55)&gt;0,$I55&lt;&gt;""),"假日出勤",IF(AND(COUNTIF(設定!$B$5:$B$13,$F55)&gt;0,$I55=""),"未打卡",IF($I55="","",IF($N55&gt;0,"遲到",IF($O55&gt;0,"早退","正常"))))))</f>
        <v/>
      </c>
      <c r="N55" s="32">
        <f>IF(OR($C55="",$G55="",$I55=""),0,IF(ROUND(($I55-$G55)*1440,0)&gt;設定!$C$28,ROUND(($I55-$G55)*1440,0),0))</f>
        <v/>
      </c>
      <c r="O55" s="32">
        <f>IF(OR($C55="",$H55="",$J55=""),0,IF(ROUND(($H55-$J55)*1440,0)&gt;設定!$C$28,ROUND(($H55-$J55)*1440,0),0))</f>
        <v/>
      </c>
      <c r="P55" s="33">
        <f>IF($L55="",0,IF(($L55-IFERROR(INDEX(設定!$G$5:$G$20,MATCH($F55,設定!$B$5:$B$20,0)),0))*60&gt;=設定!$C$26,ROUND(FLOOR(($L55-IFERROR(INDEX(設定!$G$5:$G$20,MATCH($F55,設定!$B$5:$B$20,0)),0))*60,設定!$C$27)/60,2),0))</f>
        <v/>
      </c>
      <c r="Q55" s="29">
        <f>IF(OR($C55="",$P55=0),"",IF($F55="國","國定假日",IF($B55="日","例假",IF($B55="六","休息日","平日"))))</f>
        <v/>
      </c>
      <c r="R55" s="34" t="n"/>
    </row>
    <row r="56">
      <c r="A56" s="30">
        <f>IF(OR(班表!$A7="",23&gt;DAY(EOMONTH(DATE(班表!$E$2,班表!$G$2,1),0))),"",DATE(班表!$E$2,班表!$G$2,23))</f>
        <v/>
      </c>
      <c r="B56" s="29">
        <f>IF($A56="","",INDEX(設定!$L$5:$L$11,WEEKDAY($A56,1)))</f>
        <v/>
      </c>
      <c r="C56" s="29">
        <f>IF($A56="","",班表!$A7)</f>
        <v/>
      </c>
      <c r="D56" s="29">
        <f>IF($C56="","",班表!$B7)</f>
        <v/>
      </c>
      <c r="E56" s="29">
        <f>IF($C56="","",班表!$C7)</f>
        <v/>
      </c>
      <c r="F56" s="29">
        <f>IF($C56="","",班表!Z7)</f>
        <v/>
      </c>
      <c r="G56" s="31">
        <f>IF($F56="","",IFERROR(INDEX(設定!$D$5:$D$20,MATCH($F56,設定!$B$5:$B$20,0)),""))</f>
        <v/>
      </c>
      <c r="H56" s="31">
        <f>IF($F56="","",IFERROR(INDEX(設定!$E$5:$E$20,MATCH($F56,設定!$B$5:$B$20,0)),""))</f>
        <v/>
      </c>
      <c r="I56" s="31">
        <f>IFERROR(INDEX(打卡匯入!$C$3:$C$1002,MATCH($C56&amp;"|"&amp;DAY($A56),打卡匯入!$E$3:$E$1002,0)),"")</f>
        <v/>
      </c>
      <c r="J56" s="31">
        <f>IFERROR(INDEX(打卡匯入!$D$3:$D$1002,MATCH($C56&amp;"|"&amp;DAY($A56),打卡匯入!$E$3:$E$1002,0)),"")</f>
        <v/>
      </c>
      <c r="K56" s="32">
        <f>IF(OR($I56="",$J56=""),"",IFERROR(INDEX(設定!$F$5:$F$20,MATCH($F56,設定!$B$5:$B$20,0)),0))</f>
        <v/>
      </c>
      <c r="L56" s="33">
        <f>IF(OR($I56="",$J56=""),"",ROUND(($J56-$I56)*24-$K56/60,2))</f>
        <v/>
      </c>
      <c r="M56" s="29">
        <f>IF($C56="","",IF(AND(COUNTIF(設定!$B$14:$B$20,$F56)&gt;0,$I56&lt;&gt;""),"假日出勤",IF(AND(COUNTIF(設定!$B$5:$B$13,$F56)&gt;0,$I56=""),"未打卡",IF($I56="","",IF($N56&gt;0,"遲到",IF($O56&gt;0,"早退","正常"))))))</f>
        <v/>
      </c>
      <c r="N56" s="32">
        <f>IF(OR($C56="",$G56="",$I56=""),0,IF(ROUND(($I56-$G56)*1440,0)&gt;設定!$C$28,ROUND(($I56-$G56)*1440,0),0))</f>
        <v/>
      </c>
      <c r="O56" s="32">
        <f>IF(OR($C56="",$H56="",$J56=""),0,IF(ROUND(($H56-$J56)*1440,0)&gt;設定!$C$28,ROUND(($H56-$J56)*1440,0),0))</f>
        <v/>
      </c>
      <c r="P56" s="33">
        <f>IF($L56="",0,IF(($L56-IFERROR(INDEX(設定!$G$5:$G$20,MATCH($F56,設定!$B$5:$B$20,0)),0))*60&gt;=設定!$C$26,ROUND(FLOOR(($L56-IFERROR(INDEX(設定!$G$5:$G$20,MATCH($F56,設定!$B$5:$B$20,0)),0))*60,設定!$C$27)/60,2),0))</f>
        <v/>
      </c>
      <c r="Q56" s="29">
        <f>IF(OR($C56="",$P56=0),"",IF($F56="國","國定假日",IF($B56="日","例假",IF($B56="六","休息日","平日"))))</f>
        <v/>
      </c>
      <c r="R56" s="34" t="n"/>
    </row>
    <row r="57">
      <c r="A57" s="30">
        <f>IF(OR(班表!$A7="",24&gt;DAY(EOMONTH(DATE(班表!$E$2,班表!$G$2,1),0))),"",DATE(班表!$E$2,班表!$G$2,24))</f>
        <v/>
      </c>
      <c r="B57" s="29">
        <f>IF($A57="","",INDEX(設定!$L$5:$L$11,WEEKDAY($A57,1)))</f>
        <v/>
      </c>
      <c r="C57" s="29">
        <f>IF($A57="","",班表!$A7)</f>
        <v/>
      </c>
      <c r="D57" s="29">
        <f>IF($C57="","",班表!$B7)</f>
        <v/>
      </c>
      <c r="E57" s="29">
        <f>IF($C57="","",班表!$C7)</f>
        <v/>
      </c>
      <c r="F57" s="29">
        <f>IF($C57="","",班表!AA7)</f>
        <v/>
      </c>
      <c r="G57" s="31">
        <f>IF($F57="","",IFERROR(INDEX(設定!$D$5:$D$20,MATCH($F57,設定!$B$5:$B$20,0)),""))</f>
        <v/>
      </c>
      <c r="H57" s="31">
        <f>IF($F57="","",IFERROR(INDEX(設定!$E$5:$E$20,MATCH($F57,設定!$B$5:$B$20,0)),""))</f>
        <v/>
      </c>
      <c r="I57" s="31">
        <f>IFERROR(INDEX(打卡匯入!$C$3:$C$1002,MATCH($C57&amp;"|"&amp;DAY($A57),打卡匯入!$E$3:$E$1002,0)),"")</f>
        <v/>
      </c>
      <c r="J57" s="31">
        <f>IFERROR(INDEX(打卡匯入!$D$3:$D$1002,MATCH($C57&amp;"|"&amp;DAY($A57),打卡匯入!$E$3:$E$1002,0)),"")</f>
        <v/>
      </c>
      <c r="K57" s="32">
        <f>IF(OR($I57="",$J57=""),"",IFERROR(INDEX(設定!$F$5:$F$20,MATCH($F57,設定!$B$5:$B$20,0)),0))</f>
        <v/>
      </c>
      <c r="L57" s="33">
        <f>IF(OR($I57="",$J57=""),"",ROUND(($J57-$I57)*24-$K57/60,2))</f>
        <v/>
      </c>
      <c r="M57" s="29">
        <f>IF($C57="","",IF(AND(COUNTIF(設定!$B$14:$B$20,$F57)&gt;0,$I57&lt;&gt;""),"假日出勤",IF(AND(COUNTIF(設定!$B$5:$B$13,$F57)&gt;0,$I57=""),"未打卡",IF($I57="","",IF($N57&gt;0,"遲到",IF($O57&gt;0,"早退","正常"))))))</f>
        <v/>
      </c>
      <c r="N57" s="32">
        <f>IF(OR($C57="",$G57="",$I57=""),0,IF(ROUND(($I57-$G57)*1440,0)&gt;設定!$C$28,ROUND(($I57-$G57)*1440,0),0))</f>
        <v/>
      </c>
      <c r="O57" s="32">
        <f>IF(OR($C57="",$H57="",$J57=""),0,IF(ROUND(($H57-$J57)*1440,0)&gt;設定!$C$28,ROUND(($H57-$J57)*1440,0),0))</f>
        <v/>
      </c>
      <c r="P57" s="33">
        <f>IF($L57="",0,IF(($L57-IFERROR(INDEX(設定!$G$5:$G$20,MATCH($F57,設定!$B$5:$B$20,0)),0))*60&gt;=設定!$C$26,ROUND(FLOOR(($L57-IFERROR(INDEX(設定!$G$5:$G$20,MATCH($F57,設定!$B$5:$B$20,0)),0))*60,設定!$C$27)/60,2),0))</f>
        <v/>
      </c>
      <c r="Q57" s="29">
        <f>IF(OR($C57="",$P57=0),"",IF($F57="國","國定假日",IF($B57="日","例假",IF($B57="六","休息日","平日"))))</f>
        <v/>
      </c>
      <c r="R57" s="34" t="n"/>
    </row>
    <row r="58">
      <c r="A58" s="30">
        <f>IF(OR(班表!$A7="",25&gt;DAY(EOMONTH(DATE(班表!$E$2,班表!$G$2,1),0))),"",DATE(班表!$E$2,班表!$G$2,25))</f>
        <v/>
      </c>
      <c r="B58" s="29">
        <f>IF($A58="","",INDEX(設定!$L$5:$L$11,WEEKDAY($A58,1)))</f>
        <v/>
      </c>
      <c r="C58" s="29">
        <f>IF($A58="","",班表!$A7)</f>
        <v/>
      </c>
      <c r="D58" s="29">
        <f>IF($C58="","",班表!$B7)</f>
        <v/>
      </c>
      <c r="E58" s="29">
        <f>IF($C58="","",班表!$C7)</f>
        <v/>
      </c>
      <c r="F58" s="29">
        <f>IF($C58="","",班表!AB7)</f>
        <v/>
      </c>
      <c r="G58" s="31">
        <f>IF($F58="","",IFERROR(INDEX(設定!$D$5:$D$20,MATCH($F58,設定!$B$5:$B$20,0)),""))</f>
        <v/>
      </c>
      <c r="H58" s="31">
        <f>IF($F58="","",IFERROR(INDEX(設定!$E$5:$E$20,MATCH($F58,設定!$B$5:$B$20,0)),""))</f>
        <v/>
      </c>
      <c r="I58" s="31">
        <f>IFERROR(INDEX(打卡匯入!$C$3:$C$1002,MATCH($C58&amp;"|"&amp;DAY($A58),打卡匯入!$E$3:$E$1002,0)),"")</f>
        <v/>
      </c>
      <c r="J58" s="31">
        <f>IFERROR(INDEX(打卡匯入!$D$3:$D$1002,MATCH($C58&amp;"|"&amp;DAY($A58),打卡匯入!$E$3:$E$1002,0)),"")</f>
        <v/>
      </c>
      <c r="K58" s="32">
        <f>IF(OR($I58="",$J58=""),"",IFERROR(INDEX(設定!$F$5:$F$20,MATCH($F58,設定!$B$5:$B$20,0)),0))</f>
        <v/>
      </c>
      <c r="L58" s="33">
        <f>IF(OR($I58="",$J58=""),"",ROUND(($J58-$I58)*24-$K58/60,2))</f>
        <v/>
      </c>
      <c r="M58" s="29">
        <f>IF($C58="","",IF(AND(COUNTIF(設定!$B$14:$B$20,$F58)&gt;0,$I58&lt;&gt;""),"假日出勤",IF(AND(COUNTIF(設定!$B$5:$B$13,$F58)&gt;0,$I58=""),"未打卡",IF($I58="","",IF($N58&gt;0,"遲到",IF($O58&gt;0,"早退","正常"))))))</f>
        <v/>
      </c>
      <c r="N58" s="32">
        <f>IF(OR($C58="",$G58="",$I58=""),0,IF(ROUND(($I58-$G58)*1440,0)&gt;設定!$C$28,ROUND(($I58-$G58)*1440,0),0))</f>
        <v/>
      </c>
      <c r="O58" s="32">
        <f>IF(OR($C58="",$H58="",$J58=""),0,IF(ROUND(($H58-$J58)*1440,0)&gt;設定!$C$28,ROUND(($H58-$J58)*1440,0),0))</f>
        <v/>
      </c>
      <c r="P58" s="33">
        <f>IF($L58="",0,IF(($L58-IFERROR(INDEX(設定!$G$5:$G$20,MATCH($F58,設定!$B$5:$B$20,0)),0))*60&gt;=設定!$C$26,ROUND(FLOOR(($L58-IFERROR(INDEX(設定!$G$5:$G$20,MATCH($F58,設定!$B$5:$B$20,0)),0))*60,設定!$C$27)/60,2),0))</f>
        <v/>
      </c>
      <c r="Q58" s="29">
        <f>IF(OR($C58="",$P58=0),"",IF($F58="國","國定假日",IF($B58="日","例假",IF($B58="六","休息日","平日"))))</f>
        <v/>
      </c>
      <c r="R58" s="34" t="n"/>
    </row>
    <row r="59">
      <c r="A59" s="30">
        <f>IF(OR(班表!$A7="",26&gt;DAY(EOMONTH(DATE(班表!$E$2,班表!$G$2,1),0))),"",DATE(班表!$E$2,班表!$G$2,26))</f>
        <v/>
      </c>
      <c r="B59" s="29">
        <f>IF($A59="","",INDEX(設定!$L$5:$L$11,WEEKDAY($A59,1)))</f>
        <v/>
      </c>
      <c r="C59" s="29">
        <f>IF($A59="","",班表!$A7)</f>
        <v/>
      </c>
      <c r="D59" s="29">
        <f>IF($C59="","",班表!$B7)</f>
        <v/>
      </c>
      <c r="E59" s="29">
        <f>IF($C59="","",班表!$C7)</f>
        <v/>
      </c>
      <c r="F59" s="29">
        <f>IF($C59="","",班表!AC7)</f>
        <v/>
      </c>
      <c r="G59" s="31">
        <f>IF($F59="","",IFERROR(INDEX(設定!$D$5:$D$20,MATCH($F59,設定!$B$5:$B$20,0)),""))</f>
        <v/>
      </c>
      <c r="H59" s="31">
        <f>IF($F59="","",IFERROR(INDEX(設定!$E$5:$E$20,MATCH($F59,設定!$B$5:$B$20,0)),""))</f>
        <v/>
      </c>
      <c r="I59" s="31">
        <f>IFERROR(INDEX(打卡匯入!$C$3:$C$1002,MATCH($C59&amp;"|"&amp;DAY($A59),打卡匯入!$E$3:$E$1002,0)),"")</f>
        <v/>
      </c>
      <c r="J59" s="31">
        <f>IFERROR(INDEX(打卡匯入!$D$3:$D$1002,MATCH($C59&amp;"|"&amp;DAY($A59),打卡匯入!$E$3:$E$1002,0)),"")</f>
        <v/>
      </c>
      <c r="K59" s="32">
        <f>IF(OR($I59="",$J59=""),"",IFERROR(INDEX(設定!$F$5:$F$20,MATCH($F59,設定!$B$5:$B$20,0)),0))</f>
        <v/>
      </c>
      <c r="L59" s="33">
        <f>IF(OR($I59="",$J59=""),"",ROUND(($J59-$I59)*24-$K59/60,2))</f>
        <v/>
      </c>
      <c r="M59" s="29">
        <f>IF($C59="","",IF(AND(COUNTIF(設定!$B$14:$B$20,$F59)&gt;0,$I59&lt;&gt;""),"假日出勤",IF(AND(COUNTIF(設定!$B$5:$B$13,$F59)&gt;0,$I59=""),"未打卡",IF($I59="","",IF($N59&gt;0,"遲到",IF($O59&gt;0,"早退","正常"))))))</f>
        <v/>
      </c>
      <c r="N59" s="32">
        <f>IF(OR($C59="",$G59="",$I59=""),0,IF(ROUND(($I59-$G59)*1440,0)&gt;設定!$C$28,ROUND(($I59-$G59)*1440,0),0))</f>
        <v/>
      </c>
      <c r="O59" s="32">
        <f>IF(OR($C59="",$H59="",$J59=""),0,IF(ROUND(($H59-$J59)*1440,0)&gt;設定!$C$28,ROUND(($H59-$J59)*1440,0),0))</f>
        <v/>
      </c>
      <c r="P59" s="33">
        <f>IF($L59="",0,IF(($L59-IFERROR(INDEX(設定!$G$5:$G$20,MATCH($F59,設定!$B$5:$B$20,0)),0))*60&gt;=設定!$C$26,ROUND(FLOOR(($L59-IFERROR(INDEX(設定!$G$5:$G$20,MATCH($F59,設定!$B$5:$B$20,0)),0))*60,設定!$C$27)/60,2),0))</f>
        <v/>
      </c>
      <c r="Q59" s="29">
        <f>IF(OR($C59="",$P59=0),"",IF($F59="國","國定假日",IF($B59="日","例假",IF($B59="六","休息日","平日"))))</f>
        <v/>
      </c>
      <c r="R59" s="34" t="n"/>
    </row>
    <row r="60">
      <c r="A60" s="30">
        <f>IF(OR(班表!$A7="",27&gt;DAY(EOMONTH(DATE(班表!$E$2,班表!$G$2,1),0))),"",DATE(班表!$E$2,班表!$G$2,27))</f>
        <v/>
      </c>
      <c r="B60" s="29">
        <f>IF($A60="","",INDEX(設定!$L$5:$L$11,WEEKDAY($A60,1)))</f>
        <v/>
      </c>
      <c r="C60" s="29">
        <f>IF($A60="","",班表!$A7)</f>
        <v/>
      </c>
      <c r="D60" s="29">
        <f>IF($C60="","",班表!$B7)</f>
        <v/>
      </c>
      <c r="E60" s="29">
        <f>IF($C60="","",班表!$C7)</f>
        <v/>
      </c>
      <c r="F60" s="29">
        <f>IF($C60="","",班表!AD7)</f>
        <v/>
      </c>
      <c r="G60" s="31">
        <f>IF($F60="","",IFERROR(INDEX(設定!$D$5:$D$20,MATCH($F60,設定!$B$5:$B$20,0)),""))</f>
        <v/>
      </c>
      <c r="H60" s="31">
        <f>IF($F60="","",IFERROR(INDEX(設定!$E$5:$E$20,MATCH($F60,設定!$B$5:$B$20,0)),""))</f>
        <v/>
      </c>
      <c r="I60" s="31">
        <f>IFERROR(INDEX(打卡匯入!$C$3:$C$1002,MATCH($C60&amp;"|"&amp;DAY($A60),打卡匯入!$E$3:$E$1002,0)),"")</f>
        <v/>
      </c>
      <c r="J60" s="31">
        <f>IFERROR(INDEX(打卡匯入!$D$3:$D$1002,MATCH($C60&amp;"|"&amp;DAY($A60),打卡匯入!$E$3:$E$1002,0)),"")</f>
        <v/>
      </c>
      <c r="K60" s="32">
        <f>IF(OR($I60="",$J60=""),"",IFERROR(INDEX(設定!$F$5:$F$20,MATCH($F60,設定!$B$5:$B$20,0)),0))</f>
        <v/>
      </c>
      <c r="L60" s="33">
        <f>IF(OR($I60="",$J60=""),"",ROUND(($J60-$I60)*24-$K60/60,2))</f>
        <v/>
      </c>
      <c r="M60" s="29">
        <f>IF($C60="","",IF(AND(COUNTIF(設定!$B$14:$B$20,$F60)&gt;0,$I60&lt;&gt;""),"假日出勤",IF(AND(COUNTIF(設定!$B$5:$B$13,$F60)&gt;0,$I60=""),"未打卡",IF($I60="","",IF($N60&gt;0,"遲到",IF($O60&gt;0,"早退","正常"))))))</f>
        <v/>
      </c>
      <c r="N60" s="32">
        <f>IF(OR($C60="",$G60="",$I60=""),0,IF(ROUND(($I60-$G60)*1440,0)&gt;設定!$C$28,ROUND(($I60-$G60)*1440,0),0))</f>
        <v/>
      </c>
      <c r="O60" s="32">
        <f>IF(OR($C60="",$H60="",$J60=""),0,IF(ROUND(($H60-$J60)*1440,0)&gt;設定!$C$28,ROUND(($H60-$J60)*1440,0),0))</f>
        <v/>
      </c>
      <c r="P60" s="33">
        <f>IF($L60="",0,IF(($L60-IFERROR(INDEX(設定!$G$5:$G$20,MATCH($F60,設定!$B$5:$B$20,0)),0))*60&gt;=設定!$C$26,ROUND(FLOOR(($L60-IFERROR(INDEX(設定!$G$5:$G$20,MATCH($F60,設定!$B$5:$B$20,0)),0))*60,設定!$C$27)/60,2),0))</f>
        <v/>
      </c>
      <c r="Q60" s="29">
        <f>IF(OR($C60="",$P60=0),"",IF($F60="國","國定假日",IF($B60="日","例假",IF($B60="六","休息日","平日"))))</f>
        <v/>
      </c>
      <c r="R60" s="34" t="n"/>
    </row>
    <row r="61">
      <c r="A61" s="30">
        <f>IF(OR(班表!$A7="",28&gt;DAY(EOMONTH(DATE(班表!$E$2,班表!$G$2,1),0))),"",DATE(班表!$E$2,班表!$G$2,28))</f>
        <v/>
      </c>
      <c r="B61" s="29">
        <f>IF($A61="","",INDEX(設定!$L$5:$L$11,WEEKDAY($A61,1)))</f>
        <v/>
      </c>
      <c r="C61" s="29">
        <f>IF($A61="","",班表!$A7)</f>
        <v/>
      </c>
      <c r="D61" s="29">
        <f>IF($C61="","",班表!$B7)</f>
        <v/>
      </c>
      <c r="E61" s="29">
        <f>IF($C61="","",班表!$C7)</f>
        <v/>
      </c>
      <c r="F61" s="29">
        <f>IF($C61="","",班表!AE7)</f>
        <v/>
      </c>
      <c r="G61" s="31">
        <f>IF($F61="","",IFERROR(INDEX(設定!$D$5:$D$20,MATCH($F61,設定!$B$5:$B$20,0)),""))</f>
        <v/>
      </c>
      <c r="H61" s="31">
        <f>IF($F61="","",IFERROR(INDEX(設定!$E$5:$E$20,MATCH($F61,設定!$B$5:$B$20,0)),""))</f>
        <v/>
      </c>
      <c r="I61" s="31">
        <f>IFERROR(INDEX(打卡匯入!$C$3:$C$1002,MATCH($C61&amp;"|"&amp;DAY($A61),打卡匯入!$E$3:$E$1002,0)),"")</f>
        <v/>
      </c>
      <c r="J61" s="31">
        <f>IFERROR(INDEX(打卡匯入!$D$3:$D$1002,MATCH($C61&amp;"|"&amp;DAY($A61),打卡匯入!$E$3:$E$1002,0)),"")</f>
        <v/>
      </c>
      <c r="K61" s="32">
        <f>IF(OR($I61="",$J61=""),"",IFERROR(INDEX(設定!$F$5:$F$20,MATCH($F61,設定!$B$5:$B$20,0)),0))</f>
        <v/>
      </c>
      <c r="L61" s="33">
        <f>IF(OR($I61="",$J61=""),"",ROUND(($J61-$I61)*24-$K61/60,2))</f>
        <v/>
      </c>
      <c r="M61" s="29">
        <f>IF($C61="","",IF(AND(COUNTIF(設定!$B$14:$B$20,$F61)&gt;0,$I61&lt;&gt;""),"假日出勤",IF(AND(COUNTIF(設定!$B$5:$B$13,$F61)&gt;0,$I61=""),"未打卡",IF($I61="","",IF($N61&gt;0,"遲到",IF($O61&gt;0,"早退","正常"))))))</f>
        <v/>
      </c>
      <c r="N61" s="32">
        <f>IF(OR($C61="",$G61="",$I61=""),0,IF(ROUND(($I61-$G61)*1440,0)&gt;設定!$C$28,ROUND(($I61-$G61)*1440,0),0))</f>
        <v/>
      </c>
      <c r="O61" s="32">
        <f>IF(OR($C61="",$H61="",$J61=""),0,IF(ROUND(($H61-$J61)*1440,0)&gt;設定!$C$28,ROUND(($H61-$J61)*1440,0),0))</f>
        <v/>
      </c>
      <c r="P61" s="33">
        <f>IF($L61="",0,IF(($L61-IFERROR(INDEX(設定!$G$5:$G$20,MATCH($F61,設定!$B$5:$B$20,0)),0))*60&gt;=設定!$C$26,ROUND(FLOOR(($L61-IFERROR(INDEX(設定!$G$5:$G$20,MATCH($F61,設定!$B$5:$B$20,0)),0))*60,設定!$C$27)/60,2),0))</f>
        <v/>
      </c>
      <c r="Q61" s="29">
        <f>IF(OR($C61="",$P61=0),"",IF($F61="國","國定假日",IF($B61="日","例假",IF($B61="六","休息日","平日"))))</f>
        <v/>
      </c>
      <c r="R61" s="34" t="n"/>
    </row>
    <row r="62">
      <c r="A62" s="30">
        <f>IF(OR(班表!$A7="",29&gt;DAY(EOMONTH(DATE(班表!$E$2,班表!$G$2,1),0))),"",DATE(班表!$E$2,班表!$G$2,29))</f>
        <v/>
      </c>
      <c r="B62" s="29">
        <f>IF($A62="","",INDEX(設定!$L$5:$L$11,WEEKDAY($A62,1)))</f>
        <v/>
      </c>
      <c r="C62" s="29">
        <f>IF($A62="","",班表!$A7)</f>
        <v/>
      </c>
      <c r="D62" s="29">
        <f>IF($C62="","",班表!$B7)</f>
        <v/>
      </c>
      <c r="E62" s="29">
        <f>IF($C62="","",班表!$C7)</f>
        <v/>
      </c>
      <c r="F62" s="29">
        <f>IF($C62="","",班表!AF7)</f>
        <v/>
      </c>
      <c r="G62" s="31">
        <f>IF($F62="","",IFERROR(INDEX(設定!$D$5:$D$20,MATCH($F62,設定!$B$5:$B$20,0)),""))</f>
        <v/>
      </c>
      <c r="H62" s="31">
        <f>IF($F62="","",IFERROR(INDEX(設定!$E$5:$E$20,MATCH($F62,設定!$B$5:$B$20,0)),""))</f>
        <v/>
      </c>
      <c r="I62" s="31">
        <f>IFERROR(INDEX(打卡匯入!$C$3:$C$1002,MATCH($C62&amp;"|"&amp;DAY($A62),打卡匯入!$E$3:$E$1002,0)),"")</f>
        <v/>
      </c>
      <c r="J62" s="31">
        <f>IFERROR(INDEX(打卡匯入!$D$3:$D$1002,MATCH($C62&amp;"|"&amp;DAY($A62),打卡匯入!$E$3:$E$1002,0)),"")</f>
        <v/>
      </c>
      <c r="K62" s="32">
        <f>IF(OR($I62="",$J62=""),"",IFERROR(INDEX(設定!$F$5:$F$20,MATCH($F62,設定!$B$5:$B$20,0)),0))</f>
        <v/>
      </c>
      <c r="L62" s="33">
        <f>IF(OR($I62="",$J62=""),"",ROUND(($J62-$I62)*24-$K62/60,2))</f>
        <v/>
      </c>
      <c r="M62" s="29">
        <f>IF($C62="","",IF(AND(COUNTIF(設定!$B$14:$B$20,$F62)&gt;0,$I62&lt;&gt;""),"假日出勤",IF(AND(COUNTIF(設定!$B$5:$B$13,$F62)&gt;0,$I62=""),"未打卡",IF($I62="","",IF($N62&gt;0,"遲到",IF($O62&gt;0,"早退","正常"))))))</f>
        <v/>
      </c>
      <c r="N62" s="32">
        <f>IF(OR($C62="",$G62="",$I62=""),0,IF(ROUND(($I62-$G62)*1440,0)&gt;設定!$C$28,ROUND(($I62-$G62)*1440,0),0))</f>
        <v/>
      </c>
      <c r="O62" s="32">
        <f>IF(OR($C62="",$H62="",$J62=""),0,IF(ROUND(($H62-$J62)*1440,0)&gt;設定!$C$28,ROUND(($H62-$J62)*1440,0),0))</f>
        <v/>
      </c>
      <c r="P62" s="33">
        <f>IF($L62="",0,IF(($L62-IFERROR(INDEX(設定!$G$5:$G$20,MATCH($F62,設定!$B$5:$B$20,0)),0))*60&gt;=設定!$C$26,ROUND(FLOOR(($L62-IFERROR(INDEX(設定!$G$5:$G$20,MATCH($F62,設定!$B$5:$B$20,0)),0))*60,設定!$C$27)/60,2),0))</f>
        <v/>
      </c>
      <c r="Q62" s="29">
        <f>IF(OR($C62="",$P62=0),"",IF($F62="國","國定假日",IF($B62="日","例假",IF($B62="六","休息日","平日"))))</f>
        <v/>
      </c>
      <c r="R62" s="34" t="n"/>
    </row>
    <row r="63">
      <c r="A63" s="30">
        <f>IF(OR(班表!$A7="",30&gt;DAY(EOMONTH(DATE(班表!$E$2,班表!$G$2,1),0))),"",DATE(班表!$E$2,班表!$G$2,30))</f>
        <v/>
      </c>
      <c r="B63" s="29">
        <f>IF($A63="","",INDEX(設定!$L$5:$L$11,WEEKDAY($A63,1)))</f>
        <v/>
      </c>
      <c r="C63" s="29">
        <f>IF($A63="","",班表!$A7)</f>
        <v/>
      </c>
      <c r="D63" s="29">
        <f>IF($C63="","",班表!$B7)</f>
        <v/>
      </c>
      <c r="E63" s="29">
        <f>IF($C63="","",班表!$C7)</f>
        <v/>
      </c>
      <c r="F63" s="29">
        <f>IF($C63="","",班表!AG7)</f>
        <v/>
      </c>
      <c r="G63" s="31">
        <f>IF($F63="","",IFERROR(INDEX(設定!$D$5:$D$20,MATCH($F63,設定!$B$5:$B$20,0)),""))</f>
        <v/>
      </c>
      <c r="H63" s="31">
        <f>IF($F63="","",IFERROR(INDEX(設定!$E$5:$E$20,MATCH($F63,設定!$B$5:$B$20,0)),""))</f>
        <v/>
      </c>
      <c r="I63" s="31">
        <f>IFERROR(INDEX(打卡匯入!$C$3:$C$1002,MATCH($C63&amp;"|"&amp;DAY($A63),打卡匯入!$E$3:$E$1002,0)),"")</f>
        <v/>
      </c>
      <c r="J63" s="31">
        <f>IFERROR(INDEX(打卡匯入!$D$3:$D$1002,MATCH($C63&amp;"|"&amp;DAY($A63),打卡匯入!$E$3:$E$1002,0)),"")</f>
        <v/>
      </c>
      <c r="K63" s="32">
        <f>IF(OR($I63="",$J63=""),"",IFERROR(INDEX(設定!$F$5:$F$20,MATCH($F63,設定!$B$5:$B$20,0)),0))</f>
        <v/>
      </c>
      <c r="L63" s="33">
        <f>IF(OR($I63="",$J63=""),"",ROUND(($J63-$I63)*24-$K63/60,2))</f>
        <v/>
      </c>
      <c r="M63" s="29">
        <f>IF($C63="","",IF(AND(COUNTIF(設定!$B$14:$B$20,$F63)&gt;0,$I63&lt;&gt;""),"假日出勤",IF(AND(COUNTIF(設定!$B$5:$B$13,$F63)&gt;0,$I63=""),"未打卡",IF($I63="","",IF($N63&gt;0,"遲到",IF($O63&gt;0,"早退","正常"))))))</f>
        <v/>
      </c>
      <c r="N63" s="32">
        <f>IF(OR($C63="",$G63="",$I63=""),0,IF(ROUND(($I63-$G63)*1440,0)&gt;設定!$C$28,ROUND(($I63-$G63)*1440,0),0))</f>
        <v/>
      </c>
      <c r="O63" s="32">
        <f>IF(OR($C63="",$H63="",$J63=""),0,IF(ROUND(($H63-$J63)*1440,0)&gt;設定!$C$28,ROUND(($H63-$J63)*1440,0),0))</f>
        <v/>
      </c>
      <c r="P63" s="33">
        <f>IF($L63="",0,IF(($L63-IFERROR(INDEX(設定!$G$5:$G$20,MATCH($F63,設定!$B$5:$B$20,0)),0))*60&gt;=設定!$C$26,ROUND(FLOOR(($L63-IFERROR(INDEX(設定!$G$5:$G$20,MATCH($F63,設定!$B$5:$B$20,0)),0))*60,設定!$C$27)/60,2),0))</f>
        <v/>
      </c>
      <c r="Q63" s="29">
        <f>IF(OR($C63="",$P63=0),"",IF($F63="國","國定假日",IF($B63="日","例假",IF($B63="六","休息日","平日"))))</f>
        <v/>
      </c>
      <c r="R63" s="34" t="n"/>
    </row>
    <row r="64">
      <c r="A64" s="30">
        <f>IF(OR(班表!$A7="",31&gt;DAY(EOMONTH(DATE(班表!$E$2,班表!$G$2,1),0))),"",DATE(班表!$E$2,班表!$G$2,31))</f>
        <v/>
      </c>
      <c r="B64" s="29">
        <f>IF($A64="","",INDEX(設定!$L$5:$L$11,WEEKDAY($A64,1)))</f>
        <v/>
      </c>
      <c r="C64" s="29">
        <f>IF($A64="","",班表!$A7)</f>
        <v/>
      </c>
      <c r="D64" s="29">
        <f>IF($C64="","",班表!$B7)</f>
        <v/>
      </c>
      <c r="E64" s="29">
        <f>IF($C64="","",班表!$C7)</f>
        <v/>
      </c>
      <c r="F64" s="29">
        <f>IF($C64="","",班表!AH7)</f>
        <v/>
      </c>
      <c r="G64" s="31">
        <f>IF($F64="","",IFERROR(INDEX(設定!$D$5:$D$20,MATCH($F64,設定!$B$5:$B$20,0)),""))</f>
        <v/>
      </c>
      <c r="H64" s="31">
        <f>IF($F64="","",IFERROR(INDEX(設定!$E$5:$E$20,MATCH($F64,設定!$B$5:$B$20,0)),""))</f>
        <v/>
      </c>
      <c r="I64" s="31">
        <f>IFERROR(INDEX(打卡匯入!$C$3:$C$1002,MATCH($C64&amp;"|"&amp;DAY($A64),打卡匯入!$E$3:$E$1002,0)),"")</f>
        <v/>
      </c>
      <c r="J64" s="31">
        <f>IFERROR(INDEX(打卡匯入!$D$3:$D$1002,MATCH($C64&amp;"|"&amp;DAY($A64),打卡匯入!$E$3:$E$1002,0)),"")</f>
        <v/>
      </c>
      <c r="K64" s="32">
        <f>IF(OR($I64="",$J64=""),"",IFERROR(INDEX(設定!$F$5:$F$20,MATCH($F64,設定!$B$5:$B$20,0)),0))</f>
        <v/>
      </c>
      <c r="L64" s="33">
        <f>IF(OR($I64="",$J64=""),"",ROUND(($J64-$I64)*24-$K64/60,2))</f>
        <v/>
      </c>
      <c r="M64" s="29">
        <f>IF($C64="","",IF(AND(COUNTIF(設定!$B$14:$B$20,$F64)&gt;0,$I64&lt;&gt;""),"假日出勤",IF(AND(COUNTIF(設定!$B$5:$B$13,$F64)&gt;0,$I64=""),"未打卡",IF($I64="","",IF($N64&gt;0,"遲到",IF($O64&gt;0,"早退","正常"))))))</f>
        <v/>
      </c>
      <c r="N64" s="32">
        <f>IF(OR($C64="",$G64="",$I64=""),0,IF(ROUND(($I64-$G64)*1440,0)&gt;設定!$C$28,ROUND(($I64-$G64)*1440,0),0))</f>
        <v/>
      </c>
      <c r="O64" s="32">
        <f>IF(OR($C64="",$H64="",$J64=""),0,IF(ROUND(($H64-$J64)*1440,0)&gt;設定!$C$28,ROUND(($H64-$J64)*1440,0),0))</f>
        <v/>
      </c>
      <c r="P64" s="33">
        <f>IF($L64="",0,IF(($L64-IFERROR(INDEX(設定!$G$5:$G$20,MATCH($F64,設定!$B$5:$B$20,0)),0))*60&gt;=設定!$C$26,ROUND(FLOOR(($L64-IFERROR(INDEX(設定!$G$5:$G$20,MATCH($F64,設定!$B$5:$B$20,0)),0))*60,設定!$C$27)/60,2),0))</f>
        <v/>
      </c>
      <c r="Q64" s="29">
        <f>IF(OR($C64="",$P64=0),"",IF($F64="國","國定假日",IF($B64="日","例假",IF($B64="六","休息日","平日"))))</f>
        <v/>
      </c>
      <c r="R64" s="34" t="n"/>
    </row>
    <row r="65">
      <c r="A65" s="30">
        <f>IF(OR(班表!$A8="",1&gt;DAY(EOMONTH(DATE(班表!$E$2,班表!$G$2,1),0))),"",DATE(班表!$E$2,班表!$G$2,1))</f>
        <v/>
      </c>
      <c r="B65" s="29">
        <f>IF($A65="","",INDEX(設定!$L$5:$L$11,WEEKDAY($A65,1)))</f>
        <v/>
      </c>
      <c r="C65" s="29">
        <f>IF($A65="","",班表!$A8)</f>
        <v/>
      </c>
      <c r="D65" s="29">
        <f>IF($C65="","",班表!$B8)</f>
        <v/>
      </c>
      <c r="E65" s="29">
        <f>IF($C65="","",班表!$C8)</f>
        <v/>
      </c>
      <c r="F65" s="29">
        <f>IF($C65="","",班表!D8)</f>
        <v/>
      </c>
      <c r="G65" s="31">
        <f>IF($F65="","",IFERROR(INDEX(設定!$D$5:$D$20,MATCH($F65,設定!$B$5:$B$20,0)),""))</f>
        <v/>
      </c>
      <c r="H65" s="31">
        <f>IF($F65="","",IFERROR(INDEX(設定!$E$5:$E$20,MATCH($F65,設定!$B$5:$B$20,0)),""))</f>
        <v/>
      </c>
      <c r="I65" s="31">
        <f>IFERROR(INDEX(打卡匯入!$C$3:$C$1002,MATCH($C65&amp;"|"&amp;DAY($A65),打卡匯入!$E$3:$E$1002,0)),"")</f>
        <v/>
      </c>
      <c r="J65" s="31">
        <f>IFERROR(INDEX(打卡匯入!$D$3:$D$1002,MATCH($C65&amp;"|"&amp;DAY($A65),打卡匯入!$E$3:$E$1002,0)),"")</f>
        <v/>
      </c>
      <c r="K65" s="32">
        <f>IF(OR($I65="",$J65=""),"",IFERROR(INDEX(設定!$F$5:$F$20,MATCH($F65,設定!$B$5:$B$20,0)),0))</f>
        <v/>
      </c>
      <c r="L65" s="33">
        <f>IF(OR($I65="",$J65=""),"",ROUND(($J65-$I65)*24-$K65/60,2))</f>
        <v/>
      </c>
      <c r="M65" s="29">
        <f>IF($C65="","",IF(AND(COUNTIF(設定!$B$14:$B$20,$F65)&gt;0,$I65&lt;&gt;""),"假日出勤",IF(AND(COUNTIF(設定!$B$5:$B$13,$F65)&gt;0,$I65=""),"未打卡",IF($I65="","",IF($N65&gt;0,"遲到",IF($O65&gt;0,"早退","正常"))))))</f>
        <v/>
      </c>
      <c r="N65" s="32">
        <f>IF(OR($C65="",$G65="",$I65=""),0,IF(ROUND(($I65-$G65)*1440,0)&gt;設定!$C$28,ROUND(($I65-$G65)*1440,0),0))</f>
        <v/>
      </c>
      <c r="O65" s="32">
        <f>IF(OR($C65="",$H65="",$J65=""),0,IF(ROUND(($H65-$J65)*1440,0)&gt;設定!$C$28,ROUND(($H65-$J65)*1440,0),0))</f>
        <v/>
      </c>
      <c r="P65" s="33">
        <f>IF($L65="",0,IF(($L65-IFERROR(INDEX(設定!$G$5:$G$20,MATCH($F65,設定!$B$5:$B$20,0)),0))*60&gt;=設定!$C$26,ROUND(FLOOR(($L65-IFERROR(INDEX(設定!$G$5:$G$20,MATCH($F65,設定!$B$5:$B$20,0)),0))*60,設定!$C$27)/60,2),0))</f>
        <v/>
      </c>
      <c r="Q65" s="29">
        <f>IF(OR($C65="",$P65=0),"",IF($F65="國","國定假日",IF($B65="日","例假",IF($B65="六","休息日","平日"))))</f>
        <v/>
      </c>
      <c r="R65" s="34" t="n"/>
    </row>
    <row r="66">
      <c r="A66" s="30">
        <f>IF(OR(班表!$A8="",2&gt;DAY(EOMONTH(DATE(班表!$E$2,班表!$G$2,1),0))),"",DATE(班表!$E$2,班表!$G$2,2))</f>
        <v/>
      </c>
      <c r="B66" s="29">
        <f>IF($A66="","",INDEX(設定!$L$5:$L$11,WEEKDAY($A66,1)))</f>
        <v/>
      </c>
      <c r="C66" s="29">
        <f>IF($A66="","",班表!$A8)</f>
        <v/>
      </c>
      <c r="D66" s="29">
        <f>IF($C66="","",班表!$B8)</f>
        <v/>
      </c>
      <c r="E66" s="29">
        <f>IF($C66="","",班表!$C8)</f>
        <v/>
      </c>
      <c r="F66" s="29">
        <f>IF($C66="","",班表!E8)</f>
        <v/>
      </c>
      <c r="G66" s="31">
        <f>IF($F66="","",IFERROR(INDEX(設定!$D$5:$D$20,MATCH($F66,設定!$B$5:$B$20,0)),""))</f>
        <v/>
      </c>
      <c r="H66" s="31">
        <f>IF($F66="","",IFERROR(INDEX(設定!$E$5:$E$20,MATCH($F66,設定!$B$5:$B$20,0)),""))</f>
        <v/>
      </c>
      <c r="I66" s="31">
        <f>IFERROR(INDEX(打卡匯入!$C$3:$C$1002,MATCH($C66&amp;"|"&amp;DAY($A66),打卡匯入!$E$3:$E$1002,0)),"")</f>
        <v/>
      </c>
      <c r="J66" s="31">
        <f>IFERROR(INDEX(打卡匯入!$D$3:$D$1002,MATCH($C66&amp;"|"&amp;DAY($A66),打卡匯入!$E$3:$E$1002,0)),"")</f>
        <v/>
      </c>
      <c r="K66" s="32">
        <f>IF(OR($I66="",$J66=""),"",IFERROR(INDEX(設定!$F$5:$F$20,MATCH($F66,設定!$B$5:$B$20,0)),0))</f>
        <v/>
      </c>
      <c r="L66" s="33">
        <f>IF(OR($I66="",$J66=""),"",ROUND(($J66-$I66)*24-$K66/60,2))</f>
        <v/>
      </c>
      <c r="M66" s="29">
        <f>IF($C66="","",IF(AND(COUNTIF(設定!$B$14:$B$20,$F66)&gt;0,$I66&lt;&gt;""),"假日出勤",IF(AND(COUNTIF(設定!$B$5:$B$13,$F66)&gt;0,$I66=""),"未打卡",IF($I66="","",IF($N66&gt;0,"遲到",IF($O66&gt;0,"早退","正常"))))))</f>
        <v/>
      </c>
      <c r="N66" s="32">
        <f>IF(OR($C66="",$G66="",$I66=""),0,IF(ROUND(($I66-$G66)*1440,0)&gt;設定!$C$28,ROUND(($I66-$G66)*1440,0),0))</f>
        <v/>
      </c>
      <c r="O66" s="32">
        <f>IF(OR($C66="",$H66="",$J66=""),0,IF(ROUND(($H66-$J66)*1440,0)&gt;設定!$C$28,ROUND(($H66-$J66)*1440,0),0))</f>
        <v/>
      </c>
      <c r="P66" s="33">
        <f>IF($L66="",0,IF(($L66-IFERROR(INDEX(設定!$G$5:$G$20,MATCH($F66,設定!$B$5:$B$20,0)),0))*60&gt;=設定!$C$26,ROUND(FLOOR(($L66-IFERROR(INDEX(設定!$G$5:$G$20,MATCH($F66,設定!$B$5:$B$20,0)),0))*60,設定!$C$27)/60,2),0))</f>
        <v/>
      </c>
      <c r="Q66" s="29">
        <f>IF(OR($C66="",$P66=0),"",IF($F66="國","國定假日",IF($B66="日","例假",IF($B66="六","休息日","平日"))))</f>
        <v/>
      </c>
      <c r="R66" s="34" t="n"/>
    </row>
    <row r="67">
      <c r="A67" s="30">
        <f>IF(OR(班表!$A8="",3&gt;DAY(EOMONTH(DATE(班表!$E$2,班表!$G$2,1),0))),"",DATE(班表!$E$2,班表!$G$2,3))</f>
        <v/>
      </c>
      <c r="B67" s="29">
        <f>IF($A67="","",INDEX(設定!$L$5:$L$11,WEEKDAY($A67,1)))</f>
        <v/>
      </c>
      <c r="C67" s="29">
        <f>IF($A67="","",班表!$A8)</f>
        <v/>
      </c>
      <c r="D67" s="29">
        <f>IF($C67="","",班表!$B8)</f>
        <v/>
      </c>
      <c r="E67" s="29">
        <f>IF($C67="","",班表!$C8)</f>
        <v/>
      </c>
      <c r="F67" s="29">
        <f>IF($C67="","",班表!F8)</f>
        <v/>
      </c>
      <c r="G67" s="31">
        <f>IF($F67="","",IFERROR(INDEX(設定!$D$5:$D$20,MATCH($F67,設定!$B$5:$B$20,0)),""))</f>
        <v/>
      </c>
      <c r="H67" s="31">
        <f>IF($F67="","",IFERROR(INDEX(設定!$E$5:$E$20,MATCH($F67,設定!$B$5:$B$20,0)),""))</f>
        <v/>
      </c>
      <c r="I67" s="31">
        <f>IFERROR(INDEX(打卡匯入!$C$3:$C$1002,MATCH($C67&amp;"|"&amp;DAY($A67),打卡匯入!$E$3:$E$1002,0)),"")</f>
        <v/>
      </c>
      <c r="J67" s="31">
        <f>IFERROR(INDEX(打卡匯入!$D$3:$D$1002,MATCH($C67&amp;"|"&amp;DAY($A67),打卡匯入!$E$3:$E$1002,0)),"")</f>
        <v/>
      </c>
      <c r="K67" s="32">
        <f>IF(OR($I67="",$J67=""),"",IFERROR(INDEX(設定!$F$5:$F$20,MATCH($F67,設定!$B$5:$B$20,0)),0))</f>
        <v/>
      </c>
      <c r="L67" s="33">
        <f>IF(OR($I67="",$J67=""),"",ROUND(($J67-$I67)*24-$K67/60,2))</f>
        <v/>
      </c>
      <c r="M67" s="29">
        <f>IF($C67="","",IF(AND(COUNTIF(設定!$B$14:$B$20,$F67)&gt;0,$I67&lt;&gt;""),"假日出勤",IF(AND(COUNTIF(設定!$B$5:$B$13,$F67)&gt;0,$I67=""),"未打卡",IF($I67="","",IF($N67&gt;0,"遲到",IF($O67&gt;0,"早退","正常"))))))</f>
        <v/>
      </c>
      <c r="N67" s="32">
        <f>IF(OR($C67="",$G67="",$I67=""),0,IF(ROUND(($I67-$G67)*1440,0)&gt;設定!$C$28,ROUND(($I67-$G67)*1440,0),0))</f>
        <v/>
      </c>
      <c r="O67" s="32">
        <f>IF(OR($C67="",$H67="",$J67=""),0,IF(ROUND(($H67-$J67)*1440,0)&gt;設定!$C$28,ROUND(($H67-$J67)*1440,0),0))</f>
        <v/>
      </c>
      <c r="P67" s="33">
        <f>IF($L67="",0,IF(($L67-IFERROR(INDEX(設定!$G$5:$G$20,MATCH($F67,設定!$B$5:$B$20,0)),0))*60&gt;=設定!$C$26,ROUND(FLOOR(($L67-IFERROR(INDEX(設定!$G$5:$G$20,MATCH($F67,設定!$B$5:$B$20,0)),0))*60,設定!$C$27)/60,2),0))</f>
        <v/>
      </c>
      <c r="Q67" s="29">
        <f>IF(OR($C67="",$P67=0),"",IF($F67="國","國定假日",IF($B67="日","例假",IF($B67="六","休息日","平日"))))</f>
        <v/>
      </c>
      <c r="R67" s="34" t="n"/>
    </row>
    <row r="68">
      <c r="A68" s="30">
        <f>IF(OR(班表!$A8="",4&gt;DAY(EOMONTH(DATE(班表!$E$2,班表!$G$2,1),0))),"",DATE(班表!$E$2,班表!$G$2,4))</f>
        <v/>
      </c>
      <c r="B68" s="29">
        <f>IF($A68="","",INDEX(設定!$L$5:$L$11,WEEKDAY($A68,1)))</f>
        <v/>
      </c>
      <c r="C68" s="29">
        <f>IF($A68="","",班表!$A8)</f>
        <v/>
      </c>
      <c r="D68" s="29">
        <f>IF($C68="","",班表!$B8)</f>
        <v/>
      </c>
      <c r="E68" s="29">
        <f>IF($C68="","",班表!$C8)</f>
        <v/>
      </c>
      <c r="F68" s="29">
        <f>IF($C68="","",班表!G8)</f>
        <v/>
      </c>
      <c r="G68" s="31">
        <f>IF($F68="","",IFERROR(INDEX(設定!$D$5:$D$20,MATCH($F68,設定!$B$5:$B$20,0)),""))</f>
        <v/>
      </c>
      <c r="H68" s="31">
        <f>IF($F68="","",IFERROR(INDEX(設定!$E$5:$E$20,MATCH($F68,設定!$B$5:$B$20,0)),""))</f>
        <v/>
      </c>
      <c r="I68" s="31">
        <f>IFERROR(INDEX(打卡匯入!$C$3:$C$1002,MATCH($C68&amp;"|"&amp;DAY($A68),打卡匯入!$E$3:$E$1002,0)),"")</f>
        <v/>
      </c>
      <c r="J68" s="31">
        <f>IFERROR(INDEX(打卡匯入!$D$3:$D$1002,MATCH($C68&amp;"|"&amp;DAY($A68),打卡匯入!$E$3:$E$1002,0)),"")</f>
        <v/>
      </c>
      <c r="K68" s="32">
        <f>IF(OR($I68="",$J68=""),"",IFERROR(INDEX(設定!$F$5:$F$20,MATCH($F68,設定!$B$5:$B$20,0)),0))</f>
        <v/>
      </c>
      <c r="L68" s="33">
        <f>IF(OR($I68="",$J68=""),"",ROUND(($J68-$I68)*24-$K68/60,2))</f>
        <v/>
      </c>
      <c r="M68" s="29">
        <f>IF($C68="","",IF(AND(COUNTIF(設定!$B$14:$B$20,$F68)&gt;0,$I68&lt;&gt;""),"假日出勤",IF(AND(COUNTIF(設定!$B$5:$B$13,$F68)&gt;0,$I68=""),"未打卡",IF($I68="","",IF($N68&gt;0,"遲到",IF($O68&gt;0,"早退","正常"))))))</f>
        <v/>
      </c>
      <c r="N68" s="32">
        <f>IF(OR($C68="",$G68="",$I68=""),0,IF(ROUND(($I68-$G68)*1440,0)&gt;設定!$C$28,ROUND(($I68-$G68)*1440,0),0))</f>
        <v/>
      </c>
      <c r="O68" s="32">
        <f>IF(OR($C68="",$H68="",$J68=""),0,IF(ROUND(($H68-$J68)*1440,0)&gt;設定!$C$28,ROUND(($H68-$J68)*1440,0),0))</f>
        <v/>
      </c>
      <c r="P68" s="33">
        <f>IF($L68="",0,IF(($L68-IFERROR(INDEX(設定!$G$5:$G$20,MATCH($F68,設定!$B$5:$B$20,0)),0))*60&gt;=設定!$C$26,ROUND(FLOOR(($L68-IFERROR(INDEX(設定!$G$5:$G$20,MATCH($F68,設定!$B$5:$B$20,0)),0))*60,設定!$C$27)/60,2),0))</f>
        <v/>
      </c>
      <c r="Q68" s="29">
        <f>IF(OR($C68="",$P68=0),"",IF($F68="國","國定假日",IF($B68="日","例假",IF($B68="六","休息日","平日"))))</f>
        <v/>
      </c>
      <c r="R68" s="34" t="n"/>
    </row>
    <row r="69">
      <c r="A69" s="30">
        <f>IF(OR(班表!$A8="",5&gt;DAY(EOMONTH(DATE(班表!$E$2,班表!$G$2,1),0))),"",DATE(班表!$E$2,班表!$G$2,5))</f>
        <v/>
      </c>
      <c r="B69" s="29">
        <f>IF($A69="","",INDEX(設定!$L$5:$L$11,WEEKDAY($A69,1)))</f>
        <v/>
      </c>
      <c r="C69" s="29">
        <f>IF($A69="","",班表!$A8)</f>
        <v/>
      </c>
      <c r="D69" s="29">
        <f>IF($C69="","",班表!$B8)</f>
        <v/>
      </c>
      <c r="E69" s="29">
        <f>IF($C69="","",班表!$C8)</f>
        <v/>
      </c>
      <c r="F69" s="29">
        <f>IF($C69="","",班表!H8)</f>
        <v/>
      </c>
      <c r="G69" s="31">
        <f>IF($F69="","",IFERROR(INDEX(設定!$D$5:$D$20,MATCH($F69,設定!$B$5:$B$20,0)),""))</f>
        <v/>
      </c>
      <c r="H69" s="31">
        <f>IF($F69="","",IFERROR(INDEX(設定!$E$5:$E$20,MATCH($F69,設定!$B$5:$B$20,0)),""))</f>
        <v/>
      </c>
      <c r="I69" s="31">
        <f>IFERROR(INDEX(打卡匯入!$C$3:$C$1002,MATCH($C69&amp;"|"&amp;DAY($A69),打卡匯入!$E$3:$E$1002,0)),"")</f>
        <v/>
      </c>
      <c r="J69" s="31">
        <f>IFERROR(INDEX(打卡匯入!$D$3:$D$1002,MATCH($C69&amp;"|"&amp;DAY($A69),打卡匯入!$E$3:$E$1002,0)),"")</f>
        <v/>
      </c>
      <c r="K69" s="32">
        <f>IF(OR($I69="",$J69=""),"",IFERROR(INDEX(設定!$F$5:$F$20,MATCH($F69,設定!$B$5:$B$20,0)),0))</f>
        <v/>
      </c>
      <c r="L69" s="33">
        <f>IF(OR($I69="",$J69=""),"",ROUND(($J69-$I69)*24-$K69/60,2))</f>
        <v/>
      </c>
      <c r="M69" s="29">
        <f>IF($C69="","",IF(AND(COUNTIF(設定!$B$14:$B$20,$F69)&gt;0,$I69&lt;&gt;""),"假日出勤",IF(AND(COUNTIF(設定!$B$5:$B$13,$F69)&gt;0,$I69=""),"未打卡",IF($I69="","",IF($N69&gt;0,"遲到",IF($O69&gt;0,"早退","正常"))))))</f>
        <v/>
      </c>
      <c r="N69" s="32">
        <f>IF(OR($C69="",$G69="",$I69=""),0,IF(ROUND(($I69-$G69)*1440,0)&gt;設定!$C$28,ROUND(($I69-$G69)*1440,0),0))</f>
        <v/>
      </c>
      <c r="O69" s="32">
        <f>IF(OR($C69="",$H69="",$J69=""),0,IF(ROUND(($H69-$J69)*1440,0)&gt;設定!$C$28,ROUND(($H69-$J69)*1440,0),0))</f>
        <v/>
      </c>
      <c r="P69" s="33">
        <f>IF($L69="",0,IF(($L69-IFERROR(INDEX(設定!$G$5:$G$20,MATCH($F69,設定!$B$5:$B$20,0)),0))*60&gt;=設定!$C$26,ROUND(FLOOR(($L69-IFERROR(INDEX(設定!$G$5:$G$20,MATCH($F69,設定!$B$5:$B$20,0)),0))*60,設定!$C$27)/60,2),0))</f>
        <v/>
      </c>
      <c r="Q69" s="29">
        <f>IF(OR($C69="",$P69=0),"",IF($F69="國","國定假日",IF($B69="日","例假",IF($B69="六","休息日","平日"))))</f>
        <v/>
      </c>
      <c r="R69" s="34" t="n"/>
    </row>
    <row r="70">
      <c r="A70" s="30">
        <f>IF(OR(班表!$A8="",6&gt;DAY(EOMONTH(DATE(班表!$E$2,班表!$G$2,1),0))),"",DATE(班表!$E$2,班表!$G$2,6))</f>
        <v/>
      </c>
      <c r="B70" s="29">
        <f>IF($A70="","",INDEX(設定!$L$5:$L$11,WEEKDAY($A70,1)))</f>
        <v/>
      </c>
      <c r="C70" s="29">
        <f>IF($A70="","",班表!$A8)</f>
        <v/>
      </c>
      <c r="D70" s="29">
        <f>IF($C70="","",班表!$B8)</f>
        <v/>
      </c>
      <c r="E70" s="29">
        <f>IF($C70="","",班表!$C8)</f>
        <v/>
      </c>
      <c r="F70" s="29">
        <f>IF($C70="","",班表!I8)</f>
        <v/>
      </c>
      <c r="G70" s="31">
        <f>IF($F70="","",IFERROR(INDEX(設定!$D$5:$D$20,MATCH($F70,設定!$B$5:$B$20,0)),""))</f>
        <v/>
      </c>
      <c r="H70" s="31">
        <f>IF($F70="","",IFERROR(INDEX(設定!$E$5:$E$20,MATCH($F70,設定!$B$5:$B$20,0)),""))</f>
        <v/>
      </c>
      <c r="I70" s="31">
        <f>IFERROR(INDEX(打卡匯入!$C$3:$C$1002,MATCH($C70&amp;"|"&amp;DAY($A70),打卡匯入!$E$3:$E$1002,0)),"")</f>
        <v/>
      </c>
      <c r="J70" s="31">
        <f>IFERROR(INDEX(打卡匯入!$D$3:$D$1002,MATCH($C70&amp;"|"&amp;DAY($A70),打卡匯入!$E$3:$E$1002,0)),"")</f>
        <v/>
      </c>
      <c r="K70" s="32">
        <f>IF(OR($I70="",$J70=""),"",IFERROR(INDEX(設定!$F$5:$F$20,MATCH($F70,設定!$B$5:$B$20,0)),0))</f>
        <v/>
      </c>
      <c r="L70" s="33">
        <f>IF(OR($I70="",$J70=""),"",ROUND(($J70-$I70)*24-$K70/60,2))</f>
        <v/>
      </c>
      <c r="M70" s="29">
        <f>IF($C70="","",IF(AND(COUNTIF(設定!$B$14:$B$20,$F70)&gt;0,$I70&lt;&gt;""),"假日出勤",IF(AND(COUNTIF(設定!$B$5:$B$13,$F70)&gt;0,$I70=""),"未打卡",IF($I70="","",IF($N70&gt;0,"遲到",IF($O70&gt;0,"早退","正常"))))))</f>
        <v/>
      </c>
      <c r="N70" s="32">
        <f>IF(OR($C70="",$G70="",$I70=""),0,IF(ROUND(($I70-$G70)*1440,0)&gt;設定!$C$28,ROUND(($I70-$G70)*1440,0),0))</f>
        <v/>
      </c>
      <c r="O70" s="32">
        <f>IF(OR($C70="",$H70="",$J70=""),0,IF(ROUND(($H70-$J70)*1440,0)&gt;設定!$C$28,ROUND(($H70-$J70)*1440,0),0))</f>
        <v/>
      </c>
      <c r="P70" s="33">
        <f>IF($L70="",0,IF(($L70-IFERROR(INDEX(設定!$G$5:$G$20,MATCH($F70,設定!$B$5:$B$20,0)),0))*60&gt;=設定!$C$26,ROUND(FLOOR(($L70-IFERROR(INDEX(設定!$G$5:$G$20,MATCH($F70,設定!$B$5:$B$20,0)),0))*60,設定!$C$27)/60,2),0))</f>
        <v/>
      </c>
      <c r="Q70" s="29">
        <f>IF(OR($C70="",$P70=0),"",IF($F70="國","國定假日",IF($B70="日","例假",IF($B70="六","休息日","平日"))))</f>
        <v/>
      </c>
      <c r="R70" s="34" t="n"/>
    </row>
    <row r="71">
      <c r="A71" s="30">
        <f>IF(OR(班表!$A8="",7&gt;DAY(EOMONTH(DATE(班表!$E$2,班表!$G$2,1),0))),"",DATE(班表!$E$2,班表!$G$2,7))</f>
        <v/>
      </c>
      <c r="B71" s="29">
        <f>IF($A71="","",INDEX(設定!$L$5:$L$11,WEEKDAY($A71,1)))</f>
        <v/>
      </c>
      <c r="C71" s="29">
        <f>IF($A71="","",班表!$A8)</f>
        <v/>
      </c>
      <c r="D71" s="29">
        <f>IF($C71="","",班表!$B8)</f>
        <v/>
      </c>
      <c r="E71" s="29">
        <f>IF($C71="","",班表!$C8)</f>
        <v/>
      </c>
      <c r="F71" s="29">
        <f>IF($C71="","",班表!J8)</f>
        <v/>
      </c>
      <c r="G71" s="31">
        <f>IF($F71="","",IFERROR(INDEX(設定!$D$5:$D$20,MATCH($F71,設定!$B$5:$B$20,0)),""))</f>
        <v/>
      </c>
      <c r="H71" s="31">
        <f>IF($F71="","",IFERROR(INDEX(設定!$E$5:$E$20,MATCH($F71,設定!$B$5:$B$20,0)),""))</f>
        <v/>
      </c>
      <c r="I71" s="31">
        <f>IFERROR(INDEX(打卡匯入!$C$3:$C$1002,MATCH($C71&amp;"|"&amp;DAY($A71),打卡匯入!$E$3:$E$1002,0)),"")</f>
        <v/>
      </c>
      <c r="J71" s="31">
        <f>IFERROR(INDEX(打卡匯入!$D$3:$D$1002,MATCH($C71&amp;"|"&amp;DAY($A71),打卡匯入!$E$3:$E$1002,0)),"")</f>
        <v/>
      </c>
      <c r="K71" s="32">
        <f>IF(OR($I71="",$J71=""),"",IFERROR(INDEX(設定!$F$5:$F$20,MATCH($F71,設定!$B$5:$B$20,0)),0))</f>
        <v/>
      </c>
      <c r="L71" s="33">
        <f>IF(OR($I71="",$J71=""),"",ROUND(($J71-$I71)*24-$K71/60,2))</f>
        <v/>
      </c>
      <c r="M71" s="29">
        <f>IF($C71="","",IF(AND(COUNTIF(設定!$B$14:$B$20,$F71)&gt;0,$I71&lt;&gt;""),"假日出勤",IF(AND(COUNTIF(設定!$B$5:$B$13,$F71)&gt;0,$I71=""),"未打卡",IF($I71="","",IF($N71&gt;0,"遲到",IF($O71&gt;0,"早退","正常"))))))</f>
        <v/>
      </c>
      <c r="N71" s="32">
        <f>IF(OR($C71="",$G71="",$I71=""),0,IF(ROUND(($I71-$G71)*1440,0)&gt;設定!$C$28,ROUND(($I71-$G71)*1440,0),0))</f>
        <v/>
      </c>
      <c r="O71" s="32">
        <f>IF(OR($C71="",$H71="",$J71=""),0,IF(ROUND(($H71-$J71)*1440,0)&gt;設定!$C$28,ROUND(($H71-$J71)*1440,0),0))</f>
        <v/>
      </c>
      <c r="P71" s="33">
        <f>IF($L71="",0,IF(($L71-IFERROR(INDEX(設定!$G$5:$G$20,MATCH($F71,設定!$B$5:$B$20,0)),0))*60&gt;=設定!$C$26,ROUND(FLOOR(($L71-IFERROR(INDEX(設定!$G$5:$G$20,MATCH($F71,設定!$B$5:$B$20,0)),0))*60,設定!$C$27)/60,2),0))</f>
        <v/>
      </c>
      <c r="Q71" s="29">
        <f>IF(OR($C71="",$P71=0),"",IF($F71="國","國定假日",IF($B71="日","例假",IF($B71="六","休息日","平日"))))</f>
        <v/>
      </c>
      <c r="R71" s="34" t="n"/>
    </row>
    <row r="72">
      <c r="A72" s="30">
        <f>IF(OR(班表!$A8="",8&gt;DAY(EOMONTH(DATE(班表!$E$2,班表!$G$2,1),0))),"",DATE(班表!$E$2,班表!$G$2,8))</f>
        <v/>
      </c>
      <c r="B72" s="29">
        <f>IF($A72="","",INDEX(設定!$L$5:$L$11,WEEKDAY($A72,1)))</f>
        <v/>
      </c>
      <c r="C72" s="29">
        <f>IF($A72="","",班表!$A8)</f>
        <v/>
      </c>
      <c r="D72" s="29">
        <f>IF($C72="","",班表!$B8)</f>
        <v/>
      </c>
      <c r="E72" s="29">
        <f>IF($C72="","",班表!$C8)</f>
        <v/>
      </c>
      <c r="F72" s="29">
        <f>IF($C72="","",班表!K8)</f>
        <v/>
      </c>
      <c r="G72" s="31">
        <f>IF($F72="","",IFERROR(INDEX(設定!$D$5:$D$20,MATCH($F72,設定!$B$5:$B$20,0)),""))</f>
        <v/>
      </c>
      <c r="H72" s="31">
        <f>IF($F72="","",IFERROR(INDEX(設定!$E$5:$E$20,MATCH($F72,設定!$B$5:$B$20,0)),""))</f>
        <v/>
      </c>
      <c r="I72" s="31">
        <f>IFERROR(INDEX(打卡匯入!$C$3:$C$1002,MATCH($C72&amp;"|"&amp;DAY($A72),打卡匯入!$E$3:$E$1002,0)),"")</f>
        <v/>
      </c>
      <c r="J72" s="31">
        <f>IFERROR(INDEX(打卡匯入!$D$3:$D$1002,MATCH($C72&amp;"|"&amp;DAY($A72),打卡匯入!$E$3:$E$1002,0)),"")</f>
        <v/>
      </c>
      <c r="K72" s="32">
        <f>IF(OR($I72="",$J72=""),"",IFERROR(INDEX(設定!$F$5:$F$20,MATCH($F72,設定!$B$5:$B$20,0)),0))</f>
        <v/>
      </c>
      <c r="L72" s="33">
        <f>IF(OR($I72="",$J72=""),"",ROUND(($J72-$I72)*24-$K72/60,2))</f>
        <v/>
      </c>
      <c r="M72" s="29">
        <f>IF($C72="","",IF(AND(COUNTIF(設定!$B$14:$B$20,$F72)&gt;0,$I72&lt;&gt;""),"假日出勤",IF(AND(COUNTIF(設定!$B$5:$B$13,$F72)&gt;0,$I72=""),"未打卡",IF($I72="","",IF($N72&gt;0,"遲到",IF($O72&gt;0,"早退","正常"))))))</f>
        <v/>
      </c>
      <c r="N72" s="32">
        <f>IF(OR($C72="",$G72="",$I72=""),0,IF(ROUND(($I72-$G72)*1440,0)&gt;設定!$C$28,ROUND(($I72-$G72)*1440,0),0))</f>
        <v/>
      </c>
      <c r="O72" s="32">
        <f>IF(OR($C72="",$H72="",$J72=""),0,IF(ROUND(($H72-$J72)*1440,0)&gt;設定!$C$28,ROUND(($H72-$J72)*1440,0),0))</f>
        <v/>
      </c>
      <c r="P72" s="33">
        <f>IF($L72="",0,IF(($L72-IFERROR(INDEX(設定!$G$5:$G$20,MATCH($F72,設定!$B$5:$B$20,0)),0))*60&gt;=設定!$C$26,ROUND(FLOOR(($L72-IFERROR(INDEX(設定!$G$5:$G$20,MATCH($F72,設定!$B$5:$B$20,0)),0))*60,設定!$C$27)/60,2),0))</f>
        <v/>
      </c>
      <c r="Q72" s="29">
        <f>IF(OR($C72="",$P72=0),"",IF($F72="國","國定假日",IF($B72="日","例假",IF($B72="六","休息日","平日"))))</f>
        <v/>
      </c>
      <c r="R72" s="34" t="n"/>
    </row>
    <row r="73">
      <c r="A73" s="30">
        <f>IF(OR(班表!$A8="",9&gt;DAY(EOMONTH(DATE(班表!$E$2,班表!$G$2,1),0))),"",DATE(班表!$E$2,班表!$G$2,9))</f>
        <v/>
      </c>
      <c r="B73" s="29">
        <f>IF($A73="","",INDEX(設定!$L$5:$L$11,WEEKDAY($A73,1)))</f>
        <v/>
      </c>
      <c r="C73" s="29">
        <f>IF($A73="","",班表!$A8)</f>
        <v/>
      </c>
      <c r="D73" s="29">
        <f>IF($C73="","",班表!$B8)</f>
        <v/>
      </c>
      <c r="E73" s="29">
        <f>IF($C73="","",班表!$C8)</f>
        <v/>
      </c>
      <c r="F73" s="29">
        <f>IF($C73="","",班表!L8)</f>
        <v/>
      </c>
      <c r="G73" s="31">
        <f>IF($F73="","",IFERROR(INDEX(設定!$D$5:$D$20,MATCH($F73,設定!$B$5:$B$20,0)),""))</f>
        <v/>
      </c>
      <c r="H73" s="31">
        <f>IF($F73="","",IFERROR(INDEX(設定!$E$5:$E$20,MATCH($F73,設定!$B$5:$B$20,0)),""))</f>
        <v/>
      </c>
      <c r="I73" s="31">
        <f>IFERROR(INDEX(打卡匯入!$C$3:$C$1002,MATCH($C73&amp;"|"&amp;DAY($A73),打卡匯入!$E$3:$E$1002,0)),"")</f>
        <v/>
      </c>
      <c r="J73" s="31">
        <f>IFERROR(INDEX(打卡匯入!$D$3:$D$1002,MATCH($C73&amp;"|"&amp;DAY($A73),打卡匯入!$E$3:$E$1002,0)),"")</f>
        <v/>
      </c>
      <c r="K73" s="32">
        <f>IF(OR($I73="",$J73=""),"",IFERROR(INDEX(設定!$F$5:$F$20,MATCH($F73,設定!$B$5:$B$20,0)),0))</f>
        <v/>
      </c>
      <c r="L73" s="33">
        <f>IF(OR($I73="",$J73=""),"",ROUND(($J73-$I73)*24-$K73/60,2))</f>
        <v/>
      </c>
      <c r="M73" s="29">
        <f>IF($C73="","",IF(AND(COUNTIF(設定!$B$14:$B$20,$F73)&gt;0,$I73&lt;&gt;""),"假日出勤",IF(AND(COUNTIF(設定!$B$5:$B$13,$F73)&gt;0,$I73=""),"未打卡",IF($I73="","",IF($N73&gt;0,"遲到",IF($O73&gt;0,"早退","正常"))))))</f>
        <v/>
      </c>
      <c r="N73" s="32">
        <f>IF(OR($C73="",$G73="",$I73=""),0,IF(ROUND(($I73-$G73)*1440,0)&gt;設定!$C$28,ROUND(($I73-$G73)*1440,0),0))</f>
        <v/>
      </c>
      <c r="O73" s="32">
        <f>IF(OR($C73="",$H73="",$J73=""),0,IF(ROUND(($H73-$J73)*1440,0)&gt;設定!$C$28,ROUND(($H73-$J73)*1440,0),0))</f>
        <v/>
      </c>
      <c r="P73" s="33">
        <f>IF($L73="",0,IF(($L73-IFERROR(INDEX(設定!$G$5:$G$20,MATCH($F73,設定!$B$5:$B$20,0)),0))*60&gt;=設定!$C$26,ROUND(FLOOR(($L73-IFERROR(INDEX(設定!$G$5:$G$20,MATCH($F73,設定!$B$5:$B$20,0)),0))*60,設定!$C$27)/60,2),0))</f>
        <v/>
      </c>
      <c r="Q73" s="29">
        <f>IF(OR($C73="",$P73=0),"",IF($F73="國","國定假日",IF($B73="日","例假",IF($B73="六","休息日","平日"))))</f>
        <v/>
      </c>
      <c r="R73" s="34" t="n"/>
    </row>
    <row r="74">
      <c r="A74" s="30">
        <f>IF(OR(班表!$A8="",10&gt;DAY(EOMONTH(DATE(班表!$E$2,班表!$G$2,1),0))),"",DATE(班表!$E$2,班表!$G$2,10))</f>
        <v/>
      </c>
      <c r="B74" s="29">
        <f>IF($A74="","",INDEX(設定!$L$5:$L$11,WEEKDAY($A74,1)))</f>
        <v/>
      </c>
      <c r="C74" s="29">
        <f>IF($A74="","",班表!$A8)</f>
        <v/>
      </c>
      <c r="D74" s="29">
        <f>IF($C74="","",班表!$B8)</f>
        <v/>
      </c>
      <c r="E74" s="29">
        <f>IF($C74="","",班表!$C8)</f>
        <v/>
      </c>
      <c r="F74" s="29">
        <f>IF($C74="","",班表!M8)</f>
        <v/>
      </c>
      <c r="G74" s="31">
        <f>IF($F74="","",IFERROR(INDEX(設定!$D$5:$D$20,MATCH($F74,設定!$B$5:$B$20,0)),""))</f>
        <v/>
      </c>
      <c r="H74" s="31">
        <f>IF($F74="","",IFERROR(INDEX(設定!$E$5:$E$20,MATCH($F74,設定!$B$5:$B$20,0)),""))</f>
        <v/>
      </c>
      <c r="I74" s="31">
        <f>IFERROR(INDEX(打卡匯入!$C$3:$C$1002,MATCH($C74&amp;"|"&amp;DAY($A74),打卡匯入!$E$3:$E$1002,0)),"")</f>
        <v/>
      </c>
      <c r="J74" s="31">
        <f>IFERROR(INDEX(打卡匯入!$D$3:$D$1002,MATCH($C74&amp;"|"&amp;DAY($A74),打卡匯入!$E$3:$E$1002,0)),"")</f>
        <v/>
      </c>
      <c r="K74" s="32">
        <f>IF(OR($I74="",$J74=""),"",IFERROR(INDEX(設定!$F$5:$F$20,MATCH($F74,設定!$B$5:$B$20,0)),0))</f>
        <v/>
      </c>
      <c r="L74" s="33">
        <f>IF(OR($I74="",$J74=""),"",ROUND(($J74-$I74)*24-$K74/60,2))</f>
        <v/>
      </c>
      <c r="M74" s="29">
        <f>IF($C74="","",IF(AND(COUNTIF(設定!$B$14:$B$20,$F74)&gt;0,$I74&lt;&gt;""),"假日出勤",IF(AND(COUNTIF(設定!$B$5:$B$13,$F74)&gt;0,$I74=""),"未打卡",IF($I74="","",IF($N74&gt;0,"遲到",IF($O74&gt;0,"早退","正常"))))))</f>
        <v/>
      </c>
      <c r="N74" s="32">
        <f>IF(OR($C74="",$G74="",$I74=""),0,IF(ROUND(($I74-$G74)*1440,0)&gt;設定!$C$28,ROUND(($I74-$G74)*1440,0),0))</f>
        <v/>
      </c>
      <c r="O74" s="32">
        <f>IF(OR($C74="",$H74="",$J74=""),0,IF(ROUND(($H74-$J74)*1440,0)&gt;設定!$C$28,ROUND(($H74-$J74)*1440,0),0))</f>
        <v/>
      </c>
      <c r="P74" s="33">
        <f>IF($L74="",0,IF(($L74-IFERROR(INDEX(設定!$G$5:$G$20,MATCH($F74,設定!$B$5:$B$20,0)),0))*60&gt;=設定!$C$26,ROUND(FLOOR(($L74-IFERROR(INDEX(設定!$G$5:$G$20,MATCH($F74,設定!$B$5:$B$20,0)),0))*60,設定!$C$27)/60,2),0))</f>
        <v/>
      </c>
      <c r="Q74" s="29">
        <f>IF(OR($C74="",$P74=0),"",IF($F74="國","國定假日",IF($B74="日","例假",IF($B74="六","休息日","平日"))))</f>
        <v/>
      </c>
      <c r="R74" s="34" t="n"/>
    </row>
    <row r="75">
      <c r="A75" s="30">
        <f>IF(OR(班表!$A8="",11&gt;DAY(EOMONTH(DATE(班表!$E$2,班表!$G$2,1),0))),"",DATE(班表!$E$2,班表!$G$2,11))</f>
        <v/>
      </c>
      <c r="B75" s="29">
        <f>IF($A75="","",INDEX(設定!$L$5:$L$11,WEEKDAY($A75,1)))</f>
        <v/>
      </c>
      <c r="C75" s="29">
        <f>IF($A75="","",班表!$A8)</f>
        <v/>
      </c>
      <c r="D75" s="29">
        <f>IF($C75="","",班表!$B8)</f>
        <v/>
      </c>
      <c r="E75" s="29">
        <f>IF($C75="","",班表!$C8)</f>
        <v/>
      </c>
      <c r="F75" s="29">
        <f>IF($C75="","",班表!N8)</f>
        <v/>
      </c>
      <c r="G75" s="31">
        <f>IF($F75="","",IFERROR(INDEX(設定!$D$5:$D$20,MATCH($F75,設定!$B$5:$B$20,0)),""))</f>
        <v/>
      </c>
      <c r="H75" s="31">
        <f>IF($F75="","",IFERROR(INDEX(設定!$E$5:$E$20,MATCH($F75,設定!$B$5:$B$20,0)),""))</f>
        <v/>
      </c>
      <c r="I75" s="31">
        <f>IFERROR(INDEX(打卡匯入!$C$3:$C$1002,MATCH($C75&amp;"|"&amp;DAY($A75),打卡匯入!$E$3:$E$1002,0)),"")</f>
        <v/>
      </c>
      <c r="J75" s="31">
        <f>IFERROR(INDEX(打卡匯入!$D$3:$D$1002,MATCH($C75&amp;"|"&amp;DAY($A75),打卡匯入!$E$3:$E$1002,0)),"")</f>
        <v/>
      </c>
      <c r="K75" s="32">
        <f>IF(OR($I75="",$J75=""),"",IFERROR(INDEX(設定!$F$5:$F$20,MATCH($F75,設定!$B$5:$B$20,0)),0))</f>
        <v/>
      </c>
      <c r="L75" s="33">
        <f>IF(OR($I75="",$J75=""),"",ROUND(($J75-$I75)*24-$K75/60,2))</f>
        <v/>
      </c>
      <c r="M75" s="29">
        <f>IF($C75="","",IF(AND(COUNTIF(設定!$B$14:$B$20,$F75)&gt;0,$I75&lt;&gt;""),"假日出勤",IF(AND(COUNTIF(設定!$B$5:$B$13,$F75)&gt;0,$I75=""),"未打卡",IF($I75="","",IF($N75&gt;0,"遲到",IF($O75&gt;0,"早退","正常"))))))</f>
        <v/>
      </c>
      <c r="N75" s="32">
        <f>IF(OR($C75="",$G75="",$I75=""),0,IF(ROUND(($I75-$G75)*1440,0)&gt;設定!$C$28,ROUND(($I75-$G75)*1440,0),0))</f>
        <v/>
      </c>
      <c r="O75" s="32">
        <f>IF(OR($C75="",$H75="",$J75=""),0,IF(ROUND(($H75-$J75)*1440,0)&gt;設定!$C$28,ROUND(($H75-$J75)*1440,0),0))</f>
        <v/>
      </c>
      <c r="P75" s="33">
        <f>IF($L75="",0,IF(($L75-IFERROR(INDEX(設定!$G$5:$G$20,MATCH($F75,設定!$B$5:$B$20,0)),0))*60&gt;=設定!$C$26,ROUND(FLOOR(($L75-IFERROR(INDEX(設定!$G$5:$G$20,MATCH($F75,設定!$B$5:$B$20,0)),0))*60,設定!$C$27)/60,2),0))</f>
        <v/>
      </c>
      <c r="Q75" s="29">
        <f>IF(OR($C75="",$P75=0),"",IF($F75="國","國定假日",IF($B75="日","例假",IF($B75="六","休息日","平日"))))</f>
        <v/>
      </c>
      <c r="R75" s="34" t="n"/>
    </row>
    <row r="76">
      <c r="A76" s="30">
        <f>IF(OR(班表!$A8="",12&gt;DAY(EOMONTH(DATE(班表!$E$2,班表!$G$2,1),0))),"",DATE(班表!$E$2,班表!$G$2,12))</f>
        <v/>
      </c>
      <c r="B76" s="29">
        <f>IF($A76="","",INDEX(設定!$L$5:$L$11,WEEKDAY($A76,1)))</f>
        <v/>
      </c>
      <c r="C76" s="29">
        <f>IF($A76="","",班表!$A8)</f>
        <v/>
      </c>
      <c r="D76" s="29">
        <f>IF($C76="","",班表!$B8)</f>
        <v/>
      </c>
      <c r="E76" s="29">
        <f>IF($C76="","",班表!$C8)</f>
        <v/>
      </c>
      <c r="F76" s="29">
        <f>IF($C76="","",班表!O8)</f>
        <v/>
      </c>
      <c r="G76" s="31">
        <f>IF($F76="","",IFERROR(INDEX(設定!$D$5:$D$20,MATCH($F76,設定!$B$5:$B$20,0)),""))</f>
        <v/>
      </c>
      <c r="H76" s="31">
        <f>IF($F76="","",IFERROR(INDEX(設定!$E$5:$E$20,MATCH($F76,設定!$B$5:$B$20,0)),""))</f>
        <v/>
      </c>
      <c r="I76" s="31">
        <f>IFERROR(INDEX(打卡匯入!$C$3:$C$1002,MATCH($C76&amp;"|"&amp;DAY($A76),打卡匯入!$E$3:$E$1002,0)),"")</f>
        <v/>
      </c>
      <c r="J76" s="31">
        <f>IFERROR(INDEX(打卡匯入!$D$3:$D$1002,MATCH($C76&amp;"|"&amp;DAY($A76),打卡匯入!$E$3:$E$1002,0)),"")</f>
        <v/>
      </c>
      <c r="K76" s="32">
        <f>IF(OR($I76="",$J76=""),"",IFERROR(INDEX(設定!$F$5:$F$20,MATCH($F76,設定!$B$5:$B$20,0)),0))</f>
        <v/>
      </c>
      <c r="L76" s="33">
        <f>IF(OR($I76="",$J76=""),"",ROUND(($J76-$I76)*24-$K76/60,2))</f>
        <v/>
      </c>
      <c r="M76" s="29">
        <f>IF($C76="","",IF(AND(COUNTIF(設定!$B$14:$B$20,$F76)&gt;0,$I76&lt;&gt;""),"假日出勤",IF(AND(COUNTIF(設定!$B$5:$B$13,$F76)&gt;0,$I76=""),"未打卡",IF($I76="","",IF($N76&gt;0,"遲到",IF($O76&gt;0,"早退","正常"))))))</f>
        <v/>
      </c>
      <c r="N76" s="32">
        <f>IF(OR($C76="",$G76="",$I76=""),0,IF(ROUND(($I76-$G76)*1440,0)&gt;設定!$C$28,ROUND(($I76-$G76)*1440,0),0))</f>
        <v/>
      </c>
      <c r="O76" s="32">
        <f>IF(OR($C76="",$H76="",$J76=""),0,IF(ROUND(($H76-$J76)*1440,0)&gt;設定!$C$28,ROUND(($H76-$J76)*1440,0),0))</f>
        <v/>
      </c>
      <c r="P76" s="33">
        <f>IF($L76="",0,IF(($L76-IFERROR(INDEX(設定!$G$5:$G$20,MATCH($F76,設定!$B$5:$B$20,0)),0))*60&gt;=設定!$C$26,ROUND(FLOOR(($L76-IFERROR(INDEX(設定!$G$5:$G$20,MATCH($F76,設定!$B$5:$B$20,0)),0))*60,設定!$C$27)/60,2),0))</f>
        <v/>
      </c>
      <c r="Q76" s="29">
        <f>IF(OR($C76="",$P76=0),"",IF($F76="國","國定假日",IF($B76="日","例假",IF($B76="六","休息日","平日"))))</f>
        <v/>
      </c>
      <c r="R76" s="34" t="n"/>
    </row>
    <row r="77">
      <c r="A77" s="30">
        <f>IF(OR(班表!$A8="",13&gt;DAY(EOMONTH(DATE(班表!$E$2,班表!$G$2,1),0))),"",DATE(班表!$E$2,班表!$G$2,13))</f>
        <v/>
      </c>
      <c r="B77" s="29">
        <f>IF($A77="","",INDEX(設定!$L$5:$L$11,WEEKDAY($A77,1)))</f>
        <v/>
      </c>
      <c r="C77" s="29">
        <f>IF($A77="","",班表!$A8)</f>
        <v/>
      </c>
      <c r="D77" s="29">
        <f>IF($C77="","",班表!$B8)</f>
        <v/>
      </c>
      <c r="E77" s="29">
        <f>IF($C77="","",班表!$C8)</f>
        <v/>
      </c>
      <c r="F77" s="29">
        <f>IF($C77="","",班表!P8)</f>
        <v/>
      </c>
      <c r="G77" s="31">
        <f>IF($F77="","",IFERROR(INDEX(設定!$D$5:$D$20,MATCH($F77,設定!$B$5:$B$20,0)),""))</f>
        <v/>
      </c>
      <c r="H77" s="31">
        <f>IF($F77="","",IFERROR(INDEX(設定!$E$5:$E$20,MATCH($F77,設定!$B$5:$B$20,0)),""))</f>
        <v/>
      </c>
      <c r="I77" s="31">
        <f>IFERROR(INDEX(打卡匯入!$C$3:$C$1002,MATCH($C77&amp;"|"&amp;DAY($A77),打卡匯入!$E$3:$E$1002,0)),"")</f>
        <v/>
      </c>
      <c r="J77" s="31">
        <f>IFERROR(INDEX(打卡匯入!$D$3:$D$1002,MATCH($C77&amp;"|"&amp;DAY($A77),打卡匯入!$E$3:$E$1002,0)),"")</f>
        <v/>
      </c>
      <c r="K77" s="32">
        <f>IF(OR($I77="",$J77=""),"",IFERROR(INDEX(設定!$F$5:$F$20,MATCH($F77,設定!$B$5:$B$20,0)),0))</f>
        <v/>
      </c>
      <c r="L77" s="33">
        <f>IF(OR($I77="",$J77=""),"",ROUND(($J77-$I77)*24-$K77/60,2))</f>
        <v/>
      </c>
      <c r="M77" s="29">
        <f>IF($C77="","",IF(AND(COUNTIF(設定!$B$14:$B$20,$F77)&gt;0,$I77&lt;&gt;""),"假日出勤",IF(AND(COUNTIF(設定!$B$5:$B$13,$F77)&gt;0,$I77=""),"未打卡",IF($I77="","",IF($N77&gt;0,"遲到",IF($O77&gt;0,"早退","正常"))))))</f>
        <v/>
      </c>
      <c r="N77" s="32">
        <f>IF(OR($C77="",$G77="",$I77=""),0,IF(ROUND(($I77-$G77)*1440,0)&gt;設定!$C$28,ROUND(($I77-$G77)*1440,0),0))</f>
        <v/>
      </c>
      <c r="O77" s="32">
        <f>IF(OR($C77="",$H77="",$J77=""),0,IF(ROUND(($H77-$J77)*1440,0)&gt;設定!$C$28,ROUND(($H77-$J77)*1440,0),0))</f>
        <v/>
      </c>
      <c r="P77" s="33">
        <f>IF($L77="",0,IF(($L77-IFERROR(INDEX(設定!$G$5:$G$20,MATCH($F77,設定!$B$5:$B$20,0)),0))*60&gt;=設定!$C$26,ROUND(FLOOR(($L77-IFERROR(INDEX(設定!$G$5:$G$20,MATCH($F77,設定!$B$5:$B$20,0)),0))*60,設定!$C$27)/60,2),0))</f>
        <v/>
      </c>
      <c r="Q77" s="29">
        <f>IF(OR($C77="",$P77=0),"",IF($F77="國","國定假日",IF($B77="日","例假",IF($B77="六","休息日","平日"))))</f>
        <v/>
      </c>
      <c r="R77" s="34" t="n"/>
    </row>
    <row r="78">
      <c r="A78" s="30">
        <f>IF(OR(班表!$A8="",14&gt;DAY(EOMONTH(DATE(班表!$E$2,班表!$G$2,1),0))),"",DATE(班表!$E$2,班表!$G$2,14))</f>
        <v/>
      </c>
      <c r="B78" s="29">
        <f>IF($A78="","",INDEX(設定!$L$5:$L$11,WEEKDAY($A78,1)))</f>
        <v/>
      </c>
      <c r="C78" s="29">
        <f>IF($A78="","",班表!$A8)</f>
        <v/>
      </c>
      <c r="D78" s="29">
        <f>IF($C78="","",班表!$B8)</f>
        <v/>
      </c>
      <c r="E78" s="29">
        <f>IF($C78="","",班表!$C8)</f>
        <v/>
      </c>
      <c r="F78" s="29">
        <f>IF($C78="","",班表!Q8)</f>
        <v/>
      </c>
      <c r="G78" s="31">
        <f>IF($F78="","",IFERROR(INDEX(設定!$D$5:$D$20,MATCH($F78,設定!$B$5:$B$20,0)),""))</f>
        <v/>
      </c>
      <c r="H78" s="31">
        <f>IF($F78="","",IFERROR(INDEX(設定!$E$5:$E$20,MATCH($F78,設定!$B$5:$B$20,0)),""))</f>
        <v/>
      </c>
      <c r="I78" s="31">
        <f>IFERROR(INDEX(打卡匯入!$C$3:$C$1002,MATCH($C78&amp;"|"&amp;DAY($A78),打卡匯入!$E$3:$E$1002,0)),"")</f>
        <v/>
      </c>
      <c r="J78" s="31">
        <f>IFERROR(INDEX(打卡匯入!$D$3:$D$1002,MATCH($C78&amp;"|"&amp;DAY($A78),打卡匯入!$E$3:$E$1002,0)),"")</f>
        <v/>
      </c>
      <c r="K78" s="32">
        <f>IF(OR($I78="",$J78=""),"",IFERROR(INDEX(設定!$F$5:$F$20,MATCH($F78,設定!$B$5:$B$20,0)),0))</f>
        <v/>
      </c>
      <c r="L78" s="33">
        <f>IF(OR($I78="",$J78=""),"",ROUND(($J78-$I78)*24-$K78/60,2))</f>
        <v/>
      </c>
      <c r="M78" s="29">
        <f>IF($C78="","",IF(AND(COUNTIF(設定!$B$14:$B$20,$F78)&gt;0,$I78&lt;&gt;""),"假日出勤",IF(AND(COUNTIF(設定!$B$5:$B$13,$F78)&gt;0,$I78=""),"未打卡",IF($I78="","",IF($N78&gt;0,"遲到",IF($O78&gt;0,"早退","正常"))))))</f>
        <v/>
      </c>
      <c r="N78" s="32">
        <f>IF(OR($C78="",$G78="",$I78=""),0,IF(ROUND(($I78-$G78)*1440,0)&gt;設定!$C$28,ROUND(($I78-$G78)*1440,0),0))</f>
        <v/>
      </c>
      <c r="O78" s="32">
        <f>IF(OR($C78="",$H78="",$J78=""),0,IF(ROUND(($H78-$J78)*1440,0)&gt;設定!$C$28,ROUND(($H78-$J78)*1440,0),0))</f>
        <v/>
      </c>
      <c r="P78" s="33">
        <f>IF($L78="",0,IF(($L78-IFERROR(INDEX(設定!$G$5:$G$20,MATCH($F78,設定!$B$5:$B$20,0)),0))*60&gt;=設定!$C$26,ROUND(FLOOR(($L78-IFERROR(INDEX(設定!$G$5:$G$20,MATCH($F78,設定!$B$5:$B$20,0)),0))*60,設定!$C$27)/60,2),0))</f>
        <v/>
      </c>
      <c r="Q78" s="29">
        <f>IF(OR($C78="",$P78=0),"",IF($F78="國","國定假日",IF($B78="日","例假",IF($B78="六","休息日","平日"))))</f>
        <v/>
      </c>
      <c r="R78" s="34" t="n"/>
    </row>
    <row r="79">
      <c r="A79" s="30">
        <f>IF(OR(班表!$A8="",15&gt;DAY(EOMONTH(DATE(班表!$E$2,班表!$G$2,1),0))),"",DATE(班表!$E$2,班表!$G$2,15))</f>
        <v/>
      </c>
      <c r="B79" s="29">
        <f>IF($A79="","",INDEX(設定!$L$5:$L$11,WEEKDAY($A79,1)))</f>
        <v/>
      </c>
      <c r="C79" s="29">
        <f>IF($A79="","",班表!$A8)</f>
        <v/>
      </c>
      <c r="D79" s="29">
        <f>IF($C79="","",班表!$B8)</f>
        <v/>
      </c>
      <c r="E79" s="29">
        <f>IF($C79="","",班表!$C8)</f>
        <v/>
      </c>
      <c r="F79" s="29">
        <f>IF($C79="","",班表!R8)</f>
        <v/>
      </c>
      <c r="G79" s="31">
        <f>IF($F79="","",IFERROR(INDEX(設定!$D$5:$D$20,MATCH($F79,設定!$B$5:$B$20,0)),""))</f>
        <v/>
      </c>
      <c r="H79" s="31">
        <f>IF($F79="","",IFERROR(INDEX(設定!$E$5:$E$20,MATCH($F79,設定!$B$5:$B$20,0)),""))</f>
        <v/>
      </c>
      <c r="I79" s="31">
        <f>IFERROR(INDEX(打卡匯入!$C$3:$C$1002,MATCH($C79&amp;"|"&amp;DAY($A79),打卡匯入!$E$3:$E$1002,0)),"")</f>
        <v/>
      </c>
      <c r="J79" s="31">
        <f>IFERROR(INDEX(打卡匯入!$D$3:$D$1002,MATCH($C79&amp;"|"&amp;DAY($A79),打卡匯入!$E$3:$E$1002,0)),"")</f>
        <v/>
      </c>
      <c r="K79" s="32">
        <f>IF(OR($I79="",$J79=""),"",IFERROR(INDEX(設定!$F$5:$F$20,MATCH($F79,設定!$B$5:$B$20,0)),0))</f>
        <v/>
      </c>
      <c r="L79" s="33">
        <f>IF(OR($I79="",$J79=""),"",ROUND(($J79-$I79)*24-$K79/60,2))</f>
        <v/>
      </c>
      <c r="M79" s="29">
        <f>IF($C79="","",IF(AND(COUNTIF(設定!$B$14:$B$20,$F79)&gt;0,$I79&lt;&gt;""),"假日出勤",IF(AND(COUNTIF(設定!$B$5:$B$13,$F79)&gt;0,$I79=""),"未打卡",IF($I79="","",IF($N79&gt;0,"遲到",IF($O79&gt;0,"早退","正常"))))))</f>
        <v/>
      </c>
      <c r="N79" s="32">
        <f>IF(OR($C79="",$G79="",$I79=""),0,IF(ROUND(($I79-$G79)*1440,0)&gt;設定!$C$28,ROUND(($I79-$G79)*1440,0),0))</f>
        <v/>
      </c>
      <c r="O79" s="32">
        <f>IF(OR($C79="",$H79="",$J79=""),0,IF(ROUND(($H79-$J79)*1440,0)&gt;設定!$C$28,ROUND(($H79-$J79)*1440,0),0))</f>
        <v/>
      </c>
      <c r="P79" s="33">
        <f>IF($L79="",0,IF(($L79-IFERROR(INDEX(設定!$G$5:$G$20,MATCH($F79,設定!$B$5:$B$20,0)),0))*60&gt;=設定!$C$26,ROUND(FLOOR(($L79-IFERROR(INDEX(設定!$G$5:$G$20,MATCH($F79,設定!$B$5:$B$20,0)),0))*60,設定!$C$27)/60,2),0))</f>
        <v/>
      </c>
      <c r="Q79" s="29">
        <f>IF(OR($C79="",$P79=0),"",IF($F79="國","國定假日",IF($B79="日","例假",IF($B79="六","休息日","平日"))))</f>
        <v/>
      </c>
      <c r="R79" s="34" t="n"/>
    </row>
    <row r="80">
      <c r="A80" s="30">
        <f>IF(OR(班表!$A8="",16&gt;DAY(EOMONTH(DATE(班表!$E$2,班表!$G$2,1),0))),"",DATE(班表!$E$2,班表!$G$2,16))</f>
        <v/>
      </c>
      <c r="B80" s="29">
        <f>IF($A80="","",INDEX(設定!$L$5:$L$11,WEEKDAY($A80,1)))</f>
        <v/>
      </c>
      <c r="C80" s="29">
        <f>IF($A80="","",班表!$A8)</f>
        <v/>
      </c>
      <c r="D80" s="29">
        <f>IF($C80="","",班表!$B8)</f>
        <v/>
      </c>
      <c r="E80" s="29">
        <f>IF($C80="","",班表!$C8)</f>
        <v/>
      </c>
      <c r="F80" s="29">
        <f>IF($C80="","",班表!S8)</f>
        <v/>
      </c>
      <c r="G80" s="31">
        <f>IF($F80="","",IFERROR(INDEX(設定!$D$5:$D$20,MATCH($F80,設定!$B$5:$B$20,0)),""))</f>
        <v/>
      </c>
      <c r="H80" s="31">
        <f>IF($F80="","",IFERROR(INDEX(設定!$E$5:$E$20,MATCH($F80,設定!$B$5:$B$20,0)),""))</f>
        <v/>
      </c>
      <c r="I80" s="31">
        <f>IFERROR(INDEX(打卡匯入!$C$3:$C$1002,MATCH($C80&amp;"|"&amp;DAY($A80),打卡匯入!$E$3:$E$1002,0)),"")</f>
        <v/>
      </c>
      <c r="J80" s="31">
        <f>IFERROR(INDEX(打卡匯入!$D$3:$D$1002,MATCH($C80&amp;"|"&amp;DAY($A80),打卡匯入!$E$3:$E$1002,0)),"")</f>
        <v/>
      </c>
      <c r="K80" s="32">
        <f>IF(OR($I80="",$J80=""),"",IFERROR(INDEX(設定!$F$5:$F$20,MATCH($F80,設定!$B$5:$B$20,0)),0))</f>
        <v/>
      </c>
      <c r="L80" s="33">
        <f>IF(OR($I80="",$J80=""),"",ROUND(($J80-$I80)*24-$K80/60,2))</f>
        <v/>
      </c>
      <c r="M80" s="29">
        <f>IF($C80="","",IF(AND(COUNTIF(設定!$B$14:$B$20,$F80)&gt;0,$I80&lt;&gt;""),"假日出勤",IF(AND(COUNTIF(設定!$B$5:$B$13,$F80)&gt;0,$I80=""),"未打卡",IF($I80="","",IF($N80&gt;0,"遲到",IF($O80&gt;0,"早退","正常"))))))</f>
        <v/>
      </c>
      <c r="N80" s="32">
        <f>IF(OR($C80="",$G80="",$I80=""),0,IF(ROUND(($I80-$G80)*1440,0)&gt;設定!$C$28,ROUND(($I80-$G80)*1440,0),0))</f>
        <v/>
      </c>
      <c r="O80" s="32">
        <f>IF(OR($C80="",$H80="",$J80=""),0,IF(ROUND(($H80-$J80)*1440,0)&gt;設定!$C$28,ROUND(($H80-$J80)*1440,0),0))</f>
        <v/>
      </c>
      <c r="P80" s="33">
        <f>IF($L80="",0,IF(($L80-IFERROR(INDEX(設定!$G$5:$G$20,MATCH($F80,設定!$B$5:$B$20,0)),0))*60&gt;=設定!$C$26,ROUND(FLOOR(($L80-IFERROR(INDEX(設定!$G$5:$G$20,MATCH($F80,設定!$B$5:$B$20,0)),0))*60,設定!$C$27)/60,2),0))</f>
        <v/>
      </c>
      <c r="Q80" s="29">
        <f>IF(OR($C80="",$P80=0),"",IF($F80="國","國定假日",IF($B80="日","例假",IF($B80="六","休息日","平日"))))</f>
        <v/>
      </c>
      <c r="R80" s="34" t="n"/>
    </row>
    <row r="81">
      <c r="A81" s="30">
        <f>IF(OR(班表!$A8="",17&gt;DAY(EOMONTH(DATE(班表!$E$2,班表!$G$2,1),0))),"",DATE(班表!$E$2,班表!$G$2,17))</f>
        <v/>
      </c>
      <c r="B81" s="29">
        <f>IF($A81="","",INDEX(設定!$L$5:$L$11,WEEKDAY($A81,1)))</f>
        <v/>
      </c>
      <c r="C81" s="29">
        <f>IF($A81="","",班表!$A8)</f>
        <v/>
      </c>
      <c r="D81" s="29">
        <f>IF($C81="","",班表!$B8)</f>
        <v/>
      </c>
      <c r="E81" s="29">
        <f>IF($C81="","",班表!$C8)</f>
        <v/>
      </c>
      <c r="F81" s="29">
        <f>IF($C81="","",班表!T8)</f>
        <v/>
      </c>
      <c r="G81" s="31">
        <f>IF($F81="","",IFERROR(INDEX(設定!$D$5:$D$20,MATCH($F81,設定!$B$5:$B$20,0)),""))</f>
        <v/>
      </c>
      <c r="H81" s="31">
        <f>IF($F81="","",IFERROR(INDEX(設定!$E$5:$E$20,MATCH($F81,設定!$B$5:$B$20,0)),""))</f>
        <v/>
      </c>
      <c r="I81" s="31">
        <f>IFERROR(INDEX(打卡匯入!$C$3:$C$1002,MATCH($C81&amp;"|"&amp;DAY($A81),打卡匯入!$E$3:$E$1002,0)),"")</f>
        <v/>
      </c>
      <c r="J81" s="31">
        <f>IFERROR(INDEX(打卡匯入!$D$3:$D$1002,MATCH($C81&amp;"|"&amp;DAY($A81),打卡匯入!$E$3:$E$1002,0)),"")</f>
        <v/>
      </c>
      <c r="K81" s="32">
        <f>IF(OR($I81="",$J81=""),"",IFERROR(INDEX(設定!$F$5:$F$20,MATCH($F81,設定!$B$5:$B$20,0)),0))</f>
        <v/>
      </c>
      <c r="L81" s="33">
        <f>IF(OR($I81="",$J81=""),"",ROUND(($J81-$I81)*24-$K81/60,2))</f>
        <v/>
      </c>
      <c r="M81" s="29">
        <f>IF($C81="","",IF(AND(COUNTIF(設定!$B$14:$B$20,$F81)&gt;0,$I81&lt;&gt;""),"假日出勤",IF(AND(COUNTIF(設定!$B$5:$B$13,$F81)&gt;0,$I81=""),"未打卡",IF($I81="","",IF($N81&gt;0,"遲到",IF($O81&gt;0,"早退","正常"))))))</f>
        <v/>
      </c>
      <c r="N81" s="32">
        <f>IF(OR($C81="",$G81="",$I81=""),0,IF(ROUND(($I81-$G81)*1440,0)&gt;設定!$C$28,ROUND(($I81-$G81)*1440,0),0))</f>
        <v/>
      </c>
      <c r="O81" s="32">
        <f>IF(OR($C81="",$H81="",$J81=""),0,IF(ROUND(($H81-$J81)*1440,0)&gt;設定!$C$28,ROUND(($H81-$J81)*1440,0),0))</f>
        <v/>
      </c>
      <c r="P81" s="33">
        <f>IF($L81="",0,IF(($L81-IFERROR(INDEX(設定!$G$5:$G$20,MATCH($F81,設定!$B$5:$B$20,0)),0))*60&gt;=設定!$C$26,ROUND(FLOOR(($L81-IFERROR(INDEX(設定!$G$5:$G$20,MATCH($F81,設定!$B$5:$B$20,0)),0))*60,設定!$C$27)/60,2),0))</f>
        <v/>
      </c>
      <c r="Q81" s="29">
        <f>IF(OR($C81="",$P81=0),"",IF($F81="國","國定假日",IF($B81="日","例假",IF($B81="六","休息日","平日"))))</f>
        <v/>
      </c>
      <c r="R81" s="34" t="n"/>
    </row>
    <row r="82">
      <c r="A82" s="30">
        <f>IF(OR(班表!$A8="",18&gt;DAY(EOMONTH(DATE(班表!$E$2,班表!$G$2,1),0))),"",DATE(班表!$E$2,班表!$G$2,18))</f>
        <v/>
      </c>
      <c r="B82" s="29">
        <f>IF($A82="","",INDEX(設定!$L$5:$L$11,WEEKDAY($A82,1)))</f>
        <v/>
      </c>
      <c r="C82" s="29">
        <f>IF($A82="","",班表!$A8)</f>
        <v/>
      </c>
      <c r="D82" s="29">
        <f>IF($C82="","",班表!$B8)</f>
        <v/>
      </c>
      <c r="E82" s="29">
        <f>IF($C82="","",班表!$C8)</f>
        <v/>
      </c>
      <c r="F82" s="29">
        <f>IF($C82="","",班表!U8)</f>
        <v/>
      </c>
      <c r="G82" s="31">
        <f>IF($F82="","",IFERROR(INDEX(設定!$D$5:$D$20,MATCH($F82,設定!$B$5:$B$20,0)),""))</f>
        <v/>
      </c>
      <c r="H82" s="31">
        <f>IF($F82="","",IFERROR(INDEX(設定!$E$5:$E$20,MATCH($F82,設定!$B$5:$B$20,0)),""))</f>
        <v/>
      </c>
      <c r="I82" s="31">
        <f>IFERROR(INDEX(打卡匯入!$C$3:$C$1002,MATCH($C82&amp;"|"&amp;DAY($A82),打卡匯入!$E$3:$E$1002,0)),"")</f>
        <v/>
      </c>
      <c r="J82" s="31">
        <f>IFERROR(INDEX(打卡匯入!$D$3:$D$1002,MATCH($C82&amp;"|"&amp;DAY($A82),打卡匯入!$E$3:$E$1002,0)),"")</f>
        <v/>
      </c>
      <c r="K82" s="32">
        <f>IF(OR($I82="",$J82=""),"",IFERROR(INDEX(設定!$F$5:$F$20,MATCH($F82,設定!$B$5:$B$20,0)),0))</f>
        <v/>
      </c>
      <c r="L82" s="33">
        <f>IF(OR($I82="",$J82=""),"",ROUND(($J82-$I82)*24-$K82/60,2))</f>
        <v/>
      </c>
      <c r="M82" s="29">
        <f>IF($C82="","",IF(AND(COUNTIF(設定!$B$14:$B$20,$F82)&gt;0,$I82&lt;&gt;""),"假日出勤",IF(AND(COUNTIF(設定!$B$5:$B$13,$F82)&gt;0,$I82=""),"未打卡",IF($I82="","",IF($N82&gt;0,"遲到",IF($O82&gt;0,"早退","正常"))))))</f>
        <v/>
      </c>
      <c r="N82" s="32">
        <f>IF(OR($C82="",$G82="",$I82=""),0,IF(ROUND(($I82-$G82)*1440,0)&gt;設定!$C$28,ROUND(($I82-$G82)*1440,0),0))</f>
        <v/>
      </c>
      <c r="O82" s="32">
        <f>IF(OR($C82="",$H82="",$J82=""),0,IF(ROUND(($H82-$J82)*1440,0)&gt;設定!$C$28,ROUND(($H82-$J82)*1440,0),0))</f>
        <v/>
      </c>
      <c r="P82" s="33">
        <f>IF($L82="",0,IF(($L82-IFERROR(INDEX(設定!$G$5:$G$20,MATCH($F82,設定!$B$5:$B$20,0)),0))*60&gt;=設定!$C$26,ROUND(FLOOR(($L82-IFERROR(INDEX(設定!$G$5:$G$20,MATCH($F82,設定!$B$5:$B$20,0)),0))*60,設定!$C$27)/60,2),0))</f>
        <v/>
      </c>
      <c r="Q82" s="29">
        <f>IF(OR($C82="",$P82=0),"",IF($F82="國","國定假日",IF($B82="日","例假",IF($B82="六","休息日","平日"))))</f>
        <v/>
      </c>
      <c r="R82" s="34" t="n"/>
    </row>
    <row r="83">
      <c r="A83" s="30">
        <f>IF(OR(班表!$A8="",19&gt;DAY(EOMONTH(DATE(班表!$E$2,班表!$G$2,1),0))),"",DATE(班表!$E$2,班表!$G$2,19))</f>
        <v/>
      </c>
      <c r="B83" s="29">
        <f>IF($A83="","",INDEX(設定!$L$5:$L$11,WEEKDAY($A83,1)))</f>
        <v/>
      </c>
      <c r="C83" s="29">
        <f>IF($A83="","",班表!$A8)</f>
        <v/>
      </c>
      <c r="D83" s="29">
        <f>IF($C83="","",班表!$B8)</f>
        <v/>
      </c>
      <c r="E83" s="29">
        <f>IF($C83="","",班表!$C8)</f>
        <v/>
      </c>
      <c r="F83" s="29">
        <f>IF($C83="","",班表!V8)</f>
        <v/>
      </c>
      <c r="G83" s="31">
        <f>IF($F83="","",IFERROR(INDEX(設定!$D$5:$D$20,MATCH($F83,設定!$B$5:$B$20,0)),""))</f>
        <v/>
      </c>
      <c r="H83" s="31">
        <f>IF($F83="","",IFERROR(INDEX(設定!$E$5:$E$20,MATCH($F83,設定!$B$5:$B$20,0)),""))</f>
        <v/>
      </c>
      <c r="I83" s="31">
        <f>IFERROR(INDEX(打卡匯入!$C$3:$C$1002,MATCH($C83&amp;"|"&amp;DAY($A83),打卡匯入!$E$3:$E$1002,0)),"")</f>
        <v/>
      </c>
      <c r="J83" s="31">
        <f>IFERROR(INDEX(打卡匯入!$D$3:$D$1002,MATCH($C83&amp;"|"&amp;DAY($A83),打卡匯入!$E$3:$E$1002,0)),"")</f>
        <v/>
      </c>
      <c r="K83" s="32">
        <f>IF(OR($I83="",$J83=""),"",IFERROR(INDEX(設定!$F$5:$F$20,MATCH($F83,設定!$B$5:$B$20,0)),0))</f>
        <v/>
      </c>
      <c r="L83" s="33">
        <f>IF(OR($I83="",$J83=""),"",ROUND(($J83-$I83)*24-$K83/60,2))</f>
        <v/>
      </c>
      <c r="M83" s="29">
        <f>IF($C83="","",IF(AND(COUNTIF(設定!$B$14:$B$20,$F83)&gt;0,$I83&lt;&gt;""),"假日出勤",IF(AND(COUNTIF(設定!$B$5:$B$13,$F83)&gt;0,$I83=""),"未打卡",IF($I83="","",IF($N83&gt;0,"遲到",IF($O83&gt;0,"早退","正常"))))))</f>
        <v/>
      </c>
      <c r="N83" s="32">
        <f>IF(OR($C83="",$G83="",$I83=""),0,IF(ROUND(($I83-$G83)*1440,0)&gt;設定!$C$28,ROUND(($I83-$G83)*1440,0),0))</f>
        <v/>
      </c>
      <c r="O83" s="32">
        <f>IF(OR($C83="",$H83="",$J83=""),0,IF(ROUND(($H83-$J83)*1440,0)&gt;設定!$C$28,ROUND(($H83-$J83)*1440,0),0))</f>
        <v/>
      </c>
      <c r="P83" s="33">
        <f>IF($L83="",0,IF(($L83-IFERROR(INDEX(設定!$G$5:$G$20,MATCH($F83,設定!$B$5:$B$20,0)),0))*60&gt;=設定!$C$26,ROUND(FLOOR(($L83-IFERROR(INDEX(設定!$G$5:$G$20,MATCH($F83,設定!$B$5:$B$20,0)),0))*60,設定!$C$27)/60,2),0))</f>
        <v/>
      </c>
      <c r="Q83" s="29">
        <f>IF(OR($C83="",$P83=0),"",IF($F83="國","國定假日",IF($B83="日","例假",IF($B83="六","休息日","平日"))))</f>
        <v/>
      </c>
      <c r="R83" s="34" t="n"/>
    </row>
    <row r="84">
      <c r="A84" s="30">
        <f>IF(OR(班表!$A8="",20&gt;DAY(EOMONTH(DATE(班表!$E$2,班表!$G$2,1),0))),"",DATE(班表!$E$2,班表!$G$2,20))</f>
        <v/>
      </c>
      <c r="B84" s="29">
        <f>IF($A84="","",INDEX(設定!$L$5:$L$11,WEEKDAY($A84,1)))</f>
        <v/>
      </c>
      <c r="C84" s="29">
        <f>IF($A84="","",班表!$A8)</f>
        <v/>
      </c>
      <c r="D84" s="29">
        <f>IF($C84="","",班表!$B8)</f>
        <v/>
      </c>
      <c r="E84" s="29">
        <f>IF($C84="","",班表!$C8)</f>
        <v/>
      </c>
      <c r="F84" s="29">
        <f>IF($C84="","",班表!W8)</f>
        <v/>
      </c>
      <c r="G84" s="31">
        <f>IF($F84="","",IFERROR(INDEX(設定!$D$5:$D$20,MATCH($F84,設定!$B$5:$B$20,0)),""))</f>
        <v/>
      </c>
      <c r="H84" s="31">
        <f>IF($F84="","",IFERROR(INDEX(設定!$E$5:$E$20,MATCH($F84,設定!$B$5:$B$20,0)),""))</f>
        <v/>
      </c>
      <c r="I84" s="31">
        <f>IFERROR(INDEX(打卡匯入!$C$3:$C$1002,MATCH($C84&amp;"|"&amp;DAY($A84),打卡匯入!$E$3:$E$1002,0)),"")</f>
        <v/>
      </c>
      <c r="J84" s="31">
        <f>IFERROR(INDEX(打卡匯入!$D$3:$D$1002,MATCH($C84&amp;"|"&amp;DAY($A84),打卡匯入!$E$3:$E$1002,0)),"")</f>
        <v/>
      </c>
      <c r="K84" s="32">
        <f>IF(OR($I84="",$J84=""),"",IFERROR(INDEX(設定!$F$5:$F$20,MATCH($F84,設定!$B$5:$B$20,0)),0))</f>
        <v/>
      </c>
      <c r="L84" s="33">
        <f>IF(OR($I84="",$J84=""),"",ROUND(($J84-$I84)*24-$K84/60,2))</f>
        <v/>
      </c>
      <c r="M84" s="29">
        <f>IF($C84="","",IF(AND(COUNTIF(設定!$B$14:$B$20,$F84)&gt;0,$I84&lt;&gt;""),"假日出勤",IF(AND(COUNTIF(設定!$B$5:$B$13,$F84)&gt;0,$I84=""),"未打卡",IF($I84="","",IF($N84&gt;0,"遲到",IF($O84&gt;0,"早退","正常"))))))</f>
        <v/>
      </c>
      <c r="N84" s="32">
        <f>IF(OR($C84="",$G84="",$I84=""),0,IF(ROUND(($I84-$G84)*1440,0)&gt;設定!$C$28,ROUND(($I84-$G84)*1440,0),0))</f>
        <v/>
      </c>
      <c r="O84" s="32">
        <f>IF(OR($C84="",$H84="",$J84=""),0,IF(ROUND(($H84-$J84)*1440,0)&gt;設定!$C$28,ROUND(($H84-$J84)*1440,0),0))</f>
        <v/>
      </c>
      <c r="P84" s="33">
        <f>IF($L84="",0,IF(($L84-IFERROR(INDEX(設定!$G$5:$G$20,MATCH($F84,設定!$B$5:$B$20,0)),0))*60&gt;=設定!$C$26,ROUND(FLOOR(($L84-IFERROR(INDEX(設定!$G$5:$G$20,MATCH($F84,設定!$B$5:$B$20,0)),0))*60,設定!$C$27)/60,2),0))</f>
        <v/>
      </c>
      <c r="Q84" s="29">
        <f>IF(OR($C84="",$P84=0),"",IF($F84="國","國定假日",IF($B84="日","例假",IF($B84="六","休息日","平日"))))</f>
        <v/>
      </c>
      <c r="R84" s="34" t="n"/>
    </row>
    <row r="85">
      <c r="A85" s="30">
        <f>IF(OR(班表!$A8="",21&gt;DAY(EOMONTH(DATE(班表!$E$2,班表!$G$2,1),0))),"",DATE(班表!$E$2,班表!$G$2,21))</f>
        <v/>
      </c>
      <c r="B85" s="29">
        <f>IF($A85="","",INDEX(設定!$L$5:$L$11,WEEKDAY($A85,1)))</f>
        <v/>
      </c>
      <c r="C85" s="29">
        <f>IF($A85="","",班表!$A8)</f>
        <v/>
      </c>
      <c r="D85" s="29">
        <f>IF($C85="","",班表!$B8)</f>
        <v/>
      </c>
      <c r="E85" s="29">
        <f>IF($C85="","",班表!$C8)</f>
        <v/>
      </c>
      <c r="F85" s="29">
        <f>IF($C85="","",班表!X8)</f>
        <v/>
      </c>
      <c r="G85" s="31">
        <f>IF($F85="","",IFERROR(INDEX(設定!$D$5:$D$20,MATCH($F85,設定!$B$5:$B$20,0)),""))</f>
        <v/>
      </c>
      <c r="H85" s="31">
        <f>IF($F85="","",IFERROR(INDEX(設定!$E$5:$E$20,MATCH($F85,設定!$B$5:$B$20,0)),""))</f>
        <v/>
      </c>
      <c r="I85" s="31">
        <f>IFERROR(INDEX(打卡匯入!$C$3:$C$1002,MATCH($C85&amp;"|"&amp;DAY($A85),打卡匯入!$E$3:$E$1002,0)),"")</f>
        <v/>
      </c>
      <c r="J85" s="31">
        <f>IFERROR(INDEX(打卡匯入!$D$3:$D$1002,MATCH($C85&amp;"|"&amp;DAY($A85),打卡匯入!$E$3:$E$1002,0)),"")</f>
        <v/>
      </c>
      <c r="K85" s="32">
        <f>IF(OR($I85="",$J85=""),"",IFERROR(INDEX(設定!$F$5:$F$20,MATCH($F85,設定!$B$5:$B$20,0)),0))</f>
        <v/>
      </c>
      <c r="L85" s="33">
        <f>IF(OR($I85="",$J85=""),"",ROUND(($J85-$I85)*24-$K85/60,2))</f>
        <v/>
      </c>
      <c r="M85" s="29">
        <f>IF($C85="","",IF(AND(COUNTIF(設定!$B$14:$B$20,$F85)&gt;0,$I85&lt;&gt;""),"假日出勤",IF(AND(COUNTIF(設定!$B$5:$B$13,$F85)&gt;0,$I85=""),"未打卡",IF($I85="","",IF($N85&gt;0,"遲到",IF($O85&gt;0,"早退","正常"))))))</f>
        <v/>
      </c>
      <c r="N85" s="32">
        <f>IF(OR($C85="",$G85="",$I85=""),0,IF(ROUND(($I85-$G85)*1440,0)&gt;設定!$C$28,ROUND(($I85-$G85)*1440,0),0))</f>
        <v/>
      </c>
      <c r="O85" s="32">
        <f>IF(OR($C85="",$H85="",$J85=""),0,IF(ROUND(($H85-$J85)*1440,0)&gt;設定!$C$28,ROUND(($H85-$J85)*1440,0),0))</f>
        <v/>
      </c>
      <c r="P85" s="33">
        <f>IF($L85="",0,IF(($L85-IFERROR(INDEX(設定!$G$5:$G$20,MATCH($F85,設定!$B$5:$B$20,0)),0))*60&gt;=設定!$C$26,ROUND(FLOOR(($L85-IFERROR(INDEX(設定!$G$5:$G$20,MATCH($F85,設定!$B$5:$B$20,0)),0))*60,設定!$C$27)/60,2),0))</f>
        <v/>
      </c>
      <c r="Q85" s="29">
        <f>IF(OR($C85="",$P85=0),"",IF($F85="國","國定假日",IF($B85="日","例假",IF($B85="六","休息日","平日"))))</f>
        <v/>
      </c>
      <c r="R85" s="34" t="n"/>
    </row>
    <row r="86">
      <c r="A86" s="30">
        <f>IF(OR(班表!$A8="",22&gt;DAY(EOMONTH(DATE(班表!$E$2,班表!$G$2,1),0))),"",DATE(班表!$E$2,班表!$G$2,22))</f>
        <v/>
      </c>
      <c r="B86" s="29">
        <f>IF($A86="","",INDEX(設定!$L$5:$L$11,WEEKDAY($A86,1)))</f>
        <v/>
      </c>
      <c r="C86" s="29">
        <f>IF($A86="","",班表!$A8)</f>
        <v/>
      </c>
      <c r="D86" s="29">
        <f>IF($C86="","",班表!$B8)</f>
        <v/>
      </c>
      <c r="E86" s="29">
        <f>IF($C86="","",班表!$C8)</f>
        <v/>
      </c>
      <c r="F86" s="29">
        <f>IF($C86="","",班表!Y8)</f>
        <v/>
      </c>
      <c r="G86" s="31">
        <f>IF($F86="","",IFERROR(INDEX(設定!$D$5:$D$20,MATCH($F86,設定!$B$5:$B$20,0)),""))</f>
        <v/>
      </c>
      <c r="H86" s="31">
        <f>IF($F86="","",IFERROR(INDEX(設定!$E$5:$E$20,MATCH($F86,設定!$B$5:$B$20,0)),""))</f>
        <v/>
      </c>
      <c r="I86" s="31">
        <f>IFERROR(INDEX(打卡匯入!$C$3:$C$1002,MATCH($C86&amp;"|"&amp;DAY($A86),打卡匯入!$E$3:$E$1002,0)),"")</f>
        <v/>
      </c>
      <c r="J86" s="31">
        <f>IFERROR(INDEX(打卡匯入!$D$3:$D$1002,MATCH($C86&amp;"|"&amp;DAY($A86),打卡匯入!$E$3:$E$1002,0)),"")</f>
        <v/>
      </c>
      <c r="K86" s="32">
        <f>IF(OR($I86="",$J86=""),"",IFERROR(INDEX(設定!$F$5:$F$20,MATCH($F86,設定!$B$5:$B$20,0)),0))</f>
        <v/>
      </c>
      <c r="L86" s="33">
        <f>IF(OR($I86="",$J86=""),"",ROUND(($J86-$I86)*24-$K86/60,2))</f>
        <v/>
      </c>
      <c r="M86" s="29">
        <f>IF($C86="","",IF(AND(COUNTIF(設定!$B$14:$B$20,$F86)&gt;0,$I86&lt;&gt;""),"假日出勤",IF(AND(COUNTIF(設定!$B$5:$B$13,$F86)&gt;0,$I86=""),"未打卡",IF($I86="","",IF($N86&gt;0,"遲到",IF($O86&gt;0,"早退","正常"))))))</f>
        <v/>
      </c>
      <c r="N86" s="32">
        <f>IF(OR($C86="",$G86="",$I86=""),0,IF(ROUND(($I86-$G86)*1440,0)&gt;設定!$C$28,ROUND(($I86-$G86)*1440,0),0))</f>
        <v/>
      </c>
      <c r="O86" s="32">
        <f>IF(OR($C86="",$H86="",$J86=""),0,IF(ROUND(($H86-$J86)*1440,0)&gt;設定!$C$28,ROUND(($H86-$J86)*1440,0),0))</f>
        <v/>
      </c>
      <c r="P86" s="33">
        <f>IF($L86="",0,IF(($L86-IFERROR(INDEX(設定!$G$5:$G$20,MATCH($F86,設定!$B$5:$B$20,0)),0))*60&gt;=設定!$C$26,ROUND(FLOOR(($L86-IFERROR(INDEX(設定!$G$5:$G$20,MATCH($F86,設定!$B$5:$B$20,0)),0))*60,設定!$C$27)/60,2),0))</f>
        <v/>
      </c>
      <c r="Q86" s="29">
        <f>IF(OR($C86="",$P86=0),"",IF($F86="國","國定假日",IF($B86="日","例假",IF($B86="六","休息日","平日"))))</f>
        <v/>
      </c>
      <c r="R86" s="34" t="n"/>
    </row>
    <row r="87">
      <c r="A87" s="30">
        <f>IF(OR(班表!$A8="",23&gt;DAY(EOMONTH(DATE(班表!$E$2,班表!$G$2,1),0))),"",DATE(班表!$E$2,班表!$G$2,23))</f>
        <v/>
      </c>
      <c r="B87" s="29">
        <f>IF($A87="","",INDEX(設定!$L$5:$L$11,WEEKDAY($A87,1)))</f>
        <v/>
      </c>
      <c r="C87" s="29">
        <f>IF($A87="","",班表!$A8)</f>
        <v/>
      </c>
      <c r="D87" s="29">
        <f>IF($C87="","",班表!$B8)</f>
        <v/>
      </c>
      <c r="E87" s="29">
        <f>IF($C87="","",班表!$C8)</f>
        <v/>
      </c>
      <c r="F87" s="29">
        <f>IF($C87="","",班表!Z8)</f>
        <v/>
      </c>
      <c r="G87" s="31">
        <f>IF($F87="","",IFERROR(INDEX(設定!$D$5:$D$20,MATCH($F87,設定!$B$5:$B$20,0)),""))</f>
        <v/>
      </c>
      <c r="H87" s="31">
        <f>IF($F87="","",IFERROR(INDEX(設定!$E$5:$E$20,MATCH($F87,設定!$B$5:$B$20,0)),""))</f>
        <v/>
      </c>
      <c r="I87" s="31">
        <f>IFERROR(INDEX(打卡匯入!$C$3:$C$1002,MATCH($C87&amp;"|"&amp;DAY($A87),打卡匯入!$E$3:$E$1002,0)),"")</f>
        <v/>
      </c>
      <c r="J87" s="31">
        <f>IFERROR(INDEX(打卡匯入!$D$3:$D$1002,MATCH($C87&amp;"|"&amp;DAY($A87),打卡匯入!$E$3:$E$1002,0)),"")</f>
        <v/>
      </c>
      <c r="K87" s="32">
        <f>IF(OR($I87="",$J87=""),"",IFERROR(INDEX(設定!$F$5:$F$20,MATCH($F87,設定!$B$5:$B$20,0)),0))</f>
        <v/>
      </c>
      <c r="L87" s="33">
        <f>IF(OR($I87="",$J87=""),"",ROUND(($J87-$I87)*24-$K87/60,2))</f>
        <v/>
      </c>
      <c r="M87" s="29">
        <f>IF($C87="","",IF(AND(COUNTIF(設定!$B$14:$B$20,$F87)&gt;0,$I87&lt;&gt;""),"假日出勤",IF(AND(COUNTIF(設定!$B$5:$B$13,$F87)&gt;0,$I87=""),"未打卡",IF($I87="","",IF($N87&gt;0,"遲到",IF($O87&gt;0,"早退","正常"))))))</f>
        <v/>
      </c>
      <c r="N87" s="32">
        <f>IF(OR($C87="",$G87="",$I87=""),0,IF(ROUND(($I87-$G87)*1440,0)&gt;設定!$C$28,ROUND(($I87-$G87)*1440,0),0))</f>
        <v/>
      </c>
      <c r="O87" s="32">
        <f>IF(OR($C87="",$H87="",$J87=""),0,IF(ROUND(($H87-$J87)*1440,0)&gt;設定!$C$28,ROUND(($H87-$J87)*1440,0),0))</f>
        <v/>
      </c>
      <c r="P87" s="33">
        <f>IF($L87="",0,IF(($L87-IFERROR(INDEX(設定!$G$5:$G$20,MATCH($F87,設定!$B$5:$B$20,0)),0))*60&gt;=設定!$C$26,ROUND(FLOOR(($L87-IFERROR(INDEX(設定!$G$5:$G$20,MATCH($F87,設定!$B$5:$B$20,0)),0))*60,設定!$C$27)/60,2),0))</f>
        <v/>
      </c>
      <c r="Q87" s="29">
        <f>IF(OR($C87="",$P87=0),"",IF($F87="國","國定假日",IF($B87="日","例假",IF($B87="六","休息日","平日"))))</f>
        <v/>
      </c>
      <c r="R87" s="34" t="n"/>
    </row>
    <row r="88">
      <c r="A88" s="30">
        <f>IF(OR(班表!$A8="",24&gt;DAY(EOMONTH(DATE(班表!$E$2,班表!$G$2,1),0))),"",DATE(班表!$E$2,班表!$G$2,24))</f>
        <v/>
      </c>
      <c r="B88" s="29">
        <f>IF($A88="","",INDEX(設定!$L$5:$L$11,WEEKDAY($A88,1)))</f>
        <v/>
      </c>
      <c r="C88" s="29">
        <f>IF($A88="","",班表!$A8)</f>
        <v/>
      </c>
      <c r="D88" s="29">
        <f>IF($C88="","",班表!$B8)</f>
        <v/>
      </c>
      <c r="E88" s="29">
        <f>IF($C88="","",班表!$C8)</f>
        <v/>
      </c>
      <c r="F88" s="29">
        <f>IF($C88="","",班表!AA8)</f>
        <v/>
      </c>
      <c r="G88" s="31">
        <f>IF($F88="","",IFERROR(INDEX(設定!$D$5:$D$20,MATCH($F88,設定!$B$5:$B$20,0)),""))</f>
        <v/>
      </c>
      <c r="H88" s="31">
        <f>IF($F88="","",IFERROR(INDEX(設定!$E$5:$E$20,MATCH($F88,設定!$B$5:$B$20,0)),""))</f>
        <v/>
      </c>
      <c r="I88" s="31">
        <f>IFERROR(INDEX(打卡匯入!$C$3:$C$1002,MATCH($C88&amp;"|"&amp;DAY($A88),打卡匯入!$E$3:$E$1002,0)),"")</f>
        <v/>
      </c>
      <c r="J88" s="31">
        <f>IFERROR(INDEX(打卡匯入!$D$3:$D$1002,MATCH($C88&amp;"|"&amp;DAY($A88),打卡匯入!$E$3:$E$1002,0)),"")</f>
        <v/>
      </c>
      <c r="K88" s="32">
        <f>IF(OR($I88="",$J88=""),"",IFERROR(INDEX(設定!$F$5:$F$20,MATCH($F88,設定!$B$5:$B$20,0)),0))</f>
        <v/>
      </c>
      <c r="L88" s="33">
        <f>IF(OR($I88="",$J88=""),"",ROUND(($J88-$I88)*24-$K88/60,2))</f>
        <v/>
      </c>
      <c r="M88" s="29">
        <f>IF($C88="","",IF(AND(COUNTIF(設定!$B$14:$B$20,$F88)&gt;0,$I88&lt;&gt;""),"假日出勤",IF(AND(COUNTIF(設定!$B$5:$B$13,$F88)&gt;0,$I88=""),"未打卡",IF($I88="","",IF($N88&gt;0,"遲到",IF($O88&gt;0,"早退","正常"))))))</f>
        <v/>
      </c>
      <c r="N88" s="32">
        <f>IF(OR($C88="",$G88="",$I88=""),0,IF(ROUND(($I88-$G88)*1440,0)&gt;設定!$C$28,ROUND(($I88-$G88)*1440,0),0))</f>
        <v/>
      </c>
      <c r="O88" s="32">
        <f>IF(OR($C88="",$H88="",$J88=""),0,IF(ROUND(($H88-$J88)*1440,0)&gt;設定!$C$28,ROUND(($H88-$J88)*1440,0),0))</f>
        <v/>
      </c>
      <c r="P88" s="33">
        <f>IF($L88="",0,IF(($L88-IFERROR(INDEX(設定!$G$5:$G$20,MATCH($F88,設定!$B$5:$B$20,0)),0))*60&gt;=設定!$C$26,ROUND(FLOOR(($L88-IFERROR(INDEX(設定!$G$5:$G$20,MATCH($F88,設定!$B$5:$B$20,0)),0))*60,設定!$C$27)/60,2),0))</f>
        <v/>
      </c>
      <c r="Q88" s="29">
        <f>IF(OR($C88="",$P88=0),"",IF($F88="國","國定假日",IF($B88="日","例假",IF($B88="六","休息日","平日"))))</f>
        <v/>
      </c>
      <c r="R88" s="34" t="n"/>
    </row>
    <row r="89">
      <c r="A89" s="30">
        <f>IF(OR(班表!$A8="",25&gt;DAY(EOMONTH(DATE(班表!$E$2,班表!$G$2,1),0))),"",DATE(班表!$E$2,班表!$G$2,25))</f>
        <v/>
      </c>
      <c r="B89" s="29">
        <f>IF($A89="","",INDEX(設定!$L$5:$L$11,WEEKDAY($A89,1)))</f>
        <v/>
      </c>
      <c r="C89" s="29">
        <f>IF($A89="","",班表!$A8)</f>
        <v/>
      </c>
      <c r="D89" s="29">
        <f>IF($C89="","",班表!$B8)</f>
        <v/>
      </c>
      <c r="E89" s="29">
        <f>IF($C89="","",班表!$C8)</f>
        <v/>
      </c>
      <c r="F89" s="29">
        <f>IF($C89="","",班表!AB8)</f>
        <v/>
      </c>
      <c r="G89" s="31">
        <f>IF($F89="","",IFERROR(INDEX(設定!$D$5:$D$20,MATCH($F89,設定!$B$5:$B$20,0)),""))</f>
        <v/>
      </c>
      <c r="H89" s="31">
        <f>IF($F89="","",IFERROR(INDEX(設定!$E$5:$E$20,MATCH($F89,設定!$B$5:$B$20,0)),""))</f>
        <v/>
      </c>
      <c r="I89" s="31">
        <f>IFERROR(INDEX(打卡匯入!$C$3:$C$1002,MATCH($C89&amp;"|"&amp;DAY($A89),打卡匯入!$E$3:$E$1002,0)),"")</f>
        <v/>
      </c>
      <c r="J89" s="31">
        <f>IFERROR(INDEX(打卡匯入!$D$3:$D$1002,MATCH($C89&amp;"|"&amp;DAY($A89),打卡匯入!$E$3:$E$1002,0)),"")</f>
        <v/>
      </c>
      <c r="K89" s="32">
        <f>IF(OR($I89="",$J89=""),"",IFERROR(INDEX(設定!$F$5:$F$20,MATCH($F89,設定!$B$5:$B$20,0)),0))</f>
        <v/>
      </c>
      <c r="L89" s="33">
        <f>IF(OR($I89="",$J89=""),"",ROUND(($J89-$I89)*24-$K89/60,2))</f>
        <v/>
      </c>
      <c r="M89" s="29">
        <f>IF($C89="","",IF(AND(COUNTIF(設定!$B$14:$B$20,$F89)&gt;0,$I89&lt;&gt;""),"假日出勤",IF(AND(COUNTIF(設定!$B$5:$B$13,$F89)&gt;0,$I89=""),"未打卡",IF($I89="","",IF($N89&gt;0,"遲到",IF($O89&gt;0,"早退","正常"))))))</f>
        <v/>
      </c>
      <c r="N89" s="32">
        <f>IF(OR($C89="",$G89="",$I89=""),0,IF(ROUND(($I89-$G89)*1440,0)&gt;設定!$C$28,ROUND(($I89-$G89)*1440,0),0))</f>
        <v/>
      </c>
      <c r="O89" s="32">
        <f>IF(OR($C89="",$H89="",$J89=""),0,IF(ROUND(($H89-$J89)*1440,0)&gt;設定!$C$28,ROUND(($H89-$J89)*1440,0),0))</f>
        <v/>
      </c>
      <c r="P89" s="33">
        <f>IF($L89="",0,IF(($L89-IFERROR(INDEX(設定!$G$5:$G$20,MATCH($F89,設定!$B$5:$B$20,0)),0))*60&gt;=設定!$C$26,ROUND(FLOOR(($L89-IFERROR(INDEX(設定!$G$5:$G$20,MATCH($F89,設定!$B$5:$B$20,0)),0))*60,設定!$C$27)/60,2),0))</f>
        <v/>
      </c>
      <c r="Q89" s="29">
        <f>IF(OR($C89="",$P89=0),"",IF($F89="國","國定假日",IF($B89="日","例假",IF($B89="六","休息日","平日"))))</f>
        <v/>
      </c>
      <c r="R89" s="34" t="n"/>
    </row>
    <row r="90">
      <c r="A90" s="30">
        <f>IF(OR(班表!$A8="",26&gt;DAY(EOMONTH(DATE(班表!$E$2,班表!$G$2,1),0))),"",DATE(班表!$E$2,班表!$G$2,26))</f>
        <v/>
      </c>
      <c r="B90" s="29">
        <f>IF($A90="","",INDEX(設定!$L$5:$L$11,WEEKDAY($A90,1)))</f>
        <v/>
      </c>
      <c r="C90" s="29">
        <f>IF($A90="","",班表!$A8)</f>
        <v/>
      </c>
      <c r="D90" s="29">
        <f>IF($C90="","",班表!$B8)</f>
        <v/>
      </c>
      <c r="E90" s="29">
        <f>IF($C90="","",班表!$C8)</f>
        <v/>
      </c>
      <c r="F90" s="29">
        <f>IF($C90="","",班表!AC8)</f>
        <v/>
      </c>
      <c r="G90" s="31">
        <f>IF($F90="","",IFERROR(INDEX(設定!$D$5:$D$20,MATCH($F90,設定!$B$5:$B$20,0)),""))</f>
        <v/>
      </c>
      <c r="H90" s="31">
        <f>IF($F90="","",IFERROR(INDEX(設定!$E$5:$E$20,MATCH($F90,設定!$B$5:$B$20,0)),""))</f>
        <v/>
      </c>
      <c r="I90" s="31">
        <f>IFERROR(INDEX(打卡匯入!$C$3:$C$1002,MATCH($C90&amp;"|"&amp;DAY($A90),打卡匯入!$E$3:$E$1002,0)),"")</f>
        <v/>
      </c>
      <c r="J90" s="31">
        <f>IFERROR(INDEX(打卡匯入!$D$3:$D$1002,MATCH($C90&amp;"|"&amp;DAY($A90),打卡匯入!$E$3:$E$1002,0)),"")</f>
        <v/>
      </c>
      <c r="K90" s="32">
        <f>IF(OR($I90="",$J90=""),"",IFERROR(INDEX(設定!$F$5:$F$20,MATCH($F90,設定!$B$5:$B$20,0)),0))</f>
        <v/>
      </c>
      <c r="L90" s="33">
        <f>IF(OR($I90="",$J90=""),"",ROUND(($J90-$I90)*24-$K90/60,2))</f>
        <v/>
      </c>
      <c r="M90" s="29">
        <f>IF($C90="","",IF(AND(COUNTIF(設定!$B$14:$B$20,$F90)&gt;0,$I90&lt;&gt;""),"假日出勤",IF(AND(COUNTIF(設定!$B$5:$B$13,$F90)&gt;0,$I90=""),"未打卡",IF($I90="","",IF($N90&gt;0,"遲到",IF($O90&gt;0,"早退","正常"))))))</f>
        <v/>
      </c>
      <c r="N90" s="32">
        <f>IF(OR($C90="",$G90="",$I90=""),0,IF(ROUND(($I90-$G90)*1440,0)&gt;設定!$C$28,ROUND(($I90-$G90)*1440,0),0))</f>
        <v/>
      </c>
      <c r="O90" s="32">
        <f>IF(OR($C90="",$H90="",$J90=""),0,IF(ROUND(($H90-$J90)*1440,0)&gt;設定!$C$28,ROUND(($H90-$J90)*1440,0),0))</f>
        <v/>
      </c>
      <c r="P90" s="33">
        <f>IF($L90="",0,IF(($L90-IFERROR(INDEX(設定!$G$5:$G$20,MATCH($F90,設定!$B$5:$B$20,0)),0))*60&gt;=設定!$C$26,ROUND(FLOOR(($L90-IFERROR(INDEX(設定!$G$5:$G$20,MATCH($F90,設定!$B$5:$B$20,0)),0))*60,設定!$C$27)/60,2),0))</f>
        <v/>
      </c>
      <c r="Q90" s="29">
        <f>IF(OR($C90="",$P90=0),"",IF($F90="國","國定假日",IF($B90="日","例假",IF($B90="六","休息日","平日"))))</f>
        <v/>
      </c>
      <c r="R90" s="34" t="n"/>
    </row>
    <row r="91">
      <c r="A91" s="30">
        <f>IF(OR(班表!$A8="",27&gt;DAY(EOMONTH(DATE(班表!$E$2,班表!$G$2,1),0))),"",DATE(班表!$E$2,班表!$G$2,27))</f>
        <v/>
      </c>
      <c r="B91" s="29">
        <f>IF($A91="","",INDEX(設定!$L$5:$L$11,WEEKDAY($A91,1)))</f>
        <v/>
      </c>
      <c r="C91" s="29">
        <f>IF($A91="","",班表!$A8)</f>
        <v/>
      </c>
      <c r="D91" s="29">
        <f>IF($C91="","",班表!$B8)</f>
        <v/>
      </c>
      <c r="E91" s="29">
        <f>IF($C91="","",班表!$C8)</f>
        <v/>
      </c>
      <c r="F91" s="29">
        <f>IF($C91="","",班表!AD8)</f>
        <v/>
      </c>
      <c r="G91" s="31">
        <f>IF($F91="","",IFERROR(INDEX(設定!$D$5:$D$20,MATCH($F91,設定!$B$5:$B$20,0)),""))</f>
        <v/>
      </c>
      <c r="H91" s="31">
        <f>IF($F91="","",IFERROR(INDEX(設定!$E$5:$E$20,MATCH($F91,設定!$B$5:$B$20,0)),""))</f>
        <v/>
      </c>
      <c r="I91" s="31">
        <f>IFERROR(INDEX(打卡匯入!$C$3:$C$1002,MATCH($C91&amp;"|"&amp;DAY($A91),打卡匯入!$E$3:$E$1002,0)),"")</f>
        <v/>
      </c>
      <c r="J91" s="31">
        <f>IFERROR(INDEX(打卡匯入!$D$3:$D$1002,MATCH($C91&amp;"|"&amp;DAY($A91),打卡匯入!$E$3:$E$1002,0)),"")</f>
        <v/>
      </c>
      <c r="K91" s="32">
        <f>IF(OR($I91="",$J91=""),"",IFERROR(INDEX(設定!$F$5:$F$20,MATCH($F91,設定!$B$5:$B$20,0)),0))</f>
        <v/>
      </c>
      <c r="L91" s="33">
        <f>IF(OR($I91="",$J91=""),"",ROUND(($J91-$I91)*24-$K91/60,2))</f>
        <v/>
      </c>
      <c r="M91" s="29">
        <f>IF($C91="","",IF(AND(COUNTIF(設定!$B$14:$B$20,$F91)&gt;0,$I91&lt;&gt;""),"假日出勤",IF(AND(COUNTIF(設定!$B$5:$B$13,$F91)&gt;0,$I91=""),"未打卡",IF($I91="","",IF($N91&gt;0,"遲到",IF($O91&gt;0,"早退","正常"))))))</f>
        <v/>
      </c>
      <c r="N91" s="32">
        <f>IF(OR($C91="",$G91="",$I91=""),0,IF(ROUND(($I91-$G91)*1440,0)&gt;設定!$C$28,ROUND(($I91-$G91)*1440,0),0))</f>
        <v/>
      </c>
      <c r="O91" s="32">
        <f>IF(OR($C91="",$H91="",$J91=""),0,IF(ROUND(($H91-$J91)*1440,0)&gt;設定!$C$28,ROUND(($H91-$J91)*1440,0),0))</f>
        <v/>
      </c>
      <c r="P91" s="33">
        <f>IF($L91="",0,IF(($L91-IFERROR(INDEX(設定!$G$5:$G$20,MATCH($F91,設定!$B$5:$B$20,0)),0))*60&gt;=設定!$C$26,ROUND(FLOOR(($L91-IFERROR(INDEX(設定!$G$5:$G$20,MATCH($F91,設定!$B$5:$B$20,0)),0))*60,設定!$C$27)/60,2),0))</f>
        <v/>
      </c>
      <c r="Q91" s="29">
        <f>IF(OR($C91="",$P91=0),"",IF($F91="國","國定假日",IF($B91="日","例假",IF($B91="六","休息日","平日"))))</f>
        <v/>
      </c>
      <c r="R91" s="34" t="n"/>
    </row>
    <row r="92">
      <c r="A92" s="30">
        <f>IF(OR(班表!$A8="",28&gt;DAY(EOMONTH(DATE(班表!$E$2,班表!$G$2,1),0))),"",DATE(班表!$E$2,班表!$G$2,28))</f>
        <v/>
      </c>
      <c r="B92" s="29">
        <f>IF($A92="","",INDEX(設定!$L$5:$L$11,WEEKDAY($A92,1)))</f>
        <v/>
      </c>
      <c r="C92" s="29">
        <f>IF($A92="","",班表!$A8)</f>
        <v/>
      </c>
      <c r="D92" s="29">
        <f>IF($C92="","",班表!$B8)</f>
        <v/>
      </c>
      <c r="E92" s="29">
        <f>IF($C92="","",班表!$C8)</f>
        <v/>
      </c>
      <c r="F92" s="29">
        <f>IF($C92="","",班表!AE8)</f>
        <v/>
      </c>
      <c r="G92" s="31">
        <f>IF($F92="","",IFERROR(INDEX(設定!$D$5:$D$20,MATCH($F92,設定!$B$5:$B$20,0)),""))</f>
        <v/>
      </c>
      <c r="H92" s="31">
        <f>IF($F92="","",IFERROR(INDEX(設定!$E$5:$E$20,MATCH($F92,設定!$B$5:$B$20,0)),""))</f>
        <v/>
      </c>
      <c r="I92" s="31">
        <f>IFERROR(INDEX(打卡匯入!$C$3:$C$1002,MATCH($C92&amp;"|"&amp;DAY($A92),打卡匯入!$E$3:$E$1002,0)),"")</f>
        <v/>
      </c>
      <c r="J92" s="31">
        <f>IFERROR(INDEX(打卡匯入!$D$3:$D$1002,MATCH($C92&amp;"|"&amp;DAY($A92),打卡匯入!$E$3:$E$1002,0)),"")</f>
        <v/>
      </c>
      <c r="K92" s="32">
        <f>IF(OR($I92="",$J92=""),"",IFERROR(INDEX(設定!$F$5:$F$20,MATCH($F92,設定!$B$5:$B$20,0)),0))</f>
        <v/>
      </c>
      <c r="L92" s="33">
        <f>IF(OR($I92="",$J92=""),"",ROUND(($J92-$I92)*24-$K92/60,2))</f>
        <v/>
      </c>
      <c r="M92" s="29">
        <f>IF($C92="","",IF(AND(COUNTIF(設定!$B$14:$B$20,$F92)&gt;0,$I92&lt;&gt;""),"假日出勤",IF(AND(COUNTIF(設定!$B$5:$B$13,$F92)&gt;0,$I92=""),"未打卡",IF($I92="","",IF($N92&gt;0,"遲到",IF($O92&gt;0,"早退","正常"))))))</f>
        <v/>
      </c>
      <c r="N92" s="32">
        <f>IF(OR($C92="",$G92="",$I92=""),0,IF(ROUND(($I92-$G92)*1440,0)&gt;設定!$C$28,ROUND(($I92-$G92)*1440,0),0))</f>
        <v/>
      </c>
      <c r="O92" s="32">
        <f>IF(OR($C92="",$H92="",$J92=""),0,IF(ROUND(($H92-$J92)*1440,0)&gt;設定!$C$28,ROUND(($H92-$J92)*1440,0),0))</f>
        <v/>
      </c>
      <c r="P92" s="33">
        <f>IF($L92="",0,IF(($L92-IFERROR(INDEX(設定!$G$5:$G$20,MATCH($F92,設定!$B$5:$B$20,0)),0))*60&gt;=設定!$C$26,ROUND(FLOOR(($L92-IFERROR(INDEX(設定!$G$5:$G$20,MATCH($F92,設定!$B$5:$B$20,0)),0))*60,設定!$C$27)/60,2),0))</f>
        <v/>
      </c>
      <c r="Q92" s="29">
        <f>IF(OR($C92="",$P92=0),"",IF($F92="國","國定假日",IF($B92="日","例假",IF($B92="六","休息日","平日"))))</f>
        <v/>
      </c>
      <c r="R92" s="34" t="n"/>
    </row>
    <row r="93">
      <c r="A93" s="30">
        <f>IF(OR(班表!$A8="",29&gt;DAY(EOMONTH(DATE(班表!$E$2,班表!$G$2,1),0))),"",DATE(班表!$E$2,班表!$G$2,29))</f>
        <v/>
      </c>
      <c r="B93" s="29">
        <f>IF($A93="","",INDEX(設定!$L$5:$L$11,WEEKDAY($A93,1)))</f>
        <v/>
      </c>
      <c r="C93" s="29">
        <f>IF($A93="","",班表!$A8)</f>
        <v/>
      </c>
      <c r="D93" s="29">
        <f>IF($C93="","",班表!$B8)</f>
        <v/>
      </c>
      <c r="E93" s="29">
        <f>IF($C93="","",班表!$C8)</f>
        <v/>
      </c>
      <c r="F93" s="29">
        <f>IF($C93="","",班表!AF8)</f>
        <v/>
      </c>
      <c r="G93" s="31">
        <f>IF($F93="","",IFERROR(INDEX(設定!$D$5:$D$20,MATCH($F93,設定!$B$5:$B$20,0)),""))</f>
        <v/>
      </c>
      <c r="H93" s="31">
        <f>IF($F93="","",IFERROR(INDEX(設定!$E$5:$E$20,MATCH($F93,設定!$B$5:$B$20,0)),""))</f>
        <v/>
      </c>
      <c r="I93" s="31">
        <f>IFERROR(INDEX(打卡匯入!$C$3:$C$1002,MATCH($C93&amp;"|"&amp;DAY($A93),打卡匯入!$E$3:$E$1002,0)),"")</f>
        <v/>
      </c>
      <c r="J93" s="31">
        <f>IFERROR(INDEX(打卡匯入!$D$3:$D$1002,MATCH($C93&amp;"|"&amp;DAY($A93),打卡匯入!$E$3:$E$1002,0)),"")</f>
        <v/>
      </c>
      <c r="K93" s="32">
        <f>IF(OR($I93="",$J93=""),"",IFERROR(INDEX(設定!$F$5:$F$20,MATCH($F93,設定!$B$5:$B$20,0)),0))</f>
        <v/>
      </c>
      <c r="L93" s="33">
        <f>IF(OR($I93="",$J93=""),"",ROUND(($J93-$I93)*24-$K93/60,2))</f>
        <v/>
      </c>
      <c r="M93" s="29">
        <f>IF($C93="","",IF(AND(COUNTIF(設定!$B$14:$B$20,$F93)&gt;0,$I93&lt;&gt;""),"假日出勤",IF(AND(COUNTIF(設定!$B$5:$B$13,$F93)&gt;0,$I93=""),"未打卡",IF($I93="","",IF($N93&gt;0,"遲到",IF($O93&gt;0,"早退","正常"))))))</f>
        <v/>
      </c>
      <c r="N93" s="32">
        <f>IF(OR($C93="",$G93="",$I93=""),0,IF(ROUND(($I93-$G93)*1440,0)&gt;設定!$C$28,ROUND(($I93-$G93)*1440,0),0))</f>
        <v/>
      </c>
      <c r="O93" s="32">
        <f>IF(OR($C93="",$H93="",$J93=""),0,IF(ROUND(($H93-$J93)*1440,0)&gt;設定!$C$28,ROUND(($H93-$J93)*1440,0),0))</f>
        <v/>
      </c>
      <c r="P93" s="33">
        <f>IF($L93="",0,IF(($L93-IFERROR(INDEX(設定!$G$5:$G$20,MATCH($F93,設定!$B$5:$B$20,0)),0))*60&gt;=設定!$C$26,ROUND(FLOOR(($L93-IFERROR(INDEX(設定!$G$5:$G$20,MATCH($F93,設定!$B$5:$B$20,0)),0))*60,設定!$C$27)/60,2),0))</f>
        <v/>
      </c>
      <c r="Q93" s="29">
        <f>IF(OR($C93="",$P93=0),"",IF($F93="國","國定假日",IF($B93="日","例假",IF($B93="六","休息日","平日"))))</f>
        <v/>
      </c>
      <c r="R93" s="34" t="n"/>
    </row>
    <row r="94">
      <c r="A94" s="30">
        <f>IF(OR(班表!$A8="",30&gt;DAY(EOMONTH(DATE(班表!$E$2,班表!$G$2,1),0))),"",DATE(班表!$E$2,班表!$G$2,30))</f>
        <v/>
      </c>
      <c r="B94" s="29">
        <f>IF($A94="","",INDEX(設定!$L$5:$L$11,WEEKDAY($A94,1)))</f>
        <v/>
      </c>
      <c r="C94" s="29">
        <f>IF($A94="","",班表!$A8)</f>
        <v/>
      </c>
      <c r="D94" s="29">
        <f>IF($C94="","",班表!$B8)</f>
        <v/>
      </c>
      <c r="E94" s="29">
        <f>IF($C94="","",班表!$C8)</f>
        <v/>
      </c>
      <c r="F94" s="29">
        <f>IF($C94="","",班表!AG8)</f>
        <v/>
      </c>
      <c r="G94" s="31">
        <f>IF($F94="","",IFERROR(INDEX(設定!$D$5:$D$20,MATCH($F94,設定!$B$5:$B$20,0)),""))</f>
        <v/>
      </c>
      <c r="H94" s="31">
        <f>IF($F94="","",IFERROR(INDEX(設定!$E$5:$E$20,MATCH($F94,設定!$B$5:$B$20,0)),""))</f>
        <v/>
      </c>
      <c r="I94" s="31">
        <f>IFERROR(INDEX(打卡匯入!$C$3:$C$1002,MATCH($C94&amp;"|"&amp;DAY($A94),打卡匯入!$E$3:$E$1002,0)),"")</f>
        <v/>
      </c>
      <c r="J94" s="31">
        <f>IFERROR(INDEX(打卡匯入!$D$3:$D$1002,MATCH($C94&amp;"|"&amp;DAY($A94),打卡匯入!$E$3:$E$1002,0)),"")</f>
        <v/>
      </c>
      <c r="K94" s="32">
        <f>IF(OR($I94="",$J94=""),"",IFERROR(INDEX(設定!$F$5:$F$20,MATCH($F94,設定!$B$5:$B$20,0)),0))</f>
        <v/>
      </c>
      <c r="L94" s="33">
        <f>IF(OR($I94="",$J94=""),"",ROUND(($J94-$I94)*24-$K94/60,2))</f>
        <v/>
      </c>
      <c r="M94" s="29">
        <f>IF($C94="","",IF(AND(COUNTIF(設定!$B$14:$B$20,$F94)&gt;0,$I94&lt;&gt;""),"假日出勤",IF(AND(COUNTIF(設定!$B$5:$B$13,$F94)&gt;0,$I94=""),"未打卡",IF($I94="","",IF($N94&gt;0,"遲到",IF($O94&gt;0,"早退","正常"))))))</f>
        <v/>
      </c>
      <c r="N94" s="32">
        <f>IF(OR($C94="",$G94="",$I94=""),0,IF(ROUND(($I94-$G94)*1440,0)&gt;設定!$C$28,ROUND(($I94-$G94)*1440,0),0))</f>
        <v/>
      </c>
      <c r="O94" s="32">
        <f>IF(OR($C94="",$H94="",$J94=""),0,IF(ROUND(($H94-$J94)*1440,0)&gt;設定!$C$28,ROUND(($H94-$J94)*1440,0),0))</f>
        <v/>
      </c>
      <c r="P94" s="33">
        <f>IF($L94="",0,IF(($L94-IFERROR(INDEX(設定!$G$5:$G$20,MATCH($F94,設定!$B$5:$B$20,0)),0))*60&gt;=設定!$C$26,ROUND(FLOOR(($L94-IFERROR(INDEX(設定!$G$5:$G$20,MATCH($F94,設定!$B$5:$B$20,0)),0))*60,設定!$C$27)/60,2),0))</f>
        <v/>
      </c>
      <c r="Q94" s="29">
        <f>IF(OR($C94="",$P94=0),"",IF($F94="國","國定假日",IF($B94="日","例假",IF($B94="六","休息日","平日"))))</f>
        <v/>
      </c>
      <c r="R94" s="34" t="n"/>
    </row>
    <row r="95">
      <c r="A95" s="30">
        <f>IF(OR(班表!$A8="",31&gt;DAY(EOMONTH(DATE(班表!$E$2,班表!$G$2,1),0))),"",DATE(班表!$E$2,班表!$G$2,31))</f>
        <v/>
      </c>
      <c r="B95" s="29">
        <f>IF($A95="","",INDEX(設定!$L$5:$L$11,WEEKDAY($A95,1)))</f>
        <v/>
      </c>
      <c r="C95" s="29">
        <f>IF($A95="","",班表!$A8)</f>
        <v/>
      </c>
      <c r="D95" s="29">
        <f>IF($C95="","",班表!$B8)</f>
        <v/>
      </c>
      <c r="E95" s="29">
        <f>IF($C95="","",班表!$C8)</f>
        <v/>
      </c>
      <c r="F95" s="29">
        <f>IF($C95="","",班表!AH8)</f>
        <v/>
      </c>
      <c r="G95" s="31">
        <f>IF($F95="","",IFERROR(INDEX(設定!$D$5:$D$20,MATCH($F95,設定!$B$5:$B$20,0)),""))</f>
        <v/>
      </c>
      <c r="H95" s="31">
        <f>IF($F95="","",IFERROR(INDEX(設定!$E$5:$E$20,MATCH($F95,設定!$B$5:$B$20,0)),""))</f>
        <v/>
      </c>
      <c r="I95" s="31">
        <f>IFERROR(INDEX(打卡匯入!$C$3:$C$1002,MATCH($C95&amp;"|"&amp;DAY($A95),打卡匯入!$E$3:$E$1002,0)),"")</f>
        <v/>
      </c>
      <c r="J95" s="31">
        <f>IFERROR(INDEX(打卡匯入!$D$3:$D$1002,MATCH($C95&amp;"|"&amp;DAY($A95),打卡匯入!$E$3:$E$1002,0)),"")</f>
        <v/>
      </c>
      <c r="K95" s="32">
        <f>IF(OR($I95="",$J95=""),"",IFERROR(INDEX(設定!$F$5:$F$20,MATCH($F95,設定!$B$5:$B$20,0)),0))</f>
        <v/>
      </c>
      <c r="L95" s="33">
        <f>IF(OR($I95="",$J95=""),"",ROUND(($J95-$I95)*24-$K95/60,2))</f>
        <v/>
      </c>
      <c r="M95" s="29">
        <f>IF($C95="","",IF(AND(COUNTIF(設定!$B$14:$B$20,$F95)&gt;0,$I95&lt;&gt;""),"假日出勤",IF(AND(COUNTIF(設定!$B$5:$B$13,$F95)&gt;0,$I95=""),"未打卡",IF($I95="","",IF($N95&gt;0,"遲到",IF($O95&gt;0,"早退","正常"))))))</f>
        <v/>
      </c>
      <c r="N95" s="32">
        <f>IF(OR($C95="",$G95="",$I95=""),0,IF(ROUND(($I95-$G95)*1440,0)&gt;設定!$C$28,ROUND(($I95-$G95)*1440,0),0))</f>
        <v/>
      </c>
      <c r="O95" s="32">
        <f>IF(OR($C95="",$H95="",$J95=""),0,IF(ROUND(($H95-$J95)*1440,0)&gt;設定!$C$28,ROUND(($H95-$J95)*1440,0),0))</f>
        <v/>
      </c>
      <c r="P95" s="33">
        <f>IF($L95="",0,IF(($L95-IFERROR(INDEX(設定!$G$5:$G$20,MATCH($F95,設定!$B$5:$B$20,0)),0))*60&gt;=設定!$C$26,ROUND(FLOOR(($L95-IFERROR(INDEX(設定!$G$5:$G$20,MATCH($F95,設定!$B$5:$B$20,0)),0))*60,設定!$C$27)/60,2),0))</f>
        <v/>
      </c>
      <c r="Q95" s="29">
        <f>IF(OR($C95="",$P95=0),"",IF($F95="國","國定假日",IF($B95="日","例假",IF($B95="六","休息日","平日"))))</f>
        <v/>
      </c>
      <c r="R95" s="34" t="n"/>
    </row>
    <row r="96">
      <c r="A96" s="30">
        <f>IF(OR(班表!$A9="",1&gt;DAY(EOMONTH(DATE(班表!$E$2,班表!$G$2,1),0))),"",DATE(班表!$E$2,班表!$G$2,1))</f>
        <v/>
      </c>
      <c r="B96" s="29">
        <f>IF($A96="","",INDEX(設定!$L$5:$L$11,WEEKDAY($A96,1)))</f>
        <v/>
      </c>
      <c r="C96" s="29">
        <f>IF($A96="","",班表!$A9)</f>
        <v/>
      </c>
      <c r="D96" s="29">
        <f>IF($C96="","",班表!$B9)</f>
        <v/>
      </c>
      <c r="E96" s="29">
        <f>IF($C96="","",班表!$C9)</f>
        <v/>
      </c>
      <c r="F96" s="29">
        <f>IF($C96="","",班表!D9)</f>
        <v/>
      </c>
      <c r="G96" s="31">
        <f>IF($F96="","",IFERROR(INDEX(設定!$D$5:$D$20,MATCH($F96,設定!$B$5:$B$20,0)),""))</f>
        <v/>
      </c>
      <c r="H96" s="31">
        <f>IF($F96="","",IFERROR(INDEX(設定!$E$5:$E$20,MATCH($F96,設定!$B$5:$B$20,0)),""))</f>
        <v/>
      </c>
      <c r="I96" s="31">
        <f>IFERROR(INDEX(打卡匯入!$C$3:$C$1002,MATCH($C96&amp;"|"&amp;DAY($A96),打卡匯入!$E$3:$E$1002,0)),"")</f>
        <v/>
      </c>
      <c r="J96" s="31">
        <f>IFERROR(INDEX(打卡匯入!$D$3:$D$1002,MATCH($C96&amp;"|"&amp;DAY($A96),打卡匯入!$E$3:$E$1002,0)),"")</f>
        <v/>
      </c>
      <c r="K96" s="32">
        <f>IF(OR($I96="",$J96=""),"",IFERROR(INDEX(設定!$F$5:$F$20,MATCH($F96,設定!$B$5:$B$20,0)),0))</f>
        <v/>
      </c>
      <c r="L96" s="33">
        <f>IF(OR($I96="",$J96=""),"",ROUND(($J96-$I96)*24-$K96/60,2))</f>
        <v/>
      </c>
      <c r="M96" s="29">
        <f>IF($C96="","",IF(AND(COUNTIF(設定!$B$14:$B$20,$F96)&gt;0,$I96&lt;&gt;""),"假日出勤",IF(AND(COUNTIF(設定!$B$5:$B$13,$F96)&gt;0,$I96=""),"未打卡",IF($I96="","",IF($N96&gt;0,"遲到",IF($O96&gt;0,"早退","正常"))))))</f>
        <v/>
      </c>
      <c r="N96" s="32">
        <f>IF(OR($C96="",$G96="",$I96=""),0,IF(ROUND(($I96-$G96)*1440,0)&gt;設定!$C$28,ROUND(($I96-$G96)*1440,0),0))</f>
        <v/>
      </c>
      <c r="O96" s="32">
        <f>IF(OR($C96="",$H96="",$J96=""),0,IF(ROUND(($H96-$J96)*1440,0)&gt;設定!$C$28,ROUND(($H96-$J96)*1440,0),0))</f>
        <v/>
      </c>
      <c r="P96" s="33">
        <f>IF($L96="",0,IF(($L96-IFERROR(INDEX(設定!$G$5:$G$20,MATCH($F96,設定!$B$5:$B$20,0)),0))*60&gt;=設定!$C$26,ROUND(FLOOR(($L96-IFERROR(INDEX(設定!$G$5:$G$20,MATCH($F96,設定!$B$5:$B$20,0)),0))*60,設定!$C$27)/60,2),0))</f>
        <v/>
      </c>
      <c r="Q96" s="29">
        <f>IF(OR($C96="",$P96=0),"",IF($F96="國","國定假日",IF($B96="日","例假",IF($B96="六","休息日","平日"))))</f>
        <v/>
      </c>
      <c r="R96" s="34" t="n"/>
    </row>
    <row r="97">
      <c r="A97" s="30">
        <f>IF(OR(班表!$A9="",2&gt;DAY(EOMONTH(DATE(班表!$E$2,班表!$G$2,1),0))),"",DATE(班表!$E$2,班表!$G$2,2))</f>
        <v/>
      </c>
      <c r="B97" s="29">
        <f>IF($A97="","",INDEX(設定!$L$5:$L$11,WEEKDAY($A97,1)))</f>
        <v/>
      </c>
      <c r="C97" s="29">
        <f>IF($A97="","",班表!$A9)</f>
        <v/>
      </c>
      <c r="D97" s="29">
        <f>IF($C97="","",班表!$B9)</f>
        <v/>
      </c>
      <c r="E97" s="29">
        <f>IF($C97="","",班表!$C9)</f>
        <v/>
      </c>
      <c r="F97" s="29">
        <f>IF($C97="","",班表!E9)</f>
        <v/>
      </c>
      <c r="G97" s="31">
        <f>IF($F97="","",IFERROR(INDEX(設定!$D$5:$D$20,MATCH($F97,設定!$B$5:$B$20,0)),""))</f>
        <v/>
      </c>
      <c r="H97" s="31">
        <f>IF($F97="","",IFERROR(INDEX(設定!$E$5:$E$20,MATCH($F97,設定!$B$5:$B$20,0)),""))</f>
        <v/>
      </c>
      <c r="I97" s="31">
        <f>IFERROR(INDEX(打卡匯入!$C$3:$C$1002,MATCH($C97&amp;"|"&amp;DAY($A97),打卡匯入!$E$3:$E$1002,0)),"")</f>
        <v/>
      </c>
      <c r="J97" s="31">
        <f>IFERROR(INDEX(打卡匯入!$D$3:$D$1002,MATCH($C97&amp;"|"&amp;DAY($A97),打卡匯入!$E$3:$E$1002,0)),"")</f>
        <v/>
      </c>
      <c r="K97" s="32">
        <f>IF(OR($I97="",$J97=""),"",IFERROR(INDEX(設定!$F$5:$F$20,MATCH($F97,設定!$B$5:$B$20,0)),0))</f>
        <v/>
      </c>
      <c r="L97" s="33">
        <f>IF(OR($I97="",$J97=""),"",ROUND(($J97-$I97)*24-$K97/60,2))</f>
        <v/>
      </c>
      <c r="M97" s="29">
        <f>IF($C97="","",IF(AND(COUNTIF(設定!$B$14:$B$20,$F97)&gt;0,$I97&lt;&gt;""),"假日出勤",IF(AND(COUNTIF(設定!$B$5:$B$13,$F97)&gt;0,$I97=""),"未打卡",IF($I97="","",IF($N97&gt;0,"遲到",IF($O97&gt;0,"早退","正常"))))))</f>
        <v/>
      </c>
      <c r="N97" s="32">
        <f>IF(OR($C97="",$G97="",$I97=""),0,IF(ROUND(($I97-$G97)*1440,0)&gt;設定!$C$28,ROUND(($I97-$G97)*1440,0),0))</f>
        <v/>
      </c>
      <c r="O97" s="32">
        <f>IF(OR($C97="",$H97="",$J97=""),0,IF(ROUND(($H97-$J97)*1440,0)&gt;設定!$C$28,ROUND(($H97-$J97)*1440,0),0))</f>
        <v/>
      </c>
      <c r="P97" s="33">
        <f>IF($L97="",0,IF(($L97-IFERROR(INDEX(設定!$G$5:$G$20,MATCH($F97,設定!$B$5:$B$20,0)),0))*60&gt;=設定!$C$26,ROUND(FLOOR(($L97-IFERROR(INDEX(設定!$G$5:$G$20,MATCH($F97,設定!$B$5:$B$20,0)),0))*60,設定!$C$27)/60,2),0))</f>
        <v/>
      </c>
      <c r="Q97" s="29">
        <f>IF(OR($C97="",$P97=0),"",IF($F97="國","國定假日",IF($B97="日","例假",IF($B97="六","休息日","平日"))))</f>
        <v/>
      </c>
      <c r="R97" s="34" t="n"/>
    </row>
    <row r="98">
      <c r="A98" s="30">
        <f>IF(OR(班表!$A9="",3&gt;DAY(EOMONTH(DATE(班表!$E$2,班表!$G$2,1),0))),"",DATE(班表!$E$2,班表!$G$2,3))</f>
        <v/>
      </c>
      <c r="B98" s="29">
        <f>IF($A98="","",INDEX(設定!$L$5:$L$11,WEEKDAY($A98,1)))</f>
        <v/>
      </c>
      <c r="C98" s="29">
        <f>IF($A98="","",班表!$A9)</f>
        <v/>
      </c>
      <c r="D98" s="29">
        <f>IF($C98="","",班表!$B9)</f>
        <v/>
      </c>
      <c r="E98" s="29">
        <f>IF($C98="","",班表!$C9)</f>
        <v/>
      </c>
      <c r="F98" s="29">
        <f>IF($C98="","",班表!F9)</f>
        <v/>
      </c>
      <c r="G98" s="31">
        <f>IF($F98="","",IFERROR(INDEX(設定!$D$5:$D$20,MATCH($F98,設定!$B$5:$B$20,0)),""))</f>
        <v/>
      </c>
      <c r="H98" s="31">
        <f>IF($F98="","",IFERROR(INDEX(設定!$E$5:$E$20,MATCH($F98,設定!$B$5:$B$20,0)),""))</f>
        <v/>
      </c>
      <c r="I98" s="31">
        <f>IFERROR(INDEX(打卡匯入!$C$3:$C$1002,MATCH($C98&amp;"|"&amp;DAY($A98),打卡匯入!$E$3:$E$1002,0)),"")</f>
        <v/>
      </c>
      <c r="J98" s="31">
        <f>IFERROR(INDEX(打卡匯入!$D$3:$D$1002,MATCH($C98&amp;"|"&amp;DAY($A98),打卡匯入!$E$3:$E$1002,0)),"")</f>
        <v/>
      </c>
      <c r="K98" s="32">
        <f>IF(OR($I98="",$J98=""),"",IFERROR(INDEX(設定!$F$5:$F$20,MATCH($F98,設定!$B$5:$B$20,0)),0))</f>
        <v/>
      </c>
      <c r="L98" s="33">
        <f>IF(OR($I98="",$J98=""),"",ROUND(($J98-$I98)*24-$K98/60,2))</f>
        <v/>
      </c>
      <c r="M98" s="29">
        <f>IF($C98="","",IF(AND(COUNTIF(設定!$B$14:$B$20,$F98)&gt;0,$I98&lt;&gt;""),"假日出勤",IF(AND(COUNTIF(設定!$B$5:$B$13,$F98)&gt;0,$I98=""),"未打卡",IF($I98="","",IF($N98&gt;0,"遲到",IF($O98&gt;0,"早退","正常"))))))</f>
        <v/>
      </c>
      <c r="N98" s="32">
        <f>IF(OR($C98="",$G98="",$I98=""),0,IF(ROUND(($I98-$G98)*1440,0)&gt;設定!$C$28,ROUND(($I98-$G98)*1440,0),0))</f>
        <v/>
      </c>
      <c r="O98" s="32">
        <f>IF(OR($C98="",$H98="",$J98=""),0,IF(ROUND(($H98-$J98)*1440,0)&gt;設定!$C$28,ROUND(($H98-$J98)*1440,0),0))</f>
        <v/>
      </c>
      <c r="P98" s="33">
        <f>IF($L98="",0,IF(($L98-IFERROR(INDEX(設定!$G$5:$G$20,MATCH($F98,設定!$B$5:$B$20,0)),0))*60&gt;=設定!$C$26,ROUND(FLOOR(($L98-IFERROR(INDEX(設定!$G$5:$G$20,MATCH($F98,設定!$B$5:$B$20,0)),0))*60,設定!$C$27)/60,2),0))</f>
        <v/>
      </c>
      <c r="Q98" s="29">
        <f>IF(OR($C98="",$P98=0),"",IF($F98="國","國定假日",IF($B98="日","例假",IF($B98="六","休息日","平日"))))</f>
        <v/>
      </c>
      <c r="R98" s="34" t="n"/>
    </row>
    <row r="99">
      <c r="A99" s="30">
        <f>IF(OR(班表!$A9="",4&gt;DAY(EOMONTH(DATE(班表!$E$2,班表!$G$2,1),0))),"",DATE(班表!$E$2,班表!$G$2,4))</f>
        <v/>
      </c>
      <c r="B99" s="29">
        <f>IF($A99="","",INDEX(設定!$L$5:$L$11,WEEKDAY($A99,1)))</f>
        <v/>
      </c>
      <c r="C99" s="29">
        <f>IF($A99="","",班表!$A9)</f>
        <v/>
      </c>
      <c r="D99" s="29">
        <f>IF($C99="","",班表!$B9)</f>
        <v/>
      </c>
      <c r="E99" s="29">
        <f>IF($C99="","",班表!$C9)</f>
        <v/>
      </c>
      <c r="F99" s="29">
        <f>IF($C99="","",班表!G9)</f>
        <v/>
      </c>
      <c r="G99" s="31">
        <f>IF($F99="","",IFERROR(INDEX(設定!$D$5:$D$20,MATCH($F99,設定!$B$5:$B$20,0)),""))</f>
        <v/>
      </c>
      <c r="H99" s="31">
        <f>IF($F99="","",IFERROR(INDEX(設定!$E$5:$E$20,MATCH($F99,設定!$B$5:$B$20,0)),""))</f>
        <v/>
      </c>
      <c r="I99" s="31">
        <f>IFERROR(INDEX(打卡匯入!$C$3:$C$1002,MATCH($C99&amp;"|"&amp;DAY($A99),打卡匯入!$E$3:$E$1002,0)),"")</f>
        <v/>
      </c>
      <c r="J99" s="31">
        <f>IFERROR(INDEX(打卡匯入!$D$3:$D$1002,MATCH($C99&amp;"|"&amp;DAY($A99),打卡匯入!$E$3:$E$1002,0)),"")</f>
        <v/>
      </c>
      <c r="K99" s="32">
        <f>IF(OR($I99="",$J99=""),"",IFERROR(INDEX(設定!$F$5:$F$20,MATCH($F99,設定!$B$5:$B$20,0)),0))</f>
        <v/>
      </c>
      <c r="L99" s="33">
        <f>IF(OR($I99="",$J99=""),"",ROUND(($J99-$I99)*24-$K99/60,2))</f>
        <v/>
      </c>
      <c r="M99" s="29">
        <f>IF($C99="","",IF(AND(COUNTIF(設定!$B$14:$B$20,$F99)&gt;0,$I99&lt;&gt;""),"假日出勤",IF(AND(COUNTIF(設定!$B$5:$B$13,$F99)&gt;0,$I99=""),"未打卡",IF($I99="","",IF($N99&gt;0,"遲到",IF($O99&gt;0,"早退","正常"))))))</f>
        <v/>
      </c>
      <c r="N99" s="32">
        <f>IF(OR($C99="",$G99="",$I99=""),0,IF(ROUND(($I99-$G99)*1440,0)&gt;設定!$C$28,ROUND(($I99-$G99)*1440,0),0))</f>
        <v/>
      </c>
      <c r="O99" s="32">
        <f>IF(OR($C99="",$H99="",$J99=""),0,IF(ROUND(($H99-$J99)*1440,0)&gt;設定!$C$28,ROUND(($H99-$J99)*1440,0),0))</f>
        <v/>
      </c>
      <c r="P99" s="33">
        <f>IF($L99="",0,IF(($L99-IFERROR(INDEX(設定!$G$5:$G$20,MATCH($F99,設定!$B$5:$B$20,0)),0))*60&gt;=設定!$C$26,ROUND(FLOOR(($L99-IFERROR(INDEX(設定!$G$5:$G$20,MATCH($F99,設定!$B$5:$B$20,0)),0))*60,設定!$C$27)/60,2),0))</f>
        <v/>
      </c>
      <c r="Q99" s="29">
        <f>IF(OR($C99="",$P99=0),"",IF($F99="國","國定假日",IF($B99="日","例假",IF($B99="六","休息日","平日"))))</f>
        <v/>
      </c>
      <c r="R99" s="34" t="n"/>
    </row>
    <row r="100">
      <c r="A100" s="30">
        <f>IF(OR(班表!$A9="",5&gt;DAY(EOMONTH(DATE(班表!$E$2,班表!$G$2,1),0))),"",DATE(班表!$E$2,班表!$G$2,5))</f>
        <v/>
      </c>
      <c r="B100" s="29">
        <f>IF($A100="","",INDEX(設定!$L$5:$L$11,WEEKDAY($A100,1)))</f>
        <v/>
      </c>
      <c r="C100" s="29">
        <f>IF($A100="","",班表!$A9)</f>
        <v/>
      </c>
      <c r="D100" s="29">
        <f>IF($C100="","",班表!$B9)</f>
        <v/>
      </c>
      <c r="E100" s="29">
        <f>IF($C100="","",班表!$C9)</f>
        <v/>
      </c>
      <c r="F100" s="29">
        <f>IF($C100="","",班表!H9)</f>
        <v/>
      </c>
      <c r="G100" s="31">
        <f>IF($F100="","",IFERROR(INDEX(設定!$D$5:$D$20,MATCH($F100,設定!$B$5:$B$20,0)),""))</f>
        <v/>
      </c>
      <c r="H100" s="31">
        <f>IF($F100="","",IFERROR(INDEX(設定!$E$5:$E$20,MATCH($F100,設定!$B$5:$B$20,0)),""))</f>
        <v/>
      </c>
      <c r="I100" s="31">
        <f>IFERROR(INDEX(打卡匯入!$C$3:$C$1002,MATCH($C100&amp;"|"&amp;DAY($A100),打卡匯入!$E$3:$E$1002,0)),"")</f>
        <v/>
      </c>
      <c r="J100" s="31">
        <f>IFERROR(INDEX(打卡匯入!$D$3:$D$1002,MATCH($C100&amp;"|"&amp;DAY($A100),打卡匯入!$E$3:$E$1002,0)),"")</f>
        <v/>
      </c>
      <c r="K100" s="32">
        <f>IF(OR($I100="",$J100=""),"",IFERROR(INDEX(設定!$F$5:$F$20,MATCH($F100,設定!$B$5:$B$20,0)),0))</f>
        <v/>
      </c>
      <c r="L100" s="33">
        <f>IF(OR($I100="",$J100=""),"",ROUND(($J100-$I100)*24-$K100/60,2))</f>
        <v/>
      </c>
      <c r="M100" s="29">
        <f>IF($C100="","",IF(AND(COUNTIF(設定!$B$14:$B$20,$F100)&gt;0,$I100&lt;&gt;""),"假日出勤",IF(AND(COUNTIF(設定!$B$5:$B$13,$F100)&gt;0,$I100=""),"未打卡",IF($I100="","",IF($N100&gt;0,"遲到",IF($O100&gt;0,"早退","正常"))))))</f>
        <v/>
      </c>
      <c r="N100" s="32">
        <f>IF(OR($C100="",$G100="",$I100=""),0,IF(ROUND(($I100-$G100)*1440,0)&gt;設定!$C$28,ROUND(($I100-$G100)*1440,0),0))</f>
        <v/>
      </c>
      <c r="O100" s="32">
        <f>IF(OR($C100="",$H100="",$J100=""),0,IF(ROUND(($H100-$J100)*1440,0)&gt;設定!$C$28,ROUND(($H100-$J100)*1440,0),0))</f>
        <v/>
      </c>
      <c r="P100" s="33">
        <f>IF($L100="",0,IF(($L100-IFERROR(INDEX(設定!$G$5:$G$20,MATCH($F100,設定!$B$5:$B$20,0)),0))*60&gt;=設定!$C$26,ROUND(FLOOR(($L100-IFERROR(INDEX(設定!$G$5:$G$20,MATCH($F100,設定!$B$5:$B$20,0)),0))*60,設定!$C$27)/60,2),0))</f>
        <v/>
      </c>
      <c r="Q100" s="29">
        <f>IF(OR($C100="",$P100=0),"",IF($F100="國","國定假日",IF($B100="日","例假",IF($B100="六","休息日","平日"))))</f>
        <v/>
      </c>
      <c r="R100" s="34" t="n"/>
    </row>
    <row r="101">
      <c r="A101" s="30">
        <f>IF(OR(班表!$A9="",6&gt;DAY(EOMONTH(DATE(班表!$E$2,班表!$G$2,1),0))),"",DATE(班表!$E$2,班表!$G$2,6))</f>
        <v/>
      </c>
      <c r="B101" s="29">
        <f>IF($A101="","",INDEX(設定!$L$5:$L$11,WEEKDAY($A101,1)))</f>
        <v/>
      </c>
      <c r="C101" s="29">
        <f>IF($A101="","",班表!$A9)</f>
        <v/>
      </c>
      <c r="D101" s="29">
        <f>IF($C101="","",班表!$B9)</f>
        <v/>
      </c>
      <c r="E101" s="29">
        <f>IF($C101="","",班表!$C9)</f>
        <v/>
      </c>
      <c r="F101" s="29">
        <f>IF($C101="","",班表!I9)</f>
        <v/>
      </c>
      <c r="G101" s="31">
        <f>IF($F101="","",IFERROR(INDEX(設定!$D$5:$D$20,MATCH($F101,設定!$B$5:$B$20,0)),""))</f>
        <v/>
      </c>
      <c r="H101" s="31">
        <f>IF($F101="","",IFERROR(INDEX(設定!$E$5:$E$20,MATCH($F101,設定!$B$5:$B$20,0)),""))</f>
        <v/>
      </c>
      <c r="I101" s="31">
        <f>IFERROR(INDEX(打卡匯入!$C$3:$C$1002,MATCH($C101&amp;"|"&amp;DAY($A101),打卡匯入!$E$3:$E$1002,0)),"")</f>
        <v/>
      </c>
      <c r="J101" s="31">
        <f>IFERROR(INDEX(打卡匯入!$D$3:$D$1002,MATCH($C101&amp;"|"&amp;DAY($A101),打卡匯入!$E$3:$E$1002,0)),"")</f>
        <v/>
      </c>
      <c r="K101" s="32">
        <f>IF(OR($I101="",$J101=""),"",IFERROR(INDEX(設定!$F$5:$F$20,MATCH($F101,設定!$B$5:$B$20,0)),0))</f>
        <v/>
      </c>
      <c r="L101" s="33">
        <f>IF(OR($I101="",$J101=""),"",ROUND(($J101-$I101)*24-$K101/60,2))</f>
        <v/>
      </c>
      <c r="M101" s="29">
        <f>IF($C101="","",IF(AND(COUNTIF(設定!$B$14:$B$20,$F101)&gt;0,$I101&lt;&gt;""),"假日出勤",IF(AND(COUNTIF(設定!$B$5:$B$13,$F101)&gt;0,$I101=""),"未打卡",IF($I101="","",IF($N101&gt;0,"遲到",IF($O101&gt;0,"早退","正常"))))))</f>
        <v/>
      </c>
      <c r="N101" s="32">
        <f>IF(OR($C101="",$G101="",$I101=""),0,IF(ROUND(($I101-$G101)*1440,0)&gt;設定!$C$28,ROUND(($I101-$G101)*1440,0),0))</f>
        <v/>
      </c>
      <c r="O101" s="32">
        <f>IF(OR($C101="",$H101="",$J101=""),0,IF(ROUND(($H101-$J101)*1440,0)&gt;設定!$C$28,ROUND(($H101-$J101)*1440,0),0))</f>
        <v/>
      </c>
      <c r="P101" s="33">
        <f>IF($L101="",0,IF(($L101-IFERROR(INDEX(設定!$G$5:$G$20,MATCH($F101,設定!$B$5:$B$20,0)),0))*60&gt;=設定!$C$26,ROUND(FLOOR(($L101-IFERROR(INDEX(設定!$G$5:$G$20,MATCH($F101,設定!$B$5:$B$20,0)),0))*60,設定!$C$27)/60,2),0))</f>
        <v/>
      </c>
      <c r="Q101" s="29">
        <f>IF(OR($C101="",$P101=0),"",IF($F101="國","國定假日",IF($B101="日","例假",IF($B101="六","休息日","平日"))))</f>
        <v/>
      </c>
      <c r="R101" s="34" t="n"/>
    </row>
    <row r="102">
      <c r="A102" s="30">
        <f>IF(OR(班表!$A9="",7&gt;DAY(EOMONTH(DATE(班表!$E$2,班表!$G$2,1),0))),"",DATE(班表!$E$2,班表!$G$2,7))</f>
        <v/>
      </c>
      <c r="B102" s="29">
        <f>IF($A102="","",INDEX(設定!$L$5:$L$11,WEEKDAY($A102,1)))</f>
        <v/>
      </c>
      <c r="C102" s="29">
        <f>IF($A102="","",班表!$A9)</f>
        <v/>
      </c>
      <c r="D102" s="29">
        <f>IF($C102="","",班表!$B9)</f>
        <v/>
      </c>
      <c r="E102" s="29">
        <f>IF($C102="","",班表!$C9)</f>
        <v/>
      </c>
      <c r="F102" s="29">
        <f>IF($C102="","",班表!J9)</f>
        <v/>
      </c>
      <c r="G102" s="31">
        <f>IF($F102="","",IFERROR(INDEX(設定!$D$5:$D$20,MATCH($F102,設定!$B$5:$B$20,0)),""))</f>
        <v/>
      </c>
      <c r="H102" s="31">
        <f>IF($F102="","",IFERROR(INDEX(設定!$E$5:$E$20,MATCH($F102,設定!$B$5:$B$20,0)),""))</f>
        <v/>
      </c>
      <c r="I102" s="31">
        <f>IFERROR(INDEX(打卡匯入!$C$3:$C$1002,MATCH($C102&amp;"|"&amp;DAY($A102),打卡匯入!$E$3:$E$1002,0)),"")</f>
        <v/>
      </c>
      <c r="J102" s="31">
        <f>IFERROR(INDEX(打卡匯入!$D$3:$D$1002,MATCH($C102&amp;"|"&amp;DAY($A102),打卡匯入!$E$3:$E$1002,0)),"")</f>
        <v/>
      </c>
      <c r="K102" s="32">
        <f>IF(OR($I102="",$J102=""),"",IFERROR(INDEX(設定!$F$5:$F$20,MATCH($F102,設定!$B$5:$B$20,0)),0))</f>
        <v/>
      </c>
      <c r="L102" s="33">
        <f>IF(OR($I102="",$J102=""),"",ROUND(($J102-$I102)*24-$K102/60,2))</f>
        <v/>
      </c>
      <c r="M102" s="29">
        <f>IF($C102="","",IF(AND(COUNTIF(設定!$B$14:$B$20,$F102)&gt;0,$I102&lt;&gt;""),"假日出勤",IF(AND(COUNTIF(設定!$B$5:$B$13,$F102)&gt;0,$I102=""),"未打卡",IF($I102="","",IF($N102&gt;0,"遲到",IF($O102&gt;0,"早退","正常"))))))</f>
        <v/>
      </c>
      <c r="N102" s="32">
        <f>IF(OR($C102="",$G102="",$I102=""),0,IF(ROUND(($I102-$G102)*1440,0)&gt;設定!$C$28,ROUND(($I102-$G102)*1440,0),0))</f>
        <v/>
      </c>
      <c r="O102" s="32">
        <f>IF(OR($C102="",$H102="",$J102=""),0,IF(ROUND(($H102-$J102)*1440,0)&gt;設定!$C$28,ROUND(($H102-$J102)*1440,0),0))</f>
        <v/>
      </c>
      <c r="P102" s="33">
        <f>IF($L102="",0,IF(($L102-IFERROR(INDEX(設定!$G$5:$G$20,MATCH($F102,設定!$B$5:$B$20,0)),0))*60&gt;=設定!$C$26,ROUND(FLOOR(($L102-IFERROR(INDEX(設定!$G$5:$G$20,MATCH($F102,設定!$B$5:$B$20,0)),0))*60,設定!$C$27)/60,2),0))</f>
        <v/>
      </c>
      <c r="Q102" s="29">
        <f>IF(OR($C102="",$P102=0),"",IF($F102="國","國定假日",IF($B102="日","例假",IF($B102="六","休息日","平日"))))</f>
        <v/>
      </c>
      <c r="R102" s="34" t="n"/>
    </row>
    <row r="103">
      <c r="A103" s="30">
        <f>IF(OR(班表!$A9="",8&gt;DAY(EOMONTH(DATE(班表!$E$2,班表!$G$2,1),0))),"",DATE(班表!$E$2,班表!$G$2,8))</f>
        <v/>
      </c>
      <c r="B103" s="29">
        <f>IF($A103="","",INDEX(設定!$L$5:$L$11,WEEKDAY($A103,1)))</f>
        <v/>
      </c>
      <c r="C103" s="29">
        <f>IF($A103="","",班表!$A9)</f>
        <v/>
      </c>
      <c r="D103" s="29">
        <f>IF($C103="","",班表!$B9)</f>
        <v/>
      </c>
      <c r="E103" s="29">
        <f>IF($C103="","",班表!$C9)</f>
        <v/>
      </c>
      <c r="F103" s="29">
        <f>IF($C103="","",班表!K9)</f>
        <v/>
      </c>
      <c r="G103" s="31">
        <f>IF($F103="","",IFERROR(INDEX(設定!$D$5:$D$20,MATCH($F103,設定!$B$5:$B$20,0)),""))</f>
        <v/>
      </c>
      <c r="H103" s="31">
        <f>IF($F103="","",IFERROR(INDEX(設定!$E$5:$E$20,MATCH($F103,設定!$B$5:$B$20,0)),""))</f>
        <v/>
      </c>
      <c r="I103" s="31">
        <f>IFERROR(INDEX(打卡匯入!$C$3:$C$1002,MATCH($C103&amp;"|"&amp;DAY($A103),打卡匯入!$E$3:$E$1002,0)),"")</f>
        <v/>
      </c>
      <c r="J103" s="31">
        <f>IFERROR(INDEX(打卡匯入!$D$3:$D$1002,MATCH($C103&amp;"|"&amp;DAY($A103),打卡匯入!$E$3:$E$1002,0)),"")</f>
        <v/>
      </c>
      <c r="K103" s="32">
        <f>IF(OR($I103="",$J103=""),"",IFERROR(INDEX(設定!$F$5:$F$20,MATCH($F103,設定!$B$5:$B$20,0)),0))</f>
        <v/>
      </c>
      <c r="L103" s="33">
        <f>IF(OR($I103="",$J103=""),"",ROUND(($J103-$I103)*24-$K103/60,2))</f>
        <v/>
      </c>
      <c r="M103" s="29">
        <f>IF($C103="","",IF(AND(COUNTIF(設定!$B$14:$B$20,$F103)&gt;0,$I103&lt;&gt;""),"假日出勤",IF(AND(COUNTIF(設定!$B$5:$B$13,$F103)&gt;0,$I103=""),"未打卡",IF($I103="","",IF($N103&gt;0,"遲到",IF($O103&gt;0,"早退","正常"))))))</f>
        <v/>
      </c>
      <c r="N103" s="32">
        <f>IF(OR($C103="",$G103="",$I103=""),0,IF(ROUND(($I103-$G103)*1440,0)&gt;設定!$C$28,ROUND(($I103-$G103)*1440,0),0))</f>
        <v/>
      </c>
      <c r="O103" s="32">
        <f>IF(OR($C103="",$H103="",$J103=""),0,IF(ROUND(($H103-$J103)*1440,0)&gt;設定!$C$28,ROUND(($H103-$J103)*1440,0),0))</f>
        <v/>
      </c>
      <c r="P103" s="33">
        <f>IF($L103="",0,IF(($L103-IFERROR(INDEX(設定!$G$5:$G$20,MATCH($F103,設定!$B$5:$B$20,0)),0))*60&gt;=設定!$C$26,ROUND(FLOOR(($L103-IFERROR(INDEX(設定!$G$5:$G$20,MATCH($F103,設定!$B$5:$B$20,0)),0))*60,設定!$C$27)/60,2),0))</f>
        <v/>
      </c>
      <c r="Q103" s="29">
        <f>IF(OR($C103="",$P103=0),"",IF($F103="國","國定假日",IF($B103="日","例假",IF($B103="六","休息日","平日"))))</f>
        <v/>
      </c>
      <c r="R103" s="34" t="n"/>
    </row>
    <row r="104">
      <c r="A104" s="30">
        <f>IF(OR(班表!$A9="",9&gt;DAY(EOMONTH(DATE(班表!$E$2,班表!$G$2,1),0))),"",DATE(班表!$E$2,班表!$G$2,9))</f>
        <v/>
      </c>
      <c r="B104" s="29">
        <f>IF($A104="","",INDEX(設定!$L$5:$L$11,WEEKDAY($A104,1)))</f>
        <v/>
      </c>
      <c r="C104" s="29">
        <f>IF($A104="","",班表!$A9)</f>
        <v/>
      </c>
      <c r="D104" s="29">
        <f>IF($C104="","",班表!$B9)</f>
        <v/>
      </c>
      <c r="E104" s="29">
        <f>IF($C104="","",班表!$C9)</f>
        <v/>
      </c>
      <c r="F104" s="29">
        <f>IF($C104="","",班表!L9)</f>
        <v/>
      </c>
      <c r="G104" s="31">
        <f>IF($F104="","",IFERROR(INDEX(設定!$D$5:$D$20,MATCH($F104,設定!$B$5:$B$20,0)),""))</f>
        <v/>
      </c>
      <c r="H104" s="31">
        <f>IF($F104="","",IFERROR(INDEX(設定!$E$5:$E$20,MATCH($F104,設定!$B$5:$B$20,0)),""))</f>
        <v/>
      </c>
      <c r="I104" s="31">
        <f>IFERROR(INDEX(打卡匯入!$C$3:$C$1002,MATCH($C104&amp;"|"&amp;DAY($A104),打卡匯入!$E$3:$E$1002,0)),"")</f>
        <v/>
      </c>
      <c r="J104" s="31">
        <f>IFERROR(INDEX(打卡匯入!$D$3:$D$1002,MATCH($C104&amp;"|"&amp;DAY($A104),打卡匯入!$E$3:$E$1002,0)),"")</f>
        <v/>
      </c>
      <c r="K104" s="32">
        <f>IF(OR($I104="",$J104=""),"",IFERROR(INDEX(設定!$F$5:$F$20,MATCH($F104,設定!$B$5:$B$20,0)),0))</f>
        <v/>
      </c>
      <c r="L104" s="33">
        <f>IF(OR($I104="",$J104=""),"",ROUND(($J104-$I104)*24-$K104/60,2))</f>
        <v/>
      </c>
      <c r="M104" s="29">
        <f>IF($C104="","",IF(AND(COUNTIF(設定!$B$14:$B$20,$F104)&gt;0,$I104&lt;&gt;""),"假日出勤",IF(AND(COUNTIF(設定!$B$5:$B$13,$F104)&gt;0,$I104=""),"未打卡",IF($I104="","",IF($N104&gt;0,"遲到",IF($O104&gt;0,"早退","正常"))))))</f>
        <v/>
      </c>
      <c r="N104" s="32">
        <f>IF(OR($C104="",$G104="",$I104=""),0,IF(ROUND(($I104-$G104)*1440,0)&gt;設定!$C$28,ROUND(($I104-$G104)*1440,0),0))</f>
        <v/>
      </c>
      <c r="O104" s="32">
        <f>IF(OR($C104="",$H104="",$J104=""),0,IF(ROUND(($H104-$J104)*1440,0)&gt;設定!$C$28,ROUND(($H104-$J104)*1440,0),0))</f>
        <v/>
      </c>
      <c r="P104" s="33">
        <f>IF($L104="",0,IF(($L104-IFERROR(INDEX(設定!$G$5:$G$20,MATCH($F104,設定!$B$5:$B$20,0)),0))*60&gt;=設定!$C$26,ROUND(FLOOR(($L104-IFERROR(INDEX(設定!$G$5:$G$20,MATCH($F104,設定!$B$5:$B$20,0)),0))*60,設定!$C$27)/60,2),0))</f>
        <v/>
      </c>
      <c r="Q104" s="29">
        <f>IF(OR($C104="",$P104=0),"",IF($F104="國","國定假日",IF($B104="日","例假",IF($B104="六","休息日","平日"))))</f>
        <v/>
      </c>
      <c r="R104" s="34" t="n"/>
    </row>
    <row r="105">
      <c r="A105" s="30">
        <f>IF(OR(班表!$A9="",10&gt;DAY(EOMONTH(DATE(班表!$E$2,班表!$G$2,1),0))),"",DATE(班表!$E$2,班表!$G$2,10))</f>
        <v/>
      </c>
      <c r="B105" s="29">
        <f>IF($A105="","",INDEX(設定!$L$5:$L$11,WEEKDAY($A105,1)))</f>
        <v/>
      </c>
      <c r="C105" s="29">
        <f>IF($A105="","",班表!$A9)</f>
        <v/>
      </c>
      <c r="D105" s="29">
        <f>IF($C105="","",班表!$B9)</f>
        <v/>
      </c>
      <c r="E105" s="29">
        <f>IF($C105="","",班表!$C9)</f>
        <v/>
      </c>
      <c r="F105" s="29">
        <f>IF($C105="","",班表!M9)</f>
        <v/>
      </c>
      <c r="G105" s="31">
        <f>IF($F105="","",IFERROR(INDEX(設定!$D$5:$D$20,MATCH($F105,設定!$B$5:$B$20,0)),""))</f>
        <v/>
      </c>
      <c r="H105" s="31">
        <f>IF($F105="","",IFERROR(INDEX(設定!$E$5:$E$20,MATCH($F105,設定!$B$5:$B$20,0)),""))</f>
        <v/>
      </c>
      <c r="I105" s="31">
        <f>IFERROR(INDEX(打卡匯入!$C$3:$C$1002,MATCH($C105&amp;"|"&amp;DAY($A105),打卡匯入!$E$3:$E$1002,0)),"")</f>
        <v/>
      </c>
      <c r="J105" s="31">
        <f>IFERROR(INDEX(打卡匯入!$D$3:$D$1002,MATCH($C105&amp;"|"&amp;DAY($A105),打卡匯入!$E$3:$E$1002,0)),"")</f>
        <v/>
      </c>
      <c r="K105" s="32">
        <f>IF(OR($I105="",$J105=""),"",IFERROR(INDEX(設定!$F$5:$F$20,MATCH($F105,設定!$B$5:$B$20,0)),0))</f>
        <v/>
      </c>
      <c r="L105" s="33">
        <f>IF(OR($I105="",$J105=""),"",ROUND(($J105-$I105)*24-$K105/60,2))</f>
        <v/>
      </c>
      <c r="M105" s="29">
        <f>IF($C105="","",IF(AND(COUNTIF(設定!$B$14:$B$20,$F105)&gt;0,$I105&lt;&gt;""),"假日出勤",IF(AND(COUNTIF(設定!$B$5:$B$13,$F105)&gt;0,$I105=""),"未打卡",IF($I105="","",IF($N105&gt;0,"遲到",IF($O105&gt;0,"早退","正常"))))))</f>
        <v/>
      </c>
      <c r="N105" s="32">
        <f>IF(OR($C105="",$G105="",$I105=""),0,IF(ROUND(($I105-$G105)*1440,0)&gt;設定!$C$28,ROUND(($I105-$G105)*1440,0),0))</f>
        <v/>
      </c>
      <c r="O105" s="32">
        <f>IF(OR($C105="",$H105="",$J105=""),0,IF(ROUND(($H105-$J105)*1440,0)&gt;設定!$C$28,ROUND(($H105-$J105)*1440,0),0))</f>
        <v/>
      </c>
      <c r="P105" s="33">
        <f>IF($L105="",0,IF(($L105-IFERROR(INDEX(設定!$G$5:$G$20,MATCH($F105,設定!$B$5:$B$20,0)),0))*60&gt;=設定!$C$26,ROUND(FLOOR(($L105-IFERROR(INDEX(設定!$G$5:$G$20,MATCH($F105,設定!$B$5:$B$20,0)),0))*60,設定!$C$27)/60,2),0))</f>
        <v/>
      </c>
      <c r="Q105" s="29">
        <f>IF(OR($C105="",$P105=0),"",IF($F105="國","國定假日",IF($B105="日","例假",IF($B105="六","休息日","平日"))))</f>
        <v/>
      </c>
      <c r="R105" s="34" t="n"/>
    </row>
    <row r="106">
      <c r="A106" s="30">
        <f>IF(OR(班表!$A9="",11&gt;DAY(EOMONTH(DATE(班表!$E$2,班表!$G$2,1),0))),"",DATE(班表!$E$2,班表!$G$2,11))</f>
        <v/>
      </c>
      <c r="B106" s="29">
        <f>IF($A106="","",INDEX(設定!$L$5:$L$11,WEEKDAY($A106,1)))</f>
        <v/>
      </c>
      <c r="C106" s="29">
        <f>IF($A106="","",班表!$A9)</f>
        <v/>
      </c>
      <c r="D106" s="29">
        <f>IF($C106="","",班表!$B9)</f>
        <v/>
      </c>
      <c r="E106" s="29">
        <f>IF($C106="","",班表!$C9)</f>
        <v/>
      </c>
      <c r="F106" s="29">
        <f>IF($C106="","",班表!N9)</f>
        <v/>
      </c>
      <c r="G106" s="31">
        <f>IF($F106="","",IFERROR(INDEX(設定!$D$5:$D$20,MATCH($F106,設定!$B$5:$B$20,0)),""))</f>
        <v/>
      </c>
      <c r="H106" s="31">
        <f>IF($F106="","",IFERROR(INDEX(設定!$E$5:$E$20,MATCH($F106,設定!$B$5:$B$20,0)),""))</f>
        <v/>
      </c>
      <c r="I106" s="31">
        <f>IFERROR(INDEX(打卡匯入!$C$3:$C$1002,MATCH($C106&amp;"|"&amp;DAY($A106),打卡匯入!$E$3:$E$1002,0)),"")</f>
        <v/>
      </c>
      <c r="J106" s="31">
        <f>IFERROR(INDEX(打卡匯入!$D$3:$D$1002,MATCH($C106&amp;"|"&amp;DAY($A106),打卡匯入!$E$3:$E$1002,0)),"")</f>
        <v/>
      </c>
      <c r="K106" s="32">
        <f>IF(OR($I106="",$J106=""),"",IFERROR(INDEX(設定!$F$5:$F$20,MATCH($F106,設定!$B$5:$B$20,0)),0))</f>
        <v/>
      </c>
      <c r="L106" s="33">
        <f>IF(OR($I106="",$J106=""),"",ROUND(($J106-$I106)*24-$K106/60,2))</f>
        <v/>
      </c>
      <c r="M106" s="29">
        <f>IF($C106="","",IF(AND(COUNTIF(設定!$B$14:$B$20,$F106)&gt;0,$I106&lt;&gt;""),"假日出勤",IF(AND(COUNTIF(設定!$B$5:$B$13,$F106)&gt;0,$I106=""),"未打卡",IF($I106="","",IF($N106&gt;0,"遲到",IF($O106&gt;0,"早退","正常"))))))</f>
        <v/>
      </c>
      <c r="N106" s="32">
        <f>IF(OR($C106="",$G106="",$I106=""),0,IF(ROUND(($I106-$G106)*1440,0)&gt;設定!$C$28,ROUND(($I106-$G106)*1440,0),0))</f>
        <v/>
      </c>
      <c r="O106" s="32">
        <f>IF(OR($C106="",$H106="",$J106=""),0,IF(ROUND(($H106-$J106)*1440,0)&gt;設定!$C$28,ROUND(($H106-$J106)*1440,0),0))</f>
        <v/>
      </c>
      <c r="P106" s="33">
        <f>IF($L106="",0,IF(($L106-IFERROR(INDEX(設定!$G$5:$G$20,MATCH($F106,設定!$B$5:$B$20,0)),0))*60&gt;=設定!$C$26,ROUND(FLOOR(($L106-IFERROR(INDEX(設定!$G$5:$G$20,MATCH($F106,設定!$B$5:$B$20,0)),0))*60,設定!$C$27)/60,2),0))</f>
        <v/>
      </c>
      <c r="Q106" s="29">
        <f>IF(OR($C106="",$P106=0),"",IF($F106="國","國定假日",IF($B106="日","例假",IF($B106="六","休息日","平日"))))</f>
        <v/>
      </c>
      <c r="R106" s="34" t="n"/>
    </row>
    <row r="107">
      <c r="A107" s="30">
        <f>IF(OR(班表!$A9="",12&gt;DAY(EOMONTH(DATE(班表!$E$2,班表!$G$2,1),0))),"",DATE(班表!$E$2,班表!$G$2,12))</f>
        <v/>
      </c>
      <c r="B107" s="29">
        <f>IF($A107="","",INDEX(設定!$L$5:$L$11,WEEKDAY($A107,1)))</f>
        <v/>
      </c>
      <c r="C107" s="29">
        <f>IF($A107="","",班表!$A9)</f>
        <v/>
      </c>
      <c r="D107" s="29">
        <f>IF($C107="","",班表!$B9)</f>
        <v/>
      </c>
      <c r="E107" s="29">
        <f>IF($C107="","",班表!$C9)</f>
        <v/>
      </c>
      <c r="F107" s="29">
        <f>IF($C107="","",班表!O9)</f>
        <v/>
      </c>
      <c r="G107" s="31">
        <f>IF($F107="","",IFERROR(INDEX(設定!$D$5:$D$20,MATCH($F107,設定!$B$5:$B$20,0)),""))</f>
        <v/>
      </c>
      <c r="H107" s="31">
        <f>IF($F107="","",IFERROR(INDEX(設定!$E$5:$E$20,MATCH($F107,設定!$B$5:$B$20,0)),""))</f>
        <v/>
      </c>
      <c r="I107" s="31">
        <f>IFERROR(INDEX(打卡匯入!$C$3:$C$1002,MATCH($C107&amp;"|"&amp;DAY($A107),打卡匯入!$E$3:$E$1002,0)),"")</f>
        <v/>
      </c>
      <c r="J107" s="31">
        <f>IFERROR(INDEX(打卡匯入!$D$3:$D$1002,MATCH($C107&amp;"|"&amp;DAY($A107),打卡匯入!$E$3:$E$1002,0)),"")</f>
        <v/>
      </c>
      <c r="K107" s="32">
        <f>IF(OR($I107="",$J107=""),"",IFERROR(INDEX(設定!$F$5:$F$20,MATCH($F107,設定!$B$5:$B$20,0)),0))</f>
        <v/>
      </c>
      <c r="L107" s="33">
        <f>IF(OR($I107="",$J107=""),"",ROUND(($J107-$I107)*24-$K107/60,2))</f>
        <v/>
      </c>
      <c r="M107" s="29">
        <f>IF($C107="","",IF(AND(COUNTIF(設定!$B$14:$B$20,$F107)&gt;0,$I107&lt;&gt;""),"假日出勤",IF(AND(COUNTIF(設定!$B$5:$B$13,$F107)&gt;0,$I107=""),"未打卡",IF($I107="","",IF($N107&gt;0,"遲到",IF($O107&gt;0,"早退","正常"))))))</f>
        <v/>
      </c>
      <c r="N107" s="32">
        <f>IF(OR($C107="",$G107="",$I107=""),0,IF(ROUND(($I107-$G107)*1440,0)&gt;設定!$C$28,ROUND(($I107-$G107)*1440,0),0))</f>
        <v/>
      </c>
      <c r="O107" s="32">
        <f>IF(OR($C107="",$H107="",$J107=""),0,IF(ROUND(($H107-$J107)*1440,0)&gt;設定!$C$28,ROUND(($H107-$J107)*1440,0),0))</f>
        <v/>
      </c>
      <c r="P107" s="33">
        <f>IF($L107="",0,IF(($L107-IFERROR(INDEX(設定!$G$5:$G$20,MATCH($F107,設定!$B$5:$B$20,0)),0))*60&gt;=設定!$C$26,ROUND(FLOOR(($L107-IFERROR(INDEX(設定!$G$5:$G$20,MATCH($F107,設定!$B$5:$B$20,0)),0))*60,設定!$C$27)/60,2),0))</f>
        <v/>
      </c>
      <c r="Q107" s="29">
        <f>IF(OR($C107="",$P107=0),"",IF($F107="國","國定假日",IF($B107="日","例假",IF($B107="六","休息日","平日"))))</f>
        <v/>
      </c>
      <c r="R107" s="34" t="n"/>
    </row>
    <row r="108">
      <c r="A108" s="30">
        <f>IF(OR(班表!$A9="",13&gt;DAY(EOMONTH(DATE(班表!$E$2,班表!$G$2,1),0))),"",DATE(班表!$E$2,班表!$G$2,13))</f>
        <v/>
      </c>
      <c r="B108" s="29">
        <f>IF($A108="","",INDEX(設定!$L$5:$L$11,WEEKDAY($A108,1)))</f>
        <v/>
      </c>
      <c r="C108" s="29">
        <f>IF($A108="","",班表!$A9)</f>
        <v/>
      </c>
      <c r="D108" s="29">
        <f>IF($C108="","",班表!$B9)</f>
        <v/>
      </c>
      <c r="E108" s="29">
        <f>IF($C108="","",班表!$C9)</f>
        <v/>
      </c>
      <c r="F108" s="29">
        <f>IF($C108="","",班表!P9)</f>
        <v/>
      </c>
      <c r="G108" s="31">
        <f>IF($F108="","",IFERROR(INDEX(設定!$D$5:$D$20,MATCH($F108,設定!$B$5:$B$20,0)),""))</f>
        <v/>
      </c>
      <c r="H108" s="31">
        <f>IF($F108="","",IFERROR(INDEX(設定!$E$5:$E$20,MATCH($F108,設定!$B$5:$B$20,0)),""))</f>
        <v/>
      </c>
      <c r="I108" s="31">
        <f>IFERROR(INDEX(打卡匯入!$C$3:$C$1002,MATCH($C108&amp;"|"&amp;DAY($A108),打卡匯入!$E$3:$E$1002,0)),"")</f>
        <v/>
      </c>
      <c r="J108" s="31">
        <f>IFERROR(INDEX(打卡匯入!$D$3:$D$1002,MATCH($C108&amp;"|"&amp;DAY($A108),打卡匯入!$E$3:$E$1002,0)),"")</f>
        <v/>
      </c>
      <c r="K108" s="32">
        <f>IF(OR($I108="",$J108=""),"",IFERROR(INDEX(設定!$F$5:$F$20,MATCH($F108,設定!$B$5:$B$20,0)),0))</f>
        <v/>
      </c>
      <c r="L108" s="33">
        <f>IF(OR($I108="",$J108=""),"",ROUND(($J108-$I108)*24-$K108/60,2))</f>
        <v/>
      </c>
      <c r="M108" s="29">
        <f>IF($C108="","",IF(AND(COUNTIF(設定!$B$14:$B$20,$F108)&gt;0,$I108&lt;&gt;""),"假日出勤",IF(AND(COUNTIF(設定!$B$5:$B$13,$F108)&gt;0,$I108=""),"未打卡",IF($I108="","",IF($N108&gt;0,"遲到",IF($O108&gt;0,"早退","正常"))))))</f>
        <v/>
      </c>
      <c r="N108" s="32">
        <f>IF(OR($C108="",$G108="",$I108=""),0,IF(ROUND(($I108-$G108)*1440,0)&gt;設定!$C$28,ROUND(($I108-$G108)*1440,0),0))</f>
        <v/>
      </c>
      <c r="O108" s="32">
        <f>IF(OR($C108="",$H108="",$J108=""),0,IF(ROUND(($H108-$J108)*1440,0)&gt;設定!$C$28,ROUND(($H108-$J108)*1440,0),0))</f>
        <v/>
      </c>
      <c r="P108" s="33">
        <f>IF($L108="",0,IF(($L108-IFERROR(INDEX(設定!$G$5:$G$20,MATCH($F108,設定!$B$5:$B$20,0)),0))*60&gt;=設定!$C$26,ROUND(FLOOR(($L108-IFERROR(INDEX(設定!$G$5:$G$20,MATCH($F108,設定!$B$5:$B$20,0)),0))*60,設定!$C$27)/60,2),0))</f>
        <v/>
      </c>
      <c r="Q108" s="29">
        <f>IF(OR($C108="",$P108=0),"",IF($F108="國","國定假日",IF($B108="日","例假",IF($B108="六","休息日","平日"))))</f>
        <v/>
      </c>
      <c r="R108" s="34" t="n"/>
    </row>
    <row r="109">
      <c r="A109" s="30">
        <f>IF(OR(班表!$A9="",14&gt;DAY(EOMONTH(DATE(班表!$E$2,班表!$G$2,1),0))),"",DATE(班表!$E$2,班表!$G$2,14))</f>
        <v/>
      </c>
      <c r="B109" s="29">
        <f>IF($A109="","",INDEX(設定!$L$5:$L$11,WEEKDAY($A109,1)))</f>
        <v/>
      </c>
      <c r="C109" s="29">
        <f>IF($A109="","",班表!$A9)</f>
        <v/>
      </c>
      <c r="D109" s="29">
        <f>IF($C109="","",班表!$B9)</f>
        <v/>
      </c>
      <c r="E109" s="29">
        <f>IF($C109="","",班表!$C9)</f>
        <v/>
      </c>
      <c r="F109" s="29">
        <f>IF($C109="","",班表!Q9)</f>
        <v/>
      </c>
      <c r="G109" s="31">
        <f>IF($F109="","",IFERROR(INDEX(設定!$D$5:$D$20,MATCH($F109,設定!$B$5:$B$20,0)),""))</f>
        <v/>
      </c>
      <c r="H109" s="31">
        <f>IF($F109="","",IFERROR(INDEX(設定!$E$5:$E$20,MATCH($F109,設定!$B$5:$B$20,0)),""))</f>
        <v/>
      </c>
      <c r="I109" s="31">
        <f>IFERROR(INDEX(打卡匯入!$C$3:$C$1002,MATCH($C109&amp;"|"&amp;DAY($A109),打卡匯入!$E$3:$E$1002,0)),"")</f>
        <v/>
      </c>
      <c r="J109" s="31">
        <f>IFERROR(INDEX(打卡匯入!$D$3:$D$1002,MATCH($C109&amp;"|"&amp;DAY($A109),打卡匯入!$E$3:$E$1002,0)),"")</f>
        <v/>
      </c>
      <c r="K109" s="32">
        <f>IF(OR($I109="",$J109=""),"",IFERROR(INDEX(設定!$F$5:$F$20,MATCH($F109,設定!$B$5:$B$20,0)),0))</f>
        <v/>
      </c>
      <c r="L109" s="33">
        <f>IF(OR($I109="",$J109=""),"",ROUND(($J109-$I109)*24-$K109/60,2))</f>
        <v/>
      </c>
      <c r="M109" s="29">
        <f>IF($C109="","",IF(AND(COUNTIF(設定!$B$14:$B$20,$F109)&gt;0,$I109&lt;&gt;""),"假日出勤",IF(AND(COUNTIF(設定!$B$5:$B$13,$F109)&gt;0,$I109=""),"未打卡",IF($I109="","",IF($N109&gt;0,"遲到",IF($O109&gt;0,"早退","正常"))))))</f>
        <v/>
      </c>
      <c r="N109" s="32">
        <f>IF(OR($C109="",$G109="",$I109=""),0,IF(ROUND(($I109-$G109)*1440,0)&gt;設定!$C$28,ROUND(($I109-$G109)*1440,0),0))</f>
        <v/>
      </c>
      <c r="O109" s="32">
        <f>IF(OR($C109="",$H109="",$J109=""),0,IF(ROUND(($H109-$J109)*1440,0)&gt;設定!$C$28,ROUND(($H109-$J109)*1440,0),0))</f>
        <v/>
      </c>
      <c r="P109" s="33">
        <f>IF($L109="",0,IF(($L109-IFERROR(INDEX(設定!$G$5:$G$20,MATCH($F109,設定!$B$5:$B$20,0)),0))*60&gt;=設定!$C$26,ROUND(FLOOR(($L109-IFERROR(INDEX(設定!$G$5:$G$20,MATCH($F109,設定!$B$5:$B$20,0)),0))*60,設定!$C$27)/60,2),0))</f>
        <v/>
      </c>
      <c r="Q109" s="29">
        <f>IF(OR($C109="",$P109=0),"",IF($F109="國","國定假日",IF($B109="日","例假",IF($B109="六","休息日","平日"))))</f>
        <v/>
      </c>
      <c r="R109" s="34" t="n"/>
    </row>
    <row r="110">
      <c r="A110" s="30">
        <f>IF(OR(班表!$A9="",15&gt;DAY(EOMONTH(DATE(班表!$E$2,班表!$G$2,1),0))),"",DATE(班表!$E$2,班表!$G$2,15))</f>
        <v/>
      </c>
      <c r="B110" s="29">
        <f>IF($A110="","",INDEX(設定!$L$5:$L$11,WEEKDAY($A110,1)))</f>
        <v/>
      </c>
      <c r="C110" s="29">
        <f>IF($A110="","",班表!$A9)</f>
        <v/>
      </c>
      <c r="D110" s="29">
        <f>IF($C110="","",班表!$B9)</f>
        <v/>
      </c>
      <c r="E110" s="29">
        <f>IF($C110="","",班表!$C9)</f>
        <v/>
      </c>
      <c r="F110" s="29">
        <f>IF($C110="","",班表!R9)</f>
        <v/>
      </c>
      <c r="G110" s="31">
        <f>IF($F110="","",IFERROR(INDEX(設定!$D$5:$D$20,MATCH($F110,設定!$B$5:$B$20,0)),""))</f>
        <v/>
      </c>
      <c r="H110" s="31">
        <f>IF($F110="","",IFERROR(INDEX(設定!$E$5:$E$20,MATCH($F110,設定!$B$5:$B$20,0)),""))</f>
        <v/>
      </c>
      <c r="I110" s="31">
        <f>IFERROR(INDEX(打卡匯入!$C$3:$C$1002,MATCH($C110&amp;"|"&amp;DAY($A110),打卡匯入!$E$3:$E$1002,0)),"")</f>
        <v/>
      </c>
      <c r="J110" s="31">
        <f>IFERROR(INDEX(打卡匯入!$D$3:$D$1002,MATCH($C110&amp;"|"&amp;DAY($A110),打卡匯入!$E$3:$E$1002,0)),"")</f>
        <v/>
      </c>
      <c r="K110" s="32">
        <f>IF(OR($I110="",$J110=""),"",IFERROR(INDEX(設定!$F$5:$F$20,MATCH($F110,設定!$B$5:$B$20,0)),0))</f>
        <v/>
      </c>
      <c r="L110" s="33">
        <f>IF(OR($I110="",$J110=""),"",ROUND(($J110-$I110)*24-$K110/60,2))</f>
        <v/>
      </c>
      <c r="M110" s="29">
        <f>IF($C110="","",IF(AND(COUNTIF(設定!$B$14:$B$20,$F110)&gt;0,$I110&lt;&gt;""),"假日出勤",IF(AND(COUNTIF(設定!$B$5:$B$13,$F110)&gt;0,$I110=""),"未打卡",IF($I110="","",IF($N110&gt;0,"遲到",IF($O110&gt;0,"早退","正常"))))))</f>
        <v/>
      </c>
      <c r="N110" s="32">
        <f>IF(OR($C110="",$G110="",$I110=""),0,IF(ROUND(($I110-$G110)*1440,0)&gt;設定!$C$28,ROUND(($I110-$G110)*1440,0),0))</f>
        <v/>
      </c>
      <c r="O110" s="32">
        <f>IF(OR($C110="",$H110="",$J110=""),0,IF(ROUND(($H110-$J110)*1440,0)&gt;設定!$C$28,ROUND(($H110-$J110)*1440,0),0))</f>
        <v/>
      </c>
      <c r="P110" s="33">
        <f>IF($L110="",0,IF(($L110-IFERROR(INDEX(設定!$G$5:$G$20,MATCH($F110,設定!$B$5:$B$20,0)),0))*60&gt;=設定!$C$26,ROUND(FLOOR(($L110-IFERROR(INDEX(設定!$G$5:$G$20,MATCH($F110,設定!$B$5:$B$20,0)),0))*60,設定!$C$27)/60,2),0))</f>
        <v/>
      </c>
      <c r="Q110" s="29">
        <f>IF(OR($C110="",$P110=0),"",IF($F110="國","國定假日",IF($B110="日","例假",IF($B110="六","休息日","平日"))))</f>
        <v/>
      </c>
      <c r="R110" s="34" t="n"/>
    </row>
    <row r="111">
      <c r="A111" s="30">
        <f>IF(OR(班表!$A9="",16&gt;DAY(EOMONTH(DATE(班表!$E$2,班表!$G$2,1),0))),"",DATE(班表!$E$2,班表!$G$2,16))</f>
        <v/>
      </c>
      <c r="B111" s="29">
        <f>IF($A111="","",INDEX(設定!$L$5:$L$11,WEEKDAY($A111,1)))</f>
        <v/>
      </c>
      <c r="C111" s="29">
        <f>IF($A111="","",班表!$A9)</f>
        <v/>
      </c>
      <c r="D111" s="29">
        <f>IF($C111="","",班表!$B9)</f>
        <v/>
      </c>
      <c r="E111" s="29">
        <f>IF($C111="","",班表!$C9)</f>
        <v/>
      </c>
      <c r="F111" s="29">
        <f>IF($C111="","",班表!S9)</f>
        <v/>
      </c>
      <c r="G111" s="31">
        <f>IF($F111="","",IFERROR(INDEX(設定!$D$5:$D$20,MATCH($F111,設定!$B$5:$B$20,0)),""))</f>
        <v/>
      </c>
      <c r="H111" s="31">
        <f>IF($F111="","",IFERROR(INDEX(設定!$E$5:$E$20,MATCH($F111,設定!$B$5:$B$20,0)),""))</f>
        <v/>
      </c>
      <c r="I111" s="31">
        <f>IFERROR(INDEX(打卡匯入!$C$3:$C$1002,MATCH($C111&amp;"|"&amp;DAY($A111),打卡匯入!$E$3:$E$1002,0)),"")</f>
        <v/>
      </c>
      <c r="J111" s="31">
        <f>IFERROR(INDEX(打卡匯入!$D$3:$D$1002,MATCH($C111&amp;"|"&amp;DAY($A111),打卡匯入!$E$3:$E$1002,0)),"")</f>
        <v/>
      </c>
      <c r="K111" s="32">
        <f>IF(OR($I111="",$J111=""),"",IFERROR(INDEX(設定!$F$5:$F$20,MATCH($F111,設定!$B$5:$B$20,0)),0))</f>
        <v/>
      </c>
      <c r="L111" s="33">
        <f>IF(OR($I111="",$J111=""),"",ROUND(($J111-$I111)*24-$K111/60,2))</f>
        <v/>
      </c>
      <c r="M111" s="29">
        <f>IF($C111="","",IF(AND(COUNTIF(設定!$B$14:$B$20,$F111)&gt;0,$I111&lt;&gt;""),"假日出勤",IF(AND(COUNTIF(設定!$B$5:$B$13,$F111)&gt;0,$I111=""),"未打卡",IF($I111="","",IF($N111&gt;0,"遲到",IF($O111&gt;0,"早退","正常"))))))</f>
        <v/>
      </c>
      <c r="N111" s="32">
        <f>IF(OR($C111="",$G111="",$I111=""),0,IF(ROUND(($I111-$G111)*1440,0)&gt;設定!$C$28,ROUND(($I111-$G111)*1440,0),0))</f>
        <v/>
      </c>
      <c r="O111" s="32">
        <f>IF(OR($C111="",$H111="",$J111=""),0,IF(ROUND(($H111-$J111)*1440,0)&gt;設定!$C$28,ROUND(($H111-$J111)*1440,0),0))</f>
        <v/>
      </c>
      <c r="P111" s="33">
        <f>IF($L111="",0,IF(($L111-IFERROR(INDEX(設定!$G$5:$G$20,MATCH($F111,設定!$B$5:$B$20,0)),0))*60&gt;=設定!$C$26,ROUND(FLOOR(($L111-IFERROR(INDEX(設定!$G$5:$G$20,MATCH($F111,設定!$B$5:$B$20,0)),0))*60,設定!$C$27)/60,2),0))</f>
        <v/>
      </c>
      <c r="Q111" s="29">
        <f>IF(OR($C111="",$P111=0),"",IF($F111="國","國定假日",IF($B111="日","例假",IF($B111="六","休息日","平日"))))</f>
        <v/>
      </c>
      <c r="R111" s="34" t="n"/>
    </row>
    <row r="112">
      <c r="A112" s="30">
        <f>IF(OR(班表!$A9="",17&gt;DAY(EOMONTH(DATE(班表!$E$2,班表!$G$2,1),0))),"",DATE(班表!$E$2,班表!$G$2,17))</f>
        <v/>
      </c>
      <c r="B112" s="29">
        <f>IF($A112="","",INDEX(設定!$L$5:$L$11,WEEKDAY($A112,1)))</f>
        <v/>
      </c>
      <c r="C112" s="29">
        <f>IF($A112="","",班表!$A9)</f>
        <v/>
      </c>
      <c r="D112" s="29">
        <f>IF($C112="","",班表!$B9)</f>
        <v/>
      </c>
      <c r="E112" s="29">
        <f>IF($C112="","",班表!$C9)</f>
        <v/>
      </c>
      <c r="F112" s="29">
        <f>IF($C112="","",班表!T9)</f>
        <v/>
      </c>
      <c r="G112" s="31">
        <f>IF($F112="","",IFERROR(INDEX(設定!$D$5:$D$20,MATCH($F112,設定!$B$5:$B$20,0)),""))</f>
        <v/>
      </c>
      <c r="H112" s="31">
        <f>IF($F112="","",IFERROR(INDEX(設定!$E$5:$E$20,MATCH($F112,設定!$B$5:$B$20,0)),""))</f>
        <v/>
      </c>
      <c r="I112" s="31">
        <f>IFERROR(INDEX(打卡匯入!$C$3:$C$1002,MATCH($C112&amp;"|"&amp;DAY($A112),打卡匯入!$E$3:$E$1002,0)),"")</f>
        <v/>
      </c>
      <c r="J112" s="31">
        <f>IFERROR(INDEX(打卡匯入!$D$3:$D$1002,MATCH($C112&amp;"|"&amp;DAY($A112),打卡匯入!$E$3:$E$1002,0)),"")</f>
        <v/>
      </c>
      <c r="K112" s="32">
        <f>IF(OR($I112="",$J112=""),"",IFERROR(INDEX(設定!$F$5:$F$20,MATCH($F112,設定!$B$5:$B$20,0)),0))</f>
        <v/>
      </c>
      <c r="L112" s="33">
        <f>IF(OR($I112="",$J112=""),"",ROUND(($J112-$I112)*24-$K112/60,2))</f>
        <v/>
      </c>
      <c r="M112" s="29">
        <f>IF($C112="","",IF(AND(COUNTIF(設定!$B$14:$B$20,$F112)&gt;0,$I112&lt;&gt;""),"假日出勤",IF(AND(COUNTIF(設定!$B$5:$B$13,$F112)&gt;0,$I112=""),"未打卡",IF($I112="","",IF($N112&gt;0,"遲到",IF($O112&gt;0,"早退","正常"))))))</f>
        <v/>
      </c>
      <c r="N112" s="32">
        <f>IF(OR($C112="",$G112="",$I112=""),0,IF(ROUND(($I112-$G112)*1440,0)&gt;設定!$C$28,ROUND(($I112-$G112)*1440,0),0))</f>
        <v/>
      </c>
      <c r="O112" s="32">
        <f>IF(OR($C112="",$H112="",$J112=""),0,IF(ROUND(($H112-$J112)*1440,0)&gt;設定!$C$28,ROUND(($H112-$J112)*1440,0),0))</f>
        <v/>
      </c>
      <c r="P112" s="33">
        <f>IF($L112="",0,IF(($L112-IFERROR(INDEX(設定!$G$5:$G$20,MATCH($F112,設定!$B$5:$B$20,0)),0))*60&gt;=設定!$C$26,ROUND(FLOOR(($L112-IFERROR(INDEX(設定!$G$5:$G$20,MATCH($F112,設定!$B$5:$B$20,0)),0))*60,設定!$C$27)/60,2),0))</f>
        <v/>
      </c>
      <c r="Q112" s="29">
        <f>IF(OR($C112="",$P112=0),"",IF($F112="國","國定假日",IF($B112="日","例假",IF($B112="六","休息日","平日"))))</f>
        <v/>
      </c>
      <c r="R112" s="34" t="n"/>
    </row>
    <row r="113">
      <c r="A113" s="30">
        <f>IF(OR(班表!$A9="",18&gt;DAY(EOMONTH(DATE(班表!$E$2,班表!$G$2,1),0))),"",DATE(班表!$E$2,班表!$G$2,18))</f>
        <v/>
      </c>
      <c r="B113" s="29">
        <f>IF($A113="","",INDEX(設定!$L$5:$L$11,WEEKDAY($A113,1)))</f>
        <v/>
      </c>
      <c r="C113" s="29">
        <f>IF($A113="","",班表!$A9)</f>
        <v/>
      </c>
      <c r="D113" s="29">
        <f>IF($C113="","",班表!$B9)</f>
        <v/>
      </c>
      <c r="E113" s="29">
        <f>IF($C113="","",班表!$C9)</f>
        <v/>
      </c>
      <c r="F113" s="29">
        <f>IF($C113="","",班表!U9)</f>
        <v/>
      </c>
      <c r="G113" s="31">
        <f>IF($F113="","",IFERROR(INDEX(設定!$D$5:$D$20,MATCH($F113,設定!$B$5:$B$20,0)),""))</f>
        <v/>
      </c>
      <c r="H113" s="31">
        <f>IF($F113="","",IFERROR(INDEX(設定!$E$5:$E$20,MATCH($F113,設定!$B$5:$B$20,0)),""))</f>
        <v/>
      </c>
      <c r="I113" s="31">
        <f>IFERROR(INDEX(打卡匯入!$C$3:$C$1002,MATCH($C113&amp;"|"&amp;DAY($A113),打卡匯入!$E$3:$E$1002,0)),"")</f>
        <v/>
      </c>
      <c r="J113" s="31">
        <f>IFERROR(INDEX(打卡匯入!$D$3:$D$1002,MATCH($C113&amp;"|"&amp;DAY($A113),打卡匯入!$E$3:$E$1002,0)),"")</f>
        <v/>
      </c>
      <c r="K113" s="32">
        <f>IF(OR($I113="",$J113=""),"",IFERROR(INDEX(設定!$F$5:$F$20,MATCH($F113,設定!$B$5:$B$20,0)),0))</f>
        <v/>
      </c>
      <c r="L113" s="33">
        <f>IF(OR($I113="",$J113=""),"",ROUND(($J113-$I113)*24-$K113/60,2))</f>
        <v/>
      </c>
      <c r="M113" s="29">
        <f>IF($C113="","",IF(AND(COUNTIF(設定!$B$14:$B$20,$F113)&gt;0,$I113&lt;&gt;""),"假日出勤",IF(AND(COUNTIF(設定!$B$5:$B$13,$F113)&gt;0,$I113=""),"未打卡",IF($I113="","",IF($N113&gt;0,"遲到",IF($O113&gt;0,"早退","正常"))))))</f>
        <v/>
      </c>
      <c r="N113" s="32">
        <f>IF(OR($C113="",$G113="",$I113=""),0,IF(ROUND(($I113-$G113)*1440,0)&gt;設定!$C$28,ROUND(($I113-$G113)*1440,0),0))</f>
        <v/>
      </c>
      <c r="O113" s="32">
        <f>IF(OR($C113="",$H113="",$J113=""),0,IF(ROUND(($H113-$J113)*1440,0)&gt;設定!$C$28,ROUND(($H113-$J113)*1440,0),0))</f>
        <v/>
      </c>
      <c r="P113" s="33">
        <f>IF($L113="",0,IF(($L113-IFERROR(INDEX(設定!$G$5:$G$20,MATCH($F113,設定!$B$5:$B$20,0)),0))*60&gt;=設定!$C$26,ROUND(FLOOR(($L113-IFERROR(INDEX(設定!$G$5:$G$20,MATCH($F113,設定!$B$5:$B$20,0)),0))*60,設定!$C$27)/60,2),0))</f>
        <v/>
      </c>
      <c r="Q113" s="29">
        <f>IF(OR($C113="",$P113=0),"",IF($F113="國","國定假日",IF($B113="日","例假",IF($B113="六","休息日","平日"))))</f>
        <v/>
      </c>
      <c r="R113" s="34" t="n"/>
    </row>
    <row r="114">
      <c r="A114" s="30">
        <f>IF(OR(班表!$A9="",19&gt;DAY(EOMONTH(DATE(班表!$E$2,班表!$G$2,1),0))),"",DATE(班表!$E$2,班表!$G$2,19))</f>
        <v/>
      </c>
      <c r="B114" s="29">
        <f>IF($A114="","",INDEX(設定!$L$5:$L$11,WEEKDAY($A114,1)))</f>
        <v/>
      </c>
      <c r="C114" s="29">
        <f>IF($A114="","",班表!$A9)</f>
        <v/>
      </c>
      <c r="D114" s="29">
        <f>IF($C114="","",班表!$B9)</f>
        <v/>
      </c>
      <c r="E114" s="29">
        <f>IF($C114="","",班表!$C9)</f>
        <v/>
      </c>
      <c r="F114" s="29">
        <f>IF($C114="","",班表!V9)</f>
        <v/>
      </c>
      <c r="G114" s="31">
        <f>IF($F114="","",IFERROR(INDEX(設定!$D$5:$D$20,MATCH($F114,設定!$B$5:$B$20,0)),""))</f>
        <v/>
      </c>
      <c r="H114" s="31">
        <f>IF($F114="","",IFERROR(INDEX(設定!$E$5:$E$20,MATCH($F114,設定!$B$5:$B$20,0)),""))</f>
        <v/>
      </c>
      <c r="I114" s="31">
        <f>IFERROR(INDEX(打卡匯入!$C$3:$C$1002,MATCH($C114&amp;"|"&amp;DAY($A114),打卡匯入!$E$3:$E$1002,0)),"")</f>
        <v/>
      </c>
      <c r="J114" s="31">
        <f>IFERROR(INDEX(打卡匯入!$D$3:$D$1002,MATCH($C114&amp;"|"&amp;DAY($A114),打卡匯入!$E$3:$E$1002,0)),"")</f>
        <v/>
      </c>
      <c r="K114" s="32">
        <f>IF(OR($I114="",$J114=""),"",IFERROR(INDEX(設定!$F$5:$F$20,MATCH($F114,設定!$B$5:$B$20,0)),0))</f>
        <v/>
      </c>
      <c r="L114" s="33">
        <f>IF(OR($I114="",$J114=""),"",ROUND(($J114-$I114)*24-$K114/60,2))</f>
        <v/>
      </c>
      <c r="M114" s="29">
        <f>IF($C114="","",IF(AND(COUNTIF(設定!$B$14:$B$20,$F114)&gt;0,$I114&lt;&gt;""),"假日出勤",IF(AND(COUNTIF(設定!$B$5:$B$13,$F114)&gt;0,$I114=""),"未打卡",IF($I114="","",IF($N114&gt;0,"遲到",IF($O114&gt;0,"早退","正常"))))))</f>
        <v/>
      </c>
      <c r="N114" s="32">
        <f>IF(OR($C114="",$G114="",$I114=""),0,IF(ROUND(($I114-$G114)*1440,0)&gt;設定!$C$28,ROUND(($I114-$G114)*1440,0),0))</f>
        <v/>
      </c>
      <c r="O114" s="32">
        <f>IF(OR($C114="",$H114="",$J114=""),0,IF(ROUND(($H114-$J114)*1440,0)&gt;設定!$C$28,ROUND(($H114-$J114)*1440,0),0))</f>
        <v/>
      </c>
      <c r="P114" s="33">
        <f>IF($L114="",0,IF(($L114-IFERROR(INDEX(設定!$G$5:$G$20,MATCH($F114,設定!$B$5:$B$20,0)),0))*60&gt;=設定!$C$26,ROUND(FLOOR(($L114-IFERROR(INDEX(設定!$G$5:$G$20,MATCH($F114,設定!$B$5:$B$20,0)),0))*60,設定!$C$27)/60,2),0))</f>
        <v/>
      </c>
      <c r="Q114" s="29">
        <f>IF(OR($C114="",$P114=0),"",IF($F114="國","國定假日",IF($B114="日","例假",IF($B114="六","休息日","平日"))))</f>
        <v/>
      </c>
      <c r="R114" s="34" t="n"/>
    </row>
    <row r="115">
      <c r="A115" s="30">
        <f>IF(OR(班表!$A9="",20&gt;DAY(EOMONTH(DATE(班表!$E$2,班表!$G$2,1),0))),"",DATE(班表!$E$2,班表!$G$2,20))</f>
        <v/>
      </c>
      <c r="B115" s="29">
        <f>IF($A115="","",INDEX(設定!$L$5:$L$11,WEEKDAY($A115,1)))</f>
        <v/>
      </c>
      <c r="C115" s="29">
        <f>IF($A115="","",班表!$A9)</f>
        <v/>
      </c>
      <c r="D115" s="29">
        <f>IF($C115="","",班表!$B9)</f>
        <v/>
      </c>
      <c r="E115" s="29">
        <f>IF($C115="","",班表!$C9)</f>
        <v/>
      </c>
      <c r="F115" s="29">
        <f>IF($C115="","",班表!W9)</f>
        <v/>
      </c>
      <c r="G115" s="31">
        <f>IF($F115="","",IFERROR(INDEX(設定!$D$5:$D$20,MATCH($F115,設定!$B$5:$B$20,0)),""))</f>
        <v/>
      </c>
      <c r="H115" s="31">
        <f>IF($F115="","",IFERROR(INDEX(設定!$E$5:$E$20,MATCH($F115,設定!$B$5:$B$20,0)),""))</f>
        <v/>
      </c>
      <c r="I115" s="31">
        <f>IFERROR(INDEX(打卡匯入!$C$3:$C$1002,MATCH($C115&amp;"|"&amp;DAY($A115),打卡匯入!$E$3:$E$1002,0)),"")</f>
        <v/>
      </c>
      <c r="J115" s="31">
        <f>IFERROR(INDEX(打卡匯入!$D$3:$D$1002,MATCH($C115&amp;"|"&amp;DAY($A115),打卡匯入!$E$3:$E$1002,0)),"")</f>
        <v/>
      </c>
      <c r="K115" s="32">
        <f>IF(OR($I115="",$J115=""),"",IFERROR(INDEX(設定!$F$5:$F$20,MATCH($F115,設定!$B$5:$B$20,0)),0))</f>
        <v/>
      </c>
      <c r="L115" s="33">
        <f>IF(OR($I115="",$J115=""),"",ROUND(($J115-$I115)*24-$K115/60,2))</f>
        <v/>
      </c>
      <c r="M115" s="29">
        <f>IF($C115="","",IF(AND(COUNTIF(設定!$B$14:$B$20,$F115)&gt;0,$I115&lt;&gt;""),"假日出勤",IF(AND(COUNTIF(設定!$B$5:$B$13,$F115)&gt;0,$I115=""),"未打卡",IF($I115="","",IF($N115&gt;0,"遲到",IF($O115&gt;0,"早退","正常"))))))</f>
        <v/>
      </c>
      <c r="N115" s="32">
        <f>IF(OR($C115="",$G115="",$I115=""),0,IF(ROUND(($I115-$G115)*1440,0)&gt;設定!$C$28,ROUND(($I115-$G115)*1440,0),0))</f>
        <v/>
      </c>
      <c r="O115" s="32">
        <f>IF(OR($C115="",$H115="",$J115=""),0,IF(ROUND(($H115-$J115)*1440,0)&gt;設定!$C$28,ROUND(($H115-$J115)*1440,0),0))</f>
        <v/>
      </c>
      <c r="P115" s="33">
        <f>IF($L115="",0,IF(($L115-IFERROR(INDEX(設定!$G$5:$G$20,MATCH($F115,設定!$B$5:$B$20,0)),0))*60&gt;=設定!$C$26,ROUND(FLOOR(($L115-IFERROR(INDEX(設定!$G$5:$G$20,MATCH($F115,設定!$B$5:$B$20,0)),0))*60,設定!$C$27)/60,2),0))</f>
        <v/>
      </c>
      <c r="Q115" s="29">
        <f>IF(OR($C115="",$P115=0),"",IF($F115="國","國定假日",IF($B115="日","例假",IF($B115="六","休息日","平日"))))</f>
        <v/>
      </c>
      <c r="R115" s="34" t="n"/>
    </row>
    <row r="116">
      <c r="A116" s="30">
        <f>IF(OR(班表!$A9="",21&gt;DAY(EOMONTH(DATE(班表!$E$2,班表!$G$2,1),0))),"",DATE(班表!$E$2,班表!$G$2,21))</f>
        <v/>
      </c>
      <c r="B116" s="29">
        <f>IF($A116="","",INDEX(設定!$L$5:$L$11,WEEKDAY($A116,1)))</f>
        <v/>
      </c>
      <c r="C116" s="29">
        <f>IF($A116="","",班表!$A9)</f>
        <v/>
      </c>
      <c r="D116" s="29">
        <f>IF($C116="","",班表!$B9)</f>
        <v/>
      </c>
      <c r="E116" s="29">
        <f>IF($C116="","",班表!$C9)</f>
        <v/>
      </c>
      <c r="F116" s="29">
        <f>IF($C116="","",班表!X9)</f>
        <v/>
      </c>
      <c r="G116" s="31">
        <f>IF($F116="","",IFERROR(INDEX(設定!$D$5:$D$20,MATCH($F116,設定!$B$5:$B$20,0)),""))</f>
        <v/>
      </c>
      <c r="H116" s="31">
        <f>IF($F116="","",IFERROR(INDEX(設定!$E$5:$E$20,MATCH($F116,設定!$B$5:$B$20,0)),""))</f>
        <v/>
      </c>
      <c r="I116" s="31">
        <f>IFERROR(INDEX(打卡匯入!$C$3:$C$1002,MATCH($C116&amp;"|"&amp;DAY($A116),打卡匯入!$E$3:$E$1002,0)),"")</f>
        <v/>
      </c>
      <c r="J116" s="31">
        <f>IFERROR(INDEX(打卡匯入!$D$3:$D$1002,MATCH($C116&amp;"|"&amp;DAY($A116),打卡匯入!$E$3:$E$1002,0)),"")</f>
        <v/>
      </c>
      <c r="K116" s="32">
        <f>IF(OR($I116="",$J116=""),"",IFERROR(INDEX(設定!$F$5:$F$20,MATCH($F116,設定!$B$5:$B$20,0)),0))</f>
        <v/>
      </c>
      <c r="L116" s="33">
        <f>IF(OR($I116="",$J116=""),"",ROUND(($J116-$I116)*24-$K116/60,2))</f>
        <v/>
      </c>
      <c r="M116" s="29">
        <f>IF($C116="","",IF(AND(COUNTIF(設定!$B$14:$B$20,$F116)&gt;0,$I116&lt;&gt;""),"假日出勤",IF(AND(COUNTIF(設定!$B$5:$B$13,$F116)&gt;0,$I116=""),"未打卡",IF($I116="","",IF($N116&gt;0,"遲到",IF($O116&gt;0,"早退","正常"))))))</f>
        <v/>
      </c>
      <c r="N116" s="32">
        <f>IF(OR($C116="",$G116="",$I116=""),0,IF(ROUND(($I116-$G116)*1440,0)&gt;設定!$C$28,ROUND(($I116-$G116)*1440,0),0))</f>
        <v/>
      </c>
      <c r="O116" s="32">
        <f>IF(OR($C116="",$H116="",$J116=""),0,IF(ROUND(($H116-$J116)*1440,0)&gt;設定!$C$28,ROUND(($H116-$J116)*1440,0),0))</f>
        <v/>
      </c>
      <c r="P116" s="33">
        <f>IF($L116="",0,IF(($L116-IFERROR(INDEX(設定!$G$5:$G$20,MATCH($F116,設定!$B$5:$B$20,0)),0))*60&gt;=設定!$C$26,ROUND(FLOOR(($L116-IFERROR(INDEX(設定!$G$5:$G$20,MATCH($F116,設定!$B$5:$B$20,0)),0))*60,設定!$C$27)/60,2),0))</f>
        <v/>
      </c>
      <c r="Q116" s="29">
        <f>IF(OR($C116="",$P116=0),"",IF($F116="國","國定假日",IF($B116="日","例假",IF($B116="六","休息日","平日"))))</f>
        <v/>
      </c>
      <c r="R116" s="34" t="n"/>
    </row>
    <row r="117">
      <c r="A117" s="30">
        <f>IF(OR(班表!$A9="",22&gt;DAY(EOMONTH(DATE(班表!$E$2,班表!$G$2,1),0))),"",DATE(班表!$E$2,班表!$G$2,22))</f>
        <v/>
      </c>
      <c r="B117" s="29">
        <f>IF($A117="","",INDEX(設定!$L$5:$L$11,WEEKDAY($A117,1)))</f>
        <v/>
      </c>
      <c r="C117" s="29">
        <f>IF($A117="","",班表!$A9)</f>
        <v/>
      </c>
      <c r="D117" s="29">
        <f>IF($C117="","",班表!$B9)</f>
        <v/>
      </c>
      <c r="E117" s="29">
        <f>IF($C117="","",班表!$C9)</f>
        <v/>
      </c>
      <c r="F117" s="29">
        <f>IF($C117="","",班表!Y9)</f>
        <v/>
      </c>
      <c r="G117" s="31">
        <f>IF($F117="","",IFERROR(INDEX(設定!$D$5:$D$20,MATCH($F117,設定!$B$5:$B$20,0)),""))</f>
        <v/>
      </c>
      <c r="H117" s="31">
        <f>IF($F117="","",IFERROR(INDEX(設定!$E$5:$E$20,MATCH($F117,設定!$B$5:$B$20,0)),""))</f>
        <v/>
      </c>
      <c r="I117" s="31">
        <f>IFERROR(INDEX(打卡匯入!$C$3:$C$1002,MATCH($C117&amp;"|"&amp;DAY($A117),打卡匯入!$E$3:$E$1002,0)),"")</f>
        <v/>
      </c>
      <c r="J117" s="31">
        <f>IFERROR(INDEX(打卡匯入!$D$3:$D$1002,MATCH($C117&amp;"|"&amp;DAY($A117),打卡匯入!$E$3:$E$1002,0)),"")</f>
        <v/>
      </c>
      <c r="K117" s="32">
        <f>IF(OR($I117="",$J117=""),"",IFERROR(INDEX(設定!$F$5:$F$20,MATCH($F117,設定!$B$5:$B$20,0)),0))</f>
        <v/>
      </c>
      <c r="L117" s="33">
        <f>IF(OR($I117="",$J117=""),"",ROUND(($J117-$I117)*24-$K117/60,2))</f>
        <v/>
      </c>
      <c r="M117" s="29">
        <f>IF($C117="","",IF(AND(COUNTIF(設定!$B$14:$B$20,$F117)&gt;0,$I117&lt;&gt;""),"假日出勤",IF(AND(COUNTIF(設定!$B$5:$B$13,$F117)&gt;0,$I117=""),"未打卡",IF($I117="","",IF($N117&gt;0,"遲到",IF($O117&gt;0,"早退","正常"))))))</f>
        <v/>
      </c>
      <c r="N117" s="32">
        <f>IF(OR($C117="",$G117="",$I117=""),0,IF(ROUND(($I117-$G117)*1440,0)&gt;設定!$C$28,ROUND(($I117-$G117)*1440,0),0))</f>
        <v/>
      </c>
      <c r="O117" s="32">
        <f>IF(OR($C117="",$H117="",$J117=""),0,IF(ROUND(($H117-$J117)*1440,0)&gt;設定!$C$28,ROUND(($H117-$J117)*1440,0),0))</f>
        <v/>
      </c>
      <c r="P117" s="33">
        <f>IF($L117="",0,IF(($L117-IFERROR(INDEX(設定!$G$5:$G$20,MATCH($F117,設定!$B$5:$B$20,0)),0))*60&gt;=設定!$C$26,ROUND(FLOOR(($L117-IFERROR(INDEX(設定!$G$5:$G$20,MATCH($F117,設定!$B$5:$B$20,0)),0))*60,設定!$C$27)/60,2),0))</f>
        <v/>
      </c>
      <c r="Q117" s="29">
        <f>IF(OR($C117="",$P117=0),"",IF($F117="國","國定假日",IF($B117="日","例假",IF($B117="六","休息日","平日"))))</f>
        <v/>
      </c>
      <c r="R117" s="34" t="n"/>
    </row>
    <row r="118">
      <c r="A118" s="30">
        <f>IF(OR(班表!$A9="",23&gt;DAY(EOMONTH(DATE(班表!$E$2,班表!$G$2,1),0))),"",DATE(班表!$E$2,班表!$G$2,23))</f>
        <v/>
      </c>
      <c r="B118" s="29">
        <f>IF($A118="","",INDEX(設定!$L$5:$L$11,WEEKDAY($A118,1)))</f>
        <v/>
      </c>
      <c r="C118" s="29">
        <f>IF($A118="","",班表!$A9)</f>
        <v/>
      </c>
      <c r="D118" s="29">
        <f>IF($C118="","",班表!$B9)</f>
        <v/>
      </c>
      <c r="E118" s="29">
        <f>IF($C118="","",班表!$C9)</f>
        <v/>
      </c>
      <c r="F118" s="29">
        <f>IF($C118="","",班表!Z9)</f>
        <v/>
      </c>
      <c r="G118" s="31">
        <f>IF($F118="","",IFERROR(INDEX(設定!$D$5:$D$20,MATCH($F118,設定!$B$5:$B$20,0)),""))</f>
        <v/>
      </c>
      <c r="H118" s="31">
        <f>IF($F118="","",IFERROR(INDEX(設定!$E$5:$E$20,MATCH($F118,設定!$B$5:$B$20,0)),""))</f>
        <v/>
      </c>
      <c r="I118" s="31">
        <f>IFERROR(INDEX(打卡匯入!$C$3:$C$1002,MATCH($C118&amp;"|"&amp;DAY($A118),打卡匯入!$E$3:$E$1002,0)),"")</f>
        <v/>
      </c>
      <c r="J118" s="31">
        <f>IFERROR(INDEX(打卡匯入!$D$3:$D$1002,MATCH($C118&amp;"|"&amp;DAY($A118),打卡匯入!$E$3:$E$1002,0)),"")</f>
        <v/>
      </c>
      <c r="K118" s="32">
        <f>IF(OR($I118="",$J118=""),"",IFERROR(INDEX(設定!$F$5:$F$20,MATCH($F118,設定!$B$5:$B$20,0)),0))</f>
        <v/>
      </c>
      <c r="L118" s="33">
        <f>IF(OR($I118="",$J118=""),"",ROUND(($J118-$I118)*24-$K118/60,2))</f>
        <v/>
      </c>
      <c r="M118" s="29">
        <f>IF($C118="","",IF(AND(COUNTIF(設定!$B$14:$B$20,$F118)&gt;0,$I118&lt;&gt;""),"假日出勤",IF(AND(COUNTIF(設定!$B$5:$B$13,$F118)&gt;0,$I118=""),"未打卡",IF($I118="","",IF($N118&gt;0,"遲到",IF($O118&gt;0,"早退","正常"))))))</f>
        <v/>
      </c>
      <c r="N118" s="32">
        <f>IF(OR($C118="",$G118="",$I118=""),0,IF(ROUND(($I118-$G118)*1440,0)&gt;設定!$C$28,ROUND(($I118-$G118)*1440,0),0))</f>
        <v/>
      </c>
      <c r="O118" s="32">
        <f>IF(OR($C118="",$H118="",$J118=""),0,IF(ROUND(($H118-$J118)*1440,0)&gt;設定!$C$28,ROUND(($H118-$J118)*1440,0),0))</f>
        <v/>
      </c>
      <c r="P118" s="33">
        <f>IF($L118="",0,IF(($L118-IFERROR(INDEX(設定!$G$5:$G$20,MATCH($F118,設定!$B$5:$B$20,0)),0))*60&gt;=設定!$C$26,ROUND(FLOOR(($L118-IFERROR(INDEX(設定!$G$5:$G$20,MATCH($F118,設定!$B$5:$B$20,0)),0))*60,設定!$C$27)/60,2),0))</f>
        <v/>
      </c>
      <c r="Q118" s="29">
        <f>IF(OR($C118="",$P118=0),"",IF($F118="國","國定假日",IF($B118="日","例假",IF($B118="六","休息日","平日"))))</f>
        <v/>
      </c>
      <c r="R118" s="34" t="n"/>
    </row>
    <row r="119">
      <c r="A119" s="30">
        <f>IF(OR(班表!$A9="",24&gt;DAY(EOMONTH(DATE(班表!$E$2,班表!$G$2,1),0))),"",DATE(班表!$E$2,班表!$G$2,24))</f>
        <v/>
      </c>
      <c r="B119" s="29">
        <f>IF($A119="","",INDEX(設定!$L$5:$L$11,WEEKDAY($A119,1)))</f>
        <v/>
      </c>
      <c r="C119" s="29">
        <f>IF($A119="","",班表!$A9)</f>
        <v/>
      </c>
      <c r="D119" s="29">
        <f>IF($C119="","",班表!$B9)</f>
        <v/>
      </c>
      <c r="E119" s="29">
        <f>IF($C119="","",班表!$C9)</f>
        <v/>
      </c>
      <c r="F119" s="29">
        <f>IF($C119="","",班表!AA9)</f>
        <v/>
      </c>
      <c r="G119" s="31">
        <f>IF($F119="","",IFERROR(INDEX(設定!$D$5:$D$20,MATCH($F119,設定!$B$5:$B$20,0)),""))</f>
        <v/>
      </c>
      <c r="H119" s="31">
        <f>IF($F119="","",IFERROR(INDEX(設定!$E$5:$E$20,MATCH($F119,設定!$B$5:$B$20,0)),""))</f>
        <v/>
      </c>
      <c r="I119" s="31">
        <f>IFERROR(INDEX(打卡匯入!$C$3:$C$1002,MATCH($C119&amp;"|"&amp;DAY($A119),打卡匯入!$E$3:$E$1002,0)),"")</f>
        <v/>
      </c>
      <c r="J119" s="31">
        <f>IFERROR(INDEX(打卡匯入!$D$3:$D$1002,MATCH($C119&amp;"|"&amp;DAY($A119),打卡匯入!$E$3:$E$1002,0)),"")</f>
        <v/>
      </c>
      <c r="K119" s="32">
        <f>IF(OR($I119="",$J119=""),"",IFERROR(INDEX(設定!$F$5:$F$20,MATCH($F119,設定!$B$5:$B$20,0)),0))</f>
        <v/>
      </c>
      <c r="L119" s="33">
        <f>IF(OR($I119="",$J119=""),"",ROUND(($J119-$I119)*24-$K119/60,2))</f>
        <v/>
      </c>
      <c r="M119" s="29">
        <f>IF($C119="","",IF(AND(COUNTIF(設定!$B$14:$B$20,$F119)&gt;0,$I119&lt;&gt;""),"假日出勤",IF(AND(COUNTIF(設定!$B$5:$B$13,$F119)&gt;0,$I119=""),"未打卡",IF($I119="","",IF($N119&gt;0,"遲到",IF($O119&gt;0,"早退","正常"))))))</f>
        <v/>
      </c>
      <c r="N119" s="32">
        <f>IF(OR($C119="",$G119="",$I119=""),0,IF(ROUND(($I119-$G119)*1440,0)&gt;設定!$C$28,ROUND(($I119-$G119)*1440,0),0))</f>
        <v/>
      </c>
      <c r="O119" s="32">
        <f>IF(OR($C119="",$H119="",$J119=""),0,IF(ROUND(($H119-$J119)*1440,0)&gt;設定!$C$28,ROUND(($H119-$J119)*1440,0),0))</f>
        <v/>
      </c>
      <c r="P119" s="33">
        <f>IF($L119="",0,IF(($L119-IFERROR(INDEX(設定!$G$5:$G$20,MATCH($F119,設定!$B$5:$B$20,0)),0))*60&gt;=設定!$C$26,ROUND(FLOOR(($L119-IFERROR(INDEX(設定!$G$5:$G$20,MATCH($F119,設定!$B$5:$B$20,0)),0))*60,設定!$C$27)/60,2),0))</f>
        <v/>
      </c>
      <c r="Q119" s="29">
        <f>IF(OR($C119="",$P119=0),"",IF($F119="國","國定假日",IF($B119="日","例假",IF($B119="六","休息日","平日"))))</f>
        <v/>
      </c>
      <c r="R119" s="34" t="n"/>
    </row>
    <row r="120">
      <c r="A120" s="30">
        <f>IF(OR(班表!$A9="",25&gt;DAY(EOMONTH(DATE(班表!$E$2,班表!$G$2,1),0))),"",DATE(班表!$E$2,班表!$G$2,25))</f>
        <v/>
      </c>
      <c r="B120" s="29">
        <f>IF($A120="","",INDEX(設定!$L$5:$L$11,WEEKDAY($A120,1)))</f>
        <v/>
      </c>
      <c r="C120" s="29">
        <f>IF($A120="","",班表!$A9)</f>
        <v/>
      </c>
      <c r="D120" s="29">
        <f>IF($C120="","",班表!$B9)</f>
        <v/>
      </c>
      <c r="E120" s="29">
        <f>IF($C120="","",班表!$C9)</f>
        <v/>
      </c>
      <c r="F120" s="29">
        <f>IF($C120="","",班表!AB9)</f>
        <v/>
      </c>
      <c r="G120" s="31">
        <f>IF($F120="","",IFERROR(INDEX(設定!$D$5:$D$20,MATCH($F120,設定!$B$5:$B$20,0)),""))</f>
        <v/>
      </c>
      <c r="H120" s="31">
        <f>IF($F120="","",IFERROR(INDEX(設定!$E$5:$E$20,MATCH($F120,設定!$B$5:$B$20,0)),""))</f>
        <v/>
      </c>
      <c r="I120" s="31">
        <f>IFERROR(INDEX(打卡匯入!$C$3:$C$1002,MATCH($C120&amp;"|"&amp;DAY($A120),打卡匯入!$E$3:$E$1002,0)),"")</f>
        <v/>
      </c>
      <c r="J120" s="31">
        <f>IFERROR(INDEX(打卡匯入!$D$3:$D$1002,MATCH($C120&amp;"|"&amp;DAY($A120),打卡匯入!$E$3:$E$1002,0)),"")</f>
        <v/>
      </c>
      <c r="K120" s="32">
        <f>IF(OR($I120="",$J120=""),"",IFERROR(INDEX(設定!$F$5:$F$20,MATCH($F120,設定!$B$5:$B$20,0)),0))</f>
        <v/>
      </c>
      <c r="L120" s="33">
        <f>IF(OR($I120="",$J120=""),"",ROUND(($J120-$I120)*24-$K120/60,2))</f>
        <v/>
      </c>
      <c r="M120" s="29">
        <f>IF($C120="","",IF(AND(COUNTIF(設定!$B$14:$B$20,$F120)&gt;0,$I120&lt;&gt;""),"假日出勤",IF(AND(COUNTIF(設定!$B$5:$B$13,$F120)&gt;0,$I120=""),"未打卡",IF($I120="","",IF($N120&gt;0,"遲到",IF($O120&gt;0,"早退","正常"))))))</f>
        <v/>
      </c>
      <c r="N120" s="32">
        <f>IF(OR($C120="",$G120="",$I120=""),0,IF(ROUND(($I120-$G120)*1440,0)&gt;設定!$C$28,ROUND(($I120-$G120)*1440,0),0))</f>
        <v/>
      </c>
      <c r="O120" s="32">
        <f>IF(OR($C120="",$H120="",$J120=""),0,IF(ROUND(($H120-$J120)*1440,0)&gt;設定!$C$28,ROUND(($H120-$J120)*1440,0),0))</f>
        <v/>
      </c>
      <c r="P120" s="33">
        <f>IF($L120="",0,IF(($L120-IFERROR(INDEX(設定!$G$5:$G$20,MATCH($F120,設定!$B$5:$B$20,0)),0))*60&gt;=設定!$C$26,ROUND(FLOOR(($L120-IFERROR(INDEX(設定!$G$5:$G$20,MATCH($F120,設定!$B$5:$B$20,0)),0))*60,設定!$C$27)/60,2),0))</f>
        <v/>
      </c>
      <c r="Q120" s="29">
        <f>IF(OR($C120="",$P120=0),"",IF($F120="國","國定假日",IF($B120="日","例假",IF($B120="六","休息日","平日"))))</f>
        <v/>
      </c>
      <c r="R120" s="34" t="n"/>
    </row>
    <row r="121">
      <c r="A121" s="30">
        <f>IF(OR(班表!$A9="",26&gt;DAY(EOMONTH(DATE(班表!$E$2,班表!$G$2,1),0))),"",DATE(班表!$E$2,班表!$G$2,26))</f>
        <v/>
      </c>
      <c r="B121" s="29">
        <f>IF($A121="","",INDEX(設定!$L$5:$L$11,WEEKDAY($A121,1)))</f>
        <v/>
      </c>
      <c r="C121" s="29">
        <f>IF($A121="","",班表!$A9)</f>
        <v/>
      </c>
      <c r="D121" s="29">
        <f>IF($C121="","",班表!$B9)</f>
        <v/>
      </c>
      <c r="E121" s="29">
        <f>IF($C121="","",班表!$C9)</f>
        <v/>
      </c>
      <c r="F121" s="29">
        <f>IF($C121="","",班表!AC9)</f>
        <v/>
      </c>
      <c r="G121" s="31">
        <f>IF($F121="","",IFERROR(INDEX(設定!$D$5:$D$20,MATCH($F121,設定!$B$5:$B$20,0)),""))</f>
        <v/>
      </c>
      <c r="H121" s="31">
        <f>IF($F121="","",IFERROR(INDEX(設定!$E$5:$E$20,MATCH($F121,設定!$B$5:$B$20,0)),""))</f>
        <v/>
      </c>
      <c r="I121" s="31">
        <f>IFERROR(INDEX(打卡匯入!$C$3:$C$1002,MATCH($C121&amp;"|"&amp;DAY($A121),打卡匯入!$E$3:$E$1002,0)),"")</f>
        <v/>
      </c>
      <c r="J121" s="31">
        <f>IFERROR(INDEX(打卡匯入!$D$3:$D$1002,MATCH($C121&amp;"|"&amp;DAY($A121),打卡匯入!$E$3:$E$1002,0)),"")</f>
        <v/>
      </c>
      <c r="K121" s="32">
        <f>IF(OR($I121="",$J121=""),"",IFERROR(INDEX(設定!$F$5:$F$20,MATCH($F121,設定!$B$5:$B$20,0)),0))</f>
        <v/>
      </c>
      <c r="L121" s="33">
        <f>IF(OR($I121="",$J121=""),"",ROUND(($J121-$I121)*24-$K121/60,2))</f>
        <v/>
      </c>
      <c r="M121" s="29">
        <f>IF($C121="","",IF(AND(COUNTIF(設定!$B$14:$B$20,$F121)&gt;0,$I121&lt;&gt;""),"假日出勤",IF(AND(COUNTIF(設定!$B$5:$B$13,$F121)&gt;0,$I121=""),"未打卡",IF($I121="","",IF($N121&gt;0,"遲到",IF($O121&gt;0,"早退","正常"))))))</f>
        <v/>
      </c>
      <c r="N121" s="32">
        <f>IF(OR($C121="",$G121="",$I121=""),0,IF(ROUND(($I121-$G121)*1440,0)&gt;設定!$C$28,ROUND(($I121-$G121)*1440,0),0))</f>
        <v/>
      </c>
      <c r="O121" s="32">
        <f>IF(OR($C121="",$H121="",$J121=""),0,IF(ROUND(($H121-$J121)*1440,0)&gt;設定!$C$28,ROUND(($H121-$J121)*1440,0),0))</f>
        <v/>
      </c>
      <c r="P121" s="33">
        <f>IF($L121="",0,IF(($L121-IFERROR(INDEX(設定!$G$5:$G$20,MATCH($F121,設定!$B$5:$B$20,0)),0))*60&gt;=設定!$C$26,ROUND(FLOOR(($L121-IFERROR(INDEX(設定!$G$5:$G$20,MATCH($F121,設定!$B$5:$B$20,0)),0))*60,設定!$C$27)/60,2),0))</f>
        <v/>
      </c>
      <c r="Q121" s="29">
        <f>IF(OR($C121="",$P121=0),"",IF($F121="國","國定假日",IF($B121="日","例假",IF($B121="六","休息日","平日"))))</f>
        <v/>
      </c>
      <c r="R121" s="34" t="n"/>
    </row>
    <row r="122">
      <c r="A122" s="30">
        <f>IF(OR(班表!$A9="",27&gt;DAY(EOMONTH(DATE(班表!$E$2,班表!$G$2,1),0))),"",DATE(班表!$E$2,班表!$G$2,27))</f>
        <v/>
      </c>
      <c r="B122" s="29">
        <f>IF($A122="","",INDEX(設定!$L$5:$L$11,WEEKDAY($A122,1)))</f>
        <v/>
      </c>
      <c r="C122" s="29">
        <f>IF($A122="","",班表!$A9)</f>
        <v/>
      </c>
      <c r="D122" s="29">
        <f>IF($C122="","",班表!$B9)</f>
        <v/>
      </c>
      <c r="E122" s="29">
        <f>IF($C122="","",班表!$C9)</f>
        <v/>
      </c>
      <c r="F122" s="29">
        <f>IF($C122="","",班表!AD9)</f>
        <v/>
      </c>
      <c r="G122" s="31">
        <f>IF($F122="","",IFERROR(INDEX(設定!$D$5:$D$20,MATCH($F122,設定!$B$5:$B$20,0)),""))</f>
        <v/>
      </c>
      <c r="H122" s="31">
        <f>IF($F122="","",IFERROR(INDEX(設定!$E$5:$E$20,MATCH($F122,設定!$B$5:$B$20,0)),""))</f>
        <v/>
      </c>
      <c r="I122" s="31">
        <f>IFERROR(INDEX(打卡匯入!$C$3:$C$1002,MATCH($C122&amp;"|"&amp;DAY($A122),打卡匯入!$E$3:$E$1002,0)),"")</f>
        <v/>
      </c>
      <c r="J122" s="31">
        <f>IFERROR(INDEX(打卡匯入!$D$3:$D$1002,MATCH($C122&amp;"|"&amp;DAY($A122),打卡匯入!$E$3:$E$1002,0)),"")</f>
        <v/>
      </c>
      <c r="K122" s="32">
        <f>IF(OR($I122="",$J122=""),"",IFERROR(INDEX(設定!$F$5:$F$20,MATCH($F122,設定!$B$5:$B$20,0)),0))</f>
        <v/>
      </c>
      <c r="L122" s="33">
        <f>IF(OR($I122="",$J122=""),"",ROUND(($J122-$I122)*24-$K122/60,2))</f>
        <v/>
      </c>
      <c r="M122" s="29">
        <f>IF($C122="","",IF(AND(COUNTIF(設定!$B$14:$B$20,$F122)&gt;0,$I122&lt;&gt;""),"假日出勤",IF(AND(COUNTIF(設定!$B$5:$B$13,$F122)&gt;0,$I122=""),"未打卡",IF($I122="","",IF($N122&gt;0,"遲到",IF($O122&gt;0,"早退","正常"))))))</f>
        <v/>
      </c>
      <c r="N122" s="32">
        <f>IF(OR($C122="",$G122="",$I122=""),0,IF(ROUND(($I122-$G122)*1440,0)&gt;設定!$C$28,ROUND(($I122-$G122)*1440,0),0))</f>
        <v/>
      </c>
      <c r="O122" s="32">
        <f>IF(OR($C122="",$H122="",$J122=""),0,IF(ROUND(($H122-$J122)*1440,0)&gt;設定!$C$28,ROUND(($H122-$J122)*1440,0),0))</f>
        <v/>
      </c>
      <c r="P122" s="33">
        <f>IF($L122="",0,IF(($L122-IFERROR(INDEX(設定!$G$5:$G$20,MATCH($F122,設定!$B$5:$B$20,0)),0))*60&gt;=設定!$C$26,ROUND(FLOOR(($L122-IFERROR(INDEX(設定!$G$5:$G$20,MATCH($F122,設定!$B$5:$B$20,0)),0))*60,設定!$C$27)/60,2),0))</f>
        <v/>
      </c>
      <c r="Q122" s="29">
        <f>IF(OR($C122="",$P122=0),"",IF($F122="國","國定假日",IF($B122="日","例假",IF($B122="六","休息日","平日"))))</f>
        <v/>
      </c>
      <c r="R122" s="34" t="n"/>
    </row>
    <row r="123">
      <c r="A123" s="30">
        <f>IF(OR(班表!$A9="",28&gt;DAY(EOMONTH(DATE(班表!$E$2,班表!$G$2,1),0))),"",DATE(班表!$E$2,班表!$G$2,28))</f>
        <v/>
      </c>
      <c r="B123" s="29">
        <f>IF($A123="","",INDEX(設定!$L$5:$L$11,WEEKDAY($A123,1)))</f>
        <v/>
      </c>
      <c r="C123" s="29">
        <f>IF($A123="","",班表!$A9)</f>
        <v/>
      </c>
      <c r="D123" s="29">
        <f>IF($C123="","",班表!$B9)</f>
        <v/>
      </c>
      <c r="E123" s="29">
        <f>IF($C123="","",班表!$C9)</f>
        <v/>
      </c>
      <c r="F123" s="29">
        <f>IF($C123="","",班表!AE9)</f>
        <v/>
      </c>
      <c r="G123" s="31">
        <f>IF($F123="","",IFERROR(INDEX(設定!$D$5:$D$20,MATCH($F123,設定!$B$5:$B$20,0)),""))</f>
        <v/>
      </c>
      <c r="H123" s="31">
        <f>IF($F123="","",IFERROR(INDEX(設定!$E$5:$E$20,MATCH($F123,設定!$B$5:$B$20,0)),""))</f>
        <v/>
      </c>
      <c r="I123" s="31">
        <f>IFERROR(INDEX(打卡匯入!$C$3:$C$1002,MATCH($C123&amp;"|"&amp;DAY($A123),打卡匯入!$E$3:$E$1002,0)),"")</f>
        <v/>
      </c>
      <c r="J123" s="31">
        <f>IFERROR(INDEX(打卡匯入!$D$3:$D$1002,MATCH($C123&amp;"|"&amp;DAY($A123),打卡匯入!$E$3:$E$1002,0)),"")</f>
        <v/>
      </c>
      <c r="K123" s="32">
        <f>IF(OR($I123="",$J123=""),"",IFERROR(INDEX(設定!$F$5:$F$20,MATCH($F123,設定!$B$5:$B$20,0)),0))</f>
        <v/>
      </c>
      <c r="L123" s="33">
        <f>IF(OR($I123="",$J123=""),"",ROUND(($J123-$I123)*24-$K123/60,2))</f>
        <v/>
      </c>
      <c r="M123" s="29">
        <f>IF($C123="","",IF(AND(COUNTIF(設定!$B$14:$B$20,$F123)&gt;0,$I123&lt;&gt;""),"假日出勤",IF(AND(COUNTIF(設定!$B$5:$B$13,$F123)&gt;0,$I123=""),"未打卡",IF($I123="","",IF($N123&gt;0,"遲到",IF($O123&gt;0,"早退","正常"))))))</f>
        <v/>
      </c>
      <c r="N123" s="32">
        <f>IF(OR($C123="",$G123="",$I123=""),0,IF(ROUND(($I123-$G123)*1440,0)&gt;設定!$C$28,ROUND(($I123-$G123)*1440,0),0))</f>
        <v/>
      </c>
      <c r="O123" s="32">
        <f>IF(OR($C123="",$H123="",$J123=""),0,IF(ROUND(($H123-$J123)*1440,0)&gt;設定!$C$28,ROUND(($H123-$J123)*1440,0),0))</f>
        <v/>
      </c>
      <c r="P123" s="33">
        <f>IF($L123="",0,IF(($L123-IFERROR(INDEX(設定!$G$5:$G$20,MATCH($F123,設定!$B$5:$B$20,0)),0))*60&gt;=設定!$C$26,ROUND(FLOOR(($L123-IFERROR(INDEX(設定!$G$5:$G$20,MATCH($F123,設定!$B$5:$B$20,0)),0))*60,設定!$C$27)/60,2),0))</f>
        <v/>
      </c>
      <c r="Q123" s="29">
        <f>IF(OR($C123="",$P123=0),"",IF($F123="國","國定假日",IF($B123="日","例假",IF($B123="六","休息日","平日"))))</f>
        <v/>
      </c>
      <c r="R123" s="34" t="n"/>
    </row>
    <row r="124">
      <c r="A124" s="30">
        <f>IF(OR(班表!$A9="",29&gt;DAY(EOMONTH(DATE(班表!$E$2,班表!$G$2,1),0))),"",DATE(班表!$E$2,班表!$G$2,29))</f>
        <v/>
      </c>
      <c r="B124" s="29">
        <f>IF($A124="","",INDEX(設定!$L$5:$L$11,WEEKDAY($A124,1)))</f>
        <v/>
      </c>
      <c r="C124" s="29">
        <f>IF($A124="","",班表!$A9)</f>
        <v/>
      </c>
      <c r="D124" s="29">
        <f>IF($C124="","",班表!$B9)</f>
        <v/>
      </c>
      <c r="E124" s="29">
        <f>IF($C124="","",班表!$C9)</f>
        <v/>
      </c>
      <c r="F124" s="29">
        <f>IF($C124="","",班表!AF9)</f>
        <v/>
      </c>
      <c r="G124" s="31">
        <f>IF($F124="","",IFERROR(INDEX(設定!$D$5:$D$20,MATCH($F124,設定!$B$5:$B$20,0)),""))</f>
        <v/>
      </c>
      <c r="H124" s="31">
        <f>IF($F124="","",IFERROR(INDEX(設定!$E$5:$E$20,MATCH($F124,設定!$B$5:$B$20,0)),""))</f>
        <v/>
      </c>
      <c r="I124" s="31">
        <f>IFERROR(INDEX(打卡匯入!$C$3:$C$1002,MATCH($C124&amp;"|"&amp;DAY($A124),打卡匯入!$E$3:$E$1002,0)),"")</f>
        <v/>
      </c>
      <c r="J124" s="31">
        <f>IFERROR(INDEX(打卡匯入!$D$3:$D$1002,MATCH($C124&amp;"|"&amp;DAY($A124),打卡匯入!$E$3:$E$1002,0)),"")</f>
        <v/>
      </c>
      <c r="K124" s="32">
        <f>IF(OR($I124="",$J124=""),"",IFERROR(INDEX(設定!$F$5:$F$20,MATCH($F124,設定!$B$5:$B$20,0)),0))</f>
        <v/>
      </c>
      <c r="L124" s="33">
        <f>IF(OR($I124="",$J124=""),"",ROUND(($J124-$I124)*24-$K124/60,2))</f>
        <v/>
      </c>
      <c r="M124" s="29">
        <f>IF($C124="","",IF(AND(COUNTIF(設定!$B$14:$B$20,$F124)&gt;0,$I124&lt;&gt;""),"假日出勤",IF(AND(COUNTIF(設定!$B$5:$B$13,$F124)&gt;0,$I124=""),"未打卡",IF($I124="","",IF($N124&gt;0,"遲到",IF($O124&gt;0,"早退","正常"))))))</f>
        <v/>
      </c>
      <c r="N124" s="32">
        <f>IF(OR($C124="",$G124="",$I124=""),0,IF(ROUND(($I124-$G124)*1440,0)&gt;設定!$C$28,ROUND(($I124-$G124)*1440,0),0))</f>
        <v/>
      </c>
      <c r="O124" s="32">
        <f>IF(OR($C124="",$H124="",$J124=""),0,IF(ROUND(($H124-$J124)*1440,0)&gt;設定!$C$28,ROUND(($H124-$J124)*1440,0),0))</f>
        <v/>
      </c>
      <c r="P124" s="33">
        <f>IF($L124="",0,IF(($L124-IFERROR(INDEX(設定!$G$5:$G$20,MATCH($F124,設定!$B$5:$B$20,0)),0))*60&gt;=設定!$C$26,ROUND(FLOOR(($L124-IFERROR(INDEX(設定!$G$5:$G$20,MATCH($F124,設定!$B$5:$B$20,0)),0))*60,設定!$C$27)/60,2),0))</f>
        <v/>
      </c>
      <c r="Q124" s="29">
        <f>IF(OR($C124="",$P124=0),"",IF($F124="國","國定假日",IF($B124="日","例假",IF($B124="六","休息日","平日"))))</f>
        <v/>
      </c>
      <c r="R124" s="34" t="n"/>
    </row>
    <row r="125">
      <c r="A125" s="30">
        <f>IF(OR(班表!$A9="",30&gt;DAY(EOMONTH(DATE(班表!$E$2,班表!$G$2,1),0))),"",DATE(班表!$E$2,班表!$G$2,30))</f>
        <v/>
      </c>
      <c r="B125" s="29">
        <f>IF($A125="","",INDEX(設定!$L$5:$L$11,WEEKDAY($A125,1)))</f>
        <v/>
      </c>
      <c r="C125" s="29">
        <f>IF($A125="","",班表!$A9)</f>
        <v/>
      </c>
      <c r="D125" s="29">
        <f>IF($C125="","",班表!$B9)</f>
        <v/>
      </c>
      <c r="E125" s="29">
        <f>IF($C125="","",班表!$C9)</f>
        <v/>
      </c>
      <c r="F125" s="29">
        <f>IF($C125="","",班表!AG9)</f>
        <v/>
      </c>
      <c r="G125" s="31">
        <f>IF($F125="","",IFERROR(INDEX(設定!$D$5:$D$20,MATCH($F125,設定!$B$5:$B$20,0)),""))</f>
        <v/>
      </c>
      <c r="H125" s="31">
        <f>IF($F125="","",IFERROR(INDEX(設定!$E$5:$E$20,MATCH($F125,設定!$B$5:$B$20,0)),""))</f>
        <v/>
      </c>
      <c r="I125" s="31">
        <f>IFERROR(INDEX(打卡匯入!$C$3:$C$1002,MATCH($C125&amp;"|"&amp;DAY($A125),打卡匯入!$E$3:$E$1002,0)),"")</f>
        <v/>
      </c>
      <c r="J125" s="31">
        <f>IFERROR(INDEX(打卡匯入!$D$3:$D$1002,MATCH($C125&amp;"|"&amp;DAY($A125),打卡匯入!$E$3:$E$1002,0)),"")</f>
        <v/>
      </c>
      <c r="K125" s="32">
        <f>IF(OR($I125="",$J125=""),"",IFERROR(INDEX(設定!$F$5:$F$20,MATCH($F125,設定!$B$5:$B$20,0)),0))</f>
        <v/>
      </c>
      <c r="L125" s="33">
        <f>IF(OR($I125="",$J125=""),"",ROUND(($J125-$I125)*24-$K125/60,2))</f>
        <v/>
      </c>
      <c r="M125" s="29">
        <f>IF($C125="","",IF(AND(COUNTIF(設定!$B$14:$B$20,$F125)&gt;0,$I125&lt;&gt;""),"假日出勤",IF(AND(COUNTIF(設定!$B$5:$B$13,$F125)&gt;0,$I125=""),"未打卡",IF($I125="","",IF($N125&gt;0,"遲到",IF($O125&gt;0,"早退","正常"))))))</f>
        <v/>
      </c>
      <c r="N125" s="32">
        <f>IF(OR($C125="",$G125="",$I125=""),0,IF(ROUND(($I125-$G125)*1440,0)&gt;設定!$C$28,ROUND(($I125-$G125)*1440,0),0))</f>
        <v/>
      </c>
      <c r="O125" s="32">
        <f>IF(OR($C125="",$H125="",$J125=""),0,IF(ROUND(($H125-$J125)*1440,0)&gt;設定!$C$28,ROUND(($H125-$J125)*1440,0),0))</f>
        <v/>
      </c>
      <c r="P125" s="33">
        <f>IF($L125="",0,IF(($L125-IFERROR(INDEX(設定!$G$5:$G$20,MATCH($F125,設定!$B$5:$B$20,0)),0))*60&gt;=設定!$C$26,ROUND(FLOOR(($L125-IFERROR(INDEX(設定!$G$5:$G$20,MATCH($F125,設定!$B$5:$B$20,0)),0))*60,設定!$C$27)/60,2),0))</f>
        <v/>
      </c>
      <c r="Q125" s="29">
        <f>IF(OR($C125="",$P125=0),"",IF($F125="國","國定假日",IF($B125="日","例假",IF($B125="六","休息日","平日"))))</f>
        <v/>
      </c>
      <c r="R125" s="34" t="n"/>
    </row>
    <row r="126">
      <c r="A126" s="30">
        <f>IF(OR(班表!$A9="",31&gt;DAY(EOMONTH(DATE(班表!$E$2,班表!$G$2,1),0))),"",DATE(班表!$E$2,班表!$G$2,31))</f>
        <v/>
      </c>
      <c r="B126" s="29">
        <f>IF($A126="","",INDEX(設定!$L$5:$L$11,WEEKDAY($A126,1)))</f>
        <v/>
      </c>
      <c r="C126" s="29">
        <f>IF($A126="","",班表!$A9)</f>
        <v/>
      </c>
      <c r="D126" s="29">
        <f>IF($C126="","",班表!$B9)</f>
        <v/>
      </c>
      <c r="E126" s="29">
        <f>IF($C126="","",班表!$C9)</f>
        <v/>
      </c>
      <c r="F126" s="29">
        <f>IF($C126="","",班表!AH9)</f>
        <v/>
      </c>
      <c r="G126" s="31">
        <f>IF($F126="","",IFERROR(INDEX(設定!$D$5:$D$20,MATCH($F126,設定!$B$5:$B$20,0)),""))</f>
        <v/>
      </c>
      <c r="H126" s="31">
        <f>IF($F126="","",IFERROR(INDEX(設定!$E$5:$E$20,MATCH($F126,設定!$B$5:$B$20,0)),""))</f>
        <v/>
      </c>
      <c r="I126" s="31">
        <f>IFERROR(INDEX(打卡匯入!$C$3:$C$1002,MATCH($C126&amp;"|"&amp;DAY($A126),打卡匯入!$E$3:$E$1002,0)),"")</f>
        <v/>
      </c>
      <c r="J126" s="31">
        <f>IFERROR(INDEX(打卡匯入!$D$3:$D$1002,MATCH($C126&amp;"|"&amp;DAY($A126),打卡匯入!$E$3:$E$1002,0)),"")</f>
        <v/>
      </c>
      <c r="K126" s="32">
        <f>IF(OR($I126="",$J126=""),"",IFERROR(INDEX(設定!$F$5:$F$20,MATCH($F126,設定!$B$5:$B$20,0)),0))</f>
        <v/>
      </c>
      <c r="L126" s="33">
        <f>IF(OR($I126="",$J126=""),"",ROUND(($J126-$I126)*24-$K126/60,2))</f>
        <v/>
      </c>
      <c r="M126" s="29">
        <f>IF($C126="","",IF(AND(COUNTIF(設定!$B$14:$B$20,$F126)&gt;0,$I126&lt;&gt;""),"假日出勤",IF(AND(COUNTIF(設定!$B$5:$B$13,$F126)&gt;0,$I126=""),"未打卡",IF($I126="","",IF($N126&gt;0,"遲到",IF($O126&gt;0,"早退","正常"))))))</f>
        <v/>
      </c>
      <c r="N126" s="32">
        <f>IF(OR($C126="",$G126="",$I126=""),0,IF(ROUND(($I126-$G126)*1440,0)&gt;設定!$C$28,ROUND(($I126-$G126)*1440,0),0))</f>
        <v/>
      </c>
      <c r="O126" s="32">
        <f>IF(OR($C126="",$H126="",$J126=""),0,IF(ROUND(($H126-$J126)*1440,0)&gt;設定!$C$28,ROUND(($H126-$J126)*1440,0),0))</f>
        <v/>
      </c>
      <c r="P126" s="33">
        <f>IF($L126="",0,IF(($L126-IFERROR(INDEX(設定!$G$5:$G$20,MATCH($F126,設定!$B$5:$B$20,0)),0))*60&gt;=設定!$C$26,ROUND(FLOOR(($L126-IFERROR(INDEX(設定!$G$5:$G$20,MATCH($F126,設定!$B$5:$B$20,0)),0))*60,設定!$C$27)/60,2),0))</f>
        <v/>
      </c>
      <c r="Q126" s="29">
        <f>IF(OR($C126="",$P126=0),"",IF($F126="國","國定假日",IF($B126="日","例假",IF($B126="六","休息日","平日"))))</f>
        <v/>
      </c>
      <c r="R126" s="34" t="n"/>
    </row>
    <row r="127">
      <c r="A127" s="30">
        <f>IF(OR(班表!$A10="",1&gt;DAY(EOMONTH(DATE(班表!$E$2,班表!$G$2,1),0))),"",DATE(班表!$E$2,班表!$G$2,1))</f>
        <v/>
      </c>
      <c r="B127" s="29">
        <f>IF($A127="","",INDEX(設定!$L$5:$L$11,WEEKDAY($A127,1)))</f>
        <v/>
      </c>
      <c r="C127" s="29">
        <f>IF($A127="","",班表!$A10)</f>
        <v/>
      </c>
      <c r="D127" s="29">
        <f>IF($C127="","",班表!$B10)</f>
        <v/>
      </c>
      <c r="E127" s="29">
        <f>IF($C127="","",班表!$C10)</f>
        <v/>
      </c>
      <c r="F127" s="29">
        <f>IF($C127="","",班表!D10)</f>
        <v/>
      </c>
      <c r="G127" s="31">
        <f>IF($F127="","",IFERROR(INDEX(設定!$D$5:$D$20,MATCH($F127,設定!$B$5:$B$20,0)),""))</f>
        <v/>
      </c>
      <c r="H127" s="31">
        <f>IF($F127="","",IFERROR(INDEX(設定!$E$5:$E$20,MATCH($F127,設定!$B$5:$B$20,0)),""))</f>
        <v/>
      </c>
      <c r="I127" s="31">
        <f>IFERROR(INDEX(打卡匯入!$C$3:$C$1002,MATCH($C127&amp;"|"&amp;DAY($A127),打卡匯入!$E$3:$E$1002,0)),"")</f>
        <v/>
      </c>
      <c r="J127" s="31">
        <f>IFERROR(INDEX(打卡匯入!$D$3:$D$1002,MATCH($C127&amp;"|"&amp;DAY($A127),打卡匯入!$E$3:$E$1002,0)),"")</f>
        <v/>
      </c>
      <c r="K127" s="32">
        <f>IF(OR($I127="",$J127=""),"",IFERROR(INDEX(設定!$F$5:$F$20,MATCH($F127,設定!$B$5:$B$20,0)),0))</f>
        <v/>
      </c>
      <c r="L127" s="33">
        <f>IF(OR($I127="",$J127=""),"",ROUND(($J127-$I127)*24-$K127/60,2))</f>
        <v/>
      </c>
      <c r="M127" s="29">
        <f>IF($C127="","",IF(AND(COUNTIF(設定!$B$14:$B$20,$F127)&gt;0,$I127&lt;&gt;""),"假日出勤",IF(AND(COUNTIF(設定!$B$5:$B$13,$F127)&gt;0,$I127=""),"未打卡",IF($I127="","",IF($N127&gt;0,"遲到",IF($O127&gt;0,"早退","正常"))))))</f>
        <v/>
      </c>
      <c r="N127" s="32">
        <f>IF(OR($C127="",$G127="",$I127=""),0,IF(ROUND(($I127-$G127)*1440,0)&gt;設定!$C$28,ROUND(($I127-$G127)*1440,0),0))</f>
        <v/>
      </c>
      <c r="O127" s="32">
        <f>IF(OR($C127="",$H127="",$J127=""),0,IF(ROUND(($H127-$J127)*1440,0)&gt;設定!$C$28,ROUND(($H127-$J127)*1440,0),0))</f>
        <v/>
      </c>
      <c r="P127" s="33">
        <f>IF($L127="",0,IF(($L127-IFERROR(INDEX(設定!$G$5:$G$20,MATCH($F127,設定!$B$5:$B$20,0)),0))*60&gt;=設定!$C$26,ROUND(FLOOR(($L127-IFERROR(INDEX(設定!$G$5:$G$20,MATCH($F127,設定!$B$5:$B$20,0)),0))*60,設定!$C$27)/60,2),0))</f>
        <v/>
      </c>
      <c r="Q127" s="29">
        <f>IF(OR($C127="",$P127=0),"",IF($F127="國","國定假日",IF($B127="日","例假",IF($B127="六","休息日","平日"))))</f>
        <v/>
      </c>
      <c r="R127" s="34" t="n"/>
    </row>
    <row r="128">
      <c r="A128" s="30">
        <f>IF(OR(班表!$A10="",2&gt;DAY(EOMONTH(DATE(班表!$E$2,班表!$G$2,1),0))),"",DATE(班表!$E$2,班表!$G$2,2))</f>
        <v/>
      </c>
      <c r="B128" s="29">
        <f>IF($A128="","",INDEX(設定!$L$5:$L$11,WEEKDAY($A128,1)))</f>
        <v/>
      </c>
      <c r="C128" s="29">
        <f>IF($A128="","",班表!$A10)</f>
        <v/>
      </c>
      <c r="D128" s="29">
        <f>IF($C128="","",班表!$B10)</f>
        <v/>
      </c>
      <c r="E128" s="29">
        <f>IF($C128="","",班表!$C10)</f>
        <v/>
      </c>
      <c r="F128" s="29">
        <f>IF($C128="","",班表!E10)</f>
        <v/>
      </c>
      <c r="G128" s="31">
        <f>IF($F128="","",IFERROR(INDEX(設定!$D$5:$D$20,MATCH($F128,設定!$B$5:$B$20,0)),""))</f>
        <v/>
      </c>
      <c r="H128" s="31">
        <f>IF($F128="","",IFERROR(INDEX(設定!$E$5:$E$20,MATCH($F128,設定!$B$5:$B$20,0)),""))</f>
        <v/>
      </c>
      <c r="I128" s="31">
        <f>IFERROR(INDEX(打卡匯入!$C$3:$C$1002,MATCH($C128&amp;"|"&amp;DAY($A128),打卡匯入!$E$3:$E$1002,0)),"")</f>
        <v/>
      </c>
      <c r="J128" s="31">
        <f>IFERROR(INDEX(打卡匯入!$D$3:$D$1002,MATCH($C128&amp;"|"&amp;DAY($A128),打卡匯入!$E$3:$E$1002,0)),"")</f>
        <v/>
      </c>
      <c r="K128" s="32">
        <f>IF(OR($I128="",$J128=""),"",IFERROR(INDEX(設定!$F$5:$F$20,MATCH($F128,設定!$B$5:$B$20,0)),0))</f>
        <v/>
      </c>
      <c r="L128" s="33">
        <f>IF(OR($I128="",$J128=""),"",ROUND(($J128-$I128)*24-$K128/60,2))</f>
        <v/>
      </c>
      <c r="M128" s="29">
        <f>IF($C128="","",IF(AND(COUNTIF(設定!$B$14:$B$20,$F128)&gt;0,$I128&lt;&gt;""),"假日出勤",IF(AND(COUNTIF(設定!$B$5:$B$13,$F128)&gt;0,$I128=""),"未打卡",IF($I128="","",IF($N128&gt;0,"遲到",IF($O128&gt;0,"早退","正常"))))))</f>
        <v/>
      </c>
      <c r="N128" s="32">
        <f>IF(OR($C128="",$G128="",$I128=""),0,IF(ROUND(($I128-$G128)*1440,0)&gt;設定!$C$28,ROUND(($I128-$G128)*1440,0),0))</f>
        <v/>
      </c>
      <c r="O128" s="32">
        <f>IF(OR($C128="",$H128="",$J128=""),0,IF(ROUND(($H128-$J128)*1440,0)&gt;設定!$C$28,ROUND(($H128-$J128)*1440,0),0))</f>
        <v/>
      </c>
      <c r="P128" s="33">
        <f>IF($L128="",0,IF(($L128-IFERROR(INDEX(設定!$G$5:$G$20,MATCH($F128,設定!$B$5:$B$20,0)),0))*60&gt;=設定!$C$26,ROUND(FLOOR(($L128-IFERROR(INDEX(設定!$G$5:$G$20,MATCH($F128,設定!$B$5:$B$20,0)),0))*60,設定!$C$27)/60,2),0))</f>
        <v/>
      </c>
      <c r="Q128" s="29">
        <f>IF(OR($C128="",$P128=0),"",IF($F128="國","國定假日",IF($B128="日","例假",IF($B128="六","休息日","平日"))))</f>
        <v/>
      </c>
      <c r="R128" s="34" t="n"/>
    </row>
    <row r="129">
      <c r="A129" s="30">
        <f>IF(OR(班表!$A10="",3&gt;DAY(EOMONTH(DATE(班表!$E$2,班表!$G$2,1),0))),"",DATE(班表!$E$2,班表!$G$2,3))</f>
        <v/>
      </c>
      <c r="B129" s="29">
        <f>IF($A129="","",INDEX(設定!$L$5:$L$11,WEEKDAY($A129,1)))</f>
        <v/>
      </c>
      <c r="C129" s="29">
        <f>IF($A129="","",班表!$A10)</f>
        <v/>
      </c>
      <c r="D129" s="29">
        <f>IF($C129="","",班表!$B10)</f>
        <v/>
      </c>
      <c r="E129" s="29">
        <f>IF($C129="","",班表!$C10)</f>
        <v/>
      </c>
      <c r="F129" s="29">
        <f>IF($C129="","",班表!F10)</f>
        <v/>
      </c>
      <c r="G129" s="31">
        <f>IF($F129="","",IFERROR(INDEX(設定!$D$5:$D$20,MATCH($F129,設定!$B$5:$B$20,0)),""))</f>
        <v/>
      </c>
      <c r="H129" s="31">
        <f>IF($F129="","",IFERROR(INDEX(設定!$E$5:$E$20,MATCH($F129,設定!$B$5:$B$20,0)),""))</f>
        <v/>
      </c>
      <c r="I129" s="31">
        <f>IFERROR(INDEX(打卡匯入!$C$3:$C$1002,MATCH($C129&amp;"|"&amp;DAY($A129),打卡匯入!$E$3:$E$1002,0)),"")</f>
        <v/>
      </c>
      <c r="J129" s="31">
        <f>IFERROR(INDEX(打卡匯入!$D$3:$D$1002,MATCH($C129&amp;"|"&amp;DAY($A129),打卡匯入!$E$3:$E$1002,0)),"")</f>
        <v/>
      </c>
      <c r="K129" s="32">
        <f>IF(OR($I129="",$J129=""),"",IFERROR(INDEX(設定!$F$5:$F$20,MATCH($F129,設定!$B$5:$B$20,0)),0))</f>
        <v/>
      </c>
      <c r="L129" s="33">
        <f>IF(OR($I129="",$J129=""),"",ROUND(($J129-$I129)*24-$K129/60,2))</f>
        <v/>
      </c>
      <c r="M129" s="29">
        <f>IF($C129="","",IF(AND(COUNTIF(設定!$B$14:$B$20,$F129)&gt;0,$I129&lt;&gt;""),"假日出勤",IF(AND(COUNTIF(設定!$B$5:$B$13,$F129)&gt;0,$I129=""),"未打卡",IF($I129="","",IF($N129&gt;0,"遲到",IF($O129&gt;0,"早退","正常"))))))</f>
        <v/>
      </c>
      <c r="N129" s="32">
        <f>IF(OR($C129="",$G129="",$I129=""),0,IF(ROUND(($I129-$G129)*1440,0)&gt;設定!$C$28,ROUND(($I129-$G129)*1440,0),0))</f>
        <v/>
      </c>
      <c r="O129" s="32">
        <f>IF(OR($C129="",$H129="",$J129=""),0,IF(ROUND(($H129-$J129)*1440,0)&gt;設定!$C$28,ROUND(($H129-$J129)*1440,0),0))</f>
        <v/>
      </c>
      <c r="P129" s="33">
        <f>IF($L129="",0,IF(($L129-IFERROR(INDEX(設定!$G$5:$G$20,MATCH($F129,設定!$B$5:$B$20,0)),0))*60&gt;=設定!$C$26,ROUND(FLOOR(($L129-IFERROR(INDEX(設定!$G$5:$G$20,MATCH($F129,設定!$B$5:$B$20,0)),0))*60,設定!$C$27)/60,2),0))</f>
        <v/>
      </c>
      <c r="Q129" s="29">
        <f>IF(OR($C129="",$P129=0),"",IF($F129="國","國定假日",IF($B129="日","例假",IF($B129="六","休息日","平日"))))</f>
        <v/>
      </c>
      <c r="R129" s="34" t="n"/>
    </row>
    <row r="130">
      <c r="A130" s="30">
        <f>IF(OR(班表!$A10="",4&gt;DAY(EOMONTH(DATE(班表!$E$2,班表!$G$2,1),0))),"",DATE(班表!$E$2,班表!$G$2,4))</f>
        <v/>
      </c>
      <c r="B130" s="29">
        <f>IF($A130="","",INDEX(設定!$L$5:$L$11,WEEKDAY($A130,1)))</f>
        <v/>
      </c>
      <c r="C130" s="29">
        <f>IF($A130="","",班表!$A10)</f>
        <v/>
      </c>
      <c r="D130" s="29">
        <f>IF($C130="","",班表!$B10)</f>
        <v/>
      </c>
      <c r="E130" s="29">
        <f>IF($C130="","",班表!$C10)</f>
        <v/>
      </c>
      <c r="F130" s="29">
        <f>IF($C130="","",班表!G10)</f>
        <v/>
      </c>
      <c r="G130" s="31">
        <f>IF($F130="","",IFERROR(INDEX(設定!$D$5:$D$20,MATCH($F130,設定!$B$5:$B$20,0)),""))</f>
        <v/>
      </c>
      <c r="H130" s="31">
        <f>IF($F130="","",IFERROR(INDEX(設定!$E$5:$E$20,MATCH($F130,設定!$B$5:$B$20,0)),""))</f>
        <v/>
      </c>
      <c r="I130" s="31">
        <f>IFERROR(INDEX(打卡匯入!$C$3:$C$1002,MATCH($C130&amp;"|"&amp;DAY($A130),打卡匯入!$E$3:$E$1002,0)),"")</f>
        <v/>
      </c>
      <c r="J130" s="31">
        <f>IFERROR(INDEX(打卡匯入!$D$3:$D$1002,MATCH($C130&amp;"|"&amp;DAY($A130),打卡匯入!$E$3:$E$1002,0)),"")</f>
        <v/>
      </c>
      <c r="K130" s="32">
        <f>IF(OR($I130="",$J130=""),"",IFERROR(INDEX(設定!$F$5:$F$20,MATCH($F130,設定!$B$5:$B$20,0)),0))</f>
        <v/>
      </c>
      <c r="L130" s="33">
        <f>IF(OR($I130="",$J130=""),"",ROUND(($J130-$I130)*24-$K130/60,2))</f>
        <v/>
      </c>
      <c r="M130" s="29">
        <f>IF($C130="","",IF(AND(COUNTIF(設定!$B$14:$B$20,$F130)&gt;0,$I130&lt;&gt;""),"假日出勤",IF(AND(COUNTIF(設定!$B$5:$B$13,$F130)&gt;0,$I130=""),"未打卡",IF($I130="","",IF($N130&gt;0,"遲到",IF($O130&gt;0,"早退","正常"))))))</f>
        <v/>
      </c>
      <c r="N130" s="32">
        <f>IF(OR($C130="",$G130="",$I130=""),0,IF(ROUND(($I130-$G130)*1440,0)&gt;設定!$C$28,ROUND(($I130-$G130)*1440,0),0))</f>
        <v/>
      </c>
      <c r="O130" s="32">
        <f>IF(OR($C130="",$H130="",$J130=""),0,IF(ROUND(($H130-$J130)*1440,0)&gt;設定!$C$28,ROUND(($H130-$J130)*1440,0),0))</f>
        <v/>
      </c>
      <c r="P130" s="33">
        <f>IF($L130="",0,IF(($L130-IFERROR(INDEX(設定!$G$5:$G$20,MATCH($F130,設定!$B$5:$B$20,0)),0))*60&gt;=設定!$C$26,ROUND(FLOOR(($L130-IFERROR(INDEX(設定!$G$5:$G$20,MATCH($F130,設定!$B$5:$B$20,0)),0))*60,設定!$C$27)/60,2),0))</f>
        <v/>
      </c>
      <c r="Q130" s="29">
        <f>IF(OR($C130="",$P130=0),"",IF($F130="國","國定假日",IF($B130="日","例假",IF($B130="六","休息日","平日"))))</f>
        <v/>
      </c>
      <c r="R130" s="34" t="n"/>
    </row>
    <row r="131">
      <c r="A131" s="30">
        <f>IF(OR(班表!$A10="",5&gt;DAY(EOMONTH(DATE(班表!$E$2,班表!$G$2,1),0))),"",DATE(班表!$E$2,班表!$G$2,5))</f>
        <v/>
      </c>
      <c r="B131" s="29">
        <f>IF($A131="","",INDEX(設定!$L$5:$L$11,WEEKDAY($A131,1)))</f>
        <v/>
      </c>
      <c r="C131" s="29">
        <f>IF($A131="","",班表!$A10)</f>
        <v/>
      </c>
      <c r="D131" s="29">
        <f>IF($C131="","",班表!$B10)</f>
        <v/>
      </c>
      <c r="E131" s="29">
        <f>IF($C131="","",班表!$C10)</f>
        <v/>
      </c>
      <c r="F131" s="29">
        <f>IF($C131="","",班表!H10)</f>
        <v/>
      </c>
      <c r="G131" s="31">
        <f>IF($F131="","",IFERROR(INDEX(設定!$D$5:$D$20,MATCH($F131,設定!$B$5:$B$20,0)),""))</f>
        <v/>
      </c>
      <c r="H131" s="31">
        <f>IF($F131="","",IFERROR(INDEX(設定!$E$5:$E$20,MATCH($F131,設定!$B$5:$B$20,0)),""))</f>
        <v/>
      </c>
      <c r="I131" s="31">
        <f>IFERROR(INDEX(打卡匯入!$C$3:$C$1002,MATCH($C131&amp;"|"&amp;DAY($A131),打卡匯入!$E$3:$E$1002,0)),"")</f>
        <v/>
      </c>
      <c r="J131" s="31">
        <f>IFERROR(INDEX(打卡匯入!$D$3:$D$1002,MATCH($C131&amp;"|"&amp;DAY($A131),打卡匯入!$E$3:$E$1002,0)),"")</f>
        <v/>
      </c>
      <c r="K131" s="32">
        <f>IF(OR($I131="",$J131=""),"",IFERROR(INDEX(設定!$F$5:$F$20,MATCH($F131,設定!$B$5:$B$20,0)),0))</f>
        <v/>
      </c>
      <c r="L131" s="33">
        <f>IF(OR($I131="",$J131=""),"",ROUND(($J131-$I131)*24-$K131/60,2))</f>
        <v/>
      </c>
      <c r="M131" s="29">
        <f>IF($C131="","",IF(AND(COUNTIF(設定!$B$14:$B$20,$F131)&gt;0,$I131&lt;&gt;""),"假日出勤",IF(AND(COUNTIF(設定!$B$5:$B$13,$F131)&gt;0,$I131=""),"未打卡",IF($I131="","",IF($N131&gt;0,"遲到",IF($O131&gt;0,"早退","正常"))))))</f>
        <v/>
      </c>
      <c r="N131" s="32">
        <f>IF(OR($C131="",$G131="",$I131=""),0,IF(ROUND(($I131-$G131)*1440,0)&gt;設定!$C$28,ROUND(($I131-$G131)*1440,0),0))</f>
        <v/>
      </c>
      <c r="O131" s="32">
        <f>IF(OR($C131="",$H131="",$J131=""),0,IF(ROUND(($H131-$J131)*1440,0)&gt;設定!$C$28,ROUND(($H131-$J131)*1440,0),0))</f>
        <v/>
      </c>
      <c r="P131" s="33">
        <f>IF($L131="",0,IF(($L131-IFERROR(INDEX(設定!$G$5:$G$20,MATCH($F131,設定!$B$5:$B$20,0)),0))*60&gt;=設定!$C$26,ROUND(FLOOR(($L131-IFERROR(INDEX(設定!$G$5:$G$20,MATCH($F131,設定!$B$5:$B$20,0)),0))*60,設定!$C$27)/60,2),0))</f>
        <v/>
      </c>
      <c r="Q131" s="29">
        <f>IF(OR($C131="",$P131=0),"",IF($F131="國","國定假日",IF($B131="日","例假",IF($B131="六","休息日","平日"))))</f>
        <v/>
      </c>
      <c r="R131" s="34" t="n"/>
    </row>
    <row r="132">
      <c r="A132" s="30">
        <f>IF(OR(班表!$A10="",6&gt;DAY(EOMONTH(DATE(班表!$E$2,班表!$G$2,1),0))),"",DATE(班表!$E$2,班表!$G$2,6))</f>
        <v/>
      </c>
      <c r="B132" s="29">
        <f>IF($A132="","",INDEX(設定!$L$5:$L$11,WEEKDAY($A132,1)))</f>
        <v/>
      </c>
      <c r="C132" s="29">
        <f>IF($A132="","",班表!$A10)</f>
        <v/>
      </c>
      <c r="D132" s="29">
        <f>IF($C132="","",班表!$B10)</f>
        <v/>
      </c>
      <c r="E132" s="29">
        <f>IF($C132="","",班表!$C10)</f>
        <v/>
      </c>
      <c r="F132" s="29">
        <f>IF($C132="","",班表!I10)</f>
        <v/>
      </c>
      <c r="G132" s="31">
        <f>IF($F132="","",IFERROR(INDEX(設定!$D$5:$D$20,MATCH($F132,設定!$B$5:$B$20,0)),""))</f>
        <v/>
      </c>
      <c r="H132" s="31">
        <f>IF($F132="","",IFERROR(INDEX(設定!$E$5:$E$20,MATCH($F132,設定!$B$5:$B$20,0)),""))</f>
        <v/>
      </c>
      <c r="I132" s="31">
        <f>IFERROR(INDEX(打卡匯入!$C$3:$C$1002,MATCH($C132&amp;"|"&amp;DAY($A132),打卡匯入!$E$3:$E$1002,0)),"")</f>
        <v/>
      </c>
      <c r="J132" s="31">
        <f>IFERROR(INDEX(打卡匯入!$D$3:$D$1002,MATCH($C132&amp;"|"&amp;DAY($A132),打卡匯入!$E$3:$E$1002,0)),"")</f>
        <v/>
      </c>
      <c r="K132" s="32">
        <f>IF(OR($I132="",$J132=""),"",IFERROR(INDEX(設定!$F$5:$F$20,MATCH($F132,設定!$B$5:$B$20,0)),0))</f>
        <v/>
      </c>
      <c r="L132" s="33">
        <f>IF(OR($I132="",$J132=""),"",ROUND(($J132-$I132)*24-$K132/60,2))</f>
        <v/>
      </c>
      <c r="M132" s="29">
        <f>IF($C132="","",IF(AND(COUNTIF(設定!$B$14:$B$20,$F132)&gt;0,$I132&lt;&gt;""),"假日出勤",IF(AND(COUNTIF(設定!$B$5:$B$13,$F132)&gt;0,$I132=""),"未打卡",IF($I132="","",IF($N132&gt;0,"遲到",IF($O132&gt;0,"早退","正常"))))))</f>
        <v/>
      </c>
      <c r="N132" s="32">
        <f>IF(OR($C132="",$G132="",$I132=""),0,IF(ROUND(($I132-$G132)*1440,0)&gt;設定!$C$28,ROUND(($I132-$G132)*1440,0),0))</f>
        <v/>
      </c>
      <c r="O132" s="32">
        <f>IF(OR($C132="",$H132="",$J132=""),0,IF(ROUND(($H132-$J132)*1440,0)&gt;設定!$C$28,ROUND(($H132-$J132)*1440,0),0))</f>
        <v/>
      </c>
      <c r="P132" s="33">
        <f>IF($L132="",0,IF(($L132-IFERROR(INDEX(設定!$G$5:$G$20,MATCH($F132,設定!$B$5:$B$20,0)),0))*60&gt;=設定!$C$26,ROUND(FLOOR(($L132-IFERROR(INDEX(設定!$G$5:$G$20,MATCH($F132,設定!$B$5:$B$20,0)),0))*60,設定!$C$27)/60,2),0))</f>
        <v/>
      </c>
      <c r="Q132" s="29">
        <f>IF(OR($C132="",$P132=0),"",IF($F132="國","國定假日",IF($B132="日","例假",IF($B132="六","休息日","平日"))))</f>
        <v/>
      </c>
      <c r="R132" s="34" t="n"/>
    </row>
    <row r="133">
      <c r="A133" s="30">
        <f>IF(OR(班表!$A10="",7&gt;DAY(EOMONTH(DATE(班表!$E$2,班表!$G$2,1),0))),"",DATE(班表!$E$2,班表!$G$2,7))</f>
        <v/>
      </c>
      <c r="B133" s="29">
        <f>IF($A133="","",INDEX(設定!$L$5:$L$11,WEEKDAY($A133,1)))</f>
        <v/>
      </c>
      <c r="C133" s="29">
        <f>IF($A133="","",班表!$A10)</f>
        <v/>
      </c>
      <c r="D133" s="29">
        <f>IF($C133="","",班表!$B10)</f>
        <v/>
      </c>
      <c r="E133" s="29">
        <f>IF($C133="","",班表!$C10)</f>
        <v/>
      </c>
      <c r="F133" s="29">
        <f>IF($C133="","",班表!J10)</f>
        <v/>
      </c>
      <c r="G133" s="31">
        <f>IF($F133="","",IFERROR(INDEX(設定!$D$5:$D$20,MATCH($F133,設定!$B$5:$B$20,0)),""))</f>
        <v/>
      </c>
      <c r="H133" s="31">
        <f>IF($F133="","",IFERROR(INDEX(設定!$E$5:$E$20,MATCH($F133,設定!$B$5:$B$20,0)),""))</f>
        <v/>
      </c>
      <c r="I133" s="31">
        <f>IFERROR(INDEX(打卡匯入!$C$3:$C$1002,MATCH($C133&amp;"|"&amp;DAY($A133),打卡匯入!$E$3:$E$1002,0)),"")</f>
        <v/>
      </c>
      <c r="J133" s="31">
        <f>IFERROR(INDEX(打卡匯入!$D$3:$D$1002,MATCH($C133&amp;"|"&amp;DAY($A133),打卡匯入!$E$3:$E$1002,0)),"")</f>
        <v/>
      </c>
      <c r="K133" s="32">
        <f>IF(OR($I133="",$J133=""),"",IFERROR(INDEX(設定!$F$5:$F$20,MATCH($F133,設定!$B$5:$B$20,0)),0))</f>
        <v/>
      </c>
      <c r="L133" s="33">
        <f>IF(OR($I133="",$J133=""),"",ROUND(($J133-$I133)*24-$K133/60,2))</f>
        <v/>
      </c>
      <c r="M133" s="29">
        <f>IF($C133="","",IF(AND(COUNTIF(設定!$B$14:$B$20,$F133)&gt;0,$I133&lt;&gt;""),"假日出勤",IF(AND(COUNTIF(設定!$B$5:$B$13,$F133)&gt;0,$I133=""),"未打卡",IF($I133="","",IF($N133&gt;0,"遲到",IF($O133&gt;0,"早退","正常"))))))</f>
        <v/>
      </c>
      <c r="N133" s="32">
        <f>IF(OR($C133="",$G133="",$I133=""),0,IF(ROUND(($I133-$G133)*1440,0)&gt;設定!$C$28,ROUND(($I133-$G133)*1440,0),0))</f>
        <v/>
      </c>
      <c r="O133" s="32">
        <f>IF(OR($C133="",$H133="",$J133=""),0,IF(ROUND(($H133-$J133)*1440,0)&gt;設定!$C$28,ROUND(($H133-$J133)*1440,0),0))</f>
        <v/>
      </c>
      <c r="P133" s="33">
        <f>IF($L133="",0,IF(($L133-IFERROR(INDEX(設定!$G$5:$G$20,MATCH($F133,設定!$B$5:$B$20,0)),0))*60&gt;=設定!$C$26,ROUND(FLOOR(($L133-IFERROR(INDEX(設定!$G$5:$G$20,MATCH($F133,設定!$B$5:$B$20,0)),0))*60,設定!$C$27)/60,2),0))</f>
        <v/>
      </c>
      <c r="Q133" s="29">
        <f>IF(OR($C133="",$P133=0),"",IF($F133="國","國定假日",IF($B133="日","例假",IF($B133="六","休息日","平日"))))</f>
        <v/>
      </c>
      <c r="R133" s="34" t="n"/>
    </row>
    <row r="134">
      <c r="A134" s="30">
        <f>IF(OR(班表!$A10="",8&gt;DAY(EOMONTH(DATE(班表!$E$2,班表!$G$2,1),0))),"",DATE(班表!$E$2,班表!$G$2,8))</f>
        <v/>
      </c>
      <c r="B134" s="29">
        <f>IF($A134="","",INDEX(設定!$L$5:$L$11,WEEKDAY($A134,1)))</f>
        <v/>
      </c>
      <c r="C134" s="29">
        <f>IF($A134="","",班表!$A10)</f>
        <v/>
      </c>
      <c r="D134" s="29">
        <f>IF($C134="","",班表!$B10)</f>
        <v/>
      </c>
      <c r="E134" s="29">
        <f>IF($C134="","",班表!$C10)</f>
        <v/>
      </c>
      <c r="F134" s="29">
        <f>IF($C134="","",班表!K10)</f>
        <v/>
      </c>
      <c r="G134" s="31">
        <f>IF($F134="","",IFERROR(INDEX(設定!$D$5:$D$20,MATCH($F134,設定!$B$5:$B$20,0)),""))</f>
        <v/>
      </c>
      <c r="H134" s="31">
        <f>IF($F134="","",IFERROR(INDEX(設定!$E$5:$E$20,MATCH($F134,設定!$B$5:$B$20,0)),""))</f>
        <v/>
      </c>
      <c r="I134" s="31">
        <f>IFERROR(INDEX(打卡匯入!$C$3:$C$1002,MATCH($C134&amp;"|"&amp;DAY($A134),打卡匯入!$E$3:$E$1002,0)),"")</f>
        <v/>
      </c>
      <c r="J134" s="31">
        <f>IFERROR(INDEX(打卡匯入!$D$3:$D$1002,MATCH($C134&amp;"|"&amp;DAY($A134),打卡匯入!$E$3:$E$1002,0)),"")</f>
        <v/>
      </c>
      <c r="K134" s="32">
        <f>IF(OR($I134="",$J134=""),"",IFERROR(INDEX(設定!$F$5:$F$20,MATCH($F134,設定!$B$5:$B$20,0)),0))</f>
        <v/>
      </c>
      <c r="L134" s="33">
        <f>IF(OR($I134="",$J134=""),"",ROUND(($J134-$I134)*24-$K134/60,2))</f>
        <v/>
      </c>
      <c r="M134" s="29">
        <f>IF($C134="","",IF(AND(COUNTIF(設定!$B$14:$B$20,$F134)&gt;0,$I134&lt;&gt;""),"假日出勤",IF(AND(COUNTIF(設定!$B$5:$B$13,$F134)&gt;0,$I134=""),"未打卡",IF($I134="","",IF($N134&gt;0,"遲到",IF($O134&gt;0,"早退","正常"))))))</f>
        <v/>
      </c>
      <c r="N134" s="32">
        <f>IF(OR($C134="",$G134="",$I134=""),0,IF(ROUND(($I134-$G134)*1440,0)&gt;設定!$C$28,ROUND(($I134-$G134)*1440,0),0))</f>
        <v/>
      </c>
      <c r="O134" s="32">
        <f>IF(OR($C134="",$H134="",$J134=""),0,IF(ROUND(($H134-$J134)*1440,0)&gt;設定!$C$28,ROUND(($H134-$J134)*1440,0),0))</f>
        <v/>
      </c>
      <c r="P134" s="33">
        <f>IF($L134="",0,IF(($L134-IFERROR(INDEX(設定!$G$5:$G$20,MATCH($F134,設定!$B$5:$B$20,0)),0))*60&gt;=設定!$C$26,ROUND(FLOOR(($L134-IFERROR(INDEX(設定!$G$5:$G$20,MATCH($F134,設定!$B$5:$B$20,0)),0))*60,設定!$C$27)/60,2),0))</f>
        <v/>
      </c>
      <c r="Q134" s="29">
        <f>IF(OR($C134="",$P134=0),"",IF($F134="國","國定假日",IF($B134="日","例假",IF($B134="六","休息日","平日"))))</f>
        <v/>
      </c>
      <c r="R134" s="34" t="n"/>
    </row>
    <row r="135">
      <c r="A135" s="30">
        <f>IF(OR(班表!$A10="",9&gt;DAY(EOMONTH(DATE(班表!$E$2,班表!$G$2,1),0))),"",DATE(班表!$E$2,班表!$G$2,9))</f>
        <v/>
      </c>
      <c r="B135" s="29">
        <f>IF($A135="","",INDEX(設定!$L$5:$L$11,WEEKDAY($A135,1)))</f>
        <v/>
      </c>
      <c r="C135" s="29">
        <f>IF($A135="","",班表!$A10)</f>
        <v/>
      </c>
      <c r="D135" s="29">
        <f>IF($C135="","",班表!$B10)</f>
        <v/>
      </c>
      <c r="E135" s="29">
        <f>IF($C135="","",班表!$C10)</f>
        <v/>
      </c>
      <c r="F135" s="29">
        <f>IF($C135="","",班表!L10)</f>
        <v/>
      </c>
      <c r="G135" s="31">
        <f>IF($F135="","",IFERROR(INDEX(設定!$D$5:$D$20,MATCH($F135,設定!$B$5:$B$20,0)),""))</f>
        <v/>
      </c>
      <c r="H135" s="31">
        <f>IF($F135="","",IFERROR(INDEX(設定!$E$5:$E$20,MATCH($F135,設定!$B$5:$B$20,0)),""))</f>
        <v/>
      </c>
      <c r="I135" s="31">
        <f>IFERROR(INDEX(打卡匯入!$C$3:$C$1002,MATCH($C135&amp;"|"&amp;DAY($A135),打卡匯入!$E$3:$E$1002,0)),"")</f>
        <v/>
      </c>
      <c r="J135" s="31">
        <f>IFERROR(INDEX(打卡匯入!$D$3:$D$1002,MATCH($C135&amp;"|"&amp;DAY($A135),打卡匯入!$E$3:$E$1002,0)),"")</f>
        <v/>
      </c>
      <c r="K135" s="32">
        <f>IF(OR($I135="",$J135=""),"",IFERROR(INDEX(設定!$F$5:$F$20,MATCH($F135,設定!$B$5:$B$20,0)),0))</f>
        <v/>
      </c>
      <c r="L135" s="33">
        <f>IF(OR($I135="",$J135=""),"",ROUND(($J135-$I135)*24-$K135/60,2))</f>
        <v/>
      </c>
      <c r="M135" s="29">
        <f>IF($C135="","",IF(AND(COUNTIF(設定!$B$14:$B$20,$F135)&gt;0,$I135&lt;&gt;""),"假日出勤",IF(AND(COUNTIF(設定!$B$5:$B$13,$F135)&gt;0,$I135=""),"未打卡",IF($I135="","",IF($N135&gt;0,"遲到",IF($O135&gt;0,"早退","正常"))))))</f>
        <v/>
      </c>
      <c r="N135" s="32">
        <f>IF(OR($C135="",$G135="",$I135=""),0,IF(ROUND(($I135-$G135)*1440,0)&gt;設定!$C$28,ROUND(($I135-$G135)*1440,0),0))</f>
        <v/>
      </c>
      <c r="O135" s="32">
        <f>IF(OR($C135="",$H135="",$J135=""),0,IF(ROUND(($H135-$J135)*1440,0)&gt;設定!$C$28,ROUND(($H135-$J135)*1440,0),0))</f>
        <v/>
      </c>
      <c r="P135" s="33">
        <f>IF($L135="",0,IF(($L135-IFERROR(INDEX(設定!$G$5:$G$20,MATCH($F135,設定!$B$5:$B$20,0)),0))*60&gt;=設定!$C$26,ROUND(FLOOR(($L135-IFERROR(INDEX(設定!$G$5:$G$20,MATCH($F135,設定!$B$5:$B$20,0)),0))*60,設定!$C$27)/60,2),0))</f>
        <v/>
      </c>
      <c r="Q135" s="29">
        <f>IF(OR($C135="",$P135=0),"",IF($F135="國","國定假日",IF($B135="日","例假",IF($B135="六","休息日","平日"))))</f>
        <v/>
      </c>
      <c r="R135" s="34" t="n"/>
    </row>
    <row r="136">
      <c r="A136" s="30">
        <f>IF(OR(班表!$A10="",10&gt;DAY(EOMONTH(DATE(班表!$E$2,班表!$G$2,1),0))),"",DATE(班表!$E$2,班表!$G$2,10))</f>
        <v/>
      </c>
      <c r="B136" s="29">
        <f>IF($A136="","",INDEX(設定!$L$5:$L$11,WEEKDAY($A136,1)))</f>
        <v/>
      </c>
      <c r="C136" s="29">
        <f>IF($A136="","",班表!$A10)</f>
        <v/>
      </c>
      <c r="D136" s="29">
        <f>IF($C136="","",班表!$B10)</f>
        <v/>
      </c>
      <c r="E136" s="29">
        <f>IF($C136="","",班表!$C10)</f>
        <v/>
      </c>
      <c r="F136" s="29">
        <f>IF($C136="","",班表!M10)</f>
        <v/>
      </c>
      <c r="G136" s="31">
        <f>IF($F136="","",IFERROR(INDEX(設定!$D$5:$D$20,MATCH($F136,設定!$B$5:$B$20,0)),""))</f>
        <v/>
      </c>
      <c r="H136" s="31">
        <f>IF($F136="","",IFERROR(INDEX(設定!$E$5:$E$20,MATCH($F136,設定!$B$5:$B$20,0)),""))</f>
        <v/>
      </c>
      <c r="I136" s="31">
        <f>IFERROR(INDEX(打卡匯入!$C$3:$C$1002,MATCH($C136&amp;"|"&amp;DAY($A136),打卡匯入!$E$3:$E$1002,0)),"")</f>
        <v/>
      </c>
      <c r="J136" s="31">
        <f>IFERROR(INDEX(打卡匯入!$D$3:$D$1002,MATCH($C136&amp;"|"&amp;DAY($A136),打卡匯入!$E$3:$E$1002,0)),"")</f>
        <v/>
      </c>
      <c r="K136" s="32">
        <f>IF(OR($I136="",$J136=""),"",IFERROR(INDEX(設定!$F$5:$F$20,MATCH($F136,設定!$B$5:$B$20,0)),0))</f>
        <v/>
      </c>
      <c r="L136" s="33">
        <f>IF(OR($I136="",$J136=""),"",ROUND(($J136-$I136)*24-$K136/60,2))</f>
        <v/>
      </c>
      <c r="M136" s="29">
        <f>IF($C136="","",IF(AND(COUNTIF(設定!$B$14:$B$20,$F136)&gt;0,$I136&lt;&gt;""),"假日出勤",IF(AND(COUNTIF(設定!$B$5:$B$13,$F136)&gt;0,$I136=""),"未打卡",IF($I136="","",IF($N136&gt;0,"遲到",IF($O136&gt;0,"早退","正常"))))))</f>
        <v/>
      </c>
      <c r="N136" s="32">
        <f>IF(OR($C136="",$G136="",$I136=""),0,IF(ROUND(($I136-$G136)*1440,0)&gt;設定!$C$28,ROUND(($I136-$G136)*1440,0),0))</f>
        <v/>
      </c>
      <c r="O136" s="32">
        <f>IF(OR($C136="",$H136="",$J136=""),0,IF(ROUND(($H136-$J136)*1440,0)&gt;設定!$C$28,ROUND(($H136-$J136)*1440,0),0))</f>
        <v/>
      </c>
      <c r="P136" s="33">
        <f>IF($L136="",0,IF(($L136-IFERROR(INDEX(設定!$G$5:$G$20,MATCH($F136,設定!$B$5:$B$20,0)),0))*60&gt;=設定!$C$26,ROUND(FLOOR(($L136-IFERROR(INDEX(設定!$G$5:$G$20,MATCH($F136,設定!$B$5:$B$20,0)),0))*60,設定!$C$27)/60,2),0))</f>
        <v/>
      </c>
      <c r="Q136" s="29">
        <f>IF(OR($C136="",$P136=0),"",IF($F136="國","國定假日",IF($B136="日","例假",IF($B136="六","休息日","平日"))))</f>
        <v/>
      </c>
      <c r="R136" s="34" t="n"/>
    </row>
    <row r="137">
      <c r="A137" s="30">
        <f>IF(OR(班表!$A10="",11&gt;DAY(EOMONTH(DATE(班表!$E$2,班表!$G$2,1),0))),"",DATE(班表!$E$2,班表!$G$2,11))</f>
        <v/>
      </c>
      <c r="B137" s="29">
        <f>IF($A137="","",INDEX(設定!$L$5:$L$11,WEEKDAY($A137,1)))</f>
        <v/>
      </c>
      <c r="C137" s="29">
        <f>IF($A137="","",班表!$A10)</f>
        <v/>
      </c>
      <c r="D137" s="29">
        <f>IF($C137="","",班表!$B10)</f>
        <v/>
      </c>
      <c r="E137" s="29">
        <f>IF($C137="","",班表!$C10)</f>
        <v/>
      </c>
      <c r="F137" s="29">
        <f>IF($C137="","",班表!N10)</f>
        <v/>
      </c>
      <c r="G137" s="31">
        <f>IF($F137="","",IFERROR(INDEX(設定!$D$5:$D$20,MATCH($F137,設定!$B$5:$B$20,0)),""))</f>
        <v/>
      </c>
      <c r="H137" s="31">
        <f>IF($F137="","",IFERROR(INDEX(設定!$E$5:$E$20,MATCH($F137,設定!$B$5:$B$20,0)),""))</f>
        <v/>
      </c>
      <c r="I137" s="31">
        <f>IFERROR(INDEX(打卡匯入!$C$3:$C$1002,MATCH($C137&amp;"|"&amp;DAY($A137),打卡匯入!$E$3:$E$1002,0)),"")</f>
        <v/>
      </c>
      <c r="J137" s="31">
        <f>IFERROR(INDEX(打卡匯入!$D$3:$D$1002,MATCH($C137&amp;"|"&amp;DAY($A137),打卡匯入!$E$3:$E$1002,0)),"")</f>
        <v/>
      </c>
      <c r="K137" s="32">
        <f>IF(OR($I137="",$J137=""),"",IFERROR(INDEX(設定!$F$5:$F$20,MATCH($F137,設定!$B$5:$B$20,0)),0))</f>
        <v/>
      </c>
      <c r="L137" s="33">
        <f>IF(OR($I137="",$J137=""),"",ROUND(($J137-$I137)*24-$K137/60,2))</f>
        <v/>
      </c>
      <c r="M137" s="29">
        <f>IF($C137="","",IF(AND(COUNTIF(設定!$B$14:$B$20,$F137)&gt;0,$I137&lt;&gt;""),"假日出勤",IF(AND(COUNTIF(設定!$B$5:$B$13,$F137)&gt;0,$I137=""),"未打卡",IF($I137="","",IF($N137&gt;0,"遲到",IF($O137&gt;0,"早退","正常"))))))</f>
        <v/>
      </c>
      <c r="N137" s="32">
        <f>IF(OR($C137="",$G137="",$I137=""),0,IF(ROUND(($I137-$G137)*1440,0)&gt;設定!$C$28,ROUND(($I137-$G137)*1440,0),0))</f>
        <v/>
      </c>
      <c r="O137" s="32">
        <f>IF(OR($C137="",$H137="",$J137=""),0,IF(ROUND(($H137-$J137)*1440,0)&gt;設定!$C$28,ROUND(($H137-$J137)*1440,0),0))</f>
        <v/>
      </c>
      <c r="P137" s="33">
        <f>IF($L137="",0,IF(($L137-IFERROR(INDEX(設定!$G$5:$G$20,MATCH($F137,設定!$B$5:$B$20,0)),0))*60&gt;=設定!$C$26,ROUND(FLOOR(($L137-IFERROR(INDEX(設定!$G$5:$G$20,MATCH($F137,設定!$B$5:$B$20,0)),0))*60,設定!$C$27)/60,2),0))</f>
        <v/>
      </c>
      <c r="Q137" s="29">
        <f>IF(OR($C137="",$P137=0),"",IF($F137="國","國定假日",IF($B137="日","例假",IF($B137="六","休息日","平日"))))</f>
        <v/>
      </c>
      <c r="R137" s="34" t="n"/>
    </row>
    <row r="138">
      <c r="A138" s="30">
        <f>IF(OR(班表!$A10="",12&gt;DAY(EOMONTH(DATE(班表!$E$2,班表!$G$2,1),0))),"",DATE(班表!$E$2,班表!$G$2,12))</f>
        <v/>
      </c>
      <c r="B138" s="29">
        <f>IF($A138="","",INDEX(設定!$L$5:$L$11,WEEKDAY($A138,1)))</f>
        <v/>
      </c>
      <c r="C138" s="29">
        <f>IF($A138="","",班表!$A10)</f>
        <v/>
      </c>
      <c r="D138" s="29">
        <f>IF($C138="","",班表!$B10)</f>
        <v/>
      </c>
      <c r="E138" s="29">
        <f>IF($C138="","",班表!$C10)</f>
        <v/>
      </c>
      <c r="F138" s="29">
        <f>IF($C138="","",班表!O10)</f>
        <v/>
      </c>
      <c r="G138" s="31">
        <f>IF($F138="","",IFERROR(INDEX(設定!$D$5:$D$20,MATCH($F138,設定!$B$5:$B$20,0)),""))</f>
        <v/>
      </c>
      <c r="H138" s="31">
        <f>IF($F138="","",IFERROR(INDEX(設定!$E$5:$E$20,MATCH($F138,設定!$B$5:$B$20,0)),""))</f>
        <v/>
      </c>
      <c r="I138" s="31">
        <f>IFERROR(INDEX(打卡匯入!$C$3:$C$1002,MATCH($C138&amp;"|"&amp;DAY($A138),打卡匯入!$E$3:$E$1002,0)),"")</f>
        <v/>
      </c>
      <c r="J138" s="31">
        <f>IFERROR(INDEX(打卡匯入!$D$3:$D$1002,MATCH($C138&amp;"|"&amp;DAY($A138),打卡匯入!$E$3:$E$1002,0)),"")</f>
        <v/>
      </c>
      <c r="K138" s="32">
        <f>IF(OR($I138="",$J138=""),"",IFERROR(INDEX(設定!$F$5:$F$20,MATCH($F138,設定!$B$5:$B$20,0)),0))</f>
        <v/>
      </c>
      <c r="L138" s="33">
        <f>IF(OR($I138="",$J138=""),"",ROUND(($J138-$I138)*24-$K138/60,2))</f>
        <v/>
      </c>
      <c r="M138" s="29">
        <f>IF($C138="","",IF(AND(COUNTIF(設定!$B$14:$B$20,$F138)&gt;0,$I138&lt;&gt;""),"假日出勤",IF(AND(COUNTIF(設定!$B$5:$B$13,$F138)&gt;0,$I138=""),"未打卡",IF($I138="","",IF($N138&gt;0,"遲到",IF($O138&gt;0,"早退","正常"))))))</f>
        <v/>
      </c>
      <c r="N138" s="32">
        <f>IF(OR($C138="",$G138="",$I138=""),0,IF(ROUND(($I138-$G138)*1440,0)&gt;設定!$C$28,ROUND(($I138-$G138)*1440,0),0))</f>
        <v/>
      </c>
      <c r="O138" s="32">
        <f>IF(OR($C138="",$H138="",$J138=""),0,IF(ROUND(($H138-$J138)*1440,0)&gt;設定!$C$28,ROUND(($H138-$J138)*1440,0),0))</f>
        <v/>
      </c>
      <c r="P138" s="33">
        <f>IF($L138="",0,IF(($L138-IFERROR(INDEX(設定!$G$5:$G$20,MATCH($F138,設定!$B$5:$B$20,0)),0))*60&gt;=設定!$C$26,ROUND(FLOOR(($L138-IFERROR(INDEX(設定!$G$5:$G$20,MATCH($F138,設定!$B$5:$B$20,0)),0))*60,設定!$C$27)/60,2),0))</f>
        <v/>
      </c>
      <c r="Q138" s="29">
        <f>IF(OR($C138="",$P138=0),"",IF($F138="國","國定假日",IF($B138="日","例假",IF($B138="六","休息日","平日"))))</f>
        <v/>
      </c>
      <c r="R138" s="34" t="n"/>
    </row>
    <row r="139">
      <c r="A139" s="30">
        <f>IF(OR(班表!$A10="",13&gt;DAY(EOMONTH(DATE(班表!$E$2,班表!$G$2,1),0))),"",DATE(班表!$E$2,班表!$G$2,13))</f>
        <v/>
      </c>
      <c r="B139" s="29">
        <f>IF($A139="","",INDEX(設定!$L$5:$L$11,WEEKDAY($A139,1)))</f>
        <v/>
      </c>
      <c r="C139" s="29">
        <f>IF($A139="","",班表!$A10)</f>
        <v/>
      </c>
      <c r="D139" s="29">
        <f>IF($C139="","",班表!$B10)</f>
        <v/>
      </c>
      <c r="E139" s="29">
        <f>IF($C139="","",班表!$C10)</f>
        <v/>
      </c>
      <c r="F139" s="29">
        <f>IF($C139="","",班表!P10)</f>
        <v/>
      </c>
      <c r="G139" s="31">
        <f>IF($F139="","",IFERROR(INDEX(設定!$D$5:$D$20,MATCH($F139,設定!$B$5:$B$20,0)),""))</f>
        <v/>
      </c>
      <c r="H139" s="31">
        <f>IF($F139="","",IFERROR(INDEX(設定!$E$5:$E$20,MATCH($F139,設定!$B$5:$B$20,0)),""))</f>
        <v/>
      </c>
      <c r="I139" s="31">
        <f>IFERROR(INDEX(打卡匯入!$C$3:$C$1002,MATCH($C139&amp;"|"&amp;DAY($A139),打卡匯入!$E$3:$E$1002,0)),"")</f>
        <v/>
      </c>
      <c r="J139" s="31">
        <f>IFERROR(INDEX(打卡匯入!$D$3:$D$1002,MATCH($C139&amp;"|"&amp;DAY($A139),打卡匯入!$E$3:$E$1002,0)),"")</f>
        <v/>
      </c>
      <c r="K139" s="32">
        <f>IF(OR($I139="",$J139=""),"",IFERROR(INDEX(設定!$F$5:$F$20,MATCH($F139,設定!$B$5:$B$20,0)),0))</f>
        <v/>
      </c>
      <c r="L139" s="33">
        <f>IF(OR($I139="",$J139=""),"",ROUND(($J139-$I139)*24-$K139/60,2))</f>
        <v/>
      </c>
      <c r="M139" s="29">
        <f>IF($C139="","",IF(AND(COUNTIF(設定!$B$14:$B$20,$F139)&gt;0,$I139&lt;&gt;""),"假日出勤",IF(AND(COUNTIF(設定!$B$5:$B$13,$F139)&gt;0,$I139=""),"未打卡",IF($I139="","",IF($N139&gt;0,"遲到",IF($O139&gt;0,"早退","正常"))))))</f>
        <v/>
      </c>
      <c r="N139" s="32">
        <f>IF(OR($C139="",$G139="",$I139=""),0,IF(ROUND(($I139-$G139)*1440,0)&gt;設定!$C$28,ROUND(($I139-$G139)*1440,0),0))</f>
        <v/>
      </c>
      <c r="O139" s="32">
        <f>IF(OR($C139="",$H139="",$J139=""),0,IF(ROUND(($H139-$J139)*1440,0)&gt;設定!$C$28,ROUND(($H139-$J139)*1440,0),0))</f>
        <v/>
      </c>
      <c r="P139" s="33">
        <f>IF($L139="",0,IF(($L139-IFERROR(INDEX(設定!$G$5:$G$20,MATCH($F139,設定!$B$5:$B$20,0)),0))*60&gt;=設定!$C$26,ROUND(FLOOR(($L139-IFERROR(INDEX(設定!$G$5:$G$20,MATCH($F139,設定!$B$5:$B$20,0)),0))*60,設定!$C$27)/60,2),0))</f>
        <v/>
      </c>
      <c r="Q139" s="29">
        <f>IF(OR($C139="",$P139=0),"",IF($F139="國","國定假日",IF($B139="日","例假",IF($B139="六","休息日","平日"))))</f>
        <v/>
      </c>
      <c r="R139" s="34" t="n"/>
    </row>
    <row r="140">
      <c r="A140" s="30">
        <f>IF(OR(班表!$A10="",14&gt;DAY(EOMONTH(DATE(班表!$E$2,班表!$G$2,1),0))),"",DATE(班表!$E$2,班表!$G$2,14))</f>
        <v/>
      </c>
      <c r="B140" s="29">
        <f>IF($A140="","",INDEX(設定!$L$5:$L$11,WEEKDAY($A140,1)))</f>
        <v/>
      </c>
      <c r="C140" s="29">
        <f>IF($A140="","",班表!$A10)</f>
        <v/>
      </c>
      <c r="D140" s="29">
        <f>IF($C140="","",班表!$B10)</f>
        <v/>
      </c>
      <c r="E140" s="29">
        <f>IF($C140="","",班表!$C10)</f>
        <v/>
      </c>
      <c r="F140" s="29">
        <f>IF($C140="","",班表!Q10)</f>
        <v/>
      </c>
      <c r="G140" s="31">
        <f>IF($F140="","",IFERROR(INDEX(設定!$D$5:$D$20,MATCH($F140,設定!$B$5:$B$20,0)),""))</f>
        <v/>
      </c>
      <c r="H140" s="31">
        <f>IF($F140="","",IFERROR(INDEX(設定!$E$5:$E$20,MATCH($F140,設定!$B$5:$B$20,0)),""))</f>
        <v/>
      </c>
      <c r="I140" s="31">
        <f>IFERROR(INDEX(打卡匯入!$C$3:$C$1002,MATCH($C140&amp;"|"&amp;DAY($A140),打卡匯入!$E$3:$E$1002,0)),"")</f>
        <v/>
      </c>
      <c r="J140" s="31">
        <f>IFERROR(INDEX(打卡匯入!$D$3:$D$1002,MATCH($C140&amp;"|"&amp;DAY($A140),打卡匯入!$E$3:$E$1002,0)),"")</f>
        <v/>
      </c>
      <c r="K140" s="32">
        <f>IF(OR($I140="",$J140=""),"",IFERROR(INDEX(設定!$F$5:$F$20,MATCH($F140,設定!$B$5:$B$20,0)),0))</f>
        <v/>
      </c>
      <c r="L140" s="33">
        <f>IF(OR($I140="",$J140=""),"",ROUND(($J140-$I140)*24-$K140/60,2))</f>
        <v/>
      </c>
      <c r="M140" s="29">
        <f>IF($C140="","",IF(AND(COUNTIF(設定!$B$14:$B$20,$F140)&gt;0,$I140&lt;&gt;""),"假日出勤",IF(AND(COUNTIF(設定!$B$5:$B$13,$F140)&gt;0,$I140=""),"未打卡",IF($I140="","",IF($N140&gt;0,"遲到",IF($O140&gt;0,"早退","正常"))))))</f>
        <v/>
      </c>
      <c r="N140" s="32">
        <f>IF(OR($C140="",$G140="",$I140=""),0,IF(ROUND(($I140-$G140)*1440,0)&gt;設定!$C$28,ROUND(($I140-$G140)*1440,0),0))</f>
        <v/>
      </c>
      <c r="O140" s="32">
        <f>IF(OR($C140="",$H140="",$J140=""),0,IF(ROUND(($H140-$J140)*1440,0)&gt;設定!$C$28,ROUND(($H140-$J140)*1440,0),0))</f>
        <v/>
      </c>
      <c r="P140" s="33">
        <f>IF($L140="",0,IF(($L140-IFERROR(INDEX(設定!$G$5:$G$20,MATCH($F140,設定!$B$5:$B$20,0)),0))*60&gt;=設定!$C$26,ROUND(FLOOR(($L140-IFERROR(INDEX(設定!$G$5:$G$20,MATCH($F140,設定!$B$5:$B$20,0)),0))*60,設定!$C$27)/60,2),0))</f>
        <v/>
      </c>
      <c r="Q140" s="29">
        <f>IF(OR($C140="",$P140=0),"",IF($F140="國","國定假日",IF($B140="日","例假",IF($B140="六","休息日","平日"))))</f>
        <v/>
      </c>
      <c r="R140" s="34" t="n"/>
    </row>
    <row r="141">
      <c r="A141" s="30">
        <f>IF(OR(班表!$A10="",15&gt;DAY(EOMONTH(DATE(班表!$E$2,班表!$G$2,1),0))),"",DATE(班表!$E$2,班表!$G$2,15))</f>
        <v/>
      </c>
      <c r="B141" s="29">
        <f>IF($A141="","",INDEX(設定!$L$5:$L$11,WEEKDAY($A141,1)))</f>
        <v/>
      </c>
      <c r="C141" s="29">
        <f>IF($A141="","",班表!$A10)</f>
        <v/>
      </c>
      <c r="D141" s="29">
        <f>IF($C141="","",班表!$B10)</f>
        <v/>
      </c>
      <c r="E141" s="29">
        <f>IF($C141="","",班表!$C10)</f>
        <v/>
      </c>
      <c r="F141" s="29">
        <f>IF($C141="","",班表!R10)</f>
        <v/>
      </c>
      <c r="G141" s="31">
        <f>IF($F141="","",IFERROR(INDEX(設定!$D$5:$D$20,MATCH($F141,設定!$B$5:$B$20,0)),""))</f>
        <v/>
      </c>
      <c r="H141" s="31">
        <f>IF($F141="","",IFERROR(INDEX(設定!$E$5:$E$20,MATCH($F141,設定!$B$5:$B$20,0)),""))</f>
        <v/>
      </c>
      <c r="I141" s="31">
        <f>IFERROR(INDEX(打卡匯入!$C$3:$C$1002,MATCH($C141&amp;"|"&amp;DAY($A141),打卡匯入!$E$3:$E$1002,0)),"")</f>
        <v/>
      </c>
      <c r="J141" s="31">
        <f>IFERROR(INDEX(打卡匯入!$D$3:$D$1002,MATCH($C141&amp;"|"&amp;DAY($A141),打卡匯入!$E$3:$E$1002,0)),"")</f>
        <v/>
      </c>
      <c r="K141" s="32">
        <f>IF(OR($I141="",$J141=""),"",IFERROR(INDEX(設定!$F$5:$F$20,MATCH($F141,設定!$B$5:$B$20,0)),0))</f>
        <v/>
      </c>
      <c r="L141" s="33">
        <f>IF(OR($I141="",$J141=""),"",ROUND(($J141-$I141)*24-$K141/60,2))</f>
        <v/>
      </c>
      <c r="M141" s="29">
        <f>IF($C141="","",IF(AND(COUNTIF(設定!$B$14:$B$20,$F141)&gt;0,$I141&lt;&gt;""),"假日出勤",IF(AND(COUNTIF(設定!$B$5:$B$13,$F141)&gt;0,$I141=""),"未打卡",IF($I141="","",IF($N141&gt;0,"遲到",IF($O141&gt;0,"早退","正常"))))))</f>
        <v/>
      </c>
      <c r="N141" s="32">
        <f>IF(OR($C141="",$G141="",$I141=""),0,IF(ROUND(($I141-$G141)*1440,0)&gt;設定!$C$28,ROUND(($I141-$G141)*1440,0),0))</f>
        <v/>
      </c>
      <c r="O141" s="32">
        <f>IF(OR($C141="",$H141="",$J141=""),0,IF(ROUND(($H141-$J141)*1440,0)&gt;設定!$C$28,ROUND(($H141-$J141)*1440,0),0))</f>
        <v/>
      </c>
      <c r="P141" s="33">
        <f>IF($L141="",0,IF(($L141-IFERROR(INDEX(設定!$G$5:$G$20,MATCH($F141,設定!$B$5:$B$20,0)),0))*60&gt;=設定!$C$26,ROUND(FLOOR(($L141-IFERROR(INDEX(設定!$G$5:$G$20,MATCH($F141,設定!$B$5:$B$20,0)),0))*60,設定!$C$27)/60,2),0))</f>
        <v/>
      </c>
      <c r="Q141" s="29">
        <f>IF(OR($C141="",$P141=0),"",IF($F141="國","國定假日",IF($B141="日","例假",IF($B141="六","休息日","平日"))))</f>
        <v/>
      </c>
      <c r="R141" s="34" t="n"/>
    </row>
    <row r="142">
      <c r="A142" s="30">
        <f>IF(OR(班表!$A10="",16&gt;DAY(EOMONTH(DATE(班表!$E$2,班表!$G$2,1),0))),"",DATE(班表!$E$2,班表!$G$2,16))</f>
        <v/>
      </c>
      <c r="B142" s="29">
        <f>IF($A142="","",INDEX(設定!$L$5:$L$11,WEEKDAY($A142,1)))</f>
        <v/>
      </c>
      <c r="C142" s="29">
        <f>IF($A142="","",班表!$A10)</f>
        <v/>
      </c>
      <c r="D142" s="29">
        <f>IF($C142="","",班表!$B10)</f>
        <v/>
      </c>
      <c r="E142" s="29">
        <f>IF($C142="","",班表!$C10)</f>
        <v/>
      </c>
      <c r="F142" s="29">
        <f>IF($C142="","",班表!S10)</f>
        <v/>
      </c>
      <c r="G142" s="31">
        <f>IF($F142="","",IFERROR(INDEX(設定!$D$5:$D$20,MATCH($F142,設定!$B$5:$B$20,0)),""))</f>
        <v/>
      </c>
      <c r="H142" s="31">
        <f>IF($F142="","",IFERROR(INDEX(設定!$E$5:$E$20,MATCH($F142,設定!$B$5:$B$20,0)),""))</f>
        <v/>
      </c>
      <c r="I142" s="31">
        <f>IFERROR(INDEX(打卡匯入!$C$3:$C$1002,MATCH($C142&amp;"|"&amp;DAY($A142),打卡匯入!$E$3:$E$1002,0)),"")</f>
        <v/>
      </c>
      <c r="J142" s="31">
        <f>IFERROR(INDEX(打卡匯入!$D$3:$D$1002,MATCH($C142&amp;"|"&amp;DAY($A142),打卡匯入!$E$3:$E$1002,0)),"")</f>
        <v/>
      </c>
      <c r="K142" s="32">
        <f>IF(OR($I142="",$J142=""),"",IFERROR(INDEX(設定!$F$5:$F$20,MATCH($F142,設定!$B$5:$B$20,0)),0))</f>
        <v/>
      </c>
      <c r="L142" s="33">
        <f>IF(OR($I142="",$J142=""),"",ROUND(($J142-$I142)*24-$K142/60,2))</f>
        <v/>
      </c>
      <c r="M142" s="29">
        <f>IF($C142="","",IF(AND(COUNTIF(設定!$B$14:$B$20,$F142)&gt;0,$I142&lt;&gt;""),"假日出勤",IF(AND(COUNTIF(設定!$B$5:$B$13,$F142)&gt;0,$I142=""),"未打卡",IF($I142="","",IF($N142&gt;0,"遲到",IF($O142&gt;0,"早退","正常"))))))</f>
        <v/>
      </c>
      <c r="N142" s="32">
        <f>IF(OR($C142="",$G142="",$I142=""),0,IF(ROUND(($I142-$G142)*1440,0)&gt;設定!$C$28,ROUND(($I142-$G142)*1440,0),0))</f>
        <v/>
      </c>
      <c r="O142" s="32">
        <f>IF(OR($C142="",$H142="",$J142=""),0,IF(ROUND(($H142-$J142)*1440,0)&gt;設定!$C$28,ROUND(($H142-$J142)*1440,0),0))</f>
        <v/>
      </c>
      <c r="P142" s="33">
        <f>IF($L142="",0,IF(($L142-IFERROR(INDEX(設定!$G$5:$G$20,MATCH($F142,設定!$B$5:$B$20,0)),0))*60&gt;=設定!$C$26,ROUND(FLOOR(($L142-IFERROR(INDEX(設定!$G$5:$G$20,MATCH($F142,設定!$B$5:$B$20,0)),0))*60,設定!$C$27)/60,2),0))</f>
        <v/>
      </c>
      <c r="Q142" s="29">
        <f>IF(OR($C142="",$P142=0),"",IF($F142="國","國定假日",IF($B142="日","例假",IF($B142="六","休息日","平日"))))</f>
        <v/>
      </c>
      <c r="R142" s="34" t="n"/>
    </row>
    <row r="143">
      <c r="A143" s="30">
        <f>IF(OR(班表!$A10="",17&gt;DAY(EOMONTH(DATE(班表!$E$2,班表!$G$2,1),0))),"",DATE(班表!$E$2,班表!$G$2,17))</f>
        <v/>
      </c>
      <c r="B143" s="29">
        <f>IF($A143="","",INDEX(設定!$L$5:$L$11,WEEKDAY($A143,1)))</f>
        <v/>
      </c>
      <c r="C143" s="29">
        <f>IF($A143="","",班表!$A10)</f>
        <v/>
      </c>
      <c r="D143" s="29">
        <f>IF($C143="","",班表!$B10)</f>
        <v/>
      </c>
      <c r="E143" s="29">
        <f>IF($C143="","",班表!$C10)</f>
        <v/>
      </c>
      <c r="F143" s="29">
        <f>IF($C143="","",班表!T10)</f>
        <v/>
      </c>
      <c r="G143" s="31">
        <f>IF($F143="","",IFERROR(INDEX(設定!$D$5:$D$20,MATCH($F143,設定!$B$5:$B$20,0)),""))</f>
        <v/>
      </c>
      <c r="H143" s="31">
        <f>IF($F143="","",IFERROR(INDEX(設定!$E$5:$E$20,MATCH($F143,設定!$B$5:$B$20,0)),""))</f>
        <v/>
      </c>
      <c r="I143" s="31">
        <f>IFERROR(INDEX(打卡匯入!$C$3:$C$1002,MATCH($C143&amp;"|"&amp;DAY($A143),打卡匯入!$E$3:$E$1002,0)),"")</f>
        <v/>
      </c>
      <c r="J143" s="31">
        <f>IFERROR(INDEX(打卡匯入!$D$3:$D$1002,MATCH($C143&amp;"|"&amp;DAY($A143),打卡匯入!$E$3:$E$1002,0)),"")</f>
        <v/>
      </c>
      <c r="K143" s="32">
        <f>IF(OR($I143="",$J143=""),"",IFERROR(INDEX(設定!$F$5:$F$20,MATCH($F143,設定!$B$5:$B$20,0)),0))</f>
        <v/>
      </c>
      <c r="L143" s="33">
        <f>IF(OR($I143="",$J143=""),"",ROUND(($J143-$I143)*24-$K143/60,2))</f>
        <v/>
      </c>
      <c r="M143" s="29">
        <f>IF($C143="","",IF(AND(COUNTIF(設定!$B$14:$B$20,$F143)&gt;0,$I143&lt;&gt;""),"假日出勤",IF(AND(COUNTIF(設定!$B$5:$B$13,$F143)&gt;0,$I143=""),"未打卡",IF($I143="","",IF($N143&gt;0,"遲到",IF($O143&gt;0,"早退","正常"))))))</f>
        <v/>
      </c>
      <c r="N143" s="32">
        <f>IF(OR($C143="",$G143="",$I143=""),0,IF(ROUND(($I143-$G143)*1440,0)&gt;設定!$C$28,ROUND(($I143-$G143)*1440,0),0))</f>
        <v/>
      </c>
      <c r="O143" s="32">
        <f>IF(OR($C143="",$H143="",$J143=""),0,IF(ROUND(($H143-$J143)*1440,0)&gt;設定!$C$28,ROUND(($H143-$J143)*1440,0),0))</f>
        <v/>
      </c>
      <c r="P143" s="33">
        <f>IF($L143="",0,IF(($L143-IFERROR(INDEX(設定!$G$5:$G$20,MATCH($F143,設定!$B$5:$B$20,0)),0))*60&gt;=設定!$C$26,ROUND(FLOOR(($L143-IFERROR(INDEX(設定!$G$5:$G$20,MATCH($F143,設定!$B$5:$B$20,0)),0))*60,設定!$C$27)/60,2),0))</f>
        <v/>
      </c>
      <c r="Q143" s="29">
        <f>IF(OR($C143="",$P143=0),"",IF($F143="國","國定假日",IF($B143="日","例假",IF($B143="六","休息日","平日"))))</f>
        <v/>
      </c>
      <c r="R143" s="34" t="n"/>
    </row>
    <row r="144">
      <c r="A144" s="30">
        <f>IF(OR(班表!$A10="",18&gt;DAY(EOMONTH(DATE(班表!$E$2,班表!$G$2,1),0))),"",DATE(班表!$E$2,班表!$G$2,18))</f>
        <v/>
      </c>
      <c r="B144" s="29">
        <f>IF($A144="","",INDEX(設定!$L$5:$L$11,WEEKDAY($A144,1)))</f>
        <v/>
      </c>
      <c r="C144" s="29">
        <f>IF($A144="","",班表!$A10)</f>
        <v/>
      </c>
      <c r="D144" s="29">
        <f>IF($C144="","",班表!$B10)</f>
        <v/>
      </c>
      <c r="E144" s="29">
        <f>IF($C144="","",班表!$C10)</f>
        <v/>
      </c>
      <c r="F144" s="29">
        <f>IF($C144="","",班表!U10)</f>
        <v/>
      </c>
      <c r="G144" s="31">
        <f>IF($F144="","",IFERROR(INDEX(設定!$D$5:$D$20,MATCH($F144,設定!$B$5:$B$20,0)),""))</f>
        <v/>
      </c>
      <c r="H144" s="31">
        <f>IF($F144="","",IFERROR(INDEX(設定!$E$5:$E$20,MATCH($F144,設定!$B$5:$B$20,0)),""))</f>
        <v/>
      </c>
      <c r="I144" s="31">
        <f>IFERROR(INDEX(打卡匯入!$C$3:$C$1002,MATCH($C144&amp;"|"&amp;DAY($A144),打卡匯入!$E$3:$E$1002,0)),"")</f>
        <v/>
      </c>
      <c r="J144" s="31">
        <f>IFERROR(INDEX(打卡匯入!$D$3:$D$1002,MATCH($C144&amp;"|"&amp;DAY($A144),打卡匯入!$E$3:$E$1002,0)),"")</f>
        <v/>
      </c>
      <c r="K144" s="32">
        <f>IF(OR($I144="",$J144=""),"",IFERROR(INDEX(設定!$F$5:$F$20,MATCH($F144,設定!$B$5:$B$20,0)),0))</f>
        <v/>
      </c>
      <c r="L144" s="33">
        <f>IF(OR($I144="",$J144=""),"",ROUND(($J144-$I144)*24-$K144/60,2))</f>
        <v/>
      </c>
      <c r="M144" s="29">
        <f>IF($C144="","",IF(AND(COUNTIF(設定!$B$14:$B$20,$F144)&gt;0,$I144&lt;&gt;""),"假日出勤",IF(AND(COUNTIF(設定!$B$5:$B$13,$F144)&gt;0,$I144=""),"未打卡",IF($I144="","",IF($N144&gt;0,"遲到",IF($O144&gt;0,"早退","正常"))))))</f>
        <v/>
      </c>
      <c r="N144" s="32">
        <f>IF(OR($C144="",$G144="",$I144=""),0,IF(ROUND(($I144-$G144)*1440,0)&gt;設定!$C$28,ROUND(($I144-$G144)*1440,0),0))</f>
        <v/>
      </c>
      <c r="O144" s="32">
        <f>IF(OR($C144="",$H144="",$J144=""),0,IF(ROUND(($H144-$J144)*1440,0)&gt;設定!$C$28,ROUND(($H144-$J144)*1440,0),0))</f>
        <v/>
      </c>
      <c r="P144" s="33">
        <f>IF($L144="",0,IF(($L144-IFERROR(INDEX(設定!$G$5:$G$20,MATCH($F144,設定!$B$5:$B$20,0)),0))*60&gt;=設定!$C$26,ROUND(FLOOR(($L144-IFERROR(INDEX(設定!$G$5:$G$20,MATCH($F144,設定!$B$5:$B$20,0)),0))*60,設定!$C$27)/60,2),0))</f>
        <v/>
      </c>
      <c r="Q144" s="29">
        <f>IF(OR($C144="",$P144=0),"",IF($F144="國","國定假日",IF($B144="日","例假",IF($B144="六","休息日","平日"))))</f>
        <v/>
      </c>
      <c r="R144" s="34" t="n"/>
    </row>
    <row r="145">
      <c r="A145" s="30">
        <f>IF(OR(班表!$A10="",19&gt;DAY(EOMONTH(DATE(班表!$E$2,班表!$G$2,1),0))),"",DATE(班表!$E$2,班表!$G$2,19))</f>
        <v/>
      </c>
      <c r="B145" s="29">
        <f>IF($A145="","",INDEX(設定!$L$5:$L$11,WEEKDAY($A145,1)))</f>
        <v/>
      </c>
      <c r="C145" s="29">
        <f>IF($A145="","",班表!$A10)</f>
        <v/>
      </c>
      <c r="D145" s="29">
        <f>IF($C145="","",班表!$B10)</f>
        <v/>
      </c>
      <c r="E145" s="29">
        <f>IF($C145="","",班表!$C10)</f>
        <v/>
      </c>
      <c r="F145" s="29">
        <f>IF($C145="","",班表!V10)</f>
        <v/>
      </c>
      <c r="G145" s="31">
        <f>IF($F145="","",IFERROR(INDEX(設定!$D$5:$D$20,MATCH($F145,設定!$B$5:$B$20,0)),""))</f>
        <v/>
      </c>
      <c r="H145" s="31">
        <f>IF($F145="","",IFERROR(INDEX(設定!$E$5:$E$20,MATCH($F145,設定!$B$5:$B$20,0)),""))</f>
        <v/>
      </c>
      <c r="I145" s="31">
        <f>IFERROR(INDEX(打卡匯入!$C$3:$C$1002,MATCH($C145&amp;"|"&amp;DAY($A145),打卡匯入!$E$3:$E$1002,0)),"")</f>
        <v/>
      </c>
      <c r="J145" s="31">
        <f>IFERROR(INDEX(打卡匯入!$D$3:$D$1002,MATCH($C145&amp;"|"&amp;DAY($A145),打卡匯入!$E$3:$E$1002,0)),"")</f>
        <v/>
      </c>
      <c r="K145" s="32">
        <f>IF(OR($I145="",$J145=""),"",IFERROR(INDEX(設定!$F$5:$F$20,MATCH($F145,設定!$B$5:$B$20,0)),0))</f>
        <v/>
      </c>
      <c r="L145" s="33">
        <f>IF(OR($I145="",$J145=""),"",ROUND(($J145-$I145)*24-$K145/60,2))</f>
        <v/>
      </c>
      <c r="M145" s="29">
        <f>IF($C145="","",IF(AND(COUNTIF(設定!$B$14:$B$20,$F145)&gt;0,$I145&lt;&gt;""),"假日出勤",IF(AND(COUNTIF(設定!$B$5:$B$13,$F145)&gt;0,$I145=""),"未打卡",IF($I145="","",IF($N145&gt;0,"遲到",IF($O145&gt;0,"早退","正常"))))))</f>
        <v/>
      </c>
      <c r="N145" s="32">
        <f>IF(OR($C145="",$G145="",$I145=""),0,IF(ROUND(($I145-$G145)*1440,0)&gt;設定!$C$28,ROUND(($I145-$G145)*1440,0),0))</f>
        <v/>
      </c>
      <c r="O145" s="32">
        <f>IF(OR($C145="",$H145="",$J145=""),0,IF(ROUND(($H145-$J145)*1440,0)&gt;設定!$C$28,ROUND(($H145-$J145)*1440,0),0))</f>
        <v/>
      </c>
      <c r="P145" s="33">
        <f>IF($L145="",0,IF(($L145-IFERROR(INDEX(設定!$G$5:$G$20,MATCH($F145,設定!$B$5:$B$20,0)),0))*60&gt;=設定!$C$26,ROUND(FLOOR(($L145-IFERROR(INDEX(設定!$G$5:$G$20,MATCH($F145,設定!$B$5:$B$20,0)),0))*60,設定!$C$27)/60,2),0))</f>
        <v/>
      </c>
      <c r="Q145" s="29">
        <f>IF(OR($C145="",$P145=0),"",IF($F145="國","國定假日",IF($B145="日","例假",IF($B145="六","休息日","平日"))))</f>
        <v/>
      </c>
      <c r="R145" s="34" t="n"/>
    </row>
    <row r="146">
      <c r="A146" s="30">
        <f>IF(OR(班表!$A10="",20&gt;DAY(EOMONTH(DATE(班表!$E$2,班表!$G$2,1),0))),"",DATE(班表!$E$2,班表!$G$2,20))</f>
        <v/>
      </c>
      <c r="B146" s="29">
        <f>IF($A146="","",INDEX(設定!$L$5:$L$11,WEEKDAY($A146,1)))</f>
        <v/>
      </c>
      <c r="C146" s="29">
        <f>IF($A146="","",班表!$A10)</f>
        <v/>
      </c>
      <c r="D146" s="29">
        <f>IF($C146="","",班表!$B10)</f>
        <v/>
      </c>
      <c r="E146" s="29">
        <f>IF($C146="","",班表!$C10)</f>
        <v/>
      </c>
      <c r="F146" s="29">
        <f>IF($C146="","",班表!W10)</f>
        <v/>
      </c>
      <c r="G146" s="31">
        <f>IF($F146="","",IFERROR(INDEX(設定!$D$5:$D$20,MATCH($F146,設定!$B$5:$B$20,0)),""))</f>
        <v/>
      </c>
      <c r="H146" s="31">
        <f>IF($F146="","",IFERROR(INDEX(設定!$E$5:$E$20,MATCH($F146,設定!$B$5:$B$20,0)),""))</f>
        <v/>
      </c>
      <c r="I146" s="31">
        <f>IFERROR(INDEX(打卡匯入!$C$3:$C$1002,MATCH($C146&amp;"|"&amp;DAY($A146),打卡匯入!$E$3:$E$1002,0)),"")</f>
        <v/>
      </c>
      <c r="J146" s="31">
        <f>IFERROR(INDEX(打卡匯入!$D$3:$D$1002,MATCH($C146&amp;"|"&amp;DAY($A146),打卡匯入!$E$3:$E$1002,0)),"")</f>
        <v/>
      </c>
      <c r="K146" s="32">
        <f>IF(OR($I146="",$J146=""),"",IFERROR(INDEX(設定!$F$5:$F$20,MATCH($F146,設定!$B$5:$B$20,0)),0))</f>
        <v/>
      </c>
      <c r="L146" s="33">
        <f>IF(OR($I146="",$J146=""),"",ROUND(($J146-$I146)*24-$K146/60,2))</f>
        <v/>
      </c>
      <c r="M146" s="29">
        <f>IF($C146="","",IF(AND(COUNTIF(設定!$B$14:$B$20,$F146)&gt;0,$I146&lt;&gt;""),"假日出勤",IF(AND(COUNTIF(設定!$B$5:$B$13,$F146)&gt;0,$I146=""),"未打卡",IF($I146="","",IF($N146&gt;0,"遲到",IF($O146&gt;0,"早退","正常"))))))</f>
        <v/>
      </c>
      <c r="N146" s="32">
        <f>IF(OR($C146="",$G146="",$I146=""),0,IF(ROUND(($I146-$G146)*1440,0)&gt;設定!$C$28,ROUND(($I146-$G146)*1440,0),0))</f>
        <v/>
      </c>
      <c r="O146" s="32">
        <f>IF(OR($C146="",$H146="",$J146=""),0,IF(ROUND(($H146-$J146)*1440,0)&gt;設定!$C$28,ROUND(($H146-$J146)*1440,0),0))</f>
        <v/>
      </c>
      <c r="P146" s="33">
        <f>IF($L146="",0,IF(($L146-IFERROR(INDEX(設定!$G$5:$G$20,MATCH($F146,設定!$B$5:$B$20,0)),0))*60&gt;=設定!$C$26,ROUND(FLOOR(($L146-IFERROR(INDEX(設定!$G$5:$G$20,MATCH($F146,設定!$B$5:$B$20,0)),0))*60,設定!$C$27)/60,2),0))</f>
        <v/>
      </c>
      <c r="Q146" s="29">
        <f>IF(OR($C146="",$P146=0),"",IF($F146="國","國定假日",IF($B146="日","例假",IF($B146="六","休息日","平日"))))</f>
        <v/>
      </c>
      <c r="R146" s="34" t="n"/>
    </row>
    <row r="147">
      <c r="A147" s="30">
        <f>IF(OR(班表!$A10="",21&gt;DAY(EOMONTH(DATE(班表!$E$2,班表!$G$2,1),0))),"",DATE(班表!$E$2,班表!$G$2,21))</f>
        <v/>
      </c>
      <c r="B147" s="29">
        <f>IF($A147="","",INDEX(設定!$L$5:$L$11,WEEKDAY($A147,1)))</f>
        <v/>
      </c>
      <c r="C147" s="29">
        <f>IF($A147="","",班表!$A10)</f>
        <v/>
      </c>
      <c r="D147" s="29">
        <f>IF($C147="","",班表!$B10)</f>
        <v/>
      </c>
      <c r="E147" s="29">
        <f>IF($C147="","",班表!$C10)</f>
        <v/>
      </c>
      <c r="F147" s="29">
        <f>IF($C147="","",班表!X10)</f>
        <v/>
      </c>
      <c r="G147" s="31">
        <f>IF($F147="","",IFERROR(INDEX(設定!$D$5:$D$20,MATCH($F147,設定!$B$5:$B$20,0)),""))</f>
        <v/>
      </c>
      <c r="H147" s="31">
        <f>IF($F147="","",IFERROR(INDEX(設定!$E$5:$E$20,MATCH($F147,設定!$B$5:$B$20,0)),""))</f>
        <v/>
      </c>
      <c r="I147" s="31">
        <f>IFERROR(INDEX(打卡匯入!$C$3:$C$1002,MATCH($C147&amp;"|"&amp;DAY($A147),打卡匯入!$E$3:$E$1002,0)),"")</f>
        <v/>
      </c>
      <c r="J147" s="31">
        <f>IFERROR(INDEX(打卡匯入!$D$3:$D$1002,MATCH($C147&amp;"|"&amp;DAY($A147),打卡匯入!$E$3:$E$1002,0)),"")</f>
        <v/>
      </c>
      <c r="K147" s="32">
        <f>IF(OR($I147="",$J147=""),"",IFERROR(INDEX(設定!$F$5:$F$20,MATCH($F147,設定!$B$5:$B$20,0)),0))</f>
        <v/>
      </c>
      <c r="L147" s="33">
        <f>IF(OR($I147="",$J147=""),"",ROUND(($J147-$I147)*24-$K147/60,2))</f>
        <v/>
      </c>
      <c r="M147" s="29">
        <f>IF($C147="","",IF(AND(COUNTIF(設定!$B$14:$B$20,$F147)&gt;0,$I147&lt;&gt;""),"假日出勤",IF(AND(COUNTIF(設定!$B$5:$B$13,$F147)&gt;0,$I147=""),"未打卡",IF($I147="","",IF($N147&gt;0,"遲到",IF($O147&gt;0,"早退","正常"))))))</f>
        <v/>
      </c>
      <c r="N147" s="32">
        <f>IF(OR($C147="",$G147="",$I147=""),0,IF(ROUND(($I147-$G147)*1440,0)&gt;設定!$C$28,ROUND(($I147-$G147)*1440,0),0))</f>
        <v/>
      </c>
      <c r="O147" s="32">
        <f>IF(OR($C147="",$H147="",$J147=""),0,IF(ROUND(($H147-$J147)*1440,0)&gt;設定!$C$28,ROUND(($H147-$J147)*1440,0),0))</f>
        <v/>
      </c>
      <c r="P147" s="33">
        <f>IF($L147="",0,IF(($L147-IFERROR(INDEX(設定!$G$5:$G$20,MATCH($F147,設定!$B$5:$B$20,0)),0))*60&gt;=設定!$C$26,ROUND(FLOOR(($L147-IFERROR(INDEX(設定!$G$5:$G$20,MATCH($F147,設定!$B$5:$B$20,0)),0))*60,設定!$C$27)/60,2),0))</f>
        <v/>
      </c>
      <c r="Q147" s="29">
        <f>IF(OR($C147="",$P147=0),"",IF($F147="國","國定假日",IF($B147="日","例假",IF($B147="六","休息日","平日"))))</f>
        <v/>
      </c>
      <c r="R147" s="34" t="n"/>
    </row>
    <row r="148">
      <c r="A148" s="30">
        <f>IF(OR(班表!$A10="",22&gt;DAY(EOMONTH(DATE(班表!$E$2,班表!$G$2,1),0))),"",DATE(班表!$E$2,班表!$G$2,22))</f>
        <v/>
      </c>
      <c r="B148" s="29">
        <f>IF($A148="","",INDEX(設定!$L$5:$L$11,WEEKDAY($A148,1)))</f>
        <v/>
      </c>
      <c r="C148" s="29">
        <f>IF($A148="","",班表!$A10)</f>
        <v/>
      </c>
      <c r="D148" s="29">
        <f>IF($C148="","",班表!$B10)</f>
        <v/>
      </c>
      <c r="E148" s="29">
        <f>IF($C148="","",班表!$C10)</f>
        <v/>
      </c>
      <c r="F148" s="29">
        <f>IF($C148="","",班表!Y10)</f>
        <v/>
      </c>
      <c r="G148" s="31">
        <f>IF($F148="","",IFERROR(INDEX(設定!$D$5:$D$20,MATCH($F148,設定!$B$5:$B$20,0)),""))</f>
        <v/>
      </c>
      <c r="H148" s="31">
        <f>IF($F148="","",IFERROR(INDEX(設定!$E$5:$E$20,MATCH($F148,設定!$B$5:$B$20,0)),""))</f>
        <v/>
      </c>
      <c r="I148" s="31">
        <f>IFERROR(INDEX(打卡匯入!$C$3:$C$1002,MATCH($C148&amp;"|"&amp;DAY($A148),打卡匯入!$E$3:$E$1002,0)),"")</f>
        <v/>
      </c>
      <c r="J148" s="31">
        <f>IFERROR(INDEX(打卡匯入!$D$3:$D$1002,MATCH($C148&amp;"|"&amp;DAY($A148),打卡匯入!$E$3:$E$1002,0)),"")</f>
        <v/>
      </c>
      <c r="K148" s="32">
        <f>IF(OR($I148="",$J148=""),"",IFERROR(INDEX(設定!$F$5:$F$20,MATCH($F148,設定!$B$5:$B$20,0)),0))</f>
        <v/>
      </c>
      <c r="L148" s="33">
        <f>IF(OR($I148="",$J148=""),"",ROUND(($J148-$I148)*24-$K148/60,2))</f>
        <v/>
      </c>
      <c r="M148" s="29">
        <f>IF($C148="","",IF(AND(COUNTIF(設定!$B$14:$B$20,$F148)&gt;0,$I148&lt;&gt;""),"假日出勤",IF(AND(COUNTIF(設定!$B$5:$B$13,$F148)&gt;0,$I148=""),"未打卡",IF($I148="","",IF($N148&gt;0,"遲到",IF($O148&gt;0,"早退","正常"))))))</f>
        <v/>
      </c>
      <c r="N148" s="32">
        <f>IF(OR($C148="",$G148="",$I148=""),0,IF(ROUND(($I148-$G148)*1440,0)&gt;設定!$C$28,ROUND(($I148-$G148)*1440,0),0))</f>
        <v/>
      </c>
      <c r="O148" s="32">
        <f>IF(OR($C148="",$H148="",$J148=""),0,IF(ROUND(($H148-$J148)*1440,0)&gt;設定!$C$28,ROUND(($H148-$J148)*1440,0),0))</f>
        <v/>
      </c>
      <c r="P148" s="33">
        <f>IF($L148="",0,IF(($L148-IFERROR(INDEX(設定!$G$5:$G$20,MATCH($F148,設定!$B$5:$B$20,0)),0))*60&gt;=設定!$C$26,ROUND(FLOOR(($L148-IFERROR(INDEX(設定!$G$5:$G$20,MATCH($F148,設定!$B$5:$B$20,0)),0))*60,設定!$C$27)/60,2),0))</f>
        <v/>
      </c>
      <c r="Q148" s="29">
        <f>IF(OR($C148="",$P148=0),"",IF($F148="國","國定假日",IF($B148="日","例假",IF($B148="六","休息日","平日"))))</f>
        <v/>
      </c>
      <c r="R148" s="34" t="n"/>
    </row>
    <row r="149">
      <c r="A149" s="30">
        <f>IF(OR(班表!$A10="",23&gt;DAY(EOMONTH(DATE(班表!$E$2,班表!$G$2,1),0))),"",DATE(班表!$E$2,班表!$G$2,23))</f>
        <v/>
      </c>
      <c r="B149" s="29">
        <f>IF($A149="","",INDEX(設定!$L$5:$L$11,WEEKDAY($A149,1)))</f>
        <v/>
      </c>
      <c r="C149" s="29">
        <f>IF($A149="","",班表!$A10)</f>
        <v/>
      </c>
      <c r="D149" s="29">
        <f>IF($C149="","",班表!$B10)</f>
        <v/>
      </c>
      <c r="E149" s="29">
        <f>IF($C149="","",班表!$C10)</f>
        <v/>
      </c>
      <c r="F149" s="29">
        <f>IF($C149="","",班表!Z10)</f>
        <v/>
      </c>
      <c r="G149" s="31">
        <f>IF($F149="","",IFERROR(INDEX(設定!$D$5:$D$20,MATCH($F149,設定!$B$5:$B$20,0)),""))</f>
        <v/>
      </c>
      <c r="H149" s="31">
        <f>IF($F149="","",IFERROR(INDEX(設定!$E$5:$E$20,MATCH($F149,設定!$B$5:$B$20,0)),""))</f>
        <v/>
      </c>
      <c r="I149" s="31">
        <f>IFERROR(INDEX(打卡匯入!$C$3:$C$1002,MATCH($C149&amp;"|"&amp;DAY($A149),打卡匯入!$E$3:$E$1002,0)),"")</f>
        <v/>
      </c>
      <c r="J149" s="31">
        <f>IFERROR(INDEX(打卡匯入!$D$3:$D$1002,MATCH($C149&amp;"|"&amp;DAY($A149),打卡匯入!$E$3:$E$1002,0)),"")</f>
        <v/>
      </c>
      <c r="K149" s="32">
        <f>IF(OR($I149="",$J149=""),"",IFERROR(INDEX(設定!$F$5:$F$20,MATCH($F149,設定!$B$5:$B$20,0)),0))</f>
        <v/>
      </c>
      <c r="L149" s="33">
        <f>IF(OR($I149="",$J149=""),"",ROUND(($J149-$I149)*24-$K149/60,2))</f>
        <v/>
      </c>
      <c r="M149" s="29">
        <f>IF($C149="","",IF(AND(COUNTIF(設定!$B$14:$B$20,$F149)&gt;0,$I149&lt;&gt;""),"假日出勤",IF(AND(COUNTIF(設定!$B$5:$B$13,$F149)&gt;0,$I149=""),"未打卡",IF($I149="","",IF($N149&gt;0,"遲到",IF($O149&gt;0,"早退","正常"))))))</f>
        <v/>
      </c>
      <c r="N149" s="32">
        <f>IF(OR($C149="",$G149="",$I149=""),0,IF(ROUND(($I149-$G149)*1440,0)&gt;設定!$C$28,ROUND(($I149-$G149)*1440,0),0))</f>
        <v/>
      </c>
      <c r="O149" s="32">
        <f>IF(OR($C149="",$H149="",$J149=""),0,IF(ROUND(($H149-$J149)*1440,0)&gt;設定!$C$28,ROUND(($H149-$J149)*1440,0),0))</f>
        <v/>
      </c>
      <c r="P149" s="33">
        <f>IF($L149="",0,IF(($L149-IFERROR(INDEX(設定!$G$5:$G$20,MATCH($F149,設定!$B$5:$B$20,0)),0))*60&gt;=設定!$C$26,ROUND(FLOOR(($L149-IFERROR(INDEX(設定!$G$5:$G$20,MATCH($F149,設定!$B$5:$B$20,0)),0))*60,設定!$C$27)/60,2),0))</f>
        <v/>
      </c>
      <c r="Q149" s="29">
        <f>IF(OR($C149="",$P149=0),"",IF($F149="國","國定假日",IF($B149="日","例假",IF($B149="六","休息日","平日"))))</f>
        <v/>
      </c>
      <c r="R149" s="34" t="n"/>
    </row>
    <row r="150">
      <c r="A150" s="30">
        <f>IF(OR(班表!$A10="",24&gt;DAY(EOMONTH(DATE(班表!$E$2,班表!$G$2,1),0))),"",DATE(班表!$E$2,班表!$G$2,24))</f>
        <v/>
      </c>
      <c r="B150" s="29">
        <f>IF($A150="","",INDEX(設定!$L$5:$L$11,WEEKDAY($A150,1)))</f>
        <v/>
      </c>
      <c r="C150" s="29">
        <f>IF($A150="","",班表!$A10)</f>
        <v/>
      </c>
      <c r="D150" s="29">
        <f>IF($C150="","",班表!$B10)</f>
        <v/>
      </c>
      <c r="E150" s="29">
        <f>IF($C150="","",班表!$C10)</f>
        <v/>
      </c>
      <c r="F150" s="29">
        <f>IF($C150="","",班表!AA10)</f>
        <v/>
      </c>
      <c r="G150" s="31">
        <f>IF($F150="","",IFERROR(INDEX(設定!$D$5:$D$20,MATCH($F150,設定!$B$5:$B$20,0)),""))</f>
        <v/>
      </c>
      <c r="H150" s="31">
        <f>IF($F150="","",IFERROR(INDEX(設定!$E$5:$E$20,MATCH($F150,設定!$B$5:$B$20,0)),""))</f>
        <v/>
      </c>
      <c r="I150" s="31">
        <f>IFERROR(INDEX(打卡匯入!$C$3:$C$1002,MATCH($C150&amp;"|"&amp;DAY($A150),打卡匯入!$E$3:$E$1002,0)),"")</f>
        <v/>
      </c>
      <c r="J150" s="31">
        <f>IFERROR(INDEX(打卡匯入!$D$3:$D$1002,MATCH($C150&amp;"|"&amp;DAY($A150),打卡匯入!$E$3:$E$1002,0)),"")</f>
        <v/>
      </c>
      <c r="K150" s="32">
        <f>IF(OR($I150="",$J150=""),"",IFERROR(INDEX(設定!$F$5:$F$20,MATCH($F150,設定!$B$5:$B$20,0)),0))</f>
        <v/>
      </c>
      <c r="L150" s="33">
        <f>IF(OR($I150="",$J150=""),"",ROUND(($J150-$I150)*24-$K150/60,2))</f>
        <v/>
      </c>
      <c r="M150" s="29">
        <f>IF($C150="","",IF(AND(COUNTIF(設定!$B$14:$B$20,$F150)&gt;0,$I150&lt;&gt;""),"假日出勤",IF(AND(COUNTIF(設定!$B$5:$B$13,$F150)&gt;0,$I150=""),"未打卡",IF($I150="","",IF($N150&gt;0,"遲到",IF($O150&gt;0,"早退","正常"))))))</f>
        <v/>
      </c>
      <c r="N150" s="32">
        <f>IF(OR($C150="",$G150="",$I150=""),0,IF(ROUND(($I150-$G150)*1440,0)&gt;設定!$C$28,ROUND(($I150-$G150)*1440,0),0))</f>
        <v/>
      </c>
      <c r="O150" s="32">
        <f>IF(OR($C150="",$H150="",$J150=""),0,IF(ROUND(($H150-$J150)*1440,0)&gt;設定!$C$28,ROUND(($H150-$J150)*1440,0),0))</f>
        <v/>
      </c>
      <c r="P150" s="33">
        <f>IF($L150="",0,IF(($L150-IFERROR(INDEX(設定!$G$5:$G$20,MATCH($F150,設定!$B$5:$B$20,0)),0))*60&gt;=設定!$C$26,ROUND(FLOOR(($L150-IFERROR(INDEX(設定!$G$5:$G$20,MATCH($F150,設定!$B$5:$B$20,0)),0))*60,設定!$C$27)/60,2),0))</f>
        <v/>
      </c>
      <c r="Q150" s="29">
        <f>IF(OR($C150="",$P150=0),"",IF($F150="國","國定假日",IF($B150="日","例假",IF($B150="六","休息日","平日"))))</f>
        <v/>
      </c>
      <c r="R150" s="34" t="n"/>
    </row>
    <row r="151">
      <c r="A151" s="30">
        <f>IF(OR(班表!$A10="",25&gt;DAY(EOMONTH(DATE(班表!$E$2,班表!$G$2,1),0))),"",DATE(班表!$E$2,班表!$G$2,25))</f>
        <v/>
      </c>
      <c r="B151" s="29">
        <f>IF($A151="","",INDEX(設定!$L$5:$L$11,WEEKDAY($A151,1)))</f>
        <v/>
      </c>
      <c r="C151" s="29">
        <f>IF($A151="","",班表!$A10)</f>
        <v/>
      </c>
      <c r="D151" s="29">
        <f>IF($C151="","",班表!$B10)</f>
        <v/>
      </c>
      <c r="E151" s="29">
        <f>IF($C151="","",班表!$C10)</f>
        <v/>
      </c>
      <c r="F151" s="29">
        <f>IF($C151="","",班表!AB10)</f>
        <v/>
      </c>
      <c r="G151" s="31">
        <f>IF($F151="","",IFERROR(INDEX(設定!$D$5:$D$20,MATCH($F151,設定!$B$5:$B$20,0)),""))</f>
        <v/>
      </c>
      <c r="H151" s="31">
        <f>IF($F151="","",IFERROR(INDEX(設定!$E$5:$E$20,MATCH($F151,設定!$B$5:$B$20,0)),""))</f>
        <v/>
      </c>
      <c r="I151" s="31">
        <f>IFERROR(INDEX(打卡匯入!$C$3:$C$1002,MATCH($C151&amp;"|"&amp;DAY($A151),打卡匯入!$E$3:$E$1002,0)),"")</f>
        <v/>
      </c>
      <c r="J151" s="31">
        <f>IFERROR(INDEX(打卡匯入!$D$3:$D$1002,MATCH($C151&amp;"|"&amp;DAY($A151),打卡匯入!$E$3:$E$1002,0)),"")</f>
        <v/>
      </c>
      <c r="K151" s="32">
        <f>IF(OR($I151="",$J151=""),"",IFERROR(INDEX(設定!$F$5:$F$20,MATCH($F151,設定!$B$5:$B$20,0)),0))</f>
        <v/>
      </c>
      <c r="L151" s="33">
        <f>IF(OR($I151="",$J151=""),"",ROUND(($J151-$I151)*24-$K151/60,2))</f>
        <v/>
      </c>
      <c r="M151" s="29">
        <f>IF($C151="","",IF(AND(COUNTIF(設定!$B$14:$B$20,$F151)&gt;0,$I151&lt;&gt;""),"假日出勤",IF(AND(COUNTIF(設定!$B$5:$B$13,$F151)&gt;0,$I151=""),"未打卡",IF($I151="","",IF($N151&gt;0,"遲到",IF($O151&gt;0,"早退","正常"))))))</f>
        <v/>
      </c>
      <c r="N151" s="32">
        <f>IF(OR($C151="",$G151="",$I151=""),0,IF(ROUND(($I151-$G151)*1440,0)&gt;設定!$C$28,ROUND(($I151-$G151)*1440,0),0))</f>
        <v/>
      </c>
      <c r="O151" s="32">
        <f>IF(OR($C151="",$H151="",$J151=""),0,IF(ROUND(($H151-$J151)*1440,0)&gt;設定!$C$28,ROUND(($H151-$J151)*1440,0),0))</f>
        <v/>
      </c>
      <c r="P151" s="33">
        <f>IF($L151="",0,IF(($L151-IFERROR(INDEX(設定!$G$5:$G$20,MATCH($F151,設定!$B$5:$B$20,0)),0))*60&gt;=設定!$C$26,ROUND(FLOOR(($L151-IFERROR(INDEX(設定!$G$5:$G$20,MATCH($F151,設定!$B$5:$B$20,0)),0))*60,設定!$C$27)/60,2),0))</f>
        <v/>
      </c>
      <c r="Q151" s="29">
        <f>IF(OR($C151="",$P151=0),"",IF($F151="國","國定假日",IF($B151="日","例假",IF($B151="六","休息日","平日"))))</f>
        <v/>
      </c>
      <c r="R151" s="34" t="n"/>
    </row>
    <row r="152">
      <c r="A152" s="30">
        <f>IF(OR(班表!$A10="",26&gt;DAY(EOMONTH(DATE(班表!$E$2,班表!$G$2,1),0))),"",DATE(班表!$E$2,班表!$G$2,26))</f>
        <v/>
      </c>
      <c r="B152" s="29">
        <f>IF($A152="","",INDEX(設定!$L$5:$L$11,WEEKDAY($A152,1)))</f>
        <v/>
      </c>
      <c r="C152" s="29">
        <f>IF($A152="","",班表!$A10)</f>
        <v/>
      </c>
      <c r="D152" s="29">
        <f>IF($C152="","",班表!$B10)</f>
        <v/>
      </c>
      <c r="E152" s="29">
        <f>IF($C152="","",班表!$C10)</f>
        <v/>
      </c>
      <c r="F152" s="29">
        <f>IF($C152="","",班表!AC10)</f>
        <v/>
      </c>
      <c r="G152" s="31">
        <f>IF($F152="","",IFERROR(INDEX(設定!$D$5:$D$20,MATCH($F152,設定!$B$5:$B$20,0)),""))</f>
        <v/>
      </c>
      <c r="H152" s="31">
        <f>IF($F152="","",IFERROR(INDEX(設定!$E$5:$E$20,MATCH($F152,設定!$B$5:$B$20,0)),""))</f>
        <v/>
      </c>
      <c r="I152" s="31">
        <f>IFERROR(INDEX(打卡匯入!$C$3:$C$1002,MATCH($C152&amp;"|"&amp;DAY($A152),打卡匯入!$E$3:$E$1002,0)),"")</f>
        <v/>
      </c>
      <c r="J152" s="31">
        <f>IFERROR(INDEX(打卡匯入!$D$3:$D$1002,MATCH($C152&amp;"|"&amp;DAY($A152),打卡匯入!$E$3:$E$1002,0)),"")</f>
        <v/>
      </c>
      <c r="K152" s="32">
        <f>IF(OR($I152="",$J152=""),"",IFERROR(INDEX(設定!$F$5:$F$20,MATCH($F152,設定!$B$5:$B$20,0)),0))</f>
        <v/>
      </c>
      <c r="L152" s="33">
        <f>IF(OR($I152="",$J152=""),"",ROUND(($J152-$I152)*24-$K152/60,2))</f>
        <v/>
      </c>
      <c r="M152" s="29">
        <f>IF($C152="","",IF(AND(COUNTIF(設定!$B$14:$B$20,$F152)&gt;0,$I152&lt;&gt;""),"假日出勤",IF(AND(COUNTIF(設定!$B$5:$B$13,$F152)&gt;0,$I152=""),"未打卡",IF($I152="","",IF($N152&gt;0,"遲到",IF($O152&gt;0,"早退","正常"))))))</f>
        <v/>
      </c>
      <c r="N152" s="32">
        <f>IF(OR($C152="",$G152="",$I152=""),0,IF(ROUND(($I152-$G152)*1440,0)&gt;設定!$C$28,ROUND(($I152-$G152)*1440,0),0))</f>
        <v/>
      </c>
      <c r="O152" s="32">
        <f>IF(OR($C152="",$H152="",$J152=""),0,IF(ROUND(($H152-$J152)*1440,0)&gt;設定!$C$28,ROUND(($H152-$J152)*1440,0),0))</f>
        <v/>
      </c>
      <c r="P152" s="33">
        <f>IF($L152="",0,IF(($L152-IFERROR(INDEX(設定!$G$5:$G$20,MATCH($F152,設定!$B$5:$B$20,0)),0))*60&gt;=設定!$C$26,ROUND(FLOOR(($L152-IFERROR(INDEX(設定!$G$5:$G$20,MATCH($F152,設定!$B$5:$B$20,0)),0))*60,設定!$C$27)/60,2),0))</f>
        <v/>
      </c>
      <c r="Q152" s="29">
        <f>IF(OR($C152="",$P152=0),"",IF($F152="國","國定假日",IF($B152="日","例假",IF($B152="六","休息日","平日"))))</f>
        <v/>
      </c>
      <c r="R152" s="34" t="n"/>
    </row>
    <row r="153">
      <c r="A153" s="30">
        <f>IF(OR(班表!$A10="",27&gt;DAY(EOMONTH(DATE(班表!$E$2,班表!$G$2,1),0))),"",DATE(班表!$E$2,班表!$G$2,27))</f>
        <v/>
      </c>
      <c r="B153" s="29">
        <f>IF($A153="","",INDEX(設定!$L$5:$L$11,WEEKDAY($A153,1)))</f>
        <v/>
      </c>
      <c r="C153" s="29">
        <f>IF($A153="","",班表!$A10)</f>
        <v/>
      </c>
      <c r="D153" s="29">
        <f>IF($C153="","",班表!$B10)</f>
        <v/>
      </c>
      <c r="E153" s="29">
        <f>IF($C153="","",班表!$C10)</f>
        <v/>
      </c>
      <c r="F153" s="29">
        <f>IF($C153="","",班表!AD10)</f>
        <v/>
      </c>
      <c r="G153" s="31">
        <f>IF($F153="","",IFERROR(INDEX(設定!$D$5:$D$20,MATCH($F153,設定!$B$5:$B$20,0)),""))</f>
        <v/>
      </c>
      <c r="H153" s="31">
        <f>IF($F153="","",IFERROR(INDEX(設定!$E$5:$E$20,MATCH($F153,設定!$B$5:$B$20,0)),""))</f>
        <v/>
      </c>
      <c r="I153" s="31">
        <f>IFERROR(INDEX(打卡匯入!$C$3:$C$1002,MATCH($C153&amp;"|"&amp;DAY($A153),打卡匯入!$E$3:$E$1002,0)),"")</f>
        <v/>
      </c>
      <c r="J153" s="31">
        <f>IFERROR(INDEX(打卡匯入!$D$3:$D$1002,MATCH($C153&amp;"|"&amp;DAY($A153),打卡匯入!$E$3:$E$1002,0)),"")</f>
        <v/>
      </c>
      <c r="K153" s="32">
        <f>IF(OR($I153="",$J153=""),"",IFERROR(INDEX(設定!$F$5:$F$20,MATCH($F153,設定!$B$5:$B$20,0)),0))</f>
        <v/>
      </c>
      <c r="L153" s="33">
        <f>IF(OR($I153="",$J153=""),"",ROUND(($J153-$I153)*24-$K153/60,2))</f>
        <v/>
      </c>
      <c r="M153" s="29">
        <f>IF($C153="","",IF(AND(COUNTIF(設定!$B$14:$B$20,$F153)&gt;0,$I153&lt;&gt;""),"假日出勤",IF(AND(COUNTIF(設定!$B$5:$B$13,$F153)&gt;0,$I153=""),"未打卡",IF($I153="","",IF($N153&gt;0,"遲到",IF($O153&gt;0,"早退","正常"))))))</f>
        <v/>
      </c>
      <c r="N153" s="32">
        <f>IF(OR($C153="",$G153="",$I153=""),0,IF(ROUND(($I153-$G153)*1440,0)&gt;設定!$C$28,ROUND(($I153-$G153)*1440,0),0))</f>
        <v/>
      </c>
      <c r="O153" s="32">
        <f>IF(OR($C153="",$H153="",$J153=""),0,IF(ROUND(($H153-$J153)*1440,0)&gt;設定!$C$28,ROUND(($H153-$J153)*1440,0),0))</f>
        <v/>
      </c>
      <c r="P153" s="33">
        <f>IF($L153="",0,IF(($L153-IFERROR(INDEX(設定!$G$5:$G$20,MATCH($F153,設定!$B$5:$B$20,0)),0))*60&gt;=設定!$C$26,ROUND(FLOOR(($L153-IFERROR(INDEX(設定!$G$5:$G$20,MATCH($F153,設定!$B$5:$B$20,0)),0))*60,設定!$C$27)/60,2),0))</f>
        <v/>
      </c>
      <c r="Q153" s="29">
        <f>IF(OR($C153="",$P153=0),"",IF($F153="國","國定假日",IF($B153="日","例假",IF($B153="六","休息日","平日"))))</f>
        <v/>
      </c>
      <c r="R153" s="34" t="n"/>
    </row>
    <row r="154">
      <c r="A154" s="30">
        <f>IF(OR(班表!$A10="",28&gt;DAY(EOMONTH(DATE(班表!$E$2,班表!$G$2,1),0))),"",DATE(班表!$E$2,班表!$G$2,28))</f>
        <v/>
      </c>
      <c r="B154" s="29">
        <f>IF($A154="","",INDEX(設定!$L$5:$L$11,WEEKDAY($A154,1)))</f>
        <v/>
      </c>
      <c r="C154" s="29">
        <f>IF($A154="","",班表!$A10)</f>
        <v/>
      </c>
      <c r="D154" s="29">
        <f>IF($C154="","",班表!$B10)</f>
        <v/>
      </c>
      <c r="E154" s="29">
        <f>IF($C154="","",班表!$C10)</f>
        <v/>
      </c>
      <c r="F154" s="29">
        <f>IF($C154="","",班表!AE10)</f>
        <v/>
      </c>
      <c r="G154" s="31">
        <f>IF($F154="","",IFERROR(INDEX(設定!$D$5:$D$20,MATCH($F154,設定!$B$5:$B$20,0)),""))</f>
        <v/>
      </c>
      <c r="H154" s="31">
        <f>IF($F154="","",IFERROR(INDEX(設定!$E$5:$E$20,MATCH($F154,設定!$B$5:$B$20,0)),""))</f>
        <v/>
      </c>
      <c r="I154" s="31">
        <f>IFERROR(INDEX(打卡匯入!$C$3:$C$1002,MATCH($C154&amp;"|"&amp;DAY($A154),打卡匯入!$E$3:$E$1002,0)),"")</f>
        <v/>
      </c>
      <c r="J154" s="31">
        <f>IFERROR(INDEX(打卡匯入!$D$3:$D$1002,MATCH($C154&amp;"|"&amp;DAY($A154),打卡匯入!$E$3:$E$1002,0)),"")</f>
        <v/>
      </c>
      <c r="K154" s="32">
        <f>IF(OR($I154="",$J154=""),"",IFERROR(INDEX(設定!$F$5:$F$20,MATCH($F154,設定!$B$5:$B$20,0)),0))</f>
        <v/>
      </c>
      <c r="L154" s="33">
        <f>IF(OR($I154="",$J154=""),"",ROUND(($J154-$I154)*24-$K154/60,2))</f>
        <v/>
      </c>
      <c r="M154" s="29">
        <f>IF($C154="","",IF(AND(COUNTIF(設定!$B$14:$B$20,$F154)&gt;0,$I154&lt;&gt;""),"假日出勤",IF(AND(COUNTIF(設定!$B$5:$B$13,$F154)&gt;0,$I154=""),"未打卡",IF($I154="","",IF($N154&gt;0,"遲到",IF($O154&gt;0,"早退","正常"))))))</f>
        <v/>
      </c>
      <c r="N154" s="32">
        <f>IF(OR($C154="",$G154="",$I154=""),0,IF(ROUND(($I154-$G154)*1440,0)&gt;設定!$C$28,ROUND(($I154-$G154)*1440,0),0))</f>
        <v/>
      </c>
      <c r="O154" s="32">
        <f>IF(OR($C154="",$H154="",$J154=""),0,IF(ROUND(($H154-$J154)*1440,0)&gt;設定!$C$28,ROUND(($H154-$J154)*1440,0),0))</f>
        <v/>
      </c>
      <c r="P154" s="33">
        <f>IF($L154="",0,IF(($L154-IFERROR(INDEX(設定!$G$5:$G$20,MATCH($F154,設定!$B$5:$B$20,0)),0))*60&gt;=設定!$C$26,ROUND(FLOOR(($L154-IFERROR(INDEX(設定!$G$5:$G$20,MATCH($F154,設定!$B$5:$B$20,0)),0))*60,設定!$C$27)/60,2),0))</f>
        <v/>
      </c>
      <c r="Q154" s="29">
        <f>IF(OR($C154="",$P154=0),"",IF($F154="國","國定假日",IF($B154="日","例假",IF($B154="六","休息日","平日"))))</f>
        <v/>
      </c>
      <c r="R154" s="34" t="n"/>
    </row>
    <row r="155">
      <c r="A155" s="30">
        <f>IF(OR(班表!$A10="",29&gt;DAY(EOMONTH(DATE(班表!$E$2,班表!$G$2,1),0))),"",DATE(班表!$E$2,班表!$G$2,29))</f>
        <v/>
      </c>
      <c r="B155" s="29">
        <f>IF($A155="","",INDEX(設定!$L$5:$L$11,WEEKDAY($A155,1)))</f>
        <v/>
      </c>
      <c r="C155" s="29">
        <f>IF($A155="","",班表!$A10)</f>
        <v/>
      </c>
      <c r="D155" s="29">
        <f>IF($C155="","",班表!$B10)</f>
        <v/>
      </c>
      <c r="E155" s="29">
        <f>IF($C155="","",班表!$C10)</f>
        <v/>
      </c>
      <c r="F155" s="29">
        <f>IF($C155="","",班表!AF10)</f>
        <v/>
      </c>
      <c r="G155" s="31">
        <f>IF($F155="","",IFERROR(INDEX(設定!$D$5:$D$20,MATCH($F155,設定!$B$5:$B$20,0)),""))</f>
        <v/>
      </c>
      <c r="H155" s="31">
        <f>IF($F155="","",IFERROR(INDEX(設定!$E$5:$E$20,MATCH($F155,設定!$B$5:$B$20,0)),""))</f>
        <v/>
      </c>
      <c r="I155" s="31">
        <f>IFERROR(INDEX(打卡匯入!$C$3:$C$1002,MATCH($C155&amp;"|"&amp;DAY($A155),打卡匯入!$E$3:$E$1002,0)),"")</f>
        <v/>
      </c>
      <c r="J155" s="31">
        <f>IFERROR(INDEX(打卡匯入!$D$3:$D$1002,MATCH($C155&amp;"|"&amp;DAY($A155),打卡匯入!$E$3:$E$1002,0)),"")</f>
        <v/>
      </c>
      <c r="K155" s="32">
        <f>IF(OR($I155="",$J155=""),"",IFERROR(INDEX(設定!$F$5:$F$20,MATCH($F155,設定!$B$5:$B$20,0)),0))</f>
        <v/>
      </c>
      <c r="L155" s="33">
        <f>IF(OR($I155="",$J155=""),"",ROUND(($J155-$I155)*24-$K155/60,2))</f>
        <v/>
      </c>
      <c r="M155" s="29">
        <f>IF($C155="","",IF(AND(COUNTIF(設定!$B$14:$B$20,$F155)&gt;0,$I155&lt;&gt;""),"假日出勤",IF(AND(COUNTIF(設定!$B$5:$B$13,$F155)&gt;0,$I155=""),"未打卡",IF($I155="","",IF($N155&gt;0,"遲到",IF($O155&gt;0,"早退","正常"))))))</f>
        <v/>
      </c>
      <c r="N155" s="32">
        <f>IF(OR($C155="",$G155="",$I155=""),0,IF(ROUND(($I155-$G155)*1440,0)&gt;設定!$C$28,ROUND(($I155-$G155)*1440,0),0))</f>
        <v/>
      </c>
      <c r="O155" s="32">
        <f>IF(OR($C155="",$H155="",$J155=""),0,IF(ROUND(($H155-$J155)*1440,0)&gt;設定!$C$28,ROUND(($H155-$J155)*1440,0),0))</f>
        <v/>
      </c>
      <c r="P155" s="33">
        <f>IF($L155="",0,IF(($L155-IFERROR(INDEX(設定!$G$5:$G$20,MATCH($F155,設定!$B$5:$B$20,0)),0))*60&gt;=設定!$C$26,ROUND(FLOOR(($L155-IFERROR(INDEX(設定!$G$5:$G$20,MATCH($F155,設定!$B$5:$B$20,0)),0))*60,設定!$C$27)/60,2),0))</f>
        <v/>
      </c>
      <c r="Q155" s="29">
        <f>IF(OR($C155="",$P155=0),"",IF($F155="國","國定假日",IF($B155="日","例假",IF($B155="六","休息日","平日"))))</f>
        <v/>
      </c>
      <c r="R155" s="34" t="n"/>
    </row>
    <row r="156">
      <c r="A156" s="30">
        <f>IF(OR(班表!$A10="",30&gt;DAY(EOMONTH(DATE(班表!$E$2,班表!$G$2,1),0))),"",DATE(班表!$E$2,班表!$G$2,30))</f>
        <v/>
      </c>
      <c r="B156" s="29">
        <f>IF($A156="","",INDEX(設定!$L$5:$L$11,WEEKDAY($A156,1)))</f>
        <v/>
      </c>
      <c r="C156" s="29">
        <f>IF($A156="","",班表!$A10)</f>
        <v/>
      </c>
      <c r="D156" s="29">
        <f>IF($C156="","",班表!$B10)</f>
        <v/>
      </c>
      <c r="E156" s="29">
        <f>IF($C156="","",班表!$C10)</f>
        <v/>
      </c>
      <c r="F156" s="29">
        <f>IF($C156="","",班表!AG10)</f>
        <v/>
      </c>
      <c r="G156" s="31">
        <f>IF($F156="","",IFERROR(INDEX(設定!$D$5:$D$20,MATCH($F156,設定!$B$5:$B$20,0)),""))</f>
        <v/>
      </c>
      <c r="H156" s="31">
        <f>IF($F156="","",IFERROR(INDEX(設定!$E$5:$E$20,MATCH($F156,設定!$B$5:$B$20,0)),""))</f>
        <v/>
      </c>
      <c r="I156" s="31">
        <f>IFERROR(INDEX(打卡匯入!$C$3:$C$1002,MATCH($C156&amp;"|"&amp;DAY($A156),打卡匯入!$E$3:$E$1002,0)),"")</f>
        <v/>
      </c>
      <c r="J156" s="31">
        <f>IFERROR(INDEX(打卡匯入!$D$3:$D$1002,MATCH($C156&amp;"|"&amp;DAY($A156),打卡匯入!$E$3:$E$1002,0)),"")</f>
        <v/>
      </c>
      <c r="K156" s="32">
        <f>IF(OR($I156="",$J156=""),"",IFERROR(INDEX(設定!$F$5:$F$20,MATCH($F156,設定!$B$5:$B$20,0)),0))</f>
        <v/>
      </c>
      <c r="L156" s="33">
        <f>IF(OR($I156="",$J156=""),"",ROUND(($J156-$I156)*24-$K156/60,2))</f>
        <v/>
      </c>
      <c r="M156" s="29">
        <f>IF($C156="","",IF(AND(COUNTIF(設定!$B$14:$B$20,$F156)&gt;0,$I156&lt;&gt;""),"假日出勤",IF(AND(COUNTIF(設定!$B$5:$B$13,$F156)&gt;0,$I156=""),"未打卡",IF($I156="","",IF($N156&gt;0,"遲到",IF($O156&gt;0,"早退","正常"))))))</f>
        <v/>
      </c>
      <c r="N156" s="32">
        <f>IF(OR($C156="",$G156="",$I156=""),0,IF(ROUND(($I156-$G156)*1440,0)&gt;設定!$C$28,ROUND(($I156-$G156)*1440,0),0))</f>
        <v/>
      </c>
      <c r="O156" s="32">
        <f>IF(OR($C156="",$H156="",$J156=""),0,IF(ROUND(($H156-$J156)*1440,0)&gt;設定!$C$28,ROUND(($H156-$J156)*1440,0),0))</f>
        <v/>
      </c>
      <c r="P156" s="33">
        <f>IF($L156="",0,IF(($L156-IFERROR(INDEX(設定!$G$5:$G$20,MATCH($F156,設定!$B$5:$B$20,0)),0))*60&gt;=設定!$C$26,ROUND(FLOOR(($L156-IFERROR(INDEX(設定!$G$5:$G$20,MATCH($F156,設定!$B$5:$B$20,0)),0))*60,設定!$C$27)/60,2),0))</f>
        <v/>
      </c>
      <c r="Q156" s="29">
        <f>IF(OR($C156="",$P156=0),"",IF($F156="國","國定假日",IF($B156="日","例假",IF($B156="六","休息日","平日"))))</f>
        <v/>
      </c>
      <c r="R156" s="34" t="n"/>
    </row>
    <row r="157">
      <c r="A157" s="30">
        <f>IF(OR(班表!$A10="",31&gt;DAY(EOMONTH(DATE(班表!$E$2,班表!$G$2,1),0))),"",DATE(班表!$E$2,班表!$G$2,31))</f>
        <v/>
      </c>
      <c r="B157" s="29">
        <f>IF($A157="","",INDEX(設定!$L$5:$L$11,WEEKDAY($A157,1)))</f>
        <v/>
      </c>
      <c r="C157" s="29">
        <f>IF($A157="","",班表!$A10)</f>
        <v/>
      </c>
      <c r="D157" s="29">
        <f>IF($C157="","",班表!$B10)</f>
        <v/>
      </c>
      <c r="E157" s="29">
        <f>IF($C157="","",班表!$C10)</f>
        <v/>
      </c>
      <c r="F157" s="29">
        <f>IF($C157="","",班表!AH10)</f>
        <v/>
      </c>
      <c r="G157" s="31">
        <f>IF($F157="","",IFERROR(INDEX(設定!$D$5:$D$20,MATCH($F157,設定!$B$5:$B$20,0)),""))</f>
        <v/>
      </c>
      <c r="H157" s="31">
        <f>IF($F157="","",IFERROR(INDEX(設定!$E$5:$E$20,MATCH($F157,設定!$B$5:$B$20,0)),""))</f>
        <v/>
      </c>
      <c r="I157" s="31">
        <f>IFERROR(INDEX(打卡匯入!$C$3:$C$1002,MATCH($C157&amp;"|"&amp;DAY($A157),打卡匯入!$E$3:$E$1002,0)),"")</f>
        <v/>
      </c>
      <c r="J157" s="31">
        <f>IFERROR(INDEX(打卡匯入!$D$3:$D$1002,MATCH($C157&amp;"|"&amp;DAY($A157),打卡匯入!$E$3:$E$1002,0)),"")</f>
        <v/>
      </c>
      <c r="K157" s="32">
        <f>IF(OR($I157="",$J157=""),"",IFERROR(INDEX(設定!$F$5:$F$20,MATCH($F157,設定!$B$5:$B$20,0)),0))</f>
        <v/>
      </c>
      <c r="L157" s="33">
        <f>IF(OR($I157="",$J157=""),"",ROUND(($J157-$I157)*24-$K157/60,2))</f>
        <v/>
      </c>
      <c r="M157" s="29">
        <f>IF($C157="","",IF(AND(COUNTIF(設定!$B$14:$B$20,$F157)&gt;0,$I157&lt;&gt;""),"假日出勤",IF(AND(COUNTIF(設定!$B$5:$B$13,$F157)&gt;0,$I157=""),"未打卡",IF($I157="","",IF($N157&gt;0,"遲到",IF($O157&gt;0,"早退","正常"))))))</f>
        <v/>
      </c>
      <c r="N157" s="32">
        <f>IF(OR($C157="",$G157="",$I157=""),0,IF(ROUND(($I157-$G157)*1440,0)&gt;設定!$C$28,ROUND(($I157-$G157)*1440,0),0))</f>
        <v/>
      </c>
      <c r="O157" s="32">
        <f>IF(OR($C157="",$H157="",$J157=""),0,IF(ROUND(($H157-$J157)*1440,0)&gt;設定!$C$28,ROUND(($H157-$J157)*1440,0),0))</f>
        <v/>
      </c>
      <c r="P157" s="33">
        <f>IF($L157="",0,IF(($L157-IFERROR(INDEX(設定!$G$5:$G$20,MATCH($F157,設定!$B$5:$B$20,0)),0))*60&gt;=設定!$C$26,ROUND(FLOOR(($L157-IFERROR(INDEX(設定!$G$5:$G$20,MATCH($F157,設定!$B$5:$B$20,0)),0))*60,設定!$C$27)/60,2),0))</f>
        <v/>
      </c>
      <c r="Q157" s="29">
        <f>IF(OR($C157="",$P157=0),"",IF($F157="國","國定假日",IF($B157="日","例假",IF($B157="六","休息日","平日"))))</f>
        <v/>
      </c>
      <c r="R157" s="34" t="n"/>
    </row>
    <row r="158">
      <c r="A158" s="30">
        <f>IF(OR(班表!$A11="",1&gt;DAY(EOMONTH(DATE(班表!$E$2,班表!$G$2,1),0))),"",DATE(班表!$E$2,班表!$G$2,1))</f>
        <v/>
      </c>
      <c r="B158" s="29">
        <f>IF($A158="","",INDEX(設定!$L$5:$L$11,WEEKDAY($A158,1)))</f>
        <v/>
      </c>
      <c r="C158" s="29">
        <f>IF($A158="","",班表!$A11)</f>
        <v/>
      </c>
      <c r="D158" s="29">
        <f>IF($C158="","",班表!$B11)</f>
        <v/>
      </c>
      <c r="E158" s="29">
        <f>IF($C158="","",班表!$C11)</f>
        <v/>
      </c>
      <c r="F158" s="29">
        <f>IF($C158="","",班表!D11)</f>
        <v/>
      </c>
      <c r="G158" s="31">
        <f>IF($F158="","",IFERROR(INDEX(設定!$D$5:$D$20,MATCH($F158,設定!$B$5:$B$20,0)),""))</f>
        <v/>
      </c>
      <c r="H158" s="31">
        <f>IF($F158="","",IFERROR(INDEX(設定!$E$5:$E$20,MATCH($F158,設定!$B$5:$B$20,0)),""))</f>
        <v/>
      </c>
      <c r="I158" s="31">
        <f>IFERROR(INDEX(打卡匯入!$C$3:$C$1002,MATCH($C158&amp;"|"&amp;DAY($A158),打卡匯入!$E$3:$E$1002,0)),"")</f>
        <v/>
      </c>
      <c r="J158" s="31">
        <f>IFERROR(INDEX(打卡匯入!$D$3:$D$1002,MATCH($C158&amp;"|"&amp;DAY($A158),打卡匯入!$E$3:$E$1002,0)),"")</f>
        <v/>
      </c>
      <c r="K158" s="32">
        <f>IF(OR($I158="",$J158=""),"",IFERROR(INDEX(設定!$F$5:$F$20,MATCH($F158,設定!$B$5:$B$20,0)),0))</f>
        <v/>
      </c>
      <c r="L158" s="33">
        <f>IF(OR($I158="",$J158=""),"",ROUND(($J158-$I158)*24-$K158/60,2))</f>
        <v/>
      </c>
      <c r="M158" s="29">
        <f>IF($C158="","",IF(AND(COUNTIF(設定!$B$14:$B$20,$F158)&gt;0,$I158&lt;&gt;""),"假日出勤",IF(AND(COUNTIF(設定!$B$5:$B$13,$F158)&gt;0,$I158=""),"未打卡",IF($I158="","",IF($N158&gt;0,"遲到",IF($O158&gt;0,"早退","正常"))))))</f>
        <v/>
      </c>
      <c r="N158" s="32">
        <f>IF(OR($C158="",$G158="",$I158=""),0,IF(ROUND(($I158-$G158)*1440,0)&gt;設定!$C$28,ROUND(($I158-$G158)*1440,0),0))</f>
        <v/>
      </c>
      <c r="O158" s="32">
        <f>IF(OR($C158="",$H158="",$J158=""),0,IF(ROUND(($H158-$J158)*1440,0)&gt;設定!$C$28,ROUND(($H158-$J158)*1440,0),0))</f>
        <v/>
      </c>
      <c r="P158" s="33">
        <f>IF($L158="",0,IF(($L158-IFERROR(INDEX(設定!$G$5:$G$20,MATCH($F158,設定!$B$5:$B$20,0)),0))*60&gt;=設定!$C$26,ROUND(FLOOR(($L158-IFERROR(INDEX(設定!$G$5:$G$20,MATCH($F158,設定!$B$5:$B$20,0)),0))*60,設定!$C$27)/60,2),0))</f>
        <v/>
      </c>
      <c r="Q158" s="29">
        <f>IF(OR($C158="",$P158=0),"",IF($F158="國","國定假日",IF($B158="日","例假",IF($B158="六","休息日","平日"))))</f>
        <v/>
      </c>
      <c r="R158" s="34" t="n"/>
    </row>
    <row r="159">
      <c r="A159" s="30">
        <f>IF(OR(班表!$A11="",2&gt;DAY(EOMONTH(DATE(班表!$E$2,班表!$G$2,1),0))),"",DATE(班表!$E$2,班表!$G$2,2))</f>
        <v/>
      </c>
      <c r="B159" s="29">
        <f>IF($A159="","",INDEX(設定!$L$5:$L$11,WEEKDAY($A159,1)))</f>
        <v/>
      </c>
      <c r="C159" s="29">
        <f>IF($A159="","",班表!$A11)</f>
        <v/>
      </c>
      <c r="D159" s="29">
        <f>IF($C159="","",班表!$B11)</f>
        <v/>
      </c>
      <c r="E159" s="29">
        <f>IF($C159="","",班表!$C11)</f>
        <v/>
      </c>
      <c r="F159" s="29">
        <f>IF($C159="","",班表!E11)</f>
        <v/>
      </c>
      <c r="G159" s="31">
        <f>IF($F159="","",IFERROR(INDEX(設定!$D$5:$D$20,MATCH($F159,設定!$B$5:$B$20,0)),""))</f>
        <v/>
      </c>
      <c r="H159" s="31">
        <f>IF($F159="","",IFERROR(INDEX(設定!$E$5:$E$20,MATCH($F159,設定!$B$5:$B$20,0)),""))</f>
        <v/>
      </c>
      <c r="I159" s="31">
        <f>IFERROR(INDEX(打卡匯入!$C$3:$C$1002,MATCH($C159&amp;"|"&amp;DAY($A159),打卡匯入!$E$3:$E$1002,0)),"")</f>
        <v/>
      </c>
      <c r="J159" s="31">
        <f>IFERROR(INDEX(打卡匯入!$D$3:$D$1002,MATCH($C159&amp;"|"&amp;DAY($A159),打卡匯入!$E$3:$E$1002,0)),"")</f>
        <v/>
      </c>
      <c r="K159" s="32">
        <f>IF(OR($I159="",$J159=""),"",IFERROR(INDEX(設定!$F$5:$F$20,MATCH($F159,設定!$B$5:$B$20,0)),0))</f>
        <v/>
      </c>
      <c r="L159" s="33">
        <f>IF(OR($I159="",$J159=""),"",ROUND(($J159-$I159)*24-$K159/60,2))</f>
        <v/>
      </c>
      <c r="M159" s="29">
        <f>IF($C159="","",IF(AND(COUNTIF(設定!$B$14:$B$20,$F159)&gt;0,$I159&lt;&gt;""),"假日出勤",IF(AND(COUNTIF(設定!$B$5:$B$13,$F159)&gt;0,$I159=""),"未打卡",IF($I159="","",IF($N159&gt;0,"遲到",IF($O159&gt;0,"早退","正常"))))))</f>
        <v/>
      </c>
      <c r="N159" s="32">
        <f>IF(OR($C159="",$G159="",$I159=""),0,IF(ROUND(($I159-$G159)*1440,0)&gt;設定!$C$28,ROUND(($I159-$G159)*1440,0),0))</f>
        <v/>
      </c>
      <c r="O159" s="32">
        <f>IF(OR($C159="",$H159="",$J159=""),0,IF(ROUND(($H159-$J159)*1440,0)&gt;設定!$C$28,ROUND(($H159-$J159)*1440,0),0))</f>
        <v/>
      </c>
      <c r="P159" s="33">
        <f>IF($L159="",0,IF(($L159-IFERROR(INDEX(設定!$G$5:$G$20,MATCH($F159,設定!$B$5:$B$20,0)),0))*60&gt;=設定!$C$26,ROUND(FLOOR(($L159-IFERROR(INDEX(設定!$G$5:$G$20,MATCH($F159,設定!$B$5:$B$20,0)),0))*60,設定!$C$27)/60,2),0))</f>
        <v/>
      </c>
      <c r="Q159" s="29">
        <f>IF(OR($C159="",$P159=0),"",IF($F159="國","國定假日",IF($B159="日","例假",IF($B159="六","休息日","平日"))))</f>
        <v/>
      </c>
      <c r="R159" s="34" t="n"/>
    </row>
    <row r="160">
      <c r="A160" s="30">
        <f>IF(OR(班表!$A11="",3&gt;DAY(EOMONTH(DATE(班表!$E$2,班表!$G$2,1),0))),"",DATE(班表!$E$2,班表!$G$2,3))</f>
        <v/>
      </c>
      <c r="B160" s="29">
        <f>IF($A160="","",INDEX(設定!$L$5:$L$11,WEEKDAY($A160,1)))</f>
        <v/>
      </c>
      <c r="C160" s="29">
        <f>IF($A160="","",班表!$A11)</f>
        <v/>
      </c>
      <c r="D160" s="29">
        <f>IF($C160="","",班表!$B11)</f>
        <v/>
      </c>
      <c r="E160" s="29">
        <f>IF($C160="","",班表!$C11)</f>
        <v/>
      </c>
      <c r="F160" s="29">
        <f>IF($C160="","",班表!F11)</f>
        <v/>
      </c>
      <c r="G160" s="31">
        <f>IF($F160="","",IFERROR(INDEX(設定!$D$5:$D$20,MATCH($F160,設定!$B$5:$B$20,0)),""))</f>
        <v/>
      </c>
      <c r="H160" s="31">
        <f>IF($F160="","",IFERROR(INDEX(設定!$E$5:$E$20,MATCH($F160,設定!$B$5:$B$20,0)),""))</f>
        <v/>
      </c>
      <c r="I160" s="31">
        <f>IFERROR(INDEX(打卡匯入!$C$3:$C$1002,MATCH($C160&amp;"|"&amp;DAY($A160),打卡匯入!$E$3:$E$1002,0)),"")</f>
        <v/>
      </c>
      <c r="J160" s="31">
        <f>IFERROR(INDEX(打卡匯入!$D$3:$D$1002,MATCH($C160&amp;"|"&amp;DAY($A160),打卡匯入!$E$3:$E$1002,0)),"")</f>
        <v/>
      </c>
      <c r="K160" s="32">
        <f>IF(OR($I160="",$J160=""),"",IFERROR(INDEX(設定!$F$5:$F$20,MATCH($F160,設定!$B$5:$B$20,0)),0))</f>
        <v/>
      </c>
      <c r="L160" s="33">
        <f>IF(OR($I160="",$J160=""),"",ROUND(($J160-$I160)*24-$K160/60,2))</f>
        <v/>
      </c>
      <c r="M160" s="29">
        <f>IF($C160="","",IF(AND(COUNTIF(設定!$B$14:$B$20,$F160)&gt;0,$I160&lt;&gt;""),"假日出勤",IF(AND(COUNTIF(設定!$B$5:$B$13,$F160)&gt;0,$I160=""),"未打卡",IF($I160="","",IF($N160&gt;0,"遲到",IF($O160&gt;0,"早退","正常"))))))</f>
        <v/>
      </c>
      <c r="N160" s="32">
        <f>IF(OR($C160="",$G160="",$I160=""),0,IF(ROUND(($I160-$G160)*1440,0)&gt;設定!$C$28,ROUND(($I160-$G160)*1440,0),0))</f>
        <v/>
      </c>
      <c r="O160" s="32">
        <f>IF(OR($C160="",$H160="",$J160=""),0,IF(ROUND(($H160-$J160)*1440,0)&gt;設定!$C$28,ROUND(($H160-$J160)*1440,0),0))</f>
        <v/>
      </c>
      <c r="P160" s="33">
        <f>IF($L160="",0,IF(($L160-IFERROR(INDEX(設定!$G$5:$G$20,MATCH($F160,設定!$B$5:$B$20,0)),0))*60&gt;=設定!$C$26,ROUND(FLOOR(($L160-IFERROR(INDEX(設定!$G$5:$G$20,MATCH($F160,設定!$B$5:$B$20,0)),0))*60,設定!$C$27)/60,2),0))</f>
        <v/>
      </c>
      <c r="Q160" s="29">
        <f>IF(OR($C160="",$P160=0),"",IF($F160="國","國定假日",IF($B160="日","例假",IF($B160="六","休息日","平日"))))</f>
        <v/>
      </c>
      <c r="R160" s="34" t="n"/>
    </row>
    <row r="161">
      <c r="A161" s="30">
        <f>IF(OR(班表!$A11="",4&gt;DAY(EOMONTH(DATE(班表!$E$2,班表!$G$2,1),0))),"",DATE(班表!$E$2,班表!$G$2,4))</f>
        <v/>
      </c>
      <c r="B161" s="29">
        <f>IF($A161="","",INDEX(設定!$L$5:$L$11,WEEKDAY($A161,1)))</f>
        <v/>
      </c>
      <c r="C161" s="29">
        <f>IF($A161="","",班表!$A11)</f>
        <v/>
      </c>
      <c r="D161" s="29">
        <f>IF($C161="","",班表!$B11)</f>
        <v/>
      </c>
      <c r="E161" s="29">
        <f>IF($C161="","",班表!$C11)</f>
        <v/>
      </c>
      <c r="F161" s="29">
        <f>IF($C161="","",班表!G11)</f>
        <v/>
      </c>
      <c r="G161" s="31">
        <f>IF($F161="","",IFERROR(INDEX(設定!$D$5:$D$20,MATCH($F161,設定!$B$5:$B$20,0)),""))</f>
        <v/>
      </c>
      <c r="H161" s="31">
        <f>IF($F161="","",IFERROR(INDEX(設定!$E$5:$E$20,MATCH($F161,設定!$B$5:$B$20,0)),""))</f>
        <v/>
      </c>
      <c r="I161" s="31">
        <f>IFERROR(INDEX(打卡匯入!$C$3:$C$1002,MATCH($C161&amp;"|"&amp;DAY($A161),打卡匯入!$E$3:$E$1002,0)),"")</f>
        <v/>
      </c>
      <c r="J161" s="31">
        <f>IFERROR(INDEX(打卡匯入!$D$3:$D$1002,MATCH($C161&amp;"|"&amp;DAY($A161),打卡匯入!$E$3:$E$1002,0)),"")</f>
        <v/>
      </c>
      <c r="K161" s="32">
        <f>IF(OR($I161="",$J161=""),"",IFERROR(INDEX(設定!$F$5:$F$20,MATCH($F161,設定!$B$5:$B$20,0)),0))</f>
        <v/>
      </c>
      <c r="L161" s="33">
        <f>IF(OR($I161="",$J161=""),"",ROUND(($J161-$I161)*24-$K161/60,2))</f>
        <v/>
      </c>
      <c r="M161" s="29">
        <f>IF($C161="","",IF(AND(COUNTIF(設定!$B$14:$B$20,$F161)&gt;0,$I161&lt;&gt;""),"假日出勤",IF(AND(COUNTIF(設定!$B$5:$B$13,$F161)&gt;0,$I161=""),"未打卡",IF($I161="","",IF($N161&gt;0,"遲到",IF($O161&gt;0,"早退","正常"))))))</f>
        <v/>
      </c>
      <c r="N161" s="32">
        <f>IF(OR($C161="",$G161="",$I161=""),0,IF(ROUND(($I161-$G161)*1440,0)&gt;設定!$C$28,ROUND(($I161-$G161)*1440,0),0))</f>
        <v/>
      </c>
      <c r="O161" s="32">
        <f>IF(OR($C161="",$H161="",$J161=""),0,IF(ROUND(($H161-$J161)*1440,0)&gt;設定!$C$28,ROUND(($H161-$J161)*1440,0),0))</f>
        <v/>
      </c>
      <c r="P161" s="33">
        <f>IF($L161="",0,IF(($L161-IFERROR(INDEX(設定!$G$5:$G$20,MATCH($F161,設定!$B$5:$B$20,0)),0))*60&gt;=設定!$C$26,ROUND(FLOOR(($L161-IFERROR(INDEX(設定!$G$5:$G$20,MATCH($F161,設定!$B$5:$B$20,0)),0))*60,設定!$C$27)/60,2),0))</f>
        <v/>
      </c>
      <c r="Q161" s="29">
        <f>IF(OR($C161="",$P161=0),"",IF($F161="國","國定假日",IF($B161="日","例假",IF($B161="六","休息日","平日"))))</f>
        <v/>
      </c>
      <c r="R161" s="34" t="n"/>
    </row>
    <row r="162">
      <c r="A162" s="30">
        <f>IF(OR(班表!$A11="",5&gt;DAY(EOMONTH(DATE(班表!$E$2,班表!$G$2,1),0))),"",DATE(班表!$E$2,班表!$G$2,5))</f>
        <v/>
      </c>
      <c r="B162" s="29">
        <f>IF($A162="","",INDEX(設定!$L$5:$L$11,WEEKDAY($A162,1)))</f>
        <v/>
      </c>
      <c r="C162" s="29">
        <f>IF($A162="","",班表!$A11)</f>
        <v/>
      </c>
      <c r="D162" s="29">
        <f>IF($C162="","",班表!$B11)</f>
        <v/>
      </c>
      <c r="E162" s="29">
        <f>IF($C162="","",班表!$C11)</f>
        <v/>
      </c>
      <c r="F162" s="29">
        <f>IF($C162="","",班表!H11)</f>
        <v/>
      </c>
      <c r="G162" s="31">
        <f>IF($F162="","",IFERROR(INDEX(設定!$D$5:$D$20,MATCH($F162,設定!$B$5:$B$20,0)),""))</f>
        <v/>
      </c>
      <c r="H162" s="31">
        <f>IF($F162="","",IFERROR(INDEX(設定!$E$5:$E$20,MATCH($F162,設定!$B$5:$B$20,0)),""))</f>
        <v/>
      </c>
      <c r="I162" s="31">
        <f>IFERROR(INDEX(打卡匯入!$C$3:$C$1002,MATCH($C162&amp;"|"&amp;DAY($A162),打卡匯入!$E$3:$E$1002,0)),"")</f>
        <v/>
      </c>
      <c r="J162" s="31">
        <f>IFERROR(INDEX(打卡匯入!$D$3:$D$1002,MATCH($C162&amp;"|"&amp;DAY($A162),打卡匯入!$E$3:$E$1002,0)),"")</f>
        <v/>
      </c>
      <c r="K162" s="32">
        <f>IF(OR($I162="",$J162=""),"",IFERROR(INDEX(設定!$F$5:$F$20,MATCH($F162,設定!$B$5:$B$20,0)),0))</f>
        <v/>
      </c>
      <c r="L162" s="33">
        <f>IF(OR($I162="",$J162=""),"",ROUND(($J162-$I162)*24-$K162/60,2))</f>
        <v/>
      </c>
      <c r="M162" s="29">
        <f>IF($C162="","",IF(AND(COUNTIF(設定!$B$14:$B$20,$F162)&gt;0,$I162&lt;&gt;""),"假日出勤",IF(AND(COUNTIF(設定!$B$5:$B$13,$F162)&gt;0,$I162=""),"未打卡",IF($I162="","",IF($N162&gt;0,"遲到",IF($O162&gt;0,"早退","正常"))))))</f>
        <v/>
      </c>
      <c r="N162" s="32">
        <f>IF(OR($C162="",$G162="",$I162=""),0,IF(ROUND(($I162-$G162)*1440,0)&gt;設定!$C$28,ROUND(($I162-$G162)*1440,0),0))</f>
        <v/>
      </c>
      <c r="O162" s="32">
        <f>IF(OR($C162="",$H162="",$J162=""),0,IF(ROUND(($H162-$J162)*1440,0)&gt;設定!$C$28,ROUND(($H162-$J162)*1440,0),0))</f>
        <v/>
      </c>
      <c r="P162" s="33">
        <f>IF($L162="",0,IF(($L162-IFERROR(INDEX(設定!$G$5:$G$20,MATCH($F162,設定!$B$5:$B$20,0)),0))*60&gt;=設定!$C$26,ROUND(FLOOR(($L162-IFERROR(INDEX(設定!$G$5:$G$20,MATCH($F162,設定!$B$5:$B$20,0)),0))*60,設定!$C$27)/60,2),0))</f>
        <v/>
      </c>
      <c r="Q162" s="29">
        <f>IF(OR($C162="",$P162=0),"",IF($F162="國","國定假日",IF($B162="日","例假",IF($B162="六","休息日","平日"))))</f>
        <v/>
      </c>
      <c r="R162" s="34" t="n"/>
    </row>
    <row r="163">
      <c r="A163" s="30">
        <f>IF(OR(班表!$A11="",6&gt;DAY(EOMONTH(DATE(班表!$E$2,班表!$G$2,1),0))),"",DATE(班表!$E$2,班表!$G$2,6))</f>
        <v/>
      </c>
      <c r="B163" s="29">
        <f>IF($A163="","",INDEX(設定!$L$5:$L$11,WEEKDAY($A163,1)))</f>
        <v/>
      </c>
      <c r="C163" s="29">
        <f>IF($A163="","",班表!$A11)</f>
        <v/>
      </c>
      <c r="D163" s="29">
        <f>IF($C163="","",班表!$B11)</f>
        <v/>
      </c>
      <c r="E163" s="29">
        <f>IF($C163="","",班表!$C11)</f>
        <v/>
      </c>
      <c r="F163" s="29">
        <f>IF($C163="","",班表!I11)</f>
        <v/>
      </c>
      <c r="G163" s="31">
        <f>IF($F163="","",IFERROR(INDEX(設定!$D$5:$D$20,MATCH($F163,設定!$B$5:$B$20,0)),""))</f>
        <v/>
      </c>
      <c r="H163" s="31">
        <f>IF($F163="","",IFERROR(INDEX(設定!$E$5:$E$20,MATCH($F163,設定!$B$5:$B$20,0)),""))</f>
        <v/>
      </c>
      <c r="I163" s="31">
        <f>IFERROR(INDEX(打卡匯入!$C$3:$C$1002,MATCH($C163&amp;"|"&amp;DAY($A163),打卡匯入!$E$3:$E$1002,0)),"")</f>
        <v/>
      </c>
      <c r="J163" s="31">
        <f>IFERROR(INDEX(打卡匯入!$D$3:$D$1002,MATCH($C163&amp;"|"&amp;DAY($A163),打卡匯入!$E$3:$E$1002,0)),"")</f>
        <v/>
      </c>
      <c r="K163" s="32">
        <f>IF(OR($I163="",$J163=""),"",IFERROR(INDEX(設定!$F$5:$F$20,MATCH($F163,設定!$B$5:$B$20,0)),0))</f>
        <v/>
      </c>
      <c r="L163" s="33">
        <f>IF(OR($I163="",$J163=""),"",ROUND(($J163-$I163)*24-$K163/60,2))</f>
        <v/>
      </c>
      <c r="M163" s="29">
        <f>IF($C163="","",IF(AND(COUNTIF(設定!$B$14:$B$20,$F163)&gt;0,$I163&lt;&gt;""),"假日出勤",IF(AND(COUNTIF(設定!$B$5:$B$13,$F163)&gt;0,$I163=""),"未打卡",IF($I163="","",IF($N163&gt;0,"遲到",IF($O163&gt;0,"早退","正常"))))))</f>
        <v/>
      </c>
      <c r="N163" s="32">
        <f>IF(OR($C163="",$G163="",$I163=""),0,IF(ROUND(($I163-$G163)*1440,0)&gt;設定!$C$28,ROUND(($I163-$G163)*1440,0),0))</f>
        <v/>
      </c>
      <c r="O163" s="32">
        <f>IF(OR($C163="",$H163="",$J163=""),0,IF(ROUND(($H163-$J163)*1440,0)&gt;設定!$C$28,ROUND(($H163-$J163)*1440,0),0))</f>
        <v/>
      </c>
      <c r="P163" s="33">
        <f>IF($L163="",0,IF(($L163-IFERROR(INDEX(設定!$G$5:$G$20,MATCH($F163,設定!$B$5:$B$20,0)),0))*60&gt;=設定!$C$26,ROUND(FLOOR(($L163-IFERROR(INDEX(設定!$G$5:$G$20,MATCH($F163,設定!$B$5:$B$20,0)),0))*60,設定!$C$27)/60,2),0))</f>
        <v/>
      </c>
      <c r="Q163" s="29">
        <f>IF(OR($C163="",$P163=0),"",IF($F163="國","國定假日",IF($B163="日","例假",IF($B163="六","休息日","平日"))))</f>
        <v/>
      </c>
      <c r="R163" s="34" t="n"/>
    </row>
    <row r="164">
      <c r="A164" s="30">
        <f>IF(OR(班表!$A11="",7&gt;DAY(EOMONTH(DATE(班表!$E$2,班表!$G$2,1),0))),"",DATE(班表!$E$2,班表!$G$2,7))</f>
        <v/>
      </c>
      <c r="B164" s="29">
        <f>IF($A164="","",INDEX(設定!$L$5:$L$11,WEEKDAY($A164,1)))</f>
        <v/>
      </c>
      <c r="C164" s="29">
        <f>IF($A164="","",班表!$A11)</f>
        <v/>
      </c>
      <c r="D164" s="29">
        <f>IF($C164="","",班表!$B11)</f>
        <v/>
      </c>
      <c r="E164" s="29">
        <f>IF($C164="","",班表!$C11)</f>
        <v/>
      </c>
      <c r="F164" s="29">
        <f>IF($C164="","",班表!J11)</f>
        <v/>
      </c>
      <c r="G164" s="31">
        <f>IF($F164="","",IFERROR(INDEX(設定!$D$5:$D$20,MATCH($F164,設定!$B$5:$B$20,0)),""))</f>
        <v/>
      </c>
      <c r="H164" s="31">
        <f>IF($F164="","",IFERROR(INDEX(設定!$E$5:$E$20,MATCH($F164,設定!$B$5:$B$20,0)),""))</f>
        <v/>
      </c>
      <c r="I164" s="31">
        <f>IFERROR(INDEX(打卡匯入!$C$3:$C$1002,MATCH($C164&amp;"|"&amp;DAY($A164),打卡匯入!$E$3:$E$1002,0)),"")</f>
        <v/>
      </c>
      <c r="J164" s="31">
        <f>IFERROR(INDEX(打卡匯入!$D$3:$D$1002,MATCH($C164&amp;"|"&amp;DAY($A164),打卡匯入!$E$3:$E$1002,0)),"")</f>
        <v/>
      </c>
      <c r="K164" s="32">
        <f>IF(OR($I164="",$J164=""),"",IFERROR(INDEX(設定!$F$5:$F$20,MATCH($F164,設定!$B$5:$B$20,0)),0))</f>
        <v/>
      </c>
      <c r="L164" s="33">
        <f>IF(OR($I164="",$J164=""),"",ROUND(($J164-$I164)*24-$K164/60,2))</f>
        <v/>
      </c>
      <c r="M164" s="29">
        <f>IF($C164="","",IF(AND(COUNTIF(設定!$B$14:$B$20,$F164)&gt;0,$I164&lt;&gt;""),"假日出勤",IF(AND(COUNTIF(設定!$B$5:$B$13,$F164)&gt;0,$I164=""),"未打卡",IF($I164="","",IF($N164&gt;0,"遲到",IF($O164&gt;0,"早退","正常"))))))</f>
        <v/>
      </c>
      <c r="N164" s="32">
        <f>IF(OR($C164="",$G164="",$I164=""),0,IF(ROUND(($I164-$G164)*1440,0)&gt;設定!$C$28,ROUND(($I164-$G164)*1440,0),0))</f>
        <v/>
      </c>
      <c r="O164" s="32">
        <f>IF(OR($C164="",$H164="",$J164=""),0,IF(ROUND(($H164-$J164)*1440,0)&gt;設定!$C$28,ROUND(($H164-$J164)*1440,0),0))</f>
        <v/>
      </c>
      <c r="P164" s="33">
        <f>IF($L164="",0,IF(($L164-IFERROR(INDEX(設定!$G$5:$G$20,MATCH($F164,設定!$B$5:$B$20,0)),0))*60&gt;=設定!$C$26,ROUND(FLOOR(($L164-IFERROR(INDEX(設定!$G$5:$G$20,MATCH($F164,設定!$B$5:$B$20,0)),0))*60,設定!$C$27)/60,2),0))</f>
        <v/>
      </c>
      <c r="Q164" s="29">
        <f>IF(OR($C164="",$P164=0),"",IF($F164="國","國定假日",IF($B164="日","例假",IF($B164="六","休息日","平日"))))</f>
        <v/>
      </c>
      <c r="R164" s="34" t="n"/>
    </row>
    <row r="165">
      <c r="A165" s="30">
        <f>IF(OR(班表!$A11="",8&gt;DAY(EOMONTH(DATE(班表!$E$2,班表!$G$2,1),0))),"",DATE(班表!$E$2,班表!$G$2,8))</f>
        <v/>
      </c>
      <c r="B165" s="29">
        <f>IF($A165="","",INDEX(設定!$L$5:$L$11,WEEKDAY($A165,1)))</f>
        <v/>
      </c>
      <c r="C165" s="29">
        <f>IF($A165="","",班表!$A11)</f>
        <v/>
      </c>
      <c r="D165" s="29">
        <f>IF($C165="","",班表!$B11)</f>
        <v/>
      </c>
      <c r="E165" s="29">
        <f>IF($C165="","",班表!$C11)</f>
        <v/>
      </c>
      <c r="F165" s="29">
        <f>IF($C165="","",班表!K11)</f>
        <v/>
      </c>
      <c r="G165" s="31">
        <f>IF($F165="","",IFERROR(INDEX(設定!$D$5:$D$20,MATCH($F165,設定!$B$5:$B$20,0)),""))</f>
        <v/>
      </c>
      <c r="H165" s="31">
        <f>IF($F165="","",IFERROR(INDEX(設定!$E$5:$E$20,MATCH($F165,設定!$B$5:$B$20,0)),""))</f>
        <v/>
      </c>
      <c r="I165" s="31">
        <f>IFERROR(INDEX(打卡匯入!$C$3:$C$1002,MATCH($C165&amp;"|"&amp;DAY($A165),打卡匯入!$E$3:$E$1002,0)),"")</f>
        <v/>
      </c>
      <c r="J165" s="31">
        <f>IFERROR(INDEX(打卡匯入!$D$3:$D$1002,MATCH($C165&amp;"|"&amp;DAY($A165),打卡匯入!$E$3:$E$1002,0)),"")</f>
        <v/>
      </c>
      <c r="K165" s="32">
        <f>IF(OR($I165="",$J165=""),"",IFERROR(INDEX(設定!$F$5:$F$20,MATCH($F165,設定!$B$5:$B$20,0)),0))</f>
        <v/>
      </c>
      <c r="L165" s="33">
        <f>IF(OR($I165="",$J165=""),"",ROUND(($J165-$I165)*24-$K165/60,2))</f>
        <v/>
      </c>
      <c r="M165" s="29">
        <f>IF($C165="","",IF(AND(COUNTIF(設定!$B$14:$B$20,$F165)&gt;0,$I165&lt;&gt;""),"假日出勤",IF(AND(COUNTIF(設定!$B$5:$B$13,$F165)&gt;0,$I165=""),"未打卡",IF($I165="","",IF($N165&gt;0,"遲到",IF($O165&gt;0,"早退","正常"))))))</f>
        <v/>
      </c>
      <c r="N165" s="32">
        <f>IF(OR($C165="",$G165="",$I165=""),0,IF(ROUND(($I165-$G165)*1440,0)&gt;設定!$C$28,ROUND(($I165-$G165)*1440,0),0))</f>
        <v/>
      </c>
      <c r="O165" s="32">
        <f>IF(OR($C165="",$H165="",$J165=""),0,IF(ROUND(($H165-$J165)*1440,0)&gt;設定!$C$28,ROUND(($H165-$J165)*1440,0),0))</f>
        <v/>
      </c>
      <c r="P165" s="33">
        <f>IF($L165="",0,IF(($L165-IFERROR(INDEX(設定!$G$5:$G$20,MATCH($F165,設定!$B$5:$B$20,0)),0))*60&gt;=設定!$C$26,ROUND(FLOOR(($L165-IFERROR(INDEX(設定!$G$5:$G$20,MATCH($F165,設定!$B$5:$B$20,0)),0))*60,設定!$C$27)/60,2),0))</f>
        <v/>
      </c>
      <c r="Q165" s="29">
        <f>IF(OR($C165="",$P165=0),"",IF($F165="國","國定假日",IF($B165="日","例假",IF($B165="六","休息日","平日"))))</f>
        <v/>
      </c>
      <c r="R165" s="34" t="n"/>
    </row>
    <row r="166">
      <c r="A166" s="30">
        <f>IF(OR(班表!$A11="",9&gt;DAY(EOMONTH(DATE(班表!$E$2,班表!$G$2,1),0))),"",DATE(班表!$E$2,班表!$G$2,9))</f>
        <v/>
      </c>
      <c r="B166" s="29">
        <f>IF($A166="","",INDEX(設定!$L$5:$L$11,WEEKDAY($A166,1)))</f>
        <v/>
      </c>
      <c r="C166" s="29">
        <f>IF($A166="","",班表!$A11)</f>
        <v/>
      </c>
      <c r="D166" s="29">
        <f>IF($C166="","",班表!$B11)</f>
        <v/>
      </c>
      <c r="E166" s="29">
        <f>IF($C166="","",班表!$C11)</f>
        <v/>
      </c>
      <c r="F166" s="29">
        <f>IF($C166="","",班表!L11)</f>
        <v/>
      </c>
      <c r="G166" s="31">
        <f>IF($F166="","",IFERROR(INDEX(設定!$D$5:$D$20,MATCH($F166,設定!$B$5:$B$20,0)),""))</f>
        <v/>
      </c>
      <c r="H166" s="31">
        <f>IF($F166="","",IFERROR(INDEX(設定!$E$5:$E$20,MATCH($F166,設定!$B$5:$B$20,0)),""))</f>
        <v/>
      </c>
      <c r="I166" s="31">
        <f>IFERROR(INDEX(打卡匯入!$C$3:$C$1002,MATCH($C166&amp;"|"&amp;DAY($A166),打卡匯入!$E$3:$E$1002,0)),"")</f>
        <v/>
      </c>
      <c r="J166" s="31">
        <f>IFERROR(INDEX(打卡匯入!$D$3:$D$1002,MATCH($C166&amp;"|"&amp;DAY($A166),打卡匯入!$E$3:$E$1002,0)),"")</f>
        <v/>
      </c>
      <c r="K166" s="32">
        <f>IF(OR($I166="",$J166=""),"",IFERROR(INDEX(設定!$F$5:$F$20,MATCH($F166,設定!$B$5:$B$20,0)),0))</f>
        <v/>
      </c>
      <c r="L166" s="33">
        <f>IF(OR($I166="",$J166=""),"",ROUND(($J166-$I166)*24-$K166/60,2))</f>
        <v/>
      </c>
      <c r="M166" s="29">
        <f>IF($C166="","",IF(AND(COUNTIF(設定!$B$14:$B$20,$F166)&gt;0,$I166&lt;&gt;""),"假日出勤",IF(AND(COUNTIF(設定!$B$5:$B$13,$F166)&gt;0,$I166=""),"未打卡",IF($I166="","",IF($N166&gt;0,"遲到",IF($O166&gt;0,"早退","正常"))))))</f>
        <v/>
      </c>
      <c r="N166" s="32">
        <f>IF(OR($C166="",$G166="",$I166=""),0,IF(ROUND(($I166-$G166)*1440,0)&gt;設定!$C$28,ROUND(($I166-$G166)*1440,0),0))</f>
        <v/>
      </c>
      <c r="O166" s="32">
        <f>IF(OR($C166="",$H166="",$J166=""),0,IF(ROUND(($H166-$J166)*1440,0)&gt;設定!$C$28,ROUND(($H166-$J166)*1440,0),0))</f>
        <v/>
      </c>
      <c r="P166" s="33">
        <f>IF($L166="",0,IF(($L166-IFERROR(INDEX(設定!$G$5:$G$20,MATCH($F166,設定!$B$5:$B$20,0)),0))*60&gt;=設定!$C$26,ROUND(FLOOR(($L166-IFERROR(INDEX(設定!$G$5:$G$20,MATCH($F166,設定!$B$5:$B$20,0)),0))*60,設定!$C$27)/60,2),0))</f>
        <v/>
      </c>
      <c r="Q166" s="29">
        <f>IF(OR($C166="",$P166=0),"",IF($F166="國","國定假日",IF($B166="日","例假",IF($B166="六","休息日","平日"))))</f>
        <v/>
      </c>
      <c r="R166" s="34" t="n"/>
    </row>
    <row r="167">
      <c r="A167" s="30">
        <f>IF(OR(班表!$A11="",10&gt;DAY(EOMONTH(DATE(班表!$E$2,班表!$G$2,1),0))),"",DATE(班表!$E$2,班表!$G$2,10))</f>
        <v/>
      </c>
      <c r="B167" s="29">
        <f>IF($A167="","",INDEX(設定!$L$5:$L$11,WEEKDAY($A167,1)))</f>
        <v/>
      </c>
      <c r="C167" s="29">
        <f>IF($A167="","",班表!$A11)</f>
        <v/>
      </c>
      <c r="D167" s="29">
        <f>IF($C167="","",班表!$B11)</f>
        <v/>
      </c>
      <c r="E167" s="29">
        <f>IF($C167="","",班表!$C11)</f>
        <v/>
      </c>
      <c r="F167" s="29">
        <f>IF($C167="","",班表!M11)</f>
        <v/>
      </c>
      <c r="G167" s="31">
        <f>IF($F167="","",IFERROR(INDEX(設定!$D$5:$D$20,MATCH($F167,設定!$B$5:$B$20,0)),""))</f>
        <v/>
      </c>
      <c r="H167" s="31">
        <f>IF($F167="","",IFERROR(INDEX(設定!$E$5:$E$20,MATCH($F167,設定!$B$5:$B$20,0)),""))</f>
        <v/>
      </c>
      <c r="I167" s="31">
        <f>IFERROR(INDEX(打卡匯入!$C$3:$C$1002,MATCH($C167&amp;"|"&amp;DAY($A167),打卡匯入!$E$3:$E$1002,0)),"")</f>
        <v/>
      </c>
      <c r="J167" s="31">
        <f>IFERROR(INDEX(打卡匯入!$D$3:$D$1002,MATCH($C167&amp;"|"&amp;DAY($A167),打卡匯入!$E$3:$E$1002,0)),"")</f>
        <v/>
      </c>
      <c r="K167" s="32">
        <f>IF(OR($I167="",$J167=""),"",IFERROR(INDEX(設定!$F$5:$F$20,MATCH($F167,設定!$B$5:$B$20,0)),0))</f>
        <v/>
      </c>
      <c r="L167" s="33">
        <f>IF(OR($I167="",$J167=""),"",ROUND(($J167-$I167)*24-$K167/60,2))</f>
        <v/>
      </c>
      <c r="M167" s="29">
        <f>IF($C167="","",IF(AND(COUNTIF(設定!$B$14:$B$20,$F167)&gt;0,$I167&lt;&gt;""),"假日出勤",IF(AND(COUNTIF(設定!$B$5:$B$13,$F167)&gt;0,$I167=""),"未打卡",IF($I167="","",IF($N167&gt;0,"遲到",IF($O167&gt;0,"早退","正常"))))))</f>
        <v/>
      </c>
      <c r="N167" s="32">
        <f>IF(OR($C167="",$G167="",$I167=""),0,IF(ROUND(($I167-$G167)*1440,0)&gt;設定!$C$28,ROUND(($I167-$G167)*1440,0),0))</f>
        <v/>
      </c>
      <c r="O167" s="32">
        <f>IF(OR($C167="",$H167="",$J167=""),0,IF(ROUND(($H167-$J167)*1440,0)&gt;設定!$C$28,ROUND(($H167-$J167)*1440,0),0))</f>
        <v/>
      </c>
      <c r="P167" s="33">
        <f>IF($L167="",0,IF(($L167-IFERROR(INDEX(設定!$G$5:$G$20,MATCH($F167,設定!$B$5:$B$20,0)),0))*60&gt;=設定!$C$26,ROUND(FLOOR(($L167-IFERROR(INDEX(設定!$G$5:$G$20,MATCH($F167,設定!$B$5:$B$20,0)),0))*60,設定!$C$27)/60,2),0))</f>
        <v/>
      </c>
      <c r="Q167" s="29">
        <f>IF(OR($C167="",$P167=0),"",IF($F167="國","國定假日",IF($B167="日","例假",IF($B167="六","休息日","平日"))))</f>
        <v/>
      </c>
      <c r="R167" s="34" t="n"/>
    </row>
    <row r="168">
      <c r="A168" s="30">
        <f>IF(OR(班表!$A11="",11&gt;DAY(EOMONTH(DATE(班表!$E$2,班表!$G$2,1),0))),"",DATE(班表!$E$2,班表!$G$2,11))</f>
        <v/>
      </c>
      <c r="B168" s="29">
        <f>IF($A168="","",INDEX(設定!$L$5:$L$11,WEEKDAY($A168,1)))</f>
        <v/>
      </c>
      <c r="C168" s="29">
        <f>IF($A168="","",班表!$A11)</f>
        <v/>
      </c>
      <c r="D168" s="29">
        <f>IF($C168="","",班表!$B11)</f>
        <v/>
      </c>
      <c r="E168" s="29">
        <f>IF($C168="","",班表!$C11)</f>
        <v/>
      </c>
      <c r="F168" s="29">
        <f>IF($C168="","",班表!N11)</f>
        <v/>
      </c>
      <c r="G168" s="31">
        <f>IF($F168="","",IFERROR(INDEX(設定!$D$5:$D$20,MATCH($F168,設定!$B$5:$B$20,0)),""))</f>
        <v/>
      </c>
      <c r="H168" s="31">
        <f>IF($F168="","",IFERROR(INDEX(設定!$E$5:$E$20,MATCH($F168,設定!$B$5:$B$20,0)),""))</f>
        <v/>
      </c>
      <c r="I168" s="31">
        <f>IFERROR(INDEX(打卡匯入!$C$3:$C$1002,MATCH($C168&amp;"|"&amp;DAY($A168),打卡匯入!$E$3:$E$1002,0)),"")</f>
        <v/>
      </c>
      <c r="J168" s="31">
        <f>IFERROR(INDEX(打卡匯入!$D$3:$D$1002,MATCH($C168&amp;"|"&amp;DAY($A168),打卡匯入!$E$3:$E$1002,0)),"")</f>
        <v/>
      </c>
      <c r="K168" s="32">
        <f>IF(OR($I168="",$J168=""),"",IFERROR(INDEX(設定!$F$5:$F$20,MATCH($F168,設定!$B$5:$B$20,0)),0))</f>
        <v/>
      </c>
      <c r="L168" s="33">
        <f>IF(OR($I168="",$J168=""),"",ROUND(($J168-$I168)*24-$K168/60,2))</f>
        <v/>
      </c>
      <c r="M168" s="29">
        <f>IF($C168="","",IF(AND(COUNTIF(設定!$B$14:$B$20,$F168)&gt;0,$I168&lt;&gt;""),"假日出勤",IF(AND(COUNTIF(設定!$B$5:$B$13,$F168)&gt;0,$I168=""),"未打卡",IF($I168="","",IF($N168&gt;0,"遲到",IF($O168&gt;0,"早退","正常"))))))</f>
        <v/>
      </c>
      <c r="N168" s="32">
        <f>IF(OR($C168="",$G168="",$I168=""),0,IF(ROUND(($I168-$G168)*1440,0)&gt;設定!$C$28,ROUND(($I168-$G168)*1440,0),0))</f>
        <v/>
      </c>
      <c r="O168" s="32">
        <f>IF(OR($C168="",$H168="",$J168=""),0,IF(ROUND(($H168-$J168)*1440,0)&gt;設定!$C$28,ROUND(($H168-$J168)*1440,0),0))</f>
        <v/>
      </c>
      <c r="P168" s="33">
        <f>IF($L168="",0,IF(($L168-IFERROR(INDEX(設定!$G$5:$G$20,MATCH($F168,設定!$B$5:$B$20,0)),0))*60&gt;=設定!$C$26,ROUND(FLOOR(($L168-IFERROR(INDEX(設定!$G$5:$G$20,MATCH($F168,設定!$B$5:$B$20,0)),0))*60,設定!$C$27)/60,2),0))</f>
        <v/>
      </c>
      <c r="Q168" s="29">
        <f>IF(OR($C168="",$P168=0),"",IF($F168="國","國定假日",IF($B168="日","例假",IF($B168="六","休息日","平日"))))</f>
        <v/>
      </c>
      <c r="R168" s="34" t="n"/>
    </row>
    <row r="169">
      <c r="A169" s="30">
        <f>IF(OR(班表!$A11="",12&gt;DAY(EOMONTH(DATE(班表!$E$2,班表!$G$2,1),0))),"",DATE(班表!$E$2,班表!$G$2,12))</f>
        <v/>
      </c>
      <c r="B169" s="29">
        <f>IF($A169="","",INDEX(設定!$L$5:$L$11,WEEKDAY($A169,1)))</f>
        <v/>
      </c>
      <c r="C169" s="29">
        <f>IF($A169="","",班表!$A11)</f>
        <v/>
      </c>
      <c r="D169" s="29">
        <f>IF($C169="","",班表!$B11)</f>
        <v/>
      </c>
      <c r="E169" s="29">
        <f>IF($C169="","",班表!$C11)</f>
        <v/>
      </c>
      <c r="F169" s="29">
        <f>IF($C169="","",班表!O11)</f>
        <v/>
      </c>
      <c r="G169" s="31">
        <f>IF($F169="","",IFERROR(INDEX(設定!$D$5:$D$20,MATCH($F169,設定!$B$5:$B$20,0)),""))</f>
        <v/>
      </c>
      <c r="H169" s="31">
        <f>IF($F169="","",IFERROR(INDEX(設定!$E$5:$E$20,MATCH($F169,設定!$B$5:$B$20,0)),""))</f>
        <v/>
      </c>
      <c r="I169" s="31">
        <f>IFERROR(INDEX(打卡匯入!$C$3:$C$1002,MATCH($C169&amp;"|"&amp;DAY($A169),打卡匯入!$E$3:$E$1002,0)),"")</f>
        <v/>
      </c>
      <c r="J169" s="31">
        <f>IFERROR(INDEX(打卡匯入!$D$3:$D$1002,MATCH($C169&amp;"|"&amp;DAY($A169),打卡匯入!$E$3:$E$1002,0)),"")</f>
        <v/>
      </c>
      <c r="K169" s="32">
        <f>IF(OR($I169="",$J169=""),"",IFERROR(INDEX(設定!$F$5:$F$20,MATCH($F169,設定!$B$5:$B$20,0)),0))</f>
        <v/>
      </c>
      <c r="L169" s="33">
        <f>IF(OR($I169="",$J169=""),"",ROUND(($J169-$I169)*24-$K169/60,2))</f>
        <v/>
      </c>
      <c r="M169" s="29">
        <f>IF($C169="","",IF(AND(COUNTIF(設定!$B$14:$B$20,$F169)&gt;0,$I169&lt;&gt;""),"假日出勤",IF(AND(COUNTIF(設定!$B$5:$B$13,$F169)&gt;0,$I169=""),"未打卡",IF($I169="","",IF($N169&gt;0,"遲到",IF($O169&gt;0,"早退","正常"))))))</f>
        <v/>
      </c>
      <c r="N169" s="32">
        <f>IF(OR($C169="",$G169="",$I169=""),0,IF(ROUND(($I169-$G169)*1440,0)&gt;設定!$C$28,ROUND(($I169-$G169)*1440,0),0))</f>
        <v/>
      </c>
      <c r="O169" s="32">
        <f>IF(OR($C169="",$H169="",$J169=""),0,IF(ROUND(($H169-$J169)*1440,0)&gt;設定!$C$28,ROUND(($H169-$J169)*1440,0),0))</f>
        <v/>
      </c>
      <c r="P169" s="33">
        <f>IF($L169="",0,IF(($L169-IFERROR(INDEX(設定!$G$5:$G$20,MATCH($F169,設定!$B$5:$B$20,0)),0))*60&gt;=設定!$C$26,ROUND(FLOOR(($L169-IFERROR(INDEX(設定!$G$5:$G$20,MATCH($F169,設定!$B$5:$B$20,0)),0))*60,設定!$C$27)/60,2),0))</f>
        <v/>
      </c>
      <c r="Q169" s="29">
        <f>IF(OR($C169="",$P169=0),"",IF($F169="國","國定假日",IF($B169="日","例假",IF($B169="六","休息日","平日"))))</f>
        <v/>
      </c>
      <c r="R169" s="34" t="n"/>
    </row>
    <row r="170">
      <c r="A170" s="30">
        <f>IF(OR(班表!$A11="",13&gt;DAY(EOMONTH(DATE(班表!$E$2,班表!$G$2,1),0))),"",DATE(班表!$E$2,班表!$G$2,13))</f>
        <v/>
      </c>
      <c r="B170" s="29">
        <f>IF($A170="","",INDEX(設定!$L$5:$L$11,WEEKDAY($A170,1)))</f>
        <v/>
      </c>
      <c r="C170" s="29">
        <f>IF($A170="","",班表!$A11)</f>
        <v/>
      </c>
      <c r="D170" s="29">
        <f>IF($C170="","",班表!$B11)</f>
        <v/>
      </c>
      <c r="E170" s="29">
        <f>IF($C170="","",班表!$C11)</f>
        <v/>
      </c>
      <c r="F170" s="29">
        <f>IF($C170="","",班表!P11)</f>
        <v/>
      </c>
      <c r="G170" s="31">
        <f>IF($F170="","",IFERROR(INDEX(設定!$D$5:$D$20,MATCH($F170,設定!$B$5:$B$20,0)),""))</f>
        <v/>
      </c>
      <c r="H170" s="31">
        <f>IF($F170="","",IFERROR(INDEX(設定!$E$5:$E$20,MATCH($F170,設定!$B$5:$B$20,0)),""))</f>
        <v/>
      </c>
      <c r="I170" s="31">
        <f>IFERROR(INDEX(打卡匯入!$C$3:$C$1002,MATCH($C170&amp;"|"&amp;DAY($A170),打卡匯入!$E$3:$E$1002,0)),"")</f>
        <v/>
      </c>
      <c r="J170" s="31">
        <f>IFERROR(INDEX(打卡匯入!$D$3:$D$1002,MATCH($C170&amp;"|"&amp;DAY($A170),打卡匯入!$E$3:$E$1002,0)),"")</f>
        <v/>
      </c>
      <c r="K170" s="32">
        <f>IF(OR($I170="",$J170=""),"",IFERROR(INDEX(設定!$F$5:$F$20,MATCH($F170,設定!$B$5:$B$20,0)),0))</f>
        <v/>
      </c>
      <c r="L170" s="33">
        <f>IF(OR($I170="",$J170=""),"",ROUND(($J170-$I170)*24-$K170/60,2))</f>
        <v/>
      </c>
      <c r="M170" s="29">
        <f>IF($C170="","",IF(AND(COUNTIF(設定!$B$14:$B$20,$F170)&gt;0,$I170&lt;&gt;""),"假日出勤",IF(AND(COUNTIF(設定!$B$5:$B$13,$F170)&gt;0,$I170=""),"未打卡",IF($I170="","",IF($N170&gt;0,"遲到",IF($O170&gt;0,"早退","正常"))))))</f>
        <v/>
      </c>
      <c r="N170" s="32">
        <f>IF(OR($C170="",$G170="",$I170=""),0,IF(ROUND(($I170-$G170)*1440,0)&gt;設定!$C$28,ROUND(($I170-$G170)*1440,0),0))</f>
        <v/>
      </c>
      <c r="O170" s="32">
        <f>IF(OR($C170="",$H170="",$J170=""),0,IF(ROUND(($H170-$J170)*1440,0)&gt;設定!$C$28,ROUND(($H170-$J170)*1440,0),0))</f>
        <v/>
      </c>
      <c r="P170" s="33">
        <f>IF($L170="",0,IF(($L170-IFERROR(INDEX(設定!$G$5:$G$20,MATCH($F170,設定!$B$5:$B$20,0)),0))*60&gt;=設定!$C$26,ROUND(FLOOR(($L170-IFERROR(INDEX(設定!$G$5:$G$20,MATCH($F170,設定!$B$5:$B$20,0)),0))*60,設定!$C$27)/60,2),0))</f>
        <v/>
      </c>
      <c r="Q170" s="29">
        <f>IF(OR($C170="",$P170=0),"",IF($F170="國","國定假日",IF($B170="日","例假",IF($B170="六","休息日","平日"))))</f>
        <v/>
      </c>
      <c r="R170" s="34" t="n"/>
    </row>
    <row r="171">
      <c r="A171" s="30">
        <f>IF(OR(班表!$A11="",14&gt;DAY(EOMONTH(DATE(班表!$E$2,班表!$G$2,1),0))),"",DATE(班表!$E$2,班表!$G$2,14))</f>
        <v/>
      </c>
      <c r="B171" s="29">
        <f>IF($A171="","",INDEX(設定!$L$5:$L$11,WEEKDAY($A171,1)))</f>
        <v/>
      </c>
      <c r="C171" s="29">
        <f>IF($A171="","",班表!$A11)</f>
        <v/>
      </c>
      <c r="D171" s="29">
        <f>IF($C171="","",班表!$B11)</f>
        <v/>
      </c>
      <c r="E171" s="29">
        <f>IF($C171="","",班表!$C11)</f>
        <v/>
      </c>
      <c r="F171" s="29">
        <f>IF($C171="","",班表!Q11)</f>
        <v/>
      </c>
      <c r="G171" s="31">
        <f>IF($F171="","",IFERROR(INDEX(設定!$D$5:$D$20,MATCH($F171,設定!$B$5:$B$20,0)),""))</f>
        <v/>
      </c>
      <c r="H171" s="31">
        <f>IF($F171="","",IFERROR(INDEX(設定!$E$5:$E$20,MATCH($F171,設定!$B$5:$B$20,0)),""))</f>
        <v/>
      </c>
      <c r="I171" s="31">
        <f>IFERROR(INDEX(打卡匯入!$C$3:$C$1002,MATCH($C171&amp;"|"&amp;DAY($A171),打卡匯入!$E$3:$E$1002,0)),"")</f>
        <v/>
      </c>
      <c r="J171" s="31">
        <f>IFERROR(INDEX(打卡匯入!$D$3:$D$1002,MATCH($C171&amp;"|"&amp;DAY($A171),打卡匯入!$E$3:$E$1002,0)),"")</f>
        <v/>
      </c>
      <c r="K171" s="32">
        <f>IF(OR($I171="",$J171=""),"",IFERROR(INDEX(設定!$F$5:$F$20,MATCH($F171,設定!$B$5:$B$20,0)),0))</f>
        <v/>
      </c>
      <c r="L171" s="33">
        <f>IF(OR($I171="",$J171=""),"",ROUND(($J171-$I171)*24-$K171/60,2))</f>
        <v/>
      </c>
      <c r="M171" s="29">
        <f>IF($C171="","",IF(AND(COUNTIF(設定!$B$14:$B$20,$F171)&gt;0,$I171&lt;&gt;""),"假日出勤",IF(AND(COUNTIF(設定!$B$5:$B$13,$F171)&gt;0,$I171=""),"未打卡",IF($I171="","",IF($N171&gt;0,"遲到",IF($O171&gt;0,"早退","正常"))))))</f>
        <v/>
      </c>
      <c r="N171" s="32">
        <f>IF(OR($C171="",$G171="",$I171=""),0,IF(ROUND(($I171-$G171)*1440,0)&gt;設定!$C$28,ROUND(($I171-$G171)*1440,0),0))</f>
        <v/>
      </c>
      <c r="O171" s="32">
        <f>IF(OR($C171="",$H171="",$J171=""),0,IF(ROUND(($H171-$J171)*1440,0)&gt;設定!$C$28,ROUND(($H171-$J171)*1440,0),0))</f>
        <v/>
      </c>
      <c r="P171" s="33">
        <f>IF($L171="",0,IF(($L171-IFERROR(INDEX(設定!$G$5:$G$20,MATCH($F171,設定!$B$5:$B$20,0)),0))*60&gt;=設定!$C$26,ROUND(FLOOR(($L171-IFERROR(INDEX(設定!$G$5:$G$20,MATCH($F171,設定!$B$5:$B$20,0)),0))*60,設定!$C$27)/60,2),0))</f>
        <v/>
      </c>
      <c r="Q171" s="29">
        <f>IF(OR($C171="",$P171=0),"",IF($F171="國","國定假日",IF($B171="日","例假",IF($B171="六","休息日","平日"))))</f>
        <v/>
      </c>
      <c r="R171" s="34" t="n"/>
    </row>
    <row r="172">
      <c r="A172" s="30">
        <f>IF(OR(班表!$A11="",15&gt;DAY(EOMONTH(DATE(班表!$E$2,班表!$G$2,1),0))),"",DATE(班表!$E$2,班表!$G$2,15))</f>
        <v/>
      </c>
      <c r="B172" s="29">
        <f>IF($A172="","",INDEX(設定!$L$5:$L$11,WEEKDAY($A172,1)))</f>
        <v/>
      </c>
      <c r="C172" s="29">
        <f>IF($A172="","",班表!$A11)</f>
        <v/>
      </c>
      <c r="D172" s="29">
        <f>IF($C172="","",班表!$B11)</f>
        <v/>
      </c>
      <c r="E172" s="29">
        <f>IF($C172="","",班表!$C11)</f>
        <v/>
      </c>
      <c r="F172" s="29">
        <f>IF($C172="","",班表!R11)</f>
        <v/>
      </c>
      <c r="G172" s="31">
        <f>IF($F172="","",IFERROR(INDEX(設定!$D$5:$D$20,MATCH($F172,設定!$B$5:$B$20,0)),""))</f>
        <v/>
      </c>
      <c r="H172" s="31">
        <f>IF($F172="","",IFERROR(INDEX(設定!$E$5:$E$20,MATCH($F172,設定!$B$5:$B$20,0)),""))</f>
        <v/>
      </c>
      <c r="I172" s="31">
        <f>IFERROR(INDEX(打卡匯入!$C$3:$C$1002,MATCH($C172&amp;"|"&amp;DAY($A172),打卡匯入!$E$3:$E$1002,0)),"")</f>
        <v/>
      </c>
      <c r="J172" s="31">
        <f>IFERROR(INDEX(打卡匯入!$D$3:$D$1002,MATCH($C172&amp;"|"&amp;DAY($A172),打卡匯入!$E$3:$E$1002,0)),"")</f>
        <v/>
      </c>
      <c r="K172" s="32">
        <f>IF(OR($I172="",$J172=""),"",IFERROR(INDEX(設定!$F$5:$F$20,MATCH($F172,設定!$B$5:$B$20,0)),0))</f>
        <v/>
      </c>
      <c r="L172" s="33">
        <f>IF(OR($I172="",$J172=""),"",ROUND(($J172-$I172)*24-$K172/60,2))</f>
        <v/>
      </c>
      <c r="M172" s="29">
        <f>IF($C172="","",IF(AND(COUNTIF(設定!$B$14:$B$20,$F172)&gt;0,$I172&lt;&gt;""),"假日出勤",IF(AND(COUNTIF(設定!$B$5:$B$13,$F172)&gt;0,$I172=""),"未打卡",IF($I172="","",IF($N172&gt;0,"遲到",IF($O172&gt;0,"早退","正常"))))))</f>
        <v/>
      </c>
      <c r="N172" s="32">
        <f>IF(OR($C172="",$G172="",$I172=""),0,IF(ROUND(($I172-$G172)*1440,0)&gt;設定!$C$28,ROUND(($I172-$G172)*1440,0),0))</f>
        <v/>
      </c>
      <c r="O172" s="32">
        <f>IF(OR($C172="",$H172="",$J172=""),0,IF(ROUND(($H172-$J172)*1440,0)&gt;設定!$C$28,ROUND(($H172-$J172)*1440,0),0))</f>
        <v/>
      </c>
      <c r="P172" s="33">
        <f>IF($L172="",0,IF(($L172-IFERROR(INDEX(設定!$G$5:$G$20,MATCH($F172,設定!$B$5:$B$20,0)),0))*60&gt;=設定!$C$26,ROUND(FLOOR(($L172-IFERROR(INDEX(設定!$G$5:$G$20,MATCH($F172,設定!$B$5:$B$20,0)),0))*60,設定!$C$27)/60,2),0))</f>
        <v/>
      </c>
      <c r="Q172" s="29">
        <f>IF(OR($C172="",$P172=0),"",IF($F172="國","國定假日",IF($B172="日","例假",IF($B172="六","休息日","平日"))))</f>
        <v/>
      </c>
      <c r="R172" s="34" t="n"/>
    </row>
    <row r="173">
      <c r="A173" s="30">
        <f>IF(OR(班表!$A11="",16&gt;DAY(EOMONTH(DATE(班表!$E$2,班表!$G$2,1),0))),"",DATE(班表!$E$2,班表!$G$2,16))</f>
        <v/>
      </c>
      <c r="B173" s="29">
        <f>IF($A173="","",INDEX(設定!$L$5:$L$11,WEEKDAY($A173,1)))</f>
        <v/>
      </c>
      <c r="C173" s="29">
        <f>IF($A173="","",班表!$A11)</f>
        <v/>
      </c>
      <c r="D173" s="29">
        <f>IF($C173="","",班表!$B11)</f>
        <v/>
      </c>
      <c r="E173" s="29">
        <f>IF($C173="","",班表!$C11)</f>
        <v/>
      </c>
      <c r="F173" s="29">
        <f>IF($C173="","",班表!S11)</f>
        <v/>
      </c>
      <c r="G173" s="31">
        <f>IF($F173="","",IFERROR(INDEX(設定!$D$5:$D$20,MATCH($F173,設定!$B$5:$B$20,0)),""))</f>
        <v/>
      </c>
      <c r="H173" s="31">
        <f>IF($F173="","",IFERROR(INDEX(設定!$E$5:$E$20,MATCH($F173,設定!$B$5:$B$20,0)),""))</f>
        <v/>
      </c>
      <c r="I173" s="31">
        <f>IFERROR(INDEX(打卡匯入!$C$3:$C$1002,MATCH($C173&amp;"|"&amp;DAY($A173),打卡匯入!$E$3:$E$1002,0)),"")</f>
        <v/>
      </c>
      <c r="J173" s="31">
        <f>IFERROR(INDEX(打卡匯入!$D$3:$D$1002,MATCH($C173&amp;"|"&amp;DAY($A173),打卡匯入!$E$3:$E$1002,0)),"")</f>
        <v/>
      </c>
      <c r="K173" s="32">
        <f>IF(OR($I173="",$J173=""),"",IFERROR(INDEX(設定!$F$5:$F$20,MATCH($F173,設定!$B$5:$B$20,0)),0))</f>
        <v/>
      </c>
      <c r="L173" s="33">
        <f>IF(OR($I173="",$J173=""),"",ROUND(($J173-$I173)*24-$K173/60,2))</f>
        <v/>
      </c>
      <c r="M173" s="29">
        <f>IF($C173="","",IF(AND(COUNTIF(設定!$B$14:$B$20,$F173)&gt;0,$I173&lt;&gt;""),"假日出勤",IF(AND(COUNTIF(設定!$B$5:$B$13,$F173)&gt;0,$I173=""),"未打卡",IF($I173="","",IF($N173&gt;0,"遲到",IF($O173&gt;0,"早退","正常"))))))</f>
        <v/>
      </c>
      <c r="N173" s="32">
        <f>IF(OR($C173="",$G173="",$I173=""),0,IF(ROUND(($I173-$G173)*1440,0)&gt;設定!$C$28,ROUND(($I173-$G173)*1440,0),0))</f>
        <v/>
      </c>
      <c r="O173" s="32">
        <f>IF(OR($C173="",$H173="",$J173=""),0,IF(ROUND(($H173-$J173)*1440,0)&gt;設定!$C$28,ROUND(($H173-$J173)*1440,0),0))</f>
        <v/>
      </c>
      <c r="P173" s="33">
        <f>IF($L173="",0,IF(($L173-IFERROR(INDEX(設定!$G$5:$G$20,MATCH($F173,設定!$B$5:$B$20,0)),0))*60&gt;=設定!$C$26,ROUND(FLOOR(($L173-IFERROR(INDEX(設定!$G$5:$G$20,MATCH($F173,設定!$B$5:$B$20,0)),0))*60,設定!$C$27)/60,2),0))</f>
        <v/>
      </c>
      <c r="Q173" s="29">
        <f>IF(OR($C173="",$P173=0),"",IF($F173="國","國定假日",IF($B173="日","例假",IF($B173="六","休息日","平日"))))</f>
        <v/>
      </c>
      <c r="R173" s="34" t="n"/>
    </row>
    <row r="174">
      <c r="A174" s="30">
        <f>IF(OR(班表!$A11="",17&gt;DAY(EOMONTH(DATE(班表!$E$2,班表!$G$2,1),0))),"",DATE(班表!$E$2,班表!$G$2,17))</f>
        <v/>
      </c>
      <c r="B174" s="29">
        <f>IF($A174="","",INDEX(設定!$L$5:$L$11,WEEKDAY($A174,1)))</f>
        <v/>
      </c>
      <c r="C174" s="29">
        <f>IF($A174="","",班表!$A11)</f>
        <v/>
      </c>
      <c r="D174" s="29">
        <f>IF($C174="","",班表!$B11)</f>
        <v/>
      </c>
      <c r="E174" s="29">
        <f>IF($C174="","",班表!$C11)</f>
        <v/>
      </c>
      <c r="F174" s="29">
        <f>IF($C174="","",班表!T11)</f>
        <v/>
      </c>
      <c r="G174" s="31">
        <f>IF($F174="","",IFERROR(INDEX(設定!$D$5:$D$20,MATCH($F174,設定!$B$5:$B$20,0)),""))</f>
        <v/>
      </c>
      <c r="H174" s="31">
        <f>IF($F174="","",IFERROR(INDEX(設定!$E$5:$E$20,MATCH($F174,設定!$B$5:$B$20,0)),""))</f>
        <v/>
      </c>
      <c r="I174" s="31">
        <f>IFERROR(INDEX(打卡匯入!$C$3:$C$1002,MATCH($C174&amp;"|"&amp;DAY($A174),打卡匯入!$E$3:$E$1002,0)),"")</f>
        <v/>
      </c>
      <c r="J174" s="31">
        <f>IFERROR(INDEX(打卡匯入!$D$3:$D$1002,MATCH($C174&amp;"|"&amp;DAY($A174),打卡匯入!$E$3:$E$1002,0)),"")</f>
        <v/>
      </c>
      <c r="K174" s="32">
        <f>IF(OR($I174="",$J174=""),"",IFERROR(INDEX(設定!$F$5:$F$20,MATCH($F174,設定!$B$5:$B$20,0)),0))</f>
        <v/>
      </c>
      <c r="L174" s="33">
        <f>IF(OR($I174="",$J174=""),"",ROUND(($J174-$I174)*24-$K174/60,2))</f>
        <v/>
      </c>
      <c r="M174" s="29">
        <f>IF($C174="","",IF(AND(COUNTIF(設定!$B$14:$B$20,$F174)&gt;0,$I174&lt;&gt;""),"假日出勤",IF(AND(COUNTIF(設定!$B$5:$B$13,$F174)&gt;0,$I174=""),"未打卡",IF($I174="","",IF($N174&gt;0,"遲到",IF($O174&gt;0,"早退","正常"))))))</f>
        <v/>
      </c>
      <c r="N174" s="32">
        <f>IF(OR($C174="",$G174="",$I174=""),0,IF(ROUND(($I174-$G174)*1440,0)&gt;設定!$C$28,ROUND(($I174-$G174)*1440,0),0))</f>
        <v/>
      </c>
      <c r="O174" s="32">
        <f>IF(OR($C174="",$H174="",$J174=""),0,IF(ROUND(($H174-$J174)*1440,0)&gt;設定!$C$28,ROUND(($H174-$J174)*1440,0),0))</f>
        <v/>
      </c>
      <c r="P174" s="33">
        <f>IF($L174="",0,IF(($L174-IFERROR(INDEX(設定!$G$5:$G$20,MATCH($F174,設定!$B$5:$B$20,0)),0))*60&gt;=設定!$C$26,ROUND(FLOOR(($L174-IFERROR(INDEX(設定!$G$5:$G$20,MATCH($F174,設定!$B$5:$B$20,0)),0))*60,設定!$C$27)/60,2),0))</f>
        <v/>
      </c>
      <c r="Q174" s="29">
        <f>IF(OR($C174="",$P174=0),"",IF($F174="國","國定假日",IF($B174="日","例假",IF($B174="六","休息日","平日"))))</f>
        <v/>
      </c>
      <c r="R174" s="34" t="n"/>
    </row>
    <row r="175">
      <c r="A175" s="30">
        <f>IF(OR(班表!$A11="",18&gt;DAY(EOMONTH(DATE(班表!$E$2,班表!$G$2,1),0))),"",DATE(班表!$E$2,班表!$G$2,18))</f>
        <v/>
      </c>
      <c r="B175" s="29">
        <f>IF($A175="","",INDEX(設定!$L$5:$L$11,WEEKDAY($A175,1)))</f>
        <v/>
      </c>
      <c r="C175" s="29">
        <f>IF($A175="","",班表!$A11)</f>
        <v/>
      </c>
      <c r="D175" s="29">
        <f>IF($C175="","",班表!$B11)</f>
        <v/>
      </c>
      <c r="E175" s="29">
        <f>IF($C175="","",班表!$C11)</f>
        <v/>
      </c>
      <c r="F175" s="29">
        <f>IF($C175="","",班表!U11)</f>
        <v/>
      </c>
      <c r="G175" s="31">
        <f>IF($F175="","",IFERROR(INDEX(設定!$D$5:$D$20,MATCH($F175,設定!$B$5:$B$20,0)),""))</f>
        <v/>
      </c>
      <c r="H175" s="31">
        <f>IF($F175="","",IFERROR(INDEX(設定!$E$5:$E$20,MATCH($F175,設定!$B$5:$B$20,0)),""))</f>
        <v/>
      </c>
      <c r="I175" s="31">
        <f>IFERROR(INDEX(打卡匯入!$C$3:$C$1002,MATCH($C175&amp;"|"&amp;DAY($A175),打卡匯入!$E$3:$E$1002,0)),"")</f>
        <v/>
      </c>
      <c r="J175" s="31">
        <f>IFERROR(INDEX(打卡匯入!$D$3:$D$1002,MATCH($C175&amp;"|"&amp;DAY($A175),打卡匯入!$E$3:$E$1002,0)),"")</f>
        <v/>
      </c>
      <c r="K175" s="32">
        <f>IF(OR($I175="",$J175=""),"",IFERROR(INDEX(設定!$F$5:$F$20,MATCH($F175,設定!$B$5:$B$20,0)),0))</f>
        <v/>
      </c>
      <c r="L175" s="33">
        <f>IF(OR($I175="",$J175=""),"",ROUND(($J175-$I175)*24-$K175/60,2))</f>
        <v/>
      </c>
      <c r="M175" s="29">
        <f>IF($C175="","",IF(AND(COUNTIF(設定!$B$14:$B$20,$F175)&gt;0,$I175&lt;&gt;""),"假日出勤",IF(AND(COUNTIF(設定!$B$5:$B$13,$F175)&gt;0,$I175=""),"未打卡",IF($I175="","",IF($N175&gt;0,"遲到",IF($O175&gt;0,"早退","正常"))))))</f>
        <v/>
      </c>
      <c r="N175" s="32">
        <f>IF(OR($C175="",$G175="",$I175=""),0,IF(ROUND(($I175-$G175)*1440,0)&gt;設定!$C$28,ROUND(($I175-$G175)*1440,0),0))</f>
        <v/>
      </c>
      <c r="O175" s="32">
        <f>IF(OR($C175="",$H175="",$J175=""),0,IF(ROUND(($H175-$J175)*1440,0)&gt;設定!$C$28,ROUND(($H175-$J175)*1440,0),0))</f>
        <v/>
      </c>
      <c r="P175" s="33">
        <f>IF($L175="",0,IF(($L175-IFERROR(INDEX(設定!$G$5:$G$20,MATCH($F175,設定!$B$5:$B$20,0)),0))*60&gt;=設定!$C$26,ROUND(FLOOR(($L175-IFERROR(INDEX(設定!$G$5:$G$20,MATCH($F175,設定!$B$5:$B$20,0)),0))*60,設定!$C$27)/60,2),0))</f>
        <v/>
      </c>
      <c r="Q175" s="29">
        <f>IF(OR($C175="",$P175=0),"",IF($F175="國","國定假日",IF($B175="日","例假",IF($B175="六","休息日","平日"))))</f>
        <v/>
      </c>
      <c r="R175" s="34" t="n"/>
    </row>
    <row r="176">
      <c r="A176" s="30">
        <f>IF(OR(班表!$A11="",19&gt;DAY(EOMONTH(DATE(班表!$E$2,班表!$G$2,1),0))),"",DATE(班表!$E$2,班表!$G$2,19))</f>
        <v/>
      </c>
      <c r="B176" s="29">
        <f>IF($A176="","",INDEX(設定!$L$5:$L$11,WEEKDAY($A176,1)))</f>
        <v/>
      </c>
      <c r="C176" s="29">
        <f>IF($A176="","",班表!$A11)</f>
        <v/>
      </c>
      <c r="D176" s="29">
        <f>IF($C176="","",班表!$B11)</f>
        <v/>
      </c>
      <c r="E176" s="29">
        <f>IF($C176="","",班表!$C11)</f>
        <v/>
      </c>
      <c r="F176" s="29">
        <f>IF($C176="","",班表!V11)</f>
        <v/>
      </c>
      <c r="G176" s="31">
        <f>IF($F176="","",IFERROR(INDEX(設定!$D$5:$D$20,MATCH($F176,設定!$B$5:$B$20,0)),""))</f>
        <v/>
      </c>
      <c r="H176" s="31">
        <f>IF($F176="","",IFERROR(INDEX(設定!$E$5:$E$20,MATCH($F176,設定!$B$5:$B$20,0)),""))</f>
        <v/>
      </c>
      <c r="I176" s="31">
        <f>IFERROR(INDEX(打卡匯入!$C$3:$C$1002,MATCH($C176&amp;"|"&amp;DAY($A176),打卡匯入!$E$3:$E$1002,0)),"")</f>
        <v/>
      </c>
      <c r="J176" s="31">
        <f>IFERROR(INDEX(打卡匯入!$D$3:$D$1002,MATCH($C176&amp;"|"&amp;DAY($A176),打卡匯入!$E$3:$E$1002,0)),"")</f>
        <v/>
      </c>
      <c r="K176" s="32">
        <f>IF(OR($I176="",$J176=""),"",IFERROR(INDEX(設定!$F$5:$F$20,MATCH($F176,設定!$B$5:$B$20,0)),0))</f>
        <v/>
      </c>
      <c r="L176" s="33">
        <f>IF(OR($I176="",$J176=""),"",ROUND(($J176-$I176)*24-$K176/60,2))</f>
        <v/>
      </c>
      <c r="M176" s="29">
        <f>IF($C176="","",IF(AND(COUNTIF(設定!$B$14:$B$20,$F176)&gt;0,$I176&lt;&gt;""),"假日出勤",IF(AND(COUNTIF(設定!$B$5:$B$13,$F176)&gt;0,$I176=""),"未打卡",IF($I176="","",IF($N176&gt;0,"遲到",IF($O176&gt;0,"早退","正常"))))))</f>
        <v/>
      </c>
      <c r="N176" s="32">
        <f>IF(OR($C176="",$G176="",$I176=""),0,IF(ROUND(($I176-$G176)*1440,0)&gt;設定!$C$28,ROUND(($I176-$G176)*1440,0),0))</f>
        <v/>
      </c>
      <c r="O176" s="32">
        <f>IF(OR($C176="",$H176="",$J176=""),0,IF(ROUND(($H176-$J176)*1440,0)&gt;設定!$C$28,ROUND(($H176-$J176)*1440,0),0))</f>
        <v/>
      </c>
      <c r="P176" s="33">
        <f>IF($L176="",0,IF(($L176-IFERROR(INDEX(設定!$G$5:$G$20,MATCH($F176,設定!$B$5:$B$20,0)),0))*60&gt;=設定!$C$26,ROUND(FLOOR(($L176-IFERROR(INDEX(設定!$G$5:$G$20,MATCH($F176,設定!$B$5:$B$20,0)),0))*60,設定!$C$27)/60,2),0))</f>
        <v/>
      </c>
      <c r="Q176" s="29">
        <f>IF(OR($C176="",$P176=0),"",IF($F176="國","國定假日",IF($B176="日","例假",IF($B176="六","休息日","平日"))))</f>
        <v/>
      </c>
      <c r="R176" s="34" t="n"/>
    </row>
    <row r="177">
      <c r="A177" s="30">
        <f>IF(OR(班表!$A11="",20&gt;DAY(EOMONTH(DATE(班表!$E$2,班表!$G$2,1),0))),"",DATE(班表!$E$2,班表!$G$2,20))</f>
        <v/>
      </c>
      <c r="B177" s="29">
        <f>IF($A177="","",INDEX(設定!$L$5:$L$11,WEEKDAY($A177,1)))</f>
        <v/>
      </c>
      <c r="C177" s="29">
        <f>IF($A177="","",班表!$A11)</f>
        <v/>
      </c>
      <c r="D177" s="29">
        <f>IF($C177="","",班表!$B11)</f>
        <v/>
      </c>
      <c r="E177" s="29">
        <f>IF($C177="","",班表!$C11)</f>
        <v/>
      </c>
      <c r="F177" s="29">
        <f>IF($C177="","",班表!W11)</f>
        <v/>
      </c>
      <c r="G177" s="31">
        <f>IF($F177="","",IFERROR(INDEX(設定!$D$5:$D$20,MATCH($F177,設定!$B$5:$B$20,0)),""))</f>
        <v/>
      </c>
      <c r="H177" s="31">
        <f>IF($F177="","",IFERROR(INDEX(設定!$E$5:$E$20,MATCH($F177,設定!$B$5:$B$20,0)),""))</f>
        <v/>
      </c>
      <c r="I177" s="31">
        <f>IFERROR(INDEX(打卡匯入!$C$3:$C$1002,MATCH($C177&amp;"|"&amp;DAY($A177),打卡匯入!$E$3:$E$1002,0)),"")</f>
        <v/>
      </c>
      <c r="J177" s="31">
        <f>IFERROR(INDEX(打卡匯入!$D$3:$D$1002,MATCH($C177&amp;"|"&amp;DAY($A177),打卡匯入!$E$3:$E$1002,0)),"")</f>
        <v/>
      </c>
      <c r="K177" s="32">
        <f>IF(OR($I177="",$J177=""),"",IFERROR(INDEX(設定!$F$5:$F$20,MATCH($F177,設定!$B$5:$B$20,0)),0))</f>
        <v/>
      </c>
      <c r="L177" s="33">
        <f>IF(OR($I177="",$J177=""),"",ROUND(($J177-$I177)*24-$K177/60,2))</f>
        <v/>
      </c>
      <c r="M177" s="29">
        <f>IF($C177="","",IF(AND(COUNTIF(設定!$B$14:$B$20,$F177)&gt;0,$I177&lt;&gt;""),"假日出勤",IF(AND(COUNTIF(設定!$B$5:$B$13,$F177)&gt;0,$I177=""),"未打卡",IF($I177="","",IF($N177&gt;0,"遲到",IF($O177&gt;0,"早退","正常"))))))</f>
        <v/>
      </c>
      <c r="N177" s="32">
        <f>IF(OR($C177="",$G177="",$I177=""),0,IF(ROUND(($I177-$G177)*1440,0)&gt;設定!$C$28,ROUND(($I177-$G177)*1440,0),0))</f>
        <v/>
      </c>
      <c r="O177" s="32">
        <f>IF(OR($C177="",$H177="",$J177=""),0,IF(ROUND(($H177-$J177)*1440,0)&gt;設定!$C$28,ROUND(($H177-$J177)*1440,0),0))</f>
        <v/>
      </c>
      <c r="P177" s="33">
        <f>IF($L177="",0,IF(($L177-IFERROR(INDEX(設定!$G$5:$G$20,MATCH($F177,設定!$B$5:$B$20,0)),0))*60&gt;=設定!$C$26,ROUND(FLOOR(($L177-IFERROR(INDEX(設定!$G$5:$G$20,MATCH($F177,設定!$B$5:$B$20,0)),0))*60,設定!$C$27)/60,2),0))</f>
        <v/>
      </c>
      <c r="Q177" s="29">
        <f>IF(OR($C177="",$P177=0),"",IF($F177="國","國定假日",IF($B177="日","例假",IF($B177="六","休息日","平日"))))</f>
        <v/>
      </c>
      <c r="R177" s="34" t="n"/>
    </row>
    <row r="178">
      <c r="A178" s="30">
        <f>IF(OR(班表!$A11="",21&gt;DAY(EOMONTH(DATE(班表!$E$2,班表!$G$2,1),0))),"",DATE(班表!$E$2,班表!$G$2,21))</f>
        <v/>
      </c>
      <c r="B178" s="29">
        <f>IF($A178="","",INDEX(設定!$L$5:$L$11,WEEKDAY($A178,1)))</f>
        <v/>
      </c>
      <c r="C178" s="29">
        <f>IF($A178="","",班表!$A11)</f>
        <v/>
      </c>
      <c r="D178" s="29">
        <f>IF($C178="","",班表!$B11)</f>
        <v/>
      </c>
      <c r="E178" s="29">
        <f>IF($C178="","",班表!$C11)</f>
        <v/>
      </c>
      <c r="F178" s="29">
        <f>IF($C178="","",班表!X11)</f>
        <v/>
      </c>
      <c r="G178" s="31">
        <f>IF($F178="","",IFERROR(INDEX(設定!$D$5:$D$20,MATCH($F178,設定!$B$5:$B$20,0)),""))</f>
        <v/>
      </c>
      <c r="H178" s="31">
        <f>IF($F178="","",IFERROR(INDEX(設定!$E$5:$E$20,MATCH($F178,設定!$B$5:$B$20,0)),""))</f>
        <v/>
      </c>
      <c r="I178" s="31">
        <f>IFERROR(INDEX(打卡匯入!$C$3:$C$1002,MATCH($C178&amp;"|"&amp;DAY($A178),打卡匯入!$E$3:$E$1002,0)),"")</f>
        <v/>
      </c>
      <c r="J178" s="31">
        <f>IFERROR(INDEX(打卡匯入!$D$3:$D$1002,MATCH($C178&amp;"|"&amp;DAY($A178),打卡匯入!$E$3:$E$1002,0)),"")</f>
        <v/>
      </c>
      <c r="K178" s="32">
        <f>IF(OR($I178="",$J178=""),"",IFERROR(INDEX(設定!$F$5:$F$20,MATCH($F178,設定!$B$5:$B$20,0)),0))</f>
        <v/>
      </c>
      <c r="L178" s="33">
        <f>IF(OR($I178="",$J178=""),"",ROUND(($J178-$I178)*24-$K178/60,2))</f>
        <v/>
      </c>
      <c r="M178" s="29">
        <f>IF($C178="","",IF(AND(COUNTIF(設定!$B$14:$B$20,$F178)&gt;0,$I178&lt;&gt;""),"假日出勤",IF(AND(COUNTIF(設定!$B$5:$B$13,$F178)&gt;0,$I178=""),"未打卡",IF($I178="","",IF($N178&gt;0,"遲到",IF($O178&gt;0,"早退","正常"))))))</f>
        <v/>
      </c>
      <c r="N178" s="32">
        <f>IF(OR($C178="",$G178="",$I178=""),0,IF(ROUND(($I178-$G178)*1440,0)&gt;設定!$C$28,ROUND(($I178-$G178)*1440,0),0))</f>
        <v/>
      </c>
      <c r="O178" s="32">
        <f>IF(OR($C178="",$H178="",$J178=""),0,IF(ROUND(($H178-$J178)*1440,0)&gt;設定!$C$28,ROUND(($H178-$J178)*1440,0),0))</f>
        <v/>
      </c>
      <c r="P178" s="33">
        <f>IF($L178="",0,IF(($L178-IFERROR(INDEX(設定!$G$5:$G$20,MATCH($F178,設定!$B$5:$B$20,0)),0))*60&gt;=設定!$C$26,ROUND(FLOOR(($L178-IFERROR(INDEX(設定!$G$5:$G$20,MATCH($F178,設定!$B$5:$B$20,0)),0))*60,設定!$C$27)/60,2),0))</f>
        <v/>
      </c>
      <c r="Q178" s="29">
        <f>IF(OR($C178="",$P178=0),"",IF($F178="國","國定假日",IF($B178="日","例假",IF($B178="六","休息日","平日"))))</f>
        <v/>
      </c>
      <c r="R178" s="34" t="n"/>
    </row>
    <row r="179">
      <c r="A179" s="30">
        <f>IF(OR(班表!$A11="",22&gt;DAY(EOMONTH(DATE(班表!$E$2,班表!$G$2,1),0))),"",DATE(班表!$E$2,班表!$G$2,22))</f>
        <v/>
      </c>
      <c r="B179" s="29">
        <f>IF($A179="","",INDEX(設定!$L$5:$L$11,WEEKDAY($A179,1)))</f>
        <v/>
      </c>
      <c r="C179" s="29">
        <f>IF($A179="","",班表!$A11)</f>
        <v/>
      </c>
      <c r="D179" s="29">
        <f>IF($C179="","",班表!$B11)</f>
        <v/>
      </c>
      <c r="E179" s="29">
        <f>IF($C179="","",班表!$C11)</f>
        <v/>
      </c>
      <c r="F179" s="29">
        <f>IF($C179="","",班表!Y11)</f>
        <v/>
      </c>
      <c r="G179" s="31">
        <f>IF($F179="","",IFERROR(INDEX(設定!$D$5:$D$20,MATCH($F179,設定!$B$5:$B$20,0)),""))</f>
        <v/>
      </c>
      <c r="H179" s="31">
        <f>IF($F179="","",IFERROR(INDEX(設定!$E$5:$E$20,MATCH($F179,設定!$B$5:$B$20,0)),""))</f>
        <v/>
      </c>
      <c r="I179" s="31">
        <f>IFERROR(INDEX(打卡匯入!$C$3:$C$1002,MATCH($C179&amp;"|"&amp;DAY($A179),打卡匯入!$E$3:$E$1002,0)),"")</f>
        <v/>
      </c>
      <c r="J179" s="31">
        <f>IFERROR(INDEX(打卡匯入!$D$3:$D$1002,MATCH($C179&amp;"|"&amp;DAY($A179),打卡匯入!$E$3:$E$1002,0)),"")</f>
        <v/>
      </c>
      <c r="K179" s="32">
        <f>IF(OR($I179="",$J179=""),"",IFERROR(INDEX(設定!$F$5:$F$20,MATCH($F179,設定!$B$5:$B$20,0)),0))</f>
        <v/>
      </c>
      <c r="L179" s="33">
        <f>IF(OR($I179="",$J179=""),"",ROUND(($J179-$I179)*24-$K179/60,2))</f>
        <v/>
      </c>
      <c r="M179" s="29">
        <f>IF($C179="","",IF(AND(COUNTIF(設定!$B$14:$B$20,$F179)&gt;0,$I179&lt;&gt;""),"假日出勤",IF(AND(COUNTIF(設定!$B$5:$B$13,$F179)&gt;0,$I179=""),"未打卡",IF($I179="","",IF($N179&gt;0,"遲到",IF($O179&gt;0,"早退","正常"))))))</f>
        <v/>
      </c>
      <c r="N179" s="32">
        <f>IF(OR($C179="",$G179="",$I179=""),0,IF(ROUND(($I179-$G179)*1440,0)&gt;設定!$C$28,ROUND(($I179-$G179)*1440,0),0))</f>
        <v/>
      </c>
      <c r="O179" s="32">
        <f>IF(OR($C179="",$H179="",$J179=""),0,IF(ROUND(($H179-$J179)*1440,0)&gt;設定!$C$28,ROUND(($H179-$J179)*1440,0),0))</f>
        <v/>
      </c>
      <c r="P179" s="33">
        <f>IF($L179="",0,IF(($L179-IFERROR(INDEX(設定!$G$5:$G$20,MATCH($F179,設定!$B$5:$B$20,0)),0))*60&gt;=設定!$C$26,ROUND(FLOOR(($L179-IFERROR(INDEX(設定!$G$5:$G$20,MATCH($F179,設定!$B$5:$B$20,0)),0))*60,設定!$C$27)/60,2),0))</f>
        <v/>
      </c>
      <c r="Q179" s="29">
        <f>IF(OR($C179="",$P179=0),"",IF($F179="國","國定假日",IF($B179="日","例假",IF($B179="六","休息日","平日"))))</f>
        <v/>
      </c>
      <c r="R179" s="34" t="n"/>
    </row>
    <row r="180">
      <c r="A180" s="30">
        <f>IF(OR(班表!$A11="",23&gt;DAY(EOMONTH(DATE(班表!$E$2,班表!$G$2,1),0))),"",DATE(班表!$E$2,班表!$G$2,23))</f>
        <v/>
      </c>
      <c r="B180" s="29">
        <f>IF($A180="","",INDEX(設定!$L$5:$L$11,WEEKDAY($A180,1)))</f>
        <v/>
      </c>
      <c r="C180" s="29">
        <f>IF($A180="","",班表!$A11)</f>
        <v/>
      </c>
      <c r="D180" s="29">
        <f>IF($C180="","",班表!$B11)</f>
        <v/>
      </c>
      <c r="E180" s="29">
        <f>IF($C180="","",班表!$C11)</f>
        <v/>
      </c>
      <c r="F180" s="29">
        <f>IF($C180="","",班表!Z11)</f>
        <v/>
      </c>
      <c r="G180" s="31">
        <f>IF($F180="","",IFERROR(INDEX(設定!$D$5:$D$20,MATCH($F180,設定!$B$5:$B$20,0)),""))</f>
        <v/>
      </c>
      <c r="H180" s="31">
        <f>IF($F180="","",IFERROR(INDEX(設定!$E$5:$E$20,MATCH($F180,設定!$B$5:$B$20,0)),""))</f>
        <v/>
      </c>
      <c r="I180" s="31">
        <f>IFERROR(INDEX(打卡匯入!$C$3:$C$1002,MATCH($C180&amp;"|"&amp;DAY($A180),打卡匯入!$E$3:$E$1002,0)),"")</f>
        <v/>
      </c>
      <c r="J180" s="31">
        <f>IFERROR(INDEX(打卡匯入!$D$3:$D$1002,MATCH($C180&amp;"|"&amp;DAY($A180),打卡匯入!$E$3:$E$1002,0)),"")</f>
        <v/>
      </c>
      <c r="K180" s="32">
        <f>IF(OR($I180="",$J180=""),"",IFERROR(INDEX(設定!$F$5:$F$20,MATCH($F180,設定!$B$5:$B$20,0)),0))</f>
        <v/>
      </c>
      <c r="L180" s="33">
        <f>IF(OR($I180="",$J180=""),"",ROUND(($J180-$I180)*24-$K180/60,2))</f>
        <v/>
      </c>
      <c r="M180" s="29">
        <f>IF($C180="","",IF(AND(COUNTIF(設定!$B$14:$B$20,$F180)&gt;0,$I180&lt;&gt;""),"假日出勤",IF(AND(COUNTIF(設定!$B$5:$B$13,$F180)&gt;0,$I180=""),"未打卡",IF($I180="","",IF($N180&gt;0,"遲到",IF($O180&gt;0,"早退","正常"))))))</f>
        <v/>
      </c>
      <c r="N180" s="32">
        <f>IF(OR($C180="",$G180="",$I180=""),0,IF(ROUND(($I180-$G180)*1440,0)&gt;設定!$C$28,ROUND(($I180-$G180)*1440,0),0))</f>
        <v/>
      </c>
      <c r="O180" s="32">
        <f>IF(OR($C180="",$H180="",$J180=""),0,IF(ROUND(($H180-$J180)*1440,0)&gt;設定!$C$28,ROUND(($H180-$J180)*1440,0),0))</f>
        <v/>
      </c>
      <c r="P180" s="33">
        <f>IF($L180="",0,IF(($L180-IFERROR(INDEX(設定!$G$5:$G$20,MATCH($F180,設定!$B$5:$B$20,0)),0))*60&gt;=設定!$C$26,ROUND(FLOOR(($L180-IFERROR(INDEX(設定!$G$5:$G$20,MATCH($F180,設定!$B$5:$B$20,0)),0))*60,設定!$C$27)/60,2),0))</f>
        <v/>
      </c>
      <c r="Q180" s="29">
        <f>IF(OR($C180="",$P180=0),"",IF($F180="國","國定假日",IF($B180="日","例假",IF($B180="六","休息日","平日"))))</f>
        <v/>
      </c>
      <c r="R180" s="34" t="n"/>
    </row>
    <row r="181">
      <c r="A181" s="30">
        <f>IF(OR(班表!$A11="",24&gt;DAY(EOMONTH(DATE(班表!$E$2,班表!$G$2,1),0))),"",DATE(班表!$E$2,班表!$G$2,24))</f>
        <v/>
      </c>
      <c r="B181" s="29">
        <f>IF($A181="","",INDEX(設定!$L$5:$L$11,WEEKDAY($A181,1)))</f>
        <v/>
      </c>
      <c r="C181" s="29">
        <f>IF($A181="","",班表!$A11)</f>
        <v/>
      </c>
      <c r="D181" s="29">
        <f>IF($C181="","",班表!$B11)</f>
        <v/>
      </c>
      <c r="E181" s="29">
        <f>IF($C181="","",班表!$C11)</f>
        <v/>
      </c>
      <c r="F181" s="29">
        <f>IF($C181="","",班表!AA11)</f>
        <v/>
      </c>
      <c r="G181" s="31">
        <f>IF($F181="","",IFERROR(INDEX(設定!$D$5:$D$20,MATCH($F181,設定!$B$5:$B$20,0)),""))</f>
        <v/>
      </c>
      <c r="H181" s="31">
        <f>IF($F181="","",IFERROR(INDEX(設定!$E$5:$E$20,MATCH($F181,設定!$B$5:$B$20,0)),""))</f>
        <v/>
      </c>
      <c r="I181" s="31">
        <f>IFERROR(INDEX(打卡匯入!$C$3:$C$1002,MATCH($C181&amp;"|"&amp;DAY($A181),打卡匯入!$E$3:$E$1002,0)),"")</f>
        <v/>
      </c>
      <c r="J181" s="31">
        <f>IFERROR(INDEX(打卡匯入!$D$3:$D$1002,MATCH($C181&amp;"|"&amp;DAY($A181),打卡匯入!$E$3:$E$1002,0)),"")</f>
        <v/>
      </c>
      <c r="K181" s="32">
        <f>IF(OR($I181="",$J181=""),"",IFERROR(INDEX(設定!$F$5:$F$20,MATCH($F181,設定!$B$5:$B$20,0)),0))</f>
        <v/>
      </c>
      <c r="L181" s="33">
        <f>IF(OR($I181="",$J181=""),"",ROUND(($J181-$I181)*24-$K181/60,2))</f>
        <v/>
      </c>
      <c r="M181" s="29">
        <f>IF($C181="","",IF(AND(COUNTIF(設定!$B$14:$B$20,$F181)&gt;0,$I181&lt;&gt;""),"假日出勤",IF(AND(COUNTIF(設定!$B$5:$B$13,$F181)&gt;0,$I181=""),"未打卡",IF($I181="","",IF($N181&gt;0,"遲到",IF($O181&gt;0,"早退","正常"))))))</f>
        <v/>
      </c>
      <c r="N181" s="32">
        <f>IF(OR($C181="",$G181="",$I181=""),0,IF(ROUND(($I181-$G181)*1440,0)&gt;設定!$C$28,ROUND(($I181-$G181)*1440,0),0))</f>
        <v/>
      </c>
      <c r="O181" s="32">
        <f>IF(OR($C181="",$H181="",$J181=""),0,IF(ROUND(($H181-$J181)*1440,0)&gt;設定!$C$28,ROUND(($H181-$J181)*1440,0),0))</f>
        <v/>
      </c>
      <c r="P181" s="33">
        <f>IF($L181="",0,IF(($L181-IFERROR(INDEX(設定!$G$5:$G$20,MATCH($F181,設定!$B$5:$B$20,0)),0))*60&gt;=設定!$C$26,ROUND(FLOOR(($L181-IFERROR(INDEX(設定!$G$5:$G$20,MATCH($F181,設定!$B$5:$B$20,0)),0))*60,設定!$C$27)/60,2),0))</f>
        <v/>
      </c>
      <c r="Q181" s="29">
        <f>IF(OR($C181="",$P181=0),"",IF($F181="國","國定假日",IF($B181="日","例假",IF($B181="六","休息日","平日"))))</f>
        <v/>
      </c>
      <c r="R181" s="34" t="n"/>
    </row>
    <row r="182">
      <c r="A182" s="30">
        <f>IF(OR(班表!$A11="",25&gt;DAY(EOMONTH(DATE(班表!$E$2,班表!$G$2,1),0))),"",DATE(班表!$E$2,班表!$G$2,25))</f>
        <v/>
      </c>
      <c r="B182" s="29">
        <f>IF($A182="","",INDEX(設定!$L$5:$L$11,WEEKDAY($A182,1)))</f>
        <v/>
      </c>
      <c r="C182" s="29">
        <f>IF($A182="","",班表!$A11)</f>
        <v/>
      </c>
      <c r="D182" s="29">
        <f>IF($C182="","",班表!$B11)</f>
        <v/>
      </c>
      <c r="E182" s="29">
        <f>IF($C182="","",班表!$C11)</f>
        <v/>
      </c>
      <c r="F182" s="29">
        <f>IF($C182="","",班表!AB11)</f>
        <v/>
      </c>
      <c r="G182" s="31">
        <f>IF($F182="","",IFERROR(INDEX(設定!$D$5:$D$20,MATCH($F182,設定!$B$5:$B$20,0)),""))</f>
        <v/>
      </c>
      <c r="H182" s="31">
        <f>IF($F182="","",IFERROR(INDEX(設定!$E$5:$E$20,MATCH($F182,設定!$B$5:$B$20,0)),""))</f>
        <v/>
      </c>
      <c r="I182" s="31">
        <f>IFERROR(INDEX(打卡匯入!$C$3:$C$1002,MATCH($C182&amp;"|"&amp;DAY($A182),打卡匯入!$E$3:$E$1002,0)),"")</f>
        <v/>
      </c>
      <c r="J182" s="31">
        <f>IFERROR(INDEX(打卡匯入!$D$3:$D$1002,MATCH($C182&amp;"|"&amp;DAY($A182),打卡匯入!$E$3:$E$1002,0)),"")</f>
        <v/>
      </c>
      <c r="K182" s="32">
        <f>IF(OR($I182="",$J182=""),"",IFERROR(INDEX(設定!$F$5:$F$20,MATCH($F182,設定!$B$5:$B$20,0)),0))</f>
        <v/>
      </c>
      <c r="L182" s="33">
        <f>IF(OR($I182="",$J182=""),"",ROUND(($J182-$I182)*24-$K182/60,2))</f>
        <v/>
      </c>
      <c r="M182" s="29">
        <f>IF($C182="","",IF(AND(COUNTIF(設定!$B$14:$B$20,$F182)&gt;0,$I182&lt;&gt;""),"假日出勤",IF(AND(COUNTIF(設定!$B$5:$B$13,$F182)&gt;0,$I182=""),"未打卡",IF($I182="","",IF($N182&gt;0,"遲到",IF($O182&gt;0,"早退","正常"))))))</f>
        <v/>
      </c>
      <c r="N182" s="32">
        <f>IF(OR($C182="",$G182="",$I182=""),0,IF(ROUND(($I182-$G182)*1440,0)&gt;設定!$C$28,ROUND(($I182-$G182)*1440,0),0))</f>
        <v/>
      </c>
      <c r="O182" s="32">
        <f>IF(OR($C182="",$H182="",$J182=""),0,IF(ROUND(($H182-$J182)*1440,0)&gt;設定!$C$28,ROUND(($H182-$J182)*1440,0),0))</f>
        <v/>
      </c>
      <c r="P182" s="33">
        <f>IF($L182="",0,IF(($L182-IFERROR(INDEX(設定!$G$5:$G$20,MATCH($F182,設定!$B$5:$B$20,0)),0))*60&gt;=設定!$C$26,ROUND(FLOOR(($L182-IFERROR(INDEX(設定!$G$5:$G$20,MATCH($F182,設定!$B$5:$B$20,0)),0))*60,設定!$C$27)/60,2),0))</f>
        <v/>
      </c>
      <c r="Q182" s="29">
        <f>IF(OR($C182="",$P182=0),"",IF($F182="國","國定假日",IF($B182="日","例假",IF($B182="六","休息日","平日"))))</f>
        <v/>
      </c>
      <c r="R182" s="34" t="n"/>
    </row>
    <row r="183">
      <c r="A183" s="30">
        <f>IF(OR(班表!$A11="",26&gt;DAY(EOMONTH(DATE(班表!$E$2,班表!$G$2,1),0))),"",DATE(班表!$E$2,班表!$G$2,26))</f>
        <v/>
      </c>
      <c r="B183" s="29">
        <f>IF($A183="","",INDEX(設定!$L$5:$L$11,WEEKDAY($A183,1)))</f>
        <v/>
      </c>
      <c r="C183" s="29">
        <f>IF($A183="","",班表!$A11)</f>
        <v/>
      </c>
      <c r="D183" s="29">
        <f>IF($C183="","",班表!$B11)</f>
        <v/>
      </c>
      <c r="E183" s="29">
        <f>IF($C183="","",班表!$C11)</f>
        <v/>
      </c>
      <c r="F183" s="29">
        <f>IF($C183="","",班表!AC11)</f>
        <v/>
      </c>
      <c r="G183" s="31">
        <f>IF($F183="","",IFERROR(INDEX(設定!$D$5:$D$20,MATCH($F183,設定!$B$5:$B$20,0)),""))</f>
        <v/>
      </c>
      <c r="H183" s="31">
        <f>IF($F183="","",IFERROR(INDEX(設定!$E$5:$E$20,MATCH($F183,設定!$B$5:$B$20,0)),""))</f>
        <v/>
      </c>
      <c r="I183" s="31">
        <f>IFERROR(INDEX(打卡匯入!$C$3:$C$1002,MATCH($C183&amp;"|"&amp;DAY($A183),打卡匯入!$E$3:$E$1002,0)),"")</f>
        <v/>
      </c>
      <c r="J183" s="31">
        <f>IFERROR(INDEX(打卡匯入!$D$3:$D$1002,MATCH($C183&amp;"|"&amp;DAY($A183),打卡匯入!$E$3:$E$1002,0)),"")</f>
        <v/>
      </c>
      <c r="K183" s="32">
        <f>IF(OR($I183="",$J183=""),"",IFERROR(INDEX(設定!$F$5:$F$20,MATCH($F183,設定!$B$5:$B$20,0)),0))</f>
        <v/>
      </c>
      <c r="L183" s="33">
        <f>IF(OR($I183="",$J183=""),"",ROUND(($J183-$I183)*24-$K183/60,2))</f>
        <v/>
      </c>
      <c r="M183" s="29">
        <f>IF($C183="","",IF(AND(COUNTIF(設定!$B$14:$B$20,$F183)&gt;0,$I183&lt;&gt;""),"假日出勤",IF(AND(COUNTIF(設定!$B$5:$B$13,$F183)&gt;0,$I183=""),"未打卡",IF($I183="","",IF($N183&gt;0,"遲到",IF($O183&gt;0,"早退","正常"))))))</f>
        <v/>
      </c>
      <c r="N183" s="32">
        <f>IF(OR($C183="",$G183="",$I183=""),0,IF(ROUND(($I183-$G183)*1440,0)&gt;設定!$C$28,ROUND(($I183-$G183)*1440,0),0))</f>
        <v/>
      </c>
      <c r="O183" s="32">
        <f>IF(OR($C183="",$H183="",$J183=""),0,IF(ROUND(($H183-$J183)*1440,0)&gt;設定!$C$28,ROUND(($H183-$J183)*1440,0),0))</f>
        <v/>
      </c>
      <c r="P183" s="33">
        <f>IF($L183="",0,IF(($L183-IFERROR(INDEX(設定!$G$5:$G$20,MATCH($F183,設定!$B$5:$B$20,0)),0))*60&gt;=設定!$C$26,ROUND(FLOOR(($L183-IFERROR(INDEX(設定!$G$5:$G$20,MATCH($F183,設定!$B$5:$B$20,0)),0))*60,設定!$C$27)/60,2),0))</f>
        <v/>
      </c>
      <c r="Q183" s="29">
        <f>IF(OR($C183="",$P183=0),"",IF($F183="國","國定假日",IF($B183="日","例假",IF($B183="六","休息日","平日"))))</f>
        <v/>
      </c>
      <c r="R183" s="34" t="n"/>
    </row>
    <row r="184">
      <c r="A184" s="30">
        <f>IF(OR(班表!$A11="",27&gt;DAY(EOMONTH(DATE(班表!$E$2,班表!$G$2,1),0))),"",DATE(班表!$E$2,班表!$G$2,27))</f>
        <v/>
      </c>
      <c r="B184" s="29">
        <f>IF($A184="","",INDEX(設定!$L$5:$L$11,WEEKDAY($A184,1)))</f>
        <v/>
      </c>
      <c r="C184" s="29">
        <f>IF($A184="","",班表!$A11)</f>
        <v/>
      </c>
      <c r="D184" s="29">
        <f>IF($C184="","",班表!$B11)</f>
        <v/>
      </c>
      <c r="E184" s="29">
        <f>IF($C184="","",班表!$C11)</f>
        <v/>
      </c>
      <c r="F184" s="29">
        <f>IF($C184="","",班表!AD11)</f>
        <v/>
      </c>
      <c r="G184" s="31">
        <f>IF($F184="","",IFERROR(INDEX(設定!$D$5:$D$20,MATCH($F184,設定!$B$5:$B$20,0)),""))</f>
        <v/>
      </c>
      <c r="H184" s="31">
        <f>IF($F184="","",IFERROR(INDEX(設定!$E$5:$E$20,MATCH($F184,設定!$B$5:$B$20,0)),""))</f>
        <v/>
      </c>
      <c r="I184" s="31">
        <f>IFERROR(INDEX(打卡匯入!$C$3:$C$1002,MATCH($C184&amp;"|"&amp;DAY($A184),打卡匯入!$E$3:$E$1002,0)),"")</f>
        <v/>
      </c>
      <c r="J184" s="31">
        <f>IFERROR(INDEX(打卡匯入!$D$3:$D$1002,MATCH($C184&amp;"|"&amp;DAY($A184),打卡匯入!$E$3:$E$1002,0)),"")</f>
        <v/>
      </c>
      <c r="K184" s="32">
        <f>IF(OR($I184="",$J184=""),"",IFERROR(INDEX(設定!$F$5:$F$20,MATCH($F184,設定!$B$5:$B$20,0)),0))</f>
        <v/>
      </c>
      <c r="L184" s="33">
        <f>IF(OR($I184="",$J184=""),"",ROUND(($J184-$I184)*24-$K184/60,2))</f>
        <v/>
      </c>
      <c r="M184" s="29">
        <f>IF($C184="","",IF(AND(COUNTIF(設定!$B$14:$B$20,$F184)&gt;0,$I184&lt;&gt;""),"假日出勤",IF(AND(COUNTIF(設定!$B$5:$B$13,$F184)&gt;0,$I184=""),"未打卡",IF($I184="","",IF($N184&gt;0,"遲到",IF($O184&gt;0,"早退","正常"))))))</f>
        <v/>
      </c>
      <c r="N184" s="32">
        <f>IF(OR($C184="",$G184="",$I184=""),0,IF(ROUND(($I184-$G184)*1440,0)&gt;設定!$C$28,ROUND(($I184-$G184)*1440,0),0))</f>
        <v/>
      </c>
      <c r="O184" s="32">
        <f>IF(OR($C184="",$H184="",$J184=""),0,IF(ROUND(($H184-$J184)*1440,0)&gt;設定!$C$28,ROUND(($H184-$J184)*1440,0),0))</f>
        <v/>
      </c>
      <c r="P184" s="33">
        <f>IF($L184="",0,IF(($L184-IFERROR(INDEX(設定!$G$5:$G$20,MATCH($F184,設定!$B$5:$B$20,0)),0))*60&gt;=設定!$C$26,ROUND(FLOOR(($L184-IFERROR(INDEX(設定!$G$5:$G$20,MATCH($F184,設定!$B$5:$B$20,0)),0))*60,設定!$C$27)/60,2),0))</f>
        <v/>
      </c>
      <c r="Q184" s="29">
        <f>IF(OR($C184="",$P184=0),"",IF($F184="國","國定假日",IF($B184="日","例假",IF($B184="六","休息日","平日"))))</f>
        <v/>
      </c>
      <c r="R184" s="34" t="n"/>
    </row>
    <row r="185">
      <c r="A185" s="30">
        <f>IF(OR(班表!$A11="",28&gt;DAY(EOMONTH(DATE(班表!$E$2,班表!$G$2,1),0))),"",DATE(班表!$E$2,班表!$G$2,28))</f>
        <v/>
      </c>
      <c r="B185" s="29">
        <f>IF($A185="","",INDEX(設定!$L$5:$L$11,WEEKDAY($A185,1)))</f>
        <v/>
      </c>
      <c r="C185" s="29">
        <f>IF($A185="","",班表!$A11)</f>
        <v/>
      </c>
      <c r="D185" s="29">
        <f>IF($C185="","",班表!$B11)</f>
        <v/>
      </c>
      <c r="E185" s="29">
        <f>IF($C185="","",班表!$C11)</f>
        <v/>
      </c>
      <c r="F185" s="29">
        <f>IF($C185="","",班表!AE11)</f>
        <v/>
      </c>
      <c r="G185" s="31">
        <f>IF($F185="","",IFERROR(INDEX(設定!$D$5:$D$20,MATCH($F185,設定!$B$5:$B$20,0)),""))</f>
        <v/>
      </c>
      <c r="H185" s="31">
        <f>IF($F185="","",IFERROR(INDEX(設定!$E$5:$E$20,MATCH($F185,設定!$B$5:$B$20,0)),""))</f>
        <v/>
      </c>
      <c r="I185" s="31">
        <f>IFERROR(INDEX(打卡匯入!$C$3:$C$1002,MATCH($C185&amp;"|"&amp;DAY($A185),打卡匯入!$E$3:$E$1002,0)),"")</f>
        <v/>
      </c>
      <c r="J185" s="31">
        <f>IFERROR(INDEX(打卡匯入!$D$3:$D$1002,MATCH($C185&amp;"|"&amp;DAY($A185),打卡匯入!$E$3:$E$1002,0)),"")</f>
        <v/>
      </c>
      <c r="K185" s="32">
        <f>IF(OR($I185="",$J185=""),"",IFERROR(INDEX(設定!$F$5:$F$20,MATCH($F185,設定!$B$5:$B$20,0)),0))</f>
        <v/>
      </c>
      <c r="L185" s="33">
        <f>IF(OR($I185="",$J185=""),"",ROUND(($J185-$I185)*24-$K185/60,2))</f>
        <v/>
      </c>
      <c r="M185" s="29">
        <f>IF($C185="","",IF(AND(COUNTIF(設定!$B$14:$B$20,$F185)&gt;0,$I185&lt;&gt;""),"假日出勤",IF(AND(COUNTIF(設定!$B$5:$B$13,$F185)&gt;0,$I185=""),"未打卡",IF($I185="","",IF($N185&gt;0,"遲到",IF($O185&gt;0,"早退","正常"))))))</f>
        <v/>
      </c>
      <c r="N185" s="32">
        <f>IF(OR($C185="",$G185="",$I185=""),0,IF(ROUND(($I185-$G185)*1440,0)&gt;設定!$C$28,ROUND(($I185-$G185)*1440,0),0))</f>
        <v/>
      </c>
      <c r="O185" s="32">
        <f>IF(OR($C185="",$H185="",$J185=""),0,IF(ROUND(($H185-$J185)*1440,0)&gt;設定!$C$28,ROUND(($H185-$J185)*1440,0),0))</f>
        <v/>
      </c>
      <c r="P185" s="33">
        <f>IF($L185="",0,IF(($L185-IFERROR(INDEX(設定!$G$5:$G$20,MATCH($F185,設定!$B$5:$B$20,0)),0))*60&gt;=設定!$C$26,ROUND(FLOOR(($L185-IFERROR(INDEX(設定!$G$5:$G$20,MATCH($F185,設定!$B$5:$B$20,0)),0))*60,設定!$C$27)/60,2),0))</f>
        <v/>
      </c>
      <c r="Q185" s="29">
        <f>IF(OR($C185="",$P185=0),"",IF($F185="國","國定假日",IF($B185="日","例假",IF($B185="六","休息日","平日"))))</f>
        <v/>
      </c>
      <c r="R185" s="34" t="n"/>
    </row>
    <row r="186">
      <c r="A186" s="30">
        <f>IF(OR(班表!$A11="",29&gt;DAY(EOMONTH(DATE(班表!$E$2,班表!$G$2,1),0))),"",DATE(班表!$E$2,班表!$G$2,29))</f>
        <v/>
      </c>
      <c r="B186" s="29">
        <f>IF($A186="","",INDEX(設定!$L$5:$L$11,WEEKDAY($A186,1)))</f>
        <v/>
      </c>
      <c r="C186" s="29">
        <f>IF($A186="","",班表!$A11)</f>
        <v/>
      </c>
      <c r="D186" s="29">
        <f>IF($C186="","",班表!$B11)</f>
        <v/>
      </c>
      <c r="E186" s="29">
        <f>IF($C186="","",班表!$C11)</f>
        <v/>
      </c>
      <c r="F186" s="29">
        <f>IF($C186="","",班表!AF11)</f>
        <v/>
      </c>
      <c r="G186" s="31">
        <f>IF($F186="","",IFERROR(INDEX(設定!$D$5:$D$20,MATCH($F186,設定!$B$5:$B$20,0)),""))</f>
        <v/>
      </c>
      <c r="H186" s="31">
        <f>IF($F186="","",IFERROR(INDEX(設定!$E$5:$E$20,MATCH($F186,設定!$B$5:$B$20,0)),""))</f>
        <v/>
      </c>
      <c r="I186" s="31">
        <f>IFERROR(INDEX(打卡匯入!$C$3:$C$1002,MATCH($C186&amp;"|"&amp;DAY($A186),打卡匯入!$E$3:$E$1002,0)),"")</f>
        <v/>
      </c>
      <c r="J186" s="31">
        <f>IFERROR(INDEX(打卡匯入!$D$3:$D$1002,MATCH($C186&amp;"|"&amp;DAY($A186),打卡匯入!$E$3:$E$1002,0)),"")</f>
        <v/>
      </c>
      <c r="K186" s="32">
        <f>IF(OR($I186="",$J186=""),"",IFERROR(INDEX(設定!$F$5:$F$20,MATCH($F186,設定!$B$5:$B$20,0)),0))</f>
        <v/>
      </c>
      <c r="L186" s="33">
        <f>IF(OR($I186="",$J186=""),"",ROUND(($J186-$I186)*24-$K186/60,2))</f>
        <v/>
      </c>
      <c r="M186" s="29">
        <f>IF($C186="","",IF(AND(COUNTIF(設定!$B$14:$B$20,$F186)&gt;0,$I186&lt;&gt;""),"假日出勤",IF(AND(COUNTIF(設定!$B$5:$B$13,$F186)&gt;0,$I186=""),"未打卡",IF($I186="","",IF($N186&gt;0,"遲到",IF($O186&gt;0,"早退","正常"))))))</f>
        <v/>
      </c>
      <c r="N186" s="32">
        <f>IF(OR($C186="",$G186="",$I186=""),0,IF(ROUND(($I186-$G186)*1440,0)&gt;設定!$C$28,ROUND(($I186-$G186)*1440,0),0))</f>
        <v/>
      </c>
      <c r="O186" s="32">
        <f>IF(OR($C186="",$H186="",$J186=""),0,IF(ROUND(($H186-$J186)*1440,0)&gt;設定!$C$28,ROUND(($H186-$J186)*1440,0),0))</f>
        <v/>
      </c>
      <c r="P186" s="33">
        <f>IF($L186="",0,IF(($L186-IFERROR(INDEX(設定!$G$5:$G$20,MATCH($F186,設定!$B$5:$B$20,0)),0))*60&gt;=設定!$C$26,ROUND(FLOOR(($L186-IFERROR(INDEX(設定!$G$5:$G$20,MATCH($F186,設定!$B$5:$B$20,0)),0))*60,設定!$C$27)/60,2),0))</f>
        <v/>
      </c>
      <c r="Q186" s="29">
        <f>IF(OR($C186="",$P186=0),"",IF($F186="國","國定假日",IF($B186="日","例假",IF($B186="六","休息日","平日"))))</f>
        <v/>
      </c>
      <c r="R186" s="34" t="n"/>
    </row>
    <row r="187">
      <c r="A187" s="30">
        <f>IF(OR(班表!$A11="",30&gt;DAY(EOMONTH(DATE(班表!$E$2,班表!$G$2,1),0))),"",DATE(班表!$E$2,班表!$G$2,30))</f>
        <v/>
      </c>
      <c r="B187" s="29">
        <f>IF($A187="","",INDEX(設定!$L$5:$L$11,WEEKDAY($A187,1)))</f>
        <v/>
      </c>
      <c r="C187" s="29">
        <f>IF($A187="","",班表!$A11)</f>
        <v/>
      </c>
      <c r="D187" s="29">
        <f>IF($C187="","",班表!$B11)</f>
        <v/>
      </c>
      <c r="E187" s="29">
        <f>IF($C187="","",班表!$C11)</f>
        <v/>
      </c>
      <c r="F187" s="29">
        <f>IF($C187="","",班表!AG11)</f>
        <v/>
      </c>
      <c r="G187" s="31">
        <f>IF($F187="","",IFERROR(INDEX(設定!$D$5:$D$20,MATCH($F187,設定!$B$5:$B$20,0)),""))</f>
        <v/>
      </c>
      <c r="H187" s="31">
        <f>IF($F187="","",IFERROR(INDEX(設定!$E$5:$E$20,MATCH($F187,設定!$B$5:$B$20,0)),""))</f>
        <v/>
      </c>
      <c r="I187" s="31">
        <f>IFERROR(INDEX(打卡匯入!$C$3:$C$1002,MATCH($C187&amp;"|"&amp;DAY($A187),打卡匯入!$E$3:$E$1002,0)),"")</f>
        <v/>
      </c>
      <c r="J187" s="31">
        <f>IFERROR(INDEX(打卡匯入!$D$3:$D$1002,MATCH($C187&amp;"|"&amp;DAY($A187),打卡匯入!$E$3:$E$1002,0)),"")</f>
        <v/>
      </c>
      <c r="K187" s="32">
        <f>IF(OR($I187="",$J187=""),"",IFERROR(INDEX(設定!$F$5:$F$20,MATCH($F187,設定!$B$5:$B$20,0)),0))</f>
        <v/>
      </c>
      <c r="L187" s="33">
        <f>IF(OR($I187="",$J187=""),"",ROUND(($J187-$I187)*24-$K187/60,2))</f>
        <v/>
      </c>
      <c r="M187" s="29">
        <f>IF($C187="","",IF(AND(COUNTIF(設定!$B$14:$B$20,$F187)&gt;0,$I187&lt;&gt;""),"假日出勤",IF(AND(COUNTIF(設定!$B$5:$B$13,$F187)&gt;0,$I187=""),"未打卡",IF($I187="","",IF($N187&gt;0,"遲到",IF($O187&gt;0,"早退","正常"))))))</f>
        <v/>
      </c>
      <c r="N187" s="32">
        <f>IF(OR($C187="",$G187="",$I187=""),0,IF(ROUND(($I187-$G187)*1440,0)&gt;設定!$C$28,ROUND(($I187-$G187)*1440,0),0))</f>
        <v/>
      </c>
      <c r="O187" s="32">
        <f>IF(OR($C187="",$H187="",$J187=""),0,IF(ROUND(($H187-$J187)*1440,0)&gt;設定!$C$28,ROUND(($H187-$J187)*1440,0),0))</f>
        <v/>
      </c>
      <c r="P187" s="33">
        <f>IF($L187="",0,IF(($L187-IFERROR(INDEX(設定!$G$5:$G$20,MATCH($F187,設定!$B$5:$B$20,0)),0))*60&gt;=設定!$C$26,ROUND(FLOOR(($L187-IFERROR(INDEX(設定!$G$5:$G$20,MATCH($F187,設定!$B$5:$B$20,0)),0))*60,設定!$C$27)/60,2),0))</f>
        <v/>
      </c>
      <c r="Q187" s="29">
        <f>IF(OR($C187="",$P187=0),"",IF($F187="國","國定假日",IF($B187="日","例假",IF($B187="六","休息日","平日"))))</f>
        <v/>
      </c>
      <c r="R187" s="34" t="n"/>
    </row>
    <row r="188">
      <c r="A188" s="30">
        <f>IF(OR(班表!$A11="",31&gt;DAY(EOMONTH(DATE(班表!$E$2,班表!$G$2,1),0))),"",DATE(班表!$E$2,班表!$G$2,31))</f>
        <v/>
      </c>
      <c r="B188" s="29">
        <f>IF($A188="","",INDEX(設定!$L$5:$L$11,WEEKDAY($A188,1)))</f>
        <v/>
      </c>
      <c r="C188" s="29">
        <f>IF($A188="","",班表!$A11)</f>
        <v/>
      </c>
      <c r="D188" s="29">
        <f>IF($C188="","",班表!$B11)</f>
        <v/>
      </c>
      <c r="E188" s="29">
        <f>IF($C188="","",班表!$C11)</f>
        <v/>
      </c>
      <c r="F188" s="29">
        <f>IF($C188="","",班表!AH11)</f>
        <v/>
      </c>
      <c r="G188" s="31">
        <f>IF($F188="","",IFERROR(INDEX(設定!$D$5:$D$20,MATCH($F188,設定!$B$5:$B$20,0)),""))</f>
        <v/>
      </c>
      <c r="H188" s="31">
        <f>IF($F188="","",IFERROR(INDEX(設定!$E$5:$E$20,MATCH($F188,設定!$B$5:$B$20,0)),""))</f>
        <v/>
      </c>
      <c r="I188" s="31">
        <f>IFERROR(INDEX(打卡匯入!$C$3:$C$1002,MATCH($C188&amp;"|"&amp;DAY($A188),打卡匯入!$E$3:$E$1002,0)),"")</f>
        <v/>
      </c>
      <c r="J188" s="31">
        <f>IFERROR(INDEX(打卡匯入!$D$3:$D$1002,MATCH($C188&amp;"|"&amp;DAY($A188),打卡匯入!$E$3:$E$1002,0)),"")</f>
        <v/>
      </c>
      <c r="K188" s="32">
        <f>IF(OR($I188="",$J188=""),"",IFERROR(INDEX(設定!$F$5:$F$20,MATCH($F188,設定!$B$5:$B$20,0)),0))</f>
        <v/>
      </c>
      <c r="L188" s="33">
        <f>IF(OR($I188="",$J188=""),"",ROUND(($J188-$I188)*24-$K188/60,2))</f>
        <v/>
      </c>
      <c r="M188" s="29">
        <f>IF($C188="","",IF(AND(COUNTIF(設定!$B$14:$B$20,$F188)&gt;0,$I188&lt;&gt;""),"假日出勤",IF(AND(COUNTIF(設定!$B$5:$B$13,$F188)&gt;0,$I188=""),"未打卡",IF($I188="","",IF($N188&gt;0,"遲到",IF($O188&gt;0,"早退","正常"))))))</f>
        <v/>
      </c>
      <c r="N188" s="32">
        <f>IF(OR($C188="",$G188="",$I188=""),0,IF(ROUND(($I188-$G188)*1440,0)&gt;設定!$C$28,ROUND(($I188-$G188)*1440,0),0))</f>
        <v/>
      </c>
      <c r="O188" s="32">
        <f>IF(OR($C188="",$H188="",$J188=""),0,IF(ROUND(($H188-$J188)*1440,0)&gt;設定!$C$28,ROUND(($H188-$J188)*1440,0),0))</f>
        <v/>
      </c>
      <c r="P188" s="33">
        <f>IF($L188="",0,IF(($L188-IFERROR(INDEX(設定!$G$5:$G$20,MATCH($F188,設定!$B$5:$B$20,0)),0))*60&gt;=設定!$C$26,ROUND(FLOOR(($L188-IFERROR(INDEX(設定!$G$5:$G$20,MATCH($F188,設定!$B$5:$B$20,0)),0))*60,設定!$C$27)/60,2),0))</f>
        <v/>
      </c>
      <c r="Q188" s="29">
        <f>IF(OR($C188="",$P188=0),"",IF($F188="國","國定假日",IF($B188="日","例假",IF($B188="六","休息日","平日"))))</f>
        <v/>
      </c>
      <c r="R188" s="34" t="n"/>
    </row>
    <row r="189">
      <c r="A189" s="30">
        <f>IF(OR(班表!$A12="",1&gt;DAY(EOMONTH(DATE(班表!$E$2,班表!$G$2,1),0))),"",DATE(班表!$E$2,班表!$G$2,1))</f>
        <v/>
      </c>
      <c r="B189" s="29">
        <f>IF($A189="","",INDEX(設定!$L$5:$L$11,WEEKDAY($A189,1)))</f>
        <v/>
      </c>
      <c r="C189" s="29">
        <f>IF($A189="","",班表!$A12)</f>
        <v/>
      </c>
      <c r="D189" s="29">
        <f>IF($C189="","",班表!$B12)</f>
        <v/>
      </c>
      <c r="E189" s="29">
        <f>IF($C189="","",班表!$C12)</f>
        <v/>
      </c>
      <c r="F189" s="29">
        <f>IF($C189="","",班表!D12)</f>
        <v/>
      </c>
      <c r="G189" s="31">
        <f>IF($F189="","",IFERROR(INDEX(設定!$D$5:$D$20,MATCH($F189,設定!$B$5:$B$20,0)),""))</f>
        <v/>
      </c>
      <c r="H189" s="31">
        <f>IF($F189="","",IFERROR(INDEX(設定!$E$5:$E$20,MATCH($F189,設定!$B$5:$B$20,0)),""))</f>
        <v/>
      </c>
      <c r="I189" s="31">
        <f>IFERROR(INDEX(打卡匯入!$C$3:$C$1002,MATCH($C189&amp;"|"&amp;DAY($A189),打卡匯入!$E$3:$E$1002,0)),"")</f>
        <v/>
      </c>
      <c r="J189" s="31">
        <f>IFERROR(INDEX(打卡匯入!$D$3:$D$1002,MATCH($C189&amp;"|"&amp;DAY($A189),打卡匯入!$E$3:$E$1002,0)),"")</f>
        <v/>
      </c>
      <c r="K189" s="32">
        <f>IF(OR($I189="",$J189=""),"",IFERROR(INDEX(設定!$F$5:$F$20,MATCH($F189,設定!$B$5:$B$20,0)),0))</f>
        <v/>
      </c>
      <c r="L189" s="33">
        <f>IF(OR($I189="",$J189=""),"",ROUND(($J189-$I189)*24-$K189/60,2))</f>
        <v/>
      </c>
      <c r="M189" s="29">
        <f>IF($C189="","",IF(AND(COUNTIF(設定!$B$14:$B$20,$F189)&gt;0,$I189&lt;&gt;""),"假日出勤",IF(AND(COUNTIF(設定!$B$5:$B$13,$F189)&gt;0,$I189=""),"未打卡",IF($I189="","",IF($N189&gt;0,"遲到",IF($O189&gt;0,"早退","正常"))))))</f>
        <v/>
      </c>
      <c r="N189" s="32">
        <f>IF(OR($C189="",$G189="",$I189=""),0,IF(ROUND(($I189-$G189)*1440,0)&gt;設定!$C$28,ROUND(($I189-$G189)*1440,0),0))</f>
        <v/>
      </c>
      <c r="O189" s="32">
        <f>IF(OR($C189="",$H189="",$J189=""),0,IF(ROUND(($H189-$J189)*1440,0)&gt;設定!$C$28,ROUND(($H189-$J189)*1440,0),0))</f>
        <v/>
      </c>
      <c r="P189" s="33">
        <f>IF($L189="",0,IF(($L189-IFERROR(INDEX(設定!$G$5:$G$20,MATCH($F189,設定!$B$5:$B$20,0)),0))*60&gt;=設定!$C$26,ROUND(FLOOR(($L189-IFERROR(INDEX(設定!$G$5:$G$20,MATCH($F189,設定!$B$5:$B$20,0)),0))*60,設定!$C$27)/60,2),0))</f>
        <v/>
      </c>
      <c r="Q189" s="29">
        <f>IF(OR($C189="",$P189=0),"",IF($F189="國","國定假日",IF($B189="日","例假",IF($B189="六","休息日","平日"))))</f>
        <v/>
      </c>
      <c r="R189" s="34" t="n"/>
    </row>
    <row r="190">
      <c r="A190" s="30">
        <f>IF(OR(班表!$A12="",2&gt;DAY(EOMONTH(DATE(班表!$E$2,班表!$G$2,1),0))),"",DATE(班表!$E$2,班表!$G$2,2))</f>
        <v/>
      </c>
      <c r="B190" s="29">
        <f>IF($A190="","",INDEX(設定!$L$5:$L$11,WEEKDAY($A190,1)))</f>
        <v/>
      </c>
      <c r="C190" s="29">
        <f>IF($A190="","",班表!$A12)</f>
        <v/>
      </c>
      <c r="D190" s="29">
        <f>IF($C190="","",班表!$B12)</f>
        <v/>
      </c>
      <c r="E190" s="29">
        <f>IF($C190="","",班表!$C12)</f>
        <v/>
      </c>
      <c r="F190" s="29">
        <f>IF($C190="","",班表!E12)</f>
        <v/>
      </c>
      <c r="G190" s="31">
        <f>IF($F190="","",IFERROR(INDEX(設定!$D$5:$D$20,MATCH($F190,設定!$B$5:$B$20,0)),""))</f>
        <v/>
      </c>
      <c r="H190" s="31">
        <f>IF($F190="","",IFERROR(INDEX(設定!$E$5:$E$20,MATCH($F190,設定!$B$5:$B$20,0)),""))</f>
        <v/>
      </c>
      <c r="I190" s="31">
        <f>IFERROR(INDEX(打卡匯入!$C$3:$C$1002,MATCH($C190&amp;"|"&amp;DAY($A190),打卡匯入!$E$3:$E$1002,0)),"")</f>
        <v/>
      </c>
      <c r="J190" s="31">
        <f>IFERROR(INDEX(打卡匯入!$D$3:$D$1002,MATCH($C190&amp;"|"&amp;DAY($A190),打卡匯入!$E$3:$E$1002,0)),"")</f>
        <v/>
      </c>
      <c r="K190" s="32">
        <f>IF(OR($I190="",$J190=""),"",IFERROR(INDEX(設定!$F$5:$F$20,MATCH($F190,設定!$B$5:$B$20,0)),0))</f>
        <v/>
      </c>
      <c r="L190" s="33">
        <f>IF(OR($I190="",$J190=""),"",ROUND(($J190-$I190)*24-$K190/60,2))</f>
        <v/>
      </c>
      <c r="M190" s="29">
        <f>IF($C190="","",IF(AND(COUNTIF(設定!$B$14:$B$20,$F190)&gt;0,$I190&lt;&gt;""),"假日出勤",IF(AND(COUNTIF(設定!$B$5:$B$13,$F190)&gt;0,$I190=""),"未打卡",IF($I190="","",IF($N190&gt;0,"遲到",IF($O190&gt;0,"早退","正常"))))))</f>
        <v/>
      </c>
      <c r="N190" s="32">
        <f>IF(OR($C190="",$G190="",$I190=""),0,IF(ROUND(($I190-$G190)*1440,0)&gt;設定!$C$28,ROUND(($I190-$G190)*1440,0),0))</f>
        <v/>
      </c>
      <c r="O190" s="32">
        <f>IF(OR($C190="",$H190="",$J190=""),0,IF(ROUND(($H190-$J190)*1440,0)&gt;設定!$C$28,ROUND(($H190-$J190)*1440,0),0))</f>
        <v/>
      </c>
      <c r="P190" s="33">
        <f>IF($L190="",0,IF(($L190-IFERROR(INDEX(設定!$G$5:$G$20,MATCH($F190,設定!$B$5:$B$20,0)),0))*60&gt;=設定!$C$26,ROUND(FLOOR(($L190-IFERROR(INDEX(設定!$G$5:$G$20,MATCH($F190,設定!$B$5:$B$20,0)),0))*60,設定!$C$27)/60,2),0))</f>
        <v/>
      </c>
      <c r="Q190" s="29">
        <f>IF(OR($C190="",$P190=0),"",IF($F190="國","國定假日",IF($B190="日","例假",IF($B190="六","休息日","平日"))))</f>
        <v/>
      </c>
      <c r="R190" s="34" t="n"/>
    </row>
    <row r="191">
      <c r="A191" s="30">
        <f>IF(OR(班表!$A12="",3&gt;DAY(EOMONTH(DATE(班表!$E$2,班表!$G$2,1),0))),"",DATE(班表!$E$2,班表!$G$2,3))</f>
        <v/>
      </c>
      <c r="B191" s="29">
        <f>IF($A191="","",INDEX(設定!$L$5:$L$11,WEEKDAY($A191,1)))</f>
        <v/>
      </c>
      <c r="C191" s="29">
        <f>IF($A191="","",班表!$A12)</f>
        <v/>
      </c>
      <c r="D191" s="29">
        <f>IF($C191="","",班表!$B12)</f>
        <v/>
      </c>
      <c r="E191" s="29">
        <f>IF($C191="","",班表!$C12)</f>
        <v/>
      </c>
      <c r="F191" s="29">
        <f>IF($C191="","",班表!F12)</f>
        <v/>
      </c>
      <c r="G191" s="31">
        <f>IF($F191="","",IFERROR(INDEX(設定!$D$5:$D$20,MATCH($F191,設定!$B$5:$B$20,0)),""))</f>
        <v/>
      </c>
      <c r="H191" s="31">
        <f>IF($F191="","",IFERROR(INDEX(設定!$E$5:$E$20,MATCH($F191,設定!$B$5:$B$20,0)),""))</f>
        <v/>
      </c>
      <c r="I191" s="31">
        <f>IFERROR(INDEX(打卡匯入!$C$3:$C$1002,MATCH($C191&amp;"|"&amp;DAY($A191),打卡匯入!$E$3:$E$1002,0)),"")</f>
        <v/>
      </c>
      <c r="J191" s="31">
        <f>IFERROR(INDEX(打卡匯入!$D$3:$D$1002,MATCH($C191&amp;"|"&amp;DAY($A191),打卡匯入!$E$3:$E$1002,0)),"")</f>
        <v/>
      </c>
      <c r="K191" s="32">
        <f>IF(OR($I191="",$J191=""),"",IFERROR(INDEX(設定!$F$5:$F$20,MATCH($F191,設定!$B$5:$B$20,0)),0))</f>
        <v/>
      </c>
      <c r="L191" s="33">
        <f>IF(OR($I191="",$J191=""),"",ROUND(($J191-$I191)*24-$K191/60,2))</f>
        <v/>
      </c>
      <c r="M191" s="29">
        <f>IF($C191="","",IF(AND(COUNTIF(設定!$B$14:$B$20,$F191)&gt;0,$I191&lt;&gt;""),"假日出勤",IF(AND(COUNTIF(設定!$B$5:$B$13,$F191)&gt;0,$I191=""),"未打卡",IF($I191="","",IF($N191&gt;0,"遲到",IF($O191&gt;0,"早退","正常"))))))</f>
        <v/>
      </c>
      <c r="N191" s="32">
        <f>IF(OR($C191="",$G191="",$I191=""),0,IF(ROUND(($I191-$G191)*1440,0)&gt;設定!$C$28,ROUND(($I191-$G191)*1440,0),0))</f>
        <v/>
      </c>
      <c r="O191" s="32">
        <f>IF(OR($C191="",$H191="",$J191=""),0,IF(ROUND(($H191-$J191)*1440,0)&gt;設定!$C$28,ROUND(($H191-$J191)*1440,0),0))</f>
        <v/>
      </c>
      <c r="P191" s="33">
        <f>IF($L191="",0,IF(($L191-IFERROR(INDEX(設定!$G$5:$G$20,MATCH($F191,設定!$B$5:$B$20,0)),0))*60&gt;=設定!$C$26,ROUND(FLOOR(($L191-IFERROR(INDEX(設定!$G$5:$G$20,MATCH($F191,設定!$B$5:$B$20,0)),0))*60,設定!$C$27)/60,2),0))</f>
        <v/>
      </c>
      <c r="Q191" s="29">
        <f>IF(OR($C191="",$P191=0),"",IF($F191="國","國定假日",IF($B191="日","例假",IF($B191="六","休息日","平日"))))</f>
        <v/>
      </c>
      <c r="R191" s="34" t="n"/>
    </row>
    <row r="192">
      <c r="A192" s="30">
        <f>IF(OR(班表!$A12="",4&gt;DAY(EOMONTH(DATE(班表!$E$2,班表!$G$2,1),0))),"",DATE(班表!$E$2,班表!$G$2,4))</f>
        <v/>
      </c>
      <c r="B192" s="29">
        <f>IF($A192="","",INDEX(設定!$L$5:$L$11,WEEKDAY($A192,1)))</f>
        <v/>
      </c>
      <c r="C192" s="29">
        <f>IF($A192="","",班表!$A12)</f>
        <v/>
      </c>
      <c r="D192" s="29">
        <f>IF($C192="","",班表!$B12)</f>
        <v/>
      </c>
      <c r="E192" s="29">
        <f>IF($C192="","",班表!$C12)</f>
        <v/>
      </c>
      <c r="F192" s="29">
        <f>IF($C192="","",班表!G12)</f>
        <v/>
      </c>
      <c r="G192" s="31">
        <f>IF($F192="","",IFERROR(INDEX(設定!$D$5:$D$20,MATCH($F192,設定!$B$5:$B$20,0)),""))</f>
        <v/>
      </c>
      <c r="H192" s="31">
        <f>IF($F192="","",IFERROR(INDEX(設定!$E$5:$E$20,MATCH($F192,設定!$B$5:$B$20,0)),""))</f>
        <v/>
      </c>
      <c r="I192" s="31">
        <f>IFERROR(INDEX(打卡匯入!$C$3:$C$1002,MATCH($C192&amp;"|"&amp;DAY($A192),打卡匯入!$E$3:$E$1002,0)),"")</f>
        <v/>
      </c>
      <c r="J192" s="31">
        <f>IFERROR(INDEX(打卡匯入!$D$3:$D$1002,MATCH($C192&amp;"|"&amp;DAY($A192),打卡匯入!$E$3:$E$1002,0)),"")</f>
        <v/>
      </c>
      <c r="K192" s="32">
        <f>IF(OR($I192="",$J192=""),"",IFERROR(INDEX(設定!$F$5:$F$20,MATCH($F192,設定!$B$5:$B$20,0)),0))</f>
        <v/>
      </c>
      <c r="L192" s="33">
        <f>IF(OR($I192="",$J192=""),"",ROUND(($J192-$I192)*24-$K192/60,2))</f>
        <v/>
      </c>
      <c r="M192" s="29">
        <f>IF($C192="","",IF(AND(COUNTIF(設定!$B$14:$B$20,$F192)&gt;0,$I192&lt;&gt;""),"假日出勤",IF(AND(COUNTIF(設定!$B$5:$B$13,$F192)&gt;0,$I192=""),"未打卡",IF($I192="","",IF($N192&gt;0,"遲到",IF($O192&gt;0,"早退","正常"))))))</f>
        <v/>
      </c>
      <c r="N192" s="32">
        <f>IF(OR($C192="",$G192="",$I192=""),0,IF(ROUND(($I192-$G192)*1440,0)&gt;設定!$C$28,ROUND(($I192-$G192)*1440,0),0))</f>
        <v/>
      </c>
      <c r="O192" s="32">
        <f>IF(OR($C192="",$H192="",$J192=""),0,IF(ROUND(($H192-$J192)*1440,0)&gt;設定!$C$28,ROUND(($H192-$J192)*1440,0),0))</f>
        <v/>
      </c>
      <c r="P192" s="33">
        <f>IF($L192="",0,IF(($L192-IFERROR(INDEX(設定!$G$5:$G$20,MATCH($F192,設定!$B$5:$B$20,0)),0))*60&gt;=設定!$C$26,ROUND(FLOOR(($L192-IFERROR(INDEX(設定!$G$5:$G$20,MATCH($F192,設定!$B$5:$B$20,0)),0))*60,設定!$C$27)/60,2),0))</f>
        <v/>
      </c>
      <c r="Q192" s="29">
        <f>IF(OR($C192="",$P192=0),"",IF($F192="國","國定假日",IF($B192="日","例假",IF($B192="六","休息日","平日"))))</f>
        <v/>
      </c>
      <c r="R192" s="34" t="n"/>
    </row>
    <row r="193">
      <c r="A193" s="30">
        <f>IF(OR(班表!$A12="",5&gt;DAY(EOMONTH(DATE(班表!$E$2,班表!$G$2,1),0))),"",DATE(班表!$E$2,班表!$G$2,5))</f>
        <v/>
      </c>
      <c r="B193" s="29">
        <f>IF($A193="","",INDEX(設定!$L$5:$L$11,WEEKDAY($A193,1)))</f>
        <v/>
      </c>
      <c r="C193" s="29">
        <f>IF($A193="","",班表!$A12)</f>
        <v/>
      </c>
      <c r="D193" s="29">
        <f>IF($C193="","",班表!$B12)</f>
        <v/>
      </c>
      <c r="E193" s="29">
        <f>IF($C193="","",班表!$C12)</f>
        <v/>
      </c>
      <c r="F193" s="29">
        <f>IF($C193="","",班表!H12)</f>
        <v/>
      </c>
      <c r="G193" s="31">
        <f>IF($F193="","",IFERROR(INDEX(設定!$D$5:$D$20,MATCH($F193,設定!$B$5:$B$20,0)),""))</f>
        <v/>
      </c>
      <c r="H193" s="31">
        <f>IF($F193="","",IFERROR(INDEX(設定!$E$5:$E$20,MATCH($F193,設定!$B$5:$B$20,0)),""))</f>
        <v/>
      </c>
      <c r="I193" s="31">
        <f>IFERROR(INDEX(打卡匯入!$C$3:$C$1002,MATCH($C193&amp;"|"&amp;DAY($A193),打卡匯入!$E$3:$E$1002,0)),"")</f>
        <v/>
      </c>
      <c r="J193" s="31">
        <f>IFERROR(INDEX(打卡匯入!$D$3:$D$1002,MATCH($C193&amp;"|"&amp;DAY($A193),打卡匯入!$E$3:$E$1002,0)),"")</f>
        <v/>
      </c>
      <c r="K193" s="32">
        <f>IF(OR($I193="",$J193=""),"",IFERROR(INDEX(設定!$F$5:$F$20,MATCH($F193,設定!$B$5:$B$20,0)),0))</f>
        <v/>
      </c>
      <c r="L193" s="33">
        <f>IF(OR($I193="",$J193=""),"",ROUND(($J193-$I193)*24-$K193/60,2))</f>
        <v/>
      </c>
      <c r="M193" s="29">
        <f>IF($C193="","",IF(AND(COUNTIF(設定!$B$14:$B$20,$F193)&gt;0,$I193&lt;&gt;""),"假日出勤",IF(AND(COUNTIF(設定!$B$5:$B$13,$F193)&gt;0,$I193=""),"未打卡",IF($I193="","",IF($N193&gt;0,"遲到",IF($O193&gt;0,"早退","正常"))))))</f>
        <v/>
      </c>
      <c r="N193" s="32">
        <f>IF(OR($C193="",$G193="",$I193=""),0,IF(ROUND(($I193-$G193)*1440,0)&gt;設定!$C$28,ROUND(($I193-$G193)*1440,0),0))</f>
        <v/>
      </c>
      <c r="O193" s="32">
        <f>IF(OR($C193="",$H193="",$J193=""),0,IF(ROUND(($H193-$J193)*1440,0)&gt;設定!$C$28,ROUND(($H193-$J193)*1440,0),0))</f>
        <v/>
      </c>
      <c r="P193" s="33">
        <f>IF($L193="",0,IF(($L193-IFERROR(INDEX(設定!$G$5:$G$20,MATCH($F193,設定!$B$5:$B$20,0)),0))*60&gt;=設定!$C$26,ROUND(FLOOR(($L193-IFERROR(INDEX(設定!$G$5:$G$20,MATCH($F193,設定!$B$5:$B$20,0)),0))*60,設定!$C$27)/60,2),0))</f>
        <v/>
      </c>
      <c r="Q193" s="29">
        <f>IF(OR($C193="",$P193=0),"",IF($F193="國","國定假日",IF($B193="日","例假",IF($B193="六","休息日","平日"))))</f>
        <v/>
      </c>
      <c r="R193" s="34" t="n"/>
    </row>
    <row r="194">
      <c r="A194" s="30">
        <f>IF(OR(班表!$A12="",6&gt;DAY(EOMONTH(DATE(班表!$E$2,班表!$G$2,1),0))),"",DATE(班表!$E$2,班表!$G$2,6))</f>
        <v/>
      </c>
      <c r="B194" s="29">
        <f>IF($A194="","",INDEX(設定!$L$5:$L$11,WEEKDAY($A194,1)))</f>
        <v/>
      </c>
      <c r="C194" s="29">
        <f>IF($A194="","",班表!$A12)</f>
        <v/>
      </c>
      <c r="D194" s="29">
        <f>IF($C194="","",班表!$B12)</f>
        <v/>
      </c>
      <c r="E194" s="29">
        <f>IF($C194="","",班表!$C12)</f>
        <v/>
      </c>
      <c r="F194" s="29">
        <f>IF($C194="","",班表!I12)</f>
        <v/>
      </c>
      <c r="G194" s="31">
        <f>IF($F194="","",IFERROR(INDEX(設定!$D$5:$D$20,MATCH($F194,設定!$B$5:$B$20,0)),""))</f>
        <v/>
      </c>
      <c r="H194" s="31">
        <f>IF($F194="","",IFERROR(INDEX(設定!$E$5:$E$20,MATCH($F194,設定!$B$5:$B$20,0)),""))</f>
        <v/>
      </c>
      <c r="I194" s="31">
        <f>IFERROR(INDEX(打卡匯入!$C$3:$C$1002,MATCH($C194&amp;"|"&amp;DAY($A194),打卡匯入!$E$3:$E$1002,0)),"")</f>
        <v/>
      </c>
      <c r="J194" s="31">
        <f>IFERROR(INDEX(打卡匯入!$D$3:$D$1002,MATCH($C194&amp;"|"&amp;DAY($A194),打卡匯入!$E$3:$E$1002,0)),"")</f>
        <v/>
      </c>
      <c r="K194" s="32">
        <f>IF(OR($I194="",$J194=""),"",IFERROR(INDEX(設定!$F$5:$F$20,MATCH($F194,設定!$B$5:$B$20,0)),0))</f>
        <v/>
      </c>
      <c r="L194" s="33">
        <f>IF(OR($I194="",$J194=""),"",ROUND(($J194-$I194)*24-$K194/60,2))</f>
        <v/>
      </c>
      <c r="M194" s="29">
        <f>IF($C194="","",IF(AND(COUNTIF(設定!$B$14:$B$20,$F194)&gt;0,$I194&lt;&gt;""),"假日出勤",IF(AND(COUNTIF(設定!$B$5:$B$13,$F194)&gt;0,$I194=""),"未打卡",IF($I194="","",IF($N194&gt;0,"遲到",IF($O194&gt;0,"早退","正常"))))))</f>
        <v/>
      </c>
      <c r="N194" s="32">
        <f>IF(OR($C194="",$G194="",$I194=""),0,IF(ROUND(($I194-$G194)*1440,0)&gt;設定!$C$28,ROUND(($I194-$G194)*1440,0),0))</f>
        <v/>
      </c>
      <c r="O194" s="32">
        <f>IF(OR($C194="",$H194="",$J194=""),0,IF(ROUND(($H194-$J194)*1440,0)&gt;設定!$C$28,ROUND(($H194-$J194)*1440,0),0))</f>
        <v/>
      </c>
      <c r="P194" s="33">
        <f>IF($L194="",0,IF(($L194-IFERROR(INDEX(設定!$G$5:$G$20,MATCH($F194,設定!$B$5:$B$20,0)),0))*60&gt;=設定!$C$26,ROUND(FLOOR(($L194-IFERROR(INDEX(設定!$G$5:$G$20,MATCH($F194,設定!$B$5:$B$20,0)),0))*60,設定!$C$27)/60,2),0))</f>
        <v/>
      </c>
      <c r="Q194" s="29">
        <f>IF(OR($C194="",$P194=0),"",IF($F194="國","國定假日",IF($B194="日","例假",IF($B194="六","休息日","平日"))))</f>
        <v/>
      </c>
      <c r="R194" s="34" t="n"/>
    </row>
    <row r="195">
      <c r="A195" s="30">
        <f>IF(OR(班表!$A12="",7&gt;DAY(EOMONTH(DATE(班表!$E$2,班表!$G$2,1),0))),"",DATE(班表!$E$2,班表!$G$2,7))</f>
        <v/>
      </c>
      <c r="B195" s="29">
        <f>IF($A195="","",INDEX(設定!$L$5:$L$11,WEEKDAY($A195,1)))</f>
        <v/>
      </c>
      <c r="C195" s="29">
        <f>IF($A195="","",班表!$A12)</f>
        <v/>
      </c>
      <c r="D195" s="29">
        <f>IF($C195="","",班表!$B12)</f>
        <v/>
      </c>
      <c r="E195" s="29">
        <f>IF($C195="","",班表!$C12)</f>
        <v/>
      </c>
      <c r="F195" s="29">
        <f>IF($C195="","",班表!J12)</f>
        <v/>
      </c>
      <c r="G195" s="31">
        <f>IF($F195="","",IFERROR(INDEX(設定!$D$5:$D$20,MATCH($F195,設定!$B$5:$B$20,0)),""))</f>
        <v/>
      </c>
      <c r="H195" s="31">
        <f>IF($F195="","",IFERROR(INDEX(設定!$E$5:$E$20,MATCH($F195,設定!$B$5:$B$20,0)),""))</f>
        <v/>
      </c>
      <c r="I195" s="31">
        <f>IFERROR(INDEX(打卡匯入!$C$3:$C$1002,MATCH($C195&amp;"|"&amp;DAY($A195),打卡匯入!$E$3:$E$1002,0)),"")</f>
        <v/>
      </c>
      <c r="J195" s="31">
        <f>IFERROR(INDEX(打卡匯入!$D$3:$D$1002,MATCH($C195&amp;"|"&amp;DAY($A195),打卡匯入!$E$3:$E$1002,0)),"")</f>
        <v/>
      </c>
      <c r="K195" s="32">
        <f>IF(OR($I195="",$J195=""),"",IFERROR(INDEX(設定!$F$5:$F$20,MATCH($F195,設定!$B$5:$B$20,0)),0))</f>
        <v/>
      </c>
      <c r="L195" s="33">
        <f>IF(OR($I195="",$J195=""),"",ROUND(($J195-$I195)*24-$K195/60,2))</f>
        <v/>
      </c>
      <c r="M195" s="29">
        <f>IF($C195="","",IF(AND(COUNTIF(設定!$B$14:$B$20,$F195)&gt;0,$I195&lt;&gt;""),"假日出勤",IF(AND(COUNTIF(設定!$B$5:$B$13,$F195)&gt;0,$I195=""),"未打卡",IF($I195="","",IF($N195&gt;0,"遲到",IF($O195&gt;0,"早退","正常"))))))</f>
        <v/>
      </c>
      <c r="N195" s="32">
        <f>IF(OR($C195="",$G195="",$I195=""),0,IF(ROUND(($I195-$G195)*1440,0)&gt;設定!$C$28,ROUND(($I195-$G195)*1440,0),0))</f>
        <v/>
      </c>
      <c r="O195" s="32">
        <f>IF(OR($C195="",$H195="",$J195=""),0,IF(ROUND(($H195-$J195)*1440,0)&gt;設定!$C$28,ROUND(($H195-$J195)*1440,0),0))</f>
        <v/>
      </c>
      <c r="P195" s="33">
        <f>IF($L195="",0,IF(($L195-IFERROR(INDEX(設定!$G$5:$G$20,MATCH($F195,設定!$B$5:$B$20,0)),0))*60&gt;=設定!$C$26,ROUND(FLOOR(($L195-IFERROR(INDEX(設定!$G$5:$G$20,MATCH($F195,設定!$B$5:$B$20,0)),0))*60,設定!$C$27)/60,2),0))</f>
        <v/>
      </c>
      <c r="Q195" s="29">
        <f>IF(OR($C195="",$P195=0),"",IF($F195="國","國定假日",IF($B195="日","例假",IF($B195="六","休息日","平日"))))</f>
        <v/>
      </c>
      <c r="R195" s="34" t="n"/>
    </row>
    <row r="196">
      <c r="A196" s="30">
        <f>IF(OR(班表!$A12="",8&gt;DAY(EOMONTH(DATE(班表!$E$2,班表!$G$2,1),0))),"",DATE(班表!$E$2,班表!$G$2,8))</f>
        <v/>
      </c>
      <c r="B196" s="29">
        <f>IF($A196="","",INDEX(設定!$L$5:$L$11,WEEKDAY($A196,1)))</f>
        <v/>
      </c>
      <c r="C196" s="29">
        <f>IF($A196="","",班表!$A12)</f>
        <v/>
      </c>
      <c r="D196" s="29">
        <f>IF($C196="","",班表!$B12)</f>
        <v/>
      </c>
      <c r="E196" s="29">
        <f>IF($C196="","",班表!$C12)</f>
        <v/>
      </c>
      <c r="F196" s="29">
        <f>IF($C196="","",班表!K12)</f>
        <v/>
      </c>
      <c r="G196" s="31">
        <f>IF($F196="","",IFERROR(INDEX(設定!$D$5:$D$20,MATCH($F196,設定!$B$5:$B$20,0)),""))</f>
        <v/>
      </c>
      <c r="H196" s="31">
        <f>IF($F196="","",IFERROR(INDEX(設定!$E$5:$E$20,MATCH($F196,設定!$B$5:$B$20,0)),""))</f>
        <v/>
      </c>
      <c r="I196" s="31">
        <f>IFERROR(INDEX(打卡匯入!$C$3:$C$1002,MATCH($C196&amp;"|"&amp;DAY($A196),打卡匯入!$E$3:$E$1002,0)),"")</f>
        <v/>
      </c>
      <c r="J196" s="31">
        <f>IFERROR(INDEX(打卡匯入!$D$3:$D$1002,MATCH($C196&amp;"|"&amp;DAY($A196),打卡匯入!$E$3:$E$1002,0)),"")</f>
        <v/>
      </c>
      <c r="K196" s="32">
        <f>IF(OR($I196="",$J196=""),"",IFERROR(INDEX(設定!$F$5:$F$20,MATCH($F196,設定!$B$5:$B$20,0)),0))</f>
        <v/>
      </c>
      <c r="L196" s="33">
        <f>IF(OR($I196="",$J196=""),"",ROUND(($J196-$I196)*24-$K196/60,2))</f>
        <v/>
      </c>
      <c r="M196" s="29">
        <f>IF($C196="","",IF(AND(COUNTIF(設定!$B$14:$B$20,$F196)&gt;0,$I196&lt;&gt;""),"假日出勤",IF(AND(COUNTIF(設定!$B$5:$B$13,$F196)&gt;0,$I196=""),"未打卡",IF($I196="","",IF($N196&gt;0,"遲到",IF($O196&gt;0,"早退","正常"))))))</f>
        <v/>
      </c>
      <c r="N196" s="32">
        <f>IF(OR($C196="",$G196="",$I196=""),0,IF(ROUND(($I196-$G196)*1440,0)&gt;設定!$C$28,ROUND(($I196-$G196)*1440,0),0))</f>
        <v/>
      </c>
      <c r="O196" s="32">
        <f>IF(OR($C196="",$H196="",$J196=""),0,IF(ROUND(($H196-$J196)*1440,0)&gt;設定!$C$28,ROUND(($H196-$J196)*1440,0),0))</f>
        <v/>
      </c>
      <c r="P196" s="33">
        <f>IF($L196="",0,IF(($L196-IFERROR(INDEX(設定!$G$5:$G$20,MATCH($F196,設定!$B$5:$B$20,0)),0))*60&gt;=設定!$C$26,ROUND(FLOOR(($L196-IFERROR(INDEX(設定!$G$5:$G$20,MATCH($F196,設定!$B$5:$B$20,0)),0))*60,設定!$C$27)/60,2),0))</f>
        <v/>
      </c>
      <c r="Q196" s="29">
        <f>IF(OR($C196="",$P196=0),"",IF($F196="國","國定假日",IF($B196="日","例假",IF($B196="六","休息日","平日"))))</f>
        <v/>
      </c>
      <c r="R196" s="34" t="n"/>
    </row>
    <row r="197">
      <c r="A197" s="30">
        <f>IF(OR(班表!$A12="",9&gt;DAY(EOMONTH(DATE(班表!$E$2,班表!$G$2,1),0))),"",DATE(班表!$E$2,班表!$G$2,9))</f>
        <v/>
      </c>
      <c r="B197" s="29">
        <f>IF($A197="","",INDEX(設定!$L$5:$L$11,WEEKDAY($A197,1)))</f>
        <v/>
      </c>
      <c r="C197" s="29">
        <f>IF($A197="","",班表!$A12)</f>
        <v/>
      </c>
      <c r="D197" s="29">
        <f>IF($C197="","",班表!$B12)</f>
        <v/>
      </c>
      <c r="E197" s="29">
        <f>IF($C197="","",班表!$C12)</f>
        <v/>
      </c>
      <c r="F197" s="29">
        <f>IF($C197="","",班表!L12)</f>
        <v/>
      </c>
      <c r="G197" s="31">
        <f>IF($F197="","",IFERROR(INDEX(設定!$D$5:$D$20,MATCH($F197,設定!$B$5:$B$20,0)),""))</f>
        <v/>
      </c>
      <c r="H197" s="31">
        <f>IF($F197="","",IFERROR(INDEX(設定!$E$5:$E$20,MATCH($F197,設定!$B$5:$B$20,0)),""))</f>
        <v/>
      </c>
      <c r="I197" s="31">
        <f>IFERROR(INDEX(打卡匯入!$C$3:$C$1002,MATCH($C197&amp;"|"&amp;DAY($A197),打卡匯入!$E$3:$E$1002,0)),"")</f>
        <v/>
      </c>
      <c r="J197" s="31">
        <f>IFERROR(INDEX(打卡匯入!$D$3:$D$1002,MATCH($C197&amp;"|"&amp;DAY($A197),打卡匯入!$E$3:$E$1002,0)),"")</f>
        <v/>
      </c>
      <c r="K197" s="32">
        <f>IF(OR($I197="",$J197=""),"",IFERROR(INDEX(設定!$F$5:$F$20,MATCH($F197,設定!$B$5:$B$20,0)),0))</f>
        <v/>
      </c>
      <c r="L197" s="33">
        <f>IF(OR($I197="",$J197=""),"",ROUND(($J197-$I197)*24-$K197/60,2))</f>
        <v/>
      </c>
      <c r="M197" s="29">
        <f>IF($C197="","",IF(AND(COUNTIF(設定!$B$14:$B$20,$F197)&gt;0,$I197&lt;&gt;""),"假日出勤",IF(AND(COUNTIF(設定!$B$5:$B$13,$F197)&gt;0,$I197=""),"未打卡",IF($I197="","",IF($N197&gt;0,"遲到",IF($O197&gt;0,"早退","正常"))))))</f>
        <v/>
      </c>
      <c r="N197" s="32">
        <f>IF(OR($C197="",$G197="",$I197=""),0,IF(ROUND(($I197-$G197)*1440,0)&gt;設定!$C$28,ROUND(($I197-$G197)*1440,0),0))</f>
        <v/>
      </c>
      <c r="O197" s="32">
        <f>IF(OR($C197="",$H197="",$J197=""),0,IF(ROUND(($H197-$J197)*1440,0)&gt;設定!$C$28,ROUND(($H197-$J197)*1440,0),0))</f>
        <v/>
      </c>
      <c r="P197" s="33">
        <f>IF($L197="",0,IF(($L197-IFERROR(INDEX(設定!$G$5:$G$20,MATCH($F197,設定!$B$5:$B$20,0)),0))*60&gt;=設定!$C$26,ROUND(FLOOR(($L197-IFERROR(INDEX(設定!$G$5:$G$20,MATCH($F197,設定!$B$5:$B$20,0)),0))*60,設定!$C$27)/60,2),0))</f>
        <v/>
      </c>
      <c r="Q197" s="29">
        <f>IF(OR($C197="",$P197=0),"",IF($F197="國","國定假日",IF($B197="日","例假",IF($B197="六","休息日","平日"))))</f>
        <v/>
      </c>
      <c r="R197" s="34" t="n"/>
    </row>
    <row r="198">
      <c r="A198" s="30">
        <f>IF(OR(班表!$A12="",10&gt;DAY(EOMONTH(DATE(班表!$E$2,班表!$G$2,1),0))),"",DATE(班表!$E$2,班表!$G$2,10))</f>
        <v/>
      </c>
      <c r="B198" s="29">
        <f>IF($A198="","",INDEX(設定!$L$5:$L$11,WEEKDAY($A198,1)))</f>
        <v/>
      </c>
      <c r="C198" s="29">
        <f>IF($A198="","",班表!$A12)</f>
        <v/>
      </c>
      <c r="D198" s="29">
        <f>IF($C198="","",班表!$B12)</f>
        <v/>
      </c>
      <c r="E198" s="29">
        <f>IF($C198="","",班表!$C12)</f>
        <v/>
      </c>
      <c r="F198" s="29">
        <f>IF($C198="","",班表!M12)</f>
        <v/>
      </c>
      <c r="G198" s="31">
        <f>IF($F198="","",IFERROR(INDEX(設定!$D$5:$D$20,MATCH($F198,設定!$B$5:$B$20,0)),""))</f>
        <v/>
      </c>
      <c r="H198" s="31">
        <f>IF($F198="","",IFERROR(INDEX(設定!$E$5:$E$20,MATCH($F198,設定!$B$5:$B$20,0)),""))</f>
        <v/>
      </c>
      <c r="I198" s="31">
        <f>IFERROR(INDEX(打卡匯入!$C$3:$C$1002,MATCH($C198&amp;"|"&amp;DAY($A198),打卡匯入!$E$3:$E$1002,0)),"")</f>
        <v/>
      </c>
      <c r="J198" s="31">
        <f>IFERROR(INDEX(打卡匯入!$D$3:$D$1002,MATCH($C198&amp;"|"&amp;DAY($A198),打卡匯入!$E$3:$E$1002,0)),"")</f>
        <v/>
      </c>
      <c r="K198" s="32">
        <f>IF(OR($I198="",$J198=""),"",IFERROR(INDEX(設定!$F$5:$F$20,MATCH($F198,設定!$B$5:$B$20,0)),0))</f>
        <v/>
      </c>
      <c r="L198" s="33">
        <f>IF(OR($I198="",$J198=""),"",ROUND(($J198-$I198)*24-$K198/60,2))</f>
        <v/>
      </c>
      <c r="M198" s="29">
        <f>IF($C198="","",IF(AND(COUNTIF(設定!$B$14:$B$20,$F198)&gt;0,$I198&lt;&gt;""),"假日出勤",IF(AND(COUNTIF(設定!$B$5:$B$13,$F198)&gt;0,$I198=""),"未打卡",IF($I198="","",IF($N198&gt;0,"遲到",IF($O198&gt;0,"早退","正常"))))))</f>
        <v/>
      </c>
      <c r="N198" s="32">
        <f>IF(OR($C198="",$G198="",$I198=""),0,IF(ROUND(($I198-$G198)*1440,0)&gt;設定!$C$28,ROUND(($I198-$G198)*1440,0),0))</f>
        <v/>
      </c>
      <c r="O198" s="32">
        <f>IF(OR($C198="",$H198="",$J198=""),0,IF(ROUND(($H198-$J198)*1440,0)&gt;設定!$C$28,ROUND(($H198-$J198)*1440,0),0))</f>
        <v/>
      </c>
      <c r="P198" s="33">
        <f>IF($L198="",0,IF(($L198-IFERROR(INDEX(設定!$G$5:$G$20,MATCH($F198,設定!$B$5:$B$20,0)),0))*60&gt;=設定!$C$26,ROUND(FLOOR(($L198-IFERROR(INDEX(設定!$G$5:$G$20,MATCH($F198,設定!$B$5:$B$20,0)),0))*60,設定!$C$27)/60,2),0))</f>
        <v/>
      </c>
      <c r="Q198" s="29">
        <f>IF(OR($C198="",$P198=0),"",IF($F198="國","國定假日",IF($B198="日","例假",IF($B198="六","休息日","平日"))))</f>
        <v/>
      </c>
      <c r="R198" s="34" t="n"/>
    </row>
    <row r="199">
      <c r="A199" s="30">
        <f>IF(OR(班表!$A12="",11&gt;DAY(EOMONTH(DATE(班表!$E$2,班表!$G$2,1),0))),"",DATE(班表!$E$2,班表!$G$2,11))</f>
        <v/>
      </c>
      <c r="B199" s="29">
        <f>IF($A199="","",INDEX(設定!$L$5:$L$11,WEEKDAY($A199,1)))</f>
        <v/>
      </c>
      <c r="C199" s="29">
        <f>IF($A199="","",班表!$A12)</f>
        <v/>
      </c>
      <c r="D199" s="29">
        <f>IF($C199="","",班表!$B12)</f>
        <v/>
      </c>
      <c r="E199" s="29">
        <f>IF($C199="","",班表!$C12)</f>
        <v/>
      </c>
      <c r="F199" s="29">
        <f>IF($C199="","",班表!N12)</f>
        <v/>
      </c>
      <c r="G199" s="31">
        <f>IF($F199="","",IFERROR(INDEX(設定!$D$5:$D$20,MATCH($F199,設定!$B$5:$B$20,0)),""))</f>
        <v/>
      </c>
      <c r="H199" s="31">
        <f>IF($F199="","",IFERROR(INDEX(設定!$E$5:$E$20,MATCH($F199,設定!$B$5:$B$20,0)),""))</f>
        <v/>
      </c>
      <c r="I199" s="31">
        <f>IFERROR(INDEX(打卡匯入!$C$3:$C$1002,MATCH($C199&amp;"|"&amp;DAY($A199),打卡匯入!$E$3:$E$1002,0)),"")</f>
        <v/>
      </c>
      <c r="J199" s="31">
        <f>IFERROR(INDEX(打卡匯入!$D$3:$D$1002,MATCH($C199&amp;"|"&amp;DAY($A199),打卡匯入!$E$3:$E$1002,0)),"")</f>
        <v/>
      </c>
      <c r="K199" s="32">
        <f>IF(OR($I199="",$J199=""),"",IFERROR(INDEX(設定!$F$5:$F$20,MATCH($F199,設定!$B$5:$B$20,0)),0))</f>
        <v/>
      </c>
      <c r="L199" s="33">
        <f>IF(OR($I199="",$J199=""),"",ROUND(($J199-$I199)*24-$K199/60,2))</f>
        <v/>
      </c>
      <c r="M199" s="29">
        <f>IF($C199="","",IF(AND(COUNTIF(設定!$B$14:$B$20,$F199)&gt;0,$I199&lt;&gt;""),"假日出勤",IF(AND(COUNTIF(設定!$B$5:$B$13,$F199)&gt;0,$I199=""),"未打卡",IF($I199="","",IF($N199&gt;0,"遲到",IF($O199&gt;0,"早退","正常"))))))</f>
        <v/>
      </c>
      <c r="N199" s="32">
        <f>IF(OR($C199="",$G199="",$I199=""),0,IF(ROUND(($I199-$G199)*1440,0)&gt;設定!$C$28,ROUND(($I199-$G199)*1440,0),0))</f>
        <v/>
      </c>
      <c r="O199" s="32">
        <f>IF(OR($C199="",$H199="",$J199=""),0,IF(ROUND(($H199-$J199)*1440,0)&gt;設定!$C$28,ROUND(($H199-$J199)*1440,0),0))</f>
        <v/>
      </c>
      <c r="P199" s="33">
        <f>IF($L199="",0,IF(($L199-IFERROR(INDEX(設定!$G$5:$G$20,MATCH($F199,設定!$B$5:$B$20,0)),0))*60&gt;=設定!$C$26,ROUND(FLOOR(($L199-IFERROR(INDEX(設定!$G$5:$G$20,MATCH($F199,設定!$B$5:$B$20,0)),0))*60,設定!$C$27)/60,2),0))</f>
        <v/>
      </c>
      <c r="Q199" s="29">
        <f>IF(OR($C199="",$P199=0),"",IF($F199="國","國定假日",IF($B199="日","例假",IF($B199="六","休息日","平日"))))</f>
        <v/>
      </c>
      <c r="R199" s="34" t="n"/>
    </row>
    <row r="200">
      <c r="A200" s="30">
        <f>IF(OR(班表!$A12="",12&gt;DAY(EOMONTH(DATE(班表!$E$2,班表!$G$2,1),0))),"",DATE(班表!$E$2,班表!$G$2,12))</f>
        <v/>
      </c>
      <c r="B200" s="29">
        <f>IF($A200="","",INDEX(設定!$L$5:$L$11,WEEKDAY($A200,1)))</f>
        <v/>
      </c>
      <c r="C200" s="29">
        <f>IF($A200="","",班表!$A12)</f>
        <v/>
      </c>
      <c r="D200" s="29">
        <f>IF($C200="","",班表!$B12)</f>
        <v/>
      </c>
      <c r="E200" s="29">
        <f>IF($C200="","",班表!$C12)</f>
        <v/>
      </c>
      <c r="F200" s="29">
        <f>IF($C200="","",班表!O12)</f>
        <v/>
      </c>
      <c r="G200" s="31">
        <f>IF($F200="","",IFERROR(INDEX(設定!$D$5:$D$20,MATCH($F200,設定!$B$5:$B$20,0)),""))</f>
        <v/>
      </c>
      <c r="H200" s="31">
        <f>IF($F200="","",IFERROR(INDEX(設定!$E$5:$E$20,MATCH($F200,設定!$B$5:$B$20,0)),""))</f>
        <v/>
      </c>
      <c r="I200" s="31">
        <f>IFERROR(INDEX(打卡匯入!$C$3:$C$1002,MATCH($C200&amp;"|"&amp;DAY($A200),打卡匯入!$E$3:$E$1002,0)),"")</f>
        <v/>
      </c>
      <c r="J200" s="31">
        <f>IFERROR(INDEX(打卡匯入!$D$3:$D$1002,MATCH($C200&amp;"|"&amp;DAY($A200),打卡匯入!$E$3:$E$1002,0)),"")</f>
        <v/>
      </c>
      <c r="K200" s="32">
        <f>IF(OR($I200="",$J200=""),"",IFERROR(INDEX(設定!$F$5:$F$20,MATCH($F200,設定!$B$5:$B$20,0)),0))</f>
        <v/>
      </c>
      <c r="L200" s="33">
        <f>IF(OR($I200="",$J200=""),"",ROUND(($J200-$I200)*24-$K200/60,2))</f>
        <v/>
      </c>
      <c r="M200" s="29">
        <f>IF($C200="","",IF(AND(COUNTIF(設定!$B$14:$B$20,$F200)&gt;0,$I200&lt;&gt;""),"假日出勤",IF(AND(COUNTIF(設定!$B$5:$B$13,$F200)&gt;0,$I200=""),"未打卡",IF($I200="","",IF($N200&gt;0,"遲到",IF($O200&gt;0,"早退","正常"))))))</f>
        <v/>
      </c>
      <c r="N200" s="32">
        <f>IF(OR($C200="",$G200="",$I200=""),0,IF(ROUND(($I200-$G200)*1440,0)&gt;設定!$C$28,ROUND(($I200-$G200)*1440,0),0))</f>
        <v/>
      </c>
      <c r="O200" s="32">
        <f>IF(OR($C200="",$H200="",$J200=""),0,IF(ROUND(($H200-$J200)*1440,0)&gt;設定!$C$28,ROUND(($H200-$J200)*1440,0),0))</f>
        <v/>
      </c>
      <c r="P200" s="33">
        <f>IF($L200="",0,IF(($L200-IFERROR(INDEX(設定!$G$5:$G$20,MATCH($F200,設定!$B$5:$B$20,0)),0))*60&gt;=設定!$C$26,ROUND(FLOOR(($L200-IFERROR(INDEX(設定!$G$5:$G$20,MATCH($F200,設定!$B$5:$B$20,0)),0))*60,設定!$C$27)/60,2),0))</f>
        <v/>
      </c>
      <c r="Q200" s="29">
        <f>IF(OR($C200="",$P200=0),"",IF($F200="國","國定假日",IF($B200="日","例假",IF($B200="六","休息日","平日"))))</f>
        <v/>
      </c>
      <c r="R200" s="34" t="n"/>
    </row>
    <row r="201">
      <c r="A201" s="30">
        <f>IF(OR(班表!$A12="",13&gt;DAY(EOMONTH(DATE(班表!$E$2,班表!$G$2,1),0))),"",DATE(班表!$E$2,班表!$G$2,13))</f>
        <v/>
      </c>
      <c r="B201" s="29">
        <f>IF($A201="","",INDEX(設定!$L$5:$L$11,WEEKDAY($A201,1)))</f>
        <v/>
      </c>
      <c r="C201" s="29">
        <f>IF($A201="","",班表!$A12)</f>
        <v/>
      </c>
      <c r="D201" s="29">
        <f>IF($C201="","",班表!$B12)</f>
        <v/>
      </c>
      <c r="E201" s="29">
        <f>IF($C201="","",班表!$C12)</f>
        <v/>
      </c>
      <c r="F201" s="29">
        <f>IF($C201="","",班表!P12)</f>
        <v/>
      </c>
      <c r="G201" s="31">
        <f>IF($F201="","",IFERROR(INDEX(設定!$D$5:$D$20,MATCH($F201,設定!$B$5:$B$20,0)),""))</f>
        <v/>
      </c>
      <c r="H201" s="31">
        <f>IF($F201="","",IFERROR(INDEX(設定!$E$5:$E$20,MATCH($F201,設定!$B$5:$B$20,0)),""))</f>
        <v/>
      </c>
      <c r="I201" s="31">
        <f>IFERROR(INDEX(打卡匯入!$C$3:$C$1002,MATCH($C201&amp;"|"&amp;DAY($A201),打卡匯入!$E$3:$E$1002,0)),"")</f>
        <v/>
      </c>
      <c r="J201" s="31">
        <f>IFERROR(INDEX(打卡匯入!$D$3:$D$1002,MATCH($C201&amp;"|"&amp;DAY($A201),打卡匯入!$E$3:$E$1002,0)),"")</f>
        <v/>
      </c>
      <c r="K201" s="32">
        <f>IF(OR($I201="",$J201=""),"",IFERROR(INDEX(設定!$F$5:$F$20,MATCH($F201,設定!$B$5:$B$20,0)),0))</f>
        <v/>
      </c>
      <c r="L201" s="33">
        <f>IF(OR($I201="",$J201=""),"",ROUND(($J201-$I201)*24-$K201/60,2))</f>
        <v/>
      </c>
      <c r="M201" s="29">
        <f>IF($C201="","",IF(AND(COUNTIF(設定!$B$14:$B$20,$F201)&gt;0,$I201&lt;&gt;""),"假日出勤",IF(AND(COUNTIF(設定!$B$5:$B$13,$F201)&gt;0,$I201=""),"未打卡",IF($I201="","",IF($N201&gt;0,"遲到",IF($O201&gt;0,"早退","正常"))))))</f>
        <v/>
      </c>
      <c r="N201" s="32">
        <f>IF(OR($C201="",$G201="",$I201=""),0,IF(ROUND(($I201-$G201)*1440,0)&gt;設定!$C$28,ROUND(($I201-$G201)*1440,0),0))</f>
        <v/>
      </c>
      <c r="O201" s="32">
        <f>IF(OR($C201="",$H201="",$J201=""),0,IF(ROUND(($H201-$J201)*1440,0)&gt;設定!$C$28,ROUND(($H201-$J201)*1440,0),0))</f>
        <v/>
      </c>
      <c r="P201" s="33">
        <f>IF($L201="",0,IF(($L201-IFERROR(INDEX(設定!$G$5:$G$20,MATCH($F201,設定!$B$5:$B$20,0)),0))*60&gt;=設定!$C$26,ROUND(FLOOR(($L201-IFERROR(INDEX(設定!$G$5:$G$20,MATCH($F201,設定!$B$5:$B$20,0)),0))*60,設定!$C$27)/60,2),0))</f>
        <v/>
      </c>
      <c r="Q201" s="29">
        <f>IF(OR($C201="",$P201=0),"",IF($F201="國","國定假日",IF($B201="日","例假",IF($B201="六","休息日","平日"))))</f>
        <v/>
      </c>
      <c r="R201" s="34" t="n"/>
    </row>
    <row r="202">
      <c r="A202" s="30">
        <f>IF(OR(班表!$A12="",14&gt;DAY(EOMONTH(DATE(班表!$E$2,班表!$G$2,1),0))),"",DATE(班表!$E$2,班表!$G$2,14))</f>
        <v/>
      </c>
      <c r="B202" s="29">
        <f>IF($A202="","",INDEX(設定!$L$5:$L$11,WEEKDAY($A202,1)))</f>
        <v/>
      </c>
      <c r="C202" s="29">
        <f>IF($A202="","",班表!$A12)</f>
        <v/>
      </c>
      <c r="D202" s="29">
        <f>IF($C202="","",班表!$B12)</f>
        <v/>
      </c>
      <c r="E202" s="29">
        <f>IF($C202="","",班表!$C12)</f>
        <v/>
      </c>
      <c r="F202" s="29">
        <f>IF($C202="","",班表!Q12)</f>
        <v/>
      </c>
      <c r="G202" s="31">
        <f>IF($F202="","",IFERROR(INDEX(設定!$D$5:$D$20,MATCH($F202,設定!$B$5:$B$20,0)),""))</f>
        <v/>
      </c>
      <c r="H202" s="31">
        <f>IF($F202="","",IFERROR(INDEX(設定!$E$5:$E$20,MATCH($F202,設定!$B$5:$B$20,0)),""))</f>
        <v/>
      </c>
      <c r="I202" s="31">
        <f>IFERROR(INDEX(打卡匯入!$C$3:$C$1002,MATCH($C202&amp;"|"&amp;DAY($A202),打卡匯入!$E$3:$E$1002,0)),"")</f>
        <v/>
      </c>
      <c r="J202" s="31">
        <f>IFERROR(INDEX(打卡匯入!$D$3:$D$1002,MATCH($C202&amp;"|"&amp;DAY($A202),打卡匯入!$E$3:$E$1002,0)),"")</f>
        <v/>
      </c>
      <c r="K202" s="32">
        <f>IF(OR($I202="",$J202=""),"",IFERROR(INDEX(設定!$F$5:$F$20,MATCH($F202,設定!$B$5:$B$20,0)),0))</f>
        <v/>
      </c>
      <c r="L202" s="33">
        <f>IF(OR($I202="",$J202=""),"",ROUND(($J202-$I202)*24-$K202/60,2))</f>
        <v/>
      </c>
      <c r="M202" s="29">
        <f>IF($C202="","",IF(AND(COUNTIF(設定!$B$14:$B$20,$F202)&gt;0,$I202&lt;&gt;""),"假日出勤",IF(AND(COUNTIF(設定!$B$5:$B$13,$F202)&gt;0,$I202=""),"未打卡",IF($I202="","",IF($N202&gt;0,"遲到",IF($O202&gt;0,"早退","正常"))))))</f>
        <v/>
      </c>
      <c r="N202" s="32">
        <f>IF(OR($C202="",$G202="",$I202=""),0,IF(ROUND(($I202-$G202)*1440,0)&gt;設定!$C$28,ROUND(($I202-$G202)*1440,0),0))</f>
        <v/>
      </c>
      <c r="O202" s="32">
        <f>IF(OR($C202="",$H202="",$J202=""),0,IF(ROUND(($H202-$J202)*1440,0)&gt;設定!$C$28,ROUND(($H202-$J202)*1440,0),0))</f>
        <v/>
      </c>
      <c r="P202" s="33">
        <f>IF($L202="",0,IF(($L202-IFERROR(INDEX(設定!$G$5:$G$20,MATCH($F202,設定!$B$5:$B$20,0)),0))*60&gt;=設定!$C$26,ROUND(FLOOR(($L202-IFERROR(INDEX(設定!$G$5:$G$20,MATCH($F202,設定!$B$5:$B$20,0)),0))*60,設定!$C$27)/60,2),0))</f>
        <v/>
      </c>
      <c r="Q202" s="29">
        <f>IF(OR($C202="",$P202=0),"",IF($F202="國","國定假日",IF($B202="日","例假",IF($B202="六","休息日","平日"))))</f>
        <v/>
      </c>
      <c r="R202" s="34" t="n"/>
    </row>
    <row r="203">
      <c r="A203" s="30">
        <f>IF(OR(班表!$A12="",15&gt;DAY(EOMONTH(DATE(班表!$E$2,班表!$G$2,1),0))),"",DATE(班表!$E$2,班表!$G$2,15))</f>
        <v/>
      </c>
      <c r="B203" s="29">
        <f>IF($A203="","",INDEX(設定!$L$5:$L$11,WEEKDAY($A203,1)))</f>
        <v/>
      </c>
      <c r="C203" s="29">
        <f>IF($A203="","",班表!$A12)</f>
        <v/>
      </c>
      <c r="D203" s="29">
        <f>IF($C203="","",班表!$B12)</f>
        <v/>
      </c>
      <c r="E203" s="29">
        <f>IF($C203="","",班表!$C12)</f>
        <v/>
      </c>
      <c r="F203" s="29">
        <f>IF($C203="","",班表!R12)</f>
        <v/>
      </c>
      <c r="G203" s="31">
        <f>IF($F203="","",IFERROR(INDEX(設定!$D$5:$D$20,MATCH($F203,設定!$B$5:$B$20,0)),""))</f>
        <v/>
      </c>
      <c r="H203" s="31">
        <f>IF($F203="","",IFERROR(INDEX(設定!$E$5:$E$20,MATCH($F203,設定!$B$5:$B$20,0)),""))</f>
        <v/>
      </c>
      <c r="I203" s="31">
        <f>IFERROR(INDEX(打卡匯入!$C$3:$C$1002,MATCH($C203&amp;"|"&amp;DAY($A203),打卡匯入!$E$3:$E$1002,0)),"")</f>
        <v/>
      </c>
      <c r="J203" s="31">
        <f>IFERROR(INDEX(打卡匯入!$D$3:$D$1002,MATCH($C203&amp;"|"&amp;DAY($A203),打卡匯入!$E$3:$E$1002,0)),"")</f>
        <v/>
      </c>
      <c r="K203" s="32">
        <f>IF(OR($I203="",$J203=""),"",IFERROR(INDEX(設定!$F$5:$F$20,MATCH($F203,設定!$B$5:$B$20,0)),0))</f>
        <v/>
      </c>
      <c r="L203" s="33">
        <f>IF(OR($I203="",$J203=""),"",ROUND(($J203-$I203)*24-$K203/60,2))</f>
        <v/>
      </c>
      <c r="M203" s="29">
        <f>IF($C203="","",IF(AND(COUNTIF(設定!$B$14:$B$20,$F203)&gt;0,$I203&lt;&gt;""),"假日出勤",IF(AND(COUNTIF(設定!$B$5:$B$13,$F203)&gt;0,$I203=""),"未打卡",IF($I203="","",IF($N203&gt;0,"遲到",IF($O203&gt;0,"早退","正常"))))))</f>
        <v/>
      </c>
      <c r="N203" s="32">
        <f>IF(OR($C203="",$G203="",$I203=""),0,IF(ROUND(($I203-$G203)*1440,0)&gt;設定!$C$28,ROUND(($I203-$G203)*1440,0),0))</f>
        <v/>
      </c>
      <c r="O203" s="32">
        <f>IF(OR($C203="",$H203="",$J203=""),0,IF(ROUND(($H203-$J203)*1440,0)&gt;設定!$C$28,ROUND(($H203-$J203)*1440,0),0))</f>
        <v/>
      </c>
      <c r="P203" s="33">
        <f>IF($L203="",0,IF(($L203-IFERROR(INDEX(設定!$G$5:$G$20,MATCH($F203,設定!$B$5:$B$20,0)),0))*60&gt;=設定!$C$26,ROUND(FLOOR(($L203-IFERROR(INDEX(設定!$G$5:$G$20,MATCH($F203,設定!$B$5:$B$20,0)),0))*60,設定!$C$27)/60,2),0))</f>
        <v/>
      </c>
      <c r="Q203" s="29">
        <f>IF(OR($C203="",$P203=0),"",IF($F203="國","國定假日",IF($B203="日","例假",IF($B203="六","休息日","平日"))))</f>
        <v/>
      </c>
      <c r="R203" s="34" t="n"/>
    </row>
    <row r="204">
      <c r="A204" s="30">
        <f>IF(OR(班表!$A12="",16&gt;DAY(EOMONTH(DATE(班表!$E$2,班表!$G$2,1),0))),"",DATE(班表!$E$2,班表!$G$2,16))</f>
        <v/>
      </c>
      <c r="B204" s="29">
        <f>IF($A204="","",INDEX(設定!$L$5:$L$11,WEEKDAY($A204,1)))</f>
        <v/>
      </c>
      <c r="C204" s="29">
        <f>IF($A204="","",班表!$A12)</f>
        <v/>
      </c>
      <c r="D204" s="29">
        <f>IF($C204="","",班表!$B12)</f>
        <v/>
      </c>
      <c r="E204" s="29">
        <f>IF($C204="","",班表!$C12)</f>
        <v/>
      </c>
      <c r="F204" s="29">
        <f>IF($C204="","",班表!S12)</f>
        <v/>
      </c>
      <c r="G204" s="31">
        <f>IF($F204="","",IFERROR(INDEX(設定!$D$5:$D$20,MATCH($F204,設定!$B$5:$B$20,0)),""))</f>
        <v/>
      </c>
      <c r="H204" s="31">
        <f>IF($F204="","",IFERROR(INDEX(設定!$E$5:$E$20,MATCH($F204,設定!$B$5:$B$20,0)),""))</f>
        <v/>
      </c>
      <c r="I204" s="31">
        <f>IFERROR(INDEX(打卡匯入!$C$3:$C$1002,MATCH($C204&amp;"|"&amp;DAY($A204),打卡匯入!$E$3:$E$1002,0)),"")</f>
        <v/>
      </c>
      <c r="J204" s="31">
        <f>IFERROR(INDEX(打卡匯入!$D$3:$D$1002,MATCH($C204&amp;"|"&amp;DAY($A204),打卡匯入!$E$3:$E$1002,0)),"")</f>
        <v/>
      </c>
      <c r="K204" s="32">
        <f>IF(OR($I204="",$J204=""),"",IFERROR(INDEX(設定!$F$5:$F$20,MATCH($F204,設定!$B$5:$B$20,0)),0))</f>
        <v/>
      </c>
      <c r="L204" s="33">
        <f>IF(OR($I204="",$J204=""),"",ROUND(($J204-$I204)*24-$K204/60,2))</f>
        <v/>
      </c>
      <c r="M204" s="29">
        <f>IF($C204="","",IF(AND(COUNTIF(設定!$B$14:$B$20,$F204)&gt;0,$I204&lt;&gt;""),"假日出勤",IF(AND(COUNTIF(設定!$B$5:$B$13,$F204)&gt;0,$I204=""),"未打卡",IF($I204="","",IF($N204&gt;0,"遲到",IF($O204&gt;0,"早退","正常"))))))</f>
        <v/>
      </c>
      <c r="N204" s="32">
        <f>IF(OR($C204="",$G204="",$I204=""),0,IF(ROUND(($I204-$G204)*1440,0)&gt;設定!$C$28,ROUND(($I204-$G204)*1440,0),0))</f>
        <v/>
      </c>
      <c r="O204" s="32">
        <f>IF(OR($C204="",$H204="",$J204=""),0,IF(ROUND(($H204-$J204)*1440,0)&gt;設定!$C$28,ROUND(($H204-$J204)*1440,0),0))</f>
        <v/>
      </c>
      <c r="P204" s="33">
        <f>IF($L204="",0,IF(($L204-IFERROR(INDEX(設定!$G$5:$G$20,MATCH($F204,設定!$B$5:$B$20,0)),0))*60&gt;=設定!$C$26,ROUND(FLOOR(($L204-IFERROR(INDEX(設定!$G$5:$G$20,MATCH($F204,設定!$B$5:$B$20,0)),0))*60,設定!$C$27)/60,2),0))</f>
        <v/>
      </c>
      <c r="Q204" s="29">
        <f>IF(OR($C204="",$P204=0),"",IF($F204="國","國定假日",IF($B204="日","例假",IF($B204="六","休息日","平日"))))</f>
        <v/>
      </c>
      <c r="R204" s="34" t="n"/>
    </row>
    <row r="205">
      <c r="A205" s="30">
        <f>IF(OR(班表!$A12="",17&gt;DAY(EOMONTH(DATE(班表!$E$2,班表!$G$2,1),0))),"",DATE(班表!$E$2,班表!$G$2,17))</f>
        <v/>
      </c>
      <c r="B205" s="29">
        <f>IF($A205="","",INDEX(設定!$L$5:$L$11,WEEKDAY($A205,1)))</f>
        <v/>
      </c>
      <c r="C205" s="29">
        <f>IF($A205="","",班表!$A12)</f>
        <v/>
      </c>
      <c r="D205" s="29">
        <f>IF($C205="","",班表!$B12)</f>
        <v/>
      </c>
      <c r="E205" s="29">
        <f>IF($C205="","",班表!$C12)</f>
        <v/>
      </c>
      <c r="F205" s="29">
        <f>IF($C205="","",班表!T12)</f>
        <v/>
      </c>
      <c r="G205" s="31">
        <f>IF($F205="","",IFERROR(INDEX(設定!$D$5:$D$20,MATCH($F205,設定!$B$5:$B$20,0)),""))</f>
        <v/>
      </c>
      <c r="H205" s="31">
        <f>IF($F205="","",IFERROR(INDEX(設定!$E$5:$E$20,MATCH($F205,設定!$B$5:$B$20,0)),""))</f>
        <v/>
      </c>
      <c r="I205" s="31">
        <f>IFERROR(INDEX(打卡匯入!$C$3:$C$1002,MATCH($C205&amp;"|"&amp;DAY($A205),打卡匯入!$E$3:$E$1002,0)),"")</f>
        <v/>
      </c>
      <c r="J205" s="31">
        <f>IFERROR(INDEX(打卡匯入!$D$3:$D$1002,MATCH($C205&amp;"|"&amp;DAY($A205),打卡匯入!$E$3:$E$1002,0)),"")</f>
        <v/>
      </c>
      <c r="K205" s="32">
        <f>IF(OR($I205="",$J205=""),"",IFERROR(INDEX(設定!$F$5:$F$20,MATCH($F205,設定!$B$5:$B$20,0)),0))</f>
        <v/>
      </c>
      <c r="L205" s="33">
        <f>IF(OR($I205="",$J205=""),"",ROUND(($J205-$I205)*24-$K205/60,2))</f>
        <v/>
      </c>
      <c r="M205" s="29">
        <f>IF($C205="","",IF(AND(COUNTIF(設定!$B$14:$B$20,$F205)&gt;0,$I205&lt;&gt;""),"假日出勤",IF(AND(COUNTIF(設定!$B$5:$B$13,$F205)&gt;0,$I205=""),"未打卡",IF($I205="","",IF($N205&gt;0,"遲到",IF($O205&gt;0,"早退","正常"))))))</f>
        <v/>
      </c>
      <c r="N205" s="32">
        <f>IF(OR($C205="",$G205="",$I205=""),0,IF(ROUND(($I205-$G205)*1440,0)&gt;設定!$C$28,ROUND(($I205-$G205)*1440,0),0))</f>
        <v/>
      </c>
      <c r="O205" s="32">
        <f>IF(OR($C205="",$H205="",$J205=""),0,IF(ROUND(($H205-$J205)*1440,0)&gt;設定!$C$28,ROUND(($H205-$J205)*1440,0),0))</f>
        <v/>
      </c>
      <c r="P205" s="33">
        <f>IF($L205="",0,IF(($L205-IFERROR(INDEX(設定!$G$5:$G$20,MATCH($F205,設定!$B$5:$B$20,0)),0))*60&gt;=設定!$C$26,ROUND(FLOOR(($L205-IFERROR(INDEX(設定!$G$5:$G$20,MATCH($F205,設定!$B$5:$B$20,0)),0))*60,設定!$C$27)/60,2),0))</f>
        <v/>
      </c>
      <c r="Q205" s="29">
        <f>IF(OR($C205="",$P205=0),"",IF($F205="國","國定假日",IF($B205="日","例假",IF($B205="六","休息日","平日"))))</f>
        <v/>
      </c>
      <c r="R205" s="34" t="n"/>
    </row>
    <row r="206">
      <c r="A206" s="30">
        <f>IF(OR(班表!$A12="",18&gt;DAY(EOMONTH(DATE(班表!$E$2,班表!$G$2,1),0))),"",DATE(班表!$E$2,班表!$G$2,18))</f>
        <v/>
      </c>
      <c r="B206" s="29">
        <f>IF($A206="","",INDEX(設定!$L$5:$L$11,WEEKDAY($A206,1)))</f>
        <v/>
      </c>
      <c r="C206" s="29">
        <f>IF($A206="","",班表!$A12)</f>
        <v/>
      </c>
      <c r="D206" s="29">
        <f>IF($C206="","",班表!$B12)</f>
        <v/>
      </c>
      <c r="E206" s="29">
        <f>IF($C206="","",班表!$C12)</f>
        <v/>
      </c>
      <c r="F206" s="29">
        <f>IF($C206="","",班表!U12)</f>
        <v/>
      </c>
      <c r="G206" s="31">
        <f>IF($F206="","",IFERROR(INDEX(設定!$D$5:$D$20,MATCH($F206,設定!$B$5:$B$20,0)),""))</f>
        <v/>
      </c>
      <c r="H206" s="31">
        <f>IF($F206="","",IFERROR(INDEX(設定!$E$5:$E$20,MATCH($F206,設定!$B$5:$B$20,0)),""))</f>
        <v/>
      </c>
      <c r="I206" s="31">
        <f>IFERROR(INDEX(打卡匯入!$C$3:$C$1002,MATCH($C206&amp;"|"&amp;DAY($A206),打卡匯入!$E$3:$E$1002,0)),"")</f>
        <v/>
      </c>
      <c r="J206" s="31">
        <f>IFERROR(INDEX(打卡匯入!$D$3:$D$1002,MATCH($C206&amp;"|"&amp;DAY($A206),打卡匯入!$E$3:$E$1002,0)),"")</f>
        <v/>
      </c>
      <c r="K206" s="32">
        <f>IF(OR($I206="",$J206=""),"",IFERROR(INDEX(設定!$F$5:$F$20,MATCH($F206,設定!$B$5:$B$20,0)),0))</f>
        <v/>
      </c>
      <c r="L206" s="33">
        <f>IF(OR($I206="",$J206=""),"",ROUND(($J206-$I206)*24-$K206/60,2))</f>
        <v/>
      </c>
      <c r="M206" s="29">
        <f>IF($C206="","",IF(AND(COUNTIF(設定!$B$14:$B$20,$F206)&gt;0,$I206&lt;&gt;""),"假日出勤",IF(AND(COUNTIF(設定!$B$5:$B$13,$F206)&gt;0,$I206=""),"未打卡",IF($I206="","",IF($N206&gt;0,"遲到",IF($O206&gt;0,"早退","正常"))))))</f>
        <v/>
      </c>
      <c r="N206" s="32">
        <f>IF(OR($C206="",$G206="",$I206=""),0,IF(ROUND(($I206-$G206)*1440,0)&gt;設定!$C$28,ROUND(($I206-$G206)*1440,0),0))</f>
        <v/>
      </c>
      <c r="O206" s="32">
        <f>IF(OR($C206="",$H206="",$J206=""),0,IF(ROUND(($H206-$J206)*1440,0)&gt;設定!$C$28,ROUND(($H206-$J206)*1440,0),0))</f>
        <v/>
      </c>
      <c r="P206" s="33">
        <f>IF($L206="",0,IF(($L206-IFERROR(INDEX(設定!$G$5:$G$20,MATCH($F206,設定!$B$5:$B$20,0)),0))*60&gt;=設定!$C$26,ROUND(FLOOR(($L206-IFERROR(INDEX(設定!$G$5:$G$20,MATCH($F206,設定!$B$5:$B$20,0)),0))*60,設定!$C$27)/60,2),0))</f>
        <v/>
      </c>
      <c r="Q206" s="29">
        <f>IF(OR($C206="",$P206=0),"",IF($F206="國","國定假日",IF($B206="日","例假",IF($B206="六","休息日","平日"))))</f>
        <v/>
      </c>
      <c r="R206" s="34" t="n"/>
    </row>
    <row r="207">
      <c r="A207" s="30">
        <f>IF(OR(班表!$A12="",19&gt;DAY(EOMONTH(DATE(班表!$E$2,班表!$G$2,1),0))),"",DATE(班表!$E$2,班表!$G$2,19))</f>
        <v/>
      </c>
      <c r="B207" s="29">
        <f>IF($A207="","",INDEX(設定!$L$5:$L$11,WEEKDAY($A207,1)))</f>
        <v/>
      </c>
      <c r="C207" s="29">
        <f>IF($A207="","",班表!$A12)</f>
        <v/>
      </c>
      <c r="D207" s="29">
        <f>IF($C207="","",班表!$B12)</f>
        <v/>
      </c>
      <c r="E207" s="29">
        <f>IF($C207="","",班表!$C12)</f>
        <v/>
      </c>
      <c r="F207" s="29">
        <f>IF($C207="","",班表!V12)</f>
        <v/>
      </c>
      <c r="G207" s="31">
        <f>IF($F207="","",IFERROR(INDEX(設定!$D$5:$D$20,MATCH($F207,設定!$B$5:$B$20,0)),""))</f>
        <v/>
      </c>
      <c r="H207" s="31">
        <f>IF($F207="","",IFERROR(INDEX(設定!$E$5:$E$20,MATCH($F207,設定!$B$5:$B$20,0)),""))</f>
        <v/>
      </c>
      <c r="I207" s="31">
        <f>IFERROR(INDEX(打卡匯入!$C$3:$C$1002,MATCH($C207&amp;"|"&amp;DAY($A207),打卡匯入!$E$3:$E$1002,0)),"")</f>
        <v/>
      </c>
      <c r="J207" s="31">
        <f>IFERROR(INDEX(打卡匯入!$D$3:$D$1002,MATCH($C207&amp;"|"&amp;DAY($A207),打卡匯入!$E$3:$E$1002,0)),"")</f>
        <v/>
      </c>
      <c r="K207" s="32">
        <f>IF(OR($I207="",$J207=""),"",IFERROR(INDEX(設定!$F$5:$F$20,MATCH($F207,設定!$B$5:$B$20,0)),0))</f>
        <v/>
      </c>
      <c r="L207" s="33">
        <f>IF(OR($I207="",$J207=""),"",ROUND(($J207-$I207)*24-$K207/60,2))</f>
        <v/>
      </c>
      <c r="M207" s="29">
        <f>IF($C207="","",IF(AND(COUNTIF(設定!$B$14:$B$20,$F207)&gt;0,$I207&lt;&gt;""),"假日出勤",IF(AND(COUNTIF(設定!$B$5:$B$13,$F207)&gt;0,$I207=""),"未打卡",IF($I207="","",IF($N207&gt;0,"遲到",IF($O207&gt;0,"早退","正常"))))))</f>
        <v/>
      </c>
      <c r="N207" s="32">
        <f>IF(OR($C207="",$G207="",$I207=""),0,IF(ROUND(($I207-$G207)*1440,0)&gt;設定!$C$28,ROUND(($I207-$G207)*1440,0),0))</f>
        <v/>
      </c>
      <c r="O207" s="32">
        <f>IF(OR($C207="",$H207="",$J207=""),0,IF(ROUND(($H207-$J207)*1440,0)&gt;設定!$C$28,ROUND(($H207-$J207)*1440,0),0))</f>
        <v/>
      </c>
      <c r="P207" s="33">
        <f>IF($L207="",0,IF(($L207-IFERROR(INDEX(設定!$G$5:$G$20,MATCH($F207,設定!$B$5:$B$20,0)),0))*60&gt;=設定!$C$26,ROUND(FLOOR(($L207-IFERROR(INDEX(設定!$G$5:$G$20,MATCH($F207,設定!$B$5:$B$20,0)),0))*60,設定!$C$27)/60,2),0))</f>
        <v/>
      </c>
      <c r="Q207" s="29">
        <f>IF(OR($C207="",$P207=0),"",IF($F207="國","國定假日",IF($B207="日","例假",IF($B207="六","休息日","平日"))))</f>
        <v/>
      </c>
      <c r="R207" s="34" t="n"/>
    </row>
    <row r="208">
      <c r="A208" s="30">
        <f>IF(OR(班表!$A12="",20&gt;DAY(EOMONTH(DATE(班表!$E$2,班表!$G$2,1),0))),"",DATE(班表!$E$2,班表!$G$2,20))</f>
        <v/>
      </c>
      <c r="B208" s="29">
        <f>IF($A208="","",INDEX(設定!$L$5:$L$11,WEEKDAY($A208,1)))</f>
        <v/>
      </c>
      <c r="C208" s="29">
        <f>IF($A208="","",班表!$A12)</f>
        <v/>
      </c>
      <c r="D208" s="29">
        <f>IF($C208="","",班表!$B12)</f>
        <v/>
      </c>
      <c r="E208" s="29">
        <f>IF($C208="","",班表!$C12)</f>
        <v/>
      </c>
      <c r="F208" s="29">
        <f>IF($C208="","",班表!W12)</f>
        <v/>
      </c>
      <c r="G208" s="31">
        <f>IF($F208="","",IFERROR(INDEX(設定!$D$5:$D$20,MATCH($F208,設定!$B$5:$B$20,0)),""))</f>
        <v/>
      </c>
      <c r="H208" s="31">
        <f>IF($F208="","",IFERROR(INDEX(設定!$E$5:$E$20,MATCH($F208,設定!$B$5:$B$20,0)),""))</f>
        <v/>
      </c>
      <c r="I208" s="31">
        <f>IFERROR(INDEX(打卡匯入!$C$3:$C$1002,MATCH($C208&amp;"|"&amp;DAY($A208),打卡匯入!$E$3:$E$1002,0)),"")</f>
        <v/>
      </c>
      <c r="J208" s="31">
        <f>IFERROR(INDEX(打卡匯入!$D$3:$D$1002,MATCH($C208&amp;"|"&amp;DAY($A208),打卡匯入!$E$3:$E$1002,0)),"")</f>
        <v/>
      </c>
      <c r="K208" s="32">
        <f>IF(OR($I208="",$J208=""),"",IFERROR(INDEX(設定!$F$5:$F$20,MATCH($F208,設定!$B$5:$B$20,0)),0))</f>
        <v/>
      </c>
      <c r="L208" s="33">
        <f>IF(OR($I208="",$J208=""),"",ROUND(($J208-$I208)*24-$K208/60,2))</f>
        <v/>
      </c>
      <c r="M208" s="29">
        <f>IF($C208="","",IF(AND(COUNTIF(設定!$B$14:$B$20,$F208)&gt;0,$I208&lt;&gt;""),"假日出勤",IF(AND(COUNTIF(設定!$B$5:$B$13,$F208)&gt;0,$I208=""),"未打卡",IF($I208="","",IF($N208&gt;0,"遲到",IF($O208&gt;0,"早退","正常"))))))</f>
        <v/>
      </c>
      <c r="N208" s="32">
        <f>IF(OR($C208="",$G208="",$I208=""),0,IF(ROUND(($I208-$G208)*1440,0)&gt;設定!$C$28,ROUND(($I208-$G208)*1440,0),0))</f>
        <v/>
      </c>
      <c r="O208" s="32">
        <f>IF(OR($C208="",$H208="",$J208=""),0,IF(ROUND(($H208-$J208)*1440,0)&gt;設定!$C$28,ROUND(($H208-$J208)*1440,0),0))</f>
        <v/>
      </c>
      <c r="P208" s="33">
        <f>IF($L208="",0,IF(($L208-IFERROR(INDEX(設定!$G$5:$G$20,MATCH($F208,設定!$B$5:$B$20,0)),0))*60&gt;=設定!$C$26,ROUND(FLOOR(($L208-IFERROR(INDEX(設定!$G$5:$G$20,MATCH($F208,設定!$B$5:$B$20,0)),0))*60,設定!$C$27)/60,2),0))</f>
        <v/>
      </c>
      <c r="Q208" s="29">
        <f>IF(OR($C208="",$P208=0),"",IF($F208="國","國定假日",IF($B208="日","例假",IF($B208="六","休息日","平日"))))</f>
        <v/>
      </c>
      <c r="R208" s="34" t="n"/>
    </row>
    <row r="209">
      <c r="A209" s="30">
        <f>IF(OR(班表!$A12="",21&gt;DAY(EOMONTH(DATE(班表!$E$2,班表!$G$2,1),0))),"",DATE(班表!$E$2,班表!$G$2,21))</f>
        <v/>
      </c>
      <c r="B209" s="29">
        <f>IF($A209="","",INDEX(設定!$L$5:$L$11,WEEKDAY($A209,1)))</f>
        <v/>
      </c>
      <c r="C209" s="29">
        <f>IF($A209="","",班表!$A12)</f>
        <v/>
      </c>
      <c r="D209" s="29">
        <f>IF($C209="","",班表!$B12)</f>
        <v/>
      </c>
      <c r="E209" s="29">
        <f>IF($C209="","",班表!$C12)</f>
        <v/>
      </c>
      <c r="F209" s="29">
        <f>IF($C209="","",班表!X12)</f>
        <v/>
      </c>
      <c r="G209" s="31">
        <f>IF($F209="","",IFERROR(INDEX(設定!$D$5:$D$20,MATCH($F209,設定!$B$5:$B$20,0)),""))</f>
        <v/>
      </c>
      <c r="H209" s="31">
        <f>IF($F209="","",IFERROR(INDEX(設定!$E$5:$E$20,MATCH($F209,設定!$B$5:$B$20,0)),""))</f>
        <v/>
      </c>
      <c r="I209" s="31">
        <f>IFERROR(INDEX(打卡匯入!$C$3:$C$1002,MATCH($C209&amp;"|"&amp;DAY($A209),打卡匯入!$E$3:$E$1002,0)),"")</f>
        <v/>
      </c>
      <c r="J209" s="31">
        <f>IFERROR(INDEX(打卡匯入!$D$3:$D$1002,MATCH($C209&amp;"|"&amp;DAY($A209),打卡匯入!$E$3:$E$1002,0)),"")</f>
        <v/>
      </c>
      <c r="K209" s="32">
        <f>IF(OR($I209="",$J209=""),"",IFERROR(INDEX(設定!$F$5:$F$20,MATCH($F209,設定!$B$5:$B$20,0)),0))</f>
        <v/>
      </c>
      <c r="L209" s="33">
        <f>IF(OR($I209="",$J209=""),"",ROUND(($J209-$I209)*24-$K209/60,2))</f>
        <v/>
      </c>
      <c r="M209" s="29">
        <f>IF($C209="","",IF(AND(COUNTIF(設定!$B$14:$B$20,$F209)&gt;0,$I209&lt;&gt;""),"假日出勤",IF(AND(COUNTIF(設定!$B$5:$B$13,$F209)&gt;0,$I209=""),"未打卡",IF($I209="","",IF($N209&gt;0,"遲到",IF($O209&gt;0,"早退","正常"))))))</f>
        <v/>
      </c>
      <c r="N209" s="32">
        <f>IF(OR($C209="",$G209="",$I209=""),0,IF(ROUND(($I209-$G209)*1440,0)&gt;設定!$C$28,ROUND(($I209-$G209)*1440,0),0))</f>
        <v/>
      </c>
      <c r="O209" s="32">
        <f>IF(OR($C209="",$H209="",$J209=""),0,IF(ROUND(($H209-$J209)*1440,0)&gt;設定!$C$28,ROUND(($H209-$J209)*1440,0),0))</f>
        <v/>
      </c>
      <c r="P209" s="33">
        <f>IF($L209="",0,IF(($L209-IFERROR(INDEX(設定!$G$5:$G$20,MATCH($F209,設定!$B$5:$B$20,0)),0))*60&gt;=設定!$C$26,ROUND(FLOOR(($L209-IFERROR(INDEX(設定!$G$5:$G$20,MATCH($F209,設定!$B$5:$B$20,0)),0))*60,設定!$C$27)/60,2),0))</f>
        <v/>
      </c>
      <c r="Q209" s="29">
        <f>IF(OR($C209="",$P209=0),"",IF($F209="國","國定假日",IF($B209="日","例假",IF($B209="六","休息日","平日"))))</f>
        <v/>
      </c>
      <c r="R209" s="34" t="n"/>
    </row>
    <row r="210">
      <c r="A210" s="30">
        <f>IF(OR(班表!$A12="",22&gt;DAY(EOMONTH(DATE(班表!$E$2,班表!$G$2,1),0))),"",DATE(班表!$E$2,班表!$G$2,22))</f>
        <v/>
      </c>
      <c r="B210" s="29">
        <f>IF($A210="","",INDEX(設定!$L$5:$L$11,WEEKDAY($A210,1)))</f>
        <v/>
      </c>
      <c r="C210" s="29">
        <f>IF($A210="","",班表!$A12)</f>
        <v/>
      </c>
      <c r="D210" s="29">
        <f>IF($C210="","",班表!$B12)</f>
        <v/>
      </c>
      <c r="E210" s="29">
        <f>IF($C210="","",班表!$C12)</f>
        <v/>
      </c>
      <c r="F210" s="29">
        <f>IF($C210="","",班表!Y12)</f>
        <v/>
      </c>
      <c r="G210" s="31">
        <f>IF($F210="","",IFERROR(INDEX(設定!$D$5:$D$20,MATCH($F210,設定!$B$5:$B$20,0)),""))</f>
        <v/>
      </c>
      <c r="H210" s="31">
        <f>IF($F210="","",IFERROR(INDEX(設定!$E$5:$E$20,MATCH($F210,設定!$B$5:$B$20,0)),""))</f>
        <v/>
      </c>
      <c r="I210" s="31">
        <f>IFERROR(INDEX(打卡匯入!$C$3:$C$1002,MATCH($C210&amp;"|"&amp;DAY($A210),打卡匯入!$E$3:$E$1002,0)),"")</f>
        <v/>
      </c>
      <c r="J210" s="31">
        <f>IFERROR(INDEX(打卡匯入!$D$3:$D$1002,MATCH($C210&amp;"|"&amp;DAY($A210),打卡匯入!$E$3:$E$1002,0)),"")</f>
        <v/>
      </c>
      <c r="K210" s="32">
        <f>IF(OR($I210="",$J210=""),"",IFERROR(INDEX(設定!$F$5:$F$20,MATCH($F210,設定!$B$5:$B$20,0)),0))</f>
        <v/>
      </c>
      <c r="L210" s="33">
        <f>IF(OR($I210="",$J210=""),"",ROUND(($J210-$I210)*24-$K210/60,2))</f>
        <v/>
      </c>
      <c r="M210" s="29">
        <f>IF($C210="","",IF(AND(COUNTIF(設定!$B$14:$B$20,$F210)&gt;0,$I210&lt;&gt;""),"假日出勤",IF(AND(COUNTIF(設定!$B$5:$B$13,$F210)&gt;0,$I210=""),"未打卡",IF($I210="","",IF($N210&gt;0,"遲到",IF($O210&gt;0,"早退","正常"))))))</f>
        <v/>
      </c>
      <c r="N210" s="32">
        <f>IF(OR($C210="",$G210="",$I210=""),0,IF(ROUND(($I210-$G210)*1440,0)&gt;設定!$C$28,ROUND(($I210-$G210)*1440,0),0))</f>
        <v/>
      </c>
      <c r="O210" s="32">
        <f>IF(OR($C210="",$H210="",$J210=""),0,IF(ROUND(($H210-$J210)*1440,0)&gt;設定!$C$28,ROUND(($H210-$J210)*1440,0),0))</f>
        <v/>
      </c>
      <c r="P210" s="33">
        <f>IF($L210="",0,IF(($L210-IFERROR(INDEX(設定!$G$5:$G$20,MATCH($F210,設定!$B$5:$B$20,0)),0))*60&gt;=設定!$C$26,ROUND(FLOOR(($L210-IFERROR(INDEX(設定!$G$5:$G$20,MATCH($F210,設定!$B$5:$B$20,0)),0))*60,設定!$C$27)/60,2),0))</f>
        <v/>
      </c>
      <c r="Q210" s="29">
        <f>IF(OR($C210="",$P210=0),"",IF($F210="國","國定假日",IF($B210="日","例假",IF($B210="六","休息日","平日"))))</f>
        <v/>
      </c>
      <c r="R210" s="34" t="n"/>
    </row>
    <row r="211">
      <c r="A211" s="30">
        <f>IF(OR(班表!$A12="",23&gt;DAY(EOMONTH(DATE(班表!$E$2,班表!$G$2,1),0))),"",DATE(班表!$E$2,班表!$G$2,23))</f>
        <v/>
      </c>
      <c r="B211" s="29">
        <f>IF($A211="","",INDEX(設定!$L$5:$L$11,WEEKDAY($A211,1)))</f>
        <v/>
      </c>
      <c r="C211" s="29">
        <f>IF($A211="","",班表!$A12)</f>
        <v/>
      </c>
      <c r="D211" s="29">
        <f>IF($C211="","",班表!$B12)</f>
        <v/>
      </c>
      <c r="E211" s="29">
        <f>IF($C211="","",班表!$C12)</f>
        <v/>
      </c>
      <c r="F211" s="29">
        <f>IF($C211="","",班表!Z12)</f>
        <v/>
      </c>
      <c r="G211" s="31">
        <f>IF($F211="","",IFERROR(INDEX(設定!$D$5:$D$20,MATCH($F211,設定!$B$5:$B$20,0)),""))</f>
        <v/>
      </c>
      <c r="H211" s="31">
        <f>IF($F211="","",IFERROR(INDEX(設定!$E$5:$E$20,MATCH($F211,設定!$B$5:$B$20,0)),""))</f>
        <v/>
      </c>
      <c r="I211" s="31">
        <f>IFERROR(INDEX(打卡匯入!$C$3:$C$1002,MATCH($C211&amp;"|"&amp;DAY($A211),打卡匯入!$E$3:$E$1002,0)),"")</f>
        <v/>
      </c>
      <c r="J211" s="31">
        <f>IFERROR(INDEX(打卡匯入!$D$3:$D$1002,MATCH($C211&amp;"|"&amp;DAY($A211),打卡匯入!$E$3:$E$1002,0)),"")</f>
        <v/>
      </c>
      <c r="K211" s="32">
        <f>IF(OR($I211="",$J211=""),"",IFERROR(INDEX(設定!$F$5:$F$20,MATCH($F211,設定!$B$5:$B$20,0)),0))</f>
        <v/>
      </c>
      <c r="L211" s="33">
        <f>IF(OR($I211="",$J211=""),"",ROUND(($J211-$I211)*24-$K211/60,2))</f>
        <v/>
      </c>
      <c r="M211" s="29">
        <f>IF($C211="","",IF(AND(COUNTIF(設定!$B$14:$B$20,$F211)&gt;0,$I211&lt;&gt;""),"假日出勤",IF(AND(COUNTIF(設定!$B$5:$B$13,$F211)&gt;0,$I211=""),"未打卡",IF($I211="","",IF($N211&gt;0,"遲到",IF($O211&gt;0,"早退","正常"))))))</f>
        <v/>
      </c>
      <c r="N211" s="32">
        <f>IF(OR($C211="",$G211="",$I211=""),0,IF(ROUND(($I211-$G211)*1440,0)&gt;設定!$C$28,ROUND(($I211-$G211)*1440,0),0))</f>
        <v/>
      </c>
      <c r="O211" s="32">
        <f>IF(OR($C211="",$H211="",$J211=""),0,IF(ROUND(($H211-$J211)*1440,0)&gt;設定!$C$28,ROUND(($H211-$J211)*1440,0),0))</f>
        <v/>
      </c>
      <c r="P211" s="33">
        <f>IF($L211="",0,IF(($L211-IFERROR(INDEX(設定!$G$5:$G$20,MATCH($F211,設定!$B$5:$B$20,0)),0))*60&gt;=設定!$C$26,ROUND(FLOOR(($L211-IFERROR(INDEX(設定!$G$5:$G$20,MATCH($F211,設定!$B$5:$B$20,0)),0))*60,設定!$C$27)/60,2),0))</f>
        <v/>
      </c>
      <c r="Q211" s="29">
        <f>IF(OR($C211="",$P211=0),"",IF($F211="國","國定假日",IF($B211="日","例假",IF($B211="六","休息日","平日"))))</f>
        <v/>
      </c>
      <c r="R211" s="34" t="n"/>
    </row>
    <row r="212">
      <c r="A212" s="30">
        <f>IF(OR(班表!$A12="",24&gt;DAY(EOMONTH(DATE(班表!$E$2,班表!$G$2,1),0))),"",DATE(班表!$E$2,班表!$G$2,24))</f>
        <v/>
      </c>
      <c r="B212" s="29">
        <f>IF($A212="","",INDEX(設定!$L$5:$L$11,WEEKDAY($A212,1)))</f>
        <v/>
      </c>
      <c r="C212" s="29">
        <f>IF($A212="","",班表!$A12)</f>
        <v/>
      </c>
      <c r="D212" s="29">
        <f>IF($C212="","",班表!$B12)</f>
        <v/>
      </c>
      <c r="E212" s="29">
        <f>IF($C212="","",班表!$C12)</f>
        <v/>
      </c>
      <c r="F212" s="29">
        <f>IF($C212="","",班表!AA12)</f>
        <v/>
      </c>
      <c r="G212" s="31">
        <f>IF($F212="","",IFERROR(INDEX(設定!$D$5:$D$20,MATCH($F212,設定!$B$5:$B$20,0)),""))</f>
        <v/>
      </c>
      <c r="H212" s="31">
        <f>IF($F212="","",IFERROR(INDEX(設定!$E$5:$E$20,MATCH($F212,設定!$B$5:$B$20,0)),""))</f>
        <v/>
      </c>
      <c r="I212" s="31">
        <f>IFERROR(INDEX(打卡匯入!$C$3:$C$1002,MATCH($C212&amp;"|"&amp;DAY($A212),打卡匯入!$E$3:$E$1002,0)),"")</f>
        <v/>
      </c>
      <c r="J212" s="31">
        <f>IFERROR(INDEX(打卡匯入!$D$3:$D$1002,MATCH($C212&amp;"|"&amp;DAY($A212),打卡匯入!$E$3:$E$1002,0)),"")</f>
        <v/>
      </c>
      <c r="K212" s="32">
        <f>IF(OR($I212="",$J212=""),"",IFERROR(INDEX(設定!$F$5:$F$20,MATCH($F212,設定!$B$5:$B$20,0)),0))</f>
        <v/>
      </c>
      <c r="L212" s="33">
        <f>IF(OR($I212="",$J212=""),"",ROUND(($J212-$I212)*24-$K212/60,2))</f>
        <v/>
      </c>
      <c r="M212" s="29">
        <f>IF($C212="","",IF(AND(COUNTIF(設定!$B$14:$B$20,$F212)&gt;0,$I212&lt;&gt;""),"假日出勤",IF(AND(COUNTIF(設定!$B$5:$B$13,$F212)&gt;0,$I212=""),"未打卡",IF($I212="","",IF($N212&gt;0,"遲到",IF($O212&gt;0,"早退","正常"))))))</f>
        <v/>
      </c>
      <c r="N212" s="32">
        <f>IF(OR($C212="",$G212="",$I212=""),0,IF(ROUND(($I212-$G212)*1440,0)&gt;設定!$C$28,ROUND(($I212-$G212)*1440,0),0))</f>
        <v/>
      </c>
      <c r="O212" s="32">
        <f>IF(OR($C212="",$H212="",$J212=""),0,IF(ROUND(($H212-$J212)*1440,0)&gt;設定!$C$28,ROUND(($H212-$J212)*1440,0),0))</f>
        <v/>
      </c>
      <c r="P212" s="33">
        <f>IF($L212="",0,IF(($L212-IFERROR(INDEX(設定!$G$5:$G$20,MATCH($F212,設定!$B$5:$B$20,0)),0))*60&gt;=設定!$C$26,ROUND(FLOOR(($L212-IFERROR(INDEX(設定!$G$5:$G$20,MATCH($F212,設定!$B$5:$B$20,0)),0))*60,設定!$C$27)/60,2),0))</f>
        <v/>
      </c>
      <c r="Q212" s="29">
        <f>IF(OR($C212="",$P212=0),"",IF($F212="國","國定假日",IF($B212="日","例假",IF($B212="六","休息日","平日"))))</f>
        <v/>
      </c>
      <c r="R212" s="34" t="n"/>
    </row>
    <row r="213">
      <c r="A213" s="30">
        <f>IF(OR(班表!$A12="",25&gt;DAY(EOMONTH(DATE(班表!$E$2,班表!$G$2,1),0))),"",DATE(班表!$E$2,班表!$G$2,25))</f>
        <v/>
      </c>
      <c r="B213" s="29">
        <f>IF($A213="","",INDEX(設定!$L$5:$L$11,WEEKDAY($A213,1)))</f>
        <v/>
      </c>
      <c r="C213" s="29">
        <f>IF($A213="","",班表!$A12)</f>
        <v/>
      </c>
      <c r="D213" s="29">
        <f>IF($C213="","",班表!$B12)</f>
        <v/>
      </c>
      <c r="E213" s="29">
        <f>IF($C213="","",班表!$C12)</f>
        <v/>
      </c>
      <c r="F213" s="29">
        <f>IF($C213="","",班表!AB12)</f>
        <v/>
      </c>
      <c r="G213" s="31">
        <f>IF($F213="","",IFERROR(INDEX(設定!$D$5:$D$20,MATCH($F213,設定!$B$5:$B$20,0)),""))</f>
        <v/>
      </c>
      <c r="H213" s="31">
        <f>IF($F213="","",IFERROR(INDEX(設定!$E$5:$E$20,MATCH($F213,設定!$B$5:$B$20,0)),""))</f>
        <v/>
      </c>
      <c r="I213" s="31">
        <f>IFERROR(INDEX(打卡匯入!$C$3:$C$1002,MATCH($C213&amp;"|"&amp;DAY($A213),打卡匯入!$E$3:$E$1002,0)),"")</f>
        <v/>
      </c>
      <c r="J213" s="31">
        <f>IFERROR(INDEX(打卡匯入!$D$3:$D$1002,MATCH($C213&amp;"|"&amp;DAY($A213),打卡匯入!$E$3:$E$1002,0)),"")</f>
        <v/>
      </c>
      <c r="K213" s="32">
        <f>IF(OR($I213="",$J213=""),"",IFERROR(INDEX(設定!$F$5:$F$20,MATCH($F213,設定!$B$5:$B$20,0)),0))</f>
        <v/>
      </c>
      <c r="L213" s="33">
        <f>IF(OR($I213="",$J213=""),"",ROUND(($J213-$I213)*24-$K213/60,2))</f>
        <v/>
      </c>
      <c r="M213" s="29">
        <f>IF($C213="","",IF(AND(COUNTIF(設定!$B$14:$B$20,$F213)&gt;0,$I213&lt;&gt;""),"假日出勤",IF(AND(COUNTIF(設定!$B$5:$B$13,$F213)&gt;0,$I213=""),"未打卡",IF($I213="","",IF($N213&gt;0,"遲到",IF($O213&gt;0,"早退","正常"))))))</f>
        <v/>
      </c>
      <c r="N213" s="32">
        <f>IF(OR($C213="",$G213="",$I213=""),0,IF(ROUND(($I213-$G213)*1440,0)&gt;設定!$C$28,ROUND(($I213-$G213)*1440,0),0))</f>
        <v/>
      </c>
      <c r="O213" s="32">
        <f>IF(OR($C213="",$H213="",$J213=""),0,IF(ROUND(($H213-$J213)*1440,0)&gt;設定!$C$28,ROUND(($H213-$J213)*1440,0),0))</f>
        <v/>
      </c>
      <c r="P213" s="33">
        <f>IF($L213="",0,IF(($L213-IFERROR(INDEX(設定!$G$5:$G$20,MATCH($F213,設定!$B$5:$B$20,0)),0))*60&gt;=設定!$C$26,ROUND(FLOOR(($L213-IFERROR(INDEX(設定!$G$5:$G$20,MATCH($F213,設定!$B$5:$B$20,0)),0))*60,設定!$C$27)/60,2),0))</f>
        <v/>
      </c>
      <c r="Q213" s="29">
        <f>IF(OR($C213="",$P213=0),"",IF($F213="國","國定假日",IF($B213="日","例假",IF($B213="六","休息日","平日"))))</f>
        <v/>
      </c>
      <c r="R213" s="34" t="n"/>
    </row>
    <row r="214">
      <c r="A214" s="30">
        <f>IF(OR(班表!$A12="",26&gt;DAY(EOMONTH(DATE(班表!$E$2,班表!$G$2,1),0))),"",DATE(班表!$E$2,班表!$G$2,26))</f>
        <v/>
      </c>
      <c r="B214" s="29">
        <f>IF($A214="","",INDEX(設定!$L$5:$L$11,WEEKDAY($A214,1)))</f>
        <v/>
      </c>
      <c r="C214" s="29">
        <f>IF($A214="","",班表!$A12)</f>
        <v/>
      </c>
      <c r="D214" s="29">
        <f>IF($C214="","",班表!$B12)</f>
        <v/>
      </c>
      <c r="E214" s="29">
        <f>IF($C214="","",班表!$C12)</f>
        <v/>
      </c>
      <c r="F214" s="29">
        <f>IF($C214="","",班表!AC12)</f>
        <v/>
      </c>
      <c r="G214" s="31">
        <f>IF($F214="","",IFERROR(INDEX(設定!$D$5:$D$20,MATCH($F214,設定!$B$5:$B$20,0)),""))</f>
        <v/>
      </c>
      <c r="H214" s="31">
        <f>IF($F214="","",IFERROR(INDEX(設定!$E$5:$E$20,MATCH($F214,設定!$B$5:$B$20,0)),""))</f>
        <v/>
      </c>
      <c r="I214" s="31">
        <f>IFERROR(INDEX(打卡匯入!$C$3:$C$1002,MATCH($C214&amp;"|"&amp;DAY($A214),打卡匯入!$E$3:$E$1002,0)),"")</f>
        <v/>
      </c>
      <c r="J214" s="31">
        <f>IFERROR(INDEX(打卡匯入!$D$3:$D$1002,MATCH($C214&amp;"|"&amp;DAY($A214),打卡匯入!$E$3:$E$1002,0)),"")</f>
        <v/>
      </c>
      <c r="K214" s="32">
        <f>IF(OR($I214="",$J214=""),"",IFERROR(INDEX(設定!$F$5:$F$20,MATCH($F214,設定!$B$5:$B$20,0)),0))</f>
        <v/>
      </c>
      <c r="L214" s="33">
        <f>IF(OR($I214="",$J214=""),"",ROUND(($J214-$I214)*24-$K214/60,2))</f>
        <v/>
      </c>
      <c r="M214" s="29">
        <f>IF($C214="","",IF(AND(COUNTIF(設定!$B$14:$B$20,$F214)&gt;0,$I214&lt;&gt;""),"假日出勤",IF(AND(COUNTIF(設定!$B$5:$B$13,$F214)&gt;0,$I214=""),"未打卡",IF($I214="","",IF($N214&gt;0,"遲到",IF($O214&gt;0,"早退","正常"))))))</f>
        <v/>
      </c>
      <c r="N214" s="32">
        <f>IF(OR($C214="",$G214="",$I214=""),0,IF(ROUND(($I214-$G214)*1440,0)&gt;設定!$C$28,ROUND(($I214-$G214)*1440,0),0))</f>
        <v/>
      </c>
      <c r="O214" s="32">
        <f>IF(OR($C214="",$H214="",$J214=""),0,IF(ROUND(($H214-$J214)*1440,0)&gt;設定!$C$28,ROUND(($H214-$J214)*1440,0),0))</f>
        <v/>
      </c>
      <c r="P214" s="33">
        <f>IF($L214="",0,IF(($L214-IFERROR(INDEX(設定!$G$5:$G$20,MATCH($F214,設定!$B$5:$B$20,0)),0))*60&gt;=設定!$C$26,ROUND(FLOOR(($L214-IFERROR(INDEX(設定!$G$5:$G$20,MATCH($F214,設定!$B$5:$B$20,0)),0))*60,設定!$C$27)/60,2),0))</f>
        <v/>
      </c>
      <c r="Q214" s="29">
        <f>IF(OR($C214="",$P214=0),"",IF($F214="國","國定假日",IF($B214="日","例假",IF($B214="六","休息日","平日"))))</f>
        <v/>
      </c>
      <c r="R214" s="34" t="n"/>
    </row>
    <row r="215">
      <c r="A215" s="30">
        <f>IF(OR(班表!$A12="",27&gt;DAY(EOMONTH(DATE(班表!$E$2,班表!$G$2,1),0))),"",DATE(班表!$E$2,班表!$G$2,27))</f>
        <v/>
      </c>
      <c r="B215" s="29">
        <f>IF($A215="","",INDEX(設定!$L$5:$L$11,WEEKDAY($A215,1)))</f>
        <v/>
      </c>
      <c r="C215" s="29">
        <f>IF($A215="","",班表!$A12)</f>
        <v/>
      </c>
      <c r="D215" s="29">
        <f>IF($C215="","",班表!$B12)</f>
        <v/>
      </c>
      <c r="E215" s="29">
        <f>IF($C215="","",班表!$C12)</f>
        <v/>
      </c>
      <c r="F215" s="29">
        <f>IF($C215="","",班表!AD12)</f>
        <v/>
      </c>
      <c r="G215" s="31">
        <f>IF($F215="","",IFERROR(INDEX(設定!$D$5:$D$20,MATCH($F215,設定!$B$5:$B$20,0)),""))</f>
        <v/>
      </c>
      <c r="H215" s="31">
        <f>IF($F215="","",IFERROR(INDEX(設定!$E$5:$E$20,MATCH($F215,設定!$B$5:$B$20,0)),""))</f>
        <v/>
      </c>
      <c r="I215" s="31">
        <f>IFERROR(INDEX(打卡匯入!$C$3:$C$1002,MATCH($C215&amp;"|"&amp;DAY($A215),打卡匯入!$E$3:$E$1002,0)),"")</f>
        <v/>
      </c>
      <c r="J215" s="31">
        <f>IFERROR(INDEX(打卡匯入!$D$3:$D$1002,MATCH($C215&amp;"|"&amp;DAY($A215),打卡匯入!$E$3:$E$1002,0)),"")</f>
        <v/>
      </c>
      <c r="K215" s="32">
        <f>IF(OR($I215="",$J215=""),"",IFERROR(INDEX(設定!$F$5:$F$20,MATCH($F215,設定!$B$5:$B$20,0)),0))</f>
        <v/>
      </c>
      <c r="L215" s="33">
        <f>IF(OR($I215="",$J215=""),"",ROUND(($J215-$I215)*24-$K215/60,2))</f>
        <v/>
      </c>
      <c r="M215" s="29">
        <f>IF($C215="","",IF(AND(COUNTIF(設定!$B$14:$B$20,$F215)&gt;0,$I215&lt;&gt;""),"假日出勤",IF(AND(COUNTIF(設定!$B$5:$B$13,$F215)&gt;0,$I215=""),"未打卡",IF($I215="","",IF($N215&gt;0,"遲到",IF($O215&gt;0,"早退","正常"))))))</f>
        <v/>
      </c>
      <c r="N215" s="32">
        <f>IF(OR($C215="",$G215="",$I215=""),0,IF(ROUND(($I215-$G215)*1440,0)&gt;設定!$C$28,ROUND(($I215-$G215)*1440,0),0))</f>
        <v/>
      </c>
      <c r="O215" s="32">
        <f>IF(OR($C215="",$H215="",$J215=""),0,IF(ROUND(($H215-$J215)*1440,0)&gt;設定!$C$28,ROUND(($H215-$J215)*1440,0),0))</f>
        <v/>
      </c>
      <c r="P215" s="33">
        <f>IF($L215="",0,IF(($L215-IFERROR(INDEX(設定!$G$5:$G$20,MATCH($F215,設定!$B$5:$B$20,0)),0))*60&gt;=設定!$C$26,ROUND(FLOOR(($L215-IFERROR(INDEX(設定!$G$5:$G$20,MATCH($F215,設定!$B$5:$B$20,0)),0))*60,設定!$C$27)/60,2),0))</f>
        <v/>
      </c>
      <c r="Q215" s="29">
        <f>IF(OR($C215="",$P215=0),"",IF($F215="國","國定假日",IF($B215="日","例假",IF($B215="六","休息日","平日"))))</f>
        <v/>
      </c>
      <c r="R215" s="34" t="n"/>
    </row>
    <row r="216">
      <c r="A216" s="30">
        <f>IF(OR(班表!$A12="",28&gt;DAY(EOMONTH(DATE(班表!$E$2,班表!$G$2,1),0))),"",DATE(班表!$E$2,班表!$G$2,28))</f>
        <v/>
      </c>
      <c r="B216" s="29">
        <f>IF($A216="","",INDEX(設定!$L$5:$L$11,WEEKDAY($A216,1)))</f>
        <v/>
      </c>
      <c r="C216" s="29">
        <f>IF($A216="","",班表!$A12)</f>
        <v/>
      </c>
      <c r="D216" s="29">
        <f>IF($C216="","",班表!$B12)</f>
        <v/>
      </c>
      <c r="E216" s="29">
        <f>IF($C216="","",班表!$C12)</f>
        <v/>
      </c>
      <c r="F216" s="29">
        <f>IF($C216="","",班表!AE12)</f>
        <v/>
      </c>
      <c r="G216" s="31">
        <f>IF($F216="","",IFERROR(INDEX(設定!$D$5:$D$20,MATCH($F216,設定!$B$5:$B$20,0)),""))</f>
        <v/>
      </c>
      <c r="H216" s="31">
        <f>IF($F216="","",IFERROR(INDEX(設定!$E$5:$E$20,MATCH($F216,設定!$B$5:$B$20,0)),""))</f>
        <v/>
      </c>
      <c r="I216" s="31">
        <f>IFERROR(INDEX(打卡匯入!$C$3:$C$1002,MATCH($C216&amp;"|"&amp;DAY($A216),打卡匯入!$E$3:$E$1002,0)),"")</f>
        <v/>
      </c>
      <c r="J216" s="31">
        <f>IFERROR(INDEX(打卡匯入!$D$3:$D$1002,MATCH($C216&amp;"|"&amp;DAY($A216),打卡匯入!$E$3:$E$1002,0)),"")</f>
        <v/>
      </c>
      <c r="K216" s="32">
        <f>IF(OR($I216="",$J216=""),"",IFERROR(INDEX(設定!$F$5:$F$20,MATCH($F216,設定!$B$5:$B$20,0)),0))</f>
        <v/>
      </c>
      <c r="L216" s="33">
        <f>IF(OR($I216="",$J216=""),"",ROUND(($J216-$I216)*24-$K216/60,2))</f>
        <v/>
      </c>
      <c r="M216" s="29">
        <f>IF($C216="","",IF(AND(COUNTIF(設定!$B$14:$B$20,$F216)&gt;0,$I216&lt;&gt;""),"假日出勤",IF(AND(COUNTIF(設定!$B$5:$B$13,$F216)&gt;0,$I216=""),"未打卡",IF($I216="","",IF($N216&gt;0,"遲到",IF($O216&gt;0,"早退","正常"))))))</f>
        <v/>
      </c>
      <c r="N216" s="32">
        <f>IF(OR($C216="",$G216="",$I216=""),0,IF(ROUND(($I216-$G216)*1440,0)&gt;設定!$C$28,ROUND(($I216-$G216)*1440,0),0))</f>
        <v/>
      </c>
      <c r="O216" s="32">
        <f>IF(OR($C216="",$H216="",$J216=""),0,IF(ROUND(($H216-$J216)*1440,0)&gt;設定!$C$28,ROUND(($H216-$J216)*1440,0),0))</f>
        <v/>
      </c>
      <c r="P216" s="33">
        <f>IF($L216="",0,IF(($L216-IFERROR(INDEX(設定!$G$5:$G$20,MATCH($F216,設定!$B$5:$B$20,0)),0))*60&gt;=設定!$C$26,ROUND(FLOOR(($L216-IFERROR(INDEX(設定!$G$5:$G$20,MATCH($F216,設定!$B$5:$B$20,0)),0))*60,設定!$C$27)/60,2),0))</f>
        <v/>
      </c>
      <c r="Q216" s="29">
        <f>IF(OR($C216="",$P216=0),"",IF($F216="國","國定假日",IF($B216="日","例假",IF($B216="六","休息日","平日"))))</f>
        <v/>
      </c>
      <c r="R216" s="34" t="n"/>
    </row>
    <row r="217">
      <c r="A217" s="30">
        <f>IF(OR(班表!$A12="",29&gt;DAY(EOMONTH(DATE(班表!$E$2,班表!$G$2,1),0))),"",DATE(班表!$E$2,班表!$G$2,29))</f>
        <v/>
      </c>
      <c r="B217" s="29">
        <f>IF($A217="","",INDEX(設定!$L$5:$L$11,WEEKDAY($A217,1)))</f>
        <v/>
      </c>
      <c r="C217" s="29">
        <f>IF($A217="","",班表!$A12)</f>
        <v/>
      </c>
      <c r="D217" s="29">
        <f>IF($C217="","",班表!$B12)</f>
        <v/>
      </c>
      <c r="E217" s="29">
        <f>IF($C217="","",班表!$C12)</f>
        <v/>
      </c>
      <c r="F217" s="29">
        <f>IF($C217="","",班表!AF12)</f>
        <v/>
      </c>
      <c r="G217" s="31">
        <f>IF($F217="","",IFERROR(INDEX(設定!$D$5:$D$20,MATCH($F217,設定!$B$5:$B$20,0)),""))</f>
        <v/>
      </c>
      <c r="H217" s="31">
        <f>IF($F217="","",IFERROR(INDEX(設定!$E$5:$E$20,MATCH($F217,設定!$B$5:$B$20,0)),""))</f>
        <v/>
      </c>
      <c r="I217" s="31">
        <f>IFERROR(INDEX(打卡匯入!$C$3:$C$1002,MATCH($C217&amp;"|"&amp;DAY($A217),打卡匯入!$E$3:$E$1002,0)),"")</f>
        <v/>
      </c>
      <c r="J217" s="31">
        <f>IFERROR(INDEX(打卡匯入!$D$3:$D$1002,MATCH($C217&amp;"|"&amp;DAY($A217),打卡匯入!$E$3:$E$1002,0)),"")</f>
        <v/>
      </c>
      <c r="K217" s="32">
        <f>IF(OR($I217="",$J217=""),"",IFERROR(INDEX(設定!$F$5:$F$20,MATCH($F217,設定!$B$5:$B$20,0)),0))</f>
        <v/>
      </c>
      <c r="L217" s="33">
        <f>IF(OR($I217="",$J217=""),"",ROUND(($J217-$I217)*24-$K217/60,2))</f>
        <v/>
      </c>
      <c r="M217" s="29">
        <f>IF($C217="","",IF(AND(COUNTIF(設定!$B$14:$B$20,$F217)&gt;0,$I217&lt;&gt;""),"假日出勤",IF(AND(COUNTIF(設定!$B$5:$B$13,$F217)&gt;0,$I217=""),"未打卡",IF($I217="","",IF($N217&gt;0,"遲到",IF($O217&gt;0,"早退","正常"))))))</f>
        <v/>
      </c>
      <c r="N217" s="32">
        <f>IF(OR($C217="",$G217="",$I217=""),0,IF(ROUND(($I217-$G217)*1440,0)&gt;設定!$C$28,ROUND(($I217-$G217)*1440,0),0))</f>
        <v/>
      </c>
      <c r="O217" s="32">
        <f>IF(OR($C217="",$H217="",$J217=""),0,IF(ROUND(($H217-$J217)*1440,0)&gt;設定!$C$28,ROUND(($H217-$J217)*1440,0),0))</f>
        <v/>
      </c>
      <c r="P217" s="33">
        <f>IF($L217="",0,IF(($L217-IFERROR(INDEX(設定!$G$5:$G$20,MATCH($F217,設定!$B$5:$B$20,0)),0))*60&gt;=設定!$C$26,ROUND(FLOOR(($L217-IFERROR(INDEX(設定!$G$5:$G$20,MATCH($F217,設定!$B$5:$B$20,0)),0))*60,設定!$C$27)/60,2),0))</f>
        <v/>
      </c>
      <c r="Q217" s="29">
        <f>IF(OR($C217="",$P217=0),"",IF($F217="國","國定假日",IF($B217="日","例假",IF($B217="六","休息日","平日"))))</f>
        <v/>
      </c>
      <c r="R217" s="34" t="n"/>
    </row>
    <row r="218">
      <c r="A218" s="30">
        <f>IF(OR(班表!$A12="",30&gt;DAY(EOMONTH(DATE(班表!$E$2,班表!$G$2,1),0))),"",DATE(班表!$E$2,班表!$G$2,30))</f>
        <v/>
      </c>
      <c r="B218" s="29">
        <f>IF($A218="","",INDEX(設定!$L$5:$L$11,WEEKDAY($A218,1)))</f>
        <v/>
      </c>
      <c r="C218" s="29">
        <f>IF($A218="","",班表!$A12)</f>
        <v/>
      </c>
      <c r="D218" s="29">
        <f>IF($C218="","",班表!$B12)</f>
        <v/>
      </c>
      <c r="E218" s="29">
        <f>IF($C218="","",班表!$C12)</f>
        <v/>
      </c>
      <c r="F218" s="29">
        <f>IF($C218="","",班表!AG12)</f>
        <v/>
      </c>
      <c r="G218" s="31">
        <f>IF($F218="","",IFERROR(INDEX(設定!$D$5:$D$20,MATCH($F218,設定!$B$5:$B$20,0)),""))</f>
        <v/>
      </c>
      <c r="H218" s="31">
        <f>IF($F218="","",IFERROR(INDEX(設定!$E$5:$E$20,MATCH($F218,設定!$B$5:$B$20,0)),""))</f>
        <v/>
      </c>
      <c r="I218" s="31">
        <f>IFERROR(INDEX(打卡匯入!$C$3:$C$1002,MATCH($C218&amp;"|"&amp;DAY($A218),打卡匯入!$E$3:$E$1002,0)),"")</f>
        <v/>
      </c>
      <c r="J218" s="31">
        <f>IFERROR(INDEX(打卡匯入!$D$3:$D$1002,MATCH($C218&amp;"|"&amp;DAY($A218),打卡匯入!$E$3:$E$1002,0)),"")</f>
        <v/>
      </c>
      <c r="K218" s="32">
        <f>IF(OR($I218="",$J218=""),"",IFERROR(INDEX(設定!$F$5:$F$20,MATCH($F218,設定!$B$5:$B$20,0)),0))</f>
        <v/>
      </c>
      <c r="L218" s="33">
        <f>IF(OR($I218="",$J218=""),"",ROUND(($J218-$I218)*24-$K218/60,2))</f>
        <v/>
      </c>
      <c r="M218" s="29">
        <f>IF($C218="","",IF(AND(COUNTIF(設定!$B$14:$B$20,$F218)&gt;0,$I218&lt;&gt;""),"假日出勤",IF(AND(COUNTIF(設定!$B$5:$B$13,$F218)&gt;0,$I218=""),"未打卡",IF($I218="","",IF($N218&gt;0,"遲到",IF($O218&gt;0,"早退","正常"))))))</f>
        <v/>
      </c>
      <c r="N218" s="32">
        <f>IF(OR($C218="",$G218="",$I218=""),0,IF(ROUND(($I218-$G218)*1440,0)&gt;設定!$C$28,ROUND(($I218-$G218)*1440,0),0))</f>
        <v/>
      </c>
      <c r="O218" s="32">
        <f>IF(OR($C218="",$H218="",$J218=""),0,IF(ROUND(($H218-$J218)*1440,0)&gt;設定!$C$28,ROUND(($H218-$J218)*1440,0),0))</f>
        <v/>
      </c>
      <c r="P218" s="33">
        <f>IF($L218="",0,IF(($L218-IFERROR(INDEX(設定!$G$5:$G$20,MATCH($F218,設定!$B$5:$B$20,0)),0))*60&gt;=設定!$C$26,ROUND(FLOOR(($L218-IFERROR(INDEX(設定!$G$5:$G$20,MATCH($F218,設定!$B$5:$B$20,0)),0))*60,設定!$C$27)/60,2),0))</f>
        <v/>
      </c>
      <c r="Q218" s="29">
        <f>IF(OR($C218="",$P218=0),"",IF($F218="國","國定假日",IF($B218="日","例假",IF($B218="六","休息日","平日"))))</f>
        <v/>
      </c>
      <c r="R218" s="34" t="n"/>
    </row>
    <row r="219">
      <c r="A219" s="30">
        <f>IF(OR(班表!$A12="",31&gt;DAY(EOMONTH(DATE(班表!$E$2,班表!$G$2,1),0))),"",DATE(班表!$E$2,班表!$G$2,31))</f>
        <v/>
      </c>
      <c r="B219" s="29">
        <f>IF($A219="","",INDEX(設定!$L$5:$L$11,WEEKDAY($A219,1)))</f>
        <v/>
      </c>
      <c r="C219" s="29">
        <f>IF($A219="","",班表!$A12)</f>
        <v/>
      </c>
      <c r="D219" s="29">
        <f>IF($C219="","",班表!$B12)</f>
        <v/>
      </c>
      <c r="E219" s="29">
        <f>IF($C219="","",班表!$C12)</f>
        <v/>
      </c>
      <c r="F219" s="29">
        <f>IF($C219="","",班表!AH12)</f>
        <v/>
      </c>
      <c r="G219" s="31">
        <f>IF($F219="","",IFERROR(INDEX(設定!$D$5:$D$20,MATCH($F219,設定!$B$5:$B$20,0)),""))</f>
        <v/>
      </c>
      <c r="H219" s="31">
        <f>IF($F219="","",IFERROR(INDEX(設定!$E$5:$E$20,MATCH($F219,設定!$B$5:$B$20,0)),""))</f>
        <v/>
      </c>
      <c r="I219" s="31">
        <f>IFERROR(INDEX(打卡匯入!$C$3:$C$1002,MATCH($C219&amp;"|"&amp;DAY($A219),打卡匯入!$E$3:$E$1002,0)),"")</f>
        <v/>
      </c>
      <c r="J219" s="31">
        <f>IFERROR(INDEX(打卡匯入!$D$3:$D$1002,MATCH($C219&amp;"|"&amp;DAY($A219),打卡匯入!$E$3:$E$1002,0)),"")</f>
        <v/>
      </c>
      <c r="K219" s="32">
        <f>IF(OR($I219="",$J219=""),"",IFERROR(INDEX(設定!$F$5:$F$20,MATCH($F219,設定!$B$5:$B$20,0)),0))</f>
        <v/>
      </c>
      <c r="L219" s="33">
        <f>IF(OR($I219="",$J219=""),"",ROUND(($J219-$I219)*24-$K219/60,2))</f>
        <v/>
      </c>
      <c r="M219" s="29">
        <f>IF($C219="","",IF(AND(COUNTIF(設定!$B$14:$B$20,$F219)&gt;0,$I219&lt;&gt;""),"假日出勤",IF(AND(COUNTIF(設定!$B$5:$B$13,$F219)&gt;0,$I219=""),"未打卡",IF($I219="","",IF($N219&gt;0,"遲到",IF($O219&gt;0,"早退","正常"))))))</f>
        <v/>
      </c>
      <c r="N219" s="32">
        <f>IF(OR($C219="",$G219="",$I219=""),0,IF(ROUND(($I219-$G219)*1440,0)&gt;設定!$C$28,ROUND(($I219-$G219)*1440,0),0))</f>
        <v/>
      </c>
      <c r="O219" s="32">
        <f>IF(OR($C219="",$H219="",$J219=""),0,IF(ROUND(($H219-$J219)*1440,0)&gt;設定!$C$28,ROUND(($H219-$J219)*1440,0),0))</f>
        <v/>
      </c>
      <c r="P219" s="33">
        <f>IF($L219="",0,IF(($L219-IFERROR(INDEX(設定!$G$5:$G$20,MATCH($F219,設定!$B$5:$B$20,0)),0))*60&gt;=設定!$C$26,ROUND(FLOOR(($L219-IFERROR(INDEX(設定!$G$5:$G$20,MATCH($F219,設定!$B$5:$B$20,0)),0))*60,設定!$C$27)/60,2),0))</f>
        <v/>
      </c>
      <c r="Q219" s="29">
        <f>IF(OR($C219="",$P219=0),"",IF($F219="國","國定假日",IF($B219="日","例假",IF($B219="六","休息日","平日"))))</f>
        <v/>
      </c>
      <c r="R219" s="34" t="n"/>
    </row>
    <row r="220">
      <c r="A220" s="30">
        <f>IF(OR(班表!$A13="",1&gt;DAY(EOMONTH(DATE(班表!$E$2,班表!$G$2,1),0))),"",DATE(班表!$E$2,班表!$G$2,1))</f>
        <v/>
      </c>
      <c r="B220" s="29">
        <f>IF($A220="","",INDEX(設定!$L$5:$L$11,WEEKDAY($A220,1)))</f>
        <v/>
      </c>
      <c r="C220" s="29">
        <f>IF($A220="","",班表!$A13)</f>
        <v/>
      </c>
      <c r="D220" s="29">
        <f>IF($C220="","",班表!$B13)</f>
        <v/>
      </c>
      <c r="E220" s="29">
        <f>IF($C220="","",班表!$C13)</f>
        <v/>
      </c>
      <c r="F220" s="29">
        <f>IF($C220="","",班表!D13)</f>
        <v/>
      </c>
      <c r="G220" s="31">
        <f>IF($F220="","",IFERROR(INDEX(設定!$D$5:$D$20,MATCH($F220,設定!$B$5:$B$20,0)),""))</f>
        <v/>
      </c>
      <c r="H220" s="31">
        <f>IF($F220="","",IFERROR(INDEX(設定!$E$5:$E$20,MATCH($F220,設定!$B$5:$B$20,0)),""))</f>
        <v/>
      </c>
      <c r="I220" s="31">
        <f>IFERROR(INDEX(打卡匯入!$C$3:$C$1002,MATCH($C220&amp;"|"&amp;DAY($A220),打卡匯入!$E$3:$E$1002,0)),"")</f>
        <v/>
      </c>
      <c r="J220" s="31">
        <f>IFERROR(INDEX(打卡匯入!$D$3:$D$1002,MATCH($C220&amp;"|"&amp;DAY($A220),打卡匯入!$E$3:$E$1002,0)),"")</f>
        <v/>
      </c>
      <c r="K220" s="32">
        <f>IF(OR($I220="",$J220=""),"",IFERROR(INDEX(設定!$F$5:$F$20,MATCH($F220,設定!$B$5:$B$20,0)),0))</f>
        <v/>
      </c>
      <c r="L220" s="33">
        <f>IF(OR($I220="",$J220=""),"",ROUND(($J220-$I220)*24-$K220/60,2))</f>
        <v/>
      </c>
      <c r="M220" s="29">
        <f>IF($C220="","",IF(AND(COUNTIF(設定!$B$14:$B$20,$F220)&gt;0,$I220&lt;&gt;""),"假日出勤",IF(AND(COUNTIF(設定!$B$5:$B$13,$F220)&gt;0,$I220=""),"未打卡",IF($I220="","",IF($N220&gt;0,"遲到",IF($O220&gt;0,"早退","正常"))))))</f>
        <v/>
      </c>
      <c r="N220" s="32">
        <f>IF(OR($C220="",$G220="",$I220=""),0,IF(ROUND(($I220-$G220)*1440,0)&gt;設定!$C$28,ROUND(($I220-$G220)*1440,0),0))</f>
        <v/>
      </c>
      <c r="O220" s="32">
        <f>IF(OR($C220="",$H220="",$J220=""),0,IF(ROUND(($H220-$J220)*1440,0)&gt;設定!$C$28,ROUND(($H220-$J220)*1440,0),0))</f>
        <v/>
      </c>
      <c r="P220" s="33">
        <f>IF($L220="",0,IF(($L220-IFERROR(INDEX(設定!$G$5:$G$20,MATCH($F220,設定!$B$5:$B$20,0)),0))*60&gt;=設定!$C$26,ROUND(FLOOR(($L220-IFERROR(INDEX(設定!$G$5:$G$20,MATCH($F220,設定!$B$5:$B$20,0)),0))*60,設定!$C$27)/60,2),0))</f>
        <v/>
      </c>
      <c r="Q220" s="29">
        <f>IF(OR($C220="",$P220=0),"",IF($F220="國","國定假日",IF($B220="日","例假",IF($B220="六","休息日","平日"))))</f>
        <v/>
      </c>
      <c r="R220" s="34" t="n"/>
    </row>
    <row r="221">
      <c r="A221" s="30">
        <f>IF(OR(班表!$A13="",2&gt;DAY(EOMONTH(DATE(班表!$E$2,班表!$G$2,1),0))),"",DATE(班表!$E$2,班表!$G$2,2))</f>
        <v/>
      </c>
      <c r="B221" s="29">
        <f>IF($A221="","",INDEX(設定!$L$5:$L$11,WEEKDAY($A221,1)))</f>
        <v/>
      </c>
      <c r="C221" s="29">
        <f>IF($A221="","",班表!$A13)</f>
        <v/>
      </c>
      <c r="D221" s="29">
        <f>IF($C221="","",班表!$B13)</f>
        <v/>
      </c>
      <c r="E221" s="29">
        <f>IF($C221="","",班表!$C13)</f>
        <v/>
      </c>
      <c r="F221" s="29">
        <f>IF($C221="","",班表!E13)</f>
        <v/>
      </c>
      <c r="G221" s="31">
        <f>IF($F221="","",IFERROR(INDEX(設定!$D$5:$D$20,MATCH($F221,設定!$B$5:$B$20,0)),""))</f>
        <v/>
      </c>
      <c r="H221" s="31">
        <f>IF($F221="","",IFERROR(INDEX(設定!$E$5:$E$20,MATCH($F221,設定!$B$5:$B$20,0)),""))</f>
        <v/>
      </c>
      <c r="I221" s="31">
        <f>IFERROR(INDEX(打卡匯入!$C$3:$C$1002,MATCH($C221&amp;"|"&amp;DAY($A221),打卡匯入!$E$3:$E$1002,0)),"")</f>
        <v/>
      </c>
      <c r="J221" s="31">
        <f>IFERROR(INDEX(打卡匯入!$D$3:$D$1002,MATCH($C221&amp;"|"&amp;DAY($A221),打卡匯入!$E$3:$E$1002,0)),"")</f>
        <v/>
      </c>
      <c r="K221" s="32">
        <f>IF(OR($I221="",$J221=""),"",IFERROR(INDEX(設定!$F$5:$F$20,MATCH($F221,設定!$B$5:$B$20,0)),0))</f>
        <v/>
      </c>
      <c r="L221" s="33">
        <f>IF(OR($I221="",$J221=""),"",ROUND(($J221-$I221)*24-$K221/60,2))</f>
        <v/>
      </c>
      <c r="M221" s="29">
        <f>IF($C221="","",IF(AND(COUNTIF(設定!$B$14:$B$20,$F221)&gt;0,$I221&lt;&gt;""),"假日出勤",IF(AND(COUNTIF(設定!$B$5:$B$13,$F221)&gt;0,$I221=""),"未打卡",IF($I221="","",IF($N221&gt;0,"遲到",IF($O221&gt;0,"早退","正常"))))))</f>
        <v/>
      </c>
      <c r="N221" s="32">
        <f>IF(OR($C221="",$G221="",$I221=""),0,IF(ROUND(($I221-$G221)*1440,0)&gt;設定!$C$28,ROUND(($I221-$G221)*1440,0),0))</f>
        <v/>
      </c>
      <c r="O221" s="32">
        <f>IF(OR($C221="",$H221="",$J221=""),0,IF(ROUND(($H221-$J221)*1440,0)&gt;設定!$C$28,ROUND(($H221-$J221)*1440,0),0))</f>
        <v/>
      </c>
      <c r="P221" s="33">
        <f>IF($L221="",0,IF(($L221-IFERROR(INDEX(設定!$G$5:$G$20,MATCH($F221,設定!$B$5:$B$20,0)),0))*60&gt;=設定!$C$26,ROUND(FLOOR(($L221-IFERROR(INDEX(設定!$G$5:$G$20,MATCH($F221,設定!$B$5:$B$20,0)),0))*60,設定!$C$27)/60,2),0))</f>
        <v/>
      </c>
      <c r="Q221" s="29">
        <f>IF(OR($C221="",$P221=0),"",IF($F221="國","國定假日",IF($B221="日","例假",IF($B221="六","休息日","平日"))))</f>
        <v/>
      </c>
      <c r="R221" s="34" t="n"/>
    </row>
    <row r="222">
      <c r="A222" s="30">
        <f>IF(OR(班表!$A13="",3&gt;DAY(EOMONTH(DATE(班表!$E$2,班表!$G$2,1),0))),"",DATE(班表!$E$2,班表!$G$2,3))</f>
        <v/>
      </c>
      <c r="B222" s="29">
        <f>IF($A222="","",INDEX(設定!$L$5:$L$11,WEEKDAY($A222,1)))</f>
        <v/>
      </c>
      <c r="C222" s="29">
        <f>IF($A222="","",班表!$A13)</f>
        <v/>
      </c>
      <c r="D222" s="29">
        <f>IF($C222="","",班表!$B13)</f>
        <v/>
      </c>
      <c r="E222" s="29">
        <f>IF($C222="","",班表!$C13)</f>
        <v/>
      </c>
      <c r="F222" s="29">
        <f>IF($C222="","",班表!F13)</f>
        <v/>
      </c>
      <c r="G222" s="31">
        <f>IF($F222="","",IFERROR(INDEX(設定!$D$5:$D$20,MATCH($F222,設定!$B$5:$B$20,0)),""))</f>
        <v/>
      </c>
      <c r="H222" s="31">
        <f>IF($F222="","",IFERROR(INDEX(設定!$E$5:$E$20,MATCH($F222,設定!$B$5:$B$20,0)),""))</f>
        <v/>
      </c>
      <c r="I222" s="31">
        <f>IFERROR(INDEX(打卡匯入!$C$3:$C$1002,MATCH($C222&amp;"|"&amp;DAY($A222),打卡匯入!$E$3:$E$1002,0)),"")</f>
        <v/>
      </c>
      <c r="J222" s="31">
        <f>IFERROR(INDEX(打卡匯入!$D$3:$D$1002,MATCH($C222&amp;"|"&amp;DAY($A222),打卡匯入!$E$3:$E$1002,0)),"")</f>
        <v/>
      </c>
      <c r="K222" s="32">
        <f>IF(OR($I222="",$J222=""),"",IFERROR(INDEX(設定!$F$5:$F$20,MATCH($F222,設定!$B$5:$B$20,0)),0))</f>
        <v/>
      </c>
      <c r="L222" s="33">
        <f>IF(OR($I222="",$J222=""),"",ROUND(($J222-$I222)*24-$K222/60,2))</f>
        <v/>
      </c>
      <c r="M222" s="29">
        <f>IF($C222="","",IF(AND(COUNTIF(設定!$B$14:$B$20,$F222)&gt;0,$I222&lt;&gt;""),"假日出勤",IF(AND(COUNTIF(設定!$B$5:$B$13,$F222)&gt;0,$I222=""),"未打卡",IF($I222="","",IF($N222&gt;0,"遲到",IF($O222&gt;0,"早退","正常"))))))</f>
        <v/>
      </c>
      <c r="N222" s="32">
        <f>IF(OR($C222="",$G222="",$I222=""),0,IF(ROUND(($I222-$G222)*1440,0)&gt;設定!$C$28,ROUND(($I222-$G222)*1440,0),0))</f>
        <v/>
      </c>
      <c r="O222" s="32">
        <f>IF(OR($C222="",$H222="",$J222=""),0,IF(ROUND(($H222-$J222)*1440,0)&gt;設定!$C$28,ROUND(($H222-$J222)*1440,0),0))</f>
        <v/>
      </c>
      <c r="P222" s="33">
        <f>IF($L222="",0,IF(($L222-IFERROR(INDEX(設定!$G$5:$G$20,MATCH($F222,設定!$B$5:$B$20,0)),0))*60&gt;=設定!$C$26,ROUND(FLOOR(($L222-IFERROR(INDEX(設定!$G$5:$G$20,MATCH($F222,設定!$B$5:$B$20,0)),0))*60,設定!$C$27)/60,2),0))</f>
        <v/>
      </c>
      <c r="Q222" s="29">
        <f>IF(OR($C222="",$P222=0),"",IF($F222="國","國定假日",IF($B222="日","例假",IF($B222="六","休息日","平日"))))</f>
        <v/>
      </c>
      <c r="R222" s="34" t="n"/>
    </row>
    <row r="223">
      <c r="A223" s="30">
        <f>IF(OR(班表!$A13="",4&gt;DAY(EOMONTH(DATE(班表!$E$2,班表!$G$2,1),0))),"",DATE(班表!$E$2,班表!$G$2,4))</f>
        <v/>
      </c>
      <c r="B223" s="29">
        <f>IF($A223="","",INDEX(設定!$L$5:$L$11,WEEKDAY($A223,1)))</f>
        <v/>
      </c>
      <c r="C223" s="29">
        <f>IF($A223="","",班表!$A13)</f>
        <v/>
      </c>
      <c r="D223" s="29">
        <f>IF($C223="","",班表!$B13)</f>
        <v/>
      </c>
      <c r="E223" s="29">
        <f>IF($C223="","",班表!$C13)</f>
        <v/>
      </c>
      <c r="F223" s="29">
        <f>IF($C223="","",班表!G13)</f>
        <v/>
      </c>
      <c r="G223" s="31">
        <f>IF($F223="","",IFERROR(INDEX(設定!$D$5:$D$20,MATCH($F223,設定!$B$5:$B$20,0)),""))</f>
        <v/>
      </c>
      <c r="H223" s="31">
        <f>IF($F223="","",IFERROR(INDEX(設定!$E$5:$E$20,MATCH($F223,設定!$B$5:$B$20,0)),""))</f>
        <v/>
      </c>
      <c r="I223" s="31">
        <f>IFERROR(INDEX(打卡匯入!$C$3:$C$1002,MATCH($C223&amp;"|"&amp;DAY($A223),打卡匯入!$E$3:$E$1002,0)),"")</f>
        <v/>
      </c>
      <c r="J223" s="31">
        <f>IFERROR(INDEX(打卡匯入!$D$3:$D$1002,MATCH($C223&amp;"|"&amp;DAY($A223),打卡匯入!$E$3:$E$1002,0)),"")</f>
        <v/>
      </c>
      <c r="K223" s="32">
        <f>IF(OR($I223="",$J223=""),"",IFERROR(INDEX(設定!$F$5:$F$20,MATCH($F223,設定!$B$5:$B$20,0)),0))</f>
        <v/>
      </c>
      <c r="L223" s="33">
        <f>IF(OR($I223="",$J223=""),"",ROUND(($J223-$I223)*24-$K223/60,2))</f>
        <v/>
      </c>
      <c r="M223" s="29">
        <f>IF($C223="","",IF(AND(COUNTIF(設定!$B$14:$B$20,$F223)&gt;0,$I223&lt;&gt;""),"假日出勤",IF(AND(COUNTIF(設定!$B$5:$B$13,$F223)&gt;0,$I223=""),"未打卡",IF($I223="","",IF($N223&gt;0,"遲到",IF($O223&gt;0,"早退","正常"))))))</f>
        <v/>
      </c>
      <c r="N223" s="32">
        <f>IF(OR($C223="",$G223="",$I223=""),0,IF(ROUND(($I223-$G223)*1440,0)&gt;設定!$C$28,ROUND(($I223-$G223)*1440,0),0))</f>
        <v/>
      </c>
      <c r="O223" s="32">
        <f>IF(OR($C223="",$H223="",$J223=""),0,IF(ROUND(($H223-$J223)*1440,0)&gt;設定!$C$28,ROUND(($H223-$J223)*1440,0),0))</f>
        <v/>
      </c>
      <c r="P223" s="33">
        <f>IF($L223="",0,IF(($L223-IFERROR(INDEX(設定!$G$5:$G$20,MATCH($F223,設定!$B$5:$B$20,0)),0))*60&gt;=設定!$C$26,ROUND(FLOOR(($L223-IFERROR(INDEX(設定!$G$5:$G$20,MATCH($F223,設定!$B$5:$B$20,0)),0))*60,設定!$C$27)/60,2),0))</f>
        <v/>
      </c>
      <c r="Q223" s="29">
        <f>IF(OR($C223="",$P223=0),"",IF($F223="國","國定假日",IF($B223="日","例假",IF($B223="六","休息日","平日"))))</f>
        <v/>
      </c>
      <c r="R223" s="34" t="n"/>
    </row>
    <row r="224">
      <c r="A224" s="30">
        <f>IF(OR(班表!$A13="",5&gt;DAY(EOMONTH(DATE(班表!$E$2,班表!$G$2,1),0))),"",DATE(班表!$E$2,班表!$G$2,5))</f>
        <v/>
      </c>
      <c r="B224" s="29">
        <f>IF($A224="","",INDEX(設定!$L$5:$L$11,WEEKDAY($A224,1)))</f>
        <v/>
      </c>
      <c r="C224" s="29">
        <f>IF($A224="","",班表!$A13)</f>
        <v/>
      </c>
      <c r="D224" s="29">
        <f>IF($C224="","",班表!$B13)</f>
        <v/>
      </c>
      <c r="E224" s="29">
        <f>IF($C224="","",班表!$C13)</f>
        <v/>
      </c>
      <c r="F224" s="29">
        <f>IF($C224="","",班表!H13)</f>
        <v/>
      </c>
      <c r="G224" s="31">
        <f>IF($F224="","",IFERROR(INDEX(設定!$D$5:$D$20,MATCH($F224,設定!$B$5:$B$20,0)),""))</f>
        <v/>
      </c>
      <c r="H224" s="31">
        <f>IF($F224="","",IFERROR(INDEX(設定!$E$5:$E$20,MATCH($F224,設定!$B$5:$B$20,0)),""))</f>
        <v/>
      </c>
      <c r="I224" s="31">
        <f>IFERROR(INDEX(打卡匯入!$C$3:$C$1002,MATCH($C224&amp;"|"&amp;DAY($A224),打卡匯入!$E$3:$E$1002,0)),"")</f>
        <v/>
      </c>
      <c r="J224" s="31">
        <f>IFERROR(INDEX(打卡匯入!$D$3:$D$1002,MATCH($C224&amp;"|"&amp;DAY($A224),打卡匯入!$E$3:$E$1002,0)),"")</f>
        <v/>
      </c>
      <c r="K224" s="32">
        <f>IF(OR($I224="",$J224=""),"",IFERROR(INDEX(設定!$F$5:$F$20,MATCH($F224,設定!$B$5:$B$20,0)),0))</f>
        <v/>
      </c>
      <c r="L224" s="33">
        <f>IF(OR($I224="",$J224=""),"",ROUND(($J224-$I224)*24-$K224/60,2))</f>
        <v/>
      </c>
      <c r="M224" s="29">
        <f>IF($C224="","",IF(AND(COUNTIF(設定!$B$14:$B$20,$F224)&gt;0,$I224&lt;&gt;""),"假日出勤",IF(AND(COUNTIF(設定!$B$5:$B$13,$F224)&gt;0,$I224=""),"未打卡",IF($I224="","",IF($N224&gt;0,"遲到",IF($O224&gt;0,"早退","正常"))))))</f>
        <v/>
      </c>
      <c r="N224" s="32">
        <f>IF(OR($C224="",$G224="",$I224=""),0,IF(ROUND(($I224-$G224)*1440,0)&gt;設定!$C$28,ROUND(($I224-$G224)*1440,0),0))</f>
        <v/>
      </c>
      <c r="O224" s="32">
        <f>IF(OR($C224="",$H224="",$J224=""),0,IF(ROUND(($H224-$J224)*1440,0)&gt;設定!$C$28,ROUND(($H224-$J224)*1440,0),0))</f>
        <v/>
      </c>
      <c r="P224" s="33">
        <f>IF($L224="",0,IF(($L224-IFERROR(INDEX(設定!$G$5:$G$20,MATCH($F224,設定!$B$5:$B$20,0)),0))*60&gt;=設定!$C$26,ROUND(FLOOR(($L224-IFERROR(INDEX(設定!$G$5:$G$20,MATCH($F224,設定!$B$5:$B$20,0)),0))*60,設定!$C$27)/60,2),0))</f>
        <v/>
      </c>
      <c r="Q224" s="29">
        <f>IF(OR($C224="",$P224=0),"",IF($F224="國","國定假日",IF($B224="日","例假",IF($B224="六","休息日","平日"))))</f>
        <v/>
      </c>
      <c r="R224" s="34" t="n"/>
    </row>
    <row r="225">
      <c r="A225" s="30">
        <f>IF(OR(班表!$A13="",6&gt;DAY(EOMONTH(DATE(班表!$E$2,班表!$G$2,1),0))),"",DATE(班表!$E$2,班表!$G$2,6))</f>
        <v/>
      </c>
      <c r="B225" s="29">
        <f>IF($A225="","",INDEX(設定!$L$5:$L$11,WEEKDAY($A225,1)))</f>
        <v/>
      </c>
      <c r="C225" s="29">
        <f>IF($A225="","",班表!$A13)</f>
        <v/>
      </c>
      <c r="D225" s="29">
        <f>IF($C225="","",班表!$B13)</f>
        <v/>
      </c>
      <c r="E225" s="29">
        <f>IF($C225="","",班表!$C13)</f>
        <v/>
      </c>
      <c r="F225" s="29">
        <f>IF($C225="","",班表!I13)</f>
        <v/>
      </c>
      <c r="G225" s="31">
        <f>IF($F225="","",IFERROR(INDEX(設定!$D$5:$D$20,MATCH($F225,設定!$B$5:$B$20,0)),""))</f>
        <v/>
      </c>
      <c r="H225" s="31">
        <f>IF($F225="","",IFERROR(INDEX(設定!$E$5:$E$20,MATCH($F225,設定!$B$5:$B$20,0)),""))</f>
        <v/>
      </c>
      <c r="I225" s="31">
        <f>IFERROR(INDEX(打卡匯入!$C$3:$C$1002,MATCH($C225&amp;"|"&amp;DAY($A225),打卡匯入!$E$3:$E$1002,0)),"")</f>
        <v/>
      </c>
      <c r="J225" s="31">
        <f>IFERROR(INDEX(打卡匯入!$D$3:$D$1002,MATCH($C225&amp;"|"&amp;DAY($A225),打卡匯入!$E$3:$E$1002,0)),"")</f>
        <v/>
      </c>
      <c r="K225" s="32">
        <f>IF(OR($I225="",$J225=""),"",IFERROR(INDEX(設定!$F$5:$F$20,MATCH($F225,設定!$B$5:$B$20,0)),0))</f>
        <v/>
      </c>
      <c r="L225" s="33">
        <f>IF(OR($I225="",$J225=""),"",ROUND(($J225-$I225)*24-$K225/60,2))</f>
        <v/>
      </c>
      <c r="M225" s="29">
        <f>IF($C225="","",IF(AND(COUNTIF(設定!$B$14:$B$20,$F225)&gt;0,$I225&lt;&gt;""),"假日出勤",IF(AND(COUNTIF(設定!$B$5:$B$13,$F225)&gt;0,$I225=""),"未打卡",IF($I225="","",IF($N225&gt;0,"遲到",IF($O225&gt;0,"早退","正常"))))))</f>
        <v/>
      </c>
      <c r="N225" s="32">
        <f>IF(OR($C225="",$G225="",$I225=""),0,IF(ROUND(($I225-$G225)*1440,0)&gt;設定!$C$28,ROUND(($I225-$G225)*1440,0),0))</f>
        <v/>
      </c>
      <c r="O225" s="32">
        <f>IF(OR($C225="",$H225="",$J225=""),0,IF(ROUND(($H225-$J225)*1440,0)&gt;設定!$C$28,ROUND(($H225-$J225)*1440,0),0))</f>
        <v/>
      </c>
      <c r="P225" s="33">
        <f>IF($L225="",0,IF(($L225-IFERROR(INDEX(設定!$G$5:$G$20,MATCH($F225,設定!$B$5:$B$20,0)),0))*60&gt;=設定!$C$26,ROUND(FLOOR(($L225-IFERROR(INDEX(設定!$G$5:$G$20,MATCH($F225,設定!$B$5:$B$20,0)),0))*60,設定!$C$27)/60,2),0))</f>
        <v/>
      </c>
      <c r="Q225" s="29">
        <f>IF(OR($C225="",$P225=0),"",IF($F225="國","國定假日",IF($B225="日","例假",IF($B225="六","休息日","平日"))))</f>
        <v/>
      </c>
      <c r="R225" s="34" t="n"/>
    </row>
    <row r="226">
      <c r="A226" s="30">
        <f>IF(OR(班表!$A13="",7&gt;DAY(EOMONTH(DATE(班表!$E$2,班表!$G$2,1),0))),"",DATE(班表!$E$2,班表!$G$2,7))</f>
        <v/>
      </c>
      <c r="B226" s="29">
        <f>IF($A226="","",INDEX(設定!$L$5:$L$11,WEEKDAY($A226,1)))</f>
        <v/>
      </c>
      <c r="C226" s="29">
        <f>IF($A226="","",班表!$A13)</f>
        <v/>
      </c>
      <c r="D226" s="29">
        <f>IF($C226="","",班表!$B13)</f>
        <v/>
      </c>
      <c r="E226" s="29">
        <f>IF($C226="","",班表!$C13)</f>
        <v/>
      </c>
      <c r="F226" s="29">
        <f>IF($C226="","",班表!J13)</f>
        <v/>
      </c>
      <c r="G226" s="31">
        <f>IF($F226="","",IFERROR(INDEX(設定!$D$5:$D$20,MATCH($F226,設定!$B$5:$B$20,0)),""))</f>
        <v/>
      </c>
      <c r="H226" s="31">
        <f>IF($F226="","",IFERROR(INDEX(設定!$E$5:$E$20,MATCH($F226,設定!$B$5:$B$20,0)),""))</f>
        <v/>
      </c>
      <c r="I226" s="31">
        <f>IFERROR(INDEX(打卡匯入!$C$3:$C$1002,MATCH($C226&amp;"|"&amp;DAY($A226),打卡匯入!$E$3:$E$1002,0)),"")</f>
        <v/>
      </c>
      <c r="J226" s="31">
        <f>IFERROR(INDEX(打卡匯入!$D$3:$D$1002,MATCH($C226&amp;"|"&amp;DAY($A226),打卡匯入!$E$3:$E$1002,0)),"")</f>
        <v/>
      </c>
      <c r="K226" s="32">
        <f>IF(OR($I226="",$J226=""),"",IFERROR(INDEX(設定!$F$5:$F$20,MATCH($F226,設定!$B$5:$B$20,0)),0))</f>
        <v/>
      </c>
      <c r="L226" s="33">
        <f>IF(OR($I226="",$J226=""),"",ROUND(($J226-$I226)*24-$K226/60,2))</f>
        <v/>
      </c>
      <c r="M226" s="29">
        <f>IF($C226="","",IF(AND(COUNTIF(設定!$B$14:$B$20,$F226)&gt;0,$I226&lt;&gt;""),"假日出勤",IF(AND(COUNTIF(設定!$B$5:$B$13,$F226)&gt;0,$I226=""),"未打卡",IF($I226="","",IF($N226&gt;0,"遲到",IF($O226&gt;0,"早退","正常"))))))</f>
        <v/>
      </c>
      <c r="N226" s="32">
        <f>IF(OR($C226="",$G226="",$I226=""),0,IF(ROUND(($I226-$G226)*1440,0)&gt;設定!$C$28,ROUND(($I226-$G226)*1440,0),0))</f>
        <v/>
      </c>
      <c r="O226" s="32">
        <f>IF(OR($C226="",$H226="",$J226=""),0,IF(ROUND(($H226-$J226)*1440,0)&gt;設定!$C$28,ROUND(($H226-$J226)*1440,0),0))</f>
        <v/>
      </c>
      <c r="P226" s="33">
        <f>IF($L226="",0,IF(($L226-IFERROR(INDEX(設定!$G$5:$G$20,MATCH($F226,設定!$B$5:$B$20,0)),0))*60&gt;=設定!$C$26,ROUND(FLOOR(($L226-IFERROR(INDEX(設定!$G$5:$G$20,MATCH($F226,設定!$B$5:$B$20,0)),0))*60,設定!$C$27)/60,2),0))</f>
        <v/>
      </c>
      <c r="Q226" s="29">
        <f>IF(OR($C226="",$P226=0),"",IF($F226="國","國定假日",IF($B226="日","例假",IF($B226="六","休息日","平日"))))</f>
        <v/>
      </c>
      <c r="R226" s="34" t="n"/>
    </row>
    <row r="227">
      <c r="A227" s="30">
        <f>IF(OR(班表!$A13="",8&gt;DAY(EOMONTH(DATE(班表!$E$2,班表!$G$2,1),0))),"",DATE(班表!$E$2,班表!$G$2,8))</f>
        <v/>
      </c>
      <c r="B227" s="29">
        <f>IF($A227="","",INDEX(設定!$L$5:$L$11,WEEKDAY($A227,1)))</f>
        <v/>
      </c>
      <c r="C227" s="29">
        <f>IF($A227="","",班表!$A13)</f>
        <v/>
      </c>
      <c r="D227" s="29">
        <f>IF($C227="","",班表!$B13)</f>
        <v/>
      </c>
      <c r="E227" s="29">
        <f>IF($C227="","",班表!$C13)</f>
        <v/>
      </c>
      <c r="F227" s="29">
        <f>IF($C227="","",班表!K13)</f>
        <v/>
      </c>
      <c r="G227" s="31">
        <f>IF($F227="","",IFERROR(INDEX(設定!$D$5:$D$20,MATCH($F227,設定!$B$5:$B$20,0)),""))</f>
        <v/>
      </c>
      <c r="H227" s="31">
        <f>IF($F227="","",IFERROR(INDEX(設定!$E$5:$E$20,MATCH($F227,設定!$B$5:$B$20,0)),""))</f>
        <v/>
      </c>
      <c r="I227" s="31">
        <f>IFERROR(INDEX(打卡匯入!$C$3:$C$1002,MATCH($C227&amp;"|"&amp;DAY($A227),打卡匯入!$E$3:$E$1002,0)),"")</f>
        <v/>
      </c>
      <c r="J227" s="31">
        <f>IFERROR(INDEX(打卡匯入!$D$3:$D$1002,MATCH($C227&amp;"|"&amp;DAY($A227),打卡匯入!$E$3:$E$1002,0)),"")</f>
        <v/>
      </c>
      <c r="K227" s="32">
        <f>IF(OR($I227="",$J227=""),"",IFERROR(INDEX(設定!$F$5:$F$20,MATCH($F227,設定!$B$5:$B$20,0)),0))</f>
        <v/>
      </c>
      <c r="L227" s="33">
        <f>IF(OR($I227="",$J227=""),"",ROUND(($J227-$I227)*24-$K227/60,2))</f>
        <v/>
      </c>
      <c r="M227" s="29">
        <f>IF($C227="","",IF(AND(COUNTIF(設定!$B$14:$B$20,$F227)&gt;0,$I227&lt;&gt;""),"假日出勤",IF(AND(COUNTIF(設定!$B$5:$B$13,$F227)&gt;0,$I227=""),"未打卡",IF($I227="","",IF($N227&gt;0,"遲到",IF($O227&gt;0,"早退","正常"))))))</f>
        <v/>
      </c>
      <c r="N227" s="32">
        <f>IF(OR($C227="",$G227="",$I227=""),0,IF(ROUND(($I227-$G227)*1440,0)&gt;設定!$C$28,ROUND(($I227-$G227)*1440,0),0))</f>
        <v/>
      </c>
      <c r="O227" s="32">
        <f>IF(OR($C227="",$H227="",$J227=""),0,IF(ROUND(($H227-$J227)*1440,0)&gt;設定!$C$28,ROUND(($H227-$J227)*1440,0),0))</f>
        <v/>
      </c>
      <c r="P227" s="33">
        <f>IF($L227="",0,IF(($L227-IFERROR(INDEX(設定!$G$5:$G$20,MATCH($F227,設定!$B$5:$B$20,0)),0))*60&gt;=設定!$C$26,ROUND(FLOOR(($L227-IFERROR(INDEX(設定!$G$5:$G$20,MATCH($F227,設定!$B$5:$B$20,0)),0))*60,設定!$C$27)/60,2),0))</f>
        <v/>
      </c>
      <c r="Q227" s="29">
        <f>IF(OR($C227="",$P227=0),"",IF($F227="國","國定假日",IF($B227="日","例假",IF($B227="六","休息日","平日"))))</f>
        <v/>
      </c>
      <c r="R227" s="34" t="n"/>
    </row>
    <row r="228">
      <c r="A228" s="30">
        <f>IF(OR(班表!$A13="",9&gt;DAY(EOMONTH(DATE(班表!$E$2,班表!$G$2,1),0))),"",DATE(班表!$E$2,班表!$G$2,9))</f>
        <v/>
      </c>
      <c r="B228" s="29">
        <f>IF($A228="","",INDEX(設定!$L$5:$L$11,WEEKDAY($A228,1)))</f>
        <v/>
      </c>
      <c r="C228" s="29">
        <f>IF($A228="","",班表!$A13)</f>
        <v/>
      </c>
      <c r="D228" s="29">
        <f>IF($C228="","",班表!$B13)</f>
        <v/>
      </c>
      <c r="E228" s="29">
        <f>IF($C228="","",班表!$C13)</f>
        <v/>
      </c>
      <c r="F228" s="29">
        <f>IF($C228="","",班表!L13)</f>
        <v/>
      </c>
      <c r="G228" s="31">
        <f>IF($F228="","",IFERROR(INDEX(設定!$D$5:$D$20,MATCH($F228,設定!$B$5:$B$20,0)),""))</f>
        <v/>
      </c>
      <c r="H228" s="31">
        <f>IF($F228="","",IFERROR(INDEX(設定!$E$5:$E$20,MATCH($F228,設定!$B$5:$B$20,0)),""))</f>
        <v/>
      </c>
      <c r="I228" s="31">
        <f>IFERROR(INDEX(打卡匯入!$C$3:$C$1002,MATCH($C228&amp;"|"&amp;DAY($A228),打卡匯入!$E$3:$E$1002,0)),"")</f>
        <v/>
      </c>
      <c r="J228" s="31">
        <f>IFERROR(INDEX(打卡匯入!$D$3:$D$1002,MATCH($C228&amp;"|"&amp;DAY($A228),打卡匯入!$E$3:$E$1002,0)),"")</f>
        <v/>
      </c>
      <c r="K228" s="32">
        <f>IF(OR($I228="",$J228=""),"",IFERROR(INDEX(設定!$F$5:$F$20,MATCH($F228,設定!$B$5:$B$20,0)),0))</f>
        <v/>
      </c>
      <c r="L228" s="33">
        <f>IF(OR($I228="",$J228=""),"",ROUND(($J228-$I228)*24-$K228/60,2))</f>
        <v/>
      </c>
      <c r="M228" s="29">
        <f>IF($C228="","",IF(AND(COUNTIF(設定!$B$14:$B$20,$F228)&gt;0,$I228&lt;&gt;""),"假日出勤",IF(AND(COUNTIF(設定!$B$5:$B$13,$F228)&gt;0,$I228=""),"未打卡",IF($I228="","",IF($N228&gt;0,"遲到",IF($O228&gt;0,"早退","正常"))))))</f>
        <v/>
      </c>
      <c r="N228" s="32">
        <f>IF(OR($C228="",$G228="",$I228=""),0,IF(ROUND(($I228-$G228)*1440,0)&gt;設定!$C$28,ROUND(($I228-$G228)*1440,0),0))</f>
        <v/>
      </c>
      <c r="O228" s="32">
        <f>IF(OR($C228="",$H228="",$J228=""),0,IF(ROUND(($H228-$J228)*1440,0)&gt;設定!$C$28,ROUND(($H228-$J228)*1440,0),0))</f>
        <v/>
      </c>
      <c r="P228" s="33">
        <f>IF($L228="",0,IF(($L228-IFERROR(INDEX(設定!$G$5:$G$20,MATCH($F228,設定!$B$5:$B$20,0)),0))*60&gt;=設定!$C$26,ROUND(FLOOR(($L228-IFERROR(INDEX(設定!$G$5:$G$20,MATCH($F228,設定!$B$5:$B$20,0)),0))*60,設定!$C$27)/60,2),0))</f>
        <v/>
      </c>
      <c r="Q228" s="29">
        <f>IF(OR($C228="",$P228=0),"",IF($F228="國","國定假日",IF($B228="日","例假",IF($B228="六","休息日","平日"))))</f>
        <v/>
      </c>
      <c r="R228" s="34" t="n"/>
    </row>
    <row r="229">
      <c r="A229" s="30">
        <f>IF(OR(班表!$A13="",10&gt;DAY(EOMONTH(DATE(班表!$E$2,班表!$G$2,1),0))),"",DATE(班表!$E$2,班表!$G$2,10))</f>
        <v/>
      </c>
      <c r="B229" s="29">
        <f>IF($A229="","",INDEX(設定!$L$5:$L$11,WEEKDAY($A229,1)))</f>
        <v/>
      </c>
      <c r="C229" s="29">
        <f>IF($A229="","",班表!$A13)</f>
        <v/>
      </c>
      <c r="D229" s="29">
        <f>IF($C229="","",班表!$B13)</f>
        <v/>
      </c>
      <c r="E229" s="29">
        <f>IF($C229="","",班表!$C13)</f>
        <v/>
      </c>
      <c r="F229" s="29">
        <f>IF($C229="","",班表!M13)</f>
        <v/>
      </c>
      <c r="G229" s="31">
        <f>IF($F229="","",IFERROR(INDEX(設定!$D$5:$D$20,MATCH($F229,設定!$B$5:$B$20,0)),""))</f>
        <v/>
      </c>
      <c r="H229" s="31">
        <f>IF($F229="","",IFERROR(INDEX(設定!$E$5:$E$20,MATCH($F229,設定!$B$5:$B$20,0)),""))</f>
        <v/>
      </c>
      <c r="I229" s="31">
        <f>IFERROR(INDEX(打卡匯入!$C$3:$C$1002,MATCH($C229&amp;"|"&amp;DAY($A229),打卡匯入!$E$3:$E$1002,0)),"")</f>
        <v/>
      </c>
      <c r="J229" s="31">
        <f>IFERROR(INDEX(打卡匯入!$D$3:$D$1002,MATCH($C229&amp;"|"&amp;DAY($A229),打卡匯入!$E$3:$E$1002,0)),"")</f>
        <v/>
      </c>
      <c r="K229" s="32">
        <f>IF(OR($I229="",$J229=""),"",IFERROR(INDEX(設定!$F$5:$F$20,MATCH($F229,設定!$B$5:$B$20,0)),0))</f>
        <v/>
      </c>
      <c r="L229" s="33">
        <f>IF(OR($I229="",$J229=""),"",ROUND(($J229-$I229)*24-$K229/60,2))</f>
        <v/>
      </c>
      <c r="M229" s="29">
        <f>IF($C229="","",IF(AND(COUNTIF(設定!$B$14:$B$20,$F229)&gt;0,$I229&lt;&gt;""),"假日出勤",IF(AND(COUNTIF(設定!$B$5:$B$13,$F229)&gt;0,$I229=""),"未打卡",IF($I229="","",IF($N229&gt;0,"遲到",IF($O229&gt;0,"早退","正常"))))))</f>
        <v/>
      </c>
      <c r="N229" s="32">
        <f>IF(OR($C229="",$G229="",$I229=""),0,IF(ROUND(($I229-$G229)*1440,0)&gt;設定!$C$28,ROUND(($I229-$G229)*1440,0),0))</f>
        <v/>
      </c>
      <c r="O229" s="32">
        <f>IF(OR($C229="",$H229="",$J229=""),0,IF(ROUND(($H229-$J229)*1440,0)&gt;設定!$C$28,ROUND(($H229-$J229)*1440,0),0))</f>
        <v/>
      </c>
      <c r="P229" s="33">
        <f>IF($L229="",0,IF(($L229-IFERROR(INDEX(設定!$G$5:$G$20,MATCH($F229,設定!$B$5:$B$20,0)),0))*60&gt;=設定!$C$26,ROUND(FLOOR(($L229-IFERROR(INDEX(設定!$G$5:$G$20,MATCH($F229,設定!$B$5:$B$20,0)),0))*60,設定!$C$27)/60,2),0))</f>
        <v/>
      </c>
      <c r="Q229" s="29">
        <f>IF(OR($C229="",$P229=0),"",IF($F229="國","國定假日",IF($B229="日","例假",IF($B229="六","休息日","平日"))))</f>
        <v/>
      </c>
      <c r="R229" s="34" t="n"/>
    </row>
    <row r="230">
      <c r="A230" s="30">
        <f>IF(OR(班表!$A13="",11&gt;DAY(EOMONTH(DATE(班表!$E$2,班表!$G$2,1),0))),"",DATE(班表!$E$2,班表!$G$2,11))</f>
        <v/>
      </c>
      <c r="B230" s="29">
        <f>IF($A230="","",INDEX(設定!$L$5:$L$11,WEEKDAY($A230,1)))</f>
        <v/>
      </c>
      <c r="C230" s="29">
        <f>IF($A230="","",班表!$A13)</f>
        <v/>
      </c>
      <c r="D230" s="29">
        <f>IF($C230="","",班表!$B13)</f>
        <v/>
      </c>
      <c r="E230" s="29">
        <f>IF($C230="","",班表!$C13)</f>
        <v/>
      </c>
      <c r="F230" s="29">
        <f>IF($C230="","",班表!N13)</f>
        <v/>
      </c>
      <c r="G230" s="31">
        <f>IF($F230="","",IFERROR(INDEX(設定!$D$5:$D$20,MATCH($F230,設定!$B$5:$B$20,0)),""))</f>
        <v/>
      </c>
      <c r="H230" s="31">
        <f>IF($F230="","",IFERROR(INDEX(設定!$E$5:$E$20,MATCH($F230,設定!$B$5:$B$20,0)),""))</f>
        <v/>
      </c>
      <c r="I230" s="31">
        <f>IFERROR(INDEX(打卡匯入!$C$3:$C$1002,MATCH($C230&amp;"|"&amp;DAY($A230),打卡匯入!$E$3:$E$1002,0)),"")</f>
        <v/>
      </c>
      <c r="J230" s="31">
        <f>IFERROR(INDEX(打卡匯入!$D$3:$D$1002,MATCH($C230&amp;"|"&amp;DAY($A230),打卡匯入!$E$3:$E$1002,0)),"")</f>
        <v/>
      </c>
      <c r="K230" s="32">
        <f>IF(OR($I230="",$J230=""),"",IFERROR(INDEX(設定!$F$5:$F$20,MATCH($F230,設定!$B$5:$B$20,0)),0))</f>
        <v/>
      </c>
      <c r="L230" s="33">
        <f>IF(OR($I230="",$J230=""),"",ROUND(($J230-$I230)*24-$K230/60,2))</f>
        <v/>
      </c>
      <c r="M230" s="29">
        <f>IF($C230="","",IF(AND(COUNTIF(設定!$B$14:$B$20,$F230)&gt;0,$I230&lt;&gt;""),"假日出勤",IF(AND(COUNTIF(設定!$B$5:$B$13,$F230)&gt;0,$I230=""),"未打卡",IF($I230="","",IF($N230&gt;0,"遲到",IF($O230&gt;0,"早退","正常"))))))</f>
        <v/>
      </c>
      <c r="N230" s="32">
        <f>IF(OR($C230="",$G230="",$I230=""),0,IF(ROUND(($I230-$G230)*1440,0)&gt;設定!$C$28,ROUND(($I230-$G230)*1440,0),0))</f>
        <v/>
      </c>
      <c r="O230" s="32">
        <f>IF(OR($C230="",$H230="",$J230=""),0,IF(ROUND(($H230-$J230)*1440,0)&gt;設定!$C$28,ROUND(($H230-$J230)*1440,0),0))</f>
        <v/>
      </c>
      <c r="P230" s="33">
        <f>IF($L230="",0,IF(($L230-IFERROR(INDEX(設定!$G$5:$G$20,MATCH($F230,設定!$B$5:$B$20,0)),0))*60&gt;=設定!$C$26,ROUND(FLOOR(($L230-IFERROR(INDEX(設定!$G$5:$G$20,MATCH($F230,設定!$B$5:$B$20,0)),0))*60,設定!$C$27)/60,2),0))</f>
        <v/>
      </c>
      <c r="Q230" s="29">
        <f>IF(OR($C230="",$P230=0),"",IF($F230="國","國定假日",IF($B230="日","例假",IF($B230="六","休息日","平日"))))</f>
        <v/>
      </c>
      <c r="R230" s="34" t="n"/>
    </row>
    <row r="231">
      <c r="A231" s="30">
        <f>IF(OR(班表!$A13="",12&gt;DAY(EOMONTH(DATE(班表!$E$2,班表!$G$2,1),0))),"",DATE(班表!$E$2,班表!$G$2,12))</f>
        <v/>
      </c>
      <c r="B231" s="29">
        <f>IF($A231="","",INDEX(設定!$L$5:$L$11,WEEKDAY($A231,1)))</f>
        <v/>
      </c>
      <c r="C231" s="29">
        <f>IF($A231="","",班表!$A13)</f>
        <v/>
      </c>
      <c r="D231" s="29">
        <f>IF($C231="","",班表!$B13)</f>
        <v/>
      </c>
      <c r="E231" s="29">
        <f>IF($C231="","",班表!$C13)</f>
        <v/>
      </c>
      <c r="F231" s="29">
        <f>IF($C231="","",班表!O13)</f>
        <v/>
      </c>
      <c r="G231" s="31">
        <f>IF($F231="","",IFERROR(INDEX(設定!$D$5:$D$20,MATCH($F231,設定!$B$5:$B$20,0)),""))</f>
        <v/>
      </c>
      <c r="H231" s="31">
        <f>IF($F231="","",IFERROR(INDEX(設定!$E$5:$E$20,MATCH($F231,設定!$B$5:$B$20,0)),""))</f>
        <v/>
      </c>
      <c r="I231" s="31">
        <f>IFERROR(INDEX(打卡匯入!$C$3:$C$1002,MATCH($C231&amp;"|"&amp;DAY($A231),打卡匯入!$E$3:$E$1002,0)),"")</f>
        <v/>
      </c>
      <c r="J231" s="31">
        <f>IFERROR(INDEX(打卡匯入!$D$3:$D$1002,MATCH($C231&amp;"|"&amp;DAY($A231),打卡匯入!$E$3:$E$1002,0)),"")</f>
        <v/>
      </c>
      <c r="K231" s="32">
        <f>IF(OR($I231="",$J231=""),"",IFERROR(INDEX(設定!$F$5:$F$20,MATCH($F231,設定!$B$5:$B$20,0)),0))</f>
        <v/>
      </c>
      <c r="L231" s="33">
        <f>IF(OR($I231="",$J231=""),"",ROUND(($J231-$I231)*24-$K231/60,2))</f>
        <v/>
      </c>
      <c r="M231" s="29">
        <f>IF($C231="","",IF(AND(COUNTIF(設定!$B$14:$B$20,$F231)&gt;0,$I231&lt;&gt;""),"假日出勤",IF(AND(COUNTIF(設定!$B$5:$B$13,$F231)&gt;0,$I231=""),"未打卡",IF($I231="","",IF($N231&gt;0,"遲到",IF($O231&gt;0,"早退","正常"))))))</f>
        <v/>
      </c>
      <c r="N231" s="32">
        <f>IF(OR($C231="",$G231="",$I231=""),0,IF(ROUND(($I231-$G231)*1440,0)&gt;設定!$C$28,ROUND(($I231-$G231)*1440,0),0))</f>
        <v/>
      </c>
      <c r="O231" s="32">
        <f>IF(OR($C231="",$H231="",$J231=""),0,IF(ROUND(($H231-$J231)*1440,0)&gt;設定!$C$28,ROUND(($H231-$J231)*1440,0),0))</f>
        <v/>
      </c>
      <c r="P231" s="33">
        <f>IF($L231="",0,IF(($L231-IFERROR(INDEX(設定!$G$5:$G$20,MATCH($F231,設定!$B$5:$B$20,0)),0))*60&gt;=設定!$C$26,ROUND(FLOOR(($L231-IFERROR(INDEX(設定!$G$5:$G$20,MATCH($F231,設定!$B$5:$B$20,0)),0))*60,設定!$C$27)/60,2),0))</f>
        <v/>
      </c>
      <c r="Q231" s="29">
        <f>IF(OR($C231="",$P231=0),"",IF($F231="國","國定假日",IF($B231="日","例假",IF($B231="六","休息日","平日"))))</f>
        <v/>
      </c>
      <c r="R231" s="34" t="n"/>
    </row>
    <row r="232">
      <c r="A232" s="30">
        <f>IF(OR(班表!$A13="",13&gt;DAY(EOMONTH(DATE(班表!$E$2,班表!$G$2,1),0))),"",DATE(班表!$E$2,班表!$G$2,13))</f>
        <v/>
      </c>
      <c r="B232" s="29">
        <f>IF($A232="","",INDEX(設定!$L$5:$L$11,WEEKDAY($A232,1)))</f>
        <v/>
      </c>
      <c r="C232" s="29">
        <f>IF($A232="","",班表!$A13)</f>
        <v/>
      </c>
      <c r="D232" s="29">
        <f>IF($C232="","",班表!$B13)</f>
        <v/>
      </c>
      <c r="E232" s="29">
        <f>IF($C232="","",班表!$C13)</f>
        <v/>
      </c>
      <c r="F232" s="29">
        <f>IF($C232="","",班表!P13)</f>
        <v/>
      </c>
      <c r="G232" s="31">
        <f>IF($F232="","",IFERROR(INDEX(設定!$D$5:$D$20,MATCH($F232,設定!$B$5:$B$20,0)),""))</f>
        <v/>
      </c>
      <c r="H232" s="31">
        <f>IF($F232="","",IFERROR(INDEX(設定!$E$5:$E$20,MATCH($F232,設定!$B$5:$B$20,0)),""))</f>
        <v/>
      </c>
      <c r="I232" s="31">
        <f>IFERROR(INDEX(打卡匯入!$C$3:$C$1002,MATCH($C232&amp;"|"&amp;DAY($A232),打卡匯入!$E$3:$E$1002,0)),"")</f>
        <v/>
      </c>
      <c r="J232" s="31">
        <f>IFERROR(INDEX(打卡匯入!$D$3:$D$1002,MATCH($C232&amp;"|"&amp;DAY($A232),打卡匯入!$E$3:$E$1002,0)),"")</f>
        <v/>
      </c>
      <c r="K232" s="32">
        <f>IF(OR($I232="",$J232=""),"",IFERROR(INDEX(設定!$F$5:$F$20,MATCH($F232,設定!$B$5:$B$20,0)),0))</f>
        <v/>
      </c>
      <c r="L232" s="33">
        <f>IF(OR($I232="",$J232=""),"",ROUND(($J232-$I232)*24-$K232/60,2))</f>
        <v/>
      </c>
      <c r="M232" s="29">
        <f>IF($C232="","",IF(AND(COUNTIF(設定!$B$14:$B$20,$F232)&gt;0,$I232&lt;&gt;""),"假日出勤",IF(AND(COUNTIF(設定!$B$5:$B$13,$F232)&gt;0,$I232=""),"未打卡",IF($I232="","",IF($N232&gt;0,"遲到",IF($O232&gt;0,"早退","正常"))))))</f>
        <v/>
      </c>
      <c r="N232" s="32">
        <f>IF(OR($C232="",$G232="",$I232=""),0,IF(ROUND(($I232-$G232)*1440,0)&gt;設定!$C$28,ROUND(($I232-$G232)*1440,0),0))</f>
        <v/>
      </c>
      <c r="O232" s="32">
        <f>IF(OR($C232="",$H232="",$J232=""),0,IF(ROUND(($H232-$J232)*1440,0)&gt;設定!$C$28,ROUND(($H232-$J232)*1440,0),0))</f>
        <v/>
      </c>
      <c r="P232" s="33">
        <f>IF($L232="",0,IF(($L232-IFERROR(INDEX(設定!$G$5:$G$20,MATCH($F232,設定!$B$5:$B$20,0)),0))*60&gt;=設定!$C$26,ROUND(FLOOR(($L232-IFERROR(INDEX(設定!$G$5:$G$20,MATCH($F232,設定!$B$5:$B$20,0)),0))*60,設定!$C$27)/60,2),0))</f>
        <v/>
      </c>
      <c r="Q232" s="29">
        <f>IF(OR($C232="",$P232=0),"",IF($F232="國","國定假日",IF($B232="日","例假",IF($B232="六","休息日","平日"))))</f>
        <v/>
      </c>
      <c r="R232" s="34" t="n"/>
    </row>
    <row r="233">
      <c r="A233" s="30">
        <f>IF(OR(班表!$A13="",14&gt;DAY(EOMONTH(DATE(班表!$E$2,班表!$G$2,1),0))),"",DATE(班表!$E$2,班表!$G$2,14))</f>
        <v/>
      </c>
      <c r="B233" s="29">
        <f>IF($A233="","",INDEX(設定!$L$5:$L$11,WEEKDAY($A233,1)))</f>
        <v/>
      </c>
      <c r="C233" s="29">
        <f>IF($A233="","",班表!$A13)</f>
        <v/>
      </c>
      <c r="D233" s="29">
        <f>IF($C233="","",班表!$B13)</f>
        <v/>
      </c>
      <c r="E233" s="29">
        <f>IF($C233="","",班表!$C13)</f>
        <v/>
      </c>
      <c r="F233" s="29">
        <f>IF($C233="","",班表!Q13)</f>
        <v/>
      </c>
      <c r="G233" s="31">
        <f>IF($F233="","",IFERROR(INDEX(設定!$D$5:$D$20,MATCH($F233,設定!$B$5:$B$20,0)),""))</f>
        <v/>
      </c>
      <c r="H233" s="31">
        <f>IF($F233="","",IFERROR(INDEX(設定!$E$5:$E$20,MATCH($F233,設定!$B$5:$B$20,0)),""))</f>
        <v/>
      </c>
      <c r="I233" s="31">
        <f>IFERROR(INDEX(打卡匯入!$C$3:$C$1002,MATCH($C233&amp;"|"&amp;DAY($A233),打卡匯入!$E$3:$E$1002,0)),"")</f>
        <v/>
      </c>
      <c r="J233" s="31">
        <f>IFERROR(INDEX(打卡匯入!$D$3:$D$1002,MATCH($C233&amp;"|"&amp;DAY($A233),打卡匯入!$E$3:$E$1002,0)),"")</f>
        <v/>
      </c>
      <c r="K233" s="32">
        <f>IF(OR($I233="",$J233=""),"",IFERROR(INDEX(設定!$F$5:$F$20,MATCH($F233,設定!$B$5:$B$20,0)),0))</f>
        <v/>
      </c>
      <c r="L233" s="33">
        <f>IF(OR($I233="",$J233=""),"",ROUND(($J233-$I233)*24-$K233/60,2))</f>
        <v/>
      </c>
      <c r="M233" s="29">
        <f>IF($C233="","",IF(AND(COUNTIF(設定!$B$14:$B$20,$F233)&gt;0,$I233&lt;&gt;""),"假日出勤",IF(AND(COUNTIF(設定!$B$5:$B$13,$F233)&gt;0,$I233=""),"未打卡",IF($I233="","",IF($N233&gt;0,"遲到",IF($O233&gt;0,"早退","正常"))))))</f>
        <v/>
      </c>
      <c r="N233" s="32">
        <f>IF(OR($C233="",$G233="",$I233=""),0,IF(ROUND(($I233-$G233)*1440,0)&gt;設定!$C$28,ROUND(($I233-$G233)*1440,0),0))</f>
        <v/>
      </c>
      <c r="O233" s="32">
        <f>IF(OR($C233="",$H233="",$J233=""),0,IF(ROUND(($H233-$J233)*1440,0)&gt;設定!$C$28,ROUND(($H233-$J233)*1440,0),0))</f>
        <v/>
      </c>
      <c r="P233" s="33">
        <f>IF($L233="",0,IF(($L233-IFERROR(INDEX(設定!$G$5:$G$20,MATCH($F233,設定!$B$5:$B$20,0)),0))*60&gt;=設定!$C$26,ROUND(FLOOR(($L233-IFERROR(INDEX(設定!$G$5:$G$20,MATCH($F233,設定!$B$5:$B$20,0)),0))*60,設定!$C$27)/60,2),0))</f>
        <v/>
      </c>
      <c r="Q233" s="29">
        <f>IF(OR($C233="",$P233=0),"",IF($F233="國","國定假日",IF($B233="日","例假",IF($B233="六","休息日","平日"))))</f>
        <v/>
      </c>
      <c r="R233" s="34" t="n"/>
    </row>
    <row r="234">
      <c r="A234" s="30">
        <f>IF(OR(班表!$A13="",15&gt;DAY(EOMONTH(DATE(班表!$E$2,班表!$G$2,1),0))),"",DATE(班表!$E$2,班表!$G$2,15))</f>
        <v/>
      </c>
      <c r="B234" s="29">
        <f>IF($A234="","",INDEX(設定!$L$5:$L$11,WEEKDAY($A234,1)))</f>
        <v/>
      </c>
      <c r="C234" s="29">
        <f>IF($A234="","",班表!$A13)</f>
        <v/>
      </c>
      <c r="D234" s="29">
        <f>IF($C234="","",班表!$B13)</f>
        <v/>
      </c>
      <c r="E234" s="29">
        <f>IF($C234="","",班表!$C13)</f>
        <v/>
      </c>
      <c r="F234" s="29">
        <f>IF($C234="","",班表!R13)</f>
        <v/>
      </c>
      <c r="G234" s="31">
        <f>IF($F234="","",IFERROR(INDEX(設定!$D$5:$D$20,MATCH($F234,設定!$B$5:$B$20,0)),""))</f>
        <v/>
      </c>
      <c r="H234" s="31">
        <f>IF($F234="","",IFERROR(INDEX(設定!$E$5:$E$20,MATCH($F234,設定!$B$5:$B$20,0)),""))</f>
        <v/>
      </c>
      <c r="I234" s="31">
        <f>IFERROR(INDEX(打卡匯入!$C$3:$C$1002,MATCH($C234&amp;"|"&amp;DAY($A234),打卡匯入!$E$3:$E$1002,0)),"")</f>
        <v/>
      </c>
      <c r="J234" s="31">
        <f>IFERROR(INDEX(打卡匯入!$D$3:$D$1002,MATCH($C234&amp;"|"&amp;DAY($A234),打卡匯入!$E$3:$E$1002,0)),"")</f>
        <v/>
      </c>
      <c r="K234" s="32">
        <f>IF(OR($I234="",$J234=""),"",IFERROR(INDEX(設定!$F$5:$F$20,MATCH($F234,設定!$B$5:$B$20,0)),0))</f>
        <v/>
      </c>
      <c r="L234" s="33">
        <f>IF(OR($I234="",$J234=""),"",ROUND(($J234-$I234)*24-$K234/60,2))</f>
        <v/>
      </c>
      <c r="M234" s="29">
        <f>IF($C234="","",IF(AND(COUNTIF(設定!$B$14:$B$20,$F234)&gt;0,$I234&lt;&gt;""),"假日出勤",IF(AND(COUNTIF(設定!$B$5:$B$13,$F234)&gt;0,$I234=""),"未打卡",IF($I234="","",IF($N234&gt;0,"遲到",IF($O234&gt;0,"早退","正常"))))))</f>
        <v/>
      </c>
      <c r="N234" s="32">
        <f>IF(OR($C234="",$G234="",$I234=""),0,IF(ROUND(($I234-$G234)*1440,0)&gt;設定!$C$28,ROUND(($I234-$G234)*1440,0),0))</f>
        <v/>
      </c>
      <c r="O234" s="32">
        <f>IF(OR($C234="",$H234="",$J234=""),0,IF(ROUND(($H234-$J234)*1440,0)&gt;設定!$C$28,ROUND(($H234-$J234)*1440,0),0))</f>
        <v/>
      </c>
      <c r="P234" s="33">
        <f>IF($L234="",0,IF(($L234-IFERROR(INDEX(設定!$G$5:$G$20,MATCH($F234,設定!$B$5:$B$20,0)),0))*60&gt;=設定!$C$26,ROUND(FLOOR(($L234-IFERROR(INDEX(設定!$G$5:$G$20,MATCH($F234,設定!$B$5:$B$20,0)),0))*60,設定!$C$27)/60,2),0))</f>
        <v/>
      </c>
      <c r="Q234" s="29">
        <f>IF(OR($C234="",$P234=0),"",IF($F234="國","國定假日",IF($B234="日","例假",IF($B234="六","休息日","平日"))))</f>
        <v/>
      </c>
      <c r="R234" s="34" t="n"/>
    </row>
    <row r="235">
      <c r="A235" s="30">
        <f>IF(OR(班表!$A13="",16&gt;DAY(EOMONTH(DATE(班表!$E$2,班表!$G$2,1),0))),"",DATE(班表!$E$2,班表!$G$2,16))</f>
        <v/>
      </c>
      <c r="B235" s="29">
        <f>IF($A235="","",INDEX(設定!$L$5:$L$11,WEEKDAY($A235,1)))</f>
        <v/>
      </c>
      <c r="C235" s="29">
        <f>IF($A235="","",班表!$A13)</f>
        <v/>
      </c>
      <c r="D235" s="29">
        <f>IF($C235="","",班表!$B13)</f>
        <v/>
      </c>
      <c r="E235" s="29">
        <f>IF($C235="","",班表!$C13)</f>
        <v/>
      </c>
      <c r="F235" s="29">
        <f>IF($C235="","",班表!S13)</f>
        <v/>
      </c>
      <c r="G235" s="31">
        <f>IF($F235="","",IFERROR(INDEX(設定!$D$5:$D$20,MATCH($F235,設定!$B$5:$B$20,0)),""))</f>
        <v/>
      </c>
      <c r="H235" s="31">
        <f>IF($F235="","",IFERROR(INDEX(設定!$E$5:$E$20,MATCH($F235,設定!$B$5:$B$20,0)),""))</f>
        <v/>
      </c>
      <c r="I235" s="31">
        <f>IFERROR(INDEX(打卡匯入!$C$3:$C$1002,MATCH($C235&amp;"|"&amp;DAY($A235),打卡匯入!$E$3:$E$1002,0)),"")</f>
        <v/>
      </c>
      <c r="J235" s="31">
        <f>IFERROR(INDEX(打卡匯入!$D$3:$D$1002,MATCH($C235&amp;"|"&amp;DAY($A235),打卡匯入!$E$3:$E$1002,0)),"")</f>
        <v/>
      </c>
      <c r="K235" s="32">
        <f>IF(OR($I235="",$J235=""),"",IFERROR(INDEX(設定!$F$5:$F$20,MATCH($F235,設定!$B$5:$B$20,0)),0))</f>
        <v/>
      </c>
      <c r="L235" s="33">
        <f>IF(OR($I235="",$J235=""),"",ROUND(($J235-$I235)*24-$K235/60,2))</f>
        <v/>
      </c>
      <c r="M235" s="29">
        <f>IF($C235="","",IF(AND(COUNTIF(設定!$B$14:$B$20,$F235)&gt;0,$I235&lt;&gt;""),"假日出勤",IF(AND(COUNTIF(設定!$B$5:$B$13,$F235)&gt;0,$I235=""),"未打卡",IF($I235="","",IF($N235&gt;0,"遲到",IF($O235&gt;0,"早退","正常"))))))</f>
        <v/>
      </c>
      <c r="N235" s="32">
        <f>IF(OR($C235="",$G235="",$I235=""),0,IF(ROUND(($I235-$G235)*1440,0)&gt;設定!$C$28,ROUND(($I235-$G235)*1440,0),0))</f>
        <v/>
      </c>
      <c r="O235" s="32">
        <f>IF(OR($C235="",$H235="",$J235=""),0,IF(ROUND(($H235-$J235)*1440,0)&gt;設定!$C$28,ROUND(($H235-$J235)*1440,0),0))</f>
        <v/>
      </c>
      <c r="P235" s="33">
        <f>IF($L235="",0,IF(($L235-IFERROR(INDEX(設定!$G$5:$G$20,MATCH($F235,設定!$B$5:$B$20,0)),0))*60&gt;=設定!$C$26,ROUND(FLOOR(($L235-IFERROR(INDEX(設定!$G$5:$G$20,MATCH($F235,設定!$B$5:$B$20,0)),0))*60,設定!$C$27)/60,2),0))</f>
        <v/>
      </c>
      <c r="Q235" s="29">
        <f>IF(OR($C235="",$P235=0),"",IF($F235="國","國定假日",IF($B235="日","例假",IF($B235="六","休息日","平日"))))</f>
        <v/>
      </c>
      <c r="R235" s="34" t="n"/>
    </row>
    <row r="236">
      <c r="A236" s="30">
        <f>IF(OR(班表!$A13="",17&gt;DAY(EOMONTH(DATE(班表!$E$2,班表!$G$2,1),0))),"",DATE(班表!$E$2,班表!$G$2,17))</f>
        <v/>
      </c>
      <c r="B236" s="29">
        <f>IF($A236="","",INDEX(設定!$L$5:$L$11,WEEKDAY($A236,1)))</f>
        <v/>
      </c>
      <c r="C236" s="29">
        <f>IF($A236="","",班表!$A13)</f>
        <v/>
      </c>
      <c r="D236" s="29">
        <f>IF($C236="","",班表!$B13)</f>
        <v/>
      </c>
      <c r="E236" s="29">
        <f>IF($C236="","",班表!$C13)</f>
        <v/>
      </c>
      <c r="F236" s="29">
        <f>IF($C236="","",班表!T13)</f>
        <v/>
      </c>
      <c r="G236" s="31">
        <f>IF($F236="","",IFERROR(INDEX(設定!$D$5:$D$20,MATCH($F236,設定!$B$5:$B$20,0)),""))</f>
        <v/>
      </c>
      <c r="H236" s="31">
        <f>IF($F236="","",IFERROR(INDEX(設定!$E$5:$E$20,MATCH($F236,設定!$B$5:$B$20,0)),""))</f>
        <v/>
      </c>
      <c r="I236" s="31">
        <f>IFERROR(INDEX(打卡匯入!$C$3:$C$1002,MATCH($C236&amp;"|"&amp;DAY($A236),打卡匯入!$E$3:$E$1002,0)),"")</f>
        <v/>
      </c>
      <c r="J236" s="31">
        <f>IFERROR(INDEX(打卡匯入!$D$3:$D$1002,MATCH($C236&amp;"|"&amp;DAY($A236),打卡匯入!$E$3:$E$1002,0)),"")</f>
        <v/>
      </c>
      <c r="K236" s="32">
        <f>IF(OR($I236="",$J236=""),"",IFERROR(INDEX(設定!$F$5:$F$20,MATCH($F236,設定!$B$5:$B$20,0)),0))</f>
        <v/>
      </c>
      <c r="L236" s="33">
        <f>IF(OR($I236="",$J236=""),"",ROUND(($J236-$I236)*24-$K236/60,2))</f>
        <v/>
      </c>
      <c r="M236" s="29">
        <f>IF($C236="","",IF(AND(COUNTIF(設定!$B$14:$B$20,$F236)&gt;0,$I236&lt;&gt;""),"假日出勤",IF(AND(COUNTIF(設定!$B$5:$B$13,$F236)&gt;0,$I236=""),"未打卡",IF($I236="","",IF($N236&gt;0,"遲到",IF($O236&gt;0,"早退","正常"))))))</f>
        <v/>
      </c>
      <c r="N236" s="32">
        <f>IF(OR($C236="",$G236="",$I236=""),0,IF(ROUND(($I236-$G236)*1440,0)&gt;設定!$C$28,ROUND(($I236-$G236)*1440,0),0))</f>
        <v/>
      </c>
      <c r="O236" s="32">
        <f>IF(OR($C236="",$H236="",$J236=""),0,IF(ROUND(($H236-$J236)*1440,0)&gt;設定!$C$28,ROUND(($H236-$J236)*1440,0),0))</f>
        <v/>
      </c>
      <c r="P236" s="33">
        <f>IF($L236="",0,IF(($L236-IFERROR(INDEX(設定!$G$5:$G$20,MATCH($F236,設定!$B$5:$B$20,0)),0))*60&gt;=設定!$C$26,ROUND(FLOOR(($L236-IFERROR(INDEX(設定!$G$5:$G$20,MATCH($F236,設定!$B$5:$B$20,0)),0))*60,設定!$C$27)/60,2),0))</f>
        <v/>
      </c>
      <c r="Q236" s="29">
        <f>IF(OR($C236="",$P236=0),"",IF($F236="國","國定假日",IF($B236="日","例假",IF($B236="六","休息日","平日"))))</f>
        <v/>
      </c>
      <c r="R236" s="34" t="n"/>
    </row>
    <row r="237">
      <c r="A237" s="30">
        <f>IF(OR(班表!$A13="",18&gt;DAY(EOMONTH(DATE(班表!$E$2,班表!$G$2,1),0))),"",DATE(班表!$E$2,班表!$G$2,18))</f>
        <v/>
      </c>
      <c r="B237" s="29">
        <f>IF($A237="","",INDEX(設定!$L$5:$L$11,WEEKDAY($A237,1)))</f>
        <v/>
      </c>
      <c r="C237" s="29">
        <f>IF($A237="","",班表!$A13)</f>
        <v/>
      </c>
      <c r="D237" s="29">
        <f>IF($C237="","",班表!$B13)</f>
        <v/>
      </c>
      <c r="E237" s="29">
        <f>IF($C237="","",班表!$C13)</f>
        <v/>
      </c>
      <c r="F237" s="29">
        <f>IF($C237="","",班表!U13)</f>
        <v/>
      </c>
      <c r="G237" s="31">
        <f>IF($F237="","",IFERROR(INDEX(設定!$D$5:$D$20,MATCH($F237,設定!$B$5:$B$20,0)),""))</f>
        <v/>
      </c>
      <c r="H237" s="31">
        <f>IF($F237="","",IFERROR(INDEX(設定!$E$5:$E$20,MATCH($F237,設定!$B$5:$B$20,0)),""))</f>
        <v/>
      </c>
      <c r="I237" s="31">
        <f>IFERROR(INDEX(打卡匯入!$C$3:$C$1002,MATCH($C237&amp;"|"&amp;DAY($A237),打卡匯入!$E$3:$E$1002,0)),"")</f>
        <v/>
      </c>
      <c r="J237" s="31">
        <f>IFERROR(INDEX(打卡匯入!$D$3:$D$1002,MATCH($C237&amp;"|"&amp;DAY($A237),打卡匯入!$E$3:$E$1002,0)),"")</f>
        <v/>
      </c>
      <c r="K237" s="32">
        <f>IF(OR($I237="",$J237=""),"",IFERROR(INDEX(設定!$F$5:$F$20,MATCH($F237,設定!$B$5:$B$20,0)),0))</f>
        <v/>
      </c>
      <c r="L237" s="33">
        <f>IF(OR($I237="",$J237=""),"",ROUND(($J237-$I237)*24-$K237/60,2))</f>
        <v/>
      </c>
      <c r="M237" s="29">
        <f>IF($C237="","",IF(AND(COUNTIF(設定!$B$14:$B$20,$F237)&gt;0,$I237&lt;&gt;""),"假日出勤",IF(AND(COUNTIF(設定!$B$5:$B$13,$F237)&gt;0,$I237=""),"未打卡",IF($I237="","",IF($N237&gt;0,"遲到",IF($O237&gt;0,"早退","正常"))))))</f>
        <v/>
      </c>
      <c r="N237" s="32">
        <f>IF(OR($C237="",$G237="",$I237=""),0,IF(ROUND(($I237-$G237)*1440,0)&gt;設定!$C$28,ROUND(($I237-$G237)*1440,0),0))</f>
        <v/>
      </c>
      <c r="O237" s="32">
        <f>IF(OR($C237="",$H237="",$J237=""),0,IF(ROUND(($H237-$J237)*1440,0)&gt;設定!$C$28,ROUND(($H237-$J237)*1440,0),0))</f>
        <v/>
      </c>
      <c r="P237" s="33">
        <f>IF($L237="",0,IF(($L237-IFERROR(INDEX(設定!$G$5:$G$20,MATCH($F237,設定!$B$5:$B$20,0)),0))*60&gt;=設定!$C$26,ROUND(FLOOR(($L237-IFERROR(INDEX(設定!$G$5:$G$20,MATCH($F237,設定!$B$5:$B$20,0)),0))*60,設定!$C$27)/60,2),0))</f>
        <v/>
      </c>
      <c r="Q237" s="29">
        <f>IF(OR($C237="",$P237=0),"",IF($F237="國","國定假日",IF($B237="日","例假",IF($B237="六","休息日","平日"))))</f>
        <v/>
      </c>
      <c r="R237" s="34" t="n"/>
    </row>
    <row r="238">
      <c r="A238" s="30">
        <f>IF(OR(班表!$A13="",19&gt;DAY(EOMONTH(DATE(班表!$E$2,班表!$G$2,1),0))),"",DATE(班表!$E$2,班表!$G$2,19))</f>
        <v/>
      </c>
      <c r="B238" s="29">
        <f>IF($A238="","",INDEX(設定!$L$5:$L$11,WEEKDAY($A238,1)))</f>
        <v/>
      </c>
      <c r="C238" s="29">
        <f>IF($A238="","",班表!$A13)</f>
        <v/>
      </c>
      <c r="D238" s="29">
        <f>IF($C238="","",班表!$B13)</f>
        <v/>
      </c>
      <c r="E238" s="29">
        <f>IF($C238="","",班表!$C13)</f>
        <v/>
      </c>
      <c r="F238" s="29">
        <f>IF($C238="","",班表!V13)</f>
        <v/>
      </c>
      <c r="G238" s="31">
        <f>IF($F238="","",IFERROR(INDEX(設定!$D$5:$D$20,MATCH($F238,設定!$B$5:$B$20,0)),""))</f>
        <v/>
      </c>
      <c r="H238" s="31">
        <f>IF($F238="","",IFERROR(INDEX(設定!$E$5:$E$20,MATCH($F238,設定!$B$5:$B$20,0)),""))</f>
        <v/>
      </c>
      <c r="I238" s="31">
        <f>IFERROR(INDEX(打卡匯入!$C$3:$C$1002,MATCH($C238&amp;"|"&amp;DAY($A238),打卡匯入!$E$3:$E$1002,0)),"")</f>
        <v/>
      </c>
      <c r="J238" s="31">
        <f>IFERROR(INDEX(打卡匯入!$D$3:$D$1002,MATCH($C238&amp;"|"&amp;DAY($A238),打卡匯入!$E$3:$E$1002,0)),"")</f>
        <v/>
      </c>
      <c r="K238" s="32">
        <f>IF(OR($I238="",$J238=""),"",IFERROR(INDEX(設定!$F$5:$F$20,MATCH($F238,設定!$B$5:$B$20,0)),0))</f>
        <v/>
      </c>
      <c r="L238" s="33">
        <f>IF(OR($I238="",$J238=""),"",ROUND(($J238-$I238)*24-$K238/60,2))</f>
        <v/>
      </c>
      <c r="M238" s="29">
        <f>IF($C238="","",IF(AND(COUNTIF(設定!$B$14:$B$20,$F238)&gt;0,$I238&lt;&gt;""),"假日出勤",IF(AND(COUNTIF(設定!$B$5:$B$13,$F238)&gt;0,$I238=""),"未打卡",IF($I238="","",IF($N238&gt;0,"遲到",IF($O238&gt;0,"早退","正常"))))))</f>
        <v/>
      </c>
      <c r="N238" s="32">
        <f>IF(OR($C238="",$G238="",$I238=""),0,IF(ROUND(($I238-$G238)*1440,0)&gt;設定!$C$28,ROUND(($I238-$G238)*1440,0),0))</f>
        <v/>
      </c>
      <c r="O238" s="32">
        <f>IF(OR($C238="",$H238="",$J238=""),0,IF(ROUND(($H238-$J238)*1440,0)&gt;設定!$C$28,ROUND(($H238-$J238)*1440,0),0))</f>
        <v/>
      </c>
      <c r="P238" s="33">
        <f>IF($L238="",0,IF(($L238-IFERROR(INDEX(設定!$G$5:$G$20,MATCH($F238,設定!$B$5:$B$20,0)),0))*60&gt;=設定!$C$26,ROUND(FLOOR(($L238-IFERROR(INDEX(設定!$G$5:$G$20,MATCH($F238,設定!$B$5:$B$20,0)),0))*60,設定!$C$27)/60,2),0))</f>
        <v/>
      </c>
      <c r="Q238" s="29">
        <f>IF(OR($C238="",$P238=0),"",IF($F238="國","國定假日",IF($B238="日","例假",IF($B238="六","休息日","平日"))))</f>
        <v/>
      </c>
      <c r="R238" s="34" t="n"/>
    </row>
    <row r="239">
      <c r="A239" s="30">
        <f>IF(OR(班表!$A13="",20&gt;DAY(EOMONTH(DATE(班表!$E$2,班表!$G$2,1),0))),"",DATE(班表!$E$2,班表!$G$2,20))</f>
        <v/>
      </c>
      <c r="B239" s="29">
        <f>IF($A239="","",INDEX(設定!$L$5:$L$11,WEEKDAY($A239,1)))</f>
        <v/>
      </c>
      <c r="C239" s="29">
        <f>IF($A239="","",班表!$A13)</f>
        <v/>
      </c>
      <c r="D239" s="29">
        <f>IF($C239="","",班表!$B13)</f>
        <v/>
      </c>
      <c r="E239" s="29">
        <f>IF($C239="","",班表!$C13)</f>
        <v/>
      </c>
      <c r="F239" s="29">
        <f>IF($C239="","",班表!W13)</f>
        <v/>
      </c>
      <c r="G239" s="31">
        <f>IF($F239="","",IFERROR(INDEX(設定!$D$5:$D$20,MATCH($F239,設定!$B$5:$B$20,0)),""))</f>
        <v/>
      </c>
      <c r="H239" s="31">
        <f>IF($F239="","",IFERROR(INDEX(設定!$E$5:$E$20,MATCH($F239,設定!$B$5:$B$20,0)),""))</f>
        <v/>
      </c>
      <c r="I239" s="31">
        <f>IFERROR(INDEX(打卡匯入!$C$3:$C$1002,MATCH($C239&amp;"|"&amp;DAY($A239),打卡匯入!$E$3:$E$1002,0)),"")</f>
        <v/>
      </c>
      <c r="J239" s="31">
        <f>IFERROR(INDEX(打卡匯入!$D$3:$D$1002,MATCH($C239&amp;"|"&amp;DAY($A239),打卡匯入!$E$3:$E$1002,0)),"")</f>
        <v/>
      </c>
      <c r="K239" s="32">
        <f>IF(OR($I239="",$J239=""),"",IFERROR(INDEX(設定!$F$5:$F$20,MATCH($F239,設定!$B$5:$B$20,0)),0))</f>
        <v/>
      </c>
      <c r="L239" s="33">
        <f>IF(OR($I239="",$J239=""),"",ROUND(($J239-$I239)*24-$K239/60,2))</f>
        <v/>
      </c>
      <c r="M239" s="29">
        <f>IF($C239="","",IF(AND(COUNTIF(設定!$B$14:$B$20,$F239)&gt;0,$I239&lt;&gt;""),"假日出勤",IF(AND(COUNTIF(設定!$B$5:$B$13,$F239)&gt;0,$I239=""),"未打卡",IF($I239="","",IF($N239&gt;0,"遲到",IF($O239&gt;0,"早退","正常"))))))</f>
        <v/>
      </c>
      <c r="N239" s="32">
        <f>IF(OR($C239="",$G239="",$I239=""),0,IF(ROUND(($I239-$G239)*1440,0)&gt;設定!$C$28,ROUND(($I239-$G239)*1440,0),0))</f>
        <v/>
      </c>
      <c r="O239" s="32">
        <f>IF(OR($C239="",$H239="",$J239=""),0,IF(ROUND(($H239-$J239)*1440,0)&gt;設定!$C$28,ROUND(($H239-$J239)*1440,0),0))</f>
        <v/>
      </c>
      <c r="P239" s="33">
        <f>IF($L239="",0,IF(($L239-IFERROR(INDEX(設定!$G$5:$G$20,MATCH($F239,設定!$B$5:$B$20,0)),0))*60&gt;=設定!$C$26,ROUND(FLOOR(($L239-IFERROR(INDEX(設定!$G$5:$G$20,MATCH($F239,設定!$B$5:$B$20,0)),0))*60,設定!$C$27)/60,2),0))</f>
        <v/>
      </c>
      <c r="Q239" s="29">
        <f>IF(OR($C239="",$P239=0),"",IF($F239="國","國定假日",IF($B239="日","例假",IF($B239="六","休息日","平日"))))</f>
        <v/>
      </c>
      <c r="R239" s="34" t="n"/>
    </row>
    <row r="240">
      <c r="A240" s="30">
        <f>IF(OR(班表!$A13="",21&gt;DAY(EOMONTH(DATE(班表!$E$2,班表!$G$2,1),0))),"",DATE(班表!$E$2,班表!$G$2,21))</f>
        <v/>
      </c>
      <c r="B240" s="29">
        <f>IF($A240="","",INDEX(設定!$L$5:$L$11,WEEKDAY($A240,1)))</f>
        <v/>
      </c>
      <c r="C240" s="29">
        <f>IF($A240="","",班表!$A13)</f>
        <v/>
      </c>
      <c r="D240" s="29">
        <f>IF($C240="","",班表!$B13)</f>
        <v/>
      </c>
      <c r="E240" s="29">
        <f>IF($C240="","",班表!$C13)</f>
        <v/>
      </c>
      <c r="F240" s="29">
        <f>IF($C240="","",班表!X13)</f>
        <v/>
      </c>
      <c r="G240" s="31">
        <f>IF($F240="","",IFERROR(INDEX(設定!$D$5:$D$20,MATCH($F240,設定!$B$5:$B$20,0)),""))</f>
        <v/>
      </c>
      <c r="H240" s="31">
        <f>IF($F240="","",IFERROR(INDEX(設定!$E$5:$E$20,MATCH($F240,設定!$B$5:$B$20,0)),""))</f>
        <v/>
      </c>
      <c r="I240" s="31">
        <f>IFERROR(INDEX(打卡匯入!$C$3:$C$1002,MATCH($C240&amp;"|"&amp;DAY($A240),打卡匯入!$E$3:$E$1002,0)),"")</f>
        <v/>
      </c>
      <c r="J240" s="31">
        <f>IFERROR(INDEX(打卡匯入!$D$3:$D$1002,MATCH($C240&amp;"|"&amp;DAY($A240),打卡匯入!$E$3:$E$1002,0)),"")</f>
        <v/>
      </c>
      <c r="K240" s="32">
        <f>IF(OR($I240="",$J240=""),"",IFERROR(INDEX(設定!$F$5:$F$20,MATCH($F240,設定!$B$5:$B$20,0)),0))</f>
        <v/>
      </c>
      <c r="L240" s="33">
        <f>IF(OR($I240="",$J240=""),"",ROUND(($J240-$I240)*24-$K240/60,2))</f>
        <v/>
      </c>
      <c r="M240" s="29">
        <f>IF($C240="","",IF(AND(COUNTIF(設定!$B$14:$B$20,$F240)&gt;0,$I240&lt;&gt;""),"假日出勤",IF(AND(COUNTIF(設定!$B$5:$B$13,$F240)&gt;0,$I240=""),"未打卡",IF($I240="","",IF($N240&gt;0,"遲到",IF($O240&gt;0,"早退","正常"))))))</f>
        <v/>
      </c>
      <c r="N240" s="32">
        <f>IF(OR($C240="",$G240="",$I240=""),0,IF(ROUND(($I240-$G240)*1440,0)&gt;設定!$C$28,ROUND(($I240-$G240)*1440,0),0))</f>
        <v/>
      </c>
      <c r="O240" s="32">
        <f>IF(OR($C240="",$H240="",$J240=""),0,IF(ROUND(($H240-$J240)*1440,0)&gt;設定!$C$28,ROUND(($H240-$J240)*1440,0),0))</f>
        <v/>
      </c>
      <c r="P240" s="33">
        <f>IF($L240="",0,IF(($L240-IFERROR(INDEX(設定!$G$5:$G$20,MATCH($F240,設定!$B$5:$B$20,0)),0))*60&gt;=設定!$C$26,ROUND(FLOOR(($L240-IFERROR(INDEX(設定!$G$5:$G$20,MATCH($F240,設定!$B$5:$B$20,0)),0))*60,設定!$C$27)/60,2),0))</f>
        <v/>
      </c>
      <c r="Q240" s="29">
        <f>IF(OR($C240="",$P240=0),"",IF($F240="國","國定假日",IF($B240="日","例假",IF($B240="六","休息日","平日"))))</f>
        <v/>
      </c>
      <c r="R240" s="34" t="n"/>
    </row>
    <row r="241">
      <c r="A241" s="30">
        <f>IF(OR(班表!$A13="",22&gt;DAY(EOMONTH(DATE(班表!$E$2,班表!$G$2,1),0))),"",DATE(班表!$E$2,班表!$G$2,22))</f>
        <v/>
      </c>
      <c r="B241" s="29">
        <f>IF($A241="","",INDEX(設定!$L$5:$L$11,WEEKDAY($A241,1)))</f>
        <v/>
      </c>
      <c r="C241" s="29">
        <f>IF($A241="","",班表!$A13)</f>
        <v/>
      </c>
      <c r="D241" s="29">
        <f>IF($C241="","",班表!$B13)</f>
        <v/>
      </c>
      <c r="E241" s="29">
        <f>IF($C241="","",班表!$C13)</f>
        <v/>
      </c>
      <c r="F241" s="29">
        <f>IF($C241="","",班表!Y13)</f>
        <v/>
      </c>
      <c r="G241" s="31">
        <f>IF($F241="","",IFERROR(INDEX(設定!$D$5:$D$20,MATCH($F241,設定!$B$5:$B$20,0)),""))</f>
        <v/>
      </c>
      <c r="H241" s="31">
        <f>IF($F241="","",IFERROR(INDEX(設定!$E$5:$E$20,MATCH($F241,設定!$B$5:$B$20,0)),""))</f>
        <v/>
      </c>
      <c r="I241" s="31">
        <f>IFERROR(INDEX(打卡匯入!$C$3:$C$1002,MATCH($C241&amp;"|"&amp;DAY($A241),打卡匯入!$E$3:$E$1002,0)),"")</f>
        <v/>
      </c>
      <c r="J241" s="31">
        <f>IFERROR(INDEX(打卡匯入!$D$3:$D$1002,MATCH($C241&amp;"|"&amp;DAY($A241),打卡匯入!$E$3:$E$1002,0)),"")</f>
        <v/>
      </c>
      <c r="K241" s="32">
        <f>IF(OR($I241="",$J241=""),"",IFERROR(INDEX(設定!$F$5:$F$20,MATCH($F241,設定!$B$5:$B$20,0)),0))</f>
        <v/>
      </c>
      <c r="L241" s="33">
        <f>IF(OR($I241="",$J241=""),"",ROUND(($J241-$I241)*24-$K241/60,2))</f>
        <v/>
      </c>
      <c r="M241" s="29">
        <f>IF($C241="","",IF(AND(COUNTIF(設定!$B$14:$B$20,$F241)&gt;0,$I241&lt;&gt;""),"假日出勤",IF(AND(COUNTIF(設定!$B$5:$B$13,$F241)&gt;0,$I241=""),"未打卡",IF($I241="","",IF($N241&gt;0,"遲到",IF($O241&gt;0,"早退","正常"))))))</f>
        <v/>
      </c>
      <c r="N241" s="32">
        <f>IF(OR($C241="",$G241="",$I241=""),0,IF(ROUND(($I241-$G241)*1440,0)&gt;設定!$C$28,ROUND(($I241-$G241)*1440,0),0))</f>
        <v/>
      </c>
      <c r="O241" s="32">
        <f>IF(OR($C241="",$H241="",$J241=""),0,IF(ROUND(($H241-$J241)*1440,0)&gt;設定!$C$28,ROUND(($H241-$J241)*1440,0),0))</f>
        <v/>
      </c>
      <c r="P241" s="33">
        <f>IF($L241="",0,IF(($L241-IFERROR(INDEX(設定!$G$5:$G$20,MATCH($F241,設定!$B$5:$B$20,0)),0))*60&gt;=設定!$C$26,ROUND(FLOOR(($L241-IFERROR(INDEX(設定!$G$5:$G$20,MATCH($F241,設定!$B$5:$B$20,0)),0))*60,設定!$C$27)/60,2),0))</f>
        <v/>
      </c>
      <c r="Q241" s="29">
        <f>IF(OR($C241="",$P241=0),"",IF($F241="國","國定假日",IF($B241="日","例假",IF($B241="六","休息日","平日"))))</f>
        <v/>
      </c>
      <c r="R241" s="34" t="n"/>
    </row>
    <row r="242">
      <c r="A242" s="30">
        <f>IF(OR(班表!$A13="",23&gt;DAY(EOMONTH(DATE(班表!$E$2,班表!$G$2,1),0))),"",DATE(班表!$E$2,班表!$G$2,23))</f>
        <v/>
      </c>
      <c r="B242" s="29">
        <f>IF($A242="","",INDEX(設定!$L$5:$L$11,WEEKDAY($A242,1)))</f>
        <v/>
      </c>
      <c r="C242" s="29">
        <f>IF($A242="","",班表!$A13)</f>
        <v/>
      </c>
      <c r="D242" s="29">
        <f>IF($C242="","",班表!$B13)</f>
        <v/>
      </c>
      <c r="E242" s="29">
        <f>IF($C242="","",班表!$C13)</f>
        <v/>
      </c>
      <c r="F242" s="29">
        <f>IF($C242="","",班表!Z13)</f>
        <v/>
      </c>
      <c r="G242" s="31">
        <f>IF($F242="","",IFERROR(INDEX(設定!$D$5:$D$20,MATCH($F242,設定!$B$5:$B$20,0)),""))</f>
        <v/>
      </c>
      <c r="H242" s="31">
        <f>IF($F242="","",IFERROR(INDEX(設定!$E$5:$E$20,MATCH($F242,設定!$B$5:$B$20,0)),""))</f>
        <v/>
      </c>
      <c r="I242" s="31">
        <f>IFERROR(INDEX(打卡匯入!$C$3:$C$1002,MATCH($C242&amp;"|"&amp;DAY($A242),打卡匯入!$E$3:$E$1002,0)),"")</f>
        <v/>
      </c>
      <c r="J242" s="31">
        <f>IFERROR(INDEX(打卡匯入!$D$3:$D$1002,MATCH($C242&amp;"|"&amp;DAY($A242),打卡匯入!$E$3:$E$1002,0)),"")</f>
        <v/>
      </c>
      <c r="K242" s="32">
        <f>IF(OR($I242="",$J242=""),"",IFERROR(INDEX(設定!$F$5:$F$20,MATCH($F242,設定!$B$5:$B$20,0)),0))</f>
        <v/>
      </c>
      <c r="L242" s="33">
        <f>IF(OR($I242="",$J242=""),"",ROUND(($J242-$I242)*24-$K242/60,2))</f>
        <v/>
      </c>
      <c r="M242" s="29">
        <f>IF($C242="","",IF(AND(COUNTIF(設定!$B$14:$B$20,$F242)&gt;0,$I242&lt;&gt;""),"假日出勤",IF(AND(COUNTIF(設定!$B$5:$B$13,$F242)&gt;0,$I242=""),"未打卡",IF($I242="","",IF($N242&gt;0,"遲到",IF($O242&gt;0,"早退","正常"))))))</f>
        <v/>
      </c>
      <c r="N242" s="32">
        <f>IF(OR($C242="",$G242="",$I242=""),0,IF(ROUND(($I242-$G242)*1440,0)&gt;設定!$C$28,ROUND(($I242-$G242)*1440,0),0))</f>
        <v/>
      </c>
      <c r="O242" s="32">
        <f>IF(OR($C242="",$H242="",$J242=""),0,IF(ROUND(($H242-$J242)*1440,0)&gt;設定!$C$28,ROUND(($H242-$J242)*1440,0),0))</f>
        <v/>
      </c>
      <c r="P242" s="33">
        <f>IF($L242="",0,IF(($L242-IFERROR(INDEX(設定!$G$5:$G$20,MATCH($F242,設定!$B$5:$B$20,0)),0))*60&gt;=設定!$C$26,ROUND(FLOOR(($L242-IFERROR(INDEX(設定!$G$5:$G$20,MATCH($F242,設定!$B$5:$B$20,0)),0))*60,設定!$C$27)/60,2),0))</f>
        <v/>
      </c>
      <c r="Q242" s="29">
        <f>IF(OR($C242="",$P242=0),"",IF($F242="國","國定假日",IF($B242="日","例假",IF($B242="六","休息日","平日"))))</f>
        <v/>
      </c>
      <c r="R242" s="34" t="n"/>
    </row>
    <row r="243">
      <c r="A243" s="30">
        <f>IF(OR(班表!$A13="",24&gt;DAY(EOMONTH(DATE(班表!$E$2,班表!$G$2,1),0))),"",DATE(班表!$E$2,班表!$G$2,24))</f>
        <v/>
      </c>
      <c r="B243" s="29">
        <f>IF($A243="","",INDEX(設定!$L$5:$L$11,WEEKDAY($A243,1)))</f>
        <v/>
      </c>
      <c r="C243" s="29">
        <f>IF($A243="","",班表!$A13)</f>
        <v/>
      </c>
      <c r="D243" s="29">
        <f>IF($C243="","",班表!$B13)</f>
        <v/>
      </c>
      <c r="E243" s="29">
        <f>IF($C243="","",班表!$C13)</f>
        <v/>
      </c>
      <c r="F243" s="29">
        <f>IF($C243="","",班表!AA13)</f>
        <v/>
      </c>
      <c r="G243" s="31">
        <f>IF($F243="","",IFERROR(INDEX(設定!$D$5:$D$20,MATCH($F243,設定!$B$5:$B$20,0)),""))</f>
        <v/>
      </c>
      <c r="H243" s="31">
        <f>IF($F243="","",IFERROR(INDEX(設定!$E$5:$E$20,MATCH($F243,設定!$B$5:$B$20,0)),""))</f>
        <v/>
      </c>
      <c r="I243" s="31">
        <f>IFERROR(INDEX(打卡匯入!$C$3:$C$1002,MATCH($C243&amp;"|"&amp;DAY($A243),打卡匯入!$E$3:$E$1002,0)),"")</f>
        <v/>
      </c>
      <c r="J243" s="31">
        <f>IFERROR(INDEX(打卡匯入!$D$3:$D$1002,MATCH($C243&amp;"|"&amp;DAY($A243),打卡匯入!$E$3:$E$1002,0)),"")</f>
        <v/>
      </c>
      <c r="K243" s="32">
        <f>IF(OR($I243="",$J243=""),"",IFERROR(INDEX(設定!$F$5:$F$20,MATCH($F243,設定!$B$5:$B$20,0)),0))</f>
        <v/>
      </c>
      <c r="L243" s="33">
        <f>IF(OR($I243="",$J243=""),"",ROUND(($J243-$I243)*24-$K243/60,2))</f>
        <v/>
      </c>
      <c r="M243" s="29">
        <f>IF($C243="","",IF(AND(COUNTIF(設定!$B$14:$B$20,$F243)&gt;0,$I243&lt;&gt;""),"假日出勤",IF(AND(COUNTIF(設定!$B$5:$B$13,$F243)&gt;0,$I243=""),"未打卡",IF($I243="","",IF($N243&gt;0,"遲到",IF($O243&gt;0,"早退","正常"))))))</f>
        <v/>
      </c>
      <c r="N243" s="32">
        <f>IF(OR($C243="",$G243="",$I243=""),0,IF(ROUND(($I243-$G243)*1440,0)&gt;設定!$C$28,ROUND(($I243-$G243)*1440,0),0))</f>
        <v/>
      </c>
      <c r="O243" s="32">
        <f>IF(OR($C243="",$H243="",$J243=""),0,IF(ROUND(($H243-$J243)*1440,0)&gt;設定!$C$28,ROUND(($H243-$J243)*1440,0),0))</f>
        <v/>
      </c>
      <c r="P243" s="33">
        <f>IF($L243="",0,IF(($L243-IFERROR(INDEX(設定!$G$5:$G$20,MATCH($F243,設定!$B$5:$B$20,0)),0))*60&gt;=設定!$C$26,ROUND(FLOOR(($L243-IFERROR(INDEX(設定!$G$5:$G$20,MATCH($F243,設定!$B$5:$B$20,0)),0))*60,設定!$C$27)/60,2),0))</f>
        <v/>
      </c>
      <c r="Q243" s="29">
        <f>IF(OR($C243="",$P243=0),"",IF($F243="國","國定假日",IF($B243="日","例假",IF($B243="六","休息日","平日"))))</f>
        <v/>
      </c>
      <c r="R243" s="34" t="n"/>
    </row>
    <row r="244">
      <c r="A244" s="30">
        <f>IF(OR(班表!$A13="",25&gt;DAY(EOMONTH(DATE(班表!$E$2,班表!$G$2,1),0))),"",DATE(班表!$E$2,班表!$G$2,25))</f>
        <v/>
      </c>
      <c r="B244" s="29">
        <f>IF($A244="","",INDEX(設定!$L$5:$L$11,WEEKDAY($A244,1)))</f>
        <v/>
      </c>
      <c r="C244" s="29">
        <f>IF($A244="","",班表!$A13)</f>
        <v/>
      </c>
      <c r="D244" s="29">
        <f>IF($C244="","",班表!$B13)</f>
        <v/>
      </c>
      <c r="E244" s="29">
        <f>IF($C244="","",班表!$C13)</f>
        <v/>
      </c>
      <c r="F244" s="29">
        <f>IF($C244="","",班表!AB13)</f>
        <v/>
      </c>
      <c r="G244" s="31">
        <f>IF($F244="","",IFERROR(INDEX(設定!$D$5:$D$20,MATCH($F244,設定!$B$5:$B$20,0)),""))</f>
        <v/>
      </c>
      <c r="H244" s="31">
        <f>IF($F244="","",IFERROR(INDEX(設定!$E$5:$E$20,MATCH($F244,設定!$B$5:$B$20,0)),""))</f>
        <v/>
      </c>
      <c r="I244" s="31">
        <f>IFERROR(INDEX(打卡匯入!$C$3:$C$1002,MATCH($C244&amp;"|"&amp;DAY($A244),打卡匯入!$E$3:$E$1002,0)),"")</f>
        <v/>
      </c>
      <c r="J244" s="31">
        <f>IFERROR(INDEX(打卡匯入!$D$3:$D$1002,MATCH($C244&amp;"|"&amp;DAY($A244),打卡匯入!$E$3:$E$1002,0)),"")</f>
        <v/>
      </c>
      <c r="K244" s="32">
        <f>IF(OR($I244="",$J244=""),"",IFERROR(INDEX(設定!$F$5:$F$20,MATCH($F244,設定!$B$5:$B$20,0)),0))</f>
        <v/>
      </c>
      <c r="L244" s="33">
        <f>IF(OR($I244="",$J244=""),"",ROUND(($J244-$I244)*24-$K244/60,2))</f>
        <v/>
      </c>
      <c r="M244" s="29">
        <f>IF($C244="","",IF(AND(COUNTIF(設定!$B$14:$B$20,$F244)&gt;0,$I244&lt;&gt;""),"假日出勤",IF(AND(COUNTIF(設定!$B$5:$B$13,$F244)&gt;0,$I244=""),"未打卡",IF($I244="","",IF($N244&gt;0,"遲到",IF($O244&gt;0,"早退","正常"))))))</f>
        <v/>
      </c>
      <c r="N244" s="32">
        <f>IF(OR($C244="",$G244="",$I244=""),0,IF(ROUND(($I244-$G244)*1440,0)&gt;設定!$C$28,ROUND(($I244-$G244)*1440,0),0))</f>
        <v/>
      </c>
      <c r="O244" s="32">
        <f>IF(OR($C244="",$H244="",$J244=""),0,IF(ROUND(($H244-$J244)*1440,0)&gt;設定!$C$28,ROUND(($H244-$J244)*1440,0),0))</f>
        <v/>
      </c>
      <c r="P244" s="33">
        <f>IF($L244="",0,IF(($L244-IFERROR(INDEX(設定!$G$5:$G$20,MATCH($F244,設定!$B$5:$B$20,0)),0))*60&gt;=設定!$C$26,ROUND(FLOOR(($L244-IFERROR(INDEX(設定!$G$5:$G$20,MATCH($F244,設定!$B$5:$B$20,0)),0))*60,設定!$C$27)/60,2),0))</f>
        <v/>
      </c>
      <c r="Q244" s="29">
        <f>IF(OR($C244="",$P244=0),"",IF($F244="國","國定假日",IF($B244="日","例假",IF($B244="六","休息日","平日"))))</f>
        <v/>
      </c>
      <c r="R244" s="34" t="n"/>
    </row>
    <row r="245">
      <c r="A245" s="30">
        <f>IF(OR(班表!$A13="",26&gt;DAY(EOMONTH(DATE(班表!$E$2,班表!$G$2,1),0))),"",DATE(班表!$E$2,班表!$G$2,26))</f>
        <v/>
      </c>
      <c r="B245" s="29">
        <f>IF($A245="","",INDEX(設定!$L$5:$L$11,WEEKDAY($A245,1)))</f>
        <v/>
      </c>
      <c r="C245" s="29">
        <f>IF($A245="","",班表!$A13)</f>
        <v/>
      </c>
      <c r="D245" s="29">
        <f>IF($C245="","",班表!$B13)</f>
        <v/>
      </c>
      <c r="E245" s="29">
        <f>IF($C245="","",班表!$C13)</f>
        <v/>
      </c>
      <c r="F245" s="29">
        <f>IF($C245="","",班表!AC13)</f>
        <v/>
      </c>
      <c r="G245" s="31">
        <f>IF($F245="","",IFERROR(INDEX(設定!$D$5:$D$20,MATCH($F245,設定!$B$5:$B$20,0)),""))</f>
        <v/>
      </c>
      <c r="H245" s="31">
        <f>IF($F245="","",IFERROR(INDEX(設定!$E$5:$E$20,MATCH($F245,設定!$B$5:$B$20,0)),""))</f>
        <v/>
      </c>
      <c r="I245" s="31">
        <f>IFERROR(INDEX(打卡匯入!$C$3:$C$1002,MATCH($C245&amp;"|"&amp;DAY($A245),打卡匯入!$E$3:$E$1002,0)),"")</f>
        <v/>
      </c>
      <c r="J245" s="31">
        <f>IFERROR(INDEX(打卡匯入!$D$3:$D$1002,MATCH($C245&amp;"|"&amp;DAY($A245),打卡匯入!$E$3:$E$1002,0)),"")</f>
        <v/>
      </c>
      <c r="K245" s="32">
        <f>IF(OR($I245="",$J245=""),"",IFERROR(INDEX(設定!$F$5:$F$20,MATCH($F245,設定!$B$5:$B$20,0)),0))</f>
        <v/>
      </c>
      <c r="L245" s="33">
        <f>IF(OR($I245="",$J245=""),"",ROUND(($J245-$I245)*24-$K245/60,2))</f>
        <v/>
      </c>
      <c r="M245" s="29">
        <f>IF($C245="","",IF(AND(COUNTIF(設定!$B$14:$B$20,$F245)&gt;0,$I245&lt;&gt;""),"假日出勤",IF(AND(COUNTIF(設定!$B$5:$B$13,$F245)&gt;0,$I245=""),"未打卡",IF($I245="","",IF($N245&gt;0,"遲到",IF($O245&gt;0,"早退","正常"))))))</f>
        <v/>
      </c>
      <c r="N245" s="32">
        <f>IF(OR($C245="",$G245="",$I245=""),0,IF(ROUND(($I245-$G245)*1440,0)&gt;設定!$C$28,ROUND(($I245-$G245)*1440,0),0))</f>
        <v/>
      </c>
      <c r="O245" s="32">
        <f>IF(OR($C245="",$H245="",$J245=""),0,IF(ROUND(($H245-$J245)*1440,0)&gt;設定!$C$28,ROUND(($H245-$J245)*1440,0),0))</f>
        <v/>
      </c>
      <c r="P245" s="33">
        <f>IF($L245="",0,IF(($L245-IFERROR(INDEX(設定!$G$5:$G$20,MATCH($F245,設定!$B$5:$B$20,0)),0))*60&gt;=設定!$C$26,ROUND(FLOOR(($L245-IFERROR(INDEX(設定!$G$5:$G$20,MATCH($F245,設定!$B$5:$B$20,0)),0))*60,設定!$C$27)/60,2),0))</f>
        <v/>
      </c>
      <c r="Q245" s="29">
        <f>IF(OR($C245="",$P245=0),"",IF($F245="國","國定假日",IF($B245="日","例假",IF($B245="六","休息日","平日"))))</f>
        <v/>
      </c>
      <c r="R245" s="34" t="n"/>
    </row>
    <row r="246">
      <c r="A246" s="30">
        <f>IF(OR(班表!$A13="",27&gt;DAY(EOMONTH(DATE(班表!$E$2,班表!$G$2,1),0))),"",DATE(班表!$E$2,班表!$G$2,27))</f>
        <v/>
      </c>
      <c r="B246" s="29">
        <f>IF($A246="","",INDEX(設定!$L$5:$L$11,WEEKDAY($A246,1)))</f>
        <v/>
      </c>
      <c r="C246" s="29">
        <f>IF($A246="","",班表!$A13)</f>
        <v/>
      </c>
      <c r="D246" s="29">
        <f>IF($C246="","",班表!$B13)</f>
        <v/>
      </c>
      <c r="E246" s="29">
        <f>IF($C246="","",班表!$C13)</f>
        <v/>
      </c>
      <c r="F246" s="29">
        <f>IF($C246="","",班表!AD13)</f>
        <v/>
      </c>
      <c r="G246" s="31">
        <f>IF($F246="","",IFERROR(INDEX(設定!$D$5:$D$20,MATCH($F246,設定!$B$5:$B$20,0)),""))</f>
        <v/>
      </c>
      <c r="H246" s="31">
        <f>IF($F246="","",IFERROR(INDEX(設定!$E$5:$E$20,MATCH($F246,設定!$B$5:$B$20,0)),""))</f>
        <v/>
      </c>
      <c r="I246" s="31">
        <f>IFERROR(INDEX(打卡匯入!$C$3:$C$1002,MATCH($C246&amp;"|"&amp;DAY($A246),打卡匯入!$E$3:$E$1002,0)),"")</f>
        <v/>
      </c>
      <c r="J246" s="31">
        <f>IFERROR(INDEX(打卡匯入!$D$3:$D$1002,MATCH($C246&amp;"|"&amp;DAY($A246),打卡匯入!$E$3:$E$1002,0)),"")</f>
        <v/>
      </c>
      <c r="K246" s="32">
        <f>IF(OR($I246="",$J246=""),"",IFERROR(INDEX(設定!$F$5:$F$20,MATCH($F246,設定!$B$5:$B$20,0)),0))</f>
        <v/>
      </c>
      <c r="L246" s="33">
        <f>IF(OR($I246="",$J246=""),"",ROUND(($J246-$I246)*24-$K246/60,2))</f>
        <v/>
      </c>
      <c r="M246" s="29">
        <f>IF($C246="","",IF(AND(COUNTIF(設定!$B$14:$B$20,$F246)&gt;0,$I246&lt;&gt;""),"假日出勤",IF(AND(COUNTIF(設定!$B$5:$B$13,$F246)&gt;0,$I246=""),"未打卡",IF($I246="","",IF($N246&gt;0,"遲到",IF($O246&gt;0,"早退","正常"))))))</f>
        <v/>
      </c>
      <c r="N246" s="32">
        <f>IF(OR($C246="",$G246="",$I246=""),0,IF(ROUND(($I246-$G246)*1440,0)&gt;設定!$C$28,ROUND(($I246-$G246)*1440,0),0))</f>
        <v/>
      </c>
      <c r="O246" s="32">
        <f>IF(OR($C246="",$H246="",$J246=""),0,IF(ROUND(($H246-$J246)*1440,0)&gt;設定!$C$28,ROUND(($H246-$J246)*1440,0),0))</f>
        <v/>
      </c>
      <c r="P246" s="33">
        <f>IF($L246="",0,IF(($L246-IFERROR(INDEX(設定!$G$5:$G$20,MATCH($F246,設定!$B$5:$B$20,0)),0))*60&gt;=設定!$C$26,ROUND(FLOOR(($L246-IFERROR(INDEX(設定!$G$5:$G$20,MATCH($F246,設定!$B$5:$B$20,0)),0))*60,設定!$C$27)/60,2),0))</f>
        <v/>
      </c>
      <c r="Q246" s="29">
        <f>IF(OR($C246="",$P246=0),"",IF($F246="國","國定假日",IF($B246="日","例假",IF($B246="六","休息日","平日"))))</f>
        <v/>
      </c>
      <c r="R246" s="34" t="n"/>
    </row>
    <row r="247">
      <c r="A247" s="30">
        <f>IF(OR(班表!$A13="",28&gt;DAY(EOMONTH(DATE(班表!$E$2,班表!$G$2,1),0))),"",DATE(班表!$E$2,班表!$G$2,28))</f>
        <v/>
      </c>
      <c r="B247" s="29">
        <f>IF($A247="","",INDEX(設定!$L$5:$L$11,WEEKDAY($A247,1)))</f>
        <v/>
      </c>
      <c r="C247" s="29">
        <f>IF($A247="","",班表!$A13)</f>
        <v/>
      </c>
      <c r="D247" s="29">
        <f>IF($C247="","",班表!$B13)</f>
        <v/>
      </c>
      <c r="E247" s="29">
        <f>IF($C247="","",班表!$C13)</f>
        <v/>
      </c>
      <c r="F247" s="29">
        <f>IF($C247="","",班表!AE13)</f>
        <v/>
      </c>
      <c r="G247" s="31">
        <f>IF($F247="","",IFERROR(INDEX(設定!$D$5:$D$20,MATCH($F247,設定!$B$5:$B$20,0)),""))</f>
        <v/>
      </c>
      <c r="H247" s="31">
        <f>IF($F247="","",IFERROR(INDEX(設定!$E$5:$E$20,MATCH($F247,設定!$B$5:$B$20,0)),""))</f>
        <v/>
      </c>
      <c r="I247" s="31">
        <f>IFERROR(INDEX(打卡匯入!$C$3:$C$1002,MATCH($C247&amp;"|"&amp;DAY($A247),打卡匯入!$E$3:$E$1002,0)),"")</f>
        <v/>
      </c>
      <c r="J247" s="31">
        <f>IFERROR(INDEX(打卡匯入!$D$3:$D$1002,MATCH($C247&amp;"|"&amp;DAY($A247),打卡匯入!$E$3:$E$1002,0)),"")</f>
        <v/>
      </c>
      <c r="K247" s="32">
        <f>IF(OR($I247="",$J247=""),"",IFERROR(INDEX(設定!$F$5:$F$20,MATCH($F247,設定!$B$5:$B$20,0)),0))</f>
        <v/>
      </c>
      <c r="L247" s="33">
        <f>IF(OR($I247="",$J247=""),"",ROUND(($J247-$I247)*24-$K247/60,2))</f>
        <v/>
      </c>
      <c r="M247" s="29">
        <f>IF($C247="","",IF(AND(COUNTIF(設定!$B$14:$B$20,$F247)&gt;0,$I247&lt;&gt;""),"假日出勤",IF(AND(COUNTIF(設定!$B$5:$B$13,$F247)&gt;0,$I247=""),"未打卡",IF($I247="","",IF($N247&gt;0,"遲到",IF($O247&gt;0,"早退","正常"))))))</f>
        <v/>
      </c>
      <c r="N247" s="32">
        <f>IF(OR($C247="",$G247="",$I247=""),0,IF(ROUND(($I247-$G247)*1440,0)&gt;設定!$C$28,ROUND(($I247-$G247)*1440,0),0))</f>
        <v/>
      </c>
      <c r="O247" s="32">
        <f>IF(OR($C247="",$H247="",$J247=""),0,IF(ROUND(($H247-$J247)*1440,0)&gt;設定!$C$28,ROUND(($H247-$J247)*1440,0),0))</f>
        <v/>
      </c>
      <c r="P247" s="33">
        <f>IF($L247="",0,IF(($L247-IFERROR(INDEX(設定!$G$5:$G$20,MATCH($F247,設定!$B$5:$B$20,0)),0))*60&gt;=設定!$C$26,ROUND(FLOOR(($L247-IFERROR(INDEX(設定!$G$5:$G$20,MATCH($F247,設定!$B$5:$B$20,0)),0))*60,設定!$C$27)/60,2),0))</f>
        <v/>
      </c>
      <c r="Q247" s="29">
        <f>IF(OR($C247="",$P247=0),"",IF($F247="國","國定假日",IF($B247="日","例假",IF($B247="六","休息日","平日"))))</f>
        <v/>
      </c>
      <c r="R247" s="34" t="n"/>
    </row>
    <row r="248">
      <c r="A248" s="30">
        <f>IF(OR(班表!$A13="",29&gt;DAY(EOMONTH(DATE(班表!$E$2,班表!$G$2,1),0))),"",DATE(班表!$E$2,班表!$G$2,29))</f>
        <v/>
      </c>
      <c r="B248" s="29">
        <f>IF($A248="","",INDEX(設定!$L$5:$L$11,WEEKDAY($A248,1)))</f>
        <v/>
      </c>
      <c r="C248" s="29">
        <f>IF($A248="","",班表!$A13)</f>
        <v/>
      </c>
      <c r="D248" s="29">
        <f>IF($C248="","",班表!$B13)</f>
        <v/>
      </c>
      <c r="E248" s="29">
        <f>IF($C248="","",班表!$C13)</f>
        <v/>
      </c>
      <c r="F248" s="29">
        <f>IF($C248="","",班表!AF13)</f>
        <v/>
      </c>
      <c r="G248" s="31">
        <f>IF($F248="","",IFERROR(INDEX(設定!$D$5:$D$20,MATCH($F248,設定!$B$5:$B$20,0)),""))</f>
        <v/>
      </c>
      <c r="H248" s="31">
        <f>IF($F248="","",IFERROR(INDEX(設定!$E$5:$E$20,MATCH($F248,設定!$B$5:$B$20,0)),""))</f>
        <v/>
      </c>
      <c r="I248" s="31">
        <f>IFERROR(INDEX(打卡匯入!$C$3:$C$1002,MATCH($C248&amp;"|"&amp;DAY($A248),打卡匯入!$E$3:$E$1002,0)),"")</f>
        <v/>
      </c>
      <c r="J248" s="31">
        <f>IFERROR(INDEX(打卡匯入!$D$3:$D$1002,MATCH($C248&amp;"|"&amp;DAY($A248),打卡匯入!$E$3:$E$1002,0)),"")</f>
        <v/>
      </c>
      <c r="K248" s="32">
        <f>IF(OR($I248="",$J248=""),"",IFERROR(INDEX(設定!$F$5:$F$20,MATCH($F248,設定!$B$5:$B$20,0)),0))</f>
        <v/>
      </c>
      <c r="L248" s="33">
        <f>IF(OR($I248="",$J248=""),"",ROUND(($J248-$I248)*24-$K248/60,2))</f>
        <v/>
      </c>
      <c r="M248" s="29">
        <f>IF($C248="","",IF(AND(COUNTIF(設定!$B$14:$B$20,$F248)&gt;0,$I248&lt;&gt;""),"假日出勤",IF(AND(COUNTIF(設定!$B$5:$B$13,$F248)&gt;0,$I248=""),"未打卡",IF($I248="","",IF($N248&gt;0,"遲到",IF($O248&gt;0,"早退","正常"))))))</f>
        <v/>
      </c>
      <c r="N248" s="32">
        <f>IF(OR($C248="",$G248="",$I248=""),0,IF(ROUND(($I248-$G248)*1440,0)&gt;設定!$C$28,ROUND(($I248-$G248)*1440,0),0))</f>
        <v/>
      </c>
      <c r="O248" s="32">
        <f>IF(OR($C248="",$H248="",$J248=""),0,IF(ROUND(($H248-$J248)*1440,0)&gt;設定!$C$28,ROUND(($H248-$J248)*1440,0),0))</f>
        <v/>
      </c>
      <c r="P248" s="33">
        <f>IF($L248="",0,IF(($L248-IFERROR(INDEX(設定!$G$5:$G$20,MATCH($F248,設定!$B$5:$B$20,0)),0))*60&gt;=設定!$C$26,ROUND(FLOOR(($L248-IFERROR(INDEX(設定!$G$5:$G$20,MATCH($F248,設定!$B$5:$B$20,0)),0))*60,設定!$C$27)/60,2),0))</f>
        <v/>
      </c>
      <c r="Q248" s="29">
        <f>IF(OR($C248="",$P248=0),"",IF($F248="國","國定假日",IF($B248="日","例假",IF($B248="六","休息日","平日"))))</f>
        <v/>
      </c>
      <c r="R248" s="34" t="n"/>
    </row>
    <row r="249">
      <c r="A249" s="30">
        <f>IF(OR(班表!$A13="",30&gt;DAY(EOMONTH(DATE(班表!$E$2,班表!$G$2,1),0))),"",DATE(班表!$E$2,班表!$G$2,30))</f>
        <v/>
      </c>
      <c r="B249" s="29">
        <f>IF($A249="","",INDEX(設定!$L$5:$L$11,WEEKDAY($A249,1)))</f>
        <v/>
      </c>
      <c r="C249" s="29">
        <f>IF($A249="","",班表!$A13)</f>
        <v/>
      </c>
      <c r="D249" s="29">
        <f>IF($C249="","",班表!$B13)</f>
        <v/>
      </c>
      <c r="E249" s="29">
        <f>IF($C249="","",班表!$C13)</f>
        <v/>
      </c>
      <c r="F249" s="29">
        <f>IF($C249="","",班表!AG13)</f>
        <v/>
      </c>
      <c r="G249" s="31">
        <f>IF($F249="","",IFERROR(INDEX(設定!$D$5:$D$20,MATCH($F249,設定!$B$5:$B$20,0)),""))</f>
        <v/>
      </c>
      <c r="H249" s="31">
        <f>IF($F249="","",IFERROR(INDEX(設定!$E$5:$E$20,MATCH($F249,設定!$B$5:$B$20,0)),""))</f>
        <v/>
      </c>
      <c r="I249" s="31">
        <f>IFERROR(INDEX(打卡匯入!$C$3:$C$1002,MATCH($C249&amp;"|"&amp;DAY($A249),打卡匯入!$E$3:$E$1002,0)),"")</f>
        <v/>
      </c>
      <c r="J249" s="31">
        <f>IFERROR(INDEX(打卡匯入!$D$3:$D$1002,MATCH($C249&amp;"|"&amp;DAY($A249),打卡匯入!$E$3:$E$1002,0)),"")</f>
        <v/>
      </c>
      <c r="K249" s="32">
        <f>IF(OR($I249="",$J249=""),"",IFERROR(INDEX(設定!$F$5:$F$20,MATCH($F249,設定!$B$5:$B$20,0)),0))</f>
        <v/>
      </c>
      <c r="L249" s="33">
        <f>IF(OR($I249="",$J249=""),"",ROUND(($J249-$I249)*24-$K249/60,2))</f>
        <v/>
      </c>
      <c r="M249" s="29">
        <f>IF($C249="","",IF(AND(COUNTIF(設定!$B$14:$B$20,$F249)&gt;0,$I249&lt;&gt;""),"假日出勤",IF(AND(COUNTIF(設定!$B$5:$B$13,$F249)&gt;0,$I249=""),"未打卡",IF($I249="","",IF($N249&gt;0,"遲到",IF($O249&gt;0,"早退","正常"))))))</f>
        <v/>
      </c>
      <c r="N249" s="32">
        <f>IF(OR($C249="",$G249="",$I249=""),0,IF(ROUND(($I249-$G249)*1440,0)&gt;設定!$C$28,ROUND(($I249-$G249)*1440,0),0))</f>
        <v/>
      </c>
      <c r="O249" s="32">
        <f>IF(OR($C249="",$H249="",$J249=""),0,IF(ROUND(($H249-$J249)*1440,0)&gt;設定!$C$28,ROUND(($H249-$J249)*1440,0),0))</f>
        <v/>
      </c>
      <c r="P249" s="33">
        <f>IF($L249="",0,IF(($L249-IFERROR(INDEX(設定!$G$5:$G$20,MATCH($F249,設定!$B$5:$B$20,0)),0))*60&gt;=設定!$C$26,ROUND(FLOOR(($L249-IFERROR(INDEX(設定!$G$5:$G$20,MATCH($F249,設定!$B$5:$B$20,0)),0))*60,設定!$C$27)/60,2),0))</f>
        <v/>
      </c>
      <c r="Q249" s="29">
        <f>IF(OR($C249="",$P249=0),"",IF($F249="國","國定假日",IF($B249="日","例假",IF($B249="六","休息日","平日"))))</f>
        <v/>
      </c>
      <c r="R249" s="34" t="n"/>
    </row>
    <row r="250">
      <c r="A250" s="30">
        <f>IF(OR(班表!$A13="",31&gt;DAY(EOMONTH(DATE(班表!$E$2,班表!$G$2,1),0))),"",DATE(班表!$E$2,班表!$G$2,31))</f>
        <v/>
      </c>
      <c r="B250" s="29">
        <f>IF($A250="","",INDEX(設定!$L$5:$L$11,WEEKDAY($A250,1)))</f>
        <v/>
      </c>
      <c r="C250" s="29">
        <f>IF($A250="","",班表!$A13)</f>
        <v/>
      </c>
      <c r="D250" s="29">
        <f>IF($C250="","",班表!$B13)</f>
        <v/>
      </c>
      <c r="E250" s="29">
        <f>IF($C250="","",班表!$C13)</f>
        <v/>
      </c>
      <c r="F250" s="29">
        <f>IF($C250="","",班表!AH13)</f>
        <v/>
      </c>
      <c r="G250" s="31">
        <f>IF($F250="","",IFERROR(INDEX(設定!$D$5:$D$20,MATCH($F250,設定!$B$5:$B$20,0)),""))</f>
        <v/>
      </c>
      <c r="H250" s="31">
        <f>IF($F250="","",IFERROR(INDEX(設定!$E$5:$E$20,MATCH($F250,設定!$B$5:$B$20,0)),""))</f>
        <v/>
      </c>
      <c r="I250" s="31">
        <f>IFERROR(INDEX(打卡匯入!$C$3:$C$1002,MATCH($C250&amp;"|"&amp;DAY($A250),打卡匯入!$E$3:$E$1002,0)),"")</f>
        <v/>
      </c>
      <c r="J250" s="31">
        <f>IFERROR(INDEX(打卡匯入!$D$3:$D$1002,MATCH($C250&amp;"|"&amp;DAY($A250),打卡匯入!$E$3:$E$1002,0)),"")</f>
        <v/>
      </c>
      <c r="K250" s="32">
        <f>IF(OR($I250="",$J250=""),"",IFERROR(INDEX(設定!$F$5:$F$20,MATCH($F250,設定!$B$5:$B$20,0)),0))</f>
        <v/>
      </c>
      <c r="L250" s="33">
        <f>IF(OR($I250="",$J250=""),"",ROUND(($J250-$I250)*24-$K250/60,2))</f>
        <v/>
      </c>
      <c r="M250" s="29">
        <f>IF($C250="","",IF(AND(COUNTIF(設定!$B$14:$B$20,$F250)&gt;0,$I250&lt;&gt;""),"假日出勤",IF(AND(COUNTIF(設定!$B$5:$B$13,$F250)&gt;0,$I250=""),"未打卡",IF($I250="","",IF($N250&gt;0,"遲到",IF($O250&gt;0,"早退","正常"))))))</f>
        <v/>
      </c>
      <c r="N250" s="32">
        <f>IF(OR($C250="",$G250="",$I250=""),0,IF(ROUND(($I250-$G250)*1440,0)&gt;設定!$C$28,ROUND(($I250-$G250)*1440,0),0))</f>
        <v/>
      </c>
      <c r="O250" s="32">
        <f>IF(OR($C250="",$H250="",$J250=""),0,IF(ROUND(($H250-$J250)*1440,0)&gt;設定!$C$28,ROUND(($H250-$J250)*1440,0),0))</f>
        <v/>
      </c>
      <c r="P250" s="33">
        <f>IF($L250="",0,IF(($L250-IFERROR(INDEX(設定!$G$5:$G$20,MATCH($F250,設定!$B$5:$B$20,0)),0))*60&gt;=設定!$C$26,ROUND(FLOOR(($L250-IFERROR(INDEX(設定!$G$5:$G$20,MATCH($F250,設定!$B$5:$B$20,0)),0))*60,設定!$C$27)/60,2),0))</f>
        <v/>
      </c>
      <c r="Q250" s="29">
        <f>IF(OR($C250="",$P250=0),"",IF($F250="國","國定假日",IF($B250="日","例假",IF($B250="六","休息日","平日"))))</f>
        <v/>
      </c>
      <c r="R250" s="34" t="n"/>
    </row>
    <row r="251">
      <c r="A251" s="30">
        <f>IF(OR(班表!$A14="",1&gt;DAY(EOMONTH(DATE(班表!$E$2,班表!$G$2,1),0))),"",DATE(班表!$E$2,班表!$G$2,1))</f>
        <v/>
      </c>
      <c r="B251" s="29">
        <f>IF($A251="","",INDEX(設定!$L$5:$L$11,WEEKDAY($A251,1)))</f>
        <v/>
      </c>
      <c r="C251" s="29">
        <f>IF($A251="","",班表!$A14)</f>
        <v/>
      </c>
      <c r="D251" s="29">
        <f>IF($C251="","",班表!$B14)</f>
        <v/>
      </c>
      <c r="E251" s="29">
        <f>IF($C251="","",班表!$C14)</f>
        <v/>
      </c>
      <c r="F251" s="29">
        <f>IF($C251="","",班表!D14)</f>
        <v/>
      </c>
      <c r="G251" s="31">
        <f>IF($F251="","",IFERROR(INDEX(設定!$D$5:$D$20,MATCH($F251,設定!$B$5:$B$20,0)),""))</f>
        <v/>
      </c>
      <c r="H251" s="31">
        <f>IF($F251="","",IFERROR(INDEX(設定!$E$5:$E$20,MATCH($F251,設定!$B$5:$B$20,0)),""))</f>
        <v/>
      </c>
      <c r="I251" s="31">
        <f>IFERROR(INDEX(打卡匯入!$C$3:$C$1002,MATCH($C251&amp;"|"&amp;DAY($A251),打卡匯入!$E$3:$E$1002,0)),"")</f>
        <v/>
      </c>
      <c r="J251" s="31">
        <f>IFERROR(INDEX(打卡匯入!$D$3:$D$1002,MATCH($C251&amp;"|"&amp;DAY($A251),打卡匯入!$E$3:$E$1002,0)),"")</f>
        <v/>
      </c>
      <c r="K251" s="32">
        <f>IF(OR($I251="",$J251=""),"",IFERROR(INDEX(設定!$F$5:$F$20,MATCH($F251,設定!$B$5:$B$20,0)),0))</f>
        <v/>
      </c>
      <c r="L251" s="33">
        <f>IF(OR($I251="",$J251=""),"",ROUND(($J251-$I251)*24-$K251/60,2))</f>
        <v/>
      </c>
      <c r="M251" s="29">
        <f>IF($C251="","",IF(AND(COUNTIF(設定!$B$14:$B$20,$F251)&gt;0,$I251&lt;&gt;""),"假日出勤",IF(AND(COUNTIF(設定!$B$5:$B$13,$F251)&gt;0,$I251=""),"未打卡",IF($I251="","",IF($N251&gt;0,"遲到",IF($O251&gt;0,"早退","正常"))))))</f>
        <v/>
      </c>
      <c r="N251" s="32">
        <f>IF(OR($C251="",$G251="",$I251=""),0,IF(ROUND(($I251-$G251)*1440,0)&gt;設定!$C$28,ROUND(($I251-$G251)*1440,0),0))</f>
        <v/>
      </c>
      <c r="O251" s="32">
        <f>IF(OR($C251="",$H251="",$J251=""),0,IF(ROUND(($H251-$J251)*1440,0)&gt;設定!$C$28,ROUND(($H251-$J251)*1440,0),0))</f>
        <v/>
      </c>
      <c r="P251" s="33">
        <f>IF($L251="",0,IF(($L251-IFERROR(INDEX(設定!$G$5:$G$20,MATCH($F251,設定!$B$5:$B$20,0)),0))*60&gt;=設定!$C$26,ROUND(FLOOR(($L251-IFERROR(INDEX(設定!$G$5:$G$20,MATCH($F251,設定!$B$5:$B$20,0)),0))*60,設定!$C$27)/60,2),0))</f>
        <v/>
      </c>
      <c r="Q251" s="29">
        <f>IF(OR($C251="",$P251=0),"",IF($F251="國","國定假日",IF($B251="日","例假",IF($B251="六","休息日","平日"))))</f>
        <v/>
      </c>
      <c r="R251" s="34" t="n"/>
    </row>
    <row r="252">
      <c r="A252" s="30">
        <f>IF(OR(班表!$A14="",2&gt;DAY(EOMONTH(DATE(班表!$E$2,班表!$G$2,1),0))),"",DATE(班表!$E$2,班表!$G$2,2))</f>
        <v/>
      </c>
      <c r="B252" s="29">
        <f>IF($A252="","",INDEX(設定!$L$5:$L$11,WEEKDAY($A252,1)))</f>
        <v/>
      </c>
      <c r="C252" s="29">
        <f>IF($A252="","",班表!$A14)</f>
        <v/>
      </c>
      <c r="D252" s="29">
        <f>IF($C252="","",班表!$B14)</f>
        <v/>
      </c>
      <c r="E252" s="29">
        <f>IF($C252="","",班表!$C14)</f>
        <v/>
      </c>
      <c r="F252" s="29">
        <f>IF($C252="","",班表!E14)</f>
        <v/>
      </c>
      <c r="G252" s="31">
        <f>IF($F252="","",IFERROR(INDEX(設定!$D$5:$D$20,MATCH($F252,設定!$B$5:$B$20,0)),""))</f>
        <v/>
      </c>
      <c r="H252" s="31">
        <f>IF($F252="","",IFERROR(INDEX(設定!$E$5:$E$20,MATCH($F252,設定!$B$5:$B$20,0)),""))</f>
        <v/>
      </c>
      <c r="I252" s="31">
        <f>IFERROR(INDEX(打卡匯入!$C$3:$C$1002,MATCH($C252&amp;"|"&amp;DAY($A252),打卡匯入!$E$3:$E$1002,0)),"")</f>
        <v/>
      </c>
      <c r="J252" s="31">
        <f>IFERROR(INDEX(打卡匯入!$D$3:$D$1002,MATCH($C252&amp;"|"&amp;DAY($A252),打卡匯入!$E$3:$E$1002,0)),"")</f>
        <v/>
      </c>
      <c r="K252" s="32">
        <f>IF(OR($I252="",$J252=""),"",IFERROR(INDEX(設定!$F$5:$F$20,MATCH($F252,設定!$B$5:$B$20,0)),0))</f>
        <v/>
      </c>
      <c r="L252" s="33">
        <f>IF(OR($I252="",$J252=""),"",ROUND(($J252-$I252)*24-$K252/60,2))</f>
        <v/>
      </c>
      <c r="M252" s="29">
        <f>IF($C252="","",IF(AND(COUNTIF(設定!$B$14:$B$20,$F252)&gt;0,$I252&lt;&gt;""),"假日出勤",IF(AND(COUNTIF(設定!$B$5:$B$13,$F252)&gt;0,$I252=""),"未打卡",IF($I252="","",IF($N252&gt;0,"遲到",IF($O252&gt;0,"早退","正常"))))))</f>
        <v/>
      </c>
      <c r="N252" s="32">
        <f>IF(OR($C252="",$G252="",$I252=""),0,IF(ROUND(($I252-$G252)*1440,0)&gt;設定!$C$28,ROUND(($I252-$G252)*1440,0),0))</f>
        <v/>
      </c>
      <c r="O252" s="32">
        <f>IF(OR($C252="",$H252="",$J252=""),0,IF(ROUND(($H252-$J252)*1440,0)&gt;設定!$C$28,ROUND(($H252-$J252)*1440,0),0))</f>
        <v/>
      </c>
      <c r="P252" s="33">
        <f>IF($L252="",0,IF(($L252-IFERROR(INDEX(設定!$G$5:$G$20,MATCH($F252,設定!$B$5:$B$20,0)),0))*60&gt;=設定!$C$26,ROUND(FLOOR(($L252-IFERROR(INDEX(設定!$G$5:$G$20,MATCH($F252,設定!$B$5:$B$20,0)),0))*60,設定!$C$27)/60,2),0))</f>
        <v/>
      </c>
      <c r="Q252" s="29">
        <f>IF(OR($C252="",$P252=0),"",IF($F252="國","國定假日",IF($B252="日","例假",IF($B252="六","休息日","平日"))))</f>
        <v/>
      </c>
      <c r="R252" s="34" t="n"/>
    </row>
    <row r="253">
      <c r="A253" s="30">
        <f>IF(OR(班表!$A14="",3&gt;DAY(EOMONTH(DATE(班表!$E$2,班表!$G$2,1),0))),"",DATE(班表!$E$2,班表!$G$2,3))</f>
        <v/>
      </c>
      <c r="B253" s="29">
        <f>IF($A253="","",INDEX(設定!$L$5:$L$11,WEEKDAY($A253,1)))</f>
        <v/>
      </c>
      <c r="C253" s="29">
        <f>IF($A253="","",班表!$A14)</f>
        <v/>
      </c>
      <c r="D253" s="29">
        <f>IF($C253="","",班表!$B14)</f>
        <v/>
      </c>
      <c r="E253" s="29">
        <f>IF($C253="","",班表!$C14)</f>
        <v/>
      </c>
      <c r="F253" s="29">
        <f>IF($C253="","",班表!F14)</f>
        <v/>
      </c>
      <c r="G253" s="31">
        <f>IF($F253="","",IFERROR(INDEX(設定!$D$5:$D$20,MATCH($F253,設定!$B$5:$B$20,0)),""))</f>
        <v/>
      </c>
      <c r="H253" s="31">
        <f>IF($F253="","",IFERROR(INDEX(設定!$E$5:$E$20,MATCH($F253,設定!$B$5:$B$20,0)),""))</f>
        <v/>
      </c>
      <c r="I253" s="31">
        <f>IFERROR(INDEX(打卡匯入!$C$3:$C$1002,MATCH($C253&amp;"|"&amp;DAY($A253),打卡匯入!$E$3:$E$1002,0)),"")</f>
        <v/>
      </c>
      <c r="J253" s="31">
        <f>IFERROR(INDEX(打卡匯入!$D$3:$D$1002,MATCH($C253&amp;"|"&amp;DAY($A253),打卡匯入!$E$3:$E$1002,0)),"")</f>
        <v/>
      </c>
      <c r="K253" s="32">
        <f>IF(OR($I253="",$J253=""),"",IFERROR(INDEX(設定!$F$5:$F$20,MATCH($F253,設定!$B$5:$B$20,0)),0))</f>
        <v/>
      </c>
      <c r="L253" s="33">
        <f>IF(OR($I253="",$J253=""),"",ROUND(($J253-$I253)*24-$K253/60,2))</f>
        <v/>
      </c>
      <c r="M253" s="29">
        <f>IF($C253="","",IF(AND(COUNTIF(設定!$B$14:$B$20,$F253)&gt;0,$I253&lt;&gt;""),"假日出勤",IF(AND(COUNTIF(設定!$B$5:$B$13,$F253)&gt;0,$I253=""),"未打卡",IF($I253="","",IF($N253&gt;0,"遲到",IF($O253&gt;0,"早退","正常"))))))</f>
        <v/>
      </c>
      <c r="N253" s="32">
        <f>IF(OR($C253="",$G253="",$I253=""),0,IF(ROUND(($I253-$G253)*1440,0)&gt;設定!$C$28,ROUND(($I253-$G253)*1440,0),0))</f>
        <v/>
      </c>
      <c r="O253" s="32">
        <f>IF(OR($C253="",$H253="",$J253=""),0,IF(ROUND(($H253-$J253)*1440,0)&gt;設定!$C$28,ROUND(($H253-$J253)*1440,0),0))</f>
        <v/>
      </c>
      <c r="P253" s="33">
        <f>IF($L253="",0,IF(($L253-IFERROR(INDEX(設定!$G$5:$G$20,MATCH($F253,設定!$B$5:$B$20,0)),0))*60&gt;=設定!$C$26,ROUND(FLOOR(($L253-IFERROR(INDEX(設定!$G$5:$G$20,MATCH($F253,設定!$B$5:$B$20,0)),0))*60,設定!$C$27)/60,2),0))</f>
        <v/>
      </c>
      <c r="Q253" s="29">
        <f>IF(OR($C253="",$P253=0),"",IF($F253="國","國定假日",IF($B253="日","例假",IF($B253="六","休息日","平日"))))</f>
        <v/>
      </c>
      <c r="R253" s="34" t="n"/>
    </row>
    <row r="254">
      <c r="A254" s="30">
        <f>IF(OR(班表!$A14="",4&gt;DAY(EOMONTH(DATE(班表!$E$2,班表!$G$2,1),0))),"",DATE(班表!$E$2,班表!$G$2,4))</f>
        <v/>
      </c>
      <c r="B254" s="29">
        <f>IF($A254="","",INDEX(設定!$L$5:$L$11,WEEKDAY($A254,1)))</f>
        <v/>
      </c>
      <c r="C254" s="29">
        <f>IF($A254="","",班表!$A14)</f>
        <v/>
      </c>
      <c r="D254" s="29">
        <f>IF($C254="","",班表!$B14)</f>
        <v/>
      </c>
      <c r="E254" s="29">
        <f>IF($C254="","",班表!$C14)</f>
        <v/>
      </c>
      <c r="F254" s="29">
        <f>IF($C254="","",班表!G14)</f>
        <v/>
      </c>
      <c r="G254" s="31">
        <f>IF($F254="","",IFERROR(INDEX(設定!$D$5:$D$20,MATCH($F254,設定!$B$5:$B$20,0)),""))</f>
        <v/>
      </c>
      <c r="H254" s="31">
        <f>IF($F254="","",IFERROR(INDEX(設定!$E$5:$E$20,MATCH($F254,設定!$B$5:$B$20,0)),""))</f>
        <v/>
      </c>
      <c r="I254" s="31">
        <f>IFERROR(INDEX(打卡匯入!$C$3:$C$1002,MATCH($C254&amp;"|"&amp;DAY($A254),打卡匯入!$E$3:$E$1002,0)),"")</f>
        <v/>
      </c>
      <c r="J254" s="31">
        <f>IFERROR(INDEX(打卡匯入!$D$3:$D$1002,MATCH($C254&amp;"|"&amp;DAY($A254),打卡匯入!$E$3:$E$1002,0)),"")</f>
        <v/>
      </c>
      <c r="K254" s="32">
        <f>IF(OR($I254="",$J254=""),"",IFERROR(INDEX(設定!$F$5:$F$20,MATCH($F254,設定!$B$5:$B$20,0)),0))</f>
        <v/>
      </c>
      <c r="L254" s="33">
        <f>IF(OR($I254="",$J254=""),"",ROUND(($J254-$I254)*24-$K254/60,2))</f>
        <v/>
      </c>
      <c r="M254" s="29">
        <f>IF($C254="","",IF(AND(COUNTIF(設定!$B$14:$B$20,$F254)&gt;0,$I254&lt;&gt;""),"假日出勤",IF(AND(COUNTIF(設定!$B$5:$B$13,$F254)&gt;0,$I254=""),"未打卡",IF($I254="","",IF($N254&gt;0,"遲到",IF($O254&gt;0,"早退","正常"))))))</f>
        <v/>
      </c>
      <c r="N254" s="32">
        <f>IF(OR($C254="",$G254="",$I254=""),0,IF(ROUND(($I254-$G254)*1440,0)&gt;設定!$C$28,ROUND(($I254-$G254)*1440,0),0))</f>
        <v/>
      </c>
      <c r="O254" s="32">
        <f>IF(OR($C254="",$H254="",$J254=""),0,IF(ROUND(($H254-$J254)*1440,0)&gt;設定!$C$28,ROUND(($H254-$J254)*1440,0),0))</f>
        <v/>
      </c>
      <c r="P254" s="33">
        <f>IF($L254="",0,IF(($L254-IFERROR(INDEX(設定!$G$5:$G$20,MATCH($F254,設定!$B$5:$B$20,0)),0))*60&gt;=設定!$C$26,ROUND(FLOOR(($L254-IFERROR(INDEX(設定!$G$5:$G$20,MATCH($F254,設定!$B$5:$B$20,0)),0))*60,設定!$C$27)/60,2),0))</f>
        <v/>
      </c>
      <c r="Q254" s="29">
        <f>IF(OR($C254="",$P254=0),"",IF($F254="國","國定假日",IF($B254="日","例假",IF($B254="六","休息日","平日"))))</f>
        <v/>
      </c>
      <c r="R254" s="34" t="n"/>
    </row>
    <row r="255">
      <c r="A255" s="30">
        <f>IF(OR(班表!$A14="",5&gt;DAY(EOMONTH(DATE(班表!$E$2,班表!$G$2,1),0))),"",DATE(班表!$E$2,班表!$G$2,5))</f>
        <v/>
      </c>
      <c r="B255" s="29">
        <f>IF($A255="","",INDEX(設定!$L$5:$L$11,WEEKDAY($A255,1)))</f>
        <v/>
      </c>
      <c r="C255" s="29">
        <f>IF($A255="","",班表!$A14)</f>
        <v/>
      </c>
      <c r="D255" s="29">
        <f>IF($C255="","",班表!$B14)</f>
        <v/>
      </c>
      <c r="E255" s="29">
        <f>IF($C255="","",班表!$C14)</f>
        <v/>
      </c>
      <c r="F255" s="29">
        <f>IF($C255="","",班表!H14)</f>
        <v/>
      </c>
      <c r="G255" s="31">
        <f>IF($F255="","",IFERROR(INDEX(設定!$D$5:$D$20,MATCH($F255,設定!$B$5:$B$20,0)),""))</f>
        <v/>
      </c>
      <c r="H255" s="31">
        <f>IF($F255="","",IFERROR(INDEX(設定!$E$5:$E$20,MATCH($F255,設定!$B$5:$B$20,0)),""))</f>
        <v/>
      </c>
      <c r="I255" s="31">
        <f>IFERROR(INDEX(打卡匯入!$C$3:$C$1002,MATCH($C255&amp;"|"&amp;DAY($A255),打卡匯入!$E$3:$E$1002,0)),"")</f>
        <v/>
      </c>
      <c r="J255" s="31">
        <f>IFERROR(INDEX(打卡匯入!$D$3:$D$1002,MATCH($C255&amp;"|"&amp;DAY($A255),打卡匯入!$E$3:$E$1002,0)),"")</f>
        <v/>
      </c>
      <c r="K255" s="32">
        <f>IF(OR($I255="",$J255=""),"",IFERROR(INDEX(設定!$F$5:$F$20,MATCH($F255,設定!$B$5:$B$20,0)),0))</f>
        <v/>
      </c>
      <c r="L255" s="33">
        <f>IF(OR($I255="",$J255=""),"",ROUND(($J255-$I255)*24-$K255/60,2))</f>
        <v/>
      </c>
      <c r="M255" s="29">
        <f>IF($C255="","",IF(AND(COUNTIF(設定!$B$14:$B$20,$F255)&gt;0,$I255&lt;&gt;""),"假日出勤",IF(AND(COUNTIF(設定!$B$5:$B$13,$F255)&gt;0,$I255=""),"未打卡",IF($I255="","",IF($N255&gt;0,"遲到",IF($O255&gt;0,"早退","正常"))))))</f>
        <v/>
      </c>
      <c r="N255" s="32">
        <f>IF(OR($C255="",$G255="",$I255=""),0,IF(ROUND(($I255-$G255)*1440,0)&gt;設定!$C$28,ROUND(($I255-$G255)*1440,0),0))</f>
        <v/>
      </c>
      <c r="O255" s="32">
        <f>IF(OR($C255="",$H255="",$J255=""),0,IF(ROUND(($H255-$J255)*1440,0)&gt;設定!$C$28,ROUND(($H255-$J255)*1440,0),0))</f>
        <v/>
      </c>
      <c r="P255" s="33">
        <f>IF($L255="",0,IF(($L255-IFERROR(INDEX(設定!$G$5:$G$20,MATCH($F255,設定!$B$5:$B$20,0)),0))*60&gt;=設定!$C$26,ROUND(FLOOR(($L255-IFERROR(INDEX(設定!$G$5:$G$20,MATCH($F255,設定!$B$5:$B$20,0)),0))*60,設定!$C$27)/60,2),0))</f>
        <v/>
      </c>
      <c r="Q255" s="29">
        <f>IF(OR($C255="",$P255=0),"",IF($F255="國","國定假日",IF($B255="日","例假",IF($B255="六","休息日","平日"))))</f>
        <v/>
      </c>
      <c r="R255" s="34" t="n"/>
    </row>
    <row r="256">
      <c r="A256" s="30">
        <f>IF(OR(班表!$A14="",6&gt;DAY(EOMONTH(DATE(班表!$E$2,班表!$G$2,1),0))),"",DATE(班表!$E$2,班表!$G$2,6))</f>
        <v/>
      </c>
      <c r="B256" s="29">
        <f>IF($A256="","",INDEX(設定!$L$5:$L$11,WEEKDAY($A256,1)))</f>
        <v/>
      </c>
      <c r="C256" s="29">
        <f>IF($A256="","",班表!$A14)</f>
        <v/>
      </c>
      <c r="D256" s="29">
        <f>IF($C256="","",班表!$B14)</f>
        <v/>
      </c>
      <c r="E256" s="29">
        <f>IF($C256="","",班表!$C14)</f>
        <v/>
      </c>
      <c r="F256" s="29">
        <f>IF($C256="","",班表!I14)</f>
        <v/>
      </c>
      <c r="G256" s="31">
        <f>IF($F256="","",IFERROR(INDEX(設定!$D$5:$D$20,MATCH($F256,設定!$B$5:$B$20,0)),""))</f>
        <v/>
      </c>
      <c r="H256" s="31">
        <f>IF($F256="","",IFERROR(INDEX(設定!$E$5:$E$20,MATCH($F256,設定!$B$5:$B$20,0)),""))</f>
        <v/>
      </c>
      <c r="I256" s="31">
        <f>IFERROR(INDEX(打卡匯入!$C$3:$C$1002,MATCH($C256&amp;"|"&amp;DAY($A256),打卡匯入!$E$3:$E$1002,0)),"")</f>
        <v/>
      </c>
      <c r="J256" s="31">
        <f>IFERROR(INDEX(打卡匯入!$D$3:$D$1002,MATCH($C256&amp;"|"&amp;DAY($A256),打卡匯入!$E$3:$E$1002,0)),"")</f>
        <v/>
      </c>
      <c r="K256" s="32">
        <f>IF(OR($I256="",$J256=""),"",IFERROR(INDEX(設定!$F$5:$F$20,MATCH($F256,設定!$B$5:$B$20,0)),0))</f>
        <v/>
      </c>
      <c r="L256" s="33">
        <f>IF(OR($I256="",$J256=""),"",ROUND(($J256-$I256)*24-$K256/60,2))</f>
        <v/>
      </c>
      <c r="M256" s="29">
        <f>IF($C256="","",IF(AND(COUNTIF(設定!$B$14:$B$20,$F256)&gt;0,$I256&lt;&gt;""),"假日出勤",IF(AND(COUNTIF(設定!$B$5:$B$13,$F256)&gt;0,$I256=""),"未打卡",IF($I256="","",IF($N256&gt;0,"遲到",IF($O256&gt;0,"早退","正常"))))))</f>
        <v/>
      </c>
      <c r="N256" s="32">
        <f>IF(OR($C256="",$G256="",$I256=""),0,IF(ROUND(($I256-$G256)*1440,0)&gt;設定!$C$28,ROUND(($I256-$G256)*1440,0),0))</f>
        <v/>
      </c>
      <c r="O256" s="32">
        <f>IF(OR($C256="",$H256="",$J256=""),0,IF(ROUND(($H256-$J256)*1440,0)&gt;設定!$C$28,ROUND(($H256-$J256)*1440,0),0))</f>
        <v/>
      </c>
      <c r="P256" s="33">
        <f>IF($L256="",0,IF(($L256-IFERROR(INDEX(設定!$G$5:$G$20,MATCH($F256,設定!$B$5:$B$20,0)),0))*60&gt;=設定!$C$26,ROUND(FLOOR(($L256-IFERROR(INDEX(設定!$G$5:$G$20,MATCH($F256,設定!$B$5:$B$20,0)),0))*60,設定!$C$27)/60,2),0))</f>
        <v/>
      </c>
      <c r="Q256" s="29">
        <f>IF(OR($C256="",$P256=0),"",IF($F256="國","國定假日",IF($B256="日","例假",IF($B256="六","休息日","平日"))))</f>
        <v/>
      </c>
      <c r="R256" s="34" t="n"/>
    </row>
    <row r="257">
      <c r="A257" s="30">
        <f>IF(OR(班表!$A14="",7&gt;DAY(EOMONTH(DATE(班表!$E$2,班表!$G$2,1),0))),"",DATE(班表!$E$2,班表!$G$2,7))</f>
        <v/>
      </c>
      <c r="B257" s="29">
        <f>IF($A257="","",INDEX(設定!$L$5:$L$11,WEEKDAY($A257,1)))</f>
        <v/>
      </c>
      <c r="C257" s="29">
        <f>IF($A257="","",班表!$A14)</f>
        <v/>
      </c>
      <c r="D257" s="29">
        <f>IF($C257="","",班表!$B14)</f>
        <v/>
      </c>
      <c r="E257" s="29">
        <f>IF($C257="","",班表!$C14)</f>
        <v/>
      </c>
      <c r="F257" s="29">
        <f>IF($C257="","",班表!J14)</f>
        <v/>
      </c>
      <c r="G257" s="31">
        <f>IF($F257="","",IFERROR(INDEX(設定!$D$5:$D$20,MATCH($F257,設定!$B$5:$B$20,0)),""))</f>
        <v/>
      </c>
      <c r="H257" s="31">
        <f>IF($F257="","",IFERROR(INDEX(設定!$E$5:$E$20,MATCH($F257,設定!$B$5:$B$20,0)),""))</f>
        <v/>
      </c>
      <c r="I257" s="31">
        <f>IFERROR(INDEX(打卡匯入!$C$3:$C$1002,MATCH($C257&amp;"|"&amp;DAY($A257),打卡匯入!$E$3:$E$1002,0)),"")</f>
        <v/>
      </c>
      <c r="J257" s="31">
        <f>IFERROR(INDEX(打卡匯入!$D$3:$D$1002,MATCH($C257&amp;"|"&amp;DAY($A257),打卡匯入!$E$3:$E$1002,0)),"")</f>
        <v/>
      </c>
      <c r="K257" s="32">
        <f>IF(OR($I257="",$J257=""),"",IFERROR(INDEX(設定!$F$5:$F$20,MATCH($F257,設定!$B$5:$B$20,0)),0))</f>
        <v/>
      </c>
      <c r="L257" s="33">
        <f>IF(OR($I257="",$J257=""),"",ROUND(($J257-$I257)*24-$K257/60,2))</f>
        <v/>
      </c>
      <c r="M257" s="29">
        <f>IF($C257="","",IF(AND(COUNTIF(設定!$B$14:$B$20,$F257)&gt;0,$I257&lt;&gt;""),"假日出勤",IF(AND(COUNTIF(設定!$B$5:$B$13,$F257)&gt;0,$I257=""),"未打卡",IF($I257="","",IF($N257&gt;0,"遲到",IF($O257&gt;0,"早退","正常"))))))</f>
        <v/>
      </c>
      <c r="N257" s="32">
        <f>IF(OR($C257="",$G257="",$I257=""),0,IF(ROUND(($I257-$G257)*1440,0)&gt;設定!$C$28,ROUND(($I257-$G257)*1440,0),0))</f>
        <v/>
      </c>
      <c r="O257" s="32">
        <f>IF(OR($C257="",$H257="",$J257=""),0,IF(ROUND(($H257-$J257)*1440,0)&gt;設定!$C$28,ROUND(($H257-$J257)*1440,0),0))</f>
        <v/>
      </c>
      <c r="P257" s="33">
        <f>IF($L257="",0,IF(($L257-IFERROR(INDEX(設定!$G$5:$G$20,MATCH($F257,設定!$B$5:$B$20,0)),0))*60&gt;=設定!$C$26,ROUND(FLOOR(($L257-IFERROR(INDEX(設定!$G$5:$G$20,MATCH($F257,設定!$B$5:$B$20,0)),0))*60,設定!$C$27)/60,2),0))</f>
        <v/>
      </c>
      <c r="Q257" s="29">
        <f>IF(OR($C257="",$P257=0),"",IF($F257="國","國定假日",IF($B257="日","例假",IF($B257="六","休息日","平日"))))</f>
        <v/>
      </c>
      <c r="R257" s="34" t="n"/>
    </row>
    <row r="258">
      <c r="A258" s="30">
        <f>IF(OR(班表!$A14="",8&gt;DAY(EOMONTH(DATE(班表!$E$2,班表!$G$2,1),0))),"",DATE(班表!$E$2,班表!$G$2,8))</f>
        <v/>
      </c>
      <c r="B258" s="29">
        <f>IF($A258="","",INDEX(設定!$L$5:$L$11,WEEKDAY($A258,1)))</f>
        <v/>
      </c>
      <c r="C258" s="29">
        <f>IF($A258="","",班表!$A14)</f>
        <v/>
      </c>
      <c r="D258" s="29">
        <f>IF($C258="","",班表!$B14)</f>
        <v/>
      </c>
      <c r="E258" s="29">
        <f>IF($C258="","",班表!$C14)</f>
        <v/>
      </c>
      <c r="F258" s="29">
        <f>IF($C258="","",班表!K14)</f>
        <v/>
      </c>
      <c r="G258" s="31">
        <f>IF($F258="","",IFERROR(INDEX(設定!$D$5:$D$20,MATCH($F258,設定!$B$5:$B$20,0)),""))</f>
        <v/>
      </c>
      <c r="H258" s="31">
        <f>IF($F258="","",IFERROR(INDEX(設定!$E$5:$E$20,MATCH($F258,設定!$B$5:$B$20,0)),""))</f>
        <v/>
      </c>
      <c r="I258" s="31">
        <f>IFERROR(INDEX(打卡匯入!$C$3:$C$1002,MATCH($C258&amp;"|"&amp;DAY($A258),打卡匯入!$E$3:$E$1002,0)),"")</f>
        <v/>
      </c>
      <c r="J258" s="31">
        <f>IFERROR(INDEX(打卡匯入!$D$3:$D$1002,MATCH($C258&amp;"|"&amp;DAY($A258),打卡匯入!$E$3:$E$1002,0)),"")</f>
        <v/>
      </c>
      <c r="K258" s="32">
        <f>IF(OR($I258="",$J258=""),"",IFERROR(INDEX(設定!$F$5:$F$20,MATCH($F258,設定!$B$5:$B$20,0)),0))</f>
        <v/>
      </c>
      <c r="L258" s="33">
        <f>IF(OR($I258="",$J258=""),"",ROUND(($J258-$I258)*24-$K258/60,2))</f>
        <v/>
      </c>
      <c r="M258" s="29">
        <f>IF($C258="","",IF(AND(COUNTIF(設定!$B$14:$B$20,$F258)&gt;0,$I258&lt;&gt;""),"假日出勤",IF(AND(COUNTIF(設定!$B$5:$B$13,$F258)&gt;0,$I258=""),"未打卡",IF($I258="","",IF($N258&gt;0,"遲到",IF($O258&gt;0,"早退","正常"))))))</f>
        <v/>
      </c>
      <c r="N258" s="32">
        <f>IF(OR($C258="",$G258="",$I258=""),0,IF(ROUND(($I258-$G258)*1440,0)&gt;設定!$C$28,ROUND(($I258-$G258)*1440,0),0))</f>
        <v/>
      </c>
      <c r="O258" s="32">
        <f>IF(OR($C258="",$H258="",$J258=""),0,IF(ROUND(($H258-$J258)*1440,0)&gt;設定!$C$28,ROUND(($H258-$J258)*1440,0),0))</f>
        <v/>
      </c>
      <c r="P258" s="33">
        <f>IF($L258="",0,IF(($L258-IFERROR(INDEX(設定!$G$5:$G$20,MATCH($F258,設定!$B$5:$B$20,0)),0))*60&gt;=設定!$C$26,ROUND(FLOOR(($L258-IFERROR(INDEX(設定!$G$5:$G$20,MATCH($F258,設定!$B$5:$B$20,0)),0))*60,設定!$C$27)/60,2),0))</f>
        <v/>
      </c>
      <c r="Q258" s="29">
        <f>IF(OR($C258="",$P258=0),"",IF($F258="國","國定假日",IF($B258="日","例假",IF($B258="六","休息日","平日"))))</f>
        <v/>
      </c>
      <c r="R258" s="34" t="n"/>
    </row>
    <row r="259">
      <c r="A259" s="30">
        <f>IF(OR(班表!$A14="",9&gt;DAY(EOMONTH(DATE(班表!$E$2,班表!$G$2,1),0))),"",DATE(班表!$E$2,班表!$G$2,9))</f>
        <v/>
      </c>
      <c r="B259" s="29">
        <f>IF($A259="","",INDEX(設定!$L$5:$L$11,WEEKDAY($A259,1)))</f>
        <v/>
      </c>
      <c r="C259" s="29">
        <f>IF($A259="","",班表!$A14)</f>
        <v/>
      </c>
      <c r="D259" s="29">
        <f>IF($C259="","",班表!$B14)</f>
        <v/>
      </c>
      <c r="E259" s="29">
        <f>IF($C259="","",班表!$C14)</f>
        <v/>
      </c>
      <c r="F259" s="29">
        <f>IF($C259="","",班表!L14)</f>
        <v/>
      </c>
      <c r="G259" s="31">
        <f>IF($F259="","",IFERROR(INDEX(設定!$D$5:$D$20,MATCH($F259,設定!$B$5:$B$20,0)),""))</f>
        <v/>
      </c>
      <c r="H259" s="31">
        <f>IF($F259="","",IFERROR(INDEX(設定!$E$5:$E$20,MATCH($F259,設定!$B$5:$B$20,0)),""))</f>
        <v/>
      </c>
      <c r="I259" s="31">
        <f>IFERROR(INDEX(打卡匯入!$C$3:$C$1002,MATCH($C259&amp;"|"&amp;DAY($A259),打卡匯入!$E$3:$E$1002,0)),"")</f>
        <v/>
      </c>
      <c r="J259" s="31">
        <f>IFERROR(INDEX(打卡匯入!$D$3:$D$1002,MATCH($C259&amp;"|"&amp;DAY($A259),打卡匯入!$E$3:$E$1002,0)),"")</f>
        <v/>
      </c>
      <c r="K259" s="32">
        <f>IF(OR($I259="",$J259=""),"",IFERROR(INDEX(設定!$F$5:$F$20,MATCH($F259,設定!$B$5:$B$20,0)),0))</f>
        <v/>
      </c>
      <c r="L259" s="33">
        <f>IF(OR($I259="",$J259=""),"",ROUND(($J259-$I259)*24-$K259/60,2))</f>
        <v/>
      </c>
      <c r="M259" s="29">
        <f>IF($C259="","",IF(AND(COUNTIF(設定!$B$14:$B$20,$F259)&gt;0,$I259&lt;&gt;""),"假日出勤",IF(AND(COUNTIF(設定!$B$5:$B$13,$F259)&gt;0,$I259=""),"未打卡",IF($I259="","",IF($N259&gt;0,"遲到",IF($O259&gt;0,"早退","正常"))))))</f>
        <v/>
      </c>
      <c r="N259" s="32">
        <f>IF(OR($C259="",$G259="",$I259=""),0,IF(ROUND(($I259-$G259)*1440,0)&gt;設定!$C$28,ROUND(($I259-$G259)*1440,0),0))</f>
        <v/>
      </c>
      <c r="O259" s="32">
        <f>IF(OR($C259="",$H259="",$J259=""),0,IF(ROUND(($H259-$J259)*1440,0)&gt;設定!$C$28,ROUND(($H259-$J259)*1440,0),0))</f>
        <v/>
      </c>
      <c r="P259" s="33">
        <f>IF($L259="",0,IF(($L259-IFERROR(INDEX(設定!$G$5:$G$20,MATCH($F259,設定!$B$5:$B$20,0)),0))*60&gt;=設定!$C$26,ROUND(FLOOR(($L259-IFERROR(INDEX(設定!$G$5:$G$20,MATCH($F259,設定!$B$5:$B$20,0)),0))*60,設定!$C$27)/60,2),0))</f>
        <v/>
      </c>
      <c r="Q259" s="29">
        <f>IF(OR($C259="",$P259=0),"",IF($F259="國","國定假日",IF($B259="日","例假",IF($B259="六","休息日","平日"))))</f>
        <v/>
      </c>
      <c r="R259" s="34" t="n"/>
    </row>
    <row r="260">
      <c r="A260" s="30">
        <f>IF(OR(班表!$A14="",10&gt;DAY(EOMONTH(DATE(班表!$E$2,班表!$G$2,1),0))),"",DATE(班表!$E$2,班表!$G$2,10))</f>
        <v/>
      </c>
      <c r="B260" s="29">
        <f>IF($A260="","",INDEX(設定!$L$5:$L$11,WEEKDAY($A260,1)))</f>
        <v/>
      </c>
      <c r="C260" s="29">
        <f>IF($A260="","",班表!$A14)</f>
        <v/>
      </c>
      <c r="D260" s="29">
        <f>IF($C260="","",班表!$B14)</f>
        <v/>
      </c>
      <c r="E260" s="29">
        <f>IF($C260="","",班表!$C14)</f>
        <v/>
      </c>
      <c r="F260" s="29">
        <f>IF($C260="","",班表!M14)</f>
        <v/>
      </c>
      <c r="G260" s="31">
        <f>IF($F260="","",IFERROR(INDEX(設定!$D$5:$D$20,MATCH($F260,設定!$B$5:$B$20,0)),""))</f>
        <v/>
      </c>
      <c r="H260" s="31">
        <f>IF($F260="","",IFERROR(INDEX(設定!$E$5:$E$20,MATCH($F260,設定!$B$5:$B$20,0)),""))</f>
        <v/>
      </c>
      <c r="I260" s="31">
        <f>IFERROR(INDEX(打卡匯入!$C$3:$C$1002,MATCH($C260&amp;"|"&amp;DAY($A260),打卡匯入!$E$3:$E$1002,0)),"")</f>
        <v/>
      </c>
      <c r="J260" s="31">
        <f>IFERROR(INDEX(打卡匯入!$D$3:$D$1002,MATCH($C260&amp;"|"&amp;DAY($A260),打卡匯入!$E$3:$E$1002,0)),"")</f>
        <v/>
      </c>
      <c r="K260" s="32">
        <f>IF(OR($I260="",$J260=""),"",IFERROR(INDEX(設定!$F$5:$F$20,MATCH($F260,設定!$B$5:$B$20,0)),0))</f>
        <v/>
      </c>
      <c r="L260" s="33">
        <f>IF(OR($I260="",$J260=""),"",ROUND(($J260-$I260)*24-$K260/60,2))</f>
        <v/>
      </c>
      <c r="M260" s="29">
        <f>IF($C260="","",IF(AND(COUNTIF(設定!$B$14:$B$20,$F260)&gt;0,$I260&lt;&gt;""),"假日出勤",IF(AND(COUNTIF(設定!$B$5:$B$13,$F260)&gt;0,$I260=""),"未打卡",IF($I260="","",IF($N260&gt;0,"遲到",IF($O260&gt;0,"早退","正常"))))))</f>
        <v/>
      </c>
      <c r="N260" s="32">
        <f>IF(OR($C260="",$G260="",$I260=""),0,IF(ROUND(($I260-$G260)*1440,0)&gt;設定!$C$28,ROUND(($I260-$G260)*1440,0),0))</f>
        <v/>
      </c>
      <c r="O260" s="32">
        <f>IF(OR($C260="",$H260="",$J260=""),0,IF(ROUND(($H260-$J260)*1440,0)&gt;設定!$C$28,ROUND(($H260-$J260)*1440,0),0))</f>
        <v/>
      </c>
      <c r="P260" s="33">
        <f>IF($L260="",0,IF(($L260-IFERROR(INDEX(設定!$G$5:$G$20,MATCH($F260,設定!$B$5:$B$20,0)),0))*60&gt;=設定!$C$26,ROUND(FLOOR(($L260-IFERROR(INDEX(設定!$G$5:$G$20,MATCH($F260,設定!$B$5:$B$20,0)),0))*60,設定!$C$27)/60,2),0))</f>
        <v/>
      </c>
      <c r="Q260" s="29">
        <f>IF(OR($C260="",$P260=0),"",IF($F260="國","國定假日",IF($B260="日","例假",IF($B260="六","休息日","平日"))))</f>
        <v/>
      </c>
      <c r="R260" s="34" t="n"/>
    </row>
    <row r="261">
      <c r="A261" s="30">
        <f>IF(OR(班表!$A14="",11&gt;DAY(EOMONTH(DATE(班表!$E$2,班表!$G$2,1),0))),"",DATE(班表!$E$2,班表!$G$2,11))</f>
        <v/>
      </c>
      <c r="B261" s="29">
        <f>IF($A261="","",INDEX(設定!$L$5:$L$11,WEEKDAY($A261,1)))</f>
        <v/>
      </c>
      <c r="C261" s="29">
        <f>IF($A261="","",班表!$A14)</f>
        <v/>
      </c>
      <c r="D261" s="29">
        <f>IF($C261="","",班表!$B14)</f>
        <v/>
      </c>
      <c r="E261" s="29">
        <f>IF($C261="","",班表!$C14)</f>
        <v/>
      </c>
      <c r="F261" s="29">
        <f>IF($C261="","",班表!N14)</f>
        <v/>
      </c>
      <c r="G261" s="31">
        <f>IF($F261="","",IFERROR(INDEX(設定!$D$5:$D$20,MATCH($F261,設定!$B$5:$B$20,0)),""))</f>
        <v/>
      </c>
      <c r="H261" s="31">
        <f>IF($F261="","",IFERROR(INDEX(設定!$E$5:$E$20,MATCH($F261,設定!$B$5:$B$20,0)),""))</f>
        <v/>
      </c>
      <c r="I261" s="31">
        <f>IFERROR(INDEX(打卡匯入!$C$3:$C$1002,MATCH($C261&amp;"|"&amp;DAY($A261),打卡匯入!$E$3:$E$1002,0)),"")</f>
        <v/>
      </c>
      <c r="J261" s="31">
        <f>IFERROR(INDEX(打卡匯入!$D$3:$D$1002,MATCH($C261&amp;"|"&amp;DAY($A261),打卡匯入!$E$3:$E$1002,0)),"")</f>
        <v/>
      </c>
      <c r="K261" s="32">
        <f>IF(OR($I261="",$J261=""),"",IFERROR(INDEX(設定!$F$5:$F$20,MATCH($F261,設定!$B$5:$B$20,0)),0))</f>
        <v/>
      </c>
      <c r="L261" s="33">
        <f>IF(OR($I261="",$J261=""),"",ROUND(($J261-$I261)*24-$K261/60,2))</f>
        <v/>
      </c>
      <c r="M261" s="29">
        <f>IF($C261="","",IF(AND(COUNTIF(設定!$B$14:$B$20,$F261)&gt;0,$I261&lt;&gt;""),"假日出勤",IF(AND(COUNTIF(設定!$B$5:$B$13,$F261)&gt;0,$I261=""),"未打卡",IF($I261="","",IF($N261&gt;0,"遲到",IF($O261&gt;0,"早退","正常"))))))</f>
        <v/>
      </c>
      <c r="N261" s="32">
        <f>IF(OR($C261="",$G261="",$I261=""),0,IF(ROUND(($I261-$G261)*1440,0)&gt;設定!$C$28,ROUND(($I261-$G261)*1440,0),0))</f>
        <v/>
      </c>
      <c r="O261" s="32">
        <f>IF(OR($C261="",$H261="",$J261=""),0,IF(ROUND(($H261-$J261)*1440,0)&gt;設定!$C$28,ROUND(($H261-$J261)*1440,0),0))</f>
        <v/>
      </c>
      <c r="P261" s="33">
        <f>IF($L261="",0,IF(($L261-IFERROR(INDEX(設定!$G$5:$G$20,MATCH($F261,設定!$B$5:$B$20,0)),0))*60&gt;=設定!$C$26,ROUND(FLOOR(($L261-IFERROR(INDEX(設定!$G$5:$G$20,MATCH($F261,設定!$B$5:$B$20,0)),0))*60,設定!$C$27)/60,2),0))</f>
        <v/>
      </c>
      <c r="Q261" s="29">
        <f>IF(OR($C261="",$P261=0),"",IF($F261="國","國定假日",IF($B261="日","例假",IF($B261="六","休息日","平日"))))</f>
        <v/>
      </c>
      <c r="R261" s="34" t="n"/>
    </row>
    <row r="262">
      <c r="A262" s="30">
        <f>IF(OR(班表!$A14="",12&gt;DAY(EOMONTH(DATE(班表!$E$2,班表!$G$2,1),0))),"",DATE(班表!$E$2,班表!$G$2,12))</f>
        <v/>
      </c>
      <c r="B262" s="29">
        <f>IF($A262="","",INDEX(設定!$L$5:$L$11,WEEKDAY($A262,1)))</f>
        <v/>
      </c>
      <c r="C262" s="29">
        <f>IF($A262="","",班表!$A14)</f>
        <v/>
      </c>
      <c r="D262" s="29">
        <f>IF($C262="","",班表!$B14)</f>
        <v/>
      </c>
      <c r="E262" s="29">
        <f>IF($C262="","",班表!$C14)</f>
        <v/>
      </c>
      <c r="F262" s="29">
        <f>IF($C262="","",班表!O14)</f>
        <v/>
      </c>
      <c r="G262" s="31">
        <f>IF($F262="","",IFERROR(INDEX(設定!$D$5:$D$20,MATCH($F262,設定!$B$5:$B$20,0)),""))</f>
        <v/>
      </c>
      <c r="H262" s="31">
        <f>IF($F262="","",IFERROR(INDEX(設定!$E$5:$E$20,MATCH($F262,設定!$B$5:$B$20,0)),""))</f>
        <v/>
      </c>
      <c r="I262" s="31">
        <f>IFERROR(INDEX(打卡匯入!$C$3:$C$1002,MATCH($C262&amp;"|"&amp;DAY($A262),打卡匯入!$E$3:$E$1002,0)),"")</f>
        <v/>
      </c>
      <c r="J262" s="31">
        <f>IFERROR(INDEX(打卡匯入!$D$3:$D$1002,MATCH($C262&amp;"|"&amp;DAY($A262),打卡匯入!$E$3:$E$1002,0)),"")</f>
        <v/>
      </c>
      <c r="K262" s="32">
        <f>IF(OR($I262="",$J262=""),"",IFERROR(INDEX(設定!$F$5:$F$20,MATCH($F262,設定!$B$5:$B$20,0)),0))</f>
        <v/>
      </c>
      <c r="L262" s="33">
        <f>IF(OR($I262="",$J262=""),"",ROUND(($J262-$I262)*24-$K262/60,2))</f>
        <v/>
      </c>
      <c r="M262" s="29">
        <f>IF($C262="","",IF(AND(COUNTIF(設定!$B$14:$B$20,$F262)&gt;0,$I262&lt;&gt;""),"假日出勤",IF(AND(COUNTIF(設定!$B$5:$B$13,$F262)&gt;0,$I262=""),"未打卡",IF($I262="","",IF($N262&gt;0,"遲到",IF($O262&gt;0,"早退","正常"))))))</f>
        <v/>
      </c>
      <c r="N262" s="32">
        <f>IF(OR($C262="",$G262="",$I262=""),0,IF(ROUND(($I262-$G262)*1440,0)&gt;設定!$C$28,ROUND(($I262-$G262)*1440,0),0))</f>
        <v/>
      </c>
      <c r="O262" s="32">
        <f>IF(OR($C262="",$H262="",$J262=""),0,IF(ROUND(($H262-$J262)*1440,0)&gt;設定!$C$28,ROUND(($H262-$J262)*1440,0),0))</f>
        <v/>
      </c>
      <c r="P262" s="33">
        <f>IF($L262="",0,IF(($L262-IFERROR(INDEX(設定!$G$5:$G$20,MATCH($F262,設定!$B$5:$B$20,0)),0))*60&gt;=設定!$C$26,ROUND(FLOOR(($L262-IFERROR(INDEX(設定!$G$5:$G$20,MATCH($F262,設定!$B$5:$B$20,0)),0))*60,設定!$C$27)/60,2),0))</f>
        <v/>
      </c>
      <c r="Q262" s="29">
        <f>IF(OR($C262="",$P262=0),"",IF($F262="國","國定假日",IF($B262="日","例假",IF($B262="六","休息日","平日"))))</f>
        <v/>
      </c>
      <c r="R262" s="34" t="n"/>
    </row>
    <row r="263">
      <c r="A263" s="30">
        <f>IF(OR(班表!$A14="",13&gt;DAY(EOMONTH(DATE(班表!$E$2,班表!$G$2,1),0))),"",DATE(班表!$E$2,班表!$G$2,13))</f>
        <v/>
      </c>
      <c r="B263" s="29">
        <f>IF($A263="","",INDEX(設定!$L$5:$L$11,WEEKDAY($A263,1)))</f>
        <v/>
      </c>
      <c r="C263" s="29">
        <f>IF($A263="","",班表!$A14)</f>
        <v/>
      </c>
      <c r="D263" s="29">
        <f>IF($C263="","",班表!$B14)</f>
        <v/>
      </c>
      <c r="E263" s="29">
        <f>IF($C263="","",班表!$C14)</f>
        <v/>
      </c>
      <c r="F263" s="29">
        <f>IF($C263="","",班表!P14)</f>
        <v/>
      </c>
      <c r="G263" s="31">
        <f>IF($F263="","",IFERROR(INDEX(設定!$D$5:$D$20,MATCH($F263,設定!$B$5:$B$20,0)),""))</f>
        <v/>
      </c>
      <c r="H263" s="31">
        <f>IF($F263="","",IFERROR(INDEX(設定!$E$5:$E$20,MATCH($F263,設定!$B$5:$B$20,0)),""))</f>
        <v/>
      </c>
      <c r="I263" s="31">
        <f>IFERROR(INDEX(打卡匯入!$C$3:$C$1002,MATCH($C263&amp;"|"&amp;DAY($A263),打卡匯入!$E$3:$E$1002,0)),"")</f>
        <v/>
      </c>
      <c r="J263" s="31">
        <f>IFERROR(INDEX(打卡匯入!$D$3:$D$1002,MATCH($C263&amp;"|"&amp;DAY($A263),打卡匯入!$E$3:$E$1002,0)),"")</f>
        <v/>
      </c>
      <c r="K263" s="32">
        <f>IF(OR($I263="",$J263=""),"",IFERROR(INDEX(設定!$F$5:$F$20,MATCH($F263,設定!$B$5:$B$20,0)),0))</f>
        <v/>
      </c>
      <c r="L263" s="33">
        <f>IF(OR($I263="",$J263=""),"",ROUND(($J263-$I263)*24-$K263/60,2))</f>
        <v/>
      </c>
      <c r="M263" s="29">
        <f>IF($C263="","",IF(AND(COUNTIF(設定!$B$14:$B$20,$F263)&gt;0,$I263&lt;&gt;""),"假日出勤",IF(AND(COUNTIF(設定!$B$5:$B$13,$F263)&gt;0,$I263=""),"未打卡",IF($I263="","",IF($N263&gt;0,"遲到",IF($O263&gt;0,"早退","正常"))))))</f>
        <v/>
      </c>
      <c r="N263" s="32">
        <f>IF(OR($C263="",$G263="",$I263=""),0,IF(ROUND(($I263-$G263)*1440,0)&gt;設定!$C$28,ROUND(($I263-$G263)*1440,0),0))</f>
        <v/>
      </c>
      <c r="O263" s="32">
        <f>IF(OR($C263="",$H263="",$J263=""),0,IF(ROUND(($H263-$J263)*1440,0)&gt;設定!$C$28,ROUND(($H263-$J263)*1440,0),0))</f>
        <v/>
      </c>
      <c r="P263" s="33">
        <f>IF($L263="",0,IF(($L263-IFERROR(INDEX(設定!$G$5:$G$20,MATCH($F263,設定!$B$5:$B$20,0)),0))*60&gt;=設定!$C$26,ROUND(FLOOR(($L263-IFERROR(INDEX(設定!$G$5:$G$20,MATCH($F263,設定!$B$5:$B$20,0)),0))*60,設定!$C$27)/60,2),0))</f>
        <v/>
      </c>
      <c r="Q263" s="29">
        <f>IF(OR($C263="",$P263=0),"",IF($F263="國","國定假日",IF($B263="日","例假",IF($B263="六","休息日","平日"))))</f>
        <v/>
      </c>
      <c r="R263" s="34" t="n"/>
    </row>
    <row r="264">
      <c r="A264" s="30">
        <f>IF(OR(班表!$A14="",14&gt;DAY(EOMONTH(DATE(班表!$E$2,班表!$G$2,1),0))),"",DATE(班表!$E$2,班表!$G$2,14))</f>
        <v/>
      </c>
      <c r="B264" s="29">
        <f>IF($A264="","",INDEX(設定!$L$5:$L$11,WEEKDAY($A264,1)))</f>
        <v/>
      </c>
      <c r="C264" s="29">
        <f>IF($A264="","",班表!$A14)</f>
        <v/>
      </c>
      <c r="D264" s="29">
        <f>IF($C264="","",班表!$B14)</f>
        <v/>
      </c>
      <c r="E264" s="29">
        <f>IF($C264="","",班表!$C14)</f>
        <v/>
      </c>
      <c r="F264" s="29">
        <f>IF($C264="","",班表!Q14)</f>
        <v/>
      </c>
      <c r="G264" s="31">
        <f>IF($F264="","",IFERROR(INDEX(設定!$D$5:$D$20,MATCH($F264,設定!$B$5:$B$20,0)),""))</f>
        <v/>
      </c>
      <c r="H264" s="31">
        <f>IF($F264="","",IFERROR(INDEX(設定!$E$5:$E$20,MATCH($F264,設定!$B$5:$B$20,0)),""))</f>
        <v/>
      </c>
      <c r="I264" s="31">
        <f>IFERROR(INDEX(打卡匯入!$C$3:$C$1002,MATCH($C264&amp;"|"&amp;DAY($A264),打卡匯入!$E$3:$E$1002,0)),"")</f>
        <v/>
      </c>
      <c r="J264" s="31">
        <f>IFERROR(INDEX(打卡匯入!$D$3:$D$1002,MATCH($C264&amp;"|"&amp;DAY($A264),打卡匯入!$E$3:$E$1002,0)),"")</f>
        <v/>
      </c>
      <c r="K264" s="32">
        <f>IF(OR($I264="",$J264=""),"",IFERROR(INDEX(設定!$F$5:$F$20,MATCH($F264,設定!$B$5:$B$20,0)),0))</f>
        <v/>
      </c>
      <c r="L264" s="33">
        <f>IF(OR($I264="",$J264=""),"",ROUND(($J264-$I264)*24-$K264/60,2))</f>
        <v/>
      </c>
      <c r="M264" s="29">
        <f>IF($C264="","",IF(AND(COUNTIF(設定!$B$14:$B$20,$F264)&gt;0,$I264&lt;&gt;""),"假日出勤",IF(AND(COUNTIF(設定!$B$5:$B$13,$F264)&gt;0,$I264=""),"未打卡",IF($I264="","",IF($N264&gt;0,"遲到",IF($O264&gt;0,"早退","正常"))))))</f>
        <v/>
      </c>
      <c r="N264" s="32">
        <f>IF(OR($C264="",$G264="",$I264=""),0,IF(ROUND(($I264-$G264)*1440,0)&gt;設定!$C$28,ROUND(($I264-$G264)*1440,0),0))</f>
        <v/>
      </c>
      <c r="O264" s="32">
        <f>IF(OR($C264="",$H264="",$J264=""),0,IF(ROUND(($H264-$J264)*1440,0)&gt;設定!$C$28,ROUND(($H264-$J264)*1440,0),0))</f>
        <v/>
      </c>
      <c r="P264" s="33">
        <f>IF($L264="",0,IF(($L264-IFERROR(INDEX(設定!$G$5:$G$20,MATCH($F264,設定!$B$5:$B$20,0)),0))*60&gt;=設定!$C$26,ROUND(FLOOR(($L264-IFERROR(INDEX(設定!$G$5:$G$20,MATCH($F264,設定!$B$5:$B$20,0)),0))*60,設定!$C$27)/60,2),0))</f>
        <v/>
      </c>
      <c r="Q264" s="29">
        <f>IF(OR($C264="",$P264=0),"",IF($F264="國","國定假日",IF($B264="日","例假",IF($B264="六","休息日","平日"))))</f>
        <v/>
      </c>
      <c r="R264" s="34" t="n"/>
    </row>
    <row r="265">
      <c r="A265" s="30">
        <f>IF(OR(班表!$A14="",15&gt;DAY(EOMONTH(DATE(班表!$E$2,班表!$G$2,1),0))),"",DATE(班表!$E$2,班表!$G$2,15))</f>
        <v/>
      </c>
      <c r="B265" s="29">
        <f>IF($A265="","",INDEX(設定!$L$5:$L$11,WEEKDAY($A265,1)))</f>
        <v/>
      </c>
      <c r="C265" s="29">
        <f>IF($A265="","",班表!$A14)</f>
        <v/>
      </c>
      <c r="D265" s="29">
        <f>IF($C265="","",班表!$B14)</f>
        <v/>
      </c>
      <c r="E265" s="29">
        <f>IF($C265="","",班表!$C14)</f>
        <v/>
      </c>
      <c r="F265" s="29">
        <f>IF($C265="","",班表!R14)</f>
        <v/>
      </c>
      <c r="G265" s="31">
        <f>IF($F265="","",IFERROR(INDEX(設定!$D$5:$D$20,MATCH($F265,設定!$B$5:$B$20,0)),""))</f>
        <v/>
      </c>
      <c r="H265" s="31">
        <f>IF($F265="","",IFERROR(INDEX(設定!$E$5:$E$20,MATCH($F265,設定!$B$5:$B$20,0)),""))</f>
        <v/>
      </c>
      <c r="I265" s="31">
        <f>IFERROR(INDEX(打卡匯入!$C$3:$C$1002,MATCH($C265&amp;"|"&amp;DAY($A265),打卡匯入!$E$3:$E$1002,0)),"")</f>
        <v/>
      </c>
      <c r="J265" s="31">
        <f>IFERROR(INDEX(打卡匯入!$D$3:$D$1002,MATCH($C265&amp;"|"&amp;DAY($A265),打卡匯入!$E$3:$E$1002,0)),"")</f>
        <v/>
      </c>
      <c r="K265" s="32">
        <f>IF(OR($I265="",$J265=""),"",IFERROR(INDEX(設定!$F$5:$F$20,MATCH($F265,設定!$B$5:$B$20,0)),0))</f>
        <v/>
      </c>
      <c r="L265" s="33">
        <f>IF(OR($I265="",$J265=""),"",ROUND(($J265-$I265)*24-$K265/60,2))</f>
        <v/>
      </c>
      <c r="M265" s="29">
        <f>IF($C265="","",IF(AND(COUNTIF(設定!$B$14:$B$20,$F265)&gt;0,$I265&lt;&gt;""),"假日出勤",IF(AND(COUNTIF(設定!$B$5:$B$13,$F265)&gt;0,$I265=""),"未打卡",IF($I265="","",IF($N265&gt;0,"遲到",IF($O265&gt;0,"早退","正常"))))))</f>
        <v/>
      </c>
      <c r="N265" s="32">
        <f>IF(OR($C265="",$G265="",$I265=""),0,IF(ROUND(($I265-$G265)*1440,0)&gt;設定!$C$28,ROUND(($I265-$G265)*1440,0),0))</f>
        <v/>
      </c>
      <c r="O265" s="32">
        <f>IF(OR($C265="",$H265="",$J265=""),0,IF(ROUND(($H265-$J265)*1440,0)&gt;設定!$C$28,ROUND(($H265-$J265)*1440,0),0))</f>
        <v/>
      </c>
      <c r="P265" s="33">
        <f>IF($L265="",0,IF(($L265-IFERROR(INDEX(設定!$G$5:$G$20,MATCH($F265,設定!$B$5:$B$20,0)),0))*60&gt;=設定!$C$26,ROUND(FLOOR(($L265-IFERROR(INDEX(設定!$G$5:$G$20,MATCH($F265,設定!$B$5:$B$20,0)),0))*60,設定!$C$27)/60,2),0))</f>
        <v/>
      </c>
      <c r="Q265" s="29">
        <f>IF(OR($C265="",$P265=0),"",IF($F265="國","國定假日",IF($B265="日","例假",IF($B265="六","休息日","平日"))))</f>
        <v/>
      </c>
      <c r="R265" s="34" t="n"/>
    </row>
    <row r="266">
      <c r="A266" s="30">
        <f>IF(OR(班表!$A14="",16&gt;DAY(EOMONTH(DATE(班表!$E$2,班表!$G$2,1),0))),"",DATE(班表!$E$2,班表!$G$2,16))</f>
        <v/>
      </c>
      <c r="B266" s="29">
        <f>IF($A266="","",INDEX(設定!$L$5:$L$11,WEEKDAY($A266,1)))</f>
        <v/>
      </c>
      <c r="C266" s="29">
        <f>IF($A266="","",班表!$A14)</f>
        <v/>
      </c>
      <c r="D266" s="29">
        <f>IF($C266="","",班表!$B14)</f>
        <v/>
      </c>
      <c r="E266" s="29">
        <f>IF($C266="","",班表!$C14)</f>
        <v/>
      </c>
      <c r="F266" s="29">
        <f>IF($C266="","",班表!S14)</f>
        <v/>
      </c>
      <c r="G266" s="31">
        <f>IF($F266="","",IFERROR(INDEX(設定!$D$5:$D$20,MATCH($F266,設定!$B$5:$B$20,0)),""))</f>
        <v/>
      </c>
      <c r="H266" s="31">
        <f>IF($F266="","",IFERROR(INDEX(設定!$E$5:$E$20,MATCH($F266,設定!$B$5:$B$20,0)),""))</f>
        <v/>
      </c>
      <c r="I266" s="31">
        <f>IFERROR(INDEX(打卡匯入!$C$3:$C$1002,MATCH($C266&amp;"|"&amp;DAY($A266),打卡匯入!$E$3:$E$1002,0)),"")</f>
        <v/>
      </c>
      <c r="J266" s="31">
        <f>IFERROR(INDEX(打卡匯入!$D$3:$D$1002,MATCH($C266&amp;"|"&amp;DAY($A266),打卡匯入!$E$3:$E$1002,0)),"")</f>
        <v/>
      </c>
      <c r="K266" s="32">
        <f>IF(OR($I266="",$J266=""),"",IFERROR(INDEX(設定!$F$5:$F$20,MATCH($F266,設定!$B$5:$B$20,0)),0))</f>
        <v/>
      </c>
      <c r="L266" s="33">
        <f>IF(OR($I266="",$J266=""),"",ROUND(($J266-$I266)*24-$K266/60,2))</f>
        <v/>
      </c>
      <c r="M266" s="29">
        <f>IF($C266="","",IF(AND(COUNTIF(設定!$B$14:$B$20,$F266)&gt;0,$I266&lt;&gt;""),"假日出勤",IF(AND(COUNTIF(設定!$B$5:$B$13,$F266)&gt;0,$I266=""),"未打卡",IF($I266="","",IF($N266&gt;0,"遲到",IF($O266&gt;0,"早退","正常"))))))</f>
        <v/>
      </c>
      <c r="N266" s="32">
        <f>IF(OR($C266="",$G266="",$I266=""),0,IF(ROUND(($I266-$G266)*1440,0)&gt;設定!$C$28,ROUND(($I266-$G266)*1440,0),0))</f>
        <v/>
      </c>
      <c r="O266" s="32">
        <f>IF(OR($C266="",$H266="",$J266=""),0,IF(ROUND(($H266-$J266)*1440,0)&gt;設定!$C$28,ROUND(($H266-$J266)*1440,0),0))</f>
        <v/>
      </c>
      <c r="P266" s="33">
        <f>IF($L266="",0,IF(($L266-IFERROR(INDEX(設定!$G$5:$G$20,MATCH($F266,設定!$B$5:$B$20,0)),0))*60&gt;=設定!$C$26,ROUND(FLOOR(($L266-IFERROR(INDEX(設定!$G$5:$G$20,MATCH($F266,設定!$B$5:$B$20,0)),0))*60,設定!$C$27)/60,2),0))</f>
        <v/>
      </c>
      <c r="Q266" s="29">
        <f>IF(OR($C266="",$P266=0),"",IF($F266="國","國定假日",IF($B266="日","例假",IF($B266="六","休息日","平日"))))</f>
        <v/>
      </c>
      <c r="R266" s="34" t="n"/>
    </row>
    <row r="267">
      <c r="A267" s="30">
        <f>IF(OR(班表!$A14="",17&gt;DAY(EOMONTH(DATE(班表!$E$2,班表!$G$2,1),0))),"",DATE(班表!$E$2,班表!$G$2,17))</f>
        <v/>
      </c>
      <c r="B267" s="29">
        <f>IF($A267="","",INDEX(設定!$L$5:$L$11,WEEKDAY($A267,1)))</f>
        <v/>
      </c>
      <c r="C267" s="29">
        <f>IF($A267="","",班表!$A14)</f>
        <v/>
      </c>
      <c r="D267" s="29">
        <f>IF($C267="","",班表!$B14)</f>
        <v/>
      </c>
      <c r="E267" s="29">
        <f>IF($C267="","",班表!$C14)</f>
        <v/>
      </c>
      <c r="F267" s="29">
        <f>IF($C267="","",班表!T14)</f>
        <v/>
      </c>
      <c r="G267" s="31">
        <f>IF($F267="","",IFERROR(INDEX(設定!$D$5:$D$20,MATCH($F267,設定!$B$5:$B$20,0)),""))</f>
        <v/>
      </c>
      <c r="H267" s="31">
        <f>IF($F267="","",IFERROR(INDEX(設定!$E$5:$E$20,MATCH($F267,設定!$B$5:$B$20,0)),""))</f>
        <v/>
      </c>
      <c r="I267" s="31">
        <f>IFERROR(INDEX(打卡匯入!$C$3:$C$1002,MATCH($C267&amp;"|"&amp;DAY($A267),打卡匯入!$E$3:$E$1002,0)),"")</f>
        <v/>
      </c>
      <c r="J267" s="31">
        <f>IFERROR(INDEX(打卡匯入!$D$3:$D$1002,MATCH($C267&amp;"|"&amp;DAY($A267),打卡匯入!$E$3:$E$1002,0)),"")</f>
        <v/>
      </c>
      <c r="K267" s="32">
        <f>IF(OR($I267="",$J267=""),"",IFERROR(INDEX(設定!$F$5:$F$20,MATCH($F267,設定!$B$5:$B$20,0)),0))</f>
        <v/>
      </c>
      <c r="L267" s="33">
        <f>IF(OR($I267="",$J267=""),"",ROUND(($J267-$I267)*24-$K267/60,2))</f>
        <v/>
      </c>
      <c r="M267" s="29">
        <f>IF($C267="","",IF(AND(COUNTIF(設定!$B$14:$B$20,$F267)&gt;0,$I267&lt;&gt;""),"假日出勤",IF(AND(COUNTIF(設定!$B$5:$B$13,$F267)&gt;0,$I267=""),"未打卡",IF($I267="","",IF($N267&gt;0,"遲到",IF($O267&gt;0,"早退","正常"))))))</f>
        <v/>
      </c>
      <c r="N267" s="32">
        <f>IF(OR($C267="",$G267="",$I267=""),0,IF(ROUND(($I267-$G267)*1440,0)&gt;設定!$C$28,ROUND(($I267-$G267)*1440,0),0))</f>
        <v/>
      </c>
      <c r="O267" s="32">
        <f>IF(OR($C267="",$H267="",$J267=""),0,IF(ROUND(($H267-$J267)*1440,0)&gt;設定!$C$28,ROUND(($H267-$J267)*1440,0),0))</f>
        <v/>
      </c>
      <c r="P267" s="33">
        <f>IF($L267="",0,IF(($L267-IFERROR(INDEX(設定!$G$5:$G$20,MATCH($F267,設定!$B$5:$B$20,0)),0))*60&gt;=設定!$C$26,ROUND(FLOOR(($L267-IFERROR(INDEX(設定!$G$5:$G$20,MATCH($F267,設定!$B$5:$B$20,0)),0))*60,設定!$C$27)/60,2),0))</f>
        <v/>
      </c>
      <c r="Q267" s="29">
        <f>IF(OR($C267="",$P267=0),"",IF($F267="國","國定假日",IF($B267="日","例假",IF($B267="六","休息日","平日"))))</f>
        <v/>
      </c>
      <c r="R267" s="34" t="n"/>
    </row>
    <row r="268">
      <c r="A268" s="30">
        <f>IF(OR(班表!$A14="",18&gt;DAY(EOMONTH(DATE(班表!$E$2,班表!$G$2,1),0))),"",DATE(班表!$E$2,班表!$G$2,18))</f>
        <v/>
      </c>
      <c r="B268" s="29">
        <f>IF($A268="","",INDEX(設定!$L$5:$L$11,WEEKDAY($A268,1)))</f>
        <v/>
      </c>
      <c r="C268" s="29">
        <f>IF($A268="","",班表!$A14)</f>
        <v/>
      </c>
      <c r="D268" s="29">
        <f>IF($C268="","",班表!$B14)</f>
        <v/>
      </c>
      <c r="E268" s="29">
        <f>IF($C268="","",班表!$C14)</f>
        <v/>
      </c>
      <c r="F268" s="29">
        <f>IF($C268="","",班表!U14)</f>
        <v/>
      </c>
      <c r="G268" s="31">
        <f>IF($F268="","",IFERROR(INDEX(設定!$D$5:$D$20,MATCH($F268,設定!$B$5:$B$20,0)),""))</f>
        <v/>
      </c>
      <c r="H268" s="31">
        <f>IF($F268="","",IFERROR(INDEX(設定!$E$5:$E$20,MATCH($F268,設定!$B$5:$B$20,0)),""))</f>
        <v/>
      </c>
      <c r="I268" s="31">
        <f>IFERROR(INDEX(打卡匯入!$C$3:$C$1002,MATCH($C268&amp;"|"&amp;DAY($A268),打卡匯入!$E$3:$E$1002,0)),"")</f>
        <v/>
      </c>
      <c r="J268" s="31">
        <f>IFERROR(INDEX(打卡匯入!$D$3:$D$1002,MATCH($C268&amp;"|"&amp;DAY($A268),打卡匯入!$E$3:$E$1002,0)),"")</f>
        <v/>
      </c>
      <c r="K268" s="32">
        <f>IF(OR($I268="",$J268=""),"",IFERROR(INDEX(設定!$F$5:$F$20,MATCH($F268,設定!$B$5:$B$20,0)),0))</f>
        <v/>
      </c>
      <c r="L268" s="33">
        <f>IF(OR($I268="",$J268=""),"",ROUND(($J268-$I268)*24-$K268/60,2))</f>
        <v/>
      </c>
      <c r="M268" s="29">
        <f>IF($C268="","",IF(AND(COUNTIF(設定!$B$14:$B$20,$F268)&gt;0,$I268&lt;&gt;""),"假日出勤",IF(AND(COUNTIF(設定!$B$5:$B$13,$F268)&gt;0,$I268=""),"未打卡",IF($I268="","",IF($N268&gt;0,"遲到",IF($O268&gt;0,"早退","正常"))))))</f>
        <v/>
      </c>
      <c r="N268" s="32">
        <f>IF(OR($C268="",$G268="",$I268=""),0,IF(ROUND(($I268-$G268)*1440,0)&gt;設定!$C$28,ROUND(($I268-$G268)*1440,0),0))</f>
        <v/>
      </c>
      <c r="O268" s="32">
        <f>IF(OR($C268="",$H268="",$J268=""),0,IF(ROUND(($H268-$J268)*1440,0)&gt;設定!$C$28,ROUND(($H268-$J268)*1440,0),0))</f>
        <v/>
      </c>
      <c r="P268" s="33">
        <f>IF($L268="",0,IF(($L268-IFERROR(INDEX(設定!$G$5:$G$20,MATCH($F268,設定!$B$5:$B$20,0)),0))*60&gt;=設定!$C$26,ROUND(FLOOR(($L268-IFERROR(INDEX(設定!$G$5:$G$20,MATCH($F268,設定!$B$5:$B$20,0)),0))*60,設定!$C$27)/60,2),0))</f>
        <v/>
      </c>
      <c r="Q268" s="29">
        <f>IF(OR($C268="",$P268=0),"",IF($F268="國","國定假日",IF($B268="日","例假",IF($B268="六","休息日","平日"))))</f>
        <v/>
      </c>
      <c r="R268" s="34" t="n"/>
    </row>
    <row r="269">
      <c r="A269" s="30">
        <f>IF(OR(班表!$A14="",19&gt;DAY(EOMONTH(DATE(班表!$E$2,班表!$G$2,1),0))),"",DATE(班表!$E$2,班表!$G$2,19))</f>
        <v/>
      </c>
      <c r="B269" s="29">
        <f>IF($A269="","",INDEX(設定!$L$5:$L$11,WEEKDAY($A269,1)))</f>
        <v/>
      </c>
      <c r="C269" s="29">
        <f>IF($A269="","",班表!$A14)</f>
        <v/>
      </c>
      <c r="D269" s="29">
        <f>IF($C269="","",班表!$B14)</f>
        <v/>
      </c>
      <c r="E269" s="29">
        <f>IF($C269="","",班表!$C14)</f>
        <v/>
      </c>
      <c r="F269" s="29">
        <f>IF($C269="","",班表!V14)</f>
        <v/>
      </c>
      <c r="G269" s="31">
        <f>IF($F269="","",IFERROR(INDEX(設定!$D$5:$D$20,MATCH($F269,設定!$B$5:$B$20,0)),""))</f>
        <v/>
      </c>
      <c r="H269" s="31">
        <f>IF($F269="","",IFERROR(INDEX(設定!$E$5:$E$20,MATCH($F269,設定!$B$5:$B$20,0)),""))</f>
        <v/>
      </c>
      <c r="I269" s="31">
        <f>IFERROR(INDEX(打卡匯入!$C$3:$C$1002,MATCH($C269&amp;"|"&amp;DAY($A269),打卡匯入!$E$3:$E$1002,0)),"")</f>
        <v/>
      </c>
      <c r="J269" s="31">
        <f>IFERROR(INDEX(打卡匯入!$D$3:$D$1002,MATCH($C269&amp;"|"&amp;DAY($A269),打卡匯入!$E$3:$E$1002,0)),"")</f>
        <v/>
      </c>
      <c r="K269" s="32">
        <f>IF(OR($I269="",$J269=""),"",IFERROR(INDEX(設定!$F$5:$F$20,MATCH($F269,設定!$B$5:$B$20,0)),0))</f>
        <v/>
      </c>
      <c r="L269" s="33">
        <f>IF(OR($I269="",$J269=""),"",ROUND(($J269-$I269)*24-$K269/60,2))</f>
        <v/>
      </c>
      <c r="M269" s="29">
        <f>IF($C269="","",IF(AND(COUNTIF(設定!$B$14:$B$20,$F269)&gt;0,$I269&lt;&gt;""),"假日出勤",IF(AND(COUNTIF(設定!$B$5:$B$13,$F269)&gt;0,$I269=""),"未打卡",IF($I269="","",IF($N269&gt;0,"遲到",IF($O269&gt;0,"早退","正常"))))))</f>
        <v/>
      </c>
      <c r="N269" s="32">
        <f>IF(OR($C269="",$G269="",$I269=""),0,IF(ROUND(($I269-$G269)*1440,0)&gt;設定!$C$28,ROUND(($I269-$G269)*1440,0),0))</f>
        <v/>
      </c>
      <c r="O269" s="32">
        <f>IF(OR($C269="",$H269="",$J269=""),0,IF(ROUND(($H269-$J269)*1440,0)&gt;設定!$C$28,ROUND(($H269-$J269)*1440,0),0))</f>
        <v/>
      </c>
      <c r="P269" s="33">
        <f>IF($L269="",0,IF(($L269-IFERROR(INDEX(設定!$G$5:$G$20,MATCH($F269,設定!$B$5:$B$20,0)),0))*60&gt;=設定!$C$26,ROUND(FLOOR(($L269-IFERROR(INDEX(設定!$G$5:$G$20,MATCH($F269,設定!$B$5:$B$20,0)),0))*60,設定!$C$27)/60,2),0))</f>
        <v/>
      </c>
      <c r="Q269" s="29">
        <f>IF(OR($C269="",$P269=0),"",IF($F269="國","國定假日",IF($B269="日","例假",IF($B269="六","休息日","平日"))))</f>
        <v/>
      </c>
      <c r="R269" s="34" t="n"/>
    </row>
    <row r="270">
      <c r="A270" s="30">
        <f>IF(OR(班表!$A14="",20&gt;DAY(EOMONTH(DATE(班表!$E$2,班表!$G$2,1),0))),"",DATE(班表!$E$2,班表!$G$2,20))</f>
        <v/>
      </c>
      <c r="B270" s="29">
        <f>IF($A270="","",INDEX(設定!$L$5:$L$11,WEEKDAY($A270,1)))</f>
        <v/>
      </c>
      <c r="C270" s="29">
        <f>IF($A270="","",班表!$A14)</f>
        <v/>
      </c>
      <c r="D270" s="29">
        <f>IF($C270="","",班表!$B14)</f>
        <v/>
      </c>
      <c r="E270" s="29">
        <f>IF($C270="","",班表!$C14)</f>
        <v/>
      </c>
      <c r="F270" s="29">
        <f>IF($C270="","",班表!W14)</f>
        <v/>
      </c>
      <c r="G270" s="31">
        <f>IF($F270="","",IFERROR(INDEX(設定!$D$5:$D$20,MATCH($F270,設定!$B$5:$B$20,0)),""))</f>
        <v/>
      </c>
      <c r="H270" s="31">
        <f>IF($F270="","",IFERROR(INDEX(設定!$E$5:$E$20,MATCH($F270,設定!$B$5:$B$20,0)),""))</f>
        <v/>
      </c>
      <c r="I270" s="31">
        <f>IFERROR(INDEX(打卡匯入!$C$3:$C$1002,MATCH($C270&amp;"|"&amp;DAY($A270),打卡匯入!$E$3:$E$1002,0)),"")</f>
        <v/>
      </c>
      <c r="J270" s="31">
        <f>IFERROR(INDEX(打卡匯入!$D$3:$D$1002,MATCH($C270&amp;"|"&amp;DAY($A270),打卡匯入!$E$3:$E$1002,0)),"")</f>
        <v/>
      </c>
      <c r="K270" s="32">
        <f>IF(OR($I270="",$J270=""),"",IFERROR(INDEX(設定!$F$5:$F$20,MATCH($F270,設定!$B$5:$B$20,0)),0))</f>
        <v/>
      </c>
      <c r="L270" s="33">
        <f>IF(OR($I270="",$J270=""),"",ROUND(($J270-$I270)*24-$K270/60,2))</f>
        <v/>
      </c>
      <c r="M270" s="29">
        <f>IF($C270="","",IF(AND(COUNTIF(設定!$B$14:$B$20,$F270)&gt;0,$I270&lt;&gt;""),"假日出勤",IF(AND(COUNTIF(設定!$B$5:$B$13,$F270)&gt;0,$I270=""),"未打卡",IF($I270="","",IF($N270&gt;0,"遲到",IF($O270&gt;0,"早退","正常"))))))</f>
        <v/>
      </c>
      <c r="N270" s="32">
        <f>IF(OR($C270="",$G270="",$I270=""),0,IF(ROUND(($I270-$G270)*1440,0)&gt;設定!$C$28,ROUND(($I270-$G270)*1440,0),0))</f>
        <v/>
      </c>
      <c r="O270" s="32">
        <f>IF(OR($C270="",$H270="",$J270=""),0,IF(ROUND(($H270-$J270)*1440,0)&gt;設定!$C$28,ROUND(($H270-$J270)*1440,0),0))</f>
        <v/>
      </c>
      <c r="P270" s="33">
        <f>IF($L270="",0,IF(($L270-IFERROR(INDEX(設定!$G$5:$G$20,MATCH($F270,設定!$B$5:$B$20,0)),0))*60&gt;=設定!$C$26,ROUND(FLOOR(($L270-IFERROR(INDEX(設定!$G$5:$G$20,MATCH($F270,設定!$B$5:$B$20,0)),0))*60,設定!$C$27)/60,2),0))</f>
        <v/>
      </c>
      <c r="Q270" s="29">
        <f>IF(OR($C270="",$P270=0),"",IF($F270="國","國定假日",IF($B270="日","例假",IF($B270="六","休息日","平日"))))</f>
        <v/>
      </c>
      <c r="R270" s="34" t="n"/>
    </row>
    <row r="271">
      <c r="A271" s="30">
        <f>IF(OR(班表!$A14="",21&gt;DAY(EOMONTH(DATE(班表!$E$2,班表!$G$2,1),0))),"",DATE(班表!$E$2,班表!$G$2,21))</f>
        <v/>
      </c>
      <c r="B271" s="29">
        <f>IF($A271="","",INDEX(設定!$L$5:$L$11,WEEKDAY($A271,1)))</f>
        <v/>
      </c>
      <c r="C271" s="29">
        <f>IF($A271="","",班表!$A14)</f>
        <v/>
      </c>
      <c r="D271" s="29">
        <f>IF($C271="","",班表!$B14)</f>
        <v/>
      </c>
      <c r="E271" s="29">
        <f>IF($C271="","",班表!$C14)</f>
        <v/>
      </c>
      <c r="F271" s="29">
        <f>IF($C271="","",班表!X14)</f>
        <v/>
      </c>
      <c r="G271" s="31">
        <f>IF($F271="","",IFERROR(INDEX(設定!$D$5:$D$20,MATCH($F271,設定!$B$5:$B$20,0)),""))</f>
        <v/>
      </c>
      <c r="H271" s="31">
        <f>IF($F271="","",IFERROR(INDEX(設定!$E$5:$E$20,MATCH($F271,設定!$B$5:$B$20,0)),""))</f>
        <v/>
      </c>
      <c r="I271" s="31">
        <f>IFERROR(INDEX(打卡匯入!$C$3:$C$1002,MATCH($C271&amp;"|"&amp;DAY($A271),打卡匯入!$E$3:$E$1002,0)),"")</f>
        <v/>
      </c>
      <c r="J271" s="31">
        <f>IFERROR(INDEX(打卡匯入!$D$3:$D$1002,MATCH($C271&amp;"|"&amp;DAY($A271),打卡匯入!$E$3:$E$1002,0)),"")</f>
        <v/>
      </c>
      <c r="K271" s="32">
        <f>IF(OR($I271="",$J271=""),"",IFERROR(INDEX(設定!$F$5:$F$20,MATCH($F271,設定!$B$5:$B$20,0)),0))</f>
        <v/>
      </c>
      <c r="L271" s="33">
        <f>IF(OR($I271="",$J271=""),"",ROUND(($J271-$I271)*24-$K271/60,2))</f>
        <v/>
      </c>
      <c r="M271" s="29">
        <f>IF($C271="","",IF(AND(COUNTIF(設定!$B$14:$B$20,$F271)&gt;0,$I271&lt;&gt;""),"假日出勤",IF(AND(COUNTIF(設定!$B$5:$B$13,$F271)&gt;0,$I271=""),"未打卡",IF($I271="","",IF($N271&gt;0,"遲到",IF($O271&gt;0,"早退","正常"))))))</f>
        <v/>
      </c>
      <c r="N271" s="32">
        <f>IF(OR($C271="",$G271="",$I271=""),0,IF(ROUND(($I271-$G271)*1440,0)&gt;設定!$C$28,ROUND(($I271-$G271)*1440,0),0))</f>
        <v/>
      </c>
      <c r="O271" s="32">
        <f>IF(OR($C271="",$H271="",$J271=""),0,IF(ROUND(($H271-$J271)*1440,0)&gt;設定!$C$28,ROUND(($H271-$J271)*1440,0),0))</f>
        <v/>
      </c>
      <c r="P271" s="33">
        <f>IF($L271="",0,IF(($L271-IFERROR(INDEX(設定!$G$5:$G$20,MATCH($F271,設定!$B$5:$B$20,0)),0))*60&gt;=設定!$C$26,ROUND(FLOOR(($L271-IFERROR(INDEX(設定!$G$5:$G$20,MATCH($F271,設定!$B$5:$B$20,0)),0))*60,設定!$C$27)/60,2),0))</f>
        <v/>
      </c>
      <c r="Q271" s="29">
        <f>IF(OR($C271="",$P271=0),"",IF($F271="國","國定假日",IF($B271="日","例假",IF($B271="六","休息日","平日"))))</f>
        <v/>
      </c>
      <c r="R271" s="34" t="n"/>
    </row>
    <row r="272">
      <c r="A272" s="30">
        <f>IF(OR(班表!$A14="",22&gt;DAY(EOMONTH(DATE(班表!$E$2,班表!$G$2,1),0))),"",DATE(班表!$E$2,班表!$G$2,22))</f>
        <v/>
      </c>
      <c r="B272" s="29">
        <f>IF($A272="","",INDEX(設定!$L$5:$L$11,WEEKDAY($A272,1)))</f>
        <v/>
      </c>
      <c r="C272" s="29">
        <f>IF($A272="","",班表!$A14)</f>
        <v/>
      </c>
      <c r="D272" s="29">
        <f>IF($C272="","",班表!$B14)</f>
        <v/>
      </c>
      <c r="E272" s="29">
        <f>IF($C272="","",班表!$C14)</f>
        <v/>
      </c>
      <c r="F272" s="29">
        <f>IF($C272="","",班表!Y14)</f>
        <v/>
      </c>
      <c r="G272" s="31">
        <f>IF($F272="","",IFERROR(INDEX(設定!$D$5:$D$20,MATCH($F272,設定!$B$5:$B$20,0)),""))</f>
        <v/>
      </c>
      <c r="H272" s="31">
        <f>IF($F272="","",IFERROR(INDEX(設定!$E$5:$E$20,MATCH($F272,設定!$B$5:$B$20,0)),""))</f>
        <v/>
      </c>
      <c r="I272" s="31">
        <f>IFERROR(INDEX(打卡匯入!$C$3:$C$1002,MATCH($C272&amp;"|"&amp;DAY($A272),打卡匯入!$E$3:$E$1002,0)),"")</f>
        <v/>
      </c>
      <c r="J272" s="31">
        <f>IFERROR(INDEX(打卡匯入!$D$3:$D$1002,MATCH($C272&amp;"|"&amp;DAY($A272),打卡匯入!$E$3:$E$1002,0)),"")</f>
        <v/>
      </c>
      <c r="K272" s="32">
        <f>IF(OR($I272="",$J272=""),"",IFERROR(INDEX(設定!$F$5:$F$20,MATCH($F272,設定!$B$5:$B$20,0)),0))</f>
        <v/>
      </c>
      <c r="L272" s="33">
        <f>IF(OR($I272="",$J272=""),"",ROUND(($J272-$I272)*24-$K272/60,2))</f>
        <v/>
      </c>
      <c r="M272" s="29">
        <f>IF($C272="","",IF(AND(COUNTIF(設定!$B$14:$B$20,$F272)&gt;0,$I272&lt;&gt;""),"假日出勤",IF(AND(COUNTIF(設定!$B$5:$B$13,$F272)&gt;0,$I272=""),"未打卡",IF($I272="","",IF($N272&gt;0,"遲到",IF($O272&gt;0,"早退","正常"))))))</f>
        <v/>
      </c>
      <c r="N272" s="32">
        <f>IF(OR($C272="",$G272="",$I272=""),0,IF(ROUND(($I272-$G272)*1440,0)&gt;設定!$C$28,ROUND(($I272-$G272)*1440,0),0))</f>
        <v/>
      </c>
      <c r="O272" s="32">
        <f>IF(OR($C272="",$H272="",$J272=""),0,IF(ROUND(($H272-$J272)*1440,0)&gt;設定!$C$28,ROUND(($H272-$J272)*1440,0),0))</f>
        <v/>
      </c>
      <c r="P272" s="33">
        <f>IF($L272="",0,IF(($L272-IFERROR(INDEX(設定!$G$5:$G$20,MATCH($F272,設定!$B$5:$B$20,0)),0))*60&gt;=設定!$C$26,ROUND(FLOOR(($L272-IFERROR(INDEX(設定!$G$5:$G$20,MATCH($F272,設定!$B$5:$B$20,0)),0))*60,設定!$C$27)/60,2),0))</f>
        <v/>
      </c>
      <c r="Q272" s="29">
        <f>IF(OR($C272="",$P272=0),"",IF($F272="國","國定假日",IF($B272="日","例假",IF($B272="六","休息日","平日"))))</f>
        <v/>
      </c>
      <c r="R272" s="34" t="n"/>
    </row>
    <row r="273">
      <c r="A273" s="30">
        <f>IF(OR(班表!$A14="",23&gt;DAY(EOMONTH(DATE(班表!$E$2,班表!$G$2,1),0))),"",DATE(班表!$E$2,班表!$G$2,23))</f>
        <v/>
      </c>
      <c r="B273" s="29">
        <f>IF($A273="","",INDEX(設定!$L$5:$L$11,WEEKDAY($A273,1)))</f>
        <v/>
      </c>
      <c r="C273" s="29">
        <f>IF($A273="","",班表!$A14)</f>
        <v/>
      </c>
      <c r="D273" s="29">
        <f>IF($C273="","",班表!$B14)</f>
        <v/>
      </c>
      <c r="E273" s="29">
        <f>IF($C273="","",班表!$C14)</f>
        <v/>
      </c>
      <c r="F273" s="29">
        <f>IF($C273="","",班表!Z14)</f>
        <v/>
      </c>
      <c r="G273" s="31">
        <f>IF($F273="","",IFERROR(INDEX(設定!$D$5:$D$20,MATCH($F273,設定!$B$5:$B$20,0)),""))</f>
        <v/>
      </c>
      <c r="H273" s="31">
        <f>IF($F273="","",IFERROR(INDEX(設定!$E$5:$E$20,MATCH($F273,設定!$B$5:$B$20,0)),""))</f>
        <v/>
      </c>
      <c r="I273" s="31">
        <f>IFERROR(INDEX(打卡匯入!$C$3:$C$1002,MATCH($C273&amp;"|"&amp;DAY($A273),打卡匯入!$E$3:$E$1002,0)),"")</f>
        <v/>
      </c>
      <c r="J273" s="31">
        <f>IFERROR(INDEX(打卡匯入!$D$3:$D$1002,MATCH($C273&amp;"|"&amp;DAY($A273),打卡匯入!$E$3:$E$1002,0)),"")</f>
        <v/>
      </c>
      <c r="K273" s="32">
        <f>IF(OR($I273="",$J273=""),"",IFERROR(INDEX(設定!$F$5:$F$20,MATCH($F273,設定!$B$5:$B$20,0)),0))</f>
        <v/>
      </c>
      <c r="L273" s="33">
        <f>IF(OR($I273="",$J273=""),"",ROUND(($J273-$I273)*24-$K273/60,2))</f>
        <v/>
      </c>
      <c r="M273" s="29">
        <f>IF($C273="","",IF(AND(COUNTIF(設定!$B$14:$B$20,$F273)&gt;0,$I273&lt;&gt;""),"假日出勤",IF(AND(COUNTIF(設定!$B$5:$B$13,$F273)&gt;0,$I273=""),"未打卡",IF($I273="","",IF($N273&gt;0,"遲到",IF($O273&gt;0,"早退","正常"))))))</f>
        <v/>
      </c>
      <c r="N273" s="32">
        <f>IF(OR($C273="",$G273="",$I273=""),0,IF(ROUND(($I273-$G273)*1440,0)&gt;設定!$C$28,ROUND(($I273-$G273)*1440,0),0))</f>
        <v/>
      </c>
      <c r="O273" s="32">
        <f>IF(OR($C273="",$H273="",$J273=""),0,IF(ROUND(($H273-$J273)*1440,0)&gt;設定!$C$28,ROUND(($H273-$J273)*1440,0),0))</f>
        <v/>
      </c>
      <c r="P273" s="33">
        <f>IF($L273="",0,IF(($L273-IFERROR(INDEX(設定!$G$5:$G$20,MATCH($F273,設定!$B$5:$B$20,0)),0))*60&gt;=設定!$C$26,ROUND(FLOOR(($L273-IFERROR(INDEX(設定!$G$5:$G$20,MATCH($F273,設定!$B$5:$B$20,0)),0))*60,設定!$C$27)/60,2),0))</f>
        <v/>
      </c>
      <c r="Q273" s="29">
        <f>IF(OR($C273="",$P273=0),"",IF($F273="國","國定假日",IF($B273="日","例假",IF($B273="六","休息日","平日"))))</f>
        <v/>
      </c>
      <c r="R273" s="34" t="n"/>
    </row>
    <row r="274">
      <c r="A274" s="30">
        <f>IF(OR(班表!$A14="",24&gt;DAY(EOMONTH(DATE(班表!$E$2,班表!$G$2,1),0))),"",DATE(班表!$E$2,班表!$G$2,24))</f>
        <v/>
      </c>
      <c r="B274" s="29">
        <f>IF($A274="","",INDEX(設定!$L$5:$L$11,WEEKDAY($A274,1)))</f>
        <v/>
      </c>
      <c r="C274" s="29">
        <f>IF($A274="","",班表!$A14)</f>
        <v/>
      </c>
      <c r="D274" s="29">
        <f>IF($C274="","",班表!$B14)</f>
        <v/>
      </c>
      <c r="E274" s="29">
        <f>IF($C274="","",班表!$C14)</f>
        <v/>
      </c>
      <c r="F274" s="29">
        <f>IF($C274="","",班表!AA14)</f>
        <v/>
      </c>
      <c r="G274" s="31">
        <f>IF($F274="","",IFERROR(INDEX(設定!$D$5:$D$20,MATCH($F274,設定!$B$5:$B$20,0)),""))</f>
        <v/>
      </c>
      <c r="H274" s="31">
        <f>IF($F274="","",IFERROR(INDEX(設定!$E$5:$E$20,MATCH($F274,設定!$B$5:$B$20,0)),""))</f>
        <v/>
      </c>
      <c r="I274" s="31">
        <f>IFERROR(INDEX(打卡匯入!$C$3:$C$1002,MATCH($C274&amp;"|"&amp;DAY($A274),打卡匯入!$E$3:$E$1002,0)),"")</f>
        <v/>
      </c>
      <c r="J274" s="31">
        <f>IFERROR(INDEX(打卡匯入!$D$3:$D$1002,MATCH($C274&amp;"|"&amp;DAY($A274),打卡匯入!$E$3:$E$1002,0)),"")</f>
        <v/>
      </c>
      <c r="K274" s="32">
        <f>IF(OR($I274="",$J274=""),"",IFERROR(INDEX(設定!$F$5:$F$20,MATCH($F274,設定!$B$5:$B$20,0)),0))</f>
        <v/>
      </c>
      <c r="L274" s="33">
        <f>IF(OR($I274="",$J274=""),"",ROUND(($J274-$I274)*24-$K274/60,2))</f>
        <v/>
      </c>
      <c r="M274" s="29">
        <f>IF($C274="","",IF(AND(COUNTIF(設定!$B$14:$B$20,$F274)&gt;0,$I274&lt;&gt;""),"假日出勤",IF(AND(COUNTIF(設定!$B$5:$B$13,$F274)&gt;0,$I274=""),"未打卡",IF($I274="","",IF($N274&gt;0,"遲到",IF($O274&gt;0,"早退","正常"))))))</f>
        <v/>
      </c>
      <c r="N274" s="32">
        <f>IF(OR($C274="",$G274="",$I274=""),0,IF(ROUND(($I274-$G274)*1440,0)&gt;設定!$C$28,ROUND(($I274-$G274)*1440,0),0))</f>
        <v/>
      </c>
      <c r="O274" s="32">
        <f>IF(OR($C274="",$H274="",$J274=""),0,IF(ROUND(($H274-$J274)*1440,0)&gt;設定!$C$28,ROUND(($H274-$J274)*1440,0),0))</f>
        <v/>
      </c>
      <c r="P274" s="33">
        <f>IF($L274="",0,IF(($L274-IFERROR(INDEX(設定!$G$5:$G$20,MATCH($F274,設定!$B$5:$B$20,0)),0))*60&gt;=設定!$C$26,ROUND(FLOOR(($L274-IFERROR(INDEX(設定!$G$5:$G$20,MATCH($F274,設定!$B$5:$B$20,0)),0))*60,設定!$C$27)/60,2),0))</f>
        <v/>
      </c>
      <c r="Q274" s="29">
        <f>IF(OR($C274="",$P274=0),"",IF($F274="國","國定假日",IF($B274="日","例假",IF($B274="六","休息日","平日"))))</f>
        <v/>
      </c>
      <c r="R274" s="34" t="n"/>
    </row>
    <row r="275">
      <c r="A275" s="30">
        <f>IF(OR(班表!$A14="",25&gt;DAY(EOMONTH(DATE(班表!$E$2,班表!$G$2,1),0))),"",DATE(班表!$E$2,班表!$G$2,25))</f>
        <v/>
      </c>
      <c r="B275" s="29">
        <f>IF($A275="","",INDEX(設定!$L$5:$L$11,WEEKDAY($A275,1)))</f>
        <v/>
      </c>
      <c r="C275" s="29">
        <f>IF($A275="","",班表!$A14)</f>
        <v/>
      </c>
      <c r="D275" s="29">
        <f>IF($C275="","",班表!$B14)</f>
        <v/>
      </c>
      <c r="E275" s="29">
        <f>IF($C275="","",班表!$C14)</f>
        <v/>
      </c>
      <c r="F275" s="29">
        <f>IF($C275="","",班表!AB14)</f>
        <v/>
      </c>
      <c r="G275" s="31">
        <f>IF($F275="","",IFERROR(INDEX(設定!$D$5:$D$20,MATCH($F275,設定!$B$5:$B$20,0)),""))</f>
        <v/>
      </c>
      <c r="H275" s="31">
        <f>IF($F275="","",IFERROR(INDEX(設定!$E$5:$E$20,MATCH($F275,設定!$B$5:$B$20,0)),""))</f>
        <v/>
      </c>
      <c r="I275" s="31">
        <f>IFERROR(INDEX(打卡匯入!$C$3:$C$1002,MATCH($C275&amp;"|"&amp;DAY($A275),打卡匯入!$E$3:$E$1002,0)),"")</f>
        <v/>
      </c>
      <c r="J275" s="31">
        <f>IFERROR(INDEX(打卡匯入!$D$3:$D$1002,MATCH($C275&amp;"|"&amp;DAY($A275),打卡匯入!$E$3:$E$1002,0)),"")</f>
        <v/>
      </c>
      <c r="K275" s="32">
        <f>IF(OR($I275="",$J275=""),"",IFERROR(INDEX(設定!$F$5:$F$20,MATCH($F275,設定!$B$5:$B$20,0)),0))</f>
        <v/>
      </c>
      <c r="L275" s="33">
        <f>IF(OR($I275="",$J275=""),"",ROUND(($J275-$I275)*24-$K275/60,2))</f>
        <v/>
      </c>
      <c r="M275" s="29">
        <f>IF($C275="","",IF(AND(COUNTIF(設定!$B$14:$B$20,$F275)&gt;0,$I275&lt;&gt;""),"假日出勤",IF(AND(COUNTIF(設定!$B$5:$B$13,$F275)&gt;0,$I275=""),"未打卡",IF($I275="","",IF($N275&gt;0,"遲到",IF($O275&gt;0,"早退","正常"))))))</f>
        <v/>
      </c>
      <c r="N275" s="32">
        <f>IF(OR($C275="",$G275="",$I275=""),0,IF(ROUND(($I275-$G275)*1440,0)&gt;設定!$C$28,ROUND(($I275-$G275)*1440,0),0))</f>
        <v/>
      </c>
      <c r="O275" s="32">
        <f>IF(OR($C275="",$H275="",$J275=""),0,IF(ROUND(($H275-$J275)*1440,0)&gt;設定!$C$28,ROUND(($H275-$J275)*1440,0),0))</f>
        <v/>
      </c>
      <c r="P275" s="33">
        <f>IF($L275="",0,IF(($L275-IFERROR(INDEX(設定!$G$5:$G$20,MATCH($F275,設定!$B$5:$B$20,0)),0))*60&gt;=設定!$C$26,ROUND(FLOOR(($L275-IFERROR(INDEX(設定!$G$5:$G$20,MATCH($F275,設定!$B$5:$B$20,0)),0))*60,設定!$C$27)/60,2),0))</f>
        <v/>
      </c>
      <c r="Q275" s="29">
        <f>IF(OR($C275="",$P275=0),"",IF($F275="國","國定假日",IF($B275="日","例假",IF($B275="六","休息日","平日"))))</f>
        <v/>
      </c>
      <c r="R275" s="34" t="n"/>
    </row>
    <row r="276">
      <c r="A276" s="30">
        <f>IF(OR(班表!$A14="",26&gt;DAY(EOMONTH(DATE(班表!$E$2,班表!$G$2,1),0))),"",DATE(班表!$E$2,班表!$G$2,26))</f>
        <v/>
      </c>
      <c r="B276" s="29">
        <f>IF($A276="","",INDEX(設定!$L$5:$L$11,WEEKDAY($A276,1)))</f>
        <v/>
      </c>
      <c r="C276" s="29">
        <f>IF($A276="","",班表!$A14)</f>
        <v/>
      </c>
      <c r="D276" s="29">
        <f>IF($C276="","",班表!$B14)</f>
        <v/>
      </c>
      <c r="E276" s="29">
        <f>IF($C276="","",班表!$C14)</f>
        <v/>
      </c>
      <c r="F276" s="29">
        <f>IF($C276="","",班表!AC14)</f>
        <v/>
      </c>
      <c r="G276" s="31">
        <f>IF($F276="","",IFERROR(INDEX(設定!$D$5:$D$20,MATCH($F276,設定!$B$5:$B$20,0)),""))</f>
        <v/>
      </c>
      <c r="H276" s="31">
        <f>IF($F276="","",IFERROR(INDEX(設定!$E$5:$E$20,MATCH($F276,設定!$B$5:$B$20,0)),""))</f>
        <v/>
      </c>
      <c r="I276" s="31">
        <f>IFERROR(INDEX(打卡匯入!$C$3:$C$1002,MATCH($C276&amp;"|"&amp;DAY($A276),打卡匯入!$E$3:$E$1002,0)),"")</f>
        <v/>
      </c>
      <c r="J276" s="31">
        <f>IFERROR(INDEX(打卡匯入!$D$3:$D$1002,MATCH($C276&amp;"|"&amp;DAY($A276),打卡匯入!$E$3:$E$1002,0)),"")</f>
        <v/>
      </c>
      <c r="K276" s="32">
        <f>IF(OR($I276="",$J276=""),"",IFERROR(INDEX(設定!$F$5:$F$20,MATCH($F276,設定!$B$5:$B$20,0)),0))</f>
        <v/>
      </c>
      <c r="L276" s="33">
        <f>IF(OR($I276="",$J276=""),"",ROUND(($J276-$I276)*24-$K276/60,2))</f>
        <v/>
      </c>
      <c r="M276" s="29">
        <f>IF($C276="","",IF(AND(COUNTIF(設定!$B$14:$B$20,$F276)&gt;0,$I276&lt;&gt;""),"假日出勤",IF(AND(COUNTIF(設定!$B$5:$B$13,$F276)&gt;0,$I276=""),"未打卡",IF($I276="","",IF($N276&gt;0,"遲到",IF($O276&gt;0,"早退","正常"))))))</f>
        <v/>
      </c>
      <c r="N276" s="32">
        <f>IF(OR($C276="",$G276="",$I276=""),0,IF(ROUND(($I276-$G276)*1440,0)&gt;設定!$C$28,ROUND(($I276-$G276)*1440,0),0))</f>
        <v/>
      </c>
      <c r="O276" s="32">
        <f>IF(OR($C276="",$H276="",$J276=""),0,IF(ROUND(($H276-$J276)*1440,0)&gt;設定!$C$28,ROUND(($H276-$J276)*1440,0),0))</f>
        <v/>
      </c>
      <c r="P276" s="33">
        <f>IF($L276="",0,IF(($L276-IFERROR(INDEX(設定!$G$5:$G$20,MATCH($F276,設定!$B$5:$B$20,0)),0))*60&gt;=設定!$C$26,ROUND(FLOOR(($L276-IFERROR(INDEX(設定!$G$5:$G$20,MATCH($F276,設定!$B$5:$B$20,0)),0))*60,設定!$C$27)/60,2),0))</f>
        <v/>
      </c>
      <c r="Q276" s="29">
        <f>IF(OR($C276="",$P276=0),"",IF($F276="國","國定假日",IF($B276="日","例假",IF($B276="六","休息日","平日"))))</f>
        <v/>
      </c>
      <c r="R276" s="34" t="n"/>
    </row>
    <row r="277">
      <c r="A277" s="30">
        <f>IF(OR(班表!$A14="",27&gt;DAY(EOMONTH(DATE(班表!$E$2,班表!$G$2,1),0))),"",DATE(班表!$E$2,班表!$G$2,27))</f>
        <v/>
      </c>
      <c r="B277" s="29">
        <f>IF($A277="","",INDEX(設定!$L$5:$L$11,WEEKDAY($A277,1)))</f>
        <v/>
      </c>
      <c r="C277" s="29">
        <f>IF($A277="","",班表!$A14)</f>
        <v/>
      </c>
      <c r="D277" s="29">
        <f>IF($C277="","",班表!$B14)</f>
        <v/>
      </c>
      <c r="E277" s="29">
        <f>IF($C277="","",班表!$C14)</f>
        <v/>
      </c>
      <c r="F277" s="29">
        <f>IF($C277="","",班表!AD14)</f>
        <v/>
      </c>
      <c r="G277" s="31">
        <f>IF($F277="","",IFERROR(INDEX(設定!$D$5:$D$20,MATCH($F277,設定!$B$5:$B$20,0)),""))</f>
        <v/>
      </c>
      <c r="H277" s="31">
        <f>IF($F277="","",IFERROR(INDEX(設定!$E$5:$E$20,MATCH($F277,設定!$B$5:$B$20,0)),""))</f>
        <v/>
      </c>
      <c r="I277" s="31">
        <f>IFERROR(INDEX(打卡匯入!$C$3:$C$1002,MATCH($C277&amp;"|"&amp;DAY($A277),打卡匯入!$E$3:$E$1002,0)),"")</f>
        <v/>
      </c>
      <c r="J277" s="31">
        <f>IFERROR(INDEX(打卡匯入!$D$3:$D$1002,MATCH($C277&amp;"|"&amp;DAY($A277),打卡匯入!$E$3:$E$1002,0)),"")</f>
        <v/>
      </c>
      <c r="K277" s="32">
        <f>IF(OR($I277="",$J277=""),"",IFERROR(INDEX(設定!$F$5:$F$20,MATCH($F277,設定!$B$5:$B$20,0)),0))</f>
        <v/>
      </c>
      <c r="L277" s="33">
        <f>IF(OR($I277="",$J277=""),"",ROUND(($J277-$I277)*24-$K277/60,2))</f>
        <v/>
      </c>
      <c r="M277" s="29">
        <f>IF($C277="","",IF(AND(COUNTIF(設定!$B$14:$B$20,$F277)&gt;0,$I277&lt;&gt;""),"假日出勤",IF(AND(COUNTIF(設定!$B$5:$B$13,$F277)&gt;0,$I277=""),"未打卡",IF($I277="","",IF($N277&gt;0,"遲到",IF($O277&gt;0,"早退","正常"))))))</f>
        <v/>
      </c>
      <c r="N277" s="32">
        <f>IF(OR($C277="",$G277="",$I277=""),0,IF(ROUND(($I277-$G277)*1440,0)&gt;設定!$C$28,ROUND(($I277-$G277)*1440,0),0))</f>
        <v/>
      </c>
      <c r="O277" s="32">
        <f>IF(OR($C277="",$H277="",$J277=""),0,IF(ROUND(($H277-$J277)*1440,0)&gt;設定!$C$28,ROUND(($H277-$J277)*1440,0),0))</f>
        <v/>
      </c>
      <c r="P277" s="33">
        <f>IF($L277="",0,IF(($L277-IFERROR(INDEX(設定!$G$5:$G$20,MATCH($F277,設定!$B$5:$B$20,0)),0))*60&gt;=設定!$C$26,ROUND(FLOOR(($L277-IFERROR(INDEX(設定!$G$5:$G$20,MATCH($F277,設定!$B$5:$B$20,0)),0))*60,設定!$C$27)/60,2),0))</f>
        <v/>
      </c>
      <c r="Q277" s="29">
        <f>IF(OR($C277="",$P277=0),"",IF($F277="國","國定假日",IF($B277="日","例假",IF($B277="六","休息日","平日"))))</f>
        <v/>
      </c>
      <c r="R277" s="34" t="n"/>
    </row>
    <row r="278">
      <c r="A278" s="30">
        <f>IF(OR(班表!$A14="",28&gt;DAY(EOMONTH(DATE(班表!$E$2,班表!$G$2,1),0))),"",DATE(班表!$E$2,班表!$G$2,28))</f>
        <v/>
      </c>
      <c r="B278" s="29">
        <f>IF($A278="","",INDEX(設定!$L$5:$L$11,WEEKDAY($A278,1)))</f>
        <v/>
      </c>
      <c r="C278" s="29">
        <f>IF($A278="","",班表!$A14)</f>
        <v/>
      </c>
      <c r="D278" s="29">
        <f>IF($C278="","",班表!$B14)</f>
        <v/>
      </c>
      <c r="E278" s="29">
        <f>IF($C278="","",班表!$C14)</f>
        <v/>
      </c>
      <c r="F278" s="29">
        <f>IF($C278="","",班表!AE14)</f>
        <v/>
      </c>
      <c r="G278" s="31">
        <f>IF($F278="","",IFERROR(INDEX(設定!$D$5:$D$20,MATCH($F278,設定!$B$5:$B$20,0)),""))</f>
        <v/>
      </c>
      <c r="H278" s="31">
        <f>IF($F278="","",IFERROR(INDEX(設定!$E$5:$E$20,MATCH($F278,設定!$B$5:$B$20,0)),""))</f>
        <v/>
      </c>
      <c r="I278" s="31">
        <f>IFERROR(INDEX(打卡匯入!$C$3:$C$1002,MATCH($C278&amp;"|"&amp;DAY($A278),打卡匯入!$E$3:$E$1002,0)),"")</f>
        <v/>
      </c>
      <c r="J278" s="31">
        <f>IFERROR(INDEX(打卡匯入!$D$3:$D$1002,MATCH($C278&amp;"|"&amp;DAY($A278),打卡匯入!$E$3:$E$1002,0)),"")</f>
        <v/>
      </c>
      <c r="K278" s="32">
        <f>IF(OR($I278="",$J278=""),"",IFERROR(INDEX(設定!$F$5:$F$20,MATCH($F278,設定!$B$5:$B$20,0)),0))</f>
        <v/>
      </c>
      <c r="L278" s="33">
        <f>IF(OR($I278="",$J278=""),"",ROUND(($J278-$I278)*24-$K278/60,2))</f>
        <v/>
      </c>
      <c r="M278" s="29">
        <f>IF($C278="","",IF(AND(COUNTIF(設定!$B$14:$B$20,$F278)&gt;0,$I278&lt;&gt;""),"假日出勤",IF(AND(COUNTIF(設定!$B$5:$B$13,$F278)&gt;0,$I278=""),"未打卡",IF($I278="","",IF($N278&gt;0,"遲到",IF($O278&gt;0,"早退","正常"))))))</f>
        <v/>
      </c>
      <c r="N278" s="32">
        <f>IF(OR($C278="",$G278="",$I278=""),0,IF(ROUND(($I278-$G278)*1440,0)&gt;設定!$C$28,ROUND(($I278-$G278)*1440,0),0))</f>
        <v/>
      </c>
      <c r="O278" s="32">
        <f>IF(OR($C278="",$H278="",$J278=""),0,IF(ROUND(($H278-$J278)*1440,0)&gt;設定!$C$28,ROUND(($H278-$J278)*1440,0),0))</f>
        <v/>
      </c>
      <c r="P278" s="33">
        <f>IF($L278="",0,IF(($L278-IFERROR(INDEX(設定!$G$5:$G$20,MATCH($F278,設定!$B$5:$B$20,0)),0))*60&gt;=設定!$C$26,ROUND(FLOOR(($L278-IFERROR(INDEX(設定!$G$5:$G$20,MATCH($F278,設定!$B$5:$B$20,0)),0))*60,設定!$C$27)/60,2),0))</f>
        <v/>
      </c>
      <c r="Q278" s="29">
        <f>IF(OR($C278="",$P278=0),"",IF($F278="國","國定假日",IF($B278="日","例假",IF($B278="六","休息日","平日"))))</f>
        <v/>
      </c>
      <c r="R278" s="34" t="n"/>
    </row>
    <row r="279">
      <c r="A279" s="30">
        <f>IF(OR(班表!$A14="",29&gt;DAY(EOMONTH(DATE(班表!$E$2,班表!$G$2,1),0))),"",DATE(班表!$E$2,班表!$G$2,29))</f>
        <v/>
      </c>
      <c r="B279" s="29">
        <f>IF($A279="","",INDEX(設定!$L$5:$L$11,WEEKDAY($A279,1)))</f>
        <v/>
      </c>
      <c r="C279" s="29">
        <f>IF($A279="","",班表!$A14)</f>
        <v/>
      </c>
      <c r="D279" s="29">
        <f>IF($C279="","",班表!$B14)</f>
        <v/>
      </c>
      <c r="E279" s="29">
        <f>IF($C279="","",班表!$C14)</f>
        <v/>
      </c>
      <c r="F279" s="29">
        <f>IF($C279="","",班表!AF14)</f>
        <v/>
      </c>
      <c r="G279" s="31">
        <f>IF($F279="","",IFERROR(INDEX(設定!$D$5:$D$20,MATCH($F279,設定!$B$5:$B$20,0)),""))</f>
        <v/>
      </c>
      <c r="H279" s="31">
        <f>IF($F279="","",IFERROR(INDEX(設定!$E$5:$E$20,MATCH($F279,設定!$B$5:$B$20,0)),""))</f>
        <v/>
      </c>
      <c r="I279" s="31">
        <f>IFERROR(INDEX(打卡匯入!$C$3:$C$1002,MATCH($C279&amp;"|"&amp;DAY($A279),打卡匯入!$E$3:$E$1002,0)),"")</f>
        <v/>
      </c>
      <c r="J279" s="31">
        <f>IFERROR(INDEX(打卡匯入!$D$3:$D$1002,MATCH($C279&amp;"|"&amp;DAY($A279),打卡匯入!$E$3:$E$1002,0)),"")</f>
        <v/>
      </c>
      <c r="K279" s="32">
        <f>IF(OR($I279="",$J279=""),"",IFERROR(INDEX(設定!$F$5:$F$20,MATCH($F279,設定!$B$5:$B$20,0)),0))</f>
        <v/>
      </c>
      <c r="L279" s="33">
        <f>IF(OR($I279="",$J279=""),"",ROUND(($J279-$I279)*24-$K279/60,2))</f>
        <v/>
      </c>
      <c r="M279" s="29">
        <f>IF($C279="","",IF(AND(COUNTIF(設定!$B$14:$B$20,$F279)&gt;0,$I279&lt;&gt;""),"假日出勤",IF(AND(COUNTIF(設定!$B$5:$B$13,$F279)&gt;0,$I279=""),"未打卡",IF($I279="","",IF($N279&gt;0,"遲到",IF($O279&gt;0,"早退","正常"))))))</f>
        <v/>
      </c>
      <c r="N279" s="32">
        <f>IF(OR($C279="",$G279="",$I279=""),0,IF(ROUND(($I279-$G279)*1440,0)&gt;設定!$C$28,ROUND(($I279-$G279)*1440,0),0))</f>
        <v/>
      </c>
      <c r="O279" s="32">
        <f>IF(OR($C279="",$H279="",$J279=""),0,IF(ROUND(($H279-$J279)*1440,0)&gt;設定!$C$28,ROUND(($H279-$J279)*1440,0),0))</f>
        <v/>
      </c>
      <c r="P279" s="33">
        <f>IF($L279="",0,IF(($L279-IFERROR(INDEX(設定!$G$5:$G$20,MATCH($F279,設定!$B$5:$B$20,0)),0))*60&gt;=設定!$C$26,ROUND(FLOOR(($L279-IFERROR(INDEX(設定!$G$5:$G$20,MATCH($F279,設定!$B$5:$B$20,0)),0))*60,設定!$C$27)/60,2),0))</f>
        <v/>
      </c>
      <c r="Q279" s="29">
        <f>IF(OR($C279="",$P279=0),"",IF($F279="國","國定假日",IF($B279="日","例假",IF($B279="六","休息日","平日"))))</f>
        <v/>
      </c>
      <c r="R279" s="34" t="n"/>
    </row>
    <row r="280">
      <c r="A280" s="30">
        <f>IF(OR(班表!$A14="",30&gt;DAY(EOMONTH(DATE(班表!$E$2,班表!$G$2,1),0))),"",DATE(班表!$E$2,班表!$G$2,30))</f>
        <v/>
      </c>
      <c r="B280" s="29">
        <f>IF($A280="","",INDEX(設定!$L$5:$L$11,WEEKDAY($A280,1)))</f>
        <v/>
      </c>
      <c r="C280" s="29">
        <f>IF($A280="","",班表!$A14)</f>
        <v/>
      </c>
      <c r="D280" s="29">
        <f>IF($C280="","",班表!$B14)</f>
        <v/>
      </c>
      <c r="E280" s="29">
        <f>IF($C280="","",班表!$C14)</f>
        <v/>
      </c>
      <c r="F280" s="29">
        <f>IF($C280="","",班表!AG14)</f>
        <v/>
      </c>
      <c r="G280" s="31">
        <f>IF($F280="","",IFERROR(INDEX(設定!$D$5:$D$20,MATCH($F280,設定!$B$5:$B$20,0)),""))</f>
        <v/>
      </c>
      <c r="H280" s="31">
        <f>IF($F280="","",IFERROR(INDEX(設定!$E$5:$E$20,MATCH($F280,設定!$B$5:$B$20,0)),""))</f>
        <v/>
      </c>
      <c r="I280" s="31">
        <f>IFERROR(INDEX(打卡匯入!$C$3:$C$1002,MATCH($C280&amp;"|"&amp;DAY($A280),打卡匯入!$E$3:$E$1002,0)),"")</f>
        <v/>
      </c>
      <c r="J280" s="31">
        <f>IFERROR(INDEX(打卡匯入!$D$3:$D$1002,MATCH($C280&amp;"|"&amp;DAY($A280),打卡匯入!$E$3:$E$1002,0)),"")</f>
        <v/>
      </c>
      <c r="K280" s="32">
        <f>IF(OR($I280="",$J280=""),"",IFERROR(INDEX(設定!$F$5:$F$20,MATCH($F280,設定!$B$5:$B$20,0)),0))</f>
        <v/>
      </c>
      <c r="L280" s="33">
        <f>IF(OR($I280="",$J280=""),"",ROUND(($J280-$I280)*24-$K280/60,2))</f>
        <v/>
      </c>
      <c r="M280" s="29">
        <f>IF($C280="","",IF(AND(COUNTIF(設定!$B$14:$B$20,$F280)&gt;0,$I280&lt;&gt;""),"假日出勤",IF(AND(COUNTIF(設定!$B$5:$B$13,$F280)&gt;0,$I280=""),"未打卡",IF($I280="","",IF($N280&gt;0,"遲到",IF($O280&gt;0,"早退","正常"))))))</f>
        <v/>
      </c>
      <c r="N280" s="32">
        <f>IF(OR($C280="",$G280="",$I280=""),0,IF(ROUND(($I280-$G280)*1440,0)&gt;設定!$C$28,ROUND(($I280-$G280)*1440,0),0))</f>
        <v/>
      </c>
      <c r="O280" s="32">
        <f>IF(OR($C280="",$H280="",$J280=""),0,IF(ROUND(($H280-$J280)*1440,0)&gt;設定!$C$28,ROUND(($H280-$J280)*1440,0),0))</f>
        <v/>
      </c>
      <c r="P280" s="33">
        <f>IF($L280="",0,IF(($L280-IFERROR(INDEX(設定!$G$5:$G$20,MATCH($F280,設定!$B$5:$B$20,0)),0))*60&gt;=設定!$C$26,ROUND(FLOOR(($L280-IFERROR(INDEX(設定!$G$5:$G$20,MATCH($F280,設定!$B$5:$B$20,0)),0))*60,設定!$C$27)/60,2),0))</f>
        <v/>
      </c>
      <c r="Q280" s="29">
        <f>IF(OR($C280="",$P280=0),"",IF($F280="國","國定假日",IF($B280="日","例假",IF($B280="六","休息日","平日"))))</f>
        <v/>
      </c>
      <c r="R280" s="34" t="n"/>
    </row>
    <row r="281">
      <c r="A281" s="30">
        <f>IF(OR(班表!$A14="",31&gt;DAY(EOMONTH(DATE(班表!$E$2,班表!$G$2,1),0))),"",DATE(班表!$E$2,班表!$G$2,31))</f>
        <v/>
      </c>
      <c r="B281" s="29">
        <f>IF($A281="","",INDEX(設定!$L$5:$L$11,WEEKDAY($A281,1)))</f>
        <v/>
      </c>
      <c r="C281" s="29">
        <f>IF($A281="","",班表!$A14)</f>
        <v/>
      </c>
      <c r="D281" s="29">
        <f>IF($C281="","",班表!$B14)</f>
        <v/>
      </c>
      <c r="E281" s="29">
        <f>IF($C281="","",班表!$C14)</f>
        <v/>
      </c>
      <c r="F281" s="29">
        <f>IF($C281="","",班表!AH14)</f>
        <v/>
      </c>
      <c r="G281" s="31">
        <f>IF($F281="","",IFERROR(INDEX(設定!$D$5:$D$20,MATCH($F281,設定!$B$5:$B$20,0)),""))</f>
        <v/>
      </c>
      <c r="H281" s="31">
        <f>IF($F281="","",IFERROR(INDEX(設定!$E$5:$E$20,MATCH($F281,設定!$B$5:$B$20,0)),""))</f>
        <v/>
      </c>
      <c r="I281" s="31">
        <f>IFERROR(INDEX(打卡匯入!$C$3:$C$1002,MATCH($C281&amp;"|"&amp;DAY($A281),打卡匯入!$E$3:$E$1002,0)),"")</f>
        <v/>
      </c>
      <c r="J281" s="31">
        <f>IFERROR(INDEX(打卡匯入!$D$3:$D$1002,MATCH($C281&amp;"|"&amp;DAY($A281),打卡匯入!$E$3:$E$1002,0)),"")</f>
        <v/>
      </c>
      <c r="K281" s="32">
        <f>IF(OR($I281="",$J281=""),"",IFERROR(INDEX(設定!$F$5:$F$20,MATCH($F281,設定!$B$5:$B$20,0)),0))</f>
        <v/>
      </c>
      <c r="L281" s="33">
        <f>IF(OR($I281="",$J281=""),"",ROUND(($J281-$I281)*24-$K281/60,2))</f>
        <v/>
      </c>
      <c r="M281" s="29">
        <f>IF($C281="","",IF(AND(COUNTIF(設定!$B$14:$B$20,$F281)&gt;0,$I281&lt;&gt;""),"假日出勤",IF(AND(COUNTIF(設定!$B$5:$B$13,$F281)&gt;0,$I281=""),"未打卡",IF($I281="","",IF($N281&gt;0,"遲到",IF($O281&gt;0,"早退","正常"))))))</f>
        <v/>
      </c>
      <c r="N281" s="32">
        <f>IF(OR($C281="",$G281="",$I281=""),0,IF(ROUND(($I281-$G281)*1440,0)&gt;設定!$C$28,ROUND(($I281-$G281)*1440,0),0))</f>
        <v/>
      </c>
      <c r="O281" s="32">
        <f>IF(OR($C281="",$H281="",$J281=""),0,IF(ROUND(($H281-$J281)*1440,0)&gt;設定!$C$28,ROUND(($H281-$J281)*1440,0),0))</f>
        <v/>
      </c>
      <c r="P281" s="33">
        <f>IF($L281="",0,IF(($L281-IFERROR(INDEX(設定!$G$5:$G$20,MATCH($F281,設定!$B$5:$B$20,0)),0))*60&gt;=設定!$C$26,ROUND(FLOOR(($L281-IFERROR(INDEX(設定!$G$5:$G$20,MATCH($F281,設定!$B$5:$B$20,0)),0))*60,設定!$C$27)/60,2),0))</f>
        <v/>
      </c>
      <c r="Q281" s="29">
        <f>IF(OR($C281="",$P281=0),"",IF($F281="國","國定假日",IF($B281="日","例假",IF($B281="六","休息日","平日"))))</f>
        <v/>
      </c>
      <c r="R281" s="34" t="n"/>
    </row>
    <row r="282">
      <c r="A282" s="30">
        <f>IF(OR(班表!$A15="",1&gt;DAY(EOMONTH(DATE(班表!$E$2,班表!$G$2,1),0))),"",DATE(班表!$E$2,班表!$G$2,1))</f>
        <v/>
      </c>
      <c r="B282" s="29">
        <f>IF($A282="","",INDEX(設定!$L$5:$L$11,WEEKDAY($A282,1)))</f>
        <v/>
      </c>
      <c r="C282" s="29">
        <f>IF($A282="","",班表!$A15)</f>
        <v/>
      </c>
      <c r="D282" s="29">
        <f>IF($C282="","",班表!$B15)</f>
        <v/>
      </c>
      <c r="E282" s="29">
        <f>IF($C282="","",班表!$C15)</f>
        <v/>
      </c>
      <c r="F282" s="29">
        <f>IF($C282="","",班表!D15)</f>
        <v/>
      </c>
      <c r="G282" s="31">
        <f>IF($F282="","",IFERROR(INDEX(設定!$D$5:$D$20,MATCH($F282,設定!$B$5:$B$20,0)),""))</f>
        <v/>
      </c>
      <c r="H282" s="31">
        <f>IF($F282="","",IFERROR(INDEX(設定!$E$5:$E$20,MATCH($F282,設定!$B$5:$B$20,0)),""))</f>
        <v/>
      </c>
      <c r="I282" s="31">
        <f>IFERROR(INDEX(打卡匯入!$C$3:$C$1002,MATCH($C282&amp;"|"&amp;DAY($A282),打卡匯入!$E$3:$E$1002,0)),"")</f>
        <v/>
      </c>
      <c r="J282" s="31">
        <f>IFERROR(INDEX(打卡匯入!$D$3:$D$1002,MATCH($C282&amp;"|"&amp;DAY($A282),打卡匯入!$E$3:$E$1002,0)),"")</f>
        <v/>
      </c>
      <c r="K282" s="32">
        <f>IF(OR($I282="",$J282=""),"",IFERROR(INDEX(設定!$F$5:$F$20,MATCH($F282,設定!$B$5:$B$20,0)),0))</f>
        <v/>
      </c>
      <c r="L282" s="33">
        <f>IF(OR($I282="",$J282=""),"",ROUND(($J282-$I282)*24-$K282/60,2))</f>
        <v/>
      </c>
      <c r="M282" s="29">
        <f>IF($C282="","",IF(AND(COUNTIF(設定!$B$14:$B$20,$F282)&gt;0,$I282&lt;&gt;""),"假日出勤",IF(AND(COUNTIF(設定!$B$5:$B$13,$F282)&gt;0,$I282=""),"未打卡",IF($I282="","",IF($N282&gt;0,"遲到",IF($O282&gt;0,"早退","正常"))))))</f>
        <v/>
      </c>
      <c r="N282" s="32">
        <f>IF(OR($C282="",$G282="",$I282=""),0,IF(ROUND(($I282-$G282)*1440,0)&gt;設定!$C$28,ROUND(($I282-$G282)*1440,0),0))</f>
        <v/>
      </c>
      <c r="O282" s="32">
        <f>IF(OR($C282="",$H282="",$J282=""),0,IF(ROUND(($H282-$J282)*1440,0)&gt;設定!$C$28,ROUND(($H282-$J282)*1440,0),0))</f>
        <v/>
      </c>
      <c r="P282" s="33">
        <f>IF($L282="",0,IF(($L282-IFERROR(INDEX(設定!$G$5:$G$20,MATCH($F282,設定!$B$5:$B$20,0)),0))*60&gt;=設定!$C$26,ROUND(FLOOR(($L282-IFERROR(INDEX(設定!$G$5:$G$20,MATCH($F282,設定!$B$5:$B$20,0)),0))*60,設定!$C$27)/60,2),0))</f>
        <v/>
      </c>
      <c r="Q282" s="29">
        <f>IF(OR($C282="",$P282=0),"",IF($F282="國","國定假日",IF($B282="日","例假",IF($B282="六","休息日","平日"))))</f>
        <v/>
      </c>
      <c r="R282" s="34" t="n"/>
    </row>
    <row r="283">
      <c r="A283" s="30">
        <f>IF(OR(班表!$A15="",2&gt;DAY(EOMONTH(DATE(班表!$E$2,班表!$G$2,1),0))),"",DATE(班表!$E$2,班表!$G$2,2))</f>
        <v/>
      </c>
      <c r="B283" s="29">
        <f>IF($A283="","",INDEX(設定!$L$5:$L$11,WEEKDAY($A283,1)))</f>
        <v/>
      </c>
      <c r="C283" s="29">
        <f>IF($A283="","",班表!$A15)</f>
        <v/>
      </c>
      <c r="D283" s="29">
        <f>IF($C283="","",班表!$B15)</f>
        <v/>
      </c>
      <c r="E283" s="29">
        <f>IF($C283="","",班表!$C15)</f>
        <v/>
      </c>
      <c r="F283" s="29">
        <f>IF($C283="","",班表!E15)</f>
        <v/>
      </c>
      <c r="G283" s="31">
        <f>IF($F283="","",IFERROR(INDEX(設定!$D$5:$D$20,MATCH($F283,設定!$B$5:$B$20,0)),""))</f>
        <v/>
      </c>
      <c r="H283" s="31">
        <f>IF($F283="","",IFERROR(INDEX(設定!$E$5:$E$20,MATCH($F283,設定!$B$5:$B$20,0)),""))</f>
        <v/>
      </c>
      <c r="I283" s="31">
        <f>IFERROR(INDEX(打卡匯入!$C$3:$C$1002,MATCH($C283&amp;"|"&amp;DAY($A283),打卡匯入!$E$3:$E$1002,0)),"")</f>
        <v/>
      </c>
      <c r="J283" s="31">
        <f>IFERROR(INDEX(打卡匯入!$D$3:$D$1002,MATCH($C283&amp;"|"&amp;DAY($A283),打卡匯入!$E$3:$E$1002,0)),"")</f>
        <v/>
      </c>
      <c r="K283" s="32">
        <f>IF(OR($I283="",$J283=""),"",IFERROR(INDEX(設定!$F$5:$F$20,MATCH($F283,設定!$B$5:$B$20,0)),0))</f>
        <v/>
      </c>
      <c r="L283" s="33">
        <f>IF(OR($I283="",$J283=""),"",ROUND(($J283-$I283)*24-$K283/60,2))</f>
        <v/>
      </c>
      <c r="M283" s="29">
        <f>IF($C283="","",IF(AND(COUNTIF(設定!$B$14:$B$20,$F283)&gt;0,$I283&lt;&gt;""),"假日出勤",IF(AND(COUNTIF(設定!$B$5:$B$13,$F283)&gt;0,$I283=""),"未打卡",IF($I283="","",IF($N283&gt;0,"遲到",IF($O283&gt;0,"早退","正常"))))))</f>
        <v/>
      </c>
      <c r="N283" s="32">
        <f>IF(OR($C283="",$G283="",$I283=""),0,IF(ROUND(($I283-$G283)*1440,0)&gt;設定!$C$28,ROUND(($I283-$G283)*1440,0),0))</f>
        <v/>
      </c>
      <c r="O283" s="32">
        <f>IF(OR($C283="",$H283="",$J283=""),0,IF(ROUND(($H283-$J283)*1440,0)&gt;設定!$C$28,ROUND(($H283-$J283)*1440,0),0))</f>
        <v/>
      </c>
      <c r="P283" s="33">
        <f>IF($L283="",0,IF(($L283-IFERROR(INDEX(設定!$G$5:$G$20,MATCH($F283,設定!$B$5:$B$20,0)),0))*60&gt;=設定!$C$26,ROUND(FLOOR(($L283-IFERROR(INDEX(設定!$G$5:$G$20,MATCH($F283,設定!$B$5:$B$20,0)),0))*60,設定!$C$27)/60,2),0))</f>
        <v/>
      </c>
      <c r="Q283" s="29">
        <f>IF(OR($C283="",$P283=0),"",IF($F283="國","國定假日",IF($B283="日","例假",IF($B283="六","休息日","平日"))))</f>
        <v/>
      </c>
      <c r="R283" s="34" t="n"/>
    </row>
    <row r="284">
      <c r="A284" s="30">
        <f>IF(OR(班表!$A15="",3&gt;DAY(EOMONTH(DATE(班表!$E$2,班表!$G$2,1),0))),"",DATE(班表!$E$2,班表!$G$2,3))</f>
        <v/>
      </c>
      <c r="B284" s="29">
        <f>IF($A284="","",INDEX(設定!$L$5:$L$11,WEEKDAY($A284,1)))</f>
        <v/>
      </c>
      <c r="C284" s="29">
        <f>IF($A284="","",班表!$A15)</f>
        <v/>
      </c>
      <c r="D284" s="29">
        <f>IF($C284="","",班表!$B15)</f>
        <v/>
      </c>
      <c r="E284" s="29">
        <f>IF($C284="","",班表!$C15)</f>
        <v/>
      </c>
      <c r="F284" s="29">
        <f>IF($C284="","",班表!F15)</f>
        <v/>
      </c>
      <c r="G284" s="31">
        <f>IF($F284="","",IFERROR(INDEX(設定!$D$5:$D$20,MATCH($F284,設定!$B$5:$B$20,0)),""))</f>
        <v/>
      </c>
      <c r="H284" s="31">
        <f>IF($F284="","",IFERROR(INDEX(設定!$E$5:$E$20,MATCH($F284,設定!$B$5:$B$20,0)),""))</f>
        <v/>
      </c>
      <c r="I284" s="31">
        <f>IFERROR(INDEX(打卡匯入!$C$3:$C$1002,MATCH($C284&amp;"|"&amp;DAY($A284),打卡匯入!$E$3:$E$1002,0)),"")</f>
        <v/>
      </c>
      <c r="J284" s="31">
        <f>IFERROR(INDEX(打卡匯入!$D$3:$D$1002,MATCH($C284&amp;"|"&amp;DAY($A284),打卡匯入!$E$3:$E$1002,0)),"")</f>
        <v/>
      </c>
      <c r="K284" s="32">
        <f>IF(OR($I284="",$J284=""),"",IFERROR(INDEX(設定!$F$5:$F$20,MATCH($F284,設定!$B$5:$B$20,0)),0))</f>
        <v/>
      </c>
      <c r="L284" s="33">
        <f>IF(OR($I284="",$J284=""),"",ROUND(($J284-$I284)*24-$K284/60,2))</f>
        <v/>
      </c>
      <c r="M284" s="29">
        <f>IF($C284="","",IF(AND(COUNTIF(設定!$B$14:$B$20,$F284)&gt;0,$I284&lt;&gt;""),"假日出勤",IF(AND(COUNTIF(設定!$B$5:$B$13,$F284)&gt;0,$I284=""),"未打卡",IF($I284="","",IF($N284&gt;0,"遲到",IF($O284&gt;0,"早退","正常"))))))</f>
        <v/>
      </c>
      <c r="N284" s="32">
        <f>IF(OR($C284="",$G284="",$I284=""),0,IF(ROUND(($I284-$G284)*1440,0)&gt;設定!$C$28,ROUND(($I284-$G284)*1440,0),0))</f>
        <v/>
      </c>
      <c r="O284" s="32">
        <f>IF(OR($C284="",$H284="",$J284=""),0,IF(ROUND(($H284-$J284)*1440,0)&gt;設定!$C$28,ROUND(($H284-$J284)*1440,0),0))</f>
        <v/>
      </c>
      <c r="P284" s="33">
        <f>IF($L284="",0,IF(($L284-IFERROR(INDEX(設定!$G$5:$G$20,MATCH($F284,設定!$B$5:$B$20,0)),0))*60&gt;=設定!$C$26,ROUND(FLOOR(($L284-IFERROR(INDEX(設定!$G$5:$G$20,MATCH($F284,設定!$B$5:$B$20,0)),0))*60,設定!$C$27)/60,2),0))</f>
        <v/>
      </c>
      <c r="Q284" s="29">
        <f>IF(OR($C284="",$P284=0),"",IF($F284="國","國定假日",IF($B284="日","例假",IF($B284="六","休息日","平日"))))</f>
        <v/>
      </c>
      <c r="R284" s="34" t="n"/>
    </row>
    <row r="285">
      <c r="A285" s="30">
        <f>IF(OR(班表!$A15="",4&gt;DAY(EOMONTH(DATE(班表!$E$2,班表!$G$2,1),0))),"",DATE(班表!$E$2,班表!$G$2,4))</f>
        <v/>
      </c>
      <c r="B285" s="29">
        <f>IF($A285="","",INDEX(設定!$L$5:$L$11,WEEKDAY($A285,1)))</f>
        <v/>
      </c>
      <c r="C285" s="29">
        <f>IF($A285="","",班表!$A15)</f>
        <v/>
      </c>
      <c r="D285" s="29">
        <f>IF($C285="","",班表!$B15)</f>
        <v/>
      </c>
      <c r="E285" s="29">
        <f>IF($C285="","",班表!$C15)</f>
        <v/>
      </c>
      <c r="F285" s="29">
        <f>IF($C285="","",班表!G15)</f>
        <v/>
      </c>
      <c r="G285" s="31">
        <f>IF($F285="","",IFERROR(INDEX(設定!$D$5:$D$20,MATCH($F285,設定!$B$5:$B$20,0)),""))</f>
        <v/>
      </c>
      <c r="H285" s="31">
        <f>IF($F285="","",IFERROR(INDEX(設定!$E$5:$E$20,MATCH($F285,設定!$B$5:$B$20,0)),""))</f>
        <v/>
      </c>
      <c r="I285" s="31">
        <f>IFERROR(INDEX(打卡匯入!$C$3:$C$1002,MATCH($C285&amp;"|"&amp;DAY($A285),打卡匯入!$E$3:$E$1002,0)),"")</f>
        <v/>
      </c>
      <c r="J285" s="31">
        <f>IFERROR(INDEX(打卡匯入!$D$3:$D$1002,MATCH($C285&amp;"|"&amp;DAY($A285),打卡匯入!$E$3:$E$1002,0)),"")</f>
        <v/>
      </c>
      <c r="K285" s="32">
        <f>IF(OR($I285="",$J285=""),"",IFERROR(INDEX(設定!$F$5:$F$20,MATCH($F285,設定!$B$5:$B$20,0)),0))</f>
        <v/>
      </c>
      <c r="L285" s="33">
        <f>IF(OR($I285="",$J285=""),"",ROUND(($J285-$I285)*24-$K285/60,2))</f>
        <v/>
      </c>
      <c r="M285" s="29">
        <f>IF($C285="","",IF(AND(COUNTIF(設定!$B$14:$B$20,$F285)&gt;0,$I285&lt;&gt;""),"假日出勤",IF(AND(COUNTIF(設定!$B$5:$B$13,$F285)&gt;0,$I285=""),"未打卡",IF($I285="","",IF($N285&gt;0,"遲到",IF($O285&gt;0,"早退","正常"))))))</f>
        <v/>
      </c>
      <c r="N285" s="32">
        <f>IF(OR($C285="",$G285="",$I285=""),0,IF(ROUND(($I285-$G285)*1440,0)&gt;設定!$C$28,ROUND(($I285-$G285)*1440,0),0))</f>
        <v/>
      </c>
      <c r="O285" s="32">
        <f>IF(OR($C285="",$H285="",$J285=""),0,IF(ROUND(($H285-$J285)*1440,0)&gt;設定!$C$28,ROUND(($H285-$J285)*1440,0),0))</f>
        <v/>
      </c>
      <c r="P285" s="33">
        <f>IF($L285="",0,IF(($L285-IFERROR(INDEX(設定!$G$5:$G$20,MATCH($F285,設定!$B$5:$B$20,0)),0))*60&gt;=設定!$C$26,ROUND(FLOOR(($L285-IFERROR(INDEX(設定!$G$5:$G$20,MATCH($F285,設定!$B$5:$B$20,0)),0))*60,設定!$C$27)/60,2),0))</f>
        <v/>
      </c>
      <c r="Q285" s="29">
        <f>IF(OR($C285="",$P285=0),"",IF($F285="國","國定假日",IF($B285="日","例假",IF($B285="六","休息日","平日"))))</f>
        <v/>
      </c>
      <c r="R285" s="34" t="n"/>
    </row>
    <row r="286">
      <c r="A286" s="30">
        <f>IF(OR(班表!$A15="",5&gt;DAY(EOMONTH(DATE(班表!$E$2,班表!$G$2,1),0))),"",DATE(班表!$E$2,班表!$G$2,5))</f>
        <v/>
      </c>
      <c r="B286" s="29">
        <f>IF($A286="","",INDEX(設定!$L$5:$L$11,WEEKDAY($A286,1)))</f>
        <v/>
      </c>
      <c r="C286" s="29">
        <f>IF($A286="","",班表!$A15)</f>
        <v/>
      </c>
      <c r="D286" s="29">
        <f>IF($C286="","",班表!$B15)</f>
        <v/>
      </c>
      <c r="E286" s="29">
        <f>IF($C286="","",班表!$C15)</f>
        <v/>
      </c>
      <c r="F286" s="29">
        <f>IF($C286="","",班表!H15)</f>
        <v/>
      </c>
      <c r="G286" s="31">
        <f>IF($F286="","",IFERROR(INDEX(設定!$D$5:$D$20,MATCH($F286,設定!$B$5:$B$20,0)),""))</f>
        <v/>
      </c>
      <c r="H286" s="31">
        <f>IF($F286="","",IFERROR(INDEX(設定!$E$5:$E$20,MATCH($F286,設定!$B$5:$B$20,0)),""))</f>
        <v/>
      </c>
      <c r="I286" s="31">
        <f>IFERROR(INDEX(打卡匯入!$C$3:$C$1002,MATCH($C286&amp;"|"&amp;DAY($A286),打卡匯入!$E$3:$E$1002,0)),"")</f>
        <v/>
      </c>
      <c r="J286" s="31">
        <f>IFERROR(INDEX(打卡匯入!$D$3:$D$1002,MATCH($C286&amp;"|"&amp;DAY($A286),打卡匯入!$E$3:$E$1002,0)),"")</f>
        <v/>
      </c>
      <c r="K286" s="32">
        <f>IF(OR($I286="",$J286=""),"",IFERROR(INDEX(設定!$F$5:$F$20,MATCH($F286,設定!$B$5:$B$20,0)),0))</f>
        <v/>
      </c>
      <c r="L286" s="33">
        <f>IF(OR($I286="",$J286=""),"",ROUND(($J286-$I286)*24-$K286/60,2))</f>
        <v/>
      </c>
      <c r="M286" s="29">
        <f>IF($C286="","",IF(AND(COUNTIF(設定!$B$14:$B$20,$F286)&gt;0,$I286&lt;&gt;""),"假日出勤",IF(AND(COUNTIF(設定!$B$5:$B$13,$F286)&gt;0,$I286=""),"未打卡",IF($I286="","",IF($N286&gt;0,"遲到",IF($O286&gt;0,"早退","正常"))))))</f>
        <v/>
      </c>
      <c r="N286" s="32">
        <f>IF(OR($C286="",$G286="",$I286=""),0,IF(ROUND(($I286-$G286)*1440,0)&gt;設定!$C$28,ROUND(($I286-$G286)*1440,0),0))</f>
        <v/>
      </c>
      <c r="O286" s="32">
        <f>IF(OR($C286="",$H286="",$J286=""),0,IF(ROUND(($H286-$J286)*1440,0)&gt;設定!$C$28,ROUND(($H286-$J286)*1440,0),0))</f>
        <v/>
      </c>
      <c r="P286" s="33">
        <f>IF($L286="",0,IF(($L286-IFERROR(INDEX(設定!$G$5:$G$20,MATCH($F286,設定!$B$5:$B$20,0)),0))*60&gt;=設定!$C$26,ROUND(FLOOR(($L286-IFERROR(INDEX(設定!$G$5:$G$20,MATCH($F286,設定!$B$5:$B$20,0)),0))*60,設定!$C$27)/60,2),0))</f>
        <v/>
      </c>
      <c r="Q286" s="29">
        <f>IF(OR($C286="",$P286=0),"",IF($F286="國","國定假日",IF($B286="日","例假",IF($B286="六","休息日","平日"))))</f>
        <v/>
      </c>
      <c r="R286" s="34" t="n"/>
    </row>
    <row r="287">
      <c r="A287" s="30">
        <f>IF(OR(班表!$A15="",6&gt;DAY(EOMONTH(DATE(班表!$E$2,班表!$G$2,1),0))),"",DATE(班表!$E$2,班表!$G$2,6))</f>
        <v/>
      </c>
      <c r="B287" s="29">
        <f>IF($A287="","",INDEX(設定!$L$5:$L$11,WEEKDAY($A287,1)))</f>
        <v/>
      </c>
      <c r="C287" s="29">
        <f>IF($A287="","",班表!$A15)</f>
        <v/>
      </c>
      <c r="D287" s="29">
        <f>IF($C287="","",班表!$B15)</f>
        <v/>
      </c>
      <c r="E287" s="29">
        <f>IF($C287="","",班表!$C15)</f>
        <v/>
      </c>
      <c r="F287" s="29">
        <f>IF($C287="","",班表!I15)</f>
        <v/>
      </c>
      <c r="G287" s="31">
        <f>IF($F287="","",IFERROR(INDEX(設定!$D$5:$D$20,MATCH($F287,設定!$B$5:$B$20,0)),""))</f>
        <v/>
      </c>
      <c r="H287" s="31">
        <f>IF($F287="","",IFERROR(INDEX(設定!$E$5:$E$20,MATCH($F287,設定!$B$5:$B$20,0)),""))</f>
        <v/>
      </c>
      <c r="I287" s="31">
        <f>IFERROR(INDEX(打卡匯入!$C$3:$C$1002,MATCH($C287&amp;"|"&amp;DAY($A287),打卡匯入!$E$3:$E$1002,0)),"")</f>
        <v/>
      </c>
      <c r="J287" s="31">
        <f>IFERROR(INDEX(打卡匯入!$D$3:$D$1002,MATCH($C287&amp;"|"&amp;DAY($A287),打卡匯入!$E$3:$E$1002,0)),"")</f>
        <v/>
      </c>
      <c r="K287" s="32">
        <f>IF(OR($I287="",$J287=""),"",IFERROR(INDEX(設定!$F$5:$F$20,MATCH($F287,設定!$B$5:$B$20,0)),0))</f>
        <v/>
      </c>
      <c r="L287" s="33">
        <f>IF(OR($I287="",$J287=""),"",ROUND(($J287-$I287)*24-$K287/60,2))</f>
        <v/>
      </c>
      <c r="M287" s="29">
        <f>IF($C287="","",IF(AND(COUNTIF(設定!$B$14:$B$20,$F287)&gt;0,$I287&lt;&gt;""),"假日出勤",IF(AND(COUNTIF(設定!$B$5:$B$13,$F287)&gt;0,$I287=""),"未打卡",IF($I287="","",IF($N287&gt;0,"遲到",IF($O287&gt;0,"早退","正常"))))))</f>
        <v/>
      </c>
      <c r="N287" s="32">
        <f>IF(OR($C287="",$G287="",$I287=""),0,IF(ROUND(($I287-$G287)*1440,0)&gt;設定!$C$28,ROUND(($I287-$G287)*1440,0),0))</f>
        <v/>
      </c>
      <c r="O287" s="32">
        <f>IF(OR($C287="",$H287="",$J287=""),0,IF(ROUND(($H287-$J287)*1440,0)&gt;設定!$C$28,ROUND(($H287-$J287)*1440,0),0))</f>
        <v/>
      </c>
      <c r="P287" s="33">
        <f>IF($L287="",0,IF(($L287-IFERROR(INDEX(設定!$G$5:$G$20,MATCH($F287,設定!$B$5:$B$20,0)),0))*60&gt;=設定!$C$26,ROUND(FLOOR(($L287-IFERROR(INDEX(設定!$G$5:$G$20,MATCH($F287,設定!$B$5:$B$20,0)),0))*60,設定!$C$27)/60,2),0))</f>
        <v/>
      </c>
      <c r="Q287" s="29">
        <f>IF(OR($C287="",$P287=0),"",IF($F287="國","國定假日",IF($B287="日","例假",IF($B287="六","休息日","平日"))))</f>
        <v/>
      </c>
      <c r="R287" s="34" t="n"/>
    </row>
    <row r="288">
      <c r="A288" s="30">
        <f>IF(OR(班表!$A15="",7&gt;DAY(EOMONTH(DATE(班表!$E$2,班表!$G$2,1),0))),"",DATE(班表!$E$2,班表!$G$2,7))</f>
        <v/>
      </c>
      <c r="B288" s="29">
        <f>IF($A288="","",INDEX(設定!$L$5:$L$11,WEEKDAY($A288,1)))</f>
        <v/>
      </c>
      <c r="C288" s="29">
        <f>IF($A288="","",班表!$A15)</f>
        <v/>
      </c>
      <c r="D288" s="29">
        <f>IF($C288="","",班表!$B15)</f>
        <v/>
      </c>
      <c r="E288" s="29">
        <f>IF($C288="","",班表!$C15)</f>
        <v/>
      </c>
      <c r="F288" s="29">
        <f>IF($C288="","",班表!J15)</f>
        <v/>
      </c>
      <c r="G288" s="31">
        <f>IF($F288="","",IFERROR(INDEX(設定!$D$5:$D$20,MATCH($F288,設定!$B$5:$B$20,0)),""))</f>
        <v/>
      </c>
      <c r="H288" s="31">
        <f>IF($F288="","",IFERROR(INDEX(設定!$E$5:$E$20,MATCH($F288,設定!$B$5:$B$20,0)),""))</f>
        <v/>
      </c>
      <c r="I288" s="31">
        <f>IFERROR(INDEX(打卡匯入!$C$3:$C$1002,MATCH($C288&amp;"|"&amp;DAY($A288),打卡匯入!$E$3:$E$1002,0)),"")</f>
        <v/>
      </c>
      <c r="J288" s="31">
        <f>IFERROR(INDEX(打卡匯入!$D$3:$D$1002,MATCH($C288&amp;"|"&amp;DAY($A288),打卡匯入!$E$3:$E$1002,0)),"")</f>
        <v/>
      </c>
      <c r="K288" s="32">
        <f>IF(OR($I288="",$J288=""),"",IFERROR(INDEX(設定!$F$5:$F$20,MATCH($F288,設定!$B$5:$B$20,0)),0))</f>
        <v/>
      </c>
      <c r="L288" s="33">
        <f>IF(OR($I288="",$J288=""),"",ROUND(($J288-$I288)*24-$K288/60,2))</f>
        <v/>
      </c>
      <c r="M288" s="29">
        <f>IF($C288="","",IF(AND(COUNTIF(設定!$B$14:$B$20,$F288)&gt;0,$I288&lt;&gt;""),"假日出勤",IF(AND(COUNTIF(設定!$B$5:$B$13,$F288)&gt;0,$I288=""),"未打卡",IF($I288="","",IF($N288&gt;0,"遲到",IF($O288&gt;0,"早退","正常"))))))</f>
        <v/>
      </c>
      <c r="N288" s="32">
        <f>IF(OR($C288="",$G288="",$I288=""),0,IF(ROUND(($I288-$G288)*1440,0)&gt;設定!$C$28,ROUND(($I288-$G288)*1440,0),0))</f>
        <v/>
      </c>
      <c r="O288" s="32">
        <f>IF(OR($C288="",$H288="",$J288=""),0,IF(ROUND(($H288-$J288)*1440,0)&gt;設定!$C$28,ROUND(($H288-$J288)*1440,0),0))</f>
        <v/>
      </c>
      <c r="P288" s="33">
        <f>IF($L288="",0,IF(($L288-IFERROR(INDEX(設定!$G$5:$G$20,MATCH($F288,設定!$B$5:$B$20,0)),0))*60&gt;=設定!$C$26,ROUND(FLOOR(($L288-IFERROR(INDEX(設定!$G$5:$G$20,MATCH($F288,設定!$B$5:$B$20,0)),0))*60,設定!$C$27)/60,2),0))</f>
        <v/>
      </c>
      <c r="Q288" s="29">
        <f>IF(OR($C288="",$P288=0),"",IF($F288="國","國定假日",IF($B288="日","例假",IF($B288="六","休息日","平日"))))</f>
        <v/>
      </c>
      <c r="R288" s="34" t="n"/>
    </row>
    <row r="289">
      <c r="A289" s="30">
        <f>IF(OR(班表!$A15="",8&gt;DAY(EOMONTH(DATE(班表!$E$2,班表!$G$2,1),0))),"",DATE(班表!$E$2,班表!$G$2,8))</f>
        <v/>
      </c>
      <c r="B289" s="29">
        <f>IF($A289="","",INDEX(設定!$L$5:$L$11,WEEKDAY($A289,1)))</f>
        <v/>
      </c>
      <c r="C289" s="29">
        <f>IF($A289="","",班表!$A15)</f>
        <v/>
      </c>
      <c r="D289" s="29">
        <f>IF($C289="","",班表!$B15)</f>
        <v/>
      </c>
      <c r="E289" s="29">
        <f>IF($C289="","",班表!$C15)</f>
        <v/>
      </c>
      <c r="F289" s="29">
        <f>IF($C289="","",班表!K15)</f>
        <v/>
      </c>
      <c r="G289" s="31">
        <f>IF($F289="","",IFERROR(INDEX(設定!$D$5:$D$20,MATCH($F289,設定!$B$5:$B$20,0)),""))</f>
        <v/>
      </c>
      <c r="H289" s="31">
        <f>IF($F289="","",IFERROR(INDEX(設定!$E$5:$E$20,MATCH($F289,設定!$B$5:$B$20,0)),""))</f>
        <v/>
      </c>
      <c r="I289" s="31">
        <f>IFERROR(INDEX(打卡匯入!$C$3:$C$1002,MATCH($C289&amp;"|"&amp;DAY($A289),打卡匯入!$E$3:$E$1002,0)),"")</f>
        <v/>
      </c>
      <c r="J289" s="31">
        <f>IFERROR(INDEX(打卡匯入!$D$3:$D$1002,MATCH($C289&amp;"|"&amp;DAY($A289),打卡匯入!$E$3:$E$1002,0)),"")</f>
        <v/>
      </c>
      <c r="K289" s="32">
        <f>IF(OR($I289="",$J289=""),"",IFERROR(INDEX(設定!$F$5:$F$20,MATCH($F289,設定!$B$5:$B$20,0)),0))</f>
        <v/>
      </c>
      <c r="L289" s="33">
        <f>IF(OR($I289="",$J289=""),"",ROUND(($J289-$I289)*24-$K289/60,2))</f>
        <v/>
      </c>
      <c r="M289" s="29">
        <f>IF($C289="","",IF(AND(COUNTIF(設定!$B$14:$B$20,$F289)&gt;0,$I289&lt;&gt;""),"假日出勤",IF(AND(COUNTIF(設定!$B$5:$B$13,$F289)&gt;0,$I289=""),"未打卡",IF($I289="","",IF($N289&gt;0,"遲到",IF($O289&gt;0,"早退","正常"))))))</f>
        <v/>
      </c>
      <c r="N289" s="32">
        <f>IF(OR($C289="",$G289="",$I289=""),0,IF(ROUND(($I289-$G289)*1440,0)&gt;設定!$C$28,ROUND(($I289-$G289)*1440,0),0))</f>
        <v/>
      </c>
      <c r="O289" s="32">
        <f>IF(OR($C289="",$H289="",$J289=""),0,IF(ROUND(($H289-$J289)*1440,0)&gt;設定!$C$28,ROUND(($H289-$J289)*1440,0),0))</f>
        <v/>
      </c>
      <c r="P289" s="33">
        <f>IF($L289="",0,IF(($L289-IFERROR(INDEX(設定!$G$5:$G$20,MATCH($F289,設定!$B$5:$B$20,0)),0))*60&gt;=設定!$C$26,ROUND(FLOOR(($L289-IFERROR(INDEX(設定!$G$5:$G$20,MATCH($F289,設定!$B$5:$B$20,0)),0))*60,設定!$C$27)/60,2),0))</f>
        <v/>
      </c>
      <c r="Q289" s="29">
        <f>IF(OR($C289="",$P289=0),"",IF($F289="國","國定假日",IF($B289="日","例假",IF($B289="六","休息日","平日"))))</f>
        <v/>
      </c>
      <c r="R289" s="34" t="n"/>
    </row>
    <row r="290">
      <c r="A290" s="30">
        <f>IF(OR(班表!$A15="",9&gt;DAY(EOMONTH(DATE(班表!$E$2,班表!$G$2,1),0))),"",DATE(班表!$E$2,班表!$G$2,9))</f>
        <v/>
      </c>
      <c r="B290" s="29">
        <f>IF($A290="","",INDEX(設定!$L$5:$L$11,WEEKDAY($A290,1)))</f>
        <v/>
      </c>
      <c r="C290" s="29">
        <f>IF($A290="","",班表!$A15)</f>
        <v/>
      </c>
      <c r="D290" s="29">
        <f>IF($C290="","",班表!$B15)</f>
        <v/>
      </c>
      <c r="E290" s="29">
        <f>IF($C290="","",班表!$C15)</f>
        <v/>
      </c>
      <c r="F290" s="29">
        <f>IF($C290="","",班表!L15)</f>
        <v/>
      </c>
      <c r="G290" s="31">
        <f>IF($F290="","",IFERROR(INDEX(設定!$D$5:$D$20,MATCH($F290,設定!$B$5:$B$20,0)),""))</f>
        <v/>
      </c>
      <c r="H290" s="31">
        <f>IF($F290="","",IFERROR(INDEX(設定!$E$5:$E$20,MATCH($F290,設定!$B$5:$B$20,0)),""))</f>
        <v/>
      </c>
      <c r="I290" s="31">
        <f>IFERROR(INDEX(打卡匯入!$C$3:$C$1002,MATCH($C290&amp;"|"&amp;DAY($A290),打卡匯入!$E$3:$E$1002,0)),"")</f>
        <v/>
      </c>
      <c r="J290" s="31">
        <f>IFERROR(INDEX(打卡匯入!$D$3:$D$1002,MATCH($C290&amp;"|"&amp;DAY($A290),打卡匯入!$E$3:$E$1002,0)),"")</f>
        <v/>
      </c>
      <c r="K290" s="32">
        <f>IF(OR($I290="",$J290=""),"",IFERROR(INDEX(設定!$F$5:$F$20,MATCH($F290,設定!$B$5:$B$20,0)),0))</f>
        <v/>
      </c>
      <c r="L290" s="33">
        <f>IF(OR($I290="",$J290=""),"",ROUND(($J290-$I290)*24-$K290/60,2))</f>
        <v/>
      </c>
      <c r="M290" s="29">
        <f>IF($C290="","",IF(AND(COUNTIF(設定!$B$14:$B$20,$F290)&gt;0,$I290&lt;&gt;""),"假日出勤",IF(AND(COUNTIF(設定!$B$5:$B$13,$F290)&gt;0,$I290=""),"未打卡",IF($I290="","",IF($N290&gt;0,"遲到",IF($O290&gt;0,"早退","正常"))))))</f>
        <v/>
      </c>
      <c r="N290" s="32">
        <f>IF(OR($C290="",$G290="",$I290=""),0,IF(ROUND(($I290-$G290)*1440,0)&gt;設定!$C$28,ROUND(($I290-$G290)*1440,0),0))</f>
        <v/>
      </c>
      <c r="O290" s="32">
        <f>IF(OR($C290="",$H290="",$J290=""),0,IF(ROUND(($H290-$J290)*1440,0)&gt;設定!$C$28,ROUND(($H290-$J290)*1440,0),0))</f>
        <v/>
      </c>
      <c r="P290" s="33">
        <f>IF($L290="",0,IF(($L290-IFERROR(INDEX(設定!$G$5:$G$20,MATCH($F290,設定!$B$5:$B$20,0)),0))*60&gt;=設定!$C$26,ROUND(FLOOR(($L290-IFERROR(INDEX(設定!$G$5:$G$20,MATCH($F290,設定!$B$5:$B$20,0)),0))*60,設定!$C$27)/60,2),0))</f>
        <v/>
      </c>
      <c r="Q290" s="29">
        <f>IF(OR($C290="",$P290=0),"",IF($F290="國","國定假日",IF($B290="日","例假",IF($B290="六","休息日","平日"))))</f>
        <v/>
      </c>
      <c r="R290" s="34" t="n"/>
    </row>
    <row r="291">
      <c r="A291" s="30">
        <f>IF(OR(班表!$A15="",10&gt;DAY(EOMONTH(DATE(班表!$E$2,班表!$G$2,1),0))),"",DATE(班表!$E$2,班表!$G$2,10))</f>
        <v/>
      </c>
      <c r="B291" s="29">
        <f>IF($A291="","",INDEX(設定!$L$5:$L$11,WEEKDAY($A291,1)))</f>
        <v/>
      </c>
      <c r="C291" s="29">
        <f>IF($A291="","",班表!$A15)</f>
        <v/>
      </c>
      <c r="D291" s="29">
        <f>IF($C291="","",班表!$B15)</f>
        <v/>
      </c>
      <c r="E291" s="29">
        <f>IF($C291="","",班表!$C15)</f>
        <v/>
      </c>
      <c r="F291" s="29">
        <f>IF($C291="","",班表!M15)</f>
        <v/>
      </c>
      <c r="G291" s="31">
        <f>IF($F291="","",IFERROR(INDEX(設定!$D$5:$D$20,MATCH($F291,設定!$B$5:$B$20,0)),""))</f>
        <v/>
      </c>
      <c r="H291" s="31">
        <f>IF($F291="","",IFERROR(INDEX(設定!$E$5:$E$20,MATCH($F291,設定!$B$5:$B$20,0)),""))</f>
        <v/>
      </c>
      <c r="I291" s="31">
        <f>IFERROR(INDEX(打卡匯入!$C$3:$C$1002,MATCH($C291&amp;"|"&amp;DAY($A291),打卡匯入!$E$3:$E$1002,0)),"")</f>
        <v/>
      </c>
      <c r="J291" s="31">
        <f>IFERROR(INDEX(打卡匯入!$D$3:$D$1002,MATCH($C291&amp;"|"&amp;DAY($A291),打卡匯入!$E$3:$E$1002,0)),"")</f>
        <v/>
      </c>
      <c r="K291" s="32">
        <f>IF(OR($I291="",$J291=""),"",IFERROR(INDEX(設定!$F$5:$F$20,MATCH($F291,設定!$B$5:$B$20,0)),0))</f>
        <v/>
      </c>
      <c r="L291" s="33">
        <f>IF(OR($I291="",$J291=""),"",ROUND(($J291-$I291)*24-$K291/60,2))</f>
        <v/>
      </c>
      <c r="M291" s="29">
        <f>IF($C291="","",IF(AND(COUNTIF(設定!$B$14:$B$20,$F291)&gt;0,$I291&lt;&gt;""),"假日出勤",IF(AND(COUNTIF(設定!$B$5:$B$13,$F291)&gt;0,$I291=""),"未打卡",IF($I291="","",IF($N291&gt;0,"遲到",IF($O291&gt;0,"早退","正常"))))))</f>
        <v/>
      </c>
      <c r="N291" s="32">
        <f>IF(OR($C291="",$G291="",$I291=""),0,IF(ROUND(($I291-$G291)*1440,0)&gt;設定!$C$28,ROUND(($I291-$G291)*1440,0),0))</f>
        <v/>
      </c>
      <c r="O291" s="32">
        <f>IF(OR($C291="",$H291="",$J291=""),0,IF(ROUND(($H291-$J291)*1440,0)&gt;設定!$C$28,ROUND(($H291-$J291)*1440,0),0))</f>
        <v/>
      </c>
      <c r="P291" s="33">
        <f>IF($L291="",0,IF(($L291-IFERROR(INDEX(設定!$G$5:$G$20,MATCH($F291,設定!$B$5:$B$20,0)),0))*60&gt;=設定!$C$26,ROUND(FLOOR(($L291-IFERROR(INDEX(設定!$G$5:$G$20,MATCH($F291,設定!$B$5:$B$20,0)),0))*60,設定!$C$27)/60,2),0))</f>
        <v/>
      </c>
      <c r="Q291" s="29">
        <f>IF(OR($C291="",$P291=0),"",IF($F291="國","國定假日",IF($B291="日","例假",IF($B291="六","休息日","平日"))))</f>
        <v/>
      </c>
      <c r="R291" s="34" t="n"/>
    </row>
    <row r="292">
      <c r="A292" s="30">
        <f>IF(OR(班表!$A15="",11&gt;DAY(EOMONTH(DATE(班表!$E$2,班表!$G$2,1),0))),"",DATE(班表!$E$2,班表!$G$2,11))</f>
        <v/>
      </c>
      <c r="B292" s="29">
        <f>IF($A292="","",INDEX(設定!$L$5:$L$11,WEEKDAY($A292,1)))</f>
        <v/>
      </c>
      <c r="C292" s="29">
        <f>IF($A292="","",班表!$A15)</f>
        <v/>
      </c>
      <c r="D292" s="29">
        <f>IF($C292="","",班表!$B15)</f>
        <v/>
      </c>
      <c r="E292" s="29">
        <f>IF($C292="","",班表!$C15)</f>
        <v/>
      </c>
      <c r="F292" s="29">
        <f>IF($C292="","",班表!N15)</f>
        <v/>
      </c>
      <c r="G292" s="31">
        <f>IF($F292="","",IFERROR(INDEX(設定!$D$5:$D$20,MATCH($F292,設定!$B$5:$B$20,0)),""))</f>
        <v/>
      </c>
      <c r="H292" s="31">
        <f>IF($F292="","",IFERROR(INDEX(設定!$E$5:$E$20,MATCH($F292,設定!$B$5:$B$20,0)),""))</f>
        <v/>
      </c>
      <c r="I292" s="31">
        <f>IFERROR(INDEX(打卡匯入!$C$3:$C$1002,MATCH($C292&amp;"|"&amp;DAY($A292),打卡匯入!$E$3:$E$1002,0)),"")</f>
        <v/>
      </c>
      <c r="J292" s="31">
        <f>IFERROR(INDEX(打卡匯入!$D$3:$D$1002,MATCH($C292&amp;"|"&amp;DAY($A292),打卡匯入!$E$3:$E$1002,0)),"")</f>
        <v/>
      </c>
      <c r="K292" s="32">
        <f>IF(OR($I292="",$J292=""),"",IFERROR(INDEX(設定!$F$5:$F$20,MATCH($F292,設定!$B$5:$B$20,0)),0))</f>
        <v/>
      </c>
      <c r="L292" s="33">
        <f>IF(OR($I292="",$J292=""),"",ROUND(($J292-$I292)*24-$K292/60,2))</f>
        <v/>
      </c>
      <c r="M292" s="29">
        <f>IF($C292="","",IF(AND(COUNTIF(設定!$B$14:$B$20,$F292)&gt;0,$I292&lt;&gt;""),"假日出勤",IF(AND(COUNTIF(設定!$B$5:$B$13,$F292)&gt;0,$I292=""),"未打卡",IF($I292="","",IF($N292&gt;0,"遲到",IF($O292&gt;0,"早退","正常"))))))</f>
        <v/>
      </c>
      <c r="N292" s="32">
        <f>IF(OR($C292="",$G292="",$I292=""),0,IF(ROUND(($I292-$G292)*1440,0)&gt;設定!$C$28,ROUND(($I292-$G292)*1440,0),0))</f>
        <v/>
      </c>
      <c r="O292" s="32">
        <f>IF(OR($C292="",$H292="",$J292=""),0,IF(ROUND(($H292-$J292)*1440,0)&gt;設定!$C$28,ROUND(($H292-$J292)*1440,0),0))</f>
        <v/>
      </c>
      <c r="P292" s="33">
        <f>IF($L292="",0,IF(($L292-IFERROR(INDEX(設定!$G$5:$G$20,MATCH($F292,設定!$B$5:$B$20,0)),0))*60&gt;=設定!$C$26,ROUND(FLOOR(($L292-IFERROR(INDEX(設定!$G$5:$G$20,MATCH($F292,設定!$B$5:$B$20,0)),0))*60,設定!$C$27)/60,2),0))</f>
        <v/>
      </c>
      <c r="Q292" s="29">
        <f>IF(OR($C292="",$P292=0),"",IF($F292="國","國定假日",IF($B292="日","例假",IF($B292="六","休息日","平日"))))</f>
        <v/>
      </c>
      <c r="R292" s="34" t="n"/>
    </row>
    <row r="293">
      <c r="A293" s="30">
        <f>IF(OR(班表!$A15="",12&gt;DAY(EOMONTH(DATE(班表!$E$2,班表!$G$2,1),0))),"",DATE(班表!$E$2,班表!$G$2,12))</f>
        <v/>
      </c>
      <c r="B293" s="29">
        <f>IF($A293="","",INDEX(設定!$L$5:$L$11,WEEKDAY($A293,1)))</f>
        <v/>
      </c>
      <c r="C293" s="29">
        <f>IF($A293="","",班表!$A15)</f>
        <v/>
      </c>
      <c r="D293" s="29">
        <f>IF($C293="","",班表!$B15)</f>
        <v/>
      </c>
      <c r="E293" s="29">
        <f>IF($C293="","",班表!$C15)</f>
        <v/>
      </c>
      <c r="F293" s="29">
        <f>IF($C293="","",班表!O15)</f>
        <v/>
      </c>
      <c r="G293" s="31">
        <f>IF($F293="","",IFERROR(INDEX(設定!$D$5:$D$20,MATCH($F293,設定!$B$5:$B$20,0)),""))</f>
        <v/>
      </c>
      <c r="H293" s="31">
        <f>IF($F293="","",IFERROR(INDEX(設定!$E$5:$E$20,MATCH($F293,設定!$B$5:$B$20,0)),""))</f>
        <v/>
      </c>
      <c r="I293" s="31">
        <f>IFERROR(INDEX(打卡匯入!$C$3:$C$1002,MATCH($C293&amp;"|"&amp;DAY($A293),打卡匯入!$E$3:$E$1002,0)),"")</f>
        <v/>
      </c>
      <c r="J293" s="31">
        <f>IFERROR(INDEX(打卡匯入!$D$3:$D$1002,MATCH($C293&amp;"|"&amp;DAY($A293),打卡匯入!$E$3:$E$1002,0)),"")</f>
        <v/>
      </c>
      <c r="K293" s="32">
        <f>IF(OR($I293="",$J293=""),"",IFERROR(INDEX(設定!$F$5:$F$20,MATCH($F293,設定!$B$5:$B$20,0)),0))</f>
        <v/>
      </c>
      <c r="L293" s="33">
        <f>IF(OR($I293="",$J293=""),"",ROUND(($J293-$I293)*24-$K293/60,2))</f>
        <v/>
      </c>
      <c r="M293" s="29">
        <f>IF($C293="","",IF(AND(COUNTIF(設定!$B$14:$B$20,$F293)&gt;0,$I293&lt;&gt;""),"假日出勤",IF(AND(COUNTIF(設定!$B$5:$B$13,$F293)&gt;0,$I293=""),"未打卡",IF($I293="","",IF($N293&gt;0,"遲到",IF($O293&gt;0,"早退","正常"))))))</f>
        <v/>
      </c>
      <c r="N293" s="32">
        <f>IF(OR($C293="",$G293="",$I293=""),0,IF(ROUND(($I293-$G293)*1440,0)&gt;設定!$C$28,ROUND(($I293-$G293)*1440,0),0))</f>
        <v/>
      </c>
      <c r="O293" s="32">
        <f>IF(OR($C293="",$H293="",$J293=""),0,IF(ROUND(($H293-$J293)*1440,0)&gt;設定!$C$28,ROUND(($H293-$J293)*1440,0),0))</f>
        <v/>
      </c>
      <c r="P293" s="33">
        <f>IF($L293="",0,IF(($L293-IFERROR(INDEX(設定!$G$5:$G$20,MATCH($F293,設定!$B$5:$B$20,0)),0))*60&gt;=設定!$C$26,ROUND(FLOOR(($L293-IFERROR(INDEX(設定!$G$5:$G$20,MATCH($F293,設定!$B$5:$B$20,0)),0))*60,設定!$C$27)/60,2),0))</f>
        <v/>
      </c>
      <c r="Q293" s="29">
        <f>IF(OR($C293="",$P293=0),"",IF($F293="國","國定假日",IF($B293="日","例假",IF($B293="六","休息日","平日"))))</f>
        <v/>
      </c>
      <c r="R293" s="34" t="n"/>
    </row>
    <row r="294">
      <c r="A294" s="30">
        <f>IF(OR(班表!$A15="",13&gt;DAY(EOMONTH(DATE(班表!$E$2,班表!$G$2,1),0))),"",DATE(班表!$E$2,班表!$G$2,13))</f>
        <v/>
      </c>
      <c r="B294" s="29">
        <f>IF($A294="","",INDEX(設定!$L$5:$L$11,WEEKDAY($A294,1)))</f>
        <v/>
      </c>
      <c r="C294" s="29">
        <f>IF($A294="","",班表!$A15)</f>
        <v/>
      </c>
      <c r="D294" s="29">
        <f>IF($C294="","",班表!$B15)</f>
        <v/>
      </c>
      <c r="E294" s="29">
        <f>IF($C294="","",班表!$C15)</f>
        <v/>
      </c>
      <c r="F294" s="29">
        <f>IF($C294="","",班表!P15)</f>
        <v/>
      </c>
      <c r="G294" s="31">
        <f>IF($F294="","",IFERROR(INDEX(設定!$D$5:$D$20,MATCH($F294,設定!$B$5:$B$20,0)),""))</f>
        <v/>
      </c>
      <c r="H294" s="31">
        <f>IF($F294="","",IFERROR(INDEX(設定!$E$5:$E$20,MATCH($F294,設定!$B$5:$B$20,0)),""))</f>
        <v/>
      </c>
      <c r="I294" s="31">
        <f>IFERROR(INDEX(打卡匯入!$C$3:$C$1002,MATCH($C294&amp;"|"&amp;DAY($A294),打卡匯入!$E$3:$E$1002,0)),"")</f>
        <v/>
      </c>
      <c r="J294" s="31">
        <f>IFERROR(INDEX(打卡匯入!$D$3:$D$1002,MATCH($C294&amp;"|"&amp;DAY($A294),打卡匯入!$E$3:$E$1002,0)),"")</f>
        <v/>
      </c>
      <c r="K294" s="32">
        <f>IF(OR($I294="",$J294=""),"",IFERROR(INDEX(設定!$F$5:$F$20,MATCH($F294,設定!$B$5:$B$20,0)),0))</f>
        <v/>
      </c>
      <c r="L294" s="33">
        <f>IF(OR($I294="",$J294=""),"",ROUND(($J294-$I294)*24-$K294/60,2))</f>
        <v/>
      </c>
      <c r="M294" s="29">
        <f>IF($C294="","",IF(AND(COUNTIF(設定!$B$14:$B$20,$F294)&gt;0,$I294&lt;&gt;""),"假日出勤",IF(AND(COUNTIF(設定!$B$5:$B$13,$F294)&gt;0,$I294=""),"未打卡",IF($I294="","",IF($N294&gt;0,"遲到",IF($O294&gt;0,"早退","正常"))))))</f>
        <v/>
      </c>
      <c r="N294" s="32">
        <f>IF(OR($C294="",$G294="",$I294=""),0,IF(ROUND(($I294-$G294)*1440,0)&gt;設定!$C$28,ROUND(($I294-$G294)*1440,0),0))</f>
        <v/>
      </c>
      <c r="O294" s="32">
        <f>IF(OR($C294="",$H294="",$J294=""),0,IF(ROUND(($H294-$J294)*1440,0)&gt;設定!$C$28,ROUND(($H294-$J294)*1440,0),0))</f>
        <v/>
      </c>
      <c r="P294" s="33">
        <f>IF($L294="",0,IF(($L294-IFERROR(INDEX(設定!$G$5:$G$20,MATCH($F294,設定!$B$5:$B$20,0)),0))*60&gt;=設定!$C$26,ROUND(FLOOR(($L294-IFERROR(INDEX(設定!$G$5:$G$20,MATCH($F294,設定!$B$5:$B$20,0)),0))*60,設定!$C$27)/60,2),0))</f>
        <v/>
      </c>
      <c r="Q294" s="29">
        <f>IF(OR($C294="",$P294=0),"",IF($F294="國","國定假日",IF($B294="日","例假",IF($B294="六","休息日","平日"))))</f>
        <v/>
      </c>
      <c r="R294" s="34" t="n"/>
    </row>
    <row r="295">
      <c r="A295" s="30">
        <f>IF(OR(班表!$A15="",14&gt;DAY(EOMONTH(DATE(班表!$E$2,班表!$G$2,1),0))),"",DATE(班表!$E$2,班表!$G$2,14))</f>
        <v/>
      </c>
      <c r="B295" s="29">
        <f>IF($A295="","",INDEX(設定!$L$5:$L$11,WEEKDAY($A295,1)))</f>
        <v/>
      </c>
      <c r="C295" s="29">
        <f>IF($A295="","",班表!$A15)</f>
        <v/>
      </c>
      <c r="D295" s="29">
        <f>IF($C295="","",班表!$B15)</f>
        <v/>
      </c>
      <c r="E295" s="29">
        <f>IF($C295="","",班表!$C15)</f>
        <v/>
      </c>
      <c r="F295" s="29">
        <f>IF($C295="","",班表!Q15)</f>
        <v/>
      </c>
      <c r="G295" s="31">
        <f>IF($F295="","",IFERROR(INDEX(設定!$D$5:$D$20,MATCH($F295,設定!$B$5:$B$20,0)),""))</f>
        <v/>
      </c>
      <c r="H295" s="31">
        <f>IF($F295="","",IFERROR(INDEX(設定!$E$5:$E$20,MATCH($F295,設定!$B$5:$B$20,0)),""))</f>
        <v/>
      </c>
      <c r="I295" s="31">
        <f>IFERROR(INDEX(打卡匯入!$C$3:$C$1002,MATCH($C295&amp;"|"&amp;DAY($A295),打卡匯入!$E$3:$E$1002,0)),"")</f>
        <v/>
      </c>
      <c r="J295" s="31">
        <f>IFERROR(INDEX(打卡匯入!$D$3:$D$1002,MATCH($C295&amp;"|"&amp;DAY($A295),打卡匯入!$E$3:$E$1002,0)),"")</f>
        <v/>
      </c>
      <c r="K295" s="32">
        <f>IF(OR($I295="",$J295=""),"",IFERROR(INDEX(設定!$F$5:$F$20,MATCH($F295,設定!$B$5:$B$20,0)),0))</f>
        <v/>
      </c>
      <c r="L295" s="33">
        <f>IF(OR($I295="",$J295=""),"",ROUND(($J295-$I295)*24-$K295/60,2))</f>
        <v/>
      </c>
      <c r="M295" s="29">
        <f>IF($C295="","",IF(AND(COUNTIF(設定!$B$14:$B$20,$F295)&gt;0,$I295&lt;&gt;""),"假日出勤",IF(AND(COUNTIF(設定!$B$5:$B$13,$F295)&gt;0,$I295=""),"未打卡",IF($I295="","",IF($N295&gt;0,"遲到",IF($O295&gt;0,"早退","正常"))))))</f>
        <v/>
      </c>
      <c r="N295" s="32">
        <f>IF(OR($C295="",$G295="",$I295=""),0,IF(ROUND(($I295-$G295)*1440,0)&gt;設定!$C$28,ROUND(($I295-$G295)*1440,0),0))</f>
        <v/>
      </c>
      <c r="O295" s="32">
        <f>IF(OR($C295="",$H295="",$J295=""),0,IF(ROUND(($H295-$J295)*1440,0)&gt;設定!$C$28,ROUND(($H295-$J295)*1440,0),0))</f>
        <v/>
      </c>
      <c r="P295" s="33">
        <f>IF($L295="",0,IF(($L295-IFERROR(INDEX(設定!$G$5:$G$20,MATCH($F295,設定!$B$5:$B$20,0)),0))*60&gt;=設定!$C$26,ROUND(FLOOR(($L295-IFERROR(INDEX(設定!$G$5:$G$20,MATCH($F295,設定!$B$5:$B$20,0)),0))*60,設定!$C$27)/60,2),0))</f>
        <v/>
      </c>
      <c r="Q295" s="29">
        <f>IF(OR($C295="",$P295=0),"",IF($F295="國","國定假日",IF($B295="日","例假",IF($B295="六","休息日","平日"))))</f>
        <v/>
      </c>
      <c r="R295" s="34" t="n"/>
    </row>
    <row r="296">
      <c r="A296" s="30">
        <f>IF(OR(班表!$A15="",15&gt;DAY(EOMONTH(DATE(班表!$E$2,班表!$G$2,1),0))),"",DATE(班表!$E$2,班表!$G$2,15))</f>
        <v/>
      </c>
      <c r="B296" s="29">
        <f>IF($A296="","",INDEX(設定!$L$5:$L$11,WEEKDAY($A296,1)))</f>
        <v/>
      </c>
      <c r="C296" s="29">
        <f>IF($A296="","",班表!$A15)</f>
        <v/>
      </c>
      <c r="D296" s="29">
        <f>IF($C296="","",班表!$B15)</f>
        <v/>
      </c>
      <c r="E296" s="29">
        <f>IF($C296="","",班表!$C15)</f>
        <v/>
      </c>
      <c r="F296" s="29">
        <f>IF($C296="","",班表!R15)</f>
        <v/>
      </c>
      <c r="G296" s="31">
        <f>IF($F296="","",IFERROR(INDEX(設定!$D$5:$D$20,MATCH($F296,設定!$B$5:$B$20,0)),""))</f>
        <v/>
      </c>
      <c r="H296" s="31">
        <f>IF($F296="","",IFERROR(INDEX(設定!$E$5:$E$20,MATCH($F296,設定!$B$5:$B$20,0)),""))</f>
        <v/>
      </c>
      <c r="I296" s="31">
        <f>IFERROR(INDEX(打卡匯入!$C$3:$C$1002,MATCH($C296&amp;"|"&amp;DAY($A296),打卡匯入!$E$3:$E$1002,0)),"")</f>
        <v/>
      </c>
      <c r="J296" s="31">
        <f>IFERROR(INDEX(打卡匯入!$D$3:$D$1002,MATCH($C296&amp;"|"&amp;DAY($A296),打卡匯入!$E$3:$E$1002,0)),"")</f>
        <v/>
      </c>
      <c r="K296" s="32">
        <f>IF(OR($I296="",$J296=""),"",IFERROR(INDEX(設定!$F$5:$F$20,MATCH($F296,設定!$B$5:$B$20,0)),0))</f>
        <v/>
      </c>
      <c r="L296" s="33">
        <f>IF(OR($I296="",$J296=""),"",ROUND(($J296-$I296)*24-$K296/60,2))</f>
        <v/>
      </c>
      <c r="M296" s="29">
        <f>IF($C296="","",IF(AND(COUNTIF(設定!$B$14:$B$20,$F296)&gt;0,$I296&lt;&gt;""),"假日出勤",IF(AND(COUNTIF(設定!$B$5:$B$13,$F296)&gt;0,$I296=""),"未打卡",IF($I296="","",IF($N296&gt;0,"遲到",IF($O296&gt;0,"早退","正常"))))))</f>
        <v/>
      </c>
      <c r="N296" s="32">
        <f>IF(OR($C296="",$G296="",$I296=""),0,IF(ROUND(($I296-$G296)*1440,0)&gt;設定!$C$28,ROUND(($I296-$G296)*1440,0),0))</f>
        <v/>
      </c>
      <c r="O296" s="32">
        <f>IF(OR($C296="",$H296="",$J296=""),0,IF(ROUND(($H296-$J296)*1440,0)&gt;設定!$C$28,ROUND(($H296-$J296)*1440,0),0))</f>
        <v/>
      </c>
      <c r="P296" s="33">
        <f>IF($L296="",0,IF(($L296-IFERROR(INDEX(設定!$G$5:$G$20,MATCH($F296,設定!$B$5:$B$20,0)),0))*60&gt;=設定!$C$26,ROUND(FLOOR(($L296-IFERROR(INDEX(設定!$G$5:$G$20,MATCH($F296,設定!$B$5:$B$20,0)),0))*60,設定!$C$27)/60,2),0))</f>
        <v/>
      </c>
      <c r="Q296" s="29">
        <f>IF(OR($C296="",$P296=0),"",IF($F296="國","國定假日",IF($B296="日","例假",IF($B296="六","休息日","平日"))))</f>
        <v/>
      </c>
      <c r="R296" s="34" t="n"/>
    </row>
    <row r="297">
      <c r="A297" s="30">
        <f>IF(OR(班表!$A15="",16&gt;DAY(EOMONTH(DATE(班表!$E$2,班表!$G$2,1),0))),"",DATE(班表!$E$2,班表!$G$2,16))</f>
        <v/>
      </c>
      <c r="B297" s="29">
        <f>IF($A297="","",INDEX(設定!$L$5:$L$11,WEEKDAY($A297,1)))</f>
        <v/>
      </c>
      <c r="C297" s="29">
        <f>IF($A297="","",班表!$A15)</f>
        <v/>
      </c>
      <c r="D297" s="29">
        <f>IF($C297="","",班表!$B15)</f>
        <v/>
      </c>
      <c r="E297" s="29">
        <f>IF($C297="","",班表!$C15)</f>
        <v/>
      </c>
      <c r="F297" s="29">
        <f>IF($C297="","",班表!S15)</f>
        <v/>
      </c>
      <c r="G297" s="31">
        <f>IF($F297="","",IFERROR(INDEX(設定!$D$5:$D$20,MATCH($F297,設定!$B$5:$B$20,0)),""))</f>
        <v/>
      </c>
      <c r="H297" s="31">
        <f>IF($F297="","",IFERROR(INDEX(設定!$E$5:$E$20,MATCH($F297,設定!$B$5:$B$20,0)),""))</f>
        <v/>
      </c>
      <c r="I297" s="31">
        <f>IFERROR(INDEX(打卡匯入!$C$3:$C$1002,MATCH($C297&amp;"|"&amp;DAY($A297),打卡匯入!$E$3:$E$1002,0)),"")</f>
        <v/>
      </c>
      <c r="J297" s="31">
        <f>IFERROR(INDEX(打卡匯入!$D$3:$D$1002,MATCH($C297&amp;"|"&amp;DAY($A297),打卡匯入!$E$3:$E$1002,0)),"")</f>
        <v/>
      </c>
      <c r="K297" s="32">
        <f>IF(OR($I297="",$J297=""),"",IFERROR(INDEX(設定!$F$5:$F$20,MATCH($F297,設定!$B$5:$B$20,0)),0))</f>
        <v/>
      </c>
      <c r="L297" s="33">
        <f>IF(OR($I297="",$J297=""),"",ROUND(($J297-$I297)*24-$K297/60,2))</f>
        <v/>
      </c>
      <c r="M297" s="29">
        <f>IF($C297="","",IF(AND(COUNTIF(設定!$B$14:$B$20,$F297)&gt;0,$I297&lt;&gt;""),"假日出勤",IF(AND(COUNTIF(設定!$B$5:$B$13,$F297)&gt;0,$I297=""),"未打卡",IF($I297="","",IF($N297&gt;0,"遲到",IF($O297&gt;0,"早退","正常"))))))</f>
        <v/>
      </c>
      <c r="N297" s="32">
        <f>IF(OR($C297="",$G297="",$I297=""),0,IF(ROUND(($I297-$G297)*1440,0)&gt;設定!$C$28,ROUND(($I297-$G297)*1440,0),0))</f>
        <v/>
      </c>
      <c r="O297" s="32">
        <f>IF(OR($C297="",$H297="",$J297=""),0,IF(ROUND(($H297-$J297)*1440,0)&gt;設定!$C$28,ROUND(($H297-$J297)*1440,0),0))</f>
        <v/>
      </c>
      <c r="P297" s="33">
        <f>IF($L297="",0,IF(($L297-IFERROR(INDEX(設定!$G$5:$G$20,MATCH($F297,設定!$B$5:$B$20,0)),0))*60&gt;=設定!$C$26,ROUND(FLOOR(($L297-IFERROR(INDEX(設定!$G$5:$G$20,MATCH($F297,設定!$B$5:$B$20,0)),0))*60,設定!$C$27)/60,2),0))</f>
        <v/>
      </c>
      <c r="Q297" s="29">
        <f>IF(OR($C297="",$P297=0),"",IF($F297="國","國定假日",IF($B297="日","例假",IF($B297="六","休息日","平日"))))</f>
        <v/>
      </c>
      <c r="R297" s="34" t="n"/>
    </row>
    <row r="298">
      <c r="A298" s="30">
        <f>IF(OR(班表!$A15="",17&gt;DAY(EOMONTH(DATE(班表!$E$2,班表!$G$2,1),0))),"",DATE(班表!$E$2,班表!$G$2,17))</f>
        <v/>
      </c>
      <c r="B298" s="29">
        <f>IF($A298="","",INDEX(設定!$L$5:$L$11,WEEKDAY($A298,1)))</f>
        <v/>
      </c>
      <c r="C298" s="29">
        <f>IF($A298="","",班表!$A15)</f>
        <v/>
      </c>
      <c r="D298" s="29">
        <f>IF($C298="","",班表!$B15)</f>
        <v/>
      </c>
      <c r="E298" s="29">
        <f>IF($C298="","",班表!$C15)</f>
        <v/>
      </c>
      <c r="F298" s="29">
        <f>IF($C298="","",班表!T15)</f>
        <v/>
      </c>
      <c r="G298" s="31">
        <f>IF($F298="","",IFERROR(INDEX(設定!$D$5:$D$20,MATCH($F298,設定!$B$5:$B$20,0)),""))</f>
        <v/>
      </c>
      <c r="H298" s="31">
        <f>IF($F298="","",IFERROR(INDEX(設定!$E$5:$E$20,MATCH($F298,設定!$B$5:$B$20,0)),""))</f>
        <v/>
      </c>
      <c r="I298" s="31">
        <f>IFERROR(INDEX(打卡匯入!$C$3:$C$1002,MATCH($C298&amp;"|"&amp;DAY($A298),打卡匯入!$E$3:$E$1002,0)),"")</f>
        <v/>
      </c>
      <c r="J298" s="31">
        <f>IFERROR(INDEX(打卡匯入!$D$3:$D$1002,MATCH($C298&amp;"|"&amp;DAY($A298),打卡匯入!$E$3:$E$1002,0)),"")</f>
        <v/>
      </c>
      <c r="K298" s="32">
        <f>IF(OR($I298="",$J298=""),"",IFERROR(INDEX(設定!$F$5:$F$20,MATCH($F298,設定!$B$5:$B$20,0)),0))</f>
        <v/>
      </c>
      <c r="L298" s="33">
        <f>IF(OR($I298="",$J298=""),"",ROUND(($J298-$I298)*24-$K298/60,2))</f>
        <v/>
      </c>
      <c r="M298" s="29">
        <f>IF($C298="","",IF(AND(COUNTIF(設定!$B$14:$B$20,$F298)&gt;0,$I298&lt;&gt;""),"假日出勤",IF(AND(COUNTIF(設定!$B$5:$B$13,$F298)&gt;0,$I298=""),"未打卡",IF($I298="","",IF($N298&gt;0,"遲到",IF($O298&gt;0,"早退","正常"))))))</f>
        <v/>
      </c>
      <c r="N298" s="32">
        <f>IF(OR($C298="",$G298="",$I298=""),0,IF(ROUND(($I298-$G298)*1440,0)&gt;設定!$C$28,ROUND(($I298-$G298)*1440,0),0))</f>
        <v/>
      </c>
      <c r="O298" s="32">
        <f>IF(OR($C298="",$H298="",$J298=""),0,IF(ROUND(($H298-$J298)*1440,0)&gt;設定!$C$28,ROUND(($H298-$J298)*1440,0),0))</f>
        <v/>
      </c>
      <c r="P298" s="33">
        <f>IF($L298="",0,IF(($L298-IFERROR(INDEX(設定!$G$5:$G$20,MATCH($F298,設定!$B$5:$B$20,0)),0))*60&gt;=設定!$C$26,ROUND(FLOOR(($L298-IFERROR(INDEX(設定!$G$5:$G$20,MATCH($F298,設定!$B$5:$B$20,0)),0))*60,設定!$C$27)/60,2),0))</f>
        <v/>
      </c>
      <c r="Q298" s="29">
        <f>IF(OR($C298="",$P298=0),"",IF($F298="國","國定假日",IF($B298="日","例假",IF($B298="六","休息日","平日"))))</f>
        <v/>
      </c>
      <c r="R298" s="34" t="n"/>
    </row>
    <row r="299">
      <c r="A299" s="30">
        <f>IF(OR(班表!$A15="",18&gt;DAY(EOMONTH(DATE(班表!$E$2,班表!$G$2,1),0))),"",DATE(班表!$E$2,班表!$G$2,18))</f>
        <v/>
      </c>
      <c r="B299" s="29">
        <f>IF($A299="","",INDEX(設定!$L$5:$L$11,WEEKDAY($A299,1)))</f>
        <v/>
      </c>
      <c r="C299" s="29">
        <f>IF($A299="","",班表!$A15)</f>
        <v/>
      </c>
      <c r="D299" s="29">
        <f>IF($C299="","",班表!$B15)</f>
        <v/>
      </c>
      <c r="E299" s="29">
        <f>IF($C299="","",班表!$C15)</f>
        <v/>
      </c>
      <c r="F299" s="29">
        <f>IF($C299="","",班表!U15)</f>
        <v/>
      </c>
      <c r="G299" s="31">
        <f>IF($F299="","",IFERROR(INDEX(設定!$D$5:$D$20,MATCH($F299,設定!$B$5:$B$20,0)),""))</f>
        <v/>
      </c>
      <c r="H299" s="31">
        <f>IF($F299="","",IFERROR(INDEX(設定!$E$5:$E$20,MATCH($F299,設定!$B$5:$B$20,0)),""))</f>
        <v/>
      </c>
      <c r="I299" s="31">
        <f>IFERROR(INDEX(打卡匯入!$C$3:$C$1002,MATCH($C299&amp;"|"&amp;DAY($A299),打卡匯入!$E$3:$E$1002,0)),"")</f>
        <v/>
      </c>
      <c r="J299" s="31">
        <f>IFERROR(INDEX(打卡匯入!$D$3:$D$1002,MATCH($C299&amp;"|"&amp;DAY($A299),打卡匯入!$E$3:$E$1002,0)),"")</f>
        <v/>
      </c>
      <c r="K299" s="32">
        <f>IF(OR($I299="",$J299=""),"",IFERROR(INDEX(設定!$F$5:$F$20,MATCH($F299,設定!$B$5:$B$20,0)),0))</f>
        <v/>
      </c>
      <c r="L299" s="33">
        <f>IF(OR($I299="",$J299=""),"",ROUND(($J299-$I299)*24-$K299/60,2))</f>
        <v/>
      </c>
      <c r="M299" s="29">
        <f>IF($C299="","",IF(AND(COUNTIF(設定!$B$14:$B$20,$F299)&gt;0,$I299&lt;&gt;""),"假日出勤",IF(AND(COUNTIF(設定!$B$5:$B$13,$F299)&gt;0,$I299=""),"未打卡",IF($I299="","",IF($N299&gt;0,"遲到",IF($O299&gt;0,"早退","正常"))))))</f>
        <v/>
      </c>
      <c r="N299" s="32">
        <f>IF(OR($C299="",$G299="",$I299=""),0,IF(ROUND(($I299-$G299)*1440,0)&gt;設定!$C$28,ROUND(($I299-$G299)*1440,0),0))</f>
        <v/>
      </c>
      <c r="O299" s="32">
        <f>IF(OR($C299="",$H299="",$J299=""),0,IF(ROUND(($H299-$J299)*1440,0)&gt;設定!$C$28,ROUND(($H299-$J299)*1440,0),0))</f>
        <v/>
      </c>
      <c r="P299" s="33">
        <f>IF($L299="",0,IF(($L299-IFERROR(INDEX(設定!$G$5:$G$20,MATCH($F299,設定!$B$5:$B$20,0)),0))*60&gt;=設定!$C$26,ROUND(FLOOR(($L299-IFERROR(INDEX(設定!$G$5:$G$20,MATCH($F299,設定!$B$5:$B$20,0)),0))*60,設定!$C$27)/60,2),0))</f>
        <v/>
      </c>
      <c r="Q299" s="29">
        <f>IF(OR($C299="",$P299=0),"",IF($F299="國","國定假日",IF($B299="日","例假",IF($B299="六","休息日","平日"))))</f>
        <v/>
      </c>
      <c r="R299" s="34" t="n"/>
    </row>
    <row r="300">
      <c r="A300" s="30">
        <f>IF(OR(班表!$A15="",19&gt;DAY(EOMONTH(DATE(班表!$E$2,班表!$G$2,1),0))),"",DATE(班表!$E$2,班表!$G$2,19))</f>
        <v/>
      </c>
      <c r="B300" s="29">
        <f>IF($A300="","",INDEX(設定!$L$5:$L$11,WEEKDAY($A300,1)))</f>
        <v/>
      </c>
      <c r="C300" s="29">
        <f>IF($A300="","",班表!$A15)</f>
        <v/>
      </c>
      <c r="D300" s="29">
        <f>IF($C300="","",班表!$B15)</f>
        <v/>
      </c>
      <c r="E300" s="29">
        <f>IF($C300="","",班表!$C15)</f>
        <v/>
      </c>
      <c r="F300" s="29">
        <f>IF($C300="","",班表!V15)</f>
        <v/>
      </c>
      <c r="G300" s="31">
        <f>IF($F300="","",IFERROR(INDEX(設定!$D$5:$D$20,MATCH($F300,設定!$B$5:$B$20,0)),""))</f>
        <v/>
      </c>
      <c r="H300" s="31">
        <f>IF($F300="","",IFERROR(INDEX(設定!$E$5:$E$20,MATCH($F300,設定!$B$5:$B$20,0)),""))</f>
        <v/>
      </c>
      <c r="I300" s="31">
        <f>IFERROR(INDEX(打卡匯入!$C$3:$C$1002,MATCH($C300&amp;"|"&amp;DAY($A300),打卡匯入!$E$3:$E$1002,0)),"")</f>
        <v/>
      </c>
      <c r="J300" s="31">
        <f>IFERROR(INDEX(打卡匯入!$D$3:$D$1002,MATCH($C300&amp;"|"&amp;DAY($A300),打卡匯入!$E$3:$E$1002,0)),"")</f>
        <v/>
      </c>
      <c r="K300" s="32">
        <f>IF(OR($I300="",$J300=""),"",IFERROR(INDEX(設定!$F$5:$F$20,MATCH($F300,設定!$B$5:$B$20,0)),0))</f>
        <v/>
      </c>
      <c r="L300" s="33">
        <f>IF(OR($I300="",$J300=""),"",ROUND(($J300-$I300)*24-$K300/60,2))</f>
        <v/>
      </c>
      <c r="M300" s="29">
        <f>IF($C300="","",IF(AND(COUNTIF(設定!$B$14:$B$20,$F300)&gt;0,$I300&lt;&gt;""),"假日出勤",IF(AND(COUNTIF(設定!$B$5:$B$13,$F300)&gt;0,$I300=""),"未打卡",IF($I300="","",IF($N300&gt;0,"遲到",IF($O300&gt;0,"早退","正常"))))))</f>
        <v/>
      </c>
      <c r="N300" s="32">
        <f>IF(OR($C300="",$G300="",$I300=""),0,IF(ROUND(($I300-$G300)*1440,0)&gt;設定!$C$28,ROUND(($I300-$G300)*1440,0),0))</f>
        <v/>
      </c>
      <c r="O300" s="32">
        <f>IF(OR($C300="",$H300="",$J300=""),0,IF(ROUND(($H300-$J300)*1440,0)&gt;設定!$C$28,ROUND(($H300-$J300)*1440,0),0))</f>
        <v/>
      </c>
      <c r="P300" s="33">
        <f>IF($L300="",0,IF(($L300-IFERROR(INDEX(設定!$G$5:$G$20,MATCH($F300,設定!$B$5:$B$20,0)),0))*60&gt;=設定!$C$26,ROUND(FLOOR(($L300-IFERROR(INDEX(設定!$G$5:$G$20,MATCH($F300,設定!$B$5:$B$20,0)),0))*60,設定!$C$27)/60,2),0))</f>
        <v/>
      </c>
      <c r="Q300" s="29">
        <f>IF(OR($C300="",$P300=0),"",IF($F300="國","國定假日",IF($B300="日","例假",IF($B300="六","休息日","平日"))))</f>
        <v/>
      </c>
      <c r="R300" s="34" t="n"/>
    </row>
    <row r="301">
      <c r="A301" s="30">
        <f>IF(OR(班表!$A15="",20&gt;DAY(EOMONTH(DATE(班表!$E$2,班表!$G$2,1),0))),"",DATE(班表!$E$2,班表!$G$2,20))</f>
        <v/>
      </c>
      <c r="B301" s="29">
        <f>IF($A301="","",INDEX(設定!$L$5:$L$11,WEEKDAY($A301,1)))</f>
        <v/>
      </c>
      <c r="C301" s="29">
        <f>IF($A301="","",班表!$A15)</f>
        <v/>
      </c>
      <c r="D301" s="29">
        <f>IF($C301="","",班表!$B15)</f>
        <v/>
      </c>
      <c r="E301" s="29">
        <f>IF($C301="","",班表!$C15)</f>
        <v/>
      </c>
      <c r="F301" s="29">
        <f>IF($C301="","",班表!W15)</f>
        <v/>
      </c>
      <c r="G301" s="31">
        <f>IF($F301="","",IFERROR(INDEX(設定!$D$5:$D$20,MATCH($F301,設定!$B$5:$B$20,0)),""))</f>
        <v/>
      </c>
      <c r="H301" s="31">
        <f>IF($F301="","",IFERROR(INDEX(設定!$E$5:$E$20,MATCH($F301,設定!$B$5:$B$20,0)),""))</f>
        <v/>
      </c>
      <c r="I301" s="31">
        <f>IFERROR(INDEX(打卡匯入!$C$3:$C$1002,MATCH($C301&amp;"|"&amp;DAY($A301),打卡匯入!$E$3:$E$1002,0)),"")</f>
        <v/>
      </c>
      <c r="J301" s="31">
        <f>IFERROR(INDEX(打卡匯入!$D$3:$D$1002,MATCH($C301&amp;"|"&amp;DAY($A301),打卡匯入!$E$3:$E$1002,0)),"")</f>
        <v/>
      </c>
      <c r="K301" s="32">
        <f>IF(OR($I301="",$J301=""),"",IFERROR(INDEX(設定!$F$5:$F$20,MATCH($F301,設定!$B$5:$B$20,0)),0))</f>
        <v/>
      </c>
      <c r="L301" s="33">
        <f>IF(OR($I301="",$J301=""),"",ROUND(($J301-$I301)*24-$K301/60,2))</f>
        <v/>
      </c>
      <c r="M301" s="29">
        <f>IF($C301="","",IF(AND(COUNTIF(設定!$B$14:$B$20,$F301)&gt;0,$I301&lt;&gt;""),"假日出勤",IF(AND(COUNTIF(設定!$B$5:$B$13,$F301)&gt;0,$I301=""),"未打卡",IF($I301="","",IF($N301&gt;0,"遲到",IF($O301&gt;0,"早退","正常"))))))</f>
        <v/>
      </c>
      <c r="N301" s="32">
        <f>IF(OR($C301="",$G301="",$I301=""),0,IF(ROUND(($I301-$G301)*1440,0)&gt;設定!$C$28,ROUND(($I301-$G301)*1440,0),0))</f>
        <v/>
      </c>
      <c r="O301" s="32">
        <f>IF(OR($C301="",$H301="",$J301=""),0,IF(ROUND(($H301-$J301)*1440,0)&gt;設定!$C$28,ROUND(($H301-$J301)*1440,0),0))</f>
        <v/>
      </c>
      <c r="P301" s="33">
        <f>IF($L301="",0,IF(($L301-IFERROR(INDEX(設定!$G$5:$G$20,MATCH($F301,設定!$B$5:$B$20,0)),0))*60&gt;=設定!$C$26,ROUND(FLOOR(($L301-IFERROR(INDEX(設定!$G$5:$G$20,MATCH($F301,設定!$B$5:$B$20,0)),0))*60,設定!$C$27)/60,2),0))</f>
        <v/>
      </c>
      <c r="Q301" s="29">
        <f>IF(OR($C301="",$P301=0),"",IF($F301="國","國定假日",IF($B301="日","例假",IF($B301="六","休息日","平日"))))</f>
        <v/>
      </c>
      <c r="R301" s="34" t="n"/>
    </row>
    <row r="302">
      <c r="A302" s="30">
        <f>IF(OR(班表!$A15="",21&gt;DAY(EOMONTH(DATE(班表!$E$2,班表!$G$2,1),0))),"",DATE(班表!$E$2,班表!$G$2,21))</f>
        <v/>
      </c>
      <c r="B302" s="29">
        <f>IF($A302="","",INDEX(設定!$L$5:$L$11,WEEKDAY($A302,1)))</f>
        <v/>
      </c>
      <c r="C302" s="29">
        <f>IF($A302="","",班表!$A15)</f>
        <v/>
      </c>
      <c r="D302" s="29">
        <f>IF($C302="","",班表!$B15)</f>
        <v/>
      </c>
      <c r="E302" s="29">
        <f>IF($C302="","",班表!$C15)</f>
        <v/>
      </c>
      <c r="F302" s="29">
        <f>IF($C302="","",班表!X15)</f>
        <v/>
      </c>
      <c r="G302" s="31">
        <f>IF($F302="","",IFERROR(INDEX(設定!$D$5:$D$20,MATCH($F302,設定!$B$5:$B$20,0)),""))</f>
        <v/>
      </c>
      <c r="H302" s="31">
        <f>IF($F302="","",IFERROR(INDEX(設定!$E$5:$E$20,MATCH($F302,設定!$B$5:$B$20,0)),""))</f>
        <v/>
      </c>
      <c r="I302" s="31">
        <f>IFERROR(INDEX(打卡匯入!$C$3:$C$1002,MATCH($C302&amp;"|"&amp;DAY($A302),打卡匯入!$E$3:$E$1002,0)),"")</f>
        <v/>
      </c>
      <c r="J302" s="31">
        <f>IFERROR(INDEX(打卡匯入!$D$3:$D$1002,MATCH($C302&amp;"|"&amp;DAY($A302),打卡匯入!$E$3:$E$1002,0)),"")</f>
        <v/>
      </c>
      <c r="K302" s="32">
        <f>IF(OR($I302="",$J302=""),"",IFERROR(INDEX(設定!$F$5:$F$20,MATCH($F302,設定!$B$5:$B$20,0)),0))</f>
        <v/>
      </c>
      <c r="L302" s="33">
        <f>IF(OR($I302="",$J302=""),"",ROUND(($J302-$I302)*24-$K302/60,2))</f>
        <v/>
      </c>
      <c r="M302" s="29">
        <f>IF($C302="","",IF(AND(COUNTIF(設定!$B$14:$B$20,$F302)&gt;0,$I302&lt;&gt;""),"假日出勤",IF(AND(COUNTIF(設定!$B$5:$B$13,$F302)&gt;0,$I302=""),"未打卡",IF($I302="","",IF($N302&gt;0,"遲到",IF($O302&gt;0,"早退","正常"))))))</f>
        <v/>
      </c>
      <c r="N302" s="32">
        <f>IF(OR($C302="",$G302="",$I302=""),0,IF(ROUND(($I302-$G302)*1440,0)&gt;設定!$C$28,ROUND(($I302-$G302)*1440,0),0))</f>
        <v/>
      </c>
      <c r="O302" s="32">
        <f>IF(OR($C302="",$H302="",$J302=""),0,IF(ROUND(($H302-$J302)*1440,0)&gt;設定!$C$28,ROUND(($H302-$J302)*1440,0),0))</f>
        <v/>
      </c>
      <c r="P302" s="33">
        <f>IF($L302="",0,IF(($L302-IFERROR(INDEX(設定!$G$5:$G$20,MATCH($F302,設定!$B$5:$B$20,0)),0))*60&gt;=設定!$C$26,ROUND(FLOOR(($L302-IFERROR(INDEX(設定!$G$5:$G$20,MATCH($F302,設定!$B$5:$B$20,0)),0))*60,設定!$C$27)/60,2),0))</f>
        <v/>
      </c>
      <c r="Q302" s="29">
        <f>IF(OR($C302="",$P302=0),"",IF($F302="國","國定假日",IF($B302="日","例假",IF($B302="六","休息日","平日"))))</f>
        <v/>
      </c>
      <c r="R302" s="34" t="n"/>
    </row>
    <row r="303">
      <c r="A303" s="30">
        <f>IF(OR(班表!$A15="",22&gt;DAY(EOMONTH(DATE(班表!$E$2,班表!$G$2,1),0))),"",DATE(班表!$E$2,班表!$G$2,22))</f>
        <v/>
      </c>
      <c r="B303" s="29">
        <f>IF($A303="","",INDEX(設定!$L$5:$L$11,WEEKDAY($A303,1)))</f>
        <v/>
      </c>
      <c r="C303" s="29">
        <f>IF($A303="","",班表!$A15)</f>
        <v/>
      </c>
      <c r="D303" s="29">
        <f>IF($C303="","",班表!$B15)</f>
        <v/>
      </c>
      <c r="E303" s="29">
        <f>IF($C303="","",班表!$C15)</f>
        <v/>
      </c>
      <c r="F303" s="29">
        <f>IF($C303="","",班表!Y15)</f>
        <v/>
      </c>
      <c r="G303" s="31">
        <f>IF($F303="","",IFERROR(INDEX(設定!$D$5:$D$20,MATCH($F303,設定!$B$5:$B$20,0)),""))</f>
        <v/>
      </c>
      <c r="H303" s="31">
        <f>IF($F303="","",IFERROR(INDEX(設定!$E$5:$E$20,MATCH($F303,設定!$B$5:$B$20,0)),""))</f>
        <v/>
      </c>
      <c r="I303" s="31">
        <f>IFERROR(INDEX(打卡匯入!$C$3:$C$1002,MATCH($C303&amp;"|"&amp;DAY($A303),打卡匯入!$E$3:$E$1002,0)),"")</f>
        <v/>
      </c>
      <c r="J303" s="31">
        <f>IFERROR(INDEX(打卡匯入!$D$3:$D$1002,MATCH($C303&amp;"|"&amp;DAY($A303),打卡匯入!$E$3:$E$1002,0)),"")</f>
        <v/>
      </c>
      <c r="K303" s="32">
        <f>IF(OR($I303="",$J303=""),"",IFERROR(INDEX(設定!$F$5:$F$20,MATCH($F303,設定!$B$5:$B$20,0)),0))</f>
        <v/>
      </c>
      <c r="L303" s="33">
        <f>IF(OR($I303="",$J303=""),"",ROUND(($J303-$I303)*24-$K303/60,2))</f>
        <v/>
      </c>
      <c r="M303" s="29">
        <f>IF($C303="","",IF(AND(COUNTIF(設定!$B$14:$B$20,$F303)&gt;0,$I303&lt;&gt;""),"假日出勤",IF(AND(COUNTIF(設定!$B$5:$B$13,$F303)&gt;0,$I303=""),"未打卡",IF($I303="","",IF($N303&gt;0,"遲到",IF($O303&gt;0,"早退","正常"))))))</f>
        <v/>
      </c>
      <c r="N303" s="32">
        <f>IF(OR($C303="",$G303="",$I303=""),0,IF(ROUND(($I303-$G303)*1440,0)&gt;設定!$C$28,ROUND(($I303-$G303)*1440,0),0))</f>
        <v/>
      </c>
      <c r="O303" s="32">
        <f>IF(OR($C303="",$H303="",$J303=""),0,IF(ROUND(($H303-$J303)*1440,0)&gt;設定!$C$28,ROUND(($H303-$J303)*1440,0),0))</f>
        <v/>
      </c>
      <c r="P303" s="33">
        <f>IF($L303="",0,IF(($L303-IFERROR(INDEX(設定!$G$5:$G$20,MATCH($F303,設定!$B$5:$B$20,0)),0))*60&gt;=設定!$C$26,ROUND(FLOOR(($L303-IFERROR(INDEX(設定!$G$5:$G$20,MATCH($F303,設定!$B$5:$B$20,0)),0))*60,設定!$C$27)/60,2),0))</f>
        <v/>
      </c>
      <c r="Q303" s="29">
        <f>IF(OR($C303="",$P303=0),"",IF($F303="國","國定假日",IF($B303="日","例假",IF($B303="六","休息日","平日"))))</f>
        <v/>
      </c>
      <c r="R303" s="34" t="n"/>
    </row>
    <row r="304">
      <c r="A304" s="30">
        <f>IF(OR(班表!$A15="",23&gt;DAY(EOMONTH(DATE(班表!$E$2,班表!$G$2,1),0))),"",DATE(班表!$E$2,班表!$G$2,23))</f>
        <v/>
      </c>
      <c r="B304" s="29">
        <f>IF($A304="","",INDEX(設定!$L$5:$L$11,WEEKDAY($A304,1)))</f>
        <v/>
      </c>
      <c r="C304" s="29">
        <f>IF($A304="","",班表!$A15)</f>
        <v/>
      </c>
      <c r="D304" s="29">
        <f>IF($C304="","",班表!$B15)</f>
        <v/>
      </c>
      <c r="E304" s="29">
        <f>IF($C304="","",班表!$C15)</f>
        <v/>
      </c>
      <c r="F304" s="29">
        <f>IF($C304="","",班表!Z15)</f>
        <v/>
      </c>
      <c r="G304" s="31">
        <f>IF($F304="","",IFERROR(INDEX(設定!$D$5:$D$20,MATCH($F304,設定!$B$5:$B$20,0)),""))</f>
        <v/>
      </c>
      <c r="H304" s="31">
        <f>IF($F304="","",IFERROR(INDEX(設定!$E$5:$E$20,MATCH($F304,設定!$B$5:$B$20,0)),""))</f>
        <v/>
      </c>
      <c r="I304" s="31">
        <f>IFERROR(INDEX(打卡匯入!$C$3:$C$1002,MATCH($C304&amp;"|"&amp;DAY($A304),打卡匯入!$E$3:$E$1002,0)),"")</f>
        <v/>
      </c>
      <c r="J304" s="31">
        <f>IFERROR(INDEX(打卡匯入!$D$3:$D$1002,MATCH($C304&amp;"|"&amp;DAY($A304),打卡匯入!$E$3:$E$1002,0)),"")</f>
        <v/>
      </c>
      <c r="K304" s="32">
        <f>IF(OR($I304="",$J304=""),"",IFERROR(INDEX(設定!$F$5:$F$20,MATCH($F304,設定!$B$5:$B$20,0)),0))</f>
        <v/>
      </c>
      <c r="L304" s="33">
        <f>IF(OR($I304="",$J304=""),"",ROUND(($J304-$I304)*24-$K304/60,2))</f>
        <v/>
      </c>
      <c r="M304" s="29">
        <f>IF($C304="","",IF(AND(COUNTIF(設定!$B$14:$B$20,$F304)&gt;0,$I304&lt;&gt;""),"假日出勤",IF(AND(COUNTIF(設定!$B$5:$B$13,$F304)&gt;0,$I304=""),"未打卡",IF($I304="","",IF($N304&gt;0,"遲到",IF($O304&gt;0,"早退","正常"))))))</f>
        <v/>
      </c>
      <c r="N304" s="32">
        <f>IF(OR($C304="",$G304="",$I304=""),0,IF(ROUND(($I304-$G304)*1440,0)&gt;設定!$C$28,ROUND(($I304-$G304)*1440,0),0))</f>
        <v/>
      </c>
      <c r="O304" s="32">
        <f>IF(OR($C304="",$H304="",$J304=""),0,IF(ROUND(($H304-$J304)*1440,0)&gt;設定!$C$28,ROUND(($H304-$J304)*1440,0),0))</f>
        <v/>
      </c>
      <c r="P304" s="33">
        <f>IF($L304="",0,IF(($L304-IFERROR(INDEX(設定!$G$5:$G$20,MATCH($F304,設定!$B$5:$B$20,0)),0))*60&gt;=設定!$C$26,ROUND(FLOOR(($L304-IFERROR(INDEX(設定!$G$5:$G$20,MATCH($F304,設定!$B$5:$B$20,0)),0))*60,設定!$C$27)/60,2),0))</f>
        <v/>
      </c>
      <c r="Q304" s="29">
        <f>IF(OR($C304="",$P304=0),"",IF($F304="國","國定假日",IF($B304="日","例假",IF($B304="六","休息日","平日"))))</f>
        <v/>
      </c>
      <c r="R304" s="34" t="n"/>
    </row>
    <row r="305">
      <c r="A305" s="30">
        <f>IF(OR(班表!$A15="",24&gt;DAY(EOMONTH(DATE(班表!$E$2,班表!$G$2,1),0))),"",DATE(班表!$E$2,班表!$G$2,24))</f>
        <v/>
      </c>
      <c r="B305" s="29">
        <f>IF($A305="","",INDEX(設定!$L$5:$L$11,WEEKDAY($A305,1)))</f>
        <v/>
      </c>
      <c r="C305" s="29">
        <f>IF($A305="","",班表!$A15)</f>
        <v/>
      </c>
      <c r="D305" s="29">
        <f>IF($C305="","",班表!$B15)</f>
        <v/>
      </c>
      <c r="E305" s="29">
        <f>IF($C305="","",班表!$C15)</f>
        <v/>
      </c>
      <c r="F305" s="29">
        <f>IF($C305="","",班表!AA15)</f>
        <v/>
      </c>
      <c r="G305" s="31">
        <f>IF($F305="","",IFERROR(INDEX(設定!$D$5:$D$20,MATCH($F305,設定!$B$5:$B$20,0)),""))</f>
        <v/>
      </c>
      <c r="H305" s="31">
        <f>IF($F305="","",IFERROR(INDEX(設定!$E$5:$E$20,MATCH($F305,設定!$B$5:$B$20,0)),""))</f>
        <v/>
      </c>
      <c r="I305" s="31">
        <f>IFERROR(INDEX(打卡匯入!$C$3:$C$1002,MATCH($C305&amp;"|"&amp;DAY($A305),打卡匯入!$E$3:$E$1002,0)),"")</f>
        <v/>
      </c>
      <c r="J305" s="31">
        <f>IFERROR(INDEX(打卡匯入!$D$3:$D$1002,MATCH($C305&amp;"|"&amp;DAY($A305),打卡匯入!$E$3:$E$1002,0)),"")</f>
        <v/>
      </c>
      <c r="K305" s="32">
        <f>IF(OR($I305="",$J305=""),"",IFERROR(INDEX(設定!$F$5:$F$20,MATCH($F305,設定!$B$5:$B$20,0)),0))</f>
        <v/>
      </c>
      <c r="L305" s="33">
        <f>IF(OR($I305="",$J305=""),"",ROUND(($J305-$I305)*24-$K305/60,2))</f>
        <v/>
      </c>
      <c r="M305" s="29">
        <f>IF($C305="","",IF(AND(COUNTIF(設定!$B$14:$B$20,$F305)&gt;0,$I305&lt;&gt;""),"假日出勤",IF(AND(COUNTIF(設定!$B$5:$B$13,$F305)&gt;0,$I305=""),"未打卡",IF($I305="","",IF($N305&gt;0,"遲到",IF($O305&gt;0,"早退","正常"))))))</f>
        <v/>
      </c>
      <c r="N305" s="32">
        <f>IF(OR($C305="",$G305="",$I305=""),0,IF(ROUND(($I305-$G305)*1440,0)&gt;設定!$C$28,ROUND(($I305-$G305)*1440,0),0))</f>
        <v/>
      </c>
      <c r="O305" s="32">
        <f>IF(OR($C305="",$H305="",$J305=""),0,IF(ROUND(($H305-$J305)*1440,0)&gt;設定!$C$28,ROUND(($H305-$J305)*1440,0),0))</f>
        <v/>
      </c>
      <c r="P305" s="33">
        <f>IF($L305="",0,IF(($L305-IFERROR(INDEX(設定!$G$5:$G$20,MATCH($F305,設定!$B$5:$B$20,0)),0))*60&gt;=設定!$C$26,ROUND(FLOOR(($L305-IFERROR(INDEX(設定!$G$5:$G$20,MATCH($F305,設定!$B$5:$B$20,0)),0))*60,設定!$C$27)/60,2),0))</f>
        <v/>
      </c>
      <c r="Q305" s="29">
        <f>IF(OR($C305="",$P305=0),"",IF($F305="國","國定假日",IF($B305="日","例假",IF($B305="六","休息日","平日"))))</f>
        <v/>
      </c>
      <c r="R305" s="34" t="n"/>
    </row>
    <row r="306">
      <c r="A306" s="30">
        <f>IF(OR(班表!$A15="",25&gt;DAY(EOMONTH(DATE(班表!$E$2,班表!$G$2,1),0))),"",DATE(班表!$E$2,班表!$G$2,25))</f>
        <v/>
      </c>
      <c r="B306" s="29">
        <f>IF($A306="","",INDEX(設定!$L$5:$L$11,WEEKDAY($A306,1)))</f>
        <v/>
      </c>
      <c r="C306" s="29">
        <f>IF($A306="","",班表!$A15)</f>
        <v/>
      </c>
      <c r="D306" s="29">
        <f>IF($C306="","",班表!$B15)</f>
        <v/>
      </c>
      <c r="E306" s="29">
        <f>IF($C306="","",班表!$C15)</f>
        <v/>
      </c>
      <c r="F306" s="29">
        <f>IF($C306="","",班表!AB15)</f>
        <v/>
      </c>
      <c r="G306" s="31">
        <f>IF($F306="","",IFERROR(INDEX(設定!$D$5:$D$20,MATCH($F306,設定!$B$5:$B$20,0)),""))</f>
        <v/>
      </c>
      <c r="H306" s="31">
        <f>IF($F306="","",IFERROR(INDEX(設定!$E$5:$E$20,MATCH($F306,設定!$B$5:$B$20,0)),""))</f>
        <v/>
      </c>
      <c r="I306" s="31">
        <f>IFERROR(INDEX(打卡匯入!$C$3:$C$1002,MATCH($C306&amp;"|"&amp;DAY($A306),打卡匯入!$E$3:$E$1002,0)),"")</f>
        <v/>
      </c>
      <c r="J306" s="31">
        <f>IFERROR(INDEX(打卡匯入!$D$3:$D$1002,MATCH($C306&amp;"|"&amp;DAY($A306),打卡匯入!$E$3:$E$1002,0)),"")</f>
        <v/>
      </c>
      <c r="K306" s="32">
        <f>IF(OR($I306="",$J306=""),"",IFERROR(INDEX(設定!$F$5:$F$20,MATCH($F306,設定!$B$5:$B$20,0)),0))</f>
        <v/>
      </c>
      <c r="L306" s="33">
        <f>IF(OR($I306="",$J306=""),"",ROUND(($J306-$I306)*24-$K306/60,2))</f>
        <v/>
      </c>
      <c r="M306" s="29">
        <f>IF($C306="","",IF(AND(COUNTIF(設定!$B$14:$B$20,$F306)&gt;0,$I306&lt;&gt;""),"假日出勤",IF(AND(COUNTIF(設定!$B$5:$B$13,$F306)&gt;0,$I306=""),"未打卡",IF($I306="","",IF($N306&gt;0,"遲到",IF($O306&gt;0,"早退","正常"))))))</f>
        <v/>
      </c>
      <c r="N306" s="32">
        <f>IF(OR($C306="",$G306="",$I306=""),0,IF(ROUND(($I306-$G306)*1440,0)&gt;設定!$C$28,ROUND(($I306-$G306)*1440,0),0))</f>
        <v/>
      </c>
      <c r="O306" s="32">
        <f>IF(OR($C306="",$H306="",$J306=""),0,IF(ROUND(($H306-$J306)*1440,0)&gt;設定!$C$28,ROUND(($H306-$J306)*1440,0),0))</f>
        <v/>
      </c>
      <c r="P306" s="33">
        <f>IF($L306="",0,IF(($L306-IFERROR(INDEX(設定!$G$5:$G$20,MATCH($F306,設定!$B$5:$B$20,0)),0))*60&gt;=設定!$C$26,ROUND(FLOOR(($L306-IFERROR(INDEX(設定!$G$5:$G$20,MATCH($F306,設定!$B$5:$B$20,0)),0))*60,設定!$C$27)/60,2),0))</f>
        <v/>
      </c>
      <c r="Q306" s="29">
        <f>IF(OR($C306="",$P306=0),"",IF($F306="國","國定假日",IF($B306="日","例假",IF($B306="六","休息日","平日"))))</f>
        <v/>
      </c>
      <c r="R306" s="34" t="n"/>
    </row>
    <row r="307">
      <c r="A307" s="30">
        <f>IF(OR(班表!$A15="",26&gt;DAY(EOMONTH(DATE(班表!$E$2,班表!$G$2,1),0))),"",DATE(班表!$E$2,班表!$G$2,26))</f>
        <v/>
      </c>
      <c r="B307" s="29">
        <f>IF($A307="","",INDEX(設定!$L$5:$L$11,WEEKDAY($A307,1)))</f>
        <v/>
      </c>
      <c r="C307" s="29">
        <f>IF($A307="","",班表!$A15)</f>
        <v/>
      </c>
      <c r="D307" s="29">
        <f>IF($C307="","",班表!$B15)</f>
        <v/>
      </c>
      <c r="E307" s="29">
        <f>IF($C307="","",班表!$C15)</f>
        <v/>
      </c>
      <c r="F307" s="29">
        <f>IF($C307="","",班表!AC15)</f>
        <v/>
      </c>
      <c r="G307" s="31">
        <f>IF($F307="","",IFERROR(INDEX(設定!$D$5:$D$20,MATCH($F307,設定!$B$5:$B$20,0)),""))</f>
        <v/>
      </c>
      <c r="H307" s="31">
        <f>IF($F307="","",IFERROR(INDEX(設定!$E$5:$E$20,MATCH($F307,設定!$B$5:$B$20,0)),""))</f>
        <v/>
      </c>
      <c r="I307" s="31">
        <f>IFERROR(INDEX(打卡匯入!$C$3:$C$1002,MATCH($C307&amp;"|"&amp;DAY($A307),打卡匯入!$E$3:$E$1002,0)),"")</f>
        <v/>
      </c>
      <c r="J307" s="31">
        <f>IFERROR(INDEX(打卡匯入!$D$3:$D$1002,MATCH($C307&amp;"|"&amp;DAY($A307),打卡匯入!$E$3:$E$1002,0)),"")</f>
        <v/>
      </c>
      <c r="K307" s="32">
        <f>IF(OR($I307="",$J307=""),"",IFERROR(INDEX(設定!$F$5:$F$20,MATCH($F307,設定!$B$5:$B$20,0)),0))</f>
        <v/>
      </c>
      <c r="L307" s="33">
        <f>IF(OR($I307="",$J307=""),"",ROUND(($J307-$I307)*24-$K307/60,2))</f>
        <v/>
      </c>
      <c r="M307" s="29">
        <f>IF($C307="","",IF(AND(COUNTIF(設定!$B$14:$B$20,$F307)&gt;0,$I307&lt;&gt;""),"假日出勤",IF(AND(COUNTIF(設定!$B$5:$B$13,$F307)&gt;0,$I307=""),"未打卡",IF($I307="","",IF($N307&gt;0,"遲到",IF($O307&gt;0,"早退","正常"))))))</f>
        <v/>
      </c>
      <c r="N307" s="32">
        <f>IF(OR($C307="",$G307="",$I307=""),0,IF(ROUND(($I307-$G307)*1440,0)&gt;設定!$C$28,ROUND(($I307-$G307)*1440,0),0))</f>
        <v/>
      </c>
      <c r="O307" s="32">
        <f>IF(OR($C307="",$H307="",$J307=""),0,IF(ROUND(($H307-$J307)*1440,0)&gt;設定!$C$28,ROUND(($H307-$J307)*1440,0),0))</f>
        <v/>
      </c>
      <c r="P307" s="33">
        <f>IF($L307="",0,IF(($L307-IFERROR(INDEX(設定!$G$5:$G$20,MATCH($F307,設定!$B$5:$B$20,0)),0))*60&gt;=設定!$C$26,ROUND(FLOOR(($L307-IFERROR(INDEX(設定!$G$5:$G$20,MATCH($F307,設定!$B$5:$B$20,0)),0))*60,設定!$C$27)/60,2),0))</f>
        <v/>
      </c>
      <c r="Q307" s="29">
        <f>IF(OR($C307="",$P307=0),"",IF($F307="國","國定假日",IF($B307="日","例假",IF($B307="六","休息日","平日"))))</f>
        <v/>
      </c>
      <c r="R307" s="34" t="n"/>
    </row>
    <row r="308">
      <c r="A308" s="30">
        <f>IF(OR(班表!$A15="",27&gt;DAY(EOMONTH(DATE(班表!$E$2,班表!$G$2,1),0))),"",DATE(班表!$E$2,班表!$G$2,27))</f>
        <v/>
      </c>
      <c r="B308" s="29">
        <f>IF($A308="","",INDEX(設定!$L$5:$L$11,WEEKDAY($A308,1)))</f>
        <v/>
      </c>
      <c r="C308" s="29">
        <f>IF($A308="","",班表!$A15)</f>
        <v/>
      </c>
      <c r="D308" s="29">
        <f>IF($C308="","",班表!$B15)</f>
        <v/>
      </c>
      <c r="E308" s="29">
        <f>IF($C308="","",班表!$C15)</f>
        <v/>
      </c>
      <c r="F308" s="29">
        <f>IF($C308="","",班表!AD15)</f>
        <v/>
      </c>
      <c r="G308" s="31">
        <f>IF($F308="","",IFERROR(INDEX(設定!$D$5:$D$20,MATCH($F308,設定!$B$5:$B$20,0)),""))</f>
        <v/>
      </c>
      <c r="H308" s="31">
        <f>IF($F308="","",IFERROR(INDEX(設定!$E$5:$E$20,MATCH($F308,設定!$B$5:$B$20,0)),""))</f>
        <v/>
      </c>
      <c r="I308" s="31">
        <f>IFERROR(INDEX(打卡匯入!$C$3:$C$1002,MATCH($C308&amp;"|"&amp;DAY($A308),打卡匯入!$E$3:$E$1002,0)),"")</f>
        <v/>
      </c>
      <c r="J308" s="31">
        <f>IFERROR(INDEX(打卡匯入!$D$3:$D$1002,MATCH($C308&amp;"|"&amp;DAY($A308),打卡匯入!$E$3:$E$1002,0)),"")</f>
        <v/>
      </c>
      <c r="K308" s="32">
        <f>IF(OR($I308="",$J308=""),"",IFERROR(INDEX(設定!$F$5:$F$20,MATCH($F308,設定!$B$5:$B$20,0)),0))</f>
        <v/>
      </c>
      <c r="L308" s="33">
        <f>IF(OR($I308="",$J308=""),"",ROUND(($J308-$I308)*24-$K308/60,2))</f>
        <v/>
      </c>
      <c r="M308" s="29">
        <f>IF($C308="","",IF(AND(COUNTIF(設定!$B$14:$B$20,$F308)&gt;0,$I308&lt;&gt;""),"假日出勤",IF(AND(COUNTIF(設定!$B$5:$B$13,$F308)&gt;0,$I308=""),"未打卡",IF($I308="","",IF($N308&gt;0,"遲到",IF($O308&gt;0,"早退","正常"))))))</f>
        <v/>
      </c>
      <c r="N308" s="32">
        <f>IF(OR($C308="",$G308="",$I308=""),0,IF(ROUND(($I308-$G308)*1440,0)&gt;設定!$C$28,ROUND(($I308-$G308)*1440,0),0))</f>
        <v/>
      </c>
      <c r="O308" s="32">
        <f>IF(OR($C308="",$H308="",$J308=""),0,IF(ROUND(($H308-$J308)*1440,0)&gt;設定!$C$28,ROUND(($H308-$J308)*1440,0),0))</f>
        <v/>
      </c>
      <c r="P308" s="33">
        <f>IF($L308="",0,IF(($L308-IFERROR(INDEX(設定!$G$5:$G$20,MATCH($F308,設定!$B$5:$B$20,0)),0))*60&gt;=設定!$C$26,ROUND(FLOOR(($L308-IFERROR(INDEX(設定!$G$5:$G$20,MATCH($F308,設定!$B$5:$B$20,0)),0))*60,設定!$C$27)/60,2),0))</f>
        <v/>
      </c>
      <c r="Q308" s="29">
        <f>IF(OR($C308="",$P308=0),"",IF($F308="國","國定假日",IF($B308="日","例假",IF($B308="六","休息日","平日"))))</f>
        <v/>
      </c>
      <c r="R308" s="34" t="n"/>
    </row>
    <row r="309">
      <c r="A309" s="30">
        <f>IF(OR(班表!$A15="",28&gt;DAY(EOMONTH(DATE(班表!$E$2,班表!$G$2,1),0))),"",DATE(班表!$E$2,班表!$G$2,28))</f>
        <v/>
      </c>
      <c r="B309" s="29">
        <f>IF($A309="","",INDEX(設定!$L$5:$L$11,WEEKDAY($A309,1)))</f>
        <v/>
      </c>
      <c r="C309" s="29">
        <f>IF($A309="","",班表!$A15)</f>
        <v/>
      </c>
      <c r="D309" s="29">
        <f>IF($C309="","",班表!$B15)</f>
        <v/>
      </c>
      <c r="E309" s="29">
        <f>IF($C309="","",班表!$C15)</f>
        <v/>
      </c>
      <c r="F309" s="29">
        <f>IF($C309="","",班表!AE15)</f>
        <v/>
      </c>
      <c r="G309" s="31">
        <f>IF($F309="","",IFERROR(INDEX(設定!$D$5:$D$20,MATCH($F309,設定!$B$5:$B$20,0)),""))</f>
        <v/>
      </c>
      <c r="H309" s="31">
        <f>IF($F309="","",IFERROR(INDEX(設定!$E$5:$E$20,MATCH($F309,設定!$B$5:$B$20,0)),""))</f>
        <v/>
      </c>
      <c r="I309" s="31">
        <f>IFERROR(INDEX(打卡匯入!$C$3:$C$1002,MATCH($C309&amp;"|"&amp;DAY($A309),打卡匯入!$E$3:$E$1002,0)),"")</f>
        <v/>
      </c>
      <c r="J309" s="31">
        <f>IFERROR(INDEX(打卡匯入!$D$3:$D$1002,MATCH($C309&amp;"|"&amp;DAY($A309),打卡匯入!$E$3:$E$1002,0)),"")</f>
        <v/>
      </c>
      <c r="K309" s="32">
        <f>IF(OR($I309="",$J309=""),"",IFERROR(INDEX(設定!$F$5:$F$20,MATCH($F309,設定!$B$5:$B$20,0)),0))</f>
        <v/>
      </c>
      <c r="L309" s="33">
        <f>IF(OR($I309="",$J309=""),"",ROUND(($J309-$I309)*24-$K309/60,2))</f>
        <v/>
      </c>
      <c r="M309" s="29">
        <f>IF($C309="","",IF(AND(COUNTIF(設定!$B$14:$B$20,$F309)&gt;0,$I309&lt;&gt;""),"假日出勤",IF(AND(COUNTIF(設定!$B$5:$B$13,$F309)&gt;0,$I309=""),"未打卡",IF($I309="","",IF($N309&gt;0,"遲到",IF($O309&gt;0,"早退","正常"))))))</f>
        <v/>
      </c>
      <c r="N309" s="32">
        <f>IF(OR($C309="",$G309="",$I309=""),0,IF(ROUND(($I309-$G309)*1440,0)&gt;設定!$C$28,ROUND(($I309-$G309)*1440,0),0))</f>
        <v/>
      </c>
      <c r="O309" s="32">
        <f>IF(OR($C309="",$H309="",$J309=""),0,IF(ROUND(($H309-$J309)*1440,0)&gt;設定!$C$28,ROUND(($H309-$J309)*1440,0),0))</f>
        <v/>
      </c>
      <c r="P309" s="33">
        <f>IF($L309="",0,IF(($L309-IFERROR(INDEX(設定!$G$5:$G$20,MATCH($F309,設定!$B$5:$B$20,0)),0))*60&gt;=設定!$C$26,ROUND(FLOOR(($L309-IFERROR(INDEX(設定!$G$5:$G$20,MATCH($F309,設定!$B$5:$B$20,0)),0))*60,設定!$C$27)/60,2),0))</f>
        <v/>
      </c>
      <c r="Q309" s="29">
        <f>IF(OR($C309="",$P309=0),"",IF($F309="國","國定假日",IF($B309="日","例假",IF($B309="六","休息日","平日"))))</f>
        <v/>
      </c>
      <c r="R309" s="34" t="n"/>
    </row>
    <row r="310">
      <c r="A310" s="30">
        <f>IF(OR(班表!$A15="",29&gt;DAY(EOMONTH(DATE(班表!$E$2,班表!$G$2,1),0))),"",DATE(班表!$E$2,班表!$G$2,29))</f>
        <v/>
      </c>
      <c r="B310" s="29">
        <f>IF($A310="","",INDEX(設定!$L$5:$L$11,WEEKDAY($A310,1)))</f>
        <v/>
      </c>
      <c r="C310" s="29">
        <f>IF($A310="","",班表!$A15)</f>
        <v/>
      </c>
      <c r="D310" s="29">
        <f>IF($C310="","",班表!$B15)</f>
        <v/>
      </c>
      <c r="E310" s="29">
        <f>IF($C310="","",班表!$C15)</f>
        <v/>
      </c>
      <c r="F310" s="29">
        <f>IF($C310="","",班表!AF15)</f>
        <v/>
      </c>
      <c r="G310" s="31">
        <f>IF($F310="","",IFERROR(INDEX(設定!$D$5:$D$20,MATCH($F310,設定!$B$5:$B$20,0)),""))</f>
        <v/>
      </c>
      <c r="H310" s="31">
        <f>IF($F310="","",IFERROR(INDEX(設定!$E$5:$E$20,MATCH($F310,設定!$B$5:$B$20,0)),""))</f>
        <v/>
      </c>
      <c r="I310" s="31">
        <f>IFERROR(INDEX(打卡匯入!$C$3:$C$1002,MATCH($C310&amp;"|"&amp;DAY($A310),打卡匯入!$E$3:$E$1002,0)),"")</f>
        <v/>
      </c>
      <c r="J310" s="31">
        <f>IFERROR(INDEX(打卡匯入!$D$3:$D$1002,MATCH($C310&amp;"|"&amp;DAY($A310),打卡匯入!$E$3:$E$1002,0)),"")</f>
        <v/>
      </c>
      <c r="K310" s="32">
        <f>IF(OR($I310="",$J310=""),"",IFERROR(INDEX(設定!$F$5:$F$20,MATCH($F310,設定!$B$5:$B$20,0)),0))</f>
        <v/>
      </c>
      <c r="L310" s="33">
        <f>IF(OR($I310="",$J310=""),"",ROUND(($J310-$I310)*24-$K310/60,2))</f>
        <v/>
      </c>
      <c r="M310" s="29">
        <f>IF($C310="","",IF(AND(COUNTIF(設定!$B$14:$B$20,$F310)&gt;0,$I310&lt;&gt;""),"假日出勤",IF(AND(COUNTIF(設定!$B$5:$B$13,$F310)&gt;0,$I310=""),"未打卡",IF($I310="","",IF($N310&gt;0,"遲到",IF($O310&gt;0,"早退","正常"))))))</f>
        <v/>
      </c>
      <c r="N310" s="32">
        <f>IF(OR($C310="",$G310="",$I310=""),0,IF(ROUND(($I310-$G310)*1440,0)&gt;設定!$C$28,ROUND(($I310-$G310)*1440,0),0))</f>
        <v/>
      </c>
      <c r="O310" s="32">
        <f>IF(OR($C310="",$H310="",$J310=""),0,IF(ROUND(($H310-$J310)*1440,0)&gt;設定!$C$28,ROUND(($H310-$J310)*1440,0),0))</f>
        <v/>
      </c>
      <c r="P310" s="33">
        <f>IF($L310="",0,IF(($L310-IFERROR(INDEX(設定!$G$5:$G$20,MATCH($F310,設定!$B$5:$B$20,0)),0))*60&gt;=設定!$C$26,ROUND(FLOOR(($L310-IFERROR(INDEX(設定!$G$5:$G$20,MATCH($F310,設定!$B$5:$B$20,0)),0))*60,設定!$C$27)/60,2),0))</f>
        <v/>
      </c>
      <c r="Q310" s="29">
        <f>IF(OR($C310="",$P310=0),"",IF($F310="國","國定假日",IF($B310="日","例假",IF($B310="六","休息日","平日"))))</f>
        <v/>
      </c>
      <c r="R310" s="34" t="n"/>
    </row>
    <row r="311">
      <c r="A311" s="30">
        <f>IF(OR(班表!$A15="",30&gt;DAY(EOMONTH(DATE(班表!$E$2,班表!$G$2,1),0))),"",DATE(班表!$E$2,班表!$G$2,30))</f>
        <v/>
      </c>
      <c r="B311" s="29">
        <f>IF($A311="","",INDEX(設定!$L$5:$L$11,WEEKDAY($A311,1)))</f>
        <v/>
      </c>
      <c r="C311" s="29">
        <f>IF($A311="","",班表!$A15)</f>
        <v/>
      </c>
      <c r="D311" s="29">
        <f>IF($C311="","",班表!$B15)</f>
        <v/>
      </c>
      <c r="E311" s="29">
        <f>IF($C311="","",班表!$C15)</f>
        <v/>
      </c>
      <c r="F311" s="29">
        <f>IF($C311="","",班表!AG15)</f>
        <v/>
      </c>
      <c r="G311" s="31">
        <f>IF($F311="","",IFERROR(INDEX(設定!$D$5:$D$20,MATCH($F311,設定!$B$5:$B$20,0)),""))</f>
        <v/>
      </c>
      <c r="H311" s="31">
        <f>IF($F311="","",IFERROR(INDEX(設定!$E$5:$E$20,MATCH($F311,設定!$B$5:$B$20,0)),""))</f>
        <v/>
      </c>
      <c r="I311" s="31">
        <f>IFERROR(INDEX(打卡匯入!$C$3:$C$1002,MATCH($C311&amp;"|"&amp;DAY($A311),打卡匯入!$E$3:$E$1002,0)),"")</f>
        <v/>
      </c>
      <c r="J311" s="31">
        <f>IFERROR(INDEX(打卡匯入!$D$3:$D$1002,MATCH($C311&amp;"|"&amp;DAY($A311),打卡匯入!$E$3:$E$1002,0)),"")</f>
        <v/>
      </c>
      <c r="K311" s="32">
        <f>IF(OR($I311="",$J311=""),"",IFERROR(INDEX(設定!$F$5:$F$20,MATCH($F311,設定!$B$5:$B$20,0)),0))</f>
        <v/>
      </c>
      <c r="L311" s="33">
        <f>IF(OR($I311="",$J311=""),"",ROUND(($J311-$I311)*24-$K311/60,2))</f>
        <v/>
      </c>
      <c r="M311" s="29">
        <f>IF($C311="","",IF(AND(COUNTIF(設定!$B$14:$B$20,$F311)&gt;0,$I311&lt;&gt;""),"假日出勤",IF(AND(COUNTIF(設定!$B$5:$B$13,$F311)&gt;0,$I311=""),"未打卡",IF($I311="","",IF($N311&gt;0,"遲到",IF($O311&gt;0,"早退","正常"))))))</f>
        <v/>
      </c>
      <c r="N311" s="32">
        <f>IF(OR($C311="",$G311="",$I311=""),0,IF(ROUND(($I311-$G311)*1440,0)&gt;設定!$C$28,ROUND(($I311-$G311)*1440,0),0))</f>
        <v/>
      </c>
      <c r="O311" s="32">
        <f>IF(OR($C311="",$H311="",$J311=""),0,IF(ROUND(($H311-$J311)*1440,0)&gt;設定!$C$28,ROUND(($H311-$J311)*1440,0),0))</f>
        <v/>
      </c>
      <c r="P311" s="33">
        <f>IF($L311="",0,IF(($L311-IFERROR(INDEX(設定!$G$5:$G$20,MATCH($F311,設定!$B$5:$B$20,0)),0))*60&gt;=設定!$C$26,ROUND(FLOOR(($L311-IFERROR(INDEX(設定!$G$5:$G$20,MATCH($F311,設定!$B$5:$B$20,0)),0))*60,設定!$C$27)/60,2),0))</f>
        <v/>
      </c>
      <c r="Q311" s="29">
        <f>IF(OR($C311="",$P311=0),"",IF($F311="國","國定假日",IF($B311="日","例假",IF($B311="六","休息日","平日"))))</f>
        <v/>
      </c>
      <c r="R311" s="34" t="n"/>
    </row>
    <row r="312">
      <c r="A312" s="30">
        <f>IF(OR(班表!$A15="",31&gt;DAY(EOMONTH(DATE(班表!$E$2,班表!$G$2,1),0))),"",DATE(班表!$E$2,班表!$G$2,31))</f>
        <v/>
      </c>
      <c r="B312" s="29">
        <f>IF($A312="","",INDEX(設定!$L$5:$L$11,WEEKDAY($A312,1)))</f>
        <v/>
      </c>
      <c r="C312" s="29">
        <f>IF($A312="","",班表!$A15)</f>
        <v/>
      </c>
      <c r="D312" s="29">
        <f>IF($C312="","",班表!$B15)</f>
        <v/>
      </c>
      <c r="E312" s="29">
        <f>IF($C312="","",班表!$C15)</f>
        <v/>
      </c>
      <c r="F312" s="29">
        <f>IF($C312="","",班表!AH15)</f>
        <v/>
      </c>
      <c r="G312" s="31">
        <f>IF($F312="","",IFERROR(INDEX(設定!$D$5:$D$20,MATCH($F312,設定!$B$5:$B$20,0)),""))</f>
        <v/>
      </c>
      <c r="H312" s="31">
        <f>IF($F312="","",IFERROR(INDEX(設定!$E$5:$E$20,MATCH($F312,設定!$B$5:$B$20,0)),""))</f>
        <v/>
      </c>
      <c r="I312" s="31">
        <f>IFERROR(INDEX(打卡匯入!$C$3:$C$1002,MATCH($C312&amp;"|"&amp;DAY($A312),打卡匯入!$E$3:$E$1002,0)),"")</f>
        <v/>
      </c>
      <c r="J312" s="31">
        <f>IFERROR(INDEX(打卡匯入!$D$3:$D$1002,MATCH($C312&amp;"|"&amp;DAY($A312),打卡匯入!$E$3:$E$1002,0)),"")</f>
        <v/>
      </c>
      <c r="K312" s="32">
        <f>IF(OR($I312="",$J312=""),"",IFERROR(INDEX(設定!$F$5:$F$20,MATCH($F312,設定!$B$5:$B$20,0)),0))</f>
        <v/>
      </c>
      <c r="L312" s="33">
        <f>IF(OR($I312="",$J312=""),"",ROUND(($J312-$I312)*24-$K312/60,2))</f>
        <v/>
      </c>
      <c r="M312" s="29">
        <f>IF($C312="","",IF(AND(COUNTIF(設定!$B$14:$B$20,$F312)&gt;0,$I312&lt;&gt;""),"假日出勤",IF(AND(COUNTIF(設定!$B$5:$B$13,$F312)&gt;0,$I312=""),"未打卡",IF($I312="","",IF($N312&gt;0,"遲到",IF($O312&gt;0,"早退","正常"))))))</f>
        <v/>
      </c>
      <c r="N312" s="32">
        <f>IF(OR($C312="",$G312="",$I312=""),0,IF(ROUND(($I312-$G312)*1440,0)&gt;設定!$C$28,ROUND(($I312-$G312)*1440,0),0))</f>
        <v/>
      </c>
      <c r="O312" s="32">
        <f>IF(OR($C312="",$H312="",$J312=""),0,IF(ROUND(($H312-$J312)*1440,0)&gt;設定!$C$28,ROUND(($H312-$J312)*1440,0),0))</f>
        <v/>
      </c>
      <c r="P312" s="33">
        <f>IF($L312="",0,IF(($L312-IFERROR(INDEX(設定!$G$5:$G$20,MATCH($F312,設定!$B$5:$B$20,0)),0))*60&gt;=設定!$C$26,ROUND(FLOOR(($L312-IFERROR(INDEX(設定!$G$5:$G$20,MATCH($F312,設定!$B$5:$B$20,0)),0))*60,設定!$C$27)/60,2),0))</f>
        <v/>
      </c>
      <c r="Q312" s="29">
        <f>IF(OR($C312="",$P312=0),"",IF($F312="國","國定假日",IF($B312="日","例假",IF($B312="六","休息日","平日"))))</f>
        <v/>
      </c>
      <c r="R312" s="34" t="n"/>
    </row>
    <row r="313">
      <c r="A313" s="30">
        <f>IF(OR(班表!$A16="",1&gt;DAY(EOMONTH(DATE(班表!$E$2,班表!$G$2,1),0))),"",DATE(班表!$E$2,班表!$G$2,1))</f>
        <v/>
      </c>
      <c r="B313" s="29">
        <f>IF($A313="","",INDEX(設定!$L$5:$L$11,WEEKDAY($A313,1)))</f>
        <v/>
      </c>
      <c r="C313" s="29">
        <f>IF($A313="","",班表!$A16)</f>
        <v/>
      </c>
      <c r="D313" s="29">
        <f>IF($C313="","",班表!$B16)</f>
        <v/>
      </c>
      <c r="E313" s="29">
        <f>IF($C313="","",班表!$C16)</f>
        <v/>
      </c>
      <c r="F313" s="29">
        <f>IF($C313="","",班表!D16)</f>
        <v/>
      </c>
      <c r="G313" s="31">
        <f>IF($F313="","",IFERROR(INDEX(設定!$D$5:$D$20,MATCH($F313,設定!$B$5:$B$20,0)),""))</f>
        <v/>
      </c>
      <c r="H313" s="31">
        <f>IF($F313="","",IFERROR(INDEX(設定!$E$5:$E$20,MATCH($F313,設定!$B$5:$B$20,0)),""))</f>
        <v/>
      </c>
      <c r="I313" s="31">
        <f>IFERROR(INDEX(打卡匯入!$C$3:$C$1002,MATCH($C313&amp;"|"&amp;DAY($A313),打卡匯入!$E$3:$E$1002,0)),"")</f>
        <v/>
      </c>
      <c r="J313" s="31">
        <f>IFERROR(INDEX(打卡匯入!$D$3:$D$1002,MATCH($C313&amp;"|"&amp;DAY($A313),打卡匯入!$E$3:$E$1002,0)),"")</f>
        <v/>
      </c>
      <c r="K313" s="32">
        <f>IF(OR($I313="",$J313=""),"",IFERROR(INDEX(設定!$F$5:$F$20,MATCH($F313,設定!$B$5:$B$20,0)),0))</f>
        <v/>
      </c>
      <c r="L313" s="33">
        <f>IF(OR($I313="",$J313=""),"",ROUND(($J313-$I313)*24-$K313/60,2))</f>
        <v/>
      </c>
      <c r="M313" s="29">
        <f>IF($C313="","",IF(AND(COUNTIF(設定!$B$14:$B$20,$F313)&gt;0,$I313&lt;&gt;""),"假日出勤",IF(AND(COUNTIF(設定!$B$5:$B$13,$F313)&gt;0,$I313=""),"未打卡",IF($I313="","",IF($N313&gt;0,"遲到",IF($O313&gt;0,"早退","正常"))))))</f>
        <v/>
      </c>
      <c r="N313" s="32">
        <f>IF(OR($C313="",$G313="",$I313=""),0,IF(ROUND(($I313-$G313)*1440,0)&gt;設定!$C$28,ROUND(($I313-$G313)*1440,0),0))</f>
        <v/>
      </c>
      <c r="O313" s="32">
        <f>IF(OR($C313="",$H313="",$J313=""),0,IF(ROUND(($H313-$J313)*1440,0)&gt;設定!$C$28,ROUND(($H313-$J313)*1440,0),0))</f>
        <v/>
      </c>
      <c r="P313" s="33">
        <f>IF($L313="",0,IF(($L313-IFERROR(INDEX(設定!$G$5:$G$20,MATCH($F313,設定!$B$5:$B$20,0)),0))*60&gt;=設定!$C$26,ROUND(FLOOR(($L313-IFERROR(INDEX(設定!$G$5:$G$20,MATCH($F313,設定!$B$5:$B$20,0)),0))*60,設定!$C$27)/60,2),0))</f>
        <v/>
      </c>
      <c r="Q313" s="29">
        <f>IF(OR($C313="",$P313=0),"",IF($F313="國","國定假日",IF($B313="日","例假",IF($B313="六","休息日","平日"))))</f>
        <v/>
      </c>
      <c r="R313" s="34" t="n"/>
    </row>
    <row r="314">
      <c r="A314" s="30">
        <f>IF(OR(班表!$A16="",2&gt;DAY(EOMONTH(DATE(班表!$E$2,班表!$G$2,1),0))),"",DATE(班表!$E$2,班表!$G$2,2))</f>
        <v/>
      </c>
      <c r="B314" s="29">
        <f>IF($A314="","",INDEX(設定!$L$5:$L$11,WEEKDAY($A314,1)))</f>
        <v/>
      </c>
      <c r="C314" s="29">
        <f>IF($A314="","",班表!$A16)</f>
        <v/>
      </c>
      <c r="D314" s="29">
        <f>IF($C314="","",班表!$B16)</f>
        <v/>
      </c>
      <c r="E314" s="29">
        <f>IF($C314="","",班表!$C16)</f>
        <v/>
      </c>
      <c r="F314" s="29">
        <f>IF($C314="","",班表!E16)</f>
        <v/>
      </c>
      <c r="G314" s="31">
        <f>IF($F314="","",IFERROR(INDEX(設定!$D$5:$D$20,MATCH($F314,設定!$B$5:$B$20,0)),""))</f>
        <v/>
      </c>
      <c r="H314" s="31">
        <f>IF($F314="","",IFERROR(INDEX(設定!$E$5:$E$20,MATCH($F314,設定!$B$5:$B$20,0)),""))</f>
        <v/>
      </c>
      <c r="I314" s="31">
        <f>IFERROR(INDEX(打卡匯入!$C$3:$C$1002,MATCH($C314&amp;"|"&amp;DAY($A314),打卡匯入!$E$3:$E$1002,0)),"")</f>
        <v/>
      </c>
      <c r="J314" s="31">
        <f>IFERROR(INDEX(打卡匯入!$D$3:$D$1002,MATCH($C314&amp;"|"&amp;DAY($A314),打卡匯入!$E$3:$E$1002,0)),"")</f>
        <v/>
      </c>
      <c r="K314" s="32">
        <f>IF(OR($I314="",$J314=""),"",IFERROR(INDEX(設定!$F$5:$F$20,MATCH($F314,設定!$B$5:$B$20,0)),0))</f>
        <v/>
      </c>
      <c r="L314" s="33">
        <f>IF(OR($I314="",$J314=""),"",ROUND(($J314-$I314)*24-$K314/60,2))</f>
        <v/>
      </c>
      <c r="M314" s="29">
        <f>IF($C314="","",IF(AND(COUNTIF(設定!$B$14:$B$20,$F314)&gt;0,$I314&lt;&gt;""),"假日出勤",IF(AND(COUNTIF(設定!$B$5:$B$13,$F314)&gt;0,$I314=""),"未打卡",IF($I314="","",IF($N314&gt;0,"遲到",IF($O314&gt;0,"早退","正常"))))))</f>
        <v/>
      </c>
      <c r="N314" s="32">
        <f>IF(OR($C314="",$G314="",$I314=""),0,IF(ROUND(($I314-$G314)*1440,0)&gt;設定!$C$28,ROUND(($I314-$G314)*1440,0),0))</f>
        <v/>
      </c>
      <c r="O314" s="32">
        <f>IF(OR($C314="",$H314="",$J314=""),0,IF(ROUND(($H314-$J314)*1440,0)&gt;設定!$C$28,ROUND(($H314-$J314)*1440,0),0))</f>
        <v/>
      </c>
      <c r="P314" s="33">
        <f>IF($L314="",0,IF(($L314-IFERROR(INDEX(設定!$G$5:$G$20,MATCH($F314,設定!$B$5:$B$20,0)),0))*60&gt;=設定!$C$26,ROUND(FLOOR(($L314-IFERROR(INDEX(設定!$G$5:$G$20,MATCH($F314,設定!$B$5:$B$20,0)),0))*60,設定!$C$27)/60,2),0))</f>
        <v/>
      </c>
      <c r="Q314" s="29">
        <f>IF(OR($C314="",$P314=0),"",IF($F314="國","國定假日",IF($B314="日","例假",IF($B314="六","休息日","平日"))))</f>
        <v/>
      </c>
      <c r="R314" s="34" t="n"/>
    </row>
    <row r="315">
      <c r="A315" s="30">
        <f>IF(OR(班表!$A16="",3&gt;DAY(EOMONTH(DATE(班表!$E$2,班表!$G$2,1),0))),"",DATE(班表!$E$2,班表!$G$2,3))</f>
        <v/>
      </c>
      <c r="B315" s="29">
        <f>IF($A315="","",INDEX(設定!$L$5:$L$11,WEEKDAY($A315,1)))</f>
        <v/>
      </c>
      <c r="C315" s="29">
        <f>IF($A315="","",班表!$A16)</f>
        <v/>
      </c>
      <c r="D315" s="29">
        <f>IF($C315="","",班表!$B16)</f>
        <v/>
      </c>
      <c r="E315" s="29">
        <f>IF($C315="","",班表!$C16)</f>
        <v/>
      </c>
      <c r="F315" s="29">
        <f>IF($C315="","",班表!F16)</f>
        <v/>
      </c>
      <c r="G315" s="31">
        <f>IF($F315="","",IFERROR(INDEX(設定!$D$5:$D$20,MATCH($F315,設定!$B$5:$B$20,0)),""))</f>
        <v/>
      </c>
      <c r="H315" s="31">
        <f>IF($F315="","",IFERROR(INDEX(設定!$E$5:$E$20,MATCH($F315,設定!$B$5:$B$20,0)),""))</f>
        <v/>
      </c>
      <c r="I315" s="31">
        <f>IFERROR(INDEX(打卡匯入!$C$3:$C$1002,MATCH($C315&amp;"|"&amp;DAY($A315),打卡匯入!$E$3:$E$1002,0)),"")</f>
        <v/>
      </c>
      <c r="J315" s="31">
        <f>IFERROR(INDEX(打卡匯入!$D$3:$D$1002,MATCH($C315&amp;"|"&amp;DAY($A315),打卡匯入!$E$3:$E$1002,0)),"")</f>
        <v/>
      </c>
      <c r="K315" s="32">
        <f>IF(OR($I315="",$J315=""),"",IFERROR(INDEX(設定!$F$5:$F$20,MATCH($F315,設定!$B$5:$B$20,0)),0))</f>
        <v/>
      </c>
      <c r="L315" s="33">
        <f>IF(OR($I315="",$J315=""),"",ROUND(($J315-$I315)*24-$K315/60,2))</f>
        <v/>
      </c>
      <c r="M315" s="29">
        <f>IF($C315="","",IF(AND(COUNTIF(設定!$B$14:$B$20,$F315)&gt;0,$I315&lt;&gt;""),"假日出勤",IF(AND(COUNTIF(設定!$B$5:$B$13,$F315)&gt;0,$I315=""),"未打卡",IF($I315="","",IF($N315&gt;0,"遲到",IF($O315&gt;0,"早退","正常"))))))</f>
        <v/>
      </c>
      <c r="N315" s="32">
        <f>IF(OR($C315="",$G315="",$I315=""),0,IF(ROUND(($I315-$G315)*1440,0)&gt;設定!$C$28,ROUND(($I315-$G315)*1440,0),0))</f>
        <v/>
      </c>
      <c r="O315" s="32">
        <f>IF(OR($C315="",$H315="",$J315=""),0,IF(ROUND(($H315-$J315)*1440,0)&gt;設定!$C$28,ROUND(($H315-$J315)*1440,0),0))</f>
        <v/>
      </c>
      <c r="P315" s="33">
        <f>IF($L315="",0,IF(($L315-IFERROR(INDEX(設定!$G$5:$G$20,MATCH($F315,設定!$B$5:$B$20,0)),0))*60&gt;=設定!$C$26,ROUND(FLOOR(($L315-IFERROR(INDEX(設定!$G$5:$G$20,MATCH($F315,設定!$B$5:$B$20,0)),0))*60,設定!$C$27)/60,2),0))</f>
        <v/>
      </c>
      <c r="Q315" s="29">
        <f>IF(OR($C315="",$P315=0),"",IF($F315="國","國定假日",IF($B315="日","例假",IF($B315="六","休息日","平日"))))</f>
        <v/>
      </c>
      <c r="R315" s="34" t="n"/>
    </row>
    <row r="316">
      <c r="A316" s="30">
        <f>IF(OR(班表!$A16="",4&gt;DAY(EOMONTH(DATE(班表!$E$2,班表!$G$2,1),0))),"",DATE(班表!$E$2,班表!$G$2,4))</f>
        <v/>
      </c>
      <c r="B316" s="29">
        <f>IF($A316="","",INDEX(設定!$L$5:$L$11,WEEKDAY($A316,1)))</f>
        <v/>
      </c>
      <c r="C316" s="29">
        <f>IF($A316="","",班表!$A16)</f>
        <v/>
      </c>
      <c r="D316" s="29">
        <f>IF($C316="","",班表!$B16)</f>
        <v/>
      </c>
      <c r="E316" s="29">
        <f>IF($C316="","",班表!$C16)</f>
        <v/>
      </c>
      <c r="F316" s="29">
        <f>IF($C316="","",班表!G16)</f>
        <v/>
      </c>
      <c r="G316" s="31">
        <f>IF($F316="","",IFERROR(INDEX(設定!$D$5:$D$20,MATCH($F316,設定!$B$5:$B$20,0)),""))</f>
        <v/>
      </c>
      <c r="H316" s="31">
        <f>IF($F316="","",IFERROR(INDEX(設定!$E$5:$E$20,MATCH($F316,設定!$B$5:$B$20,0)),""))</f>
        <v/>
      </c>
      <c r="I316" s="31">
        <f>IFERROR(INDEX(打卡匯入!$C$3:$C$1002,MATCH($C316&amp;"|"&amp;DAY($A316),打卡匯入!$E$3:$E$1002,0)),"")</f>
        <v/>
      </c>
      <c r="J316" s="31">
        <f>IFERROR(INDEX(打卡匯入!$D$3:$D$1002,MATCH($C316&amp;"|"&amp;DAY($A316),打卡匯入!$E$3:$E$1002,0)),"")</f>
        <v/>
      </c>
      <c r="K316" s="32">
        <f>IF(OR($I316="",$J316=""),"",IFERROR(INDEX(設定!$F$5:$F$20,MATCH($F316,設定!$B$5:$B$20,0)),0))</f>
        <v/>
      </c>
      <c r="L316" s="33">
        <f>IF(OR($I316="",$J316=""),"",ROUND(($J316-$I316)*24-$K316/60,2))</f>
        <v/>
      </c>
      <c r="M316" s="29">
        <f>IF($C316="","",IF(AND(COUNTIF(設定!$B$14:$B$20,$F316)&gt;0,$I316&lt;&gt;""),"假日出勤",IF(AND(COUNTIF(設定!$B$5:$B$13,$F316)&gt;0,$I316=""),"未打卡",IF($I316="","",IF($N316&gt;0,"遲到",IF($O316&gt;0,"早退","正常"))))))</f>
        <v/>
      </c>
      <c r="N316" s="32">
        <f>IF(OR($C316="",$G316="",$I316=""),0,IF(ROUND(($I316-$G316)*1440,0)&gt;設定!$C$28,ROUND(($I316-$G316)*1440,0),0))</f>
        <v/>
      </c>
      <c r="O316" s="32">
        <f>IF(OR($C316="",$H316="",$J316=""),0,IF(ROUND(($H316-$J316)*1440,0)&gt;設定!$C$28,ROUND(($H316-$J316)*1440,0),0))</f>
        <v/>
      </c>
      <c r="P316" s="33">
        <f>IF($L316="",0,IF(($L316-IFERROR(INDEX(設定!$G$5:$G$20,MATCH($F316,設定!$B$5:$B$20,0)),0))*60&gt;=設定!$C$26,ROUND(FLOOR(($L316-IFERROR(INDEX(設定!$G$5:$G$20,MATCH($F316,設定!$B$5:$B$20,0)),0))*60,設定!$C$27)/60,2),0))</f>
        <v/>
      </c>
      <c r="Q316" s="29">
        <f>IF(OR($C316="",$P316=0),"",IF($F316="國","國定假日",IF($B316="日","例假",IF($B316="六","休息日","平日"))))</f>
        <v/>
      </c>
      <c r="R316" s="34" t="n"/>
    </row>
    <row r="317">
      <c r="A317" s="30">
        <f>IF(OR(班表!$A16="",5&gt;DAY(EOMONTH(DATE(班表!$E$2,班表!$G$2,1),0))),"",DATE(班表!$E$2,班表!$G$2,5))</f>
        <v/>
      </c>
      <c r="B317" s="29">
        <f>IF($A317="","",INDEX(設定!$L$5:$L$11,WEEKDAY($A317,1)))</f>
        <v/>
      </c>
      <c r="C317" s="29">
        <f>IF($A317="","",班表!$A16)</f>
        <v/>
      </c>
      <c r="D317" s="29">
        <f>IF($C317="","",班表!$B16)</f>
        <v/>
      </c>
      <c r="E317" s="29">
        <f>IF($C317="","",班表!$C16)</f>
        <v/>
      </c>
      <c r="F317" s="29">
        <f>IF($C317="","",班表!H16)</f>
        <v/>
      </c>
      <c r="G317" s="31">
        <f>IF($F317="","",IFERROR(INDEX(設定!$D$5:$D$20,MATCH($F317,設定!$B$5:$B$20,0)),""))</f>
        <v/>
      </c>
      <c r="H317" s="31">
        <f>IF($F317="","",IFERROR(INDEX(設定!$E$5:$E$20,MATCH($F317,設定!$B$5:$B$20,0)),""))</f>
        <v/>
      </c>
      <c r="I317" s="31">
        <f>IFERROR(INDEX(打卡匯入!$C$3:$C$1002,MATCH($C317&amp;"|"&amp;DAY($A317),打卡匯入!$E$3:$E$1002,0)),"")</f>
        <v/>
      </c>
      <c r="J317" s="31">
        <f>IFERROR(INDEX(打卡匯入!$D$3:$D$1002,MATCH($C317&amp;"|"&amp;DAY($A317),打卡匯入!$E$3:$E$1002,0)),"")</f>
        <v/>
      </c>
      <c r="K317" s="32">
        <f>IF(OR($I317="",$J317=""),"",IFERROR(INDEX(設定!$F$5:$F$20,MATCH($F317,設定!$B$5:$B$20,0)),0))</f>
        <v/>
      </c>
      <c r="L317" s="33">
        <f>IF(OR($I317="",$J317=""),"",ROUND(($J317-$I317)*24-$K317/60,2))</f>
        <v/>
      </c>
      <c r="M317" s="29">
        <f>IF($C317="","",IF(AND(COUNTIF(設定!$B$14:$B$20,$F317)&gt;0,$I317&lt;&gt;""),"假日出勤",IF(AND(COUNTIF(設定!$B$5:$B$13,$F317)&gt;0,$I317=""),"未打卡",IF($I317="","",IF($N317&gt;0,"遲到",IF($O317&gt;0,"早退","正常"))))))</f>
        <v/>
      </c>
      <c r="N317" s="32">
        <f>IF(OR($C317="",$G317="",$I317=""),0,IF(ROUND(($I317-$G317)*1440,0)&gt;設定!$C$28,ROUND(($I317-$G317)*1440,0),0))</f>
        <v/>
      </c>
      <c r="O317" s="32">
        <f>IF(OR($C317="",$H317="",$J317=""),0,IF(ROUND(($H317-$J317)*1440,0)&gt;設定!$C$28,ROUND(($H317-$J317)*1440,0),0))</f>
        <v/>
      </c>
      <c r="P317" s="33">
        <f>IF($L317="",0,IF(($L317-IFERROR(INDEX(設定!$G$5:$G$20,MATCH($F317,設定!$B$5:$B$20,0)),0))*60&gt;=設定!$C$26,ROUND(FLOOR(($L317-IFERROR(INDEX(設定!$G$5:$G$20,MATCH($F317,設定!$B$5:$B$20,0)),0))*60,設定!$C$27)/60,2),0))</f>
        <v/>
      </c>
      <c r="Q317" s="29">
        <f>IF(OR($C317="",$P317=0),"",IF($F317="國","國定假日",IF($B317="日","例假",IF($B317="六","休息日","平日"))))</f>
        <v/>
      </c>
      <c r="R317" s="34" t="n"/>
    </row>
    <row r="318">
      <c r="A318" s="30">
        <f>IF(OR(班表!$A16="",6&gt;DAY(EOMONTH(DATE(班表!$E$2,班表!$G$2,1),0))),"",DATE(班表!$E$2,班表!$G$2,6))</f>
        <v/>
      </c>
      <c r="B318" s="29">
        <f>IF($A318="","",INDEX(設定!$L$5:$L$11,WEEKDAY($A318,1)))</f>
        <v/>
      </c>
      <c r="C318" s="29">
        <f>IF($A318="","",班表!$A16)</f>
        <v/>
      </c>
      <c r="D318" s="29">
        <f>IF($C318="","",班表!$B16)</f>
        <v/>
      </c>
      <c r="E318" s="29">
        <f>IF($C318="","",班表!$C16)</f>
        <v/>
      </c>
      <c r="F318" s="29">
        <f>IF($C318="","",班表!I16)</f>
        <v/>
      </c>
      <c r="G318" s="31">
        <f>IF($F318="","",IFERROR(INDEX(設定!$D$5:$D$20,MATCH($F318,設定!$B$5:$B$20,0)),""))</f>
        <v/>
      </c>
      <c r="H318" s="31">
        <f>IF($F318="","",IFERROR(INDEX(設定!$E$5:$E$20,MATCH($F318,設定!$B$5:$B$20,0)),""))</f>
        <v/>
      </c>
      <c r="I318" s="31">
        <f>IFERROR(INDEX(打卡匯入!$C$3:$C$1002,MATCH($C318&amp;"|"&amp;DAY($A318),打卡匯入!$E$3:$E$1002,0)),"")</f>
        <v/>
      </c>
      <c r="J318" s="31">
        <f>IFERROR(INDEX(打卡匯入!$D$3:$D$1002,MATCH($C318&amp;"|"&amp;DAY($A318),打卡匯入!$E$3:$E$1002,0)),"")</f>
        <v/>
      </c>
      <c r="K318" s="32">
        <f>IF(OR($I318="",$J318=""),"",IFERROR(INDEX(設定!$F$5:$F$20,MATCH($F318,設定!$B$5:$B$20,0)),0))</f>
        <v/>
      </c>
      <c r="L318" s="33">
        <f>IF(OR($I318="",$J318=""),"",ROUND(($J318-$I318)*24-$K318/60,2))</f>
        <v/>
      </c>
      <c r="M318" s="29">
        <f>IF($C318="","",IF(AND(COUNTIF(設定!$B$14:$B$20,$F318)&gt;0,$I318&lt;&gt;""),"假日出勤",IF(AND(COUNTIF(設定!$B$5:$B$13,$F318)&gt;0,$I318=""),"未打卡",IF($I318="","",IF($N318&gt;0,"遲到",IF($O318&gt;0,"早退","正常"))))))</f>
        <v/>
      </c>
      <c r="N318" s="32">
        <f>IF(OR($C318="",$G318="",$I318=""),0,IF(ROUND(($I318-$G318)*1440,0)&gt;設定!$C$28,ROUND(($I318-$G318)*1440,0),0))</f>
        <v/>
      </c>
      <c r="O318" s="32">
        <f>IF(OR($C318="",$H318="",$J318=""),0,IF(ROUND(($H318-$J318)*1440,0)&gt;設定!$C$28,ROUND(($H318-$J318)*1440,0),0))</f>
        <v/>
      </c>
      <c r="P318" s="33">
        <f>IF($L318="",0,IF(($L318-IFERROR(INDEX(設定!$G$5:$G$20,MATCH($F318,設定!$B$5:$B$20,0)),0))*60&gt;=設定!$C$26,ROUND(FLOOR(($L318-IFERROR(INDEX(設定!$G$5:$G$20,MATCH($F318,設定!$B$5:$B$20,0)),0))*60,設定!$C$27)/60,2),0))</f>
        <v/>
      </c>
      <c r="Q318" s="29">
        <f>IF(OR($C318="",$P318=0),"",IF($F318="國","國定假日",IF($B318="日","例假",IF($B318="六","休息日","平日"))))</f>
        <v/>
      </c>
      <c r="R318" s="34" t="n"/>
    </row>
    <row r="319">
      <c r="A319" s="30">
        <f>IF(OR(班表!$A16="",7&gt;DAY(EOMONTH(DATE(班表!$E$2,班表!$G$2,1),0))),"",DATE(班表!$E$2,班表!$G$2,7))</f>
        <v/>
      </c>
      <c r="B319" s="29">
        <f>IF($A319="","",INDEX(設定!$L$5:$L$11,WEEKDAY($A319,1)))</f>
        <v/>
      </c>
      <c r="C319" s="29">
        <f>IF($A319="","",班表!$A16)</f>
        <v/>
      </c>
      <c r="D319" s="29">
        <f>IF($C319="","",班表!$B16)</f>
        <v/>
      </c>
      <c r="E319" s="29">
        <f>IF($C319="","",班表!$C16)</f>
        <v/>
      </c>
      <c r="F319" s="29">
        <f>IF($C319="","",班表!J16)</f>
        <v/>
      </c>
      <c r="G319" s="31">
        <f>IF($F319="","",IFERROR(INDEX(設定!$D$5:$D$20,MATCH($F319,設定!$B$5:$B$20,0)),""))</f>
        <v/>
      </c>
      <c r="H319" s="31">
        <f>IF($F319="","",IFERROR(INDEX(設定!$E$5:$E$20,MATCH($F319,設定!$B$5:$B$20,0)),""))</f>
        <v/>
      </c>
      <c r="I319" s="31">
        <f>IFERROR(INDEX(打卡匯入!$C$3:$C$1002,MATCH($C319&amp;"|"&amp;DAY($A319),打卡匯入!$E$3:$E$1002,0)),"")</f>
        <v/>
      </c>
      <c r="J319" s="31">
        <f>IFERROR(INDEX(打卡匯入!$D$3:$D$1002,MATCH($C319&amp;"|"&amp;DAY($A319),打卡匯入!$E$3:$E$1002,0)),"")</f>
        <v/>
      </c>
      <c r="K319" s="32">
        <f>IF(OR($I319="",$J319=""),"",IFERROR(INDEX(設定!$F$5:$F$20,MATCH($F319,設定!$B$5:$B$20,0)),0))</f>
        <v/>
      </c>
      <c r="L319" s="33">
        <f>IF(OR($I319="",$J319=""),"",ROUND(($J319-$I319)*24-$K319/60,2))</f>
        <v/>
      </c>
      <c r="M319" s="29">
        <f>IF($C319="","",IF(AND(COUNTIF(設定!$B$14:$B$20,$F319)&gt;0,$I319&lt;&gt;""),"假日出勤",IF(AND(COUNTIF(設定!$B$5:$B$13,$F319)&gt;0,$I319=""),"未打卡",IF($I319="","",IF($N319&gt;0,"遲到",IF($O319&gt;0,"早退","正常"))))))</f>
        <v/>
      </c>
      <c r="N319" s="32">
        <f>IF(OR($C319="",$G319="",$I319=""),0,IF(ROUND(($I319-$G319)*1440,0)&gt;設定!$C$28,ROUND(($I319-$G319)*1440,0),0))</f>
        <v/>
      </c>
      <c r="O319" s="32">
        <f>IF(OR($C319="",$H319="",$J319=""),0,IF(ROUND(($H319-$J319)*1440,0)&gt;設定!$C$28,ROUND(($H319-$J319)*1440,0),0))</f>
        <v/>
      </c>
      <c r="P319" s="33">
        <f>IF($L319="",0,IF(($L319-IFERROR(INDEX(設定!$G$5:$G$20,MATCH($F319,設定!$B$5:$B$20,0)),0))*60&gt;=設定!$C$26,ROUND(FLOOR(($L319-IFERROR(INDEX(設定!$G$5:$G$20,MATCH($F319,設定!$B$5:$B$20,0)),0))*60,設定!$C$27)/60,2),0))</f>
        <v/>
      </c>
      <c r="Q319" s="29">
        <f>IF(OR($C319="",$P319=0),"",IF($F319="國","國定假日",IF($B319="日","例假",IF($B319="六","休息日","平日"))))</f>
        <v/>
      </c>
      <c r="R319" s="34" t="n"/>
    </row>
    <row r="320">
      <c r="A320" s="30">
        <f>IF(OR(班表!$A16="",8&gt;DAY(EOMONTH(DATE(班表!$E$2,班表!$G$2,1),0))),"",DATE(班表!$E$2,班表!$G$2,8))</f>
        <v/>
      </c>
      <c r="B320" s="29">
        <f>IF($A320="","",INDEX(設定!$L$5:$L$11,WEEKDAY($A320,1)))</f>
        <v/>
      </c>
      <c r="C320" s="29">
        <f>IF($A320="","",班表!$A16)</f>
        <v/>
      </c>
      <c r="D320" s="29">
        <f>IF($C320="","",班表!$B16)</f>
        <v/>
      </c>
      <c r="E320" s="29">
        <f>IF($C320="","",班表!$C16)</f>
        <v/>
      </c>
      <c r="F320" s="29">
        <f>IF($C320="","",班表!K16)</f>
        <v/>
      </c>
      <c r="G320" s="31">
        <f>IF($F320="","",IFERROR(INDEX(設定!$D$5:$D$20,MATCH($F320,設定!$B$5:$B$20,0)),""))</f>
        <v/>
      </c>
      <c r="H320" s="31">
        <f>IF($F320="","",IFERROR(INDEX(設定!$E$5:$E$20,MATCH($F320,設定!$B$5:$B$20,0)),""))</f>
        <v/>
      </c>
      <c r="I320" s="31">
        <f>IFERROR(INDEX(打卡匯入!$C$3:$C$1002,MATCH($C320&amp;"|"&amp;DAY($A320),打卡匯入!$E$3:$E$1002,0)),"")</f>
        <v/>
      </c>
      <c r="J320" s="31">
        <f>IFERROR(INDEX(打卡匯入!$D$3:$D$1002,MATCH($C320&amp;"|"&amp;DAY($A320),打卡匯入!$E$3:$E$1002,0)),"")</f>
        <v/>
      </c>
      <c r="K320" s="32">
        <f>IF(OR($I320="",$J320=""),"",IFERROR(INDEX(設定!$F$5:$F$20,MATCH($F320,設定!$B$5:$B$20,0)),0))</f>
        <v/>
      </c>
      <c r="L320" s="33">
        <f>IF(OR($I320="",$J320=""),"",ROUND(($J320-$I320)*24-$K320/60,2))</f>
        <v/>
      </c>
      <c r="M320" s="29">
        <f>IF($C320="","",IF(AND(COUNTIF(設定!$B$14:$B$20,$F320)&gt;0,$I320&lt;&gt;""),"假日出勤",IF(AND(COUNTIF(設定!$B$5:$B$13,$F320)&gt;0,$I320=""),"未打卡",IF($I320="","",IF($N320&gt;0,"遲到",IF($O320&gt;0,"早退","正常"))))))</f>
        <v/>
      </c>
      <c r="N320" s="32">
        <f>IF(OR($C320="",$G320="",$I320=""),0,IF(ROUND(($I320-$G320)*1440,0)&gt;設定!$C$28,ROUND(($I320-$G320)*1440,0),0))</f>
        <v/>
      </c>
      <c r="O320" s="32">
        <f>IF(OR($C320="",$H320="",$J320=""),0,IF(ROUND(($H320-$J320)*1440,0)&gt;設定!$C$28,ROUND(($H320-$J320)*1440,0),0))</f>
        <v/>
      </c>
      <c r="P320" s="33">
        <f>IF($L320="",0,IF(($L320-IFERROR(INDEX(設定!$G$5:$G$20,MATCH($F320,設定!$B$5:$B$20,0)),0))*60&gt;=設定!$C$26,ROUND(FLOOR(($L320-IFERROR(INDEX(設定!$G$5:$G$20,MATCH($F320,設定!$B$5:$B$20,0)),0))*60,設定!$C$27)/60,2),0))</f>
        <v/>
      </c>
      <c r="Q320" s="29">
        <f>IF(OR($C320="",$P320=0),"",IF($F320="國","國定假日",IF($B320="日","例假",IF($B320="六","休息日","平日"))))</f>
        <v/>
      </c>
      <c r="R320" s="34" t="n"/>
    </row>
    <row r="321">
      <c r="A321" s="30">
        <f>IF(OR(班表!$A16="",9&gt;DAY(EOMONTH(DATE(班表!$E$2,班表!$G$2,1),0))),"",DATE(班表!$E$2,班表!$G$2,9))</f>
        <v/>
      </c>
      <c r="B321" s="29">
        <f>IF($A321="","",INDEX(設定!$L$5:$L$11,WEEKDAY($A321,1)))</f>
        <v/>
      </c>
      <c r="C321" s="29">
        <f>IF($A321="","",班表!$A16)</f>
        <v/>
      </c>
      <c r="D321" s="29">
        <f>IF($C321="","",班表!$B16)</f>
        <v/>
      </c>
      <c r="E321" s="29">
        <f>IF($C321="","",班表!$C16)</f>
        <v/>
      </c>
      <c r="F321" s="29">
        <f>IF($C321="","",班表!L16)</f>
        <v/>
      </c>
      <c r="G321" s="31">
        <f>IF($F321="","",IFERROR(INDEX(設定!$D$5:$D$20,MATCH($F321,設定!$B$5:$B$20,0)),""))</f>
        <v/>
      </c>
      <c r="H321" s="31">
        <f>IF($F321="","",IFERROR(INDEX(設定!$E$5:$E$20,MATCH($F321,設定!$B$5:$B$20,0)),""))</f>
        <v/>
      </c>
      <c r="I321" s="31">
        <f>IFERROR(INDEX(打卡匯入!$C$3:$C$1002,MATCH($C321&amp;"|"&amp;DAY($A321),打卡匯入!$E$3:$E$1002,0)),"")</f>
        <v/>
      </c>
      <c r="J321" s="31">
        <f>IFERROR(INDEX(打卡匯入!$D$3:$D$1002,MATCH($C321&amp;"|"&amp;DAY($A321),打卡匯入!$E$3:$E$1002,0)),"")</f>
        <v/>
      </c>
      <c r="K321" s="32">
        <f>IF(OR($I321="",$J321=""),"",IFERROR(INDEX(設定!$F$5:$F$20,MATCH($F321,設定!$B$5:$B$20,0)),0))</f>
        <v/>
      </c>
      <c r="L321" s="33">
        <f>IF(OR($I321="",$J321=""),"",ROUND(($J321-$I321)*24-$K321/60,2))</f>
        <v/>
      </c>
      <c r="M321" s="29">
        <f>IF($C321="","",IF(AND(COUNTIF(設定!$B$14:$B$20,$F321)&gt;0,$I321&lt;&gt;""),"假日出勤",IF(AND(COUNTIF(設定!$B$5:$B$13,$F321)&gt;0,$I321=""),"未打卡",IF($I321="","",IF($N321&gt;0,"遲到",IF($O321&gt;0,"早退","正常"))))))</f>
        <v/>
      </c>
      <c r="N321" s="32">
        <f>IF(OR($C321="",$G321="",$I321=""),0,IF(ROUND(($I321-$G321)*1440,0)&gt;設定!$C$28,ROUND(($I321-$G321)*1440,0),0))</f>
        <v/>
      </c>
      <c r="O321" s="32">
        <f>IF(OR($C321="",$H321="",$J321=""),0,IF(ROUND(($H321-$J321)*1440,0)&gt;設定!$C$28,ROUND(($H321-$J321)*1440,0),0))</f>
        <v/>
      </c>
      <c r="P321" s="33">
        <f>IF($L321="",0,IF(($L321-IFERROR(INDEX(設定!$G$5:$G$20,MATCH($F321,設定!$B$5:$B$20,0)),0))*60&gt;=設定!$C$26,ROUND(FLOOR(($L321-IFERROR(INDEX(設定!$G$5:$G$20,MATCH($F321,設定!$B$5:$B$20,0)),0))*60,設定!$C$27)/60,2),0))</f>
        <v/>
      </c>
      <c r="Q321" s="29">
        <f>IF(OR($C321="",$P321=0),"",IF($F321="國","國定假日",IF($B321="日","例假",IF($B321="六","休息日","平日"))))</f>
        <v/>
      </c>
      <c r="R321" s="34" t="n"/>
    </row>
    <row r="322">
      <c r="A322" s="30">
        <f>IF(OR(班表!$A16="",10&gt;DAY(EOMONTH(DATE(班表!$E$2,班表!$G$2,1),0))),"",DATE(班表!$E$2,班表!$G$2,10))</f>
        <v/>
      </c>
      <c r="B322" s="29">
        <f>IF($A322="","",INDEX(設定!$L$5:$L$11,WEEKDAY($A322,1)))</f>
        <v/>
      </c>
      <c r="C322" s="29">
        <f>IF($A322="","",班表!$A16)</f>
        <v/>
      </c>
      <c r="D322" s="29">
        <f>IF($C322="","",班表!$B16)</f>
        <v/>
      </c>
      <c r="E322" s="29">
        <f>IF($C322="","",班表!$C16)</f>
        <v/>
      </c>
      <c r="F322" s="29">
        <f>IF($C322="","",班表!M16)</f>
        <v/>
      </c>
      <c r="G322" s="31">
        <f>IF($F322="","",IFERROR(INDEX(設定!$D$5:$D$20,MATCH($F322,設定!$B$5:$B$20,0)),""))</f>
        <v/>
      </c>
      <c r="H322" s="31">
        <f>IF($F322="","",IFERROR(INDEX(設定!$E$5:$E$20,MATCH($F322,設定!$B$5:$B$20,0)),""))</f>
        <v/>
      </c>
      <c r="I322" s="31">
        <f>IFERROR(INDEX(打卡匯入!$C$3:$C$1002,MATCH($C322&amp;"|"&amp;DAY($A322),打卡匯入!$E$3:$E$1002,0)),"")</f>
        <v/>
      </c>
      <c r="J322" s="31">
        <f>IFERROR(INDEX(打卡匯入!$D$3:$D$1002,MATCH($C322&amp;"|"&amp;DAY($A322),打卡匯入!$E$3:$E$1002,0)),"")</f>
        <v/>
      </c>
      <c r="K322" s="32">
        <f>IF(OR($I322="",$J322=""),"",IFERROR(INDEX(設定!$F$5:$F$20,MATCH($F322,設定!$B$5:$B$20,0)),0))</f>
        <v/>
      </c>
      <c r="L322" s="33">
        <f>IF(OR($I322="",$J322=""),"",ROUND(($J322-$I322)*24-$K322/60,2))</f>
        <v/>
      </c>
      <c r="M322" s="29">
        <f>IF($C322="","",IF(AND(COUNTIF(設定!$B$14:$B$20,$F322)&gt;0,$I322&lt;&gt;""),"假日出勤",IF(AND(COUNTIF(設定!$B$5:$B$13,$F322)&gt;0,$I322=""),"未打卡",IF($I322="","",IF($N322&gt;0,"遲到",IF($O322&gt;0,"早退","正常"))))))</f>
        <v/>
      </c>
      <c r="N322" s="32">
        <f>IF(OR($C322="",$G322="",$I322=""),0,IF(ROUND(($I322-$G322)*1440,0)&gt;設定!$C$28,ROUND(($I322-$G322)*1440,0),0))</f>
        <v/>
      </c>
      <c r="O322" s="32">
        <f>IF(OR($C322="",$H322="",$J322=""),0,IF(ROUND(($H322-$J322)*1440,0)&gt;設定!$C$28,ROUND(($H322-$J322)*1440,0),0))</f>
        <v/>
      </c>
      <c r="P322" s="33">
        <f>IF($L322="",0,IF(($L322-IFERROR(INDEX(設定!$G$5:$G$20,MATCH($F322,設定!$B$5:$B$20,0)),0))*60&gt;=設定!$C$26,ROUND(FLOOR(($L322-IFERROR(INDEX(設定!$G$5:$G$20,MATCH($F322,設定!$B$5:$B$20,0)),0))*60,設定!$C$27)/60,2),0))</f>
        <v/>
      </c>
      <c r="Q322" s="29">
        <f>IF(OR($C322="",$P322=0),"",IF($F322="國","國定假日",IF($B322="日","例假",IF($B322="六","休息日","平日"))))</f>
        <v/>
      </c>
      <c r="R322" s="34" t="n"/>
    </row>
    <row r="323">
      <c r="A323" s="30">
        <f>IF(OR(班表!$A16="",11&gt;DAY(EOMONTH(DATE(班表!$E$2,班表!$G$2,1),0))),"",DATE(班表!$E$2,班表!$G$2,11))</f>
        <v/>
      </c>
      <c r="B323" s="29">
        <f>IF($A323="","",INDEX(設定!$L$5:$L$11,WEEKDAY($A323,1)))</f>
        <v/>
      </c>
      <c r="C323" s="29">
        <f>IF($A323="","",班表!$A16)</f>
        <v/>
      </c>
      <c r="D323" s="29">
        <f>IF($C323="","",班表!$B16)</f>
        <v/>
      </c>
      <c r="E323" s="29">
        <f>IF($C323="","",班表!$C16)</f>
        <v/>
      </c>
      <c r="F323" s="29">
        <f>IF($C323="","",班表!N16)</f>
        <v/>
      </c>
      <c r="G323" s="31">
        <f>IF($F323="","",IFERROR(INDEX(設定!$D$5:$D$20,MATCH($F323,設定!$B$5:$B$20,0)),""))</f>
        <v/>
      </c>
      <c r="H323" s="31">
        <f>IF($F323="","",IFERROR(INDEX(設定!$E$5:$E$20,MATCH($F323,設定!$B$5:$B$20,0)),""))</f>
        <v/>
      </c>
      <c r="I323" s="31">
        <f>IFERROR(INDEX(打卡匯入!$C$3:$C$1002,MATCH($C323&amp;"|"&amp;DAY($A323),打卡匯入!$E$3:$E$1002,0)),"")</f>
        <v/>
      </c>
      <c r="J323" s="31">
        <f>IFERROR(INDEX(打卡匯入!$D$3:$D$1002,MATCH($C323&amp;"|"&amp;DAY($A323),打卡匯入!$E$3:$E$1002,0)),"")</f>
        <v/>
      </c>
      <c r="K323" s="32">
        <f>IF(OR($I323="",$J323=""),"",IFERROR(INDEX(設定!$F$5:$F$20,MATCH($F323,設定!$B$5:$B$20,0)),0))</f>
        <v/>
      </c>
      <c r="L323" s="33">
        <f>IF(OR($I323="",$J323=""),"",ROUND(($J323-$I323)*24-$K323/60,2))</f>
        <v/>
      </c>
      <c r="M323" s="29">
        <f>IF($C323="","",IF(AND(COUNTIF(設定!$B$14:$B$20,$F323)&gt;0,$I323&lt;&gt;""),"假日出勤",IF(AND(COUNTIF(設定!$B$5:$B$13,$F323)&gt;0,$I323=""),"未打卡",IF($I323="","",IF($N323&gt;0,"遲到",IF($O323&gt;0,"早退","正常"))))))</f>
        <v/>
      </c>
      <c r="N323" s="32">
        <f>IF(OR($C323="",$G323="",$I323=""),0,IF(ROUND(($I323-$G323)*1440,0)&gt;設定!$C$28,ROUND(($I323-$G323)*1440,0),0))</f>
        <v/>
      </c>
      <c r="O323" s="32">
        <f>IF(OR($C323="",$H323="",$J323=""),0,IF(ROUND(($H323-$J323)*1440,0)&gt;設定!$C$28,ROUND(($H323-$J323)*1440,0),0))</f>
        <v/>
      </c>
      <c r="P323" s="33">
        <f>IF($L323="",0,IF(($L323-IFERROR(INDEX(設定!$G$5:$G$20,MATCH($F323,設定!$B$5:$B$20,0)),0))*60&gt;=設定!$C$26,ROUND(FLOOR(($L323-IFERROR(INDEX(設定!$G$5:$G$20,MATCH($F323,設定!$B$5:$B$20,0)),0))*60,設定!$C$27)/60,2),0))</f>
        <v/>
      </c>
      <c r="Q323" s="29">
        <f>IF(OR($C323="",$P323=0),"",IF($F323="國","國定假日",IF($B323="日","例假",IF($B323="六","休息日","平日"))))</f>
        <v/>
      </c>
      <c r="R323" s="34" t="n"/>
    </row>
    <row r="324">
      <c r="A324" s="30">
        <f>IF(OR(班表!$A16="",12&gt;DAY(EOMONTH(DATE(班表!$E$2,班表!$G$2,1),0))),"",DATE(班表!$E$2,班表!$G$2,12))</f>
        <v/>
      </c>
      <c r="B324" s="29">
        <f>IF($A324="","",INDEX(設定!$L$5:$L$11,WEEKDAY($A324,1)))</f>
        <v/>
      </c>
      <c r="C324" s="29">
        <f>IF($A324="","",班表!$A16)</f>
        <v/>
      </c>
      <c r="D324" s="29">
        <f>IF($C324="","",班表!$B16)</f>
        <v/>
      </c>
      <c r="E324" s="29">
        <f>IF($C324="","",班表!$C16)</f>
        <v/>
      </c>
      <c r="F324" s="29">
        <f>IF($C324="","",班表!O16)</f>
        <v/>
      </c>
      <c r="G324" s="31">
        <f>IF($F324="","",IFERROR(INDEX(設定!$D$5:$D$20,MATCH($F324,設定!$B$5:$B$20,0)),""))</f>
        <v/>
      </c>
      <c r="H324" s="31">
        <f>IF($F324="","",IFERROR(INDEX(設定!$E$5:$E$20,MATCH($F324,設定!$B$5:$B$20,0)),""))</f>
        <v/>
      </c>
      <c r="I324" s="31">
        <f>IFERROR(INDEX(打卡匯入!$C$3:$C$1002,MATCH($C324&amp;"|"&amp;DAY($A324),打卡匯入!$E$3:$E$1002,0)),"")</f>
        <v/>
      </c>
      <c r="J324" s="31">
        <f>IFERROR(INDEX(打卡匯入!$D$3:$D$1002,MATCH($C324&amp;"|"&amp;DAY($A324),打卡匯入!$E$3:$E$1002,0)),"")</f>
        <v/>
      </c>
      <c r="K324" s="32">
        <f>IF(OR($I324="",$J324=""),"",IFERROR(INDEX(設定!$F$5:$F$20,MATCH($F324,設定!$B$5:$B$20,0)),0))</f>
        <v/>
      </c>
      <c r="L324" s="33">
        <f>IF(OR($I324="",$J324=""),"",ROUND(($J324-$I324)*24-$K324/60,2))</f>
        <v/>
      </c>
      <c r="M324" s="29">
        <f>IF($C324="","",IF(AND(COUNTIF(設定!$B$14:$B$20,$F324)&gt;0,$I324&lt;&gt;""),"假日出勤",IF(AND(COUNTIF(設定!$B$5:$B$13,$F324)&gt;0,$I324=""),"未打卡",IF($I324="","",IF($N324&gt;0,"遲到",IF($O324&gt;0,"早退","正常"))))))</f>
        <v/>
      </c>
      <c r="N324" s="32">
        <f>IF(OR($C324="",$G324="",$I324=""),0,IF(ROUND(($I324-$G324)*1440,0)&gt;設定!$C$28,ROUND(($I324-$G324)*1440,0),0))</f>
        <v/>
      </c>
      <c r="O324" s="32">
        <f>IF(OR($C324="",$H324="",$J324=""),0,IF(ROUND(($H324-$J324)*1440,0)&gt;設定!$C$28,ROUND(($H324-$J324)*1440,0),0))</f>
        <v/>
      </c>
      <c r="P324" s="33">
        <f>IF($L324="",0,IF(($L324-IFERROR(INDEX(設定!$G$5:$G$20,MATCH($F324,設定!$B$5:$B$20,0)),0))*60&gt;=設定!$C$26,ROUND(FLOOR(($L324-IFERROR(INDEX(設定!$G$5:$G$20,MATCH($F324,設定!$B$5:$B$20,0)),0))*60,設定!$C$27)/60,2),0))</f>
        <v/>
      </c>
      <c r="Q324" s="29">
        <f>IF(OR($C324="",$P324=0),"",IF($F324="國","國定假日",IF($B324="日","例假",IF($B324="六","休息日","平日"))))</f>
        <v/>
      </c>
      <c r="R324" s="34" t="n"/>
    </row>
    <row r="325">
      <c r="A325" s="30">
        <f>IF(OR(班表!$A16="",13&gt;DAY(EOMONTH(DATE(班表!$E$2,班表!$G$2,1),0))),"",DATE(班表!$E$2,班表!$G$2,13))</f>
        <v/>
      </c>
      <c r="B325" s="29">
        <f>IF($A325="","",INDEX(設定!$L$5:$L$11,WEEKDAY($A325,1)))</f>
        <v/>
      </c>
      <c r="C325" s="29">
        <f>IF($A325="","",班表!$A16)</f>
        <v/>
      </c>
      <c r="D325" s="29">
        <f>IF($C325="","",班表!$B16)</f>
        <v/>
      </c>
      <c r="E325" s="29">
        <f>IF($C325="","",班表!$C16)</f>
        <v/>
      </c>
      <c r="F325" s="29">
        <f>IF($C325="","",班表!P16)</f>
        <v/>
      </c>
      <c r="G325" s="31">
        <f>IF($F325="","",IFERROR(INDEX(設定!$D$5:$D$20,MATCH($F325,設定!$B$5:$B$20,0)),""))</f>
        <v/>
      </c>
      <c r="H325" s="31">
        <f>IF($F325="","",IFERROR(INDEX(設定!$E$5:$E$20,MATCH($F325,設定!$B$5:$B$20,0)),""))</f>
        <v/>
      </c>
      <c r="I325" s="31">
        <f>IFERROR(INDEX(打卡匯入!$C$3:$C$1002,MATCH($C325&amp;"|"&amp;DAY($A325),打卡匯入!$E$3:$E$1002,0)),"")</f>
        <v/>
      </c>
      <c r="J325" s="31">
        <f>IFERROR(INDEX(打卡匯入!$D$3:$D$1002,MATCH($C325&amp;"|"&amp;DAY($A325),打卡匯入!$E$3:$E$1002,0)),"")</f>
        <v/>
      </c>
      <c r="K325" s="32">
        <f>IF(OR($I325="",$J325=""),"",IFERROR(INDEX(設定!$F$5:$F$20,MATCH($F325,設定!$B$5:$B$20,0)),0))</f>
        <v/>
      </c>
      <c r="L325" s="33">
        <f>IF(OR($I325="",$J325=""),"",ROUND(($J325-$I325)*24-$K325/60,2))</f>
        <v/>
      </c>
      <c r="M325" s="29">
        <f>IF($C325="","",IF(AND(COUNTIF(設定!$B$14:$B$20,$F325)&gt;0,$I325&lt;&gt;""),"假日出勤",IF(AND(COUNTIF(設定!$B$5:$B$13,$F325)&gt;0,$I325=""),"未打卡",IF($I325="","",IF($N325&gt;0,"遲到",IF($O325&gt;0,"早退","正常"))))))</f>
        <v/>
      </c>
      <c r="N325" s="32">
        <f>IF(OR($C325="",$G325="",$I325=""),0,IF(ROUND(($I325-$G325)*1440,0)&gt;設定!$C$28,ROUND(($I325-$G325)*1440,0),0))</f>
        <v/>
      </c>
      <c r="O325" s="32">
        <f>IF(OR($C325="",$H325="",$J325=""),0,IF(ROUND(($H325-$J325)*1440,0)&gt;設定!$C$28,ROUND(($H325-$J325)*1440,0),0))</f>
        <v/>
      </c>
      <c r="P325" s="33">
        <f>IF($L325="",0,IF(($L325-IFERROR(INDEX(設定!$G$5:$G$20,MATCH($F325,設定!$B$5:$B$20,0)),0))*60&gt;=設定!$C$26,ROUND(FLOOR(($L325-IFERROR(INDEX(設定!$G$5:$G$20,MATCH($F325,設定!$B$5:$B$20,0)),0))*60,設定!$C$27)/60,2),0))</f>
        <v/>
      </c>
      <c r="Q325" s="29">
        <f>IF(OR($C325="",$P325=0),"",IF($F325="國","國定假日",IF($B325="日","例假",IF($B325="六","休息日","平日"))))</f>
        <v/>
      </c>
      <c r="R325" s="34" t="n"/>
    </row>
    <row r="326">
      <c r="A326" s="30">
        <f>IF(OR(班表!$A16="",14&gt;DAY(EOMONTH(DATE(班表!$E$2,班表!$G$2,1),0))),"",DATE(班表!$E$2,班表!$G$2,14))</f>
        <v/>
      </c>
      <c r="B326" s="29">
        <f>IF($A326="","",INDEX(設定!$L$5:$L$11,WEEKDAY($A326,1)))</f>
        <v/>
      </c>
      <c r="C326" s="29">
        <f>IF($A326="","",班表!$A16)</f>
        <v/>
      </c>
      <c r="D326" s="29">
        <f>IF($C326="","",班表!$B16)</f>
        <v/>
      </c>
      <c r="E326" s="29">
        <f>IF($C326="","",班表!$C16)</f>
        <v/>
      </c>
      <c r="F326" s="29">
        <f>IF($C326="","",班表!Q16)</f>
        <v/>
      </c>
      <c r="G326" s="31">
        <f>IF($F326="","",IFERROR(INDEX(設定!$D$5:$D$20,MATCH($F326,設定!$B$5:$B$20,0)),""))</f>
        <v/>
      </c>
      <c r="H326" s="31">
        <f>IF($F326="","",IFERROR(INDEX(設定!$E$5:$E$20,MATCH($F326,設定!$B$5:$B$20,0)),""))</f>
        <v/>
      </c>
      <c r="I326" s="31">
        <f>IFERROR(INDEX(打卡匯入!$C$3:$C$1002,MATCH($C326&amp;"|"&amp;DAY($A326),打卡匯入!$E$3:$E$1002,0)),"")</f>
        <v/>
      </c>
      <c r="J326" s="31">
        <f>IFERROR(INDEX(打卡匯入!$D$3:$D$1002,MATCH($C326&amp;"|"&amp;DAY($A326),打卡匯入!$E$3:$E$1002,0)),"")</f>
        <v/>
      </c>
      <c r="K326" s="32">
        <f>IF(OR($I326="",$J326=""),"",IFERROR(INDEX(設定!$F$5:$F$20,MATCH($F326,設定!$B$5:$B$20,0)),0))</f>
        <v/>
      </c>
      <c r="L326" s="33">
        <f>IF(OR($I326="",$J326=""),"",ROUND(($J326-$I326)*24-$K326/60,2))</f>
        <v/>
      </c>
      <c r="M326" s="29">
        <f>IF($C326="","",IF(AND(COUNTIF(設定!$B$14:$B$20,$F326)&gt;0,$I326&lt;&gt;""),"假日出勤",IF(AND(COUNTIF(設定!$B$5:$B$13,$F326)&gt;0,$I326=""),"未打卡",IF($I326="","",IF($N326&gt;0,"遲到",IF($O326&gt;0,"早退","正常"))))))</f>
        <v/>
      </c>
      <c r="N326" s="32">
        <f>IF(OR($C326="",$G326="",$I326=""),0,IF(ROUND(($I326-$G326)*1440,0)&gt;設定!$C$28,ROUND(($I326-$G326)*1440,0),0))</f>
        <v/>
      </c>
      <c r="O326" s="32">
        <f>IF(OR($C326="",$H326="",$J326=""),0,IF(ROUND(($H326-$J326)*1440,0)&gt;設定!$C$28,ROUND(($H326-$J326)*1440,0),0))</f>
        <v/>
      </c>
      <c r="P326" s="33">
        <f>IF($L326="",0,IF(($L326-IFERROR(INDEX(設定!$G$5:$G$20,MATCH($F326,設定!$B$5:$B$20,0)),0))*60&gt;=設定!$C$26,ROUND(FLOOR(($L326-IFERROR(INDEX(設定!$G$5:$G$20,MATCH($F326,設定!$B$5:$B$20,0)),0))*60,設定!$C$27)/60,2),0))</f>
        <v/>
      </c>
      <c r="Q326" s="29">
        <f>IF(OR($C326="",$P326=0),"",IF($F326="國","國定假日",IF($B326="日","例假",IF($B326="六","休息日","平日"))))</f>
        <v/>
      </c>
      <c r="R326" s="34" t="n"/>
    </row>
    <row r="327">
      <c r="A327" s="30">
        <f>IF(OR(班表!$A16="",15&gt;DAY(EOMONTH(DATE(班表!$E$2,班表!$G$2,1),0))),"",DATE(班表!$E$2,班表!$G$2,15))</f>
        <v/>
      </c>
      <c r="B327" s="29">
        <f>IF($A327="","",INDEX(設定!$L$5:$L$11,WEEKDAY($A327,1)))</f>
        <v/>
      </c>
      <c r="C327" s="29">
        <f>IF($A327="","",班表!$A16)</f>
        <v/>
      </c>
      <c r="D327" s="29">
        <f>IF($C327="","",班表!$B16)</f>
        <v/>
      </c>
      <c r="E327" s="29">
        <f>IF($C327="","",班表!$C16)</f>
        <v/>
      </c>
      <c r="F327" s="29">
        <f>IF($C327="","",班表!R16)</f>
        <v/>
      </c>
      <c r="G327" s="31">
        <f>IF($F327="","",IFERROR(INDEX(設定!$D$5:$D$20,MATCH($F327,設定!$B$5:$B$20,0)),""))</f>
        <v/>
      </c>
      <c r="H327" s="31">
        <f>IF($F327="","",IFERROR(INDEX(設定!$E$5:$E$20,MATCH($F327,設定!$B$5:$B$20,0)),""))</f>
        <v/>
      </c>
      <c r="I327" s="31">
        <f>IFERROR(INDEX(打卡匯入!$C$3:$C$1002,MATCH($C327&amp;"|"&amp;DAY($A327),打卡匯入!$E$3:$E$1002,0)),"")</f>
        <v/>
      </c>
      <c r="J327" s="31">
        <f>IFERROR(INDEX(打卡匯入!$D$3:$D$1002,MATCH($C327&amp;"|"&amp;DAY($A327),打卡匯入!$E$3:$E$1002,0)),"")</f>
        <v/>
      </c>
      <c r="K327" s="32">
        <f>IF(OR($I327="",$J327=""),"",IFERROR(INDEX(設定!$F$5:$F$20,MATCH($F327,設定!$B$5:$B$20,0)),0))</f>
        <v/>
      </c>
      <c r="L327" s="33">
        <f>IF(OR($I327="",$J327=""),"",ROUND(($J327-$I327)*24-$K327/60,2))</f>
        <v/>
      </c>
      <c r="M327" s="29">
        <f>IF($C327="","",IF(AND(COUNTIF(設定!$B$14:$B$20,$F327)&gt;0,$I327&lt;&gt;""),"假日出勤",IF(AND(COUNTIF(設定!$B$5:$B$13,$F327)&gt;0,$I327=""),"未打卡",IF($I327="","",IF($N327&gt;0,"遲到",IF($O327&gt;0,"早退","正常"))))))</f>
        <v/>
      </c>
      <c r="N327" s="32">
        <f>IF(OR($C327="",$G327="",$I327=""),0,IF(ROUND(($I327-$G327)*1440,0)&gt;設定!$C$28,ROUND(($I327-$G327)*1440,0),0))</f>
        <v/>
      </c>
      <c r="O327" s="32">
        <f>IF(OR($C327="",$H327="",$J327=""),0,IF(ROUND(($H327-$J327)*1440,0)&gt;設定!$C$28,ROUND(($H327-$J327)*1440,0),0))</f>
        <v/>
      </c>
      <c r="P327" s="33">
        <f>IF($L327="",0,IF(($L327-IFERROR(INDEX(設定!$G$5:$G$20,MATCH($F327,設定!$B$5:$B$20,0)),0))*60&gt;=設定!$C$26,ROUND(FLOOR(($L327-IFERROR(INDEX(設定!$G$5:$G$20,MATCH($F327,設定!$B$5:$B$20,0)),0))*60,設定!$C$27)/60,2),0))</f>
        <v/>
      </c>
      <c r="Q327" s="29">
        <f>IF(OR($C327="",$P327=0),"",IF($F327="國","國定假日",IF($B327="日","例假",IF($B327="六","休息日","平日"))))</f>
        <v/>
      </c>
      <c r="R327" s="34" t="n"/>
    </row>
    <row r="328">
      <c r="A328" s="30">
        <f>IF(OR(班表!$A16="",16&gt;DAY(EOMONTH(DATE(班表!$E$2,班表!$G$2,1),0))),"",DATE(班表!$E$2,班表!$G$2,16))</f>
        <v/>
      </c>
      <c r="B328" s="29">
        <f>IF($A328="","",INDEX(設定!$L$5:$L$11,WEEKDAY($A328,1)))</f>
        <v/>
      </c>
      <c r="C328" s="29">
        <f>IF($A328="","",班表!$A16)</f>
        <v/>
      </c>
      <c r="D328" s="29">
        <f>IF($C328="","",班表!$B16)</f>
        <v/>
      </c>
      <c r="E328" s="29">
        <f>IF($C328="","",班表!$C16)</f>
        <v/>
      </c>
      <c r="F328" s="29">
        <f>IF($C328="","",班表!S16)</f>
        <v/>
      </c>
      <c r="G328" s="31">
        <f>IF($F328="","",IFERROR(INDEX(設定!$D$5:$D$20,MATCH($F328,設定!$B$5:$B$20,0)),""))</f>
        <v/>
      </c>
      <c r="H328" s="31">
        <f>IF($F328="","",IFERROR(INDEX(設定!$E$5:$E$20,MATCH($F328,設定!$B$5:$B$20,0)),""))</f>
        <v/>
      </c>
      <c r="I328" s="31">
        <f>IFERROR(INDEX(打卡匯入!$C$3:$C$1002,MATCH($C328&amp;"|"&amp;DAY($A328),打卡匯入!$E$3:$E$1002,0)),"")</f>
        <v/>
      </c>
      <c r="J328" s="31">
        <f>IFERROR(INDEX(打卡匯入!$D$3:$D$1002,MATCH($C328&amp;"|"&amp;DAY($A328),打卡匯入!$E$3:$E$1002,0)),"")</f>
        <v/>
      </c>
      <c r="K328" s="32">
        <f>IF(OR($I328="",$J328=""),"",IFERROR(INDEX(設定!$F$5:$F$20,MATCH($F328,設定!$B$5:$B$20,0)),0))</f>
        <v/>
      </c>
      <c r="L328" s="33">
        <f>IF(OR($I328="",$J328=""),"",ROUND(($J328-$I328)*24-$K328/60,2))</f>
        <v/>
      </c>
      <c r="M328" s="29">
        <f>IF($C328="","",IF(AND(COUNTIF(設定!$B$14:$B$20,$F328)&gt;0,$I328&lt;&gt;""),"假日出勤",IF(AND(COUNTIF(設定!$B$5:$B$13,$F328)&gt;0,$I328=""),"未打卡",IF($I328="","",IF($N328&gt;0,"遲到",IF($O328&gt;0,"早退","正常"))))))</f>
        <v/>
      </c>
      <c r="N328" s="32">
        <f>IF(OR($C328="",$G328="",$I328=""),0,IF(ROUND(($I328-$G328)*1440,0)&gt;設定!$C$28,ROUND(($I328-$G328)*1440,0),0))</f>
        <v/>
      </c>
      <c r="O328" s="32">
        <f>IF(OR($C328="",$H328="",$J328=""),0,IF(ROUND(($H328-$J328)*1440,0)&gt;設定!$C$28,ROUND(($H328-$J328)*1440,0),0))</f>
        <v/>
      </c>
      <c r="P328" s="33">
        <f>IF($L328="",0,IF(($L328-IFERROR(INDEX(設定!$G$5:$G$20,MATCH($F328,設定!$B$5:$B$20,0)),0))*60&gt;=設定!$C$26,ROUND(FLOOR(($L328-IFERROR(INDEX(設定!$G$5:$G$20,MATCH($F328,設定!$B$5:$B$20,0)),0))*60,設定!$C$27)/60,2),0))</f>
        <v/>
      </c>
      <c r="Q328" s="29">
        <f>IF(OR($C328="",$P328=0),"",IF($F328="國","國定假日",IF($B328="日","例假",IF($B328="六","休息日","平日"))))</f>
        <v/>
      </c>
      <c r="R328" s="34" t="n"/>
    </row>
    <row r="329">
      <c r="A329" s="30">
        <f>IF(OR(班表!$A16="",17&gt;DAY(EOMONTH(DATE(班表!$E$2,班表!$G$2,1),0))),"",DATE(班表!$E$2,班表!$G$2,17))</f>
        <v/>
      </c>
      <c r="B329" s="29">
        <f>IF($A329="","",INDEX(設定!$L$5:$L$11,WEEKDAY($A329,1)))</f>
        <v/>
      </c>
      <c r="C329" s="29">
        <f>IF($A329="","",班表!$A16)</f>
        <v/>
      </c>
      <c r="D329" s="29">
        <f>IF($C329="","",班表!$B16)</f>
        <v/>
      </c>
      <c r="E329" s="29">
        <f>IF($C329="","",班表!$C16)</f>
        <v/>
      </c>
      <c r="F329" s="29">
        <f>IF($C329="","",班表!T16)</f>
        <v/>
      </c>
      <c r="G329" s="31">
        <f>IF($F329="","",IFERROR(INDEX(設定!$D$5:$D$20,MATCH($F329,設定!$B$5:$B$20,0)),""))</f>
        <v/>
      </c>
      <c r="H329" s="31">
        <f>IF($F329="","",IFERROR(INDEX(設定!$E$5:$E$20,MATCH($F329,設定!$B$5:$B$20,0)),""))</f>
        <v/>
      </c>
      <c r="I329" s="31">
        <f>IFERROR(INDEX(打卡匯入!$C$3:$C$1002,MATCH($C329&amp;"|"&amp;DAY($A329),打卡匯入!$E$3:$E$1002,0)),"")</f>
        <v/>
      </c>
      <c r="J329" s="31">
        <f>IFERROR(INDEX(打卡匯入!$D$3:$D$1002,MATCH($C329&amp;"|"&amp;DAY($A329),打卡匯入!$E$3:$E$1002,0)),"")</f>
        <v/>
      </c>
      <c r="K329" s="32">
        <f>IF(OR($I329="",$J329=""),"",IFERROR(INDEX(設定!$F$5:$F$20,MATCH($F329,設定!$B$5:$B$20,0)),0))</f>
        <v/>
      </c>
      <c r="L329" s="33">
        <f>IF(OR($I329="",$J329=""),"",ROUND(($J329-$I329)*24-$K329/60,2))</f>
        <v/>
      </c>
      <c r="M329" s="29">
        <f>IF($C329="","",IF(AND(COUNTIF(設定!$B$14:$B$20,$F329)&gt;0,$I329&lt;&gt;""),"假日出勤",IF(AND(COUNTIF(設定!$B$5:$B$13,$F329)&gt;0,$I329=""),"未打卡",IF($I329="","",IF($N329&gt;0,"遲到",IF($O329&gt;0,"早退","正常"))))))</f>
        <v/>
      </c>
      <c r="N329" s="32">
        <f>IF(OR($C329="",$G329="",$I329=""),0,IF(ROUND(($I329-$G329)*1440,0)&gt;設定!$C$28,ROUND(($I329-$G329)*1440,0),0))</f>
        <v/>
      </c>
      <c r="O329" s="32">
        <f>IF(OR($C329="",$H329="",$J329=""),0,IF(ROUND(($H329-$J329)*1440,0)&gt;設定!$C$28,ROUND(($H329-$J329)*1440,0),0))</f>
        <v/>
      </c>
      <c r="P329" s="33">
        <f>IF($L329="",0,IF(($L329-IFERROR(INDEX(設定!$G$5:$G$20,MATCH($F329,設定!$B$5:$B$20,0)),0))*60&gt;=設定!$C$26,ROUND(FLOOR(($L329-IFERROR(INDEX(設定!$G$5:$G$20,MATCH($F329,設定!$B$5:$B$20,0)),0))*60,設定!$C$27)/60,2),0))</f>
        <v/>
      </c>
      <c r="Q329" s="29">
        <f>IF(OR($C329="",$P329=0),"",IF($F329="國","國定假日",IF($B329="日","例假",IF($B329="六","休息日","平日"))))</f>
        <v/>
      </c>
      <c r="R329" s="34" t="n"/>
    </row>
    <row r="330">
      <c r="A330" s="30">
        <f>IF(OR(班表!$A16="",18&gt;DAY(EOMONTH(DATE(班表!$E$2,班表!$G$2,1),0))),"",DATE(班表!$E$2,班表!$G$2,18))</f>
        <v/>
      </c>
      <c r="B330" s="29">
        <f>IF($A330="","",INDEX(設定!$L$5:$L$11,WEEKDAY($A330,1)))</f>
        <v/>
      </c>
      <c r="C330" s="29">
        <f>IF($A330="","",班表!$A16)</f>
        <v/>
      </c>
      <c r="D330" s="29">
        <f>IF($C330="","",班表!$B16)</f>
        <v/>
      </c>
      <c r="E330" s="29">
        <f>IF($C330="","",班表!$C16)</f>
        <v/>
      </c>
      <c r="F330" s="29">
        <f>IF($C330="","",班表!U16)</f>
        <v/>
      </c>
      <c r="G330" s="31">
        <f>IF($F330="","",IFERROR(INDEX(設定!$D$5:$D$20,MATCH($F330,設定!$B$5:$B$20,0)),""))</f>
        <v/>
      </c>
      <c r="H330" s="31">
        <f>IF($F330="","",IFERROR(INDEX(設定!$E$5:$E$20,MATCH($F330,設定!$B$5:$B$20,0)),""))</f>
        <v/>
      </c>
      <c r="I330" s="31">
        <f>IFERROR(INDEX(打卡匯入!$C$3:$C$1002,MATCH($C330&amp;"|"&amp;DAY($A330),打卡匯入!$E$3:$E$1002,0)),"")</f>
        <v/>
      </c>
      <c r="J330" s="31">
        <f>IFERROR(INDEX(打卡匯入!$D$3:$D$1002,MATCH($C330&amp;"|"&amp;DAY($A330),打卡匯入!$E$3:$E$1002,0)),"")</f>
        <v/>
      </c>
      <c r="K330" s="32">
        <f>IF(OR($I330="",$J330=""),"",IFERROR(INDEX(設定!$F$5:$F$20,MATCH($F330,設定!$B$5:$B$20,0)),0))</f>
        <v/>
      </c>
      <c r="L330" s="33">
        <f>IF(OR($I330="",$J330=""),"",ROUND(($J330-$I330)*24-$K330/60,2))</f>
        <v/>
      </c>
      <c r="M330" s="29">
        <f>IF($C330="","",IF(AND(COUNTIF(設定!$B$14:$B$20,$F330)&gt;0,$I330&lt;&gt;""),"假日出勤",IF(AND(COUNTIF(設定!$B$5:$B$13,$F330)&gt;0,$I330=""),"未打卡",IF($I330="","",IF($N330&gt;0,"遲到",IF($O330&gt;0,"早退","正常"))))))</f>
        <v/>
      </c>
      <c r="N330" s="32">
        <f>IF(OR($C330="",$G330="",$I330=""),0,IF(ROUND(($I330-$G330)*1440,0)&gt;設定!$C$28,ROUND(($I330-$G330)*1440,0),0))</f>
        <v/>
      </c>
      <c r="O330" s="32">
        <f>IF(OR($C330="",$H330="",$J330=""),0,IF(ROUND(($H330-$J330)*1440,0)&gt;設定!$C$28,ROUND(($H330-$J330)*1440,0),0))</f>
        <v/>
      </c>
      <c r="P330" s="33">
        <f>IF($L330="",0,IF(($L330-IFERROR(INDEX(設定!$G$5:$G$20,MATCH($F330,設定!$B$5:$B$20,0)),0))*60&gt;=設定!$C$26,ROUND(FLOOR(($L330-IFERROR(INDEX(設定!$G$5:$G$20,MATCH($F330,設定!$B$5:$B$20,0)),0))*60,設定!$C$27)/60,2),0))</f>
        <v/>
      </c>
      <c r="Q330" s="29">
        <f>IF(OR($C330="",$P330=0),"",IF($F330="國","國定假日",IF($B330="日","例假",IF($B330="六","休息日","平日"))))</f>
        <v/>
      </c>
      <c r="R330" s="34" t="n"/>
    </row>
    <row r="331">
      <c r="A331" s="30">
        <f>IF(OR(班表!$A16="",19&gt;DAY(EOMONTH(DATE(班表!$E$2,班表!$G$2,1),0))),"",DATE(班表!$E$2,班表!$G$2,19))</f>
        <v/>
      </c>
      <c r="B331" s="29">
        <f>IF($A331="","",INDEX(設定!$L$5:$L$11,WEEKDAY($A331,1)))</f>
        <v/>
      </c>
      <c r="C331" s="29">
        <f>IF($A331="","",班表!$A16)</f>
        <v/>
      </c>
      <c r="D331" s="29">
        <f>IF($C331="","",班表!$B16)</f>
        <v/>
      </c>
      <c r="E331" s="29">
        <f>IF($C331="","",班表!$C16)</f>
        <v/>
      </c>
      <c r="F331" s="29">
        <f>IF($C331="","",班表!V16)</f>
        <v/>
      </c>
      <c r="G331" s="31">
        <f>IF($F331="","",IFERROR(INDEX(設定!$D$5:$D$20,MATCH($F331,設定!$B$5:$B$20,0)),""))</f>
        <v/>
      </c>
      <c r="H331" s="31">
        <f>IF($F331="","",IFERROR(INDEX(設定!$E$5:$E$20,MATCH($F331,設定!$B$5:$B$20,0)),""))</f>
        <v/>
      </c>
      <c r="I331" s="31">
        <f>IFERROR(INDEX(打卡匯入!$C$3:$C$1002,MATCH($C331&amp;"|"&amp;DAY($A331),打卡匯入!$E$3:$E$1002,0)),"")</f>
        <v/>
      </c>
      <c r="J331" s="31">
        <f>IFERROR(INDEX(打卡匯入!$D$3:$D$1002,MATCH($C331&amp;"|"&amp;DAY($A331),打卡匯入!$E$3:$E$1002,0)),"")</f>
        <v/>
      </c>
      <c r="K331" s="32">
        <f>IF(OR($I331="",$J331=""),"",IFERROR(INDEX(設定!$F$5:$F$20,MATCH($F331,設定!$B$5:$B$20,0)),0))</f>
        <v/>
      </c>
      <c r="L331" s="33">
        <f>IF(OR($I331="",$J331=""),"",ROUND(($J331-$I331)*24-$K331/60,2))</f>
        <v/>
      </c>
      <c r="M331" s="29">
        <f>IF($C331="","",IF(AND(COUNTIF(設定!$B$14:$B$20,$F331)&gt;0,$I331&lt;&gt;""),"假日出勤",IF(AND(COUNTIF(設定!$B$5:$B$13,$F331)&gt;0,$I331=""),"未打卡",IF($I331="","",IF($N331&gt;0,"遲到",IF($O331&gt;0,"早退","正常"))))))</f>
        <v/>
      </c>
      <c r="N331" s="32">
        <f>IF(OR($C331="",$G331="",$I331=""),0,IF(ROUND(($I331-$G331)*1440,0)&gt;設定!$C$28,ROUND(($I331-$G331)*1440,0),0))</f>
        <v/>
      </c>
      <c r="O331" s="32">
        <f>IF(OR($C331="",$H331="",$J331=""),0,IF(ROUND(($H331-$J331)*1440,0)&gt;設定!$C$28,ROUND(($H331-$J331)*1440,0),0))</f>
        <v/>
      </c>
      <c r="P331" s="33">
        <f>IF($L331="",0,IF(($L331-IFERROR(INDEX(設定!$G$5:$G$20,MATCH($F331,設定!$B$5:$B$20,0)),0))*60&gt;=設定!$C$26,ROUND(FLOOR(($L331-IFERROR(INDEX(設定!$G$5:$G$20,MATCH($F331,設定!$B$5:$B$20,0)),0))*60,設定!$C$27)/60,2),0))</f>
        <v/>
      </c>
      <c r="Q331" s="29">
        <f>IF(OR($C331="",$P331=0),"",IF($F331="國","國定假日",IF($B331="日","例假",IF($B331="六","休息日","平日"))))</f>
        <v/>
      </c>
      <c r="R331" s="34" t="n"/>
    </row>
    <row r="332">
      <c r="A332" s="30">
        <f>IF(OR(班表!$A16="",20&gt;DAY(EOMONTH(DATE(班表!$E$2,班表!$G$2,1),0))),"",DATE(班表!$E$2,班表!$G$2,20))</f>
        <v/>
      </c>
      <c r="B332" s="29">
        <f>IF($A332="","",INDEX(設定!$L$5:$L$11,WEEKDAY($A332,1)))</f>
        <v/>
      </c>
      <c r="C332" s="29">
        <f>IF($A332="","",班表!$A16)</f>
        <v/>
      </c>
      <c r="D332" s="29">
        <f>IF($C332="","",班表!$B16)</f>
        <v/>
      </c>
      <c r="E332" s="29">
        <f>IF($C332="","",班表!$C16)</f>
        <v/>
      </c>
      <c r="F332" s="29">
        <f>IF($C332="","",班表!W16)</f>
        <v/>
      </c>
      <c r="G332" s="31">
        <f>IF($F332="","",IFERROR(INDEX(設定!$D$5:$D$20,MATCH($F332,設定!$B$5:$B$20,0)),""))</f>
        <v/>
      </c>
      <c r="H332" s="31">
        <f>IF($F332="","",IFERROR(INDEX(設定!$E$5:$E$20,MATCH($F332,設定!$B$5:$B$20,0)),""))</f>
        <v/>
      </c>
      <c r="I332" s="31">
        <f>IFERROR(INDEX(打卡匯入!$C$3:$C$1002,MATCH($C332&amp;"|"&amp;DAY($A332),打卡匯入!$E$3:$E$1002,0)),"")</f>
        <v/>
      </c>
      <c r="J332" s="31">
        <f>IFERROR(INDEX(打卡匯入!$D$3:$D$1002,MATCH($C332&amp;"|"&amp;DAY($A332),打卡匯入!$E$3:$E$1002,0)),"")</f>
        <v/>
      </c>
      <c r="K332" s="32">
        <f>IF(OR($I332="",$J332=""),"",IFERROR(INDEX(設定!$F$5:$F$20,MATCH($F332,設定!$B$5:$B$20,0)),0))</f>
        <v/>
      </c>
      <c r="L332" s="33">
        <f>IF(OR($I332="",$J332=""),"",ROUND(($J332-$I332)*24-$K332/60,2))</f>
        <v/>
      </c>
      <c r="M332" s="29">
        <f>IF($C332="","",IF(AND(COUNTIF(設定!$B$14:$B$20,$F332)&gt;0,$I332&lt;&gt;""),"假日出勤",IF(AND(COUNTIF(設定!$B$5:$B$13,$F332)&gt;0,$I332=""),"未打卡",IF($I332="","",IF($N332&gt;0,"遲到",IF($O332&gt;0,"早退","正常"))))))</f>
        <v/>
      </c>
      <c r="N332" s="32">
        <f>IF(OR($C332="",$G332="",$I332=""),0,IF(ROUND(($I332-$G332)*1440,0)&gt;設定!$C$28,ROUND(($I332-$G332)*1440,0),0))</f>
        <v/>
      </c>
      <c r="O332" s="32">
        <f>IF(OR($C332="",$H332="",$J332=""),0,IF(ROUND(($H332-$J332)*1440,0)&gt;設定!$C$28,ROUND(($H332-$J332)*1440,0),0))</f>
        <v/>
      </c>
      <c r="P332" s="33">
        <f>IF($L332="",0,IF(($L332-IFERROR(INDEX(設定!$G$5:$G$20,MATCH($F332,設定!$B$5:$B$20,0)),0))*60&gt;=設定!$C$26,ROUND(FLOOR(($L332-IFERROR(INDEX(設定!$G$5:$G$20,MATCH($F332,設定!$B$5:$B$20,0)),0))*60,設定!$C$27)/60,2),0))</f>
        <v/>
      </c>
      <c r="Q332" s="29">
        <f>IF(OR($C332="",$P332=0),"",IF($F332="國","國定假日",IF($B332="日","例假",IF($B332="六","休息日","平日"))))</f>
        <v/>
      </c>
      <c r="R332" s="34" t="n"/>
    </row>
    <row r="333">
      <c r="A333" s="30">
        <f>IF(OR(班表!$A16="",21&gt;DAY(EOMONTH(DATE(班表!$E$2,班表!$G$2,1),0))),"",DATE(班表!$E$2,班表!$G$2,21))</f>
        <v/>
      </c>
      <c r="B333" s="29">
        <f>IF($A333="","",INDEX(設定!$L$5:$L$11,WEEKDAY($A333,1)))</f>
        <v/>
      </c>
      <c r="C333" s="29">
        <f>IF($A333="","",班表!$A16)</f>
        <v/>
      </c>
      <c r="D333" s="29">
        <f>IF($C333="","",班表!$B16)</f>
        <v/>
      </c>
      <c r="E333" s="29">
        <f>IF($C333="","",班表!$C16)</f>
        <v/>
      </c>
      <c r="F333" s="29">
        <f>IF($C333="","",班表!X16)</f>
        <v/>
      </c>
      <c r="G333" s="31">
        <f>IF($F333="","",IFERROR(INDEX(設定!$D$5:$D$20,MATCH($F333,設定!$B$5:$B$20,0)),""))</f>
        <v/>
      </c>
      <c r="H333" s="31">
        <f>IF($F333="","",IFERROR(INDEX(設定!$E$5:$E$20,MATCH($F333,設定!$B$5:$B$20,0)),""))</f>
        <v/>
      </c>
      <c r="I333" s="31">
        <f>IFERROR(INDEX(打卡匯入!$C$3:$C$1002,MATCH($C333&amp;"|"&amp;DAY($A333),打卡匯入!$E$3:$E$1002,0)),"")</f>
        <v/>
      </c>
      <c r="J333" s="31">
        <f>IFERROR(INDEX(打卡匯入!$D$3:$D$1002,MATCH($C333&amp;"|"&amp;DAY($A333),打卡匯入!$E$3:$E$1002,0)),"")</f>
        <v/>
      </c>
      <c r="K333" s="32">
        <f>IF(OR($I333="",$J333=""),"",IFERROR(INDEX(設定!$F$5:$F$20,MATCH($F333,設定!$B$5:$B$20,0)),0))</f>
        <v/>
      </c>
      <c r="L333" s="33">
        <f>IF(OR($I333="",$J333=""),"",ROUND(($J333-$I333)*24-$K333/60,2))</f>
        <v/>
      </c>
      <c r="M333" s="29">
        <f>IF($C333="","",IF(AND(COUNTIF(設定!$B$14:$B$20,$F333)&gt;0,$I333&lt;&gt;""),"假日出勤",IF(AND(COUNTIF(設定!$B$5:$B$13,$F333)&gt;0,$I333=""),"未打卡",IF($I333="","",IF($N333&gt;0,"遲到",IF($O333&gt;0,"早退","正常"))))))</f>
        <v/>
      </c>
      <c r="N333" s="32">
        <f>IF(OR($C333="",$G333="",$I333=""),0,IF(ROUND(($I333-$G333)*1440,0)&gt;設定!$C$28,ROUND(($I333-$G333)*1440,0),0))</f>
        <v/>
      </c>
      <c r="O333" s="32">
        <f>IF(OR($C333="",$H333="",$J333=""),0,IF(ROUND(($H333-$J333)*1440,0)&gt;設定!$C$28,ROUND(($H333-$J333)*1440,0),0))</f>
        <v/>
      </c>
      <c r="P333" s="33">
        <f>IF($L333="",0,IF(($L333-IFERROR(INDEX(設定!$G$5:$G$20,MATCH($F333,設定!$B$5:$B$20,0)),0))*60&gt;=設定!$C$26,ROUND(FLOOR(($L333-IFERROR(INDEX(設定!$G$5:$G$20,MATCH($F333,設定!$B$5:$B$20,0)),0))*60,設定!$C$27)/60,2),0))</f>
        <v/>
      </c>
      <c r="Q333" s="29">
        <f>IF(OR($C333="",$P333=0),"",IF($F333="國","國定假日",IF($B333="日","例假",IF($B333="六","休息日","平日"))))</f>
        <v/>
      </c>
      <c r="R333" s="34" t="n"/>
    </row>
    <row r="334">
      <c r="A334" s="30">
        <f>IF(OR(班表!$A16="",22&gt;DAY(EOMONTH(DATE(班表!$E$2,班表!$G$2,1),0))),"",DATE(班表!$E$2,班表!$G$2,22))</f>
        <v/>
      </c>
      <c r="B334" s="29">
        <f>IF($A334="","",INDEX(設定!$L$5:$L$11,WEEKDAY($A334,1)))</f>
        <v/>
      </c>
      <c r="C334" s="29">
        <f>IF($A334="","",班表!$A16)</f>
        <v/>
      </c>
      <c r="D334" s="29">
        <f>IF($C334="","",班表!$B16)</f>
        <v/>
      </c>
      <c r="E334" s="29">
        <f>IF($C334="","",班表!$C16)</f>
        <v/>
      </c>
      <c r="F334" s="29">
        <f>IF($C334="","",班表!Y16)</f>
        <v/>
      </c>
      <c r="G334" s="31">
        <f>IF($F334="","",IFERROR(INDEX(設定!$D$5:$D$20,MATCH($F334,設定!$B$5:$B$20,0)),""))</f>
        <v/>
      </c>
      <c r="H334" s="31">
        <f>IF($F334="","",IFERROR(INDEX(設定!$E$5:$E$20,MATCH($F334,設定!$B$5:$B$20,0)),""))</f>
        <v/>
      </c>
      <c r="I334" s="31">
        <f>IFERROR(INDEX(打卡匯入!$C$3:$C$1002,MATCH($C334&amp;"|"&amp;DAY($A334),打卡匯入!$E$3:$E$1002,0)),"")</f>
        <v/>
      </c>
      <c r="J334" s="31">
        <f>IFERROR(INDEX(打卡匯入!$D$3:$D$1002,MATCH($C334&amp;"|"&amp;DAY($A334),打卡匯入!$E$3:$E$1002,0)),"")</f>
        <v/>
      </c>
      <c r="K334" s="32">
        <f>IF(OR($I334="",$J334=""),"",IFERROR(INDEX(設定!$F$5:$F$20,MATCH($F334,設定!$B$5:$B$20,0)),0))</f>
        <v/>
      </c>
      <c r="L334" s="33">
        <f>IF(OR($I334="",$J334=""),"",ROUND(($J334-$I334)*24-$K334/60,2))</f>
        <v/>
      </c>
      <c r="M334" s="29">
        <f>IF($C334="","",IF(AND(COUNTIF(設定!$B$14:$B$20,$F334)&gt;0,$I334&lt;&gt;""),"假日出勤",IF(AND(COUNTIF(設定!$B$5:$B$13,$F334)&gt;0,$I334=""),"未打卡",IF($I334="","",IF($N334&gt;0,"遲到",IF($O334&gt;0,"早退","正常"))))))</f>
        <v/>
      </c>
      <c r="N334" s="32">
        <f>IF(OR($C334="",$G334="",$I334=""),0,IF(ROUND(($I334-$G334)*1440,0)&gt;設定!$C$28,ROUND(($I334-$G334)*1440,0),0))</f>
        <v/>
      </c>
      <c r="O334" s="32">
        <f>IF(OR($C334="",$H334="",$J334=""),0,IF(ROUND(($H334-$J334)*1440,0)&gt;設定!$C$28,ROUND(($H334-$J334)*1440,0),0))</f>
        <v/>
      </c>
      <c r="P334" s="33">
        <f>IF($L334="",0,IF(($L334-IFERROR(INDEX(設定!$G$5:$G$20,MATCH($F334,設定!$B$5:$B$20,0)),0))*60&gt;=設定!$C$26,ROUND(FLOOR(($L334-IFERROR(INDEX(設定!$G$5:$G$20,MATCH($F334,設定!$B$5:$B$20,0)),0))*60,設定!$C$27)/60,2),0))</f>
        <v/>
      </c>
      <c r="Q334" s="29">
        <f>IF(OR($C334="",$P334=0),"",IF($F334="國","國定假日",IF($B334="日","例假",IF($B334="六","休息日","平日"))))</f>
        <v/>
      </c>
      <c r="R334" s="34" t="n"/>
    </row>
    <row r="335">
      <c r="A335" s="30">
        <f>IF(OR(班表!$A16="",23&gt;DAY(EOMONTH(DATE(班表!$E$2,班表!$G$2,1),0))),"",DATE(班表!$E$2,班表!$G$2,23))</f>
        <v/>
      </c>
      <c r="B335" s="29">
        <f>IF($A335="","",INDEX(設定!$L$5:$L$11,WEEKDAY($A335,1)))</f>
        <v/>
      </c>
      <c r="C335" s="29">
        <f>IF($A335="","",班表!$A16)</f>
        <v/>
      </c>
      <c r="D335" s="29">
        <f>IF($C335="","",班表!$B16)</f>
        <v/>
      </c>
      <c r="E335" s="29">
        <f>IF($C335="","",班表!$C16)</f>
        <v/>
      </c>
      <c r="F335" s="29">
        <f>IF($C335="","",班表!Z16)</f>
        <v/>
      </c>
      <c r="G335" s="31">
        <f>IF($F335="","",IFERROR(INDEX(設定!$D$5:$D$20,MATCH($F335,設定!$B$5:$B$20,0)),""))</f>
        <v/>
      </c>
      <c r="H335" s="31">
        <f>IF($F335="","",IFERROR(INDEX(設定!$E$5:$E$20,MATCH($F335,設定!$B$5:$B$20,0)),""))</f>
        <v/>
      </c>
      <c r="I335" s="31">
        <f>IFERROR(INDEX(打卡匯入!$C$3:$C$1002,MATCH($C335&amp;"|"&amp;DAY($A335),打卡匯入!$E$3:$E$1002,0)),"")</f>
        <v/>
      </c>
      <c r="J335" s="31">
        <f>IFERROR(INDEX(打卡匯入!$D$3:$D$1002,MATCH($C335&amp;"|"&amp;DAY($A335),打卡匯入!$E$3:$E$1002,0)),"")</f>
        <v/>
      </c>
      <c r="K335" s="32">
        <f>IF(OR($I335="",$J335=""),"",IFERROR(INDEX(設定!$F$5:$F$20,MATCH($F335,設定!$B$5:$B$20,0)),0))</f>
        <v/>
      </c>
      <c r="L335" s="33">
        <f>IF(OR($I335="",$J335=""),"",ROUND(($J335-$I335)*24-$K335/60,2))</f>
        <v/>
      </c>
      <c r="M335" s="29">
        <f>IF($C335="","",IF(AND(COUNTIF(設定!$B$14:$B$20,$F335)&gt;0,$I335&lt;&gt;""),"假日出勤",IF(AND(COUNTIF(設定!$B$5:$B$13,$F335)&gt;0,$I335=""),"未打卡",IF($I335="","",IF($N335&gt;0,"遲到",IF($O335&gt;0,"早退","正常"))))))</f>
        <v/>
      </c>
      <c r="N335" s="32">
        <f>IF(OR($C335="",$G335="",$I335=""),0,IF(ROUND(($I335-$G335)*1440,0)&gt;設定!$C$28,ROUND(($I335-$G335)*1440,0),0))</f>
        <v/>
      </c>
      <c r="O335" s="32">
        <f>IF(OR($C335="",$H335="",$J335=""),0,IF(ROUND(($H335-$J335)*1440,0)&gt;設定!$C$28,ROUND(($H335-$J335)*1440,0),0))</f>
        <v/>
      </c>
      <c r="P335" s="33">
        <f>IF($L335="",0,IF(($L335-IFERROR(INDEX(設定!$G$5:$G$20,MATCH($F335,設定!$B$5:$B$20,0)),0))*60&gt;=設定!$C$26,ROUND(FLOOR(($L335-IFERROR(INDEX(設定!$G$5:$G$20,MATCH($F335,設定!$B$5:$B$20,0)),0))*60,設定!$C$27)/60,2),0))</f>
        <v/>
      </c>
      <c r="Q335" s="29">
        <f>IF(OR($C335="",$P335=0),"",IF($F335="國","國定假日",IF($B335="日","例假",IF($B335="六","休息日","平日"))))</f>
        <v/>
      </c>
      <c r="R335" s="34" t="n"/>
    </row>
    <row r="336">
      <c r="A336" s="30">
        <f>IF(OR(班表!$A16="",24&gt;DAY(EOMONTH(DATE(班表!$E$2,班表!$G$2,1),0))),"",DATE(班表!$E$2,班表!$G$2,24))</f>
        <v/>
      </c>
      <c r="B336" s="29">
        <f>IF($A336="","",INDEX(設定!$L$5:$L$11,WEEKDAY($A336,1)))</f>
        <v/>
      </c>
      <c r="C336" s="29">
        <f>IF($A336="","",班表!$A16)</f>
        <v/>
      </c>
      <c r="D336" s="29">
        <f>IF($C336="","",班表!$B16)</f>
        <v/>
      </c>
      <c r="E336" s="29">
        <f>IF($C336="","",班表!$C16)</f>
        <v/>
      </c>
      <c r="F336" s="29">
        <f>IF($C336="","",班表!AA16)</f>
        <v/>
      </c>
      <c r="G336" s="31">
        <f>IF($F336="","",IFERROR(INDEX(設定!$D$5:$D$20,MATCH($F336,設定!$B$5:$B$20,0)),""))</f>
        <v/>
      </c>
      <c r="H336" s="31">
        <f>IF($F336="","",IFERROR(INDEX(設定!$E$5:$E$20,MATCH($F336,設定!$B$5:$B$20,0)),""))</f>
        <v/>
      </c>
      <c r="I336" s="31">
        <f>IFERROR(INDEX(打卡匯入!$C$3:$C$1002,MATCH($C336&amp;"|"&amp;DAY($A336),打卡匯入!$E$3:$E$1002,0)),"")</f>
        <v/>
      </c>
      <c r="J336" s="31">
        <f>IFERROR(INDEX(打卡匯入!$D$3:$D$1002,MATCH($C336&amp;"|"&amp;DAY($A336),打卡匯入!$E$3:$E$1002,0)),"")</f>
        <v/>
      </c>
      <c r="K336" s="32">
        <f>IF(OR($I336="",$J336=""),"",IFERROR(INDEX(設定!$F$5:$F$20,MATCH($F336,設定!$B$5:$B$20,0)),0))</f>
        <v/>
      </c>
      <c r="L336" s="33">
        <f>IF(OR($I336="",$J336=""),"",ROUND(($J336-$I336)*24-$K336/60,2))</f>
        <v/>
      </c>
      <c r="M336" s="29">
        <f>IF($C336="","",IF(AND(COUNTIF(設定!$B$14:$B$20,$F336)&gt;0,$I336&lt;&gt;""),"假日出勤",IF(AND(COUNTIF(設定!$B$5:$B$13,$F336)&gt;0,$I336=""),"未打卡",IF($I336="","",IF($N336&gt;0,"遲到",IF($O336&gt;0,"早退","正常"))))))</f>
        <v/>
      </c>
      <c r="N336" s="32">
        <f>IF(OR($C336="",$G336="",$I336=""),0,IF(ROUND(($I336-$G336)*1440,0)&gt;設定!$C$28,ROUND(($I336-$G336)*1440,0),0))</f>
        <v/>
      </c>
      <c r="O336" s="32">
        <f>IF(OR($C336="",$H336="",$J336=""),0,IF(ROUND(($H336-$J336)*1440,0)&gt;設定!$C$28,ROUND(($H336-$J336)*1440,0),0))</f>
        <v/>
      </c>
      <c r="P336" s="33">
        <f>IF($L336="",0,IF(($L336-IFERROR(INDEX(設定!$G$5:$G$20,MATCH($F336,設定!$B$5:$B$20,0)),0))*60&gt;=設定!$C$26,ROUND(FLOOR(($L336-IFERROR(INDEX(設定!$G$5:$G$20,MATCH($F336,設定!$B$5:$B$20,0)),0))*60,設定!$C$27)/60,2),0))</f>
        <v/>
      </c>
      <c r="Q336" s="29">
        <f>IF(OR($C336="",$P336=0),"",IF($F336="國","國定假日",IF($B336="日","例假",IF($B336="六","休息日","平日"))))</f>
        <v/>
      </c>
      <c r="R336" s="34" t="n"/>
    </row>
    <row r="337">
      <c r="A337" s="30">
        <f>IF(OR(班表!$A16="",25&gt;DAY(EOMONTH(DATE(班表!$E$2,班表!$G$2,1),0))),"",DATE(班表!$E$2,班表!$G$2,25))</f>
        <v/>
      </c>
      <c r="B337" s="29">
        <f>IF($A337="","",INDEX(設定!$L$5:$L$11,WEEKDAY($A337,1)))</f>
        <v/>
      </c>
      <c r="C337" s="29">
        <f>IF($A337="","",班表!$A16)</f>
        <v/>
      </c>
      <c r="D337" s="29">
        <f>IF($C337="","",班表!$B16)</f>
        <v/>
      </c>
      <c r="E337" s="29">
        <f>IF($C337="","",班表!$C16)</f>
        <v/>
      </c>
      <c r="F337" s="29">
        <f>IF($C337="","",班表!AB16)</f>
        <v/>
      </c>
      <c r="G337" s="31">
        <f>IF($F337="","",IFERROR(INDEX(設定!$D$5:$D$20,MATCH($F337,設定!$B$5:$B$20,0)),""))</f>
        <v/>
      </c>
      <c r="H337" s="31">
        <f>IF($F337="","",IFERROR(INDEX(設定!$E$5:$E$20,MATCH($F337,設定!$B$5:$B$20,0)),""))</f>
        <v/>
      </c>
      <c r="I337" s="31">
        <f>IFERROR(INDEX(打卡匯入!$C$3:$C$1002,MATCH($C337&amp;"|"&amp;DAY($A337),打卡匯入!$E$3:$E$1002,0)),"")</f>
        <v/>
      </c>
      <c r="J337" s="31">
        <f>IFERROR(INDEX(打卡匯入!$D$3:$D$1002,MATCH($C337&amp;"|"&amp;DAY($A337),打卡匯入!$E$3:$E$1002,0)),"")</f>
        <v/>
      </c>
      <c r="K337" s="32">
        <f>IF(OR($I337="",$J337=""),"",IFERROR(INDEX(設定!$F$5:$F$20,MATCH($F337,設定!$B$5:$B$20,0)),0))</f>
        <v/>
      </c>
      <c r="L337" s="33">
        <f>IF(OR($I337="",$J337=""),"",ROUND(($J337-$I337)*24-$K337/60,2))</f>
        <v/>
      </c>
      <c r="M337" s="29">
        <f>IF($C337="","",IF(AND(COUNTIF(設定!$B$14:$B$20,$F337)&gt;0,$I337&lt;&gt;""),"假日出勤",IF(AND(COUNTIF(設定!$B$5:$B$13,$F337)&gt;0,$I337=""),"未打卡",IF($I337="","",IF($N337&gt;0,"遲到",IF($O337&gt;0,"早退","正常"))))))</f>
        <v/>
      </c>
      <c r="N337" s="32">
        <f>IF(OR($C337="",$G337="",$I337=""),0,IF(ROUND(($I337-$G337)*1440,0)&gt;設定!$C$28,ROUND(($I337-$G337)*1440,0),0))</f>
        <v/>
      </c>
      <c r="O337" s="32">
        <f>IF(OR($C337="",$H337="",$J337=""),0,IF(ROUND(($H337-$J337)*1440,0)&gt;設定!$C$28,ROUND(($H337-$J337)*1440,0),0))</f>
        <v/>
      </c>
      <c r="P337" s="33">
        <f>IF($L337="",0,IF(($L337-IFERROR(INDEX(設定!$G$5:$G$20,MATCH($F337,設定!$B$5:$B$20,0)),0))*60&gt;=設定!$C$26,ROUND(FLOOR(($L337-IFERROR(INDEX(設定!$G$5:$G$20,MATCH($F337,設定!$B$5:$B$20,0)),0))*60,設定!$C$27)/60,2),0))</f>
        <v/>
      </c>
      <c r="Q337" s="29">
        <f>IF(OR($C337="",$P337=0),"",IF($F337="國","國定假日",IF($B337="日","例假",IF($B337="六","休息日","平日"))))</f>
        <v/>
      </c>
      <c r="R337" s="34" t="n"/>
    </row>
    <row r="338">
      <c r="A338" s="30">
        <f>IF(OR(班表!$A16="",26&gt;DAY(EOMONTH(DATE(班表!$E$2,班表!$G$2,1),0))),"",DATE(班表!$E$2,班表!$G$2,26))</f>
        <v/>
      </c>
      <c r="B338" s="29">
        <f>IF($A338="","",INDEX(設定!$L$5:$L$11,WEEKDAY($A338,1)))</f>
        <v/>
      </c>
      <c r="C338" s="29">
        <f>IF($A338="","",班表!$A16)</f>
        <v/>
      </c>
      <c r="D338" s="29">
        <f>IF($C338="","",班表!$B16)</f>
        <v/>
      </c>
      <c r="E338" s="29">
        <f>IF($C338="","",班表!$C16)</f>
        <v/>
      </c>
      <c r="F338" s="29">
        <f>IF($C338="","",班表!AC16)</f>
        <v/>
      </c>
      <c r="G338" s="31">
        <f>IF($F338="","",IFERROR(INDEX(設定!$D$5:$D$20,MATCH($F338,設定!$B$5:$B$20,0)),""))</f>
        <v/>
      </c>
      <c r="H338" s="31">
        <f>IF($F338="","",IFERROR(INDEX(設定!$E$5:$E$20,MATCH($F338,設定!$B$5:$B$20,0)),""))</f>
        <v/>
      </c>
      <c r="I338" s="31">
        <f>IFERROR(INDEX(打卡匯入!$C$3:$C$1002,MATCH($C338&amp;"|"&amp;DAY($A338),打卡匯入!$E$3:$E$1002,0)),"")</f>
        <v/>
      </c>
      <c r="J338" s="31">
        <f>IFERROR(INDEX(打卡匯入!$D$3:$D$1002,MATCH($C338&amp;"|"&amp;DAY($A338),打卡匯入!$E$3:$E$1002,0)),"")</f>
        <v/>
      </c>
      <c r="K338" s="32">
        <f>IF(OR($I338="",$J338=""),"",IFERROR(INDEX(設定!$F$5:$F$20,MATCH($F338,設定!$B$5:$B$20,0)),0))</f>
        <v/>
      </c>
      <c r="L338" s="33">
        <f>IF(OR($I338="",$J338=""),"",ROUND(($J338-$I338)*24-$K338/60,2))</f>
        <v/>
      </c>
      <c r="M338" s="29">
        <f>IF($C338="","",IF(AND(COUNTIF(設定!$B$14:$B$20,$F338)&gt;0,$I338&lt;&gt;""),"假日出勤",IF(AND(COUNTIF(設定!$B$5:$B$13,$F338)&gt;0,$I338=""),"未打卡",IF($I338="","",IF($N338&gt;0,"遲到",IF($O338&gt;0,"早退","正常"))))))</f>
        <v/>
      </c>
      <c r="N338" s="32">
        <f>IF(OR($C338="",$G338="",$I338=""),0,IF(ROUND(($I338-$G338)*1440,0)&gt;設定!$C$28,ROUND(($I338-$G338)*1440,0),0))</f>
        <v/>
      </c>
      <c r="O338" s="32">
        <f>IF(OR($C338="",$H338="",$J338=""),0,IF(ROUND(($H338-$J338)*1440,0)&gt;設定!$C$28,ROUND(($H338-$J338)*1440,0),0))</f>
        <v/>
      </c>
      <c r="P338" s="33">
        <f>IF($L338="",0,IF(($L338-IFERROR(INDEX(設定!$G$5:$G$20,MATCH($F338,設定!$B$5:$B$20,0)),0))*60&gt;=設定!$C$26,ROUND(FLOOR(($L338-IFERROR(INDEX(設定!$G$5:$G$20,MATCH($F338,設定!$B$5:$B$20,0)),0))*60,設定!$C$27)/60,2),0))</f>
        <v/>
      </c>
      <c r="Q338" s="29">
        <f>IF(OR($C338="",$P338=0),"",IF($F338="國","國定假日",IF($B338="日","例假",IF($B338="六","休息日","平日"))))</f>
        <v/>
      </c>
      <c r="R338" s="34" t="n"/>
    </row>
    <row r="339">
      <c r="A339" s="30">
        <f>IF(OR(班表!$A16="",27&gt;DAY(EOMONTH(DATE(班表!$E$2,班表!$G$2,1),0))),"",DATE(班表!$E$2,班表!$G$2,27))</f>
        <v/>
      </c>
      <c r="B339" s="29">
        <f>IF($A339="","",INDEX(設定!$L$5:$L$11,WEEKDAY($A339,1)))</f>
        <v/>
      </c>
      <c r="C339" s="29">
        <f>IF($A339="","",班表!$A16)</f>
        <v/>
      </c>
      <c r="D339" s="29">
        <f>IF($C339="","",班表!$B16)</f>
        <v/>
      </c>
      <c r="E339" s="29">
        <f>IF($C339="","",班表!$C16)</f>
        <v/>
      </c>
      <c r="F339" s="29">
        <f>IF($C339="","",班表!AD16)</f>
        <v/>
      </c>
      <c r="G339" s="31">
        <f>IF($F339="","",IFERROR(INDEX(設定!$D$5:$D$20,MATCH($F339,設定!$B$5:$B$20,0)),""))</f>
        <v/>
      </c>
      <c r="H339" s="31">
        <f>IF($F339="","",IFERROR(INDEX(設定!$E$5:$E$20,MATCH($F339,設定!$B$5:$B$20,0)),""))</f>
        <v/>
      </c>
      <c r="I339" s="31">
        <f>IFERROR(INDEX(打卡匯入!$C$3:$C$1002,MATCH($C339&amp;"|"&amp;DAY($A339),打卡匯入!$E$3:$E$1002,0)),"")</f>
        <v/>
      </c>
      <c r="J339" s="31">
        <f>IFERROR(INDEX(打卡匯入!$D$3:$D$1002,MATCH($C339&amp;"|"&amp;DAY($A339),打卡匯入!$E$3:$E$1002,0)),"")</f>
        <v/>
      </c>
      <c r="K339" s="32">
        <f>IF(OR($I339="",$J339=""),"",IFERROR(INDEX(設定!$F$5:$F$20,MATCH($F339,設定!$B$5:$B$20,0)),0))</f>
        <v/>
      </c>
      <c r="L339" s="33">
        <f>IF(OR($I339="",$J339=""),"",ROUND(($J339-$I339)*24-$K339/60,2))</f>
        <v/>
      </c>
      <c r="M339" s="29">
        <f>IF($C339="","",IF(AND(COUNTIF(設定!$B$14:$B$20,$F339)&gt;0,$I339&lt;&gt;""),"假日出勤",IF(AND(COUNTIF(設定!$B$5:$B$13,$F339)&gt;0,$I339=""),"未打卡",IF($I339="","",IF($N339&gt;0,"遲到",IF($O339&gt;0,"早退","正常"))))))</f>
        <v/>
      </c>
      <c r="N339" s="32">
        <f>IF(OR($C339="",$G339="",$I339=""),0,IF(ROUND(($I339-$G339)*1440,0)&gt;設定!$C$28,ROUND(($I339-$G339)*1440,0),0))</f>
        <v/>
      </c>
      <c r="O339" s="32">
        <f>IF(OR($C339="",$H339="",$J339=""),0,IF(ROUND(($H339-$J339)*1440,0)&gt;設定!$C$28,ROUND(($H339-$J339)*1440,0),0))</f>
        <v/>
      </c>
      <c r="P339" s="33">
        <f>IF($L339="",0,IF(($L339-IFERROR(INDEX(設定!$G$5:$G$20,MATCH($F339,設定!$B$5:$B$20,0)),0))*60&gt;=設定!$C$26,ROUND(FLOOR(($L339-IFERROR(INDEX(設定!$G$5:$G$20,MATCH($F339,設定!$B$5:$B$20,0)),0))*60,設定!$C$27)/60,2),0))</f>
        <v/>
      </c>
      <c r="Q339" s="29">
        <f>IF(OR($C339="",$P339=0),"",IF($F339="國","國定假日",IF($B339="日","例假",IF($B339="六","休息日","平日"))))</f>
        <v/>
      </c>
      <c r="R339" s="34" t="n"/>
    </row>
    <row r="340">
      <c r="A340" s="30">
        <f>IF(OR(班表!$A16="",28&gt;DAY(EOMONTH(DATE(班表!$E$2,班表!$G$2,1),0))),"",DATE(班表!$E$2,班表!$G$2,28))</f>
        <v/>
      </c>
      <c r="B340" s="29">
        <f>IF($A340="","",INDEX(設定!$L$5:$L$11,WEEKDAY($A340,1)))</f>
        <v/>
      </c>
      <c r="C340" s="29">
        <f>IF($A340="","",班表!$A16)</f>
        <v/>
      </c>
      <c r="D340" s="29">
        <f>IF($C340="","",班表!$B16)</f>
        <v/>
      </c>
      <c r="E340" s="29">
        <f>IF($C340="","",班表!$C16)</f>
        <v/>
      </c>
      <c r="F340" s="29">
        <f>IF($C340="","",班表!AE16)</f>
        <v/>
      </c>
      <c r="G340" s="31">
        <f>IF($F340="","",IFERROR(INDEX(設定!$D$5:$D$20,MATCH($F340,設定!$B$5:$B$20,0)),""))</f>
        <v/>
      </c>
      <c r="H340" s="31">
        <f>IF($F340="","",IFERROR(INDEX(設定!$E$5:$E$20,MATCH($F340,設定!$B$5:$B$20,0)),""))</f>
        <v/>
      </c>
      <c r="I340" s="31">
        <f>IFERROR(INDEX(打卡匯入!$C$3:$C$1002,MATCH($C340&amp;"|"&amp;DAY($A340),打卡匯入!$E$3:$E$1002,0)),"")</f>
        <v/>
      </c>
      <c r="J340" s="31">
        <f>IFERROR(INDEX(打卡匯入!$D$3:$D$1002,MATCH($C340&amp;"|"&amp;DAY($A340),打卡匯入!$E$3:$E$1002,0)),"")</f>
        <v/>
      </c>
      <c r="K340" s="32">
        <f>IF(OR($I340="",$J340=""),"",IFERROR(INDEX(設定!$F$5:$F$20,MATCH($F340,設定!$B$5:$B$20,0)),0))</f>
        <v/>
      </c>
      <c r="L340" s="33">
        <f>IF(OR($I340="",$J340=""),"",ROUND(($J340-$I340)*24-$K340/60,2))</f>
        <v/>
      </c>
      <c r="M340" s="29">
        <f>IF($C340="","",IF(AND(COUNTIF(設定!$B$14:$B$20,$F340)&gt;0,$I340&lt;&gt;""),"假日出勤",IF(AND(COUNTIF(設定!$B$5:$B$13,$F340)&gt;0,$I340=""),"未打卡",IF($I340="","",IF($N340&gt;0,"遲到",IF($O340&gt;0,"早退","正常"))))))</f>
        <v/>
      </c>
      <c r="N340" s="32">
        <f>IF(OR($C340="",$G340="",$I340=""),0,IF(ROUND(($I340-$G340)*1440,0)&gt;設定!$C$28,ROUND(($I340-$G340)*1440,0),0))</f>
        <v/>
      </c>
      <c r="O340" s="32">
        <f>IF(OR($C340="",$H340="",$J340=""),0,IF(ROUND(($H340-$J340)*1440,0)&gt;設定!$C$28,ROUND(($H340-$J340)*1440,0),0))</f>
        <v/>
      </c>
      <c r="P340" s="33">
        <f>IF($L340="",0,IF(($L340-IFERROR(INDEX(設定!$G$5:$G$20,MATCH($F340,設定!$B$5:$B$20,0)),0))*60&gt;=設定!$C$26,ROUND(FLOOR(($L340-IFERROR(INDEX(設定!$G$5:$G$20,MATCH($F340,設定!$B$5:$B$20,0)),0))*60,設定!$C$27)/60,2),0))</f>
        <v/>
      </c>
      <c r="Q340" s="29">
        <f>IF(OR($C340="",$P340=0),"",IF($F340="國","國定假日",IF($B340="日","例假",IF($B340="六","休息日","平日"))))</f>
        <v/>
      </c>
      <c r="R340" s="34" t="n"/>
    </row>
    <row r="341">
      <c r="A341" s="30">
        <f>IF(OR(班表!$A16="",29&gt;DAY(EOMONTH(DATE(班表!$E$2,班表!$G$2,1),0))),"",DATE(班表!$E$2,班表!$G$2,29))</f>
        <v/>
      </c>
      <c r="B341" s="29">
        <f>IF($A341="","",INDEX(設定!$L$5:$L$11,WEEKDAY($A341,1)))</f>
        <v/>
      </c>
      <c r="C341" s="29">
        <f>IF($A341="","",班表!$A16)</f>
        <v/>
      </c>
      <c r="D341" s="29">
        <f>IF($C341="","",班表!$B16)</f>
        <v/>
      </c>
      <c r="E341" s="29">
        <f>IF($C341="","",班表!$C16)</f>
        <v/>
      </c>
      <c r="F341" s="29">
        <f>IF($C341="","",班表!AF16)</f>
        <v/>
      </c>
      <c r="G341" s="31">
        <f>IF($F341="","",IFERROR(INDEX(設定!$D$5:$D$20,MATCH($F341,設定!$B$5:$B$20,0)),""))</f>
        <v/>
      </c>
      <c r="H341" s="31">
        <f>IF($F341="","",IFERROR(INDEX(設定!$E$5:$E$20,MATCH($F341,設定!$B$5:$B$20,0)),""))</f>
        <v/>
      </c>
      <c r="I341" s="31">
        <f>IFERROR(INDEX(打卡匯入!$C$3:$C$1002,MATCH($C341&amp;"|"&amp;DAY($A341),打卡匯入!$E$3:$E$1002,0)),"")</f>
        <v/>
      </c>
      <c r="J341" s="31">
        <f>IFERROR(INDEX(打卡匯入!$D$3:$D$1002,MATCH($C341&amp;"|"&amp;DAY($A341),打卡匯入!$E$3:$E$1002,0)),"")</f>
        <v/>
      </c>
      <c r="K341" s="32">
        <f>IF(OR($I341="",$J341=""),"",IFERROR(INDEX(設定!$F$5:$F$20,MATCH($F341,設定!$B$5:$B$20,0)),0))</f>
        <v/>
      </c>
      <c r="L341" s="33">
        <f>IF(OR($I341="",$J341=""),"",ROUND(($J341-$I341)*24-$K341/60,2))</f>
        <v/>
      </c>
      <c r="M341" s="29">
        <f>IF($C341="","",IF(AND(COUNTIF(設定!$B$14:$B$20,$F341)&gt;0,$I341&lt;&gt;""),"假日出勤",IF(AND(COUNTIF(設定!$B$5:$B$13,$F341)&gt;0,$I341=""),"未打卡",IF($I341="","",IF($N341&gt;0,"遲到",IF($O341&gt;0,"早退","正常"))))))</f>
        <v/>
      </c>
      <c r="N341" s="32">
        <f>IF(OR($C341="",$G341="",$I341=""),0,IF(ROUND(($I341-$G341)*1440,0)&gt;設定!$C$28,ROUND(($I341-$G341)*1440,0),0))</f>
        <v/>
      </c>
      <c r="O341" s="32">
        <f>IF(OR($C341="",$H341="",$J341=""),0,IF(ROUND(($H341-$J341)*1440,0)&gt;設定!$C$28,ROUND(($H341-$J341)*1440,0),0))</f>
        <v/>
      </c>
      <c r="P341" s="33">
        <f>IF($L341="",0,IF(($L341-IFERROR(INDEX(設定!$G$5:$G$20,MATCH($F341,設定!$B$5:$B$20,0)),0))*60&gt;=設定!$C$26,ROUND(FLOOR(($L341-IFERROR(INDEX(設定!$G$5:$G$20,MATCH($F341,設定!$B$5:$B$20,0)),0))*60,設定!$C$27)/60,2),0))</f>
        <v/>
      </c>
      <c r="Q341" s="29">
        <f>IF(OR($C341="",$P341=0),"",IF($F341="國","國定假日",IF($B341="日","例假",IF($B341="六","休息日","平日"))))</f>
        <v/>
      </c>
      <c r="R341" s="34" t="n"/>
    </row>
    <row r="342">
      <c r="A342" s="30">
        <f>IF(OR(班表!$A16="",30&gt;DAY(EOMONTH(DATE(班表!$E$2,班表!$G$2,1),0))),"",DATE(班表!$E$2,班表!$G$2,30))</f>
        <v/>
      </c>
      <c r="B342" s="29">
        <f>IF($A342="","",INDEX(設定!$L$5:$L$11,WEEKDAY($A342,1)))</f>
        <v/>
      </c>
      <c r="C342" s="29">
        <f>IF($A342="","",班表!$A16)</f>
        <v/>
      </c>
      <c r="D342" s="29">
        <f>IF($C342="","",班表!$B16)</f>
        <v/>
      </c>
      <c r="E342" s="29">
        <f>IF($C342="","",班表!$C16)</f>
        <v/>
      </c>
      <c r="F342" s="29">
        <f>IF($C342="","",班表!AG16)</f>
        <v/>
      </c>
      <c r="G342" s="31">
        <f>IF($F342="","",IFERROR(INDEX(設定!$D$5:$D$20,MATCH($F342,設定!$B$5:$B$20,0)),""))</f>
        <v/>
      </c>
      <c r="H342" s="31">
        <f>IF($F342="","",IFERROR(INDEX(設定!$E$5:$E$20,MATCH($F342,設定!$B$5:$B$20,0)),""))</f>
        <v/>
      </c>
      <c r="I342" s="31">
        <f>IFERROR(INDEX(打卡匯入!$C$3:$C$1002,MATCH($C342&amp;"|"&amp;DAY($A342),打卡匯入!$E$3:$E$1002,0)),"")</f>
        <v/>
      </c>
      <c r="J342" s="31">
        <f>IFERROR(INDEX(打卡匯入!$D$3:$D$1002,MATCH($C342&amp;"|"&amp;DAY($A342),打卡匯入!$E$3:$E$1002,0)),"")</f>
        <v/>
      </c>
      <c r="K342" s="32">
        <f>IF(OR($I342="",$J342=""),"",IFERROR(INDEX(設定!$F$5:$F$20,MATCH($F342,設定!$B$5:$B$20,0)),0))</f>
        <v/>
      </c>
      <c r="L342" s="33">
        <f>IF(OR($I342="",$J342=""),"",ROUND(($J342-$I342)*24-$K342/60,2))</f>
        <v/>
      </c>
      <c r="M342" s="29">
        <f>IF($C342="","",IF(AND(COUNTIF(設定!$B$14:$B$20,$F342)&gt;0,$I342&lt;&gt;""),"假日出勤",IF(AND(COUNTIF(設定!$B$5:$B$13,$F342)&gt;0,$I342=""),"未打卡",IF($I342="","",IF($N342&gt;0,"遲到",IF($O342&gt;0,"早退","正常"))))))</f>
        <v/>
      </c>
      <c r="N342" s="32">
        <f>IF(OR($C342="",$G342="",$I342=""),0,IF(ROUND(($I342-$G342)*1440,0)&gt;設定!$C$28,ROUND(($I342-$G342)*1440,0),0))</f>
        <v/>
      </c>
      <c r="O342" s="32">
        <f>IF(OR($C342="",$H342="",$J342=""),0,IF(ROUND(($H342-$J342)*1440,0)&gt;設定!$C$28,ROUND(($H342-$J342)*1440,0),0))</f>
        <v/>
      </c>
      <c r="P342" s="33">
        <f>IF($L342="",0,IF(($L342-IFERROR(INDEX(設定!$G$5:$G$20,MATCH($F342,設定!$B$5:$B$20,0)),0))*60&gt;=設定!$C$26,ROUND(FLOOR(($L342-IFERROR(INDEX(設定!$G$5:$G$20,MATCH($F342,設定!$B$5:$B$20,0)),0))*60,設定!$C$27)/60,2),0))</f>
        <v/>
      </c>
      <c r="Q342" s="29">
        <f>IF(OR($C342="",$P342=0),"",IF($F342="國","國定假日",IF($B342="日","例假",IF($B342="六","休息日","平日"))))</f>
        <v/>
      </c>
      <c r="R342" s="34" t="n"/>
    </row>
    <row r="343">
      <c r="A343" s="30">
        <f>IF(OR(班表!$A16="",31&gt;DAY(EOMONTH(DATE(班表!$E$2,班表!$G$2,1),0))),"",DATE(班表!$E$2,班表!$G$2,31))</f>
        <v/>
      </c>
      <c r="B343" s="29">
        <f>IF($A343="","",INDEX(設定!$L$5:$L$11,WEEKDAY($A343,1)))</f>
        <v/>
      </c>
      <c r="C343" s="29">
        <f>IF($A343="","",班表!$A16)</f>
        <v/>
      </c>
      <c r="D343" s="29">
        <f>IF($C343="","",班表!$B16)</f>
        <v/>
      </c>
      <c r="E343" s="29">
        <f>IF($C343="","",班表!$C16)</f>
        <v/>
      </c>
      <c r="F343" s="29">
        <f>IF($C343="","",班表!AH16)</f>
        <v/>
      </c>
      <c r="G343" s="31">
        <f>IF($F343="","",IFERROR(INDEX(設定!$D$5:$D$20,MATCH($F343,設定!$B$5:$B$20,0)),""))</f>
        <v/>
      </c>
      <c r="H343" s="31">
        <f>IF($F343="","",IFERROR(INDEX(設定!$E$5:$E$20,MATCH($F343,設定!$B$5:$B$20,0)),""))</f>
        <v/>
      </c>
      <c r="I343" s="31">
        <f>IFERROR(INDEX(打卡匯入!$C$3:$C$1002,MATCH($C343&amp;"|"&amp;DAY($A343),打卡匯入!$E$3:$E$1002,0)),"")</f>
        <v/>
      </c>
      <c r="J343" s="31">
        <f>IFERROR(INDEX(打卡匯入!$D$3:$D$1002,MATCH($C343&amp;"|"&amp;DAY($A343),打卡匯入!$E$3:$E$1002,0)),"")</f>
        <v/>
      </c>
      <c r="K343" s="32">
        <f>IF(OR($I343="",$J343=""),"",IFERROR(INDEX(設定!$F$5:$F$20,MATCH($F343,設定!$B$5:$B$20,0)),0))</f>
        <v/>
      </c>
      <c r="L343" s="33">
        <f>IF(OR($I343="",$J343=""),"",ROUND(($J343-$I343)*24-$K343/60,2))</f>
        <v/>
      </c>
      <c r="M343" s="29">
        <f>IF($C343="","",IF(AND(COUNTIF(設定!$B$14:$B$20,$F343)&gt;0,$I343&lt;&gt;""),"假日出勤",IF(AND(COUNTIF(設定!$B$5:$B$13,$F343)&gt;0,$I343=""),"未打卡",IF($I343="","",IF($N343&gt;0,"遲到",IF($O343&gt;0,"早退","正常"))))))</f>
        <v/>
      </c>
      <c r="N343" s="32">
        <f>IF(OR($C343="",$G343="",$I343=""),0,IF(ROUND(($I343-$G343)*1440,0)&gt;設定!$C$28,ROUND(($I343-$G343)*1440,0),0))</f>
        <v/>
      </c>
      <c r="O343" s="32">
        <f>IF(OR($C343="",$H343="",$J343=""),0,IF(ROUND(($H343-$J343)*1440,0)&gt;設定!$C$28,ROUND(($H343-$J343)*1440,0),0))</f>
        <v/>
      </c>
      <c r="P343" s="33">
        <f>IF($L343="",0,IF(($L343-IFERROR(INDEX(設定!$G$5:$G$20,MATCH($F343,設定!$B$5:$B$20,0)),0))*60&gt;=設定!$C$26,ROUND(FLOOR(($L343-IFERROR(INDEX(設定!$G$5:$G$20,MATCH($F343,設定!$B$5:$B$20,0)),0))*60,設定!$C$27)/60,2),0))</f>
        <v/>
      </c>
      <c r="Q343" s="29">
        <f>IF(OR($C343="",$P343=0),"",IF($F343="國","國定假日",IF($B343="日","例假",IF($B343="六","休息日","平日"))))</f>
        <v/>
      </c>
      <c r="R343" s="34" t="n"/>
    </row>
    <row r="344">
      <c r="A344" s="30">
        <f>IF(OR(班表!$A17="",1&gt;DAY(EOMONTH(DATE(班表!$E$2,班表!$G$2,1),0))),"",DATE(班表!$E$2,班表!$G$2,1))</f>
        <v/>
      </c>
      <c r="B344" s="29">
        <f>IF($A344="","",INDEX(設定!$L$5:$L$11,WEEKDAY($A344,1)))</f>
        <v/>
      </c>
      <c r="C344" s="29">
        <f>IF($A344="","",班表!$A17)</f>
        <v/>
      </c>
      <c r="D344" s="29">
        <f>IF($C344="","",班表!$B17)</f>
        <v/>
      </c>
      <c r="E344" s="29">
        <f>IF($C344="","",班表!$C17)</f>
        <v/>
      </c>
      <c r="F344" s="29">
        <f>IF($C344="","",班表!D17)</f>
        <v/>
      </c>
      <c r="G344" s="31">
        <f>IF($F344="","",IFERROR(INDEX(設定!$D$5:$D$20,MATCH($F344,設定!$B$5:$B$20,0)),""))</f>
        <v/>
      </c>
      <c r="H344" s="31">
        <f>IF($F344="","",IFERROR(INDEX(設定!$E$5:$E$20,MATCH($F344,設定!$B$5:$B$20,0)),""))</f>
        <v/>
      </c>
      <c r="I344" s="31">
        <f>IFERROR(INDEX(打卡匯入!$C$3:$C$1002,MATCH($C344&amp;"|"&amp;DAY($A344),打卡匯入!$E$3:$E$1002,0)),"")</f>
        <v/>
      </c>
      <c r="J344" s="31">
        <f>IFERROR(INDEX(打卡匯入!$D$3:$D$1002,MATCH($C344&amp;"|"&amp;DAY($A344),打卡匯入!$E$3:$E$1002,0)),"")</f>
        <v/>
      </c>
      <c r="K344" s="32">
        <f>IF(OR($I344="",$J344=""),"",IFERROR(INDEX(設定!$F$5:$F$20,MATCH($F344,設定!$B$5:$B$20,0)),0))</f>
        <v/>
      </c>
      <c r="L344" s="33">
        <f>IF(OR($I344="",$J344=""),"",ROUND(($J344-$I344)*24-$K344/60,2))</f>
        <v/>
      </c>
      <c r="M344" s="29">
        <f>IF($C344="","",IF(AND(COUNTIF(設定!$B$14:$B$20,$F344)&gt;0,$I344&lt;&gt;""),"假日出勤",IF(AND(COUNTIF(設定!$B$5:$B$13,$F344)&gt;0,$I344=""),"未打卡",IF($I344="","",IF($N344&gt;0,"遲到",IF($O344&gt;0,"早退","正常"))))))</f>
        <v/>
      </c>
      <c r="N344" s="32">
        <f>IF(OR($C344="",$G344="",$I344=""),0,IF(ROUND(($I344-$G344)*1440,0)&gt;設定!$C$28,ROUND(($I344-$G344)*1440,0),0))</f>
        <v/>
      </c>
      <c r="O344" s="32">
        <f>IF(OR($C344="",$H344="",$J344=""),0,IF(ROUND(($H344-$J344)*1440,0)&gt;設定!$C$28,ROUND(($H344-$J344)*1440,0),0))</f>
        <v/>
      </c>
      <c r="P344" s="33">
        <f>IF($L344="",0,IF(($L344-IFERROR(INDEX(設定!$G$5:$G$20,MATCH($F344,設定!$B$5:$B$20,0)),0))*60&gt;=設定!$C$26,ROUND(FLOOR(($L344-IFERROR(INDEX(設定!$G$5:$G$20,MATCH($F344,設定!$B$5:$B$20,0)),0))*60,設定!$C$27)/60,2),0))</f>
        <v/>
      </c>
      <c r="Q344" s="29">
        <f>IF(OR($C344="",$P344=0),"",IF($F344="國","國定假日",IF($B344="日","例假",IF($B344="六","休息日","平日"))))</f>
        <v/>
      </c>
      <c r="R344" s="34" t="n"/>
    </row>
    <row r="345">
      <c r="A345" s="30">
        <f>IF(OR(班表!$A17="",2&gt;DAY(EOMONTH(DATE(班表!$E$2,班表!$G$2,1),0))),"",DATE(班表!$E$2,班表!$G$2,2))</f>
        <v/>
      </c>
      <c r="B345" s="29">
        <f>IF($A345="","",INDEX(設定!$L$5:$L$11,WEEKDAY($A345,1)))</f>
        <v/>
      </c>
      <c r="C345" s="29">
        <f>IF($A345="","",班表!$A17)</f>
        <v/>
      </c>
      <c r="D345" s="29">
        <f>IF($C345="","",班表!$B17)</f>
        <v/>
      </c>
      <c r="E345" s="29">
        <f>IF($C345="","",班表!$C17)</f>
        <v/>
      </c>
      <c r="F345" s="29">
        <f>IF($C345="","",班表!E17)</f>
        <v/>
      </c>
      <c r="G345" s="31">
        <f>IF($F345="","",IFERROR(INDEX(設定!$D$5:$D$20,MATCH($F345,設定!$B$5:$B$20,0)),""))</f>
        <v/>
      </c>
      <c r="H345" s="31">
        <f>IF($F345="","",IFERROR(INDEX(設定!$E$5:$E$20,MATCH($F345,設定!$B$5:$B$20,0)),""))</f>
        <v/>
      </c>
      <c r="I345" s="31">
        <f>IFERROR(INDEX(打卡匯入!$C$3:$C$1002,MATCH($C345&amp;"|"&amp;DAY($A345),打卡匯入!$E$3:$E$1002,0)),"")</f>
        <v/>
      </c>
      <c r="J345" s="31">
        <f>IFERROR(INDEX(打卡匯入!$D$3:$D$1002,MATCH($C345&amp;"|"&amp;DAY($A345),打卡匯入!$E$3:$E$1002,0)),"")</f>
        <v/>
      </c>
      <c r="K345" s="32">
        <f>IF(OR($I345="",$J345=""),"",IFERROR(INDEX(設定!$F$5:$F$20,MATCH($F345,設定!$B$5:$B$20,0)),0))</f>
        <v/>
      </c>
      <c r="L345" s="33">
        <f>IF(OR($I345="",$J345=""),"",ROUND(($J345-$I345)*24-$K345/60,2))</f>
        <v/>
      </c>
      <c r="M345" s="29">
        <f>IF($C345="","",IF(AND(COUNTIF(設定!$B$14:$B$20,$F345)&gt;0,$I345&lt;&gt;""),"假日出勤",IF(AND(COUNTIF(設定!$B$5:$B$13,$F345)&gt;0,$I345=""),"未打卡",IF($I345="","",IF($N345&gt;0,"遲到",IF($O345&gt;0,"早退","正常"))))))</f>
        <v/>
      </c>
      <c r="N345" s="32">
        <f>IF(OR($C345="",$G345="",$I345=""),0,IF(ROUND(($I345-$G345)*1440,0)&gt;設定!$C$28,ROUND(($I345-$G345)*1440,0),0))</f>
        <v/>
      </c>
      <c r="O345" s="32">
        <f>IF(OR($C345="",$H345="",$J345=""),0,IF(ROUND(($H345-$J345)*1440,0)&gt;設定!$C$28,ROUND(($H345-$J345)*1440,0),0))</f>
        <v/>
      </c>
      <c r="P345" s="33">
        <f>IF($L345="",0,IF(($L345-IFERROR(INDEX(設定!$G$5:$G$20,MATCH($F345,設定!$B$5:$B$20,0)),0))*60&gt;=設定!$C$26,ROUND(FLOOR(($L345-IFERROR(INDEX(設定!$G$5:$G$20,MATCH($F345,設定!$B$5:$B$20,0)),0))*60,設定!$C$27)/60,2),0))</f>
        <v/>
      </c>
      <c r="Q345" s="29">
        <f>IF(OR($C345="",$P345=0),"",IF($F345="國","國定假日",IF($B345="日","例假",IF($B345="六","休息日","平日"))))</f>
        <v/>
      </c>
      <c r="R345" s="34" t="n"/>
    </row>
    <row r="346">
      <c r="A346" s="30">
        <f>IF(OR(班表!$A17="",3&gt;DAY(EOMONTH(DATE(班表!$E$2,班表!$G$2,1),0))),"",DATE(班表!$E$2,班表!$G$2,3))</f>
        <v/>
      </c>
      <c r="B346" s="29">
        <f>IF($A346="","",INDEX(設定!$L$5:$L$11,WEEKDAY($A346,1)))</f>
        <v/>
      </c>
      <c r="C346" s="29">
        <f>IF($A346="","",班表!$A17)</f>
        <v/>
      </c>
      <c r="D346" s="29">
        <f>IF($C346="","",班表!$B17)</f>
        <v/>
      </c>
      <c r="E346" s="29">
        <f>IF($C346="","",班表!$C17)</f>
        <v/>
      </c>
      <c r="F346" s="29">
        <f>IF($C346="","",班表!F17)</f>
        <v/>
      </c>
      <c r="G346" s="31">
        <f>IF($F346="","",IFERROR(INDEX(設定!$D$5:$D$20,MATCH($F346,設定!$B$5:$B$20,0)),""))</f>
        <v/>
      </c>
      <c r="H346" s="31">
        <f>IF($F346="","",IFERROR(INDEX(設定!$E$5:$E$20,MATCH($F346,設定!$B$5:$B$20,0)),""))</f>
        <v/>
      </c>
      <c r="I346" s="31">
        <f>IFERROR(INDEX(打卡匯入!$C$3:$C$1002,MATCH($C346&amp;"|"&amp;DAY($A346),打卡匯入!$E$3:$E$1002,0)),"")</f>
        <v/>
      </c>
      <c r="J346" s="31">
        <f>IFERROR(INDEX(打卡匯入!$D$3:$D$1002,MATCH($C346&amp;"|"&amp;DAY($A346),打卡匯入!$E$3:$E$1002,0)),"")</f>
        <v/>
      </c>
      <c r="K346" s="32">
        <f>IF(OR($I346="",$J346=""),"",IFERROR(INDEX(設定!$F$5:$F$20,MATCH($F346,設定!$B$5:$B$20,0)),0))</f>
        <v/>
      </c>
      <c r="L346" s="33">
        <f>IF(OR($I346="",$J346=""),"",ROUND(($J346-$I346)*24-$K346/60,2))</f>
        <v/>
      </c>
      <c r="M346" s="29">
        <f>IF($C346="","",IF(AND(COUNTIF(設定!$B$14:$B$20,$F346)&gt;0,$I346&lt;&gt;""),"假日出勤",IF(AND(COUNTIF(設定!$B$5:$B$13,$F346)&gt;0,$I346=""),"未打卡",IF($I346="","",IF($N346&gt;0,"遲到",IF($O346&gt;0,"早退","正常"))))))</f>
        <v/>
      </c>
      <c r="N346" s="32">
        <f>IF(OR($C346="",$G346="",$I346=""),0,IF(ROUND(($I346-$G346)*1440,0)&gt;設定!$C$28,ROUND(($I346-$G346)*1440,0),0))</f>
        <v/>
      </c>
      <c r="O346" s="32">
        <f>IF(OR($C346="",$H346="",$J346=""),0,IF(ROUND(($H346-$J346)*1440,0)&gt;設定!$C$28,ROUND(($H346-$J346)*1440,0),0))</f>
        <v/>
      </c>
      <c r="P346" s="33">
        <f>IF($L346="",0,IF(($L346-IFERROR(INDEX(設定!$G$5:$G$20,MATCH($F346,設定!$B$5:$B$20,0)),0))*60&gt;=設定!$C$26,ROUND(FLOOR(($L346-IFERROR(INDEX(設定!$G$5:$G$20,MATCH($F346,設定!$B$5:$B$20,0)),0))*60,設定!$C$27)/60,2),0))</f>
        <v/>
      </c>
      <c r="Q346" s="29">
        <f>IF(OR($C346="",$P346=0),"",IF($F346="國","國定假日",IF($B346="日","例假",IF($B346="六","休息日","平日"))))</f>
        <v/>
      </c>
      <c r="R346" s="34" t="n"/>
    </row>
    <row r="347">
      <c r="A347" s="30">
        <f>IF(OR(班表!$A17="",4&gt;DAY(EOMONTH(DATE(班表!$E$2,班表!$G$2,1),0))),"",DATE(班表!$E$2,班表!$G$2,4))</f>
        <v/>
      </c>
      <c r="B347" s="29">
        <f>IF($A347="","",INDEX(設定!$L$5:$L$11,WEEKDAY($A347,1)))</f>
        <v/>
      </c>
      <c r="C347" s="29">
        <f>IF($A347="","",班表!$A17)</f>
        <v/>
      </c>
      <c r="D347" s="29">
        <f>IF($C347="","",班表!$B17)</f>
        <v/>
      </c>
      <c r="E347" s="29">
        <f>IF($C347="","",班表!$C17)</f>
        <v/>
      </c>
      <c r="F347" s="29">
        <f>IF($C347="","",班表!G17)</f>
        <v/>
      </c>
      <c r="G347" s="31">
        <f>IF($F347="","",IFERROR(INDEX(設定!$D$5:$D$20,MATCH($F347,設定!$B$5:$B$20,0)),""))</f>
        <v/>
      </c>
      <c r="H347" s="31">
        <f>IF($F347="","",IFERROR(INDEX(設定!$E$5:$E$20,MATCH($F347,設定!$B$5:$B$20,0)),""))</f>
        <v/>
      </c>
      <c r="I347" s="31">
        <f>IFERROR(INDEX(打卡匯入!$C$3:$C$1002,MATCH($C347&amp;"|"&amp;DAY($A347),打卡匯入!$E$3:$E$1002,0)),"")</f>
        <v/>
      </c>
      <c r="J347" s="31">
        <f>IFERROR(INDEX(打卡匯入!$D$3:$D$1002,MATCH($C347&amp;"|"&amp;DAY($A347),打卡匯入!$E$3:$E$1002,0)),"")</f>
        <v/>
      </c>
      <c r="K347" s="32">
        <f>IF(OR($I347="",$J347=""),"",IFERROR(INDEX(設定!$F$5:$F$20,MATCH($F347,設定!$B$5:$B$20,0)),0))</f>
        <v/>
      </c>
      <c r="L347" s="33">
        <f>IF(OR($I347="",$J347=""),"",ROUND(($J347-$I347)*24-$K347/60,2))</f>
        <v/>
      </c>
      <c r="M347" s="29">
        <f>IF($C347="","",IF(AND(COUNTIF(設定!$B$14:$B$20,$F347)&gt;0,$I347&lt;&gt;""),"假日出勤",IF(AND(COUNTIF(設定!$B$5:$B$13,$F347)&gt;0,$I347=""),"未打卡",IF($I347="","",IF($N347&gt;0,"遲到",IF($O347&gt;0,"早退","正常"))))))</f>
        <v/>
      </c>
      <c r="N347" s="32">
        <f>IF(OR($C347="",$G347="",$I347=""),0,IF(ROUND(($I347-$G347)*1440,0)&gt;設定!$C$28,ROUND(($I347-$G347)*1440,0),0))</f>
        <v/>
      </c>
      <c r="O347" s="32">
        <f>IF(OR($C347="",$H347="",$J347=""),0,IF(ROUND(($H347-$J347)*1440,0)&gt;設定!$C$28,ROUND(($H347-$J347)*1440,0),0))</f>
        <v/>
      </c>
      <c r="P347" s="33">
        <f>IF($L347="",0,IF(($L347-IFERROR(INDEX(設定!$G$5:$G$20,MATCH($F347,設定!$B$5:$B$20,0)),0))*60&gt;=設定!$C$26,ROUND(FLOOR(($L347-IFERROR(INDEX(設定!$G$5:$G$20,MATCH($F347,設定!$B$5:$B$20,0)),0))*60,設定!$C$27)/60,2),0))</f>
        <v/>
      </c>
      <c r="Q347" s="29">
        <f>IF(OR($C347="",$P347=0),"",IF($F347="國","國定假日",IF($B347="日","例假",IF($B347="六","休息日","平日"))))</f>
        <v/>
      </c>
      <c r="R347" s="34" t="n"/>
    </row>
    <row r="348">
      <c r="A348" s="30">
        <f>IF(OR(班表!$A17="",5&gt;DAY(EOMONTH(DATE(班表!$E$2,班表!$G$2,1),0))),"",DATE(班表!$E$2,班表!$G$2,5))</f>
        <v/>
      </c>
      <c r="B348" s="29">
        <f>IF($A348="","",INDEX(設定!$L$5:$L$11,WEEKDAY($A348,1)))</f>
        <v/>
      </c>
      <c r="C348" s="29">
        <f>IF($A348="","",班表!$A17)</f>
        <v/>
      </c>
      <c r="D348" s="29">
        <f>IF($C348="","",班表!$B17)</f>
        <v/>
      </c>
      <c r="E348" s="29">
        <f>IF($C348="","",班表!$C17)</f>
        <v/>
      </c>
      <c r="F348" s="29">
        <f>IF($C348="","",班表!H17)</f>
        <v/>
      </c>
      <c r="G348" s="31">
        <f>IF($F348="","",IFERROR(INDEX(設定!$D$5:$D$20,MATCH($F348,設定!$B$5:$B$20,0)),""))</f>
        <v/>
      </c>
      <c r="H348" s="31">
        <f>IF($F348="","",IFERROR(INDEX(設定!$E$5:$E$20,MATCH($F348,設定!$B$5:$B$20,0)),""))</f>
        <v/>
      </c>
      <c r="I348" s="31">
        <f>IFERROR(INDEX(打卡匯入!$C$3:$C$1002,MATCH($C348&amp;"|"&amp;DAY($A348),打卡匯入!$E$3:$E$1002,0)),"")</f>
        <v/>
      </c>
      <c r="J348" s="31">
        <f>IFERROR(INDEX(打卡匯入!$D$3:$D$1002,MATCH($C348&amp;"|"&amp;DAY($A348),打卡匯入!$E$3:$E$1002,0)),"")</f>
        <v/>
      </c>
      <c r="K348" s="32">
        <f>IF(OR($I348="",$J348=""),"",IFERROR(INDEX(設定!$F$5:$F$20,MATCH($F348,設定!$B$5:$B$20,0)),0))</f>
        <v/>
      </c>
      <c r="L348" s="33">
        <f>IF(OR($I348="",$J348=""),"",ROUND(($J348-$I348)*24-$K348/60,2))</f>
        <v/>
      </c>
      <c r="M348" s="29">
        <f>IF($C348="","",IF(AND(COUNTIF(設定!$B$14:$B$20,$F348)&gt;0,$I348&lt;&gt;""),"假日出勤",IF(AND(COUNTIF(設定!$B$5:$B$13,$F348)&gt;0,$I348=""),"未打卡",IF($I348="","",IF($N348&gt;0,"遲到",IF($O348&gt;0,"早退","正常"))))))</f>
        <v/>
      </c>
      <c r="N348" s="32">
        <f>IF(OR($C348="",$G348="",$I348=""),0,IF(ROUND(($I348-$G348)*1440,0)&gt;設定!$C$28,ROUND(($I348-$G348)*1440,0),0))</f>
        <v/>
      </c>
      <c r="O348" s="32">
        <f>IF(OR($C348="",$H348="",$J348=""),0,IF(ROUND(($H348-$J348)*1440,0)&gt;設定!$C$28,ROUND(($H348-$J348)*1440,0),0))</f>
        <v/>
      </c>
      <c r="P348" s="33">
        <f>IF($L348="",0,IF(($L348-IFERROR(INDEX(設定!$G$5:$G$20,MATCH($F348,設定!$B$5:$B$20,0)),0))*60&gt;=設定!$C$26,ROUND(FLOOR(($L348-IFERROR(INDEX(設定!$G$5:$G$20,MATCH($F348,設定!$B$5:$B$20,0)),0))*60,設定!$C$27)/60,2),0))</f>
        <v/>
      </c>
      <c r="Q348" s="29">
        <f>IF(OR($C348="",$P348=0),"",IF($F348="國","國定假日",IF($B348="日","例假",IF($B348="六","休息日","平日"))))</f>
        <v/>
      </c>
      <c r="R348" s="34" t="n"/>
    </row>
    <row r="349">
      <c r="A349" s="30">
        <f>IF(OR(班表!$A17="",6&gt;DAY(EOMONTH(DATE(班表!$E$2,班表!$G$2,1),0))),"",DATE(班表!$E$2,班表!$G$2,6))</f>
        <v/>
      </c>
      <c r="B349" s="29">
        <f>IF($A349="","",INDEX(設定!$L$5:$L$11,WEEKDAY($A349,1)))</f>
        <v/>
      </c>
      <c r="C349" s="29">
        <f>IF($A349="","",班表!$A17)</f>
        <v/>
      </c>
      <c r="D349" s="29">
        <f>IF($C349="","",班表!$B17)</f>
        <v/>
      </c>
      <c r="E349" s="29">
        <f>IF($C349="","",班表!$C17)</f>
        <v/>
      </c>
      <c r="F349" s="29">
        <f>IF($C349="","",班表!I17)</f>
        <v/>
      </c>
      <c r="G349" s="31">
        <f>IF($F349="","",IFERROR(INDEX(設定!$D$5:$D$20,MATCH($F349,設定!$B$5:$B$20,0)),""))</f>
        <v/>
      </c>
      <c r="H349" s="31">
        <f>IF($F349="","",IFERROR(INDEX(設定!$E$5:$E$20,MATCH($F349,設定!$B$5:$B$20,0)),""))</f>
        <v/>
      </c>
      <c r="I349" s="31">
        <f>IFERROR(INDEX(打卡匯入!$C$3:$C$1002,MATCH($C349&amp;"|"&amp;DAY($A349),打卡匯入!$E$3:$E$1002,0)),"")</f>
        <v/>
      </c>
      <c r="J349" s="31">
        <f>IFERROR(INDEX(打卡匯入!$D$3:$D$1002,MATCH($C349&amp;"|"&amp;DAY($A349),打卡匯入!$E$3:$E$1002,0)),"")</f>
        <v/>
      </c>
      <c r="K349" s="32">
        <f>IF(OR($I349="",$J349=""),"",IFERROR(INDEX(設定!$F$5:$F$20,MATCH($F349,設定!$B$5:$B$20,0)),0))</f>
        <v/>
      </c>
      <c r="L349" s="33">
        <f>IF(OR($I349="",$J349=""),"",ROUND(($J349-$I349)*24-$K349/60,2))</f>
        <v/>
      </c>
      <c r="M349" s="29">
        <f>IF($C349="","",IF(AND(COUNTIF(設定!$B$14:$B$20,$F349)&gt;0,$I349&lt;&gt;""),"假日出勤",IF(AND(COUNTIF(設定!$B$5:$B$13,$F349)&gt;0,$I349=""),"未打卡",IF($I349="","",IF($N349&gt;0,"遲到",IF($O349&gt;0,"早退","正常"))))))</f>
        <v/>
      </c>
      <c r="N349" s="32">
        <f>IF(OR($C349="",$G349="",$I349=""),0,IF(ROUND(($I349-$G349)*1440,0)&gt;設定!$C$28,ROUND(($I349-$G349)*1440,0),0))</f>
        <v/>
      </c>
      <c r="O349" s="32">
        <f>IF(OR($C349="",$H349="",$J349=""),0,IF(ROUND(($H349-$J349)*1440,0)&gt;設定!$C$28,ROUND(($H349-$J349)*1440,0),0))</f>
        <v/>
      </c>
      <c r="P349" s="33">
        <f>IF($L349="",0,IF(($L349-IFERROR(INDEX(設定!$G$5:$G$20,MATCH($F349,設定!$B$5:$B$20,0)),0))*60&gt;=設定!$C$26,ROUND(FLOOR(($L349-IFERROR(INDEX(設定!$G$5:$G$20,MATCH($F349,設定!$B$5:$B$20,0)),0))*60,設定!$C$27)/60,2),0))</f>
        <v/>
      </c>
      <c r="Q349" s="29">
        <f>IF(OR($C349="",$P349=0),"",IF($F349="國","國定假日",IF($B349="日","例假",IF($B349="六","休息日","平日"))))</f>
        <v/>
      </c>
      <c r="R349" s="34" t="n"/>
    </row>
    <row r="350">
      <c r="A350" s="30">
        <f>IF(OR(班表!$A17="",7&gt;DAY(EOMONTH(DATE(班表!$E$2,班表!$G$2,1),0))),"",DATE(班表!$E$2,班表!$G$2,7))</f>
        <v/>
      </c>
      <c r="B350" s="29">
        <f>IF($A350="","",INDEX(設定!$L$5:$L$11,WEEKDAY($A350,1)))</f>
        <v/>
      </c>
      <c r="C350" s="29">
        <f>IF($A350="","",班表!$A17)</f>
        <v/>
      </c>
      <c r="D350" s="29">
        <f>IF($C350="","",班表!$B17)</f>
        <v/>
      </c>
      <c r="E350" s="29">
        <f>IF($C350="","",班表!$C17)</f>
        <v/>
      </c>
      <c r="F350" s="29">
        <f>IF($C350="","",班表!J17)</f>
        <v/>
      </c>
      <c r="G350" s="31">
        <f>IF($F350="","",IFERROR(INDEX(設定!$D$5:$D$20,MATCH($F350,設定!$B$5:$B$20,0)),""))</f>
        <v/>
      </c>
      <c r="H350" s="31">
        <f>IF($F350="","",IFERROR(INDEX(設定!$E$5:$E$20,MATCH($F350,設定!$B$5:$B$20,0)),""))</f>
        <v/>
      </c>
      <c r="I350" s="31">
        <f>IFERROR(INDEX(打卡匯入!$C$3:$C$1002,MATCH($C350&amp;"|"&amp;DAY($A350),打卡匯入!$E$3:$E$1002,0)),"")</f>
        <v/>
      </c>
      <c r="J350" s="31">
        <f>IFERROR(INDEX(打卡匯入!$D$3:$D$1002,MATCH($C350&amp;"|"&amp;DAY($A350),打卡匯入!$E$3:$E$1002,0)),"")</f>
        <v/>
      </c>
      <c r="K350" s="32">
        <f>IF(OR($I350="",$J350=""),"",IFERROR(INDEX(設定!$F$5:$F$20,MATCH($F350,設定!$B$5:$B$20,0)),0))</f>
        <v/>
      </c>
      <c r="L350" s="33">
        <f>IF(OR($I350="",$J350=""),"",ROUND(($J350-$I350)*24-$K350/60,2))</f>
        <v/>
      </c>
      <c r="M350" s="29">
        <f>IF($C350="","",IF(AND(COUNTIF(設定!$B$14:$B$20,$F350)&gt;0,$I350&lt;&gt;""),"假日出勤",IF(AND(COUNTIF(設定!$B$5:$B$13,$F350)&gt;0,$I350=""),"未打卡",IF($I350="","",IF($N350&gt;0,"遲到",IF($O350&gt;0,"早退","正常"))))))</f>
        <v/>
      </c>
      <c r="N350" s="32">
        <f>IF(OR($C350="",$G350="",$I350=""),0,IF(ROUND(($I350-$G350)*1440,0)&gt;設定!$C$28,ROUND(($I350-$G350)*1440,0),0))</f>
        <v/>
      </c>
      <c r="O350" s="32">
        <f>IF(OR($C350="",$H350="",$J350=""),0,IF(ROUND(($H350-$J350)*1440,0)&gt;設定!$C$28,ROUND(($H350-$J350)*1440,0),0))</f>
        <v/>
      </c>
      <c r="P350" s="33">
        <f>IF($L350="",0,IF(($L350-IFERROR(INDEX(設定!$G$5:$G$20,MATCH($F350,設定!$B$5:$B$20,0)),0))*60&gt;=設定!$C$26,ROUND(FLOOR(($L350-IFERROR(INDEX(設定!$G$5:$G$20,MATCH($F350,設定!$B$5:$B$20,0)),0))*60,設定!$C$27)/60,2),0))</f>
        <v/>
      </c>
      <c r="Q350" s="29">
        <f>IF(OR($C350="",$P350=0),"",IF($F350="國","國定假日",IF($B350="日","例假",IF($B350="六","休息日","平日"))))</f>
        <v/>
      </c>
      <c r="R350" s="34" t="n"/>
    </row>
    <row r="351">
      <c r="A351" s="30">
        <f>IF(OR(班表!$A17="",8&gt;DAY(EOMONTH(DATE(班表!$E$2,班表!$G$2,1),0))),"",DATE(班表!$E$2,班表!$G$2,8))</f>
        <v/>
      </c>
      <c r="B351" s="29">
        <f>IF($A351="","",INDEX(設定!$L$5:$L$11,WEEKDAY($A351,1)))</f>
        <v/>
      </c>
      <c r="C351" s="29">
        <f>IF($A351="","",班表!$A17)</f>
        <v/>
      </c>
      <c r="D351" s="29">
        <f>IF($C351="","",班表!$B17)</f>
        <v/>
      </c>
      <c r="E351" s="29">
        <f>IF($C351="","",班表!$C17)</f>
        <v/>
      </c>
      <c r="F351" s="29">
        <f>IF($C351="","",班表!K17)</f>
        <v/>
      </c>
      <c r="G351" s="31">
        <f>IF($F351="","",IFERROR(INDEX(設定!$D$5:$D$20,MATCH($F351,設定!$B$5:$B$20,0)),""))</f>
        <v/>
      </c>
      <c r="H351" s="31">
        <f>IF($F351="","",IFERROR(INDEX(設定!$E$5:$E$20,MATCH($F351,設定!$B$5:$B$20,0)),""))</f>
        <v/>
      </c>
      <c r="I351" s="31">
        <f>IFERROR(INDEX(打卡匯入!$C$3:$C$1002,MATCH($C351&amp;"|"&amp;DAY($A351),打卡匯入!$E$3:$E$1002,0)),"")</f>
        <v/>
      </c>
      <c r="J351" s="31">
        <f>IFERROR(INDEX(打卡匯入!$D$3:$D$1002,MATCH($C351&amp;"|"&amp;DAY($A351),打卡匯入!$E$3:$E$1002,0)),"")</f>
        <v/>
      </c>
      <c r="K351" s="32">
        <f>IF(OR($I351="",$J351=""),"",IFERROR(INDEX(設定!$F$5:$F$20,MATCH($F351,設定!$B$5:$B$20,0)),0))</f>
        <v/>
      </c>
      <c r="L351" s="33">
        <f>IF(OR($I351="",$J351=""),"",ROUND(($J351-$I351)*24-$K351/60,2))</f>
        <v/>
      </c>
      <c r="M351" s="29">
        <f>IF($C351="","",IF(AND(COUNTIF(設定!$B$14:$B$20,$F351)&gt;0,$I351&lt;&gt;""),"假日出勤",IF(AND(COUNTIF(設定!$B$5:$B$13,$F351)&gt;0,$I351=""),"未打卡",IF($I351="","",IF($N351&gt;0,"遲到",IF($O351&gt;0,"早退","正常"))))))</f>
        <v/>
      </c>
      <c r="N351" s="32">
        <f>IF(OR($C351="",$G351="",$I351=""),0,IF(ROUND(($I351-$G351)*1440,0)&gt;設定!$C$28,ROUND(($I351-$G351)*1440,0),0))</f>
        <v/>
      </c>
      <c r="O351" s="32">
        <f>IF(OR($C351="",$H351="",$J351=""),0,IF(ROUND(($H351-$J351)*1440,0)&gt;設定!$C$28,ROUND(($H351-$J351)*1440,0),0))</f>
        <v/>
      </c>
      <c r="P351" s="33">
        <f>IF($L351="",0,IF(($L351-IFERROR(INDEX(設定!$G$5:$G$20,MATCH($F351,設定!$B$5:$B$20,0)),0))*60&gt;=設定!$C$26,ROUND(FLOOR(($L351-IFERROR(INDEX(設定!$G$5:$G$20,MATCH($F351,設定!$B$5:$B$20,0)),0))*60,設定!$C$27)/60,2),0))</f>
        <v/>
      </c>
      <c r="Q351" s="29">
        <f>IF(OR($C351="",$P351=0),"",IF($F351="國","國定假日",IF($B351="日","例假",IF($B351="六","休息日","平日"))))</f>
        <v/>
      </c>
      <c r="R351" s="34" t="n"/>
    </row>
    <row r="352">
      <c r="A352" s="30">
        <f>IF(OR(班表!$A17="",9&gt;DAY(EOMONTH(DATE(班表!$E$2,班表!$G$2,1),0))),"",DATE(班表!$E$2,班表!$G$2,9))</f>
        <v/>
      </c>
      <c r="B352" s="29">
        <f>IF($A352="","",INDEX(設定!$L$5:$L$11,WEEKDAY($A352,1)))</f>
        <v/>
      </c>
      <c r="C352" s="29">
        <f>IF($A352="","",班表!$A17)</f>
        <v/>
      </c>
      <c r="D352" s="29">
        <f>IF($C352="","",班表!$B17)</f>
        <v/>
      </c>
      <c r="E352" s="29">
        <f>IF($C352="","",班表!$C17)</f>
        <v/>
      </c>
      <c r="F352" s="29">
        <f>IF($C352="","",班表!L17)</f>
        <v/>
      </c>
      <c r="G352" s="31">
        <f>IF($F352="","",IFERROR(INDEX(設定!$D$5:$D$20,MATCH($F352,設定!$B$5:$B$20,0)),""))</f>
        <v/>
      </c>
      <c r="H352" s="31">
        <f>IF($F352="","",IFERROR(INDEX(設定!$E$5:$E$20,MATCH($F352,設定!$B$5:$B$20,0)),""))</f>
        <v/>
      </c>
      <c r="I352" s="31">
        <f>IFERROR(INDEX(打卡匯入!$C$3:$C$1002,MATCH($C352&amp;"|"&amp;DAY($A352),打卡匯入!$E$3:$E$1002,0)),"")</f>
        <v/>
      </c>
      <c r="J352" s="31">
        <f>IFERROR(INDEX(打卡匯入!$D$3:$D$1002,MATCH($C352&amp;"|"&amp;DAY($A352),打卡匯入!$E$3:$E$1002,0)),"")</f>
        <v/>
      </c>
      <c r="K352" s="32">
        <f>IF(OR($I352="",$J352=""),"",IFERROR(INDEX(設定!$F$5:$F$20,MATCH($F352,設定!$B$5:$B$20,0)),0))</f>
        <v/>
      </c>
      <c r="L352" s="33">
        <f>IF(OR($I352="",$J352=""),"",ROUND(($J352-$I352)*24-$K352/60,2))</f>
        <v/>
      </c>
      <c r="M352" s="29">
        <f>IF($C352="","",IF(AND(COUNTIF(設定!$B$14:$B$20,$F352)&gt;0,$I352&lt;&gt;""),"假日出勤",IF(AND(COUNTIF(設定!$B$5:$B$13,$F352)&gt;0,$I352=""),"未打卡",IF($I352="","",IF($N352&gt;0,"遲到",IF($O352&gt;0,"早退","正常"))))))</f>
        <v/>
      </c>
      <c r="N352" s="32">
        <f>IF(OR($C352="",$G352="",$I352=""),0,IF(ROUND(($I352-$G352)*1440,0)&gt;設定!$C$28,ROUND(($I352-$G352)*1440,0),0))</f>
        <v/>
      </c>
      <c r="O352" s="32">
        <f>IF(OR($C352="",$H352="",$J352=""),0,IF(ROUND(($H352-$J352)*1440,0)&gt;設定!$C$28,ROUND(($H352-$J352)*1440,0),0))</f>
        <v/>
      </c>
      <c r="P352" s="33">
        <f>IF($L352="",0,IF(($L352-IFERROR(INDEX(設定!$G$5:$G$20,MATCH($F352,設定!$B$5:$B$20,0)),0))*60&gt;=設定!$C$26,ROUND(FLOOR(($L352-IFERROR(INDEX(設定!$G$5:$G$20,MATCH($F352,設定!$B$5:$B$20,0)),0))*60,設定!$C$27)/60,2),0))</f>
        <v/>
      </c>
      <c r="Q352" s="29">
        <f>IF(OR($C352="",$P352=0),"",IF($F352="國","國定假日",IF($B352="日","例假",IF($B352="六","休息日","平日"))))</f>
        <v/>
      </c>
      <c r="R352" s="34" t="n"/>
    </row>
    <row r="353">
      <c r="A353" s="30">
        <f>IF(OR(班表!$A17="",10&gt;DAY(EOMONTH(DATE(班表!$E$2,班表!$G$2,1),0))),"",DATE(班表!$E$2,班表!$G$2,10))</f>
        <v/>
      </c>
      <c r="B353" s="29">
        <f>IF($A353="","",INDEX(設定!$L$5:$L$11,WEEKDAY($A353,1)))</f>
        <v/>
      </c>
      <c r="C353" s="29">
        <f>IF($A353="","",班表!$A17)</f>
        <v/>
      </c>
      <c r="D353" s="29">
        <f>IF($C353="","",班表!$B17)</f>
        <v/>
      </c>
      <c r="E353" s="29">
        <f>IF($C353="","",班表!$C17)</f>
        <v/>
      </c>
      <c r="F353" s="29">
        <f>IF($C353="","",班表!M17)</f>
        <v/>
      </c>
      <c r="G353" s="31">
        <f>IF($F353="","",IFERROR(INDEX(設定!$D$5:$D$20,MATCH($F353,設定!$B$5:$B$20,0)),""))</f>
        <v/>
      </c>
      <c r="H353" s="31">
        <f>IF($F353="","",IFERROR(INDEX(設定!$E$5:$E$20,MATCH($F353,設定!$B$5:$B$20,0)),""))</f>
        <v/>
      </c>
      <c r="I353" s="31">
        <f>IFERROR(INDEX(打卡匯入!$C$3:$C$1002,MATCH($C353&amp;"|"&amp;DAY($A353),打卡匯入!$E$3:$E$1002,0)),"")</f>
        <v/>
      </c>
      <c r="J353" s="31">
        <f>IFERROR(INDEX(打卡匯入!$D$3:$D$1002,MATCH($C353&amp;"|"&amp;DAY($A353),打卡匯入!$E$3:$E$1002,0)),"")</f>
        <v/>
      </c>
      <c r="K353" s="32">
        <f>IF(OR($I353="",$J353=""),"",IFERROR(INDEX(設定!$F$5:$F$20,MATCH($F353,設定!$B$5:$B$20,0)),0))</f>
        <v/>
      </c>
      <c r="L353" s="33">
        <f>IF(OR($I353="",$J353=""),"",ROUND(($J353-$I353)*24-$K353/60,2))</f>
        <v/>
      </c>
      <c r="M353" s="29">
        <f>IF($C353="","",IF(AND(COUNTIF(設定!$B$14:$B$20,$F353)&gt;0,$I353&lt;&gt;""),"假日出勤",IF(AND(COUNTIF(設定!$B$5:$B$13,$F353)&gt;0,$I353=""),"未打卡",IF($I353="","",IF($N353&gt;0,"遲到",IF($O353&gt;0,"早退","正常"))))))</f>
        <v/>
      </c>
      <c r="N353" s="32">
        <f>IF(OR($C353="",$G353="",$I353=""),0,IF(ROUND(($I353-$G353)*1440,0)&gt;設定!$C$28,ROUND(($I353-$G353)*1440,0),0))</f>
        <v/>
      </c>
      <c r="O353" s="32">
        <f>IF(OR($C353="",$H353="",$J353=""),0,IF(ROUND(($H353-$J353)*1440,0)&gt;設定!$C$28,ROUND(($H353-$J353)*1440,0),0))</f>
        <v/>
      </c>
      <c r="P353" s="33">
        <f>IF($L353="",0,IF(($L353-IFERROR(INDEX(設定!$G$5:$G$20,MATCH($F353,設定!$B$5:$B$20,0)),0))*60&gt;=設定!$C$26,ROUND(FLOOR(($L353-IFERROR(INDEX(設定!$G$5:$G$20,MATCH($F353,設定!$B$5:$B$20,0)),0))*60,設定!$C$27)/60,2),0))</f>
        <v/>
      </c>
      <c r="Q353" s="29">
        <f>IF(OR($C353="",$P353=0),"",IF($F353="國","國定假日",IF($B353="日","例假",IF($B353="六","休息日","平日"))))</f>
        <v/>
      </c>
      <c r="R353" s="34" t="n"/>
    </row>
    <row r="354">
      <c r="A354" s="30">
        <f>IF(OR(班表!$A17="",11&gt;DAY(EOMONTH(DATE(班表!$E$2,班表!$G$2,1),0))),"",DATE(班表!$E$2,班表!$G$2,11))</f>
        <v/>
      </c>
      <c r="B354" s="29">
        <f>IF($A354="","",INDEX(設定!$L$5:$L$11,WEEKDAY($A354,1)))</f>
        <v/>
      </c>
      <c r="C354" s="29">
        <f>IF($A354="","",班表!$A17)</f>
        <v/>
      </c>
      <c r="D354" s="29">
        <f>IF($C354="","",班表!$B17)</f>
        <v/>
      </c>
      <c r="E354" s="29">
        <f>IF($C354="","",班表!$C17)</f>
        <v/>
      </c>
      <c r="F354" s="29">
        <f>IF($C354="","",班表!N17)</f>
        <v/>
      </c>
      <c r="G354" s="31">
        <f>IF($F354="","",IFERROR(INDEX(設定!$D$5:$D$20,MATCH($F354,設定!$B$5:$B$20,0)),""))</f>
        <v/>
      </c>
      <c r="H354" s="31">
        <f>IF($F354="","",IFERROR(INDEX(設定!$E$5:$E$20,MATCH($F354,設定!$B$5:$B$20,0)),""))</f>
        <v/>
      </c>
      <c r="I354" s="31">
        <f>IFERROR(INDEX(打卡匯入!$C$3:$C$1002,MATCH($C354&amp;"|"&amp;DAY($A354),打卡匯入!$E$3:$E$1002,0)),"")</f>
        <v/>
      </c>
      <c r="J354" s="31">
        <f>IFERROR(INDEX(打卡匯入!$D$3:$D$1002,MATCH($C354&amp;"|"&amp;DAY($A354),打卡匯入!$E$3:$E$1002,0)),"")</f>
        <v/>
      </c>
      <c r="K354" s="32">
        <f>IF(OR($I354="",$J354=""),"",IFERROR(INDEX(設定!$F$5:$F$20,MATCH($F354,設定!$B$5:$B$20,0)),0))</f>
        <v/>
      </c>
      <c r="L354" s="33">
        <f>IF(OR($I354="",$J354=""),"",ROUND(($J354-$I354)*24-$K354/60,2))</f>
        <v/>
      </c>
      <c r="M354" s="29">
        <f>IF($C354="","",IF(AND(COUNTIF(設定!$B$14:$B$20,$F354)&gt;0,$I354&lt;&gt;""),"假日出勤",IF(AND(COUNTIF(設定!$B$5:$B$13,$F354)&gt;0,$I354=""),"未打卡",IF($I354="","",IF($N354&gt;0,"遲到",IF($O354&gt;0,"早退","正常"))))))</f>
        <v/>
      </c>
      <c r="N354" s="32">
        <f>IF(OR($C354="",$G354="",$I354=""),0,IF(ROUND(($I354-$G354)*1440,0)&gt;設定!$C$28,ROUND(($I354-$G354)*1440,0),0))</f>
        <v/>
      </c>
      <c r="O354" s="32">
        <f>IF(OR($C354="",$H354="",$J354=""),0,IF(ROUND(($H354-$J354)*1440,0)&gt;設定!$C$28,ROUND(($H354-$J354)*1440,0),0))</f>
        <v/>
      </c>
      <c r="P354" s="33">
        <f>IF($L354="",0,IF(($L354-IFERROR(INDEX(設定!$G$5:$G$20,MATCH($F354,設定!$B$5:$B$20,0)),0))*60&gt;=設定!$C$26,ROUND(FLOOR(($L354-IFERROR(INDEX(設定!$G$5:$G$20,MATCH($F354,設定!$B$5:$B$20,0)),0))*60,設定!$C$27)/60,2),0))</f>
        <v/>
      </c>
      <c r="Q354" s="29">
        <f>IF(OR($C354="",$P354=0),"",IF($F354="國","國定假日",IF($B354="日","例假",IF($B354="六","休息日","平日"))))</f>
        <v/>
      </c>
      <c r="R354" s="34" t="n"/>
    </row>
    <row r="355">
      <c r="A355" s="30">
        <f>IF(OR(班表!$A17="",12&gt;DAY(EOMONTH(DATE(班表!$E$2,班表!$G$2,1),0))),"",DATE(班表!$E$2,班表!$G$2,12))</f>
        <v/>
      </c>
      <c r="B355" s="29">
        <f>IF($A355="","",INDEX(設定!$L$5:$L$11,WEEKDAY($A355,1)))</f>
        <v/>
      </c>
      <c r="C355" s="29">
        <f>IF($A355="","",班表!$A17)</f>
        <v/>
      </c>
      <c r="D355" s="29">
        <f>IF($C355="","",班表!$B17)</f>
        <v/>
      </c>
      <c r="E355" s="29">
        <f>IF($C355="","",班表!$C17)</f>
        <v/>
      </c>
      <c r="F355" s="29">
        <f>IF($C355="","",班表!O17)</f>
        <v/>
      </c>
      <c r="G355" s="31">
        <f>IF($F355="","",IFERROR(INDEX(設定!$D$5:$D$20,MATCH($F355,設定!$B$5:$B$20,0)),""))</f>
        <v/>
      </c>
      <c r="H355" s="31">
        <f>IF($F355="","",IFERROR(INDEX(設定!$E$5:$E$20,MATCH($F355,設定!$B$5:$B$20,0)),""))</f>
        <v/>
      </c>
      <c r="I355" s="31">
        <f>IFERROR(INDEX(打卡匯入!$C$3:$C$1002,MATCH($C355&amp;"|"&amp;DAY($A355),打卡匯入!$E$3:$E$1002,0)),"")</f>
        <v/>
      </c>
      <c r="J355" s="31">
        <f>IFERROR(INDEX(打卡匯入!$D$3:$D$1002,MATCH($C355&amp;"|"&amp;DAY($A355),打卡匯入!$E$3:$E$1002,0)),"")</f>
        <v/>
      </c>
      <c r="K355" s="32">
        <f>IF(OR($I355="",$J355=""),"",IFERROR(INDEX(設定!$F$5:$F$20,MATCH($F355,設定!$B$5:$B$20,0)),0))</f>
        <v/>
      </c>
      <c r="L355" s="33">
        <f>IF(OR($I355="",$J355=""),"",ROUND(($J355-$I355)*24-$K355/60,2))</f>
        <v/>
      </c>
      <c r="M355" s="29">
        <f>IF($C355="","",IF(AND(COUNTIF(設定!$B$14:$B$20,$F355)&gt;0,$I355&lt;&gt;""),"假日出勤",IF(AND(COUNTIF(設定!$B$5:$B$13,$F355)&gt;0,$I355=""),"未打卡",IF($I355="","",IF($N355&gt;0,"遲到",IF($O355&gt;0,"早退","正常"))))))</f>
        <v/>
      </c>
      <c r="N355" s="32">
        <f>IF(OR($C355="",$G355="",$I355=""),0,IF(ROUND(($I355-$G355)*1440,0)&gt;設定!$C$28,ROUND(($I355-$G355)*1440,0),0))</f>
        <v/>
      </c>
      <c r="O355" s="32">
        <f>IF(OR($C355="",$H355="",$J355=""),0,IF(ROUND(($H355-$J355)*1440,0)&gt;設定!$C$28,ROUND(($H355-$J355)*1440,0),0))</f>
        <v/>
      </c>
      <c r="P355" s="33">
        <f>IF($L355="",0,IF(($L355-IFERROR(INDEX(設定!$G$5:$G$20,MATCH($F355,設定!$B$5:$B$20,0)),0))*60&gt;=設定!$C$26,ROUND(FLOOR(($L355-IFERROR(INDEX(設定!$G$5:$G$20,MATCH($F355,設定!$B$5:$B$20,0)),0))*60,設定!$C$27)/60,2),0))</f>
        <v/>
      </c>
      <c r="Q355" s="29">
        <f>IF(OR($C355="",$P355=0),"",IF($F355="國","國定假日",IF($B355="日","例假",IF($B355="六","休息日","平日"))))</f>
        <v/>
      </c>
      <c r="R355" s="34" t="n"/>
    </row>
    <row r="356">
      <c r="A356" s="30">
        <f>IF(OR(班表!$A17="",13&gt;DAY(EOMONTH(DATE(班表!$E$2,班表!$G$2,1),0))),"",DATE(班表!$E$2,班表!$G$2,13))</f>
        <v/>
      </c>
      <c r="B356" s="29">
        <f>IF($A356="","",INDEX(設定!$L$5:$L$11,WEEKDAY($A356,1)))</f>
        <v/>
      </c>
      <c r="C356" s="29">
        <f>IF($A356="","",班表!$A17)</f>
        <v/>
      </c>
      <c r="D356" s="29">
        <f>IF($C356="","",班表!$B17)</f>
        <v/>
      </c>
      <c r="E356" s="29">
        <f>IF($C356="","",班表!$C17)</f>
        <v/>
      </c>
      <c r="F356" s="29">
        <f>IF($C356="","",班表!P17)</f>
        <v/>
      </c>
      <c r="G356" s="31">
        <f>IF($F356="","",IFERROR(INDEX(設定!$D$5:$D$20,MATCH($F356,設定!$B$5:$B$20,0)),""))</f>
        <v/>
      </c>
      <c r="H356" s="31">
        <f>IF($F356="","",IFERROR(INDEX(設定!$E$5:$E$20,MATCH($F356,設定!$B$5:$B$20,0)),""))</f>
        <v/>
      </c>
      <c r="I356" s="31">
        <f>IFERROR(INDEX(打卡匯入!$C$3:$C$1002,MATCH($C356&amp;"|"&amp;DAY($A356),打卡匯入!$E$3:$E$1002,0)),"")</f>
        <v/>
      </c>
      <c r="J356" s="31">
        <f>IFERROR(INDEX(打卡匯入!$D$3:$D$1002,MATCH($C356&amp;"|"&amp;DAY($A356),打卡匯入!$E$3:$E$1002,0)),"")</f>
        <v/>
      </c>
      <c r="K356" s="32">
        <f>IF(OR($I356="",$J356=""),"",IFERROR(INDEX(設定!$F$5:$F$20,MATCH($F356,設定!$B$5:$B$20,0)),0))</f>
        <v/>
      </c>
      <c r="L356" s="33">
        <f>IF(OR($I356="",$J356=""),"",ROUND(($J356-$I356)*24-$K356/60,2))</f>
        <v/>
      </c>
      <c r="M356" s="29">
        <f>IF($C356="","",IF(AND(COUNTIF(設定!$B$14:$B$20,$F356)&gt;0,$I356&lt;&gt;""),"假日出勤",IF(AND(COUNTIF(設定!$B$5:$B$13,$F356)&gt;0,$I356=""),"未打卡",IF($I356="","",IF($N356&gt;0,"遲到",IF($O356&gt;0,"早退","正常"))))))</f>
        <v/>
      </c>
      <c r="N356" s="32">
        <f>IF(OR($C356="",$G356="",$I356=""),0,IF(ROUND(($I356-$G356)*1440,0)&gt;設定!$C$28,ROUND(($I356-$G356)*1440,0),0))</f>
        <v/>
      </c>
      <c r="O356" s="32">
        <f>IF(OR($C356="",$H356="",$J356=""),0,IF(ROUND(($H356-$J356)*1440,0)&gt;設定!$C$28,ROUND(($H356-$J356)*1440,0),0))</f>
        <v/>
      </c>
      <c r="P356" s="33">
        <f>IF($L356="",0,IF(($L356-IFERROR(INDEX(設定!$G$5:$G$20,MATCH($F356,設定!$B$5:$B$20,0)),0))*60&gt;=設定!$C$26,ROUND(FLOOR(($L356-IFERROR(INDEX(設定!$G$5:$G$20,MATCH($F356,設定!$B$5:$B$20,0)),0))*60,設定!$C$27)/60,2),0))</f>
        <v/>
      </c>
      <c r="Q356" s="29">
        <f>IF(OR($C356="",$P356=0),"",IF($F356="國","國定假日",IF($B356="日","例假",IF($B356="六","休息日","平日"))))</f>
        <v/>
      </c>
      <c r="R356" s="34" t="n"/>
    </row>
    <row r="357">
      <c r="A357" s="30">
        <f>IF(OR(班表!$A17="",14&gt;DAY(EOMONTH(DATE(班表!$E$2,班表!$G$2,1),0))),"",DATE(班表!$E$2,班表!$G$2,14))</f>
        <v/>
      </c>
      <c r="B357" s="29">
        <f>IF($A357="","",INDEX(設定!$L$5:$L$11,WEEKDAY($A357,1)))</f>
        <v/>
      </c>
      <c r="C357" s="29">
        <f>IF($A357="","",班表!$A17)</f>
        <v/>
      </c>
      <c r="D357" s="29">
        <f>IF($C357="","",班表!$B17)</f>
        <v/>
      </c>
      <c r="E357" s="29">
        <f>IF($C357="","",班表!$C17)</f>
        <v/>
      </c>
      <c r="F357" s="29">
        <f>IF($C357="","",班表!Q17)</f>
        <v/>
      </c>
      <c r="G357" s="31">
        <f>IF($F357="","",IFERROR(INDEX(設定!$D$5:$D$20,MATCH($F357,設定!$B$5:$B$20,0)),""))</f>
        <v/>
      </c>
      <c r="H357" s="31">
        <f>IF($F357="","",IFERROR(INDEX(設定!$E$5:$E$20,MATCH($F357,設定!$B$5:$B$20,0)),""))</f>
        <v/>
      </c>
      <c r="I357" s="31">
        <f>IFERROR(INDEX(打卡匯入!$C$3:$C$1002,MATCH($C357&amp;"|"&amp;DAY($A357),打卡匯入!$E$3:$E$1002,0)),"")</f>
        <v/>
      </c>
      <c r="J357" s="31">
        <f>IFERROR(INDEX(打卡匯入!$D$3:$D$1002,MATCH($C357&amp;"|"&amp;DAY($A357),打卡匯入!$E$3:$E$1002,0)),"")</f>
        <v/>
      </c>
      <c r="K357" s="32">
        <f>IF(OR($I357="",$J357=""),"",IFERROR(INDEX(設定!$F$5:$F$20,MATCH($F357,設定!$B$5:$B$20,0)),0))</f>
        <v/>
      </c>
      <c r="L357" s="33">
        <f>IF(OR($I357="",$J357=""),"",ROUND(($J357-$I357)*24-$K357/60,2))</f>
        <v/>
      </c>
      <c r="M357" s="29">
        <f>IF($C357="","",IF(AND(COUNTIF(設定!$B$14:$B$20,$F357)&gt;0,$I357&lt;&gt;""),"假日出勤",IF(AND(COUNTIF(設定!$B$5:$B$13,$F357)&gt;0,$I357=""),"未打卡",IF($I357="","",IF($N357&gt;0,"遲到",IF($O357&gt;0,"早退","正常"))))))</f>
        <v/>
      </c>
      <c r="N357" s="32">
        <f>IF(OR($C357="",$G357="",$I357=""),0,IF(ROUND(($I357-$G357)*1440,0)&gt;設定!$C$28,ROUND(($I357-$G357)*1440,0),0))</f>
        <v/>
      </c>
      <c r="O357" s="32">
        <f>IF(OR($C357="",$H357="",$J357=""),0,IF(ROUND(($H357-$J357)*1440,0)&gt;設定!$C$28,ROUND(($H357-$J357)*1440,0),0))</f>
        <v/>
      </c>
      <c r="P357" s="33">
        <f>IF($L357="",0,IF(($L357-IFERROR(INDEX(設定!$G$5:$G$20,MATCH($F357,設定!$B$5:$B$20,0)),0))*60&gt;=設定!$C$26,ROUND(FLOOR(($L357-IFERROR(INDEX(設定!$G$5:$G$20,MATCH($F357,設定!$B$5:$B$20,0)),0))*60,設定!$C$27)/60,2),0))</f>
        <v/>
      </c>
      <c r="Q357" s="29">
        <f>IF(OR($C357="",$P357=0),"",IF($F357="國","國定假日",IF($B357="日","例假",IF($B357="六","休息日","平日"))))</f>
        <v/>
      </c>
      <c r="R357" s="34" t="n"/>
    </row>
    <row r="358">
      <c r="A358" s="30">
        <f>IF(OR(班表!$A17="",15&gt;DAY(EOMONTH(DATE(班表!$E$2,班表!$G$2,1),0))),"",DATE(班表!$E$2,班表!$G$2,15))</f>
        <v/>
      </c>
      <c r="B358" s="29">
        <f>IF($A358="","",INDEX(設定!$L$5:$L$11,WEEKDAY($A358,1)))</f>
        <v/>
      </c>
      <c r="C358" s="29">
        <f>IF($A358="","",班表!$A17)</f>
        <v/>
      </c>
      <c r="D358" s="29">
        <f>IF($C358="","",班表!$B17)</f>
        <v/>
      </c>
      <c r="E358" s="29">
        <f>IF($C358="","",班表!$C17)</f>
        <v/>
      </c>
      <c r="F358" s="29">
        <f>IF($C358="","",班表!R17)</f>
        <v/>
      </c>
      <c r="G358" s="31">
        <f>IF($F358="","",IFERROR(INDEX(設定!$D$5:$D$20,MATCH($F358,設定!$B$5:$B$20,0)),""))</f>
        <v/>
      </c>
      <c r="H358" s="31">
        <f>IF($F358="","",IFERROR(INDEX(設定!$E$5:$E$20,MATCH($F358,設定!$B$5:$B$20,0)),""))</f>
        <v/>
      </c>
      <c r="I358" s="31">
        <f>IFERROR(INDEX(打卡匯入!$C$3:$C$1002,MATCH($C358&amp;"|"&amp;DAY($A358),打卡匯入!$E$3:$E$1002,0)),"")</f>
        <v/>
      </c>
      <c r="J358" s="31">
        <f>IFERROR(INDEX(打卡匯入!$D$3:$D$1002,MATCH($C358&amp;"|"&amp;DAY($A358),打卡匯入!$E$3:$E$1002,0)),"")</f>
        <v/>
      </c>
      <c r="K358" s="32">
        <f>IF(OR($I358="",$J358=""),"",IFERROR(INDEX(設定!$F$5:$F$20,MATCH($F358,設定!$B$5:$B$20,0)),0))</f>
        <v/>
      </c>
      <c r="L358" s="33">
        <f>IF(OR($I358="",$J358=""),"",ROUND(($J358-$I358)*24-$K358/60,2))</f>
        <v/>
      </c>
      <c r="M358" s="29">
        <f>IF($C358="","",IF(AND(COUNTIF(設定!$B$14:$B$20,$F358)&gt;0,$I358&lt;&gt;""),"假日出勤",IF(AND(COUNTIF(設定!$B$5:$B$13,$F358)&gt;0,$I358=""),"未打卡",IF($I358="","",IF($N358&gt;0,"遲到",IF($O358&gt;0,"早退","正常"))))))</f>
        <v/>
      </c>
      <c r="N358" s="32">
        <f>IF(OR($C358="",$G358="",$I358=""),0,IF(ROUND(($I358-$G358)*1440,0)&gt;設定!$C$28,ROUND(($I358-$G358)*1440,0),0))</f>
        <v/>
      </c>
      <c r="O358" s="32">
        <f>IF(OR($C358="",$H358="",$J358=""),0,IF(ROUND(($H358-$J358)*1440,0)&gt;設定!$C$28,ROUND(($H358-$J358)*1440,0),0))</f>
        <v/>
      </c>
      <c r="P358" s="33">
        <f>IF($L358="",0,IF(($L358-IFERROR(INDEX(設定!$G$5:$G$20,MATCH($F358,設定!$B$5:$B$20,0)),0))*60&gt;=設定!$C$26,ROUND(FLOOR(($L358-IFERROR(INDEX(設定!$G$5:$G$20,MATCH($F358,設定!$B$5:$B$20,0)),0))*60,設定!$C$27)/60,2),0))</f>
        <v/>
      </c>
      <c r="Q358" s="29">
        <f>IF(OR($C358="",$P358=0),"",IF($F358="國","國定假日",IF($B358="日","例假",IF($B358="六","休息日","平日"))))</f>
        <v/>
      </c>
      <c r="R358" s="34" t="n"/>
    </row>
    <row r="359">
      <c r="A359" s="30">
        <f>IF(OR(班表!$A17="",16&gt;DAY(EOMONTH(DATE(班表!$E$2,班表!$G$2,1),0))),"",DATE(班表!$E$2,班表!$G$2,16))</f>
        <v/>
      </c>
      <c r="B359" s="29">
        <f>IF($A359="","",INDEX(設定!$L$5:$L$11,WEEKDAY($A359,1)))</f>
        <v/>
      </c>
      <c r="C359" s="29">
        <f>IF($A359="","",班表!$A17)</f>
        <v/>
      </c>
      <c r="D359" s="29">
        <f>IF($C359="","",班表!$B17)</f>
        <v/>
      </c>
      <c r="E359" s="29">
        <f>IF($C359="","",班表!$C17)</f>
        <v/>
      </c>
      <c r="F359" s="29">
        <f>IF($C359="","",班表!S17)</f>
        <v/>
      </c>
      <c r="G359" s="31">
        <f>IF($F359="","",IFERROR(INDEX(設定!$D$5:$D$20,MATCH($F359,設定!$B$5:$B$20,0)),""))</f>
        <v/>
      </c>
      <c r="H359" s="31">
        <f>IF($F359="","",IFERROR(INDEX(設定!$E$5:$E$20,MATCH($F359,設定!$B$5:$B$20,0)),""))</f>
        <v/>
      </c>
      <c r="I359" s="31">
        <f>IFERROR(INDEX(打卡匯入!$C$3:$C$1002,MATCH($C359&amp;"|"&amp;DAY($A359),打卡匯入!$E$3:$E$1002,0)),"")</f>
        <v/>
      </c>
      <c r="J359" s="31">
        <f>IFERROR(INDEX(打卡匯入!$D$3:$D$1002,MATCH($C359&amp;"|"&amp;DAY($A359),打卡匯入!$E$3:$E$1002,0)),"")</f>
        <v/>
      </c>
      <c r="K359" s="32">
        <f>IF(OR($I359="",$J359=""),"",IFERROR(INDEX(設定!$F$5:$F$20,MATCH($F359,設定!$B$5:$B$20,0)),0))</f>
        <v/>
      </c>
      <c r="L359" s="33">
        <f>IF(OR($I359="",$J359=""),"",ROUND(($J359-$I359)*24-$K359/60,2))</f>
        <v/>
      </c>
      <c r="M359" s="29">
        <f>IF($C359="","",IF(AND(COUNTIF(設定!$B$14:$B$20,$F359)&gt;0,$I359&lt;&gt;""),"假日出勤",IF(AND(COUNTIF(設定!$B$5:$B$13,$F359)&gt;0,$I359=""),"未打卡",IF($I359="","",IF($N359&gt;0,"遲到",IF($O359&gt;0,"早退","正常"))))))</f>
        <v/>
      </c>
      <c r="N359" s="32">
        <f>IF(OR($C359="",$G359="",$I359=""),0,IF(ROUND(($I359-$G359)*1440,0)&gt;設定!$C$28,ROUND(($I359-$G359)*1440,0),0))</f>
        <v/>
      </c>
      <c r="O359" s="32">
        <f>IF(OR($C359="",$H359="",$J359=""),0,IF(ROUND(($H359-$J359)*1440,0)&gt;設定!$C$28,ROUND(($H359-$J359)*1440,0),0))</f>
        <v/>
      </c>
      <c r="P359" s="33">
        <f>IF($L359="",0,IF(($L359-IFERROR(INDEX(設定!$G$5:$G$20,MATCH($F359,設定!$B$5:$B$20,0)),0))*60&gt;=設定!$C$26,ROUND(FLOOR(($L359-IFERROR(INDEX(設定!$G$5:$G$20,MATCH($F359,設定!$B$5:$B$20,0)),0))*60,設定!$C$27)/60,2),0))</f>
        <v/>
      </c>
      <c r="Q359" s="29">
        <f>IF(OR($C359="",$P359=0),"",IF($F359="國","國定假日",IF($B359="日","例假",IF($B359="六","休息日","平日"))))</f>
        <v/>
      </c>
      <c r="R359" s="34" t="n"/>
    </row>
    <row r="360">
      <c r="A360" s="30">
        <f>IF(OR(班表!$A17="",17&gt;DAY(EOMONTH(DATE(班表!$E$2,班表!$G$2,1),0))),"",DATE(班表!$E$2,班表!$G$2,17))</f>
        <v/>
      </c>
      <c r="B360" s="29">
        <f>IF($A360="","",INDEX(設定!$L$5:$L$11,WEEKDAY($A360,1)))</f>
        <v/>
      </c>
      <c r="C360" s="29">
        <f>IF($A360="","",班表!$A17)</f>
        <v/>
      </c>
      <c r="D360" s="29">
        <f>IF($C360="","",班表!$B17)</f>
        <v/>
      </c>
      <c r="E360" s="29">
        <f>IF($C360="","",班表!$C17)</f>
        <v/>
      </c>
      <c r="F360" s="29">
        <f>IF($C360="","",班表!T17)</f>
        <v/>
      </c>
      <c r="G360" s="31">
        <f>IF($F360="","",IFERROR(INDEX(設定!$D$5:$D$20,MATCH($F360,設定!$B$5:$B$20,0)),""))</f>
        <v/>
      </c>
      <c r="H360" s="31">
        <f>IF($F360="","",IFERROR(INDEX(設定!$E$5:$E$20,MATCH($F360,設定!$B$5:$B$20,0)),""))</f>
        <v/>
      </c>
      <c r="I360" s="31">
        <f>IFERROR(INDEX(打卡匯入!$C$3:$C$1002,MATCH($C360&amp;"|"&amp;DAY($A360),打卡匯入!$E$3:$E$1002,0)),"")</f>
        <v/>
      </c>
      <c r="J360" s="31">
        <f>IFERROR(INDEX(打卡匯入!$D$3:$D$1002,MATCH($C360&amp;"|"&amp;DAY($A360),打卡匯入!$E$3:$E$1002,0)),"")</f>
        <v/>
      </c>
      <c r="K360" s="32">
        <f>IF(OR($I360="",$J360=""),"",IFERROR(INDEX(設定!$F$5:$F$20,MATCH($F360,設定!$B$5:$B$20,0)),0))</f>
        <v/>
      </c>
      <c r="L360" s="33">
        <f>IF(OR($I360="",$J360=""),"",ROUND(($J360-$I360)*24-$K360/60,2))</f>
        <v/>
      </c>
      <c r="M360" s="29">
        <f>IF($C360="","",IF(AND(COUNTIF(設定!$B$14:$B$20,$F360)&gt;0,$I360&lt;&gt;""),"假日出勤",IF(AND(COUNTIF(設定!$B$5:$B$13,$F360)&gt;0,$I360=""),"未打卡",IF($I360="","",IF($N360&gt;0,"遲到",IF($O360&gt;0,"早退","正常"))))))</f>
        <v/>
      </c>
      <c r="N360" s="32">
        <f>IF(OR($C360="",$G360="",$I360=""),0,IF(ROUND(($I360-$G360)*1440,0)&gt;設定!$C$28,ROUND(($I360-$G360)*1440,0),0))</f>
        <v/>
      </c>
      <c r="O360" s="32">
        <f>IF(OR($C360="",$H360="",$J360=""),0,IF(ROUND(($H360-$J360)*1440,0)&gt;設定!$C$28,ROUND(($H360-$J360)*1440,0),0))</f>
        <v/>
      </c>
      <c r="P360" s="33">
        <f>IF($L360="",0,IF(($L360-IFERROR(INDEX(設定!$G$5:$G$20,MATCH($F360,設定!$B$5:$B$20,0)),0))*60&gt;=設定!$C$26,ROUND(FLOOR(($L360-IFERROR(INDEX(設定!$G$5:$G$20,MATCH($F360,設定!$B$5:$B$20,0)),0))*60,設定!$C$27)/60,2),0))</f>
        <v/>
      </c>
      <c r="Q360" s="29">
        <f>IF(OR($C360="",$P360=0),"",IF($F360="國","國定假日",IF($B360="日","例假",IF($B360="六","休息日","平日"))))</f>
        <v/>
      </c>
      <c r="R360" s="34" t="n"/>
    </row>
    <row r="361">
      <c r="A361" s="30">
        <f>IF(OR(班表!$A17="",18&gt;DAY(EOMONTH(DATE(班表!$E$2,班表!$G$2,1),0))),"",DATE(班表!$E$2,班表!$G$2,18))</f>
        <v/>
      </c>
      <c r="B361" s="29">
        <f>IF($A361="","",INDEX(設定!$L$5:$L$11,WEEKDAY($A361,1)))</f>
        <v/>
      </c>
      <c r="C361" s="29">
        <f>IF($A361="","",班表!$A17)</f>
        <v/>
      </c>
      <c r="D361" s="29">
        <f>IF($C361="","",班表!$B17)</f>
        <v/>
      </c>
      <c r="E361" s="29">
        <f>IF($C361="","",班表!$C17)</f>
        <v/>
      </c>
      <c r="F361" s="29">
        <f>IF($C361="","",班表!U17)</f>
        <v/>
      </c>
      <c r="G361" s="31">
        <f>IF($F361="","",IFERROR(INDEX(設定!$D$5:$D$20,MATCH($F361,設定!$B$5:$B$20,0)),""))</f>
        <v/>
      </c>
      <c r="H361" s="31">
        <f>IF($F361="","",IFERROR(INDEX(設定!$E$5:$E$20,MATCH($F361,設定!$B$5:$B$20,0)),""))</f>
        <v/>
      </c>
      <c r="I361" s="31">
        <f>IFERROR(INDEX(打卡匯入!$C$3:$C$1002,MATCH($C361&amp;"|"&amp;DAY($A361),打卡匯入!$E$3:$E$1002,0)),"")</f>
        <v/>
      </c>
      <c r="J361" s="31">
        <f>IFERROR(INDEX(打卡匯入!$D$3:$D$1002,MATCH($C361&amp;"|"&amp;DAY($A361),打卡匯入!$E$3:$E$1002,0)),"")</f>
        <v/>
      </c>
      <c r="K361" s="32">
        <f>IF(OR($I361="",$J361=""),"",IFERROR(INDEX(設定!$F$5:$F$20,MATCH($F361,設定!$B$5:$B$20,0)),0))</f>
        <v/>
      </c>
      <c r="L361" s="33">
        <f>IF(OR($I361="",$J361=""),"",ROUND(($J361-$I361)*24-$K361/60,2))</f>
        <v/>
      </c>
      <c r="M361" s="29">
        <f>IF($C361="","",IF(AND(COUNTIF(設定!$B$14:$B$20,$F361)&gt;0,$I361&lt;&gt;""),"假日出勤",IF(AND(COUNTIF(設定!$B$5:$B$13,$F361)&gt;0,$I361=""),"未打卡",IF($I361="","",IF($N361&gt;0,"遲到",IF($O361&gt;0,"早退","正常"))))))</f>
        <v/>
      </c>
      <c r="N361" s="32">
        <f>IF(OR($C361="",$G361="",$I361=""),0,IF(ROUND(($I361-$G361)*1440,0)&gt;設定!$C$28,ROUND(($I361-$G361)*1440,0),0))</f>
        <v/>
      </c>
      <c r="O361" s="32">
        <f>IF(OR($C361="",$H361="",$J361=""),0,IF(ROUND(($H361-$J361)*1440,0)&gt;設定!$C$28,ROUND(($H361-$J361)*1440,0),0))</f>
        <v/>
      </c>
      <c r="P361" s="33">
        <f>IF($L361="",0,IF(($L361-IFERROR(INDEX(設定!$G$5:$G$20,MATCH($F361,設定!$B$5:$B$20,0)),0))*60&gt;=設定!$C$26,ROUND(FLOOR(($L361-IFERROR(INDEX(設定!$G$5:$G$20,MATCH($F361,設定!$B$5:$B$20,0)),0))*60,設定!$C$27)/60,2),0))</f>
        <v/>
      </c>
      <c r="Q361" s="29">
        <f>IF(OR($C361="",$P361=0),"",IF($F361="國","國定假日",IF($B361="日","例假",IF($B361="六","休息日","平日"))))</f>
        <v/>
      </c>
      <c r="R361" s="34" t="n"/>
    </row>
    <row r="362">
      <c r="A362" s="30">
        <f>IF(OR(班表!$A17="",19&gt;DAY(EOMONTH(DATE(班表!$E$2,班表!$G$2,1),0))),"",DATE(班表!$E$2,班表!$G$2,19))</f>
        <v/>
      </c>
      <c r="B362" s="29">
        <f>IF($A362="","",INDEX(設定!$L$5:$L$11,WEEKDAY($A362,1)))</f>
        <v/>
      </c>
      <c r="C362" s="29">
        <f>IF($A362="","",班表!$A17)</f>
        <v/>
      </c>
      <c r="D362" s="29">
        <f>IF($C362="","",班表!$B17)</f>
        <v/>
      </c>
      <c r="E362" s="29">
        <f>IF($C362="","",班表!$C17)</f>
        <v/>
      </c>
      <c r="F362" s="29">
        <f>IF($C362="","",班表!V17)</f>
        <v/>
      </c>
      <c r="G362" s="31">
        <f>IF($F362="","",IFERROR(INDEX(設定!$D$5:$D$20,MATCH($F362,設定!$B$5:$B$20,0)),""))</f>
        <v/>
      </c>
      <c r="H362" s="31">
        <f>IF($F362="","",IFERROR(INDEX(設定!$E$5:$E$20,MATCH($F362,設定!$B$5:$B$20,0)),""))</f>
        <v/>
      </c>
      <c r="I362" s="31">
        <f>IFERROR(INDEX(打卡匯入!$C$3:$C$1002,MATCH($C362&amp;"|"&amp;DAY($A362),打卡匯入!$E$3:$E$1002,0)),"")</f>
        <v/>
      </c>
      <c r="J362" s="31">
        <f>IFERROR(INDEX(打卡匯入!$D$3:$D$1002,MATCH($C362&amp;"|"&amp;DAY($A362),打卡匯入!$E$3:$E$1002,0)),"")</f>
        <v/>
      </c>
      <c r="K362" s="32">
        <f>IF(OR($I362="",$J362=""),"",IFERROR(INDEX(設定!$F$5:$F$20,MATCH($F362,設定!$B$5:$B$20,0)),0))</f>
        <v/>
      </c>
      <c r="L362" s="33">
        <f>IF(OR($I362="",$J362=""),"",ROUND(($J362-$I362)*24-$K362/60,2))</f>
        <v/>
      </c>
      <c r="M362" s="29">
        <f>IF($C362="","",IF(AND(COUNTIF(設定!$B$14:$B$20,$F362)&gt;0,$I362&lt;&gt;""),"假日出勤",IF(AND(COUNTIF(設定!$B$5:$B$13,$F362)&gt;0,$I362=""),"未打卡",IF($I362="","",IF($N362&gt;0,"遲到",IF($O362&gt;0,"早退","正常"))))))</f>
        <v/>
      </c>
      <c r="N362" s="32">
        <f>IF(OR($C362="",$G362="",$I362=""),0,IF(ROUND(($I362-$G362)*1440,0)&gt;設定!$C$28,ROUND(($I362-$G362)*1440,0),0))</f>
        <v/>
      </c>
      <c r="O362" s="32">
        <f>IF(OR($C362="",$H362="",$J362=""),0,IF(ROUND(($H362-$J362)*1440,0)&gt;設定!$C$28,ROUND(($H362-$J362)*1440,0),0))</f>
        <v/>
      </c>
      <c r="P362" s="33">
        <f>IF($L362="",0,IF(($L362-IFERROR(INDEX(設定!$G$5:$G$20,MATCH($F362,設定!$B$5:$B$20,0)),0))*60&gt;=設定!$C$26,ROUND(FLOOR(($L362-IFERROR(INDEX(設定!$G$5:$G$20,MATCH($F362,設定!$B$5:$B$20,0)),0))*60,設定!$C$27)/60,2),0))</f>
        <v/>
      </c>
      <c r="Q362" s="29">
        <f>IF(OR($C362="",$P362=0),"",IF($F362="國","國定假日",IF($B362="日","例假",IF($B362="六","休息日","平日"))))</f>
        <v/>
      </c>
      <c r="R362" s="34" t="n"/>
    </row>
    <row r="363">
      <c r="A363" s="30">
        <f>IF(OR(班表!$A17="",20&gt;DAY(EOMONTH(DATE(班表!$E$2,班表!$G$2,1),0))),"",DATE(班表!$E$2,班表!$G$2,20))</f>
        <v/>
      </c>
      <c r="B363" s="29">
        <f>IF($A363="","",INDEX(設定!$L$5:$L$11,WEEKDAY($A363,1)))</f>
        <v/>
      </c>
      <c r="C363" s="29">
        <f>IF($A363="","",班表!$A17)</f>
        <v/>
      </c>
      <c r="D363" s="29">
        <f>IF($C363="","",班表!$B17)</f>
        <v/>
      </c>
      <c r="E363" s="29">
        <f>IF($C363="","",班表!$C17)</f>
        <v/>
      </c>
      <c r="F363" s="29">
        <f>IF($C363="","",班表!W17)</f>
        <v/>
      </c>
      <c r="G363" s="31">
        <f>IF($F363="","",IFERROR(INDEX(設定!$D$5:$D$20,MATCH($F363,設定!$B$5:$B$20,0)),""))</f>
        <v/>
      </c>
      <c r="H363" s="31">
        <f>IF($F363="","",IFERROR(INDEX(設定!$E$5:$E$20,MATCH($F363,設定!$B$5:$B$20,0)),""))</f>
        <v/>
      </c>
      <c r="I363" s="31">
        <f>IFERROR(INDEX(打卡匯入!$C$3:$C$1002,MATCH($C363&amp;"|"&amp;DAY($A363),打卡匯入!$E$3:$E$1002,0)),"")</f>
        <v/>
      </c>
      <c r="J363" s="31">
        <f>IFERROR(INDEX(打卡匯入!$D$3:$D$1002,MATCH($C363&amp;"|"&amp;DAY($A363),打卡匯入!$E$3:$E$1002,0)),"")</f>
        <v/>
      </c>
      <c r="K363" s="32">
        <f>IF(OR($I363="",$J363=""),"",IFERROR(INDEX(設定!$F$5:$F$20,MATCH($F363,設定!$B$5:$B$20,0)),0))</f>
        <v/>
      </c>
      <c r="L363" s="33">
        <f>IF(OR($I363="",$J363=""),"",ROUND(($J363-$I363)*24-$K363/60,2))</f>
        <v/>
      </c>
      <c r="M363" s="29">
        <f>IF($C363="","",IF(AND(COUNTIF(設定!$B$14:$B$20,$F363)&gt;0,$I363&lt;&gt;""),"假日出勤",IF(AND(COUNTIF(設定!$B$5:$B$13,$F363)&gt;0,$I363=""),"未打卡",IF($I363="","",IF($N363&gt;0,"遲到",IF($O363&gt;0,"早退","正常"))))))</f>
        <v/>
      </c>
      <c r="N363" s="32">
        <f>IF(OR($C363="",$G363="",$I363=""),0,IF(ROUND(($I363-$G363)*1440,0)&gt;設定!$C$28,ROUND(($I363-$G363)*1440,0),0))</f>
        <v/>
      </c>
      <c r="O363" s="32">
        <f>IF(OR($C363="",$H363="",$J363=""),0,IF(ROUND(($H363-$J363)*1440,0)&gt;設定!$C$28,ROUND(($H363-$J363)*1440,0),0))</f>
        <v/>
      </c>
      <c r="P363" s="33">
        <f>IF($L363="",0,IF(($L363-IFERROR(INDEX(設定!$G$5:$G$20,MATCH($F363,設定!$B$5:$B$20,0)),0))*60&gt;=設定!$C$26,ROUND(FLOOR(($L363-IFERROR(INDEX(設定!$G$5:$G$20,MATCH($F363,設定!$B$5:$B$20,0)),0))*60,設定!$C$27)/60,2),0))</f>
        <v/>
      </c>
      <c r="Q363" s="29">
        <f>IF(OR($C363="",$P363=0),"",IF($F363="國","國定假日",IF($B363="日","例假",IF($B363="六","休息日","平日"))))</f>
        <v/>
      </c>
      <c r="R363" s="34" t="n"/>
    </row>
    <row r="364">
      <c r="A364" s="30">
        <f>IF(OR(班表!$A17="",21&gt;DAY(EOMONTH(DATE(班表!$E$2,班表!$G$2,1),0))),"",DATE(班表!$E$2,班表!$G$2,21))</f>
        <v/>
      </c>
      <c r="B364" s="29">
        <f>IF($A364="","",INDEX(設定!$L$5:$L$11,WEEKDAY($A364,1)))</f>
        <v/>
      </c>
      <c r="C364" s="29">
        <f>IF($A364="","",班表!$A17)</f>
        <v/>
      </c>
      <c r="D364" s="29">
        <f>IF($C364="","",班表!$B17)</f>
        <v/>
      </c>
      <c r="E364" s="29">
        <f>IF($C364="","",班表!$C17)</f>
        <v/>
      </c>
      <c r="F364" s="29">
        <f>IF($C364="","",班表!X17)</f>
        <v/>
      </c>
      <c r="G364" s="31">
        <f>IF($F364="","",IFERROR(INDEX(設定!$D$5:$D$20,MATCH($F364,設定!$B$5:$B$20,0)),""))</f>
        <v/>
      </c>
      <c r="H364" s="31">
        <f>IF($F364="","",IFERROR(INDEX(設定!$E$5:$E$20,MATCH($F364,設定!$B$5:$B$20,0)),""))</f>
        <v/>
      </c>
      <c r="I364" s="31">
        <f>IFERROR(INDEX(打卡匯入!$C$3:$C$1002,MATCH($C364&amp;"|"&amp;DAY($A364),打卡匯入!$E$3:$E$1002,0)),"")</f>
        <v/>
      </c>
      <c r="J364" s="31">
        <f>IFERROR(INDEX(打卡匯入!$D$3:$D$1002,MATCH($C364&amp;"|"&amp;DAY($A364),打卡匯入!$E$3:$E$1002,0)),"")</f>
        <v/>
      </c>
      <c r="K364" s="32">
        <f>IF(OR($I364="",$J364=""),"",IFERROR(INDEX(設定!$F$5:$F$20,MATCH($F364,設定!$B$5:$B$20,0)),0))</f>
        <v/>
      </c>
      <c r="L364" s="33">
        <f>IF(OR($I364="",$J364=""),"",ROUND(($J364-$I364)*24-$K364/60,2))</f>
        <v/>
      </c>
      <c r="M364" s="29">
        <f>IF($C364="","",IF(AND(COUNTIF(設定!$B$14:$B$20,$F364)&gt;0,$I364&lt;&gt;""),"假日出勤",IF(AND(COUNTIF(設定!$B$5:$B$13,$F364)&gt;0,$I364=""),"未打卡",IF($I364="","",IF($N364&gt;0,"遲到",IF($O364&gt;0,"早退","正常"))))))</f>
        <v/>
      </c>
      <c r="N364" s="32">
        <f>IF(OR($C364="",$G364="",$I364=""),0,IF(ROUND(($I364-$G364)*1440,0)&gt;設定!$C$28,ROUND(($I364-$G364)*1440,0),0))</f>
        <v/>
      </c>
      <c r="O364" s="32">
        <f>IF(OR($C364="",$H364="",$J364=""),0,IF(ROUND(($H364-$J364)*1440,0)&gt;設定!$C$28,ROUND(($H364-$J364)*1440,0),0))</f>
        <v/>
      </c>
      <c r="P364" s="33">
        <f>IF($L364="",0,IF(($L364-IFERROR(INDEX(設定!$G$5:$G$20,MATCH($F364,設定!$B$5:$B$20,0)),0))*60&gt;=設定!$C$26,ROUND(FLOOR(($L364-IFERROR(INDEX(設定!$G$5:$G$20,MATCH($F364,設定!$B$5:$B$20,0)),0))*60,設定!$C$27)/60,2),0))</f>
        <v/>
      </c>
      <c r="Q364" s="29">
        <f>IF(OR($C364="",$P364=0),"",IF($F364="國","國定假日",IF($B364="日","例假",IF($B364="六","休息日","平日"))))</f>
        <v/>
      </c>
      <c r="R364" s="34" t="n"/>
    </row>
    <row r="365">
      <c r="A365" s="30">
        <f>IF(OR(班表!$A17="",22&gt;DAY(EOMONTH(DATE(班表!$E$2,班表!$G$2,1),0))),"",DATE(班表!$E$2,班表!$G$2,22))</f>
        <v/>
      </c>
      <c r="B365" s="29">
        <f>IF($A365="","",INDEX(設定!$L$5:$L$11,WEEKDAY($A365,1)))</f>
        <v/>
      </c>
      <c r="C365" s="29">
        <f>IF($A365="","",班表!$A17)</f>
        <v/>
      </c>
      <c r="D365" s="29">
        <f>IF($C365="","",班表!$B17)</f>
        <v/>
      </c>
      <c r="E365" s="29">
        <f>IF($C365="","",班表!$C17)</f>
        <v/>
      </c>
      <c r="F365" s="29">
        <f>IF($C365="","",班表!Y17)</f>
        <v/>
      </c>
      <c r="G365" s="31">
        <f>IF($F365="","",IFERROR(INDEX(設定!$D$5:$D$20,MATCH($F365,設定!$B$5:$B$20,0)),""))</f>
        <v/>
      </c>
      <c r="H365" s="31">
        <f>IF($F365="","",IFERROR(INDEX(設定!$E$5:$E$20,MATCH($F365,設定!$B$5:$B$20,0)),""))</f>
        <v/>
      </c>
      <c r="I365" s="31">
        <f>IFERROR(INDEX(打卡匯入!$C$3:$C$1002,MATCH($C365&amp;"|"&amp;DAY($A365),打卡匯入!$E$3:$E$1002,0)),"")</f>
        <v/>
      </c>
      <c r="J365" s="31">
        <f>IFERROR(INDEX(打卡匯入!$D$3:$D$1002,MATCH($C365&amp;"|"&amp;DAY($A365),打卡匯入!$E$3:$E$1002,0)),"")</f>
        <v/>
      </c>
      <c r="K365" s="32">
        <f>IF(OR($I365="",$J365=""),"",IFERROR(INDEX(設定!$F$5:$F$20,MATCH($F365,設定!$B$5:$B$20,0)),0))</f>
        <v/>
      </c>
      <c r="L365" s="33">
        <f>IF(OR($I365="",$J365=""),"",ROUND(($J365-$I365)*24-$K365/60,2))</f>
        <v/>
      </c>
      <c r="M365" s="29">
        <f>IF($C365="","",IF(AND(COUNTIF(設定!$B$14:$B$20,$F365)&gt;0,$I365&lt;&gt;""),"假日出勤",IF(AND(COUNTIF(設定!$B$5:$B$13,$F365)&gt;0,$I365=""),"未打卡",IF($I365="","",IF($N365&gt;0,"遲到",IF($O365&gt;0,"早退","正常"))))))</f>
        <v/>
      </c>
      <c r="N365" s="32">
        <f>IF(OR($C365="",$G365="",$I365=""),0,IF(ROUND(($I365-$G365)*1440,0)&gt;設定!$C$28,ROUND(($I365-$G365)*1440,0),0))</f>
        <v/>
      </c>
      <c r="O365" s="32">
        <f>IF(OR($C365="",$H365="",$J365=""),0,IF(ROUND(($H365-$J365)*1440,0)&gt;設定!$C$28,ROUND(($H365-$J365)*1440,0),0))</f>
        <v/>
      </c>
      <c r="P365" s="33">
        <f>IF($L365="",0,IF(($L365-IFERROR(INDEX(設定!$G$5:$G$20,MATCH($F365,設定!$B$5:$B$20,0)),0))*60&gt;=設定!$C$26,ROUND(FLOOR(($L365-IFERROR(INDEX(設定!$G$5:$G$20,MATCH($F365,設定!$B$5:$B$20,0)),0))*60,設定!$C$27)/60,2),0))</f>
        <v/>
      </c>
      <c r="Q365" s="29">
        <f>IF(OR($C365="",$P365=0),"",IF($F365="國","國定假日",IF($B365="日","例假",IF($B365="六","休息日","平日"))))</f>
        <v/>
      </c>
      <c r="R365" s="34" t="n"/>
    </row>
    <row r="366">
      <c r="A366" s="30">
        <f>IF(OR(班表!$A17="",23&gt;DAY(EOMONTH(DATE(班表!$E$2,班表!$G$2,1),0))),"",DATE(班表!$E$2,班表!$G$2,23))</f>
        <v/>
      </c>
      <c r="B366" s="29">
        <f>IF($A366="","",INDEX(設定!$L$5:$L$11,WEEKDAY($A366,1)))</f>
        <v/>
      </c>
      <c r="C366" s="29">
        <f>IF($A366="","",班表!$A17)</f>
        <v/>
      </c>
      <c r="D366" s="29">
        <f>IF($C366="","",班表!$B17)</f>
        <v/>
      </c>
      <c r="E366" s="29">
        <f>IF($C366="","",班表!$C17)</f>
        <v/>
      </c>
      <c r="F366" s="29">
        <f>IF($C366="","",班表!Z17)</f>
        <v/>
      </c>
      <c r="G366" s="31">
        <f>IF($F366="","",IFERROR(INDEX(設定!$D$5:$D$20,MATCH($F366,設定!$B$5:$B$20,0)),""))</f>
        <v/>
      </c>
      <c r="H366" s="31">
        <f>IF($F366="","",IFERROR(INDEX(設定!$E$5:$E$20,MATCH($F366,設定!$B$5:$B$20,0)),""))</f>
        <v/>
      </c>
      <c r="I366" s="31">
        <f>IFERROR(INDEX(打卡匯入!$C$3:$C$1002,MATCH($C366&amp;"|"&amp;DAY($A366),打卡匯入!$E$3:$E$1002,0)),"")</f>
        <v/>
      </c>
      <c r="J366" s="31">
        <f>IFERROR(INDEX(打卡匯入!$D$3:$D$1002,MATCH($C366&amp;"|"&amp;DAY($A366),打卡匯入!$E$3:$E$1002,0)),"")</f>
        <v/>
      </c>
      <c r="K366" s="32">
        <f>IF(OR($I366="",$J366=""),"",IFERROR(INDEX(設定!$F$5:$F$20,MATCH($F366,設定!$B$5:$B$20,0)),0))</f>
        <v/>
      </c>
      <c r="L366" s="33">
        <f>IF(OR($I366="",$J366=""),"",ROUND(($J366-$I366)*24-$K366/60,2))</f>
        <v/>
      </c>
      <c r="M366" s="29">
        <f>IF($C366="","",IF(AND(COUNTIF(設定!$B$14:$B$20,$F366)&gt;0,$I366&lt;&gt;""),"假日出勤",IF(AND(COUNTIF(設定!$B$5:$B$13,$F366)&gt;0,$I366=""),"未打卡",IF($I366="","",IF($N366&gt;0,"遲到",IF($O366&gt;0,"早退","正常"))))))</f>
        <v/>
      </c>
      <c r="N366" s="32">
        <f>IF(OR($C366="",$G366="",$I366=""),0,IF(ROUND(($I366-$G366)*1440,0)&gt;設定!$C$28,ROUND(($I366-$G366)*1440,0),0))</f>
        <v/>
      </c>
      <c r="O366" s="32">
        <f>IF(OR($C366="",$H366="",$J366=""),0,IF(ROUND(($H366-$J366)*1440,0)&gt;設定!$C$28,ROUND(($H366-$J366)*1440,0),0))</f>
        <v/>
      </c>
      <c r="P366" s="33">
        <f>IF($L366="",0,IF(($L366-IFERROR(INDEX(設定!$G$5:$G$20,MATCH($F366,設定!$B$5:$B$20,0)),0))*60&gt;=設定!$C$26,ROUND(FLOOR(($L366-IFERROR(INDEX(設定!$G$5:$G$20,MATCH($F366,設定!$B$5:$B$20,0)),0))*60,設定!$C$27)/60,2),0))</f>
        <v/>
      </c>
      <c r="Q366" s="29">
        <f>IF(OR($C366="",$P366=0),"",IF($F366="國","國定假日",IF($B366="日","例假",IF($B366="六","休息日","平日"))))</f>
        <v/>
      </c>
      <c r="R366" s="34" t="n"/>
    </row>
    <row r="367">
      <c r="A367" s="30">
        <f>IF(OR(班表!$A17="",24&gt;DAY(EOMONTH(DATE(班表!$E$2,班表!$G$2,1),0))),"",DATE(班表!$E$2,班表!$G$2,24))</f>
        <v/>
      </c>
      <c r="B367" s="29">
        <f>IF($A367="","",INDEX(設定!$L$5:$L$11,WEEKDAY($A367,1)))</f>
        <v/>
      </c>
      <c r="C367" s="29">
        <f>IF($A367="","",班表!$A17)</f>
        <v/>
      </c>
      <c r="D367" s="29">
        <f>IF($C367="","",班表!$B17)</f>
        <v/>
      </c>
      <c r="E367" s="29">
        <f>IF($C367="","",班表!$C17)</f>
        <v/>
      </c>
      <c r="F367" s="29">
        <f>IF($C367="","",班表!AA17)</f>
        <v/>
      </c>
      <c r="G367" s="31">
        <f>IF($F367="","",IFERROR(INDEX(設定!$D$5:$D$20,MATCH($F367,設定!$B$5:$B$20,0)),""))</f>
        <v/>
      </c>
      <c r="H367" s="31">
        <f>IF($F367="","",IFERROR(INDEX(設定!$E$5:$E$20,MATCH($F367,設定!$B$5:$B$20,0)),""))</f>
        <v/>
      </c>
      <c r="I367" s="31">
        <f>IFERROR(INDEX(打卡匯入!$C$3:$C$1002,MATCH($C367&amp;"|"&amp;DAY($A367),打卡匯入!$E$3:$E$1002,0)),"")</f>
        <v/>
      </c>
      <c r="J367" s="31">
        <f>IFERROR(INDEX(打卡匯入!$D$3:$D$1002,MATCH($C367&amp;"|"&amp;DAY($A367),打卡匯入!$E$3:$E$1002,0)),"")</f>
        <v/>
      </c>
      <c r="K367" s="32">
        <f>IF(OR($I367="",$J367=""),"",IFERROR(INDEX(設定!$F$5:$F$20,MATCH($F367,設定!$B$5:$B$20,0)),0))</f>
        <v/>
      </c>
      <c r="L367" s="33">
        <f>IF(OR($I367="",$J367=""),"",ROUND(($J367-$I367)*24-$K367/60,2))</f>
        <v/>
      </c>
      <c r="M367" s="29">
        <f>IF($C367="","",IF(AND(COUNTIF(設定!$B$14:$B$20,$F367)&gt;0,$I367&lt;&gt;""),"假日出勤",IF(AND(COUNTIF(設定!$B$5:$B$13,$F367)&gt;0,$I367=""),"未打卡",IF($I367="","",IF($N367&gt;0,"遲到",IF($O367&gt;0,"早退","正常"))))))</f>
        <v/>
      </c>
      <c r="N367" s="32">
        <f>IF(OR($C367="",$G367="",$I367=""),0,IF(ROUND(($I367-$G367)*1440,0)&gt;設定!$C$28,ROUND(($I367-$G367)*1440,0),0))</f>
        <v/>
      </c>
      <c r="O367" s="32">
        <f>IF(OR($C367="",$H367="",$J367=""),0,IF(ROUND(($H367-$J367)*1440,0)&gt;設定!$C$28,ROUND(($H367-$J367)*1440,0),0))</f>
        <v/>
      </c>
      <c r="P367" s="33">
        <f>IF($L367="",0,IF(($L367-IFERROR(INDEX(設定!$G$5:$G$20,MATCH($F367,設定!$B$5:$B$20,0)),0))*60&gt;=設定!$C$26,ROUND(FLOOR(($L367-IFERROR(INDEX(設定!$G$5:$G$20,MATCH($F367,設定!$B$5:$B$20,0)),0))*60,設定!$C$27)/60,2),0))</f>
        <v/>
      </c>
      <c r="Q367" s="29">
        <f>IF(OR($C367="",$P367=0),"",IF($F367="國","國定假日",IF($B367="日","例假",IF($B367="六","休息日","平日"))))</f>
        <v/>
      </c>
      <c r="R367" s="34" t="n"/>
    </row>
    <row r="368">
      <c r="A368" s="30">
        <f>IF(OR(班表!$A17="",25&gt;DAY(EOMONTH(DATE(班表!$E$2,班表!$G$2,1),0))),"",DATE(班表!$E$2,班表!$G$2,25))</f>
        <v/>
      </c>
      <c r="B368" s="29">
        <f>IF($A368="","",INDEX(設定!$L$5:$L$11,WEEKDAY($A368,1)))</f>
        <v/>
      </c>
      <c r="C368" s="29">
        <f>IF($A368="","",班表!$A17)</f>
        <v/>
      </c>
      <c r="D368" s="29">
        <f>IF($C368="","",班表!$B17)</f>
        <v/>
      </c>
      <c r="E368" s="29">
        <f>IF($C368="","",班表!$C17)</f>
        <v/>
      </c>
      <c r="F368" s="29">
        <f>IF($C368="","",班表!AB17)</f>
        <v/>
      </c>
      <c r="G368" s="31">
        <f>IF($F368="","",IFERROR(INDEX(設定!$D$5:$D$20,MATCH($F368,設定!$B$5:$B$20,0)),""))</f>
        <v/>
      </c>
      <c r="H368" s="31">
        <f>IF($F368="","",IFERROR(INDEX(設定!$E$5:$E$20,MATCH($F368,設定!$B$5:$B$20,0)),""))</f>
        <v/>
      </c>
      <c r="I368" s="31">
        <f>IFERROR(INDEX(打卡匯入!$C$3:$C$1002,MATCH($C368&amp;"|"&amp;DAY($A368),打卡匯入!$E$3:$E$1002,0)),"")</f>
        <v/>
      </c>
      <c r="J368" s="31">
        <f>IFERROR(INDEX(打卡匯入!$D$3:$D$1002,MATCH($C368&amp;"|"&amp;DAY($A368),打卡匯入!$E$3:$E$1002,0)),"")</f>
        <v/>
      </c>
      <c r="K368" s="32">
        <f>IF(OR($I368="",$J368=""),"",IFERROR(INDEX(設定!$F$5:$F$20,MATCH($F368,設定!$B$5:$B$20,0)),0))</f>
        <v/>
      </c>
      <c r="L368" s="33">
        <f>IF(OR($I368="",$J368=""),"",ROUND(($J368-$I368)*24-$K368/60,2))</f>
        <v/>
      </c>
      <c r="M368" s="29">
        <f>IF($C368="","",IF(AND(COUNTIF(設定!$B$14:$B$20,$F368)&gt;0,$I368&lt;&gt;""),"假日出勤",IF(AND(COUNTIF(設定!$B$5:$B$13,$F368)&gt;0,$I368=""),"未打卡",IF($I368="","",IF($N368&gt;0,"遲到",IF($O368&gt;0,"早退","正常"))))))</f>
        <v/>
      </c>
      <c r="N368" s="32">
        <f>IF(OR($C368="",$G368="",$I368=""),0,IF(ROUND(($I368-$G368)*1440,0)&gt;設定!$C$28,ROUND(($I368-$G368)*1440,0),0))</f>
        <v/>
      </c>
      <c r="O368" s="32">
        <f>IF(OR($C368="",$H368="",$J368=""),0,IF(ROUND(($H368-$J368)*1440,0)&gt;設定!$C$28,ROUND(($H368-$J368)*1440,0),0))</f>
        <v/>
      </c>
      <c r="P368" s="33">
        <f>IF($L368="",0,IF(($L368-IFERROR(INDEX(設定!$G$5:$G$20,MATCH($F368,設定!$B$5:$B$20,0)),0))*60&gt;=設定!$C$26,ROUND(FLOOR(($L368-IFERROR(INDEX(設定!$G$5:$G$20,MATCH($F368,設定!$B$5:$B$20,0)),0))*60,設定!$C$27)/60,2),0))</f>
        <v/>
      </c>
      <c r="Q368" s="29">
        <f>IF(OR($C368="",$P368=0),"",IF($F368="國","國定假日",IF($B368="日","例假",IF($B368="六","休息日","平日"))))</f>
        <v/>
      </c>
      <c r="R368" s="34" t="n"/>
    </row>
    <row r="369">
      <c r="A369" s="30">
        <f>IF(OR(班表!$A17="",26&gt;DAY(EOMONTH(DATE(班表!$E$2,班表!$G$2,1),0))),"",DATE(班表!$E$2,班表!$G$2,26))</f>
        <v/>
      </c>
      <c r="B369" s="29">
        <f>IF($A369="","",INDEX(設定!$L$5:$L$11,WEEKDAY($A369,1)))</f>
        <v/>
      </c>
      <c r="C369" s="29">
        <f>IF($A369="","",班表!$A17)</f>
        <v/>
      </c>
      <c r="D369" s="29">
        <f>IF($C369="","",班表!$B17)</f>
        <v/>
      </c>
      <c r="E369" s="29">
        <f>IF($C369="","",班表!$C17)</f>
        <v/>
      </c>
      <c r="F369" s="29">
        <f>IF($C369="","",班表!AC17)</f>
        <v/>
      </c>
      <c r="G369" s="31">
        <f>IF($F369="","",IFERROR(INDEX(設定!$D$5:$D$20,MATCH($F369,設定!$B$5:$B$20,0)),""))</f>
        <v/>
      </c>
      <c r="H369" s="31">
        <f>IF($F369="","",IFERROR(INDEX(設定!$E$5:$E$20,MATCH($F369,設定!$B$5:$B$20,0)),""))</f>
        <v/>
      </c>
      <c r="I369" s="31">
        <f>IFERROR(INDEX(打卡匯入!$C$3:$C$1002,MATCH($C369&amp;"|"&amp;DAY($A369),打卡匯入!$E$3:$E$1002,0)),"")</f>
        <v/>
      </c>
      <c r="J369" s="31">
        <f>IFERROR(INDEX(打卡匯入!$D$3:$D$1002,MATCH($C369&amp;"|"&amp;DAY($A369),打卡匯入!$E$3:$E$1002,0)),"")</f>
        <v/>
      </c>
      <c r="K369" s="32">
        <f>IF(OR($I369="",$J369=""),"",IFERROR(INDEX(設定!$F$5:$F$20,MATCH($F369,設定!$B$5:$B$20,0)),0))</f>
        <v/>
      </c>
      <c r="L369" s="33">
        <f>IF(OR($I369="",$J369=""),"",ROUND(($J369-$I369)*24-$K369/60,2))</f>
        <v/>
      </c>
      <c r="M369" s="29">
        <f>IF($C369="","",IF(AND(COUNTIF(設定!$B$14:$B$20,$F369)&gt;0,$I369&lt;&gt;""),"假日出勤",IF(AND(COUNTIF(設定!$B$5:$B$13,$F369)&gt;0,$I369=""),"未打卡",IF($I369="","",IF($N369&gt;0,"遲到",IF($O369&gt;0,"早退","正常"))))))</f>
        <v/>
      </c>
      <c r="N369" s="32">
        <f>IF(OR($C369="",$G369="",$I369=""),0,IF(ROUND(($I369-$G369)*1440,0)&gt;設定!$C$28,ROUND(($I369-$G369)*1440,0),0))</f>
        <v/>
      </c>
      <c r="O369" s="32">
        <f>IF(OR($C369="",$H369="",$J369=""),0,IF(ROUND(($H369-$J369)*1440,0)&gt;設定!$C$28,ROUND(($H369-$J369)*1440,0),0))</f>
        <v/>
      </c>
      <c r="P369" s="33">
        <f>IF($L369="",0,IF(($L369-IFERROR(INDEX(設定!$G$5:$G$20,MATCH($F369,設定!$B$5:$B$20,0)),0))*60&gt;=設定!$C$26,ROUND(FLOOR(($L369-IFERROR(INDEX(設定!$G$5:$G$20,MATCH($F369,設定!$B$5:$B$20,0)),0))*60,設定!$C$27)/60,2),0))</f>
        <v/>
      </c>
      <c r="Q369" s="29">
        <f>IF(OR($C369="",$P369=0),"",IF($F369="國","國定假日",IF($B369="日","例假",IF($B369="六","休息日","平日"))))</f>
        <v/>
      </c>
      <c r="R369" s="34" t="n"/>
    </row>
    <row r="370">
      <c r="A370" s="30">
        <f>IF(OR(班表!$A17="",27&gt;DAY(EOMONTH(DATE(班表!$E$2,班表!$G$2,1),0))),"",DATE(班表!$E$2,班表!$G$2,27))</f>
        <v/>
      </c>
      <c r="B370" s="29">
        <f>IF($A370="","",INDEX(設定!$L$5:$L$11,WEEKDAY($A370,1)))</f>
        <v/>
      </c>
      <c r="C370" s="29">
        <f>IF($A370="","",班表!$A17)</f>
        <v/>
      </c>
      <c r="D370" s="29">
        <f>IF($C370="","",班表!$B17)</f>
        <v/>
      </c>
      <c r="E370" s="29">
        <f>IF($C370="","",班表!$C17)</f>
        <v/>
      </c>
      <c r="F370" s="29">
        <f>IF($C370="","",班表!AD17)</f>
        <v/>
      </c>
      <c r="G370" s="31">
        <f>IF($F370="","",IFERROR(INDEX(設定!$D$5:$D$20,MATCH($F370,設定!$B$5:$B$20,0)),""))</f>
        <v/>
      </c>
      <c r="H370" s="31">
        <f>IF($F370="","",IFERROR(INDEX(設定!$E$5:$E$20,MATCH($F370,設定!$B$5:$B$20,0)),""))</f>
        <v/>
      </c>
      <c r="I370" s="31">
        <f>IFERROR(INDEX(打卡匯入!$C$3:$C$1002,MATCH($C370&amp;"|"&amp;DAY($A370),打卡匯入!$E$3:$E$1002,0)),"")</f>
        <v/>
      </c>
      <c r="J370" s="31">
        <f>IFERROR(INDEX(打卡匯入!$D$3:$D$1002,MATCH($C370&amp;"|"&amp;DAY($A370),打卡匯入!$E$3:$E$1002,0)),"")</f>
        <v/>
      </c>
      <c r="K370" s="32">
        <f>IF(OR($I370="",$J370=""),"",IFERROR(INDEX(設定!$F$5:$F$20,MATCH($F370,設定!$B$5:$B$20,0)),0))</f>
        <v/>
      </c>
      <c r="L370" s="33">
        <f>IF(OR($I370="",$J370=""),"",ROUND(($J370-$I370)*24-$K370/60,2))</f>
        <v/>
      </c>
      <c r="M370" s="29">
        <f>IF($C370="","",IF(AND(COUNTIF(設定!$B$14:$B$20,$F370)&gt;0,$I370&lt;&gt;""),"假日出勤",IF(AND(COUNTIF(設定!$B$5:$B$13,$F370)&gt;0,$I370=""),"未打卡",IF($I370="","",IF($N370&gt;0,"遲到",IF($O370&gt;0,"早退","正常"))))))</f>
        <v/>
      </c>
      <c r="N370" s="32">
        <f>IF(OR($C370="",$G370="",$I370=""),0,IF(ROUND(($I370-$G370)*1440,0)&gt;設定!$C$28,ROUND(($I370-$G370)*1440,0),0))</f>
        <v/>
      </c>
      <c r="O370" s="32">
        <f>IF(OR($C370="",$H370="",$J370=""),0,IF(ROUND(($H370-$J370)*1440,0)&gt;設定!$C$28,ROUND(($H370-$J370)*1440,0),0))</f>
        <v/>
      </c>
      <c r="P370" s="33">
        <f>IF($L370="",0,IF(($L370-IFERROR(INDEX(設定!$G$5:$G$20,MATCH($F370,設定!$B$5:$B$20,0)),0))*60&gt;=設定!$C$26,ROUND(FLOOR(($L370-IFERROR(INDEX(設定!$G$5:$G$20,MATCH($F370,設定!$B$5:$B$20,0)),0))*60,設定!$C$27)/60,2),0))</f>
        <v/>
      </c>
      <c r="Q370" s="29">
        <f>IF(OR($C370="",$P370=0),"",IF($F370="國","國定假日",IF($B370="日","例假",IF($B370="六","休息日","平日"))))</f>
        <v/>
      </c>
      <c r="R370" s="34" t="n"/>
    </row>
    <row r="371">
      <c r="A371" s="30">
        <f>IF(OR(班表!$A17="",28&gt;DAY(EOMONTH(DATE(班表!$E$2,班表!$G$2,1),0))),"",DATE(班表!$E$2,班表!$G$2,28))</f>
        <v/>
      </c>
      <c r="B371" s="29">
        <f>IF($A371="","",INDEX(設定!$L$5:$L$11,WEEKDAY($A371,1)))</f>
        <v/>
      </c>
      <c r="C371" s="29">
        <f>IF($A371="","",班表!$A17)</f>
        <v/>
      </c>
      <c r="D371" s="29">
        <f>IF($C371="","",班表!$B17)</f>
        <v/>
      </c>
      <c r="E371" s="29">
        <f>IF($C371="","",班表!$C17)</f>
        <v/>
      </c>
      <c r="F371" s="29">
        <f>IF($C371="","",班表!AE17)</f>
        <v/>
      </c>
      <c r="G371" s="31">
        <f>IF($F371="","",IFERROR(INDEX(設定!$D$5:$D$20,MATCH($F371,設定!$B$5:$B$20,0)),""))</f>
        <v/>
      </c>
      <c r="H371" s="31">
        <f>IF($F371="","",IFERROR(INDEX(設定!$E$5:$E$20,MATCH($F371,設定!$B$5:$B$20,0)),""))</f>
        <v/>
      </c>
      <c r="I371" s="31">
        <f>IFERROR(INDEX(打卡匯入!$C$3:$C$1002,MATCH($C371&amp;"|"&amp;DAY($A371),打卡匯入!$E$3:$E$1002,0)),"")</f>
        <v/>
      </c>
      <c r="J371" s="31">
        <f>IFERROR(INDEX(打卡匯入!$D$3:$D$1002,MATCH($C371&amp;"|"&amp;DAY($A371),打卡匯入!$E$3:$E$1002,0)),"")</f>
        <v/>
      </c>
      <c r="K371" s="32">
        <f>IF(OR($I371="",$J371=""),"",IFERROR(INDEX(設定!$F$5:$F$20,MATCH($F371,設定!$B$5:$B$20,0)),0))</f>
        <v/>
      </c>
      <c r="L371" s="33">
        <f>IF(OR($I371="",$J371=""),"",ROUND(($J371-$I371)*24-$K371/60,2))</f>
        <v/>
      </c>
      <c r="M371" s="29">
        <f>IF($C371="","",IF(AND(COUNTIF(設定!$B$14:$B$20,$F371)&gt;0,$I371&lt;&gt;""),"假日出勤",IF(AND(COUNTIF(設定!$B$5:$B$13,$F371)&gt;0,$I371=""),"未打卡",IF($I371="","",IF($N371&gt;0,"遲到",IF($O371&gt;0,"早退","正常"))))))</f>
        <v/>
      </c>
      <c r="N371" s="32">
        <f>IF(OR($C371="",$G371="",$I371=""),0,IF(ROUND(($I371-$G371)*1440,0)&gt;設定!$C$28,ROUND(($I371-$G371)*1440,0),0))</f>
        <v/>
      </c>
      <c r="O371" s="32">
        <f>IF(OR($C371="",$H371="",$J371=""),0,IF(ROUND(($H371-$J371)*1440,0)&gt;設定!$C$28,ROUND(($H371-$J371)*1440,0),0))</f>
        <v/>
      </c>
      <c r="P371" s="33">
        <f>IF($L371="",0,IF(($L371-IFERROR(INDEX(設定!$G$5:$G$20,MATCH($F371,設定!$B$5:$B$20,0)),0))*60&gt;=設定!$C$26,ROUND(FLOOR(($L371-IFERROR(INDEX(設定!$G$5:$G$20,MATCH($F371,設定!$B$5:$B$20,0)),0))*60,設定!$C$27)/60,2),0))</f>
        <v/>
      </c>
      <c r="Q371" s="29">
        <f>IF(OR($C371="",$P371=0),"",IF($F371="國","國定假日",IF($B371="日","例假",IF($B371="六","休息日","平日"))))</f>
        <v/>
      </c>
      <c r="R371" s="34" t="n"/>
    </row>
    <row r="372">
      <c r="A372" s="30">
        <f>IF(OR(班表!$A17="",29&gt;DAY(EOMONTH(DATE(班表!$E$2,班表!$G$2,1),0))),"",DATE(班表!$E$2,班表!$G$2,29))</f>
        <v/>
      </c>
      <c r="B372" s="29">
        <f>IF($A372="","",INDEX(設定!$L$5:$L$11,WEEKDAY($A372,1)))</f>
        <v/>
      </c>
      <c r="C372" s="29">
        <f>IF($A372="","",班表!$A17)</f>
        <v/>
      </c>
      <c r="D372" s="29">
        <f>IF($C372="","",班表!$B17)</f>
        <v/>
      </c>
      <c r="E372" s="29">
        <f>IF($C372="","",班表!$C17)</f>
        <v/>
      </c>
      <c r="F372" s="29">
        <f>IF($C372="","",班表!AF17)</f>
        <v/>
      </c>
      <c r="G372" s="31">
        <f>IF($F372="","",IFERROR(INDEX(設定!$D$5:$D$20,MATCH($F372,設定!$B$5:$B$20,0)),""))</f>
        <v/>
      </c>
      <c r="H372" s="31">
        <f>IF($F372="","",IFERROR(INDEX(設定!$E$5:$E$20,MATCH($F372,設定!$B$5:$B$20,0)),""))</f>
        <v/>
      </c>
      <c r="I372" s="31">
        <f>IFERROR(INDEX(打卡匯入!$C$3:$C$1002,MATCH($C372&amp;"|"&amp;DAY($A372),打卡匯入!$E$3:$E$1002,0)),"")</f>
        <v/>
      </c>
      <c r="J372" s="31">
        <f>IFERROR(INDEX(打卡匯入!$D$3:$D$1002,MATCH($C372&amp;"|"&amp;DAY($A372),打卡匯入!$E$3:$E$1002,0)),"")</f>
        <v/>
      </c>
      <c r="K372" s="32">
        <f>IF(OR($I372="",$J372=""),"",IFERROR(INDEX(設定!$F$5:$F$20,MATCH($F372,設定!$B$5:$B$20,0)),0))</f>
        <v/>
      </c>
      <c r="L372" s="33">
        <f>IF(OR($I372="",$J372=""),"",ROUND(($J372-$I372)*24-$K372/60,2))</f>
        <v/>
      </c>
      <c r="M372" s="29">
        <f>IF($C372="","",IF(AND(COUNTIF(設定!$B$14:$B$20,$F372)&gt;0,$I372&lt;&gt;""),"假日出勤",IF(AND(COUNTIF(設定!$B$5:$B$13,$F372)&gt;0,$I372=""),"未打卡",IF($I372="","",IF($N372&gt;0,"遲到",IF($O372&gt;0,"早退","正常"))))))</f>
        <v/>
      </c>
      <c r="N372" s="32">
        <f>IF(OR($C372="",$G372="",$I372=""),0,IF(ROUND(($I372-$G372)*1440,0)&gt;設定!$C$28,ROUND(($I372-$G372)*1440,0),0))</f>
        <v/>
      </c>
      <c r="O372" s="32">
        <f>IF(OR($C372="",$H372="",$J372=""),0,IF(ROUND(($H372-$J372)*1440,0)&gt;設定!$C$28,ROUND(($H372-$J372)*1440,0),0))</f>
        <v/>
      </c>
      <c r="P372" s="33">
        <f>IF($L372="",0,IF(($L372-IFERROR(INDEX(設定!$G$5:$G$20,MATCH($F372,設定!$B$5:$B$20,0)),0))*60&gt;=設定!$C$26,ROUND(FLOOR(($L372-IFERROR(INDEX(設定!$G$5:$G$20,MATCH($F372,設定!$B$5:$B$20,0)),0))*60,設定!$C$27)/60,2),0))</f>
        <v/>
      </c>
      <c r="Q372" s="29">
        <f>IF(OR($C372="",$P372=0),"",IF($F372="國","國定假日",IF($B372="日","例假",IF($B372="六","休息日","平日"))))</f>
        <v/>
      </c>
      <c r="R372" s="34" t="n"/>
    </row>
    <row r="373">
      <c r="A373" s="30">
        <f>IF(OR(班表!$A17="",30&gt;DAY(EOMONTH(DATE(班表!$E$2,班表!$G$2,1),0))),"",DATE(班表!$E$2,班表!$G$2,30))</f>
        <v/>
      </c>
      <c r="B373" s="29">
        <f>IF($A373="","",INDEX(設定!$L$5:$L$11,WEEKDAY($A373,1)))</f>
        <v/>
      </c>
      <c r="C373" s="29">
        <f>IF($A373="","",班表!$A17)</f>
        <v/>
      </c>
      <c r="D373" s="29">
        <f>IF($C373="","",班表!$B17)</f>
        <v/>
      </c>
      <c r="E373" s="29">
        <f>IF($C373="","",班表!$C17)</f>
        <v/>
      </c>
      <c r="F373" s="29">
        <f>IF($C373="","",班表!AG17)</f>
        <v/>
      </c>
      <c r="G373" s="31">
        <f>IF($F373="","",IFERROR(INDEX(設定!$D$5:$D$20,MATCH($F373,設定!$B$5:$B$20,0)),""))</f>
        <v/>
      </c>
      <c r="H373" s="31">
        <f>IF($F373="","",IFERROR(INDEX(設定!$E$5:$E$20,MATCH($F373,設定!$B$5:$B$20,0)),""))</f>
        <v/>
      </c>
      <c r="I373" s="31">
        <f>IFERROR(INDEX(打卡匯入!$C$3:$C$1002,MATCH($C373&amp;"|"&amp;DAY($A373),打卡匯入!$E$3:$E$1002,0)),"")</f>
        <v/>
      </c>
      <c r="J373" s="31">
        <f>IFERROR(INDEX(打卡匯入!$D$3:$D$1002,MATCH($C373&amp;"|"&amp;DAY($A373),打卡匯入!$E$3:$E$1002,0)),"")</f>
        <v/>
      </c>
      <c r="K373" s="32">
        <f>IF(OR($I373="",$J373=""),"",IFERROR(INDEX(設定!$F$5:$F$20,MATCH($F373,設定!$B$5:$B$20,0)),0))</f>
        <v/>
      </c>
      <c r="L373" s="33">
        <f>IF(OR($I373="",$J373=""),"",ROUND(($J373-$I373)*24-$K373/60,2))</f>
        <v/>
      </c>
      <c r="M373" s="29">
        <f>IF($C373="","",IF(AND(COUNTIF(設定!$B$14:$B$20,$F373)&gt;0,$I373&lt;&gt;""),"假日出勤",IF(AND(COUNTIF(設定!$B$5:$B$13,$F373)&gt;0,$I373=""),"未打卡",IF($I373="","",IF($N373&gt;0,"遲到",IF($O373&gt;0,"早退","正常"))))))</f>
        <v/>
      </c>
      <c r="N373" s="32">
        <f>IF(OR($C373="",$G373="",$I373=""),0,IF(ROUND(($I373-$G373)*1440,0)&gt;設定!$C$28,ROUND(($I373-$G373)*1440,0),0))</f>
        <v/>
      </c>
      <c r="O373" s="32">
        <f>IF(OR($C373="",$H373="",$J373=""),0,IF(ROUND(($H373-$J373)*1440,0)&gt;設定!$C$28,ROUND(($H373-$J373)*1440,0),0))</f>
        <v/>
      </c>
      <c r="P373" s="33">
        <f>IF($L373="",0,IF(($L373-IFERROR(INDEX(設定!$G$5:$G$20,MATCH($F373,設定!$B$5:$B$20,0)),0))*60&gt;=設定!$C$26,ROUND(FLOOR(($L373-IFERROR(INDEX(設定!$G$5:$G$20,MATCH($F373,設定!$B$5:$B$20,0)),0))*60,設定!$C$27)/60,2),0))</f>
        <v/>
      </c>
      <c r="Q373" s="29">
        <f>IF(OR($C373="",$P373=0),"",IF($F373="國","國定假日",IF($B373="日","例假",IF($B373="六","休息日","平日"))))</f>
        <v/>
      </c>
      <c r="R373" s="34" t="n"/>
    </row>
    <row r="374">
      <c r="A374" s="30">
        <f>IF(OR(班表!$A17="",31&gt;DAY(EOMONTH(DATE(班表!$E$2,班表!$G$2,1),0))),"",DATE(班表!$E$2,班表!$G$2,31))</f>
        <v/>
      </c>
      <c r="B374" s="29">
        <f>IF($A374="","",INDEX(設定!$L$5:$L$11,WEEKDAY($A374,1)))</f>
        <v/>
      </c>
      <c r="C374" s="29">
        <f>IF($A374="","",班表!$A17)</f>
        <v/>
      </c>
      <c r="D374" s="29">
        <f>IF($C374="","",班表!$B17)</f>
        <v/>
      </c>
      <c r="E374" s="29">
        <f>IF($C374="","",班表!$C17)</f>
        <v/>
      </c>
      <c r="F374" s="29">
        <f>IF($C374="","",班表!AH17)</f>
        <v/>
      </c>
      <c r="G374" s="31">
        <f>IF($F374="","",IFERROR(INDEX(設定!$D$5:$D$20,MATCH($F374,設定!$B$5:$B$20,0)),""))</f>
        <v/>
      </c>
      <c r="H374" s="31">
        <f>IF($F374="","",IFERROR(INDEX(設定!$E$5:$E$20,MATCH($F374,設定!$B$5:$B$20,0)),""))</f>
        <v/>
      </c>
      <c r="I374" s="31">
        <f>IFERROR(INDEX(打卡匯入!$C$3:$C$1002,MATCH($C374&amp;"|"&amp;DAY($A374),打卡匯入!$E$3:$E$1002,0)),"")</f>
        <v/>
      </c>
      <c r="J374" s="31">
        <f>IFERROR(INDEX(打卡匯入!$D$3:$D$1002,MATCH($C374&amp;"|"&amp;DAY($A374),打卡匯入!$E$3:$E$1002,0)),"")</f>
        <v/>
      </c>
      <c r="K374" s="32">
        <f>IF(OR($I374="",$J374=""),"",IFERROR(INDEX(設定!$F$5:$F$20,MATCH($F374,設定!$B$5:$B$20,0)),0))</f>
        <v/>
      </c>
      <c r="L374" s="33">
        <f>IF(OR($I374="",$J374=""),"",ROUND(($J374-$I374)*24-$K374/60,2))</f>
        <v/>
      </c>
      <c r="M374" s="29">
        <f>IF($C374="","",IF(AND(COUNTIF(設定!$B$14:$B$20,$F374)&gt;0,$I374&lt;&gt;""),"假日出勤",IF(AND(COUNTIF(設定!$B$5:$B$13,$F374)&gt;0,$I374=""),"未打卡",IF($I374="","",IF($N374&gt;0,"遲到",IF($O374&gt;0,"早退","正常"))))))</f>
        <v/>
      </c>
      <c r="N374" s="32">
        <f>IF(OR($C374="",$G374="",$I374=""),0,IF(ROUND(($I374-$G374)*1440,0)&gt;設定!$C$28,ROUND(($I374-$G374)*1440,0),0))</f>
        <v/>
      </c>
      <c r="O374" s="32">
        <f>IF(OR($C374="",$H374="",$J374=""),0,IF(ROUND(($H374-$J374)*1440,0)&gt;設定!$C$28,ROUND(($H374-$J374)*1440,0),0))</f>
        <v/>
      </c>
      <c r="P374" s="33">
        <f>IF($L374="",0,IF(($L374-IFERROR(INDEX(設定!$G$5:$G$20,MATCH($F374,設定!$B$5:$B$20,0)),0))*60&gt;=設定!$C$26,ROUND(FLOOR(($L374-IFERROR(INDEX(設定!$G$5:$G$20,MATCH($F374,設定!$B$5:$B$20,0)),0))*60,設定!$C$27)/60,2),0))</f>
        <v/>
      </c>
      <c r="Q374" s="29">
        <f>IF(OR($C374="",$P374=0),"",IF($F374="國","國定假日",IF($B374="日","例假",IF($B374="六","休息日","平日"))))</f>
        <v/>
      </c>
      <c r="R374" s="34" t="n"/>
    </row>
    <row r="375">
      <c r="A375" s="30">
        <f>IF(OR(班表!$A18="",1&gt;DAY(EOMONTH(DATE(班表!$E$2,班表!$G$2,1),0))),"",DATE(班表!$E$2,班表!$G$2,1))</f>
        <v/>
      </c>
      <c r="B375" s="29">
        <f>IF($A375="","",INDEX(設定!$L$5:$L$11,WEEKDAY($A375,1)))</f>
        <v/>
      </c>
      <c r="C375" s="29">
        <f>IF($A375="","",班表!$A18)</f>
        <v/>
      </c>
      <c r="D375" s="29">
        <f>IF($C375="","",班表!$B18)</f>
        <v/>
      </c>
      <c r="E375" s="29">
        <f>IF($C375="","",班表!$C18)</f>
        <v/>
      </c>
      <c r="F375" s="29">
        <f>IF($C375="","",班表!D18)</f>
        <v/>
      </c>
      <c r="G375" s="31">
        <f>IF($F375="","",IFERROR(INDEX(設定!$D$5:$D$20,MATCH($F375,設定!$B$5:$B$20,0)),""))</f>
        <v/>
      </c>
      <c r="H375" s="31">
        <f>IF($F375="","",IFERROR(INDEX(設定!$E$5:$E$20,MATCH($F375,設定!$B$5:$B$20,0)),""))</f>
        <v/>
      </c>
      <c r="I375" s="31">
        <f>IFERROR(INDEX(打卡匯入!$C$3:$C$1002,MATCH($C375&amp;"|"&amp;DAY($A375),打卡匯入!$E$3:$E$1002,0)),"")</f>
        <v/>
      </c>
      <c r="J375" s="31">
        <f>IFERROR(INDEX(打卡匯入!$D$3:$D$1002,MATCH($C375&amp;"|"&amp;DAY($A375),打卡匯入!$E$3:$E$1002,0)),"")</f>
        <v/>
      </c>
      <c r="K375" s="32">
        <f>IF(OR($I375="",$J375=""),"",IFERROR(INDEX(設定!$F$5:$F$20,MATCH($F375,設定!$B$5:$B$20,0)),0))</f>
        <v/>
      </c>
      <c r="L375" s="33">
        <f>IF(OR($I375="",$J375=""),"",ROUND(($J375-$I375)*24-$K375/60,2))</f>
        <v/>
      </c>
      <c r="M375" s="29">
        <f>IF($C375="","",IF(AND(COUNTIF(設定!$B$14:$B$20,$F375)&gt;0,$I375&lt;&gt;""),"假日出勤",IF(AND(COUNTIF(設定!$B$5:$B$13,$F375)&gt;0,$I375=""),"未打卡",IF($I375="","",IF($N375&gt;0,"遲到",IF($O375&gt;0,"早退","正常"))))))</f>
        <v/>
      </c>
      <c r="N375" s="32">
        <f>IF(OR($C375="",$G375="",$I375=""),0,IF(ROUND(($I375-$G375)*1440,0)&gt;設定!$C$28,ROUND(($I375-$G375)*1440,0),0))</f>
        <v/>
      </c>
      <c r="O375" s="32">
        <f>IF(OR($C375="",$H375="",$J375=""),0,IF(ROUND(($H375-$J375)*1440,0)&gt;設定!$C$28,ROUND(($H375-$J375)*1440,0),0))</f>
        <v/>
      </c>
      <c r="P375" s="33">
        <f>IF($L375="",0,IF(($L375-IFERROR(INDEX(設定!$G$5:$G$20,MATCH($F375,設定!$B$5:$B$20,0)),0))*60&gt;=設定!$C$26,ROUND(FLOOR(($L375-IFERROR(INDEX(設定!$G$5:$G$20,MATCH($F375,設定!$B$5:$B$20,0)),0))*60,設定!$C$27)/60,2),0))</f>
        <v/>
      </c>
      <c r="Q375" s="29">
        <f>IF(OR($C375="",$P375=0),"",IF($F375="國","國定假日",IF($B375="日","例假",IF($B375="六","休息日","平日"))))</f>
        <v/>
      </c>
      <c r="R375" s="34" t="n"/>
    </row>
    <row r="376">
      <c r="A376" s="30">
        <f>IF(OR(班表!$A18="",2&gt;DAY(EOMONTH(DATE(班表!$E$2,班表!$G$2,1),0))),"",DATE(班表!$E$2,班表!$G$2,2))</f>
        <v/>
      </c>
      <c r="B376" s="29">
        <f>IF($A376="","",INDEX(設定!$L$5:$L$11,WEEKDAY($A376,1)))</f>
        <v/>
      </c>
      <c r="C376" s="29">
        <f>IF($A376="","",班表!$A18)</f>
        <v/>
      </c>
      <c r="D376" s="29">
        <f>IF($C376="","",班表!$B18)</f>
        <v/>
      </c>
      <c r="E376" s="29">
        <f>IF($C376="","",班表!$C18)</f>
        <v/>
      </c>
      <c r="F376" s="29">
        <f>IF($C376="","",班表!E18)</f>
        <v/>
      </c>
      <c r="G376" s="31">
        <f>IF($F376="","",IFERROR(INDEX(設定!$D$5:$D$20,MATCH($F376,設定!$B$5:$B$20,0)),""))</f>
        <v/>
      </c>
      <c r="H376" s="31">
        <f>IF($F376="","",IFERROR(INDEX(設定!$E$5:$E$20,MATCH($F376,設定!$B$5:$B$20,0)),""))</f>
        <v/>
      </c>
      <c r="I376" s="31">
        <f>IFERROR(INDEX(打卡匯入!$C$3:$C$1002,MATCH($C376&amp;"|"&amp;DAY($A376),打卡匯入!$E$3:$E$1002,0)),"")</f>
        <v/>
      </c>
      <c r="J376" s="31">
        <f>IFERROR(INDEX(打卡匯入!$D$3:$D$1002,MATCH($C376&amp;"|"&amp;DAY($A376),打卡匯入!$E$3:$E$1002,0)),"")</f>
        <v/>
      </c>
      <c r="K376" s="32">
        <f>IF(OR($I376="",$J376=""),"",IFERROR(INDEX(設定!$F$5:$F$20,MATCH($F376,設定!$B$5:$B$20,0)),0))</f>
        <v/>
      </c>
      <c r="L376" s="33">
        <f>IF(OR($I376="",$J376=""),"",ROUND(($J376-$I376)*24-$K376/60,2))</f>
        <v/>
      </c>
      <c r="M376" s="29">
        <f>IF($C376="","",IF(AND(COUNTIF(設定!$B$14:$B$20,$F376)&gt;0,$I376&lt;&gt;""),"假日出勤",IF(AND(COUNTIF(設定!$B$5:$B$13,$F376)&gt;0,$I376=""),"未打卡",IF($I376="","",IF($N376&gt;0,"遲到",IF($O376&gt;0,"早退","正常"))))))</f>
        <v/>
      </c>
      <c r="N376" s="32">
        <f>IF(OR($C376="",$G376="",$I376=""),0,IF(ROUND(($I376-$G376)*1440,0)&gt;設定!$C$28,ROUND(($I376-$G376)*1440,0),0))</f>
        <v/>
      </c>
      <c r="O376" s="32">
        <f>IF(OR($C376="",$H376="",$J376=""),0,IF(ROUND(($H376-$J376)*1440,0)&gt;設定!$C$28,ROUND(($H376-$J376)*1440,0),0))</f>
        <v/>
      </c>
      <c r="P376" s="33">
        <f>IF($L376="",0,IF(($L376-IFERROR(INDEX(設定!$G$5:$G$20,MATCH($F376,設定!$B$5:$B$20,0)),0))*60&gt;=設定!$C$26,ROUND(FLOOR(($L376-IFERROR(INDEX(設定!$G$5:$G$20,MATCH($F376,設定!$B$5:$B$20,0)),0))*60,設定!$C$27)/60,2),0))</f>
        <v/>
      </c>
      <c r="Q376" s="29">
        <f>IF(OR($C376="",$P376=0),"",IF($F376="國","國定假日",IF($B376="日","例假",IF($B376="六","休息日","平日"))))</f>
        <v/>
      </c>
      <c r="R376" s="34" t="n"/>
    </row>
    <row r="377">
      <c r="A377" s="30">
        <f>IF(OR(班表!$A18="",3&gt;DAY(EOMONTH(DATE(班表!$E$2,班表!$G$2,1),0))),"",DATE(班表!$E$2,班表!$G$2,3))</f>
        <v/>
      </c>
      <c r="B377" s="29">
        <f>IF($A377="","",INDEX(設定!$L$5:$L$11,WEEKDAY($A377,1)))</f>
        <v/>
      </c>
      <c r="C377" s="29">
        <f>IF($A377="","",班表!$A18)</f>
        <v/>
      </c>
      <c r="D377" s="29">
        <f>IF($C377="","",班表!$B18)</f>
        <v/>
      </c>
      <c r="E377" s="29">
        <f>IF($C377="","",班表!$C18)</f>
        <v/>
      </c>
      <c r="F377" s="29">
        <f>IF($C377="","",班表!F18)</f>
        <v/>
      </c>
      <c r="G377" s="31">
        <f>IF($F377="","",IFERROR(INDEX(設定!$D$5:$D$20,MATCH($F377,設定!$B$5:$B$20,0)),""))</f>
        <v/>
      </c>
      <c r="H377" s="31">
        <f>IF($F377="","",IFERROR(INDEX(設定!$E$5:$E$20,MATCH($F377,設定!$B$5:$B$20,0)),""))</f>
        <v/>
      </c>
      <c r="I377" s="31">
        <f>IFERROR(INDEX(打卡匯入!$C$3:$C$1002,MATCH($C377&amp;"|"&amp;DAY($A377),打卡匯入!$E$3:$E$1002,0)),"")</f>
        <v/>
      </c>
      <c r="J377" s="31">
        <f>IFERROR(INDEX(打卡匯入!$D$3:$D$1002,MATCH($C377&amp;"|"&amp;DAY($A377),打卡匯入!$E$3:$E$1002,0)),"")</f>
        <v/>
      </c>
      <c r="K377" s="32">
        <f>IF(OR($I377="",$J377=""),"",IFERROR(INDEX(設定!$F$5:$F$20,MATCH($F377,設定!$B$5:$B$20,0)),0))</f>
        <v/>
      </c>
      <c r="L377" s="33">
        <f>IF(OR($I377="",$J377=""),"",ROUND(($J377-$I377)*24-$K377/60,2))</f>
        <v/>
      </c>
      <c r="M377" s="29">
        <f>IF($C377="","",IF(AND(COUNTIF(設定!$B$14:$B$20,$F377)&gt;0,$I377&lt;&gt;""),"假日出勤",IF(AND(COUNTIF(設定!$B$5:$B$13,$F377)&gt;0,$I377=""),"未打卡",IF($I377="","",IF($N377&gt;0,"遲到",IF($O377&gt;0,"早退","正常"))))))</f>
        <v/>
      </c>
      <c r="N377" s="32">
        <f>IF(OR($C377="",$G377="",$I377=""),0,IF(ROUND(($I377-$G377)*1440,0)&gt;設定!$C$28,ROUND(($I377-$G377)*1440,0),0))</f>
        <v/>
      </c>
      <c r="O377" s="32">
        <f>IF(OR($C377="",$H377="",$J377=""),0,IF(ROUND(($H377-$J377)*1440,0)&gt;設定!$C$28,ROUND(($H377-$J377)*1440,0),0))</f>
        <v/>
      </c>
      <c r="P377" s="33">
        <f>IF($L377="",0,IF(($L377-IFERROR(INDEX(設定!$G$5:$G$20,MATCH($F377,設定!$B$5:$B$20,0)),0))*60&gt;=設定!$C$26,ROUND(FLOOR(($L377-IFERROR(INDEX(設定!$G$5:$G$20,MATCH($F377,設定!$B$5:$B$20,0)),0))*60,設定!$C$27)/60,2),0))</f>
        <v/>
      </c>
      <c r="Q377" s="29">
        <f>IF(OR($C377="",$P377=0),"",IF($F377="國","國定假日",IF($B377="日","例假",IF($B377="六","休息日","平日"))))</f>
        <v/>
      </c>
      <c r="R377" s="34" t="n"/>
    </row>
    <row r="378">
      <c r="A378" s="30">
        <f>IF(OR(班表!$A18="",4&gt;DAY(EOMONTH(DATE(班表!$E$2,班表!$G$2,1),0))),"",DATE(班表!$E$2,班表!$G$2,4))</f>
        <v/>
      </c>
      <c r="B378" s="29">
        <f>IF($A378="","",INDEX(設定!$L$5:$L$11,WEEKDAY($A378,1)))</f>
        <v/>
      </c>
      <c r="C378" s="29">
        <f>IF($A378="","",班表!$A18)</f>
        <v/>
      </c>
      <c r="D378" s="29">
        <f>IF($C378="","",班表!$B18)</f>
        <v/>
      </c>
      <c r="E378" s="29">
        <f>IF($C378="","",班表!$C18)</f>
        <v/>
      </c>
      <c r="F378" s="29">
        <f>IF($C378="","",班表!G18)</f>
        <v/>
      </c>
      <c r="G378" s="31">
        <f>IF($F378="","",IFERROR(INDEX(設定!$D$5:$D$20,MATCH($F378,設定!$B$5:$B$20,0)),""))</f>
        <v/>
      </c>
      <c r="H378" s="31">
        <f>IF($F378="","",IFERROR(INDEX(設定!$E$5:$E$20,MATCH($F378,設定!$B$5:$B$20,0)),""))</f>
        <v/>
      </c>
      <c r="I378" s="31">
        <f>IFERROR(INDEX(打卡匯入!$C$3:$C$1002,MATCH($C378&amp;"|"&amp;DAY($A378),打卡匯入!$E$3:$E$1002,0)),"")</f>
        <v/>
      </c>
      <c r="J378" s="31">
        <f>IFERROR(INDEX(打卡匯入!$D$3:$D$1002,MATCH($C378&amp;"|"&amp;DAY($A378),打卡匯入!$E$3:$E$1002,0)),"")</f>
        <v/>
      </c>
      <c r="K378" s="32">
        <f>IF(OR($I378="",$J378=""),"",IFERROR(INDEX(設定!$F$5:$F$20,MATCH($F378,設定!$B$5:$B$20,0)),0))</f>
        <v/>
      </c>
      <c r="L378" s="33">
        <f>IF(OR($I378="",$J378=""),"",ROUND(($J378-$I378)*24-$K378/60,2))</f>
        <v/>
      </c>
      <c r="M378" s="29">
        <f>IF($C378="","",IF(AND(COUNTIF(設定!$B$14:$B$20,$F378)&gt;0,$I378&lt;&gt;""),"假日出勤",IF(AND(COUNTIF(設定!$B$5:$B$13,$F378)&gt;0,$I378=""),"未打卡",IF($I378="","",IF($N378&gt;0,"遲到",IF($O378&gt;0,"早退","正常"))))))</f>
        <v/>
      </c>
      <c r="N378" s="32">
        <f>IF(OR($C378="",$G378="",$I378=""),0,IF(ROUND(($I378-$G378)*1440,0)&gt;設定!$C$28,ROUND(($I378-$G378)*1440,0),0))</f>
        <v/>
      </c>
      <c r="O378" s="32">
        <f>IF(OR($C378="",$H378="",$J378=""),0,IF(ROUND(($H378-$J378)*1440,0)&gt;設定!$C$28,ROUND(($H378-$J378)*1440,0),0))</f>
        <v/>
      </c>
      <c r="P378" s="33">
        <f>IF($L378="",0,IF(($L378-IFERROR(INDEX(設定!$G$5:$G$20,MATCH($F378,設定!$B$5:$B$20,0)),0))*60&gt;=設定!$C$26,ROUND(FLOOR(($L378-IFERROR(INDEX(設定!$G$5:$G$20,MATCH($F378,設定!$B$5:$B$20,0)),0))*60,設定!$C$27)/60,2),0))</f>
        <v/>
      </c>
      <c r="Q378" s="29">
        <f>IF(OR($C378="",$P378=0),"",IF($F378="國","國定假日",IF($B378="日","例假",IF($B378="六","休息日","平日"))))</f>
        <v/>
      </c>
      <c r="R378" s="34" t="n"/>
    </row>
    <row r="379">
      <c r="A379" s="30">
        <f>IF(OR(班表!$A18="",5&gt;DAY(EOMONTH(DATE(班表!$E$2,班表!$G$2,1),0))),"",DATE(班表!$E$2,班表!$G$2,5))</f>
        <v/>
      </c>
      <c r="B379" s="29">
        <f>IF($A379="","",INDEX(設定!$L$5:$L$11,WEEKDAY($A379,1)))</f>
        <v/>
      </c>
      <c r="C379" s="29">
        <f>IF($A379="","",班表!$A18)</f>
        <v/>
      </c>
      <c r="D379" s="29">
        <f>IF($C379="","",班表!$B18)</f>
        <v/>
      </c>
      <c r="E379" s="29">
        <f>IF($C379="","",班表!$C18)</f>
        <v/>
      </c>
      <c r="F379" s="29">
        <f>IF($C379="","",班表!H18)</f>
        <v/>
      </c>
      <c r="G379" s="31">
        <f>IF($F379="","",IFERROR(INDEX(設定!$D$5:$D$20,MATCH($F379,設定!$B$5:$B$20,0)),""))</f>
        <v/>
      </c>
      <c r="H379" s="31">
        <f>IF($F379="","",IFERROR(INDEX(設定!$E$5:$E$20,MATCH($F379,設定!$B$5:$B$20,0)),""))</f>
        <v/>
      </c>
      <c r="I379" s="31">
        <f>IFERROR(INDEX(打卡匯入!$C$3:$C$1002,MATCH($C379&amp;"|"&amp;DAY($A379),打卡匯入!$E$3:$E$1002,0)),"")</f>
        <v/>
      </c>
      <c r="J379" s="31">
        <f>IFERROR(INDEX(打卡匯入!$D$3:$D$1002,MATCH($C379&amp;"|"&amp;DAY($A379),打卡匯入!$E$3:$E$1002,0)),"")</f>
        <v/>
      </c>
      <c r="K379" s="32">
        <f>IF(OR($I379="",$J379=""),"",IFERROR(INDEX(設定!$F$5:$F$20,MATCH($F379,設定!$B$5:$B$20,0)),0))</f>
        <v/>
      </c>
      <c r="L379" s="33">
        <f>IF(OR($I379="",$J379=""),"",ROUND(($J379-$I379)*24-$K379/60,2))</f>
        <v/>
      </c>
      <c r="M379" s="29">
        <f>IF($C379="","",IF(AND(COUNTIF(設定!$B$14:$B$20,$F379)&gt;0,$I379&lt;&gt;""),"假日出勤",IF(AND(COUNTIF(設定!$B$5:$B$13,$F379)&gt;0,$I379=""),"未打卡",IF($I379="","",IF($N379&gt;0,"遲到",IF($O379&gt;0,"早退","正常"))))))</f>
        <v/>
      </c>
      <c r="N379" s="32">
        <f>IF(OR($C379="",$G379="",$I379=""),0,IF(ROUND(($I379-$G379)*1440,0)&gt;設定!$C$28,ROUND(($I379-$G379)*1440,0),0))</f>
        <v/>
      </c>
      <c r="O379" s="32">
        <f>IF(OR($C379="",$H379="",$J379=""),0,IF(ROUND(($H379-$J379)*1440,0)&gt;設定!$C$28,ROUND(($H379-$J379)*1440,0),0))</f>
        <v/>
      </c>
      <c r="P379" s="33">
        <f>IF($L379="",0,IF(($L379-IFERROR(INDEX(設定!$G$5:$G$20,MATCH($F379,設定!$B$5:$B$20,0)),0))*60&gt;=設定!$C$26,ROUND(FLOOR(($L379-IFERROR(INDEX(設定!$G$5:$G$20,MATCH($F379,設定!$B$5:$B$20,0)),0))*60,設定!$C$27)/60,2),0))</f>
        <v/>
      </c>
      <c r="Q379" s="29">
        <f>IF(OR($C379="",$P379=0),"",IF($F379="國","國定假日",IF($B379="日","例假",IF($B379="六","休息日","平日"))))</f>
        <v/>
      </c>
      <c r="R379" s="34" t="n"/>
    </row>
    <row r="380">
      <c r="A380" s="30">
        <f>IF(OR(班表!$A18="",6&gt;DAY(EOMONTH(DATE(班表!$E$2,班表!$G$2,1),0))),"",DATE(班表!$E$2,班表!$G$2,6))</f>
        <v/>
      </c>
      <c r="B380" s="29">
        <f>IF($A380="","",INDEX(設定!$L$5:$L$11,WEEKDAY($A380,1)))</f>
        <v/>
      </c>
      <c r="C380" s="29">
        <f>IF($A380="","",班表!$A18)</f>
        <v/>
      </c>
      <c r="D380" s="29">
        <f>IF($C380="","",班表!$B18)</f>
        <v/>
      </c>
      <c r="E380" s="29">
        <f>IF($C380="","",班表!$C18)</f>
        <v/>
      </c>
      <c r="F380" s="29">
        <f>IF($C380="","",班表!I18)</f>
        <v/>
      </c>
      <c r="G380" s="31">
        <f>IF($F380="","",IFERROR(INDEX(設定!$D$5:$D$20,MATCH($F380,設定!$B$5:$B$20,0)),""))</f>
        <v/>
      </c>
      <c r="H380" s="31">
        <f>IF($F380="","",IFERROR(INDEX(設定!$E$5:$E$20,MATCH($F380,設定!$B$5:$B$20,0)),""))</f>
        <v/>
      </c>
      <c r="I380" s="31">
        <f>IFERROR(INDEX(打卡匯入!$C$3:$C$1002,MATCH($C380&amp;"|"&amp;DAY($A380),打卡匯入!$E$3:$E$1002,0)),"")</f>
        <v/>
      </c>
      <c r="J380" s="31">
        <f>IFERROR(INDEX(打卡匯入!$D$3:$D$1002,MATCH($C380&amp;"|"&amp;DAY($A380),打卡匯入!$E$3:$E$1002,0)),"")</f>
        <v/>
      </c>
      <c r="K380" s="32">
        <f>IF(OR($I380="",$J380=""),"",IFERROR(INDEX(設定!$F$5:$F$20,MATCH($F380,設定!$B$5:$B$20,0)),0))</f>
        <v/>
      </c>
      <c r="L380" s="33">
        <f>IF(OR($I380="",$J380=""),"",ROUND(($J380-$I380)*24-$K380/60,2))</f>
        <v/>
      </c>
      <c r="M380" s="29">
        <f>IF($C380="","",IF(AND(COUNTIF(設定!$B$14:$B$20,$F380)&gt;0,$I380&lt;&gt;""),"假日出勤",IF(AND(COUNTIF(設定!$B$5:$B$13,$F380)&gt;0,$I380=""),"未打卡",IF($I380="","",IF($N380&gt;0,"遲到",IF($O380&gt;0,"早退","正常"))))))</f>
        <v/>
      </c>
      <c r="N380" s="32">
        <f>IF(OR($C380="",$G380="",$I380=""),0,IF(ROUND(($I380-$G380)*1440,0)&gt;設定!$C$28,ROUND(($I380-$G380)*1440,0),0))</f>
        <v/>
      </c>
      <c r="O380" s="32">
        <f>IF(OR($C380="",$H380="",$J380=""),0,IF(ROUND(($H380-$J380)*1440,0)&gt;設定!$C$28,ROUND(($H380-$J380)*1440,0),0))</f>
        <v/>
      </c>
      <c r="P380" s="33">
        <f>IF($L380="",0,IF(($L380-IFERROR(INDEX(設定!$G$5:$G$20,MATCH($F380,設定!$B$5:$B$20,0)),0))*60&gt;=設定!$C$26,ROUND(FLOOR(($L380-IFERROR(INDEX(設定!$G$5:$G$20,MATCH($F380,設定!$B$5:$B$20,0)),0))*60,設定!$C$27)/60,2),0))</f>
        <v/>
      </c>
      <c r="Q380" s="29">
        <f>IF(OR($C380="",$P380=0),"",IF($F380="國","國定假日",IF($B380="日","例假",IF($B380="六","休息日","平日"))))</f>
        <v/>
      </c>
      <c r="R380" s="34" t="n"/>
    </row>
    <row r="381">
      <c r="A381" s="30">
        <f>IF(OR(班表!$A18="",7&gt;DAY(EOMONTH(DATE(班表!$E$2,班表!$G$2,1),0))),"",DATE(班表!$E$2,班表!$G$2,7))</f>
        <v/>
      </c>
      <c r="B381" s="29">
        <f>IF($A381="","",INDEX(設定!$L$5:$L$11,WEEKDAY($A381,1)))</f>
        <v/>
      </c>
      <c r="C381" s="29">
        <f>IF($A381="","",班表!$A18)</f>
        <v/>
      </c>
      <c r="D381" s="29">
        <f>IF($C381="","",班表!$B18)</f>
        <v/>
      </c>
      <c r="E381" s="29">
        <f>IF($C381="","",班表!$C18)</f>
        <v/>
      </c>
      <c r="F381" s="29">
        <f>IF($C381="","",班表!J18)</f>
        <v/>
      </c>
      <c r="G381" s="31">
        <f>IF($F381="","",IFERROR(INDEX(設定!$D$5:$D$20,MATCH($F381,設定!$B$5:$B$20,0)),""))</f>
        <v/>
      </c>
      <c r="H381" s="31">
        <f>IF($F381="","",IFERROR(INDEX(設定!$E$5:$E$20,MATCH($F381,設定!$B$5:$B$20,0)),""))</f>
        <v/>
      </c>
      <c r="I381" s="31">
        <f>IFERROR(INDEX(打卡匯入!$C$3:$C$1002,MATCH($C381&amp;"|"&amp;DAY($A381),打卡匯入!$E$3:$E$1002,0)),"")</f>
        <v/>
      </c>
      <c r="J381" s="31">
        <f>IFERROR(INDEX(打卡匯入!$D$3:$D$1002,MATCH($C381&amp;"|"&amp;DAY($A381),打卡匯入!$E$3:$E$1002,0)),"")</f>
        <v/>
      </c>
      <c r="K381" s="32">
        <f>IF(OR($I381="",$J381=""),"",IFERROR(INDEX(設定!$F$5:$F$20,MATCH($F381,設定!$B$5:$B$20,0)),0))</f>
        <v/>
      </c>
      <c r="L381" s="33">
        <f>IF(OR($I381="",$J381=""),"",ROUND(($J381-$I381)*24-$K381/60,2))</f>
        <v/>
      </c>
      <c r="M381" s="29">
        <f>IF($C381="","",IF(AND(COUNTIF(設定!$B$14:$B$20,$F381)&gt;0,$I381&lt;&gt;""),"假日出勤",IF(AND(COUNTIF(設定!$B$5:$B$13,$F381)&gt;0,$I381=""),"未打卡",IF($I381="","",IF($N381&gt;0,"遲到",IF($O381&gt;0,"早退","正常"))))))</f>
        <v/>
      </c>
      <c r="N381" s="32">
        <f>IF(OR($C381="",$G381="",$I381=""),0,IF(ROUND(($I381-$G381)*1440,0)&gt;設定!$C$28,ROUND(($I381-$G381)*1440,0),0))</f>
        <v/>
      </c>
      <c r="O381" s="32">
        <f>IF(OR($C381="",$H381="",$J381=""),0,IF(ROUND(($H381-$J381)*1440,0)&gt;設定!$C$28,ROUND(($H381-$J381)*1440,0),0))</f>
        <v/>
      </c>
      <c r="P381" s="33">
        <f>IF($L381="",0,IF(($L381-IFERROR(INDEX(設定!$G$5:$G$20,MATCH($F381,設定!$B$5:$B$20,0)),0))*60&gt;=設定!$C$26,ROUND(FLOOR(($L381-IFERROR(INDEX(設定!$G$5:$G$20,MATCH($F381,設定!$B$5:$B$20,0)),0))*60,設定!$C$27)/60,2),0))</f>
        <v/>
      </c>
      <c r="Q381" s="29">
        <f>IF(OR($C381="",$P381=0),"",IF($F381="國","國定假日",IF($B381="日","例假",IF($B381="六","休息日","平日"))))</f>
        <v/>
      </c>
      <c r="R381" s="34" t="n"/>
    </row>
    <row r="382">
      <c r="A382" s="30">
        <f>IF(OR(班表!$A18="",8&gt;DAY(EOMONTH(DATE(班表!$E$2,班表!$G$2,1),0))),"",DATE(班表!$E$2,班表!$G$2,8))</f>
        <v/>
      </c>
      <c r="B382" s="29">
        <f>IF($A382="","",INDEX(設定!$L$5:$L$11,WEEKDAY($A382,1)))</f>
        <v/>
      </c>
      <c r="C382" s="29">
        <f>IF($A382="","",班表!$A18)</f>
        <v/>
      </c>
      <c r="D382" s="29">
        <f>IF($C382="","",班表!$B18)</f>
        <v/>
      </c>
      <c r="E382" s="29">
        <f>IF($C382="","",班表!$C18)</f>
        <v/>
      </c>
      <c r="F382" s="29">
        <f>IF($C382="","",班表!K18)</f>
        <v/>
      </c>
      <c r="G382" s="31">
        <f>IF($F382="","",IFERROR(INDEX(設定!$D$5:$D$20,MATCH($F382,設定!$B$5:$B$20,0)),""))</f>
        <v/>
      </c>
      <c r="H382" s="31">
        <f>IF($F382="","",IFERROR(INDEX(設定!$E$5:$E$20,MATCH($F382,設定!$B$5:$B$20,0)),""))</f>
        <v/>
      </c>
      <c r="I382" s="31">
        <f>IFERROR(INDEX(打卡匯入!$C$3:$C$1002,MATCH($C382&amp;"|"&amp;DAY($A382),打卡匯入!$E$3:$E$1002,0)),"")</f>
        <v/>
      </c>
      <c r="J382" s="31">
        <f>IFERROR(INDEX(打卡匯入!$D$3:$D$1002,MATCH($C382&amp;"|"&amp;DAY($A382),打卡匯入!$E$3:$E$1002,0)),"")</f>
        <v/>
      </c>
      <c r="K382" s="32">
        <f>IF(OR($I382="",$J382=""),"",IFERROR(INDEX(設定!$F$5:$F$20,MATCH($F382,設定!$B$5:$B$20,0)),0))</f>
        <v/>
      </c>
      <c r="L382" s="33">
        <f>IF(OR($I382="",$J382=""),"",ROUND(($J382-$I382)*24-$K382/60,2))</f>
        <v/>
      </c>
      <c r="M382" s="29">
        <f>IF($C382="","",IF(AND(COUNTIF(設定!$B$14:$B$20,$F382)&gt;0,$I382&lt;&gt;""),"假日出勤",IF(AND(COUNTIF(設定!$B$5:$B$13,$F382)&gt;0,$I382=""),"未打卡",IF($I382="","",IF($N382&gt;0,"遲到",IF($O382&gt;0,"早退","正常"))))))</f>
        <v/>
      </c>
      <c r="N382" s="32">
        <f>IF(OR($C382="",$G382="",$I382=""),0,IF(ROUND(($I382-$G382)*1440,0)&gt;設定!$C$28,ROUND(($I382-$G382)*1440,0),0))</f>
        <v/>
      </c>
      <c r="O382" s="32">
        <f>IF(OR($C382="",$H382="",$J382=""),0,IF(ROUND(($H382-$J382)*1440,0)&gt;設定!$C$28,ROUND(($H382-$J382)*1440,0),0))</f>
        <v/>
      </c>
      <c r="P382" s="33">
        <f>IF($L382="",0,IF(($L382-IFERROR(INDEX(設定!$G$5:$G$20,MATCH($F382,設定!$B$5:$B$20,0)),0))*60&gt;=設定!$C$26,ROUND(FLOOR(($L382-IFERROR(INDEX(設定!$G$5:$G$20,MATCH($F382,設定!$B$5:$B$20,0)),0))*60,設定!$C$27)/60,2),0))</f>
        <v/>
      </c>
      <c r="Q382" s="29">
        <f>IF(OR($C382="",$P382=0),"",IF($F382="國","國定假日",IF($B382="日","例假",IF($B382="六","休息日","平日"))))</f>
        <v/>
      </c>
      <c r="R382" s="34" t="n"/>
    </row>
    <row r="383">
      <c r="A383" s="30">
        <f>IF(OR(班表!$A18="",9&gt;DAY(EOMONTH(DATE(班表!$E$2,班表!$G$2,1),0))),"",DATE(班表!$E$2,班表!$G$2,9))</f>
        <v/>
      </c>
      <c r="B383" s="29">
        <f>IF($A383="","",INDEX(設定!$L$5:$L$11,WEEKDAY($A383,1)))</f>
        <v/>
      </c>
      <c r="C383" s="29">
        <f>IF($A383="","",班表!$A18)</f>
        <v/>
      </c>
      <c r="D383" s="29">
        <f>IF($C383="","",班表!$B18)</f>
        <v/>
      </c>
      <c r="E383" s="29">
        <f>IF($C383="","",班表!$C18)</f>
        <v/>
      </c>
      <c r="F383" s="29">
        <f>IF($C383="","",班表!L18)</f>
        <v/>
      </c>
      <c r="G383" s="31">
        <f>IF($F383="","",IFERROR(INDEX(設定!$D$5:$D$20,MATCH($F383,設定!$B$5:$B$20,0)),""))</f>
        <v/>
      </c>
      <c r="H383" s="31">
        <f>IF($F383="","",IFERROR(INDEX(設定!$E$5:$E$20,MATCH($F383,設定!$B$5:$B$20,0)),""))</f>
        <v/>
      </c>
      <c r="I383" s="31">
        <f>IFERROR(INDEX(打卡匯入!$C$3:$C$1002,MATCH($C383&amp;"|"&amp;DAY($A383),打卡匯入!$E$3:$E$1002,0)),"")</f>
        <v/>
      </c>
      <c r="J383" s="31">
        <f>IFERROR(INDEX(打卡匯入!$D$3:$D$1002,MATCH($C383&amp;"|"&amp;DAY($A383),打卡匯入!$E$3:$E$1002,0)),"")</f>
        <v/>
      </c>
      <c r="K383" s="32">
        <f>IF(OR($I383="",$J383=""),"",IFERROR(INDEX(設定!$F$5:$F$20,MATCH($F383,設定!$B$5:$B$20,0)),0))</f>
        <v/>
      </c>
      <c r="L383" s="33">
        <f>IF(OR($I383="",$J383=""),"",ROUND(($J383-$I383)*24-$K383/60,2))</f>
        <v/>
      </c>
      <c r="M383" s="29">
        <f>IF($C383="","",IF(AND(COUNTIF(設定!$B$14:$B$20,$F383)&gt;0,$I383&lt;&gt;""),"假日出勤",IF(AND(COUNTIF(設定!$B$5:$B$13,$F383)&gt;0,$I383=""),"未打卡",IF($I383="","",IF($N383&gt;0,"遲到",IF($O383&gt;0,"早退","正常"))))))</f>
        <v/>
      </c>
      <c r="N383" s="32">
        <f>IF(OR($C383="",$G383="",$I383=""),0,IF(ROUND(($I383-$G383)*1440,0)&gt;設定!$C$28,ROUND(($I383-$G383)*1440,0),0))</f>
        <v/>
      </c>
      <c r="O383" s="32">
        <f>IF(OR($C383="",$H383="",$J383=""),0,IF(ROUND(($H383-$J383)*1440,0)&gt;設定!$C$28,ROUND(($H383-$J383)*1440,0),0))</f>
        <v/>
      </c>
      <c r="P383" s="33">
        <f>IF($L383="",0,IF(($L383-IFERROR(INDEX(設定!$G$5:$G$20,MATCH($F383,設定!$B$5:$B$20,0)),0))*60&gt;=設定!$C$26,ROUND(FLOOR(($L383-IFERROR(INDEX(設定!$G$5:$G$20,MATCH($F383,設定!$B$5:$B$20,0)),0))*60,設定!$C$27)/60,2),0))</f>
        <v/>
      </c>
      <c r="Q383" s="29">
        <f>IF(OR($C383="",$P383=0),"",IF($F383="國","國定假日",IF($B383="日","例假",IF($B383="六","休息日","平日"))))</f>
        <v/>
      </c>
      <c r="R383" s="34" t="n"/>
    </row>
    <row r="384">
      <c r="A384" s="30">
        <f>IF(OR(班表!$A18="",10&gt;DAY(EOMONTH(DATE(班表!$E$2,班表!$G$2,1),0))),"",DATE(班表!$E$2,班表!$G$2,10))</f>
        <v/>
      </c>
      <c r="B384" s="29">
        <f>IF($A384="","",INDEX(設定!$L$5:$L$11,WEEKDAY($A384,1)))</f>
        <v/>
      </c>
      <c r="C384" s="29">
        <f>IF($A384="","",班表!$A18)</f>
        <v/>
      </c>
      <c r="D384" s="29">
        <f>IF($C384="","",班表!$B18)</f>
        <v/>
      </c>
      <c r="E384" s="29">
        <f>IF($C384="","",班表!$C18)</f>
        <v/>
      </c>
      <c r="F384" s="29">
        <f>IF($C384="","",班表!M18)</f>
        <v/>
      </c>
      <c r="G384" s="31">
        <f>IF($F384="","",IFERROR(INDEX(設定!$D$5:$D$20,MATCH($F384,設定!$B$5:$B$20,0)),""))</f>
        <v/>
      </c>
      <c r="H384" s="31">
        <f>IF($F384="","",IFERROR(INDEX(設定!$E$5:$E$20,MATCH($F384,設定!$B$5:$B$20,0)),""))</f>
        <v/>
      </c>
      <c r="I384" s="31">
        <f>IFERROR(INDEX(打卡匯入!$C$3:$C$1002,MATCH($C384&amp;"|"&amp;DAY($A384),打卡匯入!$E$3:$E$1002,0)),"")</f>
        <v/>
      </c>
      <c r="J384" s="31">
        <f>IFERROR(INDEX(打卡匯入!$D$3:$D$1002,MATCH($C384&amp;"|"&amp;DAY($A384),打卡匯入!$E$3:$E$1002,0)),"")</f>
        <v/>
      </c>
      <c r="K384" s="32">
        <f>IF(OR($I384="",$J384=""),"",IFERROR(INDEX(設定!$F$5:$F$20,MATCH($F384,設定!$B$5:$B$20,0)),0))</f>
        <v/>
      </c>
      <c r="L384" s="33">
        <f>IF(OR($I384="",$J384=""),"",ROUND(($J384-$I384)*24-$K384/60,2))</f>
        <v/>
      </c>
      <c r="M384" s="29">
        <f>IF($C384="","",IF(AND(COUNTIF(設定!$B$14:$B$20,$F384)&gt;0,$I384&lt;&gt;""),"假日出勤",IF(AND(COUNTIF(設定!$B$5:$B$13,$F384)&gt;0,$I384=""),"未打卡",IF($I384="","",IF($N384&gt;0,"遲到",IF($O384&gt;0,"早退","正常"))))))</f>
        <v/>
      </c>
      <c r="N384" s="32">
        <f>IF(OR($C384="",$G384="",$I384=""),0,IF(ROUND(($I384-$G384)*1440,0)&gt;設定!$C$28,ROUND(($I384-$G384)*1440,0),0))</f>
        <v/>
      </c>
      <c r="O384" s="32">
        <f>IF(OR($C384="",$H384="",$J384=""),0,IF(ROUND(($H384-$J384)*1440,0)&gt;設定!$C$28,ROUND(($H384-$J384)*1440,0),0))</f>
        <v/>
      </c>
      <c r="P384" s="33">
        <f>IF($L384="",0,IF(($L384-IFERROR(INDEX(設定!$G$5:$G$20,MATCH($F384,設定!$B$5:$B$20,0)),0))*60&gt;=設定!$C$26,ROUND(FLOOR(($L384-IFERROR(INDEX(設定!$G$5:$G$20,MATCH($F384,設定!$B$5:$B$20,0)),0))*60,設定!$C$27)/60,2),0))</f>
        <v/>
      </c>
      <c r="Q384" s="29">
        <f>IF(OR($C384="",$P384=0),"",IF($F384="國","國定假日",IF($B384="日","例假",IF($B384="六","休息日","平日"))))</f>
        <v/>
      </c>
      <c r="R384" s="34" t="n"/>
    </row>
    <row r="385">
      <c r="A385" s="30">
        <f>IF(OR(班表!$A18="",11&gt;DAY(EOMONTH(DATE(班表!$E$2,班表!$G$2,1),0))),"",DATE(班表!$E$2,班表!$G$2,11))</f>
        <v/>
      </c>
      <c r="B385" s="29">
        <f>IF($A385="","",INDEX(設定!$L$5:$L$11,WEEKDAY($A385,1)))</f>
        <v/>
      </c>
      <c r="C385" s="29">
        <f>IF($A385="","",班表!$A18)</f>
        <v/>
      </c>
      <c r="D385" s="29">
        <f>IF($C385="","",班表!$B18)</f>
        <v/>
      </c>
      <c r="E385" s="29">
        <f>IF($C385="","",班表!$C18)</f>
        <v/>
      </c>
      <c r="F385" s="29">
        <f>IF($C385="","",班表!N18)</f>
        <v/>
      </c>
      <c r="G385" s="31">
        <f>IF($F385="","",IFERROR(INDEX(設定!$D$5:$D$20,MATCH($F385,設定!$B$5:$B$20,0)),""))</f>
        <v/>
      </c>
      <c r="H385" s="31">
        <f>IF($F385="","",IFERROR(INDEX(設定!$E$5:$E$20,MATCH($F385,設定!$B$5:$B$20,0)),""))</f>
        <v/>
      </c>
      <c r="I385" s="31">
        <f>IFERROR(INDEX(打卡匯入!$C$3:$C$1002,MATCH($C385&amp;"|"&amp;DAY($A385),打卡匯入!$E$3:$E$1002,0)),"")</f>
        <v/>
      </c>
      <c r="J385" s="31">
        <f>IFERROR(INDEX(打卡匯入!$D$3:$D$1002,MATCH($C385&amp;"|"&amp;DAY($A385),打卡匯入!$E$3:$E$1002,0)),"")</f>
        <v/>
      </c>
      <c r="K385" s="32">
        <f>IF(OR($I385="",$J385=""),"",IFERROR(INDEX(設定!$F$5:$F$20,MATCH($F385,設定!$B$5:$B$20,0)),0))</f>
        <v/>
      </c>
      <c r="L385" s="33">
        <f>IF(OR($I385="",$J385=""),"",ROUND(($J385-$I385)*24-$K385/60,2))</f>
        <v/>
      </c>
      <c r="M385" s="29">
        <f>IF($C385="","",IF(AND(COUNTIF(設定!$B$14:$B$20,$F385)&gt;0,$I385&lt;&gt;""),"假日出勤",IF(AND(COUNTIF(設定!$B$5:$B$13,$F385)&gt;0,$I385=""),"未打卡",IF($I385="","",IF($N385&gt;0,"遲到",IF($O385&gt;0,"早退","正常"))))))</f>
        <v/>
      </c>
      <c r="N385" s="32">
        <f>IF(OR($C385="",$G385="",$I385=""),0,IF(ROUND(($I385-$G385)*1440,0)&gt;設定!$C$28,ROUND(($I385-$G385)*1440,0),0))</f>
        <v/>
      </c>
      <c r="O385" s="32">
        <f>IF(OR($C385="",$H385="",$J385=""),0,IF(ROUND(($H385-$J385)*1440,0)&gt;設定!$C$28,ROUND(($H385-$J385)*1440,0),0))</f>
        <v/>
      </c>
      <c r="P385" s="33">
        <f>IF($L385="",0,IF(($L385-IFERROR(INDEX(設定!$G$5:$G$20,MATCH($F385,設定!$B$5:$B$20,0)),0))*60&gt;=設定!$C$26,ROUND(FLOOR(($L385-IFERROR(INDEX(設定!$G$5:$G$20,MATCH($F385,設定!$B$5:$B$20,0)),0))*60,設定!$C$27)/60,2),0))</f>
        <v/>
      </c>
      <c r="Q385" s="29">
        <f>IF(OR($C385="",$P385=0),"",IF($F385="國","國定假日",IF($B385="日","例假",IF($B385="六","休息日","平日"))))</f>
        <v/>
      </c>
      <c r="R385" s="34" t="n"/>
    </row>
    <row r="386">
      <c r="A386" s="30">
        <f>IF(OR(班表!$A18="",12&gt;DAY(EOMONTH(DATE(班表!$E$2,班表!$G$2,1),0))),"",DATE(班表!$E$2,班表!$G$2,12))</f>
        <v/>
      </c>
      <c r="B386" s="29">
        <f>IF($A386="","",INDEX(設定!$L$5:$L$11,WEEKDAY($A386,1)))</f>
        <v/>
      </c>
      <c r="C386" s="29">
        <f>IF($A386="","",班表!$A18)</f>
        <v/>
      </c>
      <c r="D386" s="29">
        <f>IF($C386="","",班表!$B18)</f>
        <v/>
      </c>
      <c r="E386" s="29">
        <f>IF($C386="","",班表!$C18)</f>
        <v/>
      </c>
      <c r="F386" s="29">
        <f>IF($C386="","",班表!O18)</f>
        <v/>
      </c>
      <c r="G386" s="31">
        <f>IF($F386="","",IFERROR(INDEX(設定!$D$5:$D$20,MATCH($F386,設定!$B$5:$B$20,0)),""))</f>
        <v/>
      </c>
      <c r="H386" s="31">
        <f>IF($F386="","",IFERROR(INDEX(設定!$E$5:$E$20,MATCH($F386,設定!$B$5:$B$20,0)),""))</f>
        <v/>
      </c>
      <c r="I386" s="31">
        <f>IFERROR(INDEX(打卡匯入!$C$3:$C$1002,MATCH($C386&amp;"|"&amp;DAY($A386),打卡匯入!$E$3:$E$1002,0)),"")</f>
        <v/>
      </c>
      <c r="J386" s="31">
        <f>IFERROR(INDEX(打卡匯入!$D$3:$D$1002,MATCH($C386&amp;"|"&amp;DAY($A386),打卡匯入!$E$3:$E$1002,0)),"")</f>
        <v/>
      </c>
      <c r="K386" s="32">
        <f>IF(OR($I386="",$J386=""),"",IFERROR(INDEX(設定!$F$5:$F$20,MATCH($F386,設定!$B$5:$B$20,0)),0))</f>
        <v/>
      </c>
      <c r="L386" s="33">
        <f>IF(OR($I386="",$J386=""),"",ROUND(($J386-$I386)*24-$K386/60,2))</f>
        <v/>
      </c>
      <c r="M386" s="29">
        <f>IF($C386="","",IF(AND(COUNTIF(設定!$B$14:$B$20,$F386)&gt;0,$I386&lt;&gt;""),"假日出勤",IF(AND(COUNTIF(設定!$B$5:$B$13,$F386)&gt;0,$I386=""),"未打卡",IF($I386="","",IF($N386&gt;0,"遲到",IF($O386&gt;0,"早退","正常"))))))</f>
        <v/>
      </c>
      <c r="N386" s="32">
        <f>IF(OR($C386="",$G386="",$I386=""),0,IF(ROUND(($I386-$G386)*1440,0)&gt;設定!$C$28,ROUND(($I386-$G386)*1440,0),0))</f>
        <v/>
      </c>
      <c r="O386" s="32">
        <f>IF(OR($C386="",$H386="",$J386=""),0,IF(ROUND(($H386-$J386)*1440,0)&gt;設定!$C$28,ROUND(($H386-$J386)*1440,0),0))</f>
        <v/>
      </c>
      <c r="P386" s="33">
        <f>IF($L386="",0,IF(($L386-IFERROR(INDEX(設定!$G$5:$G$20,MATCH($F386,設定!$B$5:$B$20,0)),0))*60&gt;=設定!$C$26,ROUND(FLOOR(($L386-IFERROR(INDEX(設定!$G$5:$G$20,MATCH($F386,設定!$B$5:$B$20,0)),0))*60,設定!$C$27)/60,2),0))</f>
        <v/>
      </c>
      <c r="Q386" s="29">
        <f>IF(OR($C386="",$P386=0),"",IF($F386="國","國定假日",IF($B386="日","例假",IF($B386="六","休息日","平日"))))</f>
        <v/>
      </c>
      <c r="R386" s="34" t="n"/>
    </row>
    <row r="387">
      <c r="A387" s="30">
        <f>IF(OR(班表!$A18="",13&gt;DAY(EOMONTH(DATE(班表!$E$2,班表!$G$2,1),0))),"",DATE(班表!$E$2,班表!$G$2,13))</f>
        <v/>
      </c>
      <c r="B387" s="29">
        <f>IF($A387="","",INDEX(設定!$L$5:$L$11,WEEKDAY($A387,1)))</f>
        <v/>
      </c>
      <c r="C387" s="29">
        <f>IF($A387="","",班表!$A18)</f>
        <v/>
      </c>
      <c r="D387" s="29">
        <f>IF($C387="","",班表!$B18)</f>
        <v/>
      </c>
      <c r="E387" s="29">
        <f>IF($C387="","",班表!$C18)</f>
        <v/>
      </c>
      <c r="F387" s="29">
        <f>IF($C387="","",班表!P18)</f>
        <v/>
      </c>
      <c r="G387" s="31">
        <f>IF($F387="","",IFERROR(INDEX(設定!$D$5:$D$20,MATCH($F387,設定!$B$5:$B$20,0)),""))</f>
        <v/>
      </c>
      <c r="H387" s="31">
        <f>IF($F387="","",IFERROR(INDEX(設定!$E$5:$E$20,MATCH($F387,設定!$B$5:$B$20,0)),""))</f>
        <v/>
      </c>
      <c r="I387" s="31">
        <f>IFERROR(INDEX(打卡匯入!$C$3:$C$1002,MATCH($C387&amp;"|"&amp;DAY($A387),打卡匯入!$E$3:$E$1002,0)),"")</f>
        <v/>
      </c>
      <c r="J387" s="31">
        <f>IFERROR(INDEX(打卡匯入!$D$3:$D$1002,MATCH($C387&amp;"|"&amp;DAY($A387),打卡匯入!$E$3:$E$1002,0)),"")</f>
        <v/>
      </c>
      <c r="K387" s="32">
        <f>IF(OR($I387="",$J387=""),"",IFERROR(INDEX(設定!$F$5:$F$20,MATCH($F387,設定!$B$5:$B$20,0)),0))</f>
        <v/>
      </c>
      <c r="L387" s="33">
        <f>IF(OR($I387="",$J387=""),"",ROUND(($J387-$I387)*24-$K387/60,2))</f>
        <v/>
      </c>
      <c r="M387" s="29">
        <f>IF($C387="","",IF(AND(COUNTIF(設定!$B$14:$B$20,$F387)&gt;0,$I387&lt;&gt;""),"假日出勤",IF(AND(COUNTIF(設定!$B$5:$B$13,$F387)&gt;0,$I387=""),"未打卡",IF($I387="","",IF($N387&gt;0,"遲到",IF($O387&gt;0,"早退","正常"))))))</f>
        <v/>
      </c>
      <c r="N387" s="32">
        <f>IF(OR($C387="",$G387="",$I387=""),0,IF(ROUND(($I387-$G387)*1440,0)&gt;設定!$C$28,ROUND(($I387-$G387)*1440,0),0))</f>
        <v/>
      </c>
      <c r="O387" s="32">
        <f>IF(OR($C387="",$H387="",$J387=""),0,IF(ROUND(($H387-$J387)*1440,0)&gt;設定!$C$28,ROUND(($H387-$J387)*1440,0),0))</f>
        <v/>
      </c>
      <c r="P387" s="33">
        <f>IF($L387="",0,IF(($L387-IFERROR(INDEX(設定!$G$5:$G$20,MATCH($F387,設定!$B$5:$B$20,0)),0))*60&gt;=設定!$C$26,ROUND(FLOOR(($L387-IFERROR(INDEX(設定!$G$5:$G$20,MATCH($F387,設定!$B$5:$B$20,0)),0))*60,設定!$C$27)/60,2),0))</f>
        <v/>
      </c>
      <c r="Q387" s="29">
        <f>IF(OR($C387="",$P387=0),"",IF($F387="國","國定假日",IF($B387="日","例假",IF($B387="六","休息日","平日"))))</f>
        <v/>
      </c>
      <c r="R387" s="34" t="n"/>
    </row>
    <row r="388">
      <c r="A388" s="30">
        <f>IF(OR(班表!$A18="",14&gt;DAY(EOMONTH(DATE(班表!$E$2,班表!$G$2,1),0))),"",DATE(班表!$E$2,班表!$G$2,14))</f>
        <v/>
      </c>
      <c r="B388" s="29">
        <f>IF($A388="","",INDEX(設定!$L$5:$L$11,WEEKDAY($A388,1)))</f>
        <v/>
      </c>
      <c r="C388" s="29">
        <f>IF($A388="","",班表!$A18)</f>
        <v/>
      </c>
      <c r="D388" s="29">
        <f>IF($C388="","",班表!$B18)</f>
        <v/>
      </c>
      <c r="E388" s="29">
        <f>IF($C388="","",班表!$C18)</f>
        <v/>
      </c>
      <c r="F388" s="29">
        <f>IF($C388="","",班表!Q18)</f>
        <v/>
      </c>
      <c r="G388" s="31">
        <f>IF($F388="","",IFERROR(INDEX(設定!$D$5:$D$20,MATCH($F388,設定!$B$5:$B$20,0)),""))</f>
        <v/>
      </c>
      <c r="H388" s="31">
        <f>IF($F388="","",IFERROR(INDEX(設定!$E$5:$E$20,MATCH($F388,設定!$B$5:$B$20,0)),""))</f>
        <v/>
      </c>
      <c r="I388" s="31">
        <f>IFERROR(INDEX(打卡匯入!$C$3:$C$1002,MATCH($C388&amp;"|"&amp;DAY($A388),打卡匯入!$E$3:$E$1002,0)),"")</f>
        <v/>
      </c>
      <c r="J388" s="31">
        <f>IFERROR(INDEX(打卡匯入!$D$3:$D$1002,MATCH($C388&amp;"|"&amp;DAY($A388),打卡匯入!$E$3:$E$1002,0)),"")</f>
        <v/>
      </c>
      <c r="K388" s="32">
        <f>IF(OR($I388="",$J388=""),"",IFERROR(INDEX(設定!$F$5:$F$20,MATCH($F388,設定!$B$5:$B$20,0)),0))</f>
        <v/>
      </c>
      <c r="L388" s="33">
        <f>IF(OR($I388="",$J388=""),"",ROUND(($J388-$I388)*24-$K388/60,2))</f>
        <v/>
      </c>
      <c r="M388" s="29">
        <f>IF($C388="","",IF(AND(COUNTIF(設定!$B$14:$B$20,$F388)&gt;0,$I388&lt;&gt;""),"假日出勤",IF(AND(COUNTIF(設定!$B$5:$B$13,$F388)&gt;0,$I388=""),"未打卡",IF($I388="","",IF($N388&gt;0,"遲到",IF($O388&gt;0,"早退","正常"))))))</f>
        <v/>
      </c>
      <c r="N388" s="32">
        <f>IF(OR($C388="",$G388="",$I388=""),0,IF(ROUND(($I388-$G388)*1440,0)&gt;設定!$C$28,ROUND(($I388-$G388)*1440,0),0))</f>
        <v/>
      </c>
      <c r="O388" s="32">
        <f>IF(OR($C388="",$H388="",$J388=""),0,IF(ROUND(($H388-$J388)*1440,0)&gt;設定!$C$28,ROUND(($H388-$J388)*1440,0),0))</f>
        <v/>
      </c>
      <c r="P388" s="33">
        <f>IF($L388="",0,IF(($L388-IFERROR(INDEX(設定!$G$5:$G$20,MATCH($F388,設定!$B$5:$B$20,0)),0))*60&gt;=設定!$C$26,ROUND(FLOOR(($L388-IFERROR(INDEX(設定!$G$5:$G$20,MATCH($F388,設定!$B$5:$B$20,0)),0))*60,設定!$C$27)/60,2),0))</f>
        <v/>
      </c>
      <c r="Q388" s="29">
        <f>IF(OR($C388="",$P388=0),"",IF($F388="國","國定假日",IF($B388="日","例假",IF($B388="六","休息日","平日"))))</f>
        <v/>
      </c>
      <c r="R388" s="34" t="n"/>
    </row>
    <row r="389">
      <c r="A389" s="30">
        <f>IF(OR(班表!$A18="",15&gt;DAY(EOMONTH(DATE(班表!$E$2,班表!$G$2,1),0))),"",DATE(班表!$E$2,班表!$G$2,15))</f>
        <v/>
      </c>
      <c r="B389" s="29">
        <f>IF($A389="","",INDEX(設定!$L$5:$L$11,WEEKDAY($A389,1)))</f>
        <v/>
      </c>
      <c r="C389" s="29">
        <f>IF($A389="","",班表!$A18)</f>
        <v/>
      </c>
      <c r="D389" s="29">
        <f>IF($C389="","",班表!$B18)</f>
        <v/>
      </c>
      <c r="E389" s="29">
        <f>IF($C389="","",班表!$C18)</f>
        <v/>
      </c>
      <c r="F389" s="29">
        <f>IF($C389="","",班表!R18)</f>
        <v/>
      </c>
      <c r="G389" s="31">
        <f>IF($F389="","",IFERROR(INDEX(設定!$D$5:$D$20,MATCH($F389,設定!$B$5:$B$20,0)),""))</f>
        <v/>
      </c>
      <c r="H389" s="31">
        <f>IF($F389="","",IFERROR(INDEX(設定!$E$5:$E$20,MATCH($F389,設定!$B$5:$B$20,0)),""))</f>
        <v/>
      </c>
      <c r="I389" s="31">
        <f>IFERROR(INDEX(打卡匯入!$C$3:$C$1002,MATCH($C389&amp;"|"&amp;DAY($A389),打卡匯入!$E$3:$E$1002,0)),"")</f>
        <v/>
      </c>
      <c r="J389" s="31">
        <f>IFERROR(INDEX(打卡匯入!$D$3:$D$1002,MATCH($C389&amp;"|"&amp;DAY($A389),打卡匯入!$E$3:$E$1002,0)),"")</f>
        <v/>
      </c>
      <c r="K389" s="32">
        <f>IF(OR($I389="",$J389=""),"",IFERROR(INDEX(設定!$F$5:$F$20,MATCH($F389,設定!$B$5:$B$20,0)),0))</f>
        <v/>
      </c>
      <c r="L389" s="33">
        <f>IF(OR($I389="",$J389=""),"",ROUND(($J389-$I389)*24-$K389/60,2))</f>
        <v/>
      </c>
      <c r="M389" s="29">
        <f>IF($C389="","",IF(AND(COUNTIF(設定!$B$14:$B$20,$F389)&gt;0,$I389&lt;&gt;""),"假日出勤",IF(AND(COUNTIF(設定!$B$5:$B$13,$F389)&gt;0,$I389=""),"未打卡",IF($I389="","",IF($N389&gt;0,"遲到",IF($O389&gt;0,"早退","正常"))))))</f>
        <v/>
      </c>
      <c r="N389" s="32">
        <f>IF(OR($C389="",$G389="",$I389=""),0,IF(ROUND(($I389-$G389)*1440,0)&gt;設定!$C$28,ROUND(($I389-$G389)*1440,0),0))</f>
        <v/>
      </c>
      <c r="O389" s="32">
        <f>IF(OR($C389="",$H389="",$J389=""),0,IF(ROUND(($H389-$J389)*1440,0)&gt;設定!$C$28,ROUND(($H389-$J389)*1440,0),0))</f>
        <v/>
      </c>
      <c r="P389" s="33">
        <f>IF($L389="",0,IF(($L389-IFERROR(INDEX(設定!$G$5:$G$20,MATCH($F389,設定!$B$5:$B$20,0)),0))*60&gt;=設定!$C$26,ROUND(FLOOR(($L389-IFERROR(INDEX(設定!$G$5:$G$20,MATCH($F389,設定!$B$5:$B$20,0)),0))*60,設定!$C$27)/60,2),0))</f>
        <v/>
      </c>
      <c r="Q389" s="29">
        <f>IF(OR($C389="",$P389=0),"",IF($F389="國","國定假日",IF($B389="日","例假",IF($B389="六","休息日","平日"))))</f>
        <v/>
      </c>
      <c r="R389" s="34" t="n"/>
    </row>
    <row r="390">
      <c r="A390" s="30">
        <f>IF(OR(班表!$A18="",16&gt;DAY(EOMONTH(DATE(班表!$E$2,班表!$G$2,1),0))),"",DATE(班表!$E$2,班表!$G$2,16))</f>
        <v/>
      </c>
      <c r="B390" s="29">
        <f>IF($A390="","",INDEX(設定!$L$5:$L$11,WEEKDAY($A390,1)))</f>
        <v/>
      </c>
      <c r="C390" s="29">
        <f>IF($A390="","",班表!$A18)</f>
        <v/>
      </c>
      <c r="D390" s="29">
        <f>IF($C390="","",班表!$B18)</f>
        <v/>
      </c>
      <c r="E390" s="29">
        <f>IF($C390="","",班表!$C18)</f>
        <v/>
      </c>
      <c r="F390" s="29">
        <f>IF($C390="","",班表!S18)</f>
        <v/>
      </c>
      <c r="G390" s="31">
        <f>IF($F390="","",IFERROR(INDEX(設定!$D$5:$D$20,MATCH($F390,設定!$B$5:$B$20,0)),""))</f>
        <v/>
      </c>
      <c r="H390" s="31">
        <f>IF($F390="","",IFERROR(INDEX(設定!$E$5:$E$20,MATCH($F390,設定!$B$5:$B$20,0)),""))</f>
        <v/>
      </c>
      <c r="I390" s="31">
        <f>IFERROR(INDEX(打卡匯入!$C$3:$C$1002,MATCH($C390&amp;"|"&amp;DAY($A390),打卡匯入!$E$3:$E$1002,0)),"")</f>
        <v/>
      </c>
      <c r="J390" s="31">
        <f>IFERROR(INDEX(打卡匯入!$D$3:$D$1002,MATCH($C390&amp;"|"&amp;DAY($A390),打卡匯入!$E$3:$E$1002,0)),"")</f>
        <v/>
      </c>
      <c r="K390" s="32">
        <f>IF(OR($I390="",$J390=""),"",IFERROR(INDEX(設定!$F$5:$F$20,MATCH($F390,設定!$B$5:$B$20,0)),0))</f>
        <v/>
      </c>
      <c r="L390" s="33">
        <f>IF(OR($I390="",$J390=""),"",ROUND(($J390-$I390)*24-$K390/60,2))</f>
        <v/>
      </c>
      <c r="M390" s="29">
        <f>IF($C390="","",IF(AND(COUNTIF(設定!$B$14:$B$20,$F390)&gt;0,$I390&lt;&gt;""),"假日出勤",IF(AND(COUNTIF(設定!$B$5:$B$13,$F390)&gt;0,$I390=""),"未打卡",IF($I390="","",IF($N390&gt;0,"遲到",IF($O390&gt;0,"早退","正常"))))))</f>
        <v/>
      </c>
      <c r="N390" s="32">
        <f>IF(OR($C390="",$G390="",$I390=""),0,IF(ROUND(($I390-$G390)*1440,0)&gt;設定!$C$28,ROUND(($I390-$G390)*1440,0),0))</f>
        <v/>
      </c>
      <c r="O390" s="32">
        <f>IF(OR($C390="",$H390="",$J390=""),0,IF(ROUND(($H390-$J390)*1440,0)&gt;設定!$C$28,ROUND(($H390-$J390)*1440,0),0))</f>
        <v/>
      </c>
      <c r="P390" s="33">
        <f>IF($L390="",0,IF(($L390-IFERROR(INDEX(設定!$G$5:$G$20,MATCH($F390,設定!$B$5:$B$20,0)),0))*60&gt;=設定!$C$26,ROUND(FLOOR(($L390-IFERROR(INDEX(設定!$G$5:$G$20,MATCH($F390,設定!$B$5:$B$20,0)),0))*60,設定!$C$27)/60,2),0))</f>
        <v/>
      </c>
      <c r="Q390" s="29">
        <f>IF(OR($C390="",$P390=0),"",IF($F390="國","國定假日",IF($B390="日","例假",IF($B390="六","休息日","平日"))))</f>
        <v/>
      </c>
      <c r="R390" s="34" t="n"/>
    </row>
    <row r="391">
      <c r="A391" s="30">
        <f>IF(OR(班表!$A18="",17&gt;DAY(EOMONTH(DATE(班表!$E$2,班表!$G$2,1),0))),"",DATE(班表!$E$2,班表!$G$2,17))</f>
        <v/>
      </c>
      <c r="B391" s="29">
        <f>IF($A391="","",INDEX(設定!$L$5:$L$11,WEEKDAY($A391,1)))</f>
        <v/>
      </c>
      <c r="C391" s="29">
        <f>IF($A391="","",班表!$A18)</f>
        <v/>
      </c>
      <c r="D391" s="29">
        <f>IF($C391="","",班表!$B18)</f>
        <v/>
      </c>
      <c r="E391" s="29">
        <f>IF($C391="","",班表!$C18)</f>
        <v/>
      </c>
      <c r="F391" s="29">
        <f>IF($C391="","",班表!T18)</f>
        <v/>
      </c>
      <c r="G391" s="31">
        <f>IF($F391="","",IFERROR(INDEX(設定!$D$5:$D$20,MATCH($F391,設定!$B$5:$B$20,0)),""))</f>
        <v/>
      </c>
      <c r="H391" s="31">
        <f>IF($F391="","",IFERROR(INDEX(設定!$E$5:$E$20,MATCH($F391,設定!$B$5:$B$20,0)),""))</f>
        <v/>
      </c>
      <c r="I391" s="31">
        <f>IFERROR(INDEX(打卡匯入!$C$3:$C$1002,MATCH($C391&amp;"|"&amp;DAY($A391),打卡匯入!$E$3:$E$1002,0)),"")</f>
        <v/>
      </c>
      <c r="J391" s="31">
        <f>IFERROR(INDEX(打卡匯入!$D$3:$D$1002,MATCH($C391&amp;"|"&amp;DAY($A391),打卡匯入!$E$3:$E$1002,0)),"")</f>
        <v/>
      </c>
      <c r="K391" s="32">
        <f>IF(OR($I391="",$J391=""),"",IFERROR(INDEX(設定!$F$5:$F$20,MATCH($F391,設定!$B$5:$B$20,0)),0))</f>
        <v/>
      </c>
      <c r="L391" s="33">
        <f>IF(OR($I391="",$J391=""),"",ROUND(($J391-$I391)*24-$K391/60,2))</f>
        <v/>
      </c>
      <c r="M391" s="29">
        <f>IF($C391="","",IF(AND(COUNTIF(設定!$B$14:$B$20,$F391)&gt;0,$I391&lt;&gt;""),"假日出勤",IF(AND(COUNTIF(設定!$B$5:$B$13,$F391)&gt;0,$I391=""),"未打卡",IF($I391="","",IF($N391&gt;0,"遲到",IF($O391&gt;0,"早退","正常"))))))</f>
        <v/>
      </c>
      <c r="N391" s="32">
        <f>IF(OR($C391="",$G391="",$I391=""),0,IF(ROUND(($I391-$G391)*1440,0)&gt;設定!$C$28,ROUND(($I391-$G391)*1440,0),0))</f>
        <v/>
      </c>
      <c r="O391" s="32">
        <f>IF(OR($C391="",$H391="",$J391=""),0,IF(ROUND(($H391-$J391)*1440,0)&gt;設定!$C$28,ROUND(($H391-$J391)*1440,0),0))</f>
        <v/>
      </c>
      <c r="P391" s="33">
        <f>IF($L391="",0,IF(($L391-IFERROR(INDEX(設定!$G$5:$G$20,MATCH($F391,設定!$B$5:$B$20,0)),0))*60&gt;=設定!$C$26,ROUND(FLOOR(($L391-IFERROR(INDEX(設定!$G$5:$G$20,MATCH($F391,設定!$B$5:$B$20,0)),0))*60,設定!$C$27)/60,2),0))</f>
        <v/>
      </c>
      <c r="Q391" s="29">
        <f>IF(OR($C391="",$P391=0),"",IF($F391="國","國定假日",IF($B391="日","例假",IF($B391="六","休息日","平日"))))</f>
        <v/>
      </c>
      <c r="R391" s="34" t="n"/>
    </row>
    <row r="392">
      <c r="A392" s="30">
        <f>IF(OR(班表!$A18="",18&gt;DAY(EOMONTH(DATE(班表!$E$2,班表!$G$2,1),0))),"",DATE(班表!$E$2,班表!$G$2,18))</f>
        <v/>
      </c>
      <c r="B392" s="29">
        <f>IF($A392="","",INDEX(設定!$L$5:$L$11,WEEKDAY($A392,1)))</f>
        <v/>
      </c>
      <c r="C392" s="29">
        <f>IF($A392="","",班表!$A18)</f>
        <v/>
      </c>
      <c r="D392" s="29">
        <f>IF($C392="","",班表!$B18)</f>
        <v/>
      </c>
      <c r="E392" s="29">
        <f>IF($C392="","",班表!$C18)</f>
        <v/>
      </c>
      <c r="F392" s="29">
        <f>IF($C392="","",班表!U18)</f>
        <v/>
      </c>
      <c r="G392" s="31">
        <f>IF($F392="","",IFERROR(INDEX(設定!$D$5:$D$20,MATCH($F392,設定!$B$5:$B$20,0)),""))</f>
        <v/>
      </c>
      <c r="H392" s="31">
        <f>IF($F392="","",IFERROR(INDEX(設定!$E$5:$E$20,MATCH($F392,設定!$B$5:$B$20,0)),""))</f>
        <v/>
      </c>
      <c r="I392" s="31">
        <f>IFERROR(INDEX(打卡匯入!$C$3:$C$1002,MATCH($C392&amp;"|"&amp;DAY($A392),打卡匯入!$E$3:$E$1002,0)),"")</f>
        <v/>
      </c>
      <c r="J392" s="31">
        <f>IFERROR(INDEX(打卡匯入!$D$3:$D$1002,MATCH($C392&amp;"|"&amp;DAY($A392),打卡匯入!$E$3:$E$1002,0)),"")</f>
        <v/>
      </c>
      <c r="K392" s="32">
        <f>IF(OR($I392="",$J392=""),"",IFERROR(INDEX(設定!$F$5:$F$20,MATCH($F392,設定!$B$5:$B$20,0)),0))</f>
        <v/>
      </c>
      <c r="L392" s="33">
        <f>IF(OR($I392="",$J392=""),"",ROUND(($J392-$I392)*24-$K392/60,2))</f>
        <v/>
      </c>
      <c r="M392" s="29">
        <f>IF($C392="","",IF(AND(COUNTIF(設定!$B$14:$B$20,$F392)&gt;0,$I392&lt;&gt;""),"假日出勤",IF(AND(COUNTIF(設定!$B$5:$B$13,$F392)&gt;0,$I392=""),"未打卡",IF($I392="","",IF($N392&gt;0,"遲到",IF($O392&gt;0,"早退","正常"))))))</f>
        <v/>
      </c>
      <c r="N392" s="32">
        <f>IF(OR($C392="",$G392="",$I392=""),0,IF(ROUND(($I392-$G392)*1440,0)&gt;設定!$C$28,ROUND(($I392-$G392)*1440,0),0))</f>
        <v/>
      </c>
      <c r="O392" s="32">
        <f>IF(OR($C392="",$H392="",$J392=""),0,IF(ROUND(($H392-$J392)*1440,0)&gt;設定!$C$28,ROUND(($H392-$J392)*1440,0),0))</f>
        <v/>
      </c>
      <c r="P392" s="33">
        <f>IF($L392="",0,IF(($L392-IFERROR(INDEX(設定!$G$5:$G$20,MATCH($F392,設定!$B$5:$B$20,0)),0))*60&gt;=設定!$C$26,ROUND(FLOOR(($L392-IFERROR(INDEX(設定!$G$5:$G$20,MATCH($F392,設定!$B$5:$B$20,0)),0))*60,設定!$C$27)/60,2),0))</f>
        <v/>
      </c>
      <c r="Q392" s="29">
        <f>IF(OR($C392="",$P392=0),"",IF($F392="國","國定假日",IF($B392="日","例假",IF($B392="六","休息日","平日"))))</f>
        <v/>
      </c>
      <c r="R392" s="34" t="n"/>
    </row>
    <row r="393">
      <c r="A393" s="30">
        <f>IF(OR(班表!$A18="",19&gt;DAY(EOMONTH(DATE(班表!$E$2,班表!$G$2,1),0))),"",DATE(班表!$E$2,班表!$G$2,19))</f>
        <v/>
      </c>
      <c r="B393" s="29">
        <f>IF($A393="","",INDEX(設定!$L$5:$L$11,WEEKDAY($A393,1)))</f>
        <v/>
      </c>
      <c r="C393" s="29">
        <f>IF($A393="","",班表!$A18)</f>
        <v/>
      </c>
      <c r="D393" s="29">
        <f>IF($C393="","",班表!$B18)</f>
        <v/>
      </c>
      <c r="E393" s="29">
        <f>IF($C393="","",班表!$C18)</f>
        <v/>
      </c>
      <c r="F393" s="29">
        <f>IF($C393="","",班表!V18)</f>
        <v/>
      </c>
      <c r="G393" s="31">
        <f>IF($F393="","",IFERROR(INDEX(設定!$D$5:$D$20,MATCH($F393,設定!$B$5:$B$20,0)),""))</f>
        <v/>
      </c>
      <c r="H393" s="31">
        <f>IF($F393="","",IFERROR(INDEX(設定!$E$5:$E$20,MATCH($F393,設定!$B$5:$B$20,0)),""))</f>
        <v/>
      </c>
      <c r="I393" s="31">
        <f>IFERROR(INDEX(打卡匯入!$C$3:$C$1002,MATCH($C393&amp;"|"&amp;DAY($A393),打卡匯入!$E$3:$E$1002,0)),"")</f>
        <v/>
      </c>
      <c r="J393" s="31">
        <f>IFERROR(INDEX(打卡匯入!$D$3:$D$1002,MATCH($C393&amp;"|"&amp;DAY($A393),打卡匯入!$E$3:$E$1002,0)),"")</f>
        <v/>
      </c>
      <c r="K393" s="32">
        <f>IF(OR($I393="",$J393=""),"",IFERROR(INDEX(設定!$F$5:$F$20,MATCH($F393,設定!$B$5:$B$20,0)),0))</f>
        <v/>
      </c>
      <c r="L393" s="33">
        <f>IF(OR($I393="",$J393=""),"",ROUND(($J393-$I393)*24-$K393/60,2))</f>
        <v/>
      </c>
      <c r="M393" s="29">
        <f>IF($C393="","",IF(AND(COUNTIF(設定!$B$14:$B$20,$F393)&gt;0,$I393&lt;&gt;""),"假日出勤",IF(AND(COUNTIF(設定!$B$5:$B$13,$F393)&gt;0,$I393=""),"未打卡",IF($I393="","",IF($N393&gt;0,"遲到",IF($O393&gt;0,"早退","正常"))))))</f>
        <v/>
      </c>
      <c r="N393" s="32">
        <f>IF(OR($C393="",$G393="",$I393=""),0,IF(ROUND(($I393-$G393)*1440,0)&gt;設定!$C$28,ROUND(($I393-$G393)*1440,0),0))</f>
        <v/>
      </c>
      <c r="O393" s="32">
        <f>IF(OR($C393="",$H393="",$J393=""),0,IF(ROUND(($H393-$J393)*1440,0)&gt;設定!$C$28,ROUND(($H393-$J393)*1440,0),0))</f>
        <v/>
      </c>
      <c r="P393" s="33">
        <f>IF($L393="",0,IF(($L393-IFERROR(INDEX(設定!$G$5:$G$20,MATCH($F393,設定!$B$5:$B$20,0)),0))*60&gt;=設定!$C$26,ROUND(FLOOR(($L393-IFERROR(INDEX(設定!$G$5:$G$20,MATCH($F393,設定!$B$5:$B$20,0)),0))*60,設定!$C$27)/60,2),0))</f>
        <v/>
      </c>
      <c r="Q393" s="29">
        <f>IF(OR($C393="",$P393=0),"",IF($F393="國","國定假日",IF($B393="日","例假",IF($B393="六","休息日","平日"))))</f>
        <v/>
      </c>
      <c r="R393" s="34" t="n"/>
    </row>
    <row r="394">
      <c r="A394" s="30">
        <f>IF(OR(班表!$A18="",20&gt;DAY(EOMONTH(DATE(班表!$E$2,班表!$G$2,1),0))),"",DATE(班表!$E$2,班表!$G$2,20))</f>
        <v/>
      </c>
      <c r="B394" s="29">
        <f>IF($A394="","",INDEX(設定!$L$5:$L$11,WEEKDAY($A394,1)))</f>
        <v/>
      </c>
      <c r="C394" s="29">
        <f>IF($A394="","",班表!$A18)</f>
        <v/>
      </c>
      <c r="D394" s="29">
        <f>IF($C394="","",班表!$B18)</f>
        <v/>
      </c>
      <c r="E394" s="29">
        <f>IF($C394="","",班表!$C18)</f>
        <v/>
      </c>
      <c r="F394" s="29">
        <f>IF($C394="","",班表!W18)</f>
        <v/>
      </c>
      <c r="G394" s="31">
        <f>IF($F394="","",IFERROR(INDEX(設定!$D$5:$D$20,MATCH($F394,設定!$B$5:$B$20,0)),""))</f>
        <v/>
      </c>
      <c r="H394" s="31">
        <f>IF($F394="","",IFERROR(INDEX(設定!$E$5:$E$20,MATCH($F394,設定!$B$5:$B$20,0)),""))</f>
        <v/>
      </c>
      <c r="I394" s="31">
        <f>IFERROR(INDEX(打卡匯入!$C$3:$C$1002,MATCH($C394&amp;"|"&amp;DAY($A394),打卡匯入!$E$3:$E$1002,0)),"")</f>
        <v/>
      </c>
      <c r="J394" s="31">
        <f>IFERROR(INDEX(打卡匯入!$D$3:$D$1002,MATCH($C394&amp;"|"&amp;DAY($A394),打卡匯入!$E$3:$E$1002,0)),"")</f>
        <v/>
      </c>
      <c r="K394" s="32">
        <f>IF(OR($I394="",$J394=""),"",IFERROR(INDEX(設定!$F$5:$F$20,MATCH($F394,設定!$B$5:$B$20,0)),0))</f>
        <v/>
      </c>
      <c r="L394" s="33">
        <f>IF(OR($I394="",$J394=""),"",ROUND(($J394-$I394)*24-$K394/60,2))</f>
        <v/>
      </c>
      <c r="M394" s="29">
        <f>IF($C394="","",IF(AND(COUNTIF(設定!$B$14:$B$20,$F394)&gt;0,$I394&lt;&gt;""),"假日出勤",IF(AND(COUNTIF(設定!$B$5:$B$13,$F394)&gt;0,$I394=""),"未打卡",IF($I394="","",IF($N394&gt;0,"遲到",IF($O394&gt;0,"早退","正常"))))))</f>
        <v/>
      </c>
      <c r="N394" s="32">
        <f>IF(OR($C394="",$G394="",$I394=""),0,IF(ROUND(($I394-$G394)*1440,0)&gt;設定!$C$28,ROUND(($I394-$G394)*1440,0),0))</f>
        <v/>
      </c>
      <c r="O394" s="32">
        <f>IF(OR($C394="",$H394="",$J394=""),0,IF(ROUND(($H394-$J394)*1440,0)&gt;設定!$C$28,ROUND(($H394-$J394)*1440,0),0))</f>
        <v/>
      </c>
      <c r="P394" s="33">
        <f>IF($L394="",0,IF(($L394-IFERROR(INDEX(設定!$G$5:$G$20,MATCH($F394,設定!$B$5:$B$20,0)),0))*60&gt;=設定!$C$26,ROUND(FLOOR(($L394-IFERROR(INDEX(設定!$G$5:$G$20,MATCH($F394,設定!$B$5:$B$20,0)),0))*60,設定!$C$27)/60,2),0))</f>
        <v/>
      </c>
      <c r="Q394" s="29">
        <f>IF(OR($C394="",$P394=0),"",IF($F394="國","國定假日",IF($B394="日","例假",IF($B394="六","休息日","平日"))))</f>
        <v/>
      </c>
      <c r="R394" s="34" t="n"/>
    </row>
    <row r="395">
      <c r="A395" s="30">
        <f>IF(OR(班表!$A18="",21&gt;DAY(EOMONTH(DATE(班表!$E$2,班表!$G$2,1),0))),"",DATE(班表!$E$2,班表!$G$2,21))</f>
        <v/>
      </c>
      <c r="B395" s="29">
        <f>IF($A395="","",INDEX(設定!$L$5:$L$11,WEEKDAY($A395,1)))</f>
        <v/>
      </c>
      <c r="C395" s="29">
        <f>IF($A395="","",班表!$A18)</f>
        <v/>
      </c>
      <c r="D395" s="29">
        <f>IF($C395="","",班表!$B18)</f>
        <v/>
      </c>
      <c r="E395" s="29">
        <f>IF($C395="","",班表!$C18)</f>
        <v/>
      </c>
      <c r="F395" s="29">
        <f>IF($C395="","",班表!X18)</f>
        <v/>
      </c>
      <c r="G395" s="31">
        <f>IF($F395="","",IFERROR(INDEX(設定!$D$5:$D$20,MATCH($F395,設定!$B$5:$B$20,0)),""))</f>
        <v/>
      </c>
      <c r="H395" s="31">
        <f>IF($F395="","",IFERROR(INDEX(設定!$E$5:$E$20,MATCH($F395,設定!$B$5:$B$20,0)),""))</f>
        <v/>
      </c>
      <c r="I395" s="31">
        <f>IFERROR(INDEX(打卡匯入!$C$3:$C$1002,MATCH($C395&amp;"|"&amp;DAY($A395),打卡匯入!$E$3:$E$1002,0)),"")</f>
        <v/>
      </c>
      <c r="J395" s="31">
        <f>IFERROR(INDEX(打卡匯入!$D$3:$D$1002,MATCH($C395&amp;"|"&amp;DAY($A395),打卡匯入!$E$3:$E$1002,0)),"")</f>
        <v/>
      </c>
      <c r="K395" s="32">
        <f>IF(OR($I395="",$J395=""),"",IFERROR(INDEX(設定!$F$5:$F$20,MATCH($F395,設定!$B$5:$B$20,0)),0))</f>
        <v/>
      </c>
      <c r="L395" s="33">
        <f>IF(OR($I395="",$J395=""),"",ROUND(($J395-$I395)*24-$K395/60,2))</f>
        <v/>
      </c>
      <c r="M395" s="29">
        <f>IF($C395="","",IF(AND(COUNTIF(設定!$B$14:$B$20,$F395)&gt;0,$I395&lt;&gt;""),"假日出勤",IF(AND(COUNTIF(設定!$B$5:$B$13,$F395)&gt;0,$I395=""),"未打卡",IF($I395="","",IF($N395&gt;0,"遲到",IF($O395&gt;0,"早退","正常"))))))</f>
        <v/>
      </c>
      <c r="N395" s="32">
        <f>IF(OR($C395="",$G395="",$I395=""),0,IF(ROUND(($I395-$G395)*1440,0)&gt;設定!$C$28,ROUND(($I395-$G395)*1440,0),0))</f>
        <v/>
      </c>
      <c r="O395" s="32">
        <f>IF(OR($C395="",$H395="",$J395=""),0,IF(ROUND(($H395-$J395)*1440,0)&gt;設定!$C$28,ROUND(($H395-$J395)*1440,0),0))</f>
        <v/>
      </c>
      <c r="P395" s="33">
        <f>IF($L395="",0,IF(($L395-IFERROR(INDEX(設定!$G$5:$G$20,MATCH($F395,設定!$B$5:$B$20,0)),0))*60&gt;=設定!$C$26,ROUND(FLOOR(($L395-IFERROR(INDEX(設定!$G$5:$G$20,MATCH($F395,設定!$B$5:$B$20,0)),0))*60,設定!$C$27)/60,2),0))</f>
        <v/>
      </c>
      <c r="Q395" s="29">
        <f>IF(OR($C395="",$P395=0),"",IF($F395="國","國定假日",IF($B395="日","例假",IF($B395="六","休息日","平日"))))</f>
        <v/>
      </c>
      <c r="R395" s="34" t="n"/>
    </row>
    <row r="396">
      <c r="A396" s="30">
        <f>IF(OR(班表!$A18="",22&gt;DAY(EOMONTH(DATE(班表!$E$2,班表!$G$2,1),0))),"",DATE(班表!$E$2,班表!$G$2,22))</f>
        <v/>
      </c>
      <c r="B396" s="29">
        <f>IF($A396="","",INDEX(設定!$L$5:$L$11,WEEKDAY($A396,1)))</f>
        <v/>
      </c>
      <c r="C396" s="29">
        <f>IF($A396="","",班表!$A18)</f>
        <v/>
      </c>
      <c r="D396" s="29">
        <f>IF($C396="","",班表!$B18)</f>
        <v/>
      </c>
      <c r="E396" s="29">
        <f>IF($C396="","",班表!$C18)</f>
        <v/>
      </c>
      <c r="F396" s="29">
        <f>IF($C396="","",班表!Y18)</f>
        <v/>
      </c>
      <c r="G396" s="31">
        <f>IF($F396="","",IFERROR(INDEX(設定!$D$5:$D$20,MATCH($F396,設定!$B$5:$B$20,0)),""))</f>
        <v/>
      </c>
      <c r="H396" s="31">
        <f>IF($F396="","",IFERROR(INDEX(設定!$E$5:$E$20,MATCH($F396,設定!$B$5:$B$20,0)),""))</f>
        <v/>
      </c>
      <c r="I396" s="31">
        <f>IFERROR(INDEX(打卡匯入!$C$3:$C$1002,MATCH($C396&amp;"|"&amp;DAY($A396),打卡匯入!$E$3:$E$1002,0)),"")</f>
        <v/>
      </c>
      <c r="J396" s="31">
        <f>IFERROR(INDEX(打卡匯入!$D$3:$D$1002,MATCH($C396&amp;"|"&amp;DAY($A396),打卡匯入!$E$3:$E$1002,0)),"")</f>
        <v/>
      </c>
      <c r="K396" s="32">
        <f>IF(OR($I396="",$J396=""),"",IFERROR(INDEX(設定!$F$5:$F$20,MATCH($F396,設定!$B$5:$B$20,0)),0))</f>
        <v/>
      </c>
      <c r="L396" s="33">
        <f>IF(OR($I396="",$J396=""),"",ROUND(($J396-$I396)*24-$K396/60,2))</f>
        <v/>
      </c>
      <c r="M396" s="29">
        <f>IF($C396="","",IF(AND(COUNTIF(設定!$B$14:$B$20,$F396)&gt;0,$I396&lt;&gt;""),"假日出勤",IF(AND(COUNTIF(設定!$B$5:$B$13,$F396)&gt;0,$I396=""),"未打卡",IF($I396="","",IF($N396&gt;0,"遲到",IF($O396&gt;0,"早退","正常"))))))</f>
        <v/>
      </c>
      <c r="N396" s="32">
        <f>IF(OR($C396="",$G396="",$I396=""),0,IF(ROUND(($I396-$G396)*1440,0)&gt;設定!$C$28,ROUND(($I396-$G396)*1440,0),0))</f>
        <v/>
      </c>
      <c r="O396" s="32">
        <f>IF(OR($C396="",$H396="",$J396=""),0,IF(ROUND(($H396-$J396)*1440,0)&gt;設定!$C$28,ROUND(($H396-$J396)*1440,0),0))</f>
        <v/>
      </c>
      <c r="P396" s="33">
        <f>IF($L396="",0,IF(($L396-IFERROR(INDEX(設定!$G$5:$G$20,MATCH($F396,設定!$B$5:$B$20,0)),0))*60&gt;=設定!$C$26,ROUND(FLOOR(($L396-IFERROR(INDEX(設定!$G$5:$G$20,MATCH($F396,設定!$B$5:$B$20,0)),0))*60,設定!$C$27)/60,2),0))</f>
        <v/>
      </c>
      <c r="Q396" s="29">
        <f>IF(OR($C396="",$P396=0),"",IF($F396="國","國定假日",IF($B396="日","例假",IF($B396="六","休息日","平日"))))</f>
        <v/>
      </c>
      <c r="R396" s="34" t="n"/>
    </row>
    <row r="397">
      <c r="A397" s="30">
        <f>IF(OR(班表!$A18="",23&gt;DAY(EOMONTH(DATE(班表!$E$2,班表!$G$2,1),0))),"",DATE(班表!$E$2,班表!$G$2,23))</f>
        <v/>
      </c>
      <c r="B397" s="29">
        <f>IF($A397="","",INDEX(設定!$L$5:$L$11,WEEKDAY($A397,1)))</f>
        <v/>
      </c>
      <c r="C397" s="29">
        <f>IF($A397="","",班表!$A18)</f>
        <v/>
      </c>
      <c r="D397" s="29">
        <f>IF($C397="","",班表!$B18)</f>
        <v/>
      </c>
      <c r="E397" s="29">
        <f>IF($C397="","",班表!$C18)</f>
        <v/>
      </c>
      <c r="F397" s="29">
        <f>IF($C397="","",班表!Z18)</f>
        <v/>
      </c>
      <c r="G397" s="31">
        <f>IF($F397="","",IFERROR(INDEX(設定!$D$5:$D$20,MATCH($F397,設定!$B$5:$B$20,0)),""))</f>
        <v/>
      </c>
      <c r="H397" s="31">
        <f>IF($F397="","",IFERROR(INDEX(設定!$E$5:$E$20,MATCH($F397,設定!$B$5:$B$20,0)),""))</f>
        <v/>
      </c>
      <c r="I397" s="31">
        <f>IFERROR(INDEX(打卡匯入!$C$3:$C$1002,MATCH($C397&amp;"|"&amp;DAY($A397),打卡匯入!$E$3:$E$1002,0)),"")</f>
        <v/>
      </c>
      <c r="J397" s="31">
        <f>IFERROR(INDEX(打卡匯入!$D$3:$D$1002,MATCH($C397&amp;"|"&amp;DAY($A397),打卡匯入!$E$3:$E$1002,0)),"")</f>
        <v/>
      </c>
      <c r="K397" s="32">
        <f>IF(OR($I397="",$J397=""),"",IFERROR(INDEX(設定!$F$5:$F$20,MATCH($F397,設定!$B$5:$B$20,0)),0))</f>
        <v/>
      </c>
      <c r="L397" s="33">
        <f>IF(OR($I397="",$J397=""),"",ROUND(($J397-$I397)*24-$K397/60,2))</f>
        <v/>
      </c>
      <c r="M397" s="29">
        <f>IF($C397="","",IF(AND(COUNTIF(設定!$B$14:$B$20,$F397)&gt;0,$I397&lt;&gt;""),"假日出勤",IF(AND(COUNTIF(設定!$B$5:$B$13,$F397)&gt;0,$I397=""),"未打卡",IF($I397="","",IF($N397&gt;0,"遲到",IF($O397&gt;0,"早退","正常"))))))</f>
        <v/>
      </c>
      <c r="N397" s="32">
        <f>IF(OR($C397="",$G397="",$I397=""),0,IF(ROUND(($I397-$G397)*1440,0)&gt;設定!$C$28,ROUND(($I397-$G397)*1440,0),0))</f>
        <v/>
      </c>
      <c r="O397" s="32">
        <f>IF(OR($C397="",$H397="",$J397=""),0,IF(ROUND(($H397-$J397)*1440,0)&gt;設定!$C$28,ROUND(($H397-$J397)*1440,0),0))</f>
        <v/>
      </c>
      <c r="P397" s="33">
        <f>IF($L397="",0,IF(($L397-IFERROR(INDEX(設定!$G$5:$G$20,MATCH($F397,設定!$B$5:$B$20,0)),0))*60&gt;=設定!$C$26,ROUND(FLOOR(($L397-IFERROR(INDEX(設定!$G$5:$G$20,MATCH($F397,設定!$B$5:$B$20,0)),0))*60,設定!$C$27)/60,2),0))</f>
        <v/>
      </c>
      <c r="Q397" s="29">
        <f>IF(OR($C397="",$P397=0),"",IF($F397="國","國定假日",IF($B397="日","例假",IF($B397="六","休息日","平日"))))</f>
        <v/>
      </c>
      <c r="R397" s="34" t="n"/>
    </row>
    <row r="398">
      <c r="A398" s="30">
        <f>IF(OR(班表!$A18="",24&gt;DAY(EOMONTH(DATE(班表!$E$2,班表!$G$2,1),0))),"",DATE(班表!$E$2,班表!$G$2,24))</f>
        <v/>
      </c>
      <c r="B398" s="29">
        <f>IF($A398="","",INDEX(設定!$L$5:$L$11,WEEKDAY($A398,1)))</f>
        <v/>
      </c>
      <c r="C398" s="29">
        <f>IF($A398="","",班表!$A18)</f>
        <v/>
      </c>
      <c r="D398" s="29">
        <f>IF($C398="","",班表!$B18)</f>
        <v/>
      </c>
      <c r="E398" s="29">
        <f>IF($C398="","",班表!$C18)</f>
        <v/>
      </c>
      <c r="F398" s="29">
        <f>IF($C398="","",班表!AA18)</f>
        <v/>
      </c>
      <c r="G398" s="31">
        <f>IF($F398="","",IFERROR(INDEX(設定!$D$5:$D$20,MATCH($F398,設定!$B$5:$B$20,0)),""))</f>
        <v/>
      </c>
      <c r="H398" s="31">
        <f>IF($F398="","",IFERROR(INDEX(設定!$E$5:$E$20,MATCH($F398,設定!$B$5:$B$20,0)),""))</f>
        <v/>
      </c>
      <c r="I398" s="31">
        <f>IFERROR(INDEX(打卡匯入!$C$3:$C$1002,MATCH($C398&amp;"|"&amp;DAY($A398),打卡匯入!$E$3:$E$1002,0)),"")</f>
        <v/>
      </c>
      <c r="J398" s="31">
        <f>IFERROR(INDEX(打卡匯入!$D$3:$D$1002,MATCH($C398&amp;"|"&amp;DAY($A398),打卡匯入!$E$3:$E$1002,0)),"")</f>
        <v/>
      </c>
      <c r="K398" s="32">
        <f>IF(OR($I398="",$J398=""),"",IFERROR(INDEX(設定!$F$5:$F$20,MATCH($F398,設定!$B$5:$B$20,0)),0))</f>
        <v/>
      </c>
      <c r="L398" s="33">
        <f>IF(OR($I398="",$J398=""),"",ROUND(($J398-$I398)*24-$K398/60,2))</f>
        <v/>
      </c>
      <c r="M398" s="29">
        <f>IF($C398="","",IF(AND(COUNTIF(設定!$B$14:$B$20,$F398)&gt;0,$I398&lt;&gt;""),"假日出勤",IF(AND(COUNTIF(設定!$B$5:$B$13,$F398)&gt;0,$I398=""),"未打卡",IF($I398="","",IF($N398&gt;0,"遲到",IF($O398&gt;0,"早退","正常"))))))</f>
        <v/>
      </c>
      <c r="N398" s="32">
        <f>IF(OR($C398="",$G398="",$I398=""),0,IF(ROUND(($I398-$G398)*1440,0)&gt;設定!$C$28,ROUND(($I398-$G398)*1440,0),0))</f>
        <v/>
      </c>
      <c r="O398" s="32">
        <f>IF(OR($C398="",$H398="",$J398=""),0,IF(ROUND(($H398-$J398)*1440,0)&gt;設定!$C$28,ROUND(($H398-$J398)*1440,0),0))</f>
        <v/>
      </c>
      <c r="P398" s="33">
        <f>IF($L398="",0,IF(($L398-IFERROR(INDEX(設定!$G$5:$G$20,MATCH($F398,設定!$B$5:$B$20,0)),0))*60&gt;=設定!$C$26,ROUND(FLOOR(($L398-IFERROR(INDEX(設定!$G$5:$G$20,MATCH($F398,設定!$B$5:$B$20,0)),0))*60,設定!$C$27)/60,2),0))</f>
        <v/>
      </c>
      <c r="Q398" s="29">
        <f>IF(OR($C398="",$P398=0),"",IF($F398="國","國定假日",IF($B398="日","例假",IF($B398="六","休息日","平日"))))</f>
        <v/>
      </c>
      <c r="R398" s="34" t="n"/>
    </row>
    <row r="399">
      <c r="A399" s="30">
        <f>IF(OR(班表!$A18="",25&gt;DAY(EOMONTH(DATE(班表!$E$2,班表!$G$2,1),0))),"",DATE(班表!$E$2,班表!$G$2,25))</f>
        <v/>
      </c>
      <c r="B399" s="29">
        <f>IF($A399="","",INDEX(設定!$L$5:$L$11,WEEKDAY($A399,1)))</f>
        <v/>
      </c>
      <c r="C399" s="29">
        <f>IF($A399="","",班表!$A18)</f>
        <v/>
      </c>
      <c r="D399" s="29">
        <f>IF($C399="","",班表!$B18)</f>
        <v/>
      </c>
      <c r="E399" s="29">
        <f>IF($C399="","",班表!$C18)</f>
        <v/>
      </c>
      <c r="F399" s="29">
        <f>IF($C399="","",班表!AB18)</f>
        <v/>
      </c>
      <c r="G399" s="31">
        <f>IF($F399="","",IFERROR(INDEX(設定!$D$5:$D$20,MATCH($F399,設定!$B$5:$B$20,0)),""))</f>
        <v/>
      </c>
      <c r="H399" s="31">
        <f>IF($F399="","",IFERROR(INDEX(設定!$E$5:$E$20,MATCH($F399,設定!$B$5:$B$20,0)),""))</f>
        <v/>
      </c>
      <c r="I399" s="31">
        <f>IFERROR(INDEX(打卡匯入!$C$3:$C$1002,MATCH($C399&amp;"|"&amp;DAY($A399),打卡匯入!$E$3:$E$1002,0)),"")</f>
        <v/>
      </c>
      <c r="J399" s="31">
        <f>IFERROR(INDEX(打卡匯入!$D$3:$D$1002,MATCH($C399&amp;"|"&amp;DAY($A399),打卡匯入!$E$3:$E$1002,0)),"")</f>
        <v/>
      </c>
      <c r="K399" s="32">
        <f>IF(OR($I399="",$J399=""),"",IFERROR(INDEX(設定!$F$5:$F$20,MATCH($F399,設定!$B$5:$B$20,0)),0))</f>
        <v/>
      </c>
      <c r="L399" s="33">
        <f>IF(OR($I399="",$J399=""),"",ROUND(($J399-$I399)*24-$K399/60,2))</f>
        <v/>
      </c>
      <c r="M399" s="29">
        <f>IF($C399="","",IF(AND(COUNTIF(設定!$B$14:$B$20,$F399)&gt;0,$I399&lt;&gt;""),"假日出勤",IF(AND(COUNTIF(設定!$B$5:$B$13,$F399)&gt;0,$I399=""),"未打卡",IF($I399="","",IF($N399&gt;0,"遲到",IF($O399&gt;0,"早退","正常"))))))</f>
        <v/>
      </c>
      <c r="N399" s="32">
        <f>IF(OR($C399="",$G399="",$I399=""),0,IF(ROUND(($I399-$G399)*1440,0)&gt;設定!$C$28,ROUND(($I399-$G399)*1440,0),0))</f>
        <v/>
      </c>
      <c r="O399" s="32">
        <f>IF(OR($C399="",$H399="",$J399=""),0,IF(ROUND(($H399-$J399)*1440,0)&gt;設定!$C$28,ROUND(($H399-$J399)*1440,0),0))</f>
        <v/>
      </c>
      <c r="P399" s="33">
        <f>IF($L399="",0,IF(($L399-IFERROR(INDEX(設定!$G$5:$G$20,MATCH($F399,設定!$B$5:$B$20,0)),0))*60&gt;=設定!$C$26,ROUND(FLOOR(($L399-IFERROR(INDEX(設定!$G$5:$G$20,MATCH($F399,設定!$B$5:$B$20,0)),0))*60,設定!$C$27)/60,2),0))</f>
        <v/>
      </c>
      <c r="Q399" s="29">
        <f>IF(OR($C399="",$P399=0),"",IF($F399="國","國定假日",IF($B399="日","例假",IF($B399="六","休息日","平日"))))</f>
        <v/>
      </c>
      <c r="R399" s="34" t="n"/>
    </row>
    <row r="400">
      <c r="A400" s="30">
        <f>IF(OR(班表!$A18="",26&gt;DAY(EOMONTH(DATE(班表!$E$2,班表!$G$2,1),0))),"",DATE(班表!$E$2,班表!$G$2,26))</f>
        <v/>
      </c>
      <c r="B400" s="29">
        <f>IF($A400="","",INDEX(設定!$L$5:$L$11,WEEKDAY($A400,1)))</f>
        <v/>
      </c>
      <c r="C400" s="29">
        <f>IF($A400="","",班表!$A18)</f>
        <v/>
      </c>
      <c r="D400" s="29">
        <f>IF($C400="","",班表!$B18)</f>
        <v/>
      </c>
      <c r="E400" s="29">
        <f>IF($C400="","",班表!$C18)</f>
        <v/>
      </c>
      <c r="F400" s="29">
        <f>IF($C400="","",班表!AC18)</f>
        <v/>
      </c>
      <c r="G400" s="31">
        <f>IF($F400="","",IFERROR(INDEX(設定!$D$5:$D$20,MATCH($F400,設定!$B$5:$B$20,0)),""))</f>
        <v/>
      </c>
      <c r="H400" s="31">
        <f>IF($F400="","",IFERROR(INDEX(設定!$E$5:$E$20,MATCH($F400,設定!$B$5:$B$20,0)),""))</f>
        <v/>
      </c>
      <c r="I400" s="31">
        <f>IFERROR(INDEX(打卡匯入!$C$3:$C$1002,MATCH($C400&amp;"|"&amp;DAY($A400),打卡匯入!$E$3:$E$1002,0)),"")</f>
        <v/>
      </c>
      <c r="J400" s="31">
        <f>IFERROR(INDEX(打卡匯入!$D$3:$D$1002,MATCH($C400&amp;"|"&amp;DAY($A400),打卡匯入!$E$3:$E$1002,0)),"")</f>
        <v/>
      </c>
      <c r="K400" s="32">
        <f>IF(OR($I400="",$J400=""),"",IFERROR(INDEX(設定!$F$5:$F$20,MATCH($F400,設定!$B$5:$B$20,0)),0))</f>
        <v/>
      </c>
      <c r="L400" s="33">
        <f>IF(OR($I400="",$J400=""),"",ROUND(($J400-$I400)*24-$K400/60,2))</f>
        <v/>
      </c>
      <c r="M400" s="29">
        <f>IF($C400="","",IF(AND(COUNTIF(設定!$B$14:$B$20,$F400)&gt;0,$I400&lt;&gt;""),"假日出勤",IF(AND(COUNTIF(設定!$B$5:$B$13,$F400)&gt;0,$I400=""),"未打卡",IF($I400="","",IF($N400&gt;0,"遲到",IF($O400&gt;0,"早退","正常"))))))</f>
        <v/>
      </c>
      <c r="N400" s="32">
        <f>IF(OR($C400="",$G400="",$I400=""),0,IF(ROUND(($I400-$G400)*1440,0)&gt;設定!$C$28,ROUND(($I400-$G400)*1440,0),0))</f>
        <v/>
      </c>
      <c r="O400" s="32">
        <f>IF(OR($C400="",$H400="",$J400=""),0,IF(ROUND(($H400-$J400)*1440,0)&gt;設定!$C$28,ROUND(($H400-$J400)*1440,0),0))</f>
        <v/>
      </c>
      <c r="P400" s="33">
        <f>IF($L400="",0,IF(($L400-IFERROR(INDEX(設定!$G$5:$G$20,MATCH($F400,設定!$B$5:$B$20,0)),0))*60&gt;=設定!$C$26,ROUND(FLOOR(($L400-IFERROR(INDEX(設定!$G$5:$G$20,MATCH($F400,設定!$B$5:$B$20,0)),0))*60,設定!$C$27)/60,2),0))</f>
        <v/>
      </c>
      <c r="Q400" s="29">
        <f>IF(OR($C400="",$P400=0),"",IF($F400="國","國定假日",IF($B400="日","例假",IF($B400="六","休息日","平日"))))</f>
        <v/>
      </c>
      <c r="R400" s="34" t="n"/>
    </row>
    <row r="401">
      <c r="A401" s="30">
        <f>IF(OR(班表!$A18="",27&gt;DAY(EOMONTH(DATE(班表!$E$2,班表!$G$2,1),0))),"",DATE(班表!$E$2,班表!$G$2,27))</f>
        <v/>
      </c>
      <c r="B401" s="29">
        <f>IF($A401="","",INDEX(設定!$L$5:$L$11,WEEKDAY($A401,1)))</f>
        <v/>
      </c>
      <c r="C401" s="29">
        <f>IF($A401="","",班表!$A18)</f>
        <v/>
      </c>
      <c r="D401" s="29">
        <f>IF($C401="","",班表!$B18)</f>
        <v/>
      </c>
      <c r="E401" s="29">
        <f>IF($C401="","",班表!$C18)</f>
        <v/>
      </c>
      <c r="F401" s="29">
        <f>IF($C401="","",班表!AD18)</f>
        <v/>
      </c>
      <c r="G401" s="31">
        <f>IF($F401="","",IFERROR(INDEX(設定!$D$5:$D$20,MATCH($F401,設定!$B$5:$B$20,0)),""))</f>
        <v/>
      </c>
      <c r="H401" s="31">
        <f>IF($F401="","",IFERROR(INDEX(設定!$E$5:$E$20,MATCH($F401,設定!$B$5:$B$20,0)),""))</f>
        <v/>
      </c>
      <c r="I401" s="31">
        <f>IFERROR(INDEX(打卡匯入!$C$3:$C$1002,MATCH($C401&amp;"|"&amp;DAY($A401),打卡匯入!$E$3:$E$1002,0)),"")</f>
        <v/>
      </c>
      <c r="J401" s="31">
        <f>IFERROR(INDEX(打卡匯入!$D$3:$D$1002,MATCH($C401&amp;"|"&amp;DAY($A401),打卡匯入!$E$3:$E$1002,0)),"")</f>
        <v/>
      </c>
      <c r="K401" s="32">
        <f>IF(OR($I401="",$J401=""),"",IFERROR(INDEX(設定!$F$5:$F$20,MATCH($F401,設定!$B$5:$B$20,0)),0))</f>
        <v/>
      </c>
      <c r="L401" s="33">
        <f>IF(OR($I401="",$J401=""),"",ROUND(($J401-$I401)*24-$K401/60,2))</f>
        <v/>
      </c>
      <c r="M401" s="29">
        <f>IF($C401="","",IF(AND(COUNTIF(設定!$B$14:$B$20,$F401)&gt;0,$I401&lt;&gt;""),"假日出勤",IF(AND(COUNTIF(設定!$B$5:$B$13,$F401)&gt;0,$I401=""),"未打卡",IF($I401="","",IF($N401&gt;0,"遲到",IF($O401&gt;0,"早退","正常"))))))</f>
        <v/>
      </c>
      <c r="N401" s="32">
        <f>IF(OR($C401="",$G401="",$I401=""),0,IF(ROUND(($I401-$G401)*1440,0)&gt;設定!$C$28,ROUND(($I401-$G401)*1440,0),0))</f>
        <v/>
      </c>
      <c r="O401" s="32">
        <f>IF(OR($C401="",$H401="",$J401=""),0,IF(ROUND(($H401-$J401)*1440,0)&gt;設定!$C$28,ROUND(($H401-$J401)*1440,0),0))</f>
        <v/>
      </c>
      <c r="P401" s="33">
        <f>IF($L401="",0,IF(($L401-IFERROR(INDEX(設定!$G$5:$G$20,MATCH($F401,設定!$B$5:$B$20,0)),0))*60&gt;=設定!$C$26,ROUND(FLOOR(($L401-IFERROR(INDEX(設定!$G$5:$G$20,MATCH($F401,設定!$B$5:$B$20,0)),0))*60,設定!$C$27)/60,2),0))</f>
        <v/>
      </c>
      <c r="Q401" s="29">
        <f>IF(OR($C401="",$P401=0),"",IF($F401="國","國定假日",IF($B401="日","例假",IF($B401="六","休息日","平日"))))</f>
        <v/>
      </c>
      <c r="R401" s="34" t="n"/>
    </row>
    <row r="402">
      <c r="A402" s="30">
        <f>IF(OR(班表!$A18="",28&gt;DAY(EOMONTH(DATE(班表!$E$2,班表!$G$2,1),0))),"",DATE(班表!$E$2,班表!$G$2,28))</f>
        <v/>
      </c>
      <c r="B402" s="29">
        <f>IF($A402="","",INDEX(設定!$L$5:$L$11,WEEKDAY($A402,1)))</f>
        <v/>
      </c>
      <c r="C402" s="29">
        <f>IF($A402="","",班表!$A18)</f>
        <v/>
      </c>
      <c r="D402" s="29">
        <f>IF($C402="","",班表!$B18)</f>
        <v/>
      </c>
      <c r="E402" s="29">
        <f>IF($C402="","",班表!$C18)</f>
        <v/>
      </c>
      <c r="F402" s="29">
        <f>IF($C402="","",班表!AE18)</f>
        <v/>
      </c>
      <c r="G402" s="31">
        <f>IF($F402="","",IFERROR(INDEX(設定!$D$5:$D$20,MATCH($F402,設定!$B$5:$B$20,0)),""))</f>
        <v/>
      </c>
      <c r="H402" s="31">
        <f>IF($F402="","",IFERROR(INDEX(設定!$E$5:$E$20,MATCH($F402,設定!$B$5:$B$20,0)),""))</f>
        <v/>
      </c>
      <c r="I402" s="31">
        <f>IFERROR(INDEX(打卡匯入!$C$3:$C$1002,MATCH($C402&amp;"|"&amp;DAY($A402),打卡匯入!$E$3:$E$1002,0)),"")</f>
        <v/>
      </c>
      <c r="J402" s="31">
        <f>IFERROR(INDEX(打卡匯入!$D$3:$D$1002,MATCH($C402&amp;"|"&amp;DAY($A402),打卡匯入!$E$3:$E$1002,0)),"")</f>
        <v/>
      </c>
      <c r="K402" s="32">
        <f>IF(OR($I402="",$J402=""),"",IFERROR(INDEX(設定!$F$5:$F$20,MATCH($F402,設定!$B$5:$B$20,0)),0))</f>
        <v/>
      </c>
      <c r="L402" s="33">
        <f>IF(OR($I402="",$J402=""),"",ROUND(($J402-$I402)*24-$K402/60,2))</f>
        <v/>
      </c>
      <c r="M402" s="29">
        <f>IF($C402="","",IF(AND(COUNTIF(設定!$B$14:$B$20,$F402)&gt;0,$I402&lt;&gt;""),"假日出勤",IF(AND(COUNTIF(設定!$B$5:$B$13,$F402)&gt;0,$I402=""),"未打卡",IF($I402="","",IF($N402&gt;0,"遲到",IF($O402&gt;0,"早退","正常"))))))</f>
        <v/>
      </c>
      <c r="N402" s="32">
        <f>IF(OR($C402="",$G402="",$I402=""),0,IF(ROUND(($I402-$G402)*1440,0)&gt;設定!$C$28,ROUND(($I402-$G402)*1440,0),0))</f>
        <v/>
      </c>
      <c r="O402" s="32">
        <f>IF(OR($C402="",$H402="",$J402=""),0,IF(ROUND(($H402-$J402)*1440,0)&gt;設定!$C$28,ROUND(($H402-$J402)*1440,0),0))</f>
        <v/>
      </c>
      <c r="P402" s="33">
        <f>IF($L402="",0,IF(($L402-IFERROR(INDEX(設定!$G$5:$G$20,MATCH($F402,設定!$B$5:$B$20,0)),0))*60&gt;=設定!$C$26,ROUND(FLOOR(($L402-IFERROR(INDEX(設定!$G$5:$G$20,MATCH($F402,設定!$B$5:$B$20,0)),0))*60,設定!$C$27)/60,2),0))</f>
        <v/>
      </c>
      <c r="Q402" s="29">
        <f>IF(OR($C402="",$P402=0),"",IF($F402="國","國定假日",IF($B402="日","例假",IF($B402="六","休息日","平日"))))</f>
        <v/>
      </c>
      <c r="R402" s="34" t="n"/>
    </row>
    <row r="403">
      <c r="A403" s="30">
        <f>IF(OR(班表!$A18="",29&gt;DAY(EOMONTH(DATE(班表!$E$2,班表!$G$2,1),0))),"",DATE(班表!$E$2,班表!$G$2,29))</f>
        <v/>
      </c>
      <c r="B403" s="29">
        <f>IF($A403="","",INDEX(設定!$L$5:$L$11,WEEKDAY($A403,1)))</f>
        <v/>
      </c>
      <c r="C403" s="29">
        <f>IF($A403="","",班表!$A18)</f>
        <v/>
      </c>
      <c r="D403" s="29">
        <f>IF($C403="","",班表!$B18)</f>
        <v/>
      </c>
      <c r="E403" s="29">
        <f>IF($C403="","",班表!$C18)</f>
        <v/>
      </c>
      <c r="F403" s="29">
        <f>IF($C403="","",班表!AF18)</f>
        <v/>
      </c>
      <c r="G403" s="31">
        <f>IF($F403="","",IFERROR(INDEX(設定!$D$5:$D$20,MATCH($F403,設定!$B$5:$B$20,0)),""))</f>
        <v/>
      </c>
      <c r="H403" s="31">
        <f>IF($F403="","",IFERROR(INDEX(設定!$E$5:$E$20,MATCH($F403,設定!$B$5:$B$20,0)),""))</f>
        <v/>
      </c>
      <c r="I403" s="31">
        <f>IFERROR(INDEX(打卡匯入!$C$3:$C$1002,MATCH($C403&amp;"|"&amp;DAY($A403),打卡匯入!$E$3:$E$1002,0)),"")</f>
        <v/>
      </c>
      <c r="J403" s="31">
        <f>IFERROR(INDEX(打卡匯入!$D$3:$D$1002,MATCH($C403&amp;"|"&amp;DAY($A403),打卡匯入!$E$3:$E$1002,0)),"")</f>
        <v/>
      </c>
      <c r="K403" s="32">
        <f>IF(OR($I403="",$J403=""),"",IFERROR(INDEX(設定!$F$5:$F$20,MATCH($F403,設定!$B$5:$B$20,0)),0))</f>
        <v/>
      </c>
      <c r="L403" s="33">
        <f>IF(OR($I403="",$J403=""),"",ROUND(($J403-$I403)*24-$K403/60,2))</f>
        <v/>
      </c>
      <c r="M403" s="29">
        <f>IF($C403="","",IF(AND(COUNTIF(設定!$B$14:$B$20,$F403)&gt;0,$I403&lt;&gt;""),"假日出勤",IF(AND(COUNTIF(設定!$B$5:$B$13,$F403)&gt;0,$I403=""),"未打卡",IF($I403="","",IF($N403&gt;0,"遲到",IF($O403&gt;0,"早退","正常"))))))</f>
        <v/>
      </c>
      <c r="N403" s="32">
        <f>IF(OR($C403="",$G403="",$I403=""),0,IF(ROUND(($I403-$G403)*1440,0)&gt;設定!$C$28,ROUND(($I403-$G403)*1440,0),0))</f>
        <v/>
      </c>
      <c r="O403" s="32">
        <f>IF(OR($C403="",$H403="",$J403=""),0,IF(ROUND(($H403-$J403)*1440,0)&gt;設定!$C$28,ROUND(($H403-$J403)*1440,0),0))</f>
        <v/>
      </c>
      <c r="P403" s="33">
        <f>IF($L403="",0,IF(($L403-IFERROR(INDEX(設定!$G$5:$G$20,MATCH($F403,設定!$B$5:$B$20,0)),0))*60&gt;=設定!$C$26,ROUND(FLOOR(($L403-IFERROR(INDEX(設定!$G$5:$G$20,MATCH($F403,設定!$B$5:$B$20,0)),0))*60,設定!$C$27)/60,2),0))</f>
        <v/>
      </c>
      <c r="Q403" s="29">
        <f>IF(OR($C403="",$P403=0),"",IF($F403="國","國定假日",IF($B403="日","例假",IF($B403="六","休息日","平日"))))</f>
        <v/>
      </c>
      <c r="R403" s="34" t="n"/>
    </row>
    <row r="404">
      <c r="A404" s="30">
        <f>IF(OR(班表!$A18="",30&gt;DAY(EOMONTH(DATE(班表!$E$2,班表!$G$2,1),0))),"",DATE(班表!$E$2,班表!$G$2,30))</f>
        <v/>
      </c>
      <c r="B404" s="29">
        <f>IF($A404="","",INDEX(設定!$L$5:$L$11,WEEKDAY($A404,1)))</f>
        <v/>
      </c>
      <c r="C404" s="29">
        <f>IF($A404="","",班表!$A18)</f>
        <v/>
      </c>
      <c r="D404" s="29">
        <f>IF($C404="","",班表!$B18)</f>
        <v/>
      </c>
      <c r="E404" s="29">
        <f>IF($C404="","",班表!$C18)</f>
        <v/>
      </c>
      <c r="F404" s="29">
        <f>IF($C404="","",班表!AG18)</f>
        <v/>
      </c>
      <c r="G404" s="31">
        <f>IF($F404="","",IFERROR(INDEX(設定!$D$5:$D$20,MATCH($F404,設定!$B$5:$B$20,0)),""))</f>
        <v/>
      </c>
      <c r="H404" s="31">
        <f>IF($F404="","",IFERROR(INDEX(設定!$E$5:$E$20,MATCH($F404,設定!$B$5:$B$20,0)),""))</f>
        <v/>
      </c>
      <c r="I404" s="31">
        <f>IFERROR(INDEX(打卡匯入!$C$3:$C$1002,MATCH($C404&amp;"|"&amp;DAY($A404),打卡匯入!$E$3:$E$1002,0)),"")</f>
        <v/>
      </c>
      <c r="J404" s="31">
        <f>IFERROR(INDEX(打卡匯入!$D$3:$D$1002,MATCH($C404&amp;"|"&amp;DAY($A404),打卡匯入!$E$3:$E$1002,0)),"")</f>
        <v/>
      </c>
      <c r="K404" s="32">
        <f>IF(OR($I404="",$J404=""),"",IFERROR(INDEX(設定!$F$5:$F$20,MATCH($F404,設定!$B$5:$B$20,0)),0))</f>
        <v/>
      </c>
      <c r="L404" s="33">
        <f>IF(OR($I404="",$J404=""),"",ROUND(($J404-$I404)*24-$K404/60,2))</f>
        <v/>
      </c>
      <c r="M404" s="29">
        <f>IF($C404="","",IF(AND(COUNTIF(設定!$B$14:$B$20,$F404)&gt;0,$I404&lt;&gt;""),"假日出勤",IF(AND(COUNTIF(設定!$B$5:$B$13,$F404)&gt;0,$I404=""),"未打卡",IF($I404="","",IF($N404&gt;0,"遲到",IF($O404&gt;0,"早退","正常"))))))</f>
        <v/>
      </c>
      <c r="N404" s="32">
        <f>IF(OR($C404="",$G404="",$I404=""),0,IF(ROUND(($I404-$G404)*1440,0)&gt;設定!$C$28,ROUND(($I404-$G404)*1440,0),0))</f>
        <v/>
      </c>
      <c r="O404" s="32">
        <f>IF(OR($C404="",$H404="",$J404=""),0,IF(ROUND(($H404-$J404)*1440,0)&gt;設定!$C$28,ROUND(($H404-$J404)*1440,0),0))</f>
        <v/>
      </c>
      <c r="P404" s="33">
        <f>IF($L404="",0,IF(($L404-IFERROR(INDEX(設定!$G$5:$G$20,MATCH($F404,設定!$B$5:$B$20,0)),0))*60&gt;=設定!$C$26,ROUND(FLOOR(($L404-IFERROR(INDEX(設定!$G$5:$G$20,MATCH($F404,設定!$B$5:$B$20,0)),0))*60,設定!$C$27)/60,2),0))</f>
        <v/>
      </c>
      <c r="Q404" s="29">
        <f>IF(OR($C404="",$P404=0),"",IF($F404="國","國定假日",IF($B404="日","例假",IF($B404="六","休息日","平日"))))</f>
        <v/>
      </c>
      <c r="R404" s="34" t="n"/>
    </row>
    <row r="405">
      <c r="A405" s="30">
        <f>IF(OR(班表!$A18="",31&gt;DAY(EOMONTH(DATE(班表!$E$2,班表!$G$2,1),0))),"",DATE(班表!$E$2,班表!$G$2,31))</f>
        <v/>
      </c>
      <c r="B405" s="29">
        <f>IF($A405="","",INDEX(設定!$L$5:$L$11,WEEKDAY($A405,1)))</f>
        <v/>
      </c>
      <c r="C405" s="29">
        <f>IF($A405="","",班表!$A18)</f>
        <v/>
      </c>
      <c r="D405" s="29">
        <f>IF($C405="","",班表!$B18)</f>
        <v/>
      </c>
      <c r="E405" s="29">
        <f>IF($C405="","",班表!$C18)</f>
        <v/>
      </c>
      <c r="F405" s="29">
        <f>IF($C405="","",班表!AH18)</f>
        <v/>
      </c>
      <c r="G405" s="31">
        <f>IF($F405="","",IFERROR(INDEX(設定!$D$5:$D$20,MATCH($F405,設定!$B$5:$B$20,0)),""))</f>
        <v/>
      </c>
      <c r="H405" s="31">
        <f>IF($F405="","",IFERROR(INDEX(設定!$E$5:$E$20,MATCH($F405,設定!$B$5:$B$20,0)),""))</f>
        <v/>
      </c>
      <c r="I405" s="31">
        <f>IFERROR(INDEX(打卡匯入!$C$3:$C$1002,MATCH($C405&amp;"|"&amp;DAY($A405),打卡匯入!$E$3:$E$1002,0)),"")</f>
        <v/>
      </c>
      <c r="J405" s="31">
        <f>IFERROR(INDEX(打卡匯入!$D$3:$D$1002,MATCH($C405&amp;"|"&amp;DAY($A405),打卡匯入!$E$3:$E$1002,0)),"")</f>
        <v/>
      </c>
      <c r="K405" s="32">
        <f>IF(OR($I405="",$J405=""),"",IFERROR(INDEX(設定!$F$5:$F$20,MATCH($F405,設定!$B$5:$B$20,0)),0))</f>
        <v/>
      </c>
      <c r="L405" s="33">
        <f>IF(OR($I405="",$J405=""),"",ROUND(($J405-$I405)*24-$K405/60,2))</f>
        <v/>
      </c>
      <c r="M405" s="29">
        <f>IF($C405="","",IF(AND(COUNTIF(設定!$B$14:$B$20,$F405)&gt;0,$I405&lt;&gt;""),"假日出勤",IF(AND(COUNTIF(設定!$B$5:$B$13,$F405)&gt;0,$I405=""),"未打卡",IF($I405="","",IF($N405&gt;0,"遲到",IF($O405&gt;0,"早退","正常"))))))</f>
        <v/>
      </c>
      <c r="N405" s="32">
        <f>IF(OR($C405="",$G405="",$I405=""),0,IF(ROUND(($I405-$G405)*1440,0)&gt;設定!$C$28,ROUND(($I405-$G405)*1440,0),0))</f>
        <v/>
      </c>
      <c r="O405" s="32">
        <f>IF(OR($C405="",$H405="",$J405=""),0,IF(ROUND(($H405-$J405)*1440,0)&gt;設定!$C$28,ROUND(($H405-$J405)*1440,0),0))</f>
        <v/>
      </c>
      <c r="P405" s="33">
        <f>IF($L405="",0,IF(($L405-IFERROR(INDEX(設定!$G$5:$G$20,MATCH($F405,設定!$B$5:$B$20,0)),0))*60&gt;=設定!$C$26,ROUND(FLOOR(($L405-IFERROR(INDEX(設定!$G$5:$G$20,MATCH($F405,設定!$B$5:$B$20,0)),0))*60,設定!$C$27)/60,2),0))</f>
        <v/>
      </c>
      <c r="Q405" s="29">
        <f>IF(OR($C405="",$P405=0),"",IF($F405="國","國定假日",IF($B405="日","例假",IF($B405="六","休息日","平日"))))</f>
        <v/>
      </c>
      <c r="R405" s="34" t="n"/>
    </row>
    <row r="406">
      <c r="A406" s="30">
        <f>IF(OR(班表!$A19="",1&gt;DAY(EOMONTH(DATE(班表!$E$2,班表!$G$2,1),0))),"",DATE(班表!$E$2,班表!$G$2,1))</f>
        <v/>
      </c>
      <c r="B406" s="29">
        <f>IF($A406="","",INDEX(設定!$L$5:$L$11,WEEKDAY($A406,1)))</f>
        <v/>
      </c>
      <c r="C406" s="29">
        <f>IF($A406="","",班表!$A19)</f>
        <v/>
      </c>
      <c r="D406" s="29">
        <f>IF($C406="","",班表!$B19)</f>
        <v/>
      </c>
      <c r="E406" s="29">
        <f>IF($C406="","",班表!$C19)</f>
        <v/>
      </c>
      <c r="F406" s="29">
        <f>IF($C406="","",班表!D19)</f>
        <v/>
      </c>
      <c r="G406" s="31">
        <f>IF($F406="","",IFERROR(INDEX(設定!$D$5:$D$20,MATCH($F406,設定!$B$5:$B$20,0)),""))</f>
        <v/>
      </c>
      <c r="H406" s="31">
        <f>IF($F406="","",IFERROR(INDEX(設定!$E$5:$E$20,MATCH($F406,設定!$B$5:$B$20,0)),""))</f>
        <v/>
      </c>
      <c r="I406" s="31">
        <f>IFERROR(INDEX(打卡匯入!$C$3:$C$1002,MATCH($C406&amp;"|"&amp;DAY($A406),打卡匯入!$E$3:$E$1002,0)),"")</f>
        <v/>
      </c>
      <c r="J406" s="31">
        <f>IFERROR(INDEX(打卡匯入!$D$3:$D$1002,MATCH($C406&amp;"|"&amp;DAY($A406),打卡匯入!$E$3:$E$1002,0)),"")</f>
        <v/>
      </c>
      <c r="K406" s="32">
        <f>IF(OR($I406="",$J406=""),"",IFERROR(INDEX(設定!$F$5:$F$20,MATCH($F406,設定!$B$5:$B$20,0)),0))</f>
        <v/>
      </c>
      <c r="L406" s="33">
        <f>IF(OR($I406="",$J406=""),"",ROUND(($J406-$I406)*24-$K406/60,2))</f>
        <v/>
      </c>
      <c r="M406" s="29">
        <f>IF($C406="","",IF(AND(COUNTIF(設定!$B$14:$B$20,$F406)&gt;0,$I406&lt;&gt;""),"假日出勤",IF(AND(COUNTIF(設定!$B$5:$B$13,$F406)&gt;0,$I406=""),"未打卡",IF($I406="","",IF($N406&gt;0,"遲到",IF($O406&gt;0,"早退","正常"))))))</f>
        <v/>
      </c>
      <c r="N406" s="32">
        <f>IF(OR($C406="",$G406="",$I406=""),0,IF(ROUND(($I406-$G406)*1440,0)&gt;設定!$C$28,ROUND(($I406-$G406)*1440,0),0))</f>
        <v/>
      </c>
      <c r="O406" s="32">
        <f>IF(OR($C406="",$H406="",$J406=""),0,IF(ROUND(($H406-$J406)*1440,0)&gt;設定!$C$28,ROUND(($H406-$J406)*1440,0),0))</f>
        <v/>
      </c>
      <c r="P406" s="33">
        <f>IF($L406="",0,IF(($L406-IFERROR(INDEX(設定!$G$5:$G$20,MATCH($F406,設定!$B$5:$B$20,0)),0))*60&gt;=設定!$C$26,ROUND(FLOOR(($L406-IFERROR(INDEX(設定!$G$5:$G$20,MATCH($F406,設定!$B$5:$B$20,0)),0))*60,設定!$C$27)/60,2),0))</f>
        <v/>
      </c>
      <c r="Q406" s="29">
        <f>IF(OR($C406="",$P406=0),"",IF($F406="國","國定假日",IF($B406="日","例假",IF($B406="六","休息日","平日"))))</f>
        <v/>
      </c>
      <c r="R406" s="34" t="n"/>
    </row>
    <row r="407">
      <c r="A407" s="30">
        <f>IF(OR(班表!$A19="",2&gt;DAY(EOMONTH(DATE(班表!$E$2,班表!$G$2,1),0))),"",DATE(班表!$E$2,班表!$G$2,2))</f>
        <v/>
      </c>
      <c r="B407" s="29">
        <f>IF($A407="","",INDEX(設定!$L$5:$L$11,WEEKDAY($A407,1)))</f>
        <v/>
      </c>
      <c r="C407" s="29">
        <f>IF($A407="","",班表!$A19)</f>
        <v/>
      </c>
      <c r="D407" s="29">
        <f>IF($C407="","",班表!$B19)</f>
        <v/>
      </c>
      <c r="E407" s="29">
        <f>IF($C407="","",班表!$C19)</f>
        <v/>
      </c>
      <c r="F407" s="29">
        <f>IF($C407="","",班表!E19)</f>
        <v/>
      </c>
      <c r="G407" s="31">
        <f>IF($F407="","",IFERROR(INDEX(設定!$D$5:$D$20,MATCH($F407,設定!$B$5:$B$20,0)),""))</f>
        <v/>
      </c>
      <c r="H407" s="31">
        <f>IF($F407="","",IFERROR(INDEX(設定!$E$5:$E$20,MATCH($F407,設定!$B$5:$B$20,0)),""))</f>
        <v/>
      </c>
      <c r="I407" s="31">
        <f>IFERROR(INDEX(打卡匯入!$C$3:$C$1002,MATCH($C407&amp;"|"&amp;DAY($A407),打卡匯入!$E$3:$E$1002,0)),"")</f>
        <v/>
      </c>
      <c r="J407" s="31">
        <f>IFERROR(INDEX(打卡匯入!$D$3:$D$1002,MATCH($C407&amp;"|"&amp;DAY($A407),打卡匯入!$E$3:$E$1002,0)),"")</f>
        <v/>
      </c>
      <c r="K407" s="32">
        <f>IF(OR($I407="",$J407=""),"",IFERROR(INDEX(設定!$F$5:$F$20,MATCH($F407,設定!$B$5:$B$20,0)),0))</f>
        <v/>
      </c>
      <c r="L407" s="33">
        <f>IF(OR($I407="",$J407=""),"",ROUND(($J407-$I407)*24-$K407/60,2))</f>
        <v/>
      </c>
      <c r="M407" s="29">
        <f>IF($C407="","",IF(AND(COUNTIF(設定!$B$14:$B$20,$F407)&gt;0,$I407&lt;&gt;""),"假日出勤",IF(AND(COUNTIF(設定!$B$5:$B$13,$F407)&gt;0,$I407=""),"未打卡",IF($I407="","",IF($N407&gt;0,"遲到",IF($O407&gt;0,"早退","正常"))))))</f>
        <v/>
      </c>
      <c r="N407" s="32">
        <f>IF(OR($C407="",$G407="",$I407=""),0,IF(ROUND(($I407-$G407)*1440,0)&gt;設定!$C$28,ROUND(($I407-$G407)*1440,0),0))</f>
        <v/>
      </c>
      <c r="O407" s="32">
        <f>IF(OR($C407="",$H407="",$J407=""),0,IF(ROUND(($H407-$J407)*1440,0)&gt;設定!$C$28,ROUND(($H407-$J407)*1440,0),0))</f>
        <v/>
      </c>
      <c r="P407" s="33">
        <f>IF($L407="",0,IF(($L407-IFERROR(INDEX(設定!$G$5:$G$20,MATCH($F407,設定!$B$5:$B$20,0)),0))*60&gt;=設定!$C$26,ROUND(FLOOR(($L407-IFERROR(INDEX(設定!$G$5:$G$20,MATCH($F407,設定!$B$5:$B$20,0)),0))*60,設定!$C$27)/60,2),0))</f>
        <v/>
      </c>
      <c r="Q407" s="29">
        <f>IF(OR($C407="",$P407=0),"",IF($F407="國","國定假日",IF($B407="日","例假",IF($B407="六","休息日","平日"))))</f>
        <v/>
      </c>
      <c r="R407" s="34" t="n"/>
    </row>
    <row r="408">
      <c r="A408" s="30">
        <f>IF(OR(班表!$A19="",3&gt;DAY(EOMONTH(DATE(班表!$E$2,班表!$G$2,1),0))),"",DATE(班表!$E$2,班表!$G$2,3))</f>
        <v/>
      </c>
      <c r="B408" s="29">
        <f>IF($A408="","",INDEX(設定!$L$5:$L$11,WEEKDAY($A408,1)))</f>
        <v/>
      </c>
      <c r="C408" s="29">
        <f>IF($A408="","",班表!$A19)</f>
        <v/>
      </c>
      <c r="D408" s="29">
        <f>IF($C408="","",班表!$B19)</f>
        <v/>
      </c>
      <c r="E408" s="29">
        <f>IF($C408="","",班表!$C19)</f>
        <v/>
      </c>
      <c r="F408" s="29">
        <f>IF($C408="","",班表!F19)</f>
        <v/>
      </c>
      <c r="G408" s="31">
        <f>IF($F408="","",IFERROR(INDEX(設定!$D$5:$D$20,MATCH($F408,設定!$B$5:$B$20,0)),""))</f>
        <v/>
      </c>
      <c r="H408" s="31">
        <f>IF($F408="","",IFERROR(INDEX(設定!$E$5:$E$20,MATCH($F408,設定!$B$5:$B$20,0)),""))</f>
        <v/>
      </c>
      <c r="I408" s="31">
        <f>IFERROR(INDEX(打卡匯入!$C$3:$C$1002,MATCH($C408&amp;"|"&amp;DAY($A408),打卡匯入!$E$3:$E$1002,0)),"")</f>
        <v/>
      </c>
      <c r="J408" s="31">
        <f>IFERROR(INDEX(打卡匯入!$D$3:$D$1002,MATCH($C408&amp;"|"&amp;DAY($A408),打卡匯入!$E$3:$E$1002,0)),"")</f>
        <v/>
      </c>
      <c r="K408" s="32">
        <f>IF(OR($I408="",$J408=""),"",IFERROR(INDEX(設定!$F$5:$F$20,MATCH($F408,設定!$B$5:$B$20,0)),0))</f>
        <v/>
      </c>
      <c r="L408" s="33">
        <f>IF(OR($I408="",$J408=""),"",ROUND(($J408-$I408)*24-$K408/60,2))</f>
        <v/>
      </c>
      <c r="M408" s="29">
        <f>IF($C408="","",IF(AND(COUNTIF(設定!$B$14:$B$20,$F408)&gt;0,$I408&lt;&gt;""),"假日出勤",IF(AND(COUNTIF(設定!$B$5:$B$13,$F408)&gt;0,$I408=""),"未打卡",IF($I408="","",IF($N408&gt;0,"遲到",IF($O408&gt;0,"早退","正常"))))))</f>
        <v/>
      </c>
      <c r="N408" s="32">
        <f>IF(OR($C408="",$G408="",$I408=""),0,IF(ROUND(($I408-$G408)*1440,0)&gt;設定!$C$28,ROUND(($I408-$G408)*1440,0),0))</f>
        <v/>
      </c>
      <c r="O408" s="32">
        <f>IF(OR($C408="",$H408="",$J408=""),0,IF(ROUND(($H408-$J408)*1440,0)&gt;設定!$C$28,ROUND(($H408-$J408)*1440,0),0))</f>
        <v/>
      </c>
      <c r="P408" s="33">
        <f>IF($L408="",0,IF(($L408-IFERROR(INDEX(設定!$G$5:$G$20,MATCH($F408,設定!$B$5:$B$20,0)),0))*60&gt;=設定!$C$26,ROUND(FLOOR(($L408-IFERROR(INDEX(設定!$G$5:$G$20,MATCH($F408,設定!$B$5:$B$20,0)),0))*60,設定!$C$27)/60,2),0))</f>
        <v/>
      </c>
      <c r="Q408" s="29">
        <f>IF(OR($C408="",$P408=0),"",IF($F408="國","國定假日",IF($B408="日","例假",IF($B408="六","休息日","平日"))))</f>
        <v/>
      </c>
      <c r="R408" s="34" t="n"/>
    </row>
    <row r="409">
      <c r="A409" s="30">
        <f>IF(OR(班表!$A19="",4&gt;DAY(EOMONTH(DATE(班表!$E$2,班表!$G$2,1),0))),"",DATE(班表!$E$2,班表!$G$2,4))</f>
        <v/>
      </c>
      <c r="B409" s="29">
        <f>IF($A409="","",INDEX(設定!$L$5:$L$11,WEEKDAY($A409,1)))</f>
        <v/>
      </c>
      <c r="C409" s="29">
        <f>IF($A409="","",班表!$A19)</f>
        <v/>
      </c>
      <c r="D409" s="29">
        <f>IF($C409="","",班表!$B19)</f>
        <v/>
      </c>
      <c r="E409" s="29">
        <f>IF($C409="","",班表!$C19)</f>
        <v/>
      </c>
      <c r="F409" s="29">
        <f>IF($C409="","",班表!G19)</f>
        <v/>
      </c>
      <c r="G409" s="31">
        <f>IF($F409="","",IFERROR(INDEX(設定!$D$5:$D$20,MATCH($F409,設定!$B$5:$B$20,0)),""))</f>
        <v/>
      </c>
      <c r="H409" s="31">
        <f>IF($F409="","",IFERROR(INDEX(設定!$E$5:$E$20,MATCH($F409,設定!$B$5:$B$20,0)),""))</f>
        <v/>
      </c>
      <c r="I409" s="31">
        <f>IFERROR(INDEX(打卡匯入!$C$3:$C$1002,MATCH($C409&amp;"|"&amp;DAY($A409),打卡匯入!$E$3:$E$1002,0)),"")</f>
        <v/>
      </c>
      <c r="J409" s="31">
        <f>IFERROR(INDEX(打卡匯入!$D$3:$D$1002,MATCH($C409&amp;"|"&amp;DAY($A409),打卡匯入!$E$3:$E$1002,0)),"")</f>
        <v/>
      </c>
      <c r="K409" s="32">
        <f>IF(OR($I409="",$J409=""),"",IFERROR(INDEX(設定!$F$5:$F$20,MATCH($F409,設定!$B$5:$B$20,0)),0))</f>
        <v/>
      </c>
      <c r="L409" s="33">
        <f>IF(OR($I409="",$J409=""),"",ROUND(($J409-$I409)*24-$K409/60,2))</f>
        <v/>
      </c>
      <c r="M409" s="29">
        <f>IF($C409="","",IF(AND(COUNTIF(設定!$B$14:$B$20,$F409)&gt;0,$I409&lt;&gt;""),"假日出勤",IF(AND(COUNTIF(設定!$B$5:$B$13,$F409)&gt;0,$I409=""),"未打卡",IF($I409="","",IF($N409&gt;0,"遲到",IF($O409&gt;0,"早退","正常"))))))</f>
        <v/>
      </c>
      <c r="N409" s="32">
        <f>IF(OR($C409="",$G409="",$I409=""),0,IF(ROUND(($I409-$G409)*1440,0)&gt;設定!$C$28,ROUND(($I409-$G409)*1440,0),0))</f>
        <v/>
      </c>
      <c r="O409" s="32">
        <f>IF(OR($C409="",$H409="",$J409=""),0,IF(ROUND(($H409-$J409)*1440,0)&gt;設定!$C$28,ROUND(($H409-$J409)*1440,0),0))</f>
        <v/>
      </c>
      <c r="P409" s="33">
        <f>IF($L409="",0,IF(($L409-IFERROR(INDEX(設定!$G$5:$G$20,MATCH($F409,設定!$B$5:$B$20,0)),0))*60&gt;=設定!$C$26,ROUND(FLOOR(($L409-IFERROR(INDEX(設定!$G$5:$G$20,MATCH($F409,設定!$B$5:$B$20,0)),0))*60,設定!$C$27)/60,2),0))</f>
        <v/>
      </c>
      <c r="Q409" s="29">
        <f>IF(OR($C409="",$P409=0),"",IF($F409="國","國定假日",IF($B409="日","例假",IF($B409="六","休息日","平日"))))</f>
        <v/>
      </c>
      <c r="R409" s="34" t="n"/>
    </row>
    <row r="410">
      <c r="A410" s="30">
        <f>IF(OR(班表!$A19="",5&gt;DAY(EOMONTH(DATE(班表!$E$2,班表!$G$2,1),0))),"",DATE(班表!$E$2,班表!$G$2,5))</f>
        <v/>
      </c>
      <c r="B410" s="29">
        <f>IF($A410="","",INDEX(設定!$L$5:$L$11,WEEKDAY($A410,1)))</f>
        <v/>
      </c>
      <c r="C410" s="29">
        <f>IF($A410="","",班表!$A19)</f>
        <v/>
      </c>
      <c r="D410" s="29">
        <f>IF($C410="","",班表!$B19)</f>
        <v/>
      </c>
      <c r="E410" s="29">
        <f>IF($C410="","",班表!$C19)</f>
        <v/>
      </c>
      <c r="F410" s="29">
        <f>IF($C410="","",班表!H19)</f>
        <v/>
      </c>
      <c r="G410" s="31">
        <f>IF($F410="","",IFERROR(INDEX(設定!$D$5:$D$20,MATCH($F410,設定!$B$5:$B$20,0)),""))</f>
        <v/>
      </c>
      <c r="H410" s="31">
        <f>IF($F410="","",IFERROR(INDEX(設定!$E$5:$E$20,MATCH($F410,設定!$B$5:$B$20,0)),""))</f>
        <v/>
      </c>
      <c r="I410" s="31">
        <f>IFERROR(INDEX(打卡匯入!$C$3:$C$1002,MATCH($C410&amp;"|"&amp;DAY($A410),打卡匯入!$E$3:$E$1002,0)),"")</f>
        <v/>
      </c>
      <c r="J410" s="31">
        <f>IFERROR(INDEX(打卡匯入!$D$3:$D$1002,MATCH($C410&amp;"|"&amp;DAY($A410),打卡匯入!$E$3:$E$1002,0)),"")</f>
        <v/>
      </c>
      <c r="K410" s="32">
        <f>IF(OR($I410="",$J410=""),"",IFERROR(INDEX(設定!$F$5:$F$20,MATCH($F410,設定!$B$5:$B$20,0)),0))</f>
        <v/>
      </c>
      <c r="L410" s="33">
        <f>IF(OR($I410="",$J410=""),"",ROUND(($J410-$I410)*24-$K410/60,2))</f>
        <v/>
      </c>
      <c r="M410" s="29">
        <f>IF($C410="","",IF(AND(COUNTIF(設定!$B$14:$B$20,$F410)&gt;0,$I410&lt;&gt;""),"假日出勤",IF(AND(COUNTIF(設定!$B$5:$B$13,$F410)&gt;0,$I410=""),"未打卡",IF($I410="","",IF($N410&gt;0,"遲到",IF($O410&gt;0,"早退","正常"))))))</f>
        <v/>
      </c>
      <c r="N410" s="32">
        <f>IF(OR($C410="",$G410="",$I410=""),0,IF(ROUND(($I410-$G410)*1440,0)&gt;設定!$C$28,ROUND(($I410-$G410)*1440,0),0))</f>
        <v/>
      </c>
      <c r="O410" s="32">
        <f>IF(OR($C410="",$H410="",$J410=""),0,IF(ROUND(($H410-$J410)*1440,0)&gt;設定!$C$28,ROUND(($H410-$J410)*1440,0),0))</f>
        <v/>
      </c>
      <c r="P410" s="33">
        <f>IF($L410="",0,IF(($L410-IFERROR(INDEX(設定!$G$5:$G$20,MATCH($F410,設定!$B$5:$B$20,0)),0))*60&gt;=設定!$C$26,ROUND(FLOOR(($L410-IFERROR(INDEX(設定!$G$5:$G$20,MATCH($F410,設定!$B$5:$B$20,0)),0))*60,設定!$C$27)/60,2),0))</f>
        <v/>
      </c>
      <c r="Q410" s="29">
        <f>IF(OR($C410="",$P410=0),"",IF($F410="國","國定假日",IF($B410="日","例假",IF($B410="六","休息日","平日"))))</f>
        <v/>
      </c>
      <c r="R410" s="34" t="n"/>
    </row>
    <row r="411">
      <c r="A411" s="30">
        <f>IF(OR(班表!$A19="",6&gt;DAY(EOMONTH(DATE(班表!$E$2,班表!$G$2,1),0))),"",DATE(班表!$E$2,班表!$G$2,6))</f>
        <v/>
      </c>
      <c r="B411" s="29">
        <f>IF($A411="","",INDEX(設定!$L$5:$L$11,WEEKDAY($A411,1)))</f>
        <v/>
      </c>
      <c r="C411" s="29">
        <f>IF($A411="","",班表!$A19)</f>
        <v/>
      </c>
      <c r="D411" s="29">
        <f>IF($C411="","",班表!$B19)</f>
        <v/>
      </c>
      <c r="E411" s="29">
        <f>IF($C411="","",班表!$C19)</f>
        <v/>
      </c>
      <c r="F411" s="29">
        <f>IF($C411="","",班表!I19)</f>
        <v/>
      </c>
      <c r="G411" s="31">
        <f>IF($F411="","",IFERROR(INDEX(設定!$D$5:$D$20,MATCH($F411,設定!$B$5:$B$20,0)),""))</f>
        <v/>
      </c>
      <c r="H411" s="31">
        <f>IF($F411="","",IFERROR(INDEX(設定!$E$5:$E$20,MATCH($F411,設定!$B$5:$B$20,0)),""))</f>
        <v/>
      </c>
      <c r="I411" s="31">
        <f>IFERROR(INDEX(打卡匯入!$C$3:$C$1002,MATCH($C411&amp;"|"&amp;DAY($A411),打卡匯入!$E$3:$E$1002,0)),"")</f>
        <v/>
      </c>
      <c r="J411" s="31">
        <f>IFERROR(INDEX(打卡匯入!$D$3:$D$1002,MATCH($C411&amp;"|"&amp;DAY($A411),打卡匯入!$E$3:$E$1002,0)),"")</f>
        <v/>
      </c>
      <c r="K411" s="32">
        <f>IF(OR($I411="",$J411=""),"",IFERROR(INDEX(設定!$F$5:$F$20,MATCH($F411,設定!$B$5:$B$20,0)),0))</f>
        <v/>
      </c>
      <c r="L411" s="33">
        <f>IF(OR($I411="",$J411=""),"",ROUND(($J411-$I411)*24-$K411/60,2))</f>
        <v/>
      </c>
      <c r="M411" s="29">
        <f>IF($C411="","",IF(AND(COUNTIF(設定!$B$14:$B$20,$F411)&gt;0,$I411&lt;&gt;""),"假日出勤",IF(AND(COUNTIF(設定!$B$5:$B$13,$F411)&gt;0,$I411=""),"未打卡",IF($I411="","",IF($N411&gt;0,"遲到",IF($O411&gt;0,"早退","正常"))))))</f>
        <v/>
      </c>
      <c r="N411" s="32">
        <f>IF(OR($C411="",$G411="",$I411=""),0,IF(ROUND(($I411-$G411)*1440,0)&gt;設定!$C$28,ROUND(($I411-$G411)*1440,0),0))</f>
        <v/>
      </c>
      <c r="O411" s="32">
        <f>IF(OR($C411="",$H411="",$J411=""),0,IF(ROUND(($H411-$J411)*1440,0)&gt;設定!$C$28,ROUND(($H411-$J411)*1440,0),0))</f>
        <v/>
      </c>
      <c r="P411" s="33">
        <f>IF($L411="",0,IF(($L411-IFERROR(INDEX(設定!$G$5:$G$20,MATCH($F411,設定!$B$5:$B$20,0)),0))*60&gt;=設定!$C$26,ROUND(FLOOR(($L411-IFERROR(INDEX(設定!$G$5:$G$20,MATCH($F411,設定!$B$5:$B$20,0)),0))*60,設定!$C$27)/60,2),0))</f>
        <v/>
      </c>
      <c r="Q411" s="29">
        <f>IF(OR($C411="",$P411=0),"",IF($F411="國","國定假日",IF($B411="日","例假",IF($B411="六","休息日","平日"))))</f>
        <v/>
      </c>
      <c r="R411" s="34" t="n"/>
    </row>
    <row r="412">
      <c r="A412" s="30">
        <f>IF(OR(班表!$A19="",7&gt;DAY(EOMONTH(DATE(班表!$E$2,班表!$G$2,1),0))),"",DATE(班表!$E$2,班表!$G$2,7))</f>
        <v/>
      </c>
      <c r="B412" s="29">
        <f>IF($A412="","",INDEX(設定!$L$5:$L$11,WEEKDAY($A412,1)))</f>
        <v/>
      </c>
      <c r="C412" s="29">
        <f>IF($A412="","",班表!$A19)</f>
        <v/>
      </c>
      <c r="D412" s="29">
        <f>IF($C412="","",班表!$B19)</f>
        <v/>
      </c>
      <c r="E412" s="29">
        <f>IF($C412="","",班表!$C19)</f>
        <v/>
      </c>
      <c r="F412" s="29">
        <f>IF($C412="","",班表!J19)</f>
        <v/>
      </c>
      <c r="G412" s="31">
        <f>IF($F412="","",IFERROR(INDEX(設定!$D$5:$D$20,MATCH($F412,設定!$B$5:$B$20,0)),""))</f>
        <v/>
      </c>
      <c r="H412" s="31">
        <f>IF($F412="","",IFERROR(INDEX(設定!$E$5:$E$20,MATCH($F412,設定!$B$5:$B$20,0)),""))</f>
        <v/>
      </c>
      <c r="I412" s="31">
        <f>IFERROR(INDEX(打卡匯入!$C$3:$C$1002,MATCH($C412&amp;"|"&amp;DAY($A412),打卡匯入!$E$3:$E$1002,0)),"")</f>
        <v/>
      </c>
      <c r="J412" s="31">
        <f>IFERROR(INDEX(打卡匯入!$D$3:$D$1002,MATCH($C412&amp;"|"&amp;DAY($A412),打卡匯入!$E$3:$E$1002,0)),"")</f>
        <v/>
      </c>
      <c r="K412" s="32">
        <f>IF(OR($I412="",$J412=""),"",IFERROR(INDEX(設定!$F$5:$F$20,MATCH($F412,設定!$B$5:$B$20,0)),0))</f>
        <v/>
      </c>
      <c r="L412" s="33">
        <f>IF(OR($I412="",$J412=""),"",ROUND(($J412-$I412)*24-$K412/60,2))</f>
        <v/>
      </c>
      <c r="M412" s="29">
        <f>IF($C412="","",IF(AND(COUNTIF(設定!$B$14:$B$20,$F412)&gt;0,$I412&lt;&gt;""),"假日出勤",IF(AND(COUNTIF(設定!$B$5:$B$13,$F412)&gt;0,$I412=""),"未打卡",IF($I412="","",IF($N412&gt;0,"遲到",IF($O412&gt;0,"早退","正常"))))))</f>
        <v/>
      </c>
      <c r="N412" s="32">
        <f>IF(OR($C412="",$G412="",$I412=""),0,IF(ROUND(($I412-$G412)*1440,0)&gt;設定!$C$28,ROUND(($I412-$G412)*1440,0),0))</f>
        <v/>
      </c>
      <c r="O412" s="32">
        <f>IF(OR($C412="",$H412="",$J412=""),0,IF(ROUND(($H412-$J412)*1440,0)&gt;設定!$C$28,ROUND(($H412-$J412)*1440,0),0))</f>
        <v/>
      </c>
      <c r="P412" s="33">
        <f>IF($L412="",0,IF(($L412-IFERROR(INDEX(設定!$G$5:$G$20,MATCH($F412,設定!$B$5:$B$20,0)),0))*60&gt;=設定!$C$26,ROUND(FLOOR(($L412-IFERROR(INDEX(設定!$G$5:$G$20,MATCH($F412,設定!$B$5:$B$20,0)),0))*60,設定!$C$27)/60,2),0))</f>
        <v/>
      </c>
      <c r="Q412" s="29">
        <f>IF(OR($C412="",$P412=0),"",IF($F412="國","國定假日",IF($B412="日","例假",IF($B412="六","休息日","平日"))))</f>
        <v/>
      </c>
      <c r="R412" s="34" t="n"/>
    </row>
    <row r="413">
      <c r="A413" s="30">
        <f>IF(OR(班表!$A19="",8&gt;DAY(EOMONTH(DATE(班表!$E$2,班表!$G$2,1),0))),"",DATE(班表!$E$2,班表!$G$2,8))</f>
        <v/>
      </c>
      <c r="B413" s="29">
        <f>IF($A413="","",INDEX(設定!$L$5:$L$11,WEEKDAY($A413,1)))</f>
        <v/>
      </c>
      <c r="C413" s="29">
        <f>IF($A413="","",班表!$A19)</f>
        <v/>
      </c>
      <c r="D413" s="29">
        <f>IF($C413="","",班表!$B19)</f>
        <v/>
      </c>
      <c r="E413" s="29">
        <f>IF($C413="","",班表!$C19)</f>
        <v/>
      </c>
      <c r="F413" s="29">
        <f>IF($C413="","",班表!K19)</f>
        <v/>
      </c>
      <c r="G413" s="31">
        <f>IF($F413="","",IFERROR(INDEX(設定!$D$5:$D$20,MATCH($F413,設定!$B$5:$B$20,0)),""))</f>
        <v/>
      </c>
      <c r="H413" s="31">
        <f>IF($F413="","",IFERROR(INDEX(設定!$E$5:$E$20,MATCH($F413,設定!$B$5:$B$20,0)),""))</f>
        <v/>
      </c>
      <c r="I413" s="31">
        <f>IFERROR(INDEX(打卡匯入!$C$3:$C$1002,MATCH($C413&amp;"|"&amp;DAY($A413),打卡匯入!$E$3:$E$1002,0)),"")</f>
        <v/>
      </c>
      <c r="J413" s="31">
        <f>IFERROR(INDEX(打卡匯入!$D$3:$D$1002,MATCH($C413&amp;"|"&amp;DAY($A413),打卡匯入!$E$3:$E$1002,0)),"")</f>
        <v/>
      </c>
      <c r="K413" s="32">
        <f>IF(OR($I413="",$J413=""),"",IFERROR(INDEX(設定!$F$5:$F$20,MATCH($F413,設定!$B$5:$B$20,0)),0))</f>
        <v/>
      </c>
      <c r="L413" s="33">
        <f>IF(OR($I413="",$J413=""),"",ROUND(($J413-$I413)*24-$K413/60,2))</f>
        <v/>
      </c>
      <c r="M413" s="29">
        <f>IF($C413="","",IF(AND(COUNTIF(設定!$B$14:$B$20,$F413)&gt;0,$I413&lt;&gt;""),"假日出勤",IF(AND(COUNTIF(設定!$B$5:$B$13,$F413)&gt;0,$I413=""),"未打卡",IF($I413="","",IF($N413&gt;0,"遲到",IF($O413&gt;0,"早退","正常"))))))</f>
        <v/>
      </c>
      <c r="N413" s="32">
        <f>IF(OR($C413="",$G413="",$I413=""),0,IF(ROUND(($I413-$G413)*1440,0)&gt;設定!$C$28,ROUND(($I413-$G413)*1440,0),0))</f>
        <v/>
      </c>
      <c r="O413" s="32">
        <f>IF(OR($C413="",$H413="",$J413=""),0,IF(ROUND(($H413-$J413)*1440,0)&gt;設定!$C$28,ROUND(($H413-$J413)*1440,0),0))</f>
        <v/>
      </c>
      <c r="P413" s="33">
        <f>IF($L413="",0,IF(($L413-IFERROR(INDEX(設定!$G$5:$G$20,MATCH($F413,設定!$B$5:$B$20,0)),0))*60&gt;=設定!$C$26,ROUND(FLOOR(($L413-IFERROR(INDEX(設定!$G$5:$G$20,MATCH($F413,設定!$B$5:$B$20,0)),0))*60,設定!$C$27)/60,2),0))</f>
        <v/>
      </c>
      <c r="Q413" s="29">
        <f>IF(OR($C413="",$P413=0),"",IF($F413="國","國定假日",IF($B413="日","例假",IF($B413="六","休息日","平日"))))</f>
        <v/>
      </c>
      <c r="R413" s="34" t="n"/>
    </row>
    <row r="414">
      <c r="A414" s="30">
        <f>IF(OR(班表!$A19="",9&gt;DAY(EOMONTH(DATE(班表!$E$2,班表!$G$2,1),0))),"",DATE(班表!$E$2,班表!$G$2,9))</f>
        <v/>
      </c>
      <c r="B414" s="29">
        <f>IF($A414="","",INDEX(設定!$L$5:$L$11,WEEKDAY($A414,1)))</f>
        <v/>
      </c>
      <c r="C414" s="29">
        <f>IF($A414="","",班表!$A19)</f>
        <v/>
      </c>
      <c r="D414" s="29">
        <f>IF($C414="","",班表!$B19)</f>
        <v/>
      </c>
      <c r="E414" s="29">
        <f>IF($C414="","",班表!$C19)</f>
        <v/>
      </c>
      <c r="F414" s="29">
        <f>IF($C414="","",班表!L19)</f>
        <v/>
      </c>
      <c r="G414" s="31">
        <f>IF($F414="","",IFERROR(INDEX(設定!$D$5:$D$20,MATCH($F414,設定!$B$5:$B$20,0)),""))</f>
        <v/>
      </c>
      <c r="H414" s="31">
        <f>IF($F414="","",IFERROR(INDEX(設定!$E$5:$E$20,MATCH($F414,設定!$B$5:$B$20,0)),""))</f>
        <v/>
      </c>
      <c r="I414" s="31">
        <f>IFERROR(INDEX(打卡匯入!$C$3:$C$1002,MATCH($C414&amp;"|"&amp;DAY($A414),打卡匯入!$E$3:$E$1002,0)),"")</f>
        <v/>
      </c>
      <c r="J414" s="31">
        <f>IFERROR(INDEX(打卡匯入!$D$3:$D$1002,MATCH($C414&amp;"|"&amp;DAY($A414),打卡匯入!$E$3:$E$1002,0)),"")</f>
        <v/>
      </c>
      <c r="K414" s="32">
        <f>IF(OR($I414="",$J414=""),"",IFERROR(INDEX(設定!$F$5:$F$20,MATCH($F414,設定!$B$5:$B$20,0)),0))</f>
        <v/>
      </c>
      <c r="L414" s="33">
        <f>IF(OR($I414="",$J414=""),"",ROUND(($J414-$I414)*24-$K414/60,2))</f>
        <v/>
      </c>
      <c r="M414" s="29">
        <f>IF($C414="","",IF(AND(COUNTIF(設定!$B$14:$B$20,$F414)&gt;0,$I414&lt;&gt;""),"假日出勤",IF(AND(COUNTIF(設定!$B$5:$B$13,$F414)&gt;0,$I414=""),"未打卡",IF($I414="","",IF($N414&gt;0,"遲到",IF($O414&gt;0,"早退","正常"))))))</f>
        <v/>
      </c>
      <c r="N414" s="32">
        <f>IF(OR($C414="",$G414="",$I414=""),0,IF(ROUND(($I414-$G414)*1440,0)&gt;設定!$C$28,ROUND(($I414-$G414)*1440,0),0))</f>
        <v/>
      </c>
      <c r="O414" s="32">
        <f>IF(OR($C414="",$H414="",$J414=""),0,IF(ROUND(($H414-$J414)*1440,0)&gt;設定!$C$28,ROUND(($H414-$J414)*1440,0),0))</f>
        <v/>
      </c>
      <c r="P414" s="33">
        <f>IF($L414="",0,IF(($L414-IFERROR(INDEX(設定!$G$5:$G$20,MATCH($F414,設定!$B$5:$B$20,0)),0))*60&gt;=設定!$C$26,ROUND(FLOOR(($L414-IFERROR(INDEX(設定!$G$5:$G$20,MATCH($F414,設定!$B$5:$B$20,0)),0))*60,設定!$C$27)/60,2),0))</f>
        <v/>
      </c>
      <c r="Q414" s="29">
        <f>IF(OR($C414="",$P414=0),"",IF($F414="國","國定假日",IF($B414="日","例假",IF($B414="六","休息日","平日"))))</f>
        <v/>
      </c>
      <c r="R414" s="34" t="n"/>
    </row>
    <row r="415">
      <c r="A415" s="30">
        <f>IF(OR(班表!$A19="",10&gt;DAY(EOMONTH(DATE(班表!$E$2,班表!$G$2,1),0))),"",DATE(班表!$E$2,班表!$G$2,10))</f>
        <v/>
      </c>
      <c r="B415" s="29">
        <f>IF($A415="","",INDEX(設定!$L$5:$L$11,WEEKDAY($A415,1)))</f>
        <v/>
      </c>
      <c r="C415" s="29">
        <f>IF($A415="","",班表!$A19)</f>
        <v/>
      </c>
      <c r="D415" s="29">
        <f>IF($C415="","",班表!$B19)</f>
        <v/>
      </c>
      <c r="E415" s="29">
        <f>IF($C415="","",班表!$C19)</f>
        <v/>
      </c>
      <c r="F415" s="29">
        <f>IF($C415="","",班表!M19)</f>
        <v/>
      </c>
      <c r="G415" s="31">
        <f>IF($F415="","",IFERROR(INDEX(設定!$D$5:$D$20,MATCH($F415,設定!$B$5:$B$20,0)),""))</f>
        <v/>
      </c>
      <c r="H415" s="31">
        <f>IF($F415="","",IFERROR(INDEX(設定!$E$5:$E$20,MATCH($F415,設定!$B$5:$B$20,0)),""))</f>
        <v/>
      </c>
      <c r="I415" s="31">
        <f>IFERROR(INDEX(打卡匯入!$C$3:$C$1002,MATCH($C415&amp;"|"&amp;DAY($A415),打卡匯入!$E$3:$E$1002,0)),"")</f>
        <v/>
      </c>
      <c r="J415" s="31">
        <f>IFERROR(INDEX(打卡匯入!$D$3:$D$1002,MATCH($C415&amp;"|"&amp;DAY($A415),打卡匯入!$E$3:$E$1002,0)),"")</f>
        <v/>
      </c>
      <c r="K415" s="32">
        <f>IF(OR($I415="",$J415=""),"",IFERROR(INDEX(設定!$F$5:$F$20,MATCH($F415,設定!$B$5:$B$20,0)),0))</f>
        <v/>
      </c>
      <c r="L415" s="33">
        <f>IF(OR($I415="",$J415=""),"",ROUND(($J415-$I415)*24-$K415/60,2))</f>
        <v/>
      </c>
      <c r="M415" s="29">
        <f>IF($C415="","",IF(AND(COUNTIF(設定!$B$14:$B$20,$F415)&gt;0,$I415&lt;&gt;""),"假日出勤",IF(AND(COUNTIF(設定!$B$5:$B$13,$F415)&gt;0,$I415=""),"未打卡",IF($I415="","",IF($N415&gt;0,"遲到",IF($O415&gt;0,"早退","正常"))))))</f>
        <v/>
      </c>
      <c r="N415" s="32">
        <f>IF(OR($C415="",$G415="",$I415=""),0,IF(ROUND(($I415-$G415)*1440,0)&gt;設定!$C$28,ROUND(($I415-$G415)*1440,0),0))</f>
        <v/>
      </c>
      <c r="O415" s="32">
        <f>IF(OR($C415="",$H415="",$J415=""),0,IF(ROUND(($H415-$J415)*1440,0)&gt;設定!$C$28,ROUND(($H415-$J415)*1440,0),0))</f>
        <v/>
      </c>
      <c r="P415" s="33">
        <f>IF($L415="",0,IF(($L415-IFERROR(INDEX(設定!$G$5:$G$20,MATCH($F415,設定!$B$5:$B$20,0)),0))*60&gt;=設定!$C$26,ROUND(FLOOR(($L415-IFERROR(INDEX(設定!$G$5:$G$20,MATCH($F415,設定!$B$5:$B$20,0)),0))*60,設定!$C$27)/60,2),0))</f>
        <v/>
      </c>
      <c r="Q415" s="29">
        <f>IF(OR($C415="",$P415=0),"",IF($F415="國","國定假日",IF($B415="日","例假",IF($B415="六","休息日","平日"))))</f>
        <v/>
      </c>
      <c r="R415" s="34" t="n"/>
    </row>
    <row r="416">
      <c r="A416" s="30">
        <f>IF(OR(班表!$A19="",11&gt;DAY(EOMONTH(DATE(班表!$E$2,班表!$G$2,1),0))),"",DATE(班表!$E$2,班表!$G$2,11))</f>
        <v/>
      </c>
      <c r="B416" s="29">
        <f>IF($A416="","",INDEX(設定!$L$5:$L$11,WEEKDAY($A416,1)))</f>
        <v/>
      </c>
      <c r="C416" s="29">
        <f>IF($A416="","",班表!$A19)</f>
        <v/>
      </c>
      <c r="D416" s="29">
        <f>IF($C416="","",班表!$B19)</f>
        <v/>
      </c>
      <c r="E416" s="29">
        <f>IF($C416="","",班表!$C19)</f>
        <v/>
      </c>
      <c r="F416" s="29">
        <f>IF($C416="","",班表!N19)</f>
        <v/>
      </c>
      <c r="G416" s="31">
        <f>IF($F416="","",IFERROR(INDEX(設定!$D$5:$D$20,MATCH($F416,設定!$B$5:$B$20,0)),""))</f>
        <v/>
      </c>
      <c r="H416" s="31">
        <f>IF($F416="","",IFERROR(INDEX(設定!$E$5:$E$20,MATCH($F416,設定!$B$5:$B$20,0)),""))</f>
        <v/>
      </c>
      <c r="I416" s="31">
        <f>IFERROR(INDEX(打卡匯入!$C$3:$C$1002,MATCH($C416&amp;"|"&amp;DAY($A416),打卡匯入!$E$3:$E$1002,0)),"")</f>
        <v/>
      </c>
      <c r="J416" s="31">
        <f>IFERROR(INDEX(打卡匯入!$D$3:$D$1002,MATCH($C416&amp;"|"&amp;DAY($A416),打卡匯入!$E$3:$E$1002,0)),"")</f>
        <v/>
      </c>
      <c r="K416" s="32">
        <f>IF(OR($I416="",$J416=""),"",IFERROR(INDEX(設定!$F$5:$F$20,MATCH($F416,設定!$B$5:$B$20,0)),0))</f>
        <v/>
      </c>
      <c r="L416" s="33">
        <f>IF(OR($I416="",$J416=""),"",ROUND(($J416-$I416)*24-$K416/60,2))</f>
        <v/>
      </c>
      <c r="M416" s="29">
        <f>IF($C416="","",IF(AND(COUNTIF(設定!$B$14:$B$20,$F416)&gt;0,$I416&lt;&gt;""),"假日出勤",IF(AND(COUNTIF(設定!$B$5:$B$13,$F416)&gt;0,$I416=""),"未打卡",IF($I416="","",IF($N416&gt;0,"遲到",IF($O416&gt;0,"早退","正常"))))))</f>
        <v/>
      </c>
      <c r="N416" s="32">
        <f>IF(OR($C416="",$G416="",$I416=""),0,IF(ROUND(($I416-$G416)*1440,0)&gt;設定!$C$28,ROUND(($I416-$G416)*1440,0),0))</f>
        <v/>
      </c>
      <c r="O416" s="32">
        <f>IF(OR($C416="",$H416="",$J416=""),0,IF(ROUND(($H416-$J416)*1440,0)&gt;設定!$C$28,ROUND(($H416-$J416)*1440,0),0))</f>
        <v/>
      </c>
      <c r="P416" s="33">
        <f>IF($L416="",0,IF(($L416-IFERROR(INDEX(設定!$G$5:$G$20,MATCH($F416,設定!$B$5:$B$20,0)),0))*60&gt;=設定!$C$26,ROUND(FLOOR(($L416-IFERROR(INDEX(設定!$G$5:$G$20,MATCH($F416,設定!$B$5:$B$20,0)),0))*60,設定!$C$27)/60,2),0))</f>
        <v/>
      </c>
      <c r="Q416" s="29">
        <f>IF(OR($C416="",$P416=0),"",IF($F416="國","國定假日",IF($B416="日","例假",IF($B416="六","休息日","平日"))))</f>
        <v/>
      </c>
      <c r="R416" s="34" t="n"/>
    </row>
    <row r="417">
      <c r="A417" s="30">
        <f>IF(OR(班表!$A19="",12&gt;DAY(EOMONTH(DATE(班表!$E$2,班表!$G$2,1),0))),"",DATE(班表!$E$2,班表!$G$2,12))</f>
        <v/>
      </c>
      <c r="B417" s="29">
        <f>IF($A417="","",INDEX(設定!$L$5:$L$11,WEEKDAY($A417,1)))</f>
        <v/>
      </c>
      <c r="C417" s="29">
        <f>IF($A417="","",班表!$A19)</f>
        <v/>
      </c>
      <c r="D417" s="29">
        <f>IF($C417="","",班表!$B19)</f>
        <v/>
      </c>
      <c r="E417" s="29">
        <f>IF($C417="","",班表!$C19)</f>
        <v/>
      </c>
      <c r="F417" s="29">
        <f>IF($C417="","",班表!O19)</f>
        <v/>
      </c>
      <c r="G417" s="31">
        <f>IF($F417="","",IFERROR(INDEX(設定!$D$5:$D$20,MATCH($F417,設定!$B$5:$B$20,0)),""))</f>
        <v/>
      </c>
      <c r="H417" s="31">
        <f>IF($F417="","",IFERROR(INDEX(設定!$E$5:$E$20,MATCH($F417,設定!$B$5:$B$20,0)),""))</f>
        <v/>
      </c>
      <c r="I417" s="31">
        <f>IFERROR(INDEX(打卡匯入!$C$3:$C$1002,MATCH($C417&amp;"|"&amp;DAY($A417),打卡匯入!$E$3:$E$1002,0)),"")</f>
        <v/>
      </c>
      <c r="J417" s="31">
        <f>IFERROR(INDEX(打卡匯入!$D$3:$D$1002,MATCH($C417&amp;"|"&amp;DAY($A417),打卡匯入!$E$3:$E$1002,0)),"")</f>
        <v/>
      </c>
      <c r="K417" s="32">
        <f>IF(OR($I417="",$J417=""),"",IFERROR(INDEX(設定!$F$5:$F$20,MATCH($F417,設定!$B$5:$B$20,0)),0))</f>
        <v/>
      </c>
      <c r="L417" s="33">
        <f>IF(OR($I417="",$J417=""),"",ROUND(($J417-$I417)*24-$K417/60,2))</f>
        <v/>
      </c>
      <c r="M417" s="29">
        <f>IF($C417="","",IF(AND(COUNTIF(設定!$B$14:$B$20,$F417)&gt;0,$I417&lt;&gt;""),"假日出勤",IF(AND(COUNTIF(設定!$B$5:$B$13,$F417)&gt;0,$I417=""),"未打卡",IF($I417="","",IF($N417&gt;0,"遲到",IF($O417&gt;0,"早退","正常"))))))</f>
        <v/>
      </c>
      <c r="N417" s="32">
        <f>IF(OR($C417="",$G417="",$I417=""),0,IF(ROUND(($I417-$G417)*1440,0)&gt;設定!$C$28,ROUND(($I417-$G417)*1440,0),0))</f>
        <v/>
      </c>
      <c r="O417" s="32">
        <f>IF(OR($C417="",$H417="",$J417=""),0,IF(ROUND(($H417-$J417)*1440,0)&gt;設定!$C$28,ROUND(($H417-$J417)*1440,0),0))</f>
        <v/>
      </c>
      <c r="P417" s="33">
        <f>IF($L417="",0,IF(($L417-IFERROR(INDEX(設定!$G$5:$G$20,MATCH($F417,設定!$B$5:$B$20,0)),0))*60&gt;=設定!$C$26,ROUND(FLOOR(($L417-IFERROR(INDEX(設定!$G$5:$G$20,MATCH($F417,設定!$B$5:$B$20,0)),0))*60,設定!$C$27)/60,2),0))</f>
        <v/>
      </c>
      <c r="Q417" s="29">
        <f>IF(OR($C417="",$P417=0),"",IF($F417="國","國定假日",IF($B417="日","例假",IF($B417="六","休息日","平日"))))</f>
        <v/>
      </c>
      <c r="R417" s="34" t="n"/>
    </row>
    <row r="418">
      <c r="A418" s="30">
        <f>IF(OR(班表!$A19="",13&gt;DAY(EOMONTH(DATE(班表!$E$2,班表!$G$2,1),0))),"",DATE(班表!$E$2,班表!$G$2,13))</f>
        <v/>
      </c>
      <c r="B418" s="29">
        <f>IF($A418="","",INDEX(設定!$L$5:$L$11,WEEKDAY($A418,1)))</f>
        <v/>
      </c>
      <c r="C418" s="29">
        <f>IF($A418="","",班表!$A19)</f>
        <v/>
      </c>
      <c r="D418" s="29">
        <f>IF($C418="","",班表!$B19)</f>
        <v/>
      </c>
      <c r="E418" s="29">
        <f>IF($C418="","",班表!$C19)</f>
        <v/>
      </c>
      <c r="F418" s="29">
        <f>IF($C418="","",班表!P19)</f>
        <v/>
      </c>
      <c r="G418" s="31">
        <f>IF($F418="","",IFERROR(INDEX(設定!$D$5:$D$20,MATCH($F418,設定!$B$5:$B$20,0)),""))</f>
        <v/>
      </c>
      <c r="H418" s="31">
        <f>IF($F418="","",IFERROR(INDEX(設定!$E$5:$E$20,MATCH($F418,設定!$B$5:$B$20,0)),""))</f>
        <v/>
      </c>
      <c r="I418" s="31">
        <f>IFERROR(INDEX(打卡匯入!$C$3:$C$1002,MATCH($C418&amp;"|"&amp;DAY($A418),打卡匯入!$E$3:$E$1002,0)),"")</f>
        <v/>
      </c>
      <c r="J418" s="31">
        <f>IFERROR(INDEX(打卡匯入!$D$3:$D$1002,MATCH($C418&amp;"|"&amp;DAY($A418),打卡匯入!$E$3:$E$1002,0)),"")</f>
        <v/>
      </c>
      <c r="K418" s="32">
        <f>IF(OR($I418="",$J418=""),"",IFERROR(INDEX(設定!$F$5:$F$20,MATCH($F418,設定!$B$5:$B$20,0)),0))</f>
        <v/>
      </c>
      <c r="L418" s="33">
        <f>IF(OR($I418="",$J418=""),"",ROUND(($J418-$I418)*24-$K418/60,2))</f>
        <v/>
      </c>
      <c r="M418" s="29">
        <f>IF($C418="","",IF(AND(COUNTIF(設定!$B$14:$B$20,$F418)&gt;0,$I418&lt;&gt;""),"假日出勤",IF(AND(COUNTIF(設定!$B$5:$B$13,$F418)&gt;0,$I418=""),"未打卡",IF($I418="","",IF($N418&gt;0,"遲到",IF($O418&gt;0,"早退","正常"))))))</f>
        <v/>
      </c>
      <c r="N418" s="32">
        <f>IF(OR($C418="",$G418="",$I418=""),0,IF(ROUND(($I418-$G418)*1440,0)&gt;設定!$C$28,ROUND(($I418-$G418)*1440,0),0))</f>
        <v/>
      </c>
      <c r="O418" s="32">
        <f>IF(OR($C418="",$H418="",$J418=""),0,IF(ROUND(($H418-$J418)*1440,0)&gt;設定!$C$28,ROUND(($H418-$J418)*1440,0),0))</f>
        <v/>
      </c>
      <c r="P418" s="33">
        <f>IF($L418="",0,IF(($L418-IFERROR(INDEX(設定!$G$5:$G$20,MATCH($F418,設定!$B$5:$B$20,0)),0))*60&gt;=設定!$C$26,ROUND(FLOOR(($L418-IFERROR(INDEX(設定!$G$5:$G$20,MATCH($F418,設定!$B$5:$B$20,0)),0))*60,設定!$C$27)/60,2),0))</f>
        <v/>
      </c>
      <c r="Q418" s="29">
        <f>IF(OR($C418="",$P418=0),"",IF($F418="國","國定假日",IF($B418="日","例假",IF($B418="六","休息日","平日"))))</f>
        <v/>
      </c>
      <c r="R418" s="34" t="n"/>
    </row>
    <row r="419">
      <c r="A419" s="30">
        <f>IF(OR(班表!$A19="",14&gt;DAY(EOMONTH(DATE(班表!$E$2,班表!$G$2,1),0))),"",DATE(班表!$E$2,班表!$G$2,14))</f>
        <v/>
      </c>
      <c r="B419" s="29">
        <f>IF($A419="","",INDEX(設定!$L$5:$L$11,WEEKDAY($A419,1)))</f>
        <v/>
      </c>
      <c r="C419" s="29">
        <f>IF($A419="","",班表!$A19)</f>
        <v/>
      </c>
      <c r="D419" s="29">
        <f>IF($C419="","",班表!$B19)</f>
        <v/>
      </c>
      <c r="E419" s="29">
        <f>IF($C419="","",班表!$C19)</f>
        <v/>
      </c>
      <c r="F419" s="29">
        <f>IF($C419="","",班表!Q19)</f>
        <v/>
      </c>
      <c r="G419" s="31">
        <f>IF($F419="","",IFERROR(INDEX(設定!$D$5:$D$20,MATCH($F419,設定!$B$5:$B$20,0)),""))</f>
        <v/>
      </c>
      <c r="H419" s="31">
        <f>IF($F419="","",IFERROR(INDEX(設定!$E$5:$E$20,MATCH($F419,設定!$B$5:$B$20,0)),""))</f>
        <v/>
      </c>
      <c r="I419" s="31">
        <f>IFERROR(INDEX(打卡匯入!$C$3:$C$1002,MATCH($C419&amp;"|"&amp;DAY($A419),打卡匯入!$E$3:$E$1002,0)),"")</f>
        <v/>
      </c>
      <c r="J419" s="31">
        <f>IFERROR(INDEX(打卡匯入!$D$3:$D$1002,MATCH($C419&amp;"|"&amp;DAY($A419),打卡匯入!$E$3:$E$1002,0)),"")</f>
        <v/>
      </c>
      <c r="K419" s="32">
        <f>IF(OR($I419="",$J419=""),"",IFERROR(INDEX(設定!$F$5:$F$20,MATCH($F419,設定!$B$5:$B$20,0)),0))</f>
        <v/>
      </c>
      <c r="L419" s="33">
        <f>IF(OR($I419="",$J419=""),"",ROUND(($J419-$I419)*24-$K419/60,2))</f>
        <v/>
      </c>
      <c r="M419" s="29">
        <f>IF($C419="","",IF(AND(COUNTIF(設定!$B$14:$B$20,$F419)&gt;0,$I419&lt;&gt;""),"假日出勤",IF(AND(COUNTIF(設定!$B$5:$B$13,$F419)&gt;0,$I419=""),"未打卡",IF($I419="","",IF($N419&gt;0,"遲到",IF($O419&gt;0,"早退","正常"))))))</f>
        <v/>
      </c>
      <c r="N419" s="32">
        <f>IF(OR($C419="",$G419="",$I419=""),0,IF(ROUND(($I419-$G419)*1440,0)&gt;設定!$C$28,ROUND(($I419-$G419)*1440,0),0))</f>
        <v/>
      </c>
      <c r="O419" s="32">
        <f>IF(OR($C419="",$H419="",$J419=""),0,IF(ROUND(($H419-$J419)*1440,0)&gt;設定!$C$28,ROUND(($H419-$J419)*1440,0),0))</f>
        <v/>
      </c>
      <c r="P419" s="33">
        <f>IF($L419="",0,IF(($L419-IFERROR(INDEX(設定!$G$5:$G$20,MATCH($F419,設定!$B$5:$B$20,0)),0))*60&gt;=設定!$C$26,ROUND(FLOOR(($L419-IFERROR(INDEX(設定!$G$5:$G$20,MATCH($F419,設定!$B$5:$B$20,0)),0))*60,設定!$C$27)/60,2),0))</f>
        <v/>
      </c>
      <c r="Q419" s="29">
        <f>IF(OR($C419="",$P419=0),"",IF($F419="國","國定假日",IF($B419="日","例假",IF($B419="六","休息日","平日"))))</f>
        <v/>
      </c>
      <c r="R419" s="34" t="n"/>
    </row>
    <row r="420">
      <c r="A420" s="30">
        <f>IF(OR(班表!$A19="",15&gt;DAY(EOMONTH(DATE(班表!$E$2,班表!$G$2,1),0))),"",DATE(班表!$E$2,班表!$G$2,15))</f>
        <v/>
      </c>
      <c r="B420" s="29">
        <f>IF($A420="","",INDEX(設定!$L$5:$L$11,WEEKDAY($A420,1)))</f>
        <v/>
      </c>
      <c r="C420" s="29">
        <f>IF($A420="","",班表!$A19)</f>
        <v/>
      </c>
      <c r="D420" s="29">
        <f>IF($C420="","",班表!$B19)</f>
        <v/>
      </c>
      <c r="E420" s="29">
        <f>IF($C420="","",班表!$C19)</f>
        <v/>
      </c>
      <c r="F420" s="29">
        <f>IF($C420="","",班表!R19)</f>
        <v/>
      </c>
      <c r="G420" s="31">
        <f>IF($F420="","",IFERROR(INDEX(設定!$D$5:$D$20,MATCH($F420,設定!$B$5:$B$20,0)),""))</f>
        <v/>
      </c>
      <c r="H420" s="31">
        <f>IF($F420="","",IFERROR(INDEX(設定!$E$5:$E$20,MATCH($F420,設定!$B$5:$B$20,0)),""))</f>
        <v/>
      </c>
      <c r="I420" s="31">
        <f>IFERROR(INDEX(打卡匯入!$C$3:$C$1002,MATCH($C420&amp;"|"&amp;DAY($A420),打卡匯入!$E$3:$E$1002,0)),"")</f>
        <v/>
      </c>
      <c r="J420" s="31">
        <f>IFERROR(INDEX(打卡匯入!$D$3:$D$1002,MATCH($C420&amp;"|"&amp;DAY($A420),打卡匯入!$E$3:$E$1002,0)),"")</f>
        <v/>
      </c>
      <c r="K420" s="32">
        <f>IF(OR($I420="",$J420=""),"",IFERROR(INDEX(設定!$F$5:$F$20,MATCH($F420,設定!$B$5:$B$20,0)),0))</f>
        <v/>
      </c>
      <c r="L420" s="33">
        <f>IF(OR($I420="",$J420=""),"",ROUND(($J420-$I420)*24-$K420/60,2))</f>
        <v/>
      </c>
      <c r="M420" s="29">
        <f>IF($C420="","",IF(AND(COUNTIF(設定!$B$14:$B$20,$F420)&gt;0,$I420&lt;&gt;""),"假日出勤",IF(AND(COUNTIF(設定!$B$5:$B$13,$F420)&gt;0,$I420=""),"未打卡",IF($I420="","",IF($N420&gt;0,"遲到",IF($O420&gt;0,"早退","正常"))))))</f>
        <v/>
      </c>
      <c r="N420" s="32">
        <f>IF(OR($C420="",$G420="",$I420=""),0,IF(ROUND(($I420-$G420)*1440,0)&gt;設定!$C$28,ROUND(($I420-$G420)*1440,0),0))</f>
        <v/>
      </c>
      <c r="O420" s="32">
        <f>IF(OR($C420="",$H420="",$J420=""),0,IF(ROUND(($H420-$J420)*1440,0)&gt;設定!$C$28,ROUND(($H420-$J420)*1440,0),0))</f>
        <v/>
      </c>
      <c r="P420" s="33">
        <f>IF($L420="",0,IF(($L420-IFERROR(INDEX(設定!$G$5:$G$20,MATCH($F420,設定!$B$5:$B$20,0)),0))*60&gt;=設定!$C$26,ROUND(FLOOR(($L420-IFERROR(INDEX(設定!$G$5:$G$20,MATCH($F420,設定!$B$5:$B$20,0)),0))*60,設定!$C$27)/60,2),0))</f>
        <v/>
      </c>
      <c r="Q420" s="29">
        <f>IF(OR($C420="",$P420=0),"",IF($F420="國","國定假日",IF($B420="日","例假",IF($B420="六","休息日","平日"))))</f>
        <v/>
      </c>
      <c r="R420" s="34" t="n"/>
    </row>
    <row r="421">
      <c r="A421" s="30">
        <f>IF(OR(班表!$A19="",16&gt;DAY(EOMONTH(DATE(班表!$E$2,班表!$G$2,1),0))),"",DATE(班表!$E$2,班表!$G$2,16))</f>
        <v/>
      </c>
      <c r="B421" s="29">
        <f>IF($A421="","",INDEX(設定!$L$5:$L$11,WEEKDAY($A421,1)))</f>
        <v/>
      </c>
      <c r="C421" s="29">
        <f>IF($A421="","",班表!$A19)</f>
        <v/>
      </c>
      <c r="D421" s="29">
        <f>IF($C421="","",班表!$B19)</f>
        <v/>
      </c>
      <c r="E421" s="29">
        <f>IF($C421="","",班表!$C19)</f>
        <v/>
      </c>
      <c r="F421" s="29">
        <f>IF($C421="","",班表!S19)</f>
        <v/>
      </c>
      <c r="G421" s="31">
        <f>IF($F421="","",IFERROR(INDEX(設定!$D$5:$D$20,MATCH($F421,設定!$B$5:$B$20,0)),""))</f>
        <v/>
      </c>
      <c r="H421" s="31">
        <f>IF($F421="","",IFERROR(INDEX(設定!$E$5:$E$20,MATCH($F421,設定!$B$5:$B$20,0)),""))</f>
        <v/>
      </c>
      <c r="I421" s="31">
        <f>IFERROR(INDEX(打卡匯入!$C$3:$C$1002,MATCH($C421&amp;"|"&amp;DAY($A421),打卡匯入!$E$3:$E$1002,0)),"")</f>
        <v/>
      </c>
      <c r="J421" s="31">
        <f>IFERROR(INDEX(打卡匯入!$D$3:$D$1002,MATCH($C421&amp;"|"&amp;DAY($A421),打卡匯入!$E$3:$E$1002,0)),"")</f>
        <v/>
      </c>
      <c r="K421" s="32">
        <f>IF(OR($I421="",$J421=""),"",IFERROR(INDEX(設定!$F$5:$F$20,MATCH($F421,設定!$B$5:$B$20,0)),0))</f>
        <v/>
      </c>
      <c r="L421" s="33">
        <f>IF(OR($I421="",$J421=""),"",ROUND(($J421-$I421)*24-$K421/60,2))</f>
        <v/>
      </c>
      <c r="M421" s="29">
        <f>IF($C421="","",IF(AND(COUNTIF(設定!$B$14:$B$20,$F421)&gt;0,$I421&lt;&gt;""),"假日出勤",IF(AND(COUNTIF(設定!$B$5:$B$13,$F421)&gt;0,$I421=""),"未打卡",IF($I421="","",IF($N421&gt;0,"遲到",IF($O421&gt;0,"早退","正常"))))))</f>
        <v/>
      </c>
      <c r="N421" s="32">
        <f>IF(OR($C421="",$G421="",$I421=""),0,IF(ROUND(($I421-$G421)*1440,0)&gt;設定!$C$28,ROUND(($I421-$G421)*1440,0),0))</f>
        <v/>
      </c>
      <c r="O421" s="32">
        <f>IF(OR($C421="",$H421="",$J421=""),0,IF(ROUND(($H421-$J421)*1440,0)&gt;設定!$C$28,ROUND(($H421-$J421)*1440,0),0))</f>
        <v/>
      </c>
      <c r="P421" s="33">
        <f>IF($L421="",0,IF(($L421-IFERROR(INDEX(設定!$G$5:$G$20,MATCH($F421,設定!$B$5:$B$20,0)),0))*60&gt;=設定!$C$26,ROUND(FLOOR(($L421-IFERROR(INDEX(設定!$G$5:$G$20,MATCH($F421,設定!$B$5:$B$20,0)),0))*60,設定!$C$27)/60,2),0))</f>
        <v/>
      </c>
      <c r="Q421" s="29">
        <f>IF(OR($C421="",$P421=0),"",IF($F421="國","國定假日",IF($B421="日","例假",IF($B421="六","休息日","平日"))))</f>
        <v/>
      </c>
      <c r="R421" s="34" t="n"/>
    </row>
    <row r="422">
      <c r="A422" s="30">
        <f>IF(OR(班表!$A19="",17&gt;DAY(EOMONTH(DATE(班表!$E$2,班表!$G$2,1),0))),"",DATE(班表!$E$2,班表!$G$2,17))</f>
        <v/>
      </c>
      <c r="B422" s="29">
        <f>IF($A422="","",INDEX(設定!$L$5:$L$11,WEEKDAY($A422,1)))</f>
        <v/>
      </c>
      <c r="C422" s="29">
        <f>IF($A422="","",班表!$A19)</f>
        <v/>
      </c>
      <c r="D422" s="29">
        <f>IF($C422="","",班表!$B19)</f>
        <v/>
      </c>
      <c r="E422" s="29">
        <f>IF($C422="","",班表!$C19)</f>
        <v/>
      </c>
      <c r="F422" s="29">
        <f>IF($C422="","",班表!T19)</f>
        <v/>
      </c>
      <c r="G422" s="31">
        <f>IF($F422="","",IFERROR(INDEX(設定!$D$5:$D$20,MATCH($F422,設定!$B$5:$B$20,0)),""))</f>
        <v/>
      </c>
      <c r="H422" s="31">
        <f>IF($F422="","",IFERROR(INDEX(設定!$E$5:$E$20,MATCH($F422,設定!$B$5:$B$20,0)),""))</f>
        <v/>
      </c>
      <c r="I422" s="31">
        <f>IFERROR(INDEX(打卡匯入!$C$3:$C$1002,MATCH($C422&amp;"|"&amp;DAY($A422),打卡匯入!$E$3:$E$1002,0)),"")</f>
        <v/>
      </c>
      <c r="J422" s="31">
        <f>IFERROR(INDEX(打卡匯入!$D$3:$D$1002,MATCH($C422&amp;"|"&amp;DAY($A422),打卡匯入!$E$3:$E$1002,0)),"")</f>
        <v/>
      </c>
      <c r="K422" s="32">
        <f>IF(OR($I422="",$J422=""),"",IFERROR(INDEX(設定!$F$5:$F$20,MATCH($F422,設定!$B$5:$B$20,0)),0))</f>
        <v/>
      </c>
      <c r="L422" s="33">
        <f>IF(OR($I422="",$J422=""),"",ROUND(($J422-$I422)*24-$K422/60,2))</f>
        <v/>
      </c>
      <c r="M422" s="29">
        <f>IF($C422="","",IF(AND(COUNTIF(設定!$B$14:$B$20,$F422)&gt;0,$I422&lt;&gt;""),"假日出勤",IF(AND(COUNTIF(設定!$B$5:$B$13,$F422)&gt;0,$I422=""),"未打卡",IF($I422="","",IF($N422&gt;0,"遲到",IF($O422&gt;0,"早退","正常"))))))</f>
        <v/>
      </c>
      <c r="N422" s="32">
        <f>IF(OR($C422="",$G422="",$I422=""),0,IF(ROUND(($I422-$G422)*1440,0)&gt;設定!$C$28,ROUND(($I422-$G422)*1440,0),0))</f>
        <v/>
      </c>
      <c r="O422" s="32">
        <f>IF(OR($C422="",$H422="",$J422=""),0,IF(ROUND(($H422-$J422)*1440,0)&gt;設定!$C$28,ROUND(($H422-$J422)*1440,0),0))</f>
        <v/>
      </c>
      <c r="P422" s="33">
        <f>IF($L422="",0,IF(($L422-IFERROR(INDEX(設定!$G$5:$G$20,MATCH($F422,設定!$B$5:$B$20,0)),0))*60&gt;=設定!$C$26,ROUND(FLOOR(($L422-IFERROR(INDEX(設定!$G$5:$G$20,MATCH($F422,設定!$B$5:$B$20,0)),0))*60,設定!$C$27)/60,2),0))</f>
        <v/>
      </c>
      <c r="Q422" s="29">
        <f>IF(OR($C422="",$P422=0),"",IF($F422="國","國定假日",IF($B422="日","例假",IF($B422="六","休息日","平日"))))</f>
        <v/>
      </c>
      <c r="R422" s="34" t="n"/>
    </row>
    <row r="423">
      <c r="A423" s="30">
        <f>IF(OR(班表!$A19="",18&gt;DAY(EOMONTH(DATE(班表!$E$2,班表!$G$2,1),0))),"",DATE(班表!$E$2,班表!$G$2,18))</f>
        <v/>
      </c>
      <c r="B423" s="29">
        <f>IF($A423="","",INDEX(設定!$L$5:$L$11,WEEKDAY($A423,1)))</f>
        <v/>
      </c>
      <c r="C423" s="29">
        <f>IF($A423="","",班表!$A19)</f>
        <v/>
      </c>
      <c r="D423" s="29">
        <f>IF($C423="","",班表!$B19)</f>
        <v/>
      </c>
      <c r="E423" s="29">
        <f>IF($C423="","",班表!$C19)</f>
        <v/>
      </c>
      <c r="F423" s="29">
        <f>IF($C423="","",班表!U19)</f>
        <v/>
      </c>
      <c r="G423" s="31">
        <f>IF($F423="","",IFERROR(INDEX(設定!$D$5:$D$20,MATCH($F423,設定!$B$5:$B$20,0)),""))</f>
        <v/>
      </c>
      <c r="H423" s="31">
        <f>IF($F423="","",IFERROR(INDEX(設定!$E$5:$E$20,MATCH($F423,設定!$B$5:$B$20,0)),""))</f>
        <v/>
      </c>
      <c r="I423" s="31">
        <f>IFERROR(INDEX(打卡匯入!$C$3:$C$1002,MATCH($C423&amp;"|"&amp;DAY($A423),打卡匯入!$E$3:$E$1002,0)),"")</f>
        <v/>
      </c>
      <c r="J423" s="31">
        <f>IFERROR(INDEX(打卡匯入!$D$3:$D$1002,MATCH($C423&amp;"|"&amp;DAY($A423),打卡匯入!$E$3:$E$1002,0)),"")</f>
        <v/>
      </c>
      <c r="K423" s="32">
        <f>IF(OR($I423="",$J423=""),"",IFERROR(INDEX(設定!$F$5:$F$20,MATCH($F423,設定!$B$5:$B$20,0)),0))</f>
        <v/>
      </c>
      <c r="L423" s="33">
        <f>IF(OR($I423="",$J423=""),"",ROUND(($J423-$I423)*24-$K423/60,2))</f>
        <v/>
      </c>
      <c r="M423" s="29">
        <f>IF($C423="","",IF(AND(COUNTIF(設定!$B$14:$B$20,$F423)&gt;0,$I423&lt;&gt;""),"假日出勤",IF(AND(COUNTIF(設定!$B$5:$B$13,$F423)&gt;0,$I423=""),"未打卡",IF($I423="","",IF($N423&gt;0,"遲到",IF($O423&gt;0,"早退","正常"))))))</f>
        <v/>
      </c>
      <c r="N423" s="32">
        <f>IF(OR($C423="",$G423="",$I423=""),0,IF(ROUND(($I423-$G423)*1440,0)&gt;設定!$C$28,ROUND(($I423-$G423)*1440,0),0))</f>
        <v/>
      </c>
      <c r="O423" s="32">
        <f>IF(OR($C423="",$H423="",$J423=""),0,IF(ROUND(($H423-$J423)*1440,0)&gt;設定!$C$28,ROUND(($H423-$J423)*1440,0),0))</f>
        <v/>
      </c>
      <c r="P423" s="33">
        <f>IF($L423="",0,IF(($L423-IFERROR(INDEX(設定!$G$5:$G$20,MATCH($F423,設定!$B$5:$B$20,0)),0))*60&gt;=設定!$C$26,ROUND(FLOOR(($L423-IFERROR(INDEX(設定!$G$5:$G$20,MATCH($F423,設定!$B$5:$B$20,0)),0))*60,設定!$C$27)/60,2),0))</f>
        <v/>
      </c>
      <c r="Q423" s="29">
        <f>IF(OR($C423="",$P423=0),"",IF($F423="國","國定假日",IF($B423="日","例假",IF($B423="六","休息日","平日"))))</f>
        <v/>
      </c>
      <c r="R423" s="34" t="n"/>
    </row>
    <row r="424">
      <c r="A424" s="30">
        <f>IF(OR(班表!$A19="",19&gt;DAY(EOMONTH(DATE(班表!$E$2,班表!$G$2,1),0))),"",DATE(班表!$E$2,班表!$G$2,19))</f>
        <v/>
      </c>
      <c r="B424" s="29">
        <f>IF($A424="","",INDEX(設定!$L$5:$L$11,WEEKDAY($A424,1)))</f>
        <v/>
      </c>
      <c r="C424" s="29">
        <f>IF($A424="","",班表!$A19)</f>
        <v/>
      </c>
      <c r="D424" s="29">
        <f>IF($C424="","",班表!$B19)</f>
        <v/>
      </c>
      <c r="E424" s="29">
        <f>IF($C424="","",班表!$C19)</f>
        <v/>
      </c>
      <c r="F424" s="29">
        <f>IF($C424="","",班表!V19)</f>
        <v/>
      </c>
      <c r="G424" s="31">
        <f>IF($F424="","",IFERROR(INDEX(設定!$D$5:$D$20,MATCH($F424,設定!$B$5:$B$20,0)),""))</f>
        <v/>
      </c>
      <c r="H424" s="31">
        <f>IF($F424="","",IFERROR(INDEX(設定!$E$5:$E$20,MATCH($F424,設定!$B$5:$B$20,0)),""))</f>
        <v/>
      </c>
      <c r="I424" s="31">
        <f>IFERROR(INDEX(打卡匯入!$C$3:$C$1002,MATCH($C424&amp;"|"&amp;DAY($A424),打卡匯入!$E$3:$E$1002,0)),"")</f>
        <v/>
      </c>
      <c r="J424" s="31">
        <f>IFERROR(INDEX(打卡匯入!$D$3:$D$1002,MATCH($C424&amp;"|"&amp;DAY($A424),打卡匯入!$E$3:$E$1002,0)),"")</f>
        <v/>
      </c>
      <c r="K424" s="32">
        <f>IF(OR($I424="",$J424=""),"",IFERROR(INDEX(設定!$F$5:$F$20,MATCH($F424,設定!$B$5:$B$20,0)),0))</f>
        <v/>
      </c>
      <c r="L424" s="33">
        <f>IF(OR($I424="",$J424=""),"",ROUND(($J424-$I424)*24-$K424/60,2))</f>
        <v/>
      </c>
      <c r="M424" s="29">
        <f>IF($C424="","",IF(AND(COUNTIF(設定!$B$14:$B$20,$F424)&gt;0,$I424&lt;&gt;""),"假日出勤",IF(AND(COUNTIF(設定!$B$5:$B$13,$F424)&gt;0,$I424=""),"未打卡",IF($I424="","",IF($N424&gt;0,"遲到",IF($O424&gt;0,"早退","正常"))))))</f>
        <v/>
      </c>
      <c r="N424" s="32">
        <f>IF(OR($C424="",$G424="",$I424=""),0,IF(ROUND(($I424-$G424)*1440,0)&gt;設定!$C$28,ROUND(($I424-$G424)*1440,0),0))</f>
        <v/>
      </c>
      <c r="O424" s="32">
        <f>IF(OR($C424="",$H424="",$J424=""),0,IF(ROUND(($H424-$J424)*1440,0)&gt;設定!$C$28,ROUND(($H424-$J424)*1440,0),0))</f>
        <v/>
      </c>
      <c r="P424" s="33">
        <f>IF($L424="",0,IF(($L424-IFERROR(INDEX(設定!$G$5:$G$20,MATCH($F424,設定!$B$5:$B$20,0)),0))*60&gt;=設定!$C$26,ROUND(FLOOR(($L424-IFERROR(INDEX(設定!$G$5:$G$20,MATCH($F424,設定!$B$5:$B$20,0)),0))*60,設定!$C$27)/60,2),0))</f>
        <v/>
      </c>
      <c r="Q424" s="29">
        <f>IF(OR($C424="",$P424=0),"",IF($F424="國","國定假日",IF($B424="日","例假",IF($B424="六","休息日","平日"))))</f>
        <v/>
      </c>
      <c r="R424" s="34" t="n"/>
    </row>
    <row r="425">
      <c r="A425" s="30">
        <f>IF(OR(班表!$A19="",20&gt;DAY(EOMONTH(DATE(班表!$E$2,班表!$G$2,1),0))),"",DATE(班表!$E$2,班表!$G$2,20))</f>
        <v/>
      </c>
      <c r="B425" s="29">
        <f>IF($A425="","",INDEX(設定!$L$5:$L$11,WEEKDAY($A425,1)))</f>
        <v/>
      </c>
      <c r="C425" s="29">
        <f>IF($A425="","",班表!$A19)</f>
        <v/>
      </c>
      <c r="D425" s="29">
        <f>IF($C425="","",班表!$B19)</f>
        <v/>
      </c>
      <c r="E425" s="29">
        <f>IF($C425="","",班表!$C19)</f>
        <v/>
      </c>
      <c r="F425" s="29">
        <f>IF($C425="","",班表!W19)</f>
        <v/>
      </c>
      <c r="G425" s="31">
        <f>IF($F425="","",IFERROR(INDEX(設定!$D$5:$D$20,MATCH($F425,設定!$B$5:$B$20,0)),""))</f>
        <v/>
      </c>
      <c r="H425" s="31">
        <f>IF($F425="","",IFERROR(INDEX(設定!$E$5:$E$20,MATCH($F425,設定!$B$5:$B$20,0)),""))</f>
        <v/>
      </c>
      <c r="I425" s="31">
        <f>IFERROR(INDEX(打卡匯入!$C$3:$C$1002,MATCH($C425&amp;"|"&amp;DAY($A425),打卡匯入!$E$3:$E$1002,0)),"")</f>
        <v/>
      </c>
      <c r="J425" s="31">
        <f>IFERROR(INDEX(打卡匯入!$D$3:$D$1002,MATCH($C425&amp;"|"&amp;DAY($A425),打卡匯入!$E$3:$E$1002,0)),"")</f>
        <v/>
      </c>
      <c r="K425" s="32">
        <f>IF(OR($I425="",$J425=""),"",IFERROR(INDEX(設定!$F$5:$F$20,MATCH($F425,設定!$B$5:$B$20,0)),0))</f>
        <v/>
      </c>
      <c r="L425" s="33">
        <f>IF(OR($I425="",$J425=""),"",ROUND(($J425-$I425)*24-$K425/60,2))</f>
        <v/>
      </c>
      <c r="M425" s="29">
        <f>IF($C425="","",IF(AND(COUNTIF(設定!$B$14:$B$20,$F425)&gt;0,$I425&lt;&gt;""),"假日出勤",IF(AND(COUNTIF(設定!$B$5:$B$13,$F425)&gt;0,$I425=""),"未打卡",IF($I425="","",IF($N425&gt;0,"遲到",IF($O425&gt;0,"早退","正常"))))))</f>
        <v/>
      </c>
      <c r="N425" s="32">
        <f>IF(OR($C425="",$G425="",$I425=""),0,IF(ROUND(($I425-$G425)*1440,0)&gt;設定!$C$28,ROUND(($I425-$G425)*1440,0),0))</f>
        <v/>
      </c>
      <c r="O425" s="32">
        <f>IF(OR($C425="",$H425="",$J425=""),0,IF(ROUND(($H425-$J425)*1440,0)&gt;設定!$C$28,ROUND(($H425-$J425)*1440,0),0))</f>
        <v/>
      </c>
      <c r="P425" s="33">
        <f>IF($L425="",0,IF(($L425-IFERROR(INDEX(設定!$G$5:$G$20,MATCH($F425,設定!$B$5:$B$20,0)),0))*60&gt;=設定!$C$26,ROUND(FLOOR(($L425-IFERROR(INDEX(設定!$G$5:$G$20,MATCH($F425,設定!$B$5:$B$20,0)),0))*60,設定!$C$27)/60,2),0))</f>
        <v/>
      </c>
      <c r="Q425" s="29">
        <f>IF(OR($C425="",$P425=0),"",IF($F425="國","國定假日",IF($B425="日","例假",IF($B425="六","休息日","平日"))))</f>
        <v/>
      </c>
      <c r="R425" s="34" t="n"/>
    </row>
    <row r="426">
      <c r="A426" s="30">
        <f>IF(OR(班表!$A19="",21&gt;DAY(EOMONTH(DATE(班表!$E$2,班表!$G$2,1),0))),"",DATE(班表!$E$2,班表!$G$2,21))</f>
        <v/>
      </c>
      <c r="B426" s="29">
        <f>IF($A426="","",INDEX(設定!$L$5:$L$11,WEEKDAY($A426,1)))</f>
        <v/>
      </c>
      <c r="C426" s="29">
        <f>IF($A426="","",班表!$A19)</f>
        <v/>
      </c>
      <c r="D426" s="29">
        <f>IF($C426="","",班表!$B19)</f>
        <v/>
      </c>
      <c r="E426" s="29">
        <f>IF($C426="","",班表!$C19)</f>
        <v/>
      </c>
      <c r="F426" s="29">
        <f>IF($C426="","",班表!X19)</f>
        <v/>
      </c>
      <c r="G426" s="31">
        <f>IF($F426="","",IFERROR(INDEX(設定!$D$5:$D$20,MATCH($F426,設定!$B$5:$B$20,0)),""))</f>
        <v/>
      </c>
      <c r="H426" s="31">
        <f>IF($F426="","",IFERROR(INDEX(設定!$E$5:$E$20,MATCH($F426,設定!$B$5:$B$20,0)),""))</f>
        <v/>
      </c>
      <c r="I426" s="31">
        <f>IFERROR(INDEX(打卡匯入!$C$3:$C$1002,MATCH($C426&amp;"|"&amp;DAY($A426),打卡匯入!$E$3:$E$1002,0)),"")</f>
        <v/>
      </c>
      <c r="J426" s="31">
        <f>IFERROR(INDEX(打卡匯入!$D$3:$D$1002,MATCH($C426&amp;"|"&amp;DAY($A426),打卡匯入!$E$3:$E$1002,0)),"")</f>
        <v/>
      </c>
      <c r="K426" s="32">
        <f>IF(OR($I426="",$J426=""),"",IFERROR(INDEX(設定!$F$5:$F$20,MATCH($F426,設定!$B$5:$B$20,0)),0))</f>
        <v/>
      </c>
      <c r="L426" s="33">
        <f>IF(OR($I426="",$J426=""),"",ROUND(($J426-$I426)*24-$K426/60,2))</f>
        <v/>
      </c>
      <c r="M426" s="29">
        <f>IF($C426="","",IF(AND(COUNTIF(設定!$B$14:$B$20,$F426)&gt;0,$I426&lt;&gt;""),"假日出勤",IF(AND(COUNTIF(設定!$B$5:$B$13,$F426)&gt;0,$I426=""),"未打卡",IF($I426="","",IF($N426&gt;0,"遲到",IF($O426&gt;0,"早退","正常"))))))</f>
        <v/>
      </c>
      <c r="N426" s="32">
        <f>IF(OR($C426="",$G426="",$I426=""),0,IF(ROUND(($I426-$G426)*1440,0)&gt;設定!$C$28,ROUND(($I426-$G426)*1440,0),0))</f>
        <v/>
      </c>
      <c r="O426" s="32">
        <f>IF(OR($C426="",$H426="",$J426=""),0,IF(ROUND(($H426-$J426)*1440,0)&gt;設定!$C$28,ROUND(($H426-$J426)*1440,0),0))</f>
        <v/>
      </c>
      <c r="P426" s="33">
        <f>IF($L426="",0,IF(($L426-IFERROR(INDEX(設定!$G$5:$G$20,MATCH($F426,設定!$B$5:$B$20,0)),0))*60&gt;=設定!$C$26,ROUND(FLOOR(($L426-IFERROR(INDEX(設定!$G$5:$G$20,MATCH($F426,設定!$B$5:$B$20,0)),0))*60,設定!$C$27)/60,2),0))</f>
        <v/>
      </c>
      <c r="Q426" s="29">
        <f>IF(OR($C426="",$P426=0),"",IF($F426="國","國定假日",IF($B426="日","例假",IF($B426="六","休息日","平日"))))</f>
        <v/>
      </c>
      <c r="R426" s="34" t="n"/>
    </row>
    <row r="427">
      <c r="A427" s="30">
        <f>IF(OR(班表!$A19="",22&gt;DAY(EOMONTH(DATE(班表!$E$2,班表!$G$2,1),0))),"",DATE(班表!$E$2,班表!$G$2,22))</f>
        <v/>
      </c>
      <c r="B427" s="29">
        <f>IF($A427="","",INDEX(設定!$L$5:$L$11,WEEKDAY($A427,1)))</f>
        <v/>
      </c>
      <c r="C427" s="29">
        <f>IF($A427="","",班表!$A19)</f>
        <v/>
      </c>
      <c r="D427" s="29">
        <f>IF($C427="","",班表!$B19)</f>
        <v/>
      </c>
      <c r="E427" s="29">
        <f>IF($C427="","",班表!$C19)</f>
        <v/>
      </c>
      <c r="F427" s="29">
        <f>IF($C427="","",班表!Y19)</f>
        <v/>
      </c>
      <c r="G427" s="31">
        <f>IF($F427="","",IFERROR(INDEX(設定!$D$5:$D$20,MATCH($F427,設定!$B$5:$B$20,0)),""))</f>
        <v/>
      </c>
      <c r="H427" s="31">
        <f>IF($F427="","",IFERROR(INDEX(設定!$E$5:$E$20,MATCH($F427,設定!$B$5:$B$20,0)),""))</f>
        <v/>
      </c>
      <c r="I427" s="31">
        <f>IFERROR(INDEX(打卡匯入!$C$3:$C$1002,MATCH($C427&amp;"|"&amp;DAY($A427),打卡匯入!$E$3:$E$1002,0)),"")</f>
        <v/>
      </c>
      <c r="J427" s="31">
        <f>IFERROR(INDEX(打卡匯入!$D$3:$D$1002,MATCH($C427&amp;"|"&amp;DAY($A427),打卡匯入!$E$3:$E$1002,0)),"")</f>
        <v/>
      </c>
      <c r="K427" s="32">
        <f>IF(OR($I427="",$J427=""),"",IFERROR(INDEX(設定!$F$5:$F$20,MATCH($F427,設定!$B$5:$B$20,0)),0))</f>
        <v/>
      </c>
      <c r="L427" s="33">
        <f>IF(OR($I427="",$J427=""),"",ROUND(($J427-$I427)*24-$K427/60,2))</f>
        <v/>
      </c>
      <c r="M427" s="29">
        <f>IF($C427="","",IF(AND(COUNTIF(設定!$B$14:$B$20,$F427)&gt;0,$I427&lt;&gt;""),"假日出勤",IF(AND(COUNTIF(設定!$B$5:$B$13,$F427)&gt;0,$I427=""),"未打卡",IF($I427="","",IF($N427&gt;0,"遲到",IF($O427&gt;0,"早退","正常"))))))</f>
        <v/>
      </c>
      <c r="N427" s="32">
        <f>IF(OR($C427="",$G427="",$I427=""),0,IF(ROUND(($I427-$G427)*1440,0)&gt;設定!$C$28,ROUND(($I427-$G427)*1440,0),0))</f>
        <v/>
      </c>
      <c r="O427" s="32">
        <f>IF(OR($C427="",$H427="",$J427=""),0,IF(ROUND(($H427-$J427)*1440,0)&gt;設定!$C$28,ROUND(($H427-$J427)*1440,0),0))</f>
        <v/>
      </c>
      <c r="P427" s="33">
        <f>IF($L427="",0,IF(($L427-IFERROR(INDEX(設定!$G$5:$G$20,MATCH($F427,設定!$B$5:$B$20,0)),0))*60&gt;=設定!$C$26,ROUND(FLOOR(($L427-IFERROR(INDEX(設定!$G$5:$G$20,MATCH($F427,設定!$B$5:$B$20,0)),0))*60,設定!$C$27)/60,2),0))</f>
        <v/>
      </c>
      <c r="Q427" s="29">
        <f>IF(OR($C427="",$P427=0),"",IF($F427="國","國定假日",IF($B427="日","例假",IF($B427="六","休息日","平日"))))</f>
        <v/>
      </c>
      <c r="R427" s="34" t="n"/>
    </row>
    <row r="428">
      <c r="A428" s="30">
        <f>IF(OR(班表!$A19="",23&gt;DAY(EOMONTH(DATE(班表!$E$2,班表!$G$2,1),0))),"",DATE(班表!$E$2,班表!$G$2,23))</f>
        <v/>
      </c>
      <c r="B428" s="29">
        <f>IF($A428="","",INDEX(設定!$L$5:$L$11,WEEKDAY($A428,1)))</f>
        <v/>
      </c>
      <c r="C428" s="29">
        <f>IF($A428="","",班表!$A19)</f>
        <v/>
      </c>
      <c r="D428" s="29">
        <f>IF($C428="","",班表!$B19)</f>
        <v/>
      </c>
      <c r="E428" s="29">
        <f>IF($C428="","",班表!$C19)</f>
        <v/>
      </c>
      <c r="F428" s="29">
        <f>IF($C428="","",班表!Z19)</f>
        <v/>
      </c>
      <c r="G428" s="31">
        <f>IF($F428="","",IFERROR(INDEX(設定!$D$5:$D$20,MATCH($F428,設定!$B$5:$B$20,0)),""))</f>
        <v/>
      </c>
      <c r="H428" s="31">
        <f>IF($F428="","",IFERROR(INDEX(設定!$E$5:$E$20,MATCH($F428,設定!$B$5:$B$20,0)),""))</f>
        <v/>
      </c>
      <c r="I428" s="31">
        <f>IFERROR(INDEX(打卡匯入!$C$3:$C$1002,MATCH($C428&amp;"|"&amp;DAY($A428),打卡匯入!$E$3:$E$1002,0)),"")</f>
        <v/>
      </c>
      <c r="J428" s="31">
        <f>IFERROR(INDEX(打卡匯入!$D$3:$D$1002,MATCH($C428&amp;"|"&amp;DAY($A428),打卡匯入!$E$3:$E$1002,0)),"")</f>
        <v/>
      </c>
      <c r="K428" s="32">
        <f>IF(OR($I428="",$J428=""),"",IFERROR(INDEX(設定!$F$5:$F$20,MATCH($F428,設定!$B$5:$B$20,0)),0))</f>
        <v/>
      </c>
      <c r="L428" s="33">
        <f>IF(OR($I428="",$J428=""),"",ROUND(($J428-$I428)*24-$K428/60,2))</f>
        <v/>
      </c>
      <c r="M428" s="29">
        <f>IF($C428="","",IF(AND(COUNTIF(設定!$B$14:$B$20,$F428)&gt;0,$I428&lt;&gt;""),"假日出勤",IF(AND(COUNTIF(設定!$B$5:$B$13,$F428)&gt;0,$I428=""),"未打卡",IF($I428="","",IF($N428&gt;0,"遲到",IF($O428&gt;0,"早退","正常"))))))</f>
        <v/>
      </c>
      <c r="N428" s="32">
        <f>IF(OR($C428="",$G428="",$I428=""),0,IF(ROUND(($I428-$G428)*1440,0)&gt;設定!$C$28,ROUND(($I428-$G428)*1440,0),0))</f>
        <v/>
      </c>
      <c r="O428" s="32">
        <f>IF(OR($C428="",$H428="",$J428=""),0,IF(ROUND(($H428-$J428)*1440,0)&gt;設定!$C$28,ROUND(($H428-$J428)*1440,0),0))</f>
        <v/>
      </c>
      <c r="P428" s="33">
        <f>IF($L428="",0,IF(($L428-IFERROR(INDEX(設定!$G$5:$G$20,MATCH($F428,設定!$B$5:$B$20,0)),0))*60&gt;=設定!$C$26,ROUND(FLOOR(($L428-IFERROR(INDEX(設定!$G$5:$G$20,MATCH($F428,設定!$B$5:$B$20,0)),0))*60,設定!$C$27)/60,2),0))</f>
        <v/>
      </c>
      <c r="Q428" s="29">
        <f>IF(OR($C428="",$P428=0),"",IF($F428="國","國定假日",IF($B428="日","例假",IF($B428="六","休息日","平日"))))</f>
        <v/>
      </c>
      <c r="R428" s="34" t="n"/>
    </row>
    <row r="429">
      <c r="A429" s="30">
        <f>IF(OR(班表!$A19="",24&gt;DAY(EOMONTH(DATE(班表!$E$2,班表!$G$2,1),0))),"",DATE(班表!$E$2,班表!$G$2,24))</f>
        <v/>
      </c>
      <c r="B429" s="29">
        <f>IF($A429="","",INDEX(設定!$L$5:$L$11,WEEKDAY($A429,1)))</f>
        <v/>
      </c>
      <c r="C429" s="29">
        <f>IF($A429="","",班表!$A19)</f>
        <v/>
      </c>
      <c r="D429" s="29">
        <f>IF($C429="","",班表!$B19)</f>
        <v/>
      </c>
      <c r="E429" s="29">
        <f>IF($C429="","",班表!$C19)</f>
        <v/>
      </c>
      <c r="F429" s="29">
        <f>IF($C429="","",班表!AA19)</f>
        <v/>
      </c>
      <c r="G429" s="31">
        <f>IF($F429="","",IFERROR(INDEX(設定!$D$5:$D$20,MATCH($F429,設定!$B$5:$B$20,0)),""))</f>
        <v/>
      </c>
      <c r="H429" s="31">
        <f>IF($F429="","",IFERROR(INDEX(設定!$E$5:$E$20,MATCH($F429,設定!$B$5:$B$20,0)),""))</f>
        <v/>
      </c>
      <c r="I429" s="31">
        <f>IFERROR(INDEX(打卡匯入!$C$3:$C$1002,MATCH($C429&amp;"|"&amp;DAY($A429),打卡匯入!$E$3:$E$1002,0)),"")</f>
        <v/>
      </c>
      <c r="J429" s="31">
        <f>IFERROR(INDEX(打卡匯入!$D$3:$D$1002,MATCH($C429&amp;"|"&amp;DAY($A429),打卡匯入!$E$3:$E$1002,0)),"")</f>
        <v/>
      </c>
      <c r="K429" s="32">
        <f>IF(OR($I429="",$J429=""),"",IFERROR(INDEX(設定!$F$5:$F$20,MATCH($F429,設定!$B$5:$B$20,0)),0))</f>
        <v/>
      </c>
      <c r="L429" s="33">
        <f>IF(OR($I429="",$J429=""),"",ROUND(($J429-$I429)*24-$K429/60,2))</f>
        <v/>
      </c>
      <c r="M429" s="29">
        <f>IF($C429="","",IF(AND(COUNTIF(設定!$B$14:$B$20,$F429)&gt;0,$I429&lt;&gt;""),"假日出勤",IF(AND(COUNTIF(設定!$B$5:$B$13,$F429)&gt;0,$I429=""),"未打卡",IF($I429="","",IF($N429&gt;0,"遲到",IF($O429&gt;0,"早退","正常"))))))</f>
        <v/>
      </c>
      <c r="N429" s="32">
        <f>IF(OR($C429="",$G429="",$I429=""),0,IF(ROUND(($I429-$G429)*1440,0)&gt;設定!$C$28,ROUND(($I429-$G429)*1440,0),0))</f>
        <v/>
      </c>
      <c r="O429" s="32">
        <f>IF(OR($C429="",$H429="",$J429=""),0,IF(ROUND(($H429-$J429)*1440,0)&gt;設定!$C$28,ROUND(($H429-$J429)*1440,0),0))</f>
        <v/>
      </c>
      <c r="P429" s="33">
        <f>IF($L429="",0,IF(($L429-IFERROR(INDEX(設定!$G$5:$G$20,MATCH($F429,設定!$B$5:$B$20,0)),0))*60&gt;=設定!$C$26,ROUND(FLOOR(($L429-IFERROR(INDEX(設定!$G$5:$G$20,MATCH($F429,設定!$B$5:$B$20,0)),0))*60,設定!$C$27)/60,2),0))</f>
        <v/>
      </c>
      <c r="Q429" s="29">
        <f>IF(OR($C429="",$P429=0),"",IF($F429="國","國定假日",IF($B429="日","例假",IF($B429="六","休息日","平日"))))</f>
        <v/>
      </c>
      <c r="R429" s="34" t="n"/>
    </row>
    <row r="430">
      <c r="A430" s="30">
        <f>IF(OR(班表!$A19="",25&gt;DAY(EOMONTH(DATE(班表!$E$2,班表!$G$2,1),0))),"",DATE(班表!$E$2,班表!$G$2,25))</f>
        <v/>
      </c>
      <c r="B430" s="29">
        <f>IF($A430="","",INDEX(設定!$L$5:$L$11,WEEKDAY($A430,1)))</f>
        <v/>
      </c>
      <c r="C430" s="29">
        <f>IF($A430="","",班表!$A19)</f>
        <v/>
      </c>
      <c r="D430" s="29">
        <f>IF($C430="","",班表!$B19)</f>
        <v/>
      </c>
      <c r="E430" s="29">
        <f>IF($C430="","",班表!$C19)</f>
        <v/>
      </c>
      <c r="F430" s="29">
        <f>IF($C430="","",班表!AB19)</f>
        <v/>
      </c>
      <c r="G430" s="31">
        <f>IF($F430="","",IFERROR(INDEX(設定!$D$5:$D$20,MATCH($F430,設定!$B$5:$B$20,0)),""))</f>
        <v/>
      </c>
      <c r="H430" s="31">
        <f>IF($F430="","",IFERROR(INDEX(設定!$E$5:$E$20,MATCH($F430,設定!$B$5:$B$20,0)),""))</f>
        <v/>
      </c>
      <c r="I430" s="31">
        <f>IFERROR(INDEX(打卡匯入!$C$3:$C$1002,MATCH($C430&amp;"|"&amp;DAY($A430),打卡匯入!$E$3:$E$1002,0)),"")</f>
        <v/>
      </c>
      <c r="J430" s="31">
        <f>IFERROR(INDEX(打卡匯入!$D$3:$D$1002,MATCH($C430&amp;"|"&amp;DAY($A430),打卡匯入!$E$3:$E$1002,0)),"")</f>
        <v/>
      </c>
      <c r="K430" s="32">
        <f>IF(OR($I430="",$J430=""),"",IFERROR(INDEX(設定!$F$5:$F$20,MATCH($F430,設定!$B$5:$B$20,0)),0))</f>
        <v/>
      </c>
      <c r="L430" s="33">
        <f>IF(OR($I430="",$J430=""),"",ROUND(($J430-$I430)*24-$K430/60,2))</f>
        <v/>
      </c>
      <c r="M430" s="29">
        <f>IF($C430="","",IF(AND(COUNTIF(設定!$B$14:$B$20,$F430)&gt;0,$I430&lt;&gt;""),"假日出勤",IF(AND(COUNTIF(設定!$B$5:$B$13,$F430)&gt;0,$I430=""),"未打卡",IF($I430="","",IF($N430&gt;0,"遲到",IF($O430&gt;0,"早退","正常"))))))</f>
        <v/>
      </c>
      <c r="N430" s="32">
        <f>IF(OR($C430="",$G430="",$I430=""),0,IF(ROUND(($I430-$G430)*1440,0)&gt;設定!$C$28,ROUND(($I430-$G430)*1440,0),0))</f>
        <v/>
      </c>
      <c r="O430" s="32">
        <f>IF(OR($C430="",$H430="",$J430=""),0,IF(ROUND(($H430-$J430)*1440,0)&gt;設定!$C$28,ROUND(($H430-$J430)*1440,0),0))</f>
        <v/>
      </c>
      <c r="P430" s="33">
        <f>IF($L430="",0,IF(($L430-IFERROR(INDEX(設定!$G$5:$G$20,MATCH($F430,設定!$B$5:$B$20,0)),0))*60&gt;=設定!$C$26,ROUND(FLOOR(($L430-IFERROR(INDEX(設定!$G$5:$G$20,MATCH($F430,設定!$B$5:$B$20,0)),0))*60,設定!$C$27)/60,2),0))</f>
        <v/>
      </c>
      <c r="Q430" s="29">
        <f>IF(OR($C430="",$P430=0),"",IF($F430="國","國定假日",IF($B430="日","例假",IF($B430="六","休息日","平日"))))</f>
        <v/>
      </c>
      <c r="R430" s="34" t="n"/>
    </row>
    <row r="431">
      <c r="A431" s="30">
        <f>IF(OR(班表!$A19="",26&gt;DAY(EOMONTH(DATE(班表!$E$2,班表!$G$2,1),0))),"",DATE(班表!$E$2,班表!$G$2,26))</f>
        <v/>
      </c>
      <c r="B431" s="29">
        <f>IF($A431="","",INDEX(設定!$L$5:$L$11,WEEKDAY($A431,1)))</f>
        <v/>
      </c>
      <c r="C431" s="29">
        <f>IF($A431="","",班表!$A19)</f>
        <v/>
      </c>
      <c r="D431" s="29">
        <f>IF($C431="","",班表!$B19)</f>
        <v/>
      </c>
      <c r="E431" s="29">
        <f>IF($C431="","",班表!$C19)</f>
        <v/>
      </c>
      <c r="F431" s="29">
        <f>IF($C431="","",班表!AC19)</f>
        <v/>
      </c>
      <c r="G431" s="31">
        <f>IF($F431="","",IFERROR(INDEX(設定!$D$5:$D$20,MATCH($F431,設定!$B$5:$B$20,0)),""))</f>
        <v/>
      </c>
      <c r="H431" s="31">
        <f>IF($F431="","",IFERROR(INDEX(設定!$E$5:$E$20,MATCH($F431,設定!$B$5:$B$20,0)),""))</f>
        <v/>
      </c>
      <c r="I431" s="31">
        <f>IFERROR(INDEX(打卡匯入!$C$3:$C$1002,MATCH($C431&amp;"|"&amp;DAY($A431),打卡匯入!$E$3:$E$1002,0)),"")</f>
        <v/>
      </c>
      <c r="J431" s="31">
        <f>IFERROR(INDEX(打卡匯入!$D$3:$D$1002,MATCH($C431&amp;"|"&amp;DAY($A431),打卡匯入!$E$3:$E$1002,0)),"")</f>
        <v/>
      </c>
      <c r="K431" s="32">
        <f>IF(OR($I431="",$J431=""),"",IFERROR(INDEX(設定!$F$5:$F$20,MATCH($F431,設定!$B$5:$B$20,0)),0))</f>
        <v/>
      </c>
      <c r="L431" s="33">
        <f>IF(OR($I431="",$J431=""),"",ROUND(($J431-$I431)*24-$K431/60,2))</f>
        <v/>
      </c>
      <c r="M431" s="29">
        <f>IF($C431="","",IF(AND(COUNTIF(設定!$B$14:$B$20,$F431)&gt;0,$I431&lt;&gt;""),"假日出勤",IF(AND(COUNTIF(設定!$B$5:$B$13,$F431)&gt;0,$I431=""),"未打卡",IF($I431="","",IF($N431&gt;0,"遲到",IF($O431&gt;0,"早退","正常"))))))</f>
        <v/>
      </c>
      <c r="N431" s="32">
        <f>IF(OR($C431="",$G431="",$I431=""),0,IF(ROUND(($I431-$G431)*1440,0)&gt;設定!$C$28,ROUND(($I431-$G431)*1440,0),0))</f>
        <v/>
      </c>
      <c r="O431" s="32">
        <f>IF(OR($C431="",$H431="",$J431=""),0,IF(ROUND(($H431-$J431)*1440,0)&gt;設定!$C$28,ROUND(($H431-$J431)*1440,0),0))</f>
        <v/>
      </c>
      <c r="P431" s="33">
        <f>IF($L431="",0,IF(($L431-IFERROR(INDEX(設定!$G$5:$G$20,MATCH($F431,設定!$B$5:$B$20,0)),0))*60&gt;=設定!$C$26,ROUND(FLOOR(($L431-IFERROR(INDEX(設定!$G$5:$G$20,MATCH($F431,設定!$B$5:$B$20,0)),0))*60,設定!$C$27)/60,2),0))</f>
        <v/>
      </c>
      <c r="Q431" s="29">
        <f>IF(OR($C431="",$P431=0),"",IF($F431="國","國定假日",IF($B431="日","例假",IF($B431="六","休息日","平日"))))</f>
        <v/>
      </c>
      <c r="R431" s="34" t="n"/>
    </row>
    <row r="432">
      <c r="A432" s="30">
        <f>IF(OR(班表!$A19="",27&gt;DAY(EOMONTH(DATE(班表!$E$2,班表!$G$2,1),0))),"",DATE(班表!$E$2,班表!$G$2,27))</f>
        <v/>
      </c>
      <c r="B432" s="29">
        <f>IF($A432="","",INDEX(設定!$L$5:$L$11,WEEKDAY($A432,1)))</f>
        <v/>
      </c>
      <c r="C432" s="29">
        <f>IF($A432="","",班表!$A19)</f>
        <v/>
      </c>
      <c r="D432" s="29">
        <f>IF($C432="","",班表!$B19)</f>
        <v/>
      </c>
      <c r="E432" s="29">
        <f>IF($C432="","",班表!$C19)</f>
        <v/>
      </c>
      <c r="F432" s="29">
        <f>IF($C432="","",班表!AD19)</f>
        <v/>
      </c>
      <c r="G432" s="31">
        <f>IF($F432="","",IFERROR(INDEX(設定!$D$5:$D$20,MATCH($F432,設定!$B$5:$B$20,0)),""))</f>
        <v/>
      </c>
      <c r="H432" s="31">
        <f>IF($F432="","",IFERROR(INDEX(設定!$E$5:$E$20,MATCH($F432,設定!$B$5:$B$20,0)),""))</f>
        <v/>
      </c>
      <c r="I432" s="31">
        <f>IFERROR(INDEX(打卡匯入!$C$3:$C$1002,MATCH($C432&amp;"|"&amp;DAY($A432),打卡匯入!$E$3:$E$1002,0)),"")</f>
        <v/>
      </c>
      <c r="J432" s="31">
        <f>IFERROR(INDEX(打卡匯入!$D$3:$D$1002,MATCH($C432&amp;"|"&amp;DAY($A432),打卡匯入!$E$3:$E$1002,0)),"")</f>
        <v/>
      </c>
      <c r="K432" s="32">
        <f>IF(OR($I432="",$J432=""),"",IFERROR(INDEX(設定!$F$5:$F$20,MATCH($F432,設定!$B$5:$B$20,0)),0))</f>
        <v/>
      </c>
      <c r="L432" s="33">
        <f>IF(OR($I432="",$J432=""),"",ROUND(($J432-$I432)*24-$K432/60,2))</f>
        <v/>
      </c>
      <c r="M432" s="29">
        <f>IF($C432="","",IF(AND(COUNTIF(設定!$B$14:$B$20,$F432)&gt;0,$I432&lt;&gt;""),"假日出勤",IF(AND(COUNTIF(設定!$B$5:$B$13,$F432)&gt;0,$I432=""),"未打卡",IF($I432="","",IF($N432&gt;0,"遲到",IF($O432&gt;0,"早退","正常"))))))</f>
        <v/>
      </c>
      <c r="N432" s="32">
        <f>IF(OR($C432="",$G432="",$I432=""),0,IF(ROUND(($I432-$G432)*1440,0)&gt;設定!$C$28,ROUND(($I432-$G432)*1440,0),0))</f>
        <v/>
      </c>
      <c r="O432" s="32">
        <f>IF(OR($C432="",$H432="",$J432=""),0,IF(ROUND(($H432-$J432)*1440,0)&gt;設定!$C$28,ROUND(($H432-$J432)*1440,0),0))</f>
        <v/>
      </c>
      <c r="P432" s="33">
        <f>IF($L432="",0,IF(($L432-IFERROR(INDEX(設定!$G$5:$G$20,MATCH($F432,設定!$B$5:$B$20,0)),0))*60&gt;=設定!$C$26,ROUND(FLOOR(($L432-IFERROR(INDEX(設定!$G$5:$G$20,MATCH($F432,設定!$B$5:$B$20,0)),0))*60,設定!$C$27)/60,2),0))</f>
        <v/>
      </c>
      <c r="Q432" s="29">
        <f>IF(OR($C432="",$P432=0),"",IF($F432="國","國定假日",IF($B432="日","例假",IF($B432="六","休息日","平日"))))</f>
        <v/>
      </c>
      <c r="R432" s="34" t="n"/>
    </row>
    <row r="433">
      <c r="A433" s="30">
        <f>IF(OR(班表!$A19="",28&gt;DAY(EOMONTH(DATE(班表!$E$2,班表!$G$2,1),0))),"",DATE(班表!$E$2,班表!$G$2,28))</f>
        <v/>
      </c>
      <c r="B433" s="29">
        <f>IF($A433="","",INDEX(設定!$L$5:$L$11,WEEKDAY($A433,1)))</f>
        <v/>
      </c>
      <c r="C433" s="29">
        <f>IF($A433="","",班表!$A19)</f>
        <v/>
      </c>
      <c r="D433" s="29">
        <f>IF($C433="","",班表!$B19)</f>
        <v/>
      </c>
      <c r="E433" s="29">
        <f>IF($C433="","",班表!$C19)</f>
        <v/>
      </c>
      <c r="F433" s="29">
        <f>IF($C433="","",班表!AE19)</f>
        <v/>
      </c>
      <c r="G433" s="31">
        <f>IF($F433="","",IFERROR(INDEX(設定!$D$5:$D$20,MATCH($F433,設定!$B$5:$B$20,0)),""))</f>
        <v/>
      </c>
      <c r="H433" s="31">
        <f>IF($F433="","",IFERROR(INDEX(設定!$E$5:$E$20,MATCH($F433,設定!$B$5:$B$20,0)),""))</f>
        <v/>
      </c>
      <c r="I433" s="31">
        <f>IFERROR(INDEX(打卡匯入!$C$3:$C$1002,MATCH($C433&amp;"|"&amp;DAY($A433),打卡匯入!$E$3:$E$1002,0)),"")</f>
        <v/>
      </c>
      <c r="J433" s="31">
        <f>IFERROR(INDEX(打卡匯入!$D$3:$D$1002,MATCH($C433&amp;"|"&amp;DAY($A433),打卡匯入!$E$3:$E$1002,0)),"")</f>
        <v/>
      </c>
      <c r="K433" s="32">
        <f>IF(OR($I433="",$J433=""),"",IFERROR(INDEX(設定!$F$5:$F$20,MATCH($F433,設定!$B$5:$B$20,0)),0))</f>
        <v/>
      </c>
      <c r="L433" s="33">
        <f>IF(OR($I433="",$J433=""),"",ROUND(($J433-$I433)*24-$K433/60,2))</f>
        <v/>
      </c>
      <c r="M433" s="29">
        <f>IF($C433="","",IF(AND(COUNTIF(設定!$B$14:$B$20,$F433)&gt;0,$I433&lt;&gt;""),"假日出勤",IF(AND(COUNTIF(設定!$B$5:$B$13,$F433)&gt;0,$I433=""),"未打卡",IF($I433="","",IF($N433&gt;0,"遲到",IF($O433&gt;0,"早退","正常"))))))</f>
        <v/>
      </c>
      <c r="N433" s="32">
        <f>IF(OR($C433="",$G433="",$I433=""),0,IF(ROUND(($I433-$G433)*1440,0)&gt;設定!$C$28,ROUND(($I433-$G433)*1440,0),0))</f>
        <v/>
      </c>
      <c r="O433" s="32">
        <f>IF(OR($C433="",$H433="",$J433=""),0,IF(ROUND(($H433-$J433)*1440,0)&gt;設定!$C$28,ROUND(($H433-$J433)*1440,0),0))</f>
        <v/>
      </c>
      <c r="P433" s="33">
        <f>IF($L433="",0,IF(($L433-IFERROR(INDEX(設定!$G$5:$G$20,MATCH($F433,設定!$B$5:$B$20,0)),0))*60&gt;=設定!$C$26,ROUND(FLOOR(($L433-IFERROR(INDEX(設定!$G$5:$G$20,MATCH($F433,設定!$B$5:$B$20,0)),0))*60,設定!$C$27)/60,2),0))</f>
        <v/>
      </c>
      <c r="Q433" s="29">
        <f>IF(OR($C433="",$P433=0),"",IF($F433="國","國定假日",IF($B433="日","例假",IF($B433="六","休息日","平日"))))</f>
        <v/>
      </c>
      <c r="R433" s="34" t="n"/>
    </row>
    <row r="434">
      <c r="A434" s="30">
        <f>IF(OR(班表!$A19="",29&gt;DAY(EOMONTH(DATE(班表!$E$2,班表!$G$2,1),0))),"",DATE(班表!$E$2,班表!$G$2,29))</f>
        <v/>
      </c>
      <c r="B434" s="29">
        <f>IF($A434="","",INDEX(設定!$L$5:$L$11,WEEKDAY($A434,1)))</f>
        <v/>
      </c>
      <c r="C434" s="29">
        <f>IF($A434="","",班表!$A19)</f>
        <v/>
      </c>
      <c r="D434" s="29">
        <f>IF($C434="","",班表!$B19)</f>
        <v/>
      </c>
      <c r="E434" s="29">
        <f>IF($C434="","",班表!$C19)</f>
        <v/>
      </c>
      <c r="F434" s="29">
        <f>IF($C434="","",班表!AF19)</f>
        <v/>
      </c>
      <c r="G434" s="31">
        <f>IF($F434="","",IFERROR(INDEX(設定!$D$5:$D$20,MATCH($F434,設定!$B$5:$B$20,0)),""))</f>
        <v/>
      </c>
      <c r="H434" s="31">
        <f>IF($F434="","",IFERROR(INDEX(設定!$E$5:$E$20,MATCH($F434,設定!$B$5:$B$20,0)),""))</f>
        <v/>
      </c>
      <c r="I434" s="31">
        <f>IFERROR(INDEX(打卡匯入!$C$3:$C$1002,MATCH($C434&amp;"|"&amp;DAY($A434),打卡匯入!$E$3:$E$1002,0)),"")</f>
        <v/>
      </c>
      <c r="J434" s="31">
        <f>IFERROR(INDEX(打卡匯入!$D$3:$D$1002,MATCH($C434&amp;"|"&amp;DAY($A434),打卡匯入!$E$3:$E$1002,0)),"")</f>
        <v/>
      </c>
      <c r="K434" s="32">
        <f>IF(OR($I434="",$J434=""),"",IFERROR(INDEX(設定!$F$5:$F$20,MATCH($F434,設定!$B$5:$B$20,0)),0))</f>
        <v/>
      </c>
      <c r="L434" s="33">
        <f>IF(OR($I434="",$J434=""),"",ROUND(($J434-$I434)*24-$K434/60,2))</f>
        <v/>
      </c>
      <c r="M434" s="29">
        <f>IF($C434="","",IF(AND(COUNTIF(設定!$B$14:$B$20,$F434)&gt;0,$I434&lt;&gt;""),"假日出勤",IF(AND(COUNTIF(設定!$B$5:$B$13,$F434)&gt;0,$I434=""),"未打卡",IF($I434="","",IF($N434&gt;0,"遲到",IF($O434&gt;0,"早退","正常"))))))</f>
        <v/>
      </c>
      <c r="N434" s="32">
        <f>IF(OR($C434="",$G434="",$I434=""),0,IF(ROUND(($I434-$G434)*1440,0)&gt;設定!$C$28,ROUND(($I434-$G434)*1440,0),0))</f>
        <v/>
      </c>
      <c r="O434" s="32">
        <f>IF(OR($C434="",$H434="",$J434=""),0,IF(ROUND(($H434-$J434)*1440,0)&gt;設定!$C$28,ROUND(($H434-$J434)*1440,0),0))</f>
        <v/>
      </c>
      <c r="P434" s="33">
        <f>IF($L434="",0,IF(($L434-IFERROR(INDEX(設定!$G$5:$G$20,MATCH($F434,設定!$B$5:$B$20,0)),0))*60&gt;=設定!$C$26,ROUND(FLOOR(($L434-IFERROR(INDEX(設定!$G$5:$G$20,MATCH($F434,設定!$B$5:$B$20,0)),0))*60,設定!$C$27)/60,2),0))</f>
        <v/>
      </c>
      <c r="Q434" s="29">
        <f>IF(OR($C434="",$P434=0),"",IF($F434="國","國定假日",IF($B434="日","例假",IF($B434="六","休息日","平日"))))</f>
        <v/>
      </c>
      <c r="R434" s="34" t="n"/>
    </row>
    <row r="435">
      <c r="A435" s="30">
        <f>IF(OR(班表!$A19="",30&gt;DAY(EOMONTH(DATE(班表!$E$2,班表!$G$2,1),0))),"",DATE(班表!$E$2,班表!$G$2,30))</f>
        <v/>
      </c>
      <c r="B435" s="29">
        <f>IF($A435="","",INDEX(設定!$L$5:$L$11,WEEKDAY($A435,1)))</f>
        <v/>
      </c>
      <c r="C435" s="29">
        <f>IF($A435="","",班表!$A19)</f>
        <v/>
      </c>
      <c r="D435" s="29">
        <f>IF($C435="","",班表!$B19)</f>
        <v/>
      </c>
      <c r="E435" s="29">
        <f>IF($C435="","",班表!$C19)</f>
        <v/>
      </c>
      <c r="F435" s="29">
        <f>IF($C435="","",班表!AG19)</f>
        <v/>
      </c>
      <c r="G435" s="31">
        <f>IF($F435="","",IFERROR(INDEX(設定!$D$5:$D$20,MATCH($F435,設定!$B$5:$B$20,0)),""))</f>
        <v/>
      </c>
      <c r="H435" s="31">
        <f>IF($F435="","",IFERROR(INDEX(設定!$E$5:$E$20,MATCH($F435,設定!$B$5:$B$20,0)),""))</f>
        <v/>
      </c>
      <c r="I435" s="31">
        <f>IFERROR(INDEX(打卡匯入!$C$3:$C$1002,MATCH($C435&amp;"|"&amp;DAY($A435),打卡匯入!$E$3:$E$1002,0)),"")</f>
        <v/>
      </c>
      <c r="J435" s="31">
        <f>IFERROR(INDEX(打卡匯入!$D$3:$D$1002,MATCH($C435&amp;"|"&amp;DAY($A435),打卡匯入!$E$3:$E$1002,0)),"")</f>
        <v/>
      </c>
      <c r="K435" s="32">
        <f>IF(OR($I435="",$J435=""),"",IFERROR(INDEX(設定!$F$5:$F$20,MATCH($F435,設定!$B$5:$B$20,0)),0))</f>
        <v/>
      </c>
      <c r="L435" s="33">
        <f>IF(OR($I435="",$J435=""),"",ROUND(($J435-$I435)*24-$K435/60,2))</f>
        <v/>
      </c>
      <c r="M435" s="29">
        <f>IF($C435="","",IF(AND(COUNTIF(設定!$B$14:$B$20,$F435)&gt;0,$I435&lt;&gt;""),"假日出勤",IF(AND(COUNTIF(設定!$B$5:$B$13,$F435)&gt;0,$I435=""),"未打卡",IF($I435="","",IF($N435&gt;0,"遲到",IF($O435&gt;0,"早退","正常"))))))</f>
        <v/>
      </c>
      <c r="N435" s="32">
        <f>IF(OR($C435="",$G435="",$I435=""),0,IF(ROUND(($I435-$G435)*1440,0)&gt;設定!$C$28,ROUND(($I435-$G435)*1440,0),0))</f>
        <v/>
      </c>
      <c r="O435" s="32">
        <f>IF(OR($C435="",$H435="",$J435=""),0,IF(ROUND(($H435-$J435)*1440,0)&gt;設定!$C$28,ROUND(($H435-$J435)*1440,0),0))</f>
        <v/>
      </c>
      <c r="P435" s="33">
        <f>IF($L435="",0,IF(($L435-IFERROR(INDEX(設定!$G$5:$G$20,MATCH($F435,設定!$B$5:$B$20,0)),0))*60&gt;=設定!$C$26,ROUND(FLOOR(($L435-IFERROR(INDEX(設定!$G$5:$G$20,MATCH($F435,設定!$B$5:$B$20,0)),0))*60,設定!$C$27)/60,2),0))</f>
        <v/>
      </c>
      <c r="Q435" s="29">
        <f>IF(OR($C435="",$P435=0),"",IF($F435="國","國定假日",IF($B435="日","例假",IF($B435="六","休息日","平日"))))</f>
        <v/>
      </c>
      <c r="R435" s="34" t="n"/>
    </row>
    <row r="436">
      <c r="A436" s="30">
        <f>IF(OR(班表!$A19="",31&gt;DAY(EOMONTH(DATE(班表!$E$2,班表!$G$2,1),0))),"",DATE(班表!$E$2,班表!$G$2,31))</f>
        <v/>
      </c>
      <c r="B436" s="29">
        <f>IF($A436="","",INDEX(設定!$L$5:$L$11,WEEKDAY($A436,1)))</f>
        <v/>
      </c>
      <c r="C436" s="29">
        <f>IF($A436="","",班表!$A19)</f>
        <v/>
      </c>
      <c r="D436" s="29">
        <f>IF($C436="","",班表!$B19)</f>
        <v/>
      </c>
      <c r="E436" s="29">
        <f>IF($C436="","",班表!$C19)</f>
        <v/>
      </c>
      <c r="F436" s="29">
        <f>IF($C436="","",班表!AH19)</f>
        <v/>
      </c>
      <c r="G436" s="31">
        <f>IF($F436="","",IFERROR(INDEX(設定!$D$5:$D$20,MATCH($F436,設定!$B$5:$B$20,0)),""))</f>
        <v/>
      </c>
      <c r="H436" s="31">
        <f>IF($F436="","",IFERROR(INDEX(設定!$E$5:$E$20,MATCH($F436,設定!$B$5:$B$20,0)),""))</f>
        <v/>
      </c>
      <c r="I436" s="31">
        <f>IFERROR(INDEX(打卡匯入!$C$3:$C$1002,MATCH($C436&amp;"|"&amp;DAY($A436),打卡匯入!$E$3:$E$1002,0)),"")</f>
        <v/>
      </c>
      <c r="J436" s="31">
        <f>IFERROR(INDEX(打卡匯入!$D$3:$D$1002,MATCH($C436&amp;"|"&amp;DAY($A436),打卡匯入!$E$3:$E$1002,0)),"")</f>
        <v/>
      </c>
      <c r="K436" s="32">
        <f>IF(OR($I436="",$J436=""),"",IFERROR(INDEX(設定!$F$5:$F$20,MATCH($F436,設定!$B$5:$B$20,0)),0))</f>
        <v/>
      </c>
      <c r="L436" s="33">
        <f>IF(OR($I436="",$J436=""),"",ROUND(($J436-$I436)*24-$K436/60,2))</f>
        <v/>
      </c>
      <c r="M436" s="29">
        <f>IF($C436="","",IF(AND(COUNTIF(設定!$B$14:$B$20,$F436)&gt;0,$I436&lt;&gt;""),"假日出勤",IF(AND(COUNTIF(設定!$B$5:$B$13,$F436)&gt;0,$I436=""),"未打卡",IF($I436="","",IF($N436&gt;0,"遲到",IF($O436&gt;0,"早退","正常"))))))</f>
        <v/>
      </c>
      <c r="N436" s="32">
        <f>IF(OR($C436="",$G436="",$I436=""),0,IF(ROUND(($I436-$G436)*1440,0)&gt;設定!$C$28,ROUND(($I436-$G436)*1440,0),0))</f>
        <v/>
      </c>
      <c r="O436" s="32">
        <f>IF(OR($C436="",$H436="",$J436=""),0,IF(ROUND(($H436-$J436)*1440,0)&gt;設定!$C$28,ROUND(($H436-$J436)*1440,0),0))</f>
        <v/>
      </c>
      <c r="P436" s="33">
        <f>IF($L436="",0,IF(($L436-IFERROR(INDEX(設定!$G$5:$G$20,MATCH($F436,設定!$B$5:$B$20,0)),0))*60&gt;=設定!$C$26,ROUND(FLOOR(($L436-IFERROR(INDEX(設定!$G$5:$G$20,MATCH($F436,設定!$B$5:$B$20,0)),0))*60,設定!$C$27)/60,2),0))</f>
        <v/>
      </c>
      <c r="Q436" s="29">
        <f>IF(OR($C436="",$P436=0),"",IF($F436="國","國定假日",IF($B436="日","例假",IF($B436="六","休息日","平日"))))</f>
        <v/>
      </c>
      <c r="R436" s="34" t="n"/>
    </row>
    <row r="437">
      <c r="A437" s="30">
        <f>IF(OR(班表!$A20="",1&gt;DAY(EOMONTH(DATE(班表!$E$2,班表!$G$2,1),0))),"",DATE(班表!$E$2,班表!$G$2,1))</f>
        <v/>
      </c>
      <c r="B437" s="29">
        <f>IF($A437="","",INDEX(設定!$L$5:$L$11,WEEKDAY($A437,1)))</f>
        <v/>
      </c>
      <c r="C437" s="29">
        <f>IF($A437="","",班表!$A20)</f>
        <v/>
      </c>
      <c r="D437" s="29">
        <f>IF($C437="","",班表!$B20)</f>
        <v/>
      </c>
      <c r="E437" s="29">
        <f>IF($C437="","",班表!$C20)</f>
        <v/>
      </c>
      <c r="F437" s="29">
        <f>IF($C437="","",班表!D20)</f>
        <v/>
      </c>
      <c r="G437" s="31">
        <f>IF($F437="","",IFERROR(INDEX(設定!$D$5:$D$20,MATCH($F437,設定!$B$5:$B$20,0)),""))</f>
        <v/>
      </c>
      <c r="H437" s="31">
        <f>IF($F437="","",IFERROR(INDEX(設定!$E$5:$E$20,MATCH($F437,設定!$B$5:$B$20,0)),""))</f>
        <v/>
      </c>
      <c r="I437" s="31">
        <f>IFERROR(INDEX(打卡匯入!$C$3:$C$1002,MATCH($C437&amp;"|"&amp;DAY($A437),打卡匯入!$E$3:$E$1002,0)),"")</f>
        <v/>
      </c>
      <c r="J437" s="31">
        <f>IFERROR(INDEX(打卡匯入!$D$3:$D$1002,MATCH($C437&amp;"|"&amp;DAY($A437),打卡匯入!$E$3:$E$1002,0)),"")</f>
        <v/>
      </c>
      <c r="K437" s="32">
        <f>IF(OR($I437="",$J437=""),"",IFERROR(INDEX(設定!$F$5:$F$20,MATCH($F437,設定!$B$5:$B$20,0)),0))</f>
        <v/>
      </c>
      <c r="L437" s="33">
        <f>IF(OR($I437="",$J437=""),"",ROUND(($J437-$I437)*24-$K437/60,2))</f>
        <v/>
      </c>
      <c r="M437" s="29">
        <f>IF($C437="","",IF(AND(COUNTIF(設定!$B$14:$B$20,$F437)&gt;0,$I437&lt;&gt;""),"假日出勤",IF(AND(COUNTIF(設定!$B$5:$B$13,$F437)&gt;0,$I437=""),"未打卡",IF($I437="","",IF($N437&gt;0,"遲到",IF($O437&gt;0,"早退","正常"))))))</f>
        <v/>
      </c>
      <c r="N437" s="32">
        <f>IF(OR($C437="",$G437="",$I437=""),0,IF(ROUND(($I437-$G437)*1440,0)&gt;設定!$C$28,ROUND(($I437-$G437)*1440,0),0))</f>
        <v/>
      </c>
      <c r="O437" s="32">
        <f>IF(OR($C437="",$H437="",$J437=""),0,IF(ROUND(($H437-$J437)*1440,0)&gt;設定!$C$28,ROUND(($H437-$J437)*1440,0),0))</f>
        <v/>
      </c>
      <c r="P437" s="33">
        <f>IF($L437="",0,IF(($L437-IFERROR(INDEX(設定!$G$5:$G$20,MATCH($F437,設定!$B$5:$B$20,0)),0))*60&gt;=設定!$C$26,ROUND(FLOOR(($L437-IFERROR(INDEX(設定!$G$5:$G$20,MATCH($F437,設定!$B$5:$B$20,0)),0))*60,設定!$C$27)/60,2),0))</f>
        <v/>
      </c>
      <c r="Q437" s="29">
        <f>IF(OR($C437="",$P437=0),"",IF($F437="國","國定假日",IF($B437="日","例假",IF($B437="六","休息日","平日"))))</f>
        <v/>
      </c>
      <c r="R437" s="34" t="n"/>
    </row>
    <row r="438">
      <c r="A438" s="30">
        <f>IF(OR(班表!$A20="",2&gt;DAY(EOMONTH(DATE(班表!$E$2,班表!$G$2,1),0))),"",DATE(班表!$E$2,班表!$G$2,2))</f>
        <v/>
      </c>
      <c r="B438" s="29">
        <f>IF($A438="","",INDEX(設定!$L$5:$L$11,WEEKDAY($A438,1)))</f>
        <v/>
      </c>
      <c r="C438" s="29">
        <f>IF($A438="","",班表!$A20)</f>
        <v/>
      </c>
      <c r="D438" s="29">
        <f>IF($C438="","",班表!$B20)</f>
        <v/>
      </c>
      <c r="E438" s="29">
        <f>IF($C438="","",班表!$C20)</f>
        <v/>
      </c>
      <c r="F438" s="29">
        <f>IF($C438="","",班表!E20)</f>
        <v/>
      </c>
      <c r="G438" s="31">
        <f>IF($F438="","",IFERROR(INDEX(設定!$D$5:$D$20,MATCH($F438,設定!$B$5:$B$20,0)),""))</f>
        <v/>
      </c>
      <c r="H438" s="31">
        <f>IF($F438="","",IFERROR(INDEX(設定!$E$5:$E$20,MATCH($F438,設定!$B$5:$B$20,0)),""))</f>
        <v/>
      </c>
      <c r="I438" s="31">
        <f>IFERROR(INDEX(打卡匯入!$C$3:$C$1002,MATCH($C438&amp;"|"&amp;DAY($A438),打卡匯入!$E$3:$E$1002,0)),"")</f>
        <v/>
      </c>
      <c r="J438" s="31">
        <f>IFERROR(INDEX(打卡匯入!$D$3:$D$1002,MATCH($C438&amp;"|"&amp;DAY($A438),打卡匯入!$E$3:$E$1002,0)),"")</f>
        <v/>
      </c>
      <c r="K438" s="32">
        <f>IF(OR($I438="",$J438=""),"",IFERROR(INDEX(設定!$F$5:$F$20,MATCH($F438,設定!$B$5:$B$20,0)),0))</f>
        <v/>
      </c>
      <c r="L438" s="33">
        <f>IF(OR($I438="",$J438=""),"",ROUND(($J438-$I438)*24-$K438/60,2))</f>
        <v/>
      </c>
      <c r="M438" s="29">
        <f>IF($C438="","",IF(AND(COUNTIF(設定!$B$14:$B$20,$F438)&gt;0,$I438&lt;&gt;""),"假日出勤",IF(AND(COUNTIF(設定!$B$5:$B$13,$F438)&gt;0,$I438=""),"未打卡",IF($I438="","",IF($N438&gt;0,"遲到",IF($O438&gt;0,"早退","正常"))))))</f>
        <v/>
      </c>
      <c r="N438" s="32">
        <f>IF(OR($C438="",$G438="",$I438=""),0,IF(ROUND(($I438-$G438)*1440,0)&gt;設定!$C$28,ROUND(($I438-$G438)*1440,0),0))</f>
        <v/>
      </c>
      <c r="O438" s="32">
        <f>IF(OR($C438="",$H438="",$J438=""),0,IF(ROUND(($H438-$J438)*1440,0)&gt;設定!$C$28,ROUND(($H438-$J438)*1440,0),0))</f>
        <v/>
      </c>
      <c r="P438" s="33">
        <f>IF($L438="",0,IF(($L438-IFERROR(INDEX(設定!$G$5:$G$20,MATCH($F438,設定!$B$5:$B$20,0)),0))*60&gt;=設定!$C$26,ROUND(FLOOR(($L438-IFERROR(INDEX(設定!$G$5:$G$20,MATCH($F438,設定!$B$5:$B$20,0)),0))*60,設定!$C$27)/60,2),0))</f>
        <v/>
      </c>
      <c r="Q438" s="29">
        <f>IF(OR($C438="",$P438=0),"",IF($F438="國","國定假日",IF($B438="日","例假",IF($B438="六","休息日","平日"))))</f>
        <v/>
      </c>
      <c r="R438" s="34" t="n"/>
    </row>
    <row r="439">
      <c r="A439" s="30">
        <f>IF(OR(班表!$A20="",3&gt;DAY(EOMONTH(DATE(班表!$E$2,班表!$G$2,1),0))),"",DATE(班表!$E$2,班表!$G$2,3))</f>
        <v/>
      </c>
      <c r="B439" s="29">
        <f>IF($A439="","",INDEX(設定!$L$5:$L$11,WEEKDAY($A439,1)))</f>
        <v/>
      </c>
      <c r="C439" s="29">
        <f>IF($A439="","",班表!$A20)</f>
        <v/>
      </c>
      <c r="D439" s="29">
        <f>IF($C439="","",班表!$B20)</f>
        <v/>
      </c>
      <c r="E439" s="29">
        <f>IF($C439="","",班表!$C20)</f>
        <v/>
      </c>
      <c r="F439" s="29">
        <f>IF($C439="","",班表!F20)</f>
        <v/>
      </c>
      <c r="G439" s="31">
        <f>IF($F439="","",IFERROR(INDEX(設定!$D$5:$D$20,MATCH($F439,設定!$B$5:$B$20,0)),""))</f>
        <v/>
      </c>
      <c r="H439" s="31">
        <f>IF($F439="","",IFERROR(INDEX(設定!$E$5:$E$20,MATCH($F439,設定!$B$5:$B$20,0)),""))</f>
        <v/>
      </c>
      <c r="I439" s="31">
        <f>IFERROR(INDEX(打卡匯入!$C$3:$C$1002,MATCH($C439&amp;"|"&amp;DAY($A439),打卡匯入!$E$3:$E$1002,0)),"")</f>
        <v/>
      </c>
      <c r="J439" s="31">
        <f>IFERROR(INDEX(打卡匯入!$D$3:$D$1002,MATCH($C439&amp;"|"&amp;DAY($A439),打卡匯入!$E$3:$E$1002,0)),"")</f>
        <v/>
      </c>
      <c r="K439" s="32">
        <f>IF(OR($I439="",$J439=""),"",IFERROR(INDEX(設定!$F$5:$F$20,MATCH($F439,設定!$B$5:$B$20,0)),0))</f>
        <v/>
      </c>
      <c r="L439" s="33">
        <f>IF(OR($I439="",$J439=""),"",ROUND(($J439-$I439)*24-$K439/60,2))</f>
        <v/>
      </c>
      <c r="M439" s="29">
        <f>IF($C439="","",IF(AND(COUNTIF(設定!$B$14:$B$20,$F439)&gt;0,$I439&lt;&gt;""),"假日出勤",IF(AND(COUNTIF(設定!$B$5:$B$13,$F439)&gt;0,$I439=""),"未打卡",IF($I439="","",IF($N439&gt;0,"遲到",IF($O439&gt;0,"早退","正常"))))))</f>
        <v/>
      </c>
      <c r="N439" s="32">
        <f>IF(OR($C439="",$G439="",$I439=""),0,IF(ROUND(($I439-$G439)*1440,0)&gt;設定!$C$28,ROUND(($I439-$G439)*1440,0),0))</f>
        <v/>
      </c>
      <c r="O439" s="32">
        <f>IF(OR($C439="",$H439="",$J439=""),0,IF(ROUND(($H439-$J439)*1440,0)&gt;設定!$C$28,ROUND(($H439-$J439)*1440,0),0))</f>
        <v/>
      </c>
      <c r="P439" s="33">
        <f>IF($L439="",0,IF(($L439-IFERROR(INDEX(設定!$G$5:$G$20,MATCH($F439,設定!$B$5:$B$20,0)),0))*60&gt;=設定!$C$26,ROUND(FLOOR(($L439-IFERROR(INDEX(設定!$G$5:$G$20,MATCH($F439,設定!$B$5:$B$20,0)),0))*60,設定!$C$27)/60,2),0))</f>
        <v/>
      </c>
      <c r="Q439" s="29">
        <f>IF(OR($C439="",$P439=0),"",IF($F439="國","國定假日",IF($B439="日","例假",IF($B439="六","休息日","平日"))))</f>
        <v/>
      </c>
      <c r="R439" s="34" t="n"/>
    </row>
    <row r="440">
      <c r="A440" s="30">
        <f>IF(OR(班表!$A20="",4&gt;DAY(EOMONTH(DATE(班表!$E$2,班表!$G$2,1),0))),"",DATE(班表!$E$2,班表!$G$2,4))</f>
        <v/>
      </c>
      <c r="B440" s="29">
        <f>IF($A440="","",INDEX(設定!$L$5:$L$11,WEEKDAY($A440,1)))</f>
        <v/>
      </c>
      <c r="C440" s="29">
        <f>IF($A440="","",班表!$A20)</f>
        <v/>
      </c>
      <c r="D440" s="29">
        <f>IF($C440="","",班表!$B20)</f>
        <v/>
      </c>
      <c r="E440" s="29">
        <f>IF($C440="","",班表!$C20)</f>
        <v/>
      </c>
      <c r="F440" s="29">
        <f>IF($C440="","",班表!G20)</f>
        <v/>
      </c>
      <c r="G440" s="31">
        <f>IF($F440="","",IFERROR(INDEX(設定!$D$5:$D$20,MATCH($F440,設定!$B$5:$B$20,0)),""))</f>
        <v/>
      </c>
      <c r="H440" s="31">
        <f>IF($F440="","",IFERROR(INDEX(設定!$E$5:$E$20,MATCH($F440,設定!$B$5:$B$20,0)),""))</f>
        <v/>
      </c>
      <c r="I440" s="31">
        <f>IFERROR(INDEX(打卡匯入!$C$3:$C$1002,MATCH($C440&amp;"|"&amp;DAY($A440),打卡匯入!$E$3:$E$1002,0)),"")</f>
        <v/>
      </c>
      <c r="J440" s="31">
        <f>IFERROR(INDEX(打卡匯入!$D$3:$D$1002,MATCH($C440&amp;"|"&amp;DAY($A440),打卡匯入!$E$3:$E$1002,0)),"")</f>
        <v/>
      </c>
      <c r="K440" s="32">
        <f>IF(OR($I440="",$J440=""),"",IFERROR(INDEX(設定!$F$5:$F$20,MATCH($F440,設定!$B$5:$B$20,0)),0))</f>
        <v/>
      </c>
      <c r="L440" s="33">
        <f>IF(OR($I440="",$J440=""),"",ROUND(($J440-$I440)*24-$K440/60,2))</f>
        <v/>
      </c>
      <c r="M440" s="29">
        <f>IF($C440="","",IF(AND(COUNTIF(設定!$B$14:$B$20,$F440)&gt;0,$I440&lt;&gt;""),"假日出勤",IF(AND(COUNTIF(設定!$B$5:$B$13,$F440)&gt;0,$I440=""),"未打卡",IF($I440="","",IF($N440&gt;0,"遲到",IF($O440&gt;0,"早退","正常"))))))</f>
        <v/>
      </c>
      <c r="N440" s="32">
        <f>IF(OR($C440="",$G440="",$I440=""),0,IF(ROUND(($I440-$G440)*1440,0)&gt;設定!$C$28,ROUND(($I440-$G440)*1440,0),0))</f>
        <v/>
      </c>
      <c r="O440" s="32">
        <f>IF(OR($C440="",$H440="",$J440=""),0,IF(ROUND(($H440-$J440)*1440,0)&gt;設定!$C$28,ROUND(($H440-$J440)*1440,0),0))</f>
        <v/>
      </c>
      <c r="P440" s="33">
        <f>IF($L440="",0,IF(($L440-IFERROR(INDEX(設定!$G$5:$G$20,MATCH($F440,設定!$B$5:$B$20,0)),0))*60&gt;=設定!$C$26,ROUND(FLOOR(($L440-IFERROR(INDEX(設定!$G$5:$G$20,MATCH($F440,設定!$B$5:$B$20,0)),0))*60,設定!$C$27)/60,2),0))</f>
        <v/>
      </c>
      <c r="Q440" s="29">
        <f>IF(OR($C440="",$P440=0),"",IF($F440="國","國定假日",IF($B440="日","例假",IF($B440="六","休息日","平日"))))</f>
        <v/>
      </c>
      <c r="R440" s="34" t="n"/>
    </row>
    <row r="441">
      <c r="A441" s="30">
        <f>IF(OR(班表!$A20="",5&gt;DAY(EOMONTH(DATE(班表!$E$2,班表!$G$2,1),0))),"",DATE(班表!$E$2,班表!$G$2,5))</f>
        <v/>
      </c>
      <c r="B441" s="29">
        <f>IF($A441="","",INDEX(設定!$L$5:$L$11,WEEKDAY($A441,1)))</f>
        <v/>
      </c>
      <c r="C441" s="29">
        <f>IF($A441="","",班表!$A20)</f>
        <v/>
      </c>
      <c r="D441" s="29">
        <f>IF($C441="","",班表!$B20)</f>
        <v/>
      </c>
      <c r="E441" s="29">
        <f>IF($C441="","",班表!$C20)</f>
        <v/>
      </c>
      <c r="F441" s="29">
        <f>IF($C441="","",班表!H20)</f>
        <v/>
      </c>
      <c r="G441" s="31">
        <f>IF($F441="","",IFERROR(INDEX(設定!$D$5:$D$20,MATCH($F441,設定!$B$5:$B$20,0)),""))</f>
        <v/>
      </c>
      <c r="H441" s="31">
        <f>IF($F441="","",IFERROR(INDEX(設定!$E$5:$E$20,MATCH($F441,設定!$B$5:$B$20,0)),""))</f>
        <v/>
      </c>
      <c r="I441" s="31">
        <f>IFERROR(INDEX(打卡匯入!$C$3:$C$1002,MATCH($C441&amp;"|"&amp;DAY($A441),打卡匯入!$E$3:$E$1002,0)),"")</f>
        <v/>
      </c>
      <c r="J441" s="31">
        <f>IFERROR(INDEX(打卡匯入!$D$3:$D$1002,MATCH($C441&amp;"|"&amp;DAY($A441),打卡匯入!$E$3:$E$1002,0)),"")</f>
        <v/>
      </c>
      <c r="K441" s="32">
        <f>IF(OR($I441="",$J441=""),"",IFERROR(INDEX(設定!$F$5:$F$20,MATCH($F441,設定!$B$5:$B$20,0)),0))</f>
        <v/>
      </c>
      <c r="L441" s="33">
        <f>IF(OR($I441="",$J441=""),"",ROUND(($J441-$I441)*24-$K441/60,2))</f>
        <v/>
      </c>
      <c r="M441" s="29">
        <f>IF($C441="","",IF(AND(COUNTIF(設定!$B$14:$B$20,$F441)&gt;0,$I441&lt;&gt;""),"假日出勤",IF(AND(COUNTIF(設定!$B$5:$B$13,$F441)&gt;0,$I441=""),"未打卡",IF($I441="","",IF($N441&gt;0,"遲到",IF($O441&gt;0,"早退","正常"))))))</f>
        <v/>
      </c>
      <c r="N441" s="32">
        <f>IF(OR($C441="",$G441="",$I441=""),0,IF(ROUND(($I441-$G441)*1440,0)&gt;設定!$C$28,ROUND(($I441-$G441)*1440,0),0))</f>
        <v/>
      </c>
      <c r="O441" s="32">
        <f>IF(OR($C441="",$H441="",$J441=""),0,IF(ROUND(($H441-$J441)*1440,0)&gt;設定!$C$28,ROUND(($H441-$J441)*1440,0),0))</f>
        <v/>
      </c>
      <c r="P441" s="33">
        <f>IF($L441="",0,IF(($L441-IFERROR(INDEX(設定!$G$5:$G$20,MATCH($F441,設定!$B$5:$B$20,0)),0))*60&gt;=設定!$C$26,ROUND(FLOOR(($L441-IFERROR(INDEX(設定!$G$5:$G$20,MATCH($F441,設定!$B$5:$B$20,0)),0))*60,設定!$C$27)/60,2),0))</f>
        <v/>
      </c>
      <c r="Q441" s="29">
        <f>IF(OR($C441="",$P441=0),"",IF($F441="國","國定假日",IF($B441="日","例假",IF($B441="六","休息日","平日"))))</f>
        <v/>
      </c>
      <c r="R441" s="34" t="n"/>
    </row>
    <row r="442">
      <c r="A442" s="30">
        <f>IF(OR(班表!$A20="",6&gt;DAY(EOMONTH(DATE(班表!$E$2,班表!$G$2,1),0))),"",DATE(班表!$E$2,班表!$G$2,6))</f>
        <v/>
      </c>
      <c r="B442" s="29">
        <f>IF($A442="","",INDEX(設定!$L$5:$L$11,WEEKDAY($A442,1)))</f>
        <v/>
      </c>
      <c r="C442" s="29">
        <f>IF($A442="","",班表!$A20)</f>
        <v/>
      </c>
      <c r="D442" s="29">
        <f>IF($C442="","",班表!$B20)</f>
        <v/>
      </c>
      <c r="E442" s="29">
        <f>IF($C442="","",班表!$C20)</f>
        <v/>
      </c>
      <c r="F442" s="29">
        <f>IF($C442="","",班表!I20)</f>
        <v/>
      </c>
      <c r="G442" s="31">
        <f>IF($F442="","",IFERROR(INDEX(設定!$D$5:$D$20,MATCH($F442,設定!$B$5:$B$20,0)),""))</f>
        <v/>
      </c>
      <c r="H442" s="31">
        <f>IF($F442="","",IFERROR(INDEX(設定!$E$5:$E$20,MATCH($F442,設定!$B$5:$B$20,0)),""))</f>
        <v/>
      </c>
      <c r="I442" s="31">
        <f>IFERROR(INDEX(打卡匯入!$C$3:$C$1002,MATCH($C442&amp;"|"&amp;DAY($A442),打卡匯入!$E$3:$E$1002,0)),"")</f>
        <v/>
      </c>
      <c r="J442" s="31">
        <f>IFERROR(INDEX(打卡匯入!$D$3:$D$1002,MATCH($C442&amp;"|"&amp;DAY($A442),打卡匯入!$E$3:$E$1002,0)),"")</f>
        <v/>
      </c>
      <c r="K442" s="32">
        <f>IF(OR($I442="",$J442=""),"",IFERROR(INDEX(設定!$F$5:$F$20,MATCH($F442,設定!$B$5:$B$20,0)),0))</f>
        <v/>
      </c>
      <c r="L442" s="33">
        <f>IF(OR($I442="",$J442=""),"",ROUND(($J442-$I442)*24-$K442/60,2))</f>
        <v/>
      </c>
      <c r="M442" s="29">
        <f>IF($C442="","",IF(AND(COUNTIF(設定!$B$14:$B$20,$F442)&gt;0,$I442&lt;&gt;""),"假日出勤",IF(AND(COUNTIF(設定!$B$5:$B$13,$F442)&gt;0,$I442=""),"未打卡",IF($I442="","",IF($N442&gt;0,"遲到",IF($O442&gt;0,"早退","正常"))))))</f>
        <v/>
      </c>
      <c r="N442" s="32">
        <f>IF(OR($C442="",$G442="",$I442=""),0,IF(ROUND(($I442-$G442)*1440,0)&gt;設定!$C$28,ROUND(($I442-$G442)*1440,0),0))</f>
        <v/>
      </c>
      <c r="O442" s="32">
        <f>IF(OR($C442="",$H442="",$J442=""),0,IF(ROUND(($H442-$J442)*1440,0)&gt;設定!$C$28,ROUND(($H442-$J442)*1440,0),0))</f>
        <v/>
      </c>
      <c r="P442" s="33">
        <f>IF($L442="",0,IF(($L442-IFERROR(INDEX(設定!$G$5:$G$20,MATCH($F442,設定!$B$5:$B$20,0)),0))*60&gt;=設定!$C$26,ROUND(FLOOR(($L442-IFERROR(INDEX(設定!$G$5:$G$20,MATCH($F442,設定!$B$5:$B$20,0)),0))*60,設定!$C$27)/60,2),0))</f>
        <v/>
      </c>
      <c r="Q442" s="29">
        <f>IF(OR($C442="",$P442=0),"",IF($F442="國","國定假日",IF($B442="日","例假",IF($B442="六","休息日","平日"))))</f>
        <v/>
      </c>
      <c r="R442" s="34" t="n"/>
    </row>
    <row r="443">
      <c r="A443" s="30">
        <f>IF(OR(班表!$A20="",7&gt;DAY(EOMONTH(DATE(班表!$E$2,班表!$G$2,1),0))),"",DATE(班表!$E$2,班表!$G$2,7))</f>
        <v/>
      </c>
      <c r="B443" s="29">
        <f>IF($A443="","",INDEX(設定!$L$5:$L$11,WEEKDAY($A443,1)))</f>
        <v/>
      </c>
      <c r="C443" s="29">
        <f>IF($A443="","",班表!$A20)</f>
        <v/>
      </c>
      <c r="D443" s="29">
        <f>IF($C443="","",班表!$B20)</f>
        <v/>
      </c>
      <c r="E443" s="29">
        <f>IF($C443="","",班表!$C20)</f>
        <v/>
      </c>
      <c r="F443" s="29">
        <f>IF($C443="","",班表!J20)</f>
        <v/>
      </c>
      <c r="G443" s="31">
        <f>IF($F443="","",IFERROR(INDEX(設定!$D$5:$D$20,MATCH($F443,設定!$B$5:$B$20,0)),""))</f>
        <v/>
      </c>
      <c r="H443" s="31">
        <f>IF($F443="","",IFERROR(INDEX(設定!$E$5:$E$20,MATCH($F443,設定!$B$5:$B$20,0)),""))</f>
        <v/>
      </c>
      <c r="I443" s="31">
        <f>IFERROR(INDEX(打卡匯入!$C$3:$C$1002,MATCH($C443&amp;"|"&amp;DAY($A443),打卡匯入!$E$3:$E$1002,0)),"")</f>
        <v/>
      </c>
      <c r="J443" s="31">
        <f>IFERROR(INDEX(打卡匯入!$D$3:$D$1002,MATCH($C443&amp;"|"&amp;DAY($A443),打卡匯入!$E$3:$E$1002,0)),"")</f>
        <v/>
      </c>
      <c r="K443" s="32">
        <f>IF(OR($I443="",$J443=""),"",IFERROR(INDEX(設定!$F$5:$F$20,MATCH($F443,設定!$B$5:$B$20,0)),0))</f>
        <v/>
      </c>
      <c r="L443" s="33">
        <f>IF(OR($I443="",$J443=""),"",ROUND(($J443-$I443)*24-$K443/60,2))</f>
        <v/>
      </c>
      <c r="M443" s="29">
        <f>IF($C443="","",IF(AND(COUNTIF(設定!$B$14:$B$20,$F443)&gt;0,$I443&lt;&gt;""),"假日出勤",IF(AND(COUNTIF(設定!$B$5:$B$13,$F443)&gt;0,$I443=""),"未打卡",IF($I443="","",IF($N443&gt;0,"遲到",IF($O443&gt;0,"早退","正常"))))))</f>
        <v/>
      </c>
      <c r="N443" s="32">
        <f>IF(OR($C443="",$G443="",$I443=""),0,IF(ROUND(($I443-$G443)*1440,0)&gt;設定!$C$28,ROUND(($I443-$G443)*1440,0),0))</f>
        <v/>
      </c>
      <c r="O443" s="32">
        <f>IF(OR($C443="",$H443="",$J443=""),0,IF(ROUND(($H443-$J443)*1440,0)&gt;設定!$C$28,ROUND(($H443-$J443)*1440,0),0))</f>
        <v/>
      </c>
      <c r="P443" s="33">
        <f>IF($L443="",0,IF(($L443-IFERROR(INDEX(設定!$G$5:$G$20,MATCH($F443,設定!$B$5:$B$20,0)),0))*60&gt;=設定!$C$26,ROUND(FLOOR(($L443-IFERROR(INDEX(設定!$G$5:$G$20,MATCH($F443,設定!$B$5:$B$20,0)),0))*60,設定!$C$27)/60,2),0))</f>
        <v/>
      </c>
      <c r="Q443" s="29">
        <f>IF(OR($C443="",$P443=0),"",IF($F443="國","國定假日",IF($B443="日","例假",IF($B443="六","休息日","平日"))))</f>
        <v/>
      </c>
      <c r="R443" s="34" t="n"/>
    </row>
    <row r="444">
      <c r="A444" s="30">
        <f>IF(OR(班表!$A20="",8&gt;DAY(EOMONTH(DATE(班表!$E$2,班表!$G$2,1),0))),"",DATE(班表!$E$2,班表!$G$2,8))</f>
        <v/>
      </c>
      <c r="B444" s="29">
        <f>IF($A444="","",INDEX(設定!$L$5:$L$11,WEEKDAY($A444,1)))</f>
        <v/>
      </c>
      <c r="C444" s="29">
        <f>IF($A444="","",班表!$A20)</f>
        <v/>
      </c>
      <c r="D444" s="29">
        <f>IF($C444="","",班表!$B20)</f>
        <v/>
      </c>
      <c r="E444" s="29">
        <f>IF($C444="","",班表!$C20)</f>
        <v/>
      </c>
      <c r="F444" s="29">
        <f>IF($C444="","",班表!K20)</f>
        <v/>
      </c>
      <c r="G444" s="31">
        <f>IF($F444="","",IFERROR(INDEX(設定!$D$5:$D$20,MATCH($F444,設定!$B$5:$B$20,0)),""))</f>
        <v/>
      </c>
      <c r="H444" s="31">
        <f>IF($F444="","",IFERROR(INDEX(設定!$E$5:$E$20,MATCH($F444,設定!$B$5:$B$20,0)),""))</f>
        <v/>
      </c>
      <c r="I444" s="31">
        <f>IFERROR(INDEX(打卡匯入!$C$3:$C$1002,MATCH($C444&amp;"|"&amp;DAY($A444),打卡匯入!$E$3:$E$1002,0)),"")</f>
        <v/>
      </c>
      <c r="J444" s="31">
        <f>IFERROR(INDEX(打卡匯入!$D$3:$D$1002,MATCH($C444&amp;"|"&amp;DAY($A444),打卡匯入!$E$3:$E$1002,0)),"")</f>
        <v/>
      </c>
      <c r="K444" s="32">
        <f>IF(OR($I444="",$J444=""),"",IFERROR(INDEX(設定!$F$5:$F$20,MATCH($F444,設定!$B$5:$B$20,0)),0))</f>
        <v/>
      </c>
      <c r="L444" s="33">
        <f>IF(OR($I444="",$J444=""),"",ROUND(($J444-$I444)*24-$K444/60,2))</f>
        <v/>
      </c>
      <c r="M444" s="29">
        <f>IF($C444="","",IF(AND(COUNTIF(設定!$B$14:$B$20,$F444)&gt;0,$I444&lt;&gt;""),"假日出勤",IF(AND(COUNTIF(設定!$B$5:$B$13,$F444)&gt;0,$I444=""),"未打卡",IF($I444="","",IF($N444&gt;0,"遲到",IF($O444&gt;0,"早退","正常"))))))</f>
        <v/>
      </c>
      <c r="N444" s="32">
        <f>IF(OR($C444="",$G444="",$I444=""),0,IF(ROUND(($I444-$G444)*1440,0)&gt;設定!$C$28,ROUND(($I444-$G444)*1440,0),0))</f>
        <v/>
      </c>
      <c r="O444" s="32">
        <f>IF(OR($C444="",$H444="",$J444=""),0,IF(ROUND(($H444-$J444)*1440,0)&gt;設定!$C$28,ROUND(($H444-$J444)*1440,0),0))</f>
        <v/>
      </c>
      <c r="P444" s="33">
        <f>IF($L444="",0,IF(($L444-IFERROR(INDEX(設定!$G$5:$G$20,MATCH($F444,設定!$B$5:$B$20,0)),0))*60&gt;=設定!$C$26,ROUND(FLOOR(($L444-IFERROR(INDEX(設定!$G$5:$G$20,MATCH($F444,設定!$B$5:$B$20,0)),0))*60,設定!$C$27)/60,2),0))</f>
        <v/>
      </c>
      <c r="Q444" s="29">
        <f>IF(OR($C444="",$P444=0),"",IF($F444="國","國定假日",IF($B444="日","例假",IF($B444="六","休息日","平日"))))</f>
        <v/>
      </c>
      <c r="R444" s="34" t="n"/>
    </row>
    <row r="445">
      <c r="A445" s="30">
        <f>IF(OR(班表!$A20="",9&gt;DAY(EOMONTH(DATE(班表!$E$2,班表!$G$2,1),0))),"",DATE(班表!$E$2,班表!$G$2,9))</f>
        <v/>
      </c>
      <c r="B445" s="29">
        <f>IF($A445="","",INDEX(設定!$L$5:$L$11,WEEKDAY($A445,1)))</f>
        <v/>
      </c>
      <c r="C445" s="29">
        <f>IF($A445="","",班表!$A20)</f>
        <v/>
      </c>
      <c r="D445" s="29">
        <f>IF($C445="","",班表!$B20)</f>
        <v/>
      </c>
      <c r="E445" s="29">
        <f>IF($C445="","",班表!$C20)</f>
        <v/>
      </c>
      <c r="F445" s="29">
        <f>IF($C445="","",班表!L20)</f>
        <v/>
      </c>
      <c r="G445" s="31">
        <f>IF($F445="","",IFERROR(INDEX(設定!$D$5:$D$20,MATCH($F445,設定!$B$5:$B$20,0)),""))</f>
        <v/>
      </c>
      <c r="H445" s="31">
        <f>IF($F445="","",IFERROR(INDEX(設定!$E$5:$E$20,MATCH($F445,設定!$B$5:$B$20,0)),""))</f>
        <v/>
      </c>
      <c r="I445" s="31">
        <f>IFERROR(INDEX(打卡匯入!$C$3:$C$1002,MATCH($C445&amp;"|"&amp;DAY($A445),打卡匯入!$E$3:$E$1002,0)),"")</f>
        <v/>
      </c>
      <c r="J445" s="31">
        <f>IFERROR(INDEX(打卡匯入!$D$3:$D$1002,MATCH($C445&amp;"|"&amp;DAY($A445),打卡匯入!$E$3:$E$1002,0)),"")</f>
        <v/>
      </c>
      <c r="K445" s="32">
        <f>IF(OR($I445="",$J445=""),"",IFERROR(INDEX(設定!$F$5:$F$20,MATCH($F445,設定!$B$5:$B$20,0)),0))</f>
        <v/>
      </c>
      <c r="L445" s="33">
        <f>IF(OR($I445="",$J445=""),"",ROUND(($J445-$I445)*24-$K445/60,2))</f>
        <v/>
      </c>
      <c r="M445" s="29">
        <f>IF($C445="","",IF(AND(COUNTIF(設定!$B$14:$B$20,$F445)&gt;0,$I445&lt;&gt;""),"假日出勤",IF(AND(COUNTIF(設定!$B$5:$B$13,$F445)&gt;0,$I445=""),"未打卡",IF($I445="","",IF($N445&gt;0,"遲到",IF($O445&gt;0,"早退","正常"))))))</f>
        <v/>
      </c>
      <c r="N445" s="32">
        <f>IF(OR($C445="",$G445="",$I445=""),0,IF(ROUND(($I445-$G445)*1440,0)&gt;設定!$C$28,ROUND(($I445-$G445)*1440,0),0))</f>
        <v/>
      </c>
      <c r="O445" s="32">
        <f>IF(OR($C445="",$H445="",$J445=""),0,IF(ROUND(($H445-$J445)*1440,0)&gt;設定!$C$28,ROUND(($H445-$J445)*1440,0),0))</f>
        <v/>
      </c>
      <c r="P445" s="33">
        <f>IF($L445="",0,IF(($L445-IFERROR(INDEX(設定!$G$5:$G$20,MATCH($F445,設定!$B$5:$B$20,0)),0))*60&gt;=設定!$C$26,ROUND(FLOOR(($L445-IFERROR(INDEX(設定!$G$5:$G$20,MATCH($F445,設定!$B$5:$B$20,0)),0))*60,設定!$C$27)/60,2),0))</f>
        <v/>
      </c>
      <c r="Q445" s="29">
        <f>IF(OR($C445="",$P445=0),"",IF($F445="國","國定假日",IF($B445="日","例假",IF($B445="六","休息日","平日"))))</f>
        <v/>
      </c>
      <c r="R445" s="34" t="n"/>
    </row>
    <row r="446">
      <c r="A446" s="30">
        <f>IF(OR(班表!$A20="",10&gt;DAY(EOMONTH(DATE(班表!$E$2,班表!$G$2,1),0))),"",DATE(班表!$E$2,班表!$G$2,10))</f>
        <v/>
      </c>
      <c r="B446" s="29">
        <f>IF($A446="","",INDEX(設定!$L$5:$L$11,WEEKDAY($A446,1)))</f>
        <v/>
      </c>
      <c r="C446" s="29">
        <f>IF($A446="","",班表!$A20)</f>
        <v/>
      </c>
      <c r="D446" s="29">
        <f>IF($C446="","",班表!$B20)</f>
        <v/>
      </c>
      <c r="E446" s="29">
        <f>IF($C446="","",班表!$C20)</f>
        <v/>
      </c>
      <c r="F446" s="29">
        <f>IF($C446="","",班表!M20)</f>
        <v/>
      </c>
      <c r="G446" s="31">
        <f>IF($F446="","",IFERROR(INDEX(設定!$D$5:$D$20,MATCH($F446,設定!$B$5:$B$20,0)),""))</f>
        <v/>
      </c>
      <c r="H446" s="31">
        <f>IF($F446="","",IFERROR(INDEX(設定!$E$5:$E$20,MATCH($F446,設定!$B$5:$B$20,0)),""))</f>
        <v/>
      </c>
      <c r="I446" s="31">
        <f>IFERROR(INDEX(打卡匯入!$C$3:$C$1002,MATCH($C446&amp;"|"&amp;DAY($A446),打卡匯入!$E$3:$E$1002,0)),"")</f>
        <v/>
      </c>
      <c r="J446" s="31">
        <f>IFERROR(INDEX(打卡匯入!$D$3:$D$1002,MATCH($C446&amp;"|"&amp;DAY($A446),打卡匯入!$E$3:$E$1002,0)),"")</f>
        <v/>
      </c>
      <c r="K446" s="32">
        <f>IF(OR($I446="",$J446=""),"",IFERROR(INDEX(設定!$F$5:$F$20,MATCH($F446,設定!$B$5:$B$20,0)),0))</f>
        <v/>
      </c>
      <c r="L446" s="33">
        <f>IF(OR($I446="",$J446=""),"",ROUND(($J446-$I446)*24-$K446/60,2))</f>
        <v/>
      </c>
      <c r="M446" s="29">
        <f>IF($C446="","",IF(AND(COUNTIF(設定!$B$14:$B$20,$F446)&gt;0,$I446&lt;&gt;""),"假日出勤",IF(AND(COUNTIF(設定!$B$5:$B$13,$F446)&gt;0,$I446=""),"未打卡",IF($I446="","",IF($N446&gt;0,"遲到",IF($O446&gt;0,"早退","正常"))))))</f>
        <v/>
      </c>
      <c r="N446" s="32">
        <f>IF(OR($C446="",$G446="",$I446=""),0,IF(ROUND(($I446-$G446)*1440,0)&gt;設定!$C$28,ROUND(($I446-$G446)*1440,0),0))</f>
        <v/>
      </c>
      <c r="O446" s="32">
        <f>IF(OR($C446="",$H446="",$J446=""),0,IF(ROUND(($H446-$J446)*1440,0)&gt;設定!$C$28,ROUND(($H446-$J446)*1440,0),0))</f>
        <v/>
      </c>
      <c r="P446" s="33">
        <f>IF($L446="",0,IF(($L446-IFERROR(INDEX(設定!$G$5:$G$20,MATCH($F446,設定!$B$5:$B$20,0)),0))*60&gt;=設定!$C$26,ROUND(FLOOR(($L446-IFERROR(INDEX(設定!$G$5:$G$20,MATCH($F446,設定!$B$5:$B$20,0)),0))*60,設定!$C$27)/60,2),0))</f>
        <v/>
      </c>
      <c r="Q446" s="29">
        <f>IF(OR($C446="",$P446=0),"",IF($F446="國","國定假日",IF($B446="日","例假",IF($B446="六","休息日","平日"))))</f>
        <v/>
      </c>
      <c r="R446" s="34" t="n"/>
    </row>
    <row r="447">
      <c r="A447" s="30">
        <f>IF(OR(班表!$A20="",11&gt;DAY(EOMONTH(DATE(班表!$E$2,班表!$G$2,1),0))),"",DATE(班表!$E$2,班表!$G$2,11))</f>
        <v/>
      </c>
      <c r="B447" s="29">
        <f>IF($A447="","",INDEX(設定!$L$5:$L$11,WEEKDAY($A447,1)))</f>
        <v/>
      </c>
      <c r="C447" s="29">
        <f>IF($A447="","",班表!$A20)</f>
        <v/>
      </c>
      <c r="D447" s="29">
        <f>IF($C447="","",班表!$B20)</f>
        <v/>
      </c>
      <c r="E447" s="29">
        <f>IF($C447="","",班表!$C20)</f>
        <v/>
      </c>
      <c r="F447" s="29">
        <f>IF($C447="","",班表!N20)</f>
        <v/>
      </c>
      <c r="G447" s="31">
        <f>IF($F447="","",IFERROR(INDEX(設定!$D$5:$D$20,MATCH($F447,設定!$B$5:$B$20,0)),""))</f>
        <v/>
      </c>
      <c r="H447" s="31">
        <f>IF($F447="","",IFERROR(INDEX(設定!$E$5:$E$20,MATCH($F447,設定!$B$5:$B$20,0)),""))</f>
        <v/>
      </c>
      <c r="I447" s="31">
        <f>IFERROR(INDEX(打卡匯入!$C$3:$C$1002,MATCH($C447&amp;"|"&amp;DAY($A447),打卡匯入!$E$3:$E$1002,0)),"")</f>
        <v/>
      </c>
      <c r="J447" s="31">
        <f>IFERROR(INDEX(打卡匯入!$D$3:$D$1002,MATCH($C447&amp;"|"&amp;DAY($A447),打卡匯入!$E$3:$E$1002,0)),"")</f>
        <v/>
      </c>
      <c r="K447" s="32">
        <f>IF(OR($I447="",$J447=""),"",IFERROR(INDEX(設定!$F$5:$F$20,MATCH($F447,設定!$B$5:$B$20,0)),0))</f>
        <v/>
      </c>
      <c r="L447" s="33">
        <f>IF(OR($I447="",$J447=""),"",ROUND(($J447-$I447)*24-$K447/60,2))</f>
        <v/>
      </c>
      <c r="M447" s="29">
        <f>IF($C447="","",IF(AND(COUNTIF(設定!$B$14:$B$20,$F447)&gt;0,$I447&lt;&gt;""),"假日出勤",IF(AND(COUNTIF(設定!$B$5:$B$13,$F447)&gt;0,$I447=""),"未打卡",IF($I447="","",IF($N447&gt;0,"遲到",IF($O447&gt;0,"早退","正常"))))))</f>
        <v/>
      </c>
      <c r="N447" s="32">
        <f>IF(OR($C447="",$G447="",$I447=""),0,IF(ROUND(($I447-$G447)*1440,0)&gt;設定!$C$28,ROUND(($I447-$G447)*1440,0),0))</f>
        <v/>
      </c>
      <c r="O447" s="32">
        <f>IF(OR($C447="",$H447="",$J447=""),0,IF(ROUND(($H447-$J447)*1440,0)&gt;設定!$C$28,ROUND(($H447-$J447)*1440,0),0))</f>
        <v/>
      </c>
      <c r="P447" s="33">
        <f>IF($L447="",0,IF(($L447-IFERROR(INDEX(設定!$G$5:$G$20,MATCH($F447,設定!$B$5:$B$20,0)),0))*60&gt;=設定!$C$26,ROUND(FLOOR(($L447-IFERROR(INDEX(設定!$G$5:$G$20,MATCH($F447,設定!$B$5:$B$20,0)),0))*60,設定!$C$27)/60,2),0))</f>
        <v/>
      </c>
      <c r="Q447" s="29">
        <f>IF(OR($C447="",$P447=0),"",IF($F447="國","國定假日",IF($B447="日","例假",IF($B447="六","休息日","平日"))))</f>
        <v/>
      </c>
      <c r="R447" s="34" t="n"/>
    </row>
    <row r="448">
      <c r="A448" s="30">
        <f>IF(OR(班表!$A20="",12&gt;DAY(EOMONTH(DATE(班表!$E$2,班表!$G$2,1),0))),"",DATE(班表!$E$2,班表!$G$2,12))</f>
        <v/>
      </c>
      <c r="B448" s="29">
        <f>IF($A448="","",INDEX(設定!$L$5:$L$11,WEEKDAY($A448,1)))</f>
        <v/>
      </c>
      <c r="C448" s="29">
        <f>IF($A448="","",班表!$A20)</f>
        <v/>
      </c>
      <c r="D448" s="29">
        <f>IF($C448="","",班表!$B20)</f>
        <v/>
      </c>
      <c r="E448" s="29">
        <f>IF($C448="","",班表!$C20)</f>
        <v/>
      </c>
      <c r="F448" s="29">
        <f>IF($C448="","",班表!O20)</f>
        <v/>
      </c>
      <c r="G448" s="31">
        <f>IF($F448="","",IFERROR(INDEX(設定!$D$5:$D$20,MATCH($F448,設定!$B$5:$B$20,0)),""))</f>
        <v/>
      </c>
      <c r="H448" s="31">
        <f>IF($F448="","",IFERROR(INDEX(設定!$E$5:$E$20,MATCH($F448,設定!$B$5:$B$20,0)),""))</f>
        <v/>
      </c>
      <c r="I448" s="31">
        <f>IFERROR(INDEX(打卡匯入!$C$3:$C$1002,MATCH($C448&amp;"|"&amp;DAY($A448),打卡匯入!$E$3:$E$1002,0)),"")</f>
        <v/>
      </c>
      <c r="J448" s="31">
        <f>IFERROR(INDEX(打卡匯入!$D$3:$D$1002,MATCH($C448&amp;"|"&amp;DAY($A448),打卡匯入!$E$3:$E$1002,0)),"")</f>
        <v/>
      </c>
      <c r="K448" s="32">
        <f>IF(OR($I448="",$J448=""),"",IFERROR(INDEX(設定!$F$5:$F$20,MATCH($F448,設定!$B$5:$B$20,0)),0))</f>
        <v/>
      </c>
      <c r="L448" s="33">
        <f>IF(OR($I448="",$J448=""),"",ROUND(($J448-$I448)*24-$K448/60,2))</f>
        <v/>
      </c>
      <c r="M448" s="29">
        <f>IF($C448="","",IF(AND(COUNTIF(設定!$B$14:$B$20,$F448)&gt;0,$I448&lt;&gt;""),"假日出勤",IF(AND(COUNTIF(設定!$B$5:$B$13,$F448)&gt;0,$I448=""),"未打卡",IF($I448="","",IF($N448&gt;0,"遲到",IF($O448&gt;0,"早退","正常"))))))</f>
        <v/>
      </c>
      <c r="N448" s="32">
        <f>IF(OR($C448="",$G448="",$I448=""),0,IF(ROUND(($I448-$G448)*1440,0)&gt;設定!$C$28,ROUND(($I448-$G448)*1440,0),0))</f>
        <v/>
      </c>
      <c r="O448" s="32">
        <f>IF(OR($C448="",$H448="",$J448=""),0,IF(ROUND(($H448-$J448)*1440,0)&gt;設定!$C$28,ROUND(($H448-$J448)*1440,0),0))</f>
        <v/>
      </c>
      <c r="P448" s="33">
        <f>IF($L448="",0,IF(($L448-IFERROR(INDEX(設定!$G$5:$G$20,MATCH($F448,設定!$B$5:$B$20,0)),0))*60&gt;=設定!$C$26,ROUND(FLOOR(($L448-IFERROR(INDEX(設定!$G$5:$G$20,MATCH($F448,設定!$B$5:$B$20,0)),0))*60,設定!$C$27)/60,2),0))</f>
        <v/>
      </c>
      <c r="Q448" s="29">
        <f>IF(OR($C448="",$P448=0),"",IF($F448="國","國定假日",IF($B448="日","例假",IF($B448="六","休息日","平日"))))</f>
        <v/>
      </c>
      <c r="R448" s="34" t="n"/>
    </row>
    <row r="449">
      <c r="A449" s="30">
        <f>IF(OR(班表!$A20="",13&gt;DAY(EOMONTH(DATE(班表!$E$2,班表!$G$2,1),0))),"",DATE(班表!$E$2,班表!$G$2,13))</f>
        <v/>
      </c>
      <c r="B449" s="29">
        <f>IF($A449="","",INDEX(設定!$L$5:$L$11,WEEKDAY($A449,1)))</f>
        <v/>
      </c>
      <c r="C449" s="29">
        <f>IF($A449="","",班表!$A20)</f>
        <v/>
      </c>
      <c r="D449" s="29">
        <f>IF($C449="","",班表!$B20)</f>
        <v/>
      </c>
      <c r="E449" s="29">
        <f>IF($C449="","",班表!$C20)</f>
        <v/>
      </c>
      <c r="F449" s="29">
        <f>IF($C449="","",班表!P20)</f>
        <v/>
      </c>
      <c r="G449" s="31">
        <f>IF($F449="","",IFERROR(INDEX(設定!$D$5:$D$20,MATCH($F449,設定!$B$5:$B$20,0)),""))</f>
        <v/>
      </c>
      <c r="H449" s="31">
        <f>IF($F449="","",IFERROR(INDEX(設定!$E$5:$E$20,MATCH($F449,設定!$B$5:$B$20,0)),""))</f>
        <v/>
      </c>
      <c r="I449" s="31">
        <f>IFERROR(INDEX(打卡匯入!$C$3:$C$1002,MATCH($C449&amp;"|"&amp;DAY($A449),打卡匯入!$E$3:$E$1002,0)),"")</f>
        <v/>
      </c>
      <c r="J449" s="31">
        <f>IFERROR(INDEX(打卡匯入!$D$3:$D$1002,MATCH($C449&amp;"|"&amp;DAY($A449),打卡匯入!$E$3:$E$1002,0)),"")</f>
        <v/>
      </c>
      <c r="K449" s="32">
        <f>IF(OR($I449="",$J449=""),"",IFERROR(INDEX(設定!$F$5:$F$20,MATCH($F449,設定!$B$5:$B$20,0)),0))</f>
        <v/>
      </c>
      <c r="L449" s="33">
        <f>IF(OR($I449="",$J449=""),"",ROUND(($J449-$I449)*24-$K449/60,2))</f>
        <v/>
      </c>
      <c r="M449" s="29">
        <f>IF($C449="","",IF(AND(COUNTIF(設定!$B$14:$B$20,$F449)&gt;0,$I449&lt;&gt;""),"假日出勤",IF(AND(COUNTIF(設定!$B$5:$B$13,$F449)&gt;0,$I449=""),"未打卡",IF($I449="","",IF($N449&gt;0,"遲到",IF($O449&gt;0,"早退","正常"))))))</f>
        <v/>
      </c>
      <c r="N449" s="32">
        <f>IF(OR($C449="",$G449="",$I449=""),0,IF(ROUND(($I449-$G449)*1440,0)&gt;設定!$C$28,ROUND(($I449-$G449)*1440,0),0))</f>
        <v/>
      </c>
      <c r="O449" s="32">
        <f>IF(OR($C449="",$H449="",$J449=""),0,IF(ROUND(($H449-$J449)*1440,0)&gt;設定!$C$28,ROUND(($H449-$J449)*1440,0),0))</f>
        <v/>
      </c>
      <c r="P449" s="33">
        <f>IF($L449="",0,IF(($L449-IFERROR(INDEX(設定!$G$5:$G$20,MATCH($F449,設定!$B$5:$B$20,0)),0))*60&gt;=設定!$C$26,ROUND(FLOOR(($L449-IFERROR(INDEX(設定!$G$5:$G$20,MATCH($F449,設定!$B$5:$B$20,0)),0))*60,設定!$C$27)/60,2),0))</f>
        <v/>
      </c>
      <c r="Q449" s="29">
        <f>IF(OR($C449="",$P449=0),"",IF($F449="國","國定假日",IF($B449="日","例假",IF($B449="六","休息日","平日"))))</f>
        <v/>
      </c>
      <c r="R449" s="34" t="n"/>
    </row>
    <row r="450">
      <c r="A450" s="30">
        <f>IF(OR(班表!$A20="",14&gt;DAY(EOMONTH(DATE(班表!$E$2,班表!$G$2,1),0))),"",DATE(班表!$E$2,班表!$G$2,14))</f>
        <v/>
      </c>
      <c r="B450" s="29">
        <f>IF($A450="","",INDEX(設定!$L$5:$L$11,WEEKDAY($A450,1)))</f>
        <v/>
      </c>
      <c r="C450" s="29">
        <f>IF($A450="","",班表!$A20)</f>
        <v/>
      </c>
      <c r="D450" s="29">
        <f>IF($C450="","",班表!$B20)</f>
        <v/>
      </c>
      <c r="E450" s="29">
        <f>IF($C450="","",班表!$C20)</f>
        <v/>
      </c>
      <c r="F450" s="29">
        <f>IF($C450="","",班表!Q20)</f>
        <v/>
      </c>
      <c r="G450" s="31">
        <f>IF($F450="","",IFERROR(INDEX(設定!$D$5:$D$20,MATCH($F450,設定!$B$5:$B$20,0)),""))</f>
        <v/>
      </c>
      <c r="H450" s="31">
        <f>IF($F450="","",IFERROR(INDEX(設定!$E$5:$E$20,MATCH($F450,設定!$B$5:$B$20,0)),""))</f>
        <v/>
      </c>
      <c r="I450" s="31">
        <f>IFERROR(INDEX(打卡匯入!$C$3:$C$1002,MATCH($C450&amp;"|"&amp;DAY($A450),打卡匯入!$E$3:$E$1002,0)),"")</f>
        <v/>
      </c>
      <c r="J450" s="31">
        <f>IFERROR(INDEX(打卡匯入!$D$3:$D$1002,MATCH($C450&amp;"|"&amp;DAY($A450),打卡匯入!$E$3:$E$1002,0)),"")</f>
        <v/>
      </c>
      <c r="K450" s="32">
        <f>IF(OR($I450="",$J450=""),"",IFERROR(INDEX(設定!$F$5:$F$20,MATCH($F450,設定!$B$5:$B$20,0)),0))</f>
        <v/>
      </c>
      <c r="L450" s="33">
        <f>IF(OR($I450="",$J450=""),"",ROUND(($J450-$I450)*24-$K450/60,2))</f>
        <v/>
      </c>
      <c r="M450" s="29">
        <f>IF($C450="","",IF(AND(COUNTIF(設定!$B$14:$B$20,$F450)&gt;0,$I450&lt;&gt;""),"假日出勤",IF(AND(COUNTIF(設定!$B$5:$B$13,$F450)&gt;0,$I450=""),"未打卡",IF($I450="","",IF($N450&gt;0,"遲到",IF($O450&gt;0,"早退","正常"))))))</f>
        <v/>
      </c>
      <c r="N450" s="32">
        <f>IF(OR($C450="",$G450="",$I450=""),0,IF(ROUND(($I450-$G450)*1440,0)&gt;設定!$C$28,ROUND(($I450-$G450)*1440,0),0))</f>
        <v/>
      </c>
      <c r="O450" s="32">
        <f>IF(OR($C450="",$H450="",$J450=""),0,IF(ROUND(($H450-$J450)*1440,0)&gt;設定!$C$28,ROUND(($H450-$J450)*1440,0),0))</f>
        <v/>
      </c>
      <c r="P450" s="33">
        <f>IF($L450="",0,IF(($L450-IFERROR(INDEX(設定!$G$5:$G$20,MATCH($F450,設定!$B$5:$B$20,0)),0))*60&gt;=設定!$C$26,ROUND(FLOOR(($L450-IFERROR(INDEX(設定!$G$5:$G$20,MATCH($F450,設定!$B$5:$B$20,0)),0))*60,設定!$C$27)/60,2),0))</f>
        <v/>
      </c>
      <c r="Q450" s="29">
        <f>IF(OR($C450="",$P450=0),"",IF($F450="國","國定假日",IF($B450="日","例假",IF($B450="六","休息日","平日"))))</f>
        <v/>
      </c>
      <c r="R450" s="34" t="n"/>
    </row>
    <row r="451">
      <c r="A451" s="30">
        <f>IF(OR(班表!$A20="",15&gt;DAY(EOMONTH(DATE(班表!$E$2,班表!$G$2,1),0))),"",DATE(班表!$E$2,班表!$G$2,15))</f>
        <v/>
      </c>
      <c r="B451" s="29">
        <f>IF($A451="","",INDEX(設定!$L$5:$L$11,WEEKDAY($A451,1)))</f>
        <v/>
      </c>
      <c r="C451" s="29">
        <f>IF($A451="","",班表!$A20)</f>
        <v/>
      </c>
      <c r="D451" s="29">
        <f>IF($C451="","",班表!$B20)</f>
        <v/>
      </c>
      <c r="E451" s="29">
        <f>IF($C451="","",班表!$C20)</f>
        <v/>
      </c>
      <c r="F451" s="29">
        <f>IF($C451="","",班表!R20)</f>
        <v/>
      </c>
      <c r="G451" s="31">
        <f>IF($F451="","",IFERROR(INDEX(設定!$D$5:$D$20,MATCH($F451,設定!$B$5:$B$20,0)),""))</f>
        <v/>
      </c>
      <c r="H451" s="31">
        <f>IF($F451="","",IFERROR(INDEX(設定!$E$5:$E$20,MATCH($F451,設定!$B$5:$B$20,0)),""))</f>
        <v/>
      </c>
      <c r="I451" s="31">
        <f>IFERROR(INDEX(打卡匯入!$C$3:$C$1002,MATCH($C451&amp;"|"&amp;DAY($A451),打卡匯入!$E$3:$E$1002,0)),"")</f>
        <v/>
      </c>
      <c r="J451" s="31">
        <f>IFERROR(INDEX(打卡匯入!$D$3:$D$1002,MATCH($C451&amp;"|"&amp;DAY($A451),打卡匯入!$E$3:$E$1002,0)),"")</f>
        <v/>
      </c>
      <c r="K451" s="32">
        <f>IF(OR($I451="",$J451=""),"",IFERROR(INDEX(設定!$F$5:$F$20,MATCH($F451,設定!$B$5:$B$20,0)),0))</f>
        <v/>
      </c>
      <c r="L451" s="33">
        <f>IF(OR($I451="",$J451=""),"",ROUND(($J451-$I451)*24-$K451/60,2))</f>
        <v/>
      </c>
      <c r="M451" s="29">
        <f>IF($C451="","",IF(AND(COUNTIF(設定!$B$14:$B$20,$F451)&gt;0,$I451&lt;&gt;""),"假日出勤",IF(AND(COUNTIF(設定!$B$5:$B$13,$F451)&gt;0,$I451=""),"未打卡",IF($I451="","",IF($N451&gt;0,"遲到",IF($O451&gt;0,"早退","正常"))))))</f>
        <v/>
      </c>
      <c r="N451" s="32">
        <f>IF(OR($C451="",$G451="",$I451=""),0,IF(ROUND(($I451-$G451)*1440,0)&gt;設定!$C$28,ROUND(($I451-$G451)*1440,0),0))</f>
        <v/>
      </c>
      <c r="O451" s="32">
        <f>IF(OR($C451="",$H451="",$J451=""),0,IF(ROUND(($H451-$J451)*1440,0)&gt;設定!$C$28,ROUND(($H451-$J451)*1440,0),0))</f>
        <v/>
      </c>
      <c r="P451" s="33">
        <f>IF($L451="",0,IF(($L451-IFERROR(INDEX(設定!$G$5:$G$20,MATCH($F451,設定!$B$5:$B$20,0)),0))*60&gt;=設定!$C$26,ROUND(FLOOR(($L451-IFERROR(INDEX(設定!$G$5:$G$20,MATCH($F451,設定!$B$5:$B$20,0)),0))*60,設定!$C$27)/60,2),0))</f>
        <v/>
      </c>
      <c r="Q451" s="29">
        <f>IF(OR($C451="",$P451=0),"",IF($F451="國","國定假日",IF($B451="日","例假",IF($B451="六","休息日","平日"))))</f>
        <v/>
      </c>
      <c r="R451" s="34" t="n"/>
    </row>
    <row r="452">
      <c r="A452" s="30">
        <f>IF(OR(班表!$A20="",16&gt;DAY(EOMONTH(DATE(班表!$E$2,班表!$G$2,1),0))),"",DATE(班表!$E$2,班表!$G$2,16))</f>
        <v/>
      </c>
      <c r="B452" s="29">
        <f>IF($A452="","",INDEX(設定!$L$5:$L$11,WEEKDAY($A452,1)))</f>
        <v/>
      </c>
      <c r="C452" s="29">
        <f>IF($A452="","",班表!$A20)</f>
        <v/>
      </c>
      <c r="D452" s="29">
        <f>IF($C452="","",班表!$B20)</f>
        <v/>
      </c>
      <c r="E452" s="29">
        <f>IF($C452="","",班表!$C20)</f>
        <v/>
      </c>
      <c r="F452" s="29">
        <f>IF($C452="","",班表!S20)</f>
        <v/>
      </c>
      <c r="G452" s="31">
        <f>IF($F452="","",IFERROR(INDEX(設定!$D$5:$D$20,MATCH($F452,設定!$B$5:$B$20,0)),""))</f>
        <v/>
      </c>
      <c r="H452" s="31">
        <f>IF($F452="","",IFERROR(INDEX(設定!$E$5:$E$20,MATCH($F452,設定!$B$5:$B$20,0)),""))</f>
        <v/>
      </c>
      <c r="I452" s="31">
        <f>IFERROR(INDEX(打卡匯入!$C$3:$C$1002,MATCH($C452&amp;"|"&amp;DAY($A452),打卡匯入!$E$3:$E$1002,0)),"")</f>
        <v/>
      </c>
      <c r="J452" s="31">
        <f>IFERROR(INDEX(打卡匯入!$D$3:$D$1002,MATCH($C452&amp;"|"&amp;DAY($A452),打卡匯入!$E$3:$E$1002,0)),"")</f>
        <v/>
      </c>
      <c r="K452" s="32">
        <f>IF(OR($I452="",$J452=""),"",IFERROR(INDEX(設定!$F$5:$F$20,MATCH($F452,設定!$B$5:$B$20,0)),0))</f>
        <v/>
      </c>
      <c r="L452" s="33">
        <f>IF(OR($I452="",$J452=""),"",ROUND(($J452-$I452)*24-$K452/60,2))</f>
        <v/>
      </c>
      <c r="M452" s="29">
        <f>IF($C452="","",IF(AND(COUNTIF(設定!$B$14:$B$20,$F452)&gt;0,$I452&lt;&gt;""),"假日出勤",IF(AND(COUNTIF(設定!$B$5:$B$13,$F452)&gt;0,$I452=""),"未打卡",IF($I452="","",IF($N452&gt;0,"遲到",IF($O452&gt;0,"早退","正常"))))))</f>
        <v/>
      </c>
      <c r="N452" s="32">
        <f>IF(OR($C452="",$G452="",$I452=""),0,IF(ROUND(($I452-$G452)*1440,0)&gt;設定!$C$28,ROUND(($I452-$G452)*1440,0),0))</f>
        <v/>
      </c>
      <c r="O452" s="32">
        <f>IF(OR($C452="",$H452="",$J452=""),0,IF(ROUND(($H452-$J452)*1440,0)&gt;設定!$C$28,ROUND(($H452-$J452)*1440,0),0))</f>
        <v/>
      </c>
      <c r="P452" s="33">
        <f>IF($L452="",0,IF(($L452-IFERROR(INDEX(設定!$G$5:$G$20,MATCH($F452,設定!$B$5:$B$20,0)),0))*60&gt;=設定!$C$26,ROUND(FLOOR(($L452-IFERROR(INDEX(設定!$G$5:$G$20,MATCH($F452,設定!$B$5:$B$20,0)),0))*60,設定!$C$27)/60,2),0))</f>
        <v/>
      </c>
      <c r="Q452" s="29">
        <f>IF(OR($C452="",$P452=0),"",IF($F452="國","國定假日",IF($B452="日","例假",IF($B452="六","休息日","平日"))))</f>
        <v/>
      </c>
      <c r="R452" s="34" t="n"/>
    </row>
    <row r="453">
      <c r="A453" s="30">
        <f>IF(OR(班表!$A20="",17&gt;DAY(EOMONTH(DATE(班表!$E$2,班表!$G$2,1),0))),"",DATE(班表!$E$2,班表!$G$2,17))</f>
        <v/>
      </c>
      <c r="B453" s="29">
        <f>IF($A453="","",INDEX(設定!$L$5:$L$11,WEEKDAY($A453,1)))</f>
        <v/>
      </c>
      <c r="C453" s="29">
        <f>IF($A453="","",班表!$A20)</f>
        <v/>
      </c>
      <c r="D453" s="29">
        <f>IF($C453="","",班表!$B20)</f>
        <v/>
      </c>
      <c r="E453" s="29">
        <f>IF($C453="","",班表!$C20)</f>
        <v/>
      </c>
      <c r="F453" s="29">
        <f>IF($C453="","",班表!T20)</f>
        <v/>
      </c>
      <c r="G453" s="31">
        <f>IF($F453="","",IFERROR(INDEX(設定!$D$5:$D$20,MATCH($F453,設定!$B$5:$B$20,0)),""))</f>
        <v/>
      </c>
      <c r="H453" s="31">
        <f>IF($F453="","",IFERROR(INDEX(設定!$E$5:$E$20,MATCH($F453,設定!$B$5:$B$20,0)),""))</f>
        <v/>
      </c>
      <c r="I453" s="31">
        <f>IFERROR(INDEX(打卡匯入!$C$3:$C$1002,MATCH($C453&amp;"|"&amp;DAY($A453),打卡匯入!$E$3:$E$1002,0)),"")</f>
        <v/>
      </c>
      <c r="J453" s="31">
        <f>IFERROR(INDEX(打卡匯入!$D$3:$D$1002,MATCH($C453&amp;"|"&amp;DAY($A453),打卡匯入!$E$3:$E$1002,0)),"")</f>
        <v/>
      </c>
      <c r="K453" s="32">
        <f>IF(OR($I453="",$J453=""),"",IFERROR(INDEX(設定!$F$5:$F$20,MATCH($F453,設定!$B$5:$B$20,0)),0))</f>
        <v/>
      </c>
      <c r="L453" s="33">
        <f>IF(OR($I453="",$J453=""),"",ROUND(($J453-$I453)*24-$K453/60,2))</f>
        <v/>
      </c>
      <c r="M453" s="29">
        <f>IF($C453="","",IF(AND(COUNTIF(設定!$B$14:$B$20,$F453)&gt;0,$I453&lt;&gt;""),"假日出勤",IF(AND(COUNTIF(設定!$B$5:$B$13,$F453)&gt;0,$I453=""),"未打卡",IF($I453="","",IF($N453&gt;0,"遲到",IF($O453&gt;0,"早退","正常"))))))</f>
        <v/>
      </c>
      <c r="N453" s="32">
        <f>IF(OR($C453="",$G453="",$I453=""),0,IF(ROUND(($I453-$G453)*1440,0)&gt;設定!$C$28,ROUND(($I453-$G453)*1440,0),0))</f>
        <v/>
      </c>
      <c r="O453" s="32">
        <f>IF(OR($C453="",$H453="",$J453=""),0,IF(ROUND(($H453-$J453)*1440,0)&gt;設定!$C$28,ROUND(($H453-$J453)*1440,0),0))</f>
        <v/>
      </c>
      <c r="P453" s="33">
        <f>IF($L453="",0,IF(($L453-IFERROR(INDEX(設定!$G$5:$G$20,MATCH($F453,設定!$B$5:$B$20,0)),0))*60&gt;=設定!$C$26,ROUND(FLOOR(($L453-IFERROR(INDEX(設定!$G$5:$G$20,MATCH($F453,設定!$B$5:$B$20,0)),0))*60,設定!$C$27)/60,2),0))</f>
        <v/>
      </c>
      <c r="Q453" s="29">
        <f>IF(OR($C453="",$P453=0),"",IF($F453="國","國定假日",IF($B453="日","例假",IF($B453="六","休息日","平日"))))</f>
        <v/>
      </c>
      <c r="R453" s="34" t="n"/>
    </row>
    <row r="454">
      <c r="A454" s="30">
        <f>IF(OR(班表!$A20="",18&gt;DAY(EOMONTH(DATE(班表!$E$2,班表!$G$2,1),0))),"",DATE(班表!$E$2,班表!$G$2,18))</f>
        <v/>
      </c>
      <c r="B454" s="29">
        <f>IF($A454="","",INDEX(設定!$L$5:$L$11,WEEKDAY($A454,1)))</f>
        <v/>
      </c>
      <c r="C454" s="29">
        <f>IF($A454="","",班表!$A20)</f>
        <v/>
      </c>
      <c r="D454" s="29">
        <f>IF($C454="","",班表!$B20)</f>
        <v/>
      </c>
      <c r="E454" s="29">
        <f>IF($C454="","",班表!$C20)</f>
        <v/>
      </c>
      <c r="F454" s="29">
        <f>IF($C454="","",班表!U20)</f>
        <v/>
      </c>
      <c r="G454" s="31">
        <f>IF($F454="","",IFERROR(INDEX(設定!$D$5:$D$20,MATCH($F454,設定!$B$5:$B$20,0)),""))</f>
        <v/>
      </c>
      <c r="H454" s="31">
        <f>IF($F454="","",IFERROR(INDEX(設定!$E$5:$E$20,MATCH($F454,設定!$B$5:$B$20,0)),""))</f>
        <v/>
      </c>
      <c r="I454" s="31">
        <f>IFERROR(INDEX(打卡匯入!$C$3:$C$1002,MATCH($C454&amp;"|"&amp;DAY($A454),打卡匯入!$E$3:$E$1002,0)),"")</f>
        <v/>
      </c>
      <c r="J454" s="31">
        <f>IFERROR(INDEX(打卡匯入!$D$3:$D$1002,MATCH($C454&amp;"|"&amp;DAY($A454),打卡匯入!$E$3:$E$1002,0)),"")</f>
        <v/>
      </c>
      <c r="K454" s="32">
        <f>IF(OR($I454="",$J454=""),"",IFERROR(INDEX(設定!$F$5:$F$20,MATCH($F454,設定!$B$5:$B$20,0)),0))</f>
        <v/>
      </c>
      <c r="L454" s="33">
        <f>IF(OR($I454="",$J454=""),"",ROUND(($J454-$I454)*24-$K454/60,2))</f>
        <v/>
      </c>
      <c r="M454" s="29">
        <f>IF($C454="","",IF(AND(COUNTIF(設定!$B$14:$B$20,$F454)&gt;0,$I454&lt;&gt;""),"假日出勤",IF(AND(COUNTIF(設定!$B$5:$B$13,$F454)&gt;0,$I454=""),"未打卡",IF($I454="","",IF($N454&gt;0,"遲到",IF($O454&gt;0,"早退","正常"))))))</f>
        <v/>
      </c>
      <c r="N454" s="32">
        <f>IF(OR($C454="",$G454="",$I454=""),0,IF(ROUND(($I454-$G454)*1440,0)&gt;設定!$C$28,ROUND(($I454-$G454)*1440,0),0))</f>
        <v/>
      </c>
      <c r="O454" s="32">
        <f>IF(OR($C454="",$H454="",$J454=""),0,IF(ROUND(($H454-$J454)*1440,0)&gt;設定!$C$28,ROUND(($H454-$J454)*1440,0),0))</f>
        <v/>
      </c>
      <c r="P454" s="33">
        <f>IF($L454="",0,IF(($L454-IFERROR(INDEX(設定!$G$5:$G$20,MATCH($F454,設定!$B$5:$B$20,0)),0))*60&gt;=設定!$C$26,ROUND(FLOOR(($L454-IFERROR(INDEX(設定!$G$5:$G$20,MATCH($F454,設定!$B$5:$B$20,0)),0))*60,設定!$C$27)/60,2),0))</f>
        <v/>
      </c>
      <c r="Q454" s="29">
        <f>IF(OR($C454="",$P454=0),"",IF($F454="國","國定假日",IF($B454="日","例假",IF($B454="六","休息日","平日"))))</f>
        <v/>
      </c>
      <c r="R454" s="34" t="n"/>
    </row>
    <row r="455">
      <c r="A455" s="30">
        <f>IF(OR(班表!$A20="",19&gt;DAY(EOMONTH(DATE(班表!$E$2,班表!$G$2,1),0))),"",DATE(班表!$E$2,班表!$G$2,19))</f>
        <v/>
      </c>
      <c r="B455" s="29">
        <f>IF($A455="","",INDEX(設定!$L$5:$L$11,WEEKDAY($A455,1)))</f>
        <v/>
      </c>
      <c r="C455" s="29">
        <f>IF($A455="","",班表!$A20)</f>
        <v/>
      </c>
      <c r="D455" s="29">
        <f>IF($C455="","",班表!$B20)</f>
        <v/>
      </c>
      <c r="E455" s="29">
        <f>IF($C455="","",班表!$C20)</f>
        <v/>
      </c>
      <c r="F455" s="29">
        <f>IF($C455="","",班表!V20)</f>
        <v/>
      </c>
      <c r="G455" s="31">
        <f>IF($F455="","",IFERROR(INDEX(設定!$D$5:$D$20,MATCH($F455,設定!$B$5:$B$20,0)),""))</f>
        <v/>
      </c>
      <c r="H455" s="31">
        <f>IF($F455="","",IFERROR(INDEX(設定!$E$5:$E$20,MATCH($F455,設定!$B$5:$B$20,0)),""))</f>
        <v/>
      </c>
      <c r="I455" s="31">
        <f>IFERROR(INDEX(打卡匯入!$C$3:$C$1002,MATCH($C455&amp;"|"&amp;DAY($A455),打卡匯入!$E$3:$E$1002,0)),"")</f>
        <v/>
      </c>
      <c r="J455" s="31">
        <f>IFERROR(INDEX(打卡匯入!$D$3:$D$1002,MATCH($C455&amp;"|"&amp;DAY($A455),打卡匯入!$E$3:$E$1002,0)),"")</f>
        <v/>
      </c>
      <c r="K455" s="32">
        <f>IF(OR($I455="",$J455=""),"",IFERROR(INDEX(設定!$F$5:$F$20,MATCH($F455,設定!$B$5:$B$20,0)),0))</f>
        <v/>
      </c>
      <c r="L455" s="33">
        <f>IF(OR($I455="",$J455=""),"",ROUND(($J455-$I455)*24-$K455/60,2))</f>
        <v/>
      </c>
      <c r="M455" s="29">
        <f>IF($C455="","",IF(AND(COUNTIF(設定!$B$14:$B$20,$F455)&gt;0,$I455&lt;&gt;""),"假日出勤",IF(AND(COUNTIF(設定!$B$5:$B$13,$F455)&gt;0,$I455=""),"未打卡",IF($I455="","",IF($N455&gt;0,"遲到",IF($O455&gt;0,"早退","正常"))))))</f>
        <v/>
      </c>
      <c r="N455" s="32">
        <f>IF(OR($C455="",$G455="",$I455=""),0,IF(ROUND(($I455-$G455)*1440,0)&gt;設定!$C$28,ROUND(($I455-$G455)*1440,0),0))</f>
        <v/>
      </c>
      <c r="O455" s="32">
        <f>IF(OR($C455="",$H455="",$J455=""),0,IF(ROUND(($H455-$J455)*1440,0)&gt;設定!$C$28,ROUND(($H455-$J455)*1440,0),0))</f>
        <v/>
      </c>
      <c r="P455" s="33">
        <f>IF($L455="",0,IF(($L455-IFERROR(INDEX(設定!$G$5:$G$20,MATCH($F455,設定!$B$5:$B$20,0)),0))*60&gt;=設定!$C$26,ROUND(FLOOR(($L455-IFERROR(INDEX(設定!$G$5:$G$20,MATCH($F455,設定!$B$5:$B$20,0)),0))*60,設定!$C$27)/60,2),0))</f>
        <v/>
      </c>
      <c r="Q455" s="29">
        <f>IF(OR($C455="",$P455=0),"",IF($F455="國","國定假日",IF($B455="日","例假",IF($B455="六","休息日","平日"))))</f>
        <v/>
      </c>
      <c r="R455" s="34" t="n"/>
    </row>
    <row r="456">
      <c r="A456" s="30">
        <f>IF(OR(班表!$A20="",20&gt;DAY(EOMONTH(DATE(班表!$E$2,班表!$G$2,1),0))),"",DATE(班表!$E$2,班表!$G$2,20))</f>
        <v/>
      </c>
      <c r="B456" s="29">
        <f>IF($A456="","",INDEX(設定!$L$5:$L$11,WEEKDAY($A456,1)))</f>
        <v/>
      </c>
      <c r="C456" s="29">
        <f>IF($A456="","",班表!$A20)</f>
        <v/>
      </c>
      <c r="D456" s="29">
        <f>IF($C456="","",班表!$B20)</f>
        <v/>
      </c>
      <c r="E456" s="29">
        <f>IF($C456="","",班表!$C20)</f>
        <v/>
      </c>
      <c r="F456" s="29">
        <f>IF($C456="","",班表!W20)</f>
        <v/>
      </c>
      <c r="G456" s="31">
        <f>IF($F456="","",IFERROR(INDEX(設定!$D$5:$D$20,MATCH($F456,設定!$B$5:$B$20,0)),""))</f>
        <v/>
      </c>
      <c r="H456" s="31">
        <f>IF($F456="","",IFERROR(INDEX(設定!$E$5:$E$20,MATCH($F456,設定!$B$5:$B$20,0)),""))</f>
        <v/>
      </c>
      <c r="I456" s="31">
        <f>IFERROR(INDEX(打卡匯入!$C$3:$C$1002,MATCH($C456&amp;"|"&amp;DAY($A456),打卡匯入!$E$3:$E$1002,0)),"")</f>
        <v/>
      </c>
      <c r="J456" s="31">
        <f>IFERROR(INDEX(打卡匯入!$D$3:$D$1002,MATCH($C456&amp;"|"&amp;DAY($A456),打卡匯入!$E$3:$E$1002,0)),"")</f>
        <v/>
      </c>
      <c r="K456" s="32">
        <f>IF(OR($I456="",$J456=""),"",IFERROR(INDEX(設定!$F$5:$F$20,MATCH($F456,設定!$B$5:$B$20,0)),0))</f>
        <v/>
      </c>
      <c r="L456" s="33">
        <f>IF(OR($I456="",$J456=""),"",ROUND(($J456-$I456)*24-$K456/60,2))</f>
        <v/>
      </c>
      <c r="M456" s="29">
        <f>IF($C456="","",IF(AND(COUNTIF(設定!$B$14:$B$20,$F456)&gt;0,$I456&lt;&gt;""),"假日出勤",IF(AND(COUNTIF(設定!$B$5:$B$13,$F456)&gt;0,$I456=""),"未打卡",IF($I456="","",IF($N456&gt;0,"遲到",IF($O456&gt;0,"早退","正常"))))))</f>
        <v/>
      </c>
      <c r="N456" s="32">
        <f>IF(OR($C456="",$G456="",$I456=""),0,IF(ROUND(($I456-$G456)*1440,0)&gt;設定!$C$28,ROUND(($I456-$G456)*1440,0),0))</f>
        <v/>
      </c>
      <c r="O456" s="32">
        <f>IF(OR($C456="",$H456="",$J456=""),0,IF(ROUND(($H456-$J456)*1440,0)&gt;設定!$C$28,ROUND(($H456-$J456)*1440,0),0))</f>
        <v/>
      </c>
      <c r="P456" s="33">
        <f>IF($L456="",0,IF(($L456-IFERROR(INDEX(設定!$G$5:$G$20,MATCH($F456,設定!$B$5:$B$20,0)),0))*60&gt;=設定!$C$26,ROUND(FLOOR(($L456-IFERROR(INDEX(設定!$G$5:$G$20,MATCH($F456,設定!$B$5:$B$20,0)),0))*60,設定!$C$27)/60,2),0))</f>
        <v/>
      </c>
      <c r="Q456" s="29">
        <f>IF(OR($C456="",$P456=0),"",IF($F456="國","國定假日",IF($B456="日","例假",IF($B456="六","休息日","平日"))))</f>
        <v/>
      </c>
      <c r="R456" s="34" t="n"/>
    </row>
    <row r="457">
      <c r="A457" s="30">
        <f>IF(OR(班表!$A20="",21&gt;DAY(EOMONTH(DATE(班表!$E$2,班表!$G$2,1),0))),"",DATE(班表!$E$2,班表!$G$2,21))</f>
        <v/>
      </c>
      <c r="B457" s="29">
        <f>IF($A457="","",INDEX(設定!$L$5:$L$11,WEEKDAY($A457,1)))</f>
        <v/>
      </c>
      <c r="C457" s="29">
        <f>IF($A457="","",班表!$A20)</f>
        <v/>
      </c>
      <c r="D457" s="29">
        <f>IF($C457="","",班表!$B20)</f>
        <v/>
      </c>
      <c r="E457" s="29">
        <f>IF($C457="","",班表!$C20)</f>
        <v/>
      </c>
      <c r="F457" s="29">
        <f>IF($C457="","",班表!X20)</f>
        <v/>
      </c>
      <c r="G457" s="31">
        <f>IF($F457="","",IFERROR(INDEX(設定!$D$5:$D$20,MATCH($F457,設定!$B$5:$B$20,0)),""))</f>
        <v/>
      </c>
      <c r="H457" s="31">
        <f>IF($F457="","",IFERROR(INDEX(設定!$E$5:$E$20,MATCH($F457,設定!$B$5:$B$20,0)),""))</f>
        <v/>
      </c>
      <c r="I457" s="31">
        <f>IFERROR(INDEX(打卡匯入!$C$3:$C$1002,MATCH($C457&amp;"|"&amp;DAY($A457),打卡匯入!$E$3:$E$1002,0)),"")</f>
        <v/>
      </c>
      <c r="J457" s="31">
        <f>IFERROR(INDEX(打卡匯入!$D$3:$D$1002,MATCH($C457&amp;"|"&amp;DAY($A457),打卡匯入!$E$3:$E$1002,0)),"")</f>
        <v/>
      </c>
      <c r="K457" s="32">
        <f>IF(OR($I457="",$J457=""),"",IFERROR(INDEX(設定!$F$5:$F$20,MATCH($F457,設定!$B$5:$B$20,0)),0))</f>
        <v/>
      </c>
      <c r="L457" s="33">
        <f>IF(OR($I457="",$J457=""),"",ROUND(($J457-$I457)*24-$K457/60,2))</f>
        <v/>
      </c>
      <c r="M457" s="29">
        <f>IF($C457="","",IF(AND(COUNTIF(設定!$B$14:$B$20,$F457)&gt;0,$I457&lt;&gt;""),"假日出勤",IF(AND(COUNTIF(設定!$B$5:$B$13,$F457)&gt;0,$I457=""),"未打卡",IF($I457="","",IF($N457&gt;0,"遲到",IF($O457&gt;0,"早退","正常"))))))</f>
        <v/>
      </c>
      <c r="N457" s="32">
        <f>IF(OR($C457="",$G457="",$I457=""),0,IF(ROUND(($I457-$G457)*1440,0)&gt;設定!$C$28,ROUND(($I457-$G457)*1440,0),0))</f>
        <v/>
      </c>
      <c r="O457" s="32">
        <f>IF(OR($C457="",$H457="",$J457=""),0,IF(ROUND(($H457-$J457)*1440,0)&gt;設定!$C$28,ROUND(($H457-$J457)*1440,0),0))</f>
        <v/>
      </c>
      <c r="P457" s="33">
        <f>IF($L457="",0,IF(($L457-IFERROR(INDEX(設定!$G$5:$G$20,MATCH($F457,設定!$B$5:$B$20,0)),0))*60&gt;=設定!$C$26,ROUND(FLOOR(($L457-IFERROR(INDEX(設定!$G$5:$G$20,MATCH($F457,設定!$B$5:$B$20,0)),0))*60,設定!$C$27)/60,2),0))</f>
        <v/>
      </c>
      <c r="Q457" s="29">
        <f>IF(OR($C457="",$P457=0),"",IF($F457="國","國定假日",IF($B457="日","例假",IF($B457="六","休息日","平日"))))</f>
        <v/>
      </c>
      <c r="R457" s="34" t="n"/>
    </row>
    <row r="458">
      <c r="A458" s="30">
        <f>IF(OR(班表!$A20="",22&gt;DAY(EOMONTH(DATE(班表!$E$2,班表!$G$2,1),0))),"",DATE(班表!$E$2,班表!$G$2,22))</f>
        <v/>
      </c>
      <c r="B458" s="29">
        <f>IF($A458="","",INDEX(設定!$L$5:$L$11,WEEKDAY($A458,1)))</f>
        <v/>
      </c>
      <c r="C458" s="29">
        <f>IF($A458="","",班表!$A20)</f>
        <v/>
      </c>
      <c r="D458" s="29">
        <f>IF($C458="","",班表!$B20)</f>
        <v/>
      </c>
      <c r="E458" s="29">
        <f>IF($C458="","",班表!$C20)</f>
        <v/>
      </c>
      <c r="F458" s="29">
        <f>IF($C458="","",班表!Y20)</f>
        <v/>
      </c>
      <c r="G458" s="31">
        <f>IF($F458="","",IFERROR(INDEX(設定!$D$5:$D$20,MATCH($F458,設定!$B$5:$B$20,0)),""))</f>
        <v/>
      </c>
      <c r="H458" s="31">
        <f>IF($F458="","",IFERROR(INDEX(設定!$E$5:$E$20,MATCH($F458,設定!$B$5:$B$20,0)),""))</f>
        <v/>
      </c>
      <c r="I458" s="31">
        <f>IFERROR(INDEX(打卡匯入!$C$3:$C$1002,MATCH($C458&amp;"|"&amp;DAY($A458),打卡匯入!$E$3:$E$1002,0)),"")</f>
        <v/>
      </c>
      <c r="J458" s="31">
        <f>IFERROR(INDEX(打卡匯入!$D$3:$D$1002,MATCH($C458&amp;"|"&amp;DAY($A458),打卡匯入!$E$3:$E$1002,0)),"")</f>
        <v/>
      </c>
      <c r="K458" s="32">
        <f>IF(OR($I458="",$J458=""),"",IFERROR(INDEX(設定!$F$5:$F$20,MATCH($F458,設定!$B$5:$B$20,0)),0))</f>
        <v/>
      </c>
      <c r="L458" s="33">
        <f>IF(OR($I458="",$J458=""),"",ROUND(($J458-$I458)*24-$K458/60,2))</f>
        <v/>
      </c>
      <c r="M458" s="29">
        <f>IF($C458="","",IF(AND(COUNTIF(設定!$B$14:$B$20,$F458)&gt;0,$I458&lt;&gt;""),"假日出勤",IF(AND(COUNTIF(設定!$B$5:$B$13,$F458)&gt;0,$I458=""),"未打卡",IF($I458="","",IF($N458&gt;0,"遲到",IF($O458&gt;0,"早退","正常"))))))</f>
        <v/>
      </c>
      <c r="N458" s="32">
        <f>IF(OR($C458="",$G458="",$I458=""),0,IF(ROUND(($I458-$G458)*1440,0)&gt;設定!$C$28,ROUND(($I458-$G458)*1440,0),0))</f>
        <v/>
      </c>
      <c r="O458" s="32">
        <f>IF(OR($C458="",$H458="",$J458=""),0,IF(ROUND(($H458-$J458)*1440,0)&gt;設定!$C$28,ROUND(($H458-$J458)*1440,0),0))</f>
        <v/>
      </c>
      <c r="P458" s="33">
        <f>IF($L458="",0,IF(($L458-IFERROR(INDEX(設定!$G$5:$G$20,MATCH($F458,設定!$B$5:$B$20,0)),0))*60&gt;=設定!$C$26,ROUND(FLOOR(($L458-IFERROR(INDEX(設定!$G$5:$G$20,MATCH($F458,設定!$B$5:$B$20,0)),0))*60,設定!$C$27)/60,2),0))</f>
        <v/>
      </c>
      <c r="Q458" s="29">
        <f>IF(OR($C458="",$P458=0),"",IF($F458="國","國定假日",IF($B458="日","例假",IF($B458="六","休息日","平日"))))</f>
        <v/>
      </c>
      <c r="R458" s="34" t="n"/>
    </row>
    <row r="459">
      <c r="A459" s="30">
        <f>IF(OR(班表!$A20="",23&gt;DAY(EOMONTH(DATE(班表!$E$2,班表!$G$2,1),0))),"",DATE(班表!$E$2,班表!$G$2,23))</f>
        <v/>
      </c>
      <c r="B459" s="29">
        <f>IF($A459="","",INDEX(設定!$L$5:$L$11,WEEKDAY($A459,1)))</f>
        <v/>
      </c>
      <c r="C459" s="29">
        <f>IF($A459="","",班表!$A20)</f>
        <v/>
      </c>
      <c r="D459" s="29">
        <f>IF($C459="","",班表!$B20)</f>
        <v/>
      </c>
      <c r="E459" s="29">
        <f>IF($C459="","",班表!$C20)</f>
        <v/>
      </c>
      <c r="F459" s="29">
        <f>IF($C459="","",班表!Z20)</f>
        <v/>
      </c>
      <c r="G459" s="31">
        <f>IF($F459="","",IFERROR(INDEX(設定!$D$5:$D$20,MATCH($F459,設定!$B$5:$B$20,0)),""))</f>
        <v/>
      </c>
      <c r="H459" s="31">
        <f>IF($F459="","",IFERROR(INDEX(設定!$E$5:$E$20,MATCH($F459,設定!$B$5:$B$20,0)),""))</f>
        <v/>
      </c>
      <c r="I459" s="31">
        <f>IFERROR(INDEX(打卡匯入!$C$3:$C$1002,MATCH($C459&amp;"|"&amp;DAY($A459),打卡匯入!$E$3:$E$1002,0)),"")</f>
        <v/>
      </c>
      <c r="J459" s="31">
        <f>IFERROR(INDEX(打卡匯入!$D$3:$D$1002,MATCH($C459&amp;"|"&amp;DAY($A459),打卡匯入!$E$3:$E$1002,0)),"")</f>
        <v/>
      </c>
      <c r="K459" s="32">
        <f>IF(OR($I459="",$J459=""),"",IFERROR(INDEX(設定!$F$5:$F$20,MATCH($F459,設定!$B$5:$B$20,0)),0))</f>
        <v/>
      </c>
      <c r="L459" s="33">
        <f>IF(OR($I459="",$J459=""),"",ROUND(($J459-$I459)*24-$K459/60,2))</f>
        <v/>
      </c>
      <c r="M459" s="29">
        <f>IF($C459="","",IF(AND(COUNTIF(設定!$B$14:$B$20,$F459)&gt;0,$I459&lt;&gt;""),"假日出勤",IF(AND(COUNTIF(設定!$B$5:$B$13,$F459)&gt;0,$I459=""),"未打卡",IF($I459="","",IF($N459&gt;0,"遲到",IF($O459&gt;0,"早退","正常"))))))</f>
        <v/>
      </c>
      <c r="N459" s="32">
        <f>IF(OR($C459="",$G459="",$I459=""),0,IF(ROUND(($I459-$G459)*1440,0)&gt;設定!$C$28,ROUND(($I459-$G459)*1440,0),0))</f>
        <v/>
      </c>
      <c r="O459" s="32">
        <f>IF(OR($C459="",$H459="",$J459=""),0,IF(ROUND(($H459-$J459)*1440,0)&gt;設定!$C$28,ROUND(($H459-$J459)*1440,0),0))</f>
        <v/>
      </c>
      <c r="P459" s="33">
        <f>IF($L459="",0,IF(($L459-IFERROR(INDEX(設定!$G$5:$G$20,MATCH($F459,設定!$B$5:$B$20,0)),0))*60&gt;=設定!$C$26,ROUND(FLOOR(($L459-IFERROR(INDEX(設定!$G$5:$G$20,MATCH($F459,設定!$B$5:$B$20,0)),0))*60,設定!$C$27)/60,2),0))</f>
        <v/>
      </c>
      <c r="Q459" s="29">
        <f>IF(OR($C459="",$P459=0),"",IF($F459="國","國定假日",IF($B459="日","例假",IF($B459="六","休息日","平日"))))</f>
        <v/>
      </c>
      <c r="R459" s="34" t="n"/>
    </row>
    <row r="460">
      <c r="A460" s="30">
        <f>IF(OR(班表!$A20="",24&gt;DAY(EOMONTH(DATE(班表!$E$2,班表!$G$2,1),0))),"",DATE(班表!$E$2,班表!$G$2,24))</f>
        <v/>
      </c>
      <c r="B460" s="29">
        <f>IF($A460="","",INDEX(設定!$L$5:$L$11,WEEKDAY($A460,1)))</f>
        <v/>
      </c>
      <c r="C460" s="29">
        <f>IF($A460="","",班表!$A20)</f>
        <v/>
      </c>
      <c r="D460" s="29">
        <f>IF($C460="","",班表!$B20)</f>
        <v/>
      </c>
      <c r="E460" s="29">
        <f>IF($C460="","",班表!$C20)</f>
        <v/>
      </c>
      <c r="F460" s="29">
        <f>IF($C460="","",班表!AA20)</f>
        <v/>
      </c>
      <c r="G460" s="31">
        <f>IF($F460="","",IFERROR(INDEX(設定!$D$5:$D$20,MATCH($F460,設定!$B$5:$B$20,0)),""))</f>
        <v/>
      </c>
      <c r="H460" s="31">
        <f>IF($F460="","",IFERROR(INDEX(設定!$E$5:$E$20,MATCH($F460,設定!$B$5:$B$20,0)),""))</f>
        <v/>
      </c>
      <c r="I460" s="31">
        <f>IFERROR(INDEX(打卡匯入!$C$3:$C$1002,MATCH($C460&amp;"|"&amp;DAY($A460),打卡匯入!$E$3:$E$1002,0)),"")</f>
        <v/>
      </c>
      <c r="J460" s="31">
        <f>IFERROR(INDEX(打卡匯入!$D$3:$D$1002,MATCH($C460&amp;"|"&amp;DAY($A460),打卡匯入!$E$3:$E$1002,0)),"")</f>
        <v/>
      </c>
      <c r="K460" s="32">
        <f>IF(OR($I460="",$J460=""),"",IFERROR(INDEX(設定!$F$5:$F$20,MATCH($F460,設定!$B$5:$B$20,0)),0))</f>
        <v/>
      </c>
      <c r="L460" s="33">
        <f>IF(OR($I460="",$J460=""),"",ROUND(($J460-$I460)*24-$K460/60,2))</f>
        <v/>
      </c>
      <c r="M460" s="29">
        <f>IF($C460="","",IF(AND(COUNTIF(設定!$B$14:$B$20,$F460)&gt;0,$I460&lt;&gt;""),"假日出勤",IF(AND(COUNTIF(設定!$B$5:$B$13,$F460)&gt;0,$I460=""),"未打卡",IF($I460="","",IF($N460&gt;0,"遲到",IF($O460&gt;0,"早退","正常"))))))</f>
        <v/>
      </c>
      <c r="N460" s="32">
        <f>IF(OR($C460="",$G460="",$I460=""),0,IF(ROUND(($I460-$G460)*1440,0)&gt;設定!$C$28,ROUND(($I460-$G460)*1440,0),0))</f>
        <v/>
      </c>
      <c r="O460" s="32">
        <f>IF(OR($C460="",$H460="",$J460=""),0,IF(ROUND(($H460-$J460)*1440,0)&gt;設定!$C$28,ROUND(($H460-$J460)*1440,0),0))</f>
        <v/>
      </c>
      <c r="P460" s="33">
        <f>IF($L460="",0,IF(($L460-IFERROR(INDEX(設定!$G$5:$G$20,MATCH($F460,設定!$B$5:$B$20,0)),0))*60&gt;=設定!$C$26,ROUND(FLOOR(($L460-IFERROR(INDEX(設定!$G$5:$G$20,MATCH($F460,設定!$B$5:$B$20,0)),0))*60,設定!$C$27)/60,2),0))</f>
        <v/>
      </c>
      <c r="Q460" s="29">
        <f>IF(OR($C460="",$P460=0),"",IF($F460="國","國定假日",IF($B460="日","例假",IF($B460="六","休息日","平日"))))</f>
        <v/>
      </c>
      <c r="R460" s="34" t="n"/>
    </row>
    <row r="461">
      <c r="A461" s="30">
        <f>IF(OR(班表!$A20="",25&gt;DAY(EOMONTH(DATE(班表!$E$2,班表!$G$2,1),0))),"",DATE(班表!$E$2,班表!$G$2,25))</f>
        <v/>
      </c>
      <c r="B461" s="29">
        <f>IF($A461="","",INDEX(設定!$L$5:$L$11,WEEKDAY($A461,1)))</f>
        <v/>
      </c>
      <c r="C461" s="29">
        <f>IF($A461="","",班表!$A20)</f>
        <v/>
      </c>
      <c r="D461" s="29">
        <f>IF($C461="","",班表!$B20)</f>
        <v/>
      </c>
      <c r="E461" s="29">
        <f>IF($C461="","",班表!$C20)</f>
        <v/>
      </c>
      <c r="F461" s="29">
        <f>IF($C461="","",班表!AB20)</f>
        <v/>
      </c>
      <c r="G461" s="31">
        <f>IF($F461="","",IFERROR(INDEX(設定!$D$5:$D$20,MATCH($F461,設定!$B$5:$B$20,0)),""))</f>
        <v/>
      </c>
      <c r="H461" s="31">
        <f>IF($F461="","",IFERROR(INDEX(設定!$E$5:$E$20,MATCH($F461,設定!$B$5:$B$20,0)),""))</f>
        <v/>
      </c>
      <c r="I461" s="31">
        <f>IFERROR(INDEX(打卡匯入!$C$3:$C$1002,MATCH($C461&amp;"|"&amp;DAY($A461),打卡匯入!$E$3:$E$1002,0)),"")</f>
        <v/>
      </c>
      <c r="J461" s="31">
        <f>IFERROR(INDEX(打卡匯入!$D$3:$D$1002,MATCH($C461&amp;"|"&amp;DAY($A461),打卡匯入!$E$3:$E$1002,0)),"")</f>
        <v/>
      </c>
      <c r="K461" s="32">
        <f>IF(OR($I461="",$J461=""),"",IFERROR(INDEX(設定!$F$5:$F$20,MATCH($F461,設定!$B$5:$B$20,0)),0))</f>
        <v/>
      </c>
      <c r="L461" s="33">
        <f>IF(OR($I461="",$J461=""),"",ROUND(($J461-$I461)*24-$K461/60,2))</f>
        <v/>
      </c>
      <c r="M461" s="29">
        <f>IF($C461="","",IF(AND(COUNTIF(設定!$B$14:$B$20,$F461)&gt;0,$I461&lt;&gt;""),"假日出勤",IF(AND(COUNTIF(設定!$B$5:$B$13,$F461)&gt;0,$I461=""),"未打卡",IF($I461="","",IF($N461&gt;0,"遲到",IF($O461&gt;0,"早退","正常"))))))</f>
        <v/>
      </c>
      <c r="N461" s="32">
        <f>IF(OR($C461="",$G461="",$I461=""),0,IF(ROUND(($I461-$G461)*1440,0)&gt;設定!$C$28,ROUND(($I461-$G461)*1440,0),0))</f>
        <v/>
      </c>
      <c r="O461" s="32">
        <f>IF(OR($C461="",$H461="",$J461=""),0,IF(ROUND(($H461-$J461)*1440,0)&gt;設定!$C$28,ROUND(($H461-$J461)*1440,0),0))</f>
        <v/>
      </c>
      <c r="P461" s="33">
        <f>IF($L461="",0,IF(($L461-IFERROR(INDEX(設定!$G$5:$G$20,MATCH($F461,設定!$B$5:$B$20,0)),0))*60&gt;=設定!$C$26,ROUND(FLOOR(($L461-IFERROR(INDEX(設定!$G$5:$G$20,MATCH($F461,設定!$B$5:$B$20,0)),0))*60,設定!$C$27)/60,2),0))</f>
        <v/>
      </c>
      <c r="Q461" s="29">
        <f>IF(OR($C461="",$P461=0),"",IF($F461="國","國定假日",IF($B461="日","例假",IF($B461="六","休息日","平日"))))</f>
        <v/>
      </c>
      <c r="R461" s="34" t="n"/>
    </row>
    <row r="462">
      <c r="A462" s="30">
        <f>IF(OR(班表!$A20="",26&gt;DAY(EOMONTH(DATE(班表!$E$2,班表!$G$2,1),0))),"",DATE(班表!$E$2,班表!$G$2,26))</f>
        <v/>
      </c>
      <c r="B462" s="29">
        <f>IF($A462="","",INDEX(設定!$L$5:$L$11,WEEKDAY($A462,1)))</f>
        <v/>
      </c>
      <c r="C462" s="29">
        <f>IF($A462="","",班表!$A20)</f>
        <v/>
      </c>
      <c r="D462" s="29">
        <f>IF($C462="","",班表!$B20)</f>
        <v/>
      </c>
      <c r="E462" s="29">
        <f>IF($C462="","",班表!$C20)</f>
        <v/>
      </c>
      <c r="F462" s="29">
        <f>IF($C462="","",班表!AC20)</f>
        <v/>
      </c>
      <c r="G462" s="31">
        <f>IF($F462="","",IFERROR(INDEX(設定!$D$5:$D$20,MATCH($F462,設定!$B$5:$B$20,0)),""))</f>
        <v/>
      </c>
      <c r="H462" s="31">
        <f>IF($F462="","",IFERROR(INDEX(設定!$E$5:$E$20,MATCH($F462,設定!$B$5:$B$20,0)),""))</f>
        <v/>
      </c>
      <c r="I462" s="31">
        <f>IFERROR(INDEX(打卡匯入!$C$3:$C$1002,MATCH($C462&amp;"|"&amp;DAY($A462),打卡匯入!$E$3:$E$1002,0)),"")</f>
        <v/>
      </c>
      <c r="J462" s="31">
        <f>IFERROR(INDEX(打卡匯入!$D$3:$D$1002,MATCH($C462&amp;"|"&amp;DAY($A462),打卡匯入!$E$3:$E$1002,0)),"")</f>
        <v/>
      </c>
      <c r="K462" s="32">
        <f>IF(OR($I462="",$J462=""),"",IFERROR(INDEX(設定!$F$5:$F$20,MATCH($F462,設定!$B$5:$B$20,0)),0))</f>
        <v/>
      </c>
      <c r="L462" s="33">
        <f>IF(OR($I462="",$J462=""),"",ROUND(($J462-$I462)*24-$K462/60,2))</f>
        <v/>
      </c>
      <c r="M462" s="29">
        <f>IF($C462="","",IF(AND(COUNTIF(設定!$B$14:$B$20,$F462)&gt;0,$I462&lt;&gt;""),"假日出勤",IF(AND(COUNTIF(設定!$B$5:$B$13,$F462)&gt;0,$I462=""),"未打卡",IF($I462="","",IF($N462&gt;0,"遲到",IF($O462&gt;0,"早退","正常"))))))</f>
        <v/>
      </c>
      <c r="N462" s="32">
        <f>IF(OR($C462="",$G462="",$I462=""),0,IF(ROUND(($I462-$G462)*1440,0)&gt;設定!$C$28,ROUND(($I462-$G462)*1440,0),0))</f>
        <v/>
      </c>
      <c r="O462" s="32">
        <f>IF(OR($C462="",$H462="",$J462=""),0,IF(ROUND(($H462-$J462)*1440,0)&gt;設定!$C$28,ROUND(($H462-$J462)*1440,0),0))</f>
        <v/>
      </c>
      <c r="P462" s="33">
        <f>IF($L462="",0,IF(($L462-IFERROR(INDEX(設定!$G$5:$G$20,MATCH($F462,設定!$B$5:$B$20,0)),0))*60&gt;=設定!$C$26,ROUND(FLOOR(($L462-IFERROR(INDEX(設定!$G$5:$G$20,MATCH($F462,設定!$B$5:$B$20,0)),0))*60,設定!$C$27)/60,2),0))</f>
        <v/>
      </c>
      <c r="Q462" s="29">
        <f>IF(OR($C462="",$P462=0),"",IF($F462="國","國定假日",IF($B462="日","例假",IF($B462="六","休息日","平日"))))</f>
        <v/>
      </c>
      <c r="R462" s="34" t="n"/>
    </row>
    <row r="463">
      <c r="A463" s="30">
        <f>IF(OR(班表!$A20="",27&gt;DAY(EOMONTH(DATE(班表!$E$2,班表!$G$2,1),0))),"",DATE(班表!$E$2,班表!$G$2,27))</f>
        <v/>
      </c>
      <c r="B463" s="29">
        <f>IF($A463="","",INDEX(設定!$L$5:$L$11,WEEKDAY($A463,1)))</f>
        <v/>
      </c>
      <c r="C463" s="29">
        <f>IF($A463="","",班表!$A20)</f>
        <v/>
      </c>
      <c r="D463" s="29">
        <f>IF($C463="","",班表!$B20)</f>
        <v/>
      </c>
      <c r="E463" s="29">
        <f>IF($C463="","",班表!$C20)</f>
        <v/>
      </c>
      <c r="F463" s="29">
        <f>IF($C463="","",班表!AD20)</f>
        <v/>
      </c>
      <c r="G463" s="31">
        <f>IF($F463="","",IFERROR(INDEX(設定!$D$5:$D$20,MATCH($F463,設定!$B$5:$B$20,0)),""))</f>
        <v/>
      </c>
      <c r="H463" s="31">
        <f>IF($F463="","",IFERROR(INDEX(設定!$E$5:$E$20,MATCH($F463,設定!$B$5:$B$20,0)),""))</f>
        <v/>
      </c>
      <c r="I463" s="31">
        <f>IFERROR(INDEX(打卡匯入!$C$3:$C$1002,MATCH($C463&amp;"|"&amp;DAY($A463),打卡匯入!$E$3:$E$1002,0)),"")</f>
        <v/>
      </c>
      <c r="J463" s="31">
        <f>IFERROR(INDEX(打卡匯入!$D$3:$D$1002,MATCH($C463&amp;"|"&amp;DAY($A463),打卡匯入!$E$3:$E$1002,0)),"")</f>
        <v/>
      </c>
      <c r="K463" s="32">
        <f>IF(OR($I463="",$J463=""),"",IFERROR(INDEX(設定!$F$5:$F$20,MATCH($F463,設定!$B$5:$B$20,0)),0))</f>
        <v/>
      </c>
      <c r="L463" s="33">
        <f>IF(OR($I463="",$J463=""),"",ROUND(($J463-$I463)*24-$K463/60,2))</f>
        <v/>
      </c>
      <c r="M463" s="29">
        <f>IF($C463="","",IF(AND(COUNTIF(設定!$B$14:$B$20,$F463)&gt;0,$I463&lt;&gt;""),"假日出勤",IF(AND(COUNTIF(設定!$B$5:$B$13,$F463)&gt;0,$I463=""),"未打卡",IF($I463="","",IF($N463&gt;0,"遲到",IF($O463&gt;0,"早退","正常"))))))</f>
        <v/>
      </c>
      <c r="N463" s="32">
        <f>IF(OR($C463="",$G463="",$I463=""),0,IF(ROUND(($I463-$G463)*1440,0)&gt;設定!$C$28,ROUND(($I463-$G463)*1440,0),0))</f>
        <v/>
      </c>
      <c r="O463" s="32">
        <f>IF(OR($C463="",$H463="",$J463=""),0,IF(ROUND(($H463-$J463)*1440,0)&gt;設定!$C$28,ROUND(($H463-$J463)*1440,0),0))</f>
        <v/>
      </c>
      <c r="P463" s="33">
        <f>IF($L463="",0,IF(($L463-IFERROR(INDEX(設定!$G$5:$G$20,MATCH($F463,設定!$B$5:$B$20,0)),0))*60&gt;=設定!$C$26,ROUND(FLOOR(($L463-IFERROR(INDEX(設定!$G$5:$G$20,MATCH($F463,設定!$B$5:$B$20,0)),0))*60,設定!$C$27)/60,2),0))</f>
        <v/>
      </c>
      <c r="Q463" s="29">
        <f>IF(OR($C463="",$P463=0),"",IF($F463="國","國定假日",IF($B463="日","例假",IF($B463="六","休息日","平日"))))</f>
        <v/>
      </c>
      <c r="R463" s="34" t="n"/>
    </row>
    <row r="464">
      <c r="A464" s="30">
        <f>IF(OR(班表!$A20="",28&gt;DAY(EOMONTH(DATE(班表!$E$2,班表!$G$2,1),0))),"",DATE(班表!$E$2,班表!$G$2,28))</f>
        <v/>
      </c>
      <c r="B464" s="29">
        <f>IF($A464="","",INDEX(設定!$L$5:$L$11,WEEKDAY($A464,1)))</f>
        <v/>
      </c>
      <c r="C464" s="29">
        <f>IF($A464="","",班表!$A20)</f>
        <v/>
      </c>
      <c r="D464" s="29">
        <f>IF($C464="","",班表!$B20)</f>
        <v/>
      </c>
      <c r="E464" s="29">
        <f>IF($C464="","",班表!$C20)</f>
        <v/>
      </c>
      <c r="F464" s="29">
        <f>IF($C464="","",班表!AE20)</f>
        <v/>
      </c>
      <c r="G464" s="31">
        <f>IF($F464="","",IFERROR(INDEX(設定!$D$5:$D$20,MATCH($F464,設定!$B$5:$B$20,0)),""))</f>
        <v/>
      </c>
      <c r="H464" s="31">
        <f>IF($F464="","",IFERROR(INDEX(設定!$E$5:$E$20,MATCH($F464,設定!$B$5:$B$20,0)),""))</f>
        <v/>
      </c>
      <c r="I464" s="31">
        <f>IFERROR(INDEX(打卡匯入!$C$3:$C$1002,MATCH($C464&amp;"|"&amp;DAY($A464),打卡匯入!$E$3:$E$1002,0)),"")</f>
        <v/>
      </c>
      <c r="J464" s="31">
        <f>IFERROR(INDEX(打卡匯入!$D$3:$D$1002,MATCH($C464&amp;"|"&amp;DAY($A464),打卡匯入!$E$3:$E$1002,0)),"")</f>
        <v/>
      </c>
      <c r="K464" s="32">
        <f>IF(OR($I464="",$J464=""),"",IFERROR(INDEX(設定!$F$5:$F$20,MATCH($F464,設定!$B$5:$B$20,0)),0))</f>
        <v/>
      </c>
      <c r="L464" s="33">
        <f>IF(OR($I464="",$J464=""),"",ROUND(($J464-$I464)*24-$K464/60,2))</f>
        <v/>
      </c>
      <c r="M464" s="29">
        <f>IF($C464="","",IF(AND(COUNTIF(設定!$B$14:$B$20,$F464)&gt;0,$I464&lt;&gt;""),"假日出勤",IF(AND(COUNTIF(設定!$B$5:$B$13,$F464)&gt;0,$I464=""),"未打卡",IF($I464="","",IF($N464&gt;0,"遲到",IF($O464&gt;0,"早退","正常"))))))</f>
        <v/>
      </c>
      <c r="N464" s="32">
        <f>IF(OR($C464="",$G464="",$I464=""),0,IF(ROUND(($I464-$G464)*1440,0)&gt;設定!$C$28,ROUND(($I464-$G464)*1440,0),0))</f>
        <v/>
      </c>
      <c r="O464" s="32">
        <f>IF(OR($C464="",$H464="",$J464=""),0,IF(ROUND(($H464-$J464)*1440,0)&gt;設定!$C$28,ROUND(($H464-$J464)*1440,0),0))</f>
        <v/>
      </c>
      <c r="P464" s="33">
        <f>IF($L464="",0,IF(($L464-IFERROR(INDEX(設定!$G$5:$G$20,MATCH($F464,設定!$B$5:$B$20,0)),0))*60&gt;=設定!$C$26,ROUND(FLOOR(($L464-IFERROR(INDEX(設定!$G$5:$G$20,MATCH($F464,設定!$B$5:$B$20,0)),0))*60,設定!$C$27)/60,2),0))</f>
        <v/>
      </c>
      <c r="Q464" s="29">
        <f>IF(OR($C464="",$P464=0),"",IF($F464="國","國定假日",IF($B464="日","例假",IF($B464="六","休息日","平日"))))</f>
        <v/>
      </c>
      <c r="R464" s="34" t="n"/>
    </row>
    <row r="465">
      <c r="A465" s="30">
        <f>IF(OR(班表!$A20="",29&gt;DAY(EOMONTH(DATE(班表!$E$2,班表!$G$2,1),0))),"",DATE(班表!$E$2,班表!$G$2,29))</f>
        <v/>
      </c>
      <c r="B465" s="29">
        <f>IF($A465="","",INDEX(設定!$L$5:$L$11,WEEKDAY($A465,1)))</f>
        <v/>
      </c>
      <c r="C465" s="29">
        <f>IF($A465="","",班表!$A20)</f>
        <v/>
      </c>
      <c r="D465" s="29">
        <f>IF($C465="","",班表!$B20)</f>
        <v/>
      </c>
      <c r="E465" s="29">
        <f>IF($C465="","",班表!$C20)</f>
        <v/>
      </c>
      <c r="F465" s="29">
        <f>IF($C465="","",班表!AF20)</f>
        <v/>
      </c>
      <c r="G465" s="31">
        <f>IF($F465="","",IFERROR(INDEX(設定!$D$5:$D$20,MATCH($F465,設定!$B$5:$B$20,0)),""))</f>
        <v/>
      </c>
      <c r="H465" s="31">
        <f>IF($F465="","",IFERROR(INDEX(設定!$E$5:$E$20,MATCH($F465,設定!$B$5:$B$20,0)),""))</f>
        <v/>
      </c>
      <c r="I465" s="31">
        <f>IFERROR(INDEX(打卡匯入!$C$3:$C$1002,MATCH($C465&amp;"|"&amp;DAY($A465),打卡匯入!$E$3:$E$1002,0)),"")</f>
        <v/>
      </c>
      <c r="J465" s="31">
        <f>IFERROR(INDEX(打卡匯入!$D$3:$D$1002,MATCH($C465&amp;"|"&amp;DAY($A465),打卡匯入!$E$3:$E$1002,0)),"")</f>
        <v/>
      </c>
      <c r="K465" s="32">
        <f>IF(OR($I465="",$J465=""),"",IFERROR(INDEX(設定!$F$5:$F$20,MATCH($F465,設定!$B$5:$B$20,0)),0))</f>
        <v/>
      </c>
      <c r="L465" s="33">
        <f>IF(OR($I465="",$J465=""),"",ROUND(($J465-$I465)*24-$K465/60,2))</f>
        <v/>
      </c>
      <c r="M465" s="29">
        <f>IF($C465="","",IF(AND(COUNTIF(設定!$B$14:$B$20,$F465)&gt;0,$I465&lt;&gt;""),"假日出勤",IF(AND(COUNTIF(設定!$B$5:$B$13,$F465)&gt;0,$I465=""),"未打卡",IF($I465="","",IF($N465&gt;0,"遲到",IF($O465&gt;0,"早退","正常"))))))</f>
        <v/>
      </c>
      <c r="N465" s="32">
        <f>IF(OR($C465="",$G465="",$I465=""),0,IF(ROUND(($I465-$G465)*1440,0)&gt;設定!$C$28,ROUND(($I465-$G465)*1440,0),0))</f>
        <v/>
      </c>
      <c r="O465" s="32">
        <f>IF(OR($C465="",$H465="",$J465=""),0,IF(ROUND(($H465-$J465)*1440,0)&gt;設定!$C$28,ROUND(($H465-$J465)*1440,0),0))</f>
        <v/>
      </c>
      <c r="P465" s="33">
        <f>IF($L465="",0,IF(($L465-IFERROR(INDEX(設定!$G$5:$G$20,MATCH($F465,設定!$B$5:$B$20,0)),0))*60&gt;=設定!$C$26,ROUND(FLOOR(($L465-IFERROR(INDEX(設定!$G$5:$G$20,MATCH($F465,設定!$B$5:$B$20,0)),0))*60,設定!$C$27)/60,2),0))</f>
        <v/>
      </c>
      <c r="Q465" s="29">
        <f>IF(OR($C465="",$P465=0),"",IF($F465="國","國定假日",IF($B465="日","例假",IF($B465="六","休息日","平日"))))</f>
        <v/>
      </c>
      <c r="R465" s="34" t="n"/>
    </row>
    <row r="466">
      <c r="A466" s="30">
        <f>IF(OR(班表!$A20="",30&gt;DAY(EOMONTH(DATE(班表!$E$2,班表!$G$2,1),0))),"",DATE(班表!$E$2,班表!$G$2,30))</f>
        <v/>
      </c>
      <c r="B466" s="29">
        <f>IF($A466="","",INDEX(設定!$L$5:$L$11,WEEKDAY($A466,1)))</f>
        <v/>
      </c>
      <c r="C466" s="29">
        <f>IF($A466="","",班表!$A20)</f>
        <v/>
      </c>
      <c r="D466" s="29">
        <f>IF($C466="","",班表!$B20)</f>
        <v/>
      </c>
      <c r="E466" s="29">
        <f>IF($C466="","",班表!$C20)</f>
        <v/>
      </c>
      <c r="F466" s="29">
        <f>IF($C466="","",班表!AG20)</f>
        <v/>
      </c>
      <c r="G466" s="31">
        <f>IF($F466="","",IFERROR(INDEX(設定!$D$5:$D$20,MATCH($F466,設定!$B$5:$B$20,0)),""))</f>
        <v/>
      </c>
      <c r="H466" s="31">
        <f>IF($F466="","",IFERROR(INDEX(設定!$E$5:$E$20,MATCH($F466,設定!$B$5:$B$20,0)),""))</f>
        <v/>
      </c>
      <c r="I466" s="31">
        <f>IFERROR(INDEX(打卡匯入!$C$3:$C$1002,MATCH($C466&amp;"|"&amp;DAY($A466),打卡匯入!$E$3:$E$1002,0)),"")</f>
        <v/>
      </c>
      <c r="J466" s="31">
        <f>IFERROR(INDEX(打卡匯入!$D$3:$D$1002,MATCH($C466&amp;"|"&amp;DAY($A466),打卡匯入!$E$3:$E$1002,0)),"")</f>
        <v/>
      </c>
      <c r="K466" s="32">
        <f>IF(OR($I466="",$J466=""),"",IFERROR(INDEX(設定!$F$5:$F$20,MATCH($F466,設定!$B$5:$B$20,0)),0))</f>
        <v/>
      </c>
      <c r="L466" s="33">
        <f>IF(OR($I466="",$J466=""),"",ROUND(($J466-$I466)*24-$K466/60,2))</f>
        <v/>
      </c>
      <c r="M466" s="29">
        <f>IF($C466="","",IF(AND(COUNTIF(設定!$B$14:$B$20,$F466)&gt;0,$I466&lt;&gt;""),"假日出勤",IF(AND(COUNTIF(設定!$B$5:$B$13,$F466)&gt;0,$I466=""),"未打卡",IF($I466="","",IF($N466&gt;0,"遲到",IF($O466&gt;0,"早退","正常"))))))</f>
        <v/>
      </c>
      <c r="N466" s="32">
        <f>IF(OR($C466="",$G466="",$I466=""),0,IF(ROUND(($I466-$G466)*1440,0)&gt;設定!$C$28,ROUND(($I466-$G466)*1440,0),0))</f>
        <v/>
      </c>
      <c r="O466" s="32">
        <f>IF(OR($C466="",$H466="",$J466=""),0,IF(ROUND(($H466-$J466)*1440,0)&gt;設定!$C$28,ROUND(($H466-$J466)*1440,0),0))</f>
        <v/>
      </c>
      <c r="P466" s="33">
        <f>IF($L466="",0,IF(($L466-IFERROR(INDEX(設定!$G$5:$G$20,MATCH($F466,設定!$B$5:$B$20,0)),0))*60&gt;=設定!$C$26,ROUND(FLOOR(($L466-IFERROR(INDEX(設定!$G$5:$G$20,MATCH($F466,設定!$B$5:$B$20,0)),0))*60,設定!$C$27)/60,2),0))</f>
        <v/>
      </c>
      <c r="Q466" s="29">
        <f>IF(OR($C466="",$P466=0),"",IF($F466="國","國定假日",IF($B466="日","例假",IF($B466="六","休息日","平日"))))</f>
        <v/>
      </c>
      <c r="R466" s="34" t="n"/>
    </row>
    <row r="467">
      <c r="A467" s="30">
        <f>IF(OR(班表!$A20="",31&gt;DAY(EOMONTH(DATE(班表!$E$2,班表!$G$2,1),0))),"",DATE(班表!$E$2,班表!$G$2,31))</f>
        <v/>
      </c>
      <c r="B467" s="29">
        <f>IF($A467="","",INDEX(設定!$L$5:$L$11,WEEKDAY($A467,1)))</f>
        <v/>
      </c>
      <c r="C467" s="29">
        <f>IF($A467="","",班表!$A20)</f>
        <v/>
      </c>
      <c r="D467" s="29">
        <f>IF($C467="","",班表!$B20)</f>
        <v/>
      </c>
      <c r="E467" s="29">
        <f>IF($C467="","",班表!$C20)</f>
        <v/>
      </c>
      <c r="F467" s="29">
        <f>IF($C467="","",班表!AH20)</f>
        <v/>
      </c>
      <c r="G467" s="31">
        <f>IF($F467="","",IFERROR(INDEX(設定!$D$5:$D$20,MATCH($F467,設定!$B$5:$B$20,0)),""))</f>
        <v/>
      </c>
      <c r="H467" s="31">
        <f>IF($F467="","",IFERROR(INDEX(設定!$E$5:$E$20,MATCH($F467,設定!$B$5:$B$20,0)),""))</f>
        <v/>
      </c>
      <c r="I467" s="31">
        <f>IFERROR(INDEX(打卡匯入!$C$3:$C$1002,MATCH($C467&amp;"|"&amp;DAY($A467),打卡匯入!$E$3:$E$1002,0)),"")</f>
        <v/>
      </c>
      <c r="J467" s="31">
        <f>IFERROR(INDEX(打卡匯入!$D$3:$D$1002,MATCH($C467&amp;"|"&amp;DAY($A467),打卡匯入!$E$3:$E$1002,0)),"")</f>
        <v/>
      </c>
      <c r="K467" s="32">
        <f>IF(OR($I467="",$J467=""),"",IFERROR(INDEX(設定!$F$5:$F$20,MATCH($F467,設定!$B$5:$B$20,0)),0))</f>
        <v/>
      </c>
      <c r="L467" s="33">
        <f>IF(OR($I467="",$J467=""),"",ROUND(($J467-$I467)*24-$K467/60,2))</f>
        <v/>
      </c>
      <c r="M467" s="29">
        <f>IF($C467="","",IF(AND(COUNTIF(設定!$B$14:$B$20,$F467)&gt;0,$I467&lt;&gt;""),"假日出勤",IF(AND(COUNTIF(設定!$B$5:$B$13,$F467)&gt;0,$I467=""),"未打卡",IF($I467="","",IF($N467&gt;0,"遲到",IF($O467&gt;0,"早退","正常"))))))</f>
        <v/>
      </c>
      <c r="N467" s="32">
        <f>IF(OR($C467="",$G467="",$I467=""),0,IF(ROUND(($I467-$G467)*1440,0)&gt;設定!$C$28,ROUND(($I467-$G467)*1440,0),0))</f>
        <v/>
      </c>
      <c r="O467" s="32">
        <f>IF(OR($C467="",$H467="",$J467=""),0,IF(ROUND(($H467-$J467)*1440,0)&gt;設定!$C$28,ROUND(($H467-$J467)*1440,0),0))</f>
        <v/>
      </c>
      <c r="P467" s="33">
        <f>IF($L467="",0,IF(($L467-IFERROR(INDEX(設定!$G$5:$G$20,MATCH($F467,設定!$B$5:$B$20,0)),0))*60&gt;=設定!$C$26,ROUND(FLOOR(($L467-IFERROR(INDEX(設定!$G$5:$G$20,MATCH($F467,設定!$B$5:$B$20,0)),0))*60,設定!$C$27)/60,2),0))</f>
        <v/>
      </c>
      <c r="Q467" s="29">
        <f>IF(OR($C467="",$P467=0),"",IF($F467="國","國定假日",IF($B467="日","例假",IF($B467="六","休息日","平日"))))</f>
        <v/>
      </c>
      <c r="R467" s="34" t="n"/>
    </row>
    <row r="468">
      <c r="A468" s="30">
        <f>IF(OR(班表!$A21="",1&gt;DAY(EOMONTH(DATE(班表!$E$2,班表!$G$2,1),0))),"",DATE(班表!$E$2,班表!$G$2,1))</f>
        <v/>
      </c>
      <c r="B468" s="29">
        <f>IF($A468="","",INDEX(設定!$L$5:$L$11,WEEKDAY($A468,1)))</f>
        <v/>
      </c>
      <c r="C468" s="29">
        <f>IF($A468="","",班表!$A21)</f>
        <v/>
      </c>
      <c r="D468" s="29">
        <f>IF($C468="","",班表!$B21)</f>
        <v/>
      </c>
      <c r="E468" s="29">
        <f>IF($C468="","",班表!$C21)</f>
        <v/>
      </c>
      <c r="F468" s="29">
        <f>IF($C468="","",班表!D21)</f>
        <v/>
      </c>
      <c r="G468" s="31">
        <f>IF($F468="","",IFERROR(INDEX(設定!$D$5:$D$20,MATCH($F468,設定!$B$5:$B$20,0)),""))</f>
        <v/>
      </c>
      <c r="H468" s="31">
        <f>IF($F468="","",IFERROR(INDEX(設定!$E$5:$E$20,MATCH($F468,設定!$B$5:$B$20,0)),""))</f>
        <v/>
      </c>
      <c r="I468" s="31">
        <f>IFERROR(INDEX(打卡匯入!$C$3:$C$1002,MATCH($C468&amp;"|"&amp;DAY($A468),打卡匯入!$E$3:$E$1002,0)),"")</f>
        <v/>
      </c>
      <c r="J468" s="31">
        <f>IFERROR(INDEX(打卡匯入!$D$3:$D$1002,MATCH($C468&amp;"|"&amp;DAY($A468),打卡匯入!$E$3:$E$1002,0)),"")</f>
        <v/>
      </c>
      <c r="K468" s="32">
        <f>IF(OR($I468="",$J468=""),"",IFERROR(INDEX(設定!$F$5:$F$20,MATCH($F468,設定!$B$5:$B$20,0)),0))</f>
        <v/>
      </c>
      <c r="L468" s="33">
        <f>IF(OR($I468="",$J468=""),"",ROUND(($J468-$I468)*24-$K468/60,2))</f>
        <v/>
      </c>
      <c r="M468" s="29">
        <f>IF($C468="","",IF(AND(COUNTIF(設定!$B$14:$B$20,$F468)&gt;0,$I468&lt;&gt;""),"假日出勤",IF(AND(COUNTIF(設定!$B$5:$B$13,$F468)&gt;0,$I468=""),"未打卡",IF($I468="","",IF($N468&gt;0,"遲到",IF($O468&gt;0,"早退","正常"))))))</f>
        <v/>
      </c>
      <c r="N468" s="32">
        <f>IF(OR($C468="",$G468="",$I468=""),0,IF(ROUND(($I468-$G468)*1440,0)&gt;設定!$C$28,ROUND(($I468-$G468)*1440,0),0))</f>
        <v/>
      </c>
      <c r="O468" s="32">
        <f>IF(OR($C468="",$H468="",$J468=""),0,IF(ROUND(($H468-$J468)*1440,0)&gt;設定!$C$28,ROUND(($H468-$J468)*1440,0),0))</f>
        <v/>
      </c>
      <c r="P468" s="33">
        <f>IF($L468="",0,IF(($L468-IFERROR(INDEX(設定!$G$5:$G$20,MATCH($F468,設定!$B$5:$B$20,0)),0))*60&gt;=設定!$C$26,ROUND(FLOOR(($L468-IFERROR(INDEX(設定!$G$5:$G$20,MATCH($F468,設定!$B$5:$B$20,0)),0))*60,設定!$C$27)/60,2),0))</f>
        <v/>
      </c>
      <c r="Q468" s="29">
        <f>IF(OR($C468="",$P468=0),"",IF($F468="國","國定假日",IF($B468="日","例假",IF($B468="六","休息日","平日"))))</f>
        <v/>
      </c>
      <c r="R468" s="34" t="n"/>
    </row>
    <row r="469">
      <c r="A469" s="30">
        <f>IF(OR(班表!$A21="",2&gt;DAY(EOMONTH(DATE(班表!$E$2,班表!$G$2,1),0))),"",DATE(班表!$E$2,班表!$G$2,2))</f>
        <v/>
      </c>
      <c r="B469" s="29">
        <f>IF($A469="","",INDEX(設定!$L$5:$L$11,WEEKDAY($A469,1)))</f>
        <v/>
      </c>
      <c r="C469" s="29">
        <f>IF($A469="","",班表!$A21)</f>
        <v/>
      </c>
      <c r="D469" s="29">
        <f>IF($C469="","",班表!$B21)</f>
        <v/>
      </c>
      <c r="E469" s="29">
        <f>IF($C469="","",班表!$C21)</f>
        <v/>
      </c>
      <c r="F469" s="29">
        <f>IF($C469="","",班表!E21)</f>
        <v/>
      </c>
      <c r="G469" s="31">
        <f>IF($F469="","",IFERROR(INDEX(設定!$D$5:$D$20,MATCH($F469,設定!$B$5:$B$20,0)),""))</f>
        <v/>
      </c>
      <c r="H469" s="31">
        <f>IF($F469="","",IFERROR(INDEX(設定!$E$5:$E$20,MATCH($F469,設定!$B$5:$B$20,0)),""))</f>
        <v/>
      </c>
      <c r="I469" s="31">
        <f>IFERROR(INDEX(打卡匯入!$C$3:$C$1002,MATCH($C469&amp;"|"&amp;DAY($A469),打卡匯入!$E$3:$E$1002,0)),"")</f>
        <v/>
      </c>
      <c r="J469" s="31">
        <f>IFERROR(INDEX(打卡匯入!$D$3:$D$1002,MATCH($C469&amp;"|"&amp;DAY($A469),打卡匯入!$E$3:$E$1002,0)),"")</f>
        <v/>
      </c>
      <c r="K469" s="32">
        <f>IF(OR($I469="",$J469=""),"",IFERROR(INDEX(設定!$F$5:$F$20,MATCH($F469,設定!$B$5:$B$20,0)),0))</f>
        <v/>
      </c>
      <c r="L469" s="33">
        <f>IF(OR($I469="",$J469=""),"",ROUND(($J469-$I469)*24-$K469/60,2))</f>
        <v/>
      </c>
      <c r="M469" s="29">
        <f>IF($C469="","",IF(AND(COUNTIF(設定!$B$14:$B$20,$F469)&gt;0,$I469&lt;&gt;""),"假日出勤",IF(AND(COUNTIF(設定!$B$5:$B$13,$F469)&gt;0,$I469=""),"未打卡",IF($I469="","",IF($N469&gt;0,"遲到",IF($O469&gt;0,"早退","正常"))))))</f>
        <v/>
      </c>
      <c r="N469" s="32">
        <f>IF(OR($C469="",$G469="",$I469=""),0,IF(ROUND(($I469-$G469)*1440,0)&gt;設定!$C$28,ROUND(($I469-$G469)*1440,0),0))</f>
        <v/>
      </c>
      <c r="O469" s="32">
        <f>IF(OR($C469="",$H469="",$J469=""),0,IF(ROUND(($H469-$J469)*1440,0)&gt;設定!$C$28,ROUND(($H469-$J469)*1440,0),0))</f>
        <v/>
      </c>
      <c r="P469" s="33">
        <f>IF($L469="",0,IF(($L469-IFERROR(INDEX(設定!$G$5:$G$20,MATCH($F469,設定!$B$5:$B$20,0)),0))*60&gt;=設定!$C$26,ROUND(FLOOR(($L469-IFERROR(INDEX(設定!$G$5:$G$20,MATCH($F469,設定!$B$5:$B$20,0)),0))*60,設定!$C$27)/60,2),0))</f>
        <v/>
      </c>
      <c r="Q469" s="29">
        <f>IF(OR($C469="",$P469=0),"",IF($F469="國","國定假日",IF($B469="日","例假",IF($B469="六","休息日","平日"))))</f>
        <v/>
      </c>
      <c r="R469" s="34" t="n"/>
    </row>
    <row r="470">
      <c r="A470" s="30">
        <f>IF(OR(班表!$A21="",3&gt;DAY(EOMONTH(DATE(班表!$E$2,班表!$G$2,1),0))),"",DATE(班表!$E$2,班表!$G$2,3))</f>
        <v/>
      </c>
      <c r="B470" s="29">
        <f>IF($A470="","",INDEX(設定!$L$5:$L$11,WEEKDAY($A470,1)))</f>
        <v/>
      </c>
      <c r="C470" s="29">
        <f>IF($A470="","",班表!$A21)</f>
        <v/>
      </c>
      <c r="D470" s="29">
        <f>IF($C470="","",班表!$B21)</f>
        <v/>
      </c>
      <c r="E470" s="29">
        <f>IF($C470="","",班表!$C21)</f>
        <v/>
      </c>
      <c r="F470" s="29">
        <f>IF($C470="","",班表!F21)</f>
        <v/>
      </c>
      <c r="G470" s="31">
        <f>IF($F470="","",IFERROR(INDEX(設定!$D$5:$D$20,MATCH($F470,設定!$B$5:$B$20,0)),""))</f>
        <v/>
      </c>
      <c r="H470" s="31">
        <f>IF($F470="","",IFERROR(INDEX(設定!$E$5:$E$20,MATCH($F470,設定!$B$5:$B$20,0)),""))</f>
        <v/>
      </c>
      <c r="I470" s="31">
        <f>IFERROR(INDEX(打卡匯入!$C$3:$C$1002,MATCH($C470&amp;"|"&amp;DAY($A470),打卡匯入!$E$3:$E$1002,0)),"")</f>
        <v/>
      </c>
      <c r="J470" s="31">
        <f>IFERROR(INDEX(打卡匯入!$D$3:$D$1002,MATCH($C470&amp;"|"&amp;DAY($A470),打卡匯入!$E$3:$E$1002,0)),"")</f>
        <v/>
      </c>
      <c r="K470" s="32">
        <f>IF(OR($I470="",$J470=""),"",IFERROR(INDEX(設定!$F$5:$F$20,MATCH($F470,設定!$B$5:$B$20,0)),0))</f>
        <v/>
      </c>
      <c r="L470" s="33">
        <f>IF(OR($I470="",$J470=""),"",ROUND(($J470-$I470)*24-$K470/60,2))</f>
        <v/>
      </c>
      <c r="M470" s="29">
        <f>IF($C470="","",IF(AND(COUNTIF(設定!$B$14:$B$20,$F470)&gt;0,$I470&lt;&gt;""),"假日出勤",IF(AND(COUNTIF(設定!$B$5:$B$13,$F470)&gt;0,$I470=""),"未打卡",IF($I470="","",IF($N470&gt;0,"遲到",IF($O470&gt;0,"早退","正常"))))))</f>
        <v/>
      </c>
      <c r="N470" s="32">
        <f>IF(OR($C470="",$G470="",$I470=""),0,IF(ROUND(($I470-$G470)*1440,0)&gt;設定!$C$28,ROUND(($I470-$G470)*1440,0),0))</f>
        <v/>
      </c>
      <c r="O470" s="32">
        <f>IF(OR($C470="",$H470="",$J470=""),0,IF(ROUND(($H470-$J470)*1440,0)&gt;設定!$C$28,ROUND(($H470-$J470)*1440,0),0))</f>
        <v/>
      </c>
      <c r="P470" s="33">
        <f>IF($L470="",0,IF(($L470-IFERROR(INDEX(設定!$G$5:$G$20,MATCH($F470,設定!$B$5:$B$20,0)),0))*60&gt;=設定!$C$26,ROUND(FLOOR(($L470-IFERROR(INDEX(設定!$G$5:$G$20,MATCH($F470,設定!$B$5:$B$20,0)),0))*60,設定!$C$27)/60,2),0))</f>
        <v/>
      </c>
      <c r="Q470" s="29">
        <f>IF(OR($C470="",$P470=0),"",IF($F470="國","國定假日",IF($B470="日","例假",IF($B470="六","休息日","平日"))))</f>
        <v/>
      </c>
      <c r="R470" s="34" t="n"/>
    </row>
    <row r="471">
      <c r="A471" s="30">
        <f>IF(OR(班表!$A21="",4&gt;DAY(EOMONTH(DATE(班表!$E$2,班表!$G$2,1),0))),"",DATE(班表!$E$2,班表!$G$2,4))</f>
        <v/>
      </c>
      <c r="B471" s="29">
        <f>IF($A471="","",INDEX(設定!$L$5:$L$11,WEEKDAY($A471,1)))</f>
        <v/>
      </c>
      <c r="C471" s="29">
        <f>IF($A471="","",班表!$A21)</f>
        <v/>
      </c>
      <c r="D471" s="29">
        <f>IF($C471="","",班表!$B21)</f>
        <v/>
      </c>
      <c r="E471" s="29">
        <f>IF($C471="","",班表!$C21)</f>
        <v/>
      </c>
      <c r="F471" s="29">
        <f>IF($C471="","",班表!G21)</f>
        <v/>
      </c>
      <c r="G471" s="31">
        <f>IF($F471="","",IFERROR(INDEX(設定!$D$5:$D$20,MATCH($F471,設定!$B$5:$B$20,0)),""))</f>
        <v/>
      </c>
      <c r="H471" s="31">
        <f>IF($F471="","",IFERROR(INDEX(設定!$E$5:$E$20,MATCH($F471,設定!$B$5:$B$20,0)),""))</f>
        <v/>
      </c>
      <c r="I471" s="31">
        <f>IFERROR(INDEX(打卡匯入!$C$3:$C$1002,MATCH($C471&amp;"|"&amp;DAY($A471),打卡匯入!$E$3:$E$1002,0)),"")</f>
        <v/>
      </c>
      <c r="J471" s="31">
        <f>IFERROR(INDEX(打卡匯入!$D$3:$D$1002,MATCH($C471&amp;"|"&amp;DAY($A471),打卡匯入!$E$3:$E$1002,0)),"")</f>
        <v/>
      </c>
      <c r="K471" s="32">
        <f>IF(OR($I471="",$J471=""),"",IFERROR(INDEX(設定!$F$5:$F$20,MATCH($F471,設定!$B$5:$B$20,0)),0))</f>
        <v/>
      </c>
      <c r="L471" s="33">
        <f>IF(OR($I471="",$J471=""),"",ROUND(($J471-$I471)*24-$K471/60,2))</f>
        <v/>
      </c>
      <c r="M471" s="29">
        <f>IF($C471="","",IF(AND(COUNTIF(設定!$B$14:$B$20,$F471)&gt;0,$I471&lt;&gt;""),"假日出勤",IF(AND(COUNTIF(設定!$B$5:$B$13,$F471)&gt;0,$I471=""),"未打卡",IF($I471="","",IF($N471&gt;0,"遲到",IF($O471&gt;0,"早退","正常"))))))</f>
        <v/>
      </c>
      <c r="N471" s="32">
        <f>IF(OR($C471="",$G471="",$I471=""),0,IF(ROUND(($I471-$G471)*1440,0)&gt;設定!$C$28,ROUND(($I471-$G471)*1440,0),0))</f>
        <v/>
      </c>
      <c r="O471" s="32">
        <f>IF(OR($C471="",$H471="",$J471=""),0,IF(ROUND(($H471-$J471)*1440,0)&gt;設定!$C$28,ROUND(($H471-$J471)*1440,0),0))</f>
        <v/>
      </c>
      <c r="P471" s="33">
        <f>IF($L471="",0,IF(($L471-IFERROR(INDEX(設定!$G$5:$G$20,MATCH($F471,設定!$B$5:$B$20,0)),0))*60&gt;=設定!$C$26,ROUND(FLOOR(($L471-IFERROR(INDEX(設定!$G$5:$G$20,MATCH($F471,設定!$B$5:$B$20,0)),0))*60,設定!$C$27)/60,2),0))</f>
        <v/>
      </c>
      <c r="Q471" s="29">
        <f>IF(OR($C471="",$P471=0),"",IF($F471="國","國定假日",IF($B471="日","例假",IF($B471="六","休息日","平日"))))</f>
        <v/>
      </c>
      <c r="R471" s="34" t="n"/>
    </row>
    <row r="472">
      <c r="A472" s="30">
        <f>IF(OR(班表!$A21="",5&gt;DAY(EOMONTH(DATE(班表!$E$2,班表!$G$2,1),0))),"",DATE(班表!$E$2,班表!$G$2,5))</f>
        <v/>
      </c>
      <c r="B472" s="29">
        <f>IF($A472="","",INDEX(設定!$L$5:$L$11,WEEKDAY($A472,1)))</f>
        <v/>
      </c>
      <c r="C472" s="29">
        <f>IF($A472="","",班表!$A21)</f>
        <v/>
      </c>
      <c r="D472" s="29">
        <f>IF($C472="","",班表!$B21)</f>
        <v/>
      </c>
      <c r="E472" s="29">
        <f>IF($C472="","",班表!$C21)</f>
        <v/>
      </c>
      <c r="F472" s="29">
        <f>IF($C472="","",班表!H21)</f>
        <v/>
      </c>
      <c r="G472" s="31">
        <f>IF($F472="","",IFERROR(INDEX(設定!$D$5:$D$20,MATCH($F472,設定!$B$5:$B$20,0)),""))</f>
        <v/>
      </c>
      <c r="H472" s="31">
        <f>IF($F472="","",IFERROR(INDEX(設定!$E$5:$E$20,MATCH($F472,設定!$B$5:$B$20,0)),""))</f>
        <v/>
      </c>
      <c r="I472" s="31">
        <f>IFERROR(INDEX(打卡匯入!$C$3:$C$1002,MATCH($C472&amp;"|"&amp;DAY($A472),打卡匯入!$E$3:$E$1002,0)),"")</f>
        <v/>
      </c>
      <c r="J472" s="31">
        <f>IFERROR(INDEX(打卡匯入!$D$3:$D$1002,MATCH($C472&amp;"|"&amp;DAY($A472),打卡匯入!$E$3:$E$1002,0)),"")</f>
        <v/>
      </c>
      <c r="K472" s="32">
        <f>IF(OR($I472="",$J472=""),"",IFERROR(INDEX(設定!$F$5:$F$20,MATCH($F472,設定!$B$5:$B$20,0)),0))</f>
        <v/>
      </c>
      <c r="L472" s="33">
        <f>IF(OR($I472="",$J472=""),"",ROUND(($J472-$I472)*24-$K472/60,2))</f>
        <v/>
      </c>
      <c r="M472" s="29">
        <f>IF($C472="","",IF(AND(COUNTIF(設定!$B$14:$B$20,$F472)&gt;0,$I472&lt;&gt;""),"假日出勤",IF(AND(COUNTIF(設定!$B$5:$B$13,$F472)&gt;0,$I472=""),"未打卡",IF($I472="","",IF($N472&gt;0,"遲到",IF($O472&gt;0,"早退","正常"))))))</f>
        <v/>
      </c>
      <c r="N472" s="32">
        <f>IF(OR($C472="",$G472="",$I472=""),0,IF(ROUND(($I472-$G472)*1440,0)&gt;設定!$C$28,ROUND(($I472-$G472)*1440,0),0))</f>
        <v/>
      </c>
      <c r="O472" s="32">
        <f>IF(OR($C472="",$H472="",$J472=""),0,IF(ROUND(($H472-$J472)*1440,0)&gt;設定!$C$28,ROUND(($H472-$J472)*1440,0),0))</f>
        <v/>
      </c>
      <c r="P472" s="33">
        <f>IF($L472="",0,IF(($L472-IFERROR(INDEX(設定!$G$5:$G$20,MATCH($F472,設定!$B$5:$B$20,0)),0))*60&gt;=設定!$C$26,ROUND(FLOOR(($L472-IFERROR(INDEX(設定!$G$5:$G$20,MATCH($F472,設定!$B$5:$B$20,0)),0))*60,設定!$C$27)/60,2),0))</f>
        <v/>
      </c>
      <c r="Q472" s="29">
        <f>IF(OR($C472="",$P472=0),"",IF($F472="國","國定假日",IF($B472="日","例假",IF($B472="六","休息日","平日"))))</f>
        <v/>
      </c>
      <c r="R472" s="34" t="n"/>
    </row>
    <row r="473">
      <c r="A473" s="30">
        <f>IF(OR(班表!$A21="",6&gt;DAY(EOMONTH(DATE(班表!$E$2,班表!$G$2,1),0))),"",DATE(班表!$E$2,班表!$G$2,6))</f>
        <v/>
      </c>
      <c r="B473" s="29">
        <f>IF($A473="","",INDEX(設定!$L$5:$L$11,WEEKDAY($A473,1)))</f>
        <v/>
      </c>
      <c r="C473" s="29">
        <f>IF($A473="","",班表!$A21)</f>
        <v/>
      </c>
      <c r="D473" s="29">
        <f>IF($C473="","",班表!$B21)</f>
        <v/>
      </c>
      <c r="E473" s="29">
        <f>IF($C473="","",班表!$C21)</f>
        <v/>
      </c>
      <c r="F473" s="29">
        <f>IF($C473="","",班表!I21)</f>
        <v/>
      </c>
      <c r="G473" s="31">
        <f>IF($F473="","",IFERROR(INDEX(設定!$D$5:$D$20,MATCH($F473,設定!$B$5:$B$20,0)),""))</f>
        <v/>
      </c>
      <c r="H473" s="31">
        <f>IF($F473="","",IFERROR(INDEX(設定!$E$5:$E$20,MATCH($F473,設定!$B$5:$B$20,0)),""))</f>
        <v/>
      </c>
      <c r="I473" s="31">
        <f>IFERROR(INDEX(打卡匯入!$C$3:$C$1002,MATCH($C473&amp;"|"&amp;DAY($A473),打卡匯入!$E$3:$E$1002,0)),"")</f>
        <v/>
      </c>
      <c r="J473" s="31">
        <f>IFERROR(INDEX(打卡匯入!$D$3:$D$1002,MATCH($C473&amp;"|"&amp;DAY($A473),打卡匯入!$E$3:$E$1002,0)),"")</f>
        <v/>
      </c>
      <c r="K473" s="32">
        <f>IF(OR($I473="",$J473=""),"",IFERROR(INDEX(設定!$F$5:$F$20,MATCH($F473,設定!$B$5:$B$20,0)),0))</f>
        <v/>
      </c>
      <c r="L473" s="33">
        <f>IF(OR($I473="",$J473=""),"",ROUND(($J473-$I473)*24-$K473/60,2))</f>
        <v/>
      </c>
      <c r="M473" s="29">
        <f>IF($C473="","",IF(AND(COUNTIF(設定!$B$14:$B$20,$F473)&gt;0,$I473&lt;&gt;""),"假日出勤",IF(AND(COUNTIF(設定!$B$5:$B$13,$F473)&gt;0,$I473=""),"未打卡",IF($I473="","",IF($N473&gt;0,"遲到",IF($O473&gt;0,"早退","正常"))))))</f>
        <v/>
      </c>
      <c r="N473" s="32">
        <f>IF(OR($C473="",$G473="",$I473=""),0,IF(ROUND(($I473-$G473)*1440,0)&gt;設定!$C$28,ROUND(($I473-$G473)*1440,0),0))</f>
        <v/>
      </c>
      <c r="O473" s="32">
        <f>IF(OR($C473="",$H473="",$J473=""),0,IF(ROUND(($H473-$J473)*1440,0)&gt;設定!$C$28,ROUND(($H473-$J473)*1440,0),0))</f>
        <v/>
      </c>
      <c r="P473" s="33">
        <f>IF($L473="",0,IF(($L473-IFERROR(INDEX(設定!$G$5:$G$20,MATCH($F473,設定!$B$5:$B$20,0)),0))*60&gt;=設定!$C$26,ROUND(FLOOR(($L473-IFERROR(INDEX(設定!$G$5:$G$20,MATCH($F473,設定!$B$5:$B$20,0)),0))*60,設定!$C$27)/60,2),0))</f>
        <v/>
      </c>
      <c r="Q473" s="29">
        <f>IF(OR($C473="",$P473=0),"",IF($F473="國","國定假日",IF($B473="日","例假",IF($B473="六","休息日","平日"))))</f>
        <v/>
      </c>
      <c r="R473" s="34" t="n"/>
    </row>
    <row r="474">
      <c r="A474" s="30">
        <f>IF(OR(班表!$A21="",7&gt;DAY(EOMONTH(DATE(班表!$E$2,班表!$G$2,1),0))),"",DATE(班表!$E$2,班表!$G$2,7))</f>
        <v/>
      </c>
      <c r="B474" s="29">
        <f>IF($A474="","",INDEX(設定!$L$5:$L$11,WEEKDAY($A474,1)))</f>
        <v/>
      </c>
      <c r="C474" s="29">
        <f>IF($A474="","",班表!$A21)</f>
        <v/>
      </c>
      <c r="D474" s="29">
        <f>IF($C474="","",班表!$B21)</f>
        <v/>
      </c>
      <c r="E474" s="29">
        <f>IF($C474="","",班表!$C21)</f>
        <v/>
      </c>
      <c r="F474" s="29">
        <f>IF($C474="","",班表!J21)</f>
        <v/>
      </c>
      <c r="G474" s="31">
        <f>IF($F474="","",IFERROR(INDEX(設定!$D$5:$D$20,MATCH($F474,設定!$B$5:$B$20,0)),""))</f>
        <v/>
      </c>
      <c r="H474" s="31">
        <f>IF($F474="","",IFERROR(INDEX(設定!$E$5:$E$20,MATCH($F474,設定!$B$5:$B$20,0)),""))</f>
        <v/>
      </c>
      <c r="I474" s="31">
        <f>IFERROR(INDEX(打卡匯入!$C$3:$C$1002,MATCH($C474&amp;"|"&amp;DAY($A474),打卡匯入!$E$3:$E$1002,0)),"")</f>
        <v/>
      </c>
      <c r="J474" s="31">
        <f>IFERROR(INDEX(打卡匯入!$D$3:$D$1002,MATCH($C474&amp;"|"&amp;DAY($A474),打卡匯入!$E$3:$E$1002,0)),"")</f>
        <v/>
      </c>
      <c r="K474" s="32">
        <f>IF(OR($I474="",$J474=""),"",IFERROR(INDEX(設定!$F$5:$F$20,MATCH($F474,設定!$B$5:$B$20,0)),0))</f>
        <v/>
      </c>
      <c r="L474" s="33">
        <f>IF(OR($I474="",$J474=""),"",ROUND(($J474-$I474)*24-$K474/60,2))</f>
        <v/>
      </c>
      <c r="M474" s="29">
        <f>IF($C474="","",IF(AND(COUNTIF(設定!$B$14:$B$20,$F474)&gt;0,$I474&lt;&gt;""),"假日出勤",IF(AND(COUNTIF(設定!$B$5:$B$13,$F474)&gt;0,$I474=""),"未打卡",IF($I474="","",IF($N474&gt;0,"遲到",IF($O474&gt;0,"早退","正常"))))))</f>
        <v/>
      </c>
      <c r="N474" s="32">
        <f>IF(OR($C474="",$G474="",$I474=""),0,IF(ROUND(($I474-$G474)*1440,0)&gt;設定!$C$28,ROUND(($I474-$G474)*1440,0),0))</f>
        <v/>
      </c>
      <c r="O474" s="32">
        <f>IF(OR($C474="",$H474="",$J474=""),0,IF(ROUND(($H474-$J474)*1440,0)&gt;設定!$C$28,ROUND(($H474-$J474)*1440,0),0))</f>
        <v/>
      </c>
      <c r="P474" s="33">
        <f>IF($L474="",0,IF(($L474-IFERROR(INDEX(設定!$G$5:$G$20,MATCH($F474,設定!$B$5:$B$20,0)),0))*60&gt;=設定!$C$26,ROUND(FLOOR(($L474-IFERROR(INDEX(設定!$G$5:$G$20,MATCH($F474,設定!$B$5:$B$20,0)),0))*60,設定!$C$27)/60,2),0))</f>
        <v/>
      </c>
      <c r="Q474" s="29">
        <f>IF(OR($C474="",$P474=0),"",IF($F474="國","國定假日",IF($B474="日","例假",IF($B474="六","休息日","平日"))))</f>
        <v/>
      </c>
      <c r="R474" s="34" t="n"/>
    </row>
    <row r="475">
      <c r="A475" s="30">
        <f>IF(OR(班表!$A21="",8&gt;DAY(EOMONTH(DATE(班表!$E$2,班表!$G$2,1),0))),"",DATE(班表!$E$2,班表!$G$2,8))</f>
        <v/>
      </c>
      <c r="B475" s="29">
        <f>IF($A475="","",INDEX(設定!$L$5:$L$11,WEEKDAY($A475,1)))</f>
        <v/>
      </c>
      <c r="C475" s="29">
        <f>IF($A475="","",班表!$A21)</f>
        <v/>
      </c>
      <c r="D475" s="29">
        <f>IF($C475="","",班表!$B21)</f>
        <v/>
      </c>
      <c r="E475" s="29">
        <f>IF($C475="","",班表!$C21)</f>
        <v/>
      </c>
      <c r="F475" s="29">
        <f>IF($C475="","",班表!K21)</f>
        <v/>
      </c>
      <c r="G475" s="31">
        <f>IF($F475="","",IFERROR(INDEX(設定!$D$5:$D$20,MATCH($F475,設定!$B$5:$B$20,0)),""))</f>
        <v/>
      </c>
      <c r="H475" s="31">
        <f>IF($F475="","",IFERROR(INDEX(設定!$E$5:$E$20,MATCH($F475,設定!$B$5:$B$20,0)),""))</f>
        <v/>
      </c>
      <c r="I475" s="31">
        <f>IFERROR(INDEX(打卡匯入!$C$3:$C$1002,MATCH($C475&amp;"|"&amp;DAY($A475),打卡匯入!$E$3:$E$1002,0)),"")</f>
        <v/>
      </c>
      <c r="J475" s="31">
        <f>IFERROR(INDEX(打卡匯入!$D$3:$D$1002,MATCH($C475&amp;"|"&amp;DAY($A475),打卡匯入!$E$3:$E$1002,0)),"")</f>
        <v/>
      </c>
      <c r="K475" s="32">
        <f>IF(OR($I475="",$J475=""),"",IFERROR(INDEX(設定!$F$5:$F$20,MATCH($F475,設定!$B$5:$B$20,0)),0))</f>
        <v/>
      </c>
      <c r="L475" s="33">
        <f>IF(OR($I475="",$J475=""),"",ROUND(($J475-$I475)*24-$K475/60,2))</f>
        <v/>
      </c>
      <c r="M475" s="29">
        <f>IF($C475="","",IF(AND(COUNTIF(設定!$B$14:$B$20,$F475)&gt;0,$I475&lt;&gt;""),"假日出勤",IF(AND(COUNTIF(設定!$B$5:$B$13,$F475)&gt;0,$I475=""),"未打卡",IF($I475="","",IF($N475&gt;0,"遲到",IF($O475&gt;0,"早退","正常"))))))</f>
        <v/>
      </c>
      <c r="N475" s="32">
        <f>IF(OR($C475="",$G475="",$I475=""),0,IF(ROUND(($I475-$G475)*1440,0)&gt;設定!$C$28,ROUND(($I475-$G475)*1440,0),0))</f>
        <v/>
      </c>
      <c r="O475" s="32">
        <f>IF(OR($C475="",$H475="",$J475=""),0,IF(ROUND(($H475-$J475)*1440,0)&gt;設定!$C$28,ROUND(($H475-$J475)*1440,0),0))</f>
        <v/>
      </c>
      <c r="P475" s="33">
        <f>IF($L475="",0,IF(($L475-IFERROR(INDEX(設定!$G$5:$G$20,MATCH($F475,設定!$B$5:$B$20,0)),0))*60&gt;=設定!$C$26,ROUND(FLOOR(($L475-IFERROR(INDEX(設定!$G$5:$G$20,MATCH($F475,設定!$B$5:$B$20,0)),0))*60,設定!$C$27)/60,2),0))</f>
        <v/>
      </c>
      <c r="Q475" s="29">
        <f>IF(OR($C475="",$P475=0),"",IF($F475="國","國定假日",IF($B475="日","例假",IF($B475="六","休息日","平日"))))</f>
        <v/>
      </c>
      <c r="R475" s="34" t="n"/>
    </row>
    <row r="476">
      <c r="A476" s="30">
        <f>IF(OR(班表!$A21="",9&gt;DAY(EOMONTH(DATE(班表!$E$2,班表!$G$2,1),0))),"",DATE(班表!$E$2,班表!$G$2,9))</f>
        <v/>
      </c>
      <c r="B476" s="29">
        <f>IF($A476="","",INDEX(設定!$L$5:$L$11,WEEKDAY($A476,1)))</f>
        <v/>
      </c>
      <c r="C476" s="29">
        <f>IF($A476="","",班表!$A21)</f>
        <v/>
      </c>
      <c r="D476" s="29">
        <f>IF($C476="","",班表!$B21)</f>
        <v/>
      </c>
      <c r="E476" s="29">
        <f>IF($C476="","",班表!$C21)</f>
        <v/>
      </c>
      <c r="F476" s="29">
        <f>IF($C476="","",班表!L21)</f>
        <v/>
      </c>
      <c r="G476" s="31">
        <f>IF($F476="","",IFERROR(INDEX(設定!$D$5:$D$20,MATCH($F476,設定!$B$5:$B$20,0)),""))</f>
        <v/>
      </c>
      <c r="H476" s="31">
        <f>IF($F476="","",IFERROR(INDEX(設定!$E$5:$E$20,MATCH($F476,設定!$B$5:$B$20,0)),""))</f>
        <v/>
      </c>
      <c r="I476" s="31">
        <f>IFERROR(INDEX(打卡匯入!$C$3:$C$1002,MATCH($C476&amp;"|"&amp;DAY($A476),打卡匯入!$E$3:$E$1002,0)),"")</f>
        <v/>
      </c>
      <c r="J476" s="31">
        <f>IFERROR(INDEX(打卡匯入!$D$3:$D$1002,MATCH($C476&amp;"|"&amp;DAY($A476),打卡匯入!$E$3:$E$1002,0)),"")</f>
        <v/>
      </c>
      <c r="K476" s="32">
        <f>IF(OR($I476="",$J476=""),"",IFERROR(INDEX(設定!$F$5:$F$20,MATCH($F476,設定!$B$5:$B$20,0)),0))</f>
        <v/>
      </c>
      <c r="L476" s="33">
        <f>IF(OR($I476="",$J476=""),"",ROUND(($J476-$I476)*24-$K476/60,2))</f>
        <v/>
      </c>
      <c r="M476" s="29">
        <f>IF($C476="","",IF(AND(COUNTIF(設定!$B$14:$B$20,$F476)&gt;0,$I476&lt;&gt;""),"假日出勤",IF(AND(COUNTIF(設定!$B$5:$B$13,$F476)&gt;0,$I476=""),"未打卡",IF($I476="","",IF($N476&gt;0,"遲到",IF($O476&gt;0,"早退","正常"))))))</f>
        <v/>
      </c>
      <c r="N476" s="32">
        <f>IF(OR($C476="",$G476="",$I476=""),0,IF(ROUND(($I476-$G476)*1440,0)&gt;設定!$C$28,ROUND(($I476-$G476)*1440,0),0))</f>
        <v/>
      </c>
      <c r="O476" s="32">
        <f>IF(OR($C476="",$H476="",$J476=""),0,IF(ROUND(($H476-$J476)*1440,0)&gt;設定!$C$28,ROUND(($H476-$J476)*1440,0),0))</f>
        <v/>
      </c>
      <c r="P476" s="33">
        <f>IF($L476="",0,IF(($L476-IFERROR(INDEX(設定!$G$5:$G$20,MATCH($F476,設定!$B$5:$B$20,0)),0))*60&gt;=設定!$C$26,ROUND(FLOOR(($L476-IFERROR(INDEX(設定!$G$5:$G$20,MATCH($F476,設定!$B$5:$B$20,0)),0))*60,設定!$C$27)/60,2),0))</f>
        <v/>
      </c>
      <c r="Q476" s="29">
        <f>IF(OR($C476="",$P476=0),"",IF($F476="國","國定假日",IF($B476="日","例假",IF($B476="六","休息日","平日"))))</f>
        <v/>
      </c>
      <c r="R476" s="34" t="n"/>
    </row>
    <row r="477">
      <c r="A477" s="30">
        <f>IF(OR(班表!$A21="",10&gt;DAY(EOMONTH(DATE(班表!$E$2,班表!$G$2,1),0))),"",DATE(班表!$E$2,班表!$G$2,10))</f>
        <v/>
      </c>
      <c r="B477" s="29">
        <f>IF($A477="","",INDEX(設定!$L$5:$L$11,WEEKDAY($A477,1)))</f>
        <v/>
      </c>
      <c r="C477" s="29">
        <f>IF($A477="","",班表!$A21)</f>
        <v/>
      </c>
      <c r="D477" s="29">
        <f>IF($C477="","",班表!$B21)</f>
        <v/>
      </c>
      <c r="E477" s="29">
        <f>IF($C477="","",班表!$C21)</f>
        <v/>
      </c>
      <c r="F477" s="29">
        <f>IF($C477="","",班表!M21)</f>
        <v/>
      </c>
      <c r="G477" s="31">
        <f>IF($F477="","",IFERROR(INDEX(設定!$D$5:$D$20,MATCH($F477,設定!$B$5:$B$20,0)),""))</f>
        <v/>
      </c>
      <c r="H477" s="31">
        <f>IF($F477="","",IFERROR(INDEX(設定!$E$5:$E$20,MATCH($F477,設定!$B$5:$B$20,0)),""))</f>
        <v/>
      </c>
      <c r="I477" s="31">
        <f>IFERROR(INDEX(打卡匯入!$C$3:$C$1002,MATCH($C477&amp;"|"&amp;DAY($A477),打卡匯入!$E$3:$E$1002,0)),"")</f>
        <v/>
      </c>
      <c r="J477" s="31">
        <f>IFERROR(INDEX(打卡匯入!$D$3:$D$1002,MATCH($C477&amp;"|"&amp;DAY($A477),打卡匯入!$E$3:$E$1002,0)),"")</f>
        <v/>
      </c>
      <c r="K477" s="32">
        <f>IF(OR($I477="",$J477=""),"",IFERROR(INDEX(設定!$F$5:$F$20,MATCH($F477,設定!$B$5:$B$20,0)),0))</f>
        <v/>
      </c>
      <c r="L477" s="33">
        <f>IF(OR($I477="",$J477=""),"",ROUND(($J477-$I477)*24-$K477/60,2))</f>
        <v/>
      </c>
      <c r="M477" s="29">
        <f>IF($C477="","",IF(AND(COUNTIF(設定!$B$14:$B$20,$F477)&gt;0,$I477&lt;&gt;""),"假日出勤",IF(AND(COUNTIF(設定!$B$5:$B$13,$F477)&gt;0,$I477=""),"未打卡",IF($I477="","",IF($N477&gt;0,"遲到",IF($O477&gt;0,"早退","正常"))))))</f>
        <v/>
      </c>
      <c r="N477" s="32">
        <f>IF(OR($C477="",$G477="",$I477=""),0,IF(ROUND(($I477-$G477)*1440,0)&gt;設定!$C$28,ROUND(($I477-$G477)*1440,0),0))</f>
        <v/>
      </c>
      <c r="O477" s="32">
        <f>IF(OR($C477="",$H477="",$J477=""),0,IF(ROUND(($H477-$J477)*1440,0)&gt;設定!$C$28,ROUND(($H477-$J477)*1440,0),0))</f>
        <v/>
      </c>
      <c r="P477" s="33">
        <f>IF($L477="",0,IF(($L477-IFERROR(INDEX(設定!$G$5:$G$20,MATCH($F477,設定!$B$5:$B$20,0)),0))*60&gt;=設定!$C$26,ROUND(FLOOR(($L477-IFERROR(INDEX(設定!$G$5:$G$20,MATCH($F477,設定!$B$5:$B$20,0)),0))*60,設定!$C$27)/60,2),0))</f>
        <v/>
      </c>
      <c r="Q477" s="29">
        <f>IF(OR($C477="",$P477=0),"",IF($F477="國","國定假日",IF($B477="日","例假",IF($B477="六","休息日","平日"))))</f>
        <v/>
      </c>
      <c r="R477" s="34" t="n"/>
    </row>
    <row r="478">
      <c r="A478" s="30">
        <f>IF(OR(班表!$A21="",11&gt;DAY(EOMONTH(DATE(班表!$E$2,班表!$G$2,1),0))),"",DATE(班表!$E$2,班表!$G$2,11))</f>
        <v/>
      </c>
      <c r="B478" s="29">
        <f>IF($A478="","",INDEX(設定!$L$5:$L$11,WEEKDAY($A478,1)))</f>
        <v/>
      </c>
      <c r="C478" s="29">
        <f>IF($A478="","",班表!$A21)</f>
        <v/>
      </c>
      <c r="D478" s="29">
        <f>IF($C478="","",班表!$B21)</f>
        <v/>
      </c>
      <c r="E478" s="29">
        <f>IF($C478="","",班表!$C21)</f>
        <v/>
      </c>
      <c r="F478" s="29">
        <f>IF($C478="","",班表!N21)</f>
        <v/>
      </c>
      <c r="G478" s="31">
        <f>IF($F478="","",IFERROR(INDEX(設定!$D$5:$D$20,MATCH($F478,設定!$B$5:$B$20,0)),""))</f>
        <v/>
      </c>
      <c r="H478" s="31">
        <f>IF($F478="","",IFERROR(INDEX(設定!$E$5:$E$20,MATCH($F478,設定!$B$5:$B$20,0)),""))</f>
        <v/>
      </c>
      <c r="I478" s="31">
        <f>IFERROR(INDEX(打卡匯入!$C$3:$C$1002,MATCH($C478&amp;"|"&amp;DAY($A478),打卡匯入!$E$3:$E$1002,0)),"")</f>
        <v/>
      </c>
      <c r="J478" s="31">
        <f>IFERROR(INDEX(打卡匯入!$D$3:$D$1002,MATCH($C478&amp;"|"&amp;DAY($A478),打卡匯入!$E$3:$E$1002,0)),"")</f>
        <v/>
      </c>
      <c r="K478" s="32">
        <f>IF(OR($I478="",$J478=""),"",IFERROR(INDEX(設定!$F$5:$F$20,MATCH($F478,設定!$B$5:$B$20,0)),0))</f>
        <v/>
      </c>
      <c r="L478" s="33">
        <f>IF(OR($I478="",$J478=""),"",ROUND(($J478-$I478)*24-$K478/60,2))</f>
        <v/>
      </c>
      <c r="M478" s="29">
        <f>IF($C478="","",IF(AND(COUNTIF(設定!$B$14:$B$20,$F478)&gt;0,$I478&lt;&gt;""),"假日出勤",IF(AND(COUNTIF(設定!$B$5:$B$13,$F478)&gt;0,$I478=""),"未打卡",IF($I478="","",IF($N478&gt;0,"遲到",IF($O478&gt;0,"早退","正常"))))))</f>
        <v/>
      </c>
      <c r="N478" s="32">
        <f>IF(OR($C478="",$G478="",$I478=""),0,IF(ROUND(($I478-$G478)*1440,0)&gt;設定!$C$28,ROUND(($I478-$G478)*1440,0),0))</f>
        <v/>
      </c>
      <c r="O478" s="32">
        <f>IF(OR($C478="",$H478="",$J478=""),0,IF(ROUND(($H478-$J478)*1440,0)&gt;設定!$C$28,ROUND(($H478-$J478)*1440,0),0))</f>
        <v/>
      </c>
      <c r="P478" s="33">
        <f>IF($L478="",0,IF(($L478-IFERROR(INDEX(設定!$G$5:$G$20,MATCH($F478,設定!$B$5:$B$20,0)),0))*60&gt;=設定!$C$26,ROUND(FLOOR(($L478-IFERROR(INDEX(設定!$G$5:$G$20,MATCH($F478,設定!$B$5:$B$20,0)),0))*60,設定!$C$27)/60,2),0))</f>
        <v/>
      </c>
      <c r="Q478" s="29">
        <f>IF(OR($C478="",$P478=0),"",IF($F478="國","國定假日",IF($B478="日","例假",IF($B478="六","休息日","平日"))))</f>
        <v/>
      </c>
      <c r="R478" s="34" t="n"/>
    </row>
    <row r="479">
      <c r="A479" s="30">
        <f>IF(OR(班表!$A21="",12&gt;DAY(EOMONTH(DATE(班表!$E$2,班表!$G$2,1),0))),"",DATE(班表!$E$2,班表!$G$2,12))</f>
        <v/>
      </c>
      <c r="B479" s="29">
        <f>IF($A479="","",INDEX(設定!$L$5:$L$11,WEEKDAY($A479,1)))</f>
        <v/>
      </c>
      <c r="C479" s="29">
        <f>IF($A479="","",班表!$A21)</f>
        <v/>
      </c>
      <c r="D479" s="29">
        <f>IF($C479="","",班表!$B21)</f>
        <v/>
      </c>
      <c r="E479" s="29">
        <f>IF($C479="","",班表!$C21)</f>
        <v/>
      </c>
      <c r="F479" s="29">
        <f>IF($C479="","",班表!O21)</f>
        <v/>
      </c>
      <c r="G479" s="31">
        <f>IF($F479="","",IFERROR(INDEX(設定!$D$5:$D$20,MATCH($F479,設定!$B$5:$B$20,0)),""))</f>
        <v/>
      </c>
      <c r="H479" s="31">
        <f>IF($F479="","",IFERROR(INDEX(設定!$E$5:$E$20,MATCH($F479,設定!$B$5:$B$20,0)),""))</f>
        <v/>
      </c>
      <c r="I479" s="31">
        <f>IFERROR(INDEX(打卡匯入!$C$3:$C$1002,MATCH($C479&amp;"|"&amp;DAY($A479),打卡匯入!$E$3:$E$1002,0)),"")</f>
        <v/>
      </c>
      <c r="J479" s="31">
        <f>IFERROR(INDEX(打卡匯入!$D$3:$D$1002,MATCH($C479&amp;"|"&amp;DAY($A479),打卡匯入!$E$3:$E$1002,0)),"")</f>
        <v/>
      </c>
      <c r="K479" s="32">
        <f>IF(OR($I479="",$J479=""),"",IFERROR(INDEX(設定!$F$5:$F$20,MATCH($F479,設定!$B$5:$B$20,0)),0))</f>
        <v/>
      </c>
      <c r="L479" s="33">
        <f>IF(OR($I479="",$J479=""),"",ROUND(($J479-$I479)*24-$K479/60,2))</f>
        <v/>
      </c>
      <c r="M479" s="29">
        <f>IF($C479="","",IF(AND(COUNTIF(設定!$B$14:$B$20,$F479)&gt;0,$I479&lt;&gt;""),"假日出勤",IF(AND(COUNTIF(設定!$B$5:$B$13,$F479)&gt;0,$I479=""),"未打卡",IF($I479="","",IF($N479&gt;0,"遲到",IF($O479&gt;0,"早退","正常"))))))</f>
        <v/>
      </c>
      <c r="N479" s="32">
        <f>IF(OR($C479="",$G479="",$I479=""),0,IF(ROUND(($I479-$G479)*1440,0)&gt;設定!$C$28,ROUND(($I479-$G479)*1440,0),0))</f>
        <v/>
      </c>
      <c r="O479" s="32">
        <f>IF(OR($C479="",$H479="",$J479=""),0,IF(ROUND(($H479-$J479)*1440,0)&gt;設定!$C$28,ROUND(($H479-$J479)*1440,0),0))</f>
        <v/>
      </c>
      <c r="P479" s="33">
        <f>IF($L479="",0,IF(($L479-IFERROR(INDEX(設定!$G$5:$G$20,MATCH($F479,設定!$B$5:$B$20,0)),0))*60&gt;=設定!$C$26,ROUND(FLOOR(($L479-IFERROR(INDEX(設定!$G$5:$G$20,MATCH($F479,設定!$B$5:$B$20,0)),0))*60,設定!$C$27)/60,2),0))</f>
        <v/>
      </c>
      <c r="Q479" s="29">
        <f>IF(OR($C479="",$P479=0),"",IF($F479="國","國定假日",IF($B479="日","例假",IF($B479="六","休息日","平日"))))</f>
        <v/>
      </c>
      <c r="R479" s="34" t="n"/>
    </row>
    <row r="480">
      <c r="A480" s="30">
        <f>IF(OR(班表!$A21="",13&gt;DAY(EOMONTH(DATE(班表!$E$2,班表!$G$2,1),0))),"",DATE(班表!$E$2,班表!$G$2,13))</f>
        <v/>
      </c>
      <c r="B480" s="29">
        <f>IF($A480="","",INDEX(設定!$L$5:$L$11,WEEKDAY($A480,1)))</f>
        <v/>
      </c>
      <c r="C480" s="29">
        <f>IF($A480="","",班表!$A21)</f>
        <v/>
      </c>
      <c r="D480" s="29">
        <f>IF($C480="","",班表!$B21)</f>
        <v/>
      </c>
      <c r="E480" s="29">
        <f>IF($C480="","",班表!$C21)</f>
        <v/>
      </c>
      <c r="F480" s="29">
        <f>IF($C480="","",班表!P21)</f>
        <v/>
      </c>
      <c r="G480" s="31">
        <f>IF($F480="","",IFERROR(INDEX(設定!$D$5:$D$20,MATCH($F480,設定!$B$5:$B$20,0)),""))</f>
        <v/>
      </c>
      <c r="H480" s="31">
        <f>IF($F480="","",IFERROR(INDEX(設定!$E$5:$E$20,MATCH($F480,設定!$B$5:$B$20,0)),""))</f>
        <v/>
      </c>
      <c r="I480" s="31">
        <f>IFERROR(INDEX(打卡匯入!$C$3:$C$1002,MATCH($C480&amp;"|"&amp;DAY($A480),打卡匯入!$E$3:$E$1002,0)),"")</f>
        <v/>
      </c>
      <c r="J480" s="31">
        <f>IFERROR(INDEX(打卡匯入!$D$3:$D$1002,MATCH($C480&amp;"|"&amp;DAY($A480),打卡匯入!$E$3:$E$1002,0)),"")</f>
        <v/>
      </c>
      <c r="K480" s="32">
        <f>IF(OR($I480="",$J480=""),"",IFERROR(INDEX(設定!$F$5:$F$20,MATCH($F480,設定!$B$5:$B$20,0)),0))</f>
        <v/>
      </c>
      <c r="L480" s="33">
        <f>IF(OR($I480="",$J480=""),"",ROUND(($J480-$I480)*24-$K480/60,2))</f>
        <v/>
      </c>
      <c r="M480" s="29">
        <f>IF($C480="","",IF(AND(COUNTIF(設定!$B$14:$B$20,$F480)&gt;0,$I480&lt;&gt;""),"假日出勤",IF(AND(COUNTIF(設定!$B$5:$B$13,$F480)&gt;0,$I480=""),"未打卡",IF($I480="","",IF($N480&gt;0,"遲到",IF($O480&gt;0,"早退","正常"))))))</f>
        <v/>
      </c>
      <c r="N480" s="32">
        <f>IF(OR($C480="",$G480="",$I480=""),0,IF(ROUND(($I480-$G480)*1440,0)&gt;設定!$C$28,ROUND(($I480-$G480)*1440,0),0))</f>
        <v/>
      </c>
      <c r="O480" s="32">
        <f>IF(OR($C480="",$H480="",$J480=""),0,IF(ROUND(($H480-$J480)*1440,0)&gt;設定!$C$28,ROUND(($H480-$J480)*1440,0),0))</f>
        <v/>
      </c>
      <c r="P480" s="33">
        <f>IF($L480="",0,IF(($L480-IFERROR(INDEX(設定!$G$5:$G$20,MATCH($F480,設定!$B$5:$B$20,0)),0))*60&gt;=設定!$C$26,ROUND(FLOOR(($L480-IFERROR(INDEX(設定!$G$5:$G$20,MATCH($F480,設定!$B$5:$B$20,0)),0))*60,設定!$C$27)/60,2),0))</f>
        <v/>
      </c>
      <c r="Q480" s="29">
        <f>IF(OR($C480="",$P480=0),"",IF($F480="國","國定假日",IF($B480="日","例假",IF($B480="六","休息日","平日"))))</f>
        <v/>
      </c>
      <c r="R480" s="34" t="n"/>
    </row>
    <row r="481">
      <c r="A481" s="30">
        <f>IF(OR(班表!$A21="",14&gt;DAY(EOMONTH(DATE(班表!$E$2,班表!$G$2,1),0))),"",DATE(班表!$E$2,班表!$G$2,14))</f>
        <v/>
      </c>
      <c r="B481" s="29">
        <f>IF($A481="","",INDEX(設定!$L$5:$L$11,WEEKDAY($A481,1)))</f>
        <v/>
      </c>
      <c r="C481" s="29">
        <f>IF($A481="","",班表!$A21)</f>
        <v/>
      </c>
      <c r="D481" s="29">
        <f>IF($C481="","",班表!$B21)</f>
        <v/>
      </c>
      <c r="E481" s="29">
        <f>IF($C481="","",班表!$C21)</f>
        <v/>
      </c>
      <c r="F481" s="29">
        <f>IF($C481="","",班表!Q21)</f>
        <v/>
      </c>
      <c r="G481" s="31">
        <f>IF($F481="","",IFERROR(INDEX(設定!$D$5:$D$20,MATCH($F481,設定!$B$5:$B$20,0)),""))</f>
        <v/>
      </c>
      <c r="H481" s="31">
        <f>IF($F481="","",IFERROR(INDEX(設定!$E$5:$E$20,MATCH($F481,設定!$B$5:$B$20,0)),""))</f>
        <v/>
      </c>
      <c r="I481" s="31">
        <f>IFERROR(INDEX(打卡匯入!$C$3:$C$1002,MATCH($C481&amp;"|"&amp;DAY($A481),打卡匯入!$E$3:$E$1002,0)),"")</f>
        <v/>
      </c>
      <c r="J481" s="31">
        <f>IFERROR(INDEX(打卡匯入!$D$3:$D$1002,MATCH($C481&amp;"|"&amp;DAY($A481),打卡匯入!$E$3:$E$1002,0)),"")</f>
        <v/>
      </c>
      <c r="K481" s="32">
        <f>IF(OR($I481="",$J481=""),"",IFERROR(INDEX(設定!$F$5:$F$20,MATCH($F481,設定!$B$5:$B$20,0)),0))</f>
        <v/>
      </c>
      <c r="L481" s="33">
        <f>IF(OR($I481="",$J481=""),"",ROUND(($J481-$I481)*24-$K481/60,2))</f>
        <v/>
      </c>
      <c r="M481" s="29">
        <f>IF($C481="","",IF(AND(COUNTIF(設定!$B$14:$B$20,$F481)&gt;0,$I481&lt;&gt;""),"假日出勤",IF(AND(COUNTIF(設定!$B$5:$B$13,$F481)&gt;0,$I481=""),"未打卡",IF($I481="","",IF($N481&gt;0,"遲到",IF($O481&gt;0,"早退","正常"))))))</f>
        <v/>
      </c>
      <c r="N481" s="32">
        <f>IF(OR($C481="",$G481="",$I481=""),0,IF(ROUND(($I481-$G481)*1440,0)&gt;設定!$C$28,ROUND(($I481-$G481)*1440,0),0))</f>
        <v/>
      </c>
      <c r="O481" s="32">
        <f>IF(OR($C481="",$H481="",$J481=""),0,IF(ROUND(($H481-$J481)*1440,0)&gt;設定!$C$28,ROUND(($H481-$J481)*1440,0),0))</f>
        <v/>
      </c>
      <c r="P481" s="33">
        <f>IF($L481="",0,IF(($L481-IFERROR(INDEX(設定!$G$5:$G$20,MATCH($F481,設定!$B$5:$B$20,0)),0))*60&gt;=設定!$C$26,ROUND(FLOOR(($L481-IFERROR(INDEX(設定!$G$5:$G$20,MATCH($F481,設定!$B$5:$B$20,0)),0))*60,設定!$C$27)/60,2),0))</f>
        <v/>
      </c>
      <c r="Q481" s="29">
        <f>IF(OR($C481="",$P481=0),"",IF($F481="國","國定假日",IF($B481="日","例假",IF($B481="六","休息日","平日"))))</f>
        <v/>
      </c>
      <c r="R481" s="34" t="n"/>
    </row>
    <row r="482">
      <c r="A482" s="30">
        <f>IF(OR(班表!$A21="",15&gt;DAY(EOMONTH(DATE(班表!$E$2,班表!$G$2,1),0))),"",DATE(班表!$E$2,班表!$G$2,15))</f>
        <v/>
      </c>
      <c r="B482" s="29">
        <f>IF($A482="","",INDEX(設定!$L$5:$L$11,WEEKDAY($A482,1)))</f>
        <v/>
      </c>
      <c r="C482" s="29">
        <f>IF($A482="","",班表!$A21)</f>
        <v/>
      </c>
      <c r="D482" s="29">
        <f>IF($C482="","",班表!$B21)</f>
        <v/>
      </c>
      <c r="E482" s="29">
        <f>IF($C482="","",班表!$C21)</f>
        <v/>
      </c>
      <c r="F482" s="29">
        <f>IF($C482="","",班表!R21)</f>
        <v/>
      </c>
      <c r="G482" s="31">
        <f>IF($F482="","",IFERROR(INDEX(設定!$D$5:$D$20,MATCH($F482,設定!$B$5:$B$20,0)),""))</f>
        <v/>
      </c>
      <c r="H482" s="31">
        <f>IF($F482="","",IFERROR(INDEX(設定!$E$5:$E$20,MATCH($F482,設定!$B$5:$B$20,0)),""))</f>
        <v/>
      </c>
      <c r="I482" s="31">
        <f>IFERROR(INDEX(打卡匯入!$C$3:$C$1002,MATCH($C482&amp;"|"&amp;DAY($A482),打卡匯入!$E$3:$E$1002,0)),"")</f>
        <v/>
      </c>
      <c r="J482" s="31">
        <f>IFERROR(INDEX(打卡匯入!$D$3:$D$1002,MATCH($C482&amp;"|"&amp;DAY($A482),打卡匯入!$E$3:$E$1002,0)),"")</f>
        <v/>
      </c>
      <c r="K482" s="32">
        <f>IF(OR($I482="",$J482=""),"",IFERROR(INDEX(設定!$F$5:$F$20,MATCH($F482,設定!$B$5:$B$20,0)),0))</f>
        <v/>
      </c>
      <c r="L482" s="33">
        <f>IF(OR($I482="",$J482=""),"",ROUND(($J482-$I482)*24-$K482/60,2))</f>
        <v/>
      </c>
      <c r="M482" s="29">
        <f>IF($C482="","",IF(AND(COUNTIF(設定!$B$14:$B$20,$F482)&gt;0,$I482&lt;&gt;""),"假日出勤",IF(AND(COUNTIF(設定!$B$5:$B$13,$F482)&gt;0,$I482=""),"未打卡",IF($I482="","",IF($N482&gt;0,"遲到",IF($O482&gt;0,"早退","正常"))))))</f>
        <v/>
      </c>
      <c r="N482" s="32">
        <f>IF(OR($C482="",$G482="",$I482=""),0,IF(ROUND(($I482-$G482)*1440,0)&gt;設定!$C$28,ROUND(($I482-$G482)*1440,0),0))</f>
        <v/>
      </c>
      <c r="O482" s="32">
        <f>IF(OR($C482="",$H482="",$J482=""),0,IF(ROUND(($H482-$J482)*1440,0)&gt;設定!$C$28,ROUND(($H482-$J482)*1440,0),0))</f>
        <v/>
      </c>
      <c r="P482" s="33">
        <f>IF($L482="",0,IF(($L482-IFERROR(INDEX(設定!$G$5:$G$20,MATCH($F482,設定!$B$5:$B$20,0)),0))*60&gt;=設定!$C$26,ROUND(FLOOR(($L482-IFERROR(INDEX(設定!$G$5:$G$20,MATCH($F482,設定!$B$5:$B$20,0)),0))*60,設定!$C$27)/60,2),0))</f>
        <v/>
      </c>
      <c r="Q482" s="29">
        <f>IF(OR($C482="",$P482=0),"",IF($F482="國","國定假日",IF($B482="日","例假",IF($B482="六","休息日","平日"))))</f>
        <v/>
      </c>
      <c r="R482" s="34" t="n"/>
    </row>
    <row r="483">
      <c r="A483" s="30">
        <f>IF(OR(班表!$A21="",16&gt;DAY(EOMONTH(DATE(班表!$E$2,班表!$G$2,1),0))),"",DATE(班表!$E$2,班表!$G$2,16))</f>
        <v/>
      </c>
      <c r="B483" s="29">
        <f>IF($A483="","",INDEX(設定!$L$5:$L$11,WEEKDAY($A483,1)))</f>
        <v/>
      </c>
      <c r="C483" s="29">
        <f>IF($A483="","",班表!$A21)</f>
        <v/>
      </c>
      <c r="D483" s="29">
        <f>IF($C483="","",班表!$B21)</f>
        <v/>
      </c>
      <c r="E483" s="29">
        <f>IF($C483="","",班表!$C21)</f>
        <v/>
      </c>
      <c r="F483" s="29">
        <f>IF($C483="","",班表!S21)</f>
        <v/>
      </c>
      <c r="G483" s="31">
        <f>IF($F483="","",IFERROR(INDEX(設定!$D$5:$D$20,MATCH($F483,設定!$B$5:$B$20,0)),""))</f>
        <v/>
      </c>
      <c r="H483" s="31">
        <f>IF($F483="","",IFERROR(INDEX(設定!$E$5:$E$20,MATCH($F483,設定!$B$5:$B$20,0)),""))</f>
        <v/>
      </c>
      <c r="I483" s="31">
        <f>IFERROR(INDEX(打卡匯入!$C$3:$C$1002,MATCH($C483&amp;"|"&amp;DAY($A483),打卡匯入!$E$3:$E$1002,0)),"")</f>
        <v/>
      </c>
      <c r="J483" s="31">
        <f>IFERROR(INDEX(打卡匯入!$D$3:$D$1002,MATCH($C483&amp;"|"&amp;DAY($A483),打卡匯入!$E$3:$E$1002,0)),"")</f>
        <v/>
      </c>
      <c r="K483" s="32">
        <f>IF(OR($I483="",$J483=""),"",IFERROR(INDEX(設定!$F$5:$F$20,MATCH($F483,設定!$B$5:$B$20,0)),0))</f>
        <v/>
      </c>
      <c r="L483" s="33">
        <f>IF(OR($I483="",$J483=""),"",ROUND(($J483-$I483)*24-$K483/60,2))</f>
        <v/>
      </c>
      <c r="M483" s="29">
        <f>IF($C483="","",IF(AND(COUNTIF(設定!$B$14:$B$20,$F483)&gt;0,$I483&lt;&gt;""),"假日出勤",IF(AND(COUNTIF(設定!$B$5:$B$13,$F483)&gt;0,$I483=""),"未打卡",IF($I483="","",IF($N483&gt;0,"遲到",IF($O483&gt;0,"早退","正常"))))))</f>
        <v/>
      </c>
      <c r="N483" s="32">
        <f>IF(OR($C483="",$G483="",$I483=""),0,IF(ROUND(($I483-$G483)*1440,0)&gt;設定!$C$28,ROUND(($I483-$G483)*1440,0),0))</f>
        <v/>
      </c>
      <c r="O483" s="32">
        <f>IF(OR($C483="",$H483="",$J483=""),0,IF(ROUND(($H483-$J483)*1440,0)&gt;設定!$C$28,ROUND(($H483-$J483)*1440,0),0))</f>
        <v/>
      </c>
      <c r="P483" s="33">
        <f>IF($L483="",0,IF(($L483-IFERROR(INDEX(設定!$G$5:$G$20,MATCH($F483,設定!$B$5:$B$20,0)),0))*60&gt;=設定!$C$26,ROUND(FLOOR(($L483-IFERROR(INDEX(設定!$G$5:$G$20,MATCH($F483,設定!$B$5:$B$20,0)),0))*60,設定!$C$27)/60,2),0))</f>
        <v/>
      </c>
      <c r="Q483" s="29">
        <f>IF(OR($C483="",$P483=0),"",IF($F483="國","國定假日",IF($B483="日","例假",IF($B483="六","休息日","平日"))))</f>
        <v/>
      </c>
      <c r="R483" s="34" t="n"/>
    </row>
    <row r="484">
      <c r="A484" s="30">
        <f>IF(OR(班表!$A21="",17&gt;DAY(EOMONTH(DATE(班表!$E$2,班表!$G$2,1),0))),"",DATE(班表!$E$2,班表!$G$2,17))</f>
        <v/>
      </c>
      <c r="B484" s="29">
        <f>IF($A484="","",INDEX(設定!$L$5:$L$11,WEEKDAY($A484,1)))</f>
        <v/>
      </c>
      <c r="C484" s="29">
        <f>IF($A484="","",班表!$A21)</f>
        <v/>
      </c>
      <c r="D484" s="29">
        <f>IF($C484="","",班表!$B21)</f>
        <v/>
      </c>
      <c r="E484" s="29">
        <f>IF($C484="","",班表!$C21)</f>
        <v/>
      </c>
      <c r="F484" s="29">
        <f>IF($C484="","",班表!T21)</f>
        <v/>
      </c>
      <c r="G484" s="31">
        <f>IF($F484="","",IFERROR(INDEX(設定!$D$5:$D$20,MATCH($F484,設定!$B$5:$B$20,0)),""))</f>
        <v/>
      </c>
      <c r="H484" s="31">
        <f>IF($F484="","",IFERROR(INDEX(設定!$E$5:$E$20,MATCH($F484,設定!$B$5:$B$20,0)),""))</f>
        <v/>
      </c>
      <c r="I484" s="31">
        <f>IFERROR(INDEX(打卡匯入!$C$3:$C$1002,MATCH($C484&amp;"|"&amp;DAY($A484),打卡匯入!$E$3:$E$1002,0)),"")</f>
        <v/>
      </c>
      <c r="J484" s="31">
        <f>IFERROR(INDEX(打卡匯入!$D$3:$D$1002,MATCH($C484&amp;"|"&amp;DAY($A484),打卡匯入!$E$3:$E$1002,0)),"")</f>
        <v/>
      </c>
      <c r="K484" s="32">
        <f>IF(OR($I484="",$J484=""),"",IFERROR(INDEX(設定!$F$5:$F$20,MATCH($F484,設定!$B$5:$B$20,0)),0))</f>
        <v/>
      </c>
      <c r="L484" s="33">
        <f>IF(OR($I484="",$J484=""),"",ROUND(($J484-$I484)*24-$K484/60,2))</f>
        <v/>
      </c>
      <c r="M484" s="29">
        <f>IF($C484="","",IF(AND(COUNTIF(設定!$B$14:$B$20,$F484)&gt;0,$I484&lt;&gt;""),"假日出勤",IF(AND(COUNTIF(設定!$B$5:$B$13,$F484)&gt;0,$I484=""),"未打卡",IF($I484="","",IF($N484&gt;0,"遲到",IF($O484&gt;0,"早退","正常"))))))</f>
        <v/>
      </c>
      <c r="N484" s="32">
        <f>IF(OR($C484="",$G484="",$I484=""),0,IF(ROUND(($I484-$G484)*1440,0)&gt;設定!$C$28,ROUND(($I484-$G484)*1440,0),0))</f>
        <v/>
      </c>
      <c r="O484" s="32">
        <f>IF(OR($C484="",$H484="",$J484=""),0,IF(ROUND(($H484-$J484)*1440,0)&gt;設定!$C$28,ROUND(($H484-$J484)*1440,0),0))</f>
        <v/>
      </c>
      <c r="P484" s="33">
        <f>IF($L484="",0,IF(($L484-IFERROR(INDEX(設定!$G$5:$G$20,MATCH($F484,設定!$B$5:$B$20,0)),0))*60&gt;=設定!$C$26,ROUND(FLOOR(($L484-IFERROR(INDEX(設定!$G$5:$G$20,MATCH($F484,設定!$B$5:$B$20,0)),0))*60,設定!$C$27)/60,2),0))</f>
        <v/>
      </c>
      <c r="Q484" s="29">
        <f>IF(OR($C484="",$P484=0),"",IF($F484="國","國定假日",IF($B484="日","例假",IF($B484="六","休息日","平日"))))</f>
        <v/>
      </c>
      <c r="R484" s="34" t="n"/>
    </row>
    <row r="485">
      <c r="A485" s="30">
        <f>IF(OR(班表!$A21="",18&gt;DAY(EOMONTH(DATE(班表!$E$2,班表!$G$2,1),0))),"",DATE(班表!$E$2,班表!$G$2,18))</f>
        <v/>
      </c>
      <c r="B485" s="29">
        <f>IF($A485="","",INDEX(設定!$L$5:$L$11,WEEKDAY($A485,1)))</f>
        <v/>
      </c>
      <c r="C485" s="29">
        <f>IF($A485="","",班表!$A21)</f>
        <v/>
      </c>
      <c r="D485" s="29">
        <f>IF($C485="","",班表!$B21)</f>
        <v/>
      </c>
      <c r="E485" s="29">
        <f>IF($C485="","",班表!$C21)</f>
        <v/>
      </c>
      <c r="F485" s="29">
        <f>IF($C485="","",班表!U21)</f>
        <v/>
      </c>
      <c r="G485" s="31">
        <f>IF($F485="","",IFERROR(INDEX(設定!$D$5:$D$20,MATCH($F485,設定!$B$5:$B$20,0)),""))</f>
        <v/>
      </c>
      <c r="H485" s="31">
        <f>IF($F485="","",IFERROR(INDEX(設定!$E$5:$E$20,MATCH($F485,設定!$B$5:$B$20,0)),""))</f>
        <v/>
      </c>
      <c r="I485" s="31">
        <f>IFERROR(INDEX(打卡匯入!$C$3:$C$1002,MATCH($C485&amp;"|"&amp;DAY($A485),打卡匯入!$E$3:$E$1002,0)),"")</f>
        <v/>
      </c>
      <c r="J485" s="31">
        <f>IFERROR(INDEX(打卡匯入!$D$3:$D$1002,MATCH($C485&amp;"|"&amp;DAY($A485),打卡匯入!$E$3:$E$1002,0)),"")</f>
        <v/>
      </c>
      <c r="K485" s="32">
        <f>IF(OR($I485="",$J485=""),"",IFERROR(INDEX(設定!$F$5:$F$20,MATCH($F485,設定!$B$5:$B$20,0)),0))</f>
        <v/>
      </c>
      <c r="L485" s="33">
        <f>IF(OR($I485="",$J485=""),"",ROUND(($J485-$I485)*24-$K485/60,2))</f>
        <v/>
      </c>
      <c r="M485" s="29">
        <f>IF($C485="","",IF(AND(COUNTIF(設定!$B$14:$B$20,$F485)&gt;0,$I485&lt;&gt;""),"假日出勤",IF(AND(COUNTIF(設定!$B$5:$B$13,$F485)&gt;0,$I485=""),"未打卡",IF($I485="","",IF($N485&gt;0,"遲到",IF($O485&gt;0,"早退","正常"))))))</f>
        <v/>
      </c>
      <c r="N485" s="32">
        <f>IF(OR($C485="",$G485="",$I485=""),0,IF(ROUND(($I485-$G485)*1440,0)&gt;設定!$C$28,ROUND(($I485-$G485)*1440,0),0))</f>
        <v/>
      </c>
      <c r="O485" s="32">
        <f>IF(OR($C485="",$H485="",$J485=""),0,IF(ROUND(($H485-$J485)*1440,0)&gt;設定!$C$28,ROUND(($H485-$J485)*1440,0),0))</f>
        <v/>
      </c>
      <c r="P485" s="33">
        <f>IF($L485="",0,IF(($L485-IFERROR(INDEX(設定!$G$5:$G$20,MATCH($F485,設定!$B$5:$B$20,0)),0))*60&gt;=設定!$C$26,ROUND(FLOOR(($L485-IFERROR(INDEX(設定!$G$5:$G$20,MATCH($F485,設定!$B$5:$B$20,0)),0))*60,設定!$C$27)/60,2),0))</f>
        <v/>
      </c>
      <c r="Q485" s="29">
        <f>IF(OR($C485="",$P485=0),"",IF($F485="國","國定假日",IF($B485="日","例假",IF($B485="六","休息日","平日"))))</f>
        <v/>
      </c>
      <c r="R485" s="34" t="n"/>
    </row>
    <row r="486">
      <c r="A486" s="30">
        <f>IF(OR(班表!$A21="",19&gt;DAY(EOMONTH(DATE(班表!$E$2,班表!$G$2,1),0))),"",DATE(班表!$E$2,班表!$G$2,19))</f>
        <v/>
      </c>
      <c r="B486" s="29">
        <f>IF($A486="","",INDEX(設定!$L$5:$L$11,WEEKDAY($A486,1)))</f>
        <v/>
      </c>
      <c r="C486" s="29">
        <f>IF($A486="","",班表!$A21)</f>
        <v/>
      </c>
      <c r="D486" s="29">
        <f>IF($C486="","",班表!$B21)</f>
        <v/>
      </c>
      <c r="E486" s="29">
        <f>IF($C486="","",班表!$C21)</f>
        <v/>
      </c>
      <c r="F486" s="29">
        <f>IF($C486="","",班表!V21)</f>
        <v/>
      </c>
      <c r="G486" s="31">
        <f>IF($F486="","",IFERROR(INDEX(設定!$D$5:$D$20,MATCH($F486,設定!$B$5:$B$20,0)),""))</f>
        <v/>
      </c>
      <c r="H486" s="31">
        <f>IF($F486="","",IFERROR(INDEX(設定!$E$5:$E$20,MATCH($F486,設定!$B$5:$B$20,0)),""))</f>
        <v/>
      </c>
      <c r="I486" s="31">
        <f>IFERROR(INDEX(打卡匯入!$C$3:$C$1002,MATCH($C486&amp;"|"&amp;DAY($A486),打卡匯入!$E$3:$E$1002,0)),"")</f>
        <v/>
      </c>
      <c r="J486" s="31">
        <f>IFERROR(INDEX(打卡匯入!$D$3:$D$1002,MATCH($C486&amp;"|"&amp;DAY($A486),打卡匯入!$E$3:$E$1002,0)),"")</f>
        <v/>
      </c>
      <c r="K486" s="32">
        <f>IF(OR($I486="",$J486=""),"",IFERROR(INDEX(設定!$F$5:$F$20,MATCH($F486,設定!$B$5:$B$20,0)),0))</f>
        <v/>
      </c>
      <c r="L486" s="33">
        <f>IF(OR($I486="",$J486=""),"",ROUND(($J486-$I486)*24-$K486/60,2))</f>
        <v/>
      </c>
      <c r="M486" s="29">
        <f>IF($C486="","",IF(AND(COUNTIF(設定!$B$14:$B$20,$F486)&gt;0,$I486&lt;&gt;""),"假日出勤",IF(AND(COUNTIF(設定!$B$5:$B$13,$F486)&gt;0,$I486=""),"未打卡",IF($I486="","",IF($N486&gt;0,"遲到",IF($O486&gt;0,"早退","正常"))))))</f>
        <v/>
      </c>
      <c r="N486" s="32">
        <f>IF(OR($C486="",$G486="",$I486=""),0,IF(ROUND(($I486-$G486)*1440,0)&gt;設定!$C$28,ROUND(($I486-$G486)*1440,0),0))</f>
        <v/>
      </c>
      <c r="O486" s="32">
        <f>IF(OR($C486="",$H486="",$J486=""),0,IF(ROUND(($H486-$J486)*1440,0)&gt;設定!$C$28,ROUND(($H486-$J486)*1440,0),0))</f>
        <v/>
      </c>
      <c r="P486" s="33">
        <f>IF($L486="",0,IF(($L486-IFERROR(INDEX(設定!$G$5:$G$20,MATCH($F486,設定!$B$5:$B$20,0)),0))*60&gt;=設定!$C$26,ROUND(FLOOR(($L486-IFERROR(INDEX(設定!$G$5:$G$20,MATCH($F486,設定!$B$5:$B$20,0)),0))*60,設定!$C$27)/60,2),0))</f>
        <v/>
      </c>
      <c r="Q486" s="29">
        <f>IF(OR($C486="",$P486=0),"",IF($F486="國","國定假日",IF($B486="日","例假",IF($B486="六","休息日","平日"))))</f>
        <v/>
      </c>
      <c r="R486" s="34" t="n"/>
    </row>
    <row r="487">
      <c r="A487" s="30">
        <f>IF(OR(班表!$A21="",20&gt;DAY(EOMONTH(DATE(班表!$E$2,班表!$G$2,1),0))),"",DATE(班表!$E$2,班表!$G$2,20))</f>
        <v/>
      </c>
      <c r="B487" s="29">
        <f>IF($A487="","",INDEX(設定!$L$5:$L$11,WEEKDAY($A487,1)))</f>
        <v/>
      </c>
      <c r="C487" s="29">
        <f>IF($A487="","",班表!$A21)</f>
        <v/>
      </c>
      <c r="D487" s="29">
        <f>IF($C487="","",班表!$B21)</f>
        <v/>
      </c>
      <c r="E487" s="29">
        <f>IF($C487="","",班表!$C21)</f>
        <v/>
      </c>
      <c r="F487" s="29">
        <f>IF($C487="","",班表!W21)</f>
        <v/>
      </c>
      <c r="G487" s="31">
        <f>IF($F487="","",IFERROR(INDEX(設定!$D$5:$D$20,MATCH($F487,設定!$B$5:$B$20,0)),""))</f>
        <v/>
      </c>
      <c r="H487" s="31">
        <f>IF($F487="","",IFERROR(INDEX(設定!$E$5:$E$20,MATCH($F487,設定!$B$5:$B$20,0)),""))</f>
        <v/>
      </c>
      <c r="I487" s="31">
        <f>IFERROR(INDEX(打卡匯入!$C$3:$C$1002,MATCH($C487&amp;"|"&amp;DAY($A487),打卡匯入!$E$3:$E$1002,0)),"")</f>
        <v/>
      </c>
      <c r="J487" s="31">
        <f>IFERROR(INDEX(打卡匯入!$D$3:$D$1002,MATCH($C487&amp;"|"&amp;DAY($A487),打卡匯入!$E$3:$E$1002,0)),"")</f>
        <v/>
      </c>
      <c r="K487" s="32">
        <f>IF(OR($I487="",$J487=""),"",IFERROR(INDEX(設定!$F$5:$F$20,MATCH($F487,設定!$B$5:$B$20,0)),0))</f>
        <v/>
      </c>
      <c r="L487" s="33">
        <f>IF(OR($I487="",$J487=""),"",ROUND(($J487-$I487)*24-$K487/60,2))</f>
        <v/>
      </c>
      <c r="M487" s="29">
        <f>IF($C487="","",IF(AND(COUNTIF(設定!$B$14:$B$20,$F487)&gt;0,$I487&lt;&gt;""),"假日出勤",IF(AND(COUNTIF(設定!$B$5:$B$13,$F487)&gt;0,$I487=""),"未打卡",IF($I487="","",IF($N487&gt;0,"遲到",IF($O487&gt;0,"早退","正常"))))))</f>
        <v/>
      </c>
      <c r="N487" s="32">
        <f>IF(OR($C487="",$G487="",$I487=""),0,IF(ROUND(($I487-$G487)*1440,0)&gt;設定!$C$28,ROUND(($I487-$G487)*1440,0),0))</f>
        <v/>
      </c>
      <c r="O487" s="32">
        <f>IF(OR($C487="",$H487="",$J487=""),0,IF(ROUND(($H487-$J487)*1440,0)&gt;設定!$C$28,ROUND(($H487-$J487)*1440,0),0))</f>
        <v/>
      </c>
      <c r="P487" s="33">
        <f>IF($L487="",0,IF(($L487-IFERROR(INDEX(設定!$G$5:$G$20,MATCH($F487,設定!$B$5:$B$20,0)),0))*60&gt;=設定!$C$26,ROUND(FLOOR(($L487-IFERROR(INDEX(設定!$G$5:$G$20,MATCH($F487,設定!$B$5:$B$20,0)),0))*60,設定!$C$27)/60,2),0))</f>
        <v/>
      </c>
      <c r="Q487" s="29">
        <f>IF(OR($C487="",$P487=0),"",IF($F487="國","國定假日",IF($B487="日","例假",IF($B487="六","休息日","平日"))))</f>
        <v/>
      </c>
      <c r="R487" s="34" t="n"/>
    </row>
    <row r="488">
      <c r="A488" s="30">
        <f>IF(OR(班表!$A21="",21&gt;DAY(EOMONTH(DATE(班表!$E$2,班表!$G$2,1),0))),"",DATE(班表!$E$2,班表!$G$2,21))</f>
        <v/>
      </c>
      <c r="B488" s="29">
        <f>IF($A488="","",INDEX(設定!$L$5:$L$11,WEEKDAY($A488,1)))</f>
        <v/>
      </c>
      <c r="C488" s="29">
        <f>IF($A488="","",班表!$A21)</f>
        <v/>
      </c>
      <c r="D488" s="29">
        <f>IF($C488="","",班表!$B21)</f>
        <v/>
      </c>
      <c r="E488" s="29">
        <f>IF($C488="","",班表!$C21)</f>
        <v/>
      </c>
      <c r="F488" s="29">
        <f>IF($C488="","",班表!X21)</f>
        <v/>
      </c>
      <c r="G488" s="31">
        <f>IF($F488="","",IFERROR(INDEX(設定!$D$5:$D$20,MATCH($F488,設定!$B$5:$B$20,0)),""))</f>
        <v/>
      </c>
      <c r="H488" s="31">
        <f>IF($F488="","",IFERROR(INDEX(設定!$E$5:$E$20,MATCH($F488,設定!$B$5:$B$20,0)),""))</f>
        <v/>
      </c>
      <c r="I488" s="31">
        <f>IFERROR(INDEX(打卡匯入!$C$3:$C$1002,MATCH($C488&amp;"|"&amp;DAY($A488),打卡匯入!$E$3:$E$1002,0)),"")</f>
        <v/>
      </c>
      <c r="J488" s="31">
        <f>IFERROR(INDEX(打卡匯入!$D$3:$D$1002,MATCH($C488&amp;"|"&amp;DAY($A488),打卡匯入!$E$3:$E$1002,0)),"")</f>
        <v/>
      </c>
      <c r="K488" s="32">
        <f>IF(OR($I488="",$J488=""),"",IFERROR(INDEX(設定!$F$5:$F$20,MATCH($F488,設定!$B$5:$B$20,0)),0))</f>
        <v/>
      </c>
      <c r="L488" s="33">
        <f>IF(OR($I488="",$J488=""),"",ROUND(($J488-$I488)*24-$K488/60,2))</f>
        <v/>
      </c>
      <c r="M488" s="29">
        <f>IF($C488="","",IF(AND(COUNTIF(設定!$B$14:$B$20,$F488)&gt;0,$I488&lt;&gt;""),"假日出勤",IF(AND(COUNTIF(設定!$B$5:$B$13,$F488)&gt;0,$I488=""),"未打卡",IF($I488="","",IF($N488&gt;0,"遲到",IF($O488&gt;0,"早退","正常"))))))</f>
        <v/>
      </c>
      <c r="N488" s="32">
        <f>IF(OR($C488="",$G488="",$I488=""),0,IF(ROUND(($I488-$G488)*1440,0)&gt;設定!$C$28,ROUND(($I488-$G488)*1440,0),0))</f>
        <v/>
      </c>
      <c r="O488" s="32">
        <f>IF(OR($C488="",$H488="",$J488=""),0,IF(ROUND(($H488-$J488)*1440,0)&gt;設定!$C$28,ROUND(($H488-$J488)*1440,0),0))</f>
        <v/>
      </c>
      <c r="P488" s="33">
        <f>IF($L488="",0,IF(($L488-IFERROR(INDEX(設定!$G$5:$G$20,MATCH($F488,設定!$B$5:$B$20,0)),0))*60&gt;=設定!$C$26,ROUND(FLOOR(($L488-IFERROR(INDEX(設定!$G$5:$G$20,MATCH($F488,設定!$B$5:$B$20,0)),0))*60,設定!$C$27)/60,2),0))</f>
        <v/>
      </c>
      <c r="Q488" s="29">
        <f>IF(OR($C488="",$P488=0),"",IF($F488="國","國定假日",IF($B488="日","例假",IF($B488="六","休息日","平日"))))</f>
        <v/>
      </c>
      <c r="R488" s="34" t="n"/>
    </row>
    <row r="489">
      <c r="A489" s="30">
        <f>IF(OR(班表!$A21="",22&gt;DAY(EOMONTH(DATE(班表!$E$2,班表!$G$2,1),0))),"",DATE(班表!$E$2,班表!$G$2,22))</f>
        <v/>
      </c>
      <c r="B489" s="29">
        <f>IF($A489="","",INDEX(設定!$L$5:$L$11,WEEKDAY($A489,1)))</f>
        <v/>
      </c>
      <c r="C489" s="29">
        <f>IF($A489="","",班表!$A21)</f>
        <v/>
      </c>
      <c r="D489" s="29">
        <f>IF($C489="","",班表!$B21)</f>
        <v/>
      </c>
      <c r="E489" s="29">
        <f>IF($C489="","",班表!$C21)</f>
        <v/>
      </c>
      <c r="F489" s="29">
        <f>IF($C489="","",班表!Y21)</f>
        <v/>
      </c>
      <c r="G489" s="31">
        <f>IF($F489="","",IFERROR(INDEX(設定!$D$5:$D$20,MATCH($F489,設定!$B$5:$B$20,0)),""))</f>
        <v/>
      </c>
      <c r="H489" s="31">
        <f>IF($F489="","",IFERROR(INDEX(設定!$E$5:$E$20,MATCH($F489,設定!$B$5:$B$20,0)),""))</f>
        <v/>
      </c>
      <c r="I489" s="31">
        <f>IFERROR(INDEX(打卡匯入!$C$3:$C$1002,MATCH($C489&amp;"|"&amp;DAY($A489),打卡匯入!$E$3:$E$1002,0)),"")</f>
        <v/>
      </c>
      <c r="J489" s="31">
        <f>IFERROR(INDEX(打卡匯入!$D$3:$D$1002,MATCH($C489&amp;"|"&amp;DAY($A489),打卡匯入!$E$3:$E$1002,0)),"")</f>
        <v/>
      </c>
      <c r="K489" s="32">
        <f>IF(OR($I489="",$J489=""),"",IFERROR(INDEX(設定!$F$5:$F$20,MATCH($F489,設定!$B$5:$B$20,0)),0))</f>
        <v/>
      </c>
      <c r="L489" s="33">
        <f>IF(OR($I489="",$J489=""),"",ROUND(($J489-$I489)*24-$K489/60,2))</f>
        <v/>
      </c>
      <c r="M489" s="29">
        <f>IF($C489="","",IF(AND(COUNTIF(設定!$B$14:$B$20,$F489)&gt;0,$I489&lt;&gt;""),"假日出勤",IF(AND(COUNTIF(設定!$B$5:$B$13,$F489)&gt;0,$I489=""),"未打卡",IF($I489="","",IF($N489&gt;0,"遲到",IF($O489&gt;0,"早退","正常"))))))</f>
        <v/>
      </c>
      <c r="N489" s="32">
        <f>IF(OR($C489="",$G489="",$I489=""),0,IF(ROUND(($I489-$G489)*1440,0)&gt;設定!$C$28,ROUND(($I489-$G489)*1440,0),0))</f>
        <v/>
      </c>
      <c r="O489" s="32">
        <f>IF(OR($C489="",$H489="",$J489=""),0,IF(ROUND(($H489-$J489)*1440,0)&gt;設定!$C$28,ROUND(($H489-$J489)*1440,0),0))</f>
        <v/>
      </c>
      <c r="P489" s="33">
        <f>IF($L489="",0,IF(($L489-IFERROR(INDEX(設定!$G$5:$G$20,MATCH($F489,設定!$B$5:$B$20,0)),0))*60&gt;=設定!$C$26,ROUND(FLOOR(($L489-IFERROR(INDEX(設定!$G$5:$G$20,MATCH($F489,設定!$B$5:$B$20,0)),0))*60,設定!$C$27)/60,2),0))</f>
        <v/>
      </c>
      <c r="Q489" s="29">
        <f>IF(OR($C489="",$P489=0),"",IF($F489="國","國定假日",IF($B489="日","例假",IF($B489="六","休息日","平日"))))</f>
        <v/>
      </c>
      <c r="R489" s="34" t="n"/>
    </row>
    <row r="490">
      <c r="A490" s="30">
        <f>IF(OR(班表!$A21="",23&gt;DAY(EOMONTH(DATE(班表!$E$2,班表!$G$2,1),0))),"",DATE(班表!$E$2,班表!$G$2,23))</f>
        <v/>
      </c>
      <c r="B490" s="29">
        <f>IF($A490="","",INDEX(設定!$L$5:$L$11,WEEKDAY($A490,1)))</f>
        <v/>
      </c>
      <c r="C490" s="29">
        <f>IF($A490="","",班表!$A21)</f>
        <v/>
      </c>
      <c r="D490" s="29">
        <f>IF($C490="","",班表!$B21)</f>
        <v/>
      </c>
      <c r="E490" s="29">
        <f>IF($C490="","",班表!$C21)</f>
        <v/>
      </c>
      <c r="F490" s="29">
        <f>IF($C490="","",班表!Z21)</f>
        <v/>
      </c>
      <c r="G490" s="31">
        <f>IF($F490="","",IFERROR(INDEX(設定!$D$5:$D$20,MATCH($F490,設定!$B$5:$B$20,0)),""))</f>
        <v/>
      </c>
      <c r="H490" s="31">
        <f>IF($F490="","",IFERROR(INDEX(設定!$E$5:$E$20,MATCH($F490,設定!$B$5:$B$20,0)),""))</f>
        <v/>
      </c>
      <c r="I490" s="31">
        <f>IFERROR(INDEX(打卡匯入!$C$3:$C$1002,MATCH($C490&amp;"|"&amp;DAY($A490),打卡匯入!$E$3:$E$1002,0)),"")</f>
        <v/>
      </c>
      <c r="J490" s="31">
        <f>IFERROR(INDEX(打卡匯入!$D$3:$D$1002,MATCH($C490&amp;"|"&amp;DAY($A490),打卡匯入!$E$3:$E$1002,0)),"")</f>
        <v/>
      </c>
      <c r="K490" s="32">
        <f>IF(OR($I490="",$J490=""),"",IFERROR(INDEX(設定!$F$5:$F$20,MATCH($F490,設定!$B$5:$B$20,0)),0))</f>
        <v/>
      </c>
      <c r="L490" s="33">
        <f>IF(OR($I490="",$J490=""),"",ROUND(($J490-$I490)*24-$K490/60,2))</f>
        <v/>
      </c>
      <c r="M490" s="29">
        <f>IF($C490="","",IF(AND(COUNTIF(設定!$B$14:$B$20,$F490)&gt;0,$I490&lt;&gt;""),"假日出勤",IF(AND(COUNTIF(設定!$B$5:$B$13,$F490)&gt;0,$I490=""),"未打卡",IF($I490="","",IF($N490&gt;0,"遲到",IF($O490&gt;0,"早退","正常"))))))</f>
        <v/>
      </c>
      <c r="N490" s="32">
        <f>IF(OR($C490="",$G490="",$I490=""),0,IF(ROUND(($I490-$G490)*1440,0)&gt;設定!$C$28,ROUND(($I490-$G490)*1440,0),0))</f>
        <v/>
      </c>
      <c r="O490" s="32">
        <f>IF(OR($C490="",$H490="",$J490=""),0,IF(ROUND(($H490-$J490)*1440,0)&gt;設定!$C$28,ROUND(($H490-$J490)*1440,0),0))</f>
        <v/>
      </c>
      <c r="P490" s="33">
        <f>IF($L490="",0,IF(($L490-IFERROR(INDEX(設定!$G$5:$G$20,MATCH($F490,設定!$B$5:$B$20,0)),0))*60&gt;=設定!$C$26,ROUND(FLOOR(($L490-IFERROR(INDEX(設定!$G$5:$G$20,MATCH($F490,設定!$B$5:$B$20,0)),0))*60,設定!$C$27)/60,2),0))</f>
        <v/>
      </c>
      <c r="Q490" s="29">
        <f>IF(OR($C490="",$P490=0),"",IF($F490="國","國定假日",IF($B490="日","例假",IF($B490="六","休息日","平日"))))</f>
        <v/>
      </c>
      <c r="R490" s="34" t="n"/>
    </row>
    <row r="491">
      <c r="A491" s="30">
        <f>IF(OR(班表!$A21="",24&gt;DAY(EOMONTH(DATE(班表!$E$2,班表!$G$2,1),0))),"",DATE(班表!$E$2,班表!$G$2,24))</f>
        <v/>
      </c>
      <c r="B491" s="29">
        <f>IF($A491="","",INDEX(設定!$L$5:$L$11,WEEKDAY($A491,1)))</f>
        <v/>
      </c>
      <c r="C491" s="29">
        <f>IF($A491="","",班表!$A21)</f>
        <v/>
      </c>
      <c r="D491" s="29">
        <f>IF($C491="","",班表!$B21)</f>
        <v/>
      </c>
      <c r="E491" s="29">
        <f>IF($C491="","",班表!$C21)</f>
        <v/>
      </c>
      <c r="F491" s="29">
        <f>IF($C491="","",班表!AA21)</f>
        <v/>
      </c>
      <c r="G491" s="31">
        <f>IF($F491="","",IFERROR(INDEX(設定!$D$5:$D$20,MATCH($F491,設定!$B$5:$B$20,0)),""))</f>
        <v/>
      </c>
      <c r="H491" s="31">
        <f>IF($F491="","",IFERROR(INDEX(設定!$E$5:$E$20,MATCH($F491,設定!$B$5:$B$20,0)),""))</f>
        <v/>
      </c>
      <c r="I491" s="31">
        <f>IFERROR(INDEX(打卡匯入!$C$3:$C$1002,MATCH($C491&amp;"|"&amp;DAY($A491),打卡匯入!$E$3:$E$1002,0)),"")</f>
        <v/>
      </c>
      <c r="J491" s="31">
        <f>IFERROR(INDEX(打卡匯入!$D$3:$D$1002,MATCH($C491&amp;"|"&amp;DAY($A491),打卡匯入!$E$3:$E$1002,0)),"")</f>
        <v/>
      </c>
      <c r="K491" s="32">
        <f>IF(OR($I491="",$J491=""),"",IFERROR(INDEX(設定!$F$5:$F$20,MATCH($F491,設定!$B$5:$B$20,0)),0))</f>
        <v/>
      </c>
      <c r="L491" s="33">
        <f>IF(OR($I491="",$J491=""),"",ROUND(($J491-$I491)*24-$K491/60,2))</f>
        <v/>
      </c>
      <c r="M491" s="29">
        <f>IF($C491="","",IF(AND(COUNTIF(設定!$B$14:$B$20,$F491)&gt;0,$I491&lt;&gt;""),"假日出勤",IF(AND(COUNTIF(設定!$B$5:$B$13,$F491)&gt;0,$I491=""),"未打卡",IF($I491="","",IF($N491&gt;0,"遲到",IF($O491&gt;0,"早退","正常"))))))</f>
        <v/>
      </c>
      <c r="N491" s="32">
        <f>IF(OR($C491="",$G491="",$I491=""),0,IF(ROUND(($I491-$G491)*1440,0)&gt;設定!$C$28,ROUND(($I491-$G491)*1440,0),0))</f>
        <v/>
      </c>
      <c r="O491" s="32">
        <f>IF(OR($C491="",$H491="",$J491=""),0,IF(ROUND(($H491-$J491)*1440,0)&gt;設定!$C$28,ROUND(($H491-$J491)*1440,0),0))</f>
        <v/>
      </c>
      <c r="P491" s="33">
        <f>IF($L491="",0,IF(($L491-IFERROR(INDEX(設定!$G$5:$G$20,MATCH($F491,設定!$B$5:$B$20,0)),0))*60&gt;=設定!$C$26,ROUND(FLOOR(($L491-IFERROR(INDEX(設定!$G$5:$G$20,MATCH($F491,設定!$B$5:$B$20,0)),0))*60,設定!$C$27)/60,2),0))</f>
        <v/>
      </c>
      <c r="Q491" s="29">
        <f>IF(OR($C491="",$P491=0),"",IF($F491="國","國定假日",IF($B491="日","例假",IF($B491="六","休息日","平日"))))</f>
        <v/>
      </c>
      <c r="R491" s="34" t="n"/>
    </row>
    <row r="492">
      <c r="A492" s="30">
        <f>IF(OR(班表!$A21="",25&gt;DAY(EOMONTH(DATE(班表!$E$2,班表!$G$2,1),0))),"",DATE(班表!$E$2,班表!$G$2,25))</f>
        <v/>
      </c>
      <c r="B492" s="29">
        <f>IF($A492="","",INDEX(設定!$L$5:$L$11,WEEKDAY($A492,1)))</f>
        <v/>
      </c>
      <c r="C492" s="29">
        <f>IF($A492="","",班表!$A21)</f>
        <v/>
      </c>
      <c r="D492" s="29">
        <f>IF($C492="","",班表!$B21)</f>
        <v/>
      </c>
      <c r="E492" s="29">
        <f>IF($C492="","",班表!$C21)</f>
        <v/>
      </c>
      <c r="F492" s="29">
        <f>IF($C492="","",班表!AB21)</f>
        <v/>
      </c>
      <c r="G492" s="31">
        <f>IF($F492="","",IFERROR(INDEX(設定!$D$5:$D$20,MATCH($F492,設定!$B$5:$B$20,0)),""))</f>
        <v/>
      </c>
      <c r="H492" s="31">
        <f>IF($F492="","",IFERROR(INDEX(設定!$E$5:$E$20,MATCH($F492,設定!$B$5:$B$20,0)),""))</f>
        <v/>
      </c>
      <c r="I492" s="31">
        <f>IFERROR(INDEX(打卡匯入!$C$3:$C$1002,MATCH($C492&amp;"|"&amp;DAY($A492),打卡匯入!$E$3:$E$1002,0)),"")</f>
        <v/>
      </c>
      <c r="J492" s="31">
        <f>IFERROR(INDEX(打卡匯入!$D$3:$D$1002,MATCH($C492&amp;"|"&amp;DAY($A492),打卡匯入!$E$3:$E$1002,0)),"")</f>
        <v/>
      </c>
      <c r="K492" s="32">
        <f>IF(OR($I492="",$J492=""),"",IFERROR(INDEX(設定!$F$5:$F$20,MATCH($F492,設定!$B$5:$B$20,0)),0))</f>
        <v/>
      </c>
      <c r="L492" s="33">
        <f>IF(OR($I492="",$J492=""),"",ROUND(($J492-$I492)*24-$K492/60,2))</f>
        <v/>
      </c>
      <c r="M492" s="29">
        <f>IF($C492="","",IF(AND(COUNTIF(設定!$B$14:$B$20,$F492)&gt;0,$I492&lt;&gt;""),"假日出勤",IF(AND(COUNTIF(設定!$B$5:$B$13,$F492)&gt;0,$I492=""),"未打卡",IF($I492="","",IF($N492&gt;0,"遲到",IF($O492&gt;0,"早退","正常"))))))</f>
        <v/>
      </c>
      <c r="N492" s="32">
        <f>IF(OR($C492="",$G492="",$I492=""),0,IF(ROUND(($I492-$G492)*1440,0)&gt;設定!$C$28,ROUND(($I492-$G492)*1440,0),0))</f>
        <v/>
      </c>
      <c r="O492" s="32">
        <f>IF(OR($C492="",$H492="",$J492=""),0,IF(ROUND(($H492-$J492)*1440,0)&gt;設定!$C$28,ROUND(($H492-$J492)*1440,0),0))</f>
        <v/>
      </c>
      <c r="P492" s="33">
        <f>IF($L492="",0,IF(($L492-IFERROR(INDEX(設定!$G$5:$G$20,MATCH($F492,設定!$B$5:$B$20,0)),0))*60&gt;=設定!$C$26,ROUND(FLOOR(($L492-IFERROR(INDEX(設定!$G$5:$G$20,MATCH($F492,設定!$B$5:$B$20,0)),0))*60,設定!$C$27)/60,2),0))</f>
        <v/>
      </c>
      <c r="Q492" s="29">
        <f>IF(OR($C492="",$P492=0),"",IF($F492="國","國定假日",IF($B492="日","例假",IF($B492="六","休息日","平日"))))</f>
        <v/>
      </c>
      <c r="R492" s="34" t="n"/>
    </row>
    <row r="493">
      <c r="A493" s="30">
        <f>IF(OR(班表!$A21="",26&gt;DAY(EOMONTH(DATE(班表!$E$2,班表!$G$2,1),0))),"",DATE(班表!$E$2,班表!$G$2,26))</f>
        <v/>
      </c>
      <c r="B493" s="29">
        <f>IF($A493="","",INDEX(設定!$L$5:$L$11,WEEKDAY($A493,1)))</f>
        <v/>
      </c>
      <c r="C493" s="29">
        <f>IF($A493="","",班表!$A21)</f>
        <v/>
      </c>
      <c r="D493" s="29">
        <f>IF($C493="","",班表!$B21)</f>
        <v/>
      </c>
      <c r="E493" s="29">
        <f>IF($C493="","",班表!$C21)</f>
        <v/>
      </c>
      <c r="F493" s="29">
        <f>IF($C493="","",班表!AC21)</f>
        <v/>
      </c>
      <c r="G493" s="31">
        <f>IF($F493="","",IFERROR(INDEX(設定!$D$5:$D$20,MATCH($F493,設定!$B$5:$B$20,0)),""))</f>
        <v/>
      </c>
      <c r="H493" s="31">
        <f>IF($F493="","",IFERROR(INDEX(設定!$E$5:$E$20,MATCH($F493,設定!$B$5:$B$20,0)),""))</f>
        <v/>
      </c>
      <c r="I493" s="31">
        <f>IFERROR(INDEX(打卡匯入!$C$3:$C$1002,MATCH($C493&amp;"|"&amp;DAY($A493),打卡匯入!$E$3:$E$1002,0)),"")</f>
        <v/>
      </c>
      <c r="J493" s="31">
        <f>IFERROR(INDEX(打卡匯入!$D$3:$D$1002,MATCH($C493&amp;"|"&amp;DAY($A493),打卡匯入!$E$3:$E$1002,0)),"")</f>
        <v/>
      </c>
      <c r="K493" s="32">
        <f>IF(OR($I493="",$J493=""),"",IFERROR(INDEX(設定!$F$5:$F$20,MATCH($F493,設定!$B$5:$B$20,0)),0))</f>
        <v/>
      </c>
      <c r="L493" s="33">
        <f>IF(OR($I493="",$J493=""),"",ROUND(($J493-$I493)*24-$K493/60,2))</f>
        <v/>
      </c>
      <c r="M493" s="29">
        <f>IF($C493="","",IF(AND(COUNTIF(設定!$B$14:$B$20,$F493)&gt;0,$I493&lt;&gt;""),"假日出勤",IF(AND(COUNTIF(設定!$B$5:$B$13,$F493)&gt;0,$I493=""),"未打卡",IF($I493="","",IF($N493&gt;0,"遲到",IF($O493&gt;0,"早退","正常"))))))</f>
        <v/>
      </c>
      <c r="N493" s="32">
        <f>IF(OR($C493="",$G493="",$I493=""),0,IF(ROUND(($I493-$G493)*1440,0)&gt;設定!$C$28,ROUND(($I493-$G493)*1440,0),0))</f>
        <v/>
      </c>
      <c r="O493" s="32">
        <f>IF(OR($C493="",$H493="",$J493=""),0,IF(ROUND(($H493-$J493)*1440,0)&gt;設定!$C$28,ROUND(($H493-$J493)*1440,0),0))</f>
        <v/>
      </c>
      <c r="P493" s="33">
        <f>IF($L493="",0,IF(($L493-IFERROR(INDEX(設定!$G$5:$G$20,MATCH($F493,設定!$B$5:$B$20,0)),0))*60&gt;=設定!$C$26,ROUND(FLOOR(($L493-IFERROR(INDEX(設定!$G$5:$G$20,MATCH($F493,設定!$B$5:$B$20,0)),0))*60,設定!$C$27)/60,2),0))</f>
        <v/>
      </c>
      <c r="Q493" s="29">
        <f>IF(OR($C493="",$P493=0),"",IF($F493="國","國定假日",IF($B493="日","例假",IF($B493="六","休息日","平日"))))</f>
        <v/>
      </c>
      <c r="R493" s="34" t="n"/>
    </row>
    <row r="494">
      <c r="A494" s="30">
        <f>IF(OR(班表!$A21="",27&gt;DAY(EOMONTH(DATE(班表!$E$2,班表!$G$2,1),0))),"",DATE(班表!$E$2,班表!$G$2,27))</f>
        <v/>
      </c>
      <c r="B494" s="29">
        <f>IF($A494="","",INDEX(設定!$L$5:$L$11,WEEKDAY($A494,1)))</f>
        <v/>
      </c>
      <c r="C494" s="29">
        <f>IF($A494="","",班表!$A21)</f>
        <v/>
      </c>
      <c r="D494" s="29">
        <f>IF($C494="","",班表!$B21)</f>
        <v/>
      </c>
      <c r="E494" s="29">
        <f>IF($C494="","",班表!$C21)</f>
        <v/>
      </c>
      <c r="F494" s="29">
        <f>IF($C494="","",班表!AD21)</f>
        <v/>
      </c>
      <c r="G494" s="31">
        <f>IF($F494="","",IFERROR(INDEX(設定!$D$5:$D$20,MATCH($F494,設定!$B$5:$B$20,0)),""))</f>
        <v/>
      </c>
      <c r="H494" s="31">
        <f>IF($F494="","",IFERROR(INDEX(設定!$E$5:$E$20,MATCH($F494,設定!$B$5:$B$20,0)),""))</f>
        <v/>
      </c>
      <c r="I494" s="31">
        <f>IFERROR(INDEX(打卡匯入!$C$3:$C$1002,MATCH($C494&amp;"|"&amp;DAY($A494),打卡匯入!$E$3:$E$1002,0)),"")</f>
        <v/>
      </c>
      <c r="J494" s="31">
        <f>IFERROR(INDEX(打卡匯入!$D$3:$D$1002,MATCH($C494&amp;"|"&amp;DAY($A494),打卡匯入!$E$3:$E$1002,0)),"")</f>
        <v/>
      </c>
      <c r="K494" s="32">
        <f>IF(OR($I494="",$J494=""),"",IFERROR(INDEX(設定!$F$5:$F$20,MATCH($F494,設定!$B$5:$B$20,0)),0))</f>
        <v/>
      </c>
      <c r="L494" s="33">
        <f>IF(OR($I494="",$J494=""),"",ROUND(($J494-$I494)*24-$K494/60,2))</f>
        <v/>
      </c>
      <c r="M494" s="29">
        <f>IF($C494="","",IF(AND(COUNTIF(設定!$B$14:$B$20,$F494)&gt;0,$I494&lt;&gt;""),"假日出勤",IF(AND(COUNTIF(設定!$B$5:$B$13,$F494)&gt;0,$I494=""),"未打卡",IF($I494="","",IF($N494&gt;0,"遲到",IF($O494&gt;0,"早退","正常"))))))</f>
        <v/>
      </c>
      <c r="N494" s="32">
        <f>IF(OR($C494="",$G494="",$I494=""),0,IF(ROUND(($I494-$G494)*1440,0)&gt;設定!$C$28,ROUND(($I494-$G494)*1440,0),0))</f>
        <v/>
      </c>
      <c r="O494" s="32">
        <f>IF(OR($C494="",$H494="",$J494=""),0,IF(ROUND(($H494-$J494)*1440,0)&gt;設定!$C$28,ROUND(($H494-$J494)*1440,0),0))</f>
        <v/>
      </c>
      <c r="P494" s="33">
        <f>IF($L494="",0,IF(($L494-IFERROR(INDEX(設定!$G$5:$G$20,MATCH($F494,設定!$B$5:$B$20,0)),0))*60&gt;=設定!$C$26,ROUND(FLOOR(($L494-IFERROR(INDEX(設定!$G$5:$G$20,MATCH($F494,設定!$B$5:$B$20,0)),0))*60,設定!$C$27)/60,2),0))</f>
        <v/>
      </c>
      <c r="Q494" s="29">
        <f>IF(OR($C494="",$P494=0),"",IF($F494="國","國定假日",IF($B494="日","例假",IF($B494="六","休息日","平日"))))</f>
        <v/>
      </c>
      <c r="R494" s="34" t="n"/>
    </row>
    <row r="495">
      <c r="A495" s="30">
        <f>IF(OR(班表!$A21="",28&gt;DAY(EOMONTH(DATE(班表!$E$2,班表!$G$2,1),0))),"",DATE(班表!$E$2,班表!$G$2,28))</f>
        <v/>
      </c>
      <c r="B495" s="29">
        <f>IF($A495="","",INDEX(設定!$L$5:$L$11,WEEKDAY($A495,1)))</f>
        <v/>
      </c>
      <c r="C495" s="29">
        <f>IF($A495="","",班表!$A21)</f>
        <v/>
      </c>
      <c r="D495" s="29">
        <f>IF($C495="","",班表!$B21)</f>
        <v/>
      </c>
      <c r="E495" s="29">
        <f>IF($C495="","",班表!$C21)</f>
        <v/>
      </c>
      <c r="F495" s="29">
        <f>IF($C495="","",班表!AE21)</f>
        <v/>
      </c>
      <c r="G495" s="31">
        <f>IF($F495="","",IFERROR(INDEX(設定!$D$5:$D$20,MATCH($F495,設定!$B$5:$B$20,0)),""))</f>
        <v/>
      </c>
      <c r="H495" s="31">
        <f>IF($F495="","",IFERROR(INDEX(設定!$E$5:$E$20,MATCH($F495,設定!$B$5:$B$20,0)),""))</f>
        <v/>
      </c>
      <c r="I495" s="31">
        <f>IFERROR(INDEX(打卡匯入!$C$3:$C$1002,MATCH($C495&amp;"|"&amp;DAY($A495),打卡匯入!$E$3:$E$1002,0)),"")</f>
        <v/>
      </c>
      <c r="J495" s="31">
        <f>IFERROR(INDEX(打卡匯入!$D$3:$D$1002,MATCH($C495&amp;"|"&amp;DAY($A495),打卡匯入!$E$3:$E$1002,0)),"")</f>
        <v/>
      </c>
      <c r="K495" s="32">
        <f>IF(OR($I495="",$J495=""),"",IFERROR(INDEX(設定!$F$5:$F$20,MATCH($F495,設定!$B$5:$B$20,0)),0))</f>
        <v/>
      </c>
      <c r="L495" s="33">
        <f>IF(OR($I495="",$J495=""),"",ROUND(($J495-$I495)*24-$K495/60,2))</f>
        <v/>
      </c>
      <c r="M495" s="29">
        <f>IF($C495="","",IF(AND(COUNTIF(設定!$B$14:$B$20,$F495)&gt;0,$I495&lt;&gt;""),"假日出勤",IF(AND(COUNTIF(設定!$B$5:$B$13,$F495)&gt;0,$I495=""),"未打卡",IF($I495="","",IF($N495&gt;0,"遲到",IF($O495&gt;0,"早退","正常"))))))</f>
        <v/>
      </c>
      <c r="N495" s="32">
        <f>IF(OR($C495="",$G495="",$I495=""),0,IF(ROUND(($I495-$G495)*1440,0)&gt;設定!$C$28,ROUND(($I495-$G495)*1440,0),0))</f>
        <v/>
      </c>
      <c r="O495" s="32">
        <f>IF(OR($C495="",$H495="",$J495=""),0,IF(ROUND(($H495-$J495)*1440,0)&gt;設定!$C$28,ROUND(($H495-$J495)*1440,0),0))</f>
        <v/>
      </c>
      <c r="P495" s="33">
        <f>IF($L495="",0,IF(($L495-IFERROR(INDEX(設定!$G$5:$G$20,MATCH($F495,設定!$B$5:$B$20,0)),0))*60&gt;=設定!$C$26,ROUND(FLOOR(($L495-IFERROR(INDEX(設定!$G$5:$G$20,MATCH($F495,設定!$B$5:$B$20,0)),0))*60,設定!$C$27)/60,2),0))</f>
        <v/>
      </c>
      <c r="Q495" s="29">
        <f>IF(OR($C495="",$P495=0),"",IF($F495="國","國定假日",IF($B495="日","例假",IF($B495="六","休息日","平日"))))</f>
        <v/>
      </c>
      <c r="R495" s="34" t="n"/>
    </row>
    <row r="496">
      <c r="A496" s="30">
        <f>IF(OR(班表!$A21="",29&gt;DAY(EOMONTH(DATE(班表!$E$2,班表!$G$2,1),0))),"",DATE(班表!$E$2,班表!$G$2,29))</f>
        <v/>
      </c>
      <c r="B496" s="29">
        <f>IF($A496="","",INDEX(設定!$L$5:$L$11,WEEKDAY($A496,1)))</f>
        <v/>
      </c>
      <c r="C496" s="29">
        <f>IF($A496="","",班表!$A21)</f>
        <v/>
      </c>
      <c r="D496" s="29">
        <f>IF($C496="","",班表!$B21)</f>
        <v/>
      </c>
      <c r="E496" s="29">
        <f>IF($C496="","",班表!$C21)</f>
        <v/>
      </c>
      <c r="F496" s="29">
        <f>IF($C496="","",班表!AF21)</f>
        <v/>
      </c>
      <c r="G496" s="31">
        <f>IF($F496="","",IFERROR(INDEX(設定!$D$5:$D$20,MATCH($F496,設定!$B$5:$B$20,0)),""))</f>
        <v/>
      </c>
      <c r="H496" s="31">
        <f>IF($F496="","",IFERROR(INDEX(設定!$E$5:$E$20,MATCH($F496,設定!$B$5:$B$20,0)),""))</f>
        <v/>
      </c>
      <c r="I496" s="31">
        <f>IFERROR(INDEX(打卡匯入!$C$3:$C$1002,MATCH($C496&amp;"|"&amp;DAY($A496),打卡匯入!$E$3:$E$1002,0)),"")</f>
        <v/>
      </c>
      <c r="J496" s="31">
        <f>IFERROR(INDEX(打卡匯入!$D$3:$D$1002,MATCH($C496&amp;"|"&amp;DAY($A496),打卡匯入!$E$3:$E$1002,0)),"")</f>
        <v/>
      </c>
      <c r="K496" s="32">
        <f>IF(OR($I496="",$J496=""),"",IFERROR(INDEX(設定!$F$5:$F$20,MATCH($F496,設定!$B$5:$B$20,0)),0))</f>
        <v/>
      </c>
      <c r="L496" s="33">
        <f>IF(OR($I496="",$J496=""),"",ROUND(($J496-$I496)*24-$K496/60,2))</f>
        <v/>
      </c>
      <c r="M496" s="29">
        <f>IF($C496="","",IF(AND(COUNTIF(設定!$B$14:$B$20,$F496)&gt;0,$I496&lt;&gt;""),"假日出勤",IF(AND(COUNTIF(設定!$B$5:$B$13,$F496)&gt;0,$I496=""),"未打卡",IF($I496="","",IF($N496&gt;0,"遲到",IF($O496&gt;0,"早退","正常"))))))</f>
        <v/>
      </c>
      <c r="N496" s="32">
        <f>IF(OR($C496="",$G496="",$I496=""),0,IF(ROUND(($I496-$G496)*1440,0)&gt;設定!$C$28,ROUND(($I496-$G496)*1440,0),0))</f>
        <v/>
      </c>
      <c r="O496" s="32">
        <f>IF(OR($C496="",$H496="",$J496=""),0,IF(ROUND(($H496-$J496)*1440,0)&gt;設定!$C$28,ROUND(($H496-$J496)*1440,0),0))</f>
        <v/>
      </c>
      <c r="P496" s="33">
        <f>IF($L496="",0,IF(($L496-IFERROR(INDEX(設定!$G$5:$G$20,MATCH($F496,設定!$B$5:$B$20,0)),0))*60&gt;=設定!$C$26,ROUND(FLOOR(($L496-IFERROR(INDEX(設定!$G$5:$G$20,MATCH($F496,設定!$B$5:$B$20,0)),0))*60,設定!$C$27)/60,2),0))</f>
        <v/>
      </c>
      <c r="Q496" s="29">
        <f>IF(OR($C496="",$P496=0),"",IF($F496="國","國定假日",IF($B496="日","例假",IF($B496="六","休息日","平日"))))</f>
        <v/>
      </c>
      <c r="R496" s="34" t="n"/>
    </row>
    <row r="497">
      <c r="A497" s="30">
        <f>IF(OR(班表!$A21="",30&gt;DAY(EOMONTH(DATE(班表!$E$2,班表!$G$2,1),0))),"",DATE(班表!$E$2,班表!$G$2,30))</f>
        <v/>
      </c>
      <c r="B497" s="29">
        <f>IF($A497="","",INDEX(設定!$L$5:$L$11,WEEKDAY($A497,1)))</f>
        <v/>
      </c>
      <c r="C497" s="29">
        <f>IF($A497="","",班表!$A21)</f>
        <v/>
      </c>
      <c r="D497" s="29">
        <f>IF($C497="","",班表!$B21)</f>
        <v/>
      </c>
      <c r="E497" s="29">
        <f>IF($C497="","",班表!$C21)</f>
        <v/>
      </c>
      <c r="F497" s="29">
        <f>IF($C497="","",班表!AG21)</f>
        <v/>
      </c>
      <c r="G497" s="31">
        <f>IF($F497="","",IFERROR(INDEX(設定!$D$5:$D$20,MATCH($F497,設定!$B$5:$B$20,0)),""))</f>
        <v/>
      </c>
      <c r="H497" s="31">
        <f>IF($F497="","",IFERROR(INDEX(設定!$E$5:$E$20,MATCH($F497,設定!$B$5:$B$20,0)),""))</f>
        <v/>
      </c>
      <c r="I497" s="31">
        <f>IFERROR(INDEX(打卡匯入!$C$3:$C$1002,MATCH($C497&amp;"|"&amp;DAY($A497),打卡匯入!$E$3:$E$1002,0)),"")</f>
        <v/>
      </c>
      <c r="J497" s="31">
        <f>IFERROR(INDEX(打卡匯入!$D$3:$D$1002,MATCH($C497&amp;"|"&amp;DAY($A497),打卡匯入!$E$3:$E$1002,0)),"")</f>
        <v/>
      </c>
      <c r="K497" s="32">
        <f>IF(OR($I497="",$J497=""),"",IFERROR(INDEX(設定!$F$5:$F$20,MATCH($F497,設定!$B$5:$B$20,0)),0))</f>
        <v/>
      </c>
      <c r="L497" s="33">
        <f>IF(OR($I497="",$J497=""),"",ROUND(($J497-$I497)*24-$K497/60,2))</f>
        <v/>
      </c>
      <c r="M497" s="29">
        <f>IF($C497="","",IF(AND(COUNTIF(設定!$B$14:$B$20,$F497)&gt;0,$I497&lt;&gt;""),"假日出勤",IF(AND(COUNTIF(設定!$B$5:$B$13,$F497)&gt;0,$I497=""),"未打卡",IF($I497="","",IF($N497&gt;0,"遲到",IF($O497&gt;0,"早退","正常"))))))</f>
        <v/>
      </c>
      <c r="N497" s="32">
        <f>IF(OR($C497="",$G497="",$I497=""),0,IF(ROUND(($I497-$G497)*1440,0)&gt;設定!$C$28,ROUND(($I497-$G497)*1440,0),0))</f>
        <v/>
      </c>
      <c r="O497" s="32">
        <f>IF(OR($C497="",$H497="",$J497=""),0,IF(ROUND(($H497-$J497)*1440,0)&gt;設定!$C$28,ROUND(($H497-$J497)*1440,0),0))</f>
        <v/>
      </c>
      <c r="P497" s="33">
        <f>IF($L497="",0,IF(($L497-IFERROR(INDEX(設定!$G$5:$G$20,MATCH($F497,設定!$B$5:$B$20,0)),0))*60&gt;=設定!$C$26,ROUND(FLOOR(($L497-IFERROR(INDEX(設定!$G$5:$G$20,MATCH($F497,設定!$B$5:$B$20,0)),0))*60,設定!$C$27)/60,2),0))</f>
        <v/>
      </c>
      <c r="Q497" s="29">
        <f>IF(OR($C497="",$P497=0),"",IF($F497="國","國定假日",IF($B497="日","例假",IF($B497="六","休息日","平日"))))</f>
        <v/>
      </c>
      <c r="R497" s="34" t="n"/>
    </row>
    <row r="498">
      <c r="A498" s="30">
        <f>IF(OR(班表!$A21="",31&gt;DAY(EOMONTH(DATE(班表!$E$2,班表!$G$2,1),0))),"",DATE(班表!$E$2,班表!$G$2,31))</f>
        <v/>
      </c>
      <c r="B498" s="29">
        <f>IF($A498="","",INDEX(設定!$L$5:$L$11,WEEKDAY($A498,1)))</f>
        <v/>
      </c>
      <c r="C498" s="29">
        <f>IF($A498="","",班表!$A21)</f>
        <v/>
      </c>
      <c r="D498" s="29">
        <f>IF($C498="","",班表!$B21)</f>
        <v/>
      </c>
      <c r="E498" s="29">
        <f>IF($C498="","",班表!$C21)</f>
        <v/>
      </c>
      <c r="F498" s="29">
        <f>IF($C498="","",班表!AH21)</f>
        <v/>
      </c>
      <c r="G498" s="31">
        <f>IF($F498="","",IFERROR(INDEX(設定!$D$5:$D$20,MATCH($F498,設定!$B$5:$B$20,0)),""))</f>
        <v/>
      </c>
      <c r="H498" s="31">
        <f>IF($F498="","",IFERROR(INDEX(設定!$E$5:$E$20,MATCH($F498,設定!$B$5:$B$20,0)),""))</f>
        <v/>
      </c>
      <c r="I498" s="31">
        <f>IFERROR(INDEX(打卡匯入!$C$3:$C$1002,MATCH($C498&amp;"|"&amp;DAY($A498),打卡匯入!$E$3:$E$1002,0)),"")</f>
        <v/>
      </c>
      <c r="J498" s="31">
        <f>IFERROR(INDEX(打卡匯入!$D$3:$D$1002,MATCH($C498&amp;"|"&amp;DAY($A498),打卡匯入!$E$3:$E$1002,0)),"")</f>
        <v/>
      </c>
      <c r="K498" s="32">
        <f>IF(OR($I498="",$J498=""),"",IFERROR(INDEX(設定!$F$5:$F$20,MATCH($F498,設定!$B$5:$B$20,0)),0))</f>
        <v/>
      </c>
      <c r="L498" s="33">
        <f>IF(OR($I498="",$J498=""),"",ROUND(($J498-$I498)*24-$K498/60,2))</f>
        <v/>
      </c>
      <c r="M498" s="29">
        <f>IF($C498="","",IF(AND(COUNTIF(設定!$B$14:$B$20,$F498)&gt;0,$I498&lt;&gt;""),"假日出勤",IF(AND(COUNTIF(設定!$B$5:$B$13,$F498)&gt;0,$I498=""),"未打卡",IF($I498="","",IF($N498&gt;0,"遲到",IF($O498&gt;0,"早退","正常"))))))</f>
        <v/>
      </c>
      <c r="N498" s="32">
        <f>IF(OR($C498="",$G498="",$I498=""),0,IF(ROUND(($I498-$G498)*1440,0)&gt;設定!$C$28,ROUND(($I498-$G498)*1440,0),0))</f>
        <v/>
      </c>
      <c r="O498" s="32">
        <f>IF(OR($C498="",$H498="",$J498=""),0,IF(ROUND(($H498-$J498)*1440,0)&gt;設定!$C$28,ROUND(($H498-$J498)*1440,0),0))</f>
        <v/>
      </c>
      <c r="P498" s="33">
        <f>IF($L498="",0,IF(($L498-IFERROR(INDEX(設定!$G$5:$G$20,MATCH($F498,設定!$B$5:$B$20,0)),0))*60&gt;=設定!$C$26,ROUND(FLOOR(($L498-IFERROR(INDEX(設定!$G$5:$G$20,MATCH($F498,設定!$B$5:$B$20,0)),0))*60,設定!$C$27)/60,2),0))</f>
        <v/>
      </c>
      <c r="Q498" s="29">
        <f>IF(OR($C498="",$P498=0),"",IF($F498="國","國定假日",IF($B498="日","例假",IF($B498="六","休息日","平日"))))</f>
        <v/>
      </c>
      <c r="R498" s="34" t="n"/>
    </row>
    <row r="499">
      <c r="A499" s="30">
        <f>IF(OR(班表!$A22="",1&gt;DAY(EOMONTH(DATE(班表!$E$2,班表!$G$2,1),0))),"",DATE(班表!$E$2,班表!$G$2,1))</f>
        <v/>
      </c>
      <c r="B499" s="29">
        <f>IF($A499="","",INDEX(設定!$L$5:$L$11,WEEKDAY($A499,1)))</f>
        <v/>
      </c>
      <c r="C499" s="29">
        <f>IF($A499="","",班表!$A22)</f>
        <v/>
      </c>
      <c r="D499" s="29">
        <f>IF($C499="","",班表!$B22)</f>
        <v/>
      </c>
      <c r="E499" s="29">
        <f>IF($C499="","",班表!$C22)</f>
        <v/>
      </c>
      <c r="F499" s="29">
        <f>IF($C499="","",班表!D22)</f>
        <v/>
      </c>
      <c r="G499" s="31">
        <f>IF($F499="","",IFERROR(INDEX(設定!$D$5:$D$20,MATCH($F499,設定!$B$5:$B$20,0)),""))</f>
        <v/>
      </c>
      <c r="H499" s="31">
        <f>IF($F499="","",IFERROR(INDEX(設定!$E$5:$E$20,MATCH($F499,設定!$B$5:$B$20,0)),""))</f>
        <v/>
      </c>
      <c r="I499" s="31">
        <f>IFERROR(INDEX(打卡匯入!$C$3:$C$1002,MATCH($C499&amp;"|"&amp;DAY($A499),打卡匯入!$E$3:$E$1002,0)),"")</f>
        <v/>
      </c>
      <c r="J499" s="31">
        <f>IFERROR(INDEX(打卡匯入!$D$3:$D$1002,MATCH($C499&amp;"|"&amp;DAY($A499),打卡匯入!$E$3:$E$1002,0)),"")</f>
        <v/>
      </c>
      <c r="K499" s="32">
        <f>IF(OR($I499="",$J499=""),"",IFERROR(INDEX(設定!$F$5:$F$20,MATCH($F499,設定!$B$5:$B$20,0)),0))</f>
        <v/>
      </c>
      <c r="L499" s="33">
        <f>IF(OR($I499="",$J499=""),"",ROUND(($J499-$I499)*24-$K499/60,2))</f>
        <v/>
      </c>
      <c r="M499" s="29">
        <f>IF($C499="","",IF(AND(COUNTIF(設定!$B$14:$B$20,$F499)&gt;0,$I499&lt;&gt;""),"假日出勤",IF(AND(COUNTIF(設定!$B$5:$B$13,$F499)&gt;0,$I499=""),"未打卡",IF($I499="","",IF($N499&gt;0,"遲到",IF($O499&gt;0,"早退","正常"))))))</f>
        <v/>
      </c>
      <c r="N499" s="32">
        <f>IF(OR($C499="",$G499="",$I499=""),0,IF(ROUND(($I499-$G499)*1440,0)&gt;設定!$C$28,ROUND(($I499-$G499)*1440,0),0))</f>
        <v/>
      </c>
      <c r="O499" s="32">
        <f>IF(OR($C499="",$H499="",$J499=""),0,IF(ROUND(($H499-$J499)*1440,0)&gt;設定!$C$28,ROUND(($H499-$J499)*1440,0),0))</f>
        <v/>
      </c>
      <c r="P499" s="33">
        <f>IF($L499="",0,IF(($L499-IFERROR(INDEX(設定!$G$5:$G$20,MATCH($F499,設定!$B$5:$B$20,0)),0))*60&gt;=設定!$C$26,ROUND(FLOOR(($L499-IFERROR(INDEX(設定!$G$5:$G$20,MATCH($F499,設定!$B$5:$B$20,0)),0))*60,設定!$C$27)/60,2),0))</f>
        <v/>
      </c>
      <c r="Q499" s="29">
        <f>IF(OR($C499="",$P499=0),"",IF($F499="國","國定假日",IF($B499="日","例假",IF($B499="六","休息日","平日"))))</f>
        <v/>
      </c>
      <c r="R499" s="34" t="n"/>
    </row>
    <row r="500">
      <c r="A500" s="30">
        <f>IF(OR(班表!$A22="",2&gt;DAY(EOMONTH(DATE(班表!$E$2,班表!$G$2,1),0))),"",DATE(班表!$E$2,班表!$G$2,2))</f>
        <v/>
      </c>
      <c r="B500" s="29">
        <f>IF($A500="","",INDEX(設定!$L$5:$L$11,WEEKDAY($A500,1)))</f>
        <v/>
      </c>
      <c r="C500" s="29">
        <f>IF($A500="","",班表!$A22)</f>
        <v/>
      </c>
      <c r="D500" s="29">
        <f>IF($C500="","",班表!$B22)</f>
        <v/>
      </c>
      <c r="E500" s="29">
        <f>IF($C500="","",班表!$C22)</f>
        <v/>
      </c>
      <c r="F500" s="29">
        <f>IF($C500="","",班表!E22)</f>
        <v/>
      </c>
      <c r="G500" s="31">
        <f>IF($F500="","",IFERROR(INDEX(設定!$D$5:$D$20,MATCH($F500,設定!$B$5:$B$20,0)),""))</f>
        <v/>
      </c>
      <c r="H500" s="31">
        <f>IF($F500="","",IFERROR(INDEX(設定!$E$5:$E$20,MATCH($F500,設定!$B$5:$B$20,0)),""))</f>
        <v/>
      </c>
      <c r="I500" s="31">
        <f>IFERROR(INDEX(打卡匯入!$C$3:$C$1002,MATCH($C500&amp;"|"&amp;DAY($A500),打卡匯入!$E$3:$E$1002,0)),"")</f>
        <v/>
      </c>
      <c r="J500" s="31">
        <f>IFERROR(INDEX(打卡匯入!$D$3:$D$1002,MATCH($C500&amp;"|"&amp;DAY($A500),打卡匯入!$E$3:$E$1002,0)),"")</f>
        <v/>
      </c>
      <c r="K500" s="32">
        <f>IF(OR($I500="",$J500=""),"",IFERROR(INDEX(設定!$F$5:$F$20,MATCH($F500,設定!$B$5:$B$20,0)),0))</f>
        <v/>
      </c>
      <c r="L500" s="33">
        <f>IF(OR($I500="",$J500=""),"",ROUND(($J500-$I500)*24-$K500/60,2))</f>
        <v/>
      </c>
      <c r="M500" s="29">
        <f>IF($C500="","",IF(AND(COUNTIF(設定!$B$14:$B$20,$F500)&gt;0,$I500&lt;&gt;""),"假日出勤",IF(AND(COUNTIF(設定!$B$5:$B$13,$F500)&gt;0,$I500=""),"未打卡",IF($I500="","",IF($N500&gt;0,"遲到",IF($O500&gt;0,"早退","正常"))))))</f>
        <v/>
      </c>
      <c r="N500" s="32">
        <f>IF(OR($C500="",$G500="",$I500=""),0,IF(ROUND(($I500-$G500)*1440,0)&gt;設定!$C$28,ROUND(($I500-$G500)*1440,0),0))</f>
        <v/>
      </c>
      <c r="O500" s="32">
        <f>IF(OR($C500="",$H500="",$J500=""),0,IF(ROUND(($H500-$J500)*1440,0)&gt;設定!$C$28,ROUND(($H500-$J500)*1440,0),0))</f>
        <v/>
      </c>
      <c r="P500" s="33">
        <f>IF($L500="",0,IF(($L500-IFERROR(INDEX(設定!$G$5:$G$20,MATCH($F500,設定!$B$5:$B$20,0)),0))*60&gt;=設定!$C$26,ROUND(FLOOR(($L500-IFERROR(INDEX(設定!$G$5:$G$20,MATCH($F500,設定!$B$5:$B$20,0)),0))*60,設定!$C$27)/60,2),0))</f>
        <v/>
      </c>
      <c r="Q500" s="29">
        <f>IF(OR($C500="",$P500=0),"",IF($F500="國","國定假日",IF($B500="日","例假",IF($B500="六","休息日","平日"))))</f>
        <v/>
      </c>
      <c r="R500" s="34" t="n"/>
    </row>
    <row r="501">
      <c r="A501" s="30">
        <f>IF(OR(班表!$A22="",3&gt;DAY(EOMONTH(DATE(班表!$E$2,班表!$G$2,1),0))),"",DATE(班表!$E$2,班表!$G$2,3))</f>
        <v/>
      </c>
      <c r="B501" s="29">
        <f>IF($A501="","",INDEX(設定!$L$5:$L$11,WEEKDAY($A501,1)))</f>
        <v/>
      </c>
      <c r="C501" s="29">
        <f>IF($A501="","",班表!$A22)</f>
        <v/>
      </c>
      <c r="D501" s="29">
        <f>IF($C501="","",班表!$B22)</f>
        <v/>
      </c>
      <c r="E501" s="29">
        <f>IF($C501="","",班表!$C22)</f>
        <v/>
      </c>
      <c r="F501" s="29">
        <f>IF($C501="","",班表!F22)</f>
        <v/>
      </c>
      <c r="G501" s="31">
        <f>IF($F501="","",IFERROR(INDEX(設定!$D$5:$D$20,MATCH($F501,設定!$B$5:$B$20,0)),""))</f>
        <v/>
      </c>
      <c r="H501" s="31">
        <f>IF($F501="","",IFERROR(INDEX(設定!$E$5:$E$20,MATCH($F501,設定!$B$5:$B$20,0)),""))</f>
        <v/>
      </c>
      <c r="I501" s="31">
        <f>IFERROR(INDEX(打卡匯入!$C$3:$C$1002,MATCH($C501&amp;"|"&amp;DAY($A501),打卡匯入!$E$3:$E$1002,0)),"")</f>
        <v/>
      </c>
      <c r="J501" s="31">
        <f>IFERROR(INDEX(打卡匯入!$D$3:$D$1002,MATCH($C501&amp;"|"&amp;DAY($A501),打卡匯入!$E$3:$E$1002,0)),"")</f>
        <v/>
      </c>
      <c r="K501" s="32">
        <f>IF(OR($I501="",$J501=""),"",IFERROR(INDEX(設定!$F$5:$F$20,MATCH($F501,設定!$B$5:$B$20,0)),0))</f>
        <v/>
      </c>
      <c r="L501" s="33">
        <f>IF(OR($I501="",$J501=""),"",ROUND(($J501-$I501)*24-$K501/60,2))</f>
        <v/>
      </c>
      <c r="M501" s="29">
        <f>IF($C501="","",IF(AND(COUNTIF(設定!$B$14:$B$20,$F501)&gt;0,$I501&lt;&gt;""),"假日出勤",IF(AND(COUNTIF(設定!$B$5:$B$13,$F501)&gt;0,$I501=""),"未打卡",IF($I501="","",IF($N501&gt;0,"遲到",IF($O501&gt;0,"早退","正常"))))))</f>
        <v/>
      </c>
      <c r="N501" s="32">
        <f>IF(OR($C501="",$G501="",$I501=""),0,IF(ROUND(($I501-$G501)*1440,0)&gt;設定!$C$28,ROUND(($I501-$G501)*1440,0),0))</f>
        <v/>
      </c>
      <c r="O501" s="32">
        <f>IF(OR($C501="",$H501="",$J501=""),0,IF(ROUND(($H501-$J501)*1440,0)&gt;設定!$C$28,ROUND(($H501-$J501)*1440,0),0))</f>
        <v/>
      </c>
      <c r="P501" s="33">
        <f>IF($L501="",0,IF(($L501-IFERROR(INDEX(設定!$G$5:$G$20,MATCH($F501,設定!$B$5:$B$20,0)),0))*60&gt;=設定!$C$26,ROUND(FLOOR(($L501-IFERROR(INDEX(設定!$G$5:$G$20,MATCH($F501,設定!$B$5:$B$20,0)),0))*60,設定!$C$27)/60,2),0))</f>
        <v/>
      </c>
      <c r="Q501" s="29">
        <f>IF(OR($C501="",$P501=0),"",IF($F501="國","國定假日",IF($B501="日","例假",IF($B501="六","休息日","平日"))))</f>
        <v/>
      </c>
      <c r="R501" s="34" t="n"/>
    </row>
    <row r="502">
      <c r="A502" s="30">
        <f>IF(OR(班表!$A22="",4&gt;DAY(EOMONTH(DATE(班表!$E$2,班表!$G$2,1),0))),"",DATE(班表!$E$2,班表!$G$2,4))</f>
        <v/>
      </c>
      <c r="B502" s="29">
        <f>IF($A502="","",INDEX(設定!$L$5:$L$11,WEEKDAY($A502,1)))</f>
        <v/>
      </c>
      <c r="C502" s="29">
        <f>IF($A502="","",班表!$A22)</f>
        <v/>
      </c>
      <c r="D502" s="29">
        <f>IF($C502="","",班表!$B22)</f>
        <v/>
      </c>
      <c r="E502" s="29">
        <f>IF($C502="","",班表!$C22)</f>
        <v/>
      </c>
      <c r="F502" s="29">
        <f>IF($C502="","",班表!G22)</f>
        <v/>
      </c>
      <c r="G502" s="31">
        <f>IF($F502="","",IFERROR(INDEX(設定!$D$5:$D$20,MATCH($F502,設定!$B$5:$B$20,0)),""))</f>
        <v/>
      </c>
      <c r="H502" s="31">
        <f>IF($F502="","",IFERROR(INDEX(設定!$E$5:$E$20,MATCH($F502,設定!$B$5:$B$20,0)),""))</f>
        <v/>
      </c>
      <c r="I502" s="31">
        <f>IFERROR(INDEX(打卡匯入!$C$3:$C$1002,MATCH($C502&amp;"|"&amp;DAY($A502),打卡匯入!$E$3:$E$1002,0)),"")</f>
        <v/>
      </c>
      <c r="J502" s="31">
        <f>IFERROR(INDEX(打卡匯入!$D$3:$D$1002,MATCH($C502&amp;"|"&amp;DAY($A502),打卡匯入!$E$3:$E$1002,0)),"")</f>
        <v/>
      </c>
      <c r="K502" s="32">
        <f>IF(OR($I502="",$J502=""),"",IFERROR(INDEX(設定!$F$5:$F$20,MATCH($F502,設定!$B$5:$B$20,0)),0))</f>
        <v/>
      </c>
      <c r="L502" s="33">
        <f>IF(OR($I502="",$J502=""),"",ROUND(($J502-$I502)*24-$K502/60,2))</f>
        <v/>
      </c>
      <c r="M502" s="29">
        <f>IF($C502="","",IF(AND(COUNTIF(設定!$B$14:$B$20,$F502)&gt;0,$I502&lt;&gt;""),"假日出勤",IF(AND(COUNTIF(設定!$B$5:$B$13,$F502)&gt;0,$I502=""),"未打卡",IF($I502="","",IF($N502&gt;0,"遲到",IF($O502&gt;0,"早退","正常"))))))</f>
        <v/>
      </c>
      <c r="N502" s="32">
        <f>IF(OR($C502="",$G502="",$I502=""),0,IF(ROUND(($I502-$G502)*1440,0)&gt;設定!$C$28,ROUND(($I502-$G502)*1440,0),0))</f>
        <v/>
      </c>
      <c r="O502" s="32">
        <f>IF(OR($C502="",$H502="",$J502=""),0,IF(ROUND(($H502-$J502)*1440,0)&gt;設定!$C$28,ROUND(($H502-$J502)*1440,0),0))</f>
        <v/>
      </c>
      <c r="P502" s="33">
        <f>IF($L502="",0,IF(($L502-IFERROR(INDEX(設定!$G$5:$G$20,MATCH($F502,設定!$B$5:$B$20,0)),0))*60&gt;=設定!$C$26,ROUND(FLOOR(($L502-IFERROR(INDEX(設定!$G$5:$G$20,MATCH($F502,設定!$B$5:$B$20,0)),0))*60,設定!$C$27)/60,2),0))</f>
        <v/>
      </c>
      <c r="Q502" s="29">
        <f>IF(OR($C502="",$P502=0),"",IF($F502="國","國定假日",IF($B502="日","例假",IF($B502="六","休息日","平日"))))</f>
        <v/>
      </c>
      <c r="R502" s="34" t="n"/>
    </row>
    <row r="503">
      <c r="A503" s="30">
        <f>IF(OR(班表!$A22="",5&gt;DAY(EOMONTH(DATE(班表!$E$2,班表!$G$2,1),0))),"",DATE(班表!$E$2,班表!$G$2,5))</f>
        <v/>
      </c>
      <c r="B503" s="29">
        <f>IF($A503="","",INDEX(設定!$L$5:$L$11,WEEKDAY($A503,1)))</f>
        <v/>
      </c>
      <c r="C503" s="29">
        <f>IF($A503="","",班表!$A22)</f>
        <v/>
      </c>
      <c r="D503" s="29">
        <f>IF($C503="","",班表!$B22)</f>
        <v/>
      </c>
      <c r="E503" s="29">
        <f>IF($C503="","",班表!$C22)</f>
        <v/>
      </c>
      <c r="F503" s="29">
        <f>IF($C503="","",班表!H22)</f>
        <v/>
      </c>
      <c r="G503" s="31">
        <f>IF($F503="","",IFERROR(INDEX(設定!$D$5:$D$20,MATCH($F503,設定!$B$5:$B$20,0)),""))</f>
        <v/>
      </c>
      <c r="H503" s="31">
        <f>IF($F503="","",IFERROR(INDEX(設定!$E$5:$E$20,MATCH($F503,設定!$B$5:$B$20,0)),""))</f>
        <v/>
      </c>
      <c r="I503" s="31">
        <f>IFERROR(INDEX(打卡匯入!$C$3:$C$1002,MATCH($C503&amp;"|"&amp;DAY($A503),打卡匯入!$E$3:$E$1002,0)),"")</f>
        <v/>
      </c>
      <c r="J503" s="31">
        <f>IFERROR(INDEX(打卡匯入!$D$3:$D$1002,MATCH($C503&amp;"|"&amp;DAY($A503),打卡匯入!$E$3:$E$1002,0)),"")</f>
        <v/>
      </c>
      <c r="K503" s="32">
        <f>IF(OR($I503="",$J503=""),"",IFERROR(INDEX(設定!$F$5:$F$20,MATCH($F503,設定!$B$5:$B$20,0)),0))</f>
        <v/>
      </c>
      <c r="L503" s="33">
        <f>IF(OR($I503="",$J503=""),"",ROUND(($J503-$I503)*24-$K503/60,2))</f>
        <v/>
      </c>
      <c r="M503" s="29">
        <f>IF($C503="","",IF(AND(COUNTIF(設定!$B$14:$B$20,$F503)&gt;0,$I503&lt;&gt;""),"假日出勤",IF(AND(COUNTIF(設定!$B$5:$B$13,$F503)&gt;0,$I503=""),"未打卡",IF($I503="","",IF($N503&gt;0,"遲到",IF($O503&gt;0,"早退","正常"))))))</f>
        <v/>
      </c>
      <c r="N503" s="32">
        <f>IF(OR($C503="",$G503="",$I503=""),0,IF(ROUND(($I503-$G503)*1440,0)&gt;設定!$C$28,ROUND(($I503-$G503)*1440,0),0))</f>
        <v/>
      </c>
      <c r="O503" s="32">
        <f>IF(OR($C503="",$H503="",$J503=""),0,IF(ROUND(($H503-$J503)*1440,0)&gt;設定!$C$28,ROUND(($H503-$J503)*1440,0),0))</f>
        <v/>
      </c>
      <c r="P503" s="33">
        <f>IF($L503="",0,IF(($L503-IFERROR(INDEX(設定!$G$5:$G$20,MATCH($F503,設定!$B$5:$B$20,0)),0))*60&gt;=設定!$C$26,ROUND(FLOOR(($L503-IFERROR(INDEX(設定!$G$5:$G$20,MATCH($F503,設定!$B$5:$B$20,0)),0))*60,設定!$C$27)/60,2),0))</f>
        <v/>
      </c>
      <c r="Q503" s="29">
        <f>IF(OR($C503="",$P503=0),"",IF($F503="國","國定假日",IF($B503="日","例假",IF($B503="六","休息日","平日"))))</f>
        <v/>
      </c>
      <c r="R503" s="34" t="n"/>
    </row>
    <row r="504">
      <c r="A504" s="30">
        <f>IF(OR(班表!$A22="",6&gt;DAY(EOMONTH(DATE(班表!$E$2,班表!$G$2,1),0))),"",DATE(班表!$E$2,班表!$G$2,6))</f>
        <v/>
      </c>
      <c r="B504" s="29">
        <f>IF($A504="","",INDEX(設定!$L$5:$L$11,WEEKDAY($A504,1)))</f>
        <v/>
      </c>
      <c r="C504" s="29">
        <f>IF($A504="","",班表!$A22)</f>
        <v/>
      </c>
      <c r="D504" s="29">
        <f>IF($C504="","",班表!$B22)</f>
        <v/>
      </c>
      <c r="E504" s="29">
        <f>IF($C504="","",班表!$C22)</f>
        <v/>
      </c>
      <c r="F504" s="29">
        <f>IF($C504="","",班表!I22)</f>
        <v/>
      </c>
      <c r="G504" s="31">
        <f>IF($F504="","",IFERROR(INDEX(設定!$D$5:$D$20,MATCH($F504,設定!$B$5:$B$20,0)),""))</f>
        <v/>
      </c>
      <c r="H504" s="31">
        <f>IF($F504="","",IFERROR(INDEX(設定!$E$5:$E$20,MATCH($F504,設定!$B$5:$B$20,0)),""))</f>
        <v/>
      </c>
      <c r="I504" s="31">
        <f>IFERROR(INDEX(打卡匯入!$C$3:$C$1002,MATCH($C504&amp;"|"&amp;DAY($A504),打卡匯入!$E$3:$E$1002,0)),"")</f>
        <v/>
      </c>
      <c r="J504" s="31">
        <f>IFERROR(INDEX(打卡匯入!$D$3:$D$1002,MATCH($C504&amp;"|"&amp;DAY($A504),打卡匯入!$E$3:$E$1002,0)),"")</f>
        <v/>
      </c>
      <c r="K504" s="32">
        <f>IF(OR($I504="",$J504=""),"",IFERROR(INDEX(設定!$F$5:$F$20,MATCH($F504,設定!$B$5:$B$20,0)),0))</f>
        <v/>
      </c>
      <c r="L504" s="33">
        <f>IF(OR($I504="",$J504=""),"",ROUND(($J504-$I504)*24-$K504/60,2))</f>
        <v/>
      </c>
      <c r="M504" s="29">
        <f>IF($C504="","",IF(AND(COUNTIF(設定!$B$14:$B$20,$F504)&gt;0,$I504&lt;&gt;""),"假日出勤",IF(AND(COUNTIF(設定!$B$5:$B$13,$F504)&gt;0,$I504=""),"未打卡",IF($I504="","",IF($N504&gt;0,"遲到",IF($O504&gt;0,"早退","正常"))))))</f>
        <v/>
      </c>
      <c r="N504" s="32">
        <f>IF(OR($C504="",$G504="",$I504=""),0,IF(ROUND(($I504-$G504)*1440,0)&gt;設定!$C$28,ROUND(($I504-$G504)*1440,0),0))</f>
        <v/>
      </c>
      <c r="O504" s="32">
        <f>IF(OR($C504="",$H504="",$J504=""),0,IF(ROUND(($H504-$J504)*1440,0)&gt;設定!$C$28,ROUND(($H504-$J504)*1440,0),0))</f>
        <v/>
      </c>
      <c r="P504" s="33">
        <f>IF($L504="",0,IF(($L504-IFERROR(INDEX(設定!$G$5:$G$20,MATCH($F504,設定!$B$5:$B$20,0)),0))*60&gt;=設定!$C$26,ROUND(FLOOR(($L504-IFERROR(INDEX(設定!$G$5:$G$20,MATCH($F504,設定!$B$5:$B$20,0)),0))*60,設定!$C$27)/60,2),0))</f>
        <v/>
      </c>
      <c r="Q504" s="29">
        <f>IF(OR($C504="",$P504=0),"",IF($F504="國","國定假日",IF($B504="日","例假",IF($B504="六","休息日","平日"))))</f>
        <v/>
      </c>
      <c r="R504" s="34" t="n"/>
    </row>
    <row r="505">
      <c r="A505" s="30">
        <f>IF(OR(班表!$A22="",7&gt;DAY(EOMONTH(DATE(班表!$E$2,班表!$G$2,1),0))),"",DATE(班表!$E$2,班表!$G$2,7))</f>
        <v/>
      </c>
      <c r="B505" s="29">
        <f>IF($A505="","",INDEX(設定!$L$5:$L$11,WEEKDAY($A505,1)))</f>
        <v/>
      </c>
      <c r="C505" s="29">
        <f>IF($A505="","",班表!$A22)</f>
        <v/>
      </c>
      <c r="D505" s="29">
        <f>IF($C505="","",班表!$B22)</f>
        <v/>
      </c>
      <c r="E505" s="29">
        <f>IF($C505="","",班表!$C22)</f>
        <v/>
      </c>
      <c r="F505" s="29">
        <f>IF($C505="","",班表!J22)</f>
        <v/>
      </c>
      <c r="G505" s="31">
        <f>IF($F505="","",IFERROR(INDEX(設定!$D$5:$D$20,MATCH($F505,設定!$B$5:$B$20,0)),""))</f>
        <v/>
      </c>
      <c r="H505" s="31">
        <f>IF($F505="","",IFERROR(INDEX(設定!$E$5:$E$20,MATCH($F505,設定!$B$5:$B$20,0)),""))</f>
        <v/>
      </c>
      <c r="I505" s="31">
        <f>IFERROR(INDEX(打卡匯入!$C$3:$C$1002,MATCH($C505&amp;"|"&amp;DAY($A505),打卡匯入!$E$3:$E$1002,0)),"")</f>
        <v/>
      </c>
      <c r="J505" s="31">
        <f>IFERROR(INDEX(打卡匯入!$D$3:$D$1002,MATCH($C505&amp;"|"&amp;DAY($A505),打卡匯入!$E$3:$E$1002,0)),"")</f>
        <v/>
      </c>
      <c r="K505" s="32">
        <f>IF(OR($I505="",$J505=""),"",IFERROR(INDEX(設定!$F$5:$F$20,MATCH($F505,設定!$B$5:$B$20,0)),0))</f>
        <v/>
      </c>
      <c r="L505" s="33">
        <f>IF(OR($I505="",$J505=""),"",ROUND(($J505-$I505)*24-$K505/60,2))</f>
        <v/>
      </c>
      <c r="M505" s="29">
        <f>IF($C505="","",IF(AND(COUNTIF(設定!$B$14:$B$20,$F505)&gt;0,$I505&lt;&gt;""),"假日出勤",IF(AND(COUNTIF(設定!$B$5:$B$13,$F505)&gt;0,$I505=""),"未打卡",IF($I505="","",IF($N505&gt;0,"遲到",IF($O505&gt;0,"早退","正常"))))))</f>
        <v/>
      </c>
      <c r="N505" s="32">
        <f>IF(OR($C505="",$G505="",$I505=""),0,IF(ROUND(($I505-$G505)*1440,0)&gt;設定!$C$28,ROUND(($I505-$G505)*1440,0),0))</f>
        <v/>
      </c>
      <c r="O505" s="32">
        <f>IF(OR($C505="",$H505="",$J505=""),0,IF(ROUND(($H505-$J505)*1440,0)&gt;設定!$C$28,ROUND(($H505-$J505)*1440,0),0))</f>
        <v/>
      </c>
      <c r="P505" s="33">
        <f>IF($L505="",0,IF(($L505-IFERROR(INDEX(設定!$G$5:$G$20,MATCH($F505,設定!$B$5:$B$20,0)),0))*60&gt;=設定!$C$26,ROUND(FLOOR(($L505-IFERROR(INDEX(設定!$G$5:$G$20,MATCH($F505,設定!$B$5:$B$20,0)),0))*60,設定!$C$27)/60,2),0))</f>
        <v/>
      </c>
      <c r="Q505" s="29">
        <f>IF(OR($C505="",$P505=0),"",IF($F505="國","國定假日",IF($B505="日","例假",IF($B505="六","休息日","平日"))))</f>
        <v/>
      </c>
      <c r="R505" s="34" t="n"/>
    </row>
    <row r="506">
      <c r="A506" s="30">
        <f>IF(OR(班表!$A22="",8&gt;DAY(EOMONTH(DATE(班表!$E$2,班表!$G$2,1),0))),"",DATE(班表!$E$2,班表!$G$2,8))</f>
        <v/>
      </c>
      <c r="B506" s="29">
        <f>IF($A506="","",INDEX(設定!$L$5:$L$11,WEEKDAY($A506,1)))</f>
        <v/>
      </c>
      <c r="C506" s="29">
        <f>IF($A506="","",班表!$A22)</f>
        <v/>
      </c>
      <c r="D506" s="29">
        <f>IF($C506="","",班表!$B22)</f>
        <v/>
      </c>
      <c r="E506" s="29">
        <f>IF($C506="","",班表!$C22)</f>
        <v/>
      </c>
      <c r="F506" s="29">
        <f>IF($C506="","",班表!K22)</f>
        <v/>
      </c>
      <c r="G506" s="31">
        <f>IF($F506="","",IFERROR(INDEX(設定!$D$5:$D$20,MATCH($F506,設定!$B$5:$B$20,0)),""))</f>
        <v/>
      </c>
      <c r="H506" s="31">
        <f>IF($F506="","",IFERROR(INDEX(設定!$E$5:$E$20,MATCH($F506,設定!$B$5:$B$20,0)),""))</f>
        <v/>
      </c>
      <c r="I506" s="31">
        <f>IFERROR(INDEX(打卡匯入!$C$3:$C$1002,MATCH($C506&amp;"|"&amp;DAY($A506),打卡匯入!$E$3:$E$1002,0)),"")</f>
        <v/>
      </c>
      <c r="J506" s="31">
        <f>IFERROR(INDEX(打卡匯入!$D$3:$D$1002,MATCH($C506&amp;"|"&amp;DAY($A506),打卡匯入!$E$3:$E$1002,0)),"")</f>
        <v/>
      </c>
      <c r="K506" s="32">
        <f>IF(OR($I506="",$J506=""),"",IFERROR(INDEX(設定!$F$5:$F$20,MATCH($F506,設定!$B$5:$B$20,0)),0))</f>
        <v/>
      </c>
      <c r="L506" s="33">
        <f>IF(OR($I506="",$J506=""),"",ROUND(($J506-$I506)*24-$K506/60,2))</f>
        <v/>
      </c>
      <c r="M506" s="29">
        <f>IF($C506="","",IF(AND(COUNTIF(設定!$B$14:$B$20,$F506)&gt;0,$I506&lt;&gt;""),"假日出勤",IF(AND(COUNTIF(設定!$B$5:$B$13,$F506)&gt;0,$I506=""),"未打卡",IF($I506="","",IF($N506&gt;0,"遲到",IF($O506&gt;0,"早退","正常"))))))</f>
        <v/>
      </c>
      <c r="N506" s="32">
        <f>IF(OR($C506="",$G506="",$I506=""),0,IF(ROUND(($I506-$G506)*1440,0)&gt;設定!$C$28,ROUND(($I506-$G506)*1440,0),0))</f>
        <v/>
      </c>
      <c r="O506" s="32">
        <f>IF(OR($C506="",$H506="",$J506=""),0,IF(ROUND(($H506-$J506)*1440,0)&gt;設定!$C$28,ROUND(($H506-$J506)*1440,0),0))</f>
        <v/>
      </c>
      <c r="P506" s="33">
        <f>IF($L506="",0,IF(($L506-IFERROR(INDEX(設定!$G$5:$G$20,MATCH($F506,設定!$B$5:$B$20,0)),0))*60&gt;=設定!$C$26,ROUND(FLOOR(($L506-IFERROR(INDEX(設定!$G$5:$G$20,MATCH($F506,設定!$B$5:$B$20,0)),0))*60,設定!$C$27)/60,2),0))</f>
        <v/>
      </c>
      <c r="Q506" s="29">
        <f>IF(OR($C506="",$P506=0),"",IF($F506="國","國定假日",IF($B506="日","例假",IF($B506="六","休息日","平日"))))</f>
        <v/>
      </c>
      <c r="R506" s="34" t="n"/>
    </row>
    <row r="507">
      <c r="A507" s="30">
        <f>IF(OR(班表!$A22="",9&gt;DAY(EOMONTH(DATE(班表!$E$2,班表!$G$2,1),0))),"",DATE(班表!$E$2,班表!$G$2,9))</f>
        <v/>
      </c>
      <c r="B507" s="29">
        <f>IF($A507="","",INDEX(設定!$L$5:$L$11,WEEKDAY($A507,1)))</f>
        <v/>
      </c>
      <c r="C507" s="29">
        <f>IF($A507="","",班表!$A22)</f>
        <v/>
      </c>
      <c r="D507" s="29">
        <f>IF($C507="","",班表!$B22)</f>
        <v/>
      </c>
      <c r="E507" s="29">
        <f>IF($C507="","",班表!$C22)</f>
        <v/>
      </c>
      <c r="F507" s="29">
        <f>IF($C507="","",班表!L22)</f>
        <v/>
      </c>
      <c r="G507" s="31">
        <f>IF($F507="","",IFERROR(INDEX(設定!$D$5:$D$20,MATCH($F507,設定!$B$5:$B$20,0)),""))</f>
        <v/>
      </c>
      <c r="H507" s="31">
        <f>IF($F507="","",IFERROR(INDEX(設定!$E$5:$E$20,MATCH($F507,設定!$B$5:$B$20,0)),""))</f>
        <v/>
      </c>
      <c r="I507" s="31">
        <f>IFERROR(INDEX(打卡匯入!$C$3:$C$1002,MATCH($C507&amp;"|"&amp;DAY($A507),打卡匯入!$E$3:$E$1002,0)),"")</f>
        <v/>
      </c>
      <c r="J507" s="31">
        <f>IFERROR(INDEX(打卡匯入!$D$3:$D$1002,MATCH($C507&amp;"|"&amp;DAY($A507),打卡匯入!$E$3:$E$1002,0)),"")</f>
        <v/>
      </c>
      <c r="K507" s="32">
        <f>IF(OR($I507="",$J507=""),"",IFERROR(INDEX(設定!$F$5:$F$20,MATCH($F507,設定!$B$5:$B$20,0)),0))</f>
        <v/>
      </c>
      <c r="L507" s="33">
        <f>IF(OR($I507="",$J507=""),"",ROUND(($J507-$I507)*24-$K507/60,2))</f>
        <v/>
      </c>
      <c r="M507" s="29">
        <f>IF($C507="","",IF(AND(COUNTIF(設定!$B$14:$B$20,$F507)&gt;0,$I507&lt;&gt;""),"假日出勤",IF(AND(COUNTIF(設定!$B$5:$B$13,$F507)&gt;0,$I507=""),"未打卡",IF($I507="","",IF($N507&gt;0,"遲到",IF($O507&gt;0,"早退","正常"))))))</f>
        <v/>
      </c>
      <c r="N507" s="32">
        <f>IF(OR($C507="",$G507="",$I507=""),0,IF(ROUND(($I507-$G507)*1440,0)&gt;設定!$C$28,ROUND(($I507-$G507)*1440,0),0))</f>
        <v/>
      </c>
      <c r="O507" s="32">
        <f>IF(OR($C507="",$H507="",$J507=""),0,IF(ROUND(($H507-$J507)*1440,0)&gt;設定!$C$28,ROUND(($H507-$J507)*1440,0),0))</f>
        <v/>
      </c>
      <c r="P507" s="33">
        <f>IF($L507="",0,IF(($L507-IFERROR(INDEX(設定!$G$5:$G$20,MATCH($F507,設定!$B$5:$B$20,0)),0))*60&gt;=設定!$C$26,ROUND(FLOOR(($L507-IFERROR(INDEX(設定!$G$5:$G$20,MATCH($F507,設定!$B$5:$B$20,0)),0))*60,設定!$C$27)/60,2),0))</f>
        <v/>
      </c>
      <c r="Q507" s="29">
        <f>IF(OR($C507="",$P507=0),"",IF($F507="國","國定假日",IF($B507="日","例假",IF($B507="六","休息日","平日"))))</f>
        <v/>
      </c>
      <c r="R507" s="34" t="n"/>
    </row>
    <row r="508">
      <c r="A508" s="30">
        <f>IF(OR(班表!$A22="",10&gt;DAY(EOMONTH(DATE(班表!$E$2,班表!$G$2,1),0))),"",DATE(班表!$E$2,班表!$G$2,10))</f>
        <v/>
      </c>
      <c r="B508" s="29">
        <f>IF($A508="","",INDEX(設定!$L$5:$L$11,WEEKDAY($A508,1)))</f>
        <v/>
      </c>
      <c r="C508" s="29">
        <f>IF($A508="","",班表!$A22)</f>
        <v/>
      </c>
      <c r="D508" s="29">
        <f>IF($C508="","",班表!$B22)</f>
        <v/>
      </c>
      <c r="E508" s="29">
        <f>IF($C508="","",班表!$C22)</f>
        <v/>
      </c>
      <c r="F508" s="29">
        <f>IF($C508="","",班表!M22)</f>
        <v/>
      </c>
      <c r="G508" s="31">
        <f>IF($F508="","",IFERROR(INDEX(設定!$D$5:$D$20,MATCH($F508,設定!$B$5:$B$20,0)),""))</f>
        <v/>
      </c>
      <c r="H508" s="31">
        <f>IF($F508="","",IFERROR(INDEX(設定!$E$5:$E$20,MATCH($F508,設定!$B$5:$B$20,0)),""))</f>
        <v/>
      </c>
      <c r="I508" s="31">
        <f>IFERROR(INDEX(打卡匯入!$C$3:$C$1002,MATCH($C508&amp;"|"&amp;DAY($A508),打卡匯入!$E$3:$E$1002,0)),"")</f>
        <v/>
      </c>
      <c r="J508" s="31">
        <f>IFERROR(INDEX(打卡匯入!$D$3:$D$1002,MATCH($C508&amp;"|"&amp;DAY($A508),打卡匯入!$E$3:$E$1002,0)),"")</f>
        <v/>
      </c>
      <c r="K508" s="32">
        <f>IF(OR($I508="",$J508=""),"",IFERROR(INDEX(設定!$F$5:$F$20,MATCH($F508,設定!$B$5:$B$20,0)),0))</f>
        <v/>
      </c>
      <c r="L508" s="33">
        <f>IF(OR($I508="",$J508=""),"",ROUND(($J508-$I508)*24-$K508/60,2))</f>
        <v/>
      </c>
      <c r="M508" s="29">
        <f>IF($C508="","",IF(AND(COUNTIF(設定!$B$14:$B$20,$F508)&gt;0,$I508&lt;&gt;""),"假日出勤",IF(AND(COUNTIF(設定!$B$5:$B$13,$F508)&gt;0,$I508=""),"未打卡",IF($I508="","",IF($N508&gt;0,"遲到",IF($O508&gt;0,"早退","正常"))))))</f>
        <v/>
      </c>
      <c r="N508" s="32">
        <f>IF(OR($C508="",$G508="",$I508=""),0,IF(ROUND(($I508-$G508)*1440,0)&gt;設定!$C$28,ROUND(($I508-$G508)*1440,0),0))</f>
        <v/>
      </c>
      <c r="O508" s="32">
        <f>IF(OR($C508="",$H508="",$J508=""),0,IF(ROUND(($H508-$J508)*1440,0)&gt;設定!$C$28,ROUND(($H508-$J508)*1440,0),0))</f>
        <v/>
      </c>
      <c r="P508" s="33">
        <f>IF($L508="",0,IF(($L508-IFERROR(INDEX(設定!$G$5:$G$20,MATCH($F508,設定!$B$5:$B$20,0)),0))*60&gt;=設定!$C$26,ROUND(FLOOR(($L508-IFERROR(INDEX(設定!$G$5:$G$20,MATCH($F508,設定!$B$5:$B$20,0)),0))*60,設定!$C$27)/60,2),0))</f>
        <v/>
      </c>
      <c r="Q508" s="29">
        <f>IF(OR($C508="",$P508=0),"",IF($F508="國","國定假日",IF($B508="日","例假",IF($B508="六","休息日","平日"))))</f>
        <v/>
      </c>
      <c r="R508" s="34" t="n"/>
    </row>
    <row r="509">
      <c r="A509" s="30">
        <f>IF(OR(班表!$A22="",11&gt;DAY(EOMONTH(DATE(班表!$E$2,班表!$G$2,1),0))),"",DATE(班表!$E$2,班表!$G$2,11))</f>
        <v/>
      </c>
      <c r="B509" s="29">
        <f>IF($A509="","",INDEX(設定!$L$5:$L$11,WEEKDAY($A509,1)))</f>
        <v/>
      </c>
      <c r="C509" s="29">
        <f>IF($A509="","",班表!$A22)</f>
        <v/>
      </c>
      <c r="D509" s="29">
        <f>IF($C509="","",班表!$B22)</f>
        <v/>
      </c>
      <c r="E509" s="29">
        <f>IF($C509="","",班表!$C22)</f>
        <v/>
      </c>
      <c r="F509" s="29">
        <f>IF($C509="","",班表!N22)</f>
        <v/>
      </c>
      <c r="G509" s="31">
        <f>IF($F509="","",IFERROR(INDEX(設定!$D$5:$D$20,MATCH($F509,設定!$B$5:$B$20,0)),""))</f>
        <v/>
      </c>
      <c r="H509" s="31">
        <f>IF($F509="","",IFERROR(INDEX(設定!$E$5:$E$20,MATCH($F509,設定!$B$5:$B$20,0)),""))</f>
        <v/>
      </c>
      <c r="I509" s="31">
        <f>IFERROR(INDEX(打卡匯入!$C$3:$C$1002,MATCH($C509&amp;"|"&amp;DAY($A509),打卡匯入!$E$3:$E$1002,0)),"")</f>
        <v/>
      </c>
      <c r="J509" s="31">
        <f>IFERROR(INDEX(打卡匯入!$D$3:$D$1002,MATCH($C509&amp;"|"&amp;DAY($A509),打卡匯入!$E$3:$E$1002,0)),"")</f>
        <v/>
      </c>
      <c r="K509" s="32">
        <f>IF(OR($I509="",$J509=""),"",IFERROR(INDEX(設定!$F$5:$F$20,MATCH($F509,設定!$B$5:$B$20,0)),0))</f>
        <v/>
      </c>
      <c r="L509" s="33">
        <f>IF(OR($I509="",$J509=""),"",ROUND(($J509-$I509)*24-$K509/60,2))</f>
        <v/>
      </c>
      <c r="M509" s="29">
        <f>IF($C509="","",IF(AND(COUNTIF(設定!$B$14:$B$20,$F509)&gt;0,$I509&lt;&gt;""),"假日出勤",IF(AND(COUNTIF(設定!$B$5:$B$13,$F509)&gt;0,$I509=""),"未打卡",IF($I509="","",IF($N509&gt;0,"遲到",IF($O509&gt;0,"早退","正常"))))))</f>
        <v/>
      </c>
      <c r="N509" s="32">
        <f>IF(OR($C509="",$G509="",$I509=""),0,IF(ROUND(($I509-$G509)*1440,0)&gt;設定!$C$28,ROUND(($I509-$G509)*1440,0),0))</f>
        <v/>
      </c>
      <c r="O509" s="32">
        <f>IF(OR($C509="",$H509="",$J509=""),0,IF(ROUND(($H509-$J509)*1440,0)&gt;設定!$C$28,ROUND(($H509-$J509)*1440,0),0))</f>
        <v/>
      </c>
      <c r="P509" s="33">
        <f>IF($L509="",0,IF(($L509-IFERROR(INDEX(設定!$G$5:$G$20,MATCH($F509,設定!$B$5:$B$20,0)),0))*60&gt;=設定!$C$26,ROUND(FLOOR(($L509-IFERROR(INDEX(設定!$G$5:$G$20,MATCH($F509,設定!$B$5:$B$20,0)),0))*60,設定!$C$27)/60,2),0))</f>
        <v/>
      </c>
      <c r="Q509" s="29">
        <f>IF(OR($C509="",$P509=0),"",IF($F509="國","國定假日",IF($B509="日","例假",IF($B509="六","休息日","平日"))))</f>
        <v/>
      </c>
      <c r="R509" s="34" t="n"/>
    </row>
    <row r="510">
      <c r="A510" s="30">
        <f>IF(OR(班表!$A22="",12&gt;DAY(EOMONTH(DATE(班表!$E$2,班表!$G$2,1),0))),"",DATE(班表!$E$2,班表!$G$2,12))</f>
        <v/>
      </c>
      <c r="B510" s="29">
        <f>IF($A510="","",INDEX(設定!$L$5:$L$11,WEEKDAY($A510,1)))</f>
        <v/>
      </c>
      <c r="C510" s="29">
        <f>IF($A510="","",班表!$A22)</f>
        <v/>
      </c>
      <c r="D510" s="29">
        <f>IF($C510="","",班表!$B22)</f>
        <v/>
      </c>
      <c r="E510" s="29">
        <f>IF($C510="","",班表!$C22)</f>
        <v/>
      </c>
      <c r="F510" s="29">
        <f>IF($C510="","",班表!O22)</f>
        <v/>
      </c>
      <c r="G510" s="31">
        <f>IF($F510="","",IFERROR(INDEX(設定!$D$5:$D$20,MATCH($F510,設定!$B$5:$B$20,0)),""))</f>
        <v/>
      </c>
      <c r="H510" s="31">
        <f>IF($F510="","",IFERROR(INDEX(設定!$E$5:$E$20,MATCH($F510,設定!$B$5:$B$20,0)),""))</f>
        <v/>
      </c>
      <c r="I510" s="31">
        <f>IFERROR(INDEX(打卡匯入!$C$3:$C$1002,MATCH($C510&amp;"|"&amp;DAY($A510),打卡匯入!$E$3:$E$1002,0)),"")</f>
        <v/>
      </c>
      <c r="J510" s="31">
        <f>IFERROR(INDEX(打卡匯入!$D$3:$D$1002,MATCH($C510&amp;"|"&amp;DAY($A510),打卡匯入!$E$3:$E$1002,0)),"")</f>
        <v/>
      </c>
      <c r="K510" s="32">
        <f>IF(OR($I510="",$J510=""),"",IFERROR(INDEX(設定!$F$5:$F$20,MATCH($F510,設定!$B$5:$B$20,0)),0))</f>
        <v/>
      </c>
      <c r="L510" s="33">
        <f>IF(OR($I510="",$J510=""),"",ROUND(($J510-$I510)*24-$K510/60,2))</f>
        <v/>
      </c>
      <c r="M510" s="29">
        <f>IF($C510="","",IF(AND(COUNTIF(設定!$B$14:$B$20,$F510)&gt;0,$I510&lt;&gt;""),"假日出勤",IF(AND(COUNTIF(設定!$B$5:$B$13,$F510)&gt;0,$I510=""),"未打卡",IF($I510="","",IF($N510&gt;0,"遲到",IF($O510&gt;0,"早退","正常"))))))</f>
        <v/>
      </c>
      <c r="N510" s="32">
        <f>IF(OR($C510="",$G510="",$I510=""),0,IF(ROUND(($I510-$G510)*1440,0)&gt;設定!$C$28,ROUND(($I510-$G510)*1440,0),0))</f>
        <v/>
      </c>
      <c r="O510" s="32">
        <f>IF(OR($C510="",$H510="",$J510=""),0,IF(ROUND(($H510-$J510)*1440,0)&gt;設定!$C$28,ROUND(($H510-$J510)*1440,0),0))</f>
        <v/>
      </c>
      <c r="P510" s="33">
        <f>IF($L510="",0,IF(($L510-IFERROR(INDEX(設定!$G$5:$G$20,MATCH($F510,設定!$B$5:$B$20,0)),0))*60&gt;=設定!$C$26,ROUND(FLOOR(($L510-IFERROR(INDEX(設定!$G$5:$G$20,MATCH($F510,設定!$B$5:$B$20,0)),0))*60,設定!$C$27)/60,2),0))</f>
        <v/>
      </c>
      <c r="Q510" s="29">
        <f>IF(OR($C510="",$P510=0),"",IF($F510="國","國定假日",IF($B510="日","例假",IF($B510="六","休息日","平日"))))</f>
        <v/>
      </c>
      <c r="R510" s="34" t="n"/>
    </row>
    <row r="511">
      <c r="A511" s="30">
        <f>IF(OR(班表!$A22="",13&gt;DAY(EOMONTH(DATE(班表!$E$2,班表!$G$2,1),0))),"",DATE(班表!$E$2,班表!$G$2,13))</f>
        <v/>
      </c>
      <c r="B511" s="29">
        <f>IF($A511="","",INDEX(設定!$L$5:$L$11,WEEKDAY($A511,1)))</f>
        <v/>
      </c>
      <c r="C511" s="29">
        <f>IF($A511="","",班表!$A22)</f>
        <v/>
      </c>
      <c r="D511" s="29">
        <f>IF($C511="","",班表!$B22)</f>
        <v/>
      </c>
      <c r="E511" s="29">
        <f>IF($C511="","",班表!$C22)</f>
        <v/>
      </c>
      <c r="F511" s="29">
        <f>IF($C511="","",班表!P22)</f>
        <v/>
      </c>
      <c r="G511" s="31">
        <f>IF($F511="","",IFERROR(INDEX(設定!$D$5:$D$20,MATCH($F511,設定!$B$5:$B$20,0)),""))</f>
        <v/>
      </c>
      <c r="H511" s="31">
        <f>IF($F511="","",IFERROR(INDEX(設定!$E$5:$E$20,MATCH($F511,設定!$B$5:$B$20,0)),""))</f>
        <v/>
      </c>
      <c r="I511" s="31">
        <f>IFERROR(INDEX(打卡匯入!$C$3:$C$1002,MATCH($C511&amp;"|"&amp;DAY($A511),打卡匯入!$E$3:$E$1002,0)),"")</f>
        <v/>
      </c>
      <c r="J511" s="31">
        <f>IFERROR(INDEX(打卡匯入!$D$3:$D$1002,MATCH($C511&amp;"|"&amp;DAY($A511),打卡匯入!$E$3:$E$1002,0)),"")</f>
        <v/>
      </c>
      <c r="K511" s="32">
        <f>IF(OR($I511="",$J511=""),"",IFERROR(INDEX(設定!$F$5:$F$20,MATCH($F511,設定!$B$5:$B$20,0)),0))</f>
        <v/>
      </c>
      <c r="L511" s="33">
        <f>IF(OR($I511="",$J511=""),"",ROUND(($J511-$I511)*24-$K511/60,2))</f>
        <v/>
      </c>
      <c r="M511" s="29">
        <f>IF($C511="","",IF(AND(COUNTIF(設定!$B$14:$B$20,$F511)&gt;0,$I511&lt;&gt;""),"假日出勤",IF(AND(COUNTIF(設定!$B$5:$B$13,$F511)&gt;0,$I511=""),"未打卡",IF($I511="","",IF($N511&gt;0,"遲到",IF($O511&gt;0,"早退","正常"))))))</f>
        <v/>
      </c>
      <c r="N511" s="32">
        <f>IF(OR($C511="",$G511="",$I511=""),0,IF(ROUND(($I511-$G511)*1440,0)&gt;設定!$C$28,ROUND(($I511-$G511)*1440,0),0))</f>
        <v/>
      </c>
      <c r="O511" s="32">
        <f>IF(OR($C511="",$H511="",$J511=""),0,IF(ROUND(($H511-$J511)*1440,0)&gt;設定!$C$28,ROUND(($H511-$J511)*1440,0),0))</f>
        <v/>
      </c>
      <c r="P511" s="33">
        <f>IF($L511="",0,IF(($L511-IFERROR(INDEX(設定!$G$5:$G$20,MATCH($F511,設定!$B$5:$B$20,0)),0))*60&gt;=設定!$C$26,ROUND(FLOOR(($L511-IFERROR(INDEX(設定!$G$5:$G$20,MATCH($F511,設定!$B$5:$B$20,0)),0))*60,設定!$C$27)/60,2),0))</f>
        <v/>
      </c>
      <c r="Q511" s="29">
        <f>IF(OR($C511="",$P511=0),"",IF($F511="國","國定假日",IF($B511="日","例假",IF($B511="六","休息日","平日"))))</f>
        <v/>
      </c>
      <c r="R511" s="34" t="n"/>
    </row>
    <row r="512">
      <c r="A512" s="30">
        <f>IF(OR(班表!$A22="",14&gt;DAY(EOMONTH(DATE(班表!$E$2,班表!$G$2,1),0))),"",DATE(班表!$E$2,班表!$G$2,14))</f>
        <v/>
      </c>
      <c r="B512" s="29">
        <f>IF($A512="","",INDEX(設定!$L$5:$L$11,WEEKDAY($A512,1)))</f>
        <v/>
      </c>
      <c r="C512" s="29">
        <f>IF($A512="","",班表!$A22)</f>
        <v/>
      </c>
      <c r="D512" s="29">
        <f>IF($C512="","",班表!$B22)</f>
        <v/>
      </c>
      <c r="E512" s="29">
        <f>IF($C512="","",班表!$C22)</f>
        <v/>
      </c>
      <c r="F512" s="29">
        <f>IF($C512="","",班表!Q22)</f>
        <v/>
      </c>
      <c r="G512" s="31">
        <f>IF($F512="","",IFERROR(INDEX(設定!$D$5:$D$20,MATCH($F512,設定!$B$5:$B$20,0)),""))</f>
        <v/>
      </c>
      <c r="H512" s="31">
        <f>IF($F512="","",IFERROR(INDEX(設定!$E$5:$E$20,MATCH($F512,設定!$B$5:$B$20,0)),""))</f>
        <v/>
      </c>
      <c r="I512" s="31">
        <f>IFERROR(INDEX(打卡匯入!$C$3:$C$1002,MATCH($C512&amp;"|"&amp;DAY($A512),打卡匯入!$E$3:$E$1002,0)),"")</f>
        <v/>
      </c>
      <c r="J512" s="31">
        <f>IFERROR(INDEX(打卡匯入!$D$3:$D$1002,MATCH($C512&amp;"|"&amp;DAY($A512),打卡匯入!$E$3:$E$1002,0)),"")</f>
        <v/>
      </c>
      <c r="K512" s="32">
        <f>IF(OR($I512="",$J512=""),"",IFERROR(INDEX(設定!$F$5:$F$20,MATCH($F512,設定!$B$5:$B$20,0)),0))</f>
        <v/>
      </c>
      <c r="L512" s="33">
        <f>IF(OR($I512="",$J512=""),"",ROUND(($J512-$I512)*24-$K512/60,2))</f>
        <v/>
      </c>
      <c r="M512" s="29">
        <f>IF($C512="","",IF(AND(COUNTIF(設定!$B$14:$B$20,$F512)&gt;0,$I512&lt;&gt;""),"假日出勤",IF(AND(COUNTIF(設定!$B$5:$B$13,$F512)&gt;0,$I512=""),"未打卡",IF($I512="","",IF($N512&gt;0,"遲到",IF($O512&gt;0,"早退","正常"))))))</f>
        <v/>
      </c>
      <c r="N512" s="32">
        <f>IF(OR($C512="",$G512="",$I512=""),0,IF(ROUND(($I512-$G512)*1440,0)&gt;設定!$C$28,ROUND(($I512-$G512)*1440,0),0))</f>
        <v/>
      </c>
      <c r="O512" s="32">
        <f>IF(OR($C512="",$H512="",$J512=""),0,IF(ROUND(($H512-$J512)*1440,0)&gt;設定!$C$28,ROUND(($H512-$J512)*1440,0),0))</f>
        <v/>
      </c>
      <c r="P512" s="33">
        <f>IF($L512="",0,IF(($L512-IFERROR(INDEX(設定!$G$5:$G$20,MATCH($F512,設定!$B$5:$B$20,0)),0))*60&gt;=設定!$C$26,ROUND(FLOOR(($L512-IFERROR(INDEX(設定!$G$5:$G$20,MATCH($F512,設定!$B$5:$B$20,0)),0))*60,設定!$C$27)/60,2),0))</f>
        <v/>
      </c>
      <c r="Q512" s="29">
        <f>IF(OR($C512="",$P512=0),"",IF($F512="國","國定假日",IF($B512="日","例假",IF($B512="六","休息日","平日"))))</f>
        <v/>
      </c>
      <c r="R512" s="34" t="n"/>
    </row>
    <row r="513">
      <c r="A513" s="30">
        <f>IF(OR(班表!$A22="",15&gt;DAY(EOMONTH(DATE(班表!$E$2,班表!$G$2,1),0))),"",DATE(班表!$E$2,班表!$G$2,15))</f>
        <v/>
      </c>
      <c r="B513" s="29">
        <f>IF($A513="","",INDEX(設定!$L$5:$L$11,WEEKDAY($A513,1)))</f>
        <v/>
      </c>
      <c r="C513" s="29">
        <f>IF($A513="","",班表!$A22)</f>
        <v/>
      </c>
      <c r="D513" s="29">
        <f>IF($C513="","",班表!$B22)</f>
        <v/>
      </c>
      <c r="E513" s="29">
        <f>IF($C513="","",班表!$C22)</f>
        <v/>
      </c>
      <c r="F513" s="29">
        <f>IF($C513="","",班表!R22)</f>
        <v/>
      </c>
      <c r="G513" s="31">
        <f>IF($F513="","",IFERROR(INDEX(設定!$D$5:$D$20,MATCH($F513,設定!$B$5:$B$20,0)),""))</f>
        <v/>
      </c>
      <c r="H513" s="31">
        <f>IF($F513="","",IFERROR(INDEX(設定!$E$5:$E$20,MATCH($F513,設定!$B$5:$B$20,0)),""))</f>
        <v/>
      </c>
      <c r="I513" s="31">
        <f>IFERROR(INDEX(打卡匯入!$C$3:$C$1002,MATCH($C513&amp;"|"&amp;DAY($A513),打卡匯入!$E$3:$E$1002,0)),"")</f>
        <v/>
      </c>
      <c r="J513" s="31">
        <f>IFERROR(INDEX(打卡匯入!$D$3:$D$1002,MATCH($C513&amp;"|"&amp;DAY($A513),打卡匯入!$E$3:$E$1002,0)),"")</f>
        <v/>
      </c>
      <c r="K513" s="32">
        <f>IF(OR($I513="",$J513=""),"",IFERROR(INDEX(設定!$F$5:$F$20,MATCH($F513,設定!$B$5:$B$20,0)),0))</f>
        <v/>
      </c>
      <c r="L513" s="33">
        <f>IF(OR($I513="",$J513=""),"",ROUND(($J513-$I513)*24-$K513/60,2))</f>
        <v/>
      </c>
      <c r="M513" s="29">
        <f>IF($C513="","",IF(AND(COUNTIF(設定!$B$14:$B$20,$F513)&gt;0,$I513&lt;&gt;""),"假日出勤",IF(AND(COUNTIF(設定!$B$5:$B$13,$F513)&gt;0,$I513=""),"未打卡",IF($I513="","",IF($N513&gt;0,"遲到",IF($O513&gt;0,"早退","正常"))))))</f>
        <v/>
      </c>
      <c r="N513" s="32">
        <f>IF(OR($C513="",$G513="",$I513=""),0,IF(ROUND(($I513-$G513)*1440,0)&gt;設定!$C$28,ROUND(($I513-$G513)*1440,0),0))</f>
        <v/>
      </c>
      <c r="O513" s="32">
        <f>IF(OR($C513="",$H513="",$J513=""),0,IF(ROUND(($H513-$J513)*1440,0)&gt;設定!$C$28,ROUND(($H513-$J513)*1440,0),0))</f>
        <v/>
      </c>
      <c r="P513" s="33">
        <f>IF($L513="",0,IF(($L513-IFERROR(INDEX(設定!$G$5:$G$20,MATCH($F513,設定!$B$5:$B$20,0)),0))*60&gt;=設定!$C$26,ROUND(FLOOR(($L513-IFERROR(INDEX(設定!$G$5:$G$20,MATCH($F513,設定!$B$5:$B$20,0)),0))*60,設定!$C$27)/60,2),0))</f>
        <v/>
      </c>
      <c r="Q513" s="29">
        <f>IF(OR($C513="",$P513=0),"",IF($F513="國","國定假日",IF($B513="日","例假",IF($B513="六","休息日","平日"))))</f>
        <v/>
      </c>
      <c r="R513" s="34" t="n"/>
    </row>
    <row r="514">
      <c r="A514" s="30">
        <f>IF(OR(班表!$A22="",16&gt;DAY(EOMONTH(DATE(班表!$E$2,班表!$G$2,1),0))),"",DATE(班表!$E$2,班表!$G$2,16))</f>
        <v/>
      </c>
      <c r="B514" s="29">
        <f>IF($A514="","",INDEX(設定!$L$5:$L$11,WEEKDAY($A514,1)))</f>
        <v/>
      </c>
      <c r="C514" s="29">
        <f>IF($A514="","",班表!$A22)</f>
        <v/>
      </c>
      <c r="D514" s="29">
        <f>IF($C514="","",班表!$B22)</f>
        <v/>
      </c>
      <c r="E514" s="29">
        <f>IF($C514="","",班表!$C22)</f>
        <v/>
      </c>
      <c r="F514" s="29">
        <f>IF($C514="","",班表!S22)</f>
        <v/>
      </c>
      <c r="G514" s="31">
        <f>IF($F514="","",IFERROR(INDEX(設定!$D$5:$D$20,MATCH($F514,設定!$B$5:$B$20,0)),""))</f>
        <v/>
      </c>
      <c r="H514" s="31">
        <f>IF($F514="","",IFERROR(INDEX(設定!$E$5:$E$20,MATCH($F514,設定!$B$5:$B$20,0)),""))</f>
        <v/>
      </c>
      <c r="I514" s="31">
        <f>IFERROR(INDEX(打卡匯入!$C$3:$C$1002,MATCH($C514&amp;"|"&amp;DAY($A514),打卡匯入!$E$3:$E$1002,0)),"")</f>
        <v/>
      </c>
      <c r="J514" s="31">
        <f>IFERROR(INDEX(打卡匯入!$D$3:$D$1002,MATCH($C514&amp;"|"&amp;DAY($A514),打卡匯入!$E$3:$E$1002,0)),"")</f>
        <v/>
      </c>
      <c r="K514" s="32">
        <f>IF(OR($I514="",$J514=""),"",IFERROR(INDEX(設定!$F$5:$F$20,MATCH($F514,設定!$B$5:$B$20,0)),0))</f>
        <v/>
      </c>
      <c r="L514" s="33">
        <f>IF(OR($I514="",$J514=""),"",ROUND(($J514-$I514)*24-$K514/60,2))</f>
        <v/>
      </c>
      <c r="M514" s="29">
        <f>IF($C514="","",IF(AND(COUNTIF(設定!$B$14:$B$20,$F514)&gt;0,$I514&lt;&gt;""),"假日出勤",IF(AND(COUNTIF(設定!$B$5:$B$13,$F514)&gt;0,$I514=""),"未打卡",IF($I514="","",IF($N514&gt;0,"遲到",IF($O514&gt;0,"早退","正常"))))))</f>
        <v/>
      </c>
      <c r="N514" s="32">
        <f>IF(OR($C514="",$G514="",$I514=""),0,IF(ROUND(($I514-$G514)*1440,0)&gt;設定!$C$28,ROUND(($I514-$G514)*1440,0),0))</f>
        <v/>
      </c>
      <c r="O514" s="32">
        <f>IF(OR($C514="",$H514="",$J514=""),0,IF(ROUND(($H514-$J514)*1440,0)&gt;設定!$C$28,ROUND(($H514-$J514)*1440,0),0))</f>
        <v/>
      </c>
      <c r="P514" s="33">
        <f>IF($L514="",0,IF(($L514-IFERROR(INDEX(設定!$G$5:$G$20,MATCH($F514,設定!$B$5:$B$20,0)),0))*60&gt;=設定!$C$26,ROUND(FLOOR(($L514-IFERROR(INDEX(設定!$G$5:$G$20,MATCH($F514,設定!$B$5:$B$20,0)),0))*60,設定!$C$27)/60,2),0))</f>
        <v/>
      </c>
      <c r="Q514" s="29">
        <f>IF(OR($C514="",$P514=0),"",IF($F514="國","國定假日",IF($B514="日","例假",IF($B514="六","休息日","平日"))))</f>
        <v/>
      </c>
      <c r="R514" s="34" t="n"/>
    </row>
    <row r="515">
      <c r="A515" s="30">
        <f>IF(OR(班表!$A22="",17&gt;DAY(EOMONTH(DATE(班表!$E$2,班表!$G$2,1),0))),"",DATE(班表!$E$2,班表!$G$2,17))</f>
        <v/>
      </c>
      <c r="B515" s="29">
        <f>IF($A515="","",INDEX(設定!$L$5:$L$11,WEEKDAY($A515,1)))</f>
        <v/>
      </c>
      <c r="C515" s="29">
        <f>IF($A515="","",班表!$A22)</f>
        <v/>
      </c>
      <c r="D515" s="29">
        <f>IF($C515="","",班表!$B22)</f>
        <v/>
      </c>
      <c r="E515" s="29">
        <f>IF($C515="","",班表!$C22)</f>
        <v/>
      </c>
      <c r="F515" s="29">
        <f>IF($C515="","",班表!T22)</f>
        <v/>
      </c>
      <c r="G515" s="31">
        <f>IF($F515="","",IFERROR(INDEX(設定!$D$5:$D$20,MATCH($F515,設定!$B$5:$B$20,0)),""))</f>
        <v/>
      </c>
      <c r="H515" s="31">
        <f>IF($F515="","",IFERROR(INDEX(設定!$E$5:$E$20,MATCH($F515,設定!$B$5:$B$20,0)),""))</f>
        <v/>
      </c>
      <c r="I515" s="31">
        <f>IFERROR(INDEX(打卡匯入!$C$3:$C$1002,MATCH($C515&amp;"|"&amp;DAY($A515),打卡匯入!$E$3:$E$1002,0)),"")</f>
        <v/>
      </c>
      <c r="J515" s="31">
        <f>IFERROR(INDEX(打卡匯入!$D$3:$D$1002,MATCH($C515&amp;"|"&amp;DAY($A515),打卡匯入!$E$3:$E$1002,0)),"")</f>
        <v/>
      </c>
      <c r="K515" s="32">
        <f>IF(OR($I515="",$J515=""),"",IFERROR(INDEX(設定!$F$5:$F$20,MATCH($F515,設定!$B$5:$B$20,0)),0))</f>
        <v/>
      </c>
      <c r="L515" s="33">
        <f>IF(OR($I515="",$J515=""),"",ROUND(($J515-$I515)*24-$K515/60,2))</f>
        <v/>
      </c>
      <c r="M515" s="29">
        <f>IF($C515="","",IF(AND(COUNTIF(設定!$B$14:$B$20,$F515)&gt;0,$I515&lt;&gt;""),"假日出勤",IF(AND(COUNTIF(設定!$B$5:$B$13,$F515)&gt;0,$I515=""),"未打卡",IF($I515="","",IF($N515&gt;0,"遲到",IF($O515&gt;0,"早退","正常"))))))</f>
        <v/>
      </c>
      <c r="N515" s="32">
        <f>IF(OR($C515="",$G515="",$I515=""),0,IF(ROUND(($I515-$G515)*1440,0)&gt;設定!$C$28,ROUND(($I515-$G515)*1440,0),0))</f>
        <v/>
      </c>
      <c r="O515" s="32">
        <f>IF(OR($C515="",$H515="",$J515=""),0,IF(ROUND(($H515-$J515)*1440,0)&gt;設定!$C$28,ROUND(($H515-$J515)*1440,0),0))</f>
        <v/>
      </c>
      <c r="P515" s="33">
        <f>IF($L515="",0,IF(($L515-IFERROR(INDEX(設定!$G$5:$G$20,MATCH($F515,設定!$B$5:$B$20,0)),0))*60&gt;=設定!$C$26,ROUND(FLOOR(($L515-IFERROR(INDEX(設定!$G$5:$G$20,MATCH($F515,設定!$B$5:$B$20,0)),0))*60,設定!$C$27)/60,2),0))</f>
        <v/>
      </c>
      <c r="Q515" s="29">
        <f>IF(OR($C515="",$P515=0),"",IF($F515="國","國定假日",IF($B515="日","例假",IF($B515="六","休息日","平日"))))</f>
        <v/>
      </c>
      <c r="R515" s="34" t="n"/>
    </row>
    <row r="516">
      <c r="A516" s="30">
        <f>IF(OR(班表!$A22="",18&gt;DAY(EOMONTH(DATE(班表!$E$2,班表!$G$2,1),0))),"",DATE(班表!$E$2,班表!$G$2,18))</f>
        <v/>
      </c>
      <c r="B516" s="29">
        <f>IF($A516="","",INDEX(設定!$L$5:$L$11,WEEKDAY($A516,1)))</f>
        <v/>
      </c>
      <c r="C516" s="29">
        <f>IF($A516="","",班表!$A22)</f>
        <v/>
      </c>
      <c r="D516" s="29">
        <f>IF($C516="","",班表!$B22)</f>
        <v/>
      </c>
      <c r="E516" s="29">
        <f>IF($C516="","",班表!$C22)</f>
        <v/>
      </c>
      <c r="F516" s="29">
        <f>IF($C516="","",班表!U22)</f>
        <v/>
      </c>
      <c r="G516" s="31">
        <f>IF($F516="","",IFERROR(INDEX(設定!$D$5:$D$20,MATCH($F516,設定!$B$5:$B$20,0)),""))</f>
        <v/>
      </c>
      <c r="H516" s="31">
        <f>IF($F516="","",IFERROR(INDEX(設定!$E$5:$E$20,MATCH($F516,設定!$B$5:$B$20,0)),""))</f>
        <v/>
      </c>
      <c r="I516" s="31">
        <f>IFERROR(INDEX(打卡匯入!$C$3:$C$1002,MATCH($C516&amp;"|"&amp;DAY($A516),打卡匯入!$E$3:$E$1002,0)),"")</f>
        <v/>
      </c>
      <c r="J516" s="31">
        <f>IFERROR(INDEX(打卡匯入!$D$3:$D$1002,MATCH($C516&amp;"|"&amp;DAY($A516),打卡匯入!$E$3:$E$1002,0)),"")</f>
        <v/>
      </c>
      <c r="K516" s="32">
        <f>IF(OR($I516="",$J516=""),"",IFERROR(INDEX(設定!$F$5:$F$20,MATCH($F516,設定!$B$5:$B$20,0)),0))</f>
        <v/>
      </c>
      <c r="L516" s="33">
        <f>IF(OR($I516="",$J516=""),"",ROUND(($J516-$I516)*24-$K516/60,2))</f>
        <v/>
      </c>
      <c r="M516" s="29">
        <f>IF($C516="","",IF(AND(COUNTIF(設定!$B$14:$B$20,$F516)&gt;0,$I516&lt;&gt;""),"假日出勤",IF(AND(COUNTIF(設定!$B$5:$B$13,$F516)&gt;0,$I516=""),"未打卡",IF($I516="","",IF($N516&gt;0,"遲到",IF($O516&gt;0,"早退","正常"))))))</f>
        <v/>
      </c>
      <c r="N516" s="32">
        <f>IF(OR($C516="",$G516="",$I516=""),0,IF(ROUND(($I516-$G516)*1440,0)&gt;設定!$C$28,ROUND(($I516-$G516)*1440,0),0))</f>
        <v/>
      </c>
      <c r="O516" s="32">
        <f>IF(OR($C516="",$H516="",$J516=""),0,IF(ROUND(($H516-$J516)*1440,0)&gt;設定!$C$28,ROUND(($H516-$J516)*1440,0),0))</f>
        <v/>
      </c>
      <c r="P516" s="33">
        <f>IF($L516="",0,IF(($L516-IFERROR(INDEX(設定!$G$5:$G$20,MATCH($F516,設定!$B$5:$B$20,0)),0))*60&gt;=設定!$C$26,ROUND(FLOOR(($L516-IFERROR(INDEX(設定!$G$5:$G$20,MATCH($F516,設定!$B$5:$B$20,0)),0))*60,設定!$C$27)/60,2),0))</f>
        <v/>
      </c>
      <c r="Q516" s="29">
        <f>IF(OR($C516="",$P516=0),"",IF($F516="國","國定假日",IF($B516="日","例假",IF($B516="六","休息日","平日"))))</f>
        <v/>
      </c>
      <c r="R516" s="34" t="n"/>
    </row>
    <row r="517">
      <c r="A517" s="30">
        <f>IF(OR(班表!$A22="",19&gt;DAY(EOMONTH(DATE(班表!$E$2,班表!$G$2,1),0))),"",DATE(班表!$E$2,班表!$G$2,19))</f>
        <v/>
      </c>
      <c r="B517" s="29">
        <f>IF($A517="","",INDEX(設定!$L$5:$L$11,WEEKDAY($A517,1)))</f>
        <v/>
      </c>
      <c r="C517" s="29">
        <f>IF($A517="","",班表!$A22)</f>
        <v/>
      </c>
      <c r="D517" s="29">
        <f>IF($C517="","",班表!$B22)</f>
        <v/>
      </c>
      <c r="E517" s="29">
        <f>IF($C517="","",班表!$C22)</f>
        <v/>
      </c>
      <c r="F517" s="29">
        <f>IF($C517="","",班表!V22)</f>
        <v/>
      </c>
      <c r="G517" s="31">
        <f>IF($F517="","",IFERROR(INDEX(設定!$D$5:$D$20,MATCH($F517,設定!$B$5:$B$20,0)),""))</f>
        <v/>
      </c>
      <c r="H517" s="31">
        <f>IF($F517="","",IFERROR(INDEX(設定!$E$5:$E$20,MATCH($F517,設定!$B$5:$B$20,0)),""))</f>
        <v/>
      </c>
      <c r="I517" s="31">
        <f>IFERROR(INDEX(打卡匯入!$C$3:$C$1002,MATCH($C517&amp;"|"&amp;DAY($A517),打卡匯入!$E$3:$E$1002,0)),"")</f>
        <v/>
      </c>
      <c r="J517" s="31">
        <f>IFERROR(INDEX(打卡匯入!$D$3:$D$1002,MATCH($C517&amp;"|"&amp;DAY($A517),打卡匯入!$E$3:$E$1002,0)),"")</f>
        <v/>
      </c>
      <c r="K517" s="32">
        <f>IF(OR($I517="",$J517=""),"",IFERROR(INDEX(設定!$F$5:$F$20,MATCH($F517,設定!$B$5:$B$20,0)),0))</f>
        <v/>
      </c>
      <c r="L517" s="33">
        <f>IF(OR($I517="",$J517=""),"",ROUND(($J517-$I517)*24-$K517/60,2))</f>
        <v/>
      </c>
      <c r="M517" s="29">
        <f>IF($C517="","",IF(AND(COUNTIF(設定!$B$14:$B$20,$F517)&gt;0,$I517&lt;&gt;""),"假日出勤",IF(AND(COUNTIF(設定!$B$5:$B$13,$F517)&gt;0,$I517=""),"未打卡",IF($I517="","",IF($N517&gt;0,"遲到",IF($O517&gt;0,"早退","正常"))))))</f>
        <v/>
      </c>
      <c r="N517" s="32">
        <f>IF(OR($C517="",$G517="",$I517=""),0,IF(ROUND(($I517-$G517)*1440,0)&gt;設定!$C$28,ROUND(($I517-$G517)*1440,0),0))</f>
        <v/>
      </c>
      <c r="O517" s="32">
        <f>IF(OR($C517="",$H517="",$J517=""),0,IF(ROUND(($H517-$J517)*1440,0)&gt;設定!$C$28,ROUND(($H517-$J517)*1440,0),0))</f>
        <v/>
      </c>
      <c r="P517" s="33">
        <f>IF($L517="",0,IF(($L517-IFERROR(INDEX(設定!$G$5:$G$20,MATCH($F517,設定!$B$5:$B$20,0)),0))*60&gt;=設定!$C$26,ROUND(FLOOR(($L517-IFERROR(INDEX(設定!$G$5:$G$20,MATCH($F517,設定!$B$5:$B$20,0)),0))*60,設定!$C$27)/60,2),0))</f>
        <v/>
      </c>
      <c r="Q517" s="29">
        <f>IF(OR($C517="",$P517=0),"",IF($F517="國","國定假日",IF($B517="日","例假",IF($B517="六","休息日","平日"))))</f>
        <v/>
      </c>
      <c r="R517" s="34" t="n"/>
    </row>
    <row r="518">
      <c r="A518" s="30">
        <f>IF(OR(班表!$A22="",20&gt;DAY(EOMONTH(DATE(班表!$E$2,班表!$G$2,1),0))),"",DATE(班表!$E$2,班表!$G$2,20))</f>
        <v/>
      </c>
      <c r="B518" s="29">
        <f>IF($A518="","",INDEX(設定!$L$5:$L$11,WEEKDAY($A518,1)))</f>
        <v/>
      </c>
      <c r="C518" s="29">
        <f>IF($A518="","",班表!$A22)</f>
        <v/>
      </c>
      <c r="D518" s="29">
        <f>IF($C518="","",班表!$B22)</f>
        <v/>
      </c>
      <c r="E518" s="29">
        <f>IF($C518="","",班表!$C22)</f>
        <v/>
      </c>
      <c r="F518" s="29">
        <f>IF($C518="","",班表!W22)</f>
        <v/>
      </c>
      <c r="G518" s="31">
        <f>IF($F518="","",IFERROR(INDEX(設定!$D$5:$D$20,MATCH($F518,設定!$B$5:$B$20,0)),""))</f>
        <v/>
      </c>
      <c r="H518" s="31">
        <f>IF($F518="","",IFERROR(INDEX(設定!$E$5:$E$20,MATCH($F518,設定!$B$5:$B$20,0)),""))</f>
        <v/>
      </c>
      <c r="I518" s="31">
        <f>IFERROR(INDEX(打卡匯入!$C$3:$C$1002,MATCH($C518&amp;"|"&amp;DAY($A518),打卡匯入!$E$3:$E$1002,0)),"")</f>
        <v/>
      </c>
      <c r="J518" s="31">
        <f>IFERROR(INDEX(打卡匯入!$D$3:$D$1002,MATCH($C518&amp;"|"&amp;DAY($A518),打卡匯入!$E$3:$E$1002,0)),"")</f>
        <v/>
      </c>
      <c r="K518" s="32">
        <f>IF(OR($I518="",$J518=""),"",IFERROR(INDEX(設定!$F$5:$F$20,MATCH($F518,設定!$B$5:$B$20,0)),0))</f>
        <v/>
      </c>
      <c r="L518" s="33">
        <f>IF(OR($I518="",$J518=""),"",ROUND(($J518-$I518)*24-$K518/60,2))</f>
        <v/>
      </c>
      <c r="M518" s="29">
        <f>IF($C518="","",IF(AND(COUNTIF(設定!$B$14:$B$20,$F518)&gt;0,$I518&lt;&gt;""),"假日出勤",IF(AND(COUNTIF(設定!$B$5:$B$13,$F518)&gt;0,$I518=""),"未打卡",IF($I518="","",IF($N518&gt;0,"遲到",IF($O518&gt;0,"早退","正常"))))))</f>
        <v/>
      </c>
      <c r="N518" s="32">
        <f>IF(OR($C518="",$G518="",$I518=""),0,IF(ROUND(($I518-$G518)*1440,0)&gt;設定!$C$28,ROUND(($I518-$G518)*1440,0),0))</f>
        <v/>
      </c>
      <c r="O518" s="32">
        <f>IF(OR($C518="",$H518="",$J518=""),0,IF(ROUND(($H518-$J518)*1440,0)&gt;設定!$C$28,ROUND(($H518-$J518)*1440,0),0))</f>
        <v/>
      </c>
      <c r="P518" s="33">
        <f>IF($L518="",0,IF(($L518-IFERROR(INDEX(設定!$G$5:$G$20,MATCH($F518,設定!$B$5:$B$20,0)),0))*60&gt;=設定!$C$26,ROUND(FLOOR(($L518-IFERROR(INDEX(設定!$G$5:$G$20,MATCH($F518,設定!$B$5:$B$20,0)),0))*60,設定!$C$27)/60,2),0))</f>
        <v/>
      </c>
      <c r="Q518" s="29">
        <f>IF(OR($C518="",$P518=0),"",IF($F518="國","國定假日",IF($B518="日","例假",IF($B518="六","休息日","平日"))))</f>
        <v/>
      </c>
      <c r="R518" s="34" t="n"/>
    </row>
    <row r="519">
      <c r="A519" s="30">
        <f>IF(OR(班表!$A22="",21&gt;DAY(EOMONTH(DATE(班表!$E$2,班表!$G$2,1),0))),"",DATE(班表!$E$2,班表!$G$2,21))</f>
        <v/>
      </c>
      <c r="B519" s="29">
        <f>IF($A519="","",INDEX(設定!$L$5:$L$11,WEEKDAY($A519,1)))</f>
        <v/>
      </c>
      <c r="C519" s="29">
        <f>IF($A519="","",班表!$A22)</f>
        <v/>
      </c>
      <c r="D519" s="29">
        <f>IF($C519="","",班表!$B22)</f>
        <v/>
      </c>
      <c r="E519" s="29">
        <f>IF($C519="","",班表!$C22)</f>
        <v/>
      </c>
      <c r="F519" s="29">
        <f>IF($C519="","",班表!X22)</f>
        <v/>
      </c>
      <c r="G519" s="31">
        <f>IF($F519="","",IFERROR(INDEX(設定!$D$5:$D$20,MATCH($F519,設定!$B$5:$B$20,0)),""))</f>
        <v/>
      </c>
      <c r="H519" s="31">
        <f>IF($F519="","",IFERROR(INDEX(設定!$E$5:$E$20,MATCH($F519,設定!$B$5:$B$20,0)),""))</f>
        <v/>
      </c>
      <c r="I519" s="31">
        <f>IFERROR(INDEX(打卡匯入!$C$3:$C$1002,MATCH($C519&amp;"|"&amp;DAY($A519),打卡匯入!$E$3:$E$1002,0)),"")</f>
        <v/>
      </c>
      <c r="J519" s="31">
        <f>IFERROR(INDEX(打卡匯入!$D$3:$D$1002,MATCH($C519&amp;"|"&amp;DAY($A519),打卡匯入!$E$3:$E$1002,0)),"")</f>
        <v/>
      </c>
      <c r="K519" s="32">
        <f>IF(OR($I519="",$J519=""),"",IFERROR(INDEX(設定!$F$5:$F$20,MATCH($F519,設定!$B$5:$B$20,0)),0))</f>
        <v/>
      </c>
      <c r="L519" s="33">
        <f>IF(OR($I519="",$J519=""),"",ROUND(($J519-$I519)*24-$K519/60,2))</f>
        <v/>
      </c>
      <c r="M519" s="29">
        <f>IF($C519="","",IF(AND(COUNTIF(設定!$B$14:$B$20,$F519)&gt;0,$I519&lt;&gt;""),"假日出勤",IF(AND(COUNTIF(設定!$B$5:$B$13,$F519)&gt;0,$I519=""),"未打卡",IF($I519="","",IF($N519&gt;0,"遲到",IF($O519&gt;0,"早退","正常"))))))</f>
        <v/>
      </c>
      <c r="N519" s="32">
        <f>IF(OR($C519="",$G519="",$I519=""),0,IF(ROUND(($I519-$G519)*1440,0)&gt;設定!$C$28,ROUND(($I519-$G519)*1440,0),0))</f>
        <v/>
      </c>
      <c r="O519" s="32">
        <f>IF(OR($C519="",$H519="",$J519=""),0,IF(ROUND(($H519-$J519)*1440,0)&gt;設定!$C$28,ROUND(($H519-$J519)*1440,0),0))</f>
        <v/>
      </c>
      <c r="P519" s="33">
        <f>IF($L519="",0,IF(($L519-IFERROR(INDEX(設定!$G$5:$G$20,MATCH($F519,設定!$B$5:$B$20,0)),0))*60&gt;=設定!$C$26,ROUND(FLOOR(($L519-IFERROR(INDEX(設定!$G$5:$G$20,MATCH($F519,設定!$B$5:$B$20,0)),0))*60,設定!$C$27)/60,2),0))</f>
        <v/>
      </c>
      <c r="Q519" s="29">
        <f>IF(OR($C519="",$P519=0),"",IF($F519="國","國定假日",IF($B519="日","例假",IF($B519="六","休息日","平日"))))</f>
        <v/>
      </c>
      <c r="R519" s="34" t="n"/>
    </row>
    <row r="520">
      <c r="A520" s="30">
        <f>IF(OR(班表!$A22="",22&gt;DAY(EOMONTH(DATE(班表!$E$2,班表!$G$2,1),0))),"",DATE(班表!$E$2,班表!$G$2,22))</f>
        <v/>
      </c>
      <c r="B520" s="29">
        <f>IF($A520="","",INDEX(設定!$L$5:$L$11,WEEKDAY($A520,1)))</f>
        <v/>
      </c>
      <c r="C520" s="29">
        <f>IF($A520="","",班表!$A22)</f>
        <v/>
      </c>
      <c r="D520" s="29">
        <f>IF($C520="","",班表!$B22)</f>
        <v/>
      </c>
      <c r="E520" s="29">
        <f>IF($C520="","",班表!$C22)</f>
        <v/>
      </c>
      <c r="F520" s="29">
        <f>IF($C520="","",班表!Y22)</f>
        <v/>
      </c>
      <c r="G520" s="31">
        <f>IF($F520="","",IFERROR(INDEX(設定!$D$5:$D$20,MATCH($F520,設定!$B$5:$B$20,0)),""))</f>
        <v/>
      </c>
      <c r="H520" s="31">
        <f>IF($F520="","",IFERROR(INDEX(設定!$E$5:$E$20,MATCH($F520,設定!$B$5:$B$20,0)),""))</f>
        <v/>
      </c>
      <c r="I520" s="31">
        <f>IFERROR(INDEX(打卡匯入!$C$3:$C$1002,MATCH($C520&amp;"|"&amp;DAY($A520),打卡匯入!$E$3:$E$1002,0)),"")</f>
        <v/>
      </c>
      <c r="J520" s="31">
        <f>IFERROR(INDEX(打卡匯入!$D$3:$D$1002,MATCH($C520&amp;"|"&amp;DAY($A520),打卡匯入!$E$3:$E$1002,0)),"")</f>
        <v/>
      </c>
      <c r="K520" s="32">
        <f>IF(OR($I520="",$J520=""),"",IFERROR(INDEX(設定!$F$5:$F$20,MATCH($F520,設定!$B$5:$B$20,0)),0))</f>
        <v/>
      </c>
      <c r="L520" s="33">
        <f>IF(OR($I520="",$J520=""),"",ROUND(($J520-$I520)*24-$K520/60,2))</f>
        <v/>
      </c>
      <c r="M520" s="29">
        <f>IF($C520="","",IF(AND(COUNTIF(設定!$B$14:$B$20,$F520)&gt;0,$I520&lt;&gt;""),"假日出勤",IF(AND(COUNTIF(設定!$B$5:$B$13,$F520)&gt;0,$I520=""),"未打卡",IF($I520="","",IF($N520&gt;0,"遲到",IF($O520&gt;0,"早退","正常"))))))</f>
        <v/>
      </c>
      <c r="N520" s="32">
        <f>IF(OR($C520="",$G520="",$I520=""),0,IF(ROUND(($I520-$G520)*1440,0)&gt;設定!$C$28,ROUND(($I520-$G520)*1440,0),0))</f>
        <v/>
      </c>
      <c r="O520" s="32">
        <f>IF(OR($C520="",$H520="",$J520=""),0,IF(ROUND(($H520-$J520)*1440,0)&gt;設定!$C$28,ROUND(($H520-$J520)*1440,0),0))</f>
        <v/>
      </c>
      <c r="P520" s="33">
        <f>IF($L520="",0,IF(($L520-IFERROR(INDEX(設定!$G$5:$G$20,MATCH($F520,設定!$B$5:$B$20,0)),0))*60&gt;=設定!$C$26,ROUND(FLOOR(($L520-IFERROR(INDEX(設定!$G$5:$G$20,MATCH($F520,設定!$B$5:$B$20,0)),0))*60,設定!$C$27)/60,2),0))</f>
        <v/>
      </c>
      <c r="Q520" s="29">
        <f>IF(OR($C520="",$P520=0),"",IF($F520="國","國定假日",IF($B520="日","例假",IF($B520="六","休息日","平日"))))</f>
        <v/>
      </c>
      <c r="R520" s="34" t="n"/>
    </row>
    <row r="521">
      <c r="A521" s="30">
        <f>IF(OR(班表!$A22="",23&gt;DAY(EOMONTH(DATE(班表!$E$2,班表!$G$2,1),0))),"",DATE(班表!$E$2,班表!$G$2,23))</f>
        <v/>
      </c>
      <c r="B521" s="29">
        <f>IF($A521="","",INDEX(設定!$L$5:$L$11,WEEKDAY($A521,1)))</f>
        <v/>
      </c>
      <c r="C521" s="29">
        <f>IF($A521="","",班表!$A22)</f>
        <v/>
      </c>
      <c r="D521" s="29">
        <f>IF($C521="","",班表!$B22)</f>
        <v/>
      </c>
      <c r="E521" s="29">
        <f>IF($C521="","",班表!$C22)</f>
        <v/>
      </c>
      <c r="F521" s="29">
        <f>IF($C521="","",班表!Z22)</f>
        <v/>
      </c>
      <c r="G521" s="31">
        <f>IF($F521="","",IFERROR(INDEX(設定!$D$5:$D$20,MATCH($F521,設定!$B$5:$B$20,0)),""))</f>
        <v/>
      </c>
      <c r="H521" s="31">
        <f>IF($F521="","",IFERROR(INDEX(設定!$E$5:$E$20,MATCH($F521,設定!$B$5:$B$20,0)),""))</f>
        <v/>
      </c>
      <c r="I521" s="31">
        <f>IFERROR(INDEX(打卡匯入!$C$3:$C$1002,MATCH($C521&amp;"|"&amp;DAY($A521),打卡匯入!$E$3:$E$1002,0)),"")</f>
        <v/>
      </c>
      <c r="J521" s="31">
        <f>IFERROR(INDEX(打卡匯入!$D$3:$D$1002,MATCH($C521&amp;"|"&amp;DAY($A521),打卡匯入!$E$3:$E$1002,0)),"")</f>
        <v/>
      </c>
      <c r="K521" s="32">
        <f>IF(OR($I521="",$J521=""),"",IFERROR(INDEX(設定!$F$5:$F$20,MATCH($F521,設定!$B$5:$B$20,0)),0))</f>
        <v/>
      </c>
      <c r="L521" s="33">
        <f>IF(OR($I521="",$J521=""),"",ROUND(($J521-$I521)*24-$K521/60,2))</f>
        <v/>
      </c>
      <c r="M521" s="29">
        <f>IF($C521="","",IF(AND(COUNTIF(設定!$B$14:$B$20,$F521)&gt;0,$I521&lt;&gt;""),"假日出勤",IF(AND(COUNTIF(設定!$B$5:$B$13,$F521)&gt;0,$I521=""),"未打卡",IF($I521="","",IF($N521&gt;0,"遲到",IF($O521&gt;0,"早退","正常"))))))</f>
        <v/>
      </c>
      <c r="N521" s="32">
        <f>IF(OR($C521="",$G521="",$I521=""),0,IF(ROUND(($I521-$G521)*1440,0)&gt;設定!$C$28,ROUND(($I521-$G521)*1440,0),0))</f>
        <v/>
      </c>
      <c r="O521" s="32">
        <f>IF(OR($C521="",$H521="",$J521=""),0,IF(ROUND(($H521-$J521)*1440,0)&gt;設定!$C$28,ROUND(($H521-$J521)*1440,0),0))</f>
        <v/>
      </c>
      <c r="P521" s="33">
        <f>IF($L521="",0,IF(($L521-IFERROR(INDEX(設定!$G$5:$G$20,MATCH($F521,設定!$B$5:$B$20,0)),0))*60&gt;=設定!$C$26,ROUND(FLOOR(($L521-IFERROR(INDEX(設定!$G$5:$G$20,MATCH($F521,設定!$B$5:$B$20,0)),0))*60,設定!$C$27)/60,2),0))</f>
        <v/>
      </c>
      <c r="Q521" s="29">
        <f>IF(OR($C521="",$P521=0),"",IF($F521="國","國定假日",IF($B521="日","例假",IF($B521="六","休息日","平日"))))</f>
        <v/>
      </c>
      <c r="R521" s="34" t="n"/>
    </row>
    <row r="522">
      <c r="A522" s="30">
        <f>IF(OR(班表!$A22="",24&gt;DAY(EOMONTH(DATE(班表!$E$2,班表!$G$2,1),0))),"",DATE(班表!$E$2,班表!$G$2,24))</f>
        <v/>
      </c>
      <c r="B522" s="29">
        <f>IF($A522="","",INDEX(設定!$L$5:$L$11,WEEKDAY($A522,1)))</f>
        <v/>
      </c>
      <c r="C522" s="29">
        <f>IF($A522="","",班表!$A22)</f>
        <v/>
      </c>
      <c r="D522" s="29">
        <f>IF($C522="","",班表!$B22)</f>
        <v/>
      </c>
      <c r="E522" s="29">
        <f>IF($C522="","",班表!$C22)</f>
        <v/>
      </c>
      <c r="F522" s="29">
        <f>IF($C522="","",班表!AA22)</f>
        <v/>
      </c>
      <c r="G522" s="31">
        <f>IF($F522="","",IFERROR(INDEX(設定!$D$5:$D$20,MATCH($F522,設定!$B$5:$B$20,0)),""))</f>
        <v/>
      </c>
      <c r="H522" s="31">
        <f>IF($F522="","",IFERROR(INDEX(設定!$E$5:$E$20,MATCH($F522,設定!$B$5:$B$20,0)),""))</f>
        <v/>
      </c>
      <c r="I522" s="31">
        <f>IFERROR(INDEX(打卡匯入!$C$3:$C$1002,MATCH($C522&amp;"|"&amp;DAY($A522),打卡匯入!$E$3:$E$1002,0)),"")</f>
        <v/>
      </c>
      <c r="J522" s="31">
        <f>IFERROR(INDEX(打卡匯入!$D$3:$D$1002,MATCH($C522&amp;"|"&amp;DAY($A522),打卡匯入!$E$3:$E$1002,0)),"")</f>
        <v/>
      </c>
      <c r="K522" s="32">
        <f>IF(OR($I522="",$J522=""),"",IFERROR(INDEX(設定!$F$5:$F$20,MATCH($F522,設定!$B$5:$B$20,0)),0))</f>
        <v/>
      </c>
      <c r="L522" s="33">
        <f>IF(OR($I522="",$J522=""),"",ROUND(($J522-$I522)*24-$K522/60,2))</f>
        <v/>
      </c>
      <c r="M522" s="29">
        <f>IF($C522="","",IF(AND(COUNTIF(設定!$B$14:$B$20,$F522)&gt;0,$I522&lt;&gt;""),"假日出勤",IF(AND(COUNTIF(設定!$B$5:$B$13,$F522)&gt;0,$I522=""),"未打卡",IF($I522="","",IF($N522&gt;0,"遲到",IF($O522&gt;0,"早退","正常"))))))</f>
        <v/>
      </c>
      <c r="N522" s="32">
        <f>IF(OR($C522="",$G522="",$I522=""),0,IF(ROUND(($I522-$G522)*1440,0)&gt;設定!$C$28,ROUND(($I522-$G522)*1440,0),0))</f>
        <v/>
      </c>
      <c r="O522" s="32">
        <f>IF(OR($C522="",$H522="",$J522=""),0,IF(ROUND(($H522-$J522)*1440,0)&gt;設定!$C$28,ROUND(($H522-$J522)*1440,0),0))</f>
        <v/>
      </c>
      <c r="P522" s="33">
        <f>IF($L522="",0,IF(($L522-IFERROR(INDEX(設定!$G$5:$G$20,MATCH($F522,設定!$B$5:$B$20,0)),0))*60&gt;=設定!$C$26,ROUND(FLOOR(($L522-IFERROR(INDEX(設定!$G$5:$G$20,MATCH($F522,設定!$B$5:$B$20,0)),0))*60,設定!$C$27)/60,2),0))</f>
        <v/>
      </c>
      <c r="Q522" s="29">
        <f>IF(OR($C522="",$P522=0),"",IF($F522="國","國定假日",IF($B522="日","例假",IF($B522="六","休息日","平日"))))</f>
        <v/>
      </c>
      <c r="R522" s="34" t="n"/>
    </row>
    <row r="523">
      <c r="A523" s="30">
        <f>IF(OR(班表!$A22="",25&gt;DAY(EOMONTH(DATE(班表!$E$2,班表!$G$2,1),0))),"",DATE(班表!$E$2,班表!$G$2,25))</f>
        <v/>
      </c>
      <c r="B523" s="29">
        <f>IF($A523="","",INDEX(設定!$L$5:$L$11,WEEKDAY($A523,1)))</f>
        <v/>
      </c>
      <c r="C523" s="29">
        <f>IF($A523="","",班表!$A22)</f>
        <v/>
      </c>
      <c r="D523" s="29">
        <f>IF($C523="","",班表!$B22)</f>
        <v/>
      </c>
      <c r="E523" s="29">
        <f>IF($C523="","",班表!$C22)</f>
        <v/>
      </c>
      <c r="F523" s="29">
        <f>IF($C523="","",班表!AB22)</f>
        <v/>
      </c>
      <c r="G523" s="31">
        <f>IF($F523="","",IFERROR(INDEX(設定!$D$5:$D$20,MATCH($F523,設定!$B$5:$B$20,0)),""))</f>
        <v/>
      </c>
      <c r="H523" s="31">
        <f>IF($F523="","",IFERROR(INDEX(設定!$E$5:$E$20,MATCH($F523,設定!$B$5:$B$20,0)),""))</f>
        <v/>
      </c>
      <c r="I523" s="31">
        <f>IFERROR(INDEX(打卡匯入!$C$3:$C$1002,MATCH($C523&amp;"|"&amp;DAY($A523),打卡匯入!$E$3:$E$1002,0)),"")</f>
        <v/>
      </c>
      <c r="J523" s="31">
        <f>IFERROR(INDEX(打卡匯入!$D$3:$D$1002,MATCH($C523&amp;"|"&amp;DAY($A523),打卡匯入!$E$3:$E$1002,0)),"")</f>
        <v/>
      </c>
      <c r="K523" s="32">
        <f>IF(OR($I523="",$J523=""),"",IFERROR(INDEX(設定!$F$5:$F$20,MATCH($F523,設定!$B$5:$B$20,0)),0))</f>
        <v/>
      </c>
      <c r="L523" s="33">
        <f>IF(OR($I523="",$J523=""),"",ROUND(($J523-$I523)*24-$K523/60,2))</f>
        <v/>
      </c>
      <c r="M523" s="29">
        <f>IF($C523="","",IF(AND(COUNTIF(設定!$B$14:$B$20,$F523)&gt;0,$I523&lt;&gt;""),"假日出勤",IF(AND(COUNTIF(設定!$B$5:$B$13,$F523)&gt;0,$I523=""),"未打卡",IF($I523="","",IF($N523&gt;0,"遲到",IF($O523&gt;0,"早退","正常"))))))</f>
        <v/>
      </c>
      <c r="N523" s="32">
        <f>IF(OR($C523="",$G523="",$I523=""),0,IF(ROUND(($I523-$G523)*1440,0)&gt;設定!$C$28,ROUND(($I523-$G523)*1440,0),0))</f>
        <v/>
      </c>
      <c r="O523" s="32">
        <f>IF(OR($C523="",$H523="",$J523=""),0,IF(ROUND(($H523-$J523)*1440,0)&gt;設定!$C$28,ROUND(($H523-$J523)*1440,0),0))</f>
        <v/>
      </c>
      <c r="P523" s="33">
        <f>IF($L523="",0,IF(($L523-IFERROR(INDEX(設定!$G$5:$G$20,MATCH($F523,設定!$B$5:$B$20,0)),0))*60&gt;=設定!$C$26,ROUND(FLOOR(($L523-IFERROR(INDEX(設定!$G$5:$G$20,MATCH($F523,設定!$B$5:$B$20,0)),0))*60,設定!$C$27)/60,2),0))</f>
        <v/>
      </c>
      <c r="Q523" s="29">
        <f>IF(OR($C523="",$P523=0),"",IF($F523="國","國定假日",IF($B523="日","例假",IF($B523="六","休息日","平日"))))</f>
        <v/>
      </c>
      <c r="R523" s="34" t="n"/>
    </row>
    <row r="524">
      <c r="A524" s="30">
        <f>IF(OR(班表!$A22="",26&gt;DAY(EOMONTH(DATE(班表!$E$2,班表!$G$2,1),0))),"",DATE(班表!$E$2,班表!$G$2,26))</f>
        <v/>
      </c>
      <c r="B524" s="29">
        <f>IF($A524="","",INDEX(設定!$L$5:$L$11,WEEKDAY($A524,1)))</f>
        <v/>
      </c>
      <c r="C524" s="29">
        <f>IF($A524="","",班表!$A22)</f>
        <v/>
      </c>
      <c r="D524" s="29">
        <f>IF($C524="","",班表!$B22)</f>
        <v/>
      </c>
      <c r="E524" s="29">
        <f>IF($C524="","",班表!$C22)</f>
        <v/>
      </c>
      <c r="F524" s="29">
        <f>IF($C524="","",班表!AC22)</f>
        <v/>
      </c>
      <c r="G524" s="31">
        <f>IF($F524="","",IFERROR(INDEX(設定!$D$5:$D$20,MATCH($F524,設定!$B$5:$B$20,0)),""))</f>
        <v/>
      </c>
      <c r="H524" s="31">
        <f>IF($F524="","",IFERROR(INDEX(設定!$E$5:$E$20,MATCH($F524,設定!$B$5:$B$20,0)),""))</f>
        <v/>
      </c>
      <c r="I524" s="31">
        <f>IFERROR(INDEX(打卡匯入!$C$3:$C$1002,MATCH($C524&amp;"|"&amp;DAY($A524),打卡匯入!$E$3:$E$1002,0)),"")</f>
        <v/>
      </c>
      <c r="J524" s="31">
        <f>IFERROR(INDEX(打卡匯入!$D$3:$D$1002,MATCH($C524&amp;"|"&amp;DAY($A524),打卡匯入!$E$3:$E$1002,0)),"")</f>
        <v/>
      </c>
      <c r="K524" s="32">
        <f>IF(OR($I524="",$J524=""),"",IFERROR(INDEX(設定!$F$5:$F$20,MATCH($F524,設定!$B$5:$B$20,0)),0))</f>
        <v/>
      </c>
      <c r="L524" s="33">
        <f>IF(OR($I524="",$J524=""),"",ROUND(($J524-$I524)*24-$K524/60,2))</f>
        <v/>
      </c>
      <c r="M524" s="29">
        <f>IF($C524="","",IF(AND(COUNTIF(設定!$B$14:$B$20,$F524)&gt;0,$I524&lt;&gt;""),"假日出勤",IF(AND(COUNTIF(設定!$B$5:$B$13,$F524)&gt;0,$I524=""),"未打卡",IF($I524="","",IF($N524&gt;0,"遲到",IF($O524&gt;0,"早退","正常"))))))</f>
        <v/>
      </c>
      <c r="N524" s="32">
        <f>IF(OR($C524="",$G524="",$I524=""),0,IF(ROUND(($I524-$G524)*1440,0)&gt;設定!$C$28,ROUND(($I524-$G524)*1440,0),0))</f>
        <v/>
      </c>
      <c r="O524" s="32">
        <f>IF(OR($C524="",$H524="",$J524=""),0,IF(ROUND(($H524-$J524)*1440,0)&gt;設定!$C$28,ROUND(($H524-$J524)*1440,0),0))</f>
        <v/>
      </c>
      <c r="P524" s="33">
        <f>IF($L524="",0,IF(($L524-IFERROR(INDEX(設定!$G$5:$G$20,MATCH($F524,設定!$B$5:$B$20,0)),0))*60&gt;=設定!$C$26,ROUND(FLOOR(($L524-IFERROR(INDEX(設定!$G$5:$G$20,MATCH($F524,設定!$B$5:$B$20,0)),0))*60,設定!$C$27)/60,2),0))</f>
        <v/>
      </c>
      <c r="Q524" s="29">
        <f>IF(OR($C524="",$P524=0),"",IF($F524="國","國定假日",IF($B524="日","例假",IF($B524="六","休息日","平日"))))</f>
        <v/>
      </c>
      <c r="R524" s="34" t="n"/>
    </row>
    <row r="525">
      <c r="A525" s="30">
        <f>IF(OR(班表!$A22="",27&gt;DAY(EOMONTH(DATE(班表!$E$2,班表!$G$2,1),0))),"",DATE(班表!$E$2,班表!$G$2,27))</f>
        <v/>
      </c>
      <c r="B525" s="29">
        <f>IF($A525="","",INDEX(設定!$L$5:$L$11,WEEKDAY($A525,1)))</f>
        <v/>
      </c>
      <c r="C525" s="29">
        <f>IF($A525="","",班表!$A22)</f>
        <v/>
      </c>
      <c r="D525" s="29">
        <f>IF($C525="","",班表!$B22)</f>
        <v/>
      </c>
      <c r="E525" s="29">
        <f>IF($C525="","",班表!$C22)</f>
        <v/>
      </c>
      <c r="F525" s="29">
        <f>IF($C525="","",班表!AD22)</f>
        <v/>
      </c>
      <c r="G525" s="31">
        <f>IF($F525="","",IFERROR(INDEX(設定!$D$5:$D$20,MATCH($F525,設定!$B$5:$B$20,0)),""))</f>
        <v/>
      </c>
      <c r="H525" s="31">
        <f>IF($F525="","",IFERROR(INDEX(設定!$E$5:$E$20,MATCH($F525,設定!$B$5:$B$20,0)),""))</f>
        <v/>
      </c>
      <c r="I525" s="31">
        <f>IFERROR(INDEX(打卡匯入!$C$3:$C$1002,MATCH($C525&amp;"|"&amp;DAY($A525),打卡匯入!$E$3:$E$1002,0)),"")</f>
        <v/>
      </c>
      <c r="J525" s="31">
        <f>IFERROR(INDEX(打卡匯入!$D$3:$D$1002,MATCH($C525&amp;"|"&amp;DAY($A525),打卡匯入!$E$3:$E$1002,0)),"")</f>
        <v/>
      </c>
      <c r="K525" s="32">
        <f>IF(OR($I525="",$J525=""),"",IFERROR(INDEX(設定!$F$5:$F$20,MATCH($F525,設定!$B$5:$B$20,0)),0))</f>
        <v/>
      </c>
      <c r="L525" s="33">
        <f>IF(OR($I525="",$J525=""),"",ROUND(($J525-$I525)*24-$K525/60,2))</f>
        <v/>
      </c>
      <c r="M525" s="29">
        <f>IF($C525="","",IF(AND(COUNTIF(設定!$B$14:$B$20,$F525)&gt;0,$I525&lt;&gt;""),"假日出勤",IF(AND(COUNTIF(設定!$B$5:$B$13,$F525)&gt;0,$I525=""),"未打卡",IF($I525="","",IF($N525&gt;0,"遲到",IF($O525&gt;0,"早退","正常"))))))</f>
        <v/>
      </c>
      <c r="N525" s="32">
        <f>IF(OR($C525="",$G525="",$I525=""),0,IF(ROUND(($I525-$G525)*1440,0)&gt;設定!$C$28,ROUND(($I525-$G525)*1440,0),0))</f>
        <v/>
      </c>
      <c r="O525" s="32">
        <f>IF(OR($C525="",$H525="",$J525=""),0,IF(ROUND(($H525-$J525)*1440,0)&gt;設定!$C$28,ROUND(($H525-$J525)*1440,0),0))</f>
        <v/>
      </c>
      <c r="P525" s="33">
        <f>IF($L525="",0,IF(($L525-IFERROR(INDEX(設定!$G$5:$G$20,MATCH($F525,設定!$B$5:$B$20,0)),0))*60&gt;=設定!$C$26,ROUND(FLOOR(($L525-IFERROR(INDEX(設定!$G$5:$G$20,MATCH($F525,設定!$B$5:$B$20,0)),0))*60,設定!$C$27)/60,2),0))</f>
        <v/>
      </c>
      <c r="Q525" s="29">
        <f>IF(OR($C525="",$P525=0),"",IF($F525="國","國定假日",IF($B525="日","例假",IF($B525="六","休息日","平日"))))</f>
        <v/>
      </c>
      <c r="R525" s="34" t="n"/>
    </row>
    <row r="526">
      <c r="A526" s="30">
        <f>IF(OR(班表!$A22="",28&gt;DAY(EOMONTH(DATE(班表!$E$2,班表!$G$2,1),0))),"",DATE(班表!$E$2,班表!$G$2,28))</f>
        <v/>
      </c>
      <c r="B526" s="29">
        <f>IF($A526="","",INDEX(設定!$L$5:$L$11,WEEKDAY($A526,1)))</f>
        <v/>
      </c>
      <c r="C526" s="29">
        <f>IF($A526="","",班表!$A22)</f>
        <v/>
      </c>
      <c r="D526" s="29">
        <f>IF($C526="","",班表!$B22)</f>
        <v/>
      </c>
      <c r="E526" s="29">
        <f>IF($C526="","",班表!$C22)</f>
        <v/>
      </c>
      <c r="F526" s="29">
        <f>IF($C526="","",班表!AE22)</f>
        <v/>
      </c>
      <c r="G526" s="31">
        <f>IF($F526="","",IFERROR(INDEX(設定!$D$5:$D$20,MATCH($F526,設定!$B$5:$B$20,0)),""))</f>
        <v/>
      </c>
      <c r="H526" s="31">
        <f>IF($F526="","",IFERROR(INDEX(設定!$E$5:$E$20,MATCH($F526,設定!$B$5:$B$20,0)),""))</f>
        <v/>
      </c>
      <c r="I526" s="31">
        <f>IFERROR(INDEX(打卡匯入!$C$3:$C$1002,MATCH($C526&amp;"|"&amp;DAY($A526),打卡匯入!$E$3:$E$1002,0)),"")</f>
        <v/>
      </c>
      <c r="J526" s="31">
        <f>IFERROR(INDEX(打卡匯入!$D$3:$D$1002,MATCH($C526&amp;"|"&amp;DAY($A526),打卡匯入!$E$3:$E$1002,0)),"")</f>
        <v/>
      </c>
      <c r="K526" s="32">
        <f>IF(OR($I526="",$J526=""),"",IFERROR(INDEX(設定!$F$5:$F$20,MATCH($F526,設定!$B$5:$B$20,0)),0))</f>
        <v/>
      </c>
      <c r="L526" s="33">
        <f>IF(OR($I526="",$J526=""),"",ROUND(($J526-$I526)*24-$K526/60,2))</f>
        <v/>
      </c>
      <c r="M526" s="29">
        <f>IF($C526="","",IF(AND(COUNTIF(設定!$B$14:$B$20,$F526)&gt;0,$I526&lt;&gt;""),"假日出勤",IF(AND(COUNTIF(設定!$B$5:$B$13,$F526)&gt;0,$I526=""),"未打卡",IF($I526="","",IF($N526&gt;0,"遲到",IF($O526&gt;0,"早退","正常"))))))</f>
        <v/>
      </c>
      <c r="N526" s="32">
        <f>IF(OR($C526="",$G526="",$I526=""),0,IF(ROUND(($I526-$G526)*1440,0)&gt;設定!$C$28,ROUND(($I526-$G526)*1440,0),0))</f>
        <v/>
      </c>
      <c r="O526" s="32">
        <f>IF(OR($C526="",$H526="",$J526=""),0,IF(ROUND(($H526-$J526)*1440,0)&gt;設定!$C$28,ROUND(($H526-$J526)*1440,0),0))</f>
        <v/>
      </c>
      <c r="P526" s="33">
        <f>IF($L526="",0,IF(($L526-IFERROR(INDEX(設定!$G$5:$G$20,MATCH($F526,設定!$B$5:$B$20,0)),0))*60&gt;=設定!$C$26,ROUND(FLOOR(($L526-IFERROR(INDEX(設定!$G$5:$G$20,MATCH($F526,設定!$B$5:$B$20,0)),0))*60,設定!$C$27)/60,2),0))</f>
        <v/>
      </c>
      <c r="Q526" s="29">
        <f>IF(OR($C526="",$P526=0),"",IF($F526="國","國定假日",IF($B526="日","例假",IF($B526="六","休息日","平日"))))</f>
        <v/>
      </c>
      <c r="R526" s="34" t="n"/>
    </row>
    <row r="527">
      <c r="A527" s="30">
        <f>IF(OR(班表!$A22="",29&gt;DAY(EOMONTH(DATE(班表!$E$2,班表!$G$2,1),0))),"",DATE(班表!$E$2,班表!$G$2,29))</f>
        <v/>
      </c>
      <c r="B527" s="29">
        <f>IF($A527="","",INDEX(設定!$L$5:$L$11,WEEKDAY($A527,1)))</f>
        <v/>
      </c>
      <c r="C527" s="29">
        <f>IF($A527="","",班表!$A22)</f>
        <v/>
      </c>
      <c r="D527" s="29">
        <f>IF($C527="","",班表!$B22)</f>
        <v/>
      </c>
      <c r="E527" s="29">
        <f>IF($C527="","",班表!$C22)</f>
        <v/>
      </c>
      <c r="F527" s="29">
        <f>IF($C527="","",班表!AF22)</f>
        <v/>
      </c>
      <c r="G527" s="31">
        <f>IF($F527="","",IFERROR(INDEX(設定!$D$5:$D$20,MATCH($F527,設定!$B$5:$B$20,0)),""))</f>
        <v/>
      </c>
      <c r="H527" s="31">
        <f>IF($F527="","",IFERROR(INDEX(設定!$E$5:$E$20,MATCH($F527,設定!$B$5:$B$20,0)),""))</f>
        <v/>
      </c>
      <c r="I527" s="31">
        <f>IFERROR(INDEX(打卡匯入!$C$3:$C$1002,MATCH($C527&amp;"|"&amp;DAY($A527),打卡匯入!$E$3:$E$1002,0)),"")</f>
        <v/>
      </c>
      <c r="J527" s="31">
        <f>IFERROR(INDEX(打卡匯入!$D$3:$D$1002,MATCH($C527&amp;"|"&amp;DAY($A527),打卡匯入!$E$3:$E$1002,0)),"")</f>
        <v/>
      </c>
      <c r="K527" s="32">
        <f>IF(OR($I527="",$J527=""),"",IFERROR(INDEX(設定!$F$5:$F$20,MATCH($F527,設定!$B$5:$B$20,0)),0))</f>
        <v/>
      </c>
      <c r="L527" s="33">
        <f>IF(OR($I527="",$J527=""),"",ROUND(($J527-$I527)*24-$K527/60,2))</f>
        <v/>
      </c>
      <c r="M527" s="29">
        <f>IF($C527="","",IF(AND(COUNTIF(設定!$B$14:$B$20,$F527)&gt;0,$I527&lt;&gt;""),"假日出勤",IF(AND(COUNTIF(設定!$B$5:$B$13,$F527)&gt;0,$I527=""),"未打卡",IF($I527="","",IF($N527&gt;0,"遲到",IF($O527&gt;0,"早退","正常"))))))</f>
        <v/>
      </c>
      <c r="N527" s="32">
        <f>IF(OR($C527="",$G527="",$I527=""),0,IF(ROUND(($I527-$G527)*1440,0)&gt;設定!$C$28,ROUND(($I527-$G527)*1440,0),0))</f>
        <v/>
      </c>
      <c r="O527" s="32">
        <f>IF(OR($C527="",$H527="",$J527=""),0,IF(ROUND(($H527-$J527)*1440,0)&gt;設定!$C$28,ROUND(($H527-$J527)*1440,0),0))</f>
        <v/>
      </c>
      <c r="P527" s="33">
        <f>IF($L527="",0,IF(($L527-IFERROR(INDEX(設定!$G$5:$G$20,MATCH($F527,設定!$B$5:$B$20,0)),0))*60&gt;=設定!$C$26,ROUND(FLOOR(($L527-IFERROR(INDEX(設定!$G$5:$G$20,MATCH($F527,設定!$B$5:$B$20,0)),0))*60,設定!$C$27)/60,2),0))</f>
        <v/>
      </c>
      <c r="Q527" s="29">
        <f>IF(OR($C527="",$P527=0),"",IF($F527="國","國定假日",IF($B527="日","例假",IF($B527="六","休息日","平日"))))</f>
        <v/>
      </c>
      <c r="R527" s="34" t="n"/>
    </row>
    <row r="528">
      <c r="A528" s="30">
        <f>IF(OR(班表!$A22="",30&gt;DAY(EOMONTH(DATE(班表!$E$2,班表!$G$2,1),0))),"",DATE(班表!$E$2,班表!$G$2,30))</f>
        <v/>
      </c>
      <c r="B528" s="29">
        <f>IF($A528="","",INDEX(設定!$L$5:$L$11,WEEKDAY($A528,1)))</f>
        <v/>
      </c>
      <c r="C528" s="29">
        <f>IF($A528="","",班表!$A22)</f>
        <v/>
      </c>
      <c r="D528" s="29">
        <f>IF($C528="","",班表!$B22)</f>
        <v/>
      </c>
      <c r="E528" s="29">
        <f>IF($C528="","",班表!$C22)</f>
        <v/>
      </c>
      <c r="F528" s="29">
        <f>IF($C528="","",班表!AG22)</f>
        <v/>
      </c>
      <c r="G528" s="31">
        <f>IF($F528="","",IFERROR(INDEX(設定!$D$5:$D$20,MATCH($F528,設定!$B$5:$B$20,0)),""))</f>
        <v/>
      </c>
      <c r="H528" s="31">
        <f>IF($F528="","",IFERROR(INDEX(設定!$E$5:$E$20,MATCH($F528,設定!$B$5:$B$20,0)),""))</f>
        <v/>
      </c>
      <c r="I528" s="31">
        <f>IFERROR(INDEX(打卡匯入!$C$3:$C$1002,MATCH($C528&amp;"|"&amp;DAY($A528),打卡匯入!$E$3:$E$1002,0)),"")</f>
        <v/>
      </c>
      <c r="J528" s="31">
        <f>IFERROR(INDEX(打卡匯入!$D$3:$D$1002,MATCH($C528&amp;"|"&amp;DAY($A528),打卡匯入!$E$3:$E$1002,0)),"")</f>
        <v/>
      </c>
      <c r="K528" s="32">
        <f>IF(OR($I528="",$J528=""),"",IFERROR(INDEX(設定!$F$5:$F$20,MATCH($F528,設定!$B$5:$B$20,0)),0))</f>
        <v/>
      </c>
      <c r="L528" s="33">
        <f>IF(OR($I528="",$J528=""),"",ROUND(($J528-$I528)*24-$K528/60,2))</f>
        <v/>
      </c>
      <c r="M528" s="29">
        <f>IF($C528="","",IF(AND(COUNTIF(設定!$B$14:$B$20,$F528)&gt;0,$I528&lt;&gt;""),"假日出勤",IF(AND(COUNTIF(設定!$B$5:$B$13,$F528)&gt;0,$I528=""),"未打卡",IF($I528="","",IF($N528&gt;0,"遲到",IF($O528&gt;0,"早退","正常"))))))</f>
        <v/>
      </c>
      <c r="N528" s="32">
        <f>IF(OR($C528="",$G528="",$I528=""),0,IF(ROUND(($I528-$G528)*1440,0)&gt;設定!$C$28,ROUND(($I528-$G528)*1440,0),0))</f>
        <v/>
      </c>
      <c r="O528" s="32">
        <f>IF(OR($C528="",$H528="",$J528=""),0,IF(ROUND(($H528-$J528)*1440,0)&gt;設定!$C$28,ROUND(($H528-$J528)*1440,0),0))</f>
        <v/>
      </c>
      <c r="P528" s="33">
        <f>IF($L528="",0,IF(($L528-IFERROR(INDEX(設定!$G$5:$G$20,MATCH($F528,設定!$B$5:$B$20,0)),0))*60&gt;=設定!$C$26,ROUND(FLOOR(($L528-IFERROR(INDEX(設定!$G$5:$G$20,MATCH($F528,設定!$B$5:$B$20,0)),0))*60,設定!$C$27)/60,2),0))</f>
        <v/>
      </c>
      <c r="Q528" s="29">
        <f>IF(OR($C528="",$P528=0),"",IF($F528="國","國定假日",IF($B528="日","例假",IF($B528="六","休息日","平日"))))</f>
        <v/>
      </c>
      <c r="R528" s="34" t="n"/>
    </row>
    <row r="529">
      <c r="A529" s="30">
        <f>IF(OR(班表!$A22="",31&gt;DAY(EOMONTH(DATE(班表!$E$2,班表!$G$2,1),0))),"",DATE(班表!$E$2,班表!$G$2,31))</f>
        <v/>
      </c>
      <c r="B529" s="29">
        <f>IF($A529="","",INDEX(設定!$L$5:$L$11,WEEKDAY($A529,1)))</f>
        <v/>
      </c>
      <c r="C529" s="29">
        <f>IF($A529="","",班表!$A22)</f>
        <v/>
      </c>
      <c r="D529" s="29">
        <f>IF($C529="","",班表!$B22)</f>
        <v/>
      </c>
      <c r="E529" s="29">
        <f>IF($C529="","",班表!$C22)</f>
        <v/>
      </c>
      <c r="F529" s="29">
        <f>IF($C529="","",班表!AH22)</f>
        <v/>
      </c>
      <c r="G529" s="31">
        <f>IF($F529="","",IFERROR(INDEX(設定!$D$5:$D$20,MATCH($F529,設定!$B$5:$B$20,0)),""))</f>
        <v/>
      </c>
      <c r="H529" s="31">
        <f>IF($F529="","",IFERROR(INDEX(設定!$E$5:$E$20,MATCH($F529,設定!$B$5:$B$20,0)),""))</f>
        <v/>
      </c>
      <c r="I529" s="31">
        <f>IFERROR(INDEX(打卡匯入!$C$3:$C$1002,MATCH($C529&amp;"|"&amp;DAY($A529),打卡匯入!$E$3:$E$1002,0)),"")</f>
        <v/>
      </c>
      <c r="J529" s="31">
        <f>IFERROR(INDEX(打卡匯入!$D$3:$D$1002,MATCH($C529&amp;"|"&amp;DAY($A529),打卡匯入!$E$3:$E$1002,0)),"")</f>
        <v/>
      </c>
      <c r="K529" s="32">
        <f>IF(OR($I529="",$J529=""),"",IFERROR(INDEX(設定!$F$5:$F$20,MATCH($F529,設定!$B$5:$B$20,0)),0))</f>
        <v/>
      </c>
      <c r="L529" s="33">
        <f>IF(OR($I529="",$J529=""),"",ROUND(($J529-$I529)*24-$K529/60,2))</f>
        <v/>
      </c>
      <c r="M529" s="29">
        <f>IF($C529="","",IF(AND(COUNTIF(設定!$B$14:$B$20,$F529)&gt;0,$I529&lt;&gt;""),"假日出勤",IF(AND(COUNTIF(設定!$B$5:$B$13,$F529)&gt;0,$I529=""),"未打卡",IF($I529="","",IF($N529&gt;0,"遲到",IF($O529&gt;0,"早退","正常"))))))</f>
        <v/>
      </c>
      <c r="N529" s="32">
        <f>IF(OR($C529="",$G529="",$I529=""),0,IF(ROUND(($I529-$G529)*1440,0)&gt;設定!$C$28,ROUND(($I529-$G529)*1440,0),0))</f>
        <v/>
      </c>
      <c r="O529" s="32">
        <f>IF(OR($C529="",$H529="",$J529=""),0,IF(ROUND(($H529-$J529)*1440,0)&gt;設定!$C$28,ROUND(($H529-$J529)*1440,0),0))</f>
        <v/>
      </c>
      <c r="P529" s="33">
        <f>IF($L529="",0,IF(($L529-IFERROR(INDEX(設定!$G$5:$G$20,MATCH($F529,設定!$B$5:$B$20,0)),0))*60&gt;=設定!$C$26,ROUND(FLOOR(($L529-IFERROR(INDEX(設定!$G$5:$G$20,MATCH($F529,設定!$B$5:$B$20,0)),0))*60,設定!$C$27)/60,2),0))</f>
        <v/>
      </c>
      <c r="Q529" s="29">
        <f>IF(OR($C529="",$P529=0),"",IF($F529="國","國定假日",IF($B529="日","例假",IF($B529="六","休息日","平日"))))</f>
        <v/>
      </c>
      <c r="R529" s="34" t="n"/>
    </row>
    <row r="530">
      <c r="A530" s="30">
        <f>IF(OR(班表!$A23="",1&gt;DAY(EOMONTH(DATE(班表!$E$2,班表!$G$2,1),0))),"",DATE(班表!$E$2,班表!$G$2,1))</f>
        <v/>
      </c>
      <c r="B530" s="29">
        <f>IF($A530="","",INDEX(設定!$L$5:$L$11,WEEKDAY($A530,1)))</f>
        <v/>
      </c>
      <c r="C530" s="29">
        <f>IF($A530="","",班表!$A23)</f>
        <v/>
      </c>
      <c r="D530" s="29">
        <f>IF($C530="","",班表!$B23)</f>
        <v/>
      </c>
      <c r="E530" s="29">
        <f>IF($C530="","",班表!$C23)</f>
        <v/>
      </c>
      <c r="F530" s="29">
        <f>IF($C530="","",班表!D23)</f>
        <v/>
      </c>
      <c r="G530" s="31">
        <f>IF($F530="","",IFERROR(INDEX(設定!$D$5:$D$20,MATCH($F530,設定!$B$5:$B$20,0)),""))</f>
        <v/>
      </c>
      <c r="H530" s="31">
        <f>IF($F530="","",IFERROR(INDEX(設定!$E$5:$E$20,MATCH($F530,設定!$B$5:$B$20,0)),""))</f>
        <v/>
      </c>
      <c r="I530" s="31">
        <f>IFERROR(INDEX(打卡匯入!$C$3:$C$1002,MATCH($C530&amp;"|"&amp;DAY($A530),打卡匯入!$E$3:$E$1002,0)),"")</f>
        <v/>
      </c>
      <c r="J530" s="31">
        <f>IFERROR(INDEX(打卡匯入!$D$3:$D$1002,MATCH($C530&amp;"|"&amp;DAY($A530),打卡匯入!$E$3:$E$1002,0)),"")</f>
        <v/>
      </c>
      <c r="K530" s="32">
        <f>IF(OR($I530="",$J530=""),"",IFERROR(INDEX(設定!$F$5:$F$20,MATCH($F530,設定!$B$5:$B$20,0)),0))</f>
        <v/>
      </c>
      <c r="L530" s="33">
        <f>IF(OR($I530="",$J530=""),"",ROUND(($J530-$I530)*24-$K530/60,2))</f>
        <v/>
      </c>
      <c r="M530" s="29">
        <f>IF($C530="","",IF(AND(COUNTIF(設定!$B$14:$B$20,$F530)&gt;0,$I530&lt;&gt;""),"假日出勤",IF(AND(COUNTIF(設定!$B$5:$B$13,$F530)&gt;0,$I530=""),"未打卡",IF($I530="","",IF($N530&gt;0,"遲到",IF($O530&gt;0,"早退","正常"))))))</f>
        <v/>
      </c>
      <c r="N530" s="32">
        <f>IF(OR($C530="",$G530="",$I530=""),0,IF(ROUND(($I530-$G530)*1440,0)&gt;設定!$C$28,ROUND(($I530-$G530)*1440,0),0))</f>
        <v/>
      </c>
      <c r="O530" s="32">
        <f>IF(OR($C530="",$H530="",$J530=""),0,IF(ROUND(($H530-$J530)*1440,0)&gt;設定!$C$28,ROUND(($H530-$J530)*1440,0),0))</f>
        <v/>
      </c>
      <c r="P530" s="33">
        <f>IF($L530="",0,IF(($L530-IFERROR(INDEX(設定!$G$5:$G$20,MATCH($F530,設定!$B$5:$B$20,0)),0))*60&gt;=設定!$C$26,ROUND(FLOOR(($L530-IFERROR(INDEX(設定!$G$5:$G$20,MATCH($F530,設定!$B$5:$B$20,0)),0))*60,設定!$C$27)/60,2),0))</f>
        <v/>
      </c>
      <c r="Q530" s="29">
        <f>IF(OR($C530="",$P530=0),"",IF($F530="國","國定假日",IF($B530="日","例假",IF($B530="六","休息日","平日"))))</f>
        <v/>
      </c>
      <c r="R530" s="34" t="n"/>
    </row>
    <row r="531">
      <c r="A531" s="30">
        <f>IF(OR(班表!$A23="",2&gt;DAY(EOMONTH(DATE(班表!$E$2,班表!$G$2,1),0))),"",DATE(班表!$E$2,班表!$G$2,2))</f>
        <v/>
      </c>
      <c r="B531" s="29">
        <f>IF($A531="","",INDEX(設定!$L$5:$L$11,WEEKDAY($A531,1)))</f>
        <v/>
      </c>
      <c r="C531" s="29">
        <f>IF($A531="","",班表!$A23)</f>
        <v/>
      </c>
      <c r="D531" s="29">
        <f>IF($C531="","",班表!$B23)</f>
        <v/>
      </c>
      <c r="E531" s="29">
        <f>IF($C531="","",班表!$C23)</f>
        <v/>
      </c>
      <c r="F531" s="29">
        <f>IF($C531="","",班表!E23)</f>
        <v/>
      </c>
      <c r="G531" s="31">
        <f>IF($F531="","",IFERROR(INDEX(設定!$D$5:$D$20,MATCH($F531,設定!$B$5:$B$20,0)),""))</f>
        <v/>
      </c>
      <c r="H531" s="31">
        <f>IF($F531="","",IFERROR(INDEX(設定!$E$5:$E$20,MATCH($F531,設定!$B$5:$B$20,0)),""))</f>
        <v/>
      </c>
      <c r="I531" s="31">
        <f>IFERROR(INDEX(打卡匯入!$C$3:$C$1002,MATCH($C531&amp;"|"&amp;DAY($A531),打卡匯入!$E$3:$E$1002,0)),"")</f>
        <v/>
      </c>
      <c r="J531" s="31">
        <f>IFERROR(INDEX(打卡匯入!$D$3:$D$1002,MATCH($C531&amp;"|"&amp;DAY($A531),打卡匯入!$E$3:$E$1002,0)),"")</f>
        <v/>
      </c>
      <c r="K531" s="32">
        <f>IF(OR($I531="",$J531=""),"",IFERROR(INDEX(設定!$F$5:$F$20,MATCH($F531,設定!$B$5:$B$20,0)),0))</f>
        <v/>
      </c>
      <c r="L531" s="33">
        <f>IF(OR($I531="",$J531=""),"",ROUND(($J531-$I531)*24-$K531/60,2))</f>
        <v/>
      </c>
      <c r="M531" s="29">
        <f>IF($C531="","",IF(AND(COUNTIF(設定!$B$14:$B$20,$F531)&gt;0,$I531&lt;&gt;""),"假日出勤",IF(AND(COUNTIF(設定!$B$5:$B$13,$F531)&gt;0,$I531=""),"未打卡",IF($I531="","",IF($N531&gt;0,"遲到",IF($O531&gt;0,"早退","正常"))))))</f>
        <v/>
      </c>
      <c r="N531" s="32">
        <f>IF(OR($C531="",$G531="",$I531=""),0,IF(ROUND(($I531-$G531)*1440,0)&gt;設定!$C$28,ROUND(($I531-$G531)*1440,0),0))</f>
        <v/>
      </c>
      <c r="O531" s="32">
        <f>IF(OR($C531="",$H531="",$J531=""),0,IF(ROUND(($H531-$J531)*1440,0)&gt;設定!$C$28,ROUND(($H531-$J531)*1440,0),0))</f>
        <v/>
      </c>
      <c r="P531" s="33">
        <f>IF($L531="",0,IF(($L531-IFERROR(INDEX(設定!$G$5:$G$20,MATCH($F531,設定!$B$5:$B$20,0)),0))*60&gt;=設定!$C$26,ROUND(FLOOR(($L531-IFERROR(INDEX(設定!$G$5:$G$20,MATCH($F531,設定!$B$5:$B$20,0)),0))*60,設定!$C$27)/60,2),0))</f>
        <v/>
      </c>
      <c r="Q531" s="29">
        <f>IF(OR($C531="",$P531=0),"",IF($F531="國","國定假日",IF($B531="日","例假",IF($B531="六","休息日","平日"))))</f>
        <v/>
      </c>
      <c r="R531" s="34" t="n"/>
    </row>
    <row r="532">
      <c r="A532" s="30">
        <f>IF(OR(班表!$A23="",3&gt;DAY(EOMONTH(DATE(班表!$E$2,班表!$G$2,1),0))),"",DATE(班表!$E$2,班表!$G$2,3))</f>
        <v/>
      </c>
      <c r="B532" s="29">
        <f>IF($A532="","",INDEX(設定!$L$5:$L$11,WEEKDAY($A532,1)))</f>
        <v/>
      </c>
      <c r="C532" s="29">
        <f>IF($A532="","",班表!$A23)</f>
        <v/>
      </c>
      <c r="D532" s="29">
        <f>IF($C532="","",班表!$B23)</f>
        <v/>
      </c>
      <c r="E532" s="29">
        <f>IF($C532="","",班表!$C23)</f>
        <v/>
      </c>
      <c r="F532" s="29">
        <f>IF($C532="","",班表!F23)</f>
        <v/>
      </c>
      <c r="G532" s="31">
        <f>IF($F532="","",IFERROR(INDEX(設定!$D$5:$D$20,MATCH($F532,設定!$B$5:$B$20,0)),""))</f>
        <v/>
      </c>
      <c r="H532" s="31">
        <f>IF($F532="","",IFERROR(INDEX(設定!$E$5:$E$20,MATCH($F532,設定!$B$5:$B$20,0)),""))</f>
        <v/>
      </c>
      <c r="I532" s="31">
        <f>IFERROR(INDEX(打卡匯入!$C$3:$C$1002,MATCH($C532&amp;"|"&amp;DAY($A532),打卡匯入!$E$3:$E$1002,0)),"")</f>
        <v/>
      </c>
      <c r="J532" s="31">
        <f>IFERROR(INDEX(打卡匯入!$D$3:$D$1002,MATCH($C532&amp;"|"&amp;DAY($A532),打卡匯入!$E$3:$E$1002,0)),"")</f>
        <v/>
      </c>
      <c r="K532" s="32">
        <f>IF(OR($I532="",$J532=""),"",IFERROR(INDEX(設定!$F$5:$F$20,MATCH($F532,設定!$B$5:$B$20,0)),0))</f>
        <v/>
      </c>
      <c r="L532" s="33">
        <f>IF(OR($I532="",$J532=""),"",ROUND(($J532-$I532)*24-$K532/60,2))</f>
        <v/>
      </c>
      <c r="M532" s="29">
        <f>IF($C532="","",IF(AND(COUNTIF(設定!$B$14:$B$20,$F532)&gt;0,$I532&lt;&gt;""),"假日出勤",IF(AND(COUNTIF(設定!$B$5:$B$13,$F532)&gt;0,$I532=""),"未打卡",IF($I532="","",IF($N532&gt;0,"遲到",IF($O532&gt;0,"早退","正常"))))))</f>
        <v/>
      </c>
      <c r="N532" s="32">
        <f>IF(OR($C532="",$G532="",$I532=""),0,IF(ROUND(($I532-$G532)*1440,0)&gt;設定!$C$28,ROUND(($I532-$G532)*1440,0),0))</f>
        <v/>
      </c>
      <c r="O532" s="32">
        <f>IF(OR($C532="",$H532="",$J532=""),0,IF(ROUND(($H532-$J532)*1440,0)&gt;設定!$C$28,ROUND(($H532-$J532)*1440,0),0))</f>
        <v/>
      </c>
      <c r="P532" s="33">
        <f>IF($L532="",0,IF(($L532-IFERROR(INDEX(設定!$G$5:$G$20,MATCH($F532,設定!$B$5:$B$20,0)),0))*60&gt;=設定!$C$26,ROUND(FLOOR(($L532-IFERROR(INDEX(設定!$G$5:$G$20,MATCH($F532,設定!$B$5:$B$20,0)),0))*60,設定!$C$27)/60,2),0))</f>
        <v/>
      </c>
      <c r="Q532" s="29">
        <f>IF(OR($C532="",$P532=0),"",IF($F532="國","國定假日",IF($B532="日","例假",IF($B532="六","休息日","平日"))))</f>
        <v/>
      </c>
      <c r="R532" s="34" t="n"/>
    </row>
    <row r="533">
      <c r="A533" s="30">
        <f>IF(OR(班表!$A23="",4&gt;DAY(EOMONTH(DATE(班表!$E$2,班表!$G$2,1),0))),"",DATE(班表!$E$2,班表!$G$2,4))</f>
        <v/>
      </c>
      <c r="B533" s="29">
        <f>IF($A533="","",INDEX(設定!$L$5:$L$11,WEEKDAY($A533,1)))</f>
        <v/>
      </c>
      <c r="C533" s="29">
        <f>IF($A533="","",班表!$A23)</f>
        <v/>
      </c>
      <c r="D533" s="29">
        <f>IF($C533="","",班表!$B23)</f>
        <v/>
      </c>
      <c r="E533" s="29">
        <f>IF($C533="","",班表!$C23)</f>
        <v/>
      </c>
      <c r="F533" s="29">
        <f>IF($C533="","",班表!G23)</f>
        <v/>
      </c>
      <c r="G533" s="31">
        <f>IF($F533="","",IFERROR(INDEX(設定!$D$5:$D$20,MATCH($F533,設定!$B$5:$B$20,0)),""))</f>
        <v/>
      </c>
      <c r="H533" s="31">
        <f>IF($F533="","",IFERROR(INDEX(設定!$E$5:$E$20,MATCH($F533,設定!$B$5:$B$20,0)),""))</f>
        <v/>
      </c>
      <c r="I533" s="31">
        <f>IFERROR(INDEX(打卡匯入!$C$3:$C$1002,MATCH($C533&amp;"|"&amp;DAY($A533),打卡匯入!$E$3:$E$1002,0)),"")</f>
        <v/>
      </c>
      <c r="J533" s="31">
        <f>IFERROR(INDEX(打卡匯入!$D$3:$D$1002,MATCH($C533&amp;"|"&amp;DAY($A533),打卡匯入!$E$3:$E$1002,0)),"")</f>
        <v/>
      </c>
      <c r="K533" s="32">
        <f>IF(OR($I533="",$J533=""),"",IFERROR(INDEX(設定!$F$5:$F$20,MATCH($F533,設定!$B$5:$B$20,0)),0))</f>
        <v/>
      </c>
      <c r="L533" s="33">
        <f>IF(OR($I533="",$J533=""),"",ROUND(($J533-$I533)*24-$K533/60,2))</f>
        <v/>
      </c>
      <c r="M533" s="29">
        <f>IF($C533="","",IF(AND(COUNTIF(設定!$B$14:$B$20,$F533)&gt;0,$I533&lt;&gt;""),"假日出勤",IF(AND(COUNTIF(設定!$B$5:$B$13,$F533)&gt;0,$I533=""),"未打卡",IF($I533="","",IF($N533&gt;0,"遲到",IF($O533&gt;0,"早退","正常"))))))</f>
        <v/>
      </c>
      <c r="N533" s="32">
        <f>IF(OR($C533="",$G533="",$I533=""),0,IF(ROUND(($I533-$G533)*1440,0)&gt;設定!$C$28,ROUND(($I533-$G533)*1440,0),0))</f>
        <v/>
      </c>
      <c r="O533" s="32">
        <f>IF(OR($C533="",$H533="",$J533=""),0,IF(ROUND(($H533-$J533)*1440,0)&gt;設定!$C$28,ROUND(($H533-$J533)*1440,0),0))</f>
        <v/>
      </c>
      <c r="P533" s="33">
        <f>IF($L533="",0,IF(($L533-IFERROR(INDEX(設定!$G$5:$G$20,MATCH($F533,設定!$B$5:$B$20,0)),0))*60&gt;=設定!$C$26,ROUND(FLOOR(($L533-IFERROR(INDEX(設定!$G$5:$G$20,MATCH($F533,設定!$B$5:$B$20,0)),0))*60,設定!$C$27)/60,2),0))</f>
        <v/>
      </c>
      <c r="Q533" s="29">
        <f>IF(OR($C533="",$P533=0),"",IF($F533="國","國定假日",IF($B533="日","例假",IF($B533="六","休息日","平日"))))</f>
        <v/>
      </c>
      <c r="R533" s="34" t="n"/>
    </row>
    <row r="534">
      <c r="A534" s="30">
        <f>IF(OR(班表!$A23="",5&gt;DAY(EOMONTH(DATE(班表!$E$2,班表!$G$2,1),0))),"",DATE(班表!$E$2,班表!$G$2,5))</f>
        <v/>
      </c>
      <c r="B534" s="29">
        <f>IF($A534="","",INDEX(設定!$L$5:$L$11,WEEKDAY($A534,1)))</f>
        <v/>
      </c>
      <c r="C534" s="29">
        <f>IF($A534="","",班表!$A23)</f>
        <v/>
      </c>
      <c r="D534" s="29">
        <f>IF($C534="","",班表!$B23)</f>
        <v/>
      </c>
      <c r="E534" s="29">
        <f>IF($C534="","",班表!$C23)</f>
        <v/>
      </c>
      <c r="F534" s="29">
        <f>IF($C534="","",班表!H23)</f>
        <v/>
      </c>
      <c r="G534" s="31">
        <f>IF($F534="","",IFERROR(INDEX(設定!$D$5:$D$20,MATCH($F534,設定!$B$5:$B$20,0)),""))</f>
        <v/>
      </c>
      <c r="H534" s="31">
        <f>IF($F534="","",IFERROR(INDEX(設定!$E$5:$E$20,MATCH($F534,設定!$B$5:$B$20,0)),""))</f>
        <v/>
      </c>
      <c r="I534" s="31">
        <f>IFERROR(INDEX(打卡匯入!$C$3:$C$1002,MATCH($C534&amp;"|"&amp;DAY($A534),打卡匯入!$E$3:$E$1002,0)),"")</f>
        <v/>
      </c>
      <c r="J534" s="31">
        <f>IFERROR(INDEX(打卡匯入!$D$3:$D$1002,MATCH($C534&amp;"|"&amp;DAY($A534),打卡匯入!$E$3:$E$1002,0)),"")</f>
        <v/>
      </c>
      <c r="K534" s="32">
        <f>IF(OR($I534="",$J534=""),"",IFERROR(INDEX(設定!$F$5:$F$20,MATCH($F534,設定!$B$5:$B$20,0)),0))</f>
        <v/>
      </c>
      <c r="L534" s="33">
        <f>IF(OR($I534="",$J534=""),"",ROUND(($J534-$I534)*24-$K534/60,2))</f>
        <v/>
      </c>
      <c r="M534" s="29">
        <f>IF($C534="","",IF(AND(COUNTIF(設定!$B$14:$B$20,$F534)&gt;0,$I534&lt;&gt;""),"假日出勤",IF(AND(COUNTIF(設定!$B$5:$B$13,$F534)&gt;0,$I534=""),"未打卡",IF($I534="","",IF($N534&gt;0,"遲到",IF($O534&gt;0,"早退","正常"))))))</f>
        <v/>
      </c>
      <c r="N534" s="32">
        <f>IF(OR($C534="",$G534="",$I534=""),0,IF(ROUND(($I534-$G534)*1440,0)&gt;設定!$C$28,ROUND(($I534-$G534)*1440,0),0))</f>
        <v/>
      </c>
      <c r="O534" s="32">
        <f>IF(OR($C534="",$H534="",$J534=""),0,IF(ROUND(($H534-$J534)*1440,0)&gt;設定!$C$28,ROUND(($H534-$J534)*1440,0),0))</f>
        <v/>
      </c>
      <c r="P534" s="33">
        <f>IF($L534="",0,IF(($L534-IFERROR(INDEX(設定!$G$5:$G$20,MATCH($F534,設定!$B$5:$B$20,0)),0))*60&gt;=設定!$C$26,ROUND(FLOOR(($L534-IFERROR(INDEX(設定!$G$5:$G$20,MATCH($F534,設定!$B$5:$B$20,0)),0))*60,設定!$C$27)/60,2),0))</f>
        <v/>
      </c>
      <c r="Q534" s="29">
        <f>IF(OR($C534="",$P534=0),"",IF($F534="國","國定假日",IF($B534="日","例假",IF($B534="六","休息日","平日"))))</f>
        <v/>
      </c>
      <c r="R534" s="34" t="n"/>
    </row>
    <row r="535">
      <c r="A535" s="30">
        <f>IF(OR(班表!$A23="",6&gt;DAY(EOMONTH(DATE(班表!$E$2,班表!$G$2,1),0))),"",DATE(班表!$E$2,班表!$G$2,6))</f>
        <v/>
      </c>
      <c r="B535" s="29">
        <f>IF($A535="","",INDEX(設定!$L$5:$L$11,WEEKDAY($A535,1)))</f>
        <v/>
      </c>
      <c r="C535" s="29">
        <f>IF($A535="","",班表!$A23)</f>
        <v/>
      </c>
      <c r="D535" s="29">
        <f>IF($C535="","",班表!$B23)</f>
        <v/>
      </c>
      <c r="E535" s="29">
        <f>IF($C535="","",班表!$C23)</f>
        <v/>
      </c>
      <c r="F535" s="29">
        <f>IF($C535="","",班表!I23)</f>
        <v/>
      </c>
      <c r="G535" s="31">
        <f>IF($F535="","",IFERROR(INDEX(設定!$D$5:$D$20,MATCH($F535,設定!$B$5:$B$20,0)),""))</f>
        <v/>
      </c>
      <c r="H535" s="31">
        <f>IF($F535="","",IFERROR(INDEX(設定!$E$5:$E$20,MATCH($F535,設定!$B$5:$B$20,0)),""))</f>
        <v/>
      </c>
      <c r="I535" s="31">
        <f>IFERROR(INDEX(打卡匯入!$C$3:$C$1002,MATCH($C535&amp;"|"&amp;DAY($A535),打卡匯入!$E$3:$E$1002,0)),"")</f>
        <v/>
      </c>
      <c r="J535" s="31">
        <f>IFERROR(INDEX(打卡匯入!$D$3:$D$1002,MATCH($C535&amp;"|"&amp;DAY($A535),打卡匯入!$E$3:$E$1002,0)),"")</f>
        <v/>
      </c>
      <c r="K535" s="32">
        <f>IF(OR($I535="",$J535=""),"",IFERROR(INDEX(設定!$F$5:$F$20,MATCH($F535,設定!$B$5:$B$20,0)),0))</f>
        <v/>
      </c>
      <c r="L535" s="33">
        <f>IF(OR($I535="",$J535=""),"",ROUND(($J535-$I535)*24-$K535/60,2))</f>
        <v/>
      </c>
      <c r="M535" s="29">
        <f>IF($C535="","",IF(AND(COUNTIF(設定!$B$14:$B$20,$F535)&gt;0,$I535&lt;&gt;""),"假日出勤",IF(AND(COUNTIF(設定!$B$5:$B$13,$F535)&gt;0,$I535=""),"未打卡",IF($I535="","",IF($N535&gt;0,"遲到",IF($O535&gt;0,"早退","正常"))))))</f>
        <v/>
      </c>
      <c r="N535" s="32">
        <f>IF(OR($C535="",$G535="",$I535=""),0,IF(ROUND(($I535-$G535)*1440,0)&gt;設定!$C$28,ROUND(($I535-$G535)*1440,0),0))</f>
        <v/>
      </c>
      <c r="O535" s="32">
        <f>IF(OR($C535="",$H535="",$J535=""),0,IF(ROUND(($H535-$J535)*1440,0)&gt;設定!$C$28,ROUND(($H535-$J535)*1440,0),0))</f>
        <v/>
      </c>
      <c r="P535" s="33">
        <f>IF($L535="",0,IF(($L535-IFERROR(INDEX(設定!$G$5:$G$20,MATCH($F535,設定!$B$5:$B$20,0)),0))*60&gt;=設定!$C$26,ROUND(FLOOR(($L535-IFERROR(INDEX(設定!$G$5:$G$20,MATCH($F535,設定!$B$5:$B$20,0)),0))*60,設定!$C$27)/60,2),0))</f>
        <v/>
      </c>
      <c r="Q535" s="29">
        <f>IF(OR($C535="",$P535=0),"",IF($F535="國","國定假日",IF($B535="日","例假",IF($B535="六","休息日","平日"))))</f>
        <v/>
      </c>
      <c r="R535" s="34" t="n"/>
    </row>
    <row r="536">
      <c r="A536" s="30">
        <f>IF(OR(班表!$A23="",7&gt;DAY(EOMONTH(DATE(班表!$E$2,班表!$G$2,1),0))),"",DATE(班表!$E$2,班表!$G$2,7))</f>
        <v/>
      </c>
      <c r="B536" s="29">
        <f>IF($A536="","",INDEX(設定!$L$5:$L$11,WEEKDAY($A536,1)))</f>
        <v/>
      </c>
      <c r="C536" s="29">
        <f>IF($A536="","",班表!$A23)</f>
        <v/>
      </c>
      <c r="D536" s="29">
        <f>IF($C536="","",班表!$B23)</f>
        <v/>
      </c>
      <c r="E536" s="29">
        <f>IF($C536="","",班表!$C23)</f>
        <v/>
      </c>
      <c r="F536" s="29">
        <f>IF($C536="","",班表!J23)</f>
        <v/>
      </c>
      <c r="G536" s="31">
        <f>IF($F536="","",IFERROR(INDEX(設定!$D$5:$D$20,MATCH($F536,設定!$B$5:$B$20,0)),""))</f>
        <v/>
      </c>
      <c r="H536" s="31">
        <f>IF($F536="","",IFERROR(INDEX(設定!$E$5:$E$20,MATCH($F536,設定!$B$5:$B$20,0)),""))</f>
        <v/>
      </c>
      <c r="I536" s="31">
        <f>IFERROR(INDEX(打卡匯入!$C$3:$C$1002,MATCH($C536&amp;"|"&amp;DAY($A536),打卡匯入!$E$3:$E$1002,0)),"")</f>
        <v/>
      </c>
      <c r="J536" s="31">
        <f>IFERROR(INDEX(打卡匯入!$D$3:$D$1002,MATCH($C536&amp;"|"&amp;DAY($A536),打卡匯入!$E$3:$E$1002,0)),"")</f>
        <v/>
      </c>
      <c r="K536" s="32">
        <f>IF(OR($I536="",$J536=""),"",IFERROR(INDEX(設定!$F$5:$F$20,MATCH($F536,設定!$B$5:$B$20,0)),0))</f>
        <v/>
      </c>
      <c r="L536" s="33">
        <f>IF(OR($I536="",$J536=""),"",ROUND(($J536-$I536)*24-$K536/60,2))</f>
        <v/>
      </c>
      <c r="M536" s="29">
        <f>IF($C536="","",IF(AND(COUNTIF(設定!$B$14:$B$20,$F536)&gt;0,$I536&lt;&gt;""),"假日出勤",IF(AND(COUNTIF(設定!$B$5:$B$13,$F536)&gt;0,$I536=""),"未打卡",IF($I536="","",IF($N536&gt;0,"遲到",IF($O536&gt;0,"早退","正常"))))))</f>
        <v/>
      </c>
      <c r="N536" s="32">
        <f>IF(OR($C536="",$G536="",$I536=""),0,IF(ROUND(($I536-$G536)*1440,0)&gt;設定!$C$28,ROUND(($I536-$G536)*1440,0),0))</f>
        <v/>
      </c>
      <c r="O536" s="32">
        <f>IF(OR($C536="",$H536="",$J536=""),0,IF(ROUND(($H536-$J536)*1440,0)&gt;設定!$C$28,ROUND(($H536-$J536)*1440,0),0))</f>
        <v/>
      </c>
      <c r="P536" s="33">
        <f>IF($L536="",0,IF(($L536-IFERROR(INDEX(設定!$G$5:$G$20,MATCH($F536,設定!$B$5:$B$20,0)),0))*60&gt;=設定!$C$26,ROUND(FLOOR(($L536-IFERROR(INDEX(設定!$G$5:$G$20,MATCH($F536,設定!$B$5:$B$20,0)),0))*60,設定!$C$27)/60,2),0))</f>
        <v/>
      </c>
      <c r="Q536" s="29">
        <f>IF(OR($C536="",$P536=0),"",IF($F536="國","國定假日",IF($B536="日","例假",IF($B536="六","休息日","平日"))))</f>
        <v/>
      </c>
      <c r="R536" s="34" t="n"/>
    </row>
    <row r="537">
      <c r="A537" s="30">
        <f>IF(OR(班表!$A23="",8&gt;DAY(EOMONTH(DATE(班表!$E$2,班表!$G$2,1),0))),"",DATE(班表!$E$2,班表!$G$2,8))</f>
        <v/>
      </c>
      <c r="B537" s="29">
        <f>IF($A537="","",INDEX(設定!$L$5:$L$11,WEEKDAY($A537,1)))</f>
        <v/>
      </c>
      <c r="C537" s="29">
        <f>IF($A537="","",班表!$A23)</f>
        <v/>
      </c>
      <c r="D537" s="29">
        <f>IF($C537="","",班表!$B23)</f>
        <v/>
      </c>
      <c r="E537" s="29">
        <f>IF($C537="","",班表!$C23)</f>
        <v/>
      </c>
      <c r="F537" s="29">
        <f>IF($C537="","",班表!K23)</f>
        <v/>
      </c>
      <c r="G537" s="31">
        <f>IF($F537="","",IFERROR(INDEX(設定!$D$5:$D$20,MATCH($F537,設定!$B$5:$B$20,0)),""))</f>
        <v/>
      </c>
      <c r="H537" s="31">
        <f>IF($F537="","",IFERROR(INDEX(設定!$E$5:$E$20,MATCH($F537,設定!$B$5:$B$20,0)),""))</f>
        <v/>
      </c>
      <c r="I537" s="31">
        <f>IFERROR(INDEX(打卡匯入!$C$3:$C$1002,MATCH($C537&amp;"|"&amp;DAY($A537),打卡匯入!$E$3:$E$1002,0)),"")</f>
        <v/>
      </c>
      <c r="J537" s="31">
        <f>IFERROR(INDEX(打卡匯入!$D$3:$D$1002,MATCH($C537&amp;"|"&amp;DAY($A537),打卡匯入!$E$3:$E$1002,0)),"")</f>
        <v/>
      </c>
      <c r="K537" s="32">
        <f>IF(OR($I537="",$J537=""),"",IFERROR(INDEX(設定!$F$5:$F$20,MATCH($F537,設定!$B$5:$B$20,0)),0))</f>
        <v/>
      </c>
      <c r="L537" s="33">
        <f>IF(OR($I537="",$J537=""),"",ROUND(($J537-$I537)*24-$K537/60,2))</f>
        <v/>
      </c>
      <c r="M537" s="29">
        <f>IF($C537="","",IF(AND(COUNTIF(設定!$B$14:$B$20,$F537)&gt;0,$I537&lt;&gt;""),"假日出勤",IF(AND(COUNTIF(設定!$B$5:$B$13,$F537)&gt;0,$I537=""),"未打卡",IF($I537="","",IF($N537&gt;0,"遲到",IF($O537&gt;0,"早退","正常"))))))</f>
        <v/>
      </c>
      <c r="N537" s="32">
        <f>IF(OR($C537="",$G537="",$I537=""),0,IF(ROUND(($I537-$G537)*1440,0)&gt;設定!$C$28,ROUND(($I537-$G537)*1440,0),0))</f>
        <v/>
      </c>
      <c r="O537" s="32">
        <f>IF(OR($C537="",$H537="",$J537=""),0,IF(ROUND(($H537-$J537)*1440,0)&gt;設定!$C$28,ROUND(($H537-$J537)*1440,0),0))</f>
        <v/>
      </c>
      <c r="P537" s="33">
        <f>IF($L537="",0,IF(($L537-IFERROR(INDEX(設定!$G$5:$G$20,MATCH($F537,設定!$B$5:$B$20,0)),0))*60&gt;=設定!$C$26,ROUND(FLOOR(($L537-IFERROR(INDEX(設定!$G$5:$G$20,MATCH($F537,設定!$B$5:$B$20,0)),0))*60,設定!$C$27)/60,2),0))</f>
        <v/>
      </c>
      <c r="Q537" s="29">
        <f>IF(OR($C537="",$P537=0),"",IF($F537="國","國定假日",IF($B537="日","例假",IF($B537="六","休息日","平日"))))</f>
        <v/>
      </c>
      <c r="R537" s="34" t="n"/>
    </row>
    <row r="538">
      <c r="A538" s="30">
        <f>IF(OR(班表!$A23="",9&gt;DAY(EOMONTH(DATE(班表!$E$2,班表!$G$2,1),0))),"",DATE(班表!$E$2,班表!$G$2,9))</f>
        <v/>
      </c>
      <c r="B538" s="29">
        <f>IF($A538="","",INDEX(設定!$L$5:$L$11,WEEKDAY($A538,1)))</f>
        <v/>
      </c>
      <c r="C538" s="29">
        <f>IF($A538="","",班表!$A23)</f>
        <v/>
      </c>
      <c r="D538" s="29">
        <f>IF($C538="","",班表!$B23)</f>
        <v/>
      </c>
      <c r="E538" s="29">
        <f>IF($C538="","",班表!$C23)</f>
        <v/>
      </c>
      <c r="F538" s="29">
        <f>IF($C538="","",班表!L23)</f>
        <v/>
      </c>
      <c r="G538" s="31">
        <f>IF($F538="","",IFERROR(INDEX(設定!$D$5:$D$20,MATCH($F538,設定!$B$5:$B$20,0)),""))</f>
        <v/>
      </c>
      <c r="H538" s="31">
        <f>IF($F538="","",IFERROR(INDEX(設定!$E$5:$E$20,MATCH($F538,設定!$B$5:$B$20,0)),""))</f>
        <v/>
      </c>
      <c r="I538" s="31">
        <f>IFERROR(INDEX(打卡匯入!$C$3:$C$1002,MATCH($C538&amp;"|"&amp;DAY($A538),打卡匯入!$E$3:$E$1002,0)),"")</f>
        <v/>
      </c>
      <c r="J538" s="31">
        <f>IFERROR(INDEX(打卡匯入!$D$3:$D$1002,MATCH($C538&amp;"|"&amp;DAY($A538),打卡匯入!$E$3:$E$1002,0)),"")</f>
        <v/>
      </c>
      <c r="K538" s="32">
        <f>IF(OR($I538="",$J538=""),"",IFERROR(INDEX(設定!$F$5:$F$20,MATCH($F538,設定!$B$5:$B$20,0)),0))</f>
        <v/>
      </c>
      <c r="L538" s="33">
        <f>IF(OR($I538="",$J538=""),"",ROUND(($J538-$I538)*24-$K538/60,2))</f>
        <v/>
      </c>
      <c r="M538" s="29">
        <f>IF($C538="","",IF(AND(COUNTIF(設定!$B$14:$B$20,$F538)&gt;0,$I538&lt;&gt;""),"假日出勤",IF(AND(COUNTIF(設定!$B$5:$B$13,$F538)&gt;0,$I538=""),"未打卡",IF($I538="","",IF($N538&gt;0,"遲到",IF($O538&gt;0,"早退","正常"))))))</f>
        <v/>
      </c>
      <c r="N538" s="32">
        <f>IF(OR($C538="",$G538="",$I538=""),0,IF(ROUND(($I538-$G538)*1440,0)&gt;設定!$C$28,ROUND(($I538-$G538)*1440,0),0))</f>
        <v/>
      </c>
      <c r="O538" s="32">
        <f>IF(OR($C538="",$H538="",$J538=""),0,IF(ROUND(($H538-$J538)*1440,0)&gt;設定!$C$28,ROUND(($H538-$J538)*1440,0),0))</f>
        <v/>
      </c>
      <c r="P538" s="33">
        <f>IF($L538="",0,IF(($L538-IFERROR(INDEX(設定!$G$5:$G$20,MATCH($F538,設定!$B$5:$B$20,0)),0))*60&gt;=設定!$C$26,ROUND(FLOOR(($L538-IFERROR(INDEX(設定!$G$5:$G$20,MATCH($F538,設定!$B$5:$B$20,0)),0))*60,設定!$C$27)/60,2),0))</f>
        <v/>
      </c>
      <c r="Q538" s="29">
        <f>IF(OR($C538="",$P538=0),"",IF($F538="國","國定假日",IF($B538="日","例假",IF($B538="六","休息日","平日"))))</f>
        <v/>
      </c>
      <c r="R538" s="34" t="n"/>
    </row>
    <row r="539">
      <c r="A539" s="30">
        <f>IF(OR(班表!$A23="",10&gt;DAY(EOMONTH(DATE(班表!$E$2,班表!$G$2,1),0))),"",DATE(班表!$E$2,班表!$G$2,10))</f>
        <v/>
      </c>
      <c r="B539" s="29">
        <f>IF($A539="","",INDEX(設定!$L$5:$L$11,WEEKDAY($A539,1)))</f>
        <v/>
      </c>
      <c r="C539" s="29">
        <f>IF($A539="","",班表!$A23)</f>
        <v/>
      </c>
      <c r="D539" s="29">
        <f>IF($C539="","",班表!$B23)</f>
        <v/>
      </c>
      <c r="E539" s="29">
        <f>IF($C539="","",班表!$C23)</f>
        <v/>
      </c>
      <c r="F539" s="29">
        <f>IF($C539="","",班表!M23)</f>
        <v/>
      </c>
      <c r="G539" s="31">
        <f>IF($F539="","",IFERROR(INDEX(設定!$D$5:$D$20,MATCH($F539,設定!$B$5:$B$20,0)),""))</f>
        <v/>
      </c>
      <c r="H539" s="31">
        <f>IF($F539="","",IFERROR(INDEX(設定!$E$5:$E$20,MATCH($F539,設定!$B$5:$B$20,0)),""))</f>
        <v/>
      </c>
      <c r="I539" s="31">
        <f>IFERROR(INDEX(打卡匯入!$C$3:$C$1002,MATCH($C539&amp;"|"&amp;DAY($A539),打卡匯入!$E$3:$E$1002,0)),"")</f>
        <v/>
      </c>
      <c r="J539" s="31">
        <f>IFERROR(INDEX(打卡匯入!$D$3:$D$1002,MATCH($C539&amp;"|"&amp;DAY($A539),打卡匯入!$E$3:$E$1002,0)),"")</f>
        <v/>
      </c>
      <c r="K539" s="32">
        <f>IF(OR($I539="",$J539=""),"",IFERROR(INDEX(設定!$F$5:$F$20,MATCH($F539,設定!$B$5:$B$20,0)),0))</f>
        <v/>
      </c>
      <c r="L539" s="33">
        <f>IF(OR($I539="",$J539=""),"",ROUND(($J539-$I539)*24-$K539/60,2))</f>
        <v/>
      </c>
      <c r="M539" s="29">
        <f>IF($C539="","",IF(AND(COUNTIF(設定!$B$14:$B$20,$F539)&gt;0,$I539&lt;&gt;""),"假日出勤",IF(AND(COUNTIF(設定!$B$5:$B$13,$F539)&gt;0,$I539=""),"未打卡",IF($I539="","",IF($N539&gt;0,"遲到",IF($O539&gt;0,"早退","正常"))))))</f>
        <v/>
      </c>
      <c r="N539" s="32">
        <f>IF(OR($C539="",$G539="",$I539=""),0,IF(ROUND(($I539-$G539)*1440,0)&gt;設定!$C$28,ROUND(($I539-$G539)*1440,0),0))</f>
        <v/>
      </c>
      <c r="O539" s="32">
        <f>IF(OR($C539="",$H539="",$J539=""),0,IF(ROUND(($H539-$J539)*1440,0)&gt;設定!$C$28,ROUND(($H539-$J539)*1440,0),0))</f>
        <v/>
      </c>
      <c r="P539" s="33">
        <f>IF($L539="",0,IF(($L539-IFERROR(INDEX(設定!$G$5:$G$20,MATCH($F539,設定!$B$5:$B$20,0)),0))*60&gt;=設定!$C$26,ROUND(FLOOR(($L539-IFERROR(INDEX(設定!$G$5:$G$20,MATCH($F539,設定!$B$5:$B$20,0)),0))*60,設定!$C$27)/60,2),0))</f>
        <v/>
      </c>
      <c r="Q539" s="29">
        <f>IF(OR($C539="",$P539=0),"",IF($F539="國","國定假日",IF($B539="日","例假",IF($B539="六","休息日","平日"))))</f>
        <v/>
      </c>
      <c r="R539" s="34" t="n"/>
    </row>
    <row r="540">
      <c r="A540" s="30">
        <f>IF(OR(班表!$A23="",11&gt;DAY(EOMONTH(DATE(班表!$E$2,班表!$G$2,1),0))),"",DATE(班表!$E$2,班表!$G$2,11))</f>
        <v/>
      </c>
      <c r="B540" s="29">
        <f>IF($A540="","",INDEX(設定!$L$5:$L$11,WEEKDAY($A540,1)))</f>
        <v/>
      </c>
      <c r="C540" s="29">
        <f>IF($A540="","",班表!$A23)</f>
        <v/>
      </c>
      <c r="D540" s="29">
        <f>IF($C540="","",班表!$B23)</f>
        <v/>
      </c>
      <c r="E540" s="29">
        <f>IF($C540="","",班表!$C23)</f>
        <v/>
      </c>
      <c r="F540" s="29">
        <f>IF($C540="","",班表!N23)</f>
        <v/>
      </c>
      <c r="G540" s="31">
        <f>IF($F540="","",IFERROR(INDEX(設定!$D$5:$D$20,MATCH($F540,設定!$B$5:$B$20,0)),""))</f>
        <v/>
      </c>
      <c r="H540" s="31">
        <f>IF($F540="","",IFERROR(INDEX(設定!$E$5:$E$20,MATCH($F540,設定!$B$5:$B$20,0)),""))</f>
        <v/>
      </c>
      <c r="I540" s="31">
        <f>IFERROR(INDEX(打卡匯入!$C$3:$C$1002,MATCH($C540&amp;"|"&amp;DAY($A540),打卡匯入!$E$3:$E$1002,0)),"")</f>
        <v/>
      </c>
      <c r="J540" s="31">
        <f>IFERROR(INDEX(打卡匯入!$D$3:$D$1002,MATCH($C540&amp;"|"&amp;DAY($A540),打卡匯入!$E$3:$E$1002,0)),"")</f>
        <v/>
      </c>
      <c r="K540" s="32">
        <f>IF(OR($I540="",$J540=""),"",IFERROR(INDEX(設定!$F$5:$F$20,MATCH($F540,設定!$B$5:$B$20,0)),0))</f>
        <v/>
      </c>
      <c r="L540" s="33">
        <f>IF(OR($I540="",$J540=""),"",ROUND(($J540-$I540)*24-$K540/60,2))</f>
        <v/>
      </c>
      <c r="M540" s="29">
        <f>IF($C540="","",IF(AND(COUNTIF(設定!$B$14:$B$20,$F540)&gt;0,$I540&lt;&gt;""),"假日出勤",IF(AND(COUNTIF(設定!$B$5:$B$13,$F540)&gt;0,$I540=""),"未打卡",IF($I540="","",IF($N540&gt;0,"遲到",IF($O540&gt;0,"早退","正常"))))))</f>
        <v/>
      </c>
      <c r="N540" s="32">
        <f>IF(OR($C540="",$G540="",$I540=""),0,IF(ROUND(($I540-$G540)*1440,0)&gt;設定!$C$28,ROUND(($I540-$G540)*1440,0),0))</f>
        <v/>
      </c>
      <c r="O540" s="32">
        <f>IF(OR($C540="",$H540="",$J540=""),0,IF(ROUND(($H540-$J540)*1440,0)&gt;設定!$C$28,ROUND(($H540-$J540)*1440,0),0))</f>
        <v/>
      </c>
      <c r="P540" s="33">
        <f>IF($L540="",0,IF(($L540-IFERROR(INDEX(設定!$G$5:$G$20,MATCH($F540,設定!$B$5:$B$20,0)),0))*60&gt;=設定!$C$26,ROUND(FLOOR(($L540-IFERROR(INDEX(設定!$G$5:$G$20,MATCH($F540,設定!$B$5:$B$20,0)),0))*60,設定!$C$27)/60,2),0))</f>
        <v/>
      </c>
      <c r="Q540" s="29">
        <f>IF(OR($C540="",$P540=0),"",IF($F540="國","國定假日",IF($B540="日","例假",IF($B540="六","休息日","平日"))))</f>
        <v/>
      </c>
      <c r="R540" s="34" t="n"/>
    </row>
    <row r="541">
      <c r="A541" s="30">
        <f>IF(OR(班表!$A23="",12&gt;DAY(EOMONTH(DATE(班表!$E$2,班表!$G$2,1),0))),"",DATE(班表!$E$2,班表!$G$2,12))</f>
        <v/>
      </c>
      <c r="B541" s="29">
        <f>IF($A541="","",INDEX(設定!$L$5:$L$11,WEEKDAY($A541,1)))</f>
        <v/>
      </c>
      <c r="C541" s="29">
        <f>IF($A541="","",班表!$A23)</f>
        <v/>
      </c>
      <c r="D541" s="29">
        <f>IF($C541="","",班表!$B23)</f>
        <v/>
      </c>
      <c r="E541" s="29">
        <f>IF($C541="","",班表!$C23)</f>
        <v/>
      </c>
      <c r="F541" s="29">
        <f>IF($C541="","",班表!O23)</f>
        <v/>
      </c>
      <c r="G541" s="31">
        <f>IF($F541="","",IFERROR(INDEX(設定!$D$5:$D$20,MATCH($F541,設定!$B$5:$B$20,0)),""))</f>
        <v/>
      </c>
      <c r="H541" s="31">
        <f>IF($F541="","",IFERROR(INDEX(設定!$E$5:$E$20,MATCH($F541,設定!$B$5:$B$20,0)),""))</f>
        <v/>
      </c>
      <c r="I541" s="31">
        <f>IFERROR(INDEX(打卡匯入!$C$3:$C$1002,MATCH($C541&amp;"|"&amp;DAY($A541),打卡匯入!$E$3:$E$1002,0)),"")</f>
        <v/>
      </c>
      <c r="J541" s="31">
        <f>IFERROR(INDEX(打卡匯入!$D$3:$D$1002,MATCH($C541&amp;"|"&amp;DAY($A541),打卡匯入!$E$3:$E$1002,0)),"")</f>
        <v/>
      </c>
      <c r="K541" s="32">
        <f>IF(OR($I541="",$J541=""),"",IFERROR(INDEX(設定!$F$5:$F$20,MATCH($F541,設定!$B$5:$B$20,0)),0))</f>
        <v/>
      </c>
      <c r="L541" s="33">
        <f>IF(OR($I541="",$J541=""),"",ROUND(($J541-$I541)*24-$K541/60,2))</f>
        <v/>
      </c>
      <c r="M541" s="29">
        <f>IF($C541="","",IF(AND(COUNTIF(設定!$B$14:$B$20,$F541)&gt;0,$I541&lt;&gt;""),"假日出勤",IF(AND(COUNTIF(設定!$B$5:$B$13,$F541)&gt;0,$I541=""),"未打卡",IF($I541="","",IF($N541&gt;0,"遲到",IF($O541&gt;0,"早退","正常"))))))</f>
        <v/>
      </c>
      <c r="N541" s="32">
        <f>IF(OR($C541="",$G541="",$I541=""),0,IF(ROUND(($I541-$G541)*1440,0)&gt;設定!$C$28,ROUND(($I541-$G541)*1440,0),0))</f>
        <v/>
      </c>
      <c r="O541" s="32">
        <f>IF(OR($C541="",$H541="",$J541=""),0,IF(ROUND(($H541-$J541)*1440,0)&gt;設定!$C$28,ROUND(($H541-$J541)*1440,0),0))</f>
        <v/>
      </c>
      <c r="P541" s="33">
        <f>IF($L541="",0,IF(($L541-IFERROR(INDEX(設定!$G$5:$G$20,MATCH($F541,設定!$B$5:$B$20,0)),0))*60&gt;=設定!$C$26,ROUND(FLOOR(($L541-IFERROR(INDEX(設定!$G$5:$G$20,MATCH($F541,設定!$B$5:$B$20,0)),0))*60,設定!$C$27)/60,2),0))</f>
        <v/>
      </c>
      <c r="Q541" s="29">
        <f>IF(OR($C541="",$P541=0),"",IF($F541="國","國定假日",IF($B541="日","例假",IF($B541="六","休息日","平日"))))</f>
        <v/>
      </c>
      <c r="R541" s="34" t="n"/>
    </row>
    <row r="542">
      <c r="A542" s="30">
        <f>IF(OR(班表!$A23="",13&gt;DAY(EOMONTH(DATE(班表!$E$2,班表!$G$2,1),0))),"",DATE(班表!$E$2,班表!$G$2,13))</f>
        <v/>
      </c>
      <c r="B542" s="29">
        <f>IF($A542="","",INDEX(設定!$L$5:$L$11,WEEKDAY($A542,1)))</f>
        <v/>
      </c>
      <c r="C542" s="29">
        <f>IF($A542="","",班表!$A23)</f>
        <v/>
      </c>
      <c r="D542" s="29">
        <f>IF($C542="","",班表!$B23)</f>
        <v/>
      </c>
      <c r="E542" s="29">
        <f>IF($C542="","",班表!$C23)</f>
        <v/>
      </c>
      <c r="F542" s="29">
        <f>IF($C542="","",班表!P23)</f>
        <v/>
      </c>
      <c r="G542" s="31">
        <f>IF($F542="","",IFERROR(INDEX(設定!$D$5:$D$20,MATCH($F542,設定!$B$5:$B$20,0)),""))</f>
        <v/>
      </c>
      <c r="H542" s="31">
        <f>IF($F542="","",IFERROR(INDEX(設定!$E$5:$E$20,MATCH($F542,設定!$B$5:$B$20,0)),""))</f>
        <v/>
      </c>
      <c r="I542" s="31">
        <f>IFERROR(INDEX(打卡匯入!$C$3:$C$1002,MATCH($C542&amp;"|"&amp;DAY($A542),打卡匯入!$E$3:$E$1002,0)),"")</f>
        <v/>
      </c>
      <c r="J542" s="31">
        <f>IFERROR(INDEX(打卡匯入!$D$3:$D$1002,MATCH($C542&amp;"|"&amp;DAY($A542),打卡匯入!$E$3:$E$1002,0)),"")</f>
        <v/>
      </c>
      <c r="K542" s="32">
        <f>IF(OR($I542="",$J542=""),"",IFERROR(INDEX(設定!$F$5:$F$20,MATCH($F542,設定!$B$5:$B$20,0)),0))</f>
        <v/>
      </c>
      <c r="L542" s="33">
        <f>IF(OR($I542="",$J542=""),"",ROUND(($J542-$I542)*24-$K542/60,2))</f>
        <v/>
      </c>
      <c r="M542" s="29">
        <f>IF($C542="","",IF(AND(COUNTIF(設定!$B$14:$B$20,$F542)&gt;0,$I542&lt;&gt;""),"假日出勤",IF(AND(COUNTIF(設定!$B$5:$B$13,$F542)&gt;0,$I542=""),"未打卡",IF($I542="","",IF($N542&gt;0,"遲到",IF($O542&gt;0,"早退","正常"))))))</f>
        <v/>
      </c>
      <c r="N542" s="32">
        <f>IF(OR($C542="",$G542="",$I542=""),0,IF(ROUND(($I542-$G542)*1440,0)&gt;設定!$C$28,ROUND(($I542-$G542)*1440,0),0))</f>
        <v/>
      </c>
      <c r="O542" s="32">
        <f>IF(OR($C542="",$H542="",$J542=""),0,IF(ROUND(($H542-$J542)*1440,0)&gt;設定!$C$28,ROUND(($H542-$J542)*1440,0),0))</f>
        <v/>
      </c>
      <c r="P542" s="33">
        <f>IF($L542="",0,IF(($L542-IFERROR(INDEX(設定!$G$5:$G$20,MATCH($F542,設定!$B$5:$B$20,0)),0))*60&gt;=設定!$C$26,ROUND(FLOOR(($L542-IFERROR(INDEX(設定!$G$5:$G$20,MATCH($F542,設定!$B$5:$B$20,0)),0))*60,設定!$C$27)/60,2),0))</f>
        <v/>
      </c>
      <c r="Q542" s="29">
        <f>IF(OR($C542="",$P542=0),"",IF($F542="國","國定假日",IF($B542="日","例假",IF($B542="六","休息日","平日"))))</f>
        <v/>
      </c>
      <c r="R542" s="34" t="n"/>
    </row>
    <row r="543">
      <c r="A543" s="30">
        <f>IF(OR(班表!$A23="",14&gt;DAY(EOMONTH(DATE(班表!$E$2,班表!$G$2,1),0))),"",DATE(班表!$E$2,班表!$G$2,14))</f>
        <v/>
      </c>
      <c r="B543" s="29">
        <f>IF($A543="","",INDEX(設定!$L$5:$L$11,WEEKDAY($A543,1)))</f>
        <v/>
      </c>
      <c r="C543" s="29">
        <f>IF($A543="","",班表!$A23)</f>
        <v/>
      </c>
      <c r="D543" s="29">
        <f>IF($C543="","",班表!$B23)</f>
        <v/>
      </c>
      <c r="E543" s="29">
        <f>IF($C543="","",班表!$C23)</f>
        <v/>
      </c>
      <c r="F543" s="29">
        <f>IF($C543="","",班表!Q23)</f>
        <v/>
      </c>
      <c r="G543" s="31">
        <f>IF($F543="","",IFERROR(INDEX(設定!$D$5:$D$20,MATCH($F543,設定!$B$5:$B$20,0)),""))</f>
        <v/>
      </c>
      <c r="H543" s="31">
        <f>IF($F543="","",IFERROR(INDEX(設定!$E$5:$E$20,MATCH($F543,設定!$B$5:$B$20,0)),""))</f>
        <v/>
      </c>
      <c r="I543" s="31">
        <f>IFERROR(INDEX(打卡匯入!$C$3:$C$1002,MATCH($C543&amp;"|"&amp;DAY($A543),打卡匯入!$E$3:$E$1002,0)),"")</f>
        <v/>
      </c>
      <c r="J543" s="31">
        <f>IFERROR(INDEX(打卡匯入!$D$3:$D$1002,MATCH($C543&amp;"|"&amp;DAY($A543),打卡匯入!$E$3:$E$1002,0)),"")</f>
        <v/>
      </c>
      <c r="K543" s="32">
        <f>IF(OR($I543="",$J543=""),"",IFERROR(INDEX(設定!$F$5:$F$20,MATCH($F543,設定!$B$5:$B$20,0)),0))</f>
        <v/>
      </c>
      <c r="L543" s="33">
        <f>IF(OR($I543="",$J543=""),"",ROUND(($J543-$I543)*24-$K543/60,2))</f>
        <v/>
      </c>
      <c r="M543" s="29">
        <f>IF($C543="","",IF(AND(COUNTIF(設定!$B$14:$B$20,$F543)&gt;0,$I543&lt;&gt;""),"假日出勤",IF(AND(COUNTIF(設定!$B$5:$B$13,$F543)&gt;0,$I543=""),"未打卡",IF($I543="","",IF($N543&gt;0,"遲到",IF($O543&gt;0,"早退","正常"))))))</f>
        <v/>
      </c>
      <c r="N543" s="32">
        <f>IF(OR($C543="",$G543="",$I543=""),0,IF(ROUND(($I543-$G543)*1440,0)&gt;設定!$C$28,ROUND(($I543-$G543)*1440,0),0))</f>
        <v/>
      </c>
      <c r="O543" s="32">
        <f>IF(OR($C543="",$H543="",$J543=""),0,IF(ROUND(($H543-$J543)*1440,0)&gt;設定!$C$28,ROUND(($H543-$J543)*1440,0),0))</f>
        <v/>
      </c>
      <c r="P543" s="33">
        <f>IF($L543="",0,IF(($L543-IFERROR(INDEX(設定!$G$5:$G$20,MATCH($F543,設定!$B$5:$B$20,0)),0))*60&gt;=設定!$C$26,ROUND(FLOOR(($L543-IFERROR(INDEX(設定!$G$5:$G$20,MATCH($F543,設定!$B$5:$B$20,0)),0))*60,設定!$C$27)/60,2),0))</f>
        <v/>
      </c>
      <c r="Q543" s="29">
        <f>IF(OR($C543="",$P543=0),"",IF($F543="國","國定假日",IF($B543="日","例假",IF($B543="六","休息日","平日"))))</f>
        <v/>
      </c>
      <c r="R543" s="34" t="n"/>
    </row>
    <row r="544">
      <c r="A544" s="30">
        <f>IF(OR(班表!$A23="",15&gt;DAY(EOMONTH(DATE(班表!$E$2,班表!$G$2,1),0))),"",DATE(班表!$E$2,班表!$G$2,15))</f>
        <v/>
      </c>
      <c r="B544" s="29">
        <f>IF($A544="","",INDEX(設定!$L$5:$L$11,WEEKDAY($A544,1)))</f>
        <v/>
      </c>
      <c r="C544" s="29">
        <f>IF($A544="","",班表!$A23)</f>
        <v/>
      </c>
      <c r="D544" s="29">
        <f>IF($C544="","",班表!$B23)</f>
        <v/>
      </c>
      <c r="E544" s="29">
        <f>IF($C544="","",班表!$C23)</f>
        <v/>
      </c>
      <c r="F544" s="29">
        <f>IF($C544="","",班表!R23)</f>
        <v/>
      </c>
      <c r="G544" s="31">
        <f>IF($F544="","",IFERROR(INDEX(設定!$D$5:$D$20,MATCH($F544,設定!$B$5:$B$20,0)),""))</f>
        <v/>
      </c>
      <c r="H544" s="31">
        <f>IF($F544="","",IFERROR(INDEX(設定!$E$5:$E$20,MATCH($F544,設定!$B$5:$B$20,0)),""))</f>
        <v/>
      </c>
      <c r="I544" s="31">
        <f>IFERROR(INDEX(打卡匯入!$C$3:$C$1002,MATCH($C544&amp;"|"&amp;DAY($A544),打卡匯入!$E$3:$E$1002,0)),"")</f>
        <v/>
      </c>
      <c r="J544" s="31">
        <f>IFERROR(INDEX(打卡匯入!$D$3:$D$1002,MATCH($C544&amp;"|"&amp;DAY($A544),打卡匯入!$E$3:$E$1002,0)),"")</f>
        <v/>
      </c>
      <c r="K544" s="32">
        <f>IF(OR($I544="",$J544=""),"",IFERROR(INDEX(設定!$F$5:$F$20,MATCH($F544,設定!$B$5:$B$20,0)),0))</f>
        <v/>
      </c>
      <c r="L544" s="33">
        <f>IF(OR($I544="",$J544=""),"",ROUND(($J544-$I544)*24-$K544/60,2))</f>
        <v/>
      </c>
      <c r="M544" s="29">
        <f>IF($C544="","",IF(AND(COUNTIF(設定!$B$14:$B$20,$F544)&gt;0,$I544&lt;&gt;""),"假日出勤",IF(AND(COUNTIF(設定!$B$5:$B$13,$F544)&gt;0,$I544=""),"未打卡",IF($I544="","",IF($N544&gt;0,"遲到",IF($O544&gt;0,"早退","正常"))))))</f>
        <v/>
      </c>
      <c r="N544" s="32">
        <f>IF(OR($C544="",$G544="",$I544=""),0,IF(ROUND(($I544-$G544)*1440,0)&gt;設定!$C$28,ROUND(($I544-$G544)*1440,0),0))</f>
        <v/>
      </c>
      <c r="O544" s="32">
        <f>IF(OR($C544="",$H544="",$J544=""),0,IF(ROUND(($H544-$J544)*1440,0)&gt;設定!$C$28,ROUND(($H544-$J544)*1440,0),0))</f>
        <v/>
      </c>
      <c r="P544" s="33">
        <f>IF($L544="",0,IF(($L544-IFERROR(INDEX(設定!$G$5:$G$20,MATCH($F544,設定!$B$5:$B$20,0)),0))*60&gt;=設定!$C$26,ROUND(FLOOR(($L544-IFERROR(INDEX(設定!$G$5:$G$20,MATCH($F544,設定!$B$5:$B$20,0)),0))*60,設定!$C$27)/60,2),0))</f>
        <v/>
      </c>
      <c r="Q544" s="29">
        <f>IF(OR($C544="",$P544=0),"",IF($F544="國","國定假日",IF($B544="日","例假",IF($B544="六","休息日","平日"))))</f>
        <v/>
      </c>
      <c r="R544" s="34" t="n"/>
    </row>
    <row r="545">
      <c r="A545" s="30">
        <f>IF(OR(班表!$A23="",16&gt;DAY(EOMONTH(DATE(班表!$E$2,班表!$G$2,1),0))),"",DATE(班表!$E$2,班表!$G$2,16))</f>
        <v/>
      </c>
      <c r="B545" s="29">
        <f>IF($A545="","",INDEX(設定!$L$5:$L$11,WEEKDAY($A545,1)))</f>
        <v/>
      </c>
      <c r="C545" s="29">
        <f>IF($A545="","",班表!$A23)</f>
        <v/>
      </c>
      <c r="D545" s="29">
        <f>IF($C545="","",班表!$B23)</f>
        <v/>
      </c>
      <c r="E545" s="29">
        <f>IF($C545="","",班表!$C23)</f>
        <v/>
      </c>
      <c r="F545" s="29">
        <f>IF($C545="","",班表!S23)</f>
        <v/>
      </c>
      <c r="G545" s="31">
        <f>IF($F545="","",IFERROR(INDEX(設定!$D$5:$D$20,MATCH($F545,設定!$B$5:$B$20,0)),""))</f>
        <v/>
      </c>
      <c r="H545" s="31">
        <f>IF($F545="","",IFERROR(INDEX(設定!$E$5:$E$20,MATCH($F545,設定!$B$5:$B$20,0)),""))</f>
        <v/>
      </c>
      <c r="I545" s="31">
        <f>IFERROR(INDEX(打卡匯入!$C$3:$C$1002,MATCH($C545&amp;"|"&amp;DAY($A545),打卡匯入!$E$3:$E$1002,0)),"")</f>
        <v/>
      </c>
      <c r="J545" s="31">
        <f>IFERROR(INDEX(打卡匯入!$D$3:$D$1002,MATCH($C545&amp;"|"&amp;DAY($A545),打卡匯入!$E$3:$E$1002,0)),"")</f>
        <v/>
      </c>
      <c r="K545" s="32">
        <f>IF(OR($I545="",$J545=""),"",IFERROR(INDEX(設定!$F$5:$F$20,MATCH($F545,設定!$B$5:$B$20,0)),0))</f>
        <v/>
      </c>
      <c r="L545" s="33">
        <f>IF(OR($I545="",$J545=""),"",ROUND(($J545-$I545)*24-$K545/60,2))</f>
        <v/>
      </c>
      <c r="M545" s="29">
        <f>IF($C545="","",IF(AND(COUNTIF(設定!$B$14:$B$20,$F545)&gt;0,$I545&lt;&gt;""),"假日出勤",IF(AND(COUNTIF(設定!$B$5:$B$13,$F545)&gt;0,$I545=""),"未打卡",IF($I545="","",IF($N545&gt;0,"遲到",IF($O545&gt;0,"早退","正常"))))))</f>
        <v/>
      </c>
      <c r="N545" s="32">
        <f>IF(OR($C545="",$G545="",$I545=""),0,IF(ROUND(($I545-$G545)*1440,0)&gt;設定!$C$28,ROUND(($I545-$G545)*1440,0),0))</f>
        <v/>
      </c>
      <c r="O545" s="32">
        <f>IF(OR($C545="",$H545="",$J545=""),0,IF(ROUND(($H545-$J545)*1440,0)&gt;設定!$C$28,ROUND(($H545-$J545)*1440,0),0))</f>
        <v/>
      </c>
      <c r="P545" s="33">
        <f>IF($L545="",0,IF(($L545-IFERROR(INDEX(設定!$G$5:$G$20,MATCH($F545,設定!$B$5:$B$20,0)),0))*60&gt;=設定!$C$26,ROUND(FLOOR(($L545-IFERROR(INDEX(設定!$G$5:$G$20,MATCH($F545,設定!$B$5:$B$20,0)),0))*60,設定!$C$27)/60,2),0))</f>
        <v/>
      </c>
      <c r="Q545" s="29">
        <f>IF(OR($C545="",$P545=0),"",IF($F545="國","國定假日",IF($B545="日","例假",IF($B545="六","休息日","平日"))))</f>
        <v/>
      </c>
      <c r="R545" s="34" t="n"/>
    </row>
    <row r="546">
      <c r="A546" s="30">
        <f>IF(OR(班表!$A23="",17&gt;DAY(EOMONTH(DATE(班表!$E$2,班表!$G$2,1),0))),"",DATE(班表!$E$2,班表!$G$2,17))</f>
        <v/>
      </c>
      <c r="B546" s="29">
        <f>IF($A546="","",INDEX(設定!$L$5:$L$11,WEEKDAY($A546,1)))</f>
        <v/>
      </c>
      <c r="C546" s="29">
        <f>IF($A546="","",班表!$A23)</f>
        <v/>
      </c>
      <c r="D546" s="29">
        <f>IF($C546="","",班表!$B23)</f>
        <v/>
      </c>
      <c r="E546" s="29">
        <f>IF($C546="","",班表!$C23)</f>
        <v/>
      </c>
      <c r="F546" s="29">
        <f>IF($C546="","",班表!T23)</f>
        <v/>
      </c>
      <c r="G546" s="31">
        <f>IF($F546="","",IFERROR(INDEX(設定!$D$5:$D$20,MATCH($F546,設定!$B$5:$B$20,0)),""))</f>
        <v/>
      </c>
      <c r="H546" s="31">
        <f>IF($F546="","",IFERROR(INDEX(設定!$E$5:$E$20,MATCH($F546,設定!$B$5:$B$20,0)),""))</f>
        <v/>
      </c>
      <c r="I546" s="31">
        <f>IFERROR(INDEX(打卡匯入!$C$3:$C$1002,MATCH($C546&amp;"|"&amp;DAY($A546),打卡匯入!$E$3:$E$1002,0)),"")</f>
        <v/>
      </c>
      <c r="J546" s="31">
        <f>IFERROR(INDEX(打卡匯入!$D$3:$D$1002,MATCH($C546&amp;"|"&amp;DAY($A546),打卡匯入!$E$3:$E$1002,0)),"")</f>
        <v/>
      </c>
      <c r="K546" s="32">
        <f>IF(OR($I546="",$J546=""),"",IFERROR(INDEX(設定!$F$5:$F$20,MATCH($F546,設定!$B$5:$B$20,0)),0))</f>
        <v/>
      </c>
      <c r="L546" s="33">
        <f>IF(OR($I546="",$J546=""),"",ROUND(($J546-$I546)*24-$K546/60,2))</f>
        <v/>
      </c>
      <c r="M546" s="29">
        <f>IF($C546="","",IF(AND(COUNTIF(設定!$B$14:$B$20,$F546)&gt;0,$I546&lt;&gt;""),"假日出勤",IF(AND(COUNTIF(設定!$B$5:$B$13,$F546)&gt;0,$I546=""),"未打卡",IF($I546="","",IF($N546&gt;0,"遲到",IF($O546&gt;0,"早退","正常"))))))</f>
        <v/>
      </c>
      <c r="N546" s="32">
        <f>IF(OR($C546="",$G546="",$I546=""),0,IF(ROUND(($I546-$G546)*1440,0)&gt;設定!$C$28,ROUND(($I546-$G546)*1440,0),0))</f>
        <v/>
      </c>
      <c r="O546" s="32">
        <f>IF(OR($C546="",$H546="",$J546=""),0,IF(ROUND(($H546-$J546)*1440,0)&gt;設定!$C$28,ROUND(($H546-$J546)*1440,0),0))</f>
        <v/>
      </c>
      <c r="P546" s="33">
        <f>IF($L546="",0,IF(($L546-IFERROR(INDEX(設定!$G$5:$G$20,MATCH($F546,設定!$B$5:$B$20,0)),0))*60&gt;=設定!$C$26,ROUND(FLOOR(($L546-IFERROR(INDEX(設定!$G$5:$G$20,MATCH($F546,設定!$B$5:$B$20,0)),0))*60,設定!$C$27)/60,2),0))</f>
        <v/>
      </c>
      <c r="Q546" s="29">
        <f>IF(OR($C546="",$P546=0),"",IF($F546="國","國定假日",IF($B546="日","例假",IF($B546="六","休息日","平日"))))</f>
        <v/>
      </c>
      <c r="R546" s="34" t="n"/>
    </row>
    <row r="547">
      <c r="A547" s="30">
        <f>IF(OR(班表!$A23="",18&gt;DAY(EOMONTH(DATE(班表!$E$2,班表!$G$2,1),0))),"",DATE(班表!$E$2,班表!$G$2,18))</f>
        <v/>
      </c>
      <c r="B547" s="29">
        <f>IF($A547="","",INDEX(設定!$L$5:$L$11,WEEKDAY($A547,1)))</f>
        <v/>
      </c>
      <c r="C547" s="29">
        <f>IF($A547="","",班表!$A23)</f>
        <v/>
      </c>
      <c r="D547" s="29">
        <f>IF($C547="","",班表!$B23)</f>
        <v/>
      </c>
      <c r="E547" s="29">
        <f>IF($C547="","",班表!$C23)</f>
        <v/>
      </c>
      <c r="F547" s="29">
        <f>IF($C547="","",班表!U23)</f>
        <v/>
      </c>
      <c r="G547" s="31">
        <f>IF($F547="","",IFERROR(INDEX(設定!$D$5:$D$20,MATCH($F547,設定!$B$5:$B$20,0)),""))</f>
        <v/>
      </c>
      <c r="H547" s="31">
        <f>IF($F547="","",IFERROR(INDEX(設定!$E$5:$E$20,MATCH($F547,設定!$B$5:$B$20,0)),""))</f>
        <v/>
      </c>
      <c r="I547" s="31">
        <f>IFERROR(INDEX(打卡匯入!$C$3:$C$1002,MATCH($C547&amp;"|"&amp;DAY($A547),打卡匯入!$E$3:$E$1002,0)),"")</f>
        <v/>
      </c>
      <c r="J547" s="31">
        <f>IFERROR(INDEX(打卡匯入!$D$3:$D$1002,MATCH($C547&amp;"|"&amp;DAY($A547),打卡匯入!$E$3:$E$1002,0)),"")</f>
        <v/>
      </c>
      <c r="K547" s="32">
        <f>IF(OR($I547="",$J547=""),"",IFERROR(INDEX(設定!$F$5:$F$20,MATCH($F547,設定!$B$5:$B$20,0)),0))</f>
        <v/>
      </c>
      <c r="L547" s="33">
        <f>IF(OR($I547="",$J547=""),"",ROUND(($J547-$I547)*24-$K547/60,2))</f>
        <v/>
      </c>
      <c r="M547" s="29">
        <f>IF($C547="","",IF(AND(COUNTIF(設定!$B$14:$B$20,$F547)&gt;0,$I547&lt;&gt;""),"假日出勤",IF(AND(COUNTIF(設定!$B$5:$B$13,$F547)&gt;0,$I547=""),"未打卡",IF($I547="","",IF($N547&gt;0,"遲到",IF($O547&gt;0,"早退","正常"))))))</f>
        <v/>
      </c>
      <c r="N547" s="32">
        <f>IF(OR($C547="",$G547="",$I547=""),0,IF(ROUND(($I547-$G547)*1440,0)&gt;設定!$C$28,ROUND(($I547-$G547)*1440,0),0))</f>
        <v/>
      </c>
      <c r="O547" s="32">
        <f>IF(OR($C547="",$H547="",$J547=""),0,IF(ROUND(($H547-$J547)*1440,0)&gt;設定!$C$28,ROUND(($H547-$J547)*1440,0),0))</f>
        <v/>
      </c>
      <c r="P547" s="33">
        <f>IF($L547="",0,IF(($L547-IFERROR(INDEX(設定!$G$5:$G$20,MATCH($F547,設定!$B$5:$B$20,0)),0))*60&gt;=設定!$C$26,ROUND(FLOOR(($L547-IFERROR(INDEX(設定!$G$5:$G$20,MATCH($F547,設定!$B$5:$B$20,0)),0))*60,設定!$C$27)/60,2),0))</f>
        <v/>
      </c>
      <c r="Q547" s="29">
        <f>IF(OR($C547="",$P547=0),"",IF($F547="國","國定假日",IF($B547="日","例假",IF($B547="六","休息日","平日"))))</f>
        <v/>
      </c>
      <c r="R547" s="34" t="n"/>
    </row>
    <row r="548">
      <c r="A548" s="30">
        <f>IF(OR(班表!$A23="",19&gt;DAY(EOMONTH(DATE(班表!$E$2,班表!$G$2,1),0))),"",DATE(班表!$E$2,班表!$G$2,19))</f>
        <v/>
      </c>
      <c r="B548" s="29">
        <f>IF($A548="","",INDEX(設定!$L$5:$L$11,WEEKDAY($A548,1)))</f>
        <v/>
      </c>
      <c r="C548" s="29">
        <f>IF($A548="","",班表!$A23)</f>
        <v/>
      </c>
      <c r="D548" s="29">
        <f>IF($C548="","",班表!$B23)</f>
        <v/>
      </c>
      <c r="E548" s="29">
        <f>IF($C548="","",班表!$C23)</f>
        <v/>
      </c>
      <c r="F548" s="29">
        <f>IF($C548="","",班表!V23)</f>
        <v/>
      </c>
      <c r="G548" s="31">
        <f>IF($F548="","",IFERROR(INDEX(設定!$D$5:$D$20,MATCH($F548,設定!$B$5:$B$20,0)),""))</f>
        <v/>
      </c>
      <c r="H548" s="31">
        <f>IF($F548="","",IFERROR(INDEX(設定!$E$5:$E$20,MATCH($F548,設定!$B$5:$B$20,0)),""))</f>
        <v/>
      </c>
      <c r="I548" s="31">
        <f>IFERROR(INDEX(打卡匯入!$C$3:$C$1002,MATCH($C548&amp;"|"&amp;DAY($A548),打卡匯入!$E$3:$E$1002,0)),"")</f>
        <v/>
      </c>
      <c r="J548" s="31">
        <f>IFERROR(INDEX(打卡匯入!$D$3:$D$1002,MATCH($C548&amp;"|"&amp;DAY($A548),打卡匯入!$E$3:$E$1002,0)),"")</f>
        <v/>
      </c>
      <c r="K548" s="32">
        <f>IF(OR($I548="",$J548=""),"",IFERROR(INDEX(設定!$F$5:$F$20,MATCH($F548,設定!$B$5:$B$20,0)),0))</f>
        <v/>
      </c>
      <c r="L548" s="33">
        <f>IF(OR($I548="",$J548=""),"",ROUND(($J548-$I548)*24-$K548/60,2))</f>
        <v/>
      </c>
      <c r="M548" s="29">
        <f>IF($C548="","",IF(AND(COUNTIF(設定!$B$14:$B$20,$F548)&gt;0,$I548&lt;&gt;""),"假日出勤",IF(AND(COUNTIF(設定!$B$5:$B$13,$F548)&gt;0,$I548=""),"未打卡",IF($I548="","",IF($N548&gt;0,"遲到",IF($O548&gt;0,"早退","正常"))))))</f>
        <v/>
      </c>
      <c r="N548" s="32">
        <f>IF(OR($C548="",$G548="",$I548=""),0,IF(ROUND(($I548-$G548)*1440,0)&gt;設定!$C$28,ROUND(($I548-$G548)*1440,0),0))</f>
        <v/>
      </c>
      <c r="O548" s="32">
        <f>IF(OR($C548="",$H548="",$J548=""),0,IF(ROUND(($H548-$J548)*1440,0)&gt;設定!$C$28,ROUND(($H548-$J548)*1440,0),0))</f>
        <v/>
      </c>
      <c r="P548" s="33">
        <f>IF($L548="",0,IF(($L548-IFERROR(INDEX(設定!$G$5:$G$20,MATCH($F548,設定!$B$5:$B$20,0)),0))*60&gt;=設定!$C$26,ROUND(FLOOR(($L548-IFERROR(INDEX(設定!$G$5:$G$20,MATCH($F548,設定!$B$5:$B$20,0)),0))*60,設定!$C$27)/60,2),0))</f>
        <v/>
      </c>
      <c r="Q548" s="29">
        <f>IF(OR($C548="",$P548=0),"",IF($F548="國","國定假日",IF($B548="日","例假",IF($B548="六","休息日","平日"))))</f>
        <v/>
      </c>
      <c r="R548" s="34" t="n"/>
    </row>
    <row r="549">
      <c r="A549" s="30">
        <f>IF(OR(班表!$A23="",20&gt;DAY(EOMONTH(DATE(班表!$E$2,班表!$G$2,1),0))),"",DATE(班表!$E$2,班表!$G$2,20))</f>
        <v/>
      </c>
      <c r="B549" s="29">
        <f>IF($A549="","",INDEX(設定!$L$5:$L$11,WEEKDAY($A549,1)))</f>
        <v/>
      </c>
      <c r="C549" s="29">
        <f>IF($A549="","",班表!$A23)</f>
        <v/>
      </c>
      <c r="D549" s="29">
        <f>IF($C549="","",班表!$B23)</f>
        <v/>
      </c>
      <c r="E549" s="29">
        <f>IF($C549="","",班表!$C23)</f>
        <v/>
      </c>
      <c r="F549" s="29">
        <f>IF($C549="","",班表!W23)</f>
        <v/>
      </c>
      <c r="G549" s="31">
        <f>IF($F549="","",IFERROR(INDEX(設定!$D$5:$D$20,MATCH($F549,設定!$B$5:$B$20,0)),""))</f>
        <v/>
      </c>
      <c r="H549" s="31">
        <f>IF($F549="","",IFERROR(INDEX(設定!$E$5:$E$20,MATCH($F549,設定!$B$5:$B$20,0)),""))</f>
        <v/>
      </c>
      <c r="I549" s="31">
        <f>IFERROR(INDEX(打卡匯入!$C$3:$C$1002,MATCH($C549&amp;"|"&amp;DAY($A549),打卡匯入!$E$3:$E$1002,0)),"")</f>
        <v/>
      </c>
      <c r="J549" s="31">
        <f>IFERROR(INDEX(打卡匯入!$D$3:$D$1002,MATCH($C549&amp;"|"&amp;DAY($A549),打卡匯入!$E$3:$E$1002,0)),"")</f>
        <v/>
      </c>
      <c r="K549" s="32">
        <f>IF(OR($I549="",$J549=""),"",IFERROR(INDEX(設定!$F$5:$F$20,MATCH($F549,設定!$B$5:$B$20,0)),0))</f>
        <v/>
      </c>
      <c r="L549" s="33">
        <f>IF(OR($I549="",$J549=""),"",ROUND(($J549-$I549)*24-$K549/60,2))</f>
        <v/>
      </c>
      <c r="M549" s="29">
        <f>IF($C549="","",IF(AND(COUNTIF(設定!$B$14:$B$20,$F549)&gt;0,$I549&lt;&gt;""),"假日出勤",IF(AND(COUNTIF(設定!$B$5:$B$13,$F549)&gt;0,$I549=""),"未打卡",IF($I549="","",IF($N549&gt;0,"遲到",IF($O549&gt;0,"早退","正常"))))))</f>
        <v/>
      </c>
      <c r="N549" s="32">
        <f>IF(OR($C549="",$G549="",$I549=""),0,IF(ROUND(($I549-$G549)*1440,0)&gt;設定!$C$28,ROUND(($I549-$G549)*1440,0),0))</f>
        <v/>
      </c>
      <c r="O549" s="32">
        <f>IF(OR($C549="",$H549="",$J549=""),0,IF(ROUND(($H549-$J549)*1440,0)&gt;設定!$C$28,ROUND(($H549-$J549)*1440,0),0))</f>
        <v/>
      </c>
      <c r="P549" s="33">
        <f>IF($L549="",0,IF(($L549-IFERROR(INDEX(設定!$G$5:$G$20,MATCH($F549,設定!$B$5:$B$20,0)),0))*60&gt;=設定!$C$26,ROUND(FLOOR(($L549-IFERROR(INDEX(設定!$G$5:$G$20,MATCH($F549,設定!$B$5:$B$20,0)),0))*60,設定!$C$27)/60,2),0))</f>
        <v/>
      </c>
      <c r="Q549" s="29">
        <f>IF(OR($C549="",$P549=0),"",IF($F549="國","國定假日",IF($B549="日","例假",IF($B549="六","休息日","平日"))))</f>
        <v/>
      </c>
      <c r="R549" s="34" t="n"/>
    </row>
    <row r="550">
      <c r="A550" s="30">
        <f>IF(OR(班表!$A23="",21&gt;DAY(EOMONTH(DATE(班表!$E$2,班表!$G$2,1),0))),"",DATE(班表!$E$2,班表!$G$2,21))</f>
        <v/>
      </c>
      <c r="B550" s="29">
        <f>IF($A550="","",INDEX(設定!$L$5:$L$11,WEEKDAY($A550,1)))</f>
        <v/>
      </c>
      <c r="C550" s="29">
        <f>IF($A550="","",班表!$A23)</f>
        <v/>
      </c>
      <c r="D550" s="29">
        <f>IF($C550="","",班表!$B23)</f>
        <v/>
      </c>
      <c r="E550" s="29">
        <f>IF($C550="","",班表!$C23)</f>
        <v/>
      </c>
      <c r="F550" s="29">
        <f>IF($C550="","",班表!X23)</f>
        <v/>
      </c>
      <c r="G550" s="31">
        <f>IF($F550="","",IFERROR(INDEX(設定!$D$5:$D$20,MATCH($F550,設定!$B$5:$B$20,0)),""))</f>
        <v/>
      </c>
      <c r="H550" s="31">
        <f>IF($F550="","",IFERROR(INDEX(設定!$E$5:$E$20,MATCH($F550,設定!$B$5:$B$20,0)),""))</f>
        <v/>
      </c>
      <c r="I550" s="31">
        <f>IFERROR(INDEX(打卡匯入!$C$3:$C$1002,MATCH($C550&amp;"|"&amp;DAY($A550),打卡匯入!$E$3:$E$1002,0)),"")</f>
        <v/>
      </c>
      <c r="J550" s="31">
        <f>IFERROR(INDEX(打卡匯入!$D$3:$D$1002,MATCH($C550&amp;"|"&amp;DAY($A550),打卡匯入!$E$3:$E$1002,0)),"")</f>
        <v/>
      </c>
      <c r="K550" s="32">
        <f>IF(OR($I550="",$J550=""),"",IFERROR(INDEX(設定!$F$5:$F$20,MATCH($F550,設定!$B$5:$B$20,0)),0))</f>
        <v/>
      </c>
      <c r="L550" s="33">
        <f>IF(OR($I550="",$J550=""),"",ROUND(($J550-$I550)*24-$K550/60,2))</f>
        <v/>
      </c>
      <c r="M550" s="29">
        <f>IF($C550="","",IF(AND(COUNTIF(設定!$B$14:$B$20,$F550)&gt;0,$I550&lt;&gt;""),"假日出勤",IF(AND(COUNTIF(設定!$B$5:$B$13,$F550)&gt;0,$I550=""),"未打卡",IF($I550="","",IF($N550&gt;0,"遲到",IF($O550&gt;0,"早退","正常"))))))</f>
        <v/>
      </c>
      <c r="N550" s="32">
        <f>IF(OR($C550="",$G550="",$I550=""),0,IF(ROUND(($I550-$G550)*1440,0)&gt;設定!$C$28,ROUND(($I550-$G550)*1440,0),0))</f>
        <v/>
      </c>
      <c r="O550" s="32">
        <f>IF(OR($C550="",$H550="",$J550=""),0,IF(ROUND(($H550-$J550)*1440,0)&gt;設定!$C$28,ROUND(($H550-$J550)*1440,0),0))</f>
        <v/>
      </c>
      <c r="P550" s="33">
        <f>IF($L550="",0,IF(($L550-IFERROR(INDEX(設定!$G$5:$G$20,MATCH($F550,設定!$B$5:$B$20,0)),0))*60&gt;=設定!$C$26,ROUND(FLOOR(($L550-IFERROR(INDEX(設定!$G$5:$G$20,MATCH($F550,設定!$B$5:$B$20,0)),0))*60,設定!$C$27)/60,2),0))</f>
        <v/>
      </c>
      <c r="Q550" s="29">
        <f>IF(OR($C550="",$P550=0),"",IF($F550="國","國定假日",IF($B550="日","例假",IF($B550="六","休息日","平日"))))</f>
        <v/>
      </c>
      <c r="R550" s="34" t="n"/>
    </row>
    <row r="551">
      <c r="A551" s="30">
        <f>IF(OR(班表!$A23="",22&gt;DAY(EOMONTH(DATE(班表!$E$2,班表!$G$2,1),0))),"",DATE(班表!$E$2,班表!$G$2,22))</f>
        <v/>
      </c>
      <c r="B551" s="29">
        <f>IF($A551="","",INDEX(設定!$L$5:$L$11,WEEKDAY($A551,1)))</f>
        <v/>
      </c>
      <c r="C551" s="29">
        <f>IF($A551="","",班表!$A23)</f>
        <v/>
      </c>
      <c r="D551" s="29">
        <f>IF($C551="","",班表!$B23)</f>
        <v/>
      </c>
      <c r="E551" s="29">
        <f>IF($C551="","",班表!$C23)</f>
        <v/>
      </c>
      <c r="F551" s="29">
        <f>IF($C551="","",班表!Y23)</f>
        <v/>
      </c>
      <c r="G551" s="31">
        <f>IF($F551="","",IFERROR(INDEX(設定!$D$5:$D$20,MATCH($F551,設定!$B$5:$B$20,0)),""))</f>
        <v/>
      </c>
      <c r="H551" s="31">
        <f>IF($F551="","",IFERROR(INDEX(設定!$E$5:$E$20,MATCH($F551,設定!$B$5:$B$20,0)),""))</f>
        <v/>
      </c>
      <c r="I551" s="31">
        <f>IFERROR(INDEX(打卡匯入!$C$3:$C$1002,MATCH($C551&amp;"|"&amp;DAY($A551),打卡匯入!$E$3:$E$1002,0)),"")</f>
        <v/>
      </c>
      <c r="J551" s="31">
        <f>IFERROR(INDEX(打卡匯入!$D$3:$D$1002,MATCH($C551&amp;"|"&amp;DAY($A551),打卡匯入!$E$3:$E$1002,0)),"")</f>
        <v/>
      </c>
      <c r="K551" s="32">
        <f>IF(OR($I551="",$J551=""),"",IFERROR(INDEX(設定!$F$5:$F$20,MATCH($F551,設定!$B$5:$B$20,0)),0))</f>
        <v/>
      </c>
      <c r="L551" s="33">
        <f>IF(OR($I551="",$J551=""),"",ROUND(($J551-$I551)*24-$K551/60,2))</f>
        <v/>
      </c>
      <c r="M551" s="29">
        <f>IF($C551="","",IF(AND(COUNTIF(設定!$B$14:$B$20,$F551)&gt;0,$I551&lt;&gt;""),"假日出勤",IF(AND(COUNTIF(設定!$B$5:$B$13,$F551)&gt;0,$I551=""),"未打卡",IF($I551="","",IF($N551&gt;0,"遲到",IF($O551&gt;0,"早退","正常"))))))</f>
        <v/>
      </c>
      <c r="N551" s="32">
        <f>IF(OR($C551="",$G551="",$I551=""),0,IF(ROUND(($I551-$G551)*1440,0)&gt;設定!$C$28,ROUND(($I551-$G551)*1440,0),0))</f>
        <v/>
      </c>
      <c r="O551" s="32">
        <f>IF(OR($C551="",$H551="",$J551=""),0,IF(ROUND(($H551-$J551)*1440,0)&gt;設定!$C$28,ROUND(($H551-$J551)*1440,0),0))</f>
        <v/>
      </c>
      <c r="P551" s="33">
        <f>IF($L551="",0,IF(($L551-IFERROR(INDEX(設定!$G$5:$G$20,MATCH($F551,設定!$B$5:$B$20,0)),0))*60&gt;=設定!$C$26,ROUND(FLOOR(($L551-IFERROR(INDEX(設定!$G$5:$G$20,MATCH($F551,設定!$B$5:$B$20,0)),0))*60,設定!$C$27)/60,2),0))</f>
        <v/>
      </c>
      <c r="Q551" s="29">
        <f>IF(OR($C551="",$P551=0),"",IF($F551="國","國定假日",IF($B551="日","例假",IF($B551="六","休息日","平日"))))</f>
        <v/>
      </c>
      <c r="R551" s="34" t="n"/>
    </row>
    <row r="552">
      <c r="A552" s="30">
        <f>IF(OR(班表!$A23="",23&gt;DAY(EOMONTH(DATE(班表!$E$2,班表!$G$2,1),0))),"",DATE(班表!$E$2,班表!$G$2,23))</f>
        <v/>
      </c>
      <c r="B552" s="29">
        <f>IF($A552="","",INDEX(設定!$L$5:$L$11,WEEKDAY($A552,1)))</f>
        <v/>
      </c>
      <c r="C552" s="29">
        <f>IF($A552="","",班表!$A23)</f>
        <v/>
      </c>
      <c r="D552" s="29">
        <f>IF($C552="","",班表!$B23)</f>
        <v/>
      </c>
      <c r="E552" s="29">
        <f>IF($C552="","",班表!$C23)</f>
        <v/>
      </c>
      <c r="F552" s="29">
        <f>IF($C552="","",班表!Z23)</f>
        <v/>
      </c>
      <c r="G552" s="31">
        <f>IF($F552="","",IFERROR(INDEX(設定!$D$5:$D$20,MATCH($F552,設定!$B$5:$B$20,0)),""))</f>
        <v/>
      </c>
      <c r="H552" s="31">
        <f>IF($F552="","",IFERROR(INDEX(設定!$E$5:$E$20,MATCH($F552,設定!$B$5:$B$20,0)),""))</f>
        <v/>
      </c>
      <c r="I552" s="31">
        <f>IFERROR(INDEX(打卡匯入!$C$3:$C$1002,MATCH($C552&amp;"|"&amp;DAY($A552),打卡匯入!$E$3:$E$1002,0)),"")</f>
        <v/>
      </c>
      <c r="J552" s="31">
        <f>IFERROR(INDEX(打卡匯入!$D$3:$D$1002,MATCH($C552&amp;"|"&amp;DAY($A552),打卡匯入!$E$3:$E$1002,0)),"")</f>
        <v/>
      </c>
      <c r="K552" s="32">
        <f>IF(OR($I552="",$J552=""),"",IFERROR(INDEX(設定!$F$5:$F$20,MATCH($F552,設定!$B$5:$B$20,0)),0))</f>
        <v/>
      </c>
      <c r="L552" s="33">
        <f>IF(OR($I552="",$J552=""),"",ROUND(($J552-$I552)*24-$K552/60,2))</f>
        <v/>
      </c>
      <c r="M552" s="29">
        <f>IF($C552="","",IF(AND(COUNTIF(設定!$B$14:$B$20,$F552)&gt;0,$I552&lt;&gt;""),"假日出勤",IF(AND(COUNTIF(設定!$B$5:$B$13,$F552)&gt;0,$I552=""),"未打卡",IF($I552="","",IF($N552&gt;0,"遲到",IF($O552&gt;0,"早退","正常"))))))</f>
        <v/>
      </c>
      <c r="N552" s="32">
        <f>IF(OR($C552="",$G552="",$I552=""),0,IF(ROUND(($I552-$G552)*1440,0)&gt;設定!$C$28,ROUND(($I552-$G552)*1440,0),0))</f>
        <v/>
      </c>
      <c r="O552" s="32">
        <f>IF(OR($C552="",$H552="",$J552=""),0,IF(ROUND(($H552-$J552)*1440,0)&gt;設定!$C$28,ROUND(($H552-$J552)*1440,0),0))</f>
        <v/>
      </c>
      <c r="P552" s="33">
        <f>IF($L552="",0,IF(($L552-IFERROR(INDEX(設定!$G$5:$G$20,MATCH($F552,設定!$B$5:$B$20,0)),0))*60&gt;=設定!$C$26,ROUND(FLOOR(($L552-IFERROR(INDEX(設定!$G$5:$G$20,MATCH($F552,設定!$B$5:$B$20,0)),0))*60,設定!$C$27)/60,2),0))</f>
        <v/>
      </c>
      <c r="Q552" s="29">
        <f>IF(OR($C552="",$P552=0),"",IF($F552="國","國定假日",IF($B552="日","例假",IF($B552="六","休息日","平日"))))</f>
        <v/>
      </c>
      <c r="R552" s="34" t="n"/>
    </row>
    <row r="553">
      <c r="A553" s="30">
        <f>IF(OR(班表!$A23="",24&gt;DAY(EOMONTH(DATE(班表!$E$2,班表!$G$2,1),0))),"",DATE(班表!$E$2,班表!$G$2,24))</f>
        <v/>
      </c>
      <c r="B553" s="29">
        <f>IF($A553="","",INDEX(設定!$L$5:$L$11,WEEKDAY($A553,1)))</f>
        <v/>
      </c>
      <c r="C553" s="29">
        <f>IF($A553="","",班表!$A23)</f>
        <v/>
      </c>
      <c r="D553" s="29">
        <f>IF($C553="","",班表!$B23)</f>
        <v/>
      </c>
      <c r="E553" s="29">
        <f>IF($C553="","",班表!$C23)</f>
        <v/>
      </c>
      <c r="F553" s="29">
        <f>IF($C553="","",班表!AA23)</f>
        <v/>
      </c>
      <c r="G553" s="31">
        <f>IF($F553="","",IFERROR(INDEX(設定!$D$5:$D$20,MATCH($F553,設定!$B$5:$B$20,0)),""))</f>
        <v/>
      </c>
      <c r="H553" s="31">
        <f>IF($F553="","",IFERROR(INDEX(設定!$E$5:$E$20,MATCH($F553,設定!$B$5:$B$20,0)),""))</f>
        <v/>
      </c>
      <c r="I553" s="31">
        <f>IFERROR(INDEX(打卡匯入!$C$3:$C$1002,MATCH($C553&amp;"|"&amp;DAY($A553),打卡匯入!$E$3:$E$1002,0)),"")</f>
        <v/>
      </c>
      <c r="J553" s="31">
        <f>IFERROR(INDEX(打卡匯入!$D$3:$D$1002,MATCH($C553&amp;"|"&amp;DAY($A553),打卡匯入!$E$3:$E$1002,0)),"")</f>
        <v/>
      </c>
      <c r="K553" s="32">
        <f>IF(OR($I553="",$J553=""),"",IFERROR(INDEX(設定!$F$5:$F$20,MATCH($F553,設定!$B$5:$B$20,0)),0))</f>
        <v/>
      </c>
      <c r="L553" s="33">
        <f>IF(OR($I553="",$J553=""),"",ROUND(($J553-$I553)*24-$K553/60,2))</f>
        <v/>
      </c>
      <c r="M553" s="29">
        <f>IF($C553="","",IF(AND(COUNTIF(設定!$B$14:$B$20,$F553)&gt;0,$I553&lt;&gt;""),"假日出勤",IF(AND(COUNTIF(設定!$B$5:$B$13,$F553)&gt;0,$I553=""),"未打卡",IF($I553="","",IF($N553&gt;0,"遲到",IF($O553&gt;0,"早退","正常"))))))</f>
        <v/>
      </c>
      <c r="N553" s="32">
        <f>IF(OR($C553="",$G553="",$I553=""),0,IF(ROUND(($I553-$G553)*1440,0)&gt;設定!$C$28,ROUND(($I553-$G553)*1440,0),0))</f>
        <v/>
      </c>
      <c r="O553" s="32">
        <f>IF(OR($C553="",$H553="",$J553=""),0,IF(ROUND(($H553-$J553)*1440,0)&gt;設定!$C$28,ROUND(($H553-$J553)*1440,0),0))</f>
        <v/>
      </c>
      <c r="P553" s="33">
        <f>IF($L553="",0,IF(($L553-IFERROR(INDEX(設定!$G$5:$G$20,MATCH($F553,設定!$B$5:$B$20,0)),0))*60&gt;=設定!$C$26,ROUND(FLOOR(($L553-IFERROR(INDEX(設定!$G$5:$G$20,MATCH($F553,設定!$B$5:$B$20,0)),0))*60,設定!$C$27)/60,2),0))</f>
        <v/>
      </c>
      <c r="Q553" s="29">
        <f>IF(OR($C553="",$P553=0),"",IF($F553="國","國定假日",IF($B553="日","例假",IF($B553="六","休息日","平日"))))</f>
        <v/>
      </c>
      <c r="R553" s="34" t="n"/>
    </row>
    <row r="554">
      <c r="A554" s="30">
        <f>IF(OR(班表!$A23="",25&gt;DAY(EOMONTH(DATE(班表!$E$2,班表!$G$2,1),0))),"",DATE(班表!$E$2,班表!$G$2,25))</f>
        <v/>
      </c>
      <c r="B554" s="29">
        <f>IF($A554="","",INDEX(設定!$L$5:$L$11,WEEKDAY($A554,1)))</f>
        <v/>
      </c>
      <c r="C554" s="29">
        <f>IF($A554="","",班表!$A23)</f>
        <v/>
      </c>
      <c r="D554" s="29">
        <f>IF($C554="","",班表!$B23)</f>
        <v/>
      </c>
      <c r="E554" s="29">
        <f>IF($C554="","",班表!$C23)</f>
        <v/>
      </c>
      <c r="F554" s="29">
        <f>IF($C554="","",班表!AB23)</f>
        <v/>
      </c>
      <c r="G554" s="31">
        <f>IF($F554="","",IFERROR(INDEX(設定!$D$5:$D$20,MATCH($F554,設定!$B$5:$B$20,0)),""))</f>
        <v/>
      </c>
      <c r="H554" s="31">
        <f>IF($F554="","",IFERROR(INDEX(設定!$E$5:$E$20,MATCH($F554,設定!$B$5:$B$20,0)),""))</f>
        <v/>
      </c>
      <c r="I554" s="31">
        <f>IFERROR(INDEX(打卡匯入!$C$3:$C$1002,MATCH($C554&amp;"|"&amp;DAY($A554),打卡匯入!$E$3:$E$1002,0)),"")</f>
        <v/>
      </c>
      <c r="J554" s="31">
        <f>IFERROR(INDEX(打卡匯入!$D$3:$D$1002,MATCH($C554&amp;"|"&amp;DAY($A554),打卡匯入!$E$3:$E$1002,0)),"")</f>
        <v/>
      </c>
      <c r="K554" s="32">
        <f>IF(OR($I554="",$J554=""),"",IFERROR(INDEX(設定!$F$5:$F$20,MATCH($F554,設定!$B$5:$B$20,0)),0))</f>
        <v/>
      </c>
      <c r="L554" s="33">
        <f>IF(OR($I554="",$J554=""),"",ROUND(($J554-$I554)*24-$K554/60,2))</f>
        <v/>
      </c>
      <c r="M554" s="29">
        <f>IF($C554="","",IF(AND(COUNTIF(設定!$B$14:$B$20,$F554)&gt;0,$I554&lt;&gt;""),"假日出勤",IF(AND(COUNTIF(設定!$B$5:$B$13,$F554)&gt;0,$I554=""),"未打卡",IF($I554="","",IF($N554&gt;0,"遲到",IF($O554&gt;0,"早退","正常"))))))</f>
        <v/>
      </c>
      <c r="N554" s="32">
        <f>IF(OR($C554="",$G554="",$I554=""),0,IF(ROUND(($I554-$G554)*1440,0)&gt;設定!$C$28,ROUND(($I554-$G554)*1440,0),0))</f>
        <v/>
      </c>
      <c r="O554" s="32">
        <f>IF(OR($C554="",$H554="",$J554=""),0,IF(ROUND(($H554-$J554)*1440,0)&gt;設定!$C$28,ROUND(($H554-$J554)*1440,0),0))</f>
        <v/>
      </c>
      <c r="P554" s="33">
        <f>IF($L554="",0,IF(($L554-IFERROR(INDEX(設定!$G$5:$G$20,MATCH($F554,設定!$B$5:$B$20,0)),0))*60&gt;=設定!$C$26,ROUND(FLOOR(($L554-IFERROR(INDEX(設定!$G$5:$G$20,MATCH($F554,設定!$B$5:$B$20,0)),0))*60,設定!$C$27)/60,2),0))</f>
        <v/>
      </c>
      <c r="Q554" s="29">
        <f>IF(OR($C554="",$P554=0),"",IF($F554="國","國定假日",IF($B554="日","例假",IF($B554="六","休息日","平日"))))</f>
        <v/>
      </c>
      <c r="R554" s="34" t="n"/>
    </row>
    <row r="555">
      <c r="A555" s="30">
        <f>IF(OR(班表!$A23="",26&gt;DAY(EOMONTH(DATE(班表!$E$2,班表!$G$2,1),0))),"",DATE(班表!$E$2,班表!$G$2,26))</f>
        <v/>
      </c>
      <c r="B555" s="29">
        <f>IF($A555="","",INDEX(設定!$L$5:$L$11,WEEKDAY($A555,1)))</f>
        <v/>
      </c>
      <c r="C555" s="29">
        <f>IF($A555="","",班表!$A23)</f>
        <v/>
      </c>
      <c r="D555" s="29">
        <f>IF($C555="","",班表!$B23)</f>
        <v/>
      </c>
      <c r="E555" s="29">
        <f>IF($C555="","",班表!$C23)</f>
        <v/>
      </c>
      <c r="F555" s="29">
        <f>IF($C555="","",班表!AC23)</f>
        <v/>
      </c>
      <c r="G555" s="31">
        <f>IF($F555="","",IFERROR(INDEX(設定!$D$5:$D$20,MATCH($F555,設定!$B$5:$B$20,0)),""))</f>
        <v/>
      </c>
      <c r="H555" s="31">
        <f>IF($F555="","",IFERROR(INDEX(設定!$E$5:$E$20,MATCH($F555,設定!$B$5:$B$20,0)),""))</f>
        <v/>
      </c>
      <c r="I555" s="31">
        <f>IFERROR(INDEX(打卡匯入!$C$3:$C$1002,MATCH($C555&amp;"|"&amp;DAY($A555),打卡匯入!$E$3:$E$1002,0)),"")</f>
        <v/>
      </c>
      <c r="J555" s="31">
        <f>IFERROR(INDEX(打卡匯入!$D$3:$D$1002,MATCH($C555&amp;"|"&amp;DAY($A555),打卡匯入!$E$3:$E$1002,0)),"")</f>
        <v/>
      </c>
      <c r="K555" s="32">
        <f>IF(OR($I555="",$J555=""),"",IFERROR(INDEX(設定!$F$5:$F$20,MATCH($F555,設定!$B$5:$B$20,0)),0))</f>
        <v/>
      </c>
      <c r="L555" s="33">
        <f>IF(OR($I555="",$J555=""),"",ROUND(($J555-$I555)*24-$K555/60,2))</f>
        <v/>
      </c>
      <c r="M555" s="29">
        <f>IF($C555="","",IF(AND(COUNTIF(設定!$B$14:$B$20,$F555)&gt;0,$I555&lt;&gt;""),"假日出勤",IF(AND(COUNTIF(設定!$B$5:$B$13,$F555)&gt;0,$I555=""),"未打卡",IF($I555="","",IF($N555&gt;0,"遲到",IF($O555&gt;0,"早退","正常"))))))</f>
        <v/>
      </c>
      <c r="N555" s="32">
        <f>IF(OR($C555="",$G555="",$I555=""),0,IF(ROUND(($I555-$G555)*1440,0)&gt;設定!$C$28,ROUND(($I555-$G555)*1440,0),0))</f>
        <v/>
      </c>
      <c r="O555" s="32">
        <f>IF(OR($C555="",$H555="",$J555=""),0,IF(ROUND(($H555-$J555)*1440,0)&gt;設定!$C$28,ROUND(($H555-$J555)*1440,0),0))</f>
        <v/>
      </c>
      <c r="P555" s="33">
        <f>IF($L555="",0,IF(($L555-IFERROR(INDEX(設定!$G$5:$G$20,MATCH($F555,設定!$B$5:$B$20,0)),0))*60&gt;=設定!$C$26,ROUND(FLOOR(($L555-IFERROR(INDEX(設定!$G$5:$G$20,MATCH($F555,設定!$B$5:$B$20,0)),0))*60,設定!$C$27)/60,2),0))</f>
        <v/>
      </c>
      <c r="Q555" s="29">
        <f>IF(OR($C555="",$P555=0),"",IF($F555="國","國定假日",IF($B555="日","例假",IF($B555="六","休息日","平日"))))</f>
        <v/>
      </c>
      <c r="R555" s="34" t="n"/>
    </row>
    <row r="556">
      <c r="A556" s="30">
        <f>IF(OR(班表!$A23="",27&gt;DAY(EOMONTH(DATE(班表!$E$2,班表!$G$2,1),0))),"",DATE(班表!$E$2,班表!$G$2,27))</f>
        <v/>
      </c>
      <c r="B556" s="29">
        <f>IF($A556="","",INDEX(設定!$L$5:$L$11,WEEKDAY($A556,1)))</f>
        <v/>
      </c>
      <c r="C556" s="29">
        <f>IF($A556="","",班表!$A23)</f>
        <v/>
      </c>
      <c r="D556" s="29">
        <f>IF($C556="","",班表!$B23)</f>
        <v/>
      </c>
      <c r="E556" s="29">
        <f>IF($C556="","",班表!$C23)</f>
        <v/>
      </c>
      <c r="F556" s="29">
        <f>IF($C556="","",班表!AD23)</f>
        <v/>
      </c>
      <c r="G556" s="31">
        <f>IF($F556="","",IFERROR(INDEX(設定!$D$5:$D$20,MATCH($F556,設定!$B$5:$B$20,0)),""))</f>
        <v/>
      </c>
      <c r="H556" s="31">
        <f>IF($F556="","",IFERROR(INDEX(設定!$E$5:$E$20,MATCH($F556,設定!$B$5:$B$20,0)),""))</f>
        <v/>
      </c>
      <c r="I556" s="31">
        <f>IFERROR(INDEX(打卡匯入!$C$3:$C$1002,MATCH($C556&amp;"|"&amp;DAY($A556),打卡匯入!$E$3:$E$1002,0)),"")</f>
        <v/>
      </c>
      <c r="J556" s="31">
        <f>IFERROR(INDEX(打卡匯入!$D$3:$D$1002,MATCH($C556&amp;"|"&amp;DAY($A556),打卡匯入!$E$3:$E$1002,0)),"")</f>
        <v/>
      </c>
      <c r="K556" s="32">
        <f>IF(OR($I556="",$J556=""),"",IFERROR(INDEX(設定!$F$5:$F$20,MATCH($F556,設定!$B$5:$B$20,0)),0))</f>
        <v/>
      </c>
      <c r="L556" s="33">
        <f>IF(OR($I556="",$J556=""),"",ROUND(($J556-$I556)*24-$K556/60,2))</f>
        <v/>
      </c>
      <c r="M556" s="29">
        <f>IF($C556="","",IF(AND(COUNTIF(設定!$B$14:$B$20,$F556)&gt;0,$I556&lt;&gt;""),"假日出勤",IF(AND(COUNTIF(設定!$B$5:$B$13,$F556)&gt;0,$I556=""),"未打卡",IF($I556="","",IF($N556&gt;0,"遲到",IF($O556&gt;0,"早退","正常"))))))</f>
        <v/>
      </c>
      <c r="N556" s="32">
        <f>IF(OR($C556="",$G556="",$I556=""),0,IF(ROUND(($I556-$G556)*1440,0)&gt;設定!$C$28,ROUND(($I556-$G556)*1440,0),0))</f>
        <v/>
      </c>
      <c r="O556" s="32">
        <f>IF(OR($C556="",$H556="",$J556=""),0,IF(ROUND(($H556-$J556)*1440,0)&gt;設定!$C$28,ROUND(($H556-$J556)*1440,0),0))</f>
        <v/>
      </c>
      <c r="P556" s="33">
        <f>IF($L556="",0,IF(($L556-IFERROR(INDEX(設定!$G$5:$G$20,MATCH($F556,設定!$B$5:$B$20,0)),0))*60&gt;=設定!$C$26,ROUND(FLOOR(($L556-IFERROR(INDEX(設定!$G$5:$G$20,MATCH($F556,設定!$B$5:$B$20,0)),0))*60,設定!$C$27)/60,2),0))</f>
        <v/>
      </c>
      <c r="Q556" s="29">
        <f>IF(OR($C556="",$P556=0),"",IF($F556="國","國定假日",IF($B556="日","例假",IF($B556="六","休息日","平日"))))</f>
        <v/>
      </c>
      <c r="R556" s="34" t="n"/>
    </row>
    <row r="557">
      <c r="A557" s="30">
        <f>IF(OR(班表!$A23="",28&gt;DAY(EOMONTH(DATE(班表!$E$2,班表!$G$2,1),0))),"",DATE(班表!$E$2,班表!$G$2,28))</f>
        <v/>
      </c>
      <c r="B557" s="29">
        <f>IF($A557="","",INDEX(設定!$L$5:$L$11,WEEKDAY($A557,1)))</f>
        <v/>
      </c>
      <c r="C557" s="29">
        <f>IF($A557="","",班表!$A23)</f>
        <v/>
      </c>
      <c r="D557" s="29">
        <f>IF($C557="","",班表!$B23)</f>
        <v/>
      </c>
      <c r="E557" s="29">
        <f>IF($C557="","",班表!$C23)</f>
        <v/>
      </c>
      <c r="F557" s="29">
        <f>IF($C557="","",班表!AE23)</f>
        <v/>
      </c>
      <c r="G557" s="31">
        <f>IF($F557="","",IFERROR(INDEX(設定!$D$5:$D$20,MATCH($F557,設定!$B$5:$B$20,0)),""))</f>
        <v/>
      </c>
      <c r="H557" s="31">
        <f>IF($F557="","",IFERROR(INDEX(設定!$E$5:$E$20,MATCH($F557,設定!$B$5:$B$20,0)),""))</f>
        <v/>
      </c>
      <c r="I557" s="31">
        <f>IFERROR(INDEX(打卡匯入!$C$3:$C$1002,MATCH($C557&amp;"|"&amp;DAY($A557),打卡匯入!$E$3:$E$1002,0)),"")</f>
        <v/>
      </c>
      <c r="J557" s="31">
        <f>IFERROR(INDEX(打卡匯入!$D$3:$D$1002,MATCH($C557&amp;"|"&amp;DAY($A557),打卡匯入!$E$3:$E$1002,0)),"")</f>
        <v/>
      </c>
      <c r="K557" s="32">
        <f>IF(OR($I557="",$J557=""),"",IFERROR(INDEX(設定!$F$5:$F$20,MATCH($F557,設定!$B$5:$B$20,0)),0))</f>
        <v/>
      </c>
      <c r="L557" s="33">
        <f>IF(OR($I557="",$J557=""),"",ROUND(($J557-$I557)*24-$K557/60,2))</f>
        <v/>
      </c>
      <c r="M557" s="29">
        <f>IF($C557="","",IF(AND(COUNTIF(設定!$B$14:$B$20,$F557)&gt;0,$I557&lt;&gt;""),"假日出勤",IF(AND(COUNTIF(設定!$B$5:$B$13,$F557)&gt;0,$I557=""),"未打卡",IF($I557="","",IF($N557&gt;0,"遲到",IF($O557&gt;0,"早退","正常"))))))</f>
        <v/>
      </c>
      <c r="N557" s="32">
        <f>IF(OR($C557="",$G557="",$I557=""),0,IF(ROUND(($I557-$G557)*1440,0)&gt;設定!$C$28,ROUND(($I557-$G557)*1440,0),0))</f>
        <v/>
      </c>
      <c r="O557" s="32">
        <f>IF(OR($C557="",$H557="",$J557=""),0,IF(ROUND(($H557-$J557)*1440,0)&gt;設定!$C$28,ROUND(($H557-$J557)*1440,0),0))</f>
        <v/>
      </c>
      <c r="P557" s="33">
        <f>IF($L557="",0,IF(($L557-IFERROR(INDEX(設定!$G$5:$G$20,MATCH($F557,設定!$B$5:$B$20,0)),0))*60&gt;=設定!$C$26,ROUND(FLOOR(($L557-IFERROR(INDEX(設定!$G$5:$G$20,MATCH($F557,設定!$B$5:$B$20,0)),0))*60,設定!$C$27)/60,2),0))</f>
        <v/>
      </c>
      <c r="Q557" s="29">
        <f>IF(OR($C557="",$P557=0),"",IF($F557="國","國定假日",IF($B557="日","例假",IF($B557="六","休息日","平日"))))</f>
        <v/>
      </c>
      <c r="R557" s="34" t="n"/>
    </row>
    <row r="558">
      <c r="A558" s="30">
        <f>IF(OR(班表!$A23="",29&gt;DAY(EOMONTH(DATE(班表!$E$2,班表!$G$2,1),0))),"",DATE(班表!$E$2,班表!$G$2,29))</f>
        <v/>
      </c>
      <c r="B558" s="29">
        <f>IF($A558="","",INDEX(設定!$L$5:$L$11,WEEKDAY($A558,1)))</f>
        <v/>
      </c>
      <c r="C558" s="29">
        <f>IF($A558="","",班表!$A23)</f>
        <v/>
      </c>
      <c r="D558" s="29">
        <f>IF($C558="","",班表!$B23)</f>
        <v/>
      </c>
      <c r="E558" s="29">
        <f>IF($C558="","",班表!$C23)</f>
        <v/>
      </c>
      <c r="F558" s="29">
        <f>IF($C558="","",班表!AF23)</f>
        <v/>
      </c>
      <c r="G558" s="31">
        <f>IF($F558="","",IFERROR(INDEX(設定!$D$5:$D$20,MATCH($F558,設定!$B$5:$B$20,0)),""))</f>
        <v/>
      </c>
      <c r="H558" s="31">
        <f>IF($F558="","",IFERROR(INDEX(設定!$E$5:$E$20,MATCH($F558,設定!$B$5:$B$20,0)),""))</f>
        <v/>
      </c>
      <c r="I558" s="31">
        <f>IFERROR(INDEX(打卡匯入!$C$3:$C$1002,MATCH($C558&amp;"|"&amp;DAY($A558),打卡匯入!$E$3:$E$1002,0)),"")</f>
        <v/>
      </c>
      <c r="J558" s="31">
        <f>IFERROR(INDEX(打卡匯入!$D$3:$D$1002,MATCH($C558&amp;"|"&amp;DAY($A558),打卡匯入!$E$3:$E$1002,0)),"")</f>
        <v/>
      </c>
      <c r="K558" s="32">
        <f>IF(OR($I558="",$J558=""),"",IFERROR(INDEX(設定!$F$5:$F$20,MATCH($F558,設定!$B$5:$B$20,0)),0))</f>
        <v/>
      </c>
      <c r="L558" s="33">
        <f>IF(OR($I558="",$J558=""),"",ROUND(($J558-$I558)*24-$K558/60,2))</f>
        <v/>
      </c>
      <c r="M558" s="29">
        <f>IF($C558="","",IF(AND(COUNTIF(設定!$B$14:$B$20,$F558)&gt;0,$I558&lt;&gt;""),"假日出勤",IF(AND(COUNTIF(設定!$B$5:$B$13,$F558)&gt;0,$I558=""),"未打卡",IF($I558="","",IF($N558&gt;0,"遲到",IF($O558&gt;0,"早退","正常"))))))</f>
        <v/>
      </c>
      <c r="N558" s="32">
        <f>IF(OR($C558="",$G558="",$I558=""),0,IF(ROUND(($I558-$G558)*1440,0)&gt;設定!$C$28,ROUND(($I558-$G558)*1440,0),0))</f>
        <v/>
      </c>
      <c r="O558" s="32">
        <f>IF(OR($C558="",$H558="",$J558=""),0,IF(ROUND(($H558-$J558)*1440,0)&gt;設定!$C$28,ROUND(($H558-$J558)*1440,0),0))</f>
        <v/>
      </c>
      <c r="P558" s="33">
        <f>IF($L558="",0,IF(($L558-IFERROR(INDEX(設定!$G$5:$G$20,MATCH($F558,設定!$B$5:$B$20,0)),0))*60&gt;=設定!$C$26,ROUND(FLOOR(($L558-IFERROR(INDEX(設定!$G$5:$G$20,MATCH($F558,設定!$B$5:$B$20,0)),0))*60,設定!$C$27)/60,2),0))</f>
        <v/>
      </c>
      <c r="Q558" s="29">
        <f>IF(OR($C558="",$P558=0),"",IF($F558="國","國定假日",IF($B558="日","例假",IF($B558="六","休息日","平日"))))</f>
        <v/>
      </c>
      <c r="R558" s="34" t="n"/>
    </row>
    <row r="559">
      <c r="A559" s="30">
        <f>IF(OR(班表!$A23="",30&gt;DAY(EOMONTH(DATE(班表!$E$2,班表!$G$2,1),0))),"",DATE(班表!$E$2,班表!$G$2,30))</f>
        <v/>
      </c>
      <c r="B559" s="29">
        <f>IF($A559="","",INDEX(設定!$L$5:$L$11,WEEKDAY($A559,1)))</f>
        <v/>
      </c>
      <c r="C559" s="29">
        <f>IF($A559="","",班表!$A23)</f>
        <v/>
      </c>
      <c r="D559" s="29">
        <f>IF($C559="","",班表!$B23)</f>
        <v/>
      </c>
      <c r="E559" s="29">
        <f>IF($C559="","",班表!$C23)</f>
        <v/>
      </c>
      <c r="F559" s="29">
        <f>IF($C559="","",班表!AG23)</f>
        <v/>
      </c>
      <c r="G559" s="31">
        <f>IF($F559="","",IFERROR(INDEX(設定!$D$5:$D$20,MATCH($F559,設定!$B$5:$B$20,0)),""))</f>
        <v/>
      </c>
      <c r="H559" s="31">
        <f>IF($F559="","",IFERROR(INDEX(設定!$E$5:$E$20,MATCH($F559,設定!$B$5:$B$20,0)),""))</f>
        <v/>
      </c>
      <c r="I559" s="31">
        <f>IFERROR(INDEX(打卡匯入!$C$3:$C$1002,MATCH($C559&amp;"|"&amp;DAY($A559),打卡匯入!$E$3:$E$1002,0)),"")</f>
        <v/>
      </c>
      <c r="J559" s="31">
        <f>IFERROR(INDEX(打卡匯入!$D$3:$D$1002,MATCH($C559&amp;"|"&amp;DAY($A559),打卡匯入!$E$3:$E$1002,0)),"")</f>
        <v/>
      </c>
      <c r="K559" s="32">
        <f>IF(OR($I559="",$J559=""),"",IFERROR(INDEX(設定!$F$5:$F$20,MATCH($F559,設定!$B$5:$B$20,0)),0))</f>
        <v/>
      </c>
      <c r="L559" s="33">
        <f>IF(OR($I559="",$J559=""),"",ROUND(($J559-$I559)*24-$K559/60,2))</f>
        <v/>
      </c>
      <c r="M559" s="29">
        <f>IF($C559="","",IF(AND(COUNTIF(設定!$B$14:$B$20,$F559)&gt;0,$I559&lt;&gt;""),"假日出勤",IF(AND(COUNTIF(設定!$B$5:$B$13,$F559)&gt;0,$I559=""),"未打卡",IF($I559="","",IF($N559&gt;0,"遲到",IF($O559&gt;0,"早退","正常"))))))</f>
        <v/>
      </c>
      <c r="N559" s="32">
        <f>IF(OR($C559="",$G559="",$I559=""),0,IF(ROUND(($I559-$G559)*1440,0)&gt;設定!$C$28,ROUND(($I559-$G559)*1440,0),0))</f>
        <v/>
      </c>
      <c r="O559" s="32">
        <f>IF(OR($C559="",$H559="",$J559=""),0,IF(ROUND(($H559-$J559)*1440,0)&gt;設定!$C$28,ROUND(($H559-$J559)*1440,0),0))</f>
        <v/>
      </c>
      <c r="P559" s="33">
        <f>IF($L559="",0,IF(($L559-IFERROR(INDEX(設定!$G$5:$G$20,MATCH($F559,設定!$B$5:$B$20,0)),0))*60&gt;=設定!$C$26,ROUND(FLOOR(($L559-IFERROR(INDEX(設定!$G$5:$G$20,MATCH($F559,設定!$B$5:$B$20,0)),0))*60,設定!$C$27)/60,2),0))</f>
        <v/>
      </c>
      <c r="Q559" s="29">
        <f>IF(OR($C559="",$P559=0),"",IF($F559="國","國定假日",IF($B559="日","例假",IF($B559="六","休息日","平日"))))</f>
        <v/>
      </c>
      <c r="R559" s="34" t="n"/>
    </row>
    <row r="560">
      <c r="A560" s="30">
        <f>IF(OR(班表!$A23="",31&gt;DAY(EOMONTH(DATE(班表!$E$2,班表!$G$2,1),0))),"",DATE(班表!$E$2,班表!$G$2,31))</f>
        <v/>
      </c>
      <c r="B560" s="29">
        <f>IF($A560="","",INDEX(設定!$L$5:$L$11,WEEKDAY($A560,1)))</f>
        <v/>
      </c>
      <c r="C560" s="29">
        <f>IF($A560="","",班表!$A23)</f>
        <v/>
      </c>
      <c r="D560" s="29">
        <f>IF($C560="","",班表!$B23)</f>
        <v/>
      </c>
      <c r="E560" s="29">
        <f>IF($C560="","",班表!$C23)</f>
        <v/>
      </c>
      <c r="F560" s="29">
        <f>IF($C560="","",班表!AH23)</f>
        <v/>
      </c>
      <c r="G560" s="31">
        <f>IF($F560="","",IFERROR(INDEX(設定!$D$5:$D$20,MATCH($F560,設定!$B$5:$B$20,0)),""))</f>
        <v/>
      </c>
      <c r="H560" s="31">
        <f>IF($F560="","",IFERROR(INDEX(設定!$E$5:$E$20,MATCH($F560,設定!$B$5:$B$20,0)),""))</f>
        <v/>
      </c>
      <c r="I560" s="31">
        <f>IFERROR(INDEX(打卡匯入!$C$3:$C$1002,MATCH($C560&amp;"|"&amp;DAY($A560),打卡匯入!$E$3:$E$1002,0)),"")</f>
        <v/>
      </c>
      <c r="J560" s="31">
        <f>IFERROR(INDEX(打卡匯入!$D$3:$D$1002,MATCH($C560&amp;"|"&amp;DAY($A560),打卡匯入!$E$3:$E$1002,0)),"")</f>
        <v/>
      </c>
      <c r="K560" s="32">
        <f>IF(OR($I560="",$J560=""),"",IFERROR(INDEX(設定!$F$5:$F$20,MATCH($F560,設定!$B$5:$B$20,0)),0))</f>
        <v/>
      </c>
      <c r="L560" s="33">
        <f>IF(OR($I560="",$J560=""),"",ROUND(($J560-$I560)*24-$K560/60,2))</f>
        <v/>
      </c>
      <c r="M560" s="29">
        <f>IF($C560="","",IF(AND(COUNTIF(設定!$B$14:$B$20,$F560)&gt;0,$I560&lt;&gt;""),"假日出勤",IF(AND(COUNTIF(設定!$B$5:$B$13,$F560)&gt;0,$I560=""),"未打卡",IF($I560="","",IF($N560&gt;0,"遲到",IF($O560&gt;0,"早退","正常"))))))</f>
        <v/>
      </c>
      <c r="N560" s="32">
        <f>IF(OR($C560="",$G560="",$I560=""),0,IF(ROUND(($I560-$G560)*1440,0)&gt;設定!$C$28,ROUND(($I560-$G560)*1440,0),0))</f>
        <v/>
      </c>
      <c r="O560" s="32">
        <f>IF(OR($C560="",$H560="",$J560=""),0,IF(ROUND(($H560-$J560)*1440,0)&gt;設定!$C$28,ROUND(($H560-$J560)*1440,0),0))</f>
        <v/>
      </c>
      <c r="P560" s="33">
        <f>IF($L560="",0,IF(($L560-IFERROR(INDEX(設定!$G$5:$G$20,MATCH($F560,設定!$B$5:$B$20,0)),0))*60&gt;=設定!$C$26,ROUND(FLOOR(($L560-IFERROR(INDEX(設定!$G$5:$G$20,MATCH($F560,設定!$B$5:$B$20,0)),0))*60,設定!$C$27)/60,2),0))</f>
        <v/>
      </c>
      <c r="Q560" s="29">
        <f>IF(OR($C560="",$P560=0),"",IF($F560="國","國定假日",IF($B560="日","例假",IF($B560="六","休息日","平日"))))</f>
        <v/>
      </c>
      <c r="R560" s="34" t="n"/>
    </row>
    <row r="561">
      <c r="A561" s="30">
        <f>IF(OR(班表!$A24="",1&gt;DAY(EOMONTH(DATE(班表!$E$2,班表!$G$2,1),0))),"",DATE(班表!$E$2,班表!$G$2,1))</f>
        <v/>
      </c>
      <c r="B561" s="29">
        <f>IF($A561="","",INDEX(設定!$L$5:$L$11,WEEKDAY($A561,1)))</f>
        <v/>
      </c>
      <c r="C561" s="29">
        <f>IF($A561="","",班表!$A24)</f>
        <v/>
      </c>
      <c r="D561" s="29">
        <f>IF($C561="","",班表!$B24)</f>
        <v/>
      </c>
      <c r="E561" s="29">
        <f>IF($C561="","",班表!$C24)</f>
        <v/>
      </c>
      <c r="F561" s="29">
        <f>IF($C561="","",班表!D24)</f>
        <v/>
      </c>
      <c r="G561" s="31">
        <f>IF($F561="","",IFERROR(INDEX(設定!$D$5:$D$20,MATCH($F561,設定!$B$5:$B$20,0)),""))</f>
        <v/>
      </c>
      <c r="H561" s="31">
        <f>IF($F561="","",IFERROR(INDEX(設定!$E$5:$E$20,MATCH($F561,設定!$B$5:$B$20,0)),""))</f>
        <v/>
      </c>
      <c r="I561" s="31">
        <f>IFERROR(INDEX(打卡匯入!$C$3:$C$1002,MATCH($C561&amp;"|"&amp;DAY($A561),打卡匯入!$E$3:$E$1002,0)),"")</f>
        <v/>
      </c>
      <c r="J561" s="31">
        <f>IFERROR(INDEX(打卡匯入!$D$3:$D$1002,MATCH($C561&amp;"|"&amp;DAY($A561),打卡匯入!$E$3:$E$1002,0)),"")</f>
        <v/>
      </c>
      <c r="K561" s="32">
        <f>IF(OR($I561="",$J561=""),"",IFERROR(INDEX(設定!$F$5:$F$20,MATCH($F561,設定!$B$5:$B$20,0)),0))</f>
        <v/>
      </c>
      <c r="L561" s="33">
        <f>IF(OR($I561="",$J561=""),"",ROUND(($J561-$I561)*24-$K561/60,2))</f>
        <v/>
      </c>
      <c r="M561" s="29">
        <f>IF($C561="","",IF(AND(COUNTIF(設定!$B$14:$B$20,$F561)&gt;0,$I561&lt;&gt;""),"假日出勤",IF(AND(COUNTIF(設定!$B$5:$B$13,$F561)&gt;0,$I561=""),"未打卡",IF($I561="","",IF($N561&gt;0,"遲到",IF($O561&gt;0,"早退","正常"))))))</f>
        <v/>
      </c>
      <c r="N561" s="32">
        <f>IF(OR($C561="",$G561="",$I561=""),0,IF(ROUND(($I561-$G561)*1440,0)&gt;設定!$C$28,ROUND(($I561-$G561)*1440,0),0))</f>
        <v/>
      </c>
      <c r="O561" s="32">
        <f>IF(OR($C561="",$H561="",$J561=""),0,IF(ROUND(($H561-$J561)*1440,0)&gt;設定!$C$28,ROUND(($H561-$J561)*1440,0),0))</f>
        <v/>
      </c>
      <c r="P561" s="33">
        <f>IF($L561="",0,IF(($L561-IFERROR(INDEX(設定!$G$5:$G$20,MATCH($F561,設定!$B$5:$B$20,0)),0))*60&gt;=設定!$C$26,ROUND(FLOOR(($L561-IFERROR(INDEX(設定!$G$5:$G$20,MATCH($F561,設定!$B$5:$B$20,0)),0))*60,設定!$C$27)/60,2),0))</f>
        <v/>
      </c>
      <c r="Q561" s="29">
        <f>IF(OR($C561="",$P561=0),"",IF($F561="國","國定假日",IF($B561="日","例假",IF($B561="六","休息日","平日"))))</f>
        <v/>
      </c>
      <c r="R561" s="34" t="n"/>
    </row>
    <row r="562">
      <c r="A562" s="30">
        <f>IF(OR(班表!$A24="",2&gt;DAY(EOMONTH(DATE(班表!$E$2,班表!$G$2,1),0))),"",DATE(班表!$E$2,班表!$G$2,2))</f>
        <v/>
      </c>
      <c r="B562" s="29">
        <f>IF($A562="","",INDEX(設定!$L$5:$L$11,WEEKDAY($A562,1)))</f>
        <v/>
      </c>
      <c r="C562" s="29">
        <f>IF($A562="","",班表!$A24)</f>
        <v/>
      </c>
      <c r="D562" s="29">
        <f>IF($C562="","",班表!$B24)</f>
        <v/>
      </c>
      <c r="E562" s="29">
        <f>IF($C562="","",班表!$C24)</f>
        <v/>
      </c>
      <c r="F562" s="29">
        <f>IF($C562="","",班表!E24)</f>
        <v/>
      </c>
      <c r="G562" s="31">
        <f>IF($F562="","",IFERROR(INDEX(設定!$D$5:$D$20,MATCH($F562,設定!$B$5:$B$20,0)),""))</f>
        <v/>
      </c>
      <c r="H562" s="31">
        <f>IF($F562="","",IFERROR(INDEX(設定!$E$5:$E$20,MATCH($F562,設定!$B$5:$B$20,0)),""))</f>
        <v/>
      </c>
      <c r="I562" s="31">
        <f>IFERROR(INDEX(打卡匯入!$C$3:$C$1002,MATCH($C562&amp;"|"&amp;DAY($A562),打卡匯入!$E$3:$E$1002,0)),"")</f>
        <v/>
      </c>
      <c r="J562" s="31">
        <f>IFERROR(INDEX(打卡匯入!$D$3:$D$1002,MATCH($C562&amp;"|"&amp;DAY($A562),打卡匯入!$E$3:$E$1002,0)),"")</f>
        <v/>
      </c>
      <c r="K562" s="32">
        <f>IF(OR($I562="",$J562=""),"",IFERROR(INDEX(設定!$F$5:$F$20,MATCH($F562,設定!$B$5:$B$20,0)),0))</f>
        <v/>
      </c>
      <c r="L562" s="33">
        <f>IF(OR($I562="",$J562=""),"",ROUND(($J562-$I562)*24-$K562/60,2))</f>
        <v/>
      </c>
      <c r="M562" s="29">
        <f>IF($C562="","",IF(AND(COUNTIF(設定!$B$14:$B$20,$F562)&gt;0,$I562&lt;&gt;""),"假日出勤",IF(AND(COUNTIF(設定!$B$5:$B$13,$F562)&gt;0,$I562=""),"未打卡",IF($I562="","",IF($N562&gt;0,"遲到",IF($O562&gt;0,"早退","正常"))))))</f>
        <v/>
      </c>
      <c r="N562" s="32">
        <f>IF(OR($C562="",$G562="",$I562=""),0,IF(ROUND(($I562-$G562)*1440,0)&gt;設定!$C$28,ROUND(($I562-$G562)*1440,0),0))</f>
        <v/>
      </c>
      <c r="O562" s="32">
        <f>IF(OR($C562="",$H562="",$J562=""),0,IF(ROUND(($H562-$J562)*1440,0)&gt;設定!$C$28,ROUND(($H562-$J562)*1440,0),0))</f>
        <v/>
      </c>
      <c r="P562" s="33">
        <f>IF($L562="",0,IF(($L562-IFERROR(INDEX(設定!$G$5:$G$20,MATCH($F562,設定!$B$5:$B$20,0)),0))*60&gt;=設定!$C$26,ROUND(FLOOR(($L562-IFERROR(INDEX(設定!$G$5:$G$20,MATCH($F562,設定!$B$5:$B$20,0)),0))*60,設定!$C$27)/60,2),0))</f>
        <v/>
      </c>
      <c r="Q562" s="29">
        <f>IF(OR($C562="",$P562=0),"",IF($F562="國","國定假日",IF($B562="日","例假",IF($B562="六","休息日","平日"))))</f>
        <v/>
      </c>
      <c r="R562" s="34" t="n"/>
    </row>
    <row r="563">
      <c r="A563" s="30">
        <f>IF(OR(班表!$A24="",3&gt;DAY(EOMONTH(DATE(班表!$E$2,班表!$G$2,1),0))),"",DATE(班表!$E$2,班表!$G$2,3))</f>
        <v/>
      </c>
      <c r="B563" s="29">
        <f>IF($A563="","",INDEX(設定!$L$5:$L$11,WEEKDAY($A563,1)))</f>
        <v/>
      </c>
      <c r="C563" s="29">
        <f>IF($A563="","",班表!$A24)</f>
        <v/>
      </c>
      <c r="D563" s="29">
        <f>IF($C563="","",班表!$B24)</f>
        <v/>
      </c>
      <c r="E563" s="29">
        <f>IF($C563="","",班表!$C24)</f>
        <v/>
      </c>
      <c r="F563" s="29">
        <f>IF($C563="","",班表!F24)</f>
        <v/>
      </c>
      <c r="G563" s="31">
        <f>IF($F563="","",IFERROR(INDEX(設定!$D$5:$D$20,MATCH($F563,設定!$B$5:$B$20,0)),""))</f>
        <v/>
      </c>
      <c r="H563" s="31">
        <f>IF($F563="","",IFERROR(INDEX(設定!$E$5:$E$20,MATCH($F563,設定!$B$5:$B$20,0)),""))</f>
        <v/>
      </c>
      <c r="I563" s="31">
        <f>IFERROR(INDEX(打卡匯入!$C$3:$C$1002,MATCH($C563&amp;"|"&amp;DAY($A563),打卡匯入!$E$3:$E$1002,0)),"")</f>
        <v/>
      </c>
      <c r="J563" s="31">
        <f>IFERROR(INDEX(打卡匯入!$D$3:$D$1002,MATCH($C563&amp;"|"&amp;DAY($A563),打卡匯入!$E$3:$E$1002,0)),"")</f>
        <v/>
      </c>
      <c r="K563" s="32">
        <f>IF(OR($I563="",$J563=""),"",IFERROR(INDEX(設定!$F$5:$F$20,MATCH($F563,設定!$B$5:$B$20,0)),0))</f>
        <v/>
      </c>
      <c r="L563" s="33">
        <f>IF(OR($I563="",$J563=""),"",ROUND(($J563-$I563)*24-$K563/60,2))</f>
        <v/>
      </c>
      <c r="M563" s="29">
        <f>IF($C563="","",IF(AND(COUNTIF(設定!$B$14:$B$20,$F563)&gt;0,$I563&lt;&gt;""),"假日出勤",IF(AND(COUNTIF(設定!$B$5:$B$13,$F563)&gt;0,$I563=""),"未打卡",IF($I563="","",IF($N563&gt;0,"遲到",IF($O563&gt;0,"早退","正常"))))))</f>
        <v/>
      </c>
      <c r="N563" s="32">
        <f>IF(OR($C563="",$G563="",$I563=""),0,IF(ROUND(($I563-$G563)*1440,0)&gt;設定!$C$28,ROUND(($I563-$G563)*1440,0),0))</f>
        <v/>
      </c>
      <c r="O563" s="32">
        <f>IF(OR($C563="",$H563="",$J563=""),0,IF(ROUND(($H563-$J563)*1440,0)&gt;設定!$C$28,ROUND(($H563-$J563)*1440,0),0))</f>
        <v/>
      </c>
      <c r="P563" s="33">
        <f>IF($L563="",0,IF(($L563-IFERROR(INDEX(設定!$G$5:$G$20,MATCH($F563,設定!$B$5:$B$20,0)),0))*60&gt;=設定!$C$26,ROUND(FLOOR(($L563-IFERROR(INDEX(設定!$G$5:$G$20,MATCH($F563,設定!$B$5:$B$20,0)),0))*60,設定!$C$27)/60,2),0))</f>
        <v/>
      </c>
      <c r="Q563" s="29">
        <f>IF(OR($C563="",$P563=0),"",IF($F563="國","國定假日",IF($B563="日","例假",IF($B563="六","休息日","平日"))))</f>
        <v/>
      </c>
      <c r="R563" s="34" t="n"/>
    </row>
    <row r="564">
      <c r="A564" s="30">
        <f>IF(OR(班表!$A24="",4&gt;DAY(EOMONTH(DATE(班表!$E$2,班表!$G$2,1),0))),"",DATE(班表!$E$2,班表!$G$2,4))</f>
        <v/>
      </c>
      <c r="B564" s="29">
        <f>IF($A564="","",INDEX(設定!$L$5:$L$11,WEEKDAY($A564,1)))</f>
        <v/>
      </c>
      <c r="C564" s="29">
        <f>IF($A564="","",班表!$A24)</f>
        <v/>
      </c>
      <c r="D564" s="29">
        <f>IF($C564="","",班表!$B24)</f>
        <v/>
      </c>
      <c r="E564" s="29">
        <f>IF($C564="","",班表!$C24)</f>
        <v/>
      </c>
      <c r="F564" s="29">
        <f>IF($C564="","",班表!G24)</f>
        <v/>
      </c>
      <c r="G564" s="31">
        <f>IF($F564="","",IFERROR(INDEX(設定!$D$5:$D$20,MATCH($F564,設定!$B$5:$B$20,0)),""))</f>
        <v/>
      </c>
      <c r="H564" s="31">
        <f>IF($F564="","",IFERROR(INDEX(設定!$E$5:$E$20,MATCH($F564,設定!$B$5:$B$20,0)),""))</f>
        <v/>
      </c>
      <c r="I564" s="31">
        <f>IFERROR(INDEX(打卡匯入!$C$3:$C$1002,MATCH($C564&amp;"|"&amp;DAY($A564),打卡匯入!$E$3:$E$1002,0)),"")</f>
        <v/>
      </c>
      <c r="J564" s="31">
        <f>IFERROR(INDEX(打卡匯入!$D$3:$D$1002,MATCH($C564&amp;"|"&amp;DAY($A564),打卡匯入!$E$3:$E$1002,0)),"")</f>
        <v/>
      </c>
      <c r="K564" s="32">
        <f>IF(OR($I564="",$J564=""),"",IFERROR(INDEX(設定!$F$5:$F$20,MATCH($F564,設定!$B$5:$B$20,0)),0))</f>
        <v/>
      </c>
      <c r="L564" s="33">
        <f>IF(OR($I564="",$J564=""),"",ROUND(($J564-$I564)*24-$K564/60,2))</f>
        <v/>
      </c>
      <c r="M564" s="29">
        <f>IF($C564="","",IF(AND(COUNTIF(設定!$B$14:$B$20,$F564)&gt;0,$I564&lt;&gt;""),"假日出勤",IF(AND(COUNTIF(設定!$B$5:$B$13,$F564)&gt;0,$I564=""),"未打卡",IF($I564="","",IF($N564&gt;0,"遲到",IF($O564&gt;0,"早退","正常"))))))</f>
        <v/>
      </c>
      <c r="N564" s="32">
        <f>IF(OR($C564="",$G564="",$I564=""),0,IF(ROUND(($I564-$G564)*1440,0)&gt;設定!$C$28,ROUND(($I564-$G564)*1440,0),0))</f>
        <v/>
      </c>
      <c r="O564" s="32">
        <f>IF(OR($C564="",$H564="",$J564=""),0,IF(ROUND(($H564-$J564)*1440,0)&gt;設定!$C$28,ROUND(($H564-$J564)*1440,0),0))</f>
        <v/>
      </c>
      <c r="P564" s="33">
        <f>IF($L564="",0,IF(($L564-IFERROR(INDEX(設定!$G$5:$G$20,MATCH($F564,設定!$B$5:$B$20,0)),0))*60&gt;=設定!$C$26,ROUND(FLOOR(($L564-IFERROR(INDEX(設定!$G$5:$G$20,MATCH($F564,設定!$B$5:$B$20,0)),0))*60,設定!$C$27)/60,2),0))</f>
        <v/>
      </c>
      <c r="Q564" s="29">
        <f>IF(OR($C564="",$P564=0),"",IF($F564="國","國定假日",IF($B564="日","例假",IF($B564="六","休息日","平日"))))</f>
        <v/>
      </c>
      <c r="R564" s="34" t="n"/>
    </row>
    <row r="565">
      <c r="A565" s="30">
        <f>IF(OR(班表!$A24="",5&gt;DAY(EOMONTH(DATE(班表!$E$2,班表!$G$2,1),0))),"",DATE(班表!$E$2,班表!$G$2,5))</f>
        <v/>
      </c>
      <c r="B565" s="29">
        <f>IF($A565="","",INDEX(設定!$L$5:$L$11,WEEKDAY($A565,1)))</f>
        <v/>
      </c>
      <c r="C565" s="29">
        <f>IF($A565="","",班表!$A24)</f>
        <v/>
      </c>
      <c r="D565" s="29">
        <f>IF($C565="","",班表!$B24)</f>
        <v/>
      </c>
      <c r="E565" s="29">
        <f>IF($C565="","",班表!$C24)</f>
        <v/>
      </c>
      <c r="F565" s="29">
        <f>IF($C565="","",班表!H24)</f>
        <v/>
      </c>
      <c r="G565" s="31">
        <f>IF($F565="","",IFERROR(INDEX(設定!$D$5:$D$20,MATCH($F565,設定!$B$5:$B$20,0)),""))</f>
        <v/>
      </c>
      <c r="H565" s="31">
        <f>IF($F565="","",IFERROR(INDEX(設定!$E$5:$E$20,MATCH($F565,設定!$B$5:$B$20,0)),""))</f>
        <v/>
      </c>
      <c r="I565" s="31">
        <f>IFERROR(INDEX(打卡匯入!$C$3:$C$1002,MATCH($C565&amp;"|"&amp;DAY($A565),打卡匯入!$E$3:$E$1002,0)),"")</f>
        <v/>
      </c>
      <c r="J565" s="31">
        <f>IFERROR(INDEX(打卡匯入!$D$3:$D$1002,MATCH($C565&amp;"|"&amp;DAY($A565),打卡匯入!$E$3:$E$1002,0)),"")</f>
        <v/>
      </c>
      <c r="K565" s="32">
        <f>IF(OR($I565="",$J565=""),"",IFERROR(INDEX(設定!$F$5:$F$20,MATCH($F565,設定!$B$5:$B$20,0)),0))</f>
        <v/>
      </c>
      <c r="L565" s="33">
        <f>IF(OR($I565="",$J565=""),"",ROUND(($J565-$I565)*24-$K565/60,2))</f>
        <v/>
      </c>
      <c r="M565" s="29">
        <f>IF($C565="","",IF(AND(COUNTIF(設定!$B$14:$B$20,$F565)&gt;0,$I565&lt;&gt;""),"假日出勤",IF(AND(COUNTIF(設定!$B$5:$B$13,$F565)&gt;0,$I565=""),"未打卡",IF($I565="","",IF($N565&gt;0,"遲到",IF($O565&gt;0,"早退","正常"))))))</f>
        <v/>
      </c>
      <c r="N565" s="32">
        <f>IF(OR($C565="",$G565="",$I565=""),0,IF(ROUND(($I565-$G565)*1440,0)&gt;設定!$C$28,ROUND(($I565-$G565)*1440,0),0))</f>
        <v/>
      </c>
      <c r="O565" s="32">
        <f>IF(OR($C565="",$H565="",$J565=""),0,IF(ROUND(($H565-$J565)*1440,0)&gt;設定!$C$28,ROUND(($H565-$J565)*1440,0),0))</f>
        <v/>
      </c>
      <c r="P565" s="33">
        <f>IF($L565="",0,IF(($L565-IFERROR(INDEX(設定!$G$5:$G$20,MATCH($F565,設定!$B$5:$B$20,0)),0))*60&gt;=設定!$C$26,ROUND(FLOOR(($L565-IFERROR(INDEX(設定!$G$5:$G$20,MATCH($F565,設定!$B$5:$B$20,0)),0))*60,設定!$C$27)/60,2),0))</f>
        <v/>
      </c>
      <c r="Q565" s="29">
        <f>IF(OR($C565="",$P565=0),"",IF($F565="國","國定假日",IF($B565="日","例假",IF($B565="六","休息日","平日"))))</f>
        <v/>
      </c>
      <c r="R565" s="34" t="n"/>
    </row>
    <row r="566">
      <c r="A566" s="30">
        <f>IF(OR(班表!$A24="",6&gt;DAY(EOMONTH(DATE(班表!$E$2,班表!$G$2,1),0))),"",DATE(班表!$E$2,班表!$G$2,6))</f>
        <v/>
      </c>
      <c r="B566" s="29">
        <f>IF($A566="","",INDEX(設定!$L$5:$L$11,WEEKDAY($A566,1)))</f>
        <v/>
      </c>
      <c r="C566" s="29">
        <f>IF($A566="","",班表!$A24)</f>
        <v/>
      </c>
      <c r="D566" s="29">
        <f>IF($C566="","",班表!$B24)</f>
        <v/>
      </c>
      <c r="E566" s="29">
        <f>IF($C566="","",班表!$C24)</f>
        <v/>
      </c>
      <c r="F566" s="29">
        <f>IF($C566="","",班表!I24)</f>
        <v/>
      </c>
      <c r="G566" s="31">
        <f>IF($F566="","",IFERROR(INDEX(設定!$D$5:$D$20,MATCH($F566,設定!$B$5:$B$20,0)),""))</f>
        <v/>
      </c>
      <c r="H566" s="31">
        <f>IF($F566="","",IFERROR(INDEX(設定!$E$5:$E$20,MATCH($F566,設定!$B$5:$B$20,0)),""))</f>
        <v/>
      </c>
      <c r="I566" s="31">
        <f>IFERROR(INDEX(打卡匯入!$C$3:$C$1002,MATCH($C566&amp;"|"&amp;DAY($A566),打卡匯入!$E$3:$E$1002,0)),"")</f>
        <v/>
      </c>
      <c r="J566" s="31">
        <f>IFERROR(INDEX(打卡匯入!$D$3:$D$1002,MATCH($C566&amp;"|"&amp;DAY($A566),打卡匯入!$E$3:$E$1002,0)),"")</f>
        <v/>
      </c>
      <c r="K566" s="32">
        <f>IF(OR($I566="",$J566=""),"",IFERROR(INDEX(設定!$F$5:$F$20,MATCH($F566,設定!$B$5:$B$20,0)),0))</f>
        <v/>
      </c>
      <c r="L566" s="33">
        <f>IF(OR($I566="",$J566=""),"",ROUND(($J566-$I566)*24-$K566/60,2))</f>
        <v/>
      </c>
      <c r="M566" s="29">
        <f>IF($C566="","",IF(AND(COUNTIF(設定!$B$14:$B$20,$F566)&gt;0,$I566&lt;&gt;""),"假日出勤",IF(AND(COUNTIF(設定!$B$5:$B$13,$F566)&gt;0,$I566=""),"未打卡",IF($I566="","",IF($N566&gt;0,"遲到",IF($O566&gt;0,"早退","正常"))))))</f>
        <v/>
      </c>
      <c r="N566" s="32">
        <f>IF(OR($C566="",$G566="",$I566=""),0,IF(ROUND(($I566-$G566)*1440,0)&gt;設定!$C$28,ROUND(($I566-$G566)*1440,0),0))</f>
        <v/>
      </c>
      <c r="O566" s="32">
        <f>IF(OR($C566="",$H566="",$J566=""),0,IF(ROUND(($H566-$J566)*1440,0)&gt;設定!$C$28,ROUND(($H566-$J566)*1440,0),0))</f>
        <v/>
      </c>
      <c r="P566" s="33">
        <f>IF($L566="",0,IF(($L566-IFERROR(INDEX(設定!$G$5:$G$20,MATCH($F566,設定!$B$5:$B$20,0)),0))*60&gt;=設定!$C$26,ROUND(FLOOR(($L566-IFERROR(INDEX(設定!$G$5:$G$20,MATCH($F566,設定!$B$5:$B$20,0)),0))*60,設定!$C$27)/60,2),0))</f>
        <v/>
      </c>
      <c r="Q566" s="29">
        <f>IF(OR($C566="",$P566=0),"",IF($F566="國","國定假日",IF($B566="日","例假",IF($B566="六","休息日","平日"))))</f>
        <v/>
      </c>
      <c r="R566" s="34" t="n"/>
    </row>
    <row r="567">
      <c r="A567" s="30">
        <f>IF(OR(班表!$A24="",7&gt;DAY(EOMONTH(DATE(班表!$E$2,班表!$G$2,1),0))),"",DATE(班表!$E$2,班表!$G$2,7))</f>
        <v/>
      </c>
      <c r="B567" s="29">
        <f>IF($A567="","",INDEX(設定!$L$5:$L$11,WEEKDAY($A567,1)))</f>
        <v/>
      </c>
      <c r="C567" s="29">
        <f>IF($A567="","",班表!$A24)</f>
        <v/>
      </c>
      <c r="D567" s="29">
        <f>IF($C567="","",班表!$B24)</f>
        <v/>
      </c>
      <c r="E567" s="29">
        <f>IF($C567="","",班表!$C24)</f>
        <v/>
      </c>
      <c r="F567" s="29">
        <f>IF($C567="","",班表!J24)</f>
        <v/>
      </c>
      <c r="G567" s="31">
        <f>IF($F567="","",IFERROR(INDEX(設定!$D$5:$D$20,MATCH($F567,設定!$B$5:$B$20,0)),""))</f>
        <v/>
      </c>
      <c r="H567" s="31">
        <f>IF($F567="","",IFERROR(INDEX(設定!$E$5:$E$20,MATCH($F567,設定!$B$5:$B$20,0)),""))</f>
        <v/>
      </c>
      <c r="I567" s="31">
        <f>IFERROR(INDEX(打卡匯入!$C$3:$C$1002,MATCH($C567&amp;"|"&amp;DAY($A567),打卡匯入!$E$3:$E$1002,0)),"")</f>
        <v/>
      </c>
      <c r="J567" s="31">
        <f>IFERROR(INDEX(打卡匯入!$D$3:$D$1002,MATCH($C567&amp;"|"&amp;DAY($A567),打卡匯入!$E$3:$E$1002,0)),"")</f>
        <v/>
      </c>
      <c r="K567" s="32">
        <f>IF(OR($I567="",$J567=""),"",IFERROR(INDEX(設定!$F$5:$F$20,MATCH($F567,設定!$B$5:$B$20,0)),0))</f>
        <v/>
      </c>
      <c r="L567" s="33">
        <f>IF(OR($I567="",$J567=""),"",ROUND(($J567-$I567)*24-$K567/60,2))</f>
        <v/>
      </c>
      <c r="M567" s="29">
        <f>IF($C567="","",IF(AND(COUNTIF(設定!$B$14:$B$20,$F567)&gt;0,$I567&lt;&gt;""),"假日出勤",IF(AND(COUNTIF(設定!$B$5:$B$13,$F567)&gt;0,$I567=""),"未打卡",IF($I567="","",IF($N567&gt;0,"遲到",IF($O567&gt;0,"早退","正常"))))))</f>
        <v/>
      </c>
      <c r="N567" s="32">
        <f>IF(OR($C567="",$G567="",$I567=""),0,IF(ROUND(($I567-$G567)*1440,0)&gt;設定!$C$28,ROUND(($I567-$G567)*1440,0),0))</f>
        <v/>
      </c>
      <c r="O567" s="32">
        <f>IF(OR($C567="",$H567="",$J567=""),0,IF(ROUND(($H567-$J567)*1440,0)&gt;設定!$C$28,ROUND(($H567-$J567)*1440,0),0))</f>
        <v/>
      </c>
      <c r="P567" s="33">
        <f>IF($L567="",0,IF(($L567-IFERROR(INDEX(設定!$G$5:$G$20,MATCH($F567,設定!$B$5:$B$20,0)),0))*60&gt;=設定!$C$26,ROUND(FLOOR(($L567-IFERROR(INDEX(設定!$G$5:$G$20,MATCH($F567,設定!$B$5:$B$20,0)),0))*60,設定!$C$27)/60,2),0))</f>
        <v/>
      </c>
      <c r="Q567" s="29">
        <f>IF(OR($C567="",$P567=0),"",IF($F567="國","國定假日",IF($B567="日","例假",IF($B567="六","休息日","平日"))))</f>
        <v/>
      </c>
      <c r="R567" s="34" t="n"/>
    </row>
    <row r="568">
      <c r="A568" s="30">
        <f>IF(OR(班表!$A24="",8&gt;DAY(EOMONTH(DATE(班表!$E$2,班表!$G$2,1),0))),"",DATE(班表!$E$2,班表!$G$2,8))</f>
        <v/>
      </c>
      <c r="B568" s="29">
        <f>IF($A568="","",INDEX(設定!$L$5:$L$11,WEEKDAY($A568,1)))</f>
        <v/>
      </c>
      <c r="C568" s="29">
        <f>IF($A568="","",班表!$A24)</f>
        <v/>
      </c>
      <c r="D568" s="29">
        <f>IF($C568="","",班表!$B24)</f>
        <v/>
      </c>
      <c r="E568" s="29">
        <f>IF($C568="","",班表!$C24)</f>
        <v/>
      </c>
      <c r="F568" s="29">
        <f>IF($C568="","",班表!K24)</f>
        <v/>
      </c>
      <c r="G568" s="31">
        <f>IF($F568="","",IFERROR(INDEX(設定!$D$5:$D$20,MATCH($F568,設定!$B$5:$B$20,0)),""))</f>
        <v/>
      </c>
      <c r="H568" s="31">
        <f>IF($F568="","",IFERROR(INDEX(設定!$E$5:$E$20,MATCH($F568,設定!$B$5:$B$20,0)),""))</f>
        <v/>
      </c>
      <c r="I568" s="31">
        <f>IFERROR(INDEX(打卡匯入!$C$3:$C$1002,MATCH($C568&amp;"|"&amp;DAY($A568),打卡匯入!$E$3:$E$1002,0)),"")</f>
        <v/>
      </c>
      <c r="J568" s="31">
        <f>IFERROR(INDEX(打卡匯入!$D$3:$D$1002,MATCH($C568&amp;"|"&amp;DAY($A568),打卡匯入!$E$3:$E$1002,0)),"")</f>
        <v/>
      </c>
      <c r="K568" s="32">
        <f>IF(OR($I568="",$J568=""),"",IFERROR(INDEX(設定!$F$5:$F$20,MATCH($F568,設定!$B$5:$B$20,0)),0))</f>
        <v/>
      </c>
      <c r="L568" s="33">
        <f>IF(OR($I568="",$J568=""),"",ROUND(($J568-$I568)*24-$K568/60,2))</f>
        <v/>
      </c>
      <c r="M568" s="29">
        <f>IF($C568="","",IF(AND(COUNTIF(設定!$B$14:$B$20,$F568)&gt;0,$I568&lt;&gt;""),"假日出勤",IF(AND(COUNTIF(設定!$B$5:$B$13,$F568)&gt;0,$I568=""),"未打卡",IF($I568="","",IF($N568&gt;0,"遲到",IF($O568&gt;0,"早退","正常"))))))</f>
        <v/>
      </c>
      <c r="N568" s="32">
        <f>IF(OR($C568="",$G568="",$I568=""),0,IF(ROUND(($I568-$G568)*1440,0)&gt;設定!$C$28,ROUND(($I568-$G568)*1440,0),0))</f>
        <v/>
      </c>
      <c r="O568" s="32">
        <f>IF(OR($C568="",$H568="",$J568=""),0,IF(ROUND(($H568-$J568)*1440,0)&gt;設定!$C$28,ROUND(($H568-$J568)*1440,0),0))</f>
        <v/>
      </c>
      <c r="P568" s="33">
        <f>IF($L568="",0,IF(($L568-IFERROR(INDEX(設定!$G$5:$G$20,MATCH($F568,設定!$B$5:$B$20,0)),0))*60&gt;=設定!$C$26,ROUND(FLOOR(($L568-IFERROR(INDEX(設定!$G$5:$G$20,MATCH($F568,設定!$B$5:$B$20,0)),0))*60,設定!$C$27)/60,2),0))</f>
        <v/>
      </c>
      <c r="Q568" s="29">
        <f>IF(OR($C568="",$P568=0),"",IF($F568="國","國定假日",IF($B568="日","例假",IF($B568="六","休息日","平日"))))</f>
        <v/>
      </c>
      <c r="R568" s="34" t="n"/>
    </row>
    <row r="569">
      <c r="A569" s="30">
        <f>IF(OR(班表!$A24="",9&gt;DAY(EOMONTH(DATE(班表!$E$2,班表!$G$2,1),0))),"",DATE(班表!$E$2,班表!$G$2,9))</f>
        <v/>
      </c>
      <c r="B569" s="29">
        <f>IF($A569="","",INDEX(設定!$L$5:$L$11,WEEKDAY($A569,1)))</f>
        <v/>
      </c>
      <c r="C569" s="29">
        <f>IF($A569="","",班表!$A24)</f>
        <v/>
      </c>
      <c r="D569" s="29">
        <f>IF($C569="","",班表!$B24)</f>
        <v/>
      </c>
      <c r="E569" s="29">
        <f>IF($C569="","",班表!$C24)</f>
        <v/>
      </c>
      <c r="F569" s="29">
        <f>IF($C569="","",班表!L24)</f>
        <v/>
      </c>
      <c r="G569" s="31">
        <f>IF($F569="","",IFERROR(INDEX(設定!$D$5:$D$20,MATCH($F569,設定!$B$5:$B$20,0)),""))</f>
        <v/>
      </c>
      <c r="H569" s="31">
        <f>IF($F569="","",IFERROR(INDEX(設定!$E$5:$E$20,MATCH($F569,設定!$B$5:$B$20,0)),""))</f>
        <v/>
      </c>
      <c r="I569" s="31">
        <f>IFERROR(INDEX(打卡匯入!$C$3:$C$1002,MATCH($C569&amp;"|"&amp;DAY($A569),打卡匯入!$E$3:$E$1002,0)),"")</f>
        <v/>
      </c>
      <c r="J569" s="31">
        <f>IFERROR(INDEX(打卡匯入!$D$3:$D$1002,MATCH($C569&amp;"|"&amp;DAY($A569),打卡匯入!$E$3:$E$1002,0)),"")</f>
        <v/>
      </c>
      <c r="K569" s="32">
        <f>IF(OR($I569="",$J569=""),"",IFERROR(INDEX(設定!$F$5:$F$20,MATCH($F569,設定!$B$5:$B$20,0)),0))</f>
        <v/>
      </c>
      <c r="L569" s="33">
        <f>IF(OR($I569="",$J569=""),"",ROUND(($J569-$I569)*24-$K569/60,2))</f>
        <v/>
      </c>
      <c r="M569" s="29">
        <f>IF($C569="","",IF(AND(COUNTIF(設定!$B$14:$B$20,$F569)&gt;0,$I569&lt;&gt;""),"假日出勤",IF(AND(COUNTIF(設定!$B$5:$B$13,$F569)&gt;0,$I569=""),"未打卡",IF($I569="","",IF($N569&gt;0,"遲到",IF($O569&gt;0,"早退","正常"))))))</f>
        <v/>
      </c>
      <c r="N569" s="32">
        <f>IF(OR($C569="",$G569="",$I569=""),0,IF(ROUND(($I569-$G569)*1440,0)&gt;設定!$C$28,ROUND(($I569-$G569)*1440,0),0))</f>
        <v/>
      </c>
      <c r="O569" s="32">
        <f>IF(OR($C569="",$H569="",$J569=""),0,IF(ROUND(($H569-$J569)*1440,0)&gt;設定!$C$28,ROUND(($H569-$J569)*1440,0),0))</f>
        <v/>
      </c>
      <c r="P569" s="33">
        <f>IF($L569="",0,IF(($L569-IFERROR(INDEX(設定!$G$5:$G$20,MATCH($F569,設定!$B$5:$B$20,0)),0))*60&gt;=設定!$C$26,ROUND(FLOOR(($L569-IFERROR(INDEX(設定!$G$5:$G$20,MATCH($F569,設定!$B$5:$B$20,0)),0))*60,設定!$C$27)/60,2),0))</f>
        <v/>
      </c>
      <c r="Q569" s="29">
        <f>IF(OR($C569="",$P569=0),"",IF($F569="國","國定假日",IF($B569="日","例假",IF($B569="六","休息日","平日"))))</f>
        <v/>
      </c>
      <c r="R569" s="34" t="n"/>
    </row>
    <row r="570">
      <c r="A570" s="30">
        <f>IF(OR(班表!$A24="",10&gt;DAY(EOMONTH(DATE(班表!$E$2,班表!$G$2,1),0))),"",DATE(班表!$E$2,班表!$G$2,10))</f>
        <v/>
      </c>
      <c r="B570" s="29">
        <f>IF($A570="","",INDEX(設定!$L$5:$L$11,WEEKDAY($A570,1)))</f>
        <v/>
      </c>
      <c r="C570" s="29">
        <f>IF($A570="","",班表!$A24)</f>
        <v/>
      </c>
      <c r="D570" s="29">
        <f>IF($C570="","",班表!$B24)</f>
        <v/>
      </c>
      <c r="E570" s="29">
        <f>IF($C570="","",班表!$C24)</f>
        <v/>
      </c>
      <c r="F570" s="29">
        <f>IF($C570="","",班表!M24)</f>
        <v/>
      </c>
      <c r="G570" s="31">
        <f>IF($F570="","",IFERROR(INDEX(設定!$D$5:$D$20,MATCH($F570,設定!$B$5:$B$20,0)),""))</f>
        <v/>
      </c>
      <c r="H570" s="31">
        <f>IF($F570="","",IFERROR(INDEX(設定!$E$5:$E$20,MATCH($F570,設定!$B$5:$B$20,0)),""))</f>
        <v/>
      </c>
      <c r="I570" s="31">
        <f>IFERROR(INDEX(打卡匯入!$C$3:$C$1002,MATCH($C570&amp;"|"&amp;DAY($A570),打卡匯入!$E$3:$E$1002,0)),"")</f>
        <v/>
      </c>
      <c r="J570" s="31">
        <f>IFERROR(INDEX(打卡匯入!$D$3:$D$1002,MATCH($C570&amp;"|"&amp;DAY($A570),打卡匯入!$E$3:$E$1002,0)),"")</f>
        <v/>
      </c>
      <c r="K570" s="32">
        <f>IF(OR($I570="",$J570=""),"",IFERROR(INDEX(設定!$F$5:$F$20,MATCH($F570,設定!$B$5:$B$20,0)),0))</f>
        <v/>
      </c>
      <c r="L570" s="33">
        <f>IF(OR($I570="",$J570=""),"",ROUND(($J570-$I570)*24-$K570/60,2))</f>
        <v/>
      </c>
      <c r="M570" s="29">
        <f>IF($C570="","",IF(AND(COUNTIF(設定!$B$14:$B$20,$F570)&gt;0,$I570&lt;&gt;""),"假日出勤",IF(AND(COUNTIF(設定!$B$5:$B$13,$F570)&gt;0,$I570=""),"未打卡",IF($I570="","",IF($N570&gt;0,"遲到",IF($O570&gt;0,"早退","正常"))))))</f>
        <v/>
      </c>
      <c r="N570" s="32">
        <f>IF(OR($C570="",$G570="",$I570=""),0,IF(ROUND(($I570-$G570)*1440,0)&gt;設定!$C$28,ROUND(($I570-$G570)*1440,0),0))</f>
        <v/>
      </c>
      <c r="O570" s="32">
        <f>IF(OR($C570="",$H570="",$J570=""),0,IF(ROUND(($H570-$J570)*1440,0)&gt;設定!$C$28,ROUND(($H570-$J570)*1440,0),0))</f>
        <v/>
      </c>
      <c r="P570" s="33">
        <f>IF($L570="",0,IF(($L570-IFERROR(INDEX(設定!$G$5:$G$20,MATCH($F570,設定!$B$5:$B$20,0)),0))*60&gt;=設定!$C$26,ROUND(FLOOR(($L570-IFERROR(INDEX(設定!$G$5:$G$20,MATCH($F570,設定!$B$5:$B$20,0)),0))*60,設定!$C$27)/60,2),0))</f>
        <v/>
      </c>
      <c r="Q570" s="29">
        <f>IF(OR($C570="",$P570=0),"",IF($F570="國","國定假日",IF($B570="日","例假",IF($B570="六","休息日","平日"))))</f>
        <v/>
      </c>
      <c r="R570" s="34" t="n"/>
    </row>
    <row r="571">
      <c r="A571" s="30">
        <f>IF(OR(班表!$A24="",11&gt;DAY(EOMONTH(DATE(班表!$E$2,班表!$G$2,1),0))),"",DATE(班表!$E$2,班表!$G$2,11))</f>
        <v/>
      </c>
      <c r="B571" s="29">
        <f>IF($A571="","",INDEX(設定!$L$5:$L$11,WEEKDAY($A571,1)))</f>
        <v/>
      </c>
      <c r="C571" s="29">
        <f>IF($A571="","",班表!$A24)</f>
        <v/>
      </c>
      <c r="D571" s="29">
        <f>IF($C571="","",班表!$B24)</f>
        <v/>
      </c>
      <c r="E571" s="29">
        <f>IF($C571="","",班表!$C24)</f>
        <v/>
      </c>
      <c r="F571" s="29">
        <f>IF($C571="","",班表!N24)</f>
        <v/>
      </c>
      <c r="G571" s="31">
        <f>IF($F571="","",IFERROR(INDEX(設定!$D$5:$D$20,MATCH($F571,設定!$B$5:$B$20,0)),""))</f>
        <v/>
      </c>
      <c r="H571" s="31">
        <f>IF($F571="","",IFERROR(INDEX(設定!$E$5:$E$20,MATCH($F571,設定!$B$5:$B$20,0)),""))</f>
        <v/>
      </c>
      <c r="I571" s="31">
        <f>IFERROR(INDEX(打卡匯入!$C$3:$C$1002,MATCH($C571&amp;"|"&amp;DAY($A571),打卡匯入!$E$3:$E$1002,0)),"")</f>
        <v/>
      </c>
      <c r="J571" s="31">
        <f>IFERROR(INDEX(打卡匯入!$D$3:$D$1002,MATCH($C571&amp;"|"&amp;DAY($A571),打卡匯入!$E$3:$E$1002,0)),"")</f>
        <v/>
      </c>
      <c r="K571" s="32">
        <f>IF(OR($I571="",$J571=""),"",IFERROR(INDEX(設定!$F$5:$F$20,MATCH($F571,設定!$B$5:$B$20,0)),0))</f>
        <v/>
      </c>
      <c r="L571" s="33">
        <f>IF(OR($I571="",$J571=""),"",ROUND(($J571-$I571)*24-$K571/60,2))</f>
        <v/>
      </c>
      <c r="M571" s="29">
        <f>IF($C571="","",IF(AND(COUNTIF(設定!$B$14:$B$20,$F571)&gt;0,$I571&lt;&gt;""),"假日出勤",IF(AND(COUNTIF(設定!$B$5:$B$13,$F571)&gt;0,$I571=""),"未打卡",IF($I571="","",IF($N571&gt;0,"遲到",IF($O571&gt;0,"早退","正常"))))))</f>
        <v/>
      </c>
      <c r="N571" s="32">
        <f>IF(OR($C571="",$G571="",$I571=""),0,IF(ROUND(($I571-$G571)*1440,0)&gt;設定!$C$28,ROUND(($I571-$G571)*1440,0),0))</f>
        <v/>
      </c>
      <c r="O571" s="32">
        <f>IF(OR($C571="",$H571="",$J571=""),0,IF(ROUND(($H571-$J571)*1440,0)&gt;設定!$C$28,ROUND(($H571-$J571)*1440,0),0))</f>
        <v/>
      </c>
      <c r="P571" s="33">
        <f>IF($L571="",0,IF(($L571-IFERROR(INDEX(設定!$G$5:$G$20,MATCH($F571,設定!$B$5:$B$20,0)),0))*60&gt;=設定!$C$26,ROUND(FLOOR(($L571-IFERROR(INDEX(設定!$G$5:$G$20,MATCH($F571,設定!$B$5:$B$20,0)),0))*60,設定!$C$27)/60,2),0))</f>
        <v/>
      </c>
      <c r="Q571" s="29">
        <f>IF(OR($C571="",$P571=0),"",IF($F571="國","國定假日",IF($B571="日","例假",IF($B571="六","休息日","平日"))))</f>
        <v/>
      </c>
      <c r="R571" s="34" t="n"/>
    </row>
    <row r="572">
      <c r="A572" s="30">
        <f>IF(OR(班表!$A24="",12&gt;DAY(EOMONTH(DATE(班表!$E$2,班表!$G$2,1),0))),"",DATE(班表!$E$2,班表!$G$2,12))</f>
        <v/>
      </c>
      <c r="B572" s="29">
        <f>IF($A572="","",INDEX(設定!$L$5:$L$11,WEEKDAY($A572,1)))</f>
        <v/>
      </c>
      <c r="C572" s="29">
        <f>IF($A572="","",班表!$A24)</f>
        <v/>
      </c>
      <c r="D572" s="29">
        <f>IF($C572="","",班表!$B24)</f>
        <v/>
      </c>
      <c r="E572" s="29">
        <f>IF($C572="","",班表!$C24)</f>
        <v/>
      </c>
      <c r="F572" s="29">
        <f>IF($C572="","",班表!O24)</f>
        <v/>
      </c>
      <c r="G572" s="31">
        <f>IF($F572="","",IFERROR(INDEX(設定!$D$5:$D$20,MATCH($F572,設定!$B$5:$B$20,0)),""))</f>
        <v/>
      </c>
      <c r="H572" s="31">
        <f>IF($F572="","",IFERROR(INDEX(設定!$E$5:$E$20,MATCH($F572,設定!$B$5:$B$20,0)),""))</f>
        <v/>
      </c>
      <c r="I572" s="31">
        <f>IFERROR(INDEX(打卡匯入!$C$3:$C$1002,MATCH($C572&amp;"|"&amp;DAY($A572),打卡匯入!$E$3:$E$1002,0)),"")</f>
        <v/>
      </c>
      <c r="J572" s="31">
        <f>IFERROR(INDEX(打卡匯入!$D$3:$D$1002,MATCH($C572&amp;"|"&amp;DAY($A572),打卡匯入!$E$3:$E$1002,0)),"")</f>
        <v/>
      </c>
      <c r="K572" s="32">
        <f>IF(OR($I572="",$J572=""),"",IFERROR(INDEX(設定!$F$5:$F$20,MATCH($F572,設定!$B$5:$B$20,0)),0))</f>
        <v/>
      </c>
      <c r="L572" s="33">
        <f>IF(OR($I572="",$J572=""),"",ROUND(($J572-$I572)*24-$K572/60,2))</f>
        <v/>
      </c>
      <c r="M572" s="29">
        <f>IF($C572="","",IF(AND(COUNTIF(設定!$B$14:$B$20,$F572)&gt;0,$I572&lt;&gt;""),"假日出勤",IF(AND(COUNTIF(設定!$B$5:$B$13,$F572)&gt;0,$I572=""),"未打卡",IF($I572="","",IF($N572&gt;0,"遲到",IF($O572&gt;0,"早退","正常"))))))</f>
        <v/>
      </c>
      <c r="N572" s="32">
        <f>IF(OR($C572="",$G572="",$I572=""),0,IF(ROUND(($I572-$G572)*1440,0)&gt;設定!$C$28,ROUND(($I572-$G572)*1440,0),0))</f>
        <v/>
      </c>
      <c r="O572" s="32">
        <f>IF(OR($C572="",$H572="",$J572=""),0,IF(ROUND(($H572-$J572)*1440,0)&gt;設定!$C$28,ROUND(($H572-$J572)*1440,0),0))</f>
        <v/>
      </c>
      <c r="P572" s="33">
        <f>IF($L572="",0,IF(($L572-IFERROR(INDEX(設定!$G$5:$G$20,MATCH($F572,設定!$B$5:$B$20,0)),0))*60&gt;=設定!$C$26,ROUND(FLOOR(($L572-IFERROR(INDEX(設定!$G$5:$G$20,MATCH($F572,設定!$B$5:$B$20,0)),0))*60,設定!$C$27)/60,2),0))</f>
        <v/>
      </c>
      <c r="Q572" s="29">
        <f>IF(OR($C572="",$P572=0),"",IF($F572="國","國定假日",IF($B572="日","例假",IF($B572="六","休息日","平日"))))</f>
        <v/>
      </c>
      <c r="R572" s="34" t="n"/>
    </row>
    <row r="573">
      <c r="A573" s="30">
        <f>IF(OR(班表!$A24="",13&gt;DAY(EOMONTH(DATE(班表!$E$2,班表!$G$2,1),0))),"",DATE(班表!$E$2,班表!$G$2,13))</f>
        <v/>
      </c>
      <c r="B573" s="29">
        <f>IF($A573="","",INDEX(設定!$L$5:$L$11,WEEKDAY($A573,1)))</f>
        <v/>
      </c>
      <c r="C573" s="29">
        <f>IF($A573="","",班表!$A24)</f>
        <v/>
      </c>
      <c r="D573" s="29">
        <f>IF($C573="","",班表!$B24)</f>
        <v/>
      </c>
      <c r="E573" s="29">
        <f>IF($C573="","",班表!$C24)</f>
        <v/>
      </c>
      <c r="F573" s="29">
        <f>IF($C573="","",班表!P24)</f>
        <v/>
      </c>
      <c r="G573" s="31">
        <f>IF($F573="","",IFERROR(INDEX(設定!$D$5:$D$20,MATCH($F573,設定!$B$5:$B$20,0)),""))</f>
        <v/>
      </c>
      <c r="H573" s="31">
        <f>IF($F573="","",IFERROR(INDEX(設定!$E$5:$E$20,MATCH($F573,設定!$B$5:$B$20,0)),""))</f>
        <v/>
      </c>
      <c r="I573" s="31">
        <f>IFERROR(INDEX(打卡匯入!$C$3:$C$1002,MATCH($C573&amp;"|"&amp;DAY($A573),打卡匯入!$E$3:$E$1002,0)),"")</f>
        <v/>
      </c>
      <c r="J573" s="31">
        <f>IFERROR(INDEX(打卡匯入!$D$3:$D$1002,MATCH($C573&amp;"|"&amp;DAY($A573),打卡匯入!$E$3:$E$1002,0)),"")</f>
        <v/>
      </c>
      <c r="K573" s="32">
        <f>IF(OR($I573="",$J573=""),"",IFERROR(INDEX(設定!$F$5:$F$20,MATCH($F573,設定!$B$5:$B$20,0)),0))</f>
        <v/>
      </c>
      <c r="L573" s="33">
        <f>IF(OR($I573="",$J573=""),"",ROUND(($J573-$I573)*24-$K573/60,2))</f>
        <v/>
      </c>
      <c r="M573" s="29">
        <f>IF($C573="","",IF(AND(COUNTIF(設定!$B$14:$B$20,$F573)&gt;0,$I573&lt;&gt;""),"假日出勤",IF(AND(COUNTIF(設定!$B$5:$B$13,$F573)&gt;0,$I573=""),"未打卡",IF($I573="","",IF($N573&gt;0,"遲到",IF($O573&gt;0,"早退","正常"))))))</f>
        <v/>
      </c>
      <c r="N573" s="32">
        <f>IF(OR($C573="",$G573="",$I573=""),0,IF(ROUND(($I573-$G573)*1440,0)&gt;設定!$C$28,ROUND(($I573-$G573)*1440,0),0))</f>
        <v/>
      </c>
      <c r="O573" s="32">
        <f>IF(OR($C573="",$H573="",$J573=""),0,IF(ROUND(($H573-$J573)*1440,0)&gt;設定!$C$28,ROUND(($H573-$J573)*1440,0),0))</f>
        <v/>
      </c>
      <c r="P573" s="33">
        <f>IF($L573="",0,IF(($L573-IFERROR(INDEX(設定!$G$5:$G$20,MATCH($F573,設定!$B$5:$B$20,0)),0))*60&gt;=設定!$C$26,ROUND(FLOOR(($L573-IFERROR(INDEX(設定!$G$5:$G$20,MATCH($F573,設定!$B$5:$B$20,0)),0))*60,設定!$C$27)/60,2),0))</f>
        <v/>
      </c>
      <c r="Q573" s="29">
        <f>IF(OR($C573="",$P573=0),"",IF($F573="國","國定假日",IF($B573="日","例假",IF($B573="六","休息日","平日"))))</f>
        <v/>
      </c>
      <c r="R573" s="34" t="n"/>
    </row>
    <row r="574">
      <c r="A574" s="30">
        <f>IF(OR(班表!$A24="",14&gt;DAY(EOMONTH(DATE(班表!$E$2,班表!$G$2,1),0))),"",DATE(班表!$E$2,班表!$G$2,14))</f>
        <v/>
      </c>
      <c r="B574" s="29">
        <f>IF($A574="","",INDEX(設定!$L$5:$L$11,WEEKDAY($A574,1)))</f>
        <v/>
      </c>
      <c r="C574" s="29">
        <f>IF($A574="","",班表!$A24)</f>
        <v/>
      </c>
      <c r="D574" s="29">
        <f>IF($C574="","",班表!$B24)</f>
        <v/>
      </c>
      <c r="E574" s="29">
        <f>IF($C574="","",班表!$C24)</f>
        <v/>
      </c>
      <c r="F574" s="29">
        <f>IF($C574="","",班表!Q24)</f>
        <v/>
      </c>
      <c r="G574" s="31">
        <f>IF($F574="","",IFERROR(INDEX(設定!$D$5:$D$20,MATCH($F574,設定!$B$5:$B$20,0)),""))</f>
        <v/>
      </c>
      <c r="H574" s="31">
        <f>IF($F574="","",IFERROR(INDEX(設定!$E$5:$E$20,MATCH($F574,設定!$B$5:$B$20,0)),""))</f>
        <v/>
      </c>
      <c r="I574" s="31">
        <f>IFERROR(INDEX(打卡匯入!$C$3:$C$1002,MATCH($C574&amp;"|"&amp;DAY($A574),打卡匯入!$E$3:$E$1002,0)),"")</f>
        <v/>
      </c>
      <c r="J574" s="31">
        <f>IFERROR(INDEX(打卡匯入!$D$3:$D$1002,MATCH($C574&amp;"|"&amp;DAY($A574),打卡匯入!$E$3:$E$1002,0)),"")</f>
        <v/>
      </c>
      <c r="K574" s="32">
        <f>IF(OR($I574="",$J574=""),"",IFERROR(INDEX(設定!$F$5:$F$20,MATCH($F574,設定!$B$5:$B$20,0)),0))</f>
        <v/>
      </c>
      <c r="L574" s="33">
        <f>IF(OR($I574="",$J574=""),"",ROUND(($J574-$I574)*24-$K574/60,2))</f>
        <v/>
      </c>
      <c r="M574" s="29">
        <f>IF($C574="","",IF(AND(COUNTIF(設定!$B$14:$B$20,$F574)&gt;0,$I574&lt;&gt;""),"假日出勤",IF(AND(COUNTIF(設定!$B$5:$B$13,$F574)&gt;0,$I574=""),"未打卡",IF($I574="","",IF($N574&gt;0,"遲到",IF($O574&gt;0,"早退","正常"))))))</f>
        <v/>
      </c>
      <c r="N574" s="32">
        <f>IF(OR($C574="",$G574="",$I574=""),0,IF(ROUND(($I574-$G574)*1440,0)&gt;設定!$C$28,ROUND(($I574-$G574)*1440,0),0))</f>
        <v/>
      </c>
      <c r="O574" s="32">
        <f>IF(OR($C574="",$H574="",$J574=""),0,IF(ROUND(($H574-$J574)*1440,0)&gt;設定!$C$28,ROUND(($H574-$J574)*1440,0),0))</f>
        <v/>
      </c>
      <c r="P574" s="33">
        <f>IF($L574="",0,IF(($L574-IFERROR(INDEX(設定!$G$5:$G$20,MATCH($F574,設定!$B$5:$B$20,0)),0))*60&gt;=設定!$C$26,ROUND(FLOOR(($L574-IFERROR(INDEX(設定!$G$5:$G$20,MATCH($F574,設定!$B$5:$B$20,0)),0))*60,設定!$C$27)/60,2),0))</f>
        <v/>
      </c>
      <c r="Q574" s="29">
        <f>IF(OR($C574="",$P574=0),"",IF($F574="國","國定假日",IF($B574="日","例假",IF($B574="六","休息日","平日"))))</f>
        <v/>
      </c>
      <c r="R574" s="34" t="n"/>
    </row>
    <row r="575">
      <c r="A575" s="30">
        <f>IF(OR(班表!$A24="",15&gt;DAY(EOMONTH(DATE(班表!$E$2,班表!$G$2,1),0))),"",DATE(班表!$E$2,班表!$G$2,15))</f>
        <v/>
      </c>
      <c r="B575" s="29">
        <f>IF($A575="","",INDEX(設定!$L$5:$L$11,WEEKDAY($A575,1)))</f>
        <v/>
      </c>
      <c r="C575" s="29">
        <f>IF($A575="","",班表!$A24)</f>
        <v/>
      </c>
      <c r="D575" s="29">
        <f>IF($C575="","",班表!$B24)</f>
        <v/>
      </c>
      <c r="E575" s="29">
        <f>IF($C575="","",班表!$C24)</f>
        <v/>
      </c>
      <c r="F575" s="29">
        <f>IF($C575="","",班表!R24)</f>
        <v/>
      </c>
      <c r="G575" s="31">
        <f>IF($F575="","",IFERROR(INDEX(設定!$D$5:$D$20,MATCH($F575,設定!$B$5:$B$20,0)),""))</f>
        <v/>
      </c>
      <c r="H575" s="31">
        <f>IF($F575="","",IFERROR(INDEX(設定!$E$5:$E$20,MATCH($F575,設定!$B$5:$B$20,0)),""))</f>
        <v/>
      </c>
      <c r="I575" s="31">
        <f>IFERROR(INDEX(打卡匯入!$C$3:$C$1002,MATCH($C575&amp;"|"&amp;DAY($A575),打卡匯入!$E$3:$E$1002,0)),"")</f>
        <v/>
      </c>
      <c r="J575" s="31">
        <f>IFERROR(INDEX(打卡匯入!$D$3:$D$1002,MATCH($C575&amp;"|"&amp;DAY($A575),打卡匯入!$E$3:$E$1002,0)),"")</f>
        <v/>
      </c>
      <c r="K575" s="32">
        <f>IF(OR($I575="",$J575=""),"",IFERROR(INDEX(設定!$F$5:$F$20,MATCH($F575,設定!$B$5:$B$20,0)),0))</f>
        <v/>
      </c>
      <c r="L575" s="33">
        <f>IF(OR($I575="",$J575=""),"",ROUND(($J575-$I575)*24-$K575/60,2))</f>
        <v/>
      </c>
      <c r="M575" s="29">
        <f>IF($C575="","",IF(AND(COUNTIF(設定!$B$14:$B$20,$F575)&gt;0,$I575&lt;&gt;""),"假日出勤",IF(AND(COUNTIF(設定!$B$5:$B$13,$F575)&gt;0,$I575=""),"未打卡",IF($I575="","",IF($N575&gt;0,"遲到",IF($O575&gt;0,"早退","正常"))))))</f>
        <v/>
      </c>
      <c r="N575" s="32">
        <f>IF(OR($C575="",$G575="",$I575=""),0,IF(ROUND(($I575-$G575)*1440,0)&gt;設定!$C$28,ROUND(($I575-$G575)*1440,0),0))</f>
        <v/>
      </c>
      <c r="O575" s="32">
        <f>IF(OR($C575="",$H575="",$J575=""),0,IF(ROUND(($H575-$J575)*1440,0)&gt;設定!$C$28,ROUND(($H575-$J575)*1440,0),0))</f>
        <v/>
      </c>
      <c r="P575" s="33">
        <f>IF($L575="",0,IF(($L575-IFERROR(INDEX(設定!$G$5:$G$20,MATCH($F575,設定!$B$5:$B$20,0)),0))*60&gt;=設定!$C$26,ROUND(FLOOR(($L575-IFERROR(INDEX(設定!$G$5:$G$20,MATCH($F575,設定!$B$5:$B$20,0)),0))*60,設定!$C$27)/60,2),0))</f>
        <v/>
      </c>
      <c r="Q575" s="29">
        <f>IF(OR($C575="",$P575=0),"",IF($F575="國","國定假日",IF($B575="日","例假",IF($B575="六","休息日","平日"))))</f>
        <v/>
      </c>
      <c r="R575" s="34" t="n"/>
    </row>
    <row r="576">
      <c r="A576" s="30">
        <f>IF(OR(班表!$A24="",16&gt;DAY(EOMONTH(DATE(班表!$E$2,班表!$G$2,1),0))),"",DATE(班表!$E$2,班表!$G$2,16))</f>
        <v/>
      </c>
      <c r="B576" s="29">
        <f>IF($A576="","",INDEX(設定!$L$5:$L$11,WEEKDAY($A576,1)))</f>
        <v/>
      </c>
      <c r="C576" s="29">
        <f>IF($A576="","",班表!$A24)</f>
        <v/>
      </c>
      <c r="D576" s="29">
        <f>IF($C576="","",班表!$B24)</f>
        <v/>
      </c>
      <c r="E576" s="29">
        <f>IF($C576="","",班表!$C24)</f>
        <v/>
      </c>
      <c r="F576" s="29">
        <f>IF($C576="","",班表!S24)</f>
        <v/>
      </c>
      <c r="G576" s="31">
        <f>IF($F576="","",IFERROR(INDEX(設定!$D$5:$D$20,MATCH($F576,設定!$B$5:$B$20,0)),""))</f>
        <v/>
      </c>
      <c r="H576" s="31">
        <f>IF($F576="","",IFERROR(INDEX(設定!$E$5:$E$20,MATCH($F576,設定!$B$5:$B$20,0)),""))</f>
        <v/>
      </c>
      <c r="I576" s="31">
        <f>IFERROR(INDEX(打卡匯入!$C$3:$C$1002,MATCH($C576&amp;"|"&amp;DAY($A576),打卡匯入!$E$3:$E$1002,0)),"")</f>
        <v/>
      </c>
      <c r="J576" s="31">
        <f>IFERROR(INDEX(打卡匯入!$D$3:$D$1002,MATCH($C576&amp;"|"&amp;DAY($A576),打卡匯入!$E$3:$E$1002,0)),"")</f>
        <v/>
      </c>
      <c r="K576" s="32">
        <f>IF(OR($I576="",$J576=""),"",IFERROR(INDEX(設定!$F$5:$F$20,MATCH($F576,設定!$B$5:$B$20,0)),0))</f>
        <v/>
      </c>
      <c r="L576" s="33">
        <f>IF(OR($I576="",$J576=""),"",ROUND(($J576-$I576)*24-$K576/60,2))</f>
        <v/>
      </c>
      <c r="M576" s="29">
        <f>IF($C576="","",IF(AND(COUNTIF(設定!$B$14:$B$20,$F576)&gt;0,$I576&lt;&gt;""),"假日出勤",IF(AND(COUNTIF(設定!$B$5:$B$13,$F576)&gt;0,$I576=""),"未打卡",IF($I576="","",IF($N576&gt;0,"遲到",IF($O576&gt;0,"早退","正常"))))))</f>
        <v/>
      </c>
      <c r="N576" s="32">
        <f>IF(OR($C576="",$G576="",$I576=""),0,IF(ROUND(($I576-$G576)*1440,0)&gt;設定!$C$28,ROUND(($I576-$G576)*1440,0),0))</f>
        <v/>
      </c>
      <c r="O576" s="32">
        <f>IF(OR($C576="",$H576="",$J576=""),0,IF(ROUND(($H576-$J576)*1440,0)&gt;設定!$C$28,ROUND(($H576-$J576)*1440,0),0))</f>
        <v/>
      </c>
      <c r="P576" s="33">
        <f>IF($L576="",0,IF(($L576-IFERROR(INDEX(設定!$G$5:$G$20,MATCH($F576,設定!$B$5:$B$20,0)),0))*60&gt;=設定!$C$26,ROUND(FLOOR(($L576-IFERROR(INDEX(設定!$G$5:$G$20,MATCH($F576,設定!$B$5:$B$20,0)),0))*60,設定!$C$27)/60,2),0))</f>
        <v/>
      </c>
      <c r="Q576" s="29">
        <f>IF(OR($C576="",$P576=0),"",IF($F576="國","國定假日",IF($B576="日","例假",IF($B576="六","休息日","平日"))))</f>
        <v/>
      </c>
      <c r="R576" s="34" t="n"/>
    </row>
    <row r="577">
      <c r="A577" s="30">
        <f>IF(OR(班表!$A24="",17&gt;DAY(EOMONTH(DATE(班表!$E$2,班表!$G$2,1),0))),"",DATE(班表!$E$2,班表!$G$2,17))</f>
        <v/>
      </c>
      <c r="B577" s="29">
        <f>IF($A577="","",INDEX(設定!$L$5:$L$11,WEEKDAY($A577,1)))</f>
        <v/>
      </c>
      <c r="C577" s="29">
        <f>IF($A577="","",班表!$A24)</f>
        <v/>
      </c>
      <c r="D577" s="29">
        <f>IF($C577="","",班表!$B24)</f>
        <v/>
      </c>
      <c r="E577" s="29">
        <f>IF($C577="","",班表!$C24)</f>
        <v/>
      </c>
      <c r="F577" s="29">
        <f>IF($C577="","",班表!T24)</f>
        <v/>
      </c>
      <c r="G577" s="31">
        <f>IF($F577="","",IFERROR(INDEX(設定!$D$5:$D$20,MATCH($F577,設定!$B$5:$B$20,0)),""))</f>
        <v/>
      </c>
      <c r="H577" s="31">
        <f>IF($F577="","",IFERROR(INDEX(設定!$E$5:$E$20,MATCH($F577,設定!$B$5:$B$20,0)),""))</f>
        <v/>
      </c>
      <c r="I577" s="31">
        <f>IFERROR(INDEX(打卡匯入!$C$3:$C$1002,MATCH($C577&amp;"|"&amp;DAY($A577),打卡匯入!$E$3:$E$1002,0)),"")</f>
        <v/>
      </c>
      <c r="J577" s="31">
        <f>IFERROR(INDEX(打卡匯入!$D$3:$D$1002,MATCH($C577&amp;"|"&amp;DAY($A577),打卡匯入!$E$3:$E$1002,0)),"")</f>
        <v/>
      </c>
      <c r="K577" s="32">
        <f>IF(OR($I577="",$J577=""),"",IFERROR(INDEX(設定!$F$5:$F$20,MATCH($F577,設定!$B$5:$B$20,0)),0))</f>
        <v/>
      </c>
      <c r="L577" s="33">
        <f>IF(OR($I577="",$J577=""),"",ROUND(($J577-$I577)*24-$K577/60,2))</f>
        <v/>
      </c>
      <c r="M577" s="29">
        <f>IF($C577="","",IF(AND(COUNTIF(設定!$B$14:$B$20,$F577)&gt;0,$I577&lt;&gt;""),"假日出勤",IF(AND(COUNTIF(設定!$B$5:$B$13,$F577)&gt;0,$I577=""),"未打卡",IF($I577="","",IF($N577&gt;0,"遲到",IF($O577&gt;0,"早退","正常"))))))</f>
        <v/>
      </c>
      <c r="N577" s="32">
        <f>IF(OR($C577="",$G577="",$I577=""),0,IF(ROUND(($I577-$G577)*1440,0)&gt;設定!$C$28,ROUND(($I577-$G577)*1440,0),0))</f>
        <v/>
      </c>
      <c r="O577" s="32">
        <f>IF(OR($C577="",$H577="",$J577=""),0,IF(ROUND(($H577-$J577)*1440,0)&gt;設定!$C$28,ROUND(($H577-$J577)*1440,0),0))</f>
        <v/>
      </c>
      <c r="P577" s="33">
        <f>IF($L577="",0,IF(($L577-IFERROR(INDEX(設定!$G$5:$G$20,MATCH($F577,設定!$B$5:$B$20,0)),0))*60&gt;=設定!$C$26,ROUND(FLOOR(($L577-IFERROR(INDEX(設定!$G$5:$G$20,MATCH($F577,設定!$B$5:$B$20,0)),0))*60,設定!$C$27)/60,2),0))</f>
        <v/>
      </c>
      <c r="Q577" s="29">
        <f>IF(OR($C577="",$P577=0),"",IF($F577="國","國定假日",IF($B577="日","例假",IF($B577="六","休息日","平日"))))</f>
        <v/>
      </c>
      <c r="R577" s="34" t="n"/>
    </row>
    <row r="578">
      <c r="A578" s="30">
        <f>IF(OR(班表!$A24="",18&gt;DAY(EOMONTH(DATE(班表!$E$2,班表!$G$2,1),0))),"",DATE(班表!$E$2,班表!$G$2,18))</f>
        <v/>
      </c>
      <c r="B578" s="29">
        <f>IF($A578="","",INDEX(設定!$L$5:$L$11,WEEKDAY($A578,1)))</f>
        <v/>
      </c>
      <c r="C578" s="29">
        <f>IF($A578="","",班表!$A24)</f>
        <v/>
      </c>
      <c r="D578" s="29">
        <f>IF($C578="","",班表!$B24)</f>
        <v/>
      </c>
      <c r="E578" s="29">
        <f>IF($C578="","",班表!$C24)</f>
        <v/>
      </c>
      <c r="F578" s="29">
        <f>IF($C578="","",班表!U24)</f>
        <v/>
      </c>
      <c r="G578" s="31">
        <f>IF($F578="","",IFERROR(INDEX(設定!$D$5:$D$20,MATCH($F578,設定!$B$5:$B$20,0)),""))</f>
        <v/>
      </c>
      <c r="H578" s="31">
        <f>IF($F578="","",IFERROR(INDEX(設定!$E$5:$E$20,MATCH($F578,設定!$B$5:$B$20,0)),""))</f>
        <v/>
      </c>
      <c r="I578" s="31">
        <f>IFERROR(INDEX(打卡匯入!$C$3:$C$1002,MATCH($C578&amp;"|"&amp;DAY($A578),打卡匯入!$E$3:$E$1002,0)),"")</f>
        <v/>
      </c>
      <c r="J578" s="31">
        <f>IFERROR(INDEX(打卡匯入!$D$3:$D$1002,MATCH($C578&amp;"|"&amp;DAY($A578),打卡匯入!$E$3:$E$1002,0)),"")</f>
        <v/>
      </c>
      <c r="K578" s="32">
        <f>IF(OR($I578="",$J578=""),"",IFERROR(INDEX(設定!$F$5:$F$20,MATCH($F578,設定!$B$5:$B$20,0)),0))</f>
        <v/>
      </c>
      <c r="L578" s="33">
        <f>IF(OR($I578="",$J578=""),"",ROUND(($J578-$I578)*24-$K578/60,2))</f>
        <v/>
      </c>
      <c r="M578" s="29">
        <f>IF($C578="","",IF(AND(COUNTIF(設定!$B$14:$B$20,$F578)&gt;0,$I578&lt;&gt;""),"假日出勤",IF(AND(COUNTIF(設定!$B$5:$B$13,$F578)&gt;0,$I578=""),"未打卡",IF($I578="","",IF($N578&gt;0,"遲到",IF($O578&gt;0,"早退","正常"))))))</f>
        <v/>
      </c>
      <c r="N578" s="32">
        <f>IF(OR($C578="",$G578="",$I578=""),0,IF(ROUND(($I578-$G578)*1440,0)&gt;設定!$C$28,ROUND(($I578-$G578)*1440,0),0))</f>
        <v/>
      </c>
      <c r="O578" s="32">
        <f>IF(OR($C578="",$H578="",$J578=""),0,IF(ROUND(($H578-$J578)*1440,0)&gt;設定!$C$28,ROUND(($H578-$J578)*1440,0),0))</f>
        <v/>
      </c>
      <c r="P578" s="33">
        <f>IF($L578="",0,IF(($L578-IFERROR(INDEX(設定!$G$5:$G$20,MATCH($F578,設定!$B$5:$B$20,0)),0))*60&gt;=設定!$C$26,ROUND(FLOOR(($L578-IFERROR(INDEX(設定!$G$5:$G$20,MATCH($F578,設定!$B$5:$B$20,0)),0))*60,設定!$C$27)/60,2),0))</f>
        <v/>
      </c>
      <c r="Q578" s="29">
        <f>IF(OR($C578="",$P578=0),"",IF($F578="國","國定假日",IF($B578="日","例假",IF($B578="六","休息日","平日"))))</f>
        <v/>
      </c>
      <c r="R578" s="34" t="n"/>
    </row>
    <row r="579">
      <c r="A579" s="30">
        <f>IF(OR(班表!$A24="",19&gt;DAY(EOMONTH(DATE(班表!$E$2,班表!$G$2,1),0))),"",DATE(班表!$E$2,班表!$G$2,19))</f>
        <v/>
      </c>
      <c r="B579" s="29">
        <f>IF($A579="","",INDEX(設定!$L$5:$L$11,WEEKDAY($A579,1)))</f>
        <v/>
      </c>
      <c r="C579" s="29">
        <f>IF($A579="","",班表!$A24)</f>
        <v/>
      </c>
      <c r="D579" s="29">
        <f>IF($C579="","",班表!$B24)</f>
        <v/>
      </c>
      <c r="E579" s="29">
        <f>IF($C579="","",班表!$C24)</f>
        <v/>
      </c>
      <c r="F579" s="29">
        <f>IF($C579="","",班表!V24)</f>
        <v/>
      </c>
      <c r="G579" s="31">
        <f>IF($F579="","",IFERROR(INDEX(設定!$D$5:$D$20,MATCH($F579,設定!$B$5:$B$20,0)),""))</f>
        <v/>
      </c>
      <c r="H579" s="31">
        <f>IF($F579="","",IFERROR(INDEX(設定!$E$5:$E$20,MATCH($F579,設定!$B$5:$B$20,0)),""))</f>
        <v/>
      </c>
      <c r="I579" s="31">
        <f>IFERROR(INDEX(打卡匯入!$C$3:$C$1002,MATCH($C579&amp;"|"&amp;DAY($A579),打卡匯入!$E$3:$E$1002,0)),"")</f>
        <v/>
      </c>
      <c r="J579" s="31">
        <f>IFERROR(INDEX(打卡匯入!$D$3:$D$1002,MATCH($C579&amp;"|"&amp;DAY($A579),打卡匯入!$E$3:$E$1002,0)),"")</f>
        <v/>
      </c>
      <c r="K579" s="32">
        <f>IF(OR($I579="",$J579=""),"",IFERROR(INDEX(設定!$F$5:$F$20,MATCH($F579,設定!$B$5:$B$20,0)),0))</f>
        <v/>
      </c>
      <c r="L579" s="33">
        <f>IF(OR($I579="",$J579=""),"",ROUND(($J579-$I579)*24-$K579/60,2))</f>
        <v/>
      </c>
      <c r="M579" s="29">
        <f>IF($C579="","",IF(AND(COUNTIF(設定!$B$14:$B$20,$F579)&gt;0,$I579&lt;&gt;""),"假日出勤",IF(AND(COUNTIF(設定!$B$5:$B$13,$F579)&gt;0,$I579=""),"未打卡",IF($I579="","",IF($N579&gt;0,"遲到",IF($O579&gt;0,"早退","正常"))))))</f>
        <v/>
      </c>
      <c r="N579" s="32">
        <f>IF(OR($C579="",$G579="",$I579=""),0,IF(ROUND(($I579-$G579)*1440,0)&gt;設定!$C$28,ROUND(($I579-$G579)*1440,0),0))</f>
        <v/>
      </c>
      <c r="O579" s="32">
        <f>IF(OR($C579="",$H579="",$J579=""),0,IF(ROUND(($H579-$J579)*1440,0)&gt;設定!$C$28,ROUND(($H579-$J579)*1440,0),0))</f>
        <v/>
      </c>
      <c r="P579" s="33">
        <f>IF($L579="",0,IF(($L579-IFERROR(INDEX(設定!$G$5:$G$20,MATCH($F579,設定!$B$5:$B$20,0)),0))*60&gt;=設定!$C$26,ROUND(FLOOR(($L579-IFERROR(INDEX(設定!$G$5:$G$20,MATCH($F579,設定!$B$5:$B$20,0)),0))*60,設定!$C$27)/60,2),0))</f>
        <v/>
      </c>
      <c r="Q579" s="29">
        <f>IF(OR($C579="",$P579=0),"",IF($F579="國","國定假日",IF($B579="日","例假",IF($B579="六","休息日","平日"))))</f>
        <v/>
      </c>
      <c r="R579" s="34" t="n"/>
    </row>
    <row r="580">
      <c r="A580" s="30">
        <f>IF(OR(班表!$A24="",20&gt;DAY(EOMONTH(DATE(班表!$E$2,班表!$G$2,1),0))),"",DATE(班表!$E$2,班表!$G$2,20))</f>
        <v/>
      </c>
      <c r="B580" s="29">
        <f>IF($A580="","",INDEX(設定!$L$5:$L$11,WEEKDAY($A580,1)))</f>
        <v/>
      </c>
      <c r="C580" s="29">
        <f>IF($A580="","",班表!$A24)</f>
        <v/>
      </c>
      <c r="D580" s="29">
        <f>IF($C580="","",班表!$B24)</f>
        <v/>
      </c>
      <c r="E580" s="29">
        <f>IF($C580="","",班表!$C24)</f>
        <v/>
      </c>
      <c r="F580" s="29">
        <f>IF($C580="","",班表!W24)</f>
        <v/>
      </c>
      <c r="G580" s="31">
        <f>IF($F580="","",IFERROR(INDEX(設定!$D$5:$D$20,MATCH($F580,設定!$B$5:$B$20,0)),""))</f>
        <v/>
      </c>
      <c r="H580" s="31">
        <f>IF($F580="","",IFERROR(INDEX(設定!$E$5:$E$20,MATCH($F580,設定!$B$5:$B$20,0)),""))</f>
        <v/>
      </c>
      <c r="I580" s="31">
        <f>IFERROR(INDEX(打卡匯入!$C$3:$C$1002,MATCH($C580&amp;"|"&amp;DAY($A580),打卡匯入!$E$3:$E$1002,0)),"")</f>
        <v/>
      </c>
      <c r="J580" s="31">
        <f>IFERROR(INDEX(打卡匯入!$D$3:$D$1002,MATCH($C580&amp;"|"&amp;DAY($A580),打卡匯入!$E$3:$E$1002,0)),"")</f>
        <v/>
      </c>
      <c r="K580" s="32">
        <f>IF(OR($I580="",$J580=""),"",IFERROR(INDEX(設定!$F$5:$F$20,MATCH($F580,設定!$B$5:$B$20,0)),0))</f>
        <v/>
      </c>
      <c r="L580" s="33">
        <f>IF(OR($I580="",$J580=""),"",ROUND(($J580-$I580)*24-$K580/60,2))</f>
        <v/>
      </c>
      <c r="M580" s="29">
        <f>IF($C580="","",IF(AND(COUNTIF(設定!$B$14:$B$20,$F580)&gt;0,$I580&lt;&gt;""),"假日出勤",IF(AND(COUNTIF(設定!$B$5:$B$13,$F580)&gt;0,$I580=""),"未打卡",IF($I580="","",IF($N580&gt;0,"遲到",IF($O580&gt;0,"早退","正常"))))))</f>
        <v/>
      </c>
      <c r="N580" s="32">
        <f>IF(OR($C580="",$G580="",$I580=""),0,IF(ROUND(($I580-$G580)*1440,0)&gt;設定!$C$28,ROUND(($I580-$G580)*1440,0),0))</f>
        <v/>
      </c>
      <c r="O580" s="32">
        <f>IF(OR($C580="",$H580="",$J580=""),0,IF(ROUND(($H580-$J580)*1440,0)&gt;設定!$C$28,ROUND(($H580-$J580)*1440,0),0))</f>
        <v/>
      </c>
      <c r="P580" s="33">
        <f>IF($L580="",0,IF(($L580-IFERROR(INDEX(設定!$G$5:$G$20,MATCH($F580,設定!$B$5:$B$20,0)),0))*60&gt;=設定!$C$26,ROUND(FLOOR(($L580-IFERROR(INDEX(設定!$G$5:$G$20,MATCH($F580,設定!$B$5:$B$20,0)),0))*60,設定!$C$27)/60,2),0))</f>
        <v/>
      </c>
      <c r="Q580" s="29">
        <f>IF(OR($C580="",$P580=0),"",IF($F580="國","國定假日",IF($B580="日","例假",IF($B580="六","休息日","平日"))))</f>
        <v/>
      </c>
      <c r="R580" s="34" t="n"/>
    </row>
    <row r="581">
      <c r="A581" s="30">
        <f>IF(OR(班表!$A24="",21&gt;DAY(EOMONTH(DATE(班表!$E$2,班表!$G$2,1),0))),"",DATE(班表!$E$2,班表!$G$2,21))</f>
        <v/>
      </c>
      <c r="B581" s="29">
        <f>IF($A581="","",INDEX(設定!$L$5:$L$11,WEEKDAY($A581,1)))</f>
        <v/>
      </c>
      <c r="C581" s="29">
        <f>IF($A581="","",班表!$A24)</f>
        <v/>
      </c>
      <c r="D581" s="29">
        <f>IF($C581="","",班表!$B24)</f>
        <v/>
      </c>
      <c r="E581" s="29">
        <f>IF($C581="","",班表!$C24)</f>
        <v/>
      </c>
      <c r="F581" s="29">
        <f>IF($C581="","",班表!X24)</f>
        <v/>
      </c>
      <c r="G581" s="31">
        <f>IF($F581="","",IFERROR(INDEX(設定!$D$5:$D$20,MATCH($F581,設定!$B$5:$B$20,0)),""))</f>
        <v/>
      </c>
      <c r="H581" s="31">
        <f>IF($F581="","",IFERROR(INDEX(設定!$E$5:$E$20,MATCH($F581,設定!$B$5:$B$20,0)),""))</f>
        <v/>
      </c>
      <c r="I581" s="31">
        <f>IFERROR(INDEX(打卡匯入!$C$3:$C$1002,MATCH($C581&amp;"|"&amp;DAY($A581),打卡匯入!$E$3:$E$1002,0)),"")</f>
        <v/>
      </c>
      <c r="J581" s="31">
        <f>IFERROR(INDEX(打卡匯入!$D$3:$D$1002,MATCH($C581&amp;"|"&amp;DAY($A581),打卡匯入!$E$3:$E$1002,0)),"")</f>
        <v/>
      </c>
      <c r="K581" s="32">
        <f>IF(OR($I581="",$J581=""),"",IFERROR(INDEX(設定!$F$5:$F$20,MATCH($F581,設定!$B$5:$B$20,0)),0))</f>
        <v/>
      </c>
      <c r="L581" s="33">
        <f>IF(OR($I581="",$J581=""),"",ROUND(($J581-$I581)*24-$K581/60,2))</f>
        <v/>
      </c>
      <c r="M581" s="29">
        <f>IF($C581="","",IF(AND(COUNTIF(設定!$B$14:$B$20,$F581)&gt;0,$I581&lt;&gt;""),"假日出勤",IF(AND(COUNTIF(設定!$B$5:$B$13,$F581)&gt;0,$I581=""),"未打卡",IF($I581="","",IF($N581&gt;0,"遲到",IF($O581&gt;0,"早退","正常"))))))</f>
        <v/>
      </c>
      <c r="N581" s="32">
        <f>IF(OR($C581="",$G581="",$I581=""),0,IF(ROUND(($I581-$G581)*1440,0)&gt;設定!$C$28,ROUND(($I581-$G581)*1440,0),0))</f>
        <v/>
      </c>
      <c r="O581" s="32">
        <f>IF(OR($C581="",$H581="",$J581=""),0,IF(ROUND(($H581-$J581)*1440,0)&gt;設定!$C$28,ROUND(($H581-$J581)*1440,0),0))</f>
        <v/>
      </c>
      <c r="P581" s="33">
        <f>IF($L581="",0,IF(($L581-IFERROR(INDEX(設定!$G$5:$G$20,MATCH($F581,設定!$B$5:$B$20,0)),0))*60&gt;=設定!$C$26,ROUND(FLOOR(($L581-IFERROR(INDEX(設定!$G$5:$G$20,MATCH($F581,設定!$B$5:$B$20,0)),0))*60,設定!$C$27)/60,2),0))</f>
        <v/>
      </c>
      <c r="Q581" s="29">
        <f>IF(OR($C581="",$P581=0),"",IF($F581="國","國定假日",IF($B581="日","例假",IF($B581="六","休息日","平日"))))</f>
        <v/>
      </c>
      <c r="R581" s="34" t="n"/>
    </row>
    <row r="582">
      <c r="A582" s="30">
        <f>IF(OR(班表!$A24="",22&gt;DAY(EOMONTH(DATE(班表!$E$2,班表!$G$2,1),0))),"",DATE(班表!$E$2,班表!$G$2,22))</f>
        <v/>
      </c>
      <c r="B582" s="29">
        <f>IF($A582="","",INDEX(設定!$L$5:$L$11,WEEKDAY($A582,1)))</f>
        <v/>
      </c>
      <c r="C582" s="29">
        <f>IF($A582="","",班表!$A24)</f>
        <v/>
      </c>
      <c r="D582" s="29">
        <f>IF($C582="","",班表!$B24)</f>
        <v/>
      </c>
      <c r="E582" s="29">
        <f>IF($C582="","",班表!$C24)</f>
        <v/>
      </c>
      <c r="F582" s="29">
        <f>IF($C582="","",班表!Y24)</f>
        <v/>
      </c>
      <c r="G582" s="31">
        <f>IF($F582="","",IFERROR(INDEX(設定!$D$5:$D$20,MATCH($F582,設定!$B$5:$B$20,0)),""))</f>
        <v/>
      </c>
      <c r="H582" s="31">
        <f>IF($F582="","",IFERROR(INDEX(設定!$E$5:$E$20,MATCH($F582,設定!$B$5:$B$20,0)),""))</f>
        <v/>
      </c>
      <c r="I582" s="31">
        <f>IFERROR(INDEX(打卡匯入!$C$3:$C$1002,MATCH($C582&amp;"|"&amp;DAY($A582),打卡匯入!$E$3:$E$1002,0)),"")</f>
        <v/>
      </c>
      <c r="J582" s="31">
        <f>IFERROR(INDEX(打卡匯入!$D$3:$D$1002,MATCH($C582&amp;"|"&amp;DAY($A582),打卡匯入!$E$3:$E$1002,0)),"")</f>
        <v/>
      </c>
      <c r="K582" s="32">
        <f>IF(OR($I582="",$J582=""),"",IFERROR(INDEX(設定!$F$5:$F$20,MATCH($F582,設定!$B$5:$B$20,0)),0))</f>
        <v/>
      </c>
      <c r="L582" s="33">
        <f>IF(OR($I582="",$J582=""),"",ROUND(($J582-$I582)*24-$K582/60,2))</f>
        <v/>
      </c>
      <c r="M582" s="29">
        <f>IF($C582="","",IF(AND(COUNTIF(設定!$B$14:$B$20,$F582)&gt;0,$I582&lt;&gt;""),"假日出勤",IF(AND(COUNTIF(設定!$B$5:$B$13,$F582)&gt;0,$I582=""),"未打卡",IF($I582="","",IF($N582&gt;0,"遲到",IF($O582&gt;0,"早退","正常"))))))</f>
        <v/>
      </c>
      <c r="N582" s="32">
        <f>IF(OR($C582="",$G582="",$I582=""),0,IF(ROUND(($I582-$G582)*1440,0)&gt;設定!$C$28,ROUND(($I582-$G582)*1440,0),0))</f>
        <v/>
      </c>
      <c r="O582" s="32">
        <f>IF(OR($C582="",$H582="",$J582=""),0,IF(ROUND(($H582-$J582)*1440,0)&gt;設定!$C$28,ROUND(($H582-$J582)*1440,0),0))</f>
        <v/>
      </c>
      <c r="P582" s="33">
        <f>IF($L582="",0,IF(($L582-IFERROR(INDEX(設定!$G$5:$G$20,MATCH($F582,設定!$B$5:$B$20,0)),0))*60&gt;=設定!$C$26,ROUND(FLOOR(($L582-IFERROR(INDEX(設定!$G$5:$G$20,MATCH($F582,設定!$B$5:$B$20,0)),0))*60,設定!$C$27)/60,2),0))</f>
        <v/>
      </c>
      <c r="Q582" s="29">
        <f>IF(OR($C582="",$P582=0),"",IF($F582="國","國定假日",IF($B582="日","例假",IF($B582="六","休息日","平日"))))</f>
        <v/>
      </c>
      <c r="R582" s="34" t="n"/>
    </row>
    <row r="583">
      <c r="A583" s="30">
        <f>IF(OR(班表!$A24="",23&gt;DAY(EOMONTH(DATE(班表!$E$2,班表!$G$2,1),0))),"",DATE(班表!$E$2,班表!$G$2,23))</f>
        <v/>
      </c>
      <c r="B583" s="29">
        <f>IF($A583="","",INDEX(設定!$L$5:$L$11,WEEKDAY($A583,1)))</f>
        <v/>
      </c>
      <c r="C583" s="29">
        <f>IF($A583="","",班表!$A24)</f>
        <v/>
      </c>
      <c r="D583" s="29">
        <f>IF($C583="","",班表!$B24)</f>
        <v/>
      </c>
      <c r="E583" s="29">
        <f>IF($C583="","",班表!$C24)</f>
        <v/>
      </c>
      <c r="F583" s="29">
        <f>IF($C583="","",班表!Z24)</f>
        <v/>
      </c>
      <c r="G583" s="31">
        <f>IF($F583="","",IFERROR(INDEX(設定!$D$5:$D$20,MATCH($F583,設定!$B$5:$B$20,0)),""))</f>
        <v/>
      </c>
      <c r="H583" s="31">
        <f>IF($F583="","",IFERROR(INDEX(設定!$E$5:$E$20,MATCH($F583,設定!$B$5:$B$20,0)),""))</f>
        <v/>
      </c>
      <c r="I583" s="31">
        <f>IFERROR(INDEX(打卡匯入!$C$3:$C$1002,MATCH($C583&amp;"|"&amp;DAY($A583),打卡匯入!$E$3:$E$1002,0)),"")</f>
        <v/>
      </c>
      <c r="J583" s="31">
        <f>IFERROR(INDEX(打卡匯入!$D$3:$D$1002,MATCH($C583&amp;"|"&amp;DAY($A583),打卡匯入!$E$3:$E$1002,0)),"")</f>
        <v/>
      </c>
      <c r="K583" s="32">
        <f>IF(OR($I583="",$J583=""),"",IFERROR(INDEX(設定!$F$5:$F$20,MATCH($F583,設定!$B$5:$B$20,0)),0))</f>
        <v/>
      </c>
      <c r="L583" s="33">
        <f>IF(OR($I583="",$J583=""),"",ROUND(($J583-$I583)*24-$K583/60,2))</f>
        <v/>
      </c>
      <c r="M583" s="29">
        <f>IF($C583="","",IF(AND(COUNTIF(設定!$B$14:$B$20,$F583)&gt;0,$I583&lt;&gt;""),"假日出勤",IF(AND(COUNTIF(設定!$B$5:$B$13,$F583)&gt;0,$I583=""),"未打卡",IF($I583="","",IF($N583&gt;0,"遲到",IF($O583&gt;0,"早退","正常"))))))</f>
        <v/>
      </c>
      <c r="N583" s="32">
        <f>IF(OR($C583="",$G583="",$I583=""),0,IF(ROUND(($I583-$G583)*1440,0)&gt;設定!$C$28,ROUND(($I583-$G583)*1440,0),0))</f>
        <v/>
      </c>
      <c r="O583" s="32">
        <f>IF(OR($C583="",$H583="",$J583=""),0,IF(ROUND(($H583-$J583)*1440,0)&gt;設定!$C$28,ROUND(($H583-$J583)*1440,0),0))</f>
        <v/>
      </c>
      <c r="P583" s="33">
        <f>IF($L583="",0,IF(($L583-IFERROR(INDEX(設定!$G$5:$G$20,MATCH($F583,設定!$B$5:$B$20,0)),0))*60&gt;=設定!$C$26,ROUND(FLOOR(($L583-IFERROR(INDEX(設定!$G$5:$G$20,MATCH($F583,設定!$B$5:$B$20,0)),0))*60,設定!$C$27)/60,2),0))</f>
        <v/>
      </c>
      <c r="Q583" s="29">
        <f>IF(OR($C583="",$P583=0),"",IF($F583="國","國定假日",IF($B583="日","例假",IF($B583="六","休息日","平日"))))</f>
        <v/>
      </c>
      <c r="R583" s="34" t="n"/>
    </row>
    <row r="584">
      <c r="A584" s="30">
        <f>IF(OR(班表!$A24="",24&gt;DAY(EOMONTH(DATE(班表!$E$2,班表!$G$2,1),0))),"",DATE(班表!$E$2,班表!$G$2,24))</f>
        <v/>
      </c>
      <c r="B584" s="29">
        <f>IF($A584="","",INDEX(設定!$L$5:$L$11,WEEKDAY($A584,1)))</f>
        <v/>
      </c>
      <c r="C584" s="29">
        <f>IF($A584="","",班表!$A24)</f>
        <v/>
      </c>
      <c r="D584" s="29">
        <f>IF($C584="","",班表!$B24)</f>
        <v/>
      </c>
      <c r="E584" s="29">
        <f>IF($C584="","",班表!$C24)</f>
        <v/>
      </c>
      <c r="F584" s="29">
        <f>IF($C584="","",班表!AA24)</f>
        <v/>
      </c>
      <c r="G584" s="31">
        <f>IF($F584="","",IFERROR(INDEX(設定!$D$5:$D$20,MATCH($F584,設定!$B$5:$B$20,0)),""))</f>
        <v/>
      </c>
      <c r="H584" s="31">
        <f>IF($F584="","",IFERROR(INDEX(設定!$E$5:$E$20,MATCH($F584,設定!$B$5:$B$20,0)),""))</f>
        <v/>
      </c>
      <c r="I584" s="31">
        <f>IFERROR(INDEX(打卡匯入!$C$3:$C$1002,MATCH($C584&amp;"|"&amp;DAY($A584),打卡匯入!$E$3:$E$1002,0)),"")</f>
        <v/>
      </c>
      <c r="J584" s="31">
        <f>IFERROR(INDEX(打卡匯入!$D$3:$D$1002,MATCH($C584&amp;"|"&amp;DAY($A584),打卡匯入!$E$3:$E$1002,0)),"")</f>
        <v/>
      </c>
      <c r="K584" s="32">
        <f>IF(OR($I584="",$J584=""),"",IFERROR(INDEX(設定!$F$5:$F$20,MATCH($F584,設定!$B$5:$B$20,0)),0))</f>
        <v/>
      </c>
      <c r="L584" s="33">
        <f>IF(OR($I584="",$J584=""),"",ROUND(($J584-$I584)*24-$K584/60,2))</f>
        <v/>
      </c>
      <c r="M584" s="29">
        <f>IF($C584="","",IF(AND(COUNTIF(設定!$B$14:$B$20,$F584)&gt;0,$I584&lt;&gt;""),"假日出勤",IF(AND(COUNTIF(設定!$B$5:$B$13,$F584)&gt;0,$I584=""),"未打卡",IF($I584="","",IF($N584&gt;0,"遲到",IF($O584&gt;0,"早退","正常"))))))</f>
        <v/>
      </c>
      <c r="N584" s="32">
        <f>IF(OR($C584="",$G584="",$I584=""),0,IF(ROUND(($I584-$G584)*1440,0)&gt;設定!$C$28,ROUND(($I584-$G584)*1440,0),0))</f>
        <v/>
      </c>
      <c r="O584" s="32">
        <f>IF(OR($C584="",$H584="",$J584=""),0,IF(ROUND(($H584-$J584)*1440,0)&gt;設定!$C$28,ROUND(($H584-$J584)*1440,0),0))</f>
        <v/>
      </c>
      <c r="P584" s="33">
        <f>IF($L584="",0,IF(($L584-IFERROR(INDEX(設定!$G$5:$G$20,MATCH($F584,設定!$B$5:$B$20,0)),0))*60&gt;=設定!$C$26,ROUND(FLOOR(($L584-IFERROR(INDEX(設定!$G$5:$G$20,MATCH($F584,設定!$B$5:$B$20,0)),0))*60,設定!$C$27)/60,2),0))</f>
        <v/>
      </c>
      <c r="Q584" s="29">
        <f>IF(OR($C584="",$P584=0),"",IF($F584="國","國定假日",IF($B584="日","例假",IF($B584="六","休息日","平日"))))</f>
        <v/>
      </c>
      <c r="R584" s="34" t="n"/>
    </row>
    <row r="585">
      <c r="A585" s="30">
        <f>IF(OR(班表!$A24="",25&gt;DAY(EOMONTH(DATE(班表!$E$2,班表!$G$2,1),0))),"",DATE(班表!$E$2,班表!$G$2,25))</f>
        <v/>
      </c>
      <c r="B585" s="29">
        <f>IF($A585="","",INDEX(設定!$L$5:$L$11,WEEKDAY($A585,1)))</f>
        <v/>
      </c>
      <c r="C585" s="29">
        <f>IF($A585="","",班表!$A24)</f>
        <v/>
      </c>
      <c r="D585" s="29">
        <f>IF($C585="","",班表!$B24)</f>
        <v/>
      </c>
      <c r="E585" s="29">
        <f>IF($C585="","",班表!$C24)</f>
        <v/>
      </c>
      <c r="F585" s="29">
        <f>IF($C585="","",班表!AB24)</f>
        <v/>
      </c>
      <c r="G585" s="31">
        <f>IF($F585="","",IFERROR(INDEX(設定!$D$5:$D$20,MATCH($F585,設定!$B$5:$B$20,0)),""))</f>
        <v/>
      </c>
      <c r="H585" s="31">
        <f>IF($F585="","",IFERROR(INDEX(設定!$E$5:$E$20,MATCH($F585,設定!$B$5:$B$20,0)),""))</f>
        <v/>
      </c>
      <c r="I585" s="31">
        <f>IFERROR(INDEX(打卡匯入!$C$3:$C$1002,MATCH($C585&amp;"|"&amp;DAY($A585),打卡匯入!$E$3:$E$1002,0)),"")</f>
        <v/>
      </c>
      <c r="J585" s="31">
        <f>IFERROR(INDEX(打卡匯入!$D$3:$D$1002,MATCH($C585&amp;"|"&amp;DAY($A585),打卡匯入!$E$3:$E$1002,0)),"")</f>
        <v/>
      </c>
      <c r="K585" s="32">
        <f>IF(OR($I585="",$J585=""),"",IFERROR(INDEX(設定!$F$5:$F$20,MATCH($F585,設定!$B$5:$B$20,0)),0))</f>
        <v/>
      </c>
      <c r="L585" s="33">
        <f>IF(OR($I585="",$J585=""),"",ROUND(($J585-$I585)*24-$K585/60,2))</f>
        <v/>
      </c>
      <c r="M585" s="29">
        <f>IF($C585="","",IF(AND(COUNTIF(設定!$B$14:$B$20,$F585)&gt;0,$I585&lt;&gt;""),"假日出勤",IF(AND(COUNTIF(設定!$B$5:$B$13,$F585)&gt;0,$I585=""),"未打卡",IF($I585="","",IF($N585&gt;0,"遲到",IF($O585&gt;0,"早退","正常"))))))</f>
        <v/>
      </c>
      <c r="N585" s="32">
        <f>IF(OR($C585="",$G585="",$I585=""),0,IF(ROUND(($I585-$G585)*1440,0)&gt;設定!$C$28,ROUND(($I585-$G585)*1440,0),0))</f>
        <v/>
      </c>
      <c r="O585" s="32">
        <f>IF(OR($C585="",$H585="",$J585=""),0,IF(ROUND(($H585-$J585)*1440,0)&gt;設定!$C$28,ROUND(($H585-$J585)*1440,0),0))</f>
        <v/>
      </c>
      <c r="P585" s="33">
        <f>IF($L585="",0,IF(($L585-IFERROR(INDEX(設定!$G$5:$G$20,MATCH($F585,設定!$B$5:$B$20,0)),0))*60&gt;=設定!$C$26,ROUND(FLOOR(($L585-IFERROR(INDEX(設定!$G$5:$G$20,MATCH($F585,設定!$B$5:$B$20,0)),0))*60,設定!$C$27)/60,2),0))</f>
        <v/>
      </c>
      <c r="Q585" s="29">
        <f>IF(OR($C585="",$P585=0),"",IF($F585="國","國定假日",IF($B585="日","例假",IF($B585="六","休息日","平日"))))</f>
        <v/>
      </c>
      <c r="R585" s="34" t="n"/>
    </row>
    <row r="586">
      <c r="A586" s="30">
        <f>IF(OR(班表!$A24="",26&gt;DAY(EOMONTH(DATE(班表!$E$2,班表!$G$2,1),0))),"",DATE(班表!$E$2,班表!$G$2,26))</f>
        <v/>
      </c>
      <c r="B586" s="29">
        <f>IF($A586="","",INDEX(設定!$L$5:$L$11,WEEKDAY($A586,1)))</f>
        <v/>
      </c>
      <c r="C586" s="29">
        <f>IF($A586="","",班表!$A24)</f>
        <v/>
      </c>
      <c r="D586" s="29">
        <f>IF($C586="","",班表!$B24)</f>
        <v/>
      </c>
      <c r="E586" s="29">
        <f>IF($C586="","",班表!$C24)</f>
        <v/>
      </c>
      <c r="F586" s="29">
        <f>IF($C586="","",班表!AC24)</f>
        <v/>
      </c>
      <c r="G586" s="31">
        <f>IF($F586="","",IFERROR(INDEX(設定!$D$5:$D$20,MATCH($F586,設定!$B$5:$B$20,0)),""))</f>
        <v/>
      </c>
      <c r="H586" s="31">
        <f>IF($F586="","",IFERROR(INDEX(設定!$E$5:$E$20,MATCH($F586,設定!$B$5:$B$20,0)),""))</f>
        <v/>
      </c>
      <c r="I586" s="31">
        <f>IFERROR(INDEX(打卡匯入!$C$3:$C$1002,MATCH($C586&amp;"|"&amp;DAY($A586),打卡匯入!$E$3:$E$1002,0)),"")</f>
        <v/>
      </c>
      <c r="J586" s="31">
        <f>IFERROR(INDEX(打卡匯入!$D$3:$D$1002,MATCH($C586&amp;"|"&amp;DAY($A586),打卡匯入!$E$3:$E$1002,0)),"")</f>
        <v/>
      </c>
      <c r="K586" s="32">
        <f>IF(OR($I586="",$J586=""),"",IFERROR(INDEX(設定!$F$5:$F$20,MATCH($F586,設定!$B$5:$B$20,0)),0))</f>
        <v/>
      </c>
      <c r="L586" s="33">
        <f>IF(OR($I586="",$J586=""),"",ROUND(($J586-$I586)*24-$K586/60,2))</f>
        <v/>
      </c>
      <c r="M586" s="29">
        <f>IF($C586="","",IF(AND(COUNTIF(設定!$B$14:$B$20,$F586)&gt;0,$I586&lt;&gt;""),"假日出勤",IF(AND(COUNTIF(設定!$B$5:$B$13,$F586)&gt;0,$I586=""),"未打卡",IF($I586="","",IF($N586&gt;0,"遲到",IF($O586&gt;0,"早退","正常"))))))</f>
        <v/>
      </c>
      <c r="N586" s="32">
        <f>IF(OR($C586="",$G586="",$I586=""),0,IF(ROUND(($I586-$G586)*1440,0)&gt;設定!$C$28,ROUND(($I586-$G586)*1440,0),0))</f>
        <v/>
      </c>
      <c r="O586" s="32">
        <f>IF(OR($C586="",$H586="",$J586=""),0,IF(ROUND(($H586-$J586)*1440,0)&gt;設定!$C$28,ROUND(($H586-$J586)*1440,0),0))</f>
        <v/>
      </c>
      <c r="P586" s="33">
        <f>IF($L586="",0,IF(($L586-IFERROR(INDEX(設定!$G$5:$G$20,MATCH($F586,設定!$B$5:$B$20,0)),0))*60&gt;=設定!$C$26,ROUND(FLOOR(($L586-IFERROR(INDEX(設定!$G$5:$G$20,MATCH($F586,設定!$B$5:$B$20,0)),0))*60,設定!$C$27)/60,2),0))</f>
        <v/>
      </c>
      <c r="Q586" s="29">
        <f>IF(OR($C586="",$P586=0),"",IF($F586="國","國定假日",IF($B586="日","例假",IF($B586="六","休息日","平日"))))</f>
        <v/>
      </c>
      <c r="R586" s="34" t="n"/>
    </row>
    <row r="587">
      <c r="A587" s="30">
        <f>IF(OR(班表!$A24="",27&gt;DAY(EOMONTH(DATE(班表!$E$2,班表!$G$2,1),0))),"",DATE(班表!$E$2,班表!$G$2,27))</f>
        <v/>
      </c>
      <c r="B587" s="29">
        <f>IF($A587="","",INDEX(設定!$L$5:$L$11,WEEKDAY($A587,1)))</f>
        <v/>
      </c>
      <c r="C587" s="29">
        <f>IF($A587="","",班表!$A24)</f>
        <v/>
      </c>
      <c r="D587" s="29">
        <f>IF($C587="","",班表!$B24)</f>
        <v/>
      </c>
      <c r="E587" s="29">
        <f>IF($C587="","",班表!$C24)</f>
        <v/>
      </c>
      <c r="F587" s="29">
        <f>IF($C587="","",班表!AD24)</f>
        <v/>
      </c>
      <c r="G587" s="31">
        <f>IF($F587="","",IFERROR(INDEX(設定!$D$5:$D$20,MATCH($F587,設定!$B$5:$B$20,0)),""))</f>
        <v/>
      </c>
      <c r="H587" s="31">
        <f>IF($F587="","",IFERROR(INDEX(設定!$E$5:$E$20,MATCH($F587,設定!$B$5:$B$20,0)),""))</f>
        <v/>
      </c>
      <c r="I587" s="31">
        <f>IFERROR(INDEX(打卡匯入!$C$3:$C$1002,MATCH($C587&amp;"|"&amp;DAY($A587),打卡匯入!$E$3:$E$1002,0)),"")</f>
        <v/>
      </c>
      <c r="J587" s="31">
        <f>IFERROR(INDEX(打卡匯入!$D$3:$D$1002,MATCH($C587&amp;"|"&amp;DAY($A587),打卡匯入!$E$3:$E$1002,0)),"")</f>
        <v/>
      </c>
      <c r="K587" s="32">
        <f>IF(OR($I587="",$J587=""),"",IFERROR(INDEX(設定!$F$5:$F$20,MATCH($F587,設定!$B$5:$B$20,0)),0))</f>
        <v/>
      </c>
      <c r="L587" s="33">
        <f>IF(OR($I587="",$J587=""),"",ROUND(($J587-$I587)*24-$K587/60,2))</f>
        <v/>
      </c>
      <c r="M587" s="29">
        <f>IF($C587="","",IF(AND(COUNTIF(設定!$B$14:$B$20,$F587)&gt;0,$I587&lt;&gt;""),"假日出勤",IF(AND(COUNTIF(設定!$B$5:$B$13,$F587)&gt;0,$I587=""),"未打卡",IF($I587="","",IF($N587&gt;0,"遲到",IF($O587&gt;0,"早退","正常"))))))</f>
        <v/>
      </c>
      <c r="N587" s="32">
        <f>IF(OR($C587="",$G587="",$I587=""),0,IF(ROUND(($I587-$G587)*1440,0)&gt;設定!$C$28,ROUND(($I587-$G587)*1440,0),0))</f>
        <v/>
      </c>
      <c r="O587" s="32">
        <f>IF(OR($C587="",$H587="",$J587=""),0,IF(ROUND(($H587-$J587)*1440,0)&gt;設定!$C$28,ROUND(($H587-$J587)*1440,0),0))</f>
        <v/>
      </c>
      <c r="P587" s="33">
        <f>IF($L587="",0,IF(($L587-IFERROR(INDEX(設定!$G$5:$G$20,MATCH($F587,設定!$B$5:$B$20,0)),0))*60&gt;=設定!$C$26,ROUND(FLOOR(($L587-IFERROR(INDEX(設定!$G$5:$G$20,MATCH($F587,設定!$B$5:$B$20,0)),0))*60,設定!$C$27)/60,2),0))</f>
        <v/>
      </c>
      <c r="Q587" s="29">
        <f>IF(OR($C587="",$P587=0),"",IF($F587="國","國定假日",IF($B587="日","例假",IF($B587="六","休息日","平日"))))</f>
        <v/>
      </c>
      <c r="R587" s="34" t="n"/>
    </row>
    <row r="588">
      <c r="A588" s="30">
        <f>IF(OR(班表!$A24="",28&gt;DAY(EOMONTH(DATE(班表!$E$2,班表!$G$2,1),0))),"",DATE(班表!$E$2,班表!$G$2,28))</f>
        <v/>
      </c>
      <c r="B588" s="29">
        <f>IF($A588="","",INDEX(設定!$L$5:$L$11,WEEKDAY($A588,1)))</f>
        <v/>
      </c>
      <c r="C588" s="29">
        <f>IF($A588="","",班表!$A24)</f>
        <v/>
      </c>
      <c r="D588" s="29">
        <f>IF($C588="","",班表!$B24)</f>
        <v/>
      </c>
      <c r="E588" s="29">
        <f>IF($C588="","",班表!$C24)</f>
        <v/>
      </c>
      <c r="F588" s="29">
        <f>IF($C588="","",班表!AE24)</f>
        <v/>
      </c>
      <c r="G588" s="31">
        <f>IF($F588="","",IFERROR(INDEX(設定!$D$5:$D$20,MATCH($F588,設定!$B$5:$B$20,0)),""))</f>
        <v/>
      </c>
      <c r="H588" s="31">
        <f>IF($F588="","",IFERROR(INDEX(設定!$E$5:$E$20,MATCH($F588,設定!$B$5:$B$20,0)),""))</f>
        <v/>
      </c>
      <c r="I588" s="31">
        <f>IFERROR(INDEX(打卡匯入!$C$3:$C$1002,MATCH($C588&amp;"|"&amp;DAY($A588),打卡匯入!$E$3:$E$1002,0)),"")</f>
        <v/>
      </c>
      <c r="J588" s="31">
        <f>IFERROR(INDEX(打卡匯入!$D$3:$D$1002,MATCH($C588&amp;"|"&amp;DAY($A588),打卡匯入!$E$3:$E$1002,0)),"")</f>
        <v/>
      </c>
      <c r="K588" s="32">
        <f>IF(OR($I588="",$J588=""),"",IFERROR(INDEX(設定!$F$5:$F$20,MATCH($F588,設定!$B$5:$B$20,0)),0))</f>
        <v/>
      </c>
      <c r="L588" s="33">
        <f>IF(OR($I588="",$J588=""),"",ROUND(($J588-$I588)*24-$K588/60,2))</f>
        <v/>
      </c>
      <c r="M588" s="29">
        <f>IF($C588="","",IF(AND(COUNTIF(設定!$B$14:$B$20,$F588)&gt;0,$I588&lt;&gt;""),"假日出勤",IF(AND(COUNTIF(設定!$B$5:$B$13,$F588)&gt;0,$I588=""),"未打卡",IF($I588="","",IF($N588&gt;0,"遲到",IF($O588&gt;0,"早退","正常"))))))</f>
        <v/>
      </c>
      <c r="N588" s="32">
        <f>IF(OR($C588="",$G588="",$I588=""),0,IF(ROUND(($I588-$G588)*1440,0)&gt;設定!$C$28,ROUND(($I588-$G588)*1440,0),0))</f>
        <v/>
      </c>
      <c r="O588" s="32">
        <f>IF(OR($C588="",$H588="",$J588=""),0,IF(ROUND(($H588-$J588)*1440,0)&gt;設定!$C$28,ROUND(($H588-$J588)*1440,0),0))</f>
        <v/>
      </c>
      <c r="P588" s="33">
        <f>IF($L588="",0,IF(($L588-IFERROR(INDEX(設定!$G$5:$G$20,MATCH($F588,設定!$B$5:$B$20,0)),0))*60&gt;=設定!$C$26,ROUND(FLOOR(($L588-IFERROR(INDEX(設定!$G$5:$G$20,MATCH($F588,設定!$B$5:$B$20,0)),0))*60,設定!$C$27)/60,2),0))</f>
        <v/>
      </c>
      <c r="Q588" s="29">
        <f>IF(OR($C588="",$P588=0),"",IF($F588="國","國定假日",IF($B588="日","例假",IF($B588="六","休息日","平日"))))</f>
        <v/>
      </c>
      <c r="R588" s="34" t="n"/>
    </row>
    <row r="589">
      <c r="A589" s="30">
        <f>IF(OR(班表!$A24="",29&gt;DAY(EOMONTH(DATE(班表!$E$2,班表!$G$2,1),0))),"",DATE(班表!$E$2,班表!$G$2,29))</f>
        <v/>
      </c>
      <c r="B589" s="29">
        <f>IF($A589="","",INDEX(設定!$L$5:$L$11,WEEKDAY($A589,1)))</f>
        <v/>
      </c>
      <c r="C589" s="29">
        <f>IF($A589="","",班表!$A24)</f>
        <v/>
      </c>
      <c r="D589" s="29">
        <f>IF($C589="","",班表!$B24)</f>
        <v/>
      </c>
      <c r="E589" s="29">
        <f>IF($C589="","",班表!$C24)</f>
        <v/>
      </c>
      <c r="F589" s="29">
        <f>IF($C589="","",班表!AF24)</f>
        <v/>
      </c>
      <c r="G589" s="31">
        <f>IF($F589="","",IFERROR(INDEX(設定!$D$5:$D$20,MATCH($F589,設定!$B$5:$B$20,0)),""))</f>
        <v/>
      </c>
      <c r="H589" s="31">
        <f>IF($F589="","",IFERROR(INDEX(設定!$E$5:$E$20,MATCH($F589,設定!$B$5:$B$20,0)),""))</f>
        <v/>
      </c>
      <c r="I589" s="31">
        <f>IFERROR(INDEX(打卡匯入!$C$3:$C$1002,MATCH($C589&amp;"|"&amp;DAY($A589),打卡匯入!$E$3:$E$1002,0)),"")</f>
        <v/>
      </c>
      <c r="J589" s="31">
        <f>IFERROR(INDEX(打卡匯入!$D$3:$D$1002,MATCH($C589&amp;"|"&amp;DAY($A589),打卡匯入!$E$3:$E$1002,0)),"")</f>
        <v/>
      </c>
      <c r="K589" s="32">
        <f>IF(OR($I589="",$J589=""),"",IFERROR(INDEX(設定!$F$5:$F$20,MATCH($F589,設定!$B$5:$B$20,0)),0))</f>
        <v/>
      </c>
      <c r="L589" s="33">
        <f>IF(OR($I589="",$J589=""),"",ROUND(($J589-$I589)*24-$K589/60,2))</f>
        <v/>
      </c>
      <c r="M589" s="29">
        <f>IF($C589="","",IF(AND(COUNTIF(設定!$B$14:$B$20,$F589)&gt;0,$I589&lt;&gt;""),"假日出勤",IF(AND(COUNTIF(設定!$B$5:$B$13,$F589)&gt;0,$I589=""),"未打卡",IF($I589="","",IF($N589&gt;0,"遲到",IF($O589&gt;0,"早退","正常"))))))</f>
        <v/>
      </c>
      <c r="N589" s="32">
        <f>IF(OR($C589="",$G589="",$I589=""),0,IF(ROUND(($I589-$G589)*1440,0)&gt;設定!$C$28,ROUND(($I589-$G589)*1440,0),0))</f>
        <v/>
      </c>
      <c r="O589" s="32">
        <f>IF(OR($C589="",$H589="",$J589=""),0,IF(ROUND(($H589-$J589)*1440,0)&gt;設定!$C$28,ROUND(($H589-$J589)*1440,0),0))</f>
        <v/>
      </c>
      <c r="P589" s="33">
        <f>IF($L589="",0,IF(($L589-IFERROR(INDEX(設定!$G$5:$G$20,MATCH($F589,設定!$B$5:$B$20,0)),0))*60&gt;=設定!$C$26,ROUND(FLOOR(($L589-IFERROR(INDEX(設定!$G$5:$G$20,MATCH($F589,設定!$B$5:$B$20,0)),0))*60,設定!$C$27)/60,2),0))</f>
        <v/>
      </c>
      <c r="Q589" s="29">
        <f>IF(OR($C589="",$P589=0),"",IF($F589="國","國定假日",IF($B589="日","例假",IF($B589="六","休息日","平日"))))</f>
        <v/>
      </c>
      <c r="R589" s="34" t="n"/>
    </row>
    <row r="590">
      <c r="A590" s="30">
        <f>IF(OR(班表!$A24="",30&gt;DAY(EOMONTH(DATE(班表!$E$2,班表!$G$2,1),0))),"",DATE(班表!$E$2,班表!$G$2,30))</f>
        <v/>
      </c>
      <c r="B590" s="29">
        <f>IF($A590="","",INDEX(設定!$L$5:$L$11,WEEKDAY($A590,1)))</f>
        <v/>
      </c>
      <c r="C590" s="29">
        <f>IF($A590="","",班表!$A24)</f>
        <v/>
      </c>
      <c r="D590" s="29">
        <f>IF($C590="","",班表!$B24)</f>
        <v/>
      </c>
      <c r="E590" s="29">
        <f>IF($C590="","",班表!$C24)</f>
        <v/>
      </c>
      <c r="F590" s="29">
        <f>IF($C590="","",班表!AG24)</f>
        <v/>
      </c>
      <c r="G590" s="31">
        <f>IF($F590="","",IFERROR(INDEX(設定!$D$5:$D$20,MATCH($F590,設定!$B$5:$B$20,0)),""))</f>
        <v/>
      </c>
      <c r="H590" s="31">
        <f>IF($F590="","",IFERROR(INDEX(設定!$E$5:$E$20,MATCH($F590,設定!$B$5:$B$20,0)),""))</f>
        <v/>
      </c>
      <c r="I590" s="31">
        <f>IFERROR(INDEX(打卡匯入!$C$3:$C$1002,MATCH($C590&amp;"|"&amp;DAY($A590),打卡匯入!$E$3:$E$1002,0)),"")</f>
        <v/>
      </c>
      <c r="J590" s="31">
        <f>IFERROR(INDEX(打卡匯入!$D$3:$D$1002,MATCH($C590&amp;"|"&amp;DAY($A590),打卡匯入!$E$3:$E$1002,0)),"")</f>
        <v/>
      </c>
      <c r="K590" s="32">
        <f>IF(OR($I590="",$J590=""),"",IFERROR(INDEX(設定!$F$5:$F$20,MATCH($F590,設定!$B$5:$B$20,0)),0))</f>
        <v/>
      </c>
      <c r="L590" s="33">
        <f>IF(OR($I590="",$J590=""),"",ROUND(($J590-$I590)*24-$K590/60,2))</f>
        <v/>
      </c>
      <c r="M590" s="29">
        <f>IF($C590="","",IF(AND(COUNTIF(設定!$B$14:$B$20,$F590)&gt;0,$I590&lt;&gt;""),"假日出勤",IF(AND(COUNTIF(設定!$B$5:$B$13,$F590)&gt;0,$I590=""),"未打卡",IF($I590="","",IF($N590&gt;0,"遲到",IF($O590&gt;0,"早退","正常"))))))</f>
        <v/>
      </c>
      <c r="N590" s="32">
        <f>IF(OR($C590="",$G590="",$I590=""),0,IF(ROUND(($I590-$G590)*1440,0)&gt;設定!$C$28,ROUND(($I590-$G590)*1440,0),0))</f>
        <v/>
      </c>
      <c r="O590" s="32">
        <f>IF(OR($C590="",$H590="",$J590=""),0,IF(ROUND(($H590-$J590)*1440,0)&gt;設定!$C$28,ROUND(($H590-$J590)*1440,0),0))</f>
        <v/>
      </c>
      <c r="P590" s="33">
        <f>IF($L590="",0,IF(($L590-IFERROR(INDEX(設定!$G$5:$G$20,MATCH($F590,設定!$B$5:$B$20,0)),0))*60&gt;=設定!$C$26,ROUND(FLOOR(($L590-IFERROR(INDEX(設定!$G$5:$G$20,MATCH($F590,設定!$B$5:$B$20,0)),0))*60,設定!$C$27)/60,2),0))</f>
        <v/>
      </c>
      <c r="Q590" s="29">
        <f>IF(OR($C590="",$P590=0),"",IF($F590="國","國定假日",IF($B590="日","例假",IF($B590="六","休息日","平日"))))</f>
        <v/>
      </c>
      <c r="R590" s="34" t="n"/>
    </row>
    <row r="591">
      <c r="A591" s="30">
        <f>IF(OR(班表!$A24="",31&gt;DAY(EOMONTH(DATE(班表!$E$2,班表!$G$2,1),0))),"",DATE(班表!$E$2,班表!$G$2,31))</f>
        <v/>
      </c>
      <c r="B591" s="29">
        <f>IF($A591="","",INDEX(設定!$L$5:$L$11,WEEKDAY($A591,1)))</f>
        <v/>
      </c>
      <c r="C591" s="29">
        <f>IF($A591="","",班表!$A24)</f>
        <v/>
      </c>
      <c r="D591" s="29">
        <f>IF($C591="","",班表!$B24)</f>
        <v/>
      </c>
      <c r="E591" s="29">
        <f>IF($C591="","",班表!$C24)</f>
        <v/>
      </c>
      <c r="F591" s="29">
        <f>IF($C591="","",班表!AH24)</f>
        <v/>
      </c>
      <c r="G591" s="31">
        <f>IF($F591="","",IFERROR(INDEX(設定!$D$5:$D$20,MATCH($F591,設定!$B$5:$B$20,0)),""))</f>
        <v/>
      </c>
      <c r="H591" s="31">
        <f>IF($F591="","",IFERROR(INDEX(設定!$E$5:$E$20,MATCH($F591,設定!$B$5:$B$20,0)),""))</f>
        <v/>
      </c>
      <c r="I591" s="31">
        <f>IFERROR(INDEX(打卡匯入!$C$3:$C$1002,MATCH($C591&amp;"|"&amp;DAY($A591),打卡匯入!$E$3:$E$1002,0)),"")</f>
        <v/>
      </c>
      <c r="J591" s="31">
        <f>IFERROR(INDEX(打卡匯入!$D$3:$D$1002,MATCH($C591&amp;"|"&amp;DAY($A591),打卡匯入!$E$3:$E$1002,0)),"")</f>
        <v/>
      </c>
      <c r="K591" s="32">
        <f>IF(OR($I591="",$J591=""),"",IFERROR(INDEX(設定!$F$5:$F$20,MATCH($F591,設定!$B$5:$B$20,0)),0))</f>
        <v/>
      </c>
      <c r="L591" s="33">
        <f>IF(OR($I591="",$J591=""),"",ROUND(($J591-$I591)*24-$K591/60,2))</f>
        <v/>
      </c>
      <c r="M591" s="29">
        <f>IF($C591="","",IF(AND(COUNTIF(設定!$B$14:$B$20,$F591)&gt;0,$I591&lt;&gt;""),"假日出勤",IF(AND(COUNTIF(設定!$B$5:$B$13,$F591)&gt;0,$I591=""),"未打卡",IF($I591="","",IF($N591&gt;0,"遲到",IF($O591&gt;0,"早退","正常"))))))</f>
        <v/>
      </c>
      <c r="N591" s="32">
        <f>IF(OR($C591="",$G591="",$I591=""),0,IF(ROUND(($I591-$G591)*1440,0)&gt;設定!$C$28,ROUND(($I591-$G591)*1440,0),0))</f>
        <v/>
      </c>
      <c r="O591" s="32">
        <f>IF(OR($C591="",$H591="",$J591=""),0,IF(ROUND(($H591-$J591)*1440,0)&gt;設定!$C$28,ROUND(($H591-$J591)*1440,0),0))</f>
        <v/>
      </c>
      <c r="P591" s="33">
        <f>IF($L591="",0,IF(($L591-IFERROR(INDEX(設定!$G$5:$G$20,MATCH($F591,設定!$B$5:$B$20,0)),0))*60&gt;=設定!$C$26,ROUND(FLOOR(($L591-IFERROR(INDEX(設定!$G$5:$G$20,MATCH($F591,設定!$B$5:$B$20,0)),0))*60,設定!$C$27)/60,2),0))</f>
        <v/>
      </c>
      <c r="Q591" s="29">
        <f>IF(OR($C591="",$P591=0),"",IF($F591="國","國定假日",IF($B591="日","例假",IF($B591="六","休息日","平日"))))</f>
        <v/>
      </c>
      <c r="R591" s="34" t="n"/>
    </row>
    <row r="592">
      <c r="A592" s="30">
        <f>IF(OR(班表!$A25="",1&gt;DAY(EOMONTH(DATE(班表!$E$2,班表!$G$2,1),0))),"",DATE(班表!$E$2,班表!$G$2,1))</f>
        <v/>
      </c>
      <c r="B592" s="29">
        <f>IF($A592="","",INDEX(設定!$L$5:$L$11,WEEKDAY($A592,1)))</f>
        <v/>
      </c>
      <c r="C592" s="29">
        <f>IF($A592="","",班表!$A25)</f>
        <v/>
      </c>
      <c r="D592" s="29">
        <f>IF($C592="","",班表!$B25)</f>
        <v/>
      </c>
      <c r="E592" s="29">
        <f>IF($C592="","",班表!$C25)</f>
        <v/>
      </c>
      <c r="F592" s="29">
        <f>IF($C592="","",班表!D25)</f>
        <v/>
      </c>
      <c r="G592" s="31">
        <f>IF($F592="","",IFERROR(INDEX(設定!$D$5:$D$20,MATCH($F592,設定!$B$5:$B$20,0)),""))</f>
        <v/>
      </c>
      <c r="H592" s="31">
        <f>IF($F592="","",IFERROR(INDEX(設定!$E$5:$E$20,MATCH($F592,設定!$B$5:$B$20,0)),""))</f>
        <v/>
      </c>
      <c r="I592" s="31">
        <f>IFERROR(INDEX(打卡匯入!$C$3:$C$1002,MATCH($C592&amp;"|"&amp;DAY($A592),打卡匯入!$E$3:$E$1002,0)),"")</f>
        <v/>
      </c>
      <c r="J592" s="31">
        <f>IFERROR(INDEX(打卡匯入!$D$3:$D$1002,MATCH($C592&amp;"|"&amp;DAY($A592),打卡匯入!$E$3:$E$1002,0)),"")</f>
        <v/>
      </c>
      <c r="K592" s="32">
        <f>IF(OR($I592="",$J592=""),"",IFERROR(INDEX(設定!$F$5:$F$20,MATCH($F592,設定!$B$5:$B$20,0)),0))</f>
        <v/>
      </c>
      <c r="L592" s="33">
        <f>IF(OR($I592="",$J592=""),"",ROUND(($J592-$I592)*24-$K592/60,2))</f>
        <v/>
      </c>
      <c r="M592" s="29">
        <f>IF($C592="","",IF(AND(COUNTIF(設定!$B$14:$B$20,$F592)&gt;0,$I592&lt;&gt;""),"假日出勤",IF(AND(COUNTIF(設定!$B$5:$B$13,$F592)&gt;0,$I592=""),"未打卡",IF($I592="","",IF($N592&gt;0,"遲到",IF($O592&gt;0,"早退","正常"))))))</f>
        <v/>
      </c>
      <c r="N592" s="32">
        <f>IF(OR($C592="",$G592="",$I592=""),0,IF(ROUND(($I592-$G592)*1440,0)&gt;設定!$C$28,ROUND(($I592-$G592)*1440,0),0))</f>
        <v/>
      </c>
      <c r="O592" s="32">
        <f>IF(OR($C592="",$H592="",$J592=""),0,IF(ROUND(($H592-$J592)*1440,0)&gt;設定!$C$28,ROUND(($H592-$J592)*1440,0),0))</f>
        <v/>
      </c>
      <c r="P592" s="33">
        <f>IF($L592="",0,IF(($L592-IFERROR(INDEX(設定!$G$5:$G$20,MATCH($F592,設定!$B$5:$B$20,0)),0))*60&gt;=設定!$C$26,ROUND(FLOOR(($L592-IFERROR(INDEX(設定!$G$5:$G$20,MATCH($F592,設定!$B$5:$B$20,0)),0))*60,設定!$C$27)/60,2),0))</f>
        <v/>
      </c>
      <c r="Q592" s="29">
        <f>IF(OR($C592="",$P592=0),"",IF($F592="國","國定假日",IF($B592="日","例假",IF($B592="六","休息日","平日"))))</f>
        <v/>
      </c>
      <c r="R592" s="34" t="n"/>
    </row>
    <row r="593">
      <c r="A593" s="30">
        <f>IF(OR(班表!$A25="",2&gt;DAY(EOMONTH(DATE(班表!$E$2,班表!$G$2,1),0))),"",DATE(班表!$E$2,班表!$G$2,2))</f>
        <v/>
      </c>
      <c r="B593" s="29">
        <f>IF($A593="","",INDEX(設定!$L$5:$L$11,WEEKDAY($A593,1)))</f>
        <v/>
      </c>
      <c r="C593" s="29">
        <f>IF($A593="","",班表!$A25)</f>
        <v/>
      </c>
      <c r="D593" s="29">
        <f>IF($C593="","",班表!$B25)</f>
        <v/>
      </c>
      <c r="E593" s="29">
        <f>IF($C593="","",班表!$C25)</f>
        <v/>
      </c>
      <c r="F593" s="29">
        <f>IF($C593="","",班表!E25)</f>
        <v/>
      </c>
      <c r="G593" s="31">
        <f>IF($F593="","",IFERROR(INDEX(設定!$D$5:$D$20,MATCH($F593,設定!$B$5:$B$20,0)),""))</f>
        <v/>
      </c>
      <c r="H593" s="31">
        <f>IF($F593="","",IFERROR(INDEX(設定!$E$5:$E$20,MATCH($F593,設定!$B$5:$B$20,0)),""))</f>
        <v/>
      </c>
      <c r="I593" s="31">
        <f>IFERROR(INDEX(打卡匯入!$C$3:$C$1002,MATCH($C593&amp;"|"&amp;DAY($A593),打卡匯入!$E$3:$E$1002,0)),"")</f>
        <v/>
      </c>
      <c r="J593" s="31">
        <f>IFERROR(INDEX(打卡匯入!$D$3:$D$1002,MATCH($C593&amp;"|"&amp;DAY($A593),打卡匯入!$E$3:$E$1002,0)),"")</f>
        <v/>
      </c>
      <c r="K593" s="32">
        <f>IF(OR($I593="",$J593=""),"",IFERROR(INDEX(設定!$F$5:$F$20,MATCH($F593,設定!$B$5:$B$20,0)),0))</f>
        <v/>
      </c>
      <c r="L593" s="33">
        <f>IF(OR($I593="",$J593=""),"",ROUND(($J593-$I593)*24-$K593/60,2))</f>
        <v/>
      </c>
      <c r="M593" s="29">
        <f>IF($C593="","",IF(AND(COUNTIF(設定!$B$14:$B$20,$F593)&gt;0,$I593&lt;&gt;""),"假日出勤",IF(AND(COUNTIF(設定!$B$5:$B$13,$F593)&gt;0,$I593=""),"未打卡",IF($I593="","",IF($N593&gt;0,"遲到",IF($O593&gt;0,"早退","正常"))))))</f>
        <v/>
      </c>
      <c r="N593" s="32">
        <f>IF(OR($C593="",$G593="",$I593=""),0,IF(ROUND(($I593-$G593)*1440,0)&gt;設定!$C$28,ROUND(($I593-$G593)*1440,0),0))</f>
        <v/>
      </c>
      <c r="O593" s="32">
        <f>IF(OR($C593="",$H593="",$J593=""),0,IF(ROUND(($H593-$J593)*1440,0)&gt;設定!$C$28,ROUND(($H593-$J593)*1440,0),0))</f>
        <v/>
      </c>
      <c r="P593" s="33">
        <f>IF($L593="",0,IF(($L593-IFERROR(INDEX(設定!$G$5:$G$20,MATCH($F593,設定!$B$5:$B$20,0)),0))*60&gt;=設定!$C$26,ROUND(FLOOR(($L593-IFERROR(INDEX(設定!$G$5:$G$20,MATCH($F593,設定!$B$5:$B$20,0)),0))*60,設定!$C$27)/60,2),0))</f>
        <v/>
      </c>
      <c r="Q593" s="29">
        <f>IF(OR($C593="",$P593=0),"",IF($F593="國","國定假日",IF($B593="日","例假",IF($B593="六","休息日","平日"))))</f>
        <v/>
      </c>
      <c r="R593" s="34" t="n"/>
    </row>
    <row r="594">
      <c r="A594" s="30">
        <f>IF(OR(班表!$A25="",3&gt;DAY(EOMONTH(DATE(班表!$E$2,班表!$G$2,1),0))),"",DATE(班表!$E$2,班表!$G$2,3))</f>
        <v/>
      </c>
      <c r="B594" s="29">
        <f>IF($A594="","",INDEX(設定!$L$5:$L$11,WEEKDAY($A594,1)))</f>
        <v/>
      </c>
      <c r="C594" s="29">
        <f>IF($A594="","",班表!$A25)</f>
        <v/>
      </c>
      <c r="D594" s="29">
        <f>IF($C594="","",班表!$B25)</f>
        <v/>
      </c>
      <c r="E594" s="29">
        <f>IF($C594="","",班表!$C25)</f>
        <v/>
      </c>
      <c r="F594" s="29">
        <f>IF($C594="","",班表!F25)</f>
        <v/>
      </c>
      <c r="G594" s="31">
        <f>IF($F594="","",IFERROR(INDEX(設定!$D$5:$D$20,MATCH($F594,設定!$B$5:$B$20,0)),""))</f>
        <v/>
      </c>
      <c r="H594" s="31">
        <f>IF($F594="","",IFERROR(INDEX(設定!$E$5:$E$20,MATCH($F594,設定!$B$5:$B$20,0)),""))</f>
        <v/>
      </c>
      <c r="I594" s="31">
        <f>IFERROR(INDEX(打卡匯入!$C$3:$C$1002,MATCH($C594&amp;"|"&amp;DAY($A594),打卡匯入!$E$3:$E$1002,0)),"")</f>
        <v/>
      </c>
      <c r="J594" s="31">
        <f>IFERROR(INDEX(打卡匯入!$D$3:$D$1002,MATCH($C594&amp;"|"&amp;DAY($A594),打卡匯入!$E$3:$E$1002,0)),"")</f>
        <v/>
      </c>
      <c r="K594" s="32">
        <f>IF(OR($I594="",$J594=""),"",IFERROR(INDEX(設定!$F$5:$F$20,MATCH($F594,設定!$B$5:$B$20,0)),0))</f>
        <v/>
      </c>
      <c r="L594" s="33">
        <f>IF(OR($I594="",$J594=""),"",ROUND(($J594-$I594)*24-$K594/60,2))</f>
        <v/>
      </c>
      <c r="M594" s="29">
        <f>IF($C594="","",IF(AND(COUNTIF(設定!$B$14:$B$20,$F594)&gt;0,$I594&lt;&gt;""),"假日出勤",IF(AND(COUNTIF(設定!$B$5:$B$13,$F594)&gt;0,$I594=""),"未打卡",IF($I594="","",IF($N594&gt;0,"遲到",IF($O594&gt;0,"早退","正常"))))))</f>
        <v/>
      </c>
      <c r="N594" s="32">
        <f>IF(OR($C594="",$G594="",$I594=""),0,IF(ROUND(($I594-$G594)*1440,0)&gt;設定!$C$28,ROUND(($I594-$G594)*1440,0),0))</f>
        <v/>
      </c>
      <c r="O594" s="32">
        <f>IF(OR($C594="",$H594="",$J594=""),0,IF(ROUND(($H594-$J594)*1440,0)&gt;設定!$C$28,ROUND(($H594-$J594)*1440,0),0))</f>
        <v/>
      </c>
      <c r="P594" s="33">
        <f>IF($L594="",0,IF(($L594-IFERROR(INDEX(設定!$G$5:$G$20,MATCH($F594,設定!$B$5:$B$20,0)),0))*60&gt;=設定!$C$26,ROUND(FLOOR(($L594-IFERROR(INDEX(設定!$G$5:$G$20,MATCH($F594,設定!$B$5:$B$20,0)),0))*60,設定!$C$27)/60,2),0))</f>
        <v/>
      </c>
      <c r="Q594" s="29">
        <f>IF(OR($C594="",$P594=0),"",IF($F594="國","國定假日",IF($B594="日","例假",IF($B594="六","休息日","平日"))))</f>
        <v/>
      </c>
      <c r="R594" s="34" t="n"/>
    </row>
    <row r="595">
      <c r="A595" s="30">
        <f>IF(OR(班表!$A25="",4&gt;DAY(EOMONTH(DATE(班表!$E$2,班表!$G$2,1),0))),"",DATE(班表!$E$2,班表!$G$2,4))</f>
        <v/>
      </c>
      <c r="B595" s="29">
        <f>IF($A595="","",INDEX(設定!$L$5:$L$11,WEEKDAY($A595,1)))</f>
        <v/>
      </c>
      <c r="C595" s="29">
        <f>IF($A595="","",班表!$A25)</f>
        <v/>
      </c>
      <c r="D595" s="29">
        <f>IF($C595="","",班表!$B25)</f>
        <v/>
      </c>
      <c r="E595" s="29">
        <f>IF($C595="","",班表!$C25)</f>
        <v/>
      </c>
      <c r="F595" s="29">
        <f>IF($C595="","",班表!G25)</f>
        <v/>
      </c>
      <c r="G595" s="31">
        <f>IF($F595="","",IFERROR(INDEX(設定!$D$5:$D$20,MATCH($F595,設定!$B$5:$B$20,0)),""))</f>
        <v/>
      </c>
      <c r="H595" s="31">
        <f>IF($F595="","",IFERROR(INDEX(設定!$E$5:$E$20,MATCH($F595,設定!$B$5:$B$20,0)),""))</f>
        <v/>
      </c>
      <c r="I595" s="31">
        <f>IFERROR(INDEX(打卡匯入!$C$3:$C$1002,MATCH($C595&amp;"|"&amp;DAY($A595),打卡匯入!$E$3:$E$1002,0)),"")</f>
        <v/>
      </c>
      <c r="J595" s="31">
        <f>IFERROR(INDEX(打卡匯入!$D$3:$D$1002,MATCH($C595&amp;"|"&amp;DAY($A595),打卡匯入!$E$3:$E$1002,0)),"")</f>
        <v/>
      </c>
      <c r="K595" s="32">
        <f>IF(OR($I595="",$J595=""),"",IFERROR(INDEX(設定!$F$5:$F$20,MATCH($F595,設定!$B$5:$B$20,0)),0))</f>
        <v/>
      </c>
      <c r="L595" s="33">
        <f>IF(OR($I595="",$J595=""),"",ROUND(($J595-$I595)*24-$K595/60,2))</f>
        <v/>
      </c>
      <c r="M595" s="29">
        <f>IF($C595="","",IF(AND(COUNTIF(設定!$B$14:$B$20,$F595)&gt;0,$I595&lt;&gt;""),"假日出勤",IF(AND(COUNTIF(設定!$B$5:$B$13,$F595)&gt;0,$I595=""),"未打卡",IF($I595="","",IF($N595&gt;0,"遲到",IF($O595&gt;0,"早退","正常"))))))</f>
        <v/>
      </c>
      <c r="N595" s="32">
        <f>IF(OR($C595="",$G595="",$I595=""),0,IF(ROUND(($I595-$G595)*1440,0)&gt;設定!$C$28,ROUND(($I595-$G595)*1440,0),0))</f>
        <v/>
      </c>
      <c r="O595" s="32">
        <f>IF(OR($C595="",$H595="",$J595=""),0,IF(ROUND(($H595-$J595)*1440,0)&gt;設定!$C$28,ROUND(($H595-$J595)*1440,0),0))</f>
        <v/>
      </c>
      <c r="P595" s="33">
        <f>IF($L595="",0,IF(($L595-IFERROR(INDEX(設定!$G$5:$G$20,MATCH($F595,設定!$B$5:$B$20,0)),0))*60&gt;=設定!$C$26,ROUND(FLOOR(($L595-IFERROR(INDEX(設定!$G$5:$G$20,MATCH($F595,設定!$B$5:$B$20,0)),0))*60,設定!$C$27)/60,2),0))</f>
        <v/>
      </c>
      <c r="Q595" s="29">
        <f>IF(OR($C595="",$P595=0),"",IF($F595="國","國定假日",IF($B595="日","例假",IF($B595="六","休息日","平日"))))</f>
        <v/>
      </c>
      <c r="R595" s="34" t="n"/>
    </row>
    <row r="596">
      <c r="A596" s="30">
        <f>IF(OR(班表!$A25="",5&gt;DAY(EOMONTH(DATE(班表!$E$2,班表!$G$2,1),0))),"",DATE(班表!$E$2,班表!$G$2,5))</f>
        <v/>
      </c>
      <c r="B596" s="29">
        <f>IF($A596="","",INDEX(設定!$L$5:$L$11,WEEKDAY($A596,1)))</f>
        <v/>
      </c>
      <c r="C596" s="29">
        <f>IF($A596="","",班表!$A25)</f>
        <v/>
      </c>
      <c r="D596" s="29">
        <f>IF($C596="","",班表!$B25)</f>
        <v/>
      </c>
      <c r="E596" s="29">
        <f>IF($C596="","",班表!$C25)</f>
        <v/>
      </c>
      <c r="F596" s="29">
        <f>IF($C596="","",班表!H25)</f>
        <v/>
      </c>
      <c r="G596" s="31">
        <f>IF($F596="","",IFERROR(INDEX(設定!$D$5:$D$20,MATCH($F596,設定!$B$5:$B$20,0)),""))</f>
        <v/>
      </c>
      <c r="H596" s="31">
        <f>IF($F596="","",IFERROR(INDEX(設定!$E$5:$E$20,MATCH($F596,設定!$B$5:$B$20,0)),""))</f>
        <v/>
      </c>
      <c r="I596" s="31">
        <f>IFERROR(INDEX(打卡匯入!$C$3:$C$1002,MATCH($C596&amp;"|"&amp;DAY($A596),打卡匯入!$E$3:$E$1002,0)),"")</f>
        <v/>
      </c>
      <c r="J596" s="31">
        <f>IFERROR(INDEX(打卡匯入!$D$3:$D$1002,MATCH($C596&amp;"|"&amp;DAY($A596),打卡匯入!$E$3:$E$1002,0)),"")</f>
        <v/>
      </c>
      <c r="K596" s="32">
        <f>IF(OR($I596="",$J596=""),"",IFERROR(INDEX(設定!$F$5:$F$20,MATCH($F596,設定!$B$5:$B$20,0)),0))</f>
        <v/>
      </c>
      <c r="L596" s="33">
        <f>IF(OR($I596="",$J596=""),"",ROUND(($J596-$I596)*24-$K596/60,2))</f>
        <v/>
      </c>
      <c r="M596" s="29">
        <f>IF($C596="","",IF(AND(COUNTIF(設定!$B$14:$B$20,$F596)&gt;0,$I596&lt;&gt;""),"假日出勤",IF(AND(COUNTIF(設定!$B$5:$B$13,$F596)&gt;0,$I596=""),"未打卡",IF($I596="","",IF($N596&gt;0,"遲到",IF($O596&gt;0,"早退","正常"))))))</f>
        <v/>
      </c>
      <c r="N596" s="32">
        <f>IF(OR($C596="",$G596="",$I596=""),0,IF(ROUND(($I596-$G596)*1440,0)&gt;設定!$C$28,ROUND(($I596-$G596)*1440,0),0))</f>
        <v/>
      </c>
      <c r="O596" s="32">
        <f>IF(OR($C596="",$H596="",$J596=""),0,IF(ROUND(($H596-$J596)*1440,0)&gt;設定!$C$28,ROUND(($H596-$J596)*1440,0),0))</f>
        <v/>
      </c>
      <c r="P596" s="33">
        <f>IF($L596="",0,IF(($L596-IFERROR(INDEX(設定!$G$5:$G$20,MATCH($F596,設定!$B$5:$B$20,0)),0))*60&gt;=設定!$C$26,ROUND(FLOOR(($L596-IFERROR(INDEX(設定!$G$5:$G$20,MATCH($F596,設定!$B$5:$B$20,0)),0))*60,設定!$C$27)/60,2),0))</f>
        <v/>
      </c>
      <c r="Q596" s="29">
        <f>IF(OR($C596="",$P596=0),"",IF($F596="國","國定假日",IF($B596="日","例假",IF($B596="六","休息日","平日"))))</f>
        <v/>
      </c>
      <c r="R596" s="34" t="n"/>
    </row>
    <row r="597">
      <c r="A597" s="30">
        <f>IF(OR(班表!$A25="",6&gt;DAY(EOMONTH(DATE(班表!$E$2,班表!$G$2,1),0))),"",DATE(班表!$E$2,班表!$G$2,6))</f>
        <v/>
      </c>
      <c r="B597" s="29">
        <f>IF($A597="","",INDEX(設定!$L$5:$L$11,WEEKDAY($A597,1)))</f>
        <v/>
      </c>
      <c r="C597" s="29">
        <f>IF($A597="","",班表!$A25)</f>
        <v/>
      </c>
      <c r="D597" s="29">
        <f>IF($C597="","",班表!$B25)</f>
        <v/>
      </c>
      <c r="E597" s="29">
        <f>IF($C597="","",班表!$C25)</f>
        <v/>
      </c>
      <c r="F597" s="29">
        <f>IF($C597="","",班表!I25)</f>
        <v/>
      </c>
      <c r="G597" s="31">
        <f>IF($F597="","",IFERROR(INDEX(設定!$D$5:$D$20,MATCH($F597,設定!$B$5:$B$20,0)),""))</f>
        <v/>
      </c>
      <c r="H597" s="31">
        <f>IF($F597="","",IFERROR(INDEX(設定!$E$5:$E$20,MATCH($F597,設定!$B$5:$B$20,0)),""))</f>
        <v/>
      </c>
      <c r="I597" s="31">
        <f>IFERROR(INDEX(打卡匯入!$C$3:$C$1002,MATCH($C597&amp;"|"&amp;DAY($A597),打卡匯入!$E$3:$E$1002,0)),"")</f>
        <v/>
      </c>
      <c r="J597" s="31">
        <f>IFERROR(INDEX(打卡匯入!$D$3:$D$1002,MATCH($C597&amp;"|"&amp;DAY($A597),打卡匯入!$E$3:$E$1002,0)),"")</f>
        <v/>
      </c>
      <c r="K597" s="32">
        <f>IF(OR($I597="",$J597=""),"",IFERROR(INDEX(設定!$F$5:$F$20,MATCH($F597,設定!$B$5:$B$20,0)),0))</f>
        <v/>
      </c>
      <c r="L597" s="33">
        <f>IF(OR($I597="",$J597=""),"",ROUND(($J597-$I597)*24-$K597/60,2))</f>
        <v/>
      </c>
      <c r="M597" s="29">
        <f>IF($C597="","",IF(AND(COUNTIF(設定!$B$14:$B$20,$F597)&gt;0,$I597&lt;&gt;""),"假日出勤",IF(AND(COUNTIF(設定!$B$5:$B$13,$F597)&gt;0,$I597=""),"未打卡",IF($I597="","",IF($N597&gt;0,"遲到",IF($O597&gt;0,"早退","正常"))))))</f>
        <v/>
      </c>
      <c r="N597" s="32">
        <f>IF(OR($C597="",$G597="",$I597=""),0,IF(ROUND(($I597-$G597)*1440,0)&gt;設定!$C$28,ROUND(($I597-$G597)*1440,0),0))</f>
        <v/>
      </c>
      <c r="O597" s="32">
        <f>IF(OR($C597="",$H597="",$J597=""),0,IF(ROUND(($H597-$J597)*1440,0)&gt;設定!$C$28,ROUND(($H597-$J597)*1440,0),0))</f>
        <v/>
      </c>
      <c r="P597" s="33">
        <f>IF($L597="",0,IF(($L597-IFERROR(INDEX(設定!$G$5:$G$20,MATCH($F597,設定!$B$5:$B$20,0)),0))*60&gt;=設定!$C$26,ROUND(FLOOR(($L597-IFERROR(INDEX(設定!$G$5:$G$20,MATCH($F597,設定!$B$5:$B$20,0)),0))*60,設定!$C$27)/60,2),0))</f>
        <v/>
      </c>
      <c r="Q597" s="29">
        <f>IF(OR($C597="",$P597=0),"",IF($F597="國","國定假日",IF($B597="日","例假",IF($B597="六","休息日","平日"))))</f>
        <v/>
      </c>
      <c r="R597" s="34" t="n"/>
    </row>
    <row r="598">
      <c r="A598" s="30">
        <f>IF(OR(班表!$A25="",7&gt;DAY(EOMONTH(DATE(班表!$E$2,班表!$G$2,1),0))),"",DATE(班表!$E$2,班表!$G$2,7))</f>
        <v/>
      </c>
      <c r="B598" s="29">
        <f>IF($A598="","",INDEX(設定!$L$5:$L$11,WEEKDAY($A598,1)))</f>
        <v/>
      </c>
      <c r="C598" s="29">
        <f>IF($A598="","",班表!$A25)</f>
        <v/>
      </c>
      <c r="D598" s="29">
        <f>IF($C598="","",班表!$B25)</f>
        <v/>
      </c>
      <c r="E598" s="29">
        <f>IF($C598="","",班表!$C25)</f>
        <v/>
      </c>
      <c r="F598" s="29">
        <f>IF($C598="","",班表!J25)</f>
        <v/>
      </c>
      <c r="G598" s="31">
        <f>IF($F598="","",IFERROR(INDEX(設定!$D$5:$D$20,MATCH($F598,設定!$B$5:$B$20,0)),""))</f>
        <v/>
      </c>
      <c r="H598" s="31">
        <f>IF($F598="","",IFERROR(INDEX(設定!$E$5:$E$20,MATCH($F598,設定!$B$5:$B$20,0)),""))</f>
        <v/>
      </c>
      <c r="I598" s="31">
        <f>IFERROR(INDEX(打卡匯入!$C$3:$C$1002,MATCH($C598&amp;"|"&amp;DAY($A598),打卡匯入!$E$3:$E$1002,0)),"")</f>
        <v/>
      </c>
      <c r="J598" s="31">
        <f>IFERROR(INDEX(打卡匯入!$D$3:$D$1002,MATCH($C598&amp;"|"&amp;DAY($A598),打卡匯入!$E$3:$E$1002,0)),"")</f>
        <v/>
      </c>
      <c r="K598" s="32">
        <f>IF(OR($I598="",$J598=""),"",IFERROR(INDEX(設定!$F$5:$F$20,MATCH($F598,設定!$B$5:$B$20,0)),0))</f>
        <v/>
      </c>
      <c r="L598" s="33">
        <f>IF(OR($I598="",$J598=""),"",ROUND(($J598-$I598)*24-$K598/60,2))</f>
        <v/>
      </c>
      <c r="M598" s="29">
        <f>IF($C598="","",IF(AND(COUNTIF(設定!$B$14:$B$20,$F598)&gt;0,$I598&lt;&gt;""),"假日出勤",IF(AND(COUNTIF(設定!$B$5:$B$13,$F598)&gt;0,$I598=""),"未打卡",IF($I598="","",IF($N598&gt;0,"遲到",IF($O598&gt;0,"早退","正常"))))))</f>
        <v/>
      </c>
      <c r="N598" s="32">
        <f>IF(OR($C598="",$G598="",$I598=""),0,IF(ROUND(($I598-$G598)*1440,0)&gt;設定!$C$28,ROUND(($I598-$G598)*1440,0),0))</f>
        <v/>
      </c>
      <c r="O598" s="32">
        <f>IF(OR($C598="",$H598="",$J598=""),0,IF(ROUND(($H598-$J598)*1440,0)&gt;設定!$C$28,ROUND(($H598-$J598)*1440,0),0))</f>
        <v/>
      </c>
      <c r="P598" s="33">
        <f>IF($L598="",0,IF(($L598-IFERROR(INDEX(設定!$G$5:$G$20,MATCH($F598,設定!$B$5:$B$20,0)),0))*60&gt;=設定!$C$26,ROUND(FLOOR(($L598-IFERROR(INDEX(設定!$G$5:$G$20,MATCH($F598,設定!$B$5:$B$20,0)),0))*60,設定!$C$27)/60,2),0))</f>
        <v/>
      </c>
      <c r="Q598" s="29">
        <f>IF(OR($C598="",$P598=0),"",IF($F598="國","國定假日",IF($B598="日","例假",IF($B598="六","休息日","平日"))))</f>
        <v/>
      </c>
      <c r="R598" s="34" t="n"/>
    </row>
    <row r="599">
      <c r="A599" s="30">
        <f>IF(OR(班表!$A25="",8&gt;DAY(EOMONTH(DATE(班表!$E$2,班表!$G$2,1),0))),"",DATE(班表!$E$2,班表!$G$2,8))</f>
        <v/>
      </c>
      <c r="B599" s="29">
        <f>IF($A599="","",INDEX(設定!$L$5:$L$11,WEEKDAY($A599,1)))</f>
        <v/>
      </c>
      <c r="C599" s="29">
        <f>IF($A599="","",班表!$A25)</f>
        <v/>
      </c>
      <c r="D599" s="29">
        <f>IF($C599="","",班表!$B25)</f>
        <v/>
      </c>
      <c r="E599" s="29">
        <f>IF($C599="","",班表!$C25)</f>
        <v/>
      </c>
      <c r="F599" s="29">
        <f>IF($C599="","",班表!K25)</f>
        <v/>
      </c>
      <c r="G599" s="31">
        <f>IF($F599="","",IFERROR(INDEX(設定!$D$5:$D$20,MATCH($F599,設定!$B$5:$B$20,0)),""))</f>
        <v/>
      </c>
      <c r="H599" s="31">
        <f>IF($F599="","",IFERROR(INDEX(設定!$E$5:$E$20,MATCH($F599,設定!$B$5:$B$20,0)),""))</f>
        <v/>
      </c>
      <c r="I599" s="31">
        <f>IFERROR(INDEX(打卡匯入!$C$3:$C$1002,MATCH($C599&amp;"|"&amp;DAY($A599),打卡匯入!$E$3:$E$1002,0)),"")</f>
        <v/>
      </c>
      <c r="J599" s="31">
        <f>IFERROR(INDEX(打卡匯入!$D$3:$D$1002,MATCH($C599&amp;"|"&amp;DAY($A599),打卡匯入!$E$3:$E$1002,0)),"")</f>
        <v/>
      </c>
      <c r="K599" s="32">
        <f>IF(OR($I599="",$J599=""),"",IFERROR(INDEX(設定!$F$5:$F$20,MATCH($F599,設定!$B$5:$B$20,0)),0))</f>
        <v/>
      </c>
      <c r="L599" s="33">
        <f>IF(OR($I599="",$J599=""),"",ROUND(($J599-$I599)*24-$K599/60,2))</f>
        <v/>
      </c>
      <c r="M599" s="29">
        <f>IF($C599="","",IF(AND(COUNTIF(設定!$B$14:$B$20,$F599)&gt;0,$I599&lt;&gt;""),"假日出勤",IF(AND(COUNTIF(設定!$B$5:$B$13,$F599)&gt;0,$I599=""),"未打卡",IF($I599="","",IF($N599&gt;0,"遲到",IF($O599&gt;0,"早退","正常"))))))</f>
        <v/>
      </c>
      <c r="N599" s="32">
        <f>IF(OR($C599="",$G599="",$I599=""),0,IF(ROUND(($I599-$G599)*1440,0)&gt;設定!$C$28,ROUND(($I599-$G599)*1440,0),0))</f>
        <v/>
      </c>
      <c r="O599" s="32">
        <f>IF(OR($C599="",$H599="",$J599=""),0,IF(ROUND(($H599-$J599)*1440,0)&gt;設定!$C$28,ROUND(($H599-$J599)*1440,0),0))</f>
        <v/>
      </c>
      <c r="P599" s="33">
        <f>IF($L599="",0,IF(($L599-IFERROR(INDEX(設定!$G$5:$G$20,MATCH($F599,設定!$B$5:$B$20,0)),0))*60&gt;=設定!$C$26,ROUND(FLOOR(($L599-IFERROR(INDEX(設定!$G$5:$G$20,MATCH($F599,設定!$B$5:$B$20,0)),0))*60,設定!$C$27)/60,2),0))</f>
        <v/>
      </c>
      <c r="Q599" s="29">
        <f>IF(OR($C599="",$P599=0),"",IF($F599="國","國定假日",IF($B599="日","例假",IF($B599="六","休息日","平日"))))</f>
        <v/>
      </c>
      <c r="R599" s="34" t="n"/>
    </row>
    <row r="600">
      <c r="A600" s="30">
        <f>IF(OR(班表!$A25="",9&gt;DAY(EOMONTH(DATE(班表!$E$2,班表!$G$2,1),0))),"",DATE(班表!$E$2,班表!$G$2,9))</f>
        <v/>
      </c>
      <c r="B600" s="29">
        <f>IF($A600="","",INDEX(設定!$L$5:$L$11,WEEKDAY($A600,1)))</f>
        <v/>
      </c>
      <c r="C600" s="29">
        <f>IF($A600="","",班表!$A25)</f>
        <v/>
      </c>
      <c r="D600" s="29">
        <f>IF($C600="","",班表!$B25)</f>
        <v/>
      </c>
      <c r="E600" s="29">
        <f>IF($C600="","",班表!$C25)</f>
        <v/>
      </c>
      <c r="F600" s="29">
        <f>IF($C600="","",班表!L25)</f>
        <v/>
      </c>
      <c r="G600" s="31">
        <f>IF($F600="","",IFERROR(INDEX(設定!$D$5:$D$20,MATCH($F600,設定!$B$5:$B$20,0)),""))</f>
        <v/>
      </c>
      <c r="H600" s="31">
        <f>IF($F600="","",IFERROR(INDEX(設定!$E$5:$E$20,MATCH($F600,設定!$B$5:$B$20,0)),""))</f>
        <v/>
      </c>
      <c r="I600" s="31">
        <f>IFERROR(INDEX(打卡匯入!$C$3:$C$1002,MATCH($C600&amp;"|"&amp;DAY($A600),打卡匯入!$E$3:$E$1002,0)),"")</f>
        <v/>
      </c>
      <c r="J600" s="31">
        <f>IFERROR(INDEX(打卡匯入!$D$3:$D$1002,MATCH($C600&amp;"|"&amp;DAY($A600),打卡匯入!$E$3:$E$1002,0)),"")</f>
        <v/>
      </c>
      <c r="K600" s="32">
        <f>IF(OR($I600="",$J600=""),"",IFERROR(INDEX(設定!$F$5:$F$20,MATCH($F600,設定!$B$5:$B$20,0)),0))</f>
        <v/>
      </c>
      <c r="L600" s="33">
        <f>IF(OR($I600="",$J600=""),"",ROUND(($J600-$I600)*24-$K600/60,2))</f>
        <v/>
      </c>
      <c r="M600" s="29">
        <f>IF($C600="","",IF(AND(COUNTIF(設定!$B$14:$B$20,$F600)&gt;0,$I600&lt;&gt;""),"假日出勤",IF(AND(COUNTIF(設定!$B$5:$B$13,$F600)&gt;0,$I600=""),"未打卡",IF($I600="","",IF($N600&gt;0,"遲到",IF($O600&gt;0,"早退","正常"))))))</f>
        <v/>
      </c>
      <c r="N600" s="32">
        <f>IF(OR($C600="",$G600="",$I600=""),0,IF(ROUND(($I600-$G600)*1440,0)&gt;設定!$C$28,ROUND(($I600-$G600)*1440,0),0))</f>
        <v/>
      </c>
      <c r="O600" s="32">
        <f>IF(OR($C600="",$H600="",$J600=""),0,IF(ROUND(($H600-$J600)*1440,0)&gt;設定!$C$28,ROUND(($H600-$J600)*1440,0),0))</f>
        <v/>
      </c>
      <c r="P600" s="33">
        <f>IF($L600="",0,IF(($L600-IFERROR(INDEX(設定!$G$5:$G$20,MATCH($F600,設定!$B$5:$B$20,0)),0))*60&gt;=設定!$C$26,ROUND(FLOOR(($L600-IFERROR(INDEX(設定!$G$5:$G$20,MATCH($F600,設定!$B$5:$B$20,0)),0))*60,設定!$C$27)/60,2),0))</f>
        <v/>
      </c>
      <c r="Q600" s="29">
        <f>IF(OR($C600="",$P600=0),"",IF($F600="國","國定假日",IF($B600="日","例假",IF($B600="六","休息日","平日"))))</f>
        <v/>
      </c>
      <c r="R600" s="34" t="n"/>
    </row>
    <row r="601">
      <c r="A601" s="30">
        <f>IF(OR(班表!$A25="",10&gt;DAY(EOMONTH(DATE(班表!$E$2,班表!$G$2,1),0))),"",DATE(班表!$E$2,班表!$G$2,10))</f>
        <v/>
      </c>
      <c r="B601" s="29">
        <f>IF($A601="","",INDEX(設定!$L$5:$L$11,WEEKDAY($A601,1)))</f>
        <v/>
      </c>
      <c r="C601" s="29">
        <f>IF($A601="","",班表!$A25)</f>
        <v/>
      </c>
      <c r="D601" s="29">
        <f>IF($C601="","",班表!$B25)</f>
        <v/>
      </c>
      <c r="E601" s="29">
        <f>IF($C601="","",班表!$C25)</f>
        <v/>
      </c>
      <c r="F601" s="29">
        <f>IF($C601="","",班表!M25)</f>
        <v/>
      </c>
      <c r="G601" s="31">
        <f>IF($F601="","",IFERROR(INDEX(設定!$D$5:$D$20,MATCH($F601,設定!$B$5:$B$20,0)),""))</f>
        <v/>
      </c>
      <c r="H601" s="31">
        <f>IF($F601="","",IFERROR(INDEX(設定!$E$5:$E$20,MATCH($F601,設定!$B$5:$B$20,0)),""))</f>
        <v/>
      </c>
      <c r="I601" s="31">
        <f>IFERROR(INDEX(打卡匯入!$C$3:$C$1002,MATCH($C601&amp;"|"&amp;DAY($A601),打卡匯入!$E$3:$E$1002,0)),"")</f>
        <v/>
      </c>
      <c r="J601" s="31">
        <f>IFERROR(INDEX(打卡匯入!$D$3:$D$1002,MATCH($C601&amp;"|"&amp;DAY($A601),打卡匯入!$E$3:$E$1002,0)),"")</f>
        <v/>
      </c>
      <c r="K601" s="32">
        <f>IF(OR($I601="",$J601=""),"",IFERROR(INDEX(設定!$F$5:$F$20,MATCH($F601,設定!$B$5:$B$20,0)),0))</f>
        <v/>
      </c>
      <c r="L601" s="33">
        <f>IF(OR($I601="",$J601=""),"",ROUND(($J601-$I601)*24-$K601/60,2))</f>
        <v/>
      </c>
      <c r="M601" s="29">
        <f>IF($C601="","",IF(AND(COUNTIF(設定!$B$14:$B$20,$F601)&gt;0,$I601&lt;&gt;""),"假日出勤",IF(AND(COUNTIF(設定!$B$5:$B$13,$F601)&gt;0,$I601=""),"未打卡",IF($I601="","",IF($N601&gt;0,"遲到",IF($O601&gt;0,"早退","正常"))))))</f>
        <v/>
      </c>
      <c r="N601" s="32">
        <f>IF(OR($C601="",$G601="",$I601=""),0,IF(ROUND(($I601-$G601)*1440,0)&gt;設定!$C$28,ROUND(($I601-$G601)*1440,0),0))</f>
        <v/>
      </c>
      <c r="O601" s="32">
        <f>IF(OR($C601="",$H601="",$J601=""),0,IF(ROUND(($H601-$J601)*1440,0)&gt;設定!$C$28,ROUND(($H601-$J601)*1440,0),0))</f>
        <v/>
      </c>
      <c r="P601" s="33">
        <f>IF($L601="",0,IF(($L601-IFERROR(INDEX(設定!$G$5:$G$20,MATCH($F601,設定!$B$5:$B$20,0)),0))*60&gt;=設定!$C$26,ROUND(FLOOR(($L601-IFERROR(INDEX(設定!$G$5:$G$20,MATCH($F601,設定!$B$5:$B$20,0)),0))*60,設定!$C$27)/60,2),0))</f>
        <v/>
      </c>
      <c r="Q601" s="29">
        <f>IF(OR($C601="",$P601=0),"",IF($F601="國","國定假日",IF($B601="日","例假",IF($B601="六","休息日","平日"))))</f>
        <v/>
      </c>
      <c r="R601" s="34" t="n"/>
    </row>
    <row r="602">
      <c r="A602" s="30">
        <f>IF(OR(班表!$A25="",11&gt;DAY(EOMONTH(DATE(班表!$E$2,班表!$G$2,1),0))),"",DATE(班表!$E$2,班表!$G$2,11))</f>
        <v/>
      </c>
      <c r="B602" s="29">
        <f>IF($A602="","",INDEX(設定!$L$5:$L$11,WEEKDAY($A602,1)))</f>
        <v/>
      </c>
      <c r="C602" s="29">
        <f>IF($A602="","",班表!$A25)</f>
        <v/>
      </c>
      <c r="D602" s="29">
        <f>IF($C602="","",班表!$B25)</f>
        <v/>
      </c>
      <c r="E602" s="29">
        <f>IF($C602="","",班表!$C25)</f>
        <v/>
      </c>
      <c r="F602" s="29">
        <f>IF($C602="","",班表!N25)</f>
        <v/>
      </c>
      <c r="G602" s="31">
        <f>IF($F602="","",IFERROR(INDEX(設定!$D$5:$D$20,MATCH($F602,設定!$B$5:$B$20,0)),""))</f>
        <v/>
      </c>
      <c r="H602" s="31">
        <f>IF($F602="","",IFERROR(INDEX(設定!$E$5:$E$20,MATCH($F602,設定!$B$5:$B$20,0)),""))</f>
        <v/>
      </c>
      <c r="I602" s="31">
        <f>IFERROR(INDEX(打卡匯入!$C$3:$C$1002,MATCH($C602&amp;"|"&amp;DAY($A602),打卡匯入!$E$3:$E$1002,0)),"")</f>
        <v/>
      </c>
      <c r="J602" s="31">
        <f>IFERROR(INDEX(打卡匯入!$D$3:$D$1002,MATCH($C602&amp;"|"&amp;DAY($A602),打卡匯入!$E$3:$E$1002,0)),"")</f>
        <v/>
      </c>
      <c r="K602" s="32">
        <f>IF(OR($I602="",$J602=""),"",IFERROR(INDEX(設定!$F$5:$F$20,MATCH($F602,設定!$B$5:$B$20,0)),0))</f>
        <v/>
      </c>
      <c r="L602" s="33">
        <f>IF(OR($I602="",$J602=""),"",ROUND(($J602-$I602)*24-$K602/60,2))</f>
        <v/>
      </c>
      <c r="M602" s="29">
        <f>IF($C602="","",IF(AND(COUNTIF(設定!$B$14:$B$20,$F602)&gt;0,$I602&lt;&gt;""),"假日出勤",IF(AND(COUNTIF(設定!$B$5:$B$13,$F602)&gt;0,$I602=""),"未打卡",IF($I602="","",IF($N602&gt;0,"遲到",IF($O602&gt;0,"早退","正常"))))))</f>
        <v/>
      </c>
      <c r="N602" s="32">
        <f>IF(OR($C602="",$G602="",$I602=""),0,IF(ROUND(($I602-$G602)*1440,0)&gt;設定!$C$28,ROUND(($I602-$G602)*1440,0),0))</f>
        <v/>
      </c>
      <c r="O602" s="32">
        <f>IF(OR($C602="",$H602="",$J602=""),0,IF(ROUND(($H602-$J602)*1440,0)&gt;設定!$C$28,ROUND(($H602-$J602)*1440,0),0))</f>
        <v/>
      </c>
      <c r="P602" s="33">
        <f>IF($L602="",0,IF(($L602-IFERROR(INDEX(設定!$G$5:$G$20,MATCH($F602,設定!$B$5:$B$20,0)),0))*60&gt;=設定!$C$26,ROUND(FLOOR(($L602-IFERROR(INDEX(設定!$G$5:$G$20,MATCH($F602,設定!$B$5:$B$20,0)),0))*60,設定!$C$27)/60,2),0))</f>
        <v/>
      </c>
      <c r="Q602" s="29">
        <f>IF(OR($C602="",$P602=0),"",IF($F602="國","國定假日",IF($B602="日","例假",IF($B602="六","休息日","平日"))))</f>
        <v/>
      </c>
      <c r="R602" s="34" t="n"/>
    </row>
    <row r="603">
      <c r="A603" s="30">
        <f>IF(OR(班表!$A25="",12&gt;DAY(EOMONTH(DATE(班表!$E$2,班表!$G$2,1),0))),"",DATE(班表!$E$2,班表!$G$2,12))</f>
        <v/>
      </c>
      <c r="B603" s="29">
        <f>IF($A603="","",INDEX(設定!$L$5:$L$11,WEEKDAY($A603,1)))</f>
        <v/>
      </c>
      <c r="C603" s="29">
        <f>IF($A603="","",班表!$A25)</f>
        <v/>
      </c>
      <c r="D603" s="29">
        <f>IF($C603="","",班表!$B25)</f>
        <v/>
      </c>
      <c r="E603" s="29">
        <f>IF($C603="","",班表!$C25)</f>
        <v/>
      </c>
      <c r="F603" s="29">
        <f>IF($C603="","",班表!O25)</f>
        <v/>
      </c>
      <c r="G603" s="31">
        <f>IF($F603="","",IFERROR(INDEX(設定!$D$5:$D$20,MATCH($F603,設定!$B$5:$B$20,0)),""))</f>
        <v/>
      </c>
      <c r="H603" s="31">
        <f>IF($F603="","",IFERROR(INDEX(設定!$E$5:$E$20,MATCH($F603,設定!$B$5:$B$20,0)),""))</f>
        <v/>
      </c>
      <c r="I603" s="31">
        <f>IFERROR(INDEX(打卡匯入!$C$3:$C$1002,MATCH($C603&amp;"|"&amp;DAY($A603),打卡匯入!$E$3:$E$1002,0)),"")</f>
        <v/>
      </c>
      <c r="J603" s="31">
        <f>IFERROR(INDEX(打卡匯入!$D$3:$D$1002,MATCH($C603&amp;"|"&amp;DAY($A603),打卡匯入!$E$3:$E$1002,0)),"")</f>
        <v/>
      </c>
      <c r="K603" s="32">
        <f>IF(OR($I603="",$J603=""),"",IFERROR(INDEX(設定!$F$5:$F$20,MATCH($F603,設定!$B$5:$B$20,0)),0))</f>
        <v/>
      </c>
      <c r="L603" s="33">
        <f>IF(OR($I603="",$J603=""),"",ROUND(($J603-$I603)*24-$K603/60,2))</f>
        <v/>
      </c>
      <c r="M603" s="29">
        <f>IF($C603="","",IF(AND(COUNTIF(設定!$B$14:$B$20,$F603)&gt;0,$I603&lt;&gt;""),"假日出勤",IF(AND(COUNTIF(設定!$B$5:$B$13,$F603)&gt;0,$I603=""),"未打卡",IF($I603="","",IF($N603&gt;0,"遲到",IF($O603&gt;0,"早退","正常"))))))</f>
        <v/>
      </c>
      <c r="N603" s="32">
        <f>IF(OR($C603="",$G603="",$I603=""),0,IF(ROUND(($I603-$G603)*1440,0)&gt;設定!$C$28,ROUND(($I603-$G603)*1440,0),0))</f>
        <v/>
      </c>
      <c r="O603" s="32">
        <f>IF(OR($C603="",$H603="",$J603=""),0,IF(ROUND(($H603-$J603)*1440,0)&gt;設定!$C$28,ROUND(($H603-$J603)*1440,0),0))</f>
        <v/>
      </c>
      <c r="P603" s="33">
        <f>IF($L603="",0,IF(($L603-IFERROR(INDEX(設定!$G$5:$G$20,MATCH($F603,設定!$B$5:$B$20,0)),0))*60&gt;=設定!$C$26,ROUND(FLOOR(($L603-IFERROR(INDEX(設定!$G$5:$G$20,MATCH($F603,設定!$B$5:$B$20,0)),0))*60,設定!$C$27)/60,2),0))</f>
        <v/>
      </c>
      <c r="Q603" s="29">
        <f>IF(OR($C603="",$P603=0),"",IF($F603="國","國定假日",IF($B603="日","例假",IF($B603="六","休息日","平日"))))</f>
        <v/>
      </c>
      <c r="R603" s="34" t="n"/>
    </row>
    <row r="604">
      <c r="A604" s="30">
        <f>IF(OR(班表!$A25="",13&gt;DAY(EOMONTH(DATE(班表!$E$2,班表!$G$2,1),0))),"",DATE(班表!$E$2,班表!$G$2,13))</f>
        <v/>
      </c>
      <c r="B604" s="29">
        <f>IF($A604="","",INDEX(設定!$L$5:$L$11,WEEKDAY($A604,1)))</f>
        <v/>
      </c>
      <c r="C604" s="29">
        <f>IF($A604="","",班表!$A25)</f>
        <v/>
      </c>
      <c r="D604" s="29">
        <f>IF($C604="","",班表!$B25)</f>
        <v/>
      </c>
      <c r="E604" s="29">
        <f>IF($C604="","",班表!$C25)</f>
        <v/>
      </c>
      <c r="F604" s="29">
        <f>IF($C604="","",班表!P25)</f>
        <v/>
      </c>
      <c r="G604" s="31">
        <f>IF($F604="","",IFERROR(INDEX(設定!$D$5:$D$20,MATCH($F604,設定!$B$5:$B$20,0)),""))</f>
        <v/>
      </c>
      <c r="H604" s="31">
        <f>IF($F604="","",IFERROR(INDEX(設定!$E$5:$E$20,MATCH($F604,設定!$B$5:$B$20,0)),""))</f>
        <v/>
      </c>
      <c r="I604" s="31">
        <f>IFERROR(INDEX(打卡匯入!$C$3:$C$1002,MATCH($C604&amp;"|"&amp;DAY($A604),打卡匯入!$E$3:$E$1002,0)),"")</f>
        <v/>
      </c>
      <c r="J604" s="31">
        <f>IFERROR(INDEX(打卡匯入!$D$3:$D$1002,MATCH($C604&amp;"|"&amp;DAY($A604),打卡匯入!$E$3:$E$1002,0)),"")</f>
        <v/>
      </c>
      <c r="K604" s="32">
        <f>IF(OR($I604="",$J604=""),"",IFERROR(INDEX(設定!$F$5:$F$20,MATCH($F604,設定!$B$5:$B$20,0)),0))</f>
        <v/>
      </c>
      <c r="L604" s="33">
        <f>IF(OR($I604="",$J604=""),"",ROUND(($J604-$I604)*24-$K604/60,2))</f>
        <v/>
      </c>
      <c r="M604" s="29">
        <f>IF($C604="","",IF(AND(COUNTIF(設定!$B$14:$B$20,$F604)&gt;0,$I604&lt;&gt;""),"假日出勤",IF(AND(COUNTIF(設定!$B$5:$B$13,$F604)&gt;0,$I604=""),"未打卡",IF($I604="","",IF($N604&gt;0,"遲到",IF($O604&gt;0,"早退","正常"))))))</f>
        <v/>
      </c>
      <c r="N604" s="32">
        <f>IF(OR($C604="",$G604="",$I604=""),0,IF(ROUND(($I604-$G604)*1440,0)&gt;設定!$C$28,ROUND(($I604-$G604)*1440,0),0))</f>
        <v/>
      </c>
      <c r="O604" s="32">
        <f>IF(OR($C604="",$H604="",$J604=""),0,IF(ROUND(($H604-$J604)*1440,0)&gt;設定!$C$28,ROUND(($H604-$J604)*1440,0),0))</f>
        <v/>
      </c>
      <c r="P604" s="33">
        <f>IF($L604="",0,IF(($L604-IFERROR(INDEX(設定!$G$5:$G$20,MATCH($F604,設定!$B$5:$B$20,0)),0))*60&gt;=設定!$C$26,ROUND(FLOOR(($L604-IFERROR(INDEX(設定!$G$5:$G$20,MATCH($F604,設定!$B$5:$B$20,0)),0))*60,設定!$C$27)/60,2),0))</f>
        <v/>
      </c>
      <c r="Q604" s="29">
        <f>IF(OR($C604="",$P604=0),"",IF($F604="國","國定假日",IF($B604="日","例假",IF($B604="六","休息日","平日"))))</f>
        <v/>
      </c>
      <c r="R604" s="34" t="n"/>
    </row>
    <row r="605">
      <c r="A605" s="30">
        <f>IF(OR(班表!$A25="",14&gt;DAY(EOMONTH(DATE(班表!$E$2,班表!$G$2,1),0))),"",DATE(班表!$E$2,班表!$G$2,14))</f>
        <v/>
      </c>
      <c r="B605" s="29">
        <f>IF($A605="","",INDEX(設定!$L$5:$L$11,WEEKDAY($A605,1)))</f>
        <v/>
      </c>
      <c r="C605" s="29">
        <f>IF($A605="","",班表!$A25)</f>
        <v/>
      </c>
      <c r="D605" s="29">
        <f>IF($C605="","",班表!$B25)</f>
        <v/>
      </c>
      <c r="E605" s="29">
        <f>IF($C605="","",班表!$C25)</f>
        <v/>
      </c>
      <c r="F605" s="29">
        <f>IF($C605="","",班表!Q25)</f>
        <v/>
      </c>
      <c r="G605" s="31">
        <f>IF($F605="","",IFERROR(INDEX(設定!$D$5:$D$20,MATCH($F605,設定!$B$5:$B$20,0)),""))</f>
        <v/>
      </c>
      <c r="H605" s="31">
        <f>IF($F605="","",IFERROR(INDEX(設定!$E$5:$E$20,MATCH($F605,設定!$B$5:$B$20,0)),""))</f>
        <v/>
      </c>
      <c r="I605" s="31">
        <f>IFERROR(INDEX(打卡匯入!$C$3:$C$1002,MATCH($C605&amp;"|"&amp;DAY($A605),打卡匯入!$E$3:$E$1002,0)),"")</f>
        <v/>
      </c>
      <c r="J605" s="31">
        <f>IFERROR(INDEX(打卡匯入!$D$3:$D$1002,MATCH($C605&amp;"|"&amp;DAY($A605),打卡匯入!$E$3:$E$1002,0)),"")</f>
        <v/>
      </c>
      <c r="K605" s="32">
        <f>IF(OR($I605="",$J605=""),"",IFERROR(INDEX(設定!$F$5:$F$20,MATCH($F605,設定!$B$5:$B$20,0)),0))</f>
        <v/>
      </c>
      <c r="L605" s="33">
        <f>IF(OR($I605="",$J605=""),"",ROUND(($J605-$I605)*24-$K605/60,2))</f>
        <v/>
      </c>
      <c r="M605" s="29">
        <f>IF($C605="","",IF(AND(COUNTIF(設定!$B$14:$B$20,$F605)&gt;0,$I605&lt;&gt;""),"假日出勤",IF(AND(COUNTIF(設定!$B$5:$B$13,$F605)&gt;0,$I605=""),"未打卡",IF($I605="","",IF($N605&gt;0,"遲到",IF($O605&gt;0,"早退","正常"))))))</f>
        <v/>
      </c>
      <c r="N605" s="32">
        <f>IF(OR($C605="",$G605="",$I605=""),0,IF(ROUND(($I605-$G605)*1440,0)&gt;設定!$C$28,ROUND(($I605-$G605)*1440,0),0))</f>
        <v/>
      </c>
      <c r="O605" s="32">
        <f>IF(OR($C605="",$H605="",$J605=""),0,IF(ROUND(($H605-$J605)*1440,0)&gt;設定!$C$28,ROUND(($H605-$J605)*1440,0),0))</f>
        <v/>
      </c>
      <c r="P605" s="33">
        <f>IF($L605="",0,IF(($L605-IFERROR(INDEX(設定!$G$5:$G$20,MATCH($F605,設定!$B$5:$B$20,0)),0))*60&gt;=設定!$C$26,ROUND(FLOOR(($L605-IFERROR(INDEX(設定!$G$5:$G$20,MATCH($F605,設定!$B$5:$B$20,0)),0))*60,設定!$C$27)/60,2),0))</f>
        <v/>
      </c>
      <c r="Q605" s="29">
        <f>IF(OR($C605="",$P605=0),"",IF($F605="國","國定假日",IF($B605="日","例假",IF($B605="六","休息日","平日"))))</f>
        <v/>
      </c>
      <c r="R605" s="34" t="n"/>
    </row>
    <row r="606">
      <c r="A606" s="30">
        <f>IF(OR(班表!$A25="",15&gt;DAY(EOMONTH(DATE(班表!$E$2,班表!$G$2,1),0))),"",DATE(班表!$E$2,班表!$G$2,15))</f>
        <v/>
      </c>
      <c r="B606" s="29">
        <f>IF($A606="","",INDEX(設定!$L$5:$L$11,WEEKDAY($A606,1)))</f>
        <v/>
      </c>
      <c r="C606" s="29">
        <f>IF($A606="","",班表!$A25)</f>
        <v/>
      </c>
      <c r="D606" s="29">
        <f>IF($C606="","",班表!$B25)</f>
        <v/>
      </c>
      <c r="E606" s="29">
        <f>IF($C606="","",班表!$C25)</f>
        <v/>
      </c>
      <c r="F606" s="29">
        <f>IF($C606="","",班表!R25)</f>
        <v/>
      </c>
      <c r="G606" s="31">
        <f>IF($F606="","",IFERROR(INDEX(設定!$D$5:$D$20,MATCH($F606,設定!$B$5:$B$20,0)),""))</f>
        <v/>
      </c>
      <c r="H606" s="31">
        <f>IF($F606="","",IFERROR(INDEX(設定!$E$5:$E$20,MATCH($F606,設定!$B$5:$B$20,0)),""))</f>
        <v/>
      </c>
      <c r="I606" s="31">
        <f>IFERROR(INDEX(打卡匯入!$C$3:$C$1002,MATCH($C606&amp;"|"&amp;DAY($A606),打卡匯入!$E$3:$E$1002,0)),"")</f>
        <v/>
      </c>
      <c r="J606" s="31">
        <f>IFERROR(INDEX(打卡匯入!$D$3:$D$1002,MATCH($C606&amp;"|"&amp;DAY($A606),打卡匯入!$E$3:$E$1002,0)),"")</f>
        <v/>
      </c>
      <c r="K606" s="32">
        <f>IF(OR($I606="",$J606=""),"",IFERROR(INDEX(設定!$F$5:$F$20,MATCH($F606,設定!$B$5:$B$20,0)),0))</f>
        <v/>
      </c>
      <c r="L606" s="33">
        <f>IF(OR($I606="",$J606=""),"",ROUND(($J606-$I606)*24-$K606/60,2))</f>
        <v/>
      </c>
      <c r="M606" s="29">
        <f>IF($C606="","",IF(AND(COUNTIF(設定!$B$14:$B$20,$F606)&gt;0,$I606&lt;&gt;""),"假日出勤",IF(AND(COUNTIF(設定!$B$5:$B$13,$F606)&gt;0,$I606=""),"未打卡",IF($I606="","",IF($N606&gt;0,"遲到",IF($O606&gt;0,"早退","正常"))))))</f>
        <v/>
      </c>
      <c r="N606" s="32">
        <f>IF(OR($C606="",$G606="",$I606=""),0,IF(ROUND(($I606-$G606)*1440,0)&gt;設定!$C$28,ROUND(($I606-$G606)*1440,0),0))</f>
        <v/>
      </c>
      <c r="O606" s="32">
        <f>IF(OR($C606="",$H606="",$J606=""),0,IF(ROUND(($H606-$J606)*1440,0)&gt;設定!$C$28,ROUND(($H606-$J606)*1440,0),0))</f>
        <v/>
      </c>
      <c r="P606" s="33">
        <f>IF($L606="",0,IF(($L606-IFERROR(INDEX(設定!$G$5:$G$20,MATCH($F606,設定!$B$5:$B$20,0)),0))*60&gt;=設定!$C$26,ROUND(FLOOR(($L606-IFERROR(INDEX(設定!$G$5:$G$20,MATCH($F606,設定!$B$5:$B$20,0)),0))*60,設定!$C$27)/60,2),0))</f>
        <v/>
      </c>
      <c r="Q606" s="29">
        <f>IF(OR($C606="",$P606=0),"",IF($F606="國","國定假日",IF($B606="日","例假",IF($B606="六","休息日","平日"))))</f>
        <v/>
      </c>
      <c r="R606" s="34" t="n"/>
    </row>
    <row r="607">
      <c r="A607" s="30">
        <f>IF(OR(班表!$A25="",16&gt;DAY(EOMONTH(DATE(班表!$E$2,班表!$G$2,1),0))),"",DATE(班表!$E$2,班表!$G$2,16))</f>
        <v/>
      </c>
      <c r="B607" s="29">
        <f>IF($A607="","",INDEX(設定!$L$5:$L$11,WEEKDAY($A607,1)))</f>
        <v/>
      </c>
      <c r="C607" s="29">
        <f>IF($A607="","",班表!$A25)</f>
        <v/>
      </c>
      <c r="D607" s="29">
        <f>IF($C607="","",班表!$B25)</f>
        <v/>
      </c>
      <c r="E607" s="29">
        <f>IF($C607="","",班表!$C25)</f>
        <v/>
      </c>
      <c r="F607" s="29">
        <f>IF($C607="","",班表!S25)</f>
        <v/>
      </c>
      <c r="G607" s="31">
        <f>IF($F607="","",IFERROR(INDEX(設定!$D$5:$D$20,MATCH($F607,設定!$B$5:$B$20,0)),""))</f>
        <v/>
      </c>
      <c r="H607" s="31">
        <f>IF($F607="","",IFERROR(INDEX(設定!$E$5:$E$20,MATCH($F607,設定!$B$5:$B$20,0)),""))</f>
        <v/>
      </c>
      <c r="I607" s="31">
        <f>IFERROR(INDEX(打卡匯入!$C$3:$C$1002,MATCH($C607&amp;"|"&amp;DAY($A607),打卡匯入!$E$3:$E$1002,0)),"")</f>
        <v/>
      </c>
      <c r="J607" s="31">
        <f>IFERROR(INDEX(打卡匯入!$D$3:$D$1002,MATCH($C607&amp;"|"&amp;DAY($A607),打卡匯入!$E$3:$E$1002,0)),"")</f>
        <v/>
      </c>
      <c r="K607" s="32">
        <f>IF(OR($I607="",$J607=""),"",IFERROR(INDEX(設定!$F$5:$F$20,MATCH($F607,設定!$B$5:$B$20,0)),0))</f>
        <v/>
      </c>
      <c r="L607" s="33">
        <f>IF(OR($I607="",$J607=""),"",ROUND(($J607-$I607)*24-$K607/60,2))</f>
        <v/>
      </c>
      <c r="M607" s="29">
        <f>IF($C607="","",IF(AND(COUNTIF(設定!$B$14:$B$20,$F607)&gt;0,$I607&lt;&gt;""),"假日出勤",IF(AND(COUNTIF(設定!$B$5:$B$13,$F607)&gt;0,$I607=""),"未打卡",IF($I607="","",IF($N607&gt;0,"遲到",IF($O607&gt;0,"早退","正常"))))))</f>
        <v/>
      </c>
      <c r="N607" s="32">
        <f>IF(OR($C607="",$G607="",$I607=""),0,IF(ROUND(($I607-$G607)*1440,0)&gt;設定!$C$28,ROUND(($I607-$G607)*1440,0),0))</f>
        <v/>
      </c>
      <c r="O607" s="32">
        <f>IF(OR($C607="",$H607="",$J607=""),0,IF(ROUND(($H607-$J607)*1440,0)&gt;設定!$C$28,ROUND(($H607-$J607)*1440,0),0))</f>
        <v/>
      </c>
      <c r="P607" s="33">
        <f>IF($L607="",0,IF(($L607-IFERROR(INDEX(設定!$G$5:$G$20,MATCH($F607,設定!$B$5:$B$20,0)),0))*60&gt;=設定!$C$26,ROUND(FLOOR(($L607-IFERROR(INDEX(設定!$G$5:$G$20,MATCH($F607,設定!$B$5:$B$20,0)),0))*60,設定!$C$27)/60,2),0))</f>
        <v/>
      </c>
      <c r="Q607" s="29">
        <f>IF(OR($C607="",$P607=0),"",IF($F607="國","國定假日",IF($B607="日","例假",IF($B607="六","休息日","平日"))))</f>
        <v/>
      </c>
      <c r="R607" s="34" t="n"/>
    </row>
    <row r="608">
      <c r="A608" s="30">
        <f>IF(OR(班表!$A25="",17&gt;DAY(EOMONTH(DATE(班表!$E$2,班表!$G$2,1),0))),"",DATE(班表!$E$2,班表!$G$2,17))</f>
        <v/>
      </c>
      <c r="B608" s="29">
        <f>IF($A608="","",INDEX(設定!$L$5:$L$11,WEEKDAY($A608,1)))</f>
        <v/>
      </c>
      <c r="C608" s="29">
        <f>IF($A608="","",班表!$A25)</f>
        <v/>
      </c>
      <c r="D608" s="29">
        <f>IF($C608="","",班表!$B25)</f>
        <v/>
      </c>
      <c r="E608" s="29">
        <f>IF($C608="","",班表!$C25)</f>
        <v/>
      </c>
      <c r="F608" s="29">
        <f>IF($C608="","",班表!T25)</f>
        <v/>
      </c>
      <c r="G608" s="31">
        <f>IF($F608="","",IFERROR(INDEX(設定!$D$5:$D$20,MATCH($F608,設定!$B$5:$B$20,0)),""))</f>
        <v/>
      </c>
      <c r="H608" s="31">
        <f>IF($F608="","",IFERROR(INDEX(設定!$E$5:$E$20,MATCH($F608,設定!$B$5:$B$20,0)),""))</f>
        <v/>
      </c>
      <c r="I608" s="31">
        <f>IFERROR(INDEX(打卡匯入!$C$3:$C$1002,MATCH($C608&amp;"|"&amp;DAY($A608),打卡匯入!$E$3:$E$1002,0)),"")</f>
        <v/>
      </c>
      <c r="J608" s="31">
        <f>IFERROR(INDEX(打卡匯入!$D$3:$D$1002,MATCH($C608&amp;"|"&amp;DAY($A608),打卡匯入!$E$3:$E$1002,0)),"")</f>
        <v/>
      </c>
      <c r="K608" s="32">
        <f>IF(OR($I608="",$J608=""),"",IFERROR(INDEX(設定!$F$5:$F$20,MATCH($F608,設定!$B$5:$B$20,0)),0))</f>
        <v/>
      </c>
      <c r="L608" s="33">
        <f>IF(OR($I608="",$J608=""),"",ROUND(($J608-$I608)*24-$K608/60,2))</f>
        <v/>
      </c>
      <c r="M608" s="29">
        <f>IF($C608="","",IF(AND(COUNTIF(設定!$B$14:$B$20,$F608)&gt;0,$I608&lt;&gt;""),"假日出勤",IF(AND(COUNTIF(設定!$B$5:$B$13,$F608)&gt;0,$I608=""),"未打卡",IF($I608="","",IF($N608&gt;0,"遲到",IF($O608&gt;0,"早退","正常"))))))</f>
        <v/>
      </c>
      <c r="N608" s="32">
        <f>IF(OR($C608="",$G608="",$I608=""),0,IF(ROUND(($I608-$G608)*1440,0)&gt;設定!$C$28,ROUND(($I608-$G608)*1440,0),0))</f>
        <v/>
      </c>
      <c r="O608" s="32">
        <f>IF(OR($C608="",$H608="",$J608=""),0,IF(ROUND(($H608-$J608)*1440,0)&gt;設定!$C$28,ROUND(($H608-$J608)*1440,0),0))</f>
        <v/>
      </c>
      <c r="P608" s="33">
        <f>IF($L608="",0,IF(($L608-IFERROR(INDEX(設定!$G$5:$G$20,MATCH($F608,設定!$B$5:$B$20,0)),0))*60&gt;=設定!$C$26,ROUND(FLOOR(($L608-IFERROR(INDEX(設定!$G$5:$G$20,MATCH($F608,設定!$B$5:$B$20,0)),0))*60,設定!$C$27)/60,2),0))</f>
        <v/>
      </c>
      <c r="Q608" s="29">
        <f>IF(OR($C608="",$P608=0),"",IF($F608="國","國定假日",IF($B608="日","例假",IF($B608="六","休息日","平日"))))</f>
        <v/>
      </c>
      <c r="R608" s="34" t="n"/>
    </row>
    <row r="609">
      <c r="A609" s="30">
        <f>IF(OR(班表!$A25="",18&gt;DAY(EOMONTH(DATE(班表!$E$2,班表!$G$2,1),0))),"",DATE(班表!$E$2,班表!$G$2,18))</f>
        <v/>
      </c>
      <c r="B609" s="29">
        <f>IF($A609="","",INDEX(設定!$L$5:$L$11,WEEKDAY($A609,1)))</f>
        <v/>
      </c>
      <c r="C609" s="29">
        <f>IF($A609="","",班表!$A25)</f>
        <v/>
      </c>
      <c r="D609" s="29">
        <f>IF($C609="","",班表!$B25)</f>
        <v/>
      </c>
      <c r="E609" s="29">
        <f>IF($C609="","",班表!$C25)</f>
        <v/>
      </c>
      <c r="F609" s="29">
        <f>IF($C609="","",班表!U25)</f>
        <v/>
      </c>
      <c r="G609" s="31">
        <f>IF($F609="","",IFERROR(INDEX(設定!$D$5:$D$20,MATCH($F609,設定!$B$5:$B$20,0)),""))</f>
        <v/>
      </c>
      <c r="H609" s="31">
        <f>IF($F609="","",IFERROR(INDEX(設定!$E$5:$E$20,MATCH($F609,設定!$B$5:$B$20,0)),""))</f>
        <v/>
      </c>
      <c r="I609" s="31">
        <f>IFERROR(INDEX(打卡匯入!$C$3:$C$1002,MATCH($C609&amp;"|"&amp;DAY($A609),打卡匯入!$E$3:$E$1002,0)),"")</f>
        <v/>
      </c>
      <c r="J609" s="31">
        <f>IFERROR(INDEX(打卡匯入!$D$3:$D$1002,MATCH($C609&amp;"|"&amp;DAY($A609),打卡匯入!$E$3:$E$1002,0)),"")</f>
        <v/>
      </c>
      <c r="K609" s="32">
        <f>IF(OR($I609="",$J609=""),"",IFERROR(INDEX(設定!$F$5:$F$20,MATCH($F609,設定!$B$5:$B$20,0)),0))</f>
        <v/>
      </c>
      <c r="L609" s="33">
        <f>IF(OR($I609="",$J609=""),"",ROUND(($J609-$I609)*24-$K609/60,2))</f>
        <v/>
      </c>
      <c r="M609" s="29">
        <f>IF($C609="","",IF(AND(COUNTIF(設定!$B$14:$B$20,$F609)&gt;0,$I609&lt;&gt;""),"假日出勤",IF(AND(COUNTIF(設定!$B$5:$B$13,$F609)&gt;0,$I609=""),"未打卡",IF($I609="","",IF($N609&gt;0,"遲到",IF($O609&gt;0,"早退","正常"))))))</f>
        <v/>
      </c>
      <c r="N609" s="32">
        <f>IF(OR($C609="",$G609="",$I609=""),0,IF(ROUND(($I609-$G609)*1440,0)&gt;設定!$C$28,ROUND(($I609-$G609)*1440,0),0))</f>
        <v/>
      </c>
      <c r="O609" s="32">
        <f>IF(OR($C609="",$H609="",$J609=""),0,IF(ROUND(($H609-$J609)*1440,0)&gt;設定!$C$28,ROUND(($H609-$J609)*1440,0),0))</f>
        <v/>
      </c>
      <c r="P609" s="33">
        <f>IF($L609="",0,IF(($L609-IFERROR(INDEX(設定!$G$5:$G$20,MATCH($F609,設定!$B$5:$B$20,0)),0))*60&gt;=設定!$C$26,ROUND(FLOOR(($L609-IFERROR(INDEX(設定!$G$5:$G$20,MATCH($F609,設定!$B$5:$B$20,0)),0))*60,設定!$C$27)/60,2),0))</f>
        <v/>
      </c>
      <c r="Q609" s="29">
        <f>IF(OR($C609="",$P609=0),"",IF($F609="國","國定假日",IF($B609="日","例假",IF($B609="六","休息日","平日"))))</f>
        <v/>
      </c>
      <c r="R609" s="34" t="n"/>
    </row>
    <row r="610">
      <c r="A610" s="30">
        <f>IF(OR(班表!$A25="",19&gt;DAY(EOMONTH(DATE(班表!$E$2,班表!$G$2,1),0))),"",DATE(班表!$E$2,班表!$G$2,19))</f>
        <v/>
      </c>
      <c r="B610" s="29">
        <f>IF($A610="","",INDEX(設定!$L$5:$L$11,WEEKDAY($A610,1)))</f>
        <v/>
      </c>
      <c r="C610" s="29">
        <f>IF($A610="","",班表!$A25)</f>
        <v/>
      </c>
      <c r="D610" s="29">
        <f>IF($C610="","",班表!$B25)</f>
        <v/>
      </c>
      <c r="E610" s="29">
        <f>IF($C610="","",班表!$C25)</f>
        <v/>
      </c>
      <c r="F610" s="29">
        <f>IF($C610="","",班表!V25)</f>
        <v/>
      </c>
      <c r="G610" s="31">
        <f>IF($F610="","",IFERROR(INDEX(設定!$D$5:$D$20,MATCH($F610,設定!$B$5:$B$20,0)),""))</f>
        <v/>
      </c>
      <c r="H610" s="31">
        <f>IF($F610="","",IFERROR(INDEX(設定!$E$5:$E$20,MATCH($F610,設定!$B$5:$B$20,0)),""))</f>
        <v/>
      </c>
      <c r="I610" s="31">
        <f>IFERROR(INDEX(打卡匯入!$C$3:$C$1002,MATCH($C610&amp;"|"&amp;DAY($A610),打卡匯入!$E$3:$E$1002,0)),"")</f>
        <v/>
      </c>
      <c r="J610" s="31">
        <f>IFERROR(INDEX(打卡匯入!$D$3:$D$1002,MATCH($C610&amp;"|"&amp;DAY($A610),打卡匯入!$E$3:$E$1002,0)),"")</f>
        <v/>
      </c>
      <c r="K610" s="32">
        <f>IF(OR($I610="",$J610=""),"",IFERROR(INDEX(設定!$F$5:$F$20,MATCH($F610,設定!$B$5:$B$20,0)),0))</f>
        <v/>
      </c>
      <c r="L610" s="33">
        <f>IF(OR($I610="",$J610=""),"",ROUND(($J610-$I610)*24-$K610/60,2))</f>
        <v/>
      </c>
      <c r="M610" s="29">
        <f>IF($C610="","",IF(AND(COUNTIF(設定!$B$14:$B$20,$F610)&gt;0,$I610&lt;&gt;""),"假日出勤",IF(AND(COUNTIF(設定!$B$5:$B$13,$F610)&gt;0,$I610=""),"未打卡",IF($I610="","",IF($N610&gt;0,"遲到",IF($O610&gt;0,"早退","正常"))))))</f>
        <v/>
      </c>
      <c r="N610" s="32">
        <f>IF(OR($C610="",$G610="",$I610=""),0,IF(ROUND(($I610-$G610)*1440,0)&gt;設定!$C$28,ROUND(($I610-$G610)*1440,0),0))</f>
        <v/>
      </c>
      <c r="O610" s="32">
        <f>IF(OR($C610="",$H610="",$J610=""),0,IF(ROUND(($H610-$J610)*1440,0)&gt;設定!$C$28,ROUND(($H610-$J610)*1440,0),0))</f>
        <v/>
      </c>
      <c r="P610" s="33">
        <f>IF($L610="",0,IF(($L610-IFERROR(INDEX(設定!$G$5:$G$20,MATCH($F610,設定!$B$5:$B$20,0)),0))*60&gt;=設定!$C$26,ROUND(FLOOR(($L610-IFERROR(INDEX(設定!$G$5:$G$20,MATCH($F610,設定!$B$5:$B$20,0)),0))*60,設定!$C$27)/60,2),0))</f>
        <v/>
      </c>
      <c r="Q610" s="29">
        <f>IF(OR($C610="",$P610=0),"",IF($F610="國","國定假日",IF($B610="日","例假",IF($B610="六","休息日","平日"))))</f>
        <v/>
      </c>
      <c r="R610" s="34" t="n"/>
    </row>
    <row r="611">
      <c r="A611" s="30">
        <f>IF(OR(班表!$A25="",20&gt;DAY(EOMONTH(DATE(班表!$E$2,班表!$G$2,1),0))),"",DATE(班表!$E$2,班表!$G$2,20))</f>
        <v/>
      </c>
      <c r="B611" s="29">
        <f>IF($A611="","",INDEX(設定!$L$5:$L$11,WEEKDAY($A611,1)))</f>
        <v/>
      </c>
      <c r="C611" s="29">
        <f>IF($A611="","",班表!$A25)</f>
        <v/>
      </c>
      <c r="D611" s="29">
        <f>IF($C611="","",班表!$B25)</f>
        <v/>
      </c>
      <c r="E611" s="29">
        <f>IF($C611="","",班表!$C25)</f>
        <v/>
      </c>
      <c r="F611" s="29">
        <f>IF($C611="","",班表!W25)</f>
        <v/>
      </c>
      <c r="G611" s="31">
        <f>IF($F611="","",IFERROR(INDEX(設定!$D$5:$D$20,MATCH($F611,設定!$B$5:$B$20,0)),""))</f>
        <v/>
      </c>
      <c r="H611" s="31">
        <f>IF($F611="","",IFERROR(INDEX(設定!$E$5:$E$20,MATCH($F611,設定!$B$5:$B$20,0)),""))</f>
        <v/>
      </c>
      <c r="I611" s="31">
        <f>IFERROR(INDEX(打卡匯入!$C$3:$C$1002,MATCH($C611&amp;"|"&amp;DAY($A611),打卡匯入!$E$3:$E$1002,0)),"")</f>
        <v/>
      </c>
      <c r="J611" s="31">
        <f>IFERROR(INDEX(打卡匯入!$D$3:$D$1002,MATCH($C611&amp;"|"&amp;DAY($A611),打卡匯入!$E$3:$E$1002,0)),"")</f>
        <v/>
      </c>
      <c r="K611" s="32">
        <f>IF(OR($I611="",$J611=""),"",IFERROR(INDEX(設定!$F$5:$F$20,MATCH($F611,設定!$B$5:$B$20,0)),0))</f>
        <v/>
      </c>
      <c r="L611" s="33">
        <f>IF(OR($I611="",$J611=""),"",ROUND(($J611-$I611)*24-$K611/60,2))</f>
        <v/>
      </c>
      <c r="M611" s="29">
        <f>IF($C611="","",IF(AND(COUNTIF(設定!$B$14:$B$20,$F611)&gt;0,$I611&lt;&gt;""),"假日出勤",IF(AND(COUNTIF(設定!$B$5:$B$13,$F611)&gt;0,$I611=""),"未打卡",IF($I611="","",IF($N611&gt;0,"遲到",IF($O611&gt;0,"早退","正常"))))))</f>
        <v/>
      </c>
      <c r="N611" s="32">
        <f>IF(OR($C611="",$G611="",$I611=""),0,IF(ROUND(($I611-$G611)*1440,0)&gt;設定!$C$28,ROUND(($I611-$G611)*1440,0),0))</f>
        <v/>
      </c>
      <c r="O611" s="32">
        <f>IF(OR($C611="",$H611="",$J611=""),0,IF(ROUND(($H611-$J611)*1440,0)&gt;設定!$C$28,ROUND(($H611-$J611)*1440,0),0))</f>
        <v/>
      </c>
      <c r="P611" s="33">
        <f>IF($L611="",0,IF(($L611-IFERROR(INDEX(設定!$G$5:$G$20,MATCH($F611,設定!$B$5:$B$20,0)),0))*60&gt;=設定!$C$26,ROUND(FLOOR(($L611-IFERROR(INDEX(設定!$G$5:$G$20,MATCH($F611,設定!$B$5:$B$20,0)),0))*60,設定!$C$27)/60,2),0))</f>
        <v/>
      </c>
      <c r="Q611" s="29">
        <f>IF(OR($C611="",$P611=0),"",IF($F611="國","國定假日",IF($B611="日","例假",IF($B611="六","休息日","平日"))))</f>
        <v/>
      </c>
      <c r="R611" s="34" t="n"/>
    </row>
    <row r="612">
      <c r="A612" s="30">
        <f>IF(OR(班表!$A25="",21&gt;DAY(EOMONTH(DATE(班表!$E$2,班表!$G$2,1),0))),"",DATE(班表!$E$2,班表!$G$2,21))</f>
        <v/>
      </c>
      <c r="B612" s="29">
        <f>IF($A612="","",INDEX(設定!$L$5:$L$11,WEEKDAY($A612,1)))</f>
        <v/>
      </c>
      <c r="C612" s="29">
        <f>IF($A612="","",班表!$A25)</f>
        <v/>
      </c>
      <c r="D612" s="29">
        <f>IF($C612="","",班表!$B25)</f>
        <v/>
      </c>
      <c r="E612" s="29">
        <f>IF($C612="","",班表!$C25)</f>
        <v/>
      </c>
      <c r="F612" s="29">
        <f>IF($C612="","",班表!X25)</f>
        <v/>
      </c>
      <c r="G612" s="31">
        <f>IF($F612="","",IFERROR(INDEX(設定!$D$5:$D$20,MATCH($F612,設定!$B$5:$B$20,0)),""))</f>
        <v/>
      </c>
      <c r="H612" s="31">
        <f>IF($F612="","",IFERROR(INDEX(設定!$E$5:$E$20,MATCH($F612,設定!$B$5:$B$20,0)),""))</f>
        <v/>
      </c>
      <c r="I612" s="31">
        <f>IFERROR(INDEX(打卡匯入!$C$3:$C$1002,MATCH($C612&amp;"|"&amp;DAY($A612),打卡匯入!$E$3:$E$1002,0)),"")</f>
        <v/>
      </c>
      <c r="J612" s="31">
        <f>IFERROR(INDEX(打卡匯入!$D$3:$D$1002,MATCH($C612&amp;"|"&amp;DAY($A612),打卡匯入!$E$3:$E$1002,0)),"")</f>
        <v/>
      </c>
      <c r="K612" s="32">
        <f>IF(OR($I612="",$J612=""),"",IFERROR(INDEX(設定!$F$5:$F$20,MATCH($F612,設定!$B$5:$B$20,0)),0))</f>
        <v/>
      </c>
      <c r="L612" s="33">
        <f>IF(OR($I612="",$J612=""),"",ROUND(($J612-$I612)*24-$K612/60,2))</f>
        <v/>
      </c>
      <c r="M612" s="29">
        <f>IF($C612="","",IF(AND(COUNTIF(設定!$B$14:$B$20,$F612)&gt;0,$I612&lt;&gt;""),"假日出勤",IF(AND(COUNTIF(設定!$B$5:$B$13,$F612)&gt;0,$I612=""),"未打卡",IF($I612="","",IF($N612&gt;0,"遲到",IF($O612&gt;0,"早退","正常"))))))</f>
        <v/>
      </c>
      <c r="N612" s="32">
        <f>IF(OR($C612="",$G612="",$I612=""),0,IF(ROUND(($I612-$G612)*1440,0)&gt;設定!$C$28,ROUND(($I612-$G612)*1440,0),0))</f>
        <v/>
      </c>
      <c r="O612" s="32">
        <f>IF(OR($C612="",$H612="",$J612=""),0,IF(ROUND(($H612-$J612)*1440,0)&gt;設定!$C$28,ROUND(($H612-$J612)*1440,0),0))</f>
        <v/>
      </c>
      <c r="P612" s="33">
        <f>IF($L612="",0,IF(($L612-IFERROR(INDEX(設定!$G$5:$G$20,MATCH($F612,設定!$B$5:$B$20,0)),0))*60&gt;=設定!$C$26,ROUND(FLOOR(($L612-IFERROR(INDEX(設定!$G$5:$G$20,MATCH($F612,設定!$B$5:$B$20,0)),0))*60,設定!$C$27)/60,2),0))</f>
        <v/>
      </c>
      <c r="Q612" s="29">
        <f>IF(OR($C612="",$P612=0),"",IF($F612="國","國定假日",IF($B612="日","例假",IF($B612="六","休息日","平日"))))</f>
        <v/>
      </c>
      <c r="R612" s="34" t="n"/>
    </row>
    <row r="613">
      <c r="A613" s="30">
        <f>IF(OR(班表!$A25="",22&gt;DAY(EOMONTH(DATE(班表!$E$2,班表!$G$2,1),0))),"",DATE(班表!$E$2,班表!$G$2,22))</f>
        <v/>
      </c>
      <c r="B613" s="29">
        <f>IF($A613="","",INDEX(設定!$L$5:$L$11,WEEKDAY($A613,1)))</f>
        <v/>
      </c>
      <c r="C613" s="29">
        <f>IF($A613="","",班表!$A25)</f>
        <v/>
      </c>
      <c r="D613" s="29">
        <f>IF($C613="","",班表!$B25)</f>
        <v/>
      </c>
      <c r="E613" s="29">
        <f>IF($C613="","",班表!$C25)</f>
        <v/>
      </c>
      <c r="F613" s="29">
        <f>IF($C613="","",班表!Y25)</f>
        <v/>
      </c>
      <c r="G613" s="31">
        <f>IF($F613="","",IFERROR(INDEX(設定!$D$5:$D$20,MATCH($F613,設定!$B$5:$B$20,0)),""))</f>
        <v/>
      </c>
      <c r="H613" s="31">
        <f>IF($F613="","",IFERROR(INDEX(設定!$E$5:$E$20,MATCH($F613,設定!$B$5:$B$20,0)),""))</f>
        <v/>
      </c>
      <c r="I613" s="31">
        <f>IFERROR(INDEX(打卡匯入!$C$3:$C$1002,MATCH($C613&amp;"|"&amp;DAY($A613),打卡匯入!$E$3:$E$1002,0)),"")</f>
        <v/>
      </c>
      <c r="J613" s="31">
        <f>IFERROR(INDEX(打卡匯入!$D$3:$D$1002,MATCH($C613&amp;"|"&amp;DAY($A613),打卡匯入!$E$3:$E$1002,0)),"")</f>
        <v/>
      </c>
      <c r="K613" s="32">
        <f>IF(OR($I613="",$J613=""),"",IFERROR(INDEX(設定!$F$5:$F$20,MATCH($F613,設定!$B$5:$B$20,0)),0))</f>
        <v/>
      </c>
      <c r="L613" s="33">
        <f>IF(OR($I613="",$J613=""),"",ROUND(($J613-$I613)*24-$K613/60,2))</f>
        <v/>
      </c>
      <c r="M613" s="29">
        <f>IF($C613="","",IF(AND(COUNTIF(設定!$B$14:$B$20,$F613)&gt;0,$I613&lt;&gt;""),"假日出勤",IF(AND(COUNTIF(設定!$B$5:$B$13,$F613)&gt;0,$I613=""),"未打卡",IF($I613="","",IF($N613&gt;0,"遲到",IF($O613&gt;0,"早退","正常"))))))</f>
        <v/>
      </c>
      <c r="N613" s="32">
        <f>IF(OR($C613="",$G613="",$I613=""),0,IF(ROUND(($I613-$G613)*1440,0)&gt;設定!$C$28,ROUND(($I613-$G613)*1440,0),0))</f>
        <v/>
      </c>
      <c r="O613" s="32">
        <f>IF(OR($C613="",$H613="",$J613=""),0,IF(ROUND(($H613-$J613)*1440,0)&gt;設定!$C$28,ROUND(($H613-$J613)*1440,0),0))</f>
        <v/>
      </c>
      <c r="P613" s="33">
        <f>IF($L613="",0,IF(($L613-IFERROR(INDEX(設定!$G$5:$G$20,MATCH($F613,設定!$B$5:$B$20,0)),0))*60&gt;=設定!$C$26,ROUND(FLOOR(($L613-IFERROR(INDEX(設定!$G$5:$G$20,MATCH($F613,設定!$B$5:$B$20,0)),0))*60,設定!$C$27)/60,2),0))</f>
        <v/>
      </c>
      <c r="Q613" s="29">
        <f>IF(OR($C613="",$P613=0),"",IF($F613="國","國定假日",IF($B613="日","例假",IF($B613="六","休息日","平日"))))</f>
        <v/>
      </c>
      <c r="R613" s="34" t="n"/>
    </row>
    <row r="614">
      <c r="A614" s="30">
        <f>IF(OR(班表!$A25="",23&gt;DAY(EOMONTH(DATE(班表!$E$2,班表!$G$2,1),0))),"",DATE(班表!$E$2,班表!$G$2,23))</f>
        <v/>
      </c>
      <c r="B614" s="29">
        <f>IF($A614="","",INDEX(設定!$L$5:$L$11,WEEKDAY($A614,1)))</f>
        <v/>
      </c>
      <c r="C614" s="29">
        <f>IF($A614="","",班表!$A25)</f>
        <v/>
      </c>
      <c r="D614" s="29">
        <f>IF($C614="","",班表!$B25)</f>
        <v/>
      </c>
      <c r="E614" s="29">
        <f>IF($C614="","",班表!$C25)</f>
        <v/>
      </c>
      <c r="F614" s="29">
        <f>IF($C614="","",班表!Z25)</f>
        <v/>
      </c>
      <c r="G614" s="31">
        <f>IF($F614="","",IFERROR(INDEX(設定!$D$5:$D$20,MATCH($F614,設定!$B$5:$B$20,0)),""))</f>
        <v/>
      </c>
      <c r="H614" s="31">
        <f>IF($F614="","",IFERROR(INDEX(設定!$E$5:$E$20,MATCH($F614,設定!$B$5:$B$20,0)),""))</f>
        <v/>
      </c>
      <c r="I614" s="31">
        <f>IFERROR(INDEX(打卡匯入!$C$3:$C$1002,MATCH($C614&amp;"|"&amp;DAY($A614),打卡匯入!$E$3:$E$1002,0)),"")</f>
        <v/>
      </c>
      <c r="J614" s="31">
        <f>IFERROR(INDEX(打卡匯入!$D$3:$D$1002,MATCH($C614&amp;"|"&amp;DAY($A614),打卡匯入!$E$3:$E$1002,0)),"")</f>
        <v/>
      </c>
      <c r="K614" s="32">
        <f>IF(OR($I614="",$J614=""),"",IFERROR(INDEX(設定!$F$5:$F$20,MATCH($F614,設定!$B$5:$B$20,0)),0))</f>
        <v/>
      </c>
      <c r="L614" s="33">
        <f>IF(OR($I614="",$J614=""),"",ROUND(($J614-$I614)*24-$K614/60,2))</f>
        <v/>
      </c>
      <c r="M614" s="29">
        <f>IF($C614="","",IF(AND(COUNTIF(設定!$B$14:$B$20,$F614)&gt;0,$I614&lt;&gt;""),"假日出勤",IF(AND(COUNTIF(設定!$B$5:$B$13,$F614)&gt;0,$I614=""),"未打卡",IF($I614="","",IF($N614&gt;0,"遲到",IF($O614&gt;0,"早退","正常"))))))</f>
        <v/>
      </c>
      <c r="N614" s="32">
        <f>IF(OR($C614="",$G614="",$I614=""),0,IF(ROUND(($I614-$G614)*1440,0)&gt;設定!$C$28,ROUND(($I614-$G614)*1440,0),0))</f>
        <v/>
      </c>
      <c r="O614" s="32">
        <f>IF(OR($C614="",$H614="",$J614=""),0,IF(ROUND(($H614-$J614)*1440,0)&gt;設定!$C$28,ROUND(($H614-$J614)*1440,0),0))</f>
        <v/>
      </c>
      <c r="P614" s="33">
        <f>IF($L614="",0,IF(($L614-IFERROR(INDEX(設定!$G$5:$G$20,MATCH($F614,設定!$B$5:$B$20,0)),0))*60&gt;=設定!$C$26,ROUND(FLOOR(($L614-IFERROR(INDEX(設定!$G$5:$G$20,MATCH($F614,設定!$B$5:$B$20,0)),0))*60,設定!$C$27)/60,2),0))</f>
        <v/>
      </c>
      <c r="Q614" s="29">
        <f>IF(OR($C614="",$P614=0),"",IF($F614="國","國定假日",IF($B614="日","例假",IF($B614="六","休息日","平日"))))</f>
        <v/>
      </c>
      <c r="R614" s="34" t="n"/>
    </row>
    <row r="615">
      <c r="A615" s="30">
        <f>IF(OR(班表!$A25="",24&gt;DAY(EOMONTH(DATE(班表!$E$2,班表!$G$2,1),0))),"",DATE(班表!$E$2,班表!$G$2,24))</f>
        <v/>
      </c>
      <c r="B615" s="29">
        <f>IF($A615="","",INDEX(設定!$L$5:$L$11,WEEKDAY($A615,1)))</f>
        <v/>
      </c>
      <c r="C615" s="29">
        <f>IF($A615="","",班表!$A25)</f>
        <v/>
      </c>
      <c r="D615" s="29">
        <f>IF($C615="","",班表!$B25)</f>
        <v/>
      </c>
      <c r="E615" s="29">
        <f>IF($C615="","",班表!$C25)</f>
        <v/>
      </c>
      <c r="F615" s="29">
        <f>IF($C615="","",班表!AA25)</f>
        <v/>
      </c>
      <c r="G615" s="31">
        <f>IF($F615="","",IFERROR(INDEX(設定!$D$5:$D$20,MATCH($F615,設定!$B$5:$B$20,0)),""))</f>
        <v/>
      </c>
      <c r="H615" s="31">
        <f>IF($F615="","",IFERROR(INDEX(設定!$E$5:$E$20,MATCH($F615,設定!$B$5:$B$20,0)),""))</f>
        <v/>
      </c>
      <c r="I615" s="31">
        <f>IFERROR(INDEX(打卡匯入!$C$3:$C$1002,MATCH($C615&amp;"|"&amp;DAY($A615),打卡匯入!$E$3:$E$1002,0)),"")</f>
        <v/>
      </c>
      <c r="J615" s="31">
        <f>IFERROR(INDEX(打卡匯入!$D$3:$D$1002,MATCH($C615&amp;"|"&amp;DAY($A615),打卡匯入!$E$3:$E$1002,0)),"")</f>
        <v/>
      </c>
      <c r="K615" s="32">
        <f>IF(OR($I615="",$J615=""),"",IFERROR(INDEX(設定!$F$5:$F$20,MATCH($F615,設定!$B$5:$B$20,0)),0))</f>
        <v/>
      </c>
      <c r="L615" s="33">
        <f>IF(OR($I615="",$J615=""),"",ROUND(($J615-$I615)*24-$K615/60,2))</f>
        <v/>
      </c>
      <c r="M615" s="29">
        <f>IF($C615="","",IF(AND(COUNTIF(設定!$B$14:$B$20,$F615)&gt;0,$I615&lt;&gt;""),"假日出勤",IF(AND(COUNTIF(設定!$B$5:$B$13,$F615)&gt;0,$I615=""),"未打卡",IF($I615="","",IF($N615&gt;0,"遲到",IF($O615&gt;0,"早退","正常"))))))</f>
        <v/>
      </c>
      <c r="N615" s="32">
        <f>IF(OR($C615="",$G615="",$I615=""),0,IF(ROUND(($I615-$G615)*1440,0)&gt;設定!$C$28,ROUND(($I615-$G615)*1440,0),0))</f>
        <v/>
      </c>
      <c r="O615" s="32">
        <f>IF(OR($C615="",$H615="",$J615=""),0,IF(ROUND(($H615-$J615)*1440,0)&gt;設定!$C$28,ROUND(($H615-$J615)*1440,0),0))</f>
        <v/>
      </c>
      <c r="P615" s="33">
        <f>IF($L615="",0,IF(($L615-IFERROR(INDEX(設定!$G$5:$G$20,MATCH($F615,設定!$B$5:$B$20,0)),0))*60&gt;=設定!$C$26,ROUND(FLOOR(($L615-IFERROR(INDEX(設定!$G$5:$G$20,MATCH($F615,設定!$B$5:$B$20,0)),0))*60,設定!$C$27)/60,2),0))</f>
        <v/>
      </c>
      <c r="Q615" s="29">
        <f>IF(OR($C615="",$P615=0),"",IF($F615="國","國定假日",IF($B615="日","例假",IF($B615="六","休息日","平日"))))</f>
        <v/>
      </c>
      <c r="R615" s="34" t="n"/>
    </row>
    <row r="616">
      <c r="A616" s="30">
        <f>IF(OR(班表!$A25="",25&gt;DAY(EOMONTH(DATE(班表!$E$2,班表!$G$2,1),0))),"",DATE(班表!$E$2,班表!$G$2,25))</f>
        <v/>
      </c>
      <c r="B616" s="29">
        <f>IF($A616="","",INDEX(設定!$L$5:$L$11,WEEKDAY($A616,1)))</f>
        <v/>
      </c>
      <c r="C616" s="29">
        <f>IF($A616="","",班表!$A25)</f>
        <v/>
      </c>
      <c r="D616" s="29">
        <f>IF($C616="","",班表!$B25)</f>
        <v/>
      </c>
      <c r="E616" s="29">
        <f>IF($C616="","",班表!$C25)</f>
        <v/>
      </c>
      <c r="F616" s="29">
        <f>IF($C616="","",班表!AB25)</f>
        <v/>
      </c>
      <c r="G616" s="31">
        <f>IF($F616="","",IFERROR(INDEX(設定!$D$5:$D$20,MATCH($F616,設定!$B$5:$B$20,0)),""))</f>
        <v/>
      </c>
      <c r="H616" s="31">
        <f>IF($F616="","",IFERROR(INDEX(設定!$E$5:$E$20,MATCH($F616,設定!$B$5:$B$20,0)),""))</f>
        <v/>
      </c>
      <c r="I616" s="31">
        <f>IFERROR(INDEX(打卡匯入!$C$3:$C$1002,MATCH($C616&amp;"|"&amp;DAY($A616),打卡匯入!$E$3:$E$1002,0)),"")</f>
        <v/>
      </c>
      <c r="J616" s="31">
        <f>IFERROR(INDEX(打卡匯入!$D$3:$D$1002,MATCH($C616&amp;"|"&amp;DAY($A616),打卡匯入!$E$3:$E$1002,0)),"")</f>
        <v/>
      </c>
      <c r="K616" s="32">
        <f>IF(OR($I616="",$J616=""),"",IFERROR(INDEX(設定!$F$5:$F$20,MATCH($F616,設定!$B$5:$B$20,0)),0))</f>
        <v/>
      </c>
      <c r="L616" s="33">
        <f>IF(OR($I616="",$J616=""),"",ROUND(($J616-$I616)*24-$K616/60,2))</f>
        <v/>
      </c>
      <c r="M616" s="29">
        <f>IF($C616="","",IF(AND(COUNTIF(設定!$B$14:$B$20,$F616)&gt;0,$I616&lt;&gt;""),"假日出勤",IF(AND(COUNTIF(設定!$B$5:$B$13,$F616)&gt;0,$I616=""),"未打卡",IF($I616="","",IF($N616&gt;0,"遲到",IF($O616&gt;0,"早退","正常"))))))</f>
        <v/>
      </c>
      <c r="N616" s="32">
        <f>IF(OR($C616="",$G616="",$I616=""),0,IF(ROUND(($I616-$G616)*1440,0)&gt;設定!$C$28,ROUND(($I616-$G616)*1440,0),0))</f>
        <v/>
      </c>
      <c r="O616" s="32">
        <f>IF(OR($C616="",$H616="",$J616=""),0,IF(ROUND(($H616-$J616)*1440,0)&gt;設定!$C$28,ROUND(($H616-$J616)*1440,0),0))</f>
        <v/>
      </c>
      <c r="P616" s="33">
        <f>IF($L616="",0,IF(($L616-IFERROR(INDEX(設定!$G$5:$G$20,MATCH($F616,設定!$B$5:$B$20,0)),0))*60&gt;=設定!$C$26,ROUND(FLOOR(($L616-IFERROR(INDEX(設定!$G$5:$G$20,MATCH($F616,設定!$B$5:$B$20,0)),0))*60,設定!$C$27)/60,2),0))</f>
        <v/>
      </c>
      <c r="Q616" s="29">
        <f>IF(OR($C616="",$P616=0),"",IF($F616="國","國定假日",IF($B616="日","例假",IF($B616="六","休息日","平日"))))</f>
        <v/>
      </c>
      <c r="R616" s="34" t="n"/>
    </row>
    <row r="617">
      <c r="A617" s="30">
        <f>IF(OR(班表!$A25="",26&gt;DAY(EOMONTH(DATE(班表!$E$2,班表!$G$2,1),0))),"",DATE(班表!$E$2,班表!$G$2,26))</f>
        <v/>
      </c>
      <c r="B617" s="29">
        <f>IF($A617="","",INDEX(設定!$L$5:$L$11,WEEKDAY($A617,1)))</f>
        <v/>
      </c>
      <c r="C617" s="29">
        <f>IF($A617="","",班表!$A25)</f>
        <v/>
      </c>
      <c r="D617" s="29">
        <f>IF($C617="","",班表!$B25)</f>
        <v/>
      </c>
      <c r="E617" s="29">
        <f>IF($C617="","",班表!$C25)</f>
        <v/>
      </c>
      <c r="F617" s="29">
        <f>IF($C617="","",班表!AC25)</f>
        <v/>
      </c>
      <c r="G617" s="31">
        <f>IF($F617="","",IFERROR(INDEX(設定!$D$5:$D$20,MATCH($F617,設定!$B$5:$B$20,0)),""))</f>
        <v/>
      </c>
      <c r="H617" s="31">
        <f>IF($F617="","",IFERROR(INDEX(設定!$E$5:$E$20,MATCH($F617,設定!$B$5:$B$20,0)),""))</f>
        <v/>
      </c>
      <c r="I617" s="31">
        <f>IFERROR(INDEX(打卡匯入!$C$3:$C$1002,MATCH($C617&amp;"|"&amp;DAY($A617),打卡匯入!$E$3:$E$1002,0)),"")</f>
        <v/>
      </c>
      <c r="J617" s="31">
        <f>IFERROR(INDEX(打卡匯入!$D$3:$D$1002,MATCH($C617&amp;"|"&amp;DAY($A617),打卡匯入!$E$3:$E$1002,0)),"")</f>
        <v/>
      </c>
      <c r="K617" s="32">
        <f>IF(OR($I617="",$J617=""),"",IFERROR(INDEX(設定!$F$5:$F$20,MATCH($F617,設定!$B$5:$B$20,0)),0))</f>
        <v/>
      </c>
      <c r="L617" s="33">
        <f>IF(OR($I617="",$J617=""),"",ROUND(($J617-$I617)*24-$K617/60,2))</f>
        <v/>
      </c>
      <c r="M617" s="29">
        <f>IF($C617="","",IF(AND(COUNTIF(設定!$B$14:$B$20,$F617)&gt;0,$I617&lt;&gt;""),"假日出勤",IF(AND(COUNTIF(設定!$B$5:$B$13,$F617)&gt;0,$I617=""),"未打卡",IF($I617="","",IF($N617&gt;0,"遲到",IF($O617&gt;0,"早退","正常"))))))</f>
        <v/>
      </c>
      <c r="N617" s="32">
        <f>IF(OR($C617="",$G617="",$I617=""),0,IF(ROUND(($I617-$G617)*1440,0)&gt;設定!$C$28,ROUND(($I617-$G617)*1440,0),0))</f>
        <v/>
      </c>
      <c r="O617" s="32">
        <f>IF(OR($C617="",$H617="",$J617=""),0,IF(ROUND(($H617-$J617)*1440,0)&gt;設定!$C$28,ROUND(($H617-$J617)*1440,0),0))</f>
        <v/>
      </c>
      <c r="P617" s="33">
        <f>IF($L617="",0,IF(($L617-IFERROR(INDEX(設定!$G$5:$G$20,MATCH($F617,設定!$B$5:$B$20,0)),0))*60&gt;=設定!$C$26,ROUND(FLOOR(($L617-IFERROR(INDEX(設定!$G$5:$G$20,MATCH($F617,設定!$B$5:$B$20,0)),0))*60,設定!$C$27)/60,2),0))</f>
        <v/>
      </c>
      <c r="Q617" s="29">
        <f>IF(OR($C617="",$P617=0),"",IF($F617="國","國定假日",IF($B617="日","例假",IF($B617="六","休息日","平日"))))</f>
        <v/>
      </c>
      <c r="R617" s="34" t="n"/>
    </row>
    <row r="618">
      <c r="A618" s="30">
        <f>IF(OR(班表!$A25="",27&gt;DAY(EOMONTH(DATE(班表!$E$2,班表!$G$2,1),0))),"",DATE(班表!$E$2,班表!$G$2,27))</f>
        <v/>
      </c>
      <c r="B618" s="29">
        <f>IF($A618="","",INDEX(設定!$L$5:$L$11,WEEKDAY($A618,1)))</f>
        <v/>
      </c>
      <c r="C618" s="29">
        <f>IF($A618="","",班表!$A25)</f>
        <v/>
      </c>
      <c r="D618" s="29">
        <f>IF($C618="","",班表!$B25)</f>
        <v/>
      </c>
      <c r="E618" s="29">
        <f>IF($C618="","",班表!$C25)</f>
        <v/>
      </c>
      <c r="F618" s="29">
        <f>IF($C618="","",班表!AD25)</f>
        <v/>
      </c>
      <c r="G618" s="31">
        <f>IF($F618="","",IFERROR(INDEX(設定!$D$5:$D$20,MATCH($F618,設定!$B$5:$B$20,0)),""))</f>
        <v/>
      </c>
      <c r="H618" s="31">
        <f>IF($F618="","",IFERROR(INDEX(設定!$E$5:$E$20,MATCH($F618,設定!$B$5:$B$20,0)),""))</f>
        <v/>
      </c>
      <c r="I618" s="31">
        <f>IFERROR(INDEX(打卡匯入!$C$3:$C$1002,MATCH($C618&amp;"|"&amp;DAY($A618),打卡匯入!$E$3:$E$1002,0)),"")</f>
        <v/>
      </c>
      <c r="J618" s="31">
        <f>IFERROR(INDEX(打卡匯入!$D$3:$D$1002,MATCH($C618&amp;"|"&amp;DAY($A618),打卡匯入!$E$3:$E$1002,0)),"")</f>
        <v/>
      </c>
      <c r="K618" s="32">
        <f>IF(OR($I618="",$J618=""),"",IFERROR(INDEX(設定!$F$5:$F$20,MATCH($F618,設定!$B$5:$B$20,0)),0))</f>
        <v/>
      </c>
      <c r="L618" s="33">
        <f>IF(OR($I618="",$J618=""),"",ROUND(($J618-$I618)*24-$K618/60,2))</f>
        <v/>
      </c>
      <c r="M618" s="29">
        <f>IF($C618="","",IF(AND(COUNTIF(設定!$B$14:$B$20,$F618)&gt;0,$I618&lt;&gt;""),"假日出勤",IF(AND(COUNTIF(設定!$B$5:$B$13,$F618)&gt;0,$I618=""),"未打卡",IF($I618="","",IF($N618&gt;0,"遲到",IF($O618&gt;0,"早退","正常"))))))</f>
        <v/>
      </c>
      <c r="N618" s="32">
        <f>IF(OR($C618="",$G618="",$I618=""),0,IF(ROUND(($I618-$G618)*1440,0)&gt;設定!$C$28,ROUND(($I618-$G618)*1440,0),0))</f>
        <v/>
      </c>
      <c r="O618" s="32">
        <f>IF(OR($C618="",$H618="",$J618=""),0,IF(ROUND(($H618-$J618)*1440,0)&gt;設定!$C$28,ROUND(($H618-$J618)*1440,0),0))</f>
        <v/>
      </c>
      <c r="P618" s="33">
        <f>IF($L618="",0,IF(($L618-IFERROR(INDEX(設定!$G$5:$G$20,MATCH($F618,設定!$B$5:$B$20,0)),0))*60&gt;=設定!$C$26,ROUND(FLOOR(($L618-IFERROR(INDEX(設定!$G$5:$G$20,MATCH($F618,設定!$B$5:$B$20,0)),0))*60,設定!$C$27)/60,2),0))</f>
        <v/>
      </c>
      <c r="Q618" s="29">
        <f>IF(OR($C618="",$P618=0),"",IF($F618="國","國定假日",IF($B618="日","例假",IF($B618="六","休息日","平日"))))</f>
        <v/>
      </c>
      <c r="R618" s="34" t="n"/>
    </row>
    <row r="619">
      <c r="A619" s="30">
        <f>IF(OR(班表!$A25="",28&gt;DAY(EOMONTH(DATE(班表!$E$2,班表!$G$2,1),0))),"",DATE(班表!$E$2,班表!$G$2,28))</f>
        <v/>
      </c>
      <c r="B619" s="29">
        <f>IF($A619="","",INDEX(設定!$L$5:$L$11,WEEKDAY($A619,1)))</f>
        <v/>
      </c>
      <c r="C619" s="29">
        <f>IF($A619="","",班表!$A25)</f>
        <v/>
      </c>
      <c r="D619" s="29">
        <f>IF($C619="","",班表!$B25)</f>
        <v/>
      </c>
      <c r="E619" s="29">
        <f>IF($C619="","",班表!$C25)</f>
        <v/>
      </c>
      <c r="F619" s="29">
        <f>IF($C619="","",班表!AE25)</f>
        <v/>
      </c>
      <c r="G619" s="31">
        <f>IF($F619="","",IFERROR(INDEX(設定!$D$5:$D$20,MATCH($F619,設定!$B$5:$B$20,0)),""))</f>
        <v/>
      </c>
      <c r="H619" s="31">
        <f>IF($F619="","",IFERROR(INDEX(設定!$E$5:$E$20,MATCH($F619,設定!$B$5:$B$20,0)),""))</f>
        <v/>
      </c>
      <c r="I619" s="31">
        <f>IFERROR(INDEX(打卡匯入!$C$3:$C$1002,MATCH($C619&amp;"|"&amp;DAY($A619),打卡匯入!$E$3:$E$1002,0)),"")</f>
        <v/>
      </c>
      <c r="J619" s="31">
        <f>IFERROR(INDEX(打卡匯入!$D$3:$D$1002,MATCH($C619&amp;"|"&amp;DAY($A619),打卡匯入!$E$3:$E$1002,0)),"")</f>
        <v/>
      </c>
      <c r="K619" s="32">
        <f>IF(OR($I619="",$J619=""),"",IFERROR(INDEX(設定!$F$5:$F$20,MATCH($F619,設定!$B$5:$B$20,0)),0))</f>
        <v/>
      </c>
      <c r="L619" s="33">
        <f>IF(OR($I619="",$J619=""),"",ROUND(($J619-$I619)*24-$K619/60,2))</f>
        <v/>
      </c>
      <c r="M619" s="29">
        <f>IF($C619="","",IF(AND(COUNTIF(設定!$B$14:$B$20,$F619)&gt;0,$I619&lt;&gt;""),"假日出勤",IF(AND(COUNTIF(設定!$B$5:$B$13,$F619)&gt;0,$I619=""),"未打卡",IF($I619="","",IF($N619&gt;0,"遲到",IF($O619&gt;0,"早退","正常"))))))</f>
        <v/>
      </c>
      <c r="N619" s="32">
        <f>IF(OR($C619="",$G619="",$I619=""),0,IF(ROUND(($I619-$G619)*1440,0)&gt;設定!$C$28,ROUND(($I619-$G619)*1440,0),0))</f>
        <v/>
      </c>
      <c r="O619" s="32">
        <f>IF(OR($C619="",$H619="",$J619=""),0,IF(ROUND(($H619-$J619)*1440,0)&gt;設定!$C$28,ROUND(($H619-$J619)*1440,0),0))</f>
        <v/>
      </c>
      <c r="P619" s="33">
        <f>IF($L619="",0,IF(($L619-IFERROR(INDEX(設定!$G$5:$G$20,MATCH($F619,設定!$B$5:$B$20,0)),0))*60&gt;=設定!$C$26,ROUND(FLOOR(($L619-IFERROR(INDEX(設定!$G$5:$G$20,MATCH($F619,設定!$B$5:$B$20,0)),0))*60,設定!$C$27)/60,2),0))</f>
        <v/>
      </c>
      <c r="Q619" s="29">
        <f>IF(OR($C619="",$P619=0),"",IF($F619="國","國定假日",IF($B619="日","例假",IF($B619="六","休息日","平日"))))</f>
        <v/>
      </c>
      <c r="R619" s="34" t="n"/>
    </row>
    <row r="620">
      <c r="A620" s="30">
        <f>IF(OR(班表!$A25="",29&gt;DAY(EOMONTH(DATE(班表!$E$2,班表!$G$2,1),0))),"",DATE(班表!$E$2,班表!$G$2,29))</f>
        <v/>
      </c>
      <c r="B620" s="29">
        <f>IF($A620="","",INDEX(設定!$L$5:$L$11,WEEKDAY($A620,1)))</f>
        <v/>
      </c>
      <c r="C620" s="29">
        <f>IF($A620="","",班表!$A25)</f>
        <v/>
      </c>
      <c r="D620" s="29">
        <f>IF($C620="","",班表!$B25)</f>
        <v/>
      </c>
      <c r="E620" s="29">
        <f>IF($C620="","",班表!$C25)</f>
        <v/>
      </c>
      <c r="F620" s="29">
        <f>IF($C620="","",班表!AF25)</f>
        <v/>
      </c>
      <c r="G620" s="31">
        <f>IF($F620="","",IFERROR(INDEX(設定!$D$5:$D$20,MATCH($F620,設定!$B$5:$B$20,0)),""))</f>
        <v/>
      </c>
      <c r="H620" s="31">
        <f>IF($F620="","",IFERROR(INDEX(設定!$E$5:$E$20,MATCH($F620,設定!$B$5:$B$20,0)),""))</f>
        <v/>
      </c>
      <c r="I620" s="31">
        <f>IFERROR(INDEX(打卡匯入!$C$3:$C$1002,MATCH($C620&amp;"|"&amp;DAY($A620),打卡匯入!$E$3:$E$1002,0)),"")</f>
        <v/>
      </c>
      <c r="J620" s="31">
        <f>IFERROR(INDEX(打卡匯入!$D$3:$D$1002,MATCH($C620&amp;"|"&amp;DAY($A620),打卡匯入!$E$3:$E$1002,0)),"")</f>
        <v/>
      </c>
      <c r="K620" s="32">
        <f>IF(OR($I620="",$J620=""),"",IFERROR(INDEX(設定!$F$5:$F$20,MATCH($F620,設定!$B$5:$B$20,0)),0))</f>
        <v/>
      </c>
      <c r="L620" s="33">
        <f>IF(OR($I620="",$J620=""),"",ROUND(($J620-$I620)*24-$K620/60,2))</f>
        <v/>
      </c>
      <c r="M620" s="29">
        <f>IF($C620="","",IF(AND(COUNTIF(設定!$B$14:$B$20,$F620)&gt;0,$I620&lt;&gt;""),"假日出勤",IF(AND(COUNTIF(設定!$B$5:$B$13,$F620)&gt;0,$I620=""),"未打卡",IF($I620="","",IF($N620&gt;0,"遲到",IF($O620&gt;0,"早退","正常"))))))</f>
        <v/>
      </c>
      <c r="N620" s="32">
        <f>IF(OR($C620="",$G620="",$I620=""),0,IF(ROUND(($I620-$G620)*1440,0)&gt;設定!$C$28,ROUND(($I620-$G620)*1440,0),0))</f>
        <v/>
      </c>
      <c r="O620" s="32">
        <f>IF(OR($C620="",$H620="",$J620=""),0,IF(ROUND(($H620-$J620)*1440,0)&gt;設定!$C$28,ROUND(($H620-$J620)*1440,0),0))</f>
        <v/>
      </c>
      <c r="P620" s="33">
        <f>IF($L620="",0,IF(($L620-IFERROR(INDEX(設定!$G$5:$G$20,MATCH($F620,設定!$B$5:$B$20,0)),0))*60&gt;=設定!$C$26,ROUND(FLOOR(($L620-IFERROR(INDEX(設定!$G$5:$G$20,MATCH($F620,設定!$B$5:$B$20,0)),0))*60,設定!$C$27)/60,2),0))</f>
        <v/>
      </c>
      <c r="Q620" s="29">
        <f>IF(OR($C620="",$P620=0),"",IF($F620="國","國定假日",IF($B620="日","例假",IF($B620="六","休息日","平日"))))</f>
        <v/>
      </c>
      <c r="R620" s="34" t="n"/>
    </row>
    <row r="621">
      <c r="A621" s="30">
        <f>IF(OR(班表!$A25="",30&gt;DAY(EOMONTH(DATE(班表!$E$2,班表!$G$2,1),0))),"",DATE(班表!$E$2,班表!$G$2,30))</f>
        <v/>
      </c>
      <c r="B621" s="29">
        <f>IF($A621="","",INDEX(設定!$L$5:$L$11,WEEKDAY($A621,1)))</f>
        <v/>
      </c>
      <c r="C621" s="29">
        <f>IF($A621="","",班表!$A25)</f>
        <v/>
      </c>
      <c r="D621" s="29">
        <f>IF($C621="","",班表!$B25)</f>
        <v/>
      </c>
      <c r="E621" s="29">
        <f>IF($C621="","",班表!$C25)</f>
        <v/>
      </c>
      <c r="F621" s="29">
        <f>IF($C621="","",班表!AG25)</f>
        <v/>
      </c>
      <c r="G621" s="31">
        <f>IF($F621="","",IFERROR(INDEX(設定!$D$5:$D$20,MATCH($F621,設定!$B$5:$B$20,0)),""))</f>
        <v/>
      </c>
      <c r="H621" s="31">
        <f>IF($F621="","",IFERROR(INDEX(設定!$E$5:$E$20,MATCH($F621,設定!$B$5:$B$20,0)),""))</f>
        <v/>
      </c>
      <c r="I621" s="31">
        <f>IFERROR(INDEX(打卡匯入!$C$3:$C$1002,MATCH($C621&amp;"|"&amp;DAY($A621),打卡匯入!$E$3:$E$1002,0)),"")</f>
        <v/>
      </c>
      <c r="J621" s="31">
        <f>IFERROR(INDEX(打卡匯入!$D$3:$D$1002,MATCH($C621&amp;"|"&amp;DAY($A621),打卡匯入!$E$3:$E$1002,0)),"")</f>
        <v/>
      </c>
      <c r="K621" s="32">
        <f>IF(OR($I621="",$J621=""),"",IFERROR(INDEX(設定!$F$5:$F$20,MATCH($F621,設定!$B$5:$B$20,0)),0))</f>
        <v/>
      </c>
      <c r="L621" s="33">
        <f>IF(OR($I621="",$J621=""),"",ROUND(($J621-$I621)*24-$K621/60,2))</f>
        <v/>
      </c>
      <c r="M621" s="29">
        <f>IF($C621="","",IF(AND(COUNTIF(設定!$B$14:$B$20,$F621)&gt;0,$I621&lt;&gt;""),"假日出勤",IF(AND(COUNTIF(設定!$B$5:$B$13,$F621)&gt;0,$I621=""),"未打卡",IF($I621="","",IF($N621&gt;0,"遲到",IF($O621&gt;0,"早退","正常"))))))</f>
        <v/>
      </c>
      <c r="N621" s="32">
        <f>IF(OR($C621="",$G621="",$I621=""),0,IF(ROUND(($I621-$G621)*1440,0)&gt;設定!$C$28,ROUND(($I621-$G621)*1440,0),0))</f>
        <v/>
      </c>
      <c r="O621" s="32">
        <f>IF(OR($C621="",$H621="",$J621=""),0,IF(ROUND(($H621-$J621)*1440,0)&gt;設定!$C$28,ROUND(($H621-$J621)*1440,0),0))</f>
        <v/>
      </c>
      <c r="P621" s="33">
        <f>IF($L621="",0,IF(($L621-IFERROR(INDEX(設定!$G$5:$G$20,MATCH($F621,設定!$B$5:$B$20,0)),0))*60&gt;=設定!$C$26,ROUND(FLOOR(($L621-IFERROR(INDEX(設定!$G$5:$G$20,MATCH($F621,設定!$B$5:$B$20,0)),0))*60,設定!$C$27)/60,2),0))</f>
        <v/>
      </c>
      <c r="Q621" s="29">
        <f>IF(OR($C621="",$P621=0),"",IF($F621="國","國定假日",IF($B621="日","例假",IF($B621="六","休息日","平日"))))</f>
        <v/>
      </c>
      <c r="R621" s="34" t="n"/>
    </row>
    <row r="622">
      <c r="A622" s="30">
        <f>IF(OR(班表!$A25="",31&gt;DAY(EOMONTH(DATE(班表!$E$2,班表!$G$2,1),0))),"",DATE(班表!$E$2,班表!$G$2,31))</f>
        <v/>
      </c>
      <c r="B622" s="29">
        <f>IF($A622="","",INDEX(設定!$L$5:$L$11,WEEKDAY($A622,1)))</f>
        <v/>
      </c>
      <c r="C622" s="29">
        <f>IF($A622="","",班表!$A25)</f>
        <v/>
      </c>
      <c r="D622" s="29">
        <f>IF($C622="","",班表!$B25)</f>
        <v/>
      </c>
      <c r="E622" s="29">
        <f>IF($C622="","",班表!$C25)</f>
        <v/>
      </c>
      <c r="F622" s="29">
        <f>IF($C622="","",班表!AH25)</f>
        <v/>
      </c>
      <c r="G622" s="31">
        <f>IF($F622="","",IFERROR(INDEX(設定!$D$5:$D$20,MATCH($F622,設定!$B$5:$B$20,0)),""))</f>
        <v/>
      </c>
      <c r="H622" s="31">
        <f>IF($F622="","",IFERROR(INDEX(設定!$E$5:$E$20,MATCH($F622,設定!$B$5:$B$20,0)),""))</f>
        <v/>
      </c>
      <c r="I622" s="31">
        <f>IFERROR(INDEX(打卡匯入!$C$3:$C$1002,MATCH($C622&amp;"|"&amp;DAY($A622),打卡匯入!$E$3:$E$1002,0)),"")</f>
        <v/>
      </c>
      <c r="J622" s="31">
        <f>IFERROR(INDEX(打卡匯入!$D$3:$D$1002,MATCH($C622&amp;"|"&amp;DAY($A622),打卡匯入!$E$3:$E$1002,0)),"")</f>
        <v/>
      </c>
      <c r="K622" s="32">
        <f>IF(OR($I622="",$J622=""),"",IFERROR(INDEX(設定!$F$5:$F$20,MATCH($F622,設定!$B$5:$B$20,0)),0))</f>
        <v/>
      </c>
      <c r="L622" s="33">
        <f>IF(OR($I622="",$J622=""),"",ROUND(($J622-$I622)*24-$K622/60,2))</f>
        <v/>
      </c>
      <c r="M622" s="29">
        <f>IF($C622="","",IF(AND(COUNTIF(設定!$B$14:$B$20,$F622)&gt;0,$I622&lt;&gt;""),"假日出勤",IF(AND(COUNTIF(設定!$B$5:$B$13,$F622)&gt;0,$I622=""),"未打卡",IF($I622="","",IF($N622&gt;0,"遲到",IF($O622&gt;0,"早退","正常"))))))</f>
        <v/>
      </c>
      <c r="N622" s="32">
        <f>IF(OR($C622="",$G622="",$I622=""),0,IF(ROUND(($I622-$G622)*1440,0)&gt;設定!$C$28,ROUND(($I622-$G622)*1440,0),0))</f>
        <v/>
      </c>
      <c r="O622" s="32">
        <f>IF(OR($C622="",$H622="",$J622=""),0,IF(ROUND(($H622-$J622)*1440,0)&gt;設定!$C$28,ROUND(($H622-$J622)*1440,0),0))</f>
        <v/>
      </c>
      <c r="P622" s="33">
        <f>IF($L622="",0,IF(($L622-IFERROR(INDEX(設定!$G$5:$G$20,MATCH($F622,設定!$B$5:$B$20,0)),0))*60&gt;=設定!$C$26,ROUND(FLOOR(($L622-IFERROR(INDEX(設定!$G$5:$G$20,MATCH($F622,設定!$B$5:$B$20,0)),0))*60,設定!$C$27)/60,2),0))</f>
        <v/>
      </c>
      <c r="Q622" s="29">
        <f>IF(OR($C622="",$P622=0),"",IF($F622="國","國定假日",IF($B622="日","例假",IF($B622="六","休息日","平日"))))</f>
        <v/>
      </c>
      <c r="R622" s="34" t="n"/>
    </row>
    <row r="623">
      <c r="A623" s="30">
        <f>IF(OR(班表!$A26="",1&gt;DAY(EOMONTH(DATE(班表!$E$2,班表!$G$2,1),0))),"",DATE(班表!$E$2,班表!$G$2,1))</f>
        <v/>
      </c>
      <c r="B623" s="29">
        <f>IF($A623="","",INDEX(設定!$L$5:$L$11,WEEKDAY($A623,1)))</f>
        <v/>
      </c>
      <c r="C623" s="29">
        <f>IF($A623="","",班表!$A26)</f>
        <v/>
      </c>
      <c r="D623" s="29">
        <f>IF($C623="","",班表!$B26)</f>
        <v/>
      </c>
      <c r="E623" s="29">
        <f>IF($C623="","",班表!$C26)</f>
        <v/>
      </c>
      <c r="F623" s="29">
        <f>IF($C623="","",班表!D26)</f>
        <v/>
      </c>
      <c r="G623" s="31">
        <f>IF($F623="","",IFERROR(INDEX(設定!$D$5:$D$20,MATCH($F623,設定!$B$5:$B$20,0)),""))</f>
        <v/>
      </c>
      <c r="H623" s="31">
        <f>IF($F623="","",IFERROR(INDEX(設定!$E$5:$E$20,MATCH($F623,設定!$B$5:$B$20,0)),""))</f>
        <v/>
      </c>
      <c r="I623" s="31">
        <f>IFERROR(INDEX(打卡匯入!$C$3:$C$1002,MATCH($C623&amp;"|"&amp;DAY($A623),打卡匯入!$E$3:$E$1002,0)),"")</f>
        <v/>
      </c>
      <c r="J623" s="31">
        <f>IFERROR(INDEX(打卡匯入!$D$3:$D$1002,MATCH($C623&amp;"|"&amp;DAY($A623),打卡匯入!$E$3:$E$1002,0)),"")</f>
        <v/>
      </c>
      <c r="K623" s="32">
        <f>IF(OR($I623="",$J623=""),"",IFERROR(INDEX(設定!$F$5:$F$20,MATCH($F623,設定!$B$5:$B$20,0)),0))</f>
        <v/>
      </c>
      <c r="L623" s="33">
        <f>IF(OR($I623="",$J623=""),"",ROUND(($J623-$I623)*24-$K623/60,2))</f>
        <v/>
      </c>
      <c r="M623" s="29">
        <f>IF($C623="","",IF(AND(COUNTIF(設定!$B$14:$B$20,$F623)&gt;0,$I623&lt;&gt;""),"假日出勤",IF(AND(COUNTIF(設定!$B$5:$B$13,$F623)&gt;0,$I623=""),"未打卡",IF($I623="","",IF($N623&gt;0,"遲到",IF($O623&gt;0,"早退","正常"))))))</f>
        <v/>
      </c>
      <c r="N623" s="32">
        <f>IF(OR($C623="",$G623="",$I623=""),0,IF(ROUND(($I623-$G623)*1440,0)&gt;設定!$C$28,ROUND(($I623-$G623)*1440,0),0))</f>
        <v/>
      </c>
      <c r="O623" s="32">
        <f>IF(OR($C623="",$H623="",$J623=""),0,IF(ROUND(($H623-$J623)*1440,0)&gt;設定!$C$28,ROUND(($H623-$J623)*1440,0),0))</f>
        <v/>
      </c>
      <c r="P623" s="33">
        <f>IF($L623="",0,IF(($L623-IFERROR(INDEX(設定!$G$5:$G$20,MATCH($F623,設定!$B$5:$B$20,0)),0))*60&gt;=設定!$C$26,ROUND(FLOOR(($L623-IFERROR(INDEX(設定!$G$5:$G$20,MATCH($F623,設定!$B$5:$B$20,0)),0))*60,設定!$C$27)/60,2),0))</f>
        <v/>
      </c>
      <c r="Q623" s="29">
        <f>IF(OR($C623="",$P623=0),"",IF($F623="國","國定假日",IF($B623="日","例假",IF($B623="六","休息日","平日"))))</f>
        <v/>
      </c>
      <c r="R623" s="34" t="n"/>
    </row>
    <row r="624">
      <c r="A624" s="30">
        <f>IF(OR(班表!$A26="",2&gt;DAY(EOMONTH(DATE(班表!$E$2,班表!$G$2,1),0))),"",DATE(班表!$E$2,班表!$G$2,2))</f>
        <v/>
      </c>
      <c r="B624" s="29">
        <f>IF($A624="","",INDEX(設定!$L$5:$L$11,WEEKDAY($A624,1)))</f>
        <v/>
      </c>
      <c r="C624" s="29">
        <f>IF($A624="","",班表!$A26)</f>
        <v/>
      </c>
      <c r="D624" s="29">
        <f>IF($C624="","",班表!$B26)</f>
        <v/>
      </c>
      <c r="E624" s="29">
        <f>IF($C624="","",班表!$C26)</f>
        <v/>
      </c>
      <c r="F624" s="29">
        <f>IF($C624="","",班表!E26)</f>
        <v/>
      </c>
      <c r="G624" s="31">
        <f>IF($F624="","",IFERROR(INDEX(設定!$D$5:$D$20,MATCH($F624,設定!$B$5:$B$20,0)),""))</f>
        <v/>
      </c>
      <c r="H624" s="31">
        <f>IF($F624="","",IFERROR(INDEX(設定!$E$5:$E$20,MATCH($F624,設定!$B$5:$B$20,0)),""))</f>
        <v/>
      </c>
      <c r="I624" s="31">
        <f>IFERROR(INDEX(打卡匯入!$C$3:$C$1002,MATCH($C624&amp;"|"&amp;DAY($A624),打卡匯入!$E$3:$E$1002,0)),"")</f>
        <v/>
      </c>
      <c r="J624" s="31">
        <f>IFERROR(INDEX(打卡匯入!$D$3:$D$1002,MATCH($C624&amp;"|"&amp;DAY($A624),打卡匯入!$E$3:$E$1002,0)),"")</f>
        <v/>
      </c>
      <c r="K624" s="32">
        <f>IF(OR($I624="",$J624=""),"",IFERROR(INDEX(設定!$F$5:$F$20,MATCH($F624,設定!$B$5:$B$20,0)),0))</f>
        <v/>
      </c>
      <c r="L624" s="33">
        <f>IF(OR($I624="",$J624=""),"",ROUND(($J624-$I624)*24-$K624/60,2))</f>
        <v/>
      </c>
      <c r="M624" s="29">
        <f>IF($C624="","",IF(AND(COUNTIF(設定!$B$14:$B$20,$F624)&gt;0,$I624&lt;&gt;""),"假日出勤",IF(AND(COUNTIF(設定!$B$5:$B$13,$F624)&gt;0,$I624=""),"未打卡",IF($I624="","",IF($N624&gt;0,"遲到",IF($O624&gt;0,"早退","正常"))))))</f>
        <v/>
      </c>
      <c r="N624" s="32">
        <f>IF(OR($C624="",$G624="",$I624=""),0,IF(ROUND(($I624-$G624)*1440,0)&gt;設定!$C$28,ROUND(($I624-$G624)*1440,0),0))</f>
        <v/>
      </c>
      <c r="O624" s="32">
        <f>IF(OR($C624="",$H624="",$J624=""),0,IF(ROUND(($H624-$J624)*1440,0)&gt;設定!$C$28,ROUND(($H624-$J624)*1440,0),0))</f>
        <v/>
      </c>
      <c r="P624" s="33">
        <f>IF($L624="",0,IF(($L624-IFERROR(INDEX(設定!$G$5:$G$20,MATCH($F624,設定!$B$5:$B$20,0)),0))*60&gt;=設定!$C$26,ROUND(FLOOR(($L624-IFERROR(INDEX(設定!$G$5:$G$20,MATCH($F624,設定!$B$5:$B$20,0)),0))*60,設定!$C$27)/60,2),0))</f>
        <v/>
      </c>
      <c r="Q624" s="29">
        <f>IF(OR($C624="",$P624=0),"",IF($F624="國","國定假日",IF($B624="日","例假",IF($B624="六","休息日","平日"))))</f>
        <v/>
      </c>
      <c r="R624" s="34" t="n"/>
    </row>
    <row r="625">
      <c r="A625" s="30">
        <f>IF(OR(班表!$A26="",3&gt;DAY(EOMONTH(DATE(班表!$E$2,班表!$G$2,1),0))),"",DATE(班表!$E$2,班表!$G$2,3))</f>
        <v/>
      </c>
      <c r="B625" s="29">
        <f>IF($A625="","",INDEX(設定!$L$5:$L$11,WEEKDAY($A625,1)))</f>
        <v/>
      </c>
      <c r="C625" s="29">
        <f>IF($A625="","",班表!$A26)</f>
        <v/>
      </c>
      <c r="D625" s="29">
        <f>IF($C625="","",班表!$B26)</f>
        <v/>
      </c>
      <c r="E625" s="29">
        <f>IF($C625="","",班表!$C26)</f>
        <v/>
      </c>
      <c r="F625" s="29">
        <f>IF($C625="","",班表!F26)</f>
        <v/>
      </c>
      <c r="G625" s="31">
        <f>IF($F625="","",IFERROR(INDEX(設定!$D$5:$D$20,MATCH($F625,設定!$B$5:$B$20,0)),""))</f>
        <v/>
      </c>
      <c r="H625" s="31">
        <f>IF($F625="","",IFERROR(INDEX(設定!$E$5:$E$20,MATCH($F625,設定!$B$5:$B$20,0)),""))</f>
        <v/>
      </c>
      <c r="I625" s="31">
        <f>IFERROR(INDEX(打卡匯入!$C$3:$C$1002,MATCH($C625&amp;"|"&amp;DAY($A625),打卡匯入!$E$3:$E$1002,0)),"")</f>
        <v/>
      </c>
      <c r="J625" s="31">
        <f>IFERROR(INDEX(打卡匯入!$D$3:$D$1002,MATCH($C625&amp;"|"&amp;DAY($A625),打卡匯入!$E$3:$E$1002,0)),"")</f>
        <v/>
      </c>
      <c r="K625" s="32">
        <f>IF(OR($I625="",$J625=""),"",IFERROR(INDEX(設定!$F$5:$F$20,MATCH($F625,設定!$B$5:$B$20,0)),0))</f>
        <v/>
      </c>
      <c r="L625" s="33">
        <f>IF(OR($I625="",$J625=""),"",ROUND(($J625-$I625)*24-$K625/60,2))</f>
        <v/>
      </c>
      <c r="M625" s="29">
        <f>IF($C625="","",IF(AND(COUNTIF(設定!$B$14:$B$20,$F625)&gt;0,$I625&lt;&gt;""),"假日出勤",IF(AND(COUNTIF(設定!$B$5:$B$13,$F625)&gt;0,$I625=""),"未打卡",IF($I625="","",IF($N625&gt;0,"遲到",IF($O625&gt;0,"早退","正常"))))))</f>
        <v/>
      </c>
      <c r="N625" s="32">
        <f>IF(OR($C625="",$G625="",$I625=""),0,IF(ROUND(($I625-$G625)*1440,0)&gt;設定!$C$28,ROUND(($I625-$G625)*1440,0),0))</f>
        <v/>
      </c>
      <c r="O625" s="32">
        <f>IF(OR($C625="",$H625="",$J625=""),0,IF(ROUND(($H625-$J625)*1440,0)&gt;設定!$C$28,ROUND(($H625-$J625)*1440,0),0))</f>
        <v/>
      </c>
      <c r="P625" s="33">
        <f>IF($L625="",0,IF(($L625-IFERROR(INDEX(設定!$G$5:$G$20,MATCH($F625,設定!$B$5:$B$20,0)),0))*60&gt;=設定!$C$26,ROUND(FLOOR(($L625-IFERROR(INDEX(設定!$G$5:$G$20,MATCH($F625,設定!$B$5:$B$20,0)),0))*60,設定!$C$27)/60,2),0))</f>
        <v/>
      </c>
      <c r="Q625" s="29">
        <f>IF(OR($C625="",$P625=0),"",IF($F625="國","國定假日",IF($B625="日","例假",IF($B625="六","休息日","平日"))))</f>
        <v/>
      </c>
      <c r="R625" s="34" t="n"/>
    </row>
    <row r="626">
      <c r="A626" s="30">
        <f>IF(OR(班表!$A26="",4&gt;DAY(EOMONTH(DATE(班表!$E$2,班表!$G$2,1),0))),"",DATE(班表!$E$2,班表!$G$2,4))</f>
        <v/>
      </c>
      <c r="B626" s="29">
        <f>IF($A626="","",INDEX(設定!$L$5:$L$11,WEEKDAY($A626,1)))</f>
        <v/>
      </c>
      <c r="C626" s="29">
        <f>IF($A626="","",班表!$A26)</f>
        <v/>
      </c>
      <c r="D626" s="29">
        <f>IF($C626="","",班表!$B26)</f>
        <v/>
      </c>
      <c r="E626" s="29">
        <f>IF($C626="","",班表!$C26)</f>
        <v/>
      </c>
      <c r="F626" s="29">
        <f>IF($C626="","",班表!G26)</f>
        <v/>
      </c>
      <c r="G626" s="31">
        <f>IF($F626="","",IFERROR(INDEX(設定!$D$5:$D$20,MATCH($F626,設定!$B$5:$B$20,0)),""))</f>
        <v/>
      </c>
      <c r="H626" s="31">
        <f>IF($F626="","",IFERROR(INDEX(設定!$E$5:$E$20,MATCH($F626,設定!$B$5:$B$20,0)),""))</f>
        <v/>
      </c>
      <c r="I626" s="31">
        <f>IFERROR(INDEX(打卡匯入!$C$3:$C$1002,MATCH($C626&amp;"|"&amp;DAY($A626),打卡匯入!$E$3:$E$1002,0)),"")</f>
        <v/>
      </c>
      <c r="J626" s="31">
        <f>IFERROR(INDEX(打卡匯入!$D$3:$D$1002,MATCH($C626&amp;"|"&amp;DAY($A626),打卡匯入!$E$3:$E$1002,0)),"")</f>
        <v/>
      </c>
      <c r="K626" s="32">
        <f>IF(OR($I626="",$J626=""),"",IFERROR(INDEX(設定!$F$5:$F$20,MATCH($F626,設定!$B$5:$B$20,0)),0))</f>
        <v/>
      </c>
      <c r="L626" s="33">
        <f>IF(OR($I626="",$J626=""),"",ROUND(($J626-$I626)*24-$K626/60,2))</f>
        <v/>
      </c>
      <c r="M626" s="29">
        <f>IF($C626="","",IF(AND(COUNTIF(設定!$B$14:$B$20,$F626)&gt;0,$I626&lt;&gt;""),"假日出勤",IF(AND(COUNTIF(設定!$B$5:$B$13,$F626)&gt;0,$I626=""),"未打卡",IF($I626="","",IF($N626&gt;0,"遲到",IF($O626&gt;0,"早退","正常"))))))</f>
        <v/>
      </c>
      <c r="N626" s="32">
        <f>IF(OR($C626="",$G626="",$I626=""),0,IF(ROUND(($I626-$G626)*1440,0)&gt;設定!$C$28,ROUND(($I626-$G626)*1440,0),0))</f>
        <v/>
      </c>
      <c r="O626" s="32">
        <f>IF(OR($C626="",$H626="",$J626=""),0,IF(ROUND(($H626-$J626)*1440,0)&gt;設定!$C$28,ROUND(($H626-$J626)*1440,0),0))</f>
        <v/>
      </c>
      <c r="P626" s="33">
        <f>IF($L626="",0,IF(($L626-IFERROR(INDEX(設定!$G$5:$G$20,MATCH($F626,設定!$B$5:$B$20,0)),0))*60&gt;=設定!$C$26,ROUND(FLOOR(($L626-IFERROR(INDEX(設定!$G$5:$G$20,MATCH($F626,設定!$B$5:$B$20,0)),0))*60,設定!$C$27)/60,2),0))</f>
        <v/>
      </c>
      <c r="Q626" s="29">
        <f>IF(OR($C626="",$P626=0),"",IF($F626="國","國定假日",IF($B626="日","例假",IF($B626="六","休息日","平日"))))</f>
        <v/>
      </c>
      <c r="R626" s="34" t="n"/>
    </row>
    <row r="627">
      <c r="A627" s="30">
        <f>IF(OR(班表!$A26="",5&gt;DAY(EOMONTH(DATE(班表!$E$2,班表!$G$2,1),0))),"",DATE(班表!$E$2,班表!$G$2,5))</f>
        <v/>
      </c>
      <c r="B627" s="29">
        <f>IF($A627="","",INDEX(設定!$L$5:$L$11,WEEKDAY($A627,1)))</f>
        <v/>
      </c>
      <c r="C627" s="29">
        <f>IF($A627="","",班表!$A26)</f>
        <v/>
      </c>
      <c r="D627" s="29">
        <f>IF($C627="","",班表!$B26)</f>
        <v/>
      </c>
      <c r="E627" s="29">
        <f>IF($C627="","",班表!$C26)</f>
        <v/>
      </c>
      <c r="F627" s="29">
        <f>IF($C627="","",班表!H26)</f>
        <v/>
      </c>
      <c r="G627" s="31">
        <f>IF($F627="","",IFERROR(INDEX(設定!$D$5:$D$20,MATCH($F627,設定!$B$5:$B$20,0)),""))</f>
        <v/>
      </c>
      <c r="H627" s="31">
        <f>IF($F627="","",IFERROR(INDEX(設定!$E$5:$E$20,MATCH($F627,設定!$B$5:$B$20,0)),""))</f>
        <v/>
      </c>
      <c r="I627" s="31">
        <f>IFERROR(INDEX(打卡匯入!$C$3:$C$1002,MATCH($C627&amp;"|"&amp;DAY($A627),打卡匯入!$E$3:$E$1002,0)),"")</f>
        <v/>
      </c>
      <c r="J627" s="31">
        <f>IFERROR(INDEX(打卡匯入!$D$3:$D$1002,MATCH($C627&amp;"|"&amp;DAY($A627),打卡匯入!$E$3:$E$1002,0)),"")</f>
        <v/>
      </c>
      <c r="K627" s="32">
        <f>IF(OR($I627="",$J627=""),"",IFERROR(INDEX(設定!$F$5:$F$20,MATCH($F627,設定!$B$5:$B$20,0)),0))</f>
        <v/>
      </c>
      <c r="L627" s="33">
        <f>IF(OR($I627="",$J627=""),"",ROUND(($J627-$I627)*24-$K627/60,2))</f>
        <v/>
      </c>
      <c r="M627" s="29">
        <f>IF($C627="","",IF(AND(COUNTIF(設定!$B$14:$B$20,$F627)&gt;0,$I627&lt;&gt;""),"假日出勤",IF(AND(COUNTIF(設定!$B$5:$B$13,$F627)&gt;0,$I627=""),"未打卡",IF($I627="","",IF($N627&gt;0,"遲到",IF($O627&gt;0,"早退","正常"))))))</f>
        <v/>
      </c>
      <c r="N627" s="32">
        <f>IF(OR($C627="",$G627="",$I627=""),0,IF(ROUND(($I627-$G627)*1440,0)&gt;設定!$C$28,ROUND(($I627-$G627)*1440,0),0))</f>
        <v/>
      </c>
      <c r="O627" s="32">
        <f>IF(OR($C627="",$H627="",$J627=""),0,IF(ROUND(($H627-$J627)*1440,0)&gt;設定!$C$28,ROUND(($H627-$J627)*1440,0),0))</f>
        <v/>
      </c>
      <c r="P627" s="33">
        <f>IF($L627="",0,IF(($L627-IFERROR(INDEX(設定!$G$5:$G$20,MATCH($F627,設定!$B$5:$B$20,0)),0))*60&gt;=設定!$C$26,ROUND(FLOOR(($L627-IFERROR(INDEX(設定!$G$5:$G$20,MATCH($F627,設定!$B$5:$B$20,0)),0))*60,設定!$C$27)/60,2),0))</f>
        <v/>
      </c>
      <c r="Q627" s="29">
        <f>IF(OR($C627="",$P627=0),"",IF($F627="國","國定假日",IF($B627="日","例假",IF($B627="六","休息日","平日"))))</f>
        <v/>
      </c>
      <c r="R627" s="34" t="n"/>
    </row>
    <row r="628">
      <c r="A628" s="30">
        <f>IF(OR(班表!$A26="",6&gt;DAY(EOMONTH(DATE(班表!$E$2,班表!$G$2,1),0))),"",DATE(班表!$E$2,班表!$G$2,6))</f>
        <v/>
      </c>
      <c r="B628" s="29">
        <f>IF($A628="","",INDEX(設定!$L$5:$L$11,WEEKDAY($A628,1)))</f>
        <v/>
      </c>
      <c r="C628" s="29">
        <f>IF($A628="","",班表!$A26)</f>
        <v/>
      </c>
      <c r="D628" s="29">
        <f>IF($C628="","",班表!$B26)</f>
        <v/>
      </c>
      <c r="E628" s="29">
        <f>IF($C628="","",班表!$C26)</f>
        <v/>
      </c>
      <c r="F628" s="29">
        <f>IF($C628="","",班表!I26)</f>
        <v/>
      </c>
      <c r="G628" s="31">
        <f>IF($F628="","",IFERROR(INDEX(設定!$D$5:$D$20,MATCH($F628,設定!$B$5:$B$20,0)),""))</f>
        <v/>
      </c>
      <c r="H628" s="31">
        <f>IF($F628="","",IFERROR(INDEX(設定!$E$5:$E$20,MATCH($F628,設定!$B$5:$B$20,0)),""))</f>
        <v/>
      </c>
      <c r="I628" s="31">
        <f>IFERROR(INDEX(打卡匯入!$C$3:$C$1002,MATCH($C628&amp;"|"&amp;DAY($A628),打卡匯入!$E$3:$E$1002,0)),"")</f>
        <v/>
      </c>
      <c r="J628" s="31">
        <f>IFERROR(INDEX(打卡匯入!$D$3:$D$1002,MATCH($C628&amp;"|"&amp;DAY($A628),打卡匯入!$E$3:$E$1002,0)),"")</f>
        <v/>
      </c>
      <c r="K628" s="32">
        <f>IF(OR($I628="",$J628=""),"",IFERROR(INDEX(設定!$F$5:$F$20,MATCH($F628,設定!$B$5:$B$20,0)),0))</f>
        <v/>
      </c>
      <c r="L628" s="33">
        <f>IF(OR($I628="",$J628=""),"",ROUND(($J628-$I628)*24-$K628/60,2))</f>
        <v/>
      </c>
      <c r="M628" s="29">
        <f>IF($C628="","",IF(AND(COUNTIF(設定!$B$14:$B$20,$F628)&gt;0,$I628&lt;&gt;""),"假日出勤",IF(AND(COUNTIF(設定!$B$5:$B$13,$F628)&gt;0,$I628=""),"未打卡",IF($I628="","",IF($N628&gt;0,"遲到",IF($O628&gt;0,"早退","正常"))))))</f>
        <v/>
      </c>
      <c r="N628" s="32">
        <f>IF(OR($C628="",$G628="",$I628=""),0,IF(ROUND(($I628-$G628)*1440,0)&gt;設定!$C$28,ROUND(($I628-$G628)*1440,0),0))</f>
        <v/>
      </c>
      <c r="O628" s="32">
        <f>IF(OR($C628="",$H628="",$J628=""),0,IF(ROUND(($H628-$J628)*1440,0)&gt;設定!$C$28,ROUND(($H628-$J628)*1440,0),0))</f>
        <v/>
      </c>
      <c r="P628" s="33">
        <f>IF($L628="",0,IF(($L628-IFERROR(INDEX(設定!$G$5:$G$20,MATCH($F628,設定!$B$5:$B$20,0)),0))*60&gt;=設定!$C$26,ROUND(FLOOR(($L628-IFERROR(INDEX(設定!$G$5:$G$20,MATCH($F628,設定!$B$5:$B$20,0)),0))*60,設定!$C$27)/60,2),0))</f>
        <v/>
      </c>
      <c r="Q628" s="29">
        <f>IF(OR($C628="",$P628=0),"",IF($F628="國","國定假日",IF($B628="日","例假",IF($B628="六","休息日","平日"))))</f>
        <v/>
      </c>
      <c r="R628" s="34" t="n"/>
    </row>
    <row r="629">
      <c r="A629" s="30">
        <f>IF(OR(班表!$A26="",7&gt;DAY(EOMONTH(DATE(班表!$E$2,班表!$G$2,1),0))),"",DATE(班表!$E$2,班表!$G$2,7))</f>
        <v/>
      </c>
      <c r="B629" s="29">
        <f>IF($A629="","",INDEX(設定!$L$5:$L$11,WEEKDAY($A629,1)))</f>
        <v/>
      </c>
      <c r="C629" s="29">
        <f>IF($A629="","",班表!$A26)</f>
        <v/>
      </c>
      <c r="D629" s="29">
        <f>IF($C629="","",班表!$B26)</f>
        <v/>
      </c>
      <c r="E629" s="29">
        <f>IF($C629="","",班表!$C26)</f>
        <v/>
      </c>
      <c r="F629" s="29">
        <f>IF($C629="","",班表!J26)</f>
        <v/>
      </c>
      <c r="G629" s="31">
        <f>IF($F629="","",IFERROR(INDEX(設定!$D$5:$D$20,MATCH($F629,設定!$B$5:$B$20,0)),""))</f>
        <v/>
      </c>
      <c r="H629" s="31">
        <f>IF($F629="","",IFERROR(INDEX(設定!$E$5:$E$20,MATCH($F629,設定!$B$5:$B$20,0)),""))</f>
        <v/>
      </c>
      <c r="I629" s="31">
        <f>IFERROR(INDEX(打卡匯入!$C$3:$C$1002,MATCH($C629&amp;"|"&amp;DAY($A629),打卡匯入!$E$3:$E$1002,0)),"")</f>
        <v/>
      </c>
      <c r="J629" s="31">
        <f>IFERROR(INDEX(打卡匯入!$D$3:$D$1002,MATCH($C629&amp;"|"&amp;DAY($A629),打卡匯入!$E$3:$E$1002,0)),"")</f>
        <v/>
      </c>
      <c r="K629" s="32">
        <f>IF(OR($I629="",$J629=""),"",IFERROR(INDEX(設定!$F$5:$F$20,MATCH($F629,設定!$B$5:$B$20,0)),0))</f>
        <v/>
      </c>
      <c r="L629" s="33">
        <f>IF(OR($I629="",$J629=""),"",ROUND(($J629-$I629)*24-$K629/60,2))</f>
        <v/>
      </c>
      <c r="M629" s="29">
        <f>IF($C629="","",IF(AND(COUNTIF(設定!$B$14:$B$20,$F629)&gt;0,$I629&lt;&gt;""),"假日出勤",IF(AND(COUNTIF(設定!$B$5:$B$13,$F629)&gt;0,$I629=""),"未打卡",IF($I629="","",IF($N629&gt;0,"遲到",IF($O629&gt;0,"早退","正常"))))))</f>
        <v/>
      </c>
      <c r="N629" s="32">
        <f>IF(OR($C629="",$G629="",$I629=""),0,IF(ROUND(($I629-$G629)*1440,0)&gt;設定!$C$28,ROUND(($I629-$G629)*1440,0),0))</f>
        <v/>
      </c>
      <c r="O629" s="32">
        <f>IF(OR($C629="",$H629="",$J629=""),0,IF(ROUND(($H629-$J629)*1440,0)&gt;設定!$C$28,ROUND(($H629-$J629)*1440,0),0))</f>
        <v/>
      </c>
      <c r="P629" s="33">
        <f>IF($L629="",0,IF(($L629-IFERROR(INDEX(設定!$G$5:$G$20,MATCH($F629,設定!$B$5:$B$20,0)),0))*60&gt;=設定!$C$26,ROUND(FLOOR(($L629-IFERROR(INDEX(設定!$G$5:$G$20,MATCH($F629,設定!$B$5:$B$20,0)),0))*60,設定!$C$27)/60,2),0))</f>
        <v/>
      </c>
      <c r="Q629" s="29">
        <f>IF(OR($C629="",$P629=0),"",IF($F629="國","國定假日",IF($B629="日","例假",IF($B629="六","休息日","平日"))))</f>
        <v/>
      </c>
      <c r="R629" s="34" t="n"/>
    </row>
    <row r="630">
      <c r="A630" s="30">
        <f>IF(OR(班表!$A26="",8&gt;DAY(EOMONTH(DATE(班表!$E$2,班表!$G$2,1),0))),"",DATE(班表!$E$2,班表!$G$2,8))</f>
        <v/>
      </c>
      <c r="B630" s="29">
        <f>IF($A630="","",INDEX(設定!$L$5:$L$11,WEEKDAY($A630,1)))</f>
        <v/>
      </c>
      <c r="C630" s="29">
        <f>IF($A630="","",班表!$A26)</f>
        <v/>
      </c>
      <c r="D630" s="29">
        <f>IF($C630="","",班表!$B26)</f>
        <v/>
      </c>
      <c r="E630" s="29">
        <f>IF($C630="","",班表!$C26)</f>
        <v/>
      </c>
      <c r="F630" s="29">
        <f>IF($C630="","",班表!K26)</f>
        <v/>
      </c>
      <c r="G630" s="31">
        <f>IF($F630="","",IFERROR(INDEX(設定!$D$5:$D$20,MATCH($F630,設定!$B$5:$B$20,0)),""))</f>
        <v/>
      </c>
      <c r="H630" s="31">
        <f>IF($F630="","",IFERROR(INDEX(設定!$E$5:$E$20,MATCH($F630,設定!$B$5:$B$20,0)),""))</f>
        <v/>
      </c>
      <c r="I630" s="31">
        <f>IFERROR(INDEX(打卡匯入!$C$3:$C$1002,MATCH($C630&amp;"|"&amp;DAY($A630),打卡匯入!$E$3:$E$1002,0)),"")</f>
        <v/>
      </c>
      <c r="J630" s="31">
        <f>IFERROR(INDEX(打卡匯入!$D$3:$D$1002,MATCH($C630&amp;"|"&amp;DAY($A630),打卡匯入!$E$3:$E$1002,0)),"")</f>
        <v/>
      </c>
      <c r="K630" s="32">
        <f>IF(OR($I630="",$J630=""),"",IFERROR(INDEX(設定!$F$5:$F$20,MATCH($F630,設定!$B$5:$B$20,0)),0))</f>
        <v/>
      </c>
      <c r="L630" s="33">
        <f>IF(OR($I630="",$J630=""),"",ROUND(($J630-$I630)*24-$K630/60,2))</f>
        <v/>
      </c>
      <c r="M630" s="29">
        <f>IF($C630="","",IF(AND(COUNTIF(設定!$B$14:$B$20,$F630)&gt;0,$I630&lt;&gt;""),"假日出勤",IF(AND(COUNTIF(設定!$B$5:$B$13,$F630)&gt;0,$I630=""),"未打卡",IF($I630="","",IF($N630&gt;0,"遲到",IF($O630&gt;0,"早退","正常"))))))</f>
        <v/>
      </c>
      <c r="N630" s="32">
        <f>IF(OR($C630="",$G630="",$I630=""),0,IF(ROUND(($I630-$G630)*1440,0)&gt;設定!$C$28,ROUND(($I630-$G630)*1440,0),0))</f>
        <v/>
      </c>
      <c r="O630" s="32">
        <f>IF(OR($C630="",$H630="",$J630=""),0,IF(ROUND(($H630-$J630)*1440,0)&gt;設定!$C$28,ROUND(($H630-$J630)*1440,0),0))</f>
        <v/>
      </c>
      <c r="P630" s="33">
        <f>IF($L630="",0,IF(($L630-IFERROR(INDEX(設定!$G$5:$G$20,MATCH($F630,設定!$B$5:$B$20,0)),0))*60&gt;=設定!$C$26,ROUND(FLOOR(($L630-IFERROR(INDEX(設定!$G$5:$G$20,MATCH($F630,設定!$B$5:$B$20,0)),0))*60,設定!$C$27)/60,2),0))</f>
        <v/>
      </c>
      <c r="Q630" s="29">
        <f>IF(OR($C630="",$P630=0),"",IF($F630="國","國定假日",IF($B630="日","例假",IF($B630="六","休息日","平日"))))</f>
        <v/>
      </c>
      <c r="R630" s="34" t="n"/>
    </row>
    <row r="631">
      <c r="A631" s="30">
        <f>IF(OR(班表!$A26="",9&gt;DAY(EOMONTH(DATE(班表!$E$2,班表!$G$2,1),0))),"",DATE(班表!$E$2,班表!$G$2,9))</f>
        <v/>
      </c>
      <c r="B631" s="29">
        <f>IF($A631="","",INDEX(設定!$L$5:$L$11,WEEKDAY($A631,1)))</f>
        <v/>
      </c>
      <c r="C631" s="29">
        <f>IF($A631="","",班表!$A26)</f>
        <v/>
      </c>
      <c r="D631" s="29">
        <f>IF($C631="","",班表!$B26)</f>
        <v/>
      </c>
      <c r="E631" s="29">
        <f>IF($C631="","",班表!$C26)</f>
        <v/>
      </c>
      <c r="F631" s="29">
        <f>IF($C631="","",班表!L26)</f>
        <v/>
      </c>
      <c r="G631" s="31">
        <f>IF($F631="","",IFERROR(INDEX(設定!$D$5:$D$20,MATCH($F631,設定!$B$5:$B$20,0)),""))</f>
        <v/>
      </c>
      <c r="H631" s="31">
        <f>IF($F631="","",IFERROR(INDEX(設定!$E$5:$E$20,MATCH($F631,設定!$B$5:$B$20,0)),""))</f>
        <v/>
      </c>
      <c r="I631" s="31">
        <f>IFERROR(INDEX(打卡匯入!$C$3:$C$1002,MATCH($C631&amp;"|"&amp;DAY($A631),打卡匯入!$E$3:$E$1002,0)),"")</f>
        <v/>
      </c>
      <c r="J631" s="31">
        <f>IFERROR(INDEX(打卡匯入!$D$3:$D$1002,MATCH($C631&amp;"|"&amp;DAY($A631),打卡匯入!$E$3:$E$1002,0)),"")</f>
        <v/>
      </c>
      <c r="K631" s="32">
        <f>IF(OR($I631="",$J631=""),"",IFERROR(INDEX(設定!$F$5:$F$20,MATCH($F631,設定!$B$5:$B$20,0)),0))</f>
        <v/>
      </c>
      <c r="L631" s="33">
        <f>IF(OR($I631="",$J631=""),"",ROUND(($J631-$I631)*24-$K631/60,2))</f>
        <v/>
      </c>
      <c r="M631" s="29">
        <f>IF($C631="","",IF(AND(COUNTIF(設定!$B$14:$B$20,$F631)&gt;0,$I631&lt;&gt;""),"假日出勤",IF(AND(COUNTIF(設定!$B$5:$B$13,$F631)&gt;0,$I631=""),"未打卡",IF($I631="","",IF($N631&gt;0,"遲到",IF($O631&gt;0,"早退","正常"))))))</f>
        <v/>
      </c>
      <c r="N631" s="32">
        <f>IF(OR($C631="",$G631="",$I631=""),0,IF(ROUND(($I631-$G631)*1440,0)&gt;設定!$C$28,ROUND(($I631-$G631)*1440,0),0))</f>
        <v/>
      </c>
      <c r="O631" s="32">
        <f>IF(OR($C631="",$H631="",$J631=""),0,IF(ROUND(($H631-$J631)*1440,0)&gt;設定!$C$28,ROUND(($H631-$J631)*1440,0),0))</f>
        <v/>
      </c>
      <c r="P631" s="33">
        <f>IF($L631="",0,IF(($L631-IFERROR(INDEX(設定!$G$5:$G$20,MATCH($F631,設定!$B$5:$B$20,0)),0))*60&gt;=設定!$C$26,ROUND(FLOOR(($L631-IFERROR(INDEX(設定!$G$5:$G$20,MATCH($F631,設定!$B$5:$B$20,0)),0))*60,設定!$C$27)/60,2),0))</f>
        <v/>
      </c>
      <c r="Q631" s="29">
        <f>IF(OR($C631="",$P631=0),"",IF($F631="國","國定假日",IF($B631="日","例假",IF($B631="六","休息日","平日"))))</f>
        <v/>
      </c>
      <c r="R631" s="34" t="n"/>
    </row>
    <row r="632">
      <c r="A632" s="30">
        <f>IF(OR(班表!$A26="",10&gt;DAY(EOMONTH(DATE(班表!$E$2,班表!$G$2,1),0))),"",DATE(班表!$E$2,班表!$G$2,10))</f>
        <v/>
      </c>
      <c r="B632" s="29">
        <f>IF($A632="","",INDEX(設定!$L$5:$L$11,WEEKDAY($A632,1)))</f>
        <v/>
      </c>
      <c r="C632" s="29">
        <f>IF($A632="","",班表!$A26)</f>
        <v/>
      </c>
      <c r="D632" s="29">
        <f>IF($C632="","",班表!$B26)</f>
        <v/>
      </c>
      <c r="E632" s="29">
        <f>IF($C632="","",班表!$C26)</f>
        <v/>
      </c>
      <c r="F632" s="29">
        <f>IF($C632="","",班表!M26)</f>
        <v/>
      </c>
      <c r="G632" s="31">
        <f>IF($F632="","",IFERROR(INDEX(設定!$D$5:$D$20,MATCH($F632,設定!$B$5:$B$20,0)),""))</f>
        <v/>
      </c>
      <c r="H632" s="31">
        <f>IF($F632="","",IFERROR(INDEX(設定!$E$5:$E$20,MATCH($F632,設定!$B$5:$B$20,0)),""))</f>
        <v/>
      </c>
      <c r="I632" s="31">
        <f>IFERROR(INDEX(打卡匯入!$C$3:$C$1002,MATCH($C632&amp;"|"&amp;DAY($A632),打卡匯入!$E$3:$E$1002,0)),"")</f>
        <v/>
      </c>
      <c r="J632" s="31">
        <f>IFERROR(INDEX(打卡匯入!$D$3:$D$1002,MATCH($C632&amp;"|"&amp;DAY($A632),打卡匯入!$E$3:$E$1002,0)),"")</f>
        <v/>
      </c>
      <c r="K632" s="32">
        <f>IF(OR($I632="",$J632=""),"",IFERROR(INDEX(設定!$F$5:$F$20,MATCH($F632,設定!$B$5:$B$20,0)),0))</f>
        <v/>
      </c>
      <c r="L632" s="33">
        <f>IF(OR($I632="",$J632=""),"",ROUND(($J632-$I632)*24-$K632/60,2))</f>
        <v/>
      </c>
      <c r="M632" s="29">
        <f>IF($C632="","",IF(AND(COUNTIF(設定!$B$14:$B$20,$F632)&gt;0,$I632&lt;&gt;""),"假日出勤",IF(AND(COUNTIF(設定!$B$5:$B$13,$F632)&gt;0,$I632=""),"未打卡",IF($I632="","",IF($N632&gt;0,"遲到",IF($O632&gt;0,"早退","正常"))))))</f>
        <v/>
      </c>
      <c r="N632" s="32">
        <f>IF(OR($C632="",$G632="",$I632=""),0,IF(ROUND(($I632-$G632)*1440,0)&gt;設定!$C$28,ROUND(($I632-$G632)*1440,0),0))</f>
        <v/>
      </c>
      <c r="O632" s="32">
        <f>IF(OR($C632="",$H632="",$J632=""),0,IF(ROUND(($H632-$J632)*1440,0)&gt;設定!$C$28,ROUND(($H632-$J632)*1440,0),0))</f>
        <v/>
      </c>
      <c r="P632" s="33">
        <f>IF($L632="",0,IF(($L632-IFERROR(INDEX(設定!$G$5:$G$20,MATCH($F632,設定!$B$5:$B$20,0)),0))*60&gt;=設定!$C$26,ROUND(FLOOR(($L632-IFERROR(INDEX(設定!$G$5:$G$20,MATCH($F632,設定!$B$5:$B$20,0)),0))*60,設定!$C$27)/60,2),0))</f>
        <v/>
      </c>
      <c r="Q632" s="29">
        <f>IF(OR($C632="",$P632=0),"",IF($F632="國","國定假日",IF($B632="日","例假",IF($B632="六","休息日","平日"))))</f>
        <v/>
      </c>
      <c r="R632" s="34" t="n"/>
    </row>
    <row r="633">
      <c r="A633" s="30">
        <f>IF(OR(班表!$A26="",11&gt;DAY(EOMONTH(DATE(班表!$E$2,班表!$G$2,1),0))),"",DATE(班表!$E$2,班表!$G$2,11))</f>
        <v/>
      </c>
      <c r="B633" s="29">
        <f>IF($A633="","",INDEX(設定!$L$5:$L$11,WEEKDAY($A633,1)))</f>
        <v/>
      </c>
      <c r="C633" s="29">
        <f>IF($A633="","",班表!$A26)</f>
        <v/>
      </c>
      <c r="D633" s="29">
        <f>IF($C633="","",班表!$B26)</f>
        <v/>
      </c>
      <c r="E633" s="29">
        <f>IF($C633="","",班表!$C26)</f>
        <v/>
      </c>
      <c r="F633" s="29">
        <f>IF($C633="","",班表!N26)</f>
        <v/>
      </c>
      <c r="G633" s="31">
        <f>IF($F633="","",IFERROR(INDEX(設定!$D$5:$D$20,MATCH($F633,設定!$B$5:$B$20,0)),""))</f>
        <v/>
      </c>
      <c r="H633" s="31">
        <f>IF($F633="","",IFERROR(INDEX(設定!$E$5:$E$20,MATCH($F633,設定!$B$5:$B$20,0)),""))</f>
        <v/>
      </c>
      <c r="I633" s="31">
        <f>IFERROR(INDEX(打卡匯入!$C$3:$C$1002,MATCH($C633&amp;"|"&amp;DAY($A633),打卡匯入!$E$3:$E$1002,0)),"")</f>
        <v/>
      </c>
      <c r="J633" s="31">
        <f>IFERROR(INDEX(打卡匯入!$D$3:$D$1002,MATCH($C633&amp;"|"&amp;DAY($A633),打卡匯入!$E$3:$E$1002,0)),"")</f>
        <v/>
      </c>
      <c r="K633" s="32">
        <f>IF(OR($I633="",$J633=""),"",IFERROR(INDEX(設定!$F$5:$F$20,MATCH($F633,設定!$B$5:$B$20,0)),0))</f>
        <v/>
      </c>
      <c r="L633" s="33">
        <f>IF(OR($I633="",$J633=""),"",ROUND(($J633-$I633)*24-$K633/60,2))</f>
        <v/>
      </c>
      <c r="M633" s="29">
        <f>IF($C633="","",IF(AND(COUNTIF(設定!$B$14:$B$20,$F633)&gt;0,$I633&lt;&gt;""),"假日出勤",IF(AND(COUNTIF(設定!$B$5:$B$13,$F633)&gt;0,$I633=""),"未打卡",IF($I633="","",IF($N633&gt;0,"遲到",IF($O633&gt;0,"早退","正常"))))))</f>
        <v/>
      </c>
      <c r="N633" s="32">
        <f>IF(OR($C633="",$G633="",$I633=""),0,IF(ROUND(($I633-$G633)*1440,0)&gt;設定!$C$28,ROUND(($I633-$G633)*1440,0),0))</f>
        <v/>
      </c>
      <c r="O633" s="32">
        <f>IF(OR($C633="",$H633="",$J633=""),0,IF(ROUND(($H633-$J633)*1440,0)&gt;設定!$C$28,ROUND(($H633-$J633)*1440,0),0))</f>
        <v/>
      </c>
      <c r="P633" s="33">
        <f>IF($L633="",0,IF(($L633-IFERROR(INDEX(設定!$G$5:$G$20,MATCH($F633,設定!$B$5:$B$20,0)),0))*60&gt;=設定!$C$26,ROUND(FLOOR(($L633-IFERROR(INDEX(設定!$G$5:$G$20,MATCH($F633,設定!$B$5:$B$20,0)),0))*60,設定!$C$27)/60,2),0))</f>
        <v/>
      </c>
      <c r="Q633" s="29">
        <f>IF(OR($C633="",$P633=0),"",IF($F633="國","國定假日",IF($B633="日","例假",IF($B633="六","休息日","平日"))))</f>
        <v/>
      </c>
      <c r="R633" s="34" t="n"/>
    </row>
    <row r="634">
      <c r="A634" s="30">
        <f>IF(OR(班表!$A26="",12&gt;DAY(EOMONTH(DATE(班表!$E$2,班表!$G$2,1),0))),"",DATE(班表!$E$2,班表!$G$2,12))</f>
        <v/>
      </c>
      <c r="B634" s="29">
        <f>IF($A634="","",INDEX(設定!$L$5:$L$11,WEEKDAY($A634,1)))</f>
        <v/>
      </c>
      <c r="C634" s="29">
        <f>IF($A634="","",班表!$A26)</f>
        <v/>
      </c>
      <c r="D634" s="29">
        <f>IF($C634="","",班表!$B26)</f>
        <v/>
      </c>
      <c r="E634" s="29">
        <f>IF($C634="","",班表!$C26)</f>
        <v/>
      </c>
      <c r="F634" s="29">
        <f>IF($C634="","",班表!O26)</f>
        <v/>
      </c>
      <c r="G634" s="31">
        <f>IF($F634="","",IFERROR(INDEX(設定!$D$5:$D$20,MATCH($F634,設定!$B$5:$B$20,0)),""))</f>
        <v/>
      </c>
      <c r="H634" s="31">
        <f>IF($F634="","",IFERROR(INDEX(設定!$E$5:$E$20,MATCH($F634,設定!$B$5:$B$20,0)),""))</f>
        <v/>
      </c>
      <c r="I634" s="31">
        <f>IFERROR(INDEX(打卡匯入!$C$3:$C$1002,MATCH($C634&amp;"|"&amp;DAY($A634),打卡匯入!$E$3:$E$1002,0)),"")</f>
        <v/>
      </c>
      <c r="J634" s="31">
        <f>IFERROR(INDEX(打卡匯入!$D$3:$D$1002,MATCH($C634&amp;"|"&amp;DAY($A634),打卡匯入!$E$3:$E$1002,0)),"")</f>
        <v/>
      </c>
      <c r="K634" s="32">
        <f>IF(OR($I634="",$J634=""),"",IFERROR(INDEX(設定!$F$5:$F$20,MATCH($F634,設定!$B$5:$B$20,0)),0))</f>
        <v/>
      </c>
      <c r="L634" s="33">
        <f>IF(OR($I634="",$J634=""),"",ROUND(($J634-$I634)*24-$K634/60,2))</f>
        <v/>
      </c>
      <c r="M634" s="29">
        <f>IF($C634="","",IF(AND(COUNTIF(設定!$B$14:$B$20,$F634)&gt;0,$I634&lt;&gt;""),"假日出勤",IF(AND(COUNTIF(設定!$B$5:$B$13,$F634)&gt;0,$I634=""),"未打卡",IF($I634="","",IF($N634&gt;0,"遲到",IF($O634&gt;0,"早退","正常"))))))</f>
        <v/>
      </c>
      <c r="N634" s="32">
        <f>IF(OR($C634="",$G634="",$I634=""),0,IF(ROUND(($I634-$G634)*1440,0)&gt;設定!$C$28,ROUND(($I634-$G634)*1440,0),0))</f>
        <v/>
      </c>
      <c r="O634" s="32">
        <f>IF(OR($C634="",$H634="",$J634=""),0,IF(ROUND(($H634-$J634)*1440,0)&gt;設定!$C$28,ROUND(($H634-$J634)*1440,0),0))</f>
        <v/>
      </c>
      <c r="P634" s="33">
        <f>IF($L634="",0,IF(($L634-IFERROR(INDEX(設定!$G$5:$G$20,MATCH($F634,設定!$B$5:$B$20,0)),0))*60&gt;=設定!$C$26,ROUND(FLOOR(($L634-IFERROR(INDEX(設定!$G$5:$G$20,MATCH($F634,設定!$B$5:$B$20,0)),0))*60,設定!$C$27)/60,2),0))</f>
        <v/>
      </c>
      <c r="Q634" s="29">
        <f>IF(OR($C634="",$P634=0),"",IF($F634="國","國定假日",IF($B634="日","例假",IF($B634="六","休息日","平日"))))</f>
        <v/>
      </c>
      <c r="R634" s="34" t="n"/>
    </row>
    <row r="635">
      <c r="A635" s="30">
        <f>IF(OR(班表!$A26="",13&gt;DAY(EOMONTH(DATE(班表!$E$2,班表!$G$2,1),0))),"",DATE(班表!$E$2,班表!$G$2,13))</f>
        <v/>
      </c>
      <c r="B635" s="29">
        <f>IF($A635="","",INDEX(設定!$L$5:$L$11,WEEKDAY($A635,1)))</f>
        <v/>
      </c>
      <c r="C635" s="29">
        <f>IF($A635="","",班表!$A26)</f>
        <v/>
      </c>
      <c r="D635" s="29">
        <f>IF($C635="","",班表!$B26)</f>
        <v/>
      </c>
      <c r="E635" s="29">
        <f>IF($C635="","",班表!$C26)</f>
        <v/>
      </c>
      <c r="F635" s="29">
        <f>IF($C635="","",班表!P26)</f>
        <v/>
      </c>
      <c r="G635" s="31">
        <f>IF($F635="","",IFERROR(INDEX(設定!$D$5:$D$20,MATCH($F635,設定!$B$5:$B$20,0)),""))</f>
        <v/>
      </c>
      <c r="H635" s="31">
        <f>IF($F635="","",IFERROR(INDEX(設定!$E$5:$E$20,MATCH($F635,設定!$B$5:$B$20,0)),""))</f>
        <v/>
      </c>
      <c r="I635" s="31">
        <f>IFERROR(INDEX(打卡匯入!$C$3:$C$1002,MATCH($C635&amp;"|"&amp;DAY($A635),打卡匯入!$E$3:$E$1002,0)),"")</f>
        <v/>
      </c>
      <c r="J635" s="31">
        <f>IFERROR(INDEX(打卡匯入!$D$3:$D$1002,MATCH($C635&amp;"|"&amp;DAY($A635),打卡匯入!$E$3:$E$1002,0)),"")</f>
        <v/>
      </c>
      <c r="K635" s="32">
        <f>IF(OR($I635="",$J635=""),"",IFERROR(INDEX(設定!$F$5:$F$20,MATCH($F635,設定!$B$5:$B$20,0)),0))</f>
        <v/>
      </c>
      <c r="L635" s="33">
        <f>IF(OR($I635="",$J635=""),"",ROUND(($J635-$I635)*24-$K635/60,2))</f>
        <v/>
      </c>
      <c r="M635" s="29">
        <f>IF($C635="","",IF(AND(COUNTIF(設定!$B$14:$B$20,$F635)&gt;0,$I635&lt;&gt;""),"假日出勤",IF(AND(COUNTIF(設定!$B$5:$B$13,$F635)&gt;0,$I635=""),"未打卡",IF($I635="","",IF($N635&gt;0,"遲到",IF($O635&gt;0,"早退","正常"))))))</f>
        <v/>
      </c>
      <c r="N635" s="32">
        <f>IF(OR($C635="",$G635="",$I635=""),0,IF(ROUND(($I635-$G635)*1440,0)&gt;設定!$C$28,ROUND(($I635-$G635)*1440,0),0))</f>
        <v/>
      </c>
      <c r="O635" s="32">
        <f>IF(OR($C635="",$H635="",$J635=""),0,IF(ROUND(($H635-$J635)*1440,0)&gt;設定!$C$28,ROUND(($H635-$J635)*1440,0),0))</f>
        <v/>
      </c>
      <c r="P635" s="33">
        <f>IF($L635="",0,IF(($L635-IFERROR(INDEX(設定!$G$5:$G$20,MATCH($F635,設定!$B$5:$B$20,0)),0))*60&gt;=設定!$C$26,ROUND(FLOOR(($L635-IFERROR(INDEX(設定!$G$5:$G$20,MATCH($F635,設定!$B$5:$B$20,0)),0))*60,設定!$C$27)/60,2),0))</f>
        <v/>
      </c>
      <c r="Q635" s="29">
        <f>IF(OR($C635="",$P635=0),"",IF($F635="國","國定假日",IF($B635="日","例假",IF($B635="六","休息日","平日"))))</f>
        <v/>
      </c>
      <c r="R635" s="34" t="n"/>
    </row>
    <row r="636">
      <c r="A636" s="30">
        <f>IF(OR(班表!$A26="",14&gt;DAY(EOMONTH(DATE(班表!$E$2,班表!$G$2,1),0))),"",DATE(班表!$E$2,班表!$G$2,14))</f>
        <v/>
      </c>
      <c r="B636" s="29">
        <f>IF($A636="","",INDEX(設定!$L$5:$L$11,WEEKDAY($A636,1)))</f>
        <v/>
      </c>
      <c r="C636" s="29">
        <f>IF($A636="","",班表!$A26)</f>
        <v/>
      </c>
      <c r="D636" s="29">
        <f>IF($C636="","",班表!$B26)</f>
        <v/>
      </c>
      <c r="E636" s="29">
        <f>IF($C636="","",班表!$C26)</f>
        <v/>
      </c>
      <c r="F636" s="29">
        <f>IF($C636="","",班表!Q26)</f>
        <v/>
      </c>
      <c r="G636" s="31">
        <f>IF($F636="","",IFERROR(INDEX(設定!$D$5:$D$20,MATCH($F636,設定!$B$5:$B$20,0)),""))</f>
        <v/>
      </c>
      <c r="H636" s="31">
        <f>IF($F636="","",IFERROR(INDEX(設定!$E$5:$E$20,MATCH($F636,設定!$B$5:$B$20,0)),""))</f>
        <v/>
      </c>
      <c r="I636" s="31">
        <f>IFERROR(INDEX(打卡匯入!$C$3:$C$1002,MATCH($C636&amp;"|"&amp;DAY($A636),打卡匯入!$E$3:$E$1002,0)),"")</f>
        <v/>
      </c>
      <c r="J636" s="31">
        <f>IFERROR(INDEX(打卡匯入!$D$3:$D$1002,MATCH($C636&amp;"|"&amp;DAY($A636),打卡匯入!$E$3:$E$1002,0)),"")</f>
        <v/>
      </c>
      <c r="K636" s="32">
        <f>IF(OR($I636="",$J636=""),"",IFERROR(INDEX(設定!$F$5:$F$20,MATCH($F636,設定!$B$5:$B$20,0)),0))</f>
        <v/>
      </c>
      <c r="L636" s="33">
        <f>IF(OR($I636="",$J636=""),"",ROUND(($J636-$I636)*24-$K636/60,2))</f>
        <v/>
      </c>
      <c r="M636" s="29">
        <f>IF($C636="","",IF(AND(COUNTIF(設定!$B$14:$B$20,$F636)&gt;0,$I636&lt;&gt;""),"假日出勤",IF(AND(COUNTIF(設定!$B$5:$B$13,$F636)&gt;0,$I636=""),"未打卡",IF($I636="","",IF($N636&gt;0,"遲到",IF($O636&gt;0,"早退","正常"))))))</f>
        <v/>
      </c>
      <c r="N636" s="32">
        <f>IF(OR($C636="",$G636="",$I636=""),0,IF(ROUND(($I636-$G636)*1440,0)&gt;設定!$C$28,ROUND(($I636-$G636)*1440,0),0))</f>
        <v/>
      </c>
      <c r="O636" s="32">
        <f>IF(OR($C636="",$H636="",$J636=""),0,IF(ROUND(($H636-$J636)*1440,0)&gt;設定!$C$28,ROUND(($H636-$J636)*1440,0),0))</f>
        <v/>
      </c>
      <c r="P636" s="33">
        <f>IF($L636="",0,IF(($L636-IFERROR(INDEX(設定!$G$5:$G$20,MATCH($F636,設定!$B$5:$B$20,0)),0))*60&gt;=設定!$C$26,ROUND(FLOOR(($L636-IFERROR(INDEX(設定!$G$5:$G$20,MATCH($F636,設定!$B$5:$B$20,0)),0))*60,設定!$C$27)/60,2),0))</f>
        <v/>
      </c>
      <c r="Q636" s="29">
        <f>IF(OR($C636="",$P636=0),"",IF($F636="國","國定假日",IF($B636="日","例假",IF($B636="六","休息日","平日"))))</f>
        <v/>
      </c>
      <c r="R636" s="34" t="n"/>
    </row>
    <row r="637">
      <c r="A637" s="30">
        <f>IF(OR(班表!$A26="",15&gt;DAY(EOMONTH(DATE(班表!$E$2,班表!$G$2,1),0))),"",DATE(班表!$E$2,班表!$G$2,15))</f>
        <v/>
      </c>
      <c r="B637" s="29">
        <f>IF($A637="","",INDEX(設定!$L$5:$L$11,WEEKDAY($A637,1)))</f>
        <v/>
      </c>
      <c r="C637" s="29">
        <f>IF($A637="","",班表!$A26)</f>
        <v/>
      </c>
      <c r="D637" s="29">
        <f>IF($C637="","",班表!$B26)</f>
        <v/>
      </c>
      <c r="E637" s="29">
        <f>IF($C637="","",班表!$C26)</f>
        <v/>
      </c>
      <c r="F637" s="29">
        <f>IF($C637="","",班表!R26)</f>
        <v/>
      </c>
      <c r="G637" s="31">
        <f>IF($F637="","",IFERROR(INDEX(設定!$D$5:$D$20,MATCH($F637,設定!$B$5:$B$20,0)),""))</f>
        <v/>
      </c>
      <c r="H637" s="31">
        <f>IF($F637="","",IFERROR(INDEX(設定!$E$5:$E$20,MATCH($F637,設定!$B$5:$B$20,0)),""))</f>
        <v/>
      </c>
      <c r="I637" s="31">
        <f>IFERROR(INDEX(打卡匯入!$C$3:$C$1002,MATCH($C637&amp;"|"&amp;DAY($A637),打卡匯入!$E$3:$E$1002,0)),"")</f>
        <v/>
      </c>
      <c r="J637" s="31">
        <f>IFERROR(INDEX(打卡匯入!$D$3:$D$1002,MATCH($C637&amp;"|"&amp;DAY($A637),打卡匯入!$E$3:$E$1002,0)),"")</f>
        <v/>
      </c>
      <c r="K637" s="32">
        <f>IF(OR($I637="",$J637=""),"",IFERROR(INDEX(設定!$F$5:$F$20,MATCH($F637,設定!$B$5:$B$20,0)),0))</f>
        <v/>
      </c>
      <c r="L637" s="33">
        <f>IF(OR($I637="",$J637=""),"",ROUND(($J637-$I637)*24-$K637/60,2))</f>
        <v/>
      </c>
      <c r="M637" s="29">
        <f>IF($C637="","",IF(AND(COUNTIF(設定!$B$14:$B$20,$F637)&gt;0,$I637&lt;&gt;""),"假日出勤",IF(AND(COUNTIF(設定!$B$5:$B$13,$F637)&gt;0,$I637=""),"未打卡",IF($I637="","",IF($N637&gt;0,"遲到",IF($O637&gt;0,"早退","正常"))))))</f>
        <v/>
      </c>
      <c r="N637" s="32">
        <f>IF(OR($C637="",$G637="",$I637=""),0,IF(ROUND(($I637-$G637)*1440,0)&gt;設定!$C$28,ROUND(($I637-$G637)*1440,0),0))</f>
        <v/>
      </c>
      <c r="O637" s="32">
        <f>IF(OR($C637="",$H637="",$J637=""),0,IF(ROUND(($H637-$J637)*1440,0)&gt;設定!$C$28,ROUND(($H637-$J637)*1440,0),0))</f>
        <v/>
      </c>
      <c r="P637" s="33">
        <f>IF($L637="",0,IF(($L637-IFERROR(INDEX(設定!$G$5:$G$20,MATCH($F637,設定!$B$5:$B$20,0)),0))*60&gt;=設定!$C$26,ROUND(FLOOR(($L637-IFERROR(INDEX(設定!$G$5:$G$20,MATCH($F637,設定!$B$5:$B$20,0)),0))*60,設定!$C$27)/60,2),0))</f>
        <v/>
      </c>
      <c r="Q637" s="29">
        <f>IF(OR($C637="",$P637=0),"",IF($F637="國","國定假日",IF($B637="日","例假",IF($B637="六","休息日","平日"))))</f>
        <v/>
      </c>
      <c r="R637" s="34" t="n"/>
    </row>
    <row r="638">
      <c r="A638" s="30">
        <f>IF(OR(班表!$A26="",16&gt;DAY(EOMONTH(DATE(班表!$E$2,班表!$G$2,1),0))),"",DATE(班表!$E$2,班表!$G$2,16))</f>
        <v/>
      </c>
      <c r="B638" s="29">
        <f>IF($A638="","",INDEX(設定!$L$5:$L$11,WEEKDAY($A638,1)))</f>
        <v/>
      </c>
      <c r="C638" s="29">
        <f>IF($A638="","",班表!$A26)</f>
        <v/>
      </c>
      <c r="D638" s="29">
        <f>IF($C638="","",班表!$B26)</f>
        <v/>
      </c>
      <c r="E638" s="29">
        <f>IF($C638="","",班表!$C26)</f>
        <v/>
      </c>
      <c r="F638" s="29">
        <f>IF($C638="","",班表!S26)</f>
        <v/>
      </c>
      <c r="G638" s="31">
        <f>IF($F638="","",IFERROR(INDEX(設定!$D$5:$D$20,MATCH($F638,設定!$B$5:$B$20,0)),""))</f>
        <v/>
      </c>
      <c r="H638" s="31">
        <f>IF($F638="","",IFERROR(INDEX(設定!$E$5:$E$20,MATCH($F638,設定!$B$5:$B$20,0)),""))</f>
        <v/>
      </c>
      <c r="I638" s="31">
        <f>IFERROR(INDEX(打卡匯入!$C$3:$C$1002,MATCH($C638&amp;"|"&amp;DAY($A638),打卡匯入!$E$3:$E$1002,0)),"")</f>
        <v/>
      </c>
      <c r="J638" s="31">
        <f>IFERROR(INDEX(打卡匯入!$D$3:$D$1002,MATCH($C638&amp;"|"&amp;DAY($A638),打卡匯入!$E$3:$E$1002,0)),"")</f>
        <v/>
      </c>
      <c r="K638" s="32">
        <f>IF(OR($I638="",$J638=""),"",IFERROR(INDEX(設定!$F$5:$F$20,MATCH($F638,設定!$B$5:$B$20,0)),0))</f>
        <v/>
      </c>
      <c r="L638" s="33">
        <f>IF(OR($I638="",$J638=""),"",ROUND(($J638-$I638)*24-$K638/60,2))</f>
        <v/>
      </c>
      <c r="M638" s="29">
        <f>IF($C638="","",IF(AND(COUNTIF(設定!$B$14:$B$20,$F638)&gt;0,$I638&lt;&gt;""),"假日出勤",IF(AND(COUNTIF(設定!$B$5:$B$13,$F638)&gt;0,$I638=""),"未打卡",IF($I638="","",IF($N638&gt;0,"遲到",IF($O638&gt;0,"早退","正常"))))))</f>
        <v/>
      </c>
      <c r="N638" s="32">
        <f>IF(OR($C638="",$G638="",$I638=""),0,IF(ROUND(($I638-$G638)*1440,0)&gt;設定!$C$28,ROUND(($I638-$G638)*1440,0),0))</f>
        <v/>
      </c>
      <c r="O638" s="32">
        <f>IF(OR($C638="",$H638="",$J638=""),0,IF(ROUND(($H638-$J638)*1440,0)&gt;設定!$C$28,ROUND(($H638-$J638)*1440,0),0))</f>
        <v/>
      </c>
      <c r="P638" s="33">
        <f>IF($L638="",0,IF(($L638-IFERROR(INDEX(設定!$G$5:$G$20,MATCH($F638,設定!$B$5:$B$20,0)),0))*60&gt;=設定!$C$26,ROUND(FLOOR(($L638-IFERROR(INDEX(設定!$G$5:$G$20,MATCH($F638,設定!$B$5:$B$20,0)),0))*60,設定!$C$27)/60,2),0))</f>
        <v/>
      </c>
      <c r="Q638" s="29">
        <f>IF(OR($C638="",$P638=0),"",IF($F638="國","國定假日",IF($B638="日","例假",IF($B638="六","休息日","平日"))))</f>
        <v/>
      </c>
      <c r="R638" s="34" t="n"/>
    </row>
    <row r="639">
      <c r="A639" s="30">
        <f>IF(OR(班表!$A26="",17&gt;DAY(EOMONTH(DATE(班表!$E$2,班表!$G$2,1),0))),"",DATE(班表!$E$2,班表!$G$2,17))</f>
        <v/>
      </c>
      <c r="B639" s="29">
        <f>IF($A639="","",INDEX(設定!$L$5:$L$11,WEEKDAY($A639,1)))</f>
        <v/>
      </c>
      <c r="C639" s="29">
        <f>IF($A639="","",班表!$A26)</f>
        <v/>
      </c>
      <c r="D639" s="29">
        <f>IF($C639="","",班表!$B26)</f>
        <v/>
      </c>
      <c r="E639" s="29">
        <f>IF($C639="","",班表!$C26)</f>
        <v/>
      </c>
      <c r="F639" s="29">
        <f>IF($C639="","",班表!T26)</f>
        <v/>
      </c>
      <c r="G639" s="31">
        <f>IF($F639="","",IFERROR(INDEX(設定!$D$5:$D$20,MATCH($F639,設定!$B$5:$B$20,0)),""))</f>
        <v/>
      </c>
      <c r="H639" s="31">
        <f>IF($F639="","",IFERROR(INDEX(設定!$E$5:$E$20,MATCH($F639,設定!$B$5:$B$20,0)),""))</f>
        <v/>
      </c>
      <c r="I639" s="31">
        <f>IFERROR(INDEX(打卡匯入!$C$3:$C$1002,MATCH($C639&amp;"|"&amp;DAY($A639),打卡匯入!$E$3:$E$1002,0)),"")</f>
        <v/>
      </c>
      <c r="J639" s="31">
        <f>IFERROR(INDEX(打卡匯入!$D$3:$D$1002,MATCH($C639&amp;"|"&amp;DAY($A639),打卡匯入!$E$3:$E$1002,0)),"")</f>
        <v/>
      </c>
      <c r="K639" s="32">
        <f>IF(OR($I639="",$J639=""),"",IFERROR(INDEX(設定!$F$5:$F$20,MATCH($F639,設定!$B$5:$B$20,0)),0))</f>
        <v/>
      </c>
      <c r="L639" s="33">
        <f>IF(OR($I639="",$J639=""),"",ROUND(($J639-$I639)*24-$K639/60,2))</f>
        <v/>
      </c>
      <c r="M639" s="29">
        <f>IF($C639="","",IF(AND(COUNTIF(設定!$B$14:$B$20,$F639)&gt;0,$I639&lt;&gt;""),"假日出勤",IF(AND(COUNTIF(設定!$B$5:$B$13,$F639)&gt;0,$I639=""),"未打卡",IF($I639="","",IF($N639&gt;0,"遲到",IF($O639&gt;0,"早退","正常"))))))</f>
        <v/>
      </c>
      <c r="N639" s="32">
        <f>IF(OR($C639="",$G639="",$I639=""),0,IF(ROUND(($I639-$G639)*1440,0)&gt;設定!$C$28,ROUND(($I639-$G639)*1440,0),0))</f>
        <v/>
      </c>
      <c r="O639" s="32">
        <f>IF(OR($C639="",$H639="",$J639=""),0,IF(ROUND(($H639-$J639)*1440,0)&gt;設定!$C$28,ROUND(($H639-$J639)*1440,0),0))</f>
        <v/>
      </c>
      <c r="P639" s="33">
        <f>IF($L639="",0,IF(($L639-IFERROR(INDEX(設定!$G$5:$G$20,MATCH($F639,設定!$B$5:$B$20,0)),0))*60&gt;=設定!$C$26,ROUND(FLOOR(($L639-IFERROR(INDEX(設定!$G$5:$G$20,MATCH($F639,設定!$B$5:$B$20,0)),0))*60,設定!$C$27)/60,2),0))</f>
        <v/>
      </c>
      <c r="Q639" s="29">
        <f>IF(OR($C639="",$P639=0),"",IF($F639="國","國定假日",IF($B639="日","例假",IF($B639="六","休息日","平日"))))</f>
        <v/>
      </c>
      <c r="R639" s="34" t="n"/>
    </row>
    <row r="640">
      <c r="A640" s="30">
        <f>IF(OR(班表!$A26="",18&gt;DAY(EOMONTH(DATE(班表!$E$2,班表!$G$2,1),0))),"",DATE(班表!$E$2,班表!$G$2,18))</f>
        <v/>
      </c>
      <c r="B640" s="29">
        <f>IF($A640="","",INDEX(設定!$L$5:$L$11,WEEKDAY($A640,1)))</f>
        <v/>
      </c>
      <c r="C640" s="29">
        <f>IF($A640="","",班表!$A26)</f>
        <v/>
      </c>
      <c r="D640" s="29">
        <f>IF($C640="","",班表!$B26)</f>
        <v/>
      </c>
      <c r="E640" s="29">
        <f>IF($C640="","",班表!$C26)</f>
        <v/>
      </c>
      <c r="F640" s="29">
        <f>IF($C640="","",班表!U26)</f>
        <v/>
      </c>
      <c r="G640" s="31">
        <f>IF($F640="","",IFERROR(INDEX(設定!$D$5:$D$20,MATCH($F640,設定!$B$5:$B$20,0)),""))</f>
        <v/>
      </c>
      <c r="H640" s="31">
        <f>IF($F640="","",IFERROR(INDEX(設定!$E$5:$E$20,MATCH($F640,設定!$B$5:$B$20,0)),""))</f>
        <v/>
      </c>
      <c r="I640" s="31">
        <f>IFERROR(INDEX(打卡匯入!$C$3:$C$1002,MATCH($C640&amp;"|"&amp;DAY($A640),打卡匯入!$E$3:$E$1002,0)),"")</f>
        <v/>
      </c>
      <c r="J640" s="31">
        <f>IFERROR(INDEX(打卡匯入!$D$3:$D$1002,MATCH($C640&amp;"|"&amp;DAY($A640),打卡匯入!$E$3:$E$1002,0)),"")</f>
        <v/>
      </c>
      <c r="K640" s="32">
        <f>IF(OR($I640="",$J640=""),"",IFERROR(INDEX(設定!$F$5:$F$20,MATCH($F640,設定!$B$5:$B$20,0)),0))</f>
        <v/>
      </c>
      <c r="L640" s="33">
        <f>IF(OR($I640="",$J640=""),"",ROUND(($J640-$I640)*24-$K640/60,2))</f>
        <v/>
      </c>
      <c r="M640" s="29">
        <f>IF($C640="","",IF(AND(COUNTIF(設定!$B$14:$B$20,$F640)&gt;0,$I640&lt;&gt;""),"假日出勤",IF(AND(COUNTIF(設定!$B$5:$B$13,$F640)&gt;0,$I640=""),"未打卡",IF($I640="","",IF($N640&gt;0,"遲到",IF($O640&gt;0,"早退","正常"))))))</f>
        <v/>
      </c>
      <c r="N640" s="32">
        <f>IF(OR($C640="",$G640="",$I640=""),0,IF(ROUND(($I640-$G640)*1440,0)&gt;設定!$C$28,ROUND(($I640-$G640)*1440,0),0))</f>
        <v/>
      </c>
      <c r="O640" s="32">
        <f>IF(OR($C640="",$H640="",$J640=""),0,IF(ROUND(($H640-$J640)*1440,0)&gt;設定!$C$28,ROUND(($H640-$J640)*1440,0),0))</f>
        <v/>
      </c>
      <c r="P640" s="33">
        <f>IF($L640="",0,IF(($L640-IFERROR(INDEX(設定!$G$5:$G$20,MATCH($F640,設定!$B$5:$B$20,0)),0))*60&gt;=設定!$C$26,ROUND(FLOOR(($L640-IFERROR(INDEX(設定!$G$5:$G$20,MATCH($F640,設定!$B$5:$B$20,0)),0))*60,設定!$C$27)/60,2),0))</f>
        <v/>
      </c>
      <c r="Q640" s="29">
        <f>IF(OR($C640="",$P640=0),"",IF($F640="國","國定假日",IF($B640="日","例假",IF($B640="六","休息日","平日"))))</f>
        <v/>
      </c>
      <c r="R640" s="34" t="n"/>
    </row>
    <row r="641">
      <c r="A641" s="30">
        <f>IF(OR(班表!$A26="",19&gt;DAY(EOMONTH(DATE(班表!$E$2,班表!$G$2,1),0))),"",DATE(班表!$E$2,班表!$G$2,19))</f>
        <v/>
      </c>
      <c r="B641" s="29">
        <f>IF($A641="","",INDEX(設定!$L$5:$L$11,WEEKDAY($A641,1)))</f>
        <v/>
      </c>
      <c r="C641" s="29">
        <f>IF($A641="","",班表!$A26)</f>
        <v/>
      </c>
      <c r="D641" s="29">
        <f>IF($C641="","",班表!$B26)</f>
        <v/>
      </c>
      <c r="E641" s="29">
        <f>IF($C641="","",班表!$C26)</f>
        <v/>
      </c>
      <c r="F641" s="29">
        <f>IF($C641="","",班表!V26)</f>
        <v/>
      </c>
      <c r="G641" s="31">
        <f>IF($F641="","",IFERROR(INDEX(設定!$D$5:$D$20,MATCH($F641,設定!$B$5:$B$20,0)),""))</f>
        <v/>
      </c>
      <c r="H641" s="31">
        <f>IF($F641="","",IFERROR(INDEX(設定!$E$5:$E$20,MATCH($F641,設定!$B$5:$B$20,0)),""))</f>
        <v/>
      </c>
      <c r="I641" s="31">
        <f>IFERROR(INDEX(打卡匯入!$C$3:$C$1002,MATCH($C641&amp;"|"&amp;DAY($A641),打卡匯入!$E$3:$E$1002,0)),"")</f>
        <v/>
      </c>
      <c r="J641" s="31">
        <f>IFERROR(INDEX(打卡匯入!$D$3:$D$1002,MATCH($C641&amp;"|"&amp;DAY($A641),打卡匯入!$E$3:$E$1002,0)),"")</f>
        <v/>
      </c>
      <c r="K641" s="32">
        <f>IF(OR($I641="",$J641=""),"",IFERROR(INDEX(設定!$F$5:$F$20,MATCH($F641,設定!$B$5:$B$20,0)),0))</f>
        <v/>
      </c>
      <c r="L641" s="33">
        <f>IF(OR($I641="",$J641=""),"",ROUND(($J641-$I641)*24-$K641/60,2))</f>
        <v/>
      </c>
      <c r="M641" s="29">
        <f>IF($C641="","",IF(AND(COUNTIF(設定!$B$14:$B$20,$F641)&gt;0,$I641&lt;&gt;""),"假日出勤",IF(AND(COUNTIF(設定!$B$5:$B$13,$F641)&gt;0,$I641=""),"未打卡",IF($I641="","",IF($N641&gt;0,"遲到",IF($O641&gt;0,"早退","正常"))))))</f>
        <v/>
      </c>
      <c r="N641" s="32">
        <f>IF(OR($C641="",$G641="",$I641=""),0,IF(ROUND(($I641-$G641)*1440,0)&gt;設定!$C$28,ROUND(($I641-$G641)*1440,0),0))</f>
        <v/>
      </c>
      <c r="O641" s="32">
        <f>IF(OR($C641="",$H641="",$J641=""),0,IF(ROUND(($H641-$J641)*1440,0)&gt;設定!$C$28,ROUND(($H641-$J641)*1440,0),0))</f>
        <v/>
      </c>
      <c r="P641" s="33">
        <f>IF($L641="",0,IF(($L641-IFERROR(INDEX(設定!$G$5:$G$20,MATCH($F641,設定!$B$5:$B$20,0)),0))*60&gt;=設定!$C$26,ROUND(FLOOR(($L641-IFERROR(INDEX(設定!$G$5:$G$20,MATCH($F641,設定!$B$5:$B$20,0)),0))*60,設定!$C$27)/60,2),0))</f>
        <v/>
      </c>
      <c r="Q641" s="29">
        <f>IF(OR($C641="",$P641=0),"",IF($F641="國","國定假日",IF($B641="日","例假",IF($B641="六","休息日","平日"))))</f>
        <v/>
      </c>
      <c r="R641" s="34" t="n"/>
    </row>
    <row r="642">
      <c r="A642" s="30">
        <f>IF(OR(班表!$A26="",20&gt;DAY(EOMONTH(DATE(班表!$E$2,班表!$G$2,1),0))),"",DATE(班表!$E$2,班表!$G$2,20))</f>
        <v/>
      </c>
      <c r="B642" s="29">
        <f>IF($A642="","",INDEX(設定!$L$5:$L$11,WEEKDAY($A642,1)))</f>
        <v/>
      </c>
      <c r="C642" s="29">
        <f>IF($A642="","",班表!$A26)</f>
        <v/>
      </c>
      <c r="D642" s="29">
        <f>IF($C642="","",班表!$B26)</f>
        <v/>
      </c>
      <c r="E642" s="29">
        <f>IF($C642="","",班表!$C26)</f>
        <v/>
      </c>
      <c r="F642" s="29">
        <f>IF($C642="","",班表!W26)</f>
        <v/>
      </c>
      <c r="G642" s="31">
        <f>IF($F642="","",IFERROR(INDEX(設定!$D$5:$D$20,MATCH($F642,設定!$B$5:$B$20,0)),""))</f>
        <v/>
      </c>
      <c r="H642" s="31">
        <f>IF($F642="","",IFERROR(INDEX(設定!$E$5:$E$20,MATCH($F642,設定!$B$5:$B$20,0)),""))</f>
        <v/>
      </c>
      <c r="I642" s="31">
        <f>IFERROR(INDEX(打卡匯入!$C$3:$C$1002,MATCH($C642&amp;"|"&amp;DAY($A642),打卡匯入!$E$3:$E$1002,0)),"")</f>
        <v/>
      </c>
      <c r="J642" s="31">
        <f>IFERROR(INDEX(打卡匯入!$D$3:$D$1002,MATCH($C642&amp;"|"&amp;DAY($A642),打卡匯入!$E$3:$E$1002,0)),"")</f>
        <v/>
      </c>
      <c r="K642" s="32">
        <f>IF(OR($I642="",$J642=""),"",IFERROR(INDEX(設定!$F$5:$F$20,MATCH($F642,設定!$B$5:$B$20,0)),0))</f>
        <v/>
      </c>
      <c r="L642" s="33">
        <f>IF(OR($I642="",$J642=""),"",ROUND(($J642-$I642)*24-$K642/60,2))</f>
        <v/>
      </c>
      <c r="M642" s="29">
        <f>IF($C642="","",IF(AND(COUNTIF(設定!$B$14:$B$20,$F642)&gt;0,$I642&lt;&gt;""),"假日出勤",IF(AND(COUNTIF(設定!$B$5:$B$13,$F642)&gt;0,$I642=""),"未打卡",IF($I642="","",IF($N642&gt;0,"遲到",IF($O642&gt;0,"早退","正常"))))))</f>
        <v/>
      </c>
      <c r="N642" s="32">
        <f>IF(OR($C642="",$G642="",$I642=""),0,IF(ROUND(($I642-$G642)*1440,0)&gt;設定!$C$28,ROUND(($I642-$G642)*1440,0),0))</f>
        <v/>
      </c>
      <c r="O642" s="32">
        <f>IF(OR($C642="",$H642="",$J642=""),0,IF(ROUND(($H642-$J642)*1440,0)&gt;設定!$C$28,ROUND(($H642-$J642)*1440,0),0))</f>
        <v/>
      </c>
      <c r="P642" s="33">
        <f>IF($L642="",0,IF(($L642-IFERROR(INDEX(設定!$G$5:$G$20,MATCH($F642,設定!$B$5:$B$20,0)),0))*60&gt;=設定!$C$26,ROUND(FLOOR(($L642-IFERROR(INDEX(設定!$G$5:$G$20,MATCH($F642,設定!$B$5:$B$20,0)),0))*60,設定!$C$27)/60,2),0))</f>
        <v/>
      </c>
      <c r="Q642" s="29">
        <f>IF(OR($C642="",$P642=0),"",IF($F642="國","國定假日",IF($B642="日","例假",IF($B642="六","休息日","平日"))))</f>
        <v/>
      </c>
      <c r="R642" s="34" t="n"/>
    </row>
    <row r="643">
      <c r="A643" s="30">
        <f>IF(OR(班表!$A26="",21&gt;DAY(EOMONTH(DATE(班表!$E$2,班表!$G$2,1),0))),"",DATE(班表!$E$2,班表!$G$2,21))</f>
        <v/>
      </c>
      <c r="B643" s="29">
        <f>IF($A643="","",INDEX(設定!$L$5:$L$11,WEEKDAY($A643,1)))</f>
        <v/>
      </c>
      <c r="C643" s="29">
        <f>IF($A643="","",班表!$A26)</f>
        <v/>
      </c>
      <c r="D643" s="29">
        <f>IF($C643="","",班表!$B26)</f>
        <v/>
      </c>
      <c r="E643" s="29">
        <f>IF($C643="","",班表!$C26)</f>
        <v/>
      </c>
      <c r="F643" s="29">
        <f>IF($C643="","",班表!X26)</f>
        <v/>
      </c>
      <c r="G643" s="31">
        <f>IF($F643="","",IFERROR(INDEX(設定!$D$5:$D$20,MATCH($F643,設定!$B$5:$B$20,0)),""))</f>
        <v/>
      </c>
      <c r="H643" s="31">
        <f>IF($F643="","",IFERROR(INDEX(設定!$E$5:$E$20,MATCH($F643,設定!$B$5:$B$20,0)),""))</f>
        <v/>
      </c>
      <c r="I643" s="31">
        <f>IFERROR(INDEX(打卡匯入!$C$3:$C$1002,MATCH($C643&amp;"|"&amp;DAY($A643),打卡匯入!$E$3:$E$1002,0)),"")</f>
        <v/>
      </c>
      <c r="J643" s="31">
        <f>IFERROR(INDEX(打卡匯入!$D$3:$D$1002,MATCH($C643&amp;"|"&amp;DAY($A643),打卡匯入!$E$3:$E$1002,0)),"")</f>
        <v/>
      </c>
      <c r="K643" s="32">
        <f>IF(OR($I643="",$J643=""),"",IFERROR(INDEX(設定!$F$5:$F$20,MATCH($F643,設定!$B$5:$B$20,0)),0))</f>
        <v/>
      </c>
      <c r="L643" s="33">
        <f>IF(OR($I643="",$J643=""),"",ROUND(($J643-$I643)*24-$K643/60,2))</f>
        <v/>
      </c>
      <c r="M643" s="29">
        <f>IF($C643="","",IF(AND(COUNTIF(設定!$B$14:$B$20,$F643)&gt;0,$I643&lt;&gt;""),"假日出勤",IF(AND(COUNTIF(設定!$B$5:$B$13,$F643)&gt;0,$I643=""),"未打卡",IF($I643="","",IF($N643&gt;0,"遲到",IF($O643&gt;0,"早退","正常"))))))</f>
        <v/>
      </c>
      <c r="N643" s="32">
        <f>IF(OR($C643="",$G643="",$I643=""),0,IF(ROUND(($I643-$G643)*1440,0)&gt;設定!$C$28,ROUND(($I643-$G643)*1440,0),0))</f>
        <v/>
      </c>
      <c r="O643" s="32">
        <f>IF(OR($C643="",$H643="",$J643=""),0,IF(ROUND(($H643-$J643)*1440,0)&gt;設定!$C$28,ROUND(($H643-$J643)*1440,0),0))</f>
        <v/>
      </c>
      <c r="P643" s="33">
        <f>IF($L643="",0,IF(($L643-IFERROR(INDEX(設定!$G$5:$G$20,MATCH($F643,設定!$B$5:$B$20,0)),0))*60&gt;=設定!$C$26,ROUND(FLOOR(($L643-IFERROR(INDEX(設定!$G$5:$G$20,MATCH($F643,設定!$B$5:$B$20,0)),0))*60,設定!$C$27)/60,2),0))</f>
        <v/>
      </c>
      <c r="Q643" s="29">
        <f>IF(OR($C643="",$P643=0),"",IF($F643="國","國定假日",IF($B643="日","例假",IF($B643="六","休息日","平日"))))</f>
        <v/>
      </c>
      <c r="R643" s="34" t="n"/>
    </row>
    <row r="644">
      <c r="A644" s="30">
        <f>IF(OR(班表!$A26="",22&gt;DAY(EOMONTH(DATE(班表!$E$2,班表!$G$2,1),0))),"",DATE(班表!$E$2,班表!$G$2,22))</f>
        <v/>
      </c>
      <c r="B644" s="29">
        <f>IF($A644="","",INDEX(設定!$L$5:$L$11,WEEKDAY($A644,1)))</f>
        <v/>
      </c>
      <c r="C644" s="29">
        <f>IF($A644="","",班表!$A26)</f>
        <v/>
      </c>
      <c r="D644" s="29">
        <f>IF($C644="","",班表!$B26)</f>
        <v/>
      </c>
      <c r="E644" s="29">
        <f>IF($C644="","",班表!$C26)</f>
        <v/>
      </c>
      <c r="F644" s="29">
        <f>IF($C644="","",班表!Y26)</f>
        <v/>
      </c>
      <c r="G644" s="31">
        <f>IF($F644="","",IFERROR(INDEX(設定!$D$5:$D$20,MATCH($F644,設定!$B$5:$B$20,0)),""))</f>
        <v/>
      </c>
      <c r="H644" s="31">
        <f>IF($F644="","",IFERROR(INDEX(設定!$E$5:$E$20,MATCH($F644,設定!$B$5:$B$20,0)),""))</f>
        <v/>
      </c>
      <c r="I644" s="31">
        <f>IFERROR(INDEX(打卡匯入!$C$3:$C$1002,MATCH($C644&amp;"|"&amp;DAY($A644),打卡匯入!$E$3:$E$1002,0)),"")</f>
        <v/>
      </c>
      <c r="J644" s="31">
        <f>IFERROR(INDEX(打卡匯入!$D$3:$D$1002,MATCH($C644&amp;"|"&amp;DAY($A644),打卡匯入!$E$3:$E$1002,0)),"")</f>
        <v/>
      </c>
      <c r="K644" s="32">
        <f>IF(OR($I644="",$J644=""),"",IFERROR(INDEX(設定!$F$5:$F$20,MATCH($F644,設定!$B$5:$B$20,0)),0))</f>
        <v/>
      </c>
      <c r="L644" s="33">
        <f>IF(OR($I644="",$J644=""),"",ROUND(($J644-$I644)*24-$K644/60,2))</f>
        <v/>
      </c>
      <c r="M644" s="29">
        <f>IF($C644="","",IF(AND(COUNTIF(設定!$B$14:$B$20,$F644)&gt;0,$I644&lt;&gt;""),"假日出勤",IF(AND(COUNTIF(設定!$B$5:$B$13,$F644)&gt;0,$I644=""),"未打卡",IF($I644="","",IF($N644&gt;0,"遲到",IF($O644&gt;0,"早退","正常"))))))</f>
        <v/>
      </c>
      <c r="N644" s="32">
        <f>IF(OR($C644="",$G644="",$I644=""),0,IF(ROUND(($I644-$G644)*1440,0)&gt;設定!$C$28,ROUND(($I644-$G644)*1440,0),0))</f>
        <v/>
      </c>
      <c r="O644" s="32">
        <f>IF(OR($C644="",$H644="",$J644=""),0,IF(ROUND(($H644-$J644)*1440,0)&gt;設定!$C$28,ROUND(($H644-$J644)*1440,0),0))</f>
        <v/>
      </c>
      <c r="P644" s="33">
        <f>IF($L644="",0,IF(($L644-IFERROR(INDEX(設定!$G$5:$G$20,MATCH($F644,設定!$B$5:$B$20,0)),0))*60&gt;=設定!$C$26,ROUND(FLOOR(($L644-IFERROR(INDEX(設定!$G$5:$G$20,MATCH($F644,設定!$B$5:$B$20,0)),0))*60,設定!$C$27)/60,2),0))</f>
        <v/>
      </c>
      <c r="Q644" s="29">
        <f>IF(OR($C644="",$P644=0),"",IF($F644="國","國定假日",IF($B644="日","例假",IF($B644="六","休息日","平日"))))</f>
        <v/>
      </c>
      <c r="R644" s="34" t="n"/>
    </row>
    <row r="645">
      <c r="A645" s="30">
        <f>IF(OR(班表!$A26="",23&gt;DAY(EOMONTH(DATE(班表!$E$2,班表!$G$2,1),0))),"",DATE(班表!$E$2,班表!$G$2,23))</f>
        <v/>
      </c>
      <c r="B645" s="29">
        <f>IF($A645="","",INDEX(設定!$L$5:$L$11,WEEKDAY($A645,1)))</f>
        <v/>
      </c>
      <c r="C645" s="29">
        <f>IF($A645="","",班表!$A26)</f>
        <v/>
      </c>
      <c r="D645" s="29">
        <f>IF($C645="","",班表!$B26)</f>
        <v/>
      </c>
      <c r="E645" s="29">
        <f>IF($C645="","",班表!$C26)</f>
        <v/>
      </c>
      <c r="F645" s="29">
        <f>IF($C645="","",班表!Z26)</f>
        <v/>
      </c>
      <c r="G645" s="31">
        <f>IF($F645="","",IFERROR(INDEX(設定!$D$5:$D$20,MATCH($F645,設定!$B$5:$B$20,0)),""))</f>
        <v/>
      </c>
      <c r="H645" s="31">
        <f>IF($F645="","",IFERROR(INDEX(設定!$E$5:$E$20,MATCH($F645,設定!$B$5:$B$20,0)),""))</f>
        <v/>
      </c>
      <c r="I645" s="31">
        <f>IFERROR(INDEX(打卡匯入!$C$3:$C$1002,MATCH($C645&amp;"|"&amp;DAY($A645),打卡匯入!$E$3:$E$1002,0)),"")</f>
        <v/>
      </c>
      <c r="J645" s="31">
        <f>IFERROR(INDEX(打卡匯入!$D$3:$D$1002,MATCH($C645&amp;"|"&amp;DAY($A645),打卡匯入!$E$3:$E$1002,0)),"")</f>
        <v/>
      </c>
      <c r="K645" s="32">
        <f>IF(OR($I645="",$J645=""),"",IFERROR(INDEX(設定!$F$5:$F$20,MATCH($F645,設定!$B$5:$B$20,0)),0))</f>
        <v/>
      </c>
      <c r="L645" s="33">
        <f>IF(OR($I645="",$J645=""),"",ROUND(($J645-$I645)*24-$K645/60,2))</f>
        <v/>
      </c>
      <c r="M645" s="29">
        <f>IF($C645="","",IF(AND(COUNTIF(設定!$B$14:$B$20,$F645)&gt;0,$I645&lt;&gt;""),"假日出勤",IF(AND(COUNTIF(設定!$B$5:$B$13,$F645)&gt;0,$I645=""),"未打卡",IF($I645="","",IF($N645&gt;0,"遲到",IF($O645&gt;0,"早退","正常"))))))</f>
        <v/>
      </c>
      <c r="N645" s="32">
        <f>IF(OR($C645="",$G645="",$I645=""),0,IF(ROUND(($I645-$G645)*1440,0)&gt;設定!$C$28,ROUND(($I645-$G645)*1440,0),0))</f>
        <v/>
      </c>
      <c r="O645" s="32">
        <f>IF(OR($C645="",$H645="",$J645=""),0,IF(ROUND(($H645-$J645)*1440,0)&gt;設定!$C$28,ROUND(($H645-$J645)*1440,0),0))</f>
        <v/>
      </c>
      <c r="P645" s="33">
        <f>IF($L645="",0,IF(($L645-IFERROR(INDEX(設定!$G$5:$G$20,MATCH($F645,設定!$B$5:$B$20,0)),0))*60&gt;=設定!$C$26,ROUND(FLOOR(($L645-IFERROR(INDEX(設定!$G$5:$G$20,MATCH($F645,設定!$B$5:$B$20,0)),0))*60,設定!$C$27)/60,2),0))</f>
        <v/>
      </c>
      <c r="Q645" s="29">
        <f>IF(OR($C645="",$P645=0),"",IF($F645="國","國定假日",IF($B645="日","例假",IF($B645="六","休息日","平日"))))</f>
        <v/>
      </c>
      <c r="R645" s="34" t="n"/>
    </row>
    <row r="646">
      <c r="A646" s="30">
        <f>IF(OR(班表!$A26="",24&gt;DAY(EOMONTH(DATE(班表!$E$2,班表!$G$2,1),0))),"",DATE(班表!$E$2,班表!$G$2,24))</f>
        <v/>
      </c>
      <c r="B646" s="29">
        <f>IF($A646="","",INDEX(設定!$L$5:$L$11,WEEKDAY($A646,1)))</f>
        <v/>
      </c>
      <c r="C646" s="29">
        <f>IF($A646="","",班表!$A26)</f>
        <v/>
      </c>
      <c r="D646" s="29">
        <f>IF($C646="","",班表!$B26)</f>
        <v/>
      </c>
      <c r="E646" s="29">
        <f>IF($C646="","",班表!$C26)</f>
        <v/>
      </c>
      <c r="F646" s="29">
        <f>IF($C646="","",班表!AA26)</f>
        <v/>
      </c>
      <c r="G646" s="31">
        <f>IF($F646="","",IFERROR(INDEX(設定!$D$5:$D$20,MATCH($F646,設定!$B$5:$B$20,0)),""))</f>
        <v/>
      </c>
      <c r="H646" s="31">
        <f>IF($F646="","",IFERROR(INDEX(設定!$E$5:$E$20,MATCH($F646,設定!$B$5:$B$20,0)),""))</f>
        <v/>
      </c>
      <c r="I646" s="31">
        <f>IFERROR(INDEX(打卡匯入!$C$3:$C$1002,MATCH($C646&amp;"|"&amp;DAY($A646),打卡匯入!$E$3:$E$1002,0)),"")</f>
        <v/>
      </c>
      <c r="J646" s="31">
        <f>IFERROR(INDEX(打卡匯入!$D$3:$D$1002,MATCH($C646&amp;"|"&amp;DAY($A646),打卡匯入!$E$3:$E$1002,0)),"")</f>
        <v/>
      </c>
      <c r="K646" s="32">
        <f>IF(OR($I646="",$J646=""),"",IFERROR(INDEX(設定!$F$5:$F$20,MATCH($F646,設定!$B$5:$B$20,0)),0))</f>
        <v/>
      </c>
      <c r="L646" s="33">
        <f>IF(OR($I646="",$J646=""),"",ROUND(($J646-$I646)*24-$K646/60,2))</f>
        <v/>
      </c>
      <c r="M646" s="29">
        <f>IF($C646="","",IF(AND(COUNTIF(設定!$B$14:$B$20,$F646)&gt;0,$I646&lt;&gt;""),"假日出勤",IF(AND(COUNTIF(設定!$B$5:$B$13,$F646)&gt;0,$I646=""),"未打卡",IF($I646="","",IF($N646&gt;0,"遲到",IF($O646&gt;0,"早退","正常"))))))</f>
        <v/>
      </c>
      <c r="N646" s="32">
        <f>IF(OR($C646="",$G646="",$I646=""),0,IF(ROUND(($I646-$G646)*1440,0)&gt;設定!$C$28,ROUND(($I646-$G646)*1440,0),0))</f>
        <v/>
      </c>
      <c r="O646" s="32">
        <f>IF(OR($C646="",$H646="",$J646=""),0,IF(ROUND(($H646-$J646)*1440,0)&gt;設定!$C$28,ROUND(($H646-$J646)*1440,0),0))</f>
        <v/>
      </c>
      <c r="P646" s="33">
        <f>IF($L646="",0,IF(($L646-IFERROR(INDEX(設定!$G$5:$G$20,MATCH($F646,設定!$B$5:$B$20,0)),0))*60&gt;=設定!$C$26,ROUND(FLOOR(($L646-IFERROR(INDEX(設定!$G$5:$G$20,MATCH($F646,設定!$B$5:$B$20,0)),0))*60,設定!$C$27)/60,2),0))</f>
        <v/>
      </c>
      <c r="Q646" s="29">
        <f>IF(OR($C646="",$P646=0),"",IF($F646="國","國定假日",IF($B646="日","例假",IF($B646="六","休息日","平日"))))</f>
        <v/>
      </c>
      <c r="R646" s="34" t="n"/>
    </row>
    <row r="647">
      <c r="A647" s="30">
        <f>IF(OR(班表!$A26="",25&gt;DAY(EOMONTH(DATE(班表!$E$2,班表!$G$2,1),0))),"",DATE(班表!$E$2,班表!$G$2,25))</f>
        <v/>
      </c>
      <c r="B647" s="29">
        <f>IF($A647="","",INDEX(設定!$L$5:$L$11,WEEKDAY($A647,1)))</f>
        <v/>
      </c>
      <c r="C647" s="29">
        <f>IF($A647="","",班表!$A26)</f>
        <v/>
      </c>
      <c r="D647" s="29">
        <f>IF($C647="","",班表!$B26)</f>
        <v/>
      </c>
      <c r="E647" s="29">
        <f>IF($C647="","",班表!$C26)</f>
        <v/>
      </c>
      <c r="F647" s="29">
        <f>IF($C647="","",班表!AB26)</f>
        <v/>
      </c>
      <c r="G647" s="31">
        <f>IF($F647="","",IFERROR(INDEX(設定!$D$5:$D$20,MATCH($F647,設定!$B$5:$B$20,0)),""))</f>
        <v/>
      </c>
      <c r="H647" s="31">
        <f>IF($F647="","",IFERROR(INDEX(設定!$E$5:$E$20,MATCH($F647,設定!$B$5:$B$20,0)),""))</f>
        <v/>
      </c>
      <c r="I647" s="31">
        <f>IFERROR(INDEX(打卡匯入!$C$3:$C$1002,MATCH($C647&amp;"|"&amp;DAY($A647),打卡匯入!$E$3:$E$1002,0)),"")</f>
        <v/>
      </c>
      <c r="J647" s="31">
        <f>IFERROR(INDEX(打卡匯入!$D$3:$D$1002,MATCH($C647&amp;"|"&amp;DAY($A647),打卡匯入!$E$3:$E$1002,0)),"")</f>
        <v/>
      </c>
      <c r="K647" s="32">
        <f>IF(OR($I647="",$J647=""),"",IFERROR(INDEX(設定!$F$5:$F$20,MATCH($F647,設定!$B$5:$B$20,0)),0))</f>
        <v/>
      </c>
      <c r="L647" s="33">
        <f>IF(OR($I647="",$J647=""),"",ROUND(($J647-$I647)*24-$K647/60,2))</f>
        <v/>
      </c>
      <c r="M647" s="29">
        <f>IF($C647="","",IF(AND(COUNTIF(設定!$B$14:$B$20,$F647)&gt;0,$I647&lt;&gt;""),"假日出勤",IF(AND(COUNTIF(設定!$B$5:$B$13,$F647)&gt;0,$I647=""),"未打卡",IF($I647="","",IF($N647&gt;0,"遲到",IF($O647&gt;0,"早退","正常"))))))</f>
        <v/>
      </c>
      <c r="N647" s="32">
        <f>IF(OR($C647="",$G647="",$I647=""),0,IF(ROUND(($I647-$G647)*1440,0)&gt;設定!$C$28,ROUND(($I647-$G647)*1440,0),0))</f>
        <v/>
      </c>
      <c r="O647" s="32">
        <f>IF(OR($C647="",$H647="",$J647=""),0,IF(ROUND(($H647-$J647)*1440,0)&gt;設定!$C$28,ROUND(($H647-$J647)*1440,0),0))</f>
        <v/>
      </c>
      <c r="P647" s="33">
        <f>IF($L647="",0,IF(($L647-IFERROR(INDEX(設定!$G$5:$G$20,MATCH($F647,設定!$B$5:$B$20,0)),0))*60&gt;=設定!$C$26,ROUND(FLOOR(($L647-IFERROR(INDEX(設定!$G$5:$G$20,MATCH($F647,設定!$B$5:$B$20,0)),0))*60,設定!$C$27)/60,2),0))</f>
        <v/>
      </c>
      <c r="Q647" s="29">
        <f>IF(OR($C647="",$P647=0),"",IF($F647="國","國定假日",IF($B647="日","例假",IF($B647="六","休息日","平日"))))</f>
        <v/>
      </c>
      <c r="R647" s="34" t="n"/>
    </row>
    <row r="648">
      <c r="A648" s="30">
        <f>IF(OR(班表!$A26="",26&gt;DAY(EOMONTH(DATE(班表!$E$2,班表!$G$2,1),0))),"",DATE(班表!$E$2,班表!$G$2,26))</f>
        <v/>
      </c>
      <c r="B648" s="29">
        <f>IF($A648="","",INDEX(設定!$L$5:$L$11,WEEKDAY($A648,1)))</f>
        <v/>
      </c>
      <c r="C648" s="29">
        <f>IF($A648="","",班表!$A26)</f>
        <v/>
      </c>
      <c r="D648" s="29">
        <f>IF($C648="","",班表!$B26)</f>
        <v/>
      </c>
      <c r="E648" s="29">
        <f>IF($C648="","",班表!$C26)</f>
        <v/>
      </c>
      <c r="F648" s="29">
        <f>IF($C648="","",班表!AC26)</f>
        <v/>
      </c>
      <c r="G648" s="31">
        <f>IF($F648="","",IFERROR(INDEX(設定!$D$5:$D$20,MATCH($F648,設定!$B$5:$B$20,0)),""))</f>
        <v/>
      </c>
      <c r="H648" s="31">
        <f>IF($F648="","",IFERROR(INDEX(設定!$E$5:$E$20,MATCH($F648,設定!$B$5:$B$20,0)),""))</f>
        <v/>
      </c>
      <c r="I648" s="31">
        <f>IFERROR(INDEX(打卡匯入!$C$3:$C$1002,MATCH($C648&amp;"|"&amp;DAY($A648),打卡匯入!$E$3:$E$1002,0)),"")</f>
        <v/>
      </c>
      <c r="J648" s="31">
        <f>IFERROR(INDEX(打卡匯入!$D$3:$D$1002,MATCH($C648&amp;"|"&amp;DAY($A648),打卡匯入!$E$3:$E$1002,0)),"")</f>
        <v/>
      </c>
      <c r="K648" s="32">
        <f>IF(OR($I648="",$J648=""),"",IFERROR(INDEX(設定!$F$5:$F$20,MATCH($F648,設定!$B$5:$B$20,0)),0))</f>
        <v/>
      </c>
      <c r="L648" s="33">
        <f>IF(OR($I648="",$J648=""),"",ROUND(($J648-$I648)*24-$K648/60,2))</f>
        <v/>
      </c>
      <c r="M648" s="29">
        <f>IF($C648="","",IF(AND(COUNTIF(設定!$B$14:$B$20,$F648)&gt;0,$I648&lt;&gt;""),"假日出勤",IF(AND(COUNTIF(設定!$B$5:$B$13,$F648)&gt;0,$I648=""),"未打卡",IF($I648="","",IF($N648&gt;0,"遲到",IF($O648&gt;0,"早退","正常"))))))</f>
        <v/>
      </c>
      <c r="N648" s="32">
        <f>IF(OR($C648="",$G648="",$I648=""),0,IF(ROUND(($I648-$G648)*1440,0)&gt;設定!$C$28,ROUND(($I648-$G648)*1440,0),0))</f>
        <v/>
      </c>
      <c r="O648" s="32">
        <f>IF(OR($C648="",$H648="",$J648=""),0,IF(ROUND(($H648-$J648)*1440,0)&gt;設定!$C$28,ROUND(($H648-$J648)*1440,0),0))</f>
        <v/>
      </c>
      <c r="P648" s="33">
        <f>IF($L648="",0,IF(($L648-IFERROR(INDEX(設定!$G$5:$G$20,MATCH($F648,設定!$B$5:$B$20,0)),0))*60&gt;=設定!$C$26,ROUND(FLOOR(($L648-IFERROR(INDEX(設定!$G$5:$G$20,MATCH($F648,設定!$B$5:$B$20,0)),0))*60,設定!$C$27)/60,2),0))</f>
        <v/>
      </c>
      <c r="Q648" s="29">
        <f>IF(OR($C648="",$P648=0),"",IF($F648="國","國定假日",IF($B648="日","例假",IF($B648="六","休息日","平日"))))</f>
        <v/>
      </c>
      <c r="R648" s="34" t="n"/>
    </row>
    <row r="649">
      <c r="A649" s="30">
        <f>IF(OR(班表!$A26="",27&gt;DAY(EOMONTH(DATE(班表!$E$2,班表!$G$2,1),0))),"",DATE(班表!$E$2,班表!$G$2,27))</f>
        <v/>
      </c>
      <c r="B649" s="29">
        <f>IF($A649="","",INDEX(設定!$L$5:$L$11,WEEKDAY($A649,1)))</f>
        <v/>
      </c>
      <c r="C649" s="29">
        <f>IF($A649="","",班表!$A26)</f>
        <v/>
      </c>
      <c r="D649" s="29">
        <f>IF($C649="","",班表!$B26)</f>
        <v/>
      </c>
      <c r="E649" s="29">
        <f>IF($C649="","",班表!$C26)</f>
        <v/>
      </c>
      <c r="F649" s="29">
        <f>IF($C649="","",班表!AD26)</f>
        <v/>
      </c>
      <c r="G649" s="31">
        <f>IF($F649="","",IFERROR(INDEX(設定!$D$5:$D$20,MATCH($F649,設定!$B$5:$B$20,0)),""))</f>
        <v/>
      </c>
      <c r="H649" s="31">
        <f>IF($F649="","",IFERROR(INDEX(設定!$E$5:$E$20,MATCH($F649,設定!$B$5:$B$20,0)),""))</f>
        <v/>
      </c>
      <c r="I649" s="31">
        <f>IFERROR(INDEX(打卡匯入!$C$3:$C$1002,MATCH($C649&amp;"|"&amp;DAY($A649),打卡匯入!$E$3:$E$1002,0)),"")</f>
        <v/>
      </c>
      <c r="J649" s="31">
        <f>IFERROR(INDEX(打卡匯入!$D$3:$D$1002,MATCH($C649&amp;"|"&amp;DAY($A649),打卡匯入!$E$3:$E$1002,0)),"")</f>
        <v/>
      </c>
      <c r="K649" s="32">
        <f>IF(OR($I649="",$J649=""),"",IFERROR(INDEX(設定!$F$5:$F$20,MATCH($F649,設定!$B$5:$B$20,0)),0))</f>
        <v/>
      </c>
      <c r="L649" s="33">
        <f>IF(OR($I649="",$J649=""),"",ROUND(($J649-$I649)*24-$K649/60,2))</f>
        <v/>
      </c>
      <c r="M649" s="29">
        <f>IF($C649="","",IF(AND(COUNTIF(設定!$B$14:$B$20,$F649)&gt;0,$I649&lt;&gt;""),"假日出勤",IF(AND(COUNTIF(設定!$B$5:$B$13,$F649)&gt;0,$I649=""),"未打卡",IF($I649="","",IF($N649&gt;0,"遲到",IF($O649&gt;0,"早退","正常"))))))</f>
        <v/>
      </c>
      <c r="N649" s="32">
        <f>IF(OR($C649="",$G649="",$I649=""),0,IF(ROUND(($I649-$G649)*1440,0)&gt;設定!$C$28,ROUND(($I649-$G649)*1440,0),0))</f>
        <v/>
      </c>
      <c r="O649" s="32">
        <f>IF(OR($C649="",$H649="",$J649=""),0,IF(ROUND(($H649-$J649)*1440,0)&gt;設定!$C$28,ROUND(($H649-$J649)*1440,0),0))</f>
        <v/>
      </c>
      <c r="P649" s="33">
        <f>IF($L649="",0,IF(($L649-IFERROR(INDEX(設定!$G$5:$G$20,MATCH($F649,設定!$B$5:$B$20,0)),0))*60&gt;=設定!$C$26,ROUND(FLOOR(($L649-IFERROR(INDEX(設定!$G$5:$G$20,MATCH($F649,設定!$B$5:$B$20,0)),0))*60,設定!$C$27)/60,2),0))</f>
        <v/>
      </c>
      <c r="Q649" s="29">
        <f>IF(OR($C649="",$P649=0),"",IF($F649="國","國定假日",IF($B649="日","例假",IF($B649="六","休息日","平日"))))</f>
        <v/>
      </c>
      <c r="R649" s="34" t="n"/>
    </row>
    <row r="650">
      <c r="A650" s="30">
        <f>IF(OR(班表!$A26="",28&gt;DAY(EOMONTH(DATE(班表!$E$2,班表!$G$2,1),0))),"",DATE(班表!$E$2,班表!$G$2,28))</f>
        <v/>
      </c>
      <c r="B650" s="29">
        <f>IF($A650="","",INDEX(設定!$L$5:$L$11,WEEKDAY($A650,1)))</f>
        <v/>
      </c>
      <c r="C650" s="29">
        <f>IF($A650="","",班表!$A26)</f>
        <v/>
      </c>
      <c r="D650" s="29">
        <f>IF($C650="","",班表!$B26)</f>
        <v/>
      </c>
      <c r="E650" s="29">
        <f>IF($C650="","",班表!$C26)</f>
        <v/>
      </c>
      <c r="F650" s="29">
        <f>IF($C650="","",班表!AE26)</f>
        <v/>
      </c>
      <c r="G650" s="31">
        <f>IF($F650="","",IFERROR(INDEX(設定!$D$5:$D$20,MATCH($F650,設定!$B$5:$B$20,0)),""))</f>
        <v/>
      </c>
      <c r="H650" s="31">
        <f>IF($F650="","",IFERROR(INDEX(設定!$E$5:$E$20,MATCH($F650,設定!$B$5:$B$20,0)),""))</f>
        <v/>
      </c>
      <c r="I650" s="31">
        <f>IFERROR(INDEX(打卡匯入!$C$3:$C$1002,MATCH($C650&amp;"|"&amp;DAY($A650),打卡匯入!$E$3:$E$1002,0)),"")</f>
        <v/>
      </c>
      <c r="J650" s="31">
        <f>IFERROR(INDEX(打卡匯入!$D$3:$D$1002,MATCH($C650&amp;"|"&amp;DAY($A650),打卡匯入!$E$3:$E$1002,0)),"")</f>
        <v/>
      </c>
      <c r="K650" s="32">
        <f>IF(OR($I650="",$J650=""),"",IFERROR(INDEX(設定!$F$5:$F$20,MATCH($F650,設定!$B$5:$B$20,0)),0))</f>
        <v/>
      </c>
      <c r="L650" s="33">
        <f>IF(OR($I650="",$J650=""),"",ROUND(($J650-$I650)*24-$K650/60,2))</f>
        <v/>
      </c>
      <c r="M650" s="29">
        <f>IF($C650="","",IF(AND(COUNTIF(設定!$B$14:$B$20,$F650)&gt;0,$I650&lt;&gt;""),"假日出勤",IF(AND(COUNTIF(設定!$B$5:$B$13,$F650)&gt;0,$I650=""),"未打卡",IF($I650="","",IF($N650&gt;0,"遲到",IF($O650&gt;0,"早退","正常"))))))</f>
        <v/>
      </c>
      <c r="N650" s="32">
        <f>IF(OR($C650="",$G650="",$I650=""),0,IF(ROUND(($I650-$G650)*1440,0)&gt;設定!$C$28,ROUND(($I650-$G650)*1440,0),0))</f>
        <v/>
      </c>
      <c r="O650" s="32">
        <f>IF(OR($C650="",$H650="",$J650=""),0,IF(ROUND(($H650-$J650)*1440,0)&gt;設定!$C$28,ROUND(($H650-$J650)*1440,0),0))</f>
        <v/>
      </c>
      <c r="P650" s="33">
        <f>IF($L650="",0,IF(($L650-IFERROR(INDEX(設定!$G$5:$G$20,MATCH($F650,設定!$B$5:$B$20,0)),0))*60&gt;=設定!$C$26,ROUND(FLOOR(($L650-IFERROR(INDEX(設定!$G$5:$G$20,MATCH($F650,設定!$B$5:$B$20,0)),0))*60,設定!$C$27)/60,2),0))</f>
        <v/>
      </c>
      <c r="Q650" s="29">
        <f>IF(OR($C650="",$P650=0),"",IF($F650="國","國定假日",IF($B650="日","例假",IF($B650="六","休息日","平日"))))</f>
        <v/>
      </c>
      <c r="R650" s="34" t="n"/>
    </row>
    <row r="651">
      <c r="A651" s="30">
        <f>IF(OR(班表!$A26="",29&gt;DAY(EOMONTH(DATE(班表!$E$2,班表!$G$2,1),0))),"",DATE(班表!$E$2,班表!$G$2,29))</f>
        <v/>
      </c>
      <c r="B651" s="29">
        <f>IF($A651="","",INDEX(設定!$L$5:$L$11,WEEKDAY($A651,1)))</f>
        <v/>
      </c>
      <c r="C651" s="29">
        <f>IF($A651="","",班表!$A26)</f>
        <v/>
      </c>
      <c r="D651" s="29">
        <f>IF($C651="","",班表!$B26)</f>
        <v/>
      </c>
      <c r="E651" s="29">
        <f>IF($C651="","",班表!$C26)</f>
        <v/>
      </c>
      <c r="F651" s="29">
        <f>IF($C651="","",班表!AF26)</f>
        <v/>
      </c>
      <c r="G651" s="31">
        <f>IF($F651="","",IFERROR(INDEX(設定!$D$5:$D$20,MATCH($F651,設定!$B$5:$B$20,0)),""))</f>
        <v/>
      </c>
      <c r="H651" s="31">
        <f>IF($F651="","",IFERROR(INDEX(設定!$E$5:$E$20,MATCH($F651,設定!$B$5:$B$20,0)),""))</f>
        <v/>
      </c>
      <c r="I651" s="31">
        <f>IFERROR(INDEX(打卡匯入!$C$3:$C$1002,MATCH($C651&amp;"|"&amp;DAY($A651),打卡匯入!$E$3:$E$1002,0)),"")</f>
        <v/>
      </c>
      <c r="J651" s="31">
        <f>IFERROR(INDEX(打卡匯入!$D$3:$D$1002,MATCH($C651&amp;"|"&amp;DAY($A651),打卡匯入!$E$3:$E$1002,0)),"")</f>
        <v/>
      </c>
      <c r="K651" s="32">
        <f>IF(OR($I651="",$J651=""),"",IFERROR(INDEX(設定!$F$5:$F$20,MATCH($F651,設定!$B$5:$B$20,0)),0))</f>
        <v/>
      </c>
      <c r="L651" s="33">
        <f>IF(OR($I651="",$J651=""),"",ROUND(($J651-$I651)*24-$K651/60,2))</f>
        <v/>
      </c>
      <c r="M651" s="29">
        <f>IF($C651="","",IF(AND(COUNTIF(設定!$B$14:$B$20,$F651)&gt;0,$I651&lt;&gt;""),"假日出勤",IF(AND(COUNTIF(設定!$B$5:$B$13,$F651)&gt;0,$I651=""),"未打卡",IF($I651="","",IF($N651&gt;0,"遲到",IF($O651&gt;0,"早退","正常"))))))</f>
        <v/>
      </c>
      <c r="N651" s="32">
        <f>IF(OR($C651="",$G651="",$I651=""),0,IF(ROUND(($I651-$G651)*1440,0)&gt;設定!$C$28,ROUND(($I651-$G651)*1440,0),0))</f>
        <v/>
      </c>
      <c r="O651" s="32">
        <f>IF(OR($C651="",$H651="",$J651=""),0,IF(ROUND(($H651-$J651)*1440,0)&gt;設定!$C$28,ROUND(($H651-$J651)*1440,0),0))</f>
        <v/>
      </c>
      <c r="P651" s="33">
        <f>IF($L651="",0,IF(($L651-IFERROR(INDEX(設定!$G$5:$G$20,MATCH($F651,設定!$B$5:$B$20,0)),0))*60&gt;=設定!$C$26,ROUND(FLOOR(($L651-IFERROR(INDEX(設定!$G$5:$G$20,MATCH($F651,設定!$B$5:$B$20,0)),0))*60,設定!$C$27)/60,2),0))</f>
        <v/>
      </c>
      <c r="Q651" s="29">
        <f>IF(OR($C651="",$P651=0),"",IF($F651="國","國定假日",IF($B651="日","例假",IF($B651="六","休息日","平日"))))</f>
        <v/>
      </c>
      <c r="R651" s="34" t="n"/>
    </row>
    <row r="652">
      <c r="A652" s="30">
        <f>IF(OR(班表!$A26="",30&gt;DAY(EOMONTH(DATE(班表!$E$2,班表!$G$2,1),0))),"",DATE(班表!$E$2,班表!$G$2,30))</f>
        <v/>
      </c>
      <c r="B652" s="29">
        <f>IF($A652="","",INDEX(設定!$L$5:$L$11,WEEKDAY($A652,1)))</f>
        <v/>
      </c>
      <c r="C652" s="29">
        <f>IF($A652="","",班表!$A26)</f>
        <v/>
      </c>
      <c r="D652" s="29">
        <f>IF($C652="","",班表!$B26)</f>
        <v/>
      </c>
      <c r="E652" s="29">
        <f>IF($C652="","",班表!$C26)</f>
        <v/>
      </c>
      <c r="F652" s="29">
        <f>IF($C652="","",班表!AG26)</f>
        <v/>
      </c>
      <c r="G652" s="31">
        <f>IF($F652="","",IFERROR(INDEX(設定!$D$5:$D$20,MATCH($F652,設定!$B$5:$B$20,0)),""))</f>
        <v/>
      </c>
      <c r="H652" s="31">
        <f>IF($F652="","",IFERROR(INDEX(設定!$E$5:$E$20,MATCH($F652,設定!$B$5:$B$20,0)),""))</f>
        <v/>
      </c>
      <c r="I652" s="31">
        <f>IFERROR(INDEX(打卡匯入!$C$3:$C$1002,MATCH($C652&amp;"|"&amp;DAY($A652),打卡匯入!$E$3:$E$1002,0)),"")</f>
        <v/>
      </c>
      <c r="J652" s="31">
        <f>IFERROR(INDEX(打卡匯入!$D$3:$D$1002,MATCH($C652&amp;"|"&amp;DAY($A652),打卡匯入!$E$3:$E$1002,0)),"")</f>
        <v/>
      </c>
      <c r="K652" s="32">
        <f>IF(OR($I652="",$J652=""),"",IFERROR(INDEX(設定!$F$5:$F$20,MATCH($F652,設定!$B$5:$B$20,0)),0))</f>
        <v/>
      </c>
      <c r="L652" s="33">
        <f>IF(OR($I652="",$J652=""),"",ROUND(($J652-$I652)*24-$K652/60,2))</f>
        <v/>
      </c>
      <c r="M652" s="29">
        <f>IF($C652="","",IF(AND(COUNTIF(設定!$B$14:$B$20,$F652)&gt;0,$I652&lt;&gt;""),"假日出勤",IF(AND(COUNTIF(設定!$B$5:$B$13,$F652)&gt;0,$I652=""),"未打卡",IF($I652="","",IF($N652&gt;0,"遲到",IF($O652&gt;0,"早退","正常"))))))</f>
        <v/>
      </c>
      <c r="N652" s="32">
        <f>IF(OR($C652="",$G652="",$I652=""),0,IF(ROUND(($I652-$G652)*1440,0)&gt;設定!$C$28,ROUND(($I652-$G652)*1440,0),0))</f>
        <v/>
      </c>
      <c r="O652" s="32">
        <f>IF(OR($C652="",$H652="",$J652=""),0,IF(ROUND(($H652-$J652)*1440,0)&gt;設定!$C$28,ROUND(($H652-$J652)*1440,0),0))</f>
        <v/>
      </c>
      <c r="P652" s="33">
        <f>IF($L652="",0,IF(($L652-IFERROR(INDEX(設定!$G$5:$G$20,MATCH($F652,設定!$B$5:$B$20,0)),0))*60&gt;=設定!$C$26,ROUND(FLOOR(($L652-IFERROR(INDEX(設定!$G$5:$G$20,MATCH($F652,設定!$B$5:$B$20,0)),0))*60,設定!$C$27)/60,2),0))</f>
        <v/>
      </c>
      <c r="Q652" s="29">
        <f>IF(OR($C652="",$P652=0),"",IF($F652="國","國定假日",IF($B652="日","例假",IF($B652="六","休息日","平日"))))</f>
        <v/>
      </c>
      <c r="R652" s="34" t="n"/>
    </row>
    <row r="653">
      <c r="A653" s="30">
        <f>IF(OR(班表!$A26="",31&gt;DAY(EOMONTH(DATE(班表!$E$2,班表!$G$2,1),0))),"",DATE(班表!$E$2,班表!$G$2,31))</f>
        <v/>
      </c>
      <c r="B653" s="29">
        <f>IF($A653="","",INDEX(設定!$L$5:$L$11,WEEKDAY($A653,1)))</f>
        <v/>
      </c>
      <c r="C653" s="29">
        <f>IF($A653="","",班表!$A26)</f>
        <v/>
      </c>
      <c r="D653" s="29">
        <f>IF($C653="","",班表!$B26)</f>
        <v/>
      </c>
      <c r="E653" s="29">
        <f>IF($C653="","",班表!$C26)</f>
        <v/>
      </c>
      <c r="F653" s="29">
        <f>IF($C653="","",班表!AH26)</f>
        <v/>
      </c>
      <c r="G653" s="31">
        <f>IF($F653="","",IFERROR(INDEX(設定!$D$5:$D$20,MATCH($F653,設定!$B$5:$B$20,0)),""))</f>
        <v/>
      </c>
      <c r="H653" s="31">
        <f>IF($F653="","",IFERROR(INDEX(設定!$E$5:$E$20,MATCH($F653,設定!$B$5:$B$20,0)),""))</f>
        <v/>
      </c>
      <c r="I653" s="31">
        <f>IFERROR(INDEX(打卡匯入!$C$3:$C$1002,MATCH($C653&amp;"|"&amp;DAY($A653),打卡匯入!$E$3:$E$1002,0)),"")</f>
        <v/>
      </c>
      <c r="J653" s="31">
        <f>IFERROR(INDEX(打卡匯入!$D$3:$D$1002,MATCH($C653&amp;"|"&amp;DAY($A653),打卡匯入!$E$3:$E$1002,0)),"")</f>
        <v/>
      </c>
      <c r="K653" s="32">
        <f>IF(OR($I653="",$J653=""),"",IFERROR(INDEX(設定!$F$5:$F$20,MATCH($F653,設定!$B$5:$B$20,0)),0))</f>
        <v/>
      </c>
      <c r="L653" s="33">
        <f>IF(OR($I653="",$J653=""),"",ROUND(($J653-$I653)*24-$K653/60,2))</f>
        <v/>
      </c>
      <c r="M653" s="29">
        <f>IF($C653="","",IF(AND(COUNTIF(設定!$B$14:$B$20,$F653)&gt;0,$I653&lt;&gt;""),"假日出勤",IF(AND(COUNTIF(設定!$B$5:$B$13,$F653)&gt;0,$I653=""),"未打卡",IF($I653="","",IF($N653&gt;0,"遲到",IF($O653&gt;0,"早退","正常"))))))</f>
        <v/>
      </c>
      <c r="N653" s="32">
        <f>IF(OR($C653="",$G653="",$I653=""),0,IF(ROUND(($I653-$G653)*1440,0)&gt;設定!$C$28,ROUND(($I653-$G653)*1440,0),0))</f>
        <v/>
      </c>
      <c r="O653" s="32">
        <f>IF(OR($C653="",$H653="",$J653=""),0,IF(ROUND(($H653-$J653)*1440,0)&gt;設定!$C$28,ROUND(($H653-$J653)*1440,0),0))</f>
        <v/>
      </c>
      <c r="P653" s="33">
        <f>IF($L653="",0,IF(($L653-IFERROR(INDEX(設定!$G$5:$G$20,MATCH($F653,設定!$B$5:$B$20,0)),0))*60&gt;=設定!$C$26,ROUND(FLOOR(($L653-IFERROR(INDEX(設定!$G$5:$G$20,MATCH($F653,設定!$B$5:$B$20,0)),0))*60,設定!$C$27)/60,2),0))</f>
        <v/>
      </c>
      <c r="Q653" s="29">
        <f>IF(OR($C653="",$P653=0),"",IF($F653="國","國定假日",IF($B653="日","例假",IF($B653="六","休息日","平日"))))</f>
        <v/>
      </c>
      <c r="R653" s="34" t="n"/>
    </row>
    <row r="654">
      <c r="A654" s="30">
        <f>IF(OR(班表!$A27="",1&gt;DAY(EOMONTH(DATE(班表!$E$2,班表!$G$2,1),0))),"",DATE(班表!$E$2,班表!$G$2,1))</f>
        <v/>
      </c>
      <c r="B654" s="29">
        <f>IF($A654="","",INDEX(設定!$L$5:$L$11,WEEKDAY($A654,1)))</f>
        <v/>
      </c>
      <c r="C654" s="29">
        <f>IF($A654="","",班表!$A27)</f>
        <v/>
      </c>
      <c r="D654" s="29">
        <f>IF($C654="","",班表!$B27)</f>
        <v/>
      </c>
      <c r="E654" s="29">
        <f>IF($C654="","",班表!$C27)</f>
        <v/>
      </c>
      <c r="F654" s="29">
        <f>IF($C654="","",班表!D27)</f>
        <v/>
      </c>
      <c r="G654" s="31">
        <f>IF($F654="","",IFERROR(INDEX(設定!$D$5:$D$20,MATCH($F654,設定!$B$5:$B$20,0)),""))</f>
        <v/>
      </c>
      <c r="H654" s="31">
        <f>IF($F654="","",IFERROR(INDEX(設定!$E$5:$E$20,MATCH($F654,設定!$B$5:$B$20,0)),""))</f>
        <v/>
      </c>
      <c r="I654" s="31">
        <f>IFERROR(INDEX(打卡匯入!$C$3:$C$1002,MATCH($C654&amp;"|"&amp;DAY($A654),打卡匯入!$E$3:$E$1002,0)),"")</f>
        <v/>
      </c>
      <c r="J654" s="31">
        <f>IFERROR(INDEX(打卡匯入!$D$3:$D$1002,MATCH($C654&amp;"|"&amp;DAY($A654),打卡匯入!$E$3:$E$1002,0)),"")</f>
        <v/>
      </c>
      <c r="K654" s="32">
        <f>IF(OR($I654="",$J654=""),"",IFERROR(INDEX(設定!$F$5:$F$20,MATCH($F654,設定!$B$5:$B$20,0)),0))</f>
        <v/>
      </c>
      <c r="L654" s="33">
        <f>IF(OR($I654="",$J654=""),"",ROUND(($J654-$I654)*24-$K654/60,2))</f>
        <v/>
      </c>
      <c r="M654" s="29">
        <f>IF($C654="","",IF(AND(COUNTIF(設定!$B$14:$B$20,$F654)&gt;0,$I654&lt;&gt;""),"假日出勤",IF(AND(COUNTIF(設定!$B$5:$B$13,$F654)&gt;0,$I654=""),"未打卡",IF($I654="","",IF($N654&gt;0,"遲到",IF($O654&gt;0,"早退","正常"))))))</f>
        <v/>
      </c>
      <c r="N654" s="32">
        <f>IF(OR($C654="",$G654="",$I654=""),0,IF(ROUND(($I654-$G654)*1440,0)&gt;設定!$C$28,ROUND(($I654-$G654)*1440,0),0))</f>
        <v/>
      </c>
      <c r="O654" s="32">
        <f>IF(OR($C654="",$H654="",$J654=""),0,IF(ROUND(($H654-$J654)*1440,0)&gt;設定!$C$28,ROUND(($H654-$J654)*1440,0),0))</f>
        <v/>
      </c>
      <c r="P654" s="33">
        <f>IF($L654="",0,IF(($L654-IFERROR(INDEX(設定!$G$5:$G$20,MATCH($F654,設定!$B$5:$B$20,0)),0))*60&gt;=設定!$C$26,ROUND(FLOOR(($L654-IFERROR(INDEX(設定!$G$5:$G$20,MATCH($F654,設定!$B$5:$B$20,0)),0))*60,設定!$C$27)/60,2),0))</f>
        <v/>
      </c>
      <c r="Q654" s="29">
        <f>IF(OR($C654="",$P654=0),"",IF($F654="國","國定假日",IF($B654="日","例假",IF($B654="六","休息日","平日"))))</f>
        <v/>
      </c>
      <c r="R654" s="34" t="n"/>
    </row>
    <row r="655">
      <c r="A655" s="30">
        <f>IF(OR(班表!$A27="",2&gt;DAY(EOMONTH(DATE(班表!$E$2,班表!$G$2,1),0))),"",DATE(班表!$E$2,班表!$G$2,2))</f>
        <v/>
      </c>
      <c r="B655" s="29">
        <f>IF($A655="","",INDEX(設定!$L$5:$L$11,WEEKDAY($A655,1)))</f>
        <v/>
      </c>
      <c r="C655" s="29">
        <f>IF($A655="","",班表!$A27)</f>
        <v/>
      </c>
      <c r="D655" s="29">
        <f>IF($C655="","",班表!$B27)</f>
        <v/>
      </c>
      <c r="E655" s="29">
        <f>IF($C655="","",班表!$C27)</f>
        <v/>
      </c>
      <c r="F655" s="29">
        <f>IF($C655="","",班表!E27)</f>
        <v/>
      </c>
      <c r="G655" s="31">
        <f>IF($F655="","",IFERROR(INDEX(設定!$D$5:$D$20,MATCH($F655,設定!$B$5:$B$20,0)),""))</f>
        <v/>
      </c>
      <c r="H655" s="31">
        <f>IF($F655="","",IFERROR(INDEX(設定!$E$5:$E$20,MATCH($F655,設定!$B$5:$B$20,0)),""))</f>
        <v/>
      </c>
      <c r="I655" s="31">
        <f>IFERROR(INDEX(打卡匯入!$C$3:$C$1002,MATCH($C655&amp;"|"&amp;DAY($A655),打卡匯入!$E$3:$E$1002,0)),"")</f>
        <v/>
      </c>
      <c r="J655" s="31">
        <f>IFERROR(INDEX(打卡匯入!$D$3:$D$1002,MATCH($C655&amp;"|"&amp;DAY($A655),打卡匯入!$E$3:$E$1002,0)),"")</f>
        <v/>
      </c>
      <c r="K655" s="32">
        <f>IF(OR($I655="",$J655=""),"",IFERROR(INDEX(設定!$F$5:$F$20,MATCH($F655,設定!$B$5:$B$20,0)),0))</f>
        <v/>
      </c>
      <c r="L655" s="33">
        <f>IF(OR($I655="",$J655=""),"",ROUND(($J655-$I655)*24-$K655/60,2))</f>
        <v/>
      </c>
      <c r="M655" s="29">
        <f>IF($C655="","",IF(AND(COUNTIF(設定!$B$14:$B$20,$F655)&gt;0,$I655&lt;&gt;""),"假日出勤",IF(AND(COUNTIF(設定!$B$5:$B$13,$F655)&gt;0,$I655=""),"未打卡",IF($I655="","",IF($N655&gt;0,"遲到",IF($O655&gt;0,"早退","正常"))))))</f>
        <v/>
      </c>
      <c r="N655" s="32">
        <f>IF(OR($C655="",$G655="",$I655=""),0,IF(ROUND(($I655-$G655)*1440,0)&gt;設定!$C$28,ROUND(($I655-$G655)*1440,0),0))</f>
        <v/>
      </c>
      <c r="O655" s="32">
        <f>IF(OR($C655="",$H655="",$J655=""),0,IF(ROUND(($H655-$J655)*1440,0)&gt;設定!$C$28,ROUND(($H655-$J655)*1440,0),0))</f>
        <v/>
      </c>
      <c r="P655" s="33">
        <f>IF($L655="",0,IF(($L655-IFERROR(INDEX(設定!$G$5:$G$20,MATCH($F655,設定!$B$5:$B$20,0)),0))*60&gt;=設定!$C$26,ROUND(FLOOR(($L655-IFERROR(INDEX(設定!$G$5:$G$20,MATCH($F655,設定!$B$5:$B$20,0)),0))*60,設定!$C$27)/60,2),0))</f>
        <v/>
      </c>
      <c r="Q655" s="29">
        <f>IF(OR($C655="",$P655=0),"",IF($F655="國","國定假日",IF($B655="日","例假",IF($B655="六","休息日","平日"))))</f>
        <v/>
      </c>
      <c r="R655" s="34" t="n"/>
    </row>
    <row r="656">
      <c r="A656" s="30">
        <f>IF(OR(班表!$A27="",3&gt;DAY(EOMONTH(DATE(班表!$E$2,班表!$G$2,1),0))),"",DATE(班表!$E$2,班表!$G$2,3))</f>
        <v/>
      </c>
      <c r="B656" s="29">
        <f>IF($A656="","",INDEX(設定!$L$5:$L$11,WEEKDAY($A656,1)))</f>
        <v/>
      </c>
      <c r="C656" s="29">
        <f>IF($A656="","",班表!$A27)</f>
        <v/>
      </c>
      <c r="D656" s="29">
        <f>IF($C656="","",班表!$B27)</f>
        <v/>
      </c>
      <c r="E656" s="29">
        <f>IF($C656="","",班表!$C27)</f>
        <v/>
      </c>
      <c r="F656" s="29">
        <f>IF($C656="","",班表!F27)</f>
        <v/>
      </c>
      <c r="G656" s="31">
        <f>IF($F656="","",IFERROR(INDEX(設定!$D$5:$D$20,MATCH($F656,設定!$B$5:$B$20,0)),""))</f>
        <v/>
      </c>
      <c r="H656" s="31">
        <f>IF($F656="","",IFERROR(INDEX(設定!$E$5:$E$20,MATCH($F656,設定!$B$5:$B$20,0)),""))</f>
        <v/>
      </c>
      <c r="I656" s="31">
        <f>IFERROR(INDEX(打卡匯入!$C$3:$C$1002,MATCH($C656&amp;"|"&amp;DAY($A656),打卡匯入!$E$3:$E$1002,0)),"")</f>
        <v/>
      </c>
      <c r="J656" s="31">
        <f>IFERROR(INDEX(打卡匯入!$D$3:$D$1002,MATCH($C656&amp;"|"&amp;DAY($A656),打卡匯入!$E$3:$E$1002,0)),"")</f>
        <v/>
      </c>
      <c r="K656" s="32">
        <f>IF(OR($I656="",$J656=""),"",IFERROR(INDEX(設定!$F$5:$F$20,MATCH($F656,設定!$B$5:$B$20,0)),0))</f>
        <v/>
      </c>
      <c r="L656" s="33">
        <f>IF(OR($I656="",$J656=""),"",ROUND(($J656-$I656)*24-$K656/60,2))</f>
        <v/>
      </c>
      <c r="M656" s="29">
        <f>IF($C656="","",IF(AND(COUNTIF(設定!$B$14:$B$20,$F656)&gt;0,$I656&lt;&gt;""),"假日出勤",IF(AND(COUNTIF(設定!$B$5:$B$13,$F656)&gt;0,$I656=""),"未打卡",IF($I656="","",IF($N656&gt;0,"遲到",IF($O656&gt;0,"早退","正常"))))))</f>
        <v/>
      </c>
      <c r="N656" s="32">
        <f>IF(OR($C656="",$G656="",$I656=""),0,IF(ROUND(($I656-$G656)*1440,0)&gt;設定!$C$28,ROUND(($I656-$G656)*1440,0),0))</f>
        <v/>
      </c>
      <c r="O656" s="32">
        <f>IF(OR($C656="",$H656="",$J656=""),0,IF(ROUND(($H656-$J656)*1440,0)&gt;設定!$C$28,ROUND(($H656-$J656)*1440,0),0))</f>
        <v/>
      </c>
      <c r="P656" s="33">
        <f>IF($L656="",0,IF(($L656-IFERROR(INDEX(設定!$G$5:$G$20,MATCH($F656,設定!$B$5:$B$20,0)),0))*60&gt;=設定!$C$26,ROUND(FLOOR(($L656-IFERROR(INDEX(設定!$G$5:$G$20,MATCH($F656,設定!$B$5:$B$20,0)),0))*60,設定!$C$27)/60,2),0))</f>
        <v/>
      </c>
      <c r="Q656" s="29">
        <f>IF(OR($C656="",$P656=0),"",IF($F656="國","國定假日",IF($B656="日","例假",IF($B656="六","休息日","平日"))))</f>
        <v/>
      </c>
      <c r="R656" s="34" t="n"/>
    </row>
    <row r="657">
      <c r="A657" s="30">
        <f>IF(OR(班表!$A27="",4&gt;DAY(EOMONTH(DATE(班表!$E$2,班表!$G$2,1),0))),"",DATE(班表!$E$2,班表!$G$2,4))</f>
        <v/>
      </c>
      <c r="B657" s="29">
        <f>IF($A657="","",INDEX(設定!$L$5:$L$11,WEEKDAY($A657,1)))</f>
        <v/>
      </c>
      <c r="C657" s="29">
        <f>IF($A657="","",班表!$A27)</f>
        <v/>
      </c>
      <c r="D657" s="29">
        <f>IF($C657="","",班表!$B27)</f>
        <v/>
      </c>
      <c r="E657" s="29">
        <f>IF($C657="","",班表!$C27)</f>
        <v/>
      </c>
      <c r="F657" s="29">
        <f>IF($C657="","",班表!G27)</f>
        <v/>
      </c>
      <c r="G657" s="31">
        <f>IF($F657="","",IFERROR(INDEX(設定!$D$5:$D$20,MATCH($F657,設定!$B$5:$B$20,0)),""))</f>
        <v/>
      </c>
      <c r="H657" s="31">
        <f>IF($F657="","",IFERROR(INDEX(設定!$E$5:$E$20,MATCH($F657,設定!$B$5:$B$20,0)),""))</f>
        <v/>
      </c>
      <c r="I657" s="31">
        <f>IFERROR(INDEX(打卡匯入!$C$3:$C$1002,MATCH($C657&amp;"|"&amp;DAY($A657),打卡匯入!$E$3:$E$1002,0)),"")</f>
        <v/>
      </c>
      <c r="J657" s="31">
        <f>IFERROR(INDEX(打卡匯入!$D$3:$D$1002,MATCH($C657&amp;"|"&amp;DAY($A657),打卡匯入!$E$3:$E$1002,0)),"")</f>
        <v/>
      </c>
      <c r="K657" s="32">
        <f>IF(OR($I657="",$J657=""),"",IFERROR(INDEX(設定!$F$5:$F$20,MATCH($F657,設定!$B$5:$B$20,0)),0))</f>
        <v/>
      </c>
      <c r="L657" s="33">
        <f>IF(OR($I657="",$J657=""),"",ROUND(($J657-$I657)*24-$K657/60,2))</f>
        <v/>
      </c>
      <c r="M657" s="29">
        <f>IF($C657="","",IF(AND(COUNTIF(設定!$B$14:$B$20,$F657)&gt;0,$I657&lt;&gt;""),"假日出勤",IF(AND(COUNTIF(設定!$B$5:$B$13,$F657)&gt;0,$I657=""),"未打卡",IF($I657="","",IF($N657&gt;0,"遲到",IF($O657&gt;0,"早退","正常"))))))</f>
        <v/>
      </c>
      <c r="N657" s="32">
        <f>IF(OR($C657="",$G657="",$I657=""),0,IF(ROUND(($I657-$G657)*1440,0)&gt;設定!$C$28,ROUND(($I657-$G657)*1440,0),0))</f>
        <v/>
      </c>
      <c r="O657" s="32">
        <f>IF(OR($C657="",$H657="",$J657=""),0,IF(ROUND(($H657-$J657)*1440,0)&gt;設定!$C$28,ROUND(($H657-$J657)*1440,0),0))</f>
        <v/>
      </c>
      <c r="P657" s="33">
        <f>IF($L657="",0,IF(($L657-IFERROR(INDEX(設定!$G$5:$G$20,MATCH($F657,設定!$B$5:$B$20,0)),0))*60&gt;=設定!$C$26,ROUND(FLOOR(($L657-IFERROR(INDEX(設定!$G$5:$G$20,MATCH($F657,設定!$B$5:$B$20,0)),0))*60,設定!$C$27)/60,2),0))</f>
        <v/>
      </c>
      <c r="Q657" s="29">
        <f>IF(OR($C657="",$P657=0),"",IF($F657="國","國定假日",IF($B657="日","例假",IF($B657="六","休息日","平日"))))</f>
        <v/>
      </c>
      <c r="R657" s="34" t="n"/>
    </row>
    <row r="658">
      <c r="A658" s="30">
        <f>IF(OR(班表!$A27="",5&gt;DAY(EOMONTH(DATE(班表!$E$2,班表!$G$2,1),0))),"",DATE(班表!$E$2,班表!$G$2,5))</f>
        <v/>
      </c>
      <c r="B658" s="29">
        <f>IF($A658="","",INDEX(設定!$L$5:$L$11,WEEKDAY($A658,1)))</f>
        <v/>
      </c>
      <c r="C658" s="29">
        <f>IF($A658="","",班表!$A27)</f>
        <v/>
      </c>
      <c r="D658" s="29">
        <f>IF($C658="","",班表!$B27)</f>
        <v/>
      </c>
      <c r="E658" s="29">
        <f>IF($C658="","",班表!$C27)</f>
        <v/>
      </c>
      <c r="F658" s="29">
        <f>IF($C658="","",班表!H27)</f>
        <v/>
      </c>
      <c r="G658" s="31">
        <f>IF($F658="","",IFERROR(INDEX(設定!$D$5:$D$20,MATCH($F658,設定!$B$5:$B$20,0)),""))</f>
        <v/>
      </c>
      <c r="H658" s="31">
        <f>IF($F658="","",IFERROR(INDEX(設定!$E$5:$E$20,MATCH($F658,設定!$B$5:$B$20,0)),""))</f>
        <v/>
      </c>
      <c r="I658" s="31">
        <f>IFERROR(INDEX(打卡匯入!$C$3:$C$1002,MATCH($C658&amp;"|"&amp;DAY($A658),打卡匯入!$E$3:$E$1002,0)),"")</f>
        <v/>
      </c>
      <c r="J658" s="31">
        <f>IFERROR(INDEX(打卡匯入!$D$3:$D$1002,MATCH($C658&amp;"|"&amp;DAY($A658),打卡匯入!$E$3:$E$1002,0)),"")</f>
        <v/>
      </c>
      <c r="K658" s="32">
        <f>IF(OR($I658="",$J658=""),"",IFERROR(INDEX(設定!$F$5:$F$20,MATCH($F658,設定!$B$5:$B$20,0)),0))</f>
        <v/>
      </c>
      <c r="L658" s="33">
        <f>IF(OR($I658="",$J658=""),"",ROUND(($J658-$I658)*24-$K658/60,2))</f>
        <v/>
      </c>
      <c r="M658" s="29">
        <f>IF($C658="","",IF(AND(COUNTIF(設定!$B$14:$B$20,$F658)&gt;0,$I658&lt;&gt;""),"假日出勤",IF(AND(COUNTIF(設定!$B$5:$B$13,$F658)&gt;0,$I658=""),"未打卡",IF($I658="","",IF($N658&gt;0,"遲到",IF($O658&gt;0,"早退","正常"))))))</f>
        <v/>
      </c>
      <c r="N658" s="32">
        <f>IF(OR($C658="",$G658="",$I658=""),0,IF(ROUND(($I658-$G658)*1440,0)&gt;設定!$C$28,ROUND(($I658-$G658)*1440,0),0))</f>
        <v/>
      </c>
      <c r="O658" s="32">
        <f>IF(OR($C658="",$H658="",$J658=""),0,IF(ROUND(($H658-$J658)*1440,0)&gt;設定!$C$28,ROUND(($H658-$J658)*1440,0),0))</f>
        <v/>
      </c>
      <c r="P658" s="33">
        <f>IF($L658="",0,IF(($L658-IFERROR(INDEX(設定!$G$5:$G$20,MATCH($F658,設定!$B$5:$B$20,0)),0))*60&gt;=設定!$C$26,ROUND(FLOOR(($L658-IFERROR(INDEX(設定!$G$5:$G$20,MATCH($F658,設定!$B$5:$B$20,0)),0))*60,設定!$C$27)/60,2),0))</f>
        <v/>
      </c>
      <c r="Q658" s="29">
        <f>IF(OR($C658="",$P658=0),"",IF($F658="國","國定假日",IF($B658="日","例假",IF($B658="六","休息日","平日"))))</f>
        <v/>
      </c>
      <c r="R658" s="34" t="n"/>
    </row>
    <row r="659">
      <c r="A659" s="30">
        <f>IF(OR(班表!$A27="",6&gt;DAY(EOMONTH(DATE(班表!$E$2,班表!$G$2,1),0))),"",DATE(班表!$E$2,班表!$G$2,6))</f>
        <v/>
      </c>
      <c r="B659" s="29">
        <f>IF($A659="","",INDEX(設定!$L$5:$L$11,WEEKDAY($A659,1)))</f>
        <v/>
      </c>
      <c r="C659" s="29">
        <f>IF($A659="","",班表!$A27)</f>
        <v/>
      </c>
      <c r="D659" s="29">
        <f>IF($C659="","",班表!$B27)</f>
        <v/>
      </c>
      <c r="E659" s="29">
        <f>IF($C659="","",班表!$C27)</f>
        <v/>
      </c>
      <c r="F659" s="29">
        <f>IF($C659="","",班表!I27)</f>
        <v/>
      </c>
      <c r="G659" s="31">
        <f>IF($F659="","",IFERROR(INDEX(設定!$D$5:$D$20,MATCH($F659,設定!$B$5:$B$20,0)),""))</f>
        <v/>
      </c>
      <c r="H659" s="31">
        <f>IF($F659="","",IFERROR(INDEX(設定!$E$5:$E$20,MATCH($F659,設定!$B$5:$B$20,0)),""))</f>
        <v/>
      </c>
      <c r="I659" s="31">
        <f>IFERROR(INDEX(打卡匯入!$C$3:$C$1002,MATCH($C659&amp;"|"&amp;DAY($A659),打卡匯入!$E$3:$E$1002,0)),"")</f>
        <v/>
      </c>
      <c r="J659" s="31">
        <f>IFERROR(INDEX(打卡匯入!$D$3:$D$1002,MATCH($C659&amp;"|"&amp;DAY($A659),打卡匯入!$E$3:$E$1002,0)),"")</f>
        <v/>
      </c>
      <c r="K659" s="32">
        <f>IF(OR($I659="",$J659=""),"",IFERROR(INDEX(設定!$F$5:$F$20,MATCH($F659,設定!$B$5:$B$20,0)),0))</f>
        <v/>
      </c>
      <c r="L659" s="33">
        <f>IF(OR($I659="",$J659=""),"",ROUND(($J659-$I659)*24-$K659/60,2))</f>
        <v/>
      </c>
      <c r="M659" s="29">
        <f>IF($C659="","",IF(AND(COUNTIF(設定!$B$14:$B$20,$F659)&gt;0,$I659&lt;&gt;""),"假日出勤",IF(AND(COUNTIF(設定!$B$5:$B$13,$F659)&gt;0,$I659=""),"未打卡",IF($I659="","",IF($N659&gt;0,"遲到",IF($O659&gt;0,"早退","正常"))))))</f>
        <v/>
      </c>
      <c r="N659" s="32">
        <f>IF(OR($C659="",$G659="",$I659=""),0,IF(ROUND(($I659-$G659)*1440,0)&gt;設定!$C$28,ROUND(($I659-$G659)*1440,0),0))</f>
        <v/>
      </c>
      <c r="O659" s="32">
        <f>IF(OR($C659="",$H659="",$J659=""),0,IF(ROUND(($H659-$J659)*1440,0)&gt;設定!$C$28,ROUND(($H659-$J659)*1440,0),0))</f>
        <v/>
      </c>
      <c r="P659" s="33">
        <f>IF($L659="",0,IF(($L659-IFERROR(INDEX(設定!$G$5:$G$20,MATCH($F659,設定!$B$5:$B$20,0)),0))*60&gt;=設定!$C$26,ROUND(FLOOR(($L659-IFERROR(INDEX(設定!$G$5:$G$20,MATCH($F659,設定!$B$5:$B$20,0)),0))*60,設定!$C$27)/60,2),0))</f>
        <v/>
      </c>
      <c r="Q659" s="29">
        <f>IF(OR($C659="",$P659=0),"",IF($F659="國","國定假日",IF($B659="日","例假",IF($B659="六","休息日","平日"))))</f>
        <v/>
      </c>
      <c r="R659" s="34" t="n"/>
    </row>
    <row r="660">
      <c r="A660" s="30">
        <f>IF(OR(班表!$A27="",7&gt;DAY(EOMONTH(DATE(班表!$E$2,班表!$G$2,1),0))),"",DATE(班表!$E$2,班表!$G$2,7))</f>
        <v/>
      </c>
      <c r="B660" s="29">
        <f>IF($A660="","",INDEX(設定!$L$5:$L$11,WEEKDAY($A660,1)))</f>
        <v/>
      </c>
      <c r="C660" s="29">
        <f>IF($A660="","",班表!$A27)</f>
        <v/>
      </c>
      <c r="D660" s="29">
        <f>IF($C660="","",班表!$B27)</f>
        <v/>
      </c>
      <c r="E660" s="29">
        <f>IF($C660="","",班表!$C27)</f>
        <v/>
      </c>
      <c r="F660" s="29">
        <f>IF($C660="","",班表!J27)</f>
        <v/>
      </c>
      <c r="G660" s="31">
        <f>IF($F660="","",IFERROR(INDEX(設定!$D$5:$D$20,MATCH($F660,設定!$B$5:$B$20,0)),""))</f>
        <v/>
      </c>
      <c r="H660" s="31">
        <f>IF($F660="","",IFERROR(INDEX(設定!$E$5:$E$20,MATCH($F660,設定!$B$5:$B$20,0)),""))</f>
        <v/>
      </c>
      <c r="I660" s="31">
        <f>IFERROR(INDEX(打卡匯入!$C$3:$C$1002,MATCH($C660&amp;"|"&amp;DAY($A660),打卡匯入!$E$3:$E$1002,0)),"")</f>
        <v/>
      </c>
      <c r="J660" s="31">
        <f>IFERROR(INDEX(打卡匯入!$D$3:$D$1002,MATCH($C660&amp;"|"&amp;DAY($A660),打卡匯入!$E$3:$E$1002,0)),"")</f>
        <v/>
      </c>
      <c r="K660" s="32">
        <f>IF(OR($I660="",$J660=""),"",IFERROR(INDEX(設定!$F$5:$F$20,MATCH($F660,設定!$B$5:$B$20,0)),0))</f>
        <v/>
      </c>
      <c r="L660" s="33">
        <f>IF(OR($I660="",$J660=""),"",ROUND(($J660-$I660)*24-$K660/60,2))</f>
        <v/>
      </c>
      <c r="M660" s="29">
        <f>IF($C660="","",IF(AND(COUNTIF(設定!$B$14:$B$20,$F660)&gt;0,$I660&lt;&gt;""),"假日出勤",IF(AND(COUNTIF(設定!$B$5:$B$13,$F660)&gt;0,$I660=""),"未打卡",IF($I660="","",IF($N660&gt;0,"遲到",IF($O660&gt;0,"早退","正常"))))))</f>
        <v/>
      </c>
      <c r="N660" s="32">
        <f>IF(OR($C660="",$G660="",$I660=""),0,IF(ROUND(($I660-$G660)*1440,0)&gt;設定!$C$28,ROUND(($I660-$G660)*1440,0),0))</f>
        <v/>
      </c>
      <c r="O660" s="32">
        <f>IF(OR($C660="",$H660="",$J660=""),0,IF(ROUND(($H660-$J660)*1440,0)&gt;設定!$C$28,ROUND(($H660-$J660)*1440,0),0))</f>
        <v/>
      </c>
      <c r="P660" s="33">
        <f>IF($L660="",0,IF(($L660-IFERROR(INDEX(設定!$G$5:$G$20,MATCH($F660,設定!$B$5:$B$20,0)),0))*60&gt;=設定!$C$26,ROUND(FLOOR(($L660-IFERROR(INDEX(設定!$G$5:$G$20,MATCH($F660,設定!$B$5:$B$20,0)),0))*60,設定!$C$27)/60,2),0))</f>
        <v/>
      </c>
      <c r="Q660" s="29">
        <f>IF(OR($C660="",$P660=0),"",IF($F660="國","國定假日",IF($B660="日","例假",IF($B660="六","休息日","平日"))))</f>
        <v/>
      </c>
      <c r="R660" s="34" t="n"/>
    </row>
    <row r="661">
      <c r="A661" s="30">
        <f>IF(OR(班表!$A27="",8&gt;DAY(EOMONTH(DATE(班表!$E$2,班表!$G$2,1),0))),"",DATE(班表!$E$2,班表!$G$2,8))</f>
        <v/>
      </c>
      <c r="B661" s="29">
        <f>IF($A661="","",INDEX(設定!$L$5:$L$11,WEEKDAY($A661,1)))</f>
        <v/>
      </c>
      <c r="C661" s="29">
        <f>IF($A661="","",班表!$A27)</f>
        <v/>
      </c>
      <c r="D661" s="29">
        <f>IF($C661="","",班表!$B27)</f>
        <v/>
      </c>
      <c r="E661" s="29">
        <f>IF($C661="","",班表!$C27)</f>
        <v/>
      </c>
      <c r="F661" s="29">
        <f>IF($C661="","",班表!K27)</f>
        <v/>
      </c>
      <c r="G661" s="31">
        <f>IF($F661="","",IFERROR(INDEX(設定!$D$5:$D$20,MATCH($F661,設定!$B$5:$B$20,0)),""))</f>
        <v/>
      </c>
      <c r="H661" s="31">
        <f>IF($F661="","",IFERROR(INDEX(設定!$E$5:$E$20,MATCH($F661,設定!$B$5:$B$20,0)),""))</f>
        <v/>
      </c>
      <c r="I661" s="31">
        <f>IFERROR(INDEX(打卡匯入!$C$3:$C$1002,MATCH($C661&amp;"|"&amp;DAY($A661),打卡匯入!$E$3:$E$1002,0)),"")</f>
        <v/>
      </c>
      <c r="J661" s="31">
        <f>IFERROR(INDEX(打卡匯入!$D$3:$D$1002,MATCH($C661&amp;"|"&amp;DAY($A661),打卡匯入!$E$3:$E$1002,0)),"")</f>
        <v/>
      </c>
      <c r="K661" s="32">
        <f>IF(OR($I661="",$J661=""),"",IFERROR(INDEX(設定!$F$5:$F$20,MATCH($F661,設定!$B$5:$B$20,0)),0))</f>
        <v/>
      </c>
      <c r="L661" s="33">
        <f>IF(OR($I661="",$J661=""),"",ROUND(($J661-$I661)*24-$K661/60,2))</f>
        <v/>
      </c>
      <c r="M661" s="29">
        <f>IF($C661="","",IF(AND(COUNTIF(設定!$B$14:$B$20,$F661)&gt;0,$I661&lt;&gt;""),"假日出勤",IF(AND(COUNTIF(設定!$B$5:$B$13,$F661)&gt;0,$I661=""),"未打卡",IF($I661="","",IF($N661&gt;0,"遲到",IF($O661&gt;0,"早退","正常"))))))</f>
        <v/>
      </c>
      <c r="N661" s="32">
        <f>IF(OR($C661="",$G661="",$I661=""),0,IF(ROUND(($I661-$G661)*1440,0)&gt;設定!$C$28,ROUND(($I661-$G661)*1440,0),0))</f>
        <v/>
      </c>
      <c r="O661" s="32">
        <f>IF(OR($C661="",$H661="",$J661=""),0,IF(ROUND(($H661-$J661)*1440,0)&gt;設定!$C$28,ROUND(($H661-$J661)*1440,0),0))</f>
        <v/>
      </c>
      <c r="P661" s="33">
        <f>IF($L661="",0,IF(($L661-IFERROR(INDEX(設定!$G$5:$G$20,MATCH($F661,設定!$B$5:$B$20,0)),0))*60&gt;=設定!$C$26,ROUND(FLOOR(($L661-IFERROR(INDEX(設定!$G$5:$G$20,MATCH($F661,設定!$B$5:$B$20,0)),0))*60,設定!$C$27)/60,2),0))</f>
        <v/>
      </c>
      <c r="Q661" s="29">
        <f>IF(OR($C661="",$P661=0),"",IF($F661="國","國定假日",IF($B661="日","例假",IF($B661="六","休息日","平日"))))</f>
        <v/>
      </c>
      <c r="R661" s="34" t="n"/>
    </row>
    <row r="662">
      <c r="A662" s="30">
        <f>IF(OR(班表!$A27="",9&gt;DAY(EOMONTH(DATE(班表!$E$2,班表!$G$2,1),0))),"",DATE(班表!$E$2,班表!$G$2,9))</f>
        <v/>
      </c>
      <c r="B662" s="29">
        <f>IF($A662="","",INDEX(設定!$L$5:$L$11,WEEKDAY($A662,1)))</f>
        <v/>
      </c>
      <c r="C662" s="29">
        <f>IF($A662="","",班表!$A27)</f>
        <v/>
      </c>
      <c r="D662" s="29">
        <f>IF($C662="","",班表!$B27)</f>
        <v/>
      </c>
      <c r="E662" s="29">
        <f>IF($C662="","",班表!$C27)</f>
        <v/>
      </c>
      <c r="F662" s="29">
        <f>IF($C662="","",班表!L27)</f>
        <v/>
      </c>
      <c r="G662" s="31">
        <f>IF($F662="","",IFERROR(INDEX(設定!$D$5:$D$20,MATCH($F662,設定!$B$5:$B$20,0)),""))</f>
        <v/>
      </c>
      <c r="H662" s="31">
        <f>IF($F662="","",IFERROR(INDEX(設定!$E$5:$E$20,MATCH($F662,設定!$B$5:$B$20,0)),""))</f>
        <v/>
      </c>
      <c r="I662" s="31">
        <f>IFERROR(INDEX(打卡匯入!$C$3:$C$1002,MATCH($C662&amp;"|"&amp;DAY($A662),打卡匯入!$E$3:$E$1002,0)),"")</f>
        <v/>
      </c>
      <c r="J662" s="31">
        <f>IFERROR(INDEX(打卡匯入!$D$3:$D$1002,MATCH($C662&amp;"|"&amp;DAY($A662),打卡匯入!$E$3:$E$1002,0)),"")</f>
        <v/>
      </c>
      <c r="K662" s="32">
        <f>IF(OR($I662="",$J662=""),"",IFERROR(INDEX(設定!$F$5:$F$20,MATCH($F662,設定!$B$5:$B$20,0)),0))</f>
        <v/>
      </c>
      <c r="L662" s="33">
        <f>IF(OR($I662="",$J662=""),"",ROUND(($J662-$I662)*24-$K662/60,2))</f>
        <v/>
      </c>
      <c r="M662" s="29">
        <f>IF($C662="","",IF(AND(COUNTIF(設定!$B$14:$B$20,$F662)&gt;0,$I662&lt;&gt;""),"假日出勤",IF(AND(COUNTIF(設定!$B$5:$B$13,$F662)&gt;0,$I662=""),"未打卡",IF($I662="","",IF($N662&gt;0,"遲到",IF($O662&gt;0,"早退","正常"))))))</f>
        <v/>
      </c>
      <c r="N662" s="32">
        <f>IF(OR($C662="",$G662="",$I662=""),0,IF(ROUND(($I662-$G662)*1440,0)&gt;設定!$C$28,ROUND(($I662-$G662)*1440,0),0))</f>
        <v/>
      </c>
      <c r="O662" s="32">
        <f>IF(OR($C662="",$H662="",$J662=""),0,IF(ROUND(($H662-$J662)*1440,0)&gt;設定!$C$28,ROUND(($H662-$J662)*1440,0),0))</f>
        <v/>
      </c>
      <c r="P662" s="33">
        <f>IF($L662="",0,IF(($L662-IFERROR(INDEX(設定!$G$5:$G$20,MATCH($F662,設定!$B$5:$B$20,0)),0))*60&gt;=設定!$C$26,ROUND(FLOOR(($L662-IFERROR(INDEX(設定!$G$5:$G$20,MATCH($F662,設定!$B$5:$B$20,0)),0))*60,設定!$C$27)/60,2),0))</f>
        <v/>
      </c>
      <c r="Q662" s="29">
        <f>IF(OR($C662="",$P662=0),"",IF($F662="國","國定假日",IF($B662="日","例假",IF($B662="六","休息日","平日"))))</f>
        <v/>
      </c>
      <c r="R662" s="34" t="n"/>
    </row>
    <row r="663">
      <c r="A663" s="30">
        <f>IF(OR(班表!$A27="",10&gt;DAY(EOMONTH(DATE(班表!$E$2,班表!$G$2,1),0))),"",DATE(班表!$E$2,班表!$G$2,10))</f>
        <v/>
      </c>
      <c r="B663" s="29">
        <f>IF($A663="","",INDEX(設定!$L$5:$L$11,WEEKDAY($A663,1)))</f>
        <v/>
      </c>
      <c r="C663" s="29">
        <f>IF($A663="","",班表!$A27)</f>
        <v/>
      </c>
      <c r="D663" s="29">
        <f>IF($C663="","",班表!$B27)</f>
        <v/>
      </c>
      <c r="E663" s="29">
        <f>IF($C663="","",班表!$C27)</f>
        <v/>
      </c>
      <c r="F663" s="29">
        <f>IF($C663="","",班表!M27)</f>
        <v/>
      </c>
      <c r="G663" s="31">
        <f>IF($F663="","",IFERROR(INDEX(設定!$D$5:$D$20,MATCH($F663,設定!$B$5:$B$20,0)),""))</f>
        <v/>
      </c>
      <c r="H663" s="31">
        <f>IF($F663="","",IFERROR(INDEX(設定!$E$5:$E$20,MATCH($F663,設定!$B$5:$B$20,0)),""))</f>
        <v/>
      </c>
      <c r="I663" s="31">
        <f>IFERROR(INDEX(打卡匯入!$C$3:$C$1002,MATCH($C663&amp;"|"&amp;DAY($A663),打卡匯入!$E$3:$E$1002,0)),"")</f>
        <v/>
      </c>
      <c r="J663" s="31">
        <f>IFERROR(INDEX(打卡匯入!$D$3:$D$1002,MATCH($C663&amp;"|"&amp;DAY($A663),打卡匯入!$E$3:$E$1002,0)),"")</f>
        <v/>
      </c>
      <c r="K663" s="32">
        <f>IF(OR($I663="",$J663=""),"",IFERROR(INDEX(設定!$F$5:$F$20,MATCH($F663,設定!$B$5:$B$20,0)),0))</f>
        <v/>
      </c>
      <c r="L663" s="33">
        <f>IF(OR($I663="",$J663=""),"",ROUND(($J663-$I663)*24-$K663/60,2))</f>
        <v/>
      </c>
      <c r="M663" s="29">
        <f>IF($C663="","",IF(AND(COUNTIF(設定!$B$14:$B$20,$F663)&gt;0,$I663&lt;&gt;""),"假日出勤",IF(AND(COUNTIF(設定!$B$5:$B$13,$F663)&gt;0,$I663=""),"未打卡",IF($I663="","",IF($N663&gt;0,"遲到",IF($O663&gt;0,"早退","正常"))))))</f>
        <v/>
      </c>
      <c r="N663" s="32">
        <f>IF(OR($C663="",$G663="",$I663=""),0,IF(ROUND(($I663-$G663)*1440,0)&gt;設定!$C$28,ROUND(($I663-$G663)*1440,0),0))</f>
        <v/>
      </c>
      <c r="O663" s="32">
        <f>IF(OR($C663="",$H663="",$J663=""),0,IF(ROUND(($H663-$J663)*1440,0)&gt;設定!$C$28,ROUND(($H663-$J663)*1440,0),0))</f>
        <v/>
      </c>
      <c r="P663" s="33">
        <f>IF($L663="",0,IF(($L663-IFERROR(INDEX(設定!$G$5:$G$20,MATCH($F663,設定!$B$5:$B$20,0)),0))*60&gt;=設定!$C$26,ROUND(FLOOR(($L663-IFERROR(INDEX(設定!$G$5:$G$20,MATCH($F663,設定!$B$5:$B$20,0)),0))*60,設定!$C$27)/60,2),0))</f>
        <v/>
      </c>
      <c r="Q663" s="29">
        <f>IF(OR($C663="",$P663=0),"",IF($F663="國","國定假日",IF($B663="日","例假",IF($B663="六","休息日","平日"))))</f>
        <v/>
      </c>
      <c r="R663" s="34" t="n"/>
    </row>
    <row r="664">
      <c r="A664" s="30">
        <f>IF(OR(班表!$A27="",11&gt;DAY(EOMONTH(DATE(班表!$E$2,班表!$G$2,1),0))),"",DATE(班表!$E$2,班表!$G$2,11))</f>
        <v/>
      </c>
      <c r="B664" s="29">
        <f>IF($A664="","",INDEX(設定!$L$5:$L$11,WEEKDAY($A664,1)))</f>
        <v/>
      </c>
      <c r="C664" s="29">
        <f>IF($A664="","",班表!$A27)</f>
        <v/>
      </c>
      <c r="D664" s="29">
        <f>IF($C664="","",班表!$B27)</f>
        <v/>
      </c>
      <c r="E664" s="29">
        <f>IF($C664="","",班表!$C27)</f>
        <v/>
      </c>
      <c r="F664" s="29">
        <f>IF($C664="","",班表!N27)</f>
        <v/>
      </c>
      <c r="G664" s="31">
        <f>IF($F664="","",IFERROR(INDEX(設定!$D$5:$D$20,MATCH($F664,設定!$B$5:$B$20,0)),""))</f>
        <v/>
      </c>
      <c r="H664" s="31">
        <f>IF($F664="","",IFERROR(INDEX(設定!$E$5:$E$20,MATCH($F664,設定!$B$5:$B$20,0)),""))</f>
        <v/>
      </c>
      <c r="I664" s="31">
        <f>IFERROR(INDEX(打卡匯入!$C$3:$C$1002,MATCH($C664&amp;"|"&amp;DAY($A664),打卡匯入!$E$3:$E$1002,0)),"")</f>
        <v/>
      </c>
      <c r="J664" s="31">
        <f>IFERROR(INDEX(打卡匯入!$D$3:$D$1002,MATCH($C664&amp;"|"&amp;DAY($A664),打卡匯入!$E$3:$E$1002,0)),"")</f>
        <v/>
      </c>
      <c r="K664" s="32">
        <f>IF(OR($I664="",$J664=""),"",IFERROR(INDEX(設定!$F$5:$F$20,MATCH($F664,設定!$B$5:$B$20,0)),0))</f>
        <v/>
      </c>
      <c r="L664" s="33">
        <f>IF(OR($I664="",$J664=""),"",ROUND(($J664-$I664)*24-$K664/60,2))</f>
        <v/>
      </c>
      <c r="M664" s="29">
        <f>IF($C664="","",IF(AND(COUNTIF(設定!$B$14:$B$20,$F664)&gt;0,$I664&lt;&gt;""),"假日出勤",IF(AND(COUNTIF(設定!$B$5:$B$13,$F664)&gt;0,$I664=""),"未打卡",IF($I664="","",IF($N664&gt;0,"遲到",IF($O664&gt;0,"早退","正常"))))))</f>
        <v/>
      </c>
      <c r="N664" s="32">
        <f>IF(OR($C664="",$G664="",$I664=""),0,IF(ROUND(($I664-$G664)*1440,0)&gt;設定!$C$28,ROUND(($I664-$G664)*1440,0),0))</f>
        <v/>
      </c>
      <c r="O664" s="32">
        <f>IF(OR($C664="",$H664="",$J664=""),0,IF(ROUND(($H664-$J664)*1440,0)&gt;設定!$C$28,ROUND(($H664-$J664)*1440,0),0))</f>
        <v/>
      </c>
      <c r="P664" s="33">
        <f>IF($L664="",0,IF(($L664-IFERROR(INDEX(設定!$G$5:$G$20,MATCH($F664,設定!$B$5:$B$20,0)),0))*60&gt;=設定!$C$26,ROUND(FLOOR(($L664-IFERROR(INDEX(設定!$G$5:$G$20,MATCH($F664,設定!$B$5:$B$20,0)),0))*60,設定!$C$27)/60,2),0))</f>
        <v/>
      </c>
      <c r="Q664" s="29">
        <f>IF(OR($C664="",$P664=0),"",IF($F664="國","國定假日",IF($B664="日","例假",IF($B664="六","休息日","平日"))))</f>
        <v/>
      </c>
      <c r="R664" s="34" t="n"/>
    </row>
    <row r="665">
      <c r="A665" s="30">
        <f>IF(OR(班表!$A27="",12&gt;DAY(EOMONTH(DATE(班表!$E$2,班表!$G$2,1),0))),"",DATE(班表!$E$2,班表!$G$2,12))</f>
        <v/>
      </c>
      <c r="B665" s="29">
        <f>IF($A665="","",INDEX(設定!$L$5:$L$11,WEEKDAY($A665,1)))</f>
        <v/>
      </c>
      <c r="C665" s="29">
        <f>IF($A665="","",班表!$A27)</f>
        <v/>
      </c>
      <c r="D665" s="29">
        <f>IF($C665="","",班表!$B27)</f>
        <v/>
      </c>
      <c r="E665" s="29">
        <f>IF($C665="","",班表!$C27)</f>
        <v/>
      </c>
      <c r="F665" s="29">
        <f>IF($C665="","",班表!O27)</f>
        <v/>
      </c>
      <c r="G665" s="31">
        <f>IF($F665="","",IFERROR(INDEX(設定!$D$5:$D$20,MATCH($F665,設定!$B$5:$B$20,0)),""))</f>
        <v/>
      </c>
      <c r="H665" s="31">
        <f>IF($F665="","",IFERROR(INDEX(設定!$E$5:$E$20,MATCH($F665,設定!$B$5:$B$20,0)),""))</f>
        <v/>
      </c>
      <c r="I665" s="31">
        <f>IFERROR(INDEX(打卡匯入!$C$3:$C$1002,MATCH($C665&amp;"|"&amp;DAY($A665),打卡匯入!$E$3:$E$1002,0)),"")</f>
        <v/>
      </c>
      <c r="J665" s="31">
        <f>IFERROR(INDEX(打卡匯入!$D$3:$D$1002,MATCH($C665&amp;"|"&amp;DAY($A665),打卡匯入!$E$3:$E$1002,0)),"")</f>
        <v/>
      </c>
      <c r="K665" s="32">
        <f>IF(OR($I665="",$J665=""),"",IFERROR(INDEX(設定!$F$5:$F$20,MATCH($F665,設定!$B$5:$B$20,0)),0))</f>
        <v/>
      </c>
      <c r="L665" s="33">
        <f>IF(OR($I665="",$J665=""),"",ROUND(($J665-$I665)*24-$K665/60,2))</f>
        <v/>
      </c>
      <c r="M665" s="29">
        <f>IF($C665="","",IF(AND(COUNTIF(設定!$B$14:$B$20,$F665)&gt;0,$I665&lt;&gt;""),"假日出勤",IF(AND(COUNTIF(設定!$B$5:$B$13,$F665)&gt;0,$I665=""),"未打卡",IF($I665="","",IF($N665&gt;0,"遲到",IF($O665&gt;0,"早退","正常"))))))</f>
        <v/>
      </c>
      <c r="N665" s="32">
        <f>IF(OR($C665="",$G665="",$I665=""),0,IF(ROUND(($I665-$G665)*1440,0)&gt;設定!$C$28,ROUND(($I665-$G665)*1440,0),0))</f>
        <v/>
      </c>
      <c r="O665" s="32">
        <f>IF(OR($C665="",$H665="",$J665=""),0,IF(ROUND(($H665-$J665)*1440,0)&gt;設定!$C$28,ROUND(($H665-$J665)*1440,0),0))</f>
        <v/>
      </c>
      <c r="P665" s="33">
        <f>IF($L665="",0,IF(($L665-IFERROR(INDEX(設定!$G$5:$G$20,MATCH($F665,設定!$B$5:$B$20,0)),0))*60&gt;=設定!$C$26,ROUND(FLOOR(($L665-IFERROR(INDEX(設定!$G$5:$G$20,MATCH($F665,設定!$B$5:$B$20,0)),0))*60,設定!$C$27)/60,2),0))</f>
        <v/>
      </c>
      <c r="Q665" s="29">
        <f>IF(OR($C665="",$P665=0),"",IF($F665="國","國定假日",IF($B665="日","例假",IF($B665="六","休息日","平日"))))</f>
        <v/>
      </c>
      <c r="R665" s="34" t="n"/>
    </row>
    <row r="666">
      <c r="A666" s="30">
        <f>IF(OR(班表!$A27="",13&gt;DAY(EOMONTH(DATE(班表!$E$2,班表!$G$2,1),0))),"",DATE(班表!$E$2,班表!$G$2,13))</f>
        <v/>
      </c>
      <c r="B666" s="29">
        <f>IF($A666="","",INDEX(設定!$L$5:$L$11,WEEKDAY($A666,1)))</f>
        <v/>
      </c>
      <c r="C666" s="29">
        <f>IF($A666="","",班表!$A27)</f>
        <v/>
      </c>
      <c r="D666" s="29">
        <f>IF($C666="","",班表!$B27)</f>
        <v/>
      </c>
      <c r="E666" s="29">
        <f>IF($C666="","",班表!$C27)</f>
        <v/>
      </c>
      <c r="F666" s="29">
        <f>IF($C666="","",班表!P27)</f>
        <v/>
      </c>
      <c r="G666" s="31">
        <f>IF($F666="","",IFERROR(INDEX(設定!$D$5:$D$20,MATCH($F666,設定!$B$5:$B$20,0)),""))</f>
        <v/>
      </c>
      <c r="H666" s="31">
        <f>IF($F666="","",IFERROR(INDEX(設定!$E$5:$E$20,MATCH($F666,設定!$B$5:$B$20,0)),""))</f>
        <v/>
      </c>
      <c r="I666" s="31">
        <f>IFERROR(INDEX(打卡匯入!$C$3:$C$1002,MATCH($C666&amp;"|"&amp;DAY($A666),打卡匯入!$E$3:$E$1002,0)),"")</f>
        <v/>
      </c>
      <c r="J666" s="31">
        <f>IFERROR(INDEX(打卡匯入!$D$3:$D$1002,MATCH($C666&amp;"|"&amp;DAY($A666),打卡匯入!$E$3:$E$1002,0)),"")</f>
        <v/>
      </c>
      <c r="K666" s="32">
        <f>IF(OR($I666="",$J666=""),"",IFERROR(INDEX(設定!$F$5:$F$20,MATCH($F666,設定!$B$5:$B$20,0)),0))</f>
        <v/>
      </c>
      <c r="L666" s="33">
        <f>IF(OR($I666="",$J666=""),"",ROUND(($J666-$I666)*24-$K666/60,2))</f>
        <v/>
      </c>
      <c r="M666" s="29">
        <f>IF($C666="","",IF(AND(COUNTIF(設定!$B$14:$B$20,$F666)&gt;0,$I666&lt;&gt;""),"假日出勤",IF(AND(COUNTIF(設定!$B$5:$B$13,$F666)&gt;0,$I666=""),"未打卡",IF($I666="","",IF($N666&gt;0,"遲到",IF($O666&gt;0,"早退","正常"))))))</f>
        <v/>
      </c>
      <c r="N666" s="32">
        <f>IF(OR($C666="",$G666="",$I666=""),0,IF(ROUND(($I666-$G666)*1440,0)&gt;設定!$C$28,ROUND(($I666-$G666)*1440,0),0))</f>
        <v/>
      </c>
      <c r="O666" s="32">
        <f>IF(OR($C666="",$H666="",$J666=""),0,IF(ROUND(($H666-$J666)*1440,0)&gt;設定!$C$28,ROUND(($H666-$J666)*1440,0),0))</f>
        <v/>
      </c>
      <c r="P666" s="33">
        <f>IF($L666="",0,IF(($L666-IFERROR(INDEX(設定!$G$5:$G$20,MATCH($F666,設定!$B$5:$B$20,0)),0))*60&gt;=設定!$C$26,ROUND(FLOOR(($L666-IFERROR(INDEX(設定!$G$5:$G$20,MATCH($F666,設定!$B$5:$B$20,0)),0))*60,設定!$C$27)/60,2),0))</f>
        <v/>
      </c>
      <c r="Q666" s="29">
        <f>IF(OR($C666="",$P666=0),"",IF($F666="國","國定假日",IF($B666="日","例假",IF($B666="六","休息日","平日"))))</f>
        <v/>
      </c>
      <c r="R666" s="34" t="n"/>
    </row>
    <row r="667">
      <c r="A667" s="30">
        <f>IF(OR(班表!$A27="",14&gt;DAY(EOMONTH(DATE(班表!$E$2,班表!$G$2,1),0))),"",DATE(班表!$E$2,班表!$G$2,14))</f>
        <v/>
      </c>
      <c r="B667" s="29">
        <f>IF($A667="","",INDEX(設定!$L$5:$L$11,WEEKDAY($A667,1)))</f>
        <v/>
      </c>
      <c r="C667" s="29">
        <f>IF($A667="","",班表!$A27)</f>
        <v/>
      </c>
      <c r="D667" s="29">
        <f>IF($C667="","",班表!$B27)</f>
        <v/>
      </c>
      <c r="E667" s="29">
        <f>IF($C667="","",班表!$C27)</f>
        <v/>
      </c>
      <c r="F667" s="29">
        <f>IF($C667="","",班表!Q27)</f>
        <v/>
      </c>
      <c r="G667" s="31">
        <f>IF($F667="","",IFERROR(INDEX(設定!$D$5:$D$20,MATCH($F667,設定!$B$5:$B$20,0)),""))</f>
        <v/>
      </c>
      <c r="H667" s="31">
        <f>IF($F667="","",IFERROR(INDEX(設定!$E$5:$E$20,MATCH($F667,設定!$B$5:$B$20,0)),""))</f>
        <v/>
      </c>
      <c r="I667" s="31">
        <f>IFERROR(INDEX(打卡匯入!$C$3:$C$1002,MATCH($C667&amp;"|"&amp;DAY($A667),打卡匯入!$E$3:$E$1002,0)),"")</f>
        <v/>
      </c>
      <c r="J667" s="31">
        <f>IFERROR(INDEX(打卡匯入!$D$3:$D$1002,MATCH($C667&amp;"|"&amp;DAY($A667),打卡匯入!$E$3:$E$1002,0)),"")</f>
        <v/>
      </c>
      <c r="K667" s="32">
        <f>IF(OR($I667="",$J667=""),"",IFERROR(INDEX(設定!$F$5:$F$20,MATCH($F667,設定!$B$5:$B$20,0)),0))</f>
        <v/>
      </c>
      <c r="L667" s="33">
        <f>IF(OR($I667="",$J667=""),"",ROUND(($J667-$I667)*24-$K667/60,2))</f>
        <v/>
      </c>
      <c r="M667" s="29">
        <f>IF($C667="","",IF(AND(COUNTIF(設定!$B$14:$B$20,$F667)&gt;0,$I667&lt;&gt;""),"假日出勤",IF(AND(COUNTIF(設定!$B$5:$B$13,$F667)&gt;0,$I667=""),"未打卡",IF($I667="","",IF($N667&gt;0,"遲到",IF($O667&gt;0,"早退","正常"))))))</f>
        <v/>
      </c>
      <c r="N667" s="32">
        <f>IF(OR($C667="",$G667="",$I667=""),0,IF(ROUND(($I667-$G667)*1440,0)&gt;設定!$C$28,ROUND(($I667-$G667)*1440,0),0))</f>
        <v/>
      </c>
      <c r="O667" s="32">
        <f>IF(OR($C667="",$H667="",$J667=""),0,IF(ROUND(($H667-$J667)*1440,0)&gt;設定!$C$28,ROUND(($H667-$J667)*1440,0),0))</f>
        <v/>
      </c>
      <c r="P667" s="33">
        <f>IF($L667="",0,IF(($L667-IFERROR(INDEX(設定!$G$5:$G$20,MATCH($F667,設定!$B$5:$B$20,0)),0))*60&gt;=設定!$C$26,ROUND(FLOOR(($L667-IFERROR(INDEX(設定!$G$5:$G$20,MATCH($F667,設定!$B$5:$B$20,0)),0))*60,設定!$C$27)/60,2),0))</f>
        <v/>
      </c>
      <c r="Q667" s="29">
        <f>IF(OR($C667="",$P667=0),"",IF($F667="國","國定假日",IF($B667="日","例假",IF($B667="六","休息日","平日"))))</f>
        <v/>
      </c>
      <c r="R667" s="34" t="n"/>
    </row>
    <row r="668">
      <c r="A668" s="30">
        <f>IF(OR(班表!$A27="",15&gt;DAY(EOMONTH(DATE(班表!$E$2,班表!$G$2,1),0))),"",DATE(班表!$E$2,班表!$G$2,15))</f>
        <v/>
      </c>
      <c r="B668" s="29">
        <f>IF($A668="","",INDEX(設定!$L$5:$L$11,WEEKDAY($A668,1)))</f>
        <v/>
      </c>
      <c r="C668" s="29">
        <f>IF($A668="","",班表!$A27)</f>
        <v/>
      </c>
      <c r="D668" s="29">
        <f>IF($C668="","",班表!$B27)</f>
        <v/>
      </c>
      <c r="E668" s="29">
        <f>IF($C668="","",班表!$C27)</f>
        <v/>
      </c>
      <c r="F668" s="29">
        <f>IF($C668="","",班表!R27)</f>
        <v/>
      </c>
      <c r="G668" s="31">
        <f>IF($F668="","",IFERROR(INDEX(設定!$D$5:$D$20,MATCH($F668,設定!$B$5:$B$20,0)),""))</f>
        <v/>
      </c>
      <c r="H668" s="31">
        <f>IF($F668="","",IFERROR(INDEX(設定!$E$5:$E$20,MATCH($F668,設定!$B$5:$B$20,0)),""))</f>
        <v/>
      </c>
      <c r="I668" s="31">
        <f>IFERROR(INDEX(打卡匯入!$C$3:$C$1002,MATCH($C668&amp;"|"&amp;DAY($A668),打卡匯入!$E$3:$E$1002,0)),"")</f>
        <v/>
      </c>
      <c r="J668" s="31">
        <f>IFERROR(INDEX(打卡匯入!$D$3:$D$1002,MATCH($C668&amp;"|"&amp;DAY($A668),打卡匯入!$E$3:$E$1002,0)),"")</f>
        <v/>
      </c>
      <c r="K668" s="32">
        <f>IF(OR($I668="",$J668=""),"",IFERROR(INDEX(設定!$F$5:$F$20,MATCH($F668,設定!$B$5:$B$20,0)),0))</f>
        <v/>
      </c>
      <c r="L668" s="33">
        <f>IF(OR($I668="",$J668=""),"",ROUND(($J668-$I668)*24-$K668/60,2))</f>
        <v/>
      </c>
      <c r="M668" s="29">
        <f>IF($C668="","",IF(AND(COUNTIF(設定!$B$14:$B$20,$F668)&gt;0,$I668&lt;&gt;""),"假日出勤",IF(AND(COUNTIF(設定!$B$5:$B$13,$F668)&gt;0,$I668=""),"未打卡",IF($I668="","",IF($N668&gt;0,"遲到",IF($O668&gt;0,"早退","正常"))))))</f>
        <v/>
      </c>
      <c r="N668" s="32">
        <f>IF(OR($C668="",$G668="",$I668=""),0,IF(ROUND(($I668-$G668)*1440,0)&gt;設定!$C$28,ROUND(($I668-$G668)*1440,0),0))</f>
        <v/>
      </c>
      <c r="O668" s="32">
        <f>IF(OR($C668="",$H668="",$J668=""),0,IF(ROUND(($H668-$J668)*1440,0)&gt;設定!$C$28,ROUND(($H668-$J668)*1440,0),0))</f>
        <v/>
      </c>
      <c r="P668" s="33">
        <f>IF($L668="",0,IF(($L668-IFERROR(INDEX(設定!$G$5:$G$20,MATCH($F668,設定!$B$5:$B$20,0)),0))*60&gt;=設定!$C$26,ROUND(FLOOR(($L668-IFERROR(INDEX(設定!$G$5:$G$20,MATCH($F668,設定!$B$5:$B$20,0)),0))*60,設定!$C$27)/60,2),0))</f>
        <v/>
      </c>
      <c r="Q668" s="29">
        <f>IF(OR($C668="",$P668=0),"",IF($F668="國","國定假日",IF($B668="日","例假",IF($B668="六","休息日","平日"))))</f>
        <v/>
      </c>
      <c r="R668" s="34" t="n"/>
    </row>
    <row r="669">
      <c r="A669" s="30">
        <f>IF(OR(班表!$A27="",16&gt;DAY(EOMONTH(DATE(班表!$E$2,班表!$G$2,1),0))),"",DATE(班表!$E$2,班表!$G$2,16))</f>
        <v/>
      </c>
      <c r="B669" s="29">
        <f>IF($A669="","",INDEX(設定!$L$5:$L$11,WEEKDAY($A669,1)))</f>
        <v/>
      </c>
      <c r="C669" s="29">
        <f>IF($A669="","",班表!$A27)</f>
        <v/>
      </c>
      <c r="D669" s="29">
        <f>IF($C669="","",班表!$B27)</f>
        <v/>
      </c>
      <c r="E669" s="29">
        <f>IF($C669="","",班表!$C27)</f>
        <v/>
      </c>
      <c r="F669" s="29">
        <f>IF($C669="","",班表!S27)</f>
        <v/>
      </c>
      <c r="G669" s="31">
        <f>IF($F669="","",IFERROR(INDEX(設定!$D$5:$D$20,MATCH($F669,設定!$B$5:$B$20,0)),""))</f>
        <v/>
      </c>
      <c r="H669" s="31">
        <f>IF($F669="","",IFERROR(INDEX(設定!$E$5:$E$20,MATCH($F669,設定!$B$5:$B$20,0)),""))</f>
        <v/>
      </c>
      <c r="I669" s="31">
        <f>IFERROR(INDEX(打卡匯入!$C$3:$C$1002,MATCH($C669&amp;"|"&amp;DAY($A669),打卡匯入!$E$3:$E$1002,0)),"")</f>
        <v/>
      </c>
      <c r="J669" s="31">
        <f>IFERROR(INDEX(打卡匯入!$D$3:$D$1002,MATCH($C669&amp;"|"&amp;DAY($A669),打卡匯入!$E$3:$E$1002,0)),"")</f>
        <v/>
      </c>
      <c r="K669" s="32">
        <f>IF(OR($I669="",$J669=""),"",IFERROR(INDEX(設定!$F$5:$F$20,MATCH($F669,設定!$B$5:$B$20,0)),0))</f>
        <v/>
      </c>
      <c r="L669" s="33">
        <f>IF(OR($I669="",$J669=""),"",ROUND(($J669-$I669)*24-$K669/60,2))</f>
        <v/>
      </c>
      <c r="M669" s="29">
        <f>IF($C669="","",IF(AND(COUNTIF(設定!$B$14:$B$20,$F669)&gt;0,$I669&lt;&gt;""),"假日出勤",IF(AND(COUNTIF(設定!$B$5:$B$13,$F669)&gt;0,$I669=""),"未打卡",IF($I669="","",IF($N669&gt;0,"遲到",IF($O669&gt;0,"早退","正常"))))))</f>
        <v/>
      </c>
      <c r="N669" s="32">
        <f>IF(OR($C669="",$G669="",$I669=""),0,IF(ROUND(($I669-$G669)*1440,0)&gt;設定!$C$28,ROUND(($I669-$G669)*1440,0),0))</f>
        <v/>
      </c>
      <c r="O669" s="32">
        <f>IF(OR($C669="",$H669="",$J669=""),0,IF(ROUND(($H669-$J669)*1440,0)&gt;設定!$C$28,ROUND(($H669-$J669)*1440,0),0))</f>
        <v/>
      </c>
      <c r="P669" s="33">
        <f>IF($L669="",0,IF(($L669-IFERROR(INDEX(設定!$G$5:$G$20,MATCH($F669,設定!$B$5:$B$20,0)),0))*60&gt;=設定!$C$26,ROUND(FLOOR(($L669-IFERROR(INDEX(設定!$G$5:$G$20,MATCH($F669,設定!$B$5:$B$20,0)),0))*60,設定!$C$27)/60,2),0))</f>
        <v/>
      </c>
      <c r="Q669" s="29">
        <f>IF(OR($C669="",$P669=0),"",IF($F669="國","國定假日",IF($B669="日","例假",IF($B669="六","休息日","平日"))))</f>
        <v/>
      </c>
      <c r="R669" s="34" t="n"/>
    </row>
    <row r="670">
      <c r="A670" s="30">
        <f>IF(OR(班表!$A27="",17&gt;DAY(EOMONTH(DATE(班表!$E$2,班表!$G$2,1),0))),"",DATE(班表!$E$2,班表!$G$2,17))</f>
        <v/>
      </c>
      <c r="B670" s="29">
        <f>IF($A670="","",INDEX(設定!$L$5:$L$11,WEEKDAY($A670,1)))</f>
        <v/>
      </c>
      <c r="C670" s="29">
        <f>IF($A670="","",班表!$A27)</f>
        <v/>
      </c>
      <c r="D670" s="29">
        <f>IF($C670="","",班表!$B27)</f>
        <v/>
      </c>
      <c r="E670" s="29">
        <f>IF($C670="","",班表!$C27)</f>
        <v/>
      </c>
      <c r="F670" s="29">
        <f>IF($C670="","",班表!T27)</f>
        <v/>
      </c>
      <c r="G670" s="31">
        <f>IF($F670="","",IFERROR(INDEX(設定!$D$5:$D$20,MATCH($F670,設定!$B$5:$B$20,0)),""))</f>
        <v/>
      </c>
      <c r="H670" s="31">
        <f>IF($F670="","",IFERROR(INDEX(設定!$E$5:$E$20,MATCH($F670,設定!$B$5:$B$20,0)),""))</f>
        <v/>
      </c>
      <c r="I670" s="31">
        <f>IFERROR(INDEX(打卡匯入!$C$3:$C$1002,MATCH($C670&amp;"|"&amp;DAY($A670),打卡匯入!$E$3:$E$1002,0)),"")</f>
        <v/>
      </c>
      <c r="J670" s="31">
        <f>IFERROR(INDEX(打卡匯入!$D$3:$D$1002,MATCH($C670&amp;"|"&amp;DAY($A670),打卡匯入!$E$3:$E$1002,0)),"")</f>
        <v/>
      </c>
      <c r="K670" s="32">
        <f>IF(OR($I670="",$J670=""),"",IFERROR(INDEX(設定!$F$5:$F$20,MATCH($F670,設定!$B$5:$B$20,0)),0))</f>
        <v/>
      </c>
      <c r="L670" s="33">
        <f>IF(OR($I670="",$J670=""),"",ROUND(($J670-$I670)*24-$K670/60,2))</f>
        <v/>
      </c>
      <c r="M670" s="29">
        <f>IF($C670="","",IF(AND(COUNTIF(設定!$B$14:$B$20,$F670)&gt;0,$I670&lt;&gt;""),"假日出勤",IF(AND(COUNTIF(設定!$B$5:$B$13,$F670)&gt;0,$I670=""),"未打卡",IF($I670="","",IF($N670&gt;0,"遲到",IF($O670&gt;0,"早退","正常"))))))</f>
        <v/>
      </c>
      <c r="N670" s="32">
        <f>IF(OR($C670="",$G670="",$I670=""),0,IF(ROUND(($I670-$G670)*1440,0)&gt;設定!$C$28,ROUND(($I670-$G670)*1440,0),0))</f>
        <v/>
      </c>
      <c r="O670" s="32">
        <f>IF(OR($C670="",$H670="",$J670=""),0,IF(ROUND(($H670-$J670)*1440,0)&gt;設定!$C$28,ROUND(($H670-$J670)*1440,0),0))</f>
        <v/>
      </c>
      <c r="P670" s="33">
        <f>IF($L670="",0,IF(($L670-IFERROR(INDEX(設定!$G$5:$G$20,MATCH($F670,設定!$B$5:$B$20,0)),0))*60&gt;=設定!$C$26,ROUND(FLOOR(($L670-IFERROR(INDEX(設定!$G$5:$G$20,MATCH($F670,設定!$B$5:$B$20,0)),0))*60,設定!$C$27)/60,2),0))</f>
        <v/>
      </c>
      <c r="Q670" s="29">
        <f>IF(OR($C670="",$P670=0),"",IF($F670="國","國定假日",IF($B670="日","例假",IF($B670="六","休息日","平日"))))</f>
        <v/>
      </c>
      <c r="R670" s="34" t="n"/>
    </row>
    <row r="671">
      <c r="A671" s="30">
        <f>IF(OR(班表!$A27="",18&gt;DAY(EOMONTH(DATE(班表!$E$2,班表!$G$2,1),0))),"",DATE(班表!$E$2,班表!$G$2,18))</f>
        <v/>
      </c>
      <c r="B671" s="29">
        <f>IF($A671="","",INDEX(設定!$L$5:$L$11,WEEKDAY($A671,1)))</f>
        <v/>
      </c>
      <c r="C671" s="29">
        <f>IF($A671="","",班表!$A27)</f>
        <v/>
      </c>
      <c r="D671" s="29">
        <f>IF($C671="","",班表!$B27)</f>
        <v/>
      </c>
      <c r="E671" s="29">
        <f>IF($C671="","",班表!$C27)</f>
        <v/>
      </c>
      <c r="F671" s="29">
        <f>IF($C671="","",班表!U27)</f>
        <v/>
      </c>
      <c r="G671" s="31">
        <f>IF($F671="","",IFERROR(INDEX(設定!$D$5:$D$20,MATCH($F671,設定!$B$5:$B$20,0)),""))</f>
        <v/>
      </c>
      <c r="H671" s="31">
        <f>IF($F671="","",IFERROR(INDEX(設定!$E$5:$E$20,MATCH($F671,設定!$B$5:$B$20,0)),""))</f>
        <v/>
      </c>
      <c r="I671" s="31">
        <f>IFERROR(INDEX(打卡匯入!$C$3:$C$1002,MATCH($C671&amp;"|"&amp;DAY($A671),打卡匯入!$E$3:$E$1002,0)),"")</f>
        <v/>
      </c>
      <c r="J671" s="31">
        <f>IFERROR(INDEX(打卡匯入!$D$3:$D$1002,MATCH($C671&amp;"|"&amp;DAY($A671),打卡匯入!$E$3:$E$1002,0)),"")</f>
        <v/>
      </c>
      <c r="K671" s="32">
        <f>IF(OR($I671="",$J671=""),"",IFERROR(INDEX(設定!$F$5:$F$20,MATCH($F671,設定!$B$5:$B$20,0)),0))</f>
        <v/>
      </c>
      <c r="L671" s="33">
        <f>IF(OR($I671="",$J671=""),"",ROUND(($J671-$I671)*24-$K671/60,2))</f>
        <v/>
      </c>
      <c r="M671" s="29">
        <f>IF($C671="","",IF(AND(COUNTIF(設定!$B$14:$B$20,$F671)&gt;0,$I671&lt;&gt;""),"假日出勤",IF(AND(COUNTIF(設定!$B$5:$B$13,$F671)&gt;0,$I671=""),"未打卡",IF($I671="","",IF($N671&gt;0,"遲到",IF($O671&gt;0,"早退","正常"))))))</f>
        <v/>
      </c>
      <c r="N671" s="32">
        <f>IF(OR($C671="",$G671="",$I671=""),0,IF(ROUND(($I671-$G671)*1440,0)&gt;設定!$C$28,ROUND(($I671-$G671)*1440,0),0))</f>
        <v/>
      </c>
      <c r="O671" s="32">
        <f>IF(OR($C671="",$H671="",$J671=""),0,IF(ROUND(($H671-$J671)*1440,0)&gt;設定!$C$28,ROUND(($H671-$J671)*1440,0),0))</f>
        <v/>
      </c>
      <c r="P671" s="33">
        <f>IF($L671="",0,IF(($L671-IFERROR(INDEX(設定!$G$5:$G$20,MATCH($F671,設定!$B$5:$B$20,0)),0))*60&gt;=設定!$C$26,ROUND(FLOOR(($L671-IFERROR(INDEX(設定!$G$5:$G$20,MATCH($F671,設定!$B$5:$B$20,0)),0))*60,設定!$C$27)/60,2),0))</f>
        <v/>
      </c>
      <c r="Q671" s="29">
        <f>IF(OR($C671="",$P671=0),"",IF($F671="國","國定假日",IF($B671="日","例假",IF($B671="六","休息日","平日"))))</f>
        <v/>
      </c>
      <c r="R671" s="34" t="n"/>
    </row>
    <row r="672">
      <c r="A672" s="30">
        <f>IF(OR(班表!$A27="",19&gt;DAY(EOMONTH(DATE(班表!$E$2,班表!$G$2,1),0))),"",DATE(班表!$E$2,班表!$G$2,19))</f>
        <v/>
      </c>
      <c r="B672" s="29">
        <f>IF($A672="","",INDEX(設定!$L$5:$L$11,WEEKDAY($A672,1)))</f>
        <v/>
      </c>
      <c r="C672" s="29">
        <f>IF($A672="","",班表!$A27)</f>
        <v/>
      </c>
      <c r="D672" s="29">
        <f>IF($C672="","",班表!$B27)</f>
        <v/>
      </c>
      <c r="E672" s="29">
        <f>IF($C672="","",班表!$C27)</f>
        <v/>
      </c>
      <c r="F672" s="29">
        <f>IF($C672="","",班表!V27)</f>
        <v/>
      </c>
      <c r="G672" s="31">
        <f>IF($F672="","",IFERROR(INDEX(設定!$D$5:$D$20,MATCH($F672,設定!$B$5:$B$20,0)),""))</f>
        <v/>
      </c>
      <c r="H672" s="31">
        <f>IF($F672="","",IFERROR(INDEX(設定!$E$5:$E$20,MATCH($F672,設定!$B$5:$B$20,0)),""))</f>
        <v/>
      </c>
      <c r="I672" s="31">
        <f>IFERROR(INDEX(打卡匯入!$C$3:$C$1002,MATCH($C672&amp;"|"&amp;DAY($A672),打卡匯入!$E$3:$E$1002,0)),"")</f>
        <v/>
      </c>
      <c r="J672" s="31">
        <f>IFERROR(INDEX(打卡匯入!$D$3:$D$1002,MATCH($C672&amp;"|"&amp;DAY($A672),打卡匯入!$E$3:$E$1002,0)),"")</f>
        <v/>
      </c>
      <c r="K672" s="32">
        <f>IF(OR($I672="",$J672=""),"",IFERROR(INDEX(設定!$F$5:$F$20,MATCH($F672,設定!$B$5:$B$20,0)),0))</f>
        <v/>
      </c>
      <c r="L672" s="33">
        <f>IF(OR($I672="",$J672=""),"",ROUND(($J672-$I672)*24-$K672/60,2))</f>
        <v/>
      </c>
      <c r="M672" s="29">
        <f>IF($C672="","",IF(AND(COUNTIF(設定!$B$14:$B$20,$F672)&gt;0,$I672&lt;&gt;""),"假日出勤",IF(AND(COUNTIF(設定!$B$5:$B$13,$F672)&gt;0,$I672=""),"未打卡",IF($I672="","",IF($N672&gt;0,"遲到",IF($O672&gt;0,"早退","正常"))))))</f>
        <v/>
      </c>
      <c r="N672" s="32">
        <f>IF(OR($C672="",$G672="",$I672=""),0,IF(ROUND(($I672-$G672)*1440,0)&gt;設定!$C$28,ROUND(($I672-$G672)*1440,0),0))</f>
        <v/>
      </c>
      <c r="O672" s="32">
        <f>IF(OR($C672="",$H672="",$J672=""),0,IF(ROUND(($H672-$J672)*1440,0)&gt;設定!$C$28,ROUND(($H672-$J672)*1440,0),0))</f>
        <v/>
      </c>
      <c r="P672" s="33">
        <f>IF($L672="",0,IF(($L672-IFERROR(INDEX(設定!$G$5:$G$20,MATCH($F672,設定!$B$5:$B$20,0)),0))*60&gt;=設定!$C$26,ROUND(FLOOR(($L672-IFERROR(INDEX(設定!$G$5:$G$20,MATCH($F672,設定!$B$5:$B$20,0)),0))*60,設定!$C$27)/60,2),0))</f>
        <v/>
      </c>
      <c r="Q672" s="29">
        <f>IF(OR($C672="",$P672=0),"",IF($F672="國","國定假日",IF($B672="日","例假",IF($B672="六","休息日","平日"))))</f>
        <v/>
      </c>
      <c r="R672" s="34" t="n"/>
    </row>
    <row r="673">
      <c r="A673" s="30">
        <f>IF(OR(班表!$A27="",20&gt;DAY(EOMONTH(DATE(班表!$E$2,班表!$G$2,1),0))),"",DATE(班表!$E$2,班表!$G$2,20))</f>
        <v/>
      </c>
      <c r="B673" s="29">
        <f>IF($A673="","",INDEX(設定!$L$5:$L$11,WEEKDAY($A673,1)))</f>
        <v/>
      </c>
      <c r="C673" s="29">
        <f>IF($A673="","",班表!$A27)</f>
        <v/>
      </c>
      <c r="D673" s="29">
        <f>IF($C673="","",班表!$B27)</f>
        <v/>
      </c>
      <c r="E673" s="29">
        <f>IF($C673="","",班表!$C27)</f>
        <v/>
      </c>
      <c r="F673" s="29">
        <f>IF($C673="","",班表!W27)</f>
        <v/>
      </c>
      <c r="G673" s="31">
        <f>IF($F673="","",IFERROR(INDEX(設定!$D$5:$D$20,MATCH($F673,設定!$B$5:$B$20,0)),""))</f>
        <v/>
      </c>
      <c r="H673" s="31">
        <f>IF($F673="","",IFERROR(INDEX(設定!$E$5:$E$20,MATCH($F673,設定!$B$5:$B$20,0)),""))</f>
        <v/>
      </c>
      <c r="I673" s="31">
        <f>IFERROR(INDEX(打卡匯入!$C$3:$C$1002,MATCH($C673&amp;"|"&amp;DAY($A673),打卡匯入!$E$3:$E$1002,0)),"")</f>
        <v/>
      </c>
      <c r="J673" s="31">
        <f>IFERROR(INDEX(打卡匯入!$D$3:$D$1002,MATCH($C673&amp;"|"&amp;DAY($A673),打卡匯入!$E$3:$E$1002,0)),"")</f>
        <v/>
      </c>
      <c r="K673" s="32">
        <f>IF(OR($I673="",$J673=""),"",IFERROR(INDEX(設定!$F$5:$F$20,MATCH($F673,設定!$B$5:$B$20,0)),0))</f>
        <v/>
      </c>
      <c r="L673" s="33">
        <f>IF(OR($I673="",$J673=""),"",ROUND(($J673-$I673)*24-$K673/60,2))</f>
        <v/>
      </c>
      <c r="M673" s="29">
        <f>IF($C673="","",IF(AND(COUNTIF(設定!$B$14:$B$20,$F673)&gt;0,$I673&lt;&gt;""),"假日出勤",IF(AND(COUNTIF(設定!$B$5:$B$13,$F673)&gt;0,$I673=""),"未打卡",IF($I673="","",IF($N673&gt;0,"遲到",IF($O673&gt;0,"早退","正常"))))))</f>
        <v/>
      </c>
      <c r="N673" s="32">
        <f>IF(OR($C673="",$G673="",$I673=""),0,IF(ROUND(($I673-$G673)*1440,0)&gt;設定!$C$28,ROUND(($I673-$G673)*1440,0),0))</f>
        <v/>
      </c>
      <c r="O673" s="32">
        <f>IF(OR($C673="",$H673="",$J673=""),0,IF(ROUND(($H673-$J673)*1440,0)&gt;設定!$C$28,ROUND(($H673-$J673)*1440,0),0))</f>
        <v/>
      </c>
      <c r="P673" s="33">
        <f>IF($L673="",0,IF(($L673-IFERROR(INDEX(設定!$G$5:$G$20,MATCH($F673,設定!$B$5:$B$20,0)),0))*60&gt;=設定!$C$26,ROUND(FLOOR(($L673-IFERROR(INDEX(設定!$G$5:$G$20,MATCH($F673,設定!$B$5:$B$20,0)),0))*60,設定!$C$27)/60,2),0))</f>
        <v/>
      </c>
      <c r="Q673" s="29">
        <f>IF(OR($C673="",$P673=0),"",IF($F673="國","國定假日",IF($B673="日","例假",IF($B673="六","休息日","平日"))))</f>
        <v/>
      </c>
      <c r="R673" s="34" t="n"/>
    </row>
    <row r="674">
      <c r="A674" s="30">
        <f>IF(OR(班表!$A27="",21&gt;DAY(EOMONTH(DATE(班表!$E$2,班表!$G$2,1),0))),"",DATE(班表!$E$2,班表!$G$2,21))</f>
        <v/>
      </c>
      <c r="B674" s="29">
        <f>IF($A674="","",INDEX(設定!$L$5:$L$11,WEEKDAY($A674,1)))</f>
        <v/>
      </c>
      <c r="C674" s="29">
        <f>IF($A674="","",班表!$A27)</f>
        <v/>
      </c>
      <c r="D674" s="29">
        <f>IF($C674="","",班表!$B27)</f>
        <v/>
      </c>
      <c r="E674" s="29">
        <f>IF($C674="","",班表!$C27)</f>
        <v/>
      </c>
      <c r="F674" s="29">
        <f>IF($C674="","",班表!X27)</f>
        <v/>
      </c>
      <c r="G674" s="31">
        <f>IF($F674="","",IFERROR(INDEX(設定!$D$5:$D$20,MATCH($F674,設定!$B$5:$B$20,0)),""))</f>
        <v/>
      </c>
      <c r="H674" s="31">
        <f>IF($F674="","",IFERROR(INDEX(設定!$E$5:$E$20,MATCH($F674,設定!$B$5:$B$20,0)),""))</f>
        <v/>
      </c>
      <c r="I674" s="31">
        <f>IFERROR(INDEX(打卡匯入!$C$3:$C$1002,MATCH($C674&amp;"|"&amp;DAY($A674),打卡匯入!$E$3:$E$1002,0)),"")</f>
        <v/>
      </c>
      <c r="J674" s="31">
        <f>IFERROR(INDEX(打卡匯入!$D$3:$D$1002,MATCH($C674&amp;"|"&amp;DAY($A674),打卡匯入!$E$3:$E$1002,0)),"")</f>
        <v/>
      </c>
      <c r="K674" s="32">
        <f>IF(OR($I674="",$J674=""),"",IFERROR(INDEX(設定!$F$5:$F$20,MATCH($F674,設定!$B$5:$B$20,0)),0))</f>
        <v/>
      </c>
      <c r="L674" s="33">
        <f>IF(OR($I674="",$J674=""),"",ROUND(($J674-$I674)*24-$K674/60,2))</f>
        <v/>
      </c>
      <c r="M674" s="29">
        <f>IF($C674="","",IF(AND(COUNTIF(設定!$B$14:$B$20,$F674)&gt;0,$I674&lt;&gt;""),"假日出勤",IF(AND(COUNTIF(設定!$B$5:$B$13,$F674)&gt;0,$I674=""),"未打卡",IF($I674="","",IF($N674&gt;0,"遲到",IF($O674&gt;0,"早退","正常"))))))</f>
        <v/>
      </c>
      <c r="N674" s="32">
        <f>IF(OR($C674="",$G674="",$I674=""),0,IF(ROUND(($I674-$G674)*1440,0)&gt;設定!$C$28,ROUND(($I674-$G674)*1440,0),0))</f>
        <v/>
      </c>
      <c r="O674" s="32">
        <f>IF(OR($C674="",$H674="",$J674=""),0,IF(ROUND(($H674-$J674)*1440,0)&gt;設定!$C$28,ROUND(($H674-$J674)*1440,0),0))</f>
        <v/>
      </c>
      <c r="P674" s="33">
        <f>IF($L674="",0,IF(($L674-IFERROR(INDEX(設定!$G$5:$G$20,MATCH($F674,設定!$B$5:$B$20,0)),0))*60&gt;=設定!$C$26,ROUND(FLOOR(($L674-IFERROR(INDEX(設定!$G$5:$G$20,MATCH($F674,設定!$B$5:$B$20,0)),0))*60,設定!$C$27)/60,2),0))</f>
        <v/>
      </c>
      <c r="Q674" s="29">
        <f>IF(OR($C674="",$P674=0),"",IF($F674="國","國定假日",IF($B674="日","例假",IF($B674="六","休息日","平日"))))</f>
        <v/>
      </c>
      <c r="R674" s="34" t="n"/>
    </row>
    <row r="675">
      <c r="A675" s="30">
        <f>IF(OR(班表!$A27="",22&gt;DAY(EOMONTH(DATE(班表!$E$2,班表!$G$2,1),0))),"",DATE(班表!$E$2,班表!$G$2,22))</f>
        <v/>
      </c>
      <c r="B675" s="29">
        <f>IF($A675="","",INDEX(設定!$L$5:$L$11,WEEKDAY($A675,1)))</f>
        <v/>
      </c>
      <c r="C675" s="29">
        <f>IF($A675="","",班表!$A27)</f>
        <v/>
      </c>
      <c r="D675" s="29">
        <f>IF($C675="","",班表!$B27)</f>
        <v/>
      </c>
      <c r="E675" s="29">
        <f>IF($C675="","",班表!$C27)</f>
        <v/>
      </c>
      <c r="F675" s="29">
        <f>IF($C675="","",班表!Y27)</f>
        <v/>
      </c>
      <c r="G675" s="31">
        <f>IF($F675="","",IFERROR(INDEX(設定!$D$5:$D$20,MATCH($F675,設定!$B$5:$B$20,0)),""))</f>
        <v/>
      </c>
      <c r="H675" s="31">
        <f>IF($F675="","",IFERROR(INDEX(設定!$E$5:$E$20,MATCH($F675,設定!$B$5:$B$20,0)),""))</f>
        <v/>
      </c>
      <c r="I675" s="31">
        <f>IFERROR(INDEX(打卡匯入!$C$3:$C$1002,MATCH($C675&amp;"|"&amp;DAY($A675),打卡匯入!$E$3:$E$1002,0)),"")</f>
        <v/>
      </c>
      <c r="J675" s="31">
        <f>IFERROR(INDEX(打卡匯入!$D$3:$D$1002,MATCH($C675&amp;"|"&amp;DAY($A675),打卡匯入!$E$3:$E$1002,0)),"")</f>
        <v/>
      </c>
      <c r="K675" s="32">
        <f>IF(OR($I675="",$J675=""),"",IFERROR(INDEX(設定!$F$5:$F$20,MATCH($F675,設定!$B$5:$B$20,0)),0))</f>
        <v/>
      </c>
      <c r="L675" s="33">
        <f>IF(OR($I675="",$J675=""),"",ROUND(($J675-$I675)*24-$K675/60,2))</f>
        <v/>
      </c>
      <c r="M675" s="29">
        <f>IF($C675="","",IF(AND(COUNTIF(設定!$B$14:$B$20,$F675)&gt;0,$I675&lt;&gt;""),"假日出勤",IF(AND(COUNTIF(設定!$B$5:$B$13,$F675)&gt;0,$I675=""),"未打卡",IF($I675="","",IF($N675&gt;0,"遲到",IF($O675&gt;0,"早退","正常"))))))</f>
        <v/>
      </c>
      <c r="N675" s="32">
        <f>IF(OR($C675="",$G675="",$I675=""),0,IF(ROUND(($I675-$G675)*1440,0)&gt;設定!$C$28,ROUND(($I675-$G675)*1440,0),0))</f>
        <v/>
      </c>
      <c r="O675" s="32">
        <f>IF(OR($C675="",$H675="",$J675=""),0,IF(ROUND(($H675-$J675)*1440,0)&gt;設定!$C$28,ROUND(($H675-$J675)*1440,0),0))</f>
        <v/>
      </c>
      <c r="P675" s="33">
        <f>IF($L675="",0,IF(($L675-IFERROR(INDEX(設定!$G$5:$G$20,MATCH($F675,設定!$B$5:$B$20,0)),0))*60&gt;=設定!$C$26,ROUND(FLOOR(($L675-IFERROR(INDEX(設定!$G$5:$G$20,MATCH($F675,設定!$B$5:$B$20,0)),0))*60,設定!$C$27)/60,2),0))</f>
        <v/>
      </c>
      <c r="Q675" s="29">
        <f>IF(OR($C675="",$P675=0),"",IF($F675="國","國定假日",IF($B675="日","例假",IF($B675="六","休息日","平日"))))</f>
        <v/>
      </c>
      <c r="R675" s="34" t="n"/>
    </row>
    <row r="676">
      <c r="A676" s="30">
        <f>IF(OR(班表!$A27="",23&gt;DAY(EOMONTH(DATE(班表!$E$2,班表!$G$2,1),0))),"",DATE(班表!$E$2,班表!$G$2,23))</f>
        <v/>
      </c>
      <c r="B676" s="29">
        <f>IF($A676="","",INDEX(設定!$L$5:$L$11,WEEKDAY($A676,1)))</f>
        <v/>
      </c>
      <c r="C676" s="29">
        <f>IF($A676="","",班表!$A27)</f>
        <v/>
      </c>
      <c r="D676" s="29">
        <f>IF($C676="","",班表!$B27)</f>
        <v/>
      </c>
      <c r="E676" s="29">
        <f>IF($C676="","",班表!$C27)</f>
        <v/>
      </c>
      <c r="F676" s="29">
        <f>IF($C676="","",班表!Z27)</f>
        <v/>
      </c>
      <c r="G676" s="31">
        <f>IF($F676="","",IFERROR(INDEX(設定!$D$5:$D$20,MATCH($F676,設定!$B$5:$B$20,0)),""))</f>
        <v/>
      </c>
      <c r="H676" s="31">
        <f>IF($F676="","",IFERROR(INDEX(設定!$E$5:$E$20,MATCH($F676,設定!$B$5:$B$20,0)),""))</f>
        <v/>
      </c>
      <c r="I676" s="31">
        <f>IFERROR(INDEX(打卡匯入!$C$3:$C$1002,MATCH($C676&amp;"|"&amp;DAY($A676),打卡匯入!$E$3:$E$1002,0)),"")</f>
        <v/>
      </c>
      <c r="J676" s="31">
        <f>IFERROR(INDEX(打卡匯入!$D$3:$D$1002,MATCH($C676&amp;"|"&amp;DAY($A676),打卡匯入!$E$3:$E$1002,0)),"")</f>
        <v/>
      </c>
      <c r="K676" s="32">
        <f>IF(OR($I676="",$J676=""),"",IFERROR(INDEX(設定!$F$5:$F$20,MATCH($F676,設定!$B$5:$B$20,0)),0))</f>
        <v/>
      </c>
      <c r="L676" s="33">
        <f>IF(OR($I676="",$J676=""),"",ROUND(($J676-$I676)*24-$K676/60,2))</f>
        <v/>
      </c>
      <c r="M676" s="29">
        <f>IF($C676="","",IF(AND(COUNTIF(設定!$B$14:$B$20,$F676)&gt;0,$I676&lt;&gt;""),"假日出勤",IF(AND(COUNTIF(設定!$B$5:$B$13,$F676)&gt;0,$I676=""),"未打卡",IF($I676="","",IF($N676&gt;0,"遲到",IF($O676&gt;0,"早退","正常"))))))</f>
        <v/>
      </c>
      <c r="N676" s="32">
        <f>IF(OR($C676="",$G676="",$I676=""),0,IF(ROUND(($I676-$G676)*1440,0)&gt;設定!$C$28,ROUND(($I676-$G676)*1440,0),0))</f>
        <v/>
      </c>
      <c r="O676" s="32">
        <f>IF(OR($C676="",$H676="",$J676=""),0,IF(ROUND(($H676-$J676)*1440,0)&gt;設定!$C$28,ROUND(($H676-$J676)*1440,0),0))</f>
        <v/>
      </c>
      <c r="P676" s="33">
        <f>IF($L676="",0,IF(($L676-IFERROR(INDEX(設定!$G$5:$G$20,MATCH($F676,設定!$B$5:$B$20,0)),0))*60&gt;=設定!$C$26,ROUND(FLOOR(($L676-IFERROR(INDEX(設定!$G$5:$G$20,MATCH($F676,設定!$B$5:$B$20,0)),0))*60,設定!$C$27)/60,2),0))</f>
        <v/>
      </c>
      <c r="Q676" s="29">
        <f>IF(OR($C676="",$P676=0),"",IF($F676="國","國定假日",IF($B676="日","例假",IF($B676="六","休息日","平日"))))</f>
        <v/>
      </c>
      <c r="R676" s="34" t="n"/>
    </row>
    <row r="677">
      <c r="A677" s="30">
        <f>IF(OR(班表!$A27="",24&gt;DAY(EOMONTH(DATE(班表!$E$2,班表!$G$2,1),0))),"",DATE(班表!$E$2,班表!$G$2,24))</f>
        <v/>
      </c>
      <c r="B677" s="29">
        <f>IF($A677="","",INDEX(設定!$L$5:$L$11,WEEKDAY($A677,1)))</f>
        <v/>
      </c>
      <c r="C677" s="29">
        <f>IF($A677="","",班表!$A27)</f>
        <v/>
      </c>
      <c r="D677" s="29">
        <f>IF($C677="","",班表!$B27)</f>
        <v/>
      </c>
      <c r="E677" s="29">
        <f>IF($C677="","",班表!$C27)</f>
        <v/>
      </c>
      <c r="F677" s="29">
        <f>IF($C677="","",班表!AA27)</f>
        <v/>
      </c>
      <c r="G677" s="31">
        <f>IF($F677="","",IFERROR(INDEX(設定!$D$5:$D$20,MATCH($F677,設定!$B$5:$B$20,0)),""))</f>
        <v/>
      </c>
      <c r="H677" s="31">
        <f>IF($F677="","",IFERROR(INDEX(設定!$E$5:$E$20,MATCH($F677,設定!$B$5:$B$20,0)),""))</f>
        <v/>
      </c>
      <c r="I677" s="31">
        <f>IFERROR(INDEX(打卡匯入!$C$3:$C$1002,MATCH($C677&amp;"|"&amp;DAY($A677),打卡匯入!$E$3:$E$1002,0)),"")</f>
        <v/>
      </c>
      <c r="J677" s="31">
        <f>IFERROR(INDEX(打卡匯入!$D$3:$D$1002,MATCH($C677&amp;"|"&amp;DAY($A677),打卡匯入!$E$3:$E$1002,0)),"")</f>
        <v/>
      </c>
      <c r="K677" s="32">
        <f>IF(OR($I677="",$J677=""),"",IFERROR(INDEX(設定!$F$5:$F$20,MATCH($F677,設定!$B$5:$B$20,0)),0))</f>
        <v/>
      </c>
      <c r="L677" s="33">
        <f>IF(OR($I677="",$J677=""),"",ROUND(($J677-$I677)*24-$K677/60,2))</f>
        <v/>
      </c>
      <c r="M677" s="29">
        <f>IF($C677="","",IF(AND(COUNTIF(設定!$B$14:$B$20,$F677)&gt;0,$I677&lt;&gt;""),"假日出勤",IF(AND(COUNTIF(設定!$B$5:$B$13,$F677)&gt;0,$I677=""),"未打卡",IF($I677="","",IF($N677&gt;0,"遲到",IF($O677&gt;0,"早退","正常"))))))</f>
        <v/>
      </c>
      <c r="N677" s="32">
        <f>IF(OR($C677="",$G677="",$I677=""),0,IF(ROUND(($I677-$G677)*1440,0)&gt;設定!$C$28,ROUND(($I677-$G677)*1440,0),0))</f>
        <v/>
      </c>
      <c r="O677" s="32">
        <f>IF(OR($C677="",$H677="",$J677=""),0,IF(ROUND(($H677-$J677)*1440,0)&gt;設定!$C$28,ROUND(($H677-$J677)*1440,0),0))</f>
        <v/>
      </c>
      <c r="P677" s="33">
        <f>IF($L677="",0,IF(($L677-IFERROR(INDEX(設定!$G$5:$G$20,MATCH($F677,設定!$B$5:$B$20,0)),0))*60&gt;=設定!$C$26,ROUND(FLOOR(($L677-IFERROR(INDEX(設定!$G$5:$G$20,MATCH($F677,設定!$B$5:$B$20,0)),0))*60,設定!$C$27)/60,2),0))</f>
        <v/>
      </c>
      <c r="Q677" s="29">
        <f>IF(OR($C677="",$P677=0),"",IF($F677="國","國定假日",IF($B677="日","例假",IF($B677="六","休息日","平日"))))</f>
        <v/>
      </c>
      <c r="R677" s="34" t="n"/>
    </row>
    <row r="678">
      <c r="A678" s="30">
        <f>IF(OR(班表!$A27="",25&gt;DAY(EOMONTH(DATE(班表!$E$2,班表!$G$2,1),0))),"",DATE(班表!$E$2,班表!$G$2,25))</f>
        <v/>
      </c>
      <c r="B678" s="29">
        <f>IF($A678="","",INDEX(設定!$L$5:$L$11,WEEKDAY($A678,1)))</f>
        <v/>
      </c>
      <c r="C678" s="29">
        <f>IF($A678="","",班表!$A27)</f>
        <v/>
      </c>
      <c r="D678" s="29">
        <f>IF($C678="","",班表!$B27)</f>
        <v/>
      </c>
      <c r="E678" s="29">
        <f>IF($C678="","",班表!$C27)</f>
        <v/>
      </c>
      <c r="F678" s="29">
        <f>IF($C678="","",班表!AB27)</f>
        <v/>
      </c>
      <c r="G678" s="31">
        <f>IF($F678="","",IFERROR(INDEX(設定!$D$5:$D$20,MATCH($F678,設定!$B$5:$B$20,0)),""))</f>
        <v/>
      </c>
      <c r="H678" s="31">
        <f>IF($F678="","",IFERROR(INDEX(設定!$E$5:$E$20,MATCH($F678,設定!$B$5:$B$20,0)),""))</f>
        <v/>
      </c>
      <c r="I678" s="31">
        <f>IFERROR(INDEX(打卡匯入!$C$3:$C$1002,MATCH($C678&amp;"|"&amp;DAY($A678),打卡匯入!$E$3:$E$1002,0)),"")</f>
        <v/>
      </c>
      <c r="J678" s="31">
        <f>IFERROR(INDEX(打卡匯入!$D$3:$D$1002,MATCH($C678&amp;"|"&amp;DAY($A678),打卡匯入!$E$3:$E$1002,0)),"")</f>
        <v/>
      </c>
      <c r="K678" s="32">
        <f>IF(OR($I678="",$J678=""),"",IFERROR(INDEX(設定!$F$5:$F$20,MATCH($F678,設定!$B$5:$B$20,0)),0))</f>
        <v/>
      </c>
      <c r="L678" s="33">
        <f>IF(OR($I678="",$J678=""),"",ROUND(($J678-$I678)*24-$K678/60,2))</f>
        <v/>
      </c>
      <c r="M678" s="29">
        <f>IF($C678="","",IF(AND(COUNTIF(設定!$B$14:$B$20,$F678)&gt;0,$I678&lt;&gt;""),"假日出勤",IF(AND(COUNTIF(設定!$B$5:$B$13,$F678)&gt;0,$I678=""),"未打卡",IF($I678="","",IF($N678&gt;0,"遲到",IF($O678&gt;0,"早退","正常"))))))</f>
        <v/>
      </c>
      <c r="N678" s="32">
        <f>IF(OR($C678="",$G678="",$I678=""),0,IF(ROUND(($I678-$G678)*1440,0)&gt;設定!$C$28,ROUND(($I678-$G678)*1440,0),0))</f>
        <v/>
      </c>
      <c r="O678" s="32">
        <f>IF(OR($C678="",$H678="",$J678=""),0,IF(ROUND(($H678-$J678)*1440,0)&gt;設定!$C$28,ROUND(($H678-$J678)*1440,0),0))</f>
        <v/>
      </c>
      <c r="P678" s="33">
        <f>IF($L678="",0,IF(($L678-IFERROR(INDEX(設定!$G$5:$G$20,MATCH($F678,設定!$B$5:$B$20,0)),0))*60&gt;=設定!$C$26,ROUND(FLOOR(($L678-IFERROR(INDEX(設定!$G$5:$G$20,MATCH($F678,設定!$B$5:$B$20,0)),0))*60,設定!$C$27)/60,2),0))</f>
        <v/>
      </c>
      <c r="Q678" s="29">
        <f>IF(OR($C678="",$P678=0),"",IF($F678="國","國定假日",IF($B678="日","例假",IF($B678="六","休息日","平日"))))</f>
        <v/>
      </c>
      <c r="R678" s="34" t="n"/>
    </row>
    <row r="679">
      <c r="A679" s="30">
        <f>IF(OR(班表!$A27="",26&gt;DAY(EOMONTH(DATE(班表!$E$2,班表!$G$2,1),0))),"",DATE(班表!$E$2,班表!$G$2,26))</f>
        <v/>
      </c>
      <c r="B679" s="29">
        <f>IF($A679="","",INDEX(設定!$L$5:$L$11,WEEKDAY($A679,1)))</f>
        <v/>
      </c>
      <c r="C679" s="29">
        <f>IF($A679="","",班表!$A27)</f>
        <v/>
      </c>
      <c r="D679" s="29">
        <f>IF($C679="","",班表!$B27)</f>
        <v/>
      </c>
      <c r="E679" s="29">
        <f>IF($C679="","",班表!$C27)</f>
        <v/>
      </c>
      <c r="F679" s="29">
        <f>IF($C679="","",班表!AC27)</f>
        <v/>
      </c>
      <c r="G679" s="31">
        <f>IF($F679="","",IFERROR(INDEX(設定!$D$5:$D$20,MATCH($F679,設定!$B$5:$B$20,0)),""))</f>
        <v/>
      </c>
      <c r="H679" s="31">
        <f>IF($F679="","",IFERROR(INDEX(設定!$E$5:$E$20,MATCH($F679,設定!$B$5:$B$20,0)),""))</f>
        <v/>
      </c>
      <c r="I679" s="31">
        <f>IFERROR(INDEX(打卡匯入!$C$3:$C$1002,MATCH($C679&amp;"|"&amp;DAY($A679),打卡匯入!$E$3:$E$1002,0)),"")</f>
        <v/>
      </c>
      <c r="J679" s="31">
        <f>IFERROR(INDEX(打卡匯入!$D$3:$D$1002,MATCH($C679&amp;"|"&amp;DAY($A679),打卡匯入!$E$3:$E$1002,0)),"")</f>
        <v/>
      </c>
      <c r="K679" s="32">
        <f>IF(OR($I679="",$J679=""),"",IFERROR(INDEX(設定!$F$5:$F$20,MATCH($F679,設定!$B$5:$B$20,0)),0))</f>
        <v/>
      </c>
      <c r="L679" s="33">
        <f>IF(OR($I679="",$J679=""),"",ROUND(($J679-$I679)*24-$K679/60,2))</f>
        <v/>
      </c>
      <c r="M679" s="29">
        <f>IF($C679="","",IF(AND(COUNTIF(設定!$B$14:$B$20,$F679)&gt;0,$I679&lt;&gt;""),"假日出勤",IF(AND(COUNTIF(設定!$B$5:$B$13,$F679)&gt;0,$I679=""),"未打卡",IF($I679="","",IF($N679&gt;0,"遲到",IF($O679&gt;0,"早退","正常"))))))</f>
        <v/>
      </c>
      <c r="N679" s="32">
        <f>IF(OR($C679="",$G679="",$I679=""),0,IF(ROUND(($I679-$G679)*1440,0)&gt;設定!$C$28,ROUND(($I679-$G679)*1440,0),0))</f>
        <v/>
      </c>
      <c r="O679" s="32">
        <f>IF(OR($C679="",$H679="",$J679=""),0,IF(ROUND(($H679-$J679)*1440,0)&gt;設定!$C$28,ROUND(($H679-$J679)*1440,0),0))</f>
        <v/>
      </c>
      <c r="P679" s="33">
        <f>IF($L679="",0,IF(($L679-IFERROR(INDEX(設定!$G$5:$G$20,MATCH($F679,設定!$B$5:$B$20,0)),0))*60&gt;=設定!$C$26,ROUND(FLOOR(($L679-IFERROR(INDEX(設定!$G$5:$G$20,MATCH($F679,設定!$B$5:$B$20,0)),0))*60,設定!$C$27)/60,2),0))</f>
        <v/>
      </c>
      <c r="Q679" s="29">
        <f>IF(OR($C679="",$P679=0),"",IF($F679="國","國定假日",IF($B679="日","例假",IF($B679="六","休息日","平日"))))</f>
        <v/>
      </c>
      <c r="R679" s="34" t="n"/>
    </row>
    <row r="680">
      <c r="A680" s="30">
        <f>IF(OR(班表!$A27="",27&gt;DAY(EOMONTH(DATE(班表!$E$2,班表!$G$2,1),0))),"",DATE(班表!$E$2,班表!$G$2,27))</f>
        <v/>
      </c>
      <c r="B680" s="29">
        <f>IF($A680="","",INDEX(設定!$L$5:$L$11,WEEKDAY($A680,1)))</f>
        <v/>
      </c>
      <c r="C680" s="29">
        <f>IF($A680="","",班表!$A27)</f>
        <v/>
      </c>
      <c r="D680" s="29">
        <f>IF($C680="","",班表!$B27)</f>
        <v/>
      </c>
      <c r="E680" s="29">
        <f>IF($C680="","",班表!$C27)</f>
        <v/>
      </c>
      <c r="F680" s="29">
        <f>IF($C680="","",班表!AD27)</f>
        <v/>
      </c>
      <c r="G680" s="31">
        <f>IF($F680="","",IFERROR(INDEX(設定!$D$5:$D$20,MATCH($F680,設定!$B$5:$B$20,0)),""))</f>
        <v/>
      </c>
      <c r="H680" s="31">
        <f>IF($F680="","",IFERROR(INDEX(設定!$E$5:$E$20,MATCH($F680,設定!$B$5:$B$20,0)),""))</f>
        <v/>
      </c>
      <c r="I680" s="31">
        <f>IFERROR(INDEX(打卡匯入!$C$3:$C$1002,MATCH($C680&amp;"|"&amp;DAY($A680),打卡匯入!$E$3:$E$1002,0)),"")</f>
        <v/>
      </c>
      <c r="J680" s="31">
        <f>IFERROR(INDEX(打卡匯入!$D$3:$D$1002,MATCH($C680&amp;"|"&amp;DAY($A680),打卡匯入!$E$3:$E$1002,0)),"")</f>
        <v/>
      </c>
      <c r="K680" s="32">
        <f>IF(OR($I680="",$J680=""),"",IFERROR(INDEX(設定!$F$5:$F$20,MATCH($F680,設定!$B$5:$B$20,0)),0))</f>
        <v/>
      </c>
      <c r="L680" s="33">
        <f>IF(OR($I680="",$J680=""),"",ROUND(($J680-$I680)*24-$K680/60,2))</f>
        <v/>
      </c>
      <c r="M680" s="29">
        <f>IF($C680="","",IF(AND(COUNTIF(設定!$B$14:$B$20,$F680)&gt;0,$I680&lt;&gt;""),"假日出勤",IF(AND(COUNTIF(設定!$B$5:$B$13,$F680)&gt;0,$I680=""),"未打卡",IF($I680="","",IF($N680&gt;0,"遲到",IF($O680&gt;0,"早退","正常"))))))</f>
        <v/>
      </c>
      <c r="N680" s="32">
        <f>IF(OR($C680="",$G680="",$I680=""),0,IF(ROUND(($I680-$G680)*1440,0)&gt;設定!$C$28,ROUND(($I680-$G680)*1440,0),0))</f>
        <v/>
      </c>
      <c r="O680" s="32">
        <f>IF(OR($C680="",$H680="",$J680=""),0,IF(ROUND(($H680-$J680)*1440,0)&gt;設定!$C$28,ROUND(($H680-$J680)*1440,0),0))</f>
        <v/>
      </c>
      <c r="P680" s="33">
        <f>IF($L680="",0,IF(($L680-IFERROR(INDEX(設定!$G$5:$G$20,MATCH($F680,設定!$B$5:$B$20,0)),0))*60&gt;=設定!$C$26,ROUND(FLOOR(($L680-IFERROR(INDEX(設定!$G$5:$G$20,MATCH($F680,設定!$B$5:$B$20,0)),0))*60,設定!$C$27)/60,2),0))</f>
        <v/>
      </c>
      <c r="Q680" s="29">
        <f>IF(OR($C680="",$P680=0),"",IF($F680="國","國定假日",IF($B680="日","例假",IF($B680="六","休息日","平日"))))</f>
        <v/>
      </c>
      <c r="R680" s="34" t="n"/>
    </row>
    <row r="681">
      <c r="A681" s="30">
        <f>IF(OR(班表!$A27="",28&gt;DAY(EOMONTH(DATE(班表!$E$2,班表!$G$2,1),0))),"",DATE(班表!$E$2,班表!$G$2,28))</f>
        <v/>
      </c>
      <c r="B681" s="29">
        <f>IF($A681="","",INDEX(設定!$L$5:$L$11,WEEKDAY($A681,1)))</f>
        <v/>
      </c>
      <c r="C681" s="29">
        <f>IF($A681="","",班表!$A27)</f>
        <v/>
      </c>
      <c r="D681" s="29">
        <f>IF($C681="","",班表!$B27)</f>
        <v/>
      </c>
      <c r="E681" s="29">
        <f>IF($C681="","",班表!$C27)</f>
        <v/>
      </c>
      <c r="F681" s="29">
        <f>IF($C681="","",班表!AE27)</f>
        <v/>
      </c>
      <c r="G681" s="31">
        <f>IF($F681="","",IFERROR(INDEX(設定!$D$5:$D$20,MATCH($F681,設定!$B$5:$B$20,0)),""))</f>
        <v/>
      </c>
      <c r="H681" s="31">
        <f>IF($F681="","",IFERROR(INDEX(設定!$E$5:$E$20,MATCH($F681,設定!$B$5:$B$20,0)),""))</f>
        <v/>
      </c>
      <c r="I681" s="31">
        <f>IFERROR(INDEX(打卡匯入!$C$3:$C$1002,MATCH($C681&amp;"|"&amp;DAY($A681),打卡匯入!$E$3:$E$1002,0)),"")</f>
        <v/>
      </c>
      <c r="J681" s="31">
        <f>IFERROR(INDEX(打卡匯入!$D$3:$D$1002,MATCH($C681&amp;"|"&amp;DAY($A681),打卡匯入!$E$3:$E$1002,0)),"")</f>
        <v/>
      </c>
      <c r="K681" s="32">
        <f>IF(OR($I681="",$J681=""),"",IFERROR(INDEX(設定!$F$5:$F$20,MATCH($F681,設定!$B$5:$B$20,0)),0))</f>
        <v/>
      </c>
      <c r="L681" s="33">
        <f>IF(OR($I681="",$J681=""),"",ROUND(($J681-$I681)*24-$K681/60,2))</f>
        <v/>
      </c>
      <c r="M681" s="29">
        <f>IF($C681="","",IF(AND(COUNTIF(設定!$B$14:$B$20,$F681)&gt;0,$I681&lt;&gt;""),"假日出勤",IF(AND(COUNTIF(設定!$B$5:$B$13,$F681)&gt;0,$I681=""),"未打卡",IF($I681="","",IF($N681&gt;0,"遲到",IF($O681&gt;0,"早退","正常"))))))</f>
        <v/>
      </c>
      <c r="N681" s="32">
        <f>IF(OR($C681="",$G681="",$I681=""),0,IF(ROUND(($I681-$G681)*1440,0)&gt;設定!$C$28,ROUND(($I681-$G681)*1440,0),0))</f>
        <v/>
      </c>
      <c r="O681" s="32">
        <f>IF(OR($C681="",$H681="",$J681=""),0,IF(ROUND(($H681-$J681)*1440,0)&gt;設定!$C$28,ROUND(($H681-$J681)*1440,0),0))</f>
        <v/>
      </c>
      <c r="P681" s="33">
        <f>IF($L681="",0,IF(($L681-IFERROR(INDEX(設定!$G$5:$G$20,MATCH($F681,設定!$B$5:$B$20,0)),0))*60&gt;=設定!$C$26,ROUND(FLOOR(($L681-IFERROR(INDEX(設定!$G$5:$G$20,MATCH($F681,設定!$B$5:$B$20,0)),0))*60,設定!$C$27)/60,2),0))</f>
        <v/>
      </c>
      <c r="Q681" s="29">
        <f>IF(OR($C681="",$P681=0),"",IF($F681="國","國定假日",IF($B681="日","例假",IF($B681="六","休息日","平日"))))</f>
        <v/>
      </c>
      <c r="R681" s="34" t="n"/>
    </row>
    <row r="682">
      <c r="A682" s="30">
        <f>IF(OR(班表!$A27="",29&gt;DAY(EOMONTH(DATE(班表!$E$2,班表!$G$2,1),0))),"",DATE(班表!$E$2,班表!$G$2,29))</f>
        <v/>
      </c>
      <c r="B682" s="29">
        <f>IF($A682="","",INDEX(設定!$L$5:$L$11,WEEKDAY($A682,1)))</f>
        <v/>
      </c>
      <c r="C682" s="29">
        <f>IF($A682="","",班表!$A27)</f>
        <v/>
      </c>
      <c r="D682" s="29">
        <f>IF($C682="","",班表!$B27)</f>
        <v/>
      </c>
      <c r="E682" s="29">
        <f>IF($C682="","",班表!$C27)</f>
        <v/>
      </c>
      <c r="F682" s="29">
        <f>IF($C682="","",班表!AF27)</f>
        <v/>
      </c>
      <c r="G682" s="31">
        <f>IF($F682="","",IFERROR(INDEX(設定!$D$5:$D$20,MATCH($F682,設定!$B$5:$B$20,0)),""))</f>
        <v/>
      </c>
      <c r="H682" s="31">
        <f>IF($F682="","",IFERROR(INDEX(設定!$E$5:$E$20,MATCH($F682,設定!$B$5:$B$20,0)),""))</f>
        <v/>
      </c>
      <c r="I682" s="31">
        <f>IFERROR(INDEX(打卡匯入!$C$3:$C$1002,MATCH($C682&amp;"|"&amp;DAY($A682),打卡匯入!$E$3:$E$1002,0)),"")</f>
        <v/>
      </c>
      <c r="J682" s="31">
        <f>IFERROR(INDEX(打卡匯入!$D$3:$D$1002,MATCH($C682&amp;"|"&amp;DAY($A682),打卡匯入!$E$3:$E$1002,0)),"")</f>
        <v/>
      </c>
      <c r="K682" s="32">
        <f>IF(OR($I682="",$J682=""),"",IFERROR(INDEX(設定!$F$5:$F$20,MATCH($F682,設定!$B$5:$B$20,0)),0))</f>
        <v/>
      </c>
      <c r="L682" s="33">
        <f>IF(OR($I682="",$J682=""),"",ROUND(($J682-$I682)*24-$K682/60,2))</f>
        <v/>
      </c>
      <c r="M682" s="29">
        <f>IF($C682="","",IF(AND(COUNTIF(設定!$B$14:$B$20,$F682)&gt;0,$I682&lt;&gt;""),"假日出勤",IF(AND(COUNTIF(設定!$B$5:$B$13,$F682)&gt;0,$I682=""),"未打卡",IF($I682="","",IF($N682&gt;0,"遲到",IF($O682&gt;0,"早退","正常"))))))</f>
        <v/>
      </c>
      <c r="N682" s="32">
        <f>IF(OR($C682="",$G682="",$I682=""),0,IF(ROUND(($I682-$G682)*1440,0)&gt;設定!$C$28,ROUND(($I682-$G682)*1440,0),0))</f>
        <v/>
      </c>
      <c r="O682" s="32">
        <f>IF(OR($C682="",$H682="",$J682=""),0,IF(ROUND(($H682-$J682)*1440,0)&gt;設定!$C$28,ROUND(($H682-$J682)*1440,0),0))</f>
        <v/>
      </c>
      <c r="P682" s="33">
        <f>IF($L682="",0,IF(($L682-IFERROR(INDEX(設定!$G$5:$G$20,MATCH($F682,設定!$B$5:$B$20,0)),0))*60&gt;=設定!$C$26,ROUND(FLOOR(($L682-IFERROR(INDEX(設定!$G$5:$G$20,MATCH($F682,設定!$B$5:$B$20,0)),0))*60,設定!$C$27)/60,2),0))</f>
        <v/>
      </c>
      <c r="Q682" s="29">
        <f>IF(OR($C682="",$P682=0),"",IF($F682="國","國定假日",IF($B682="日","例假",IF($B682="六","休息日","平日"))))</f>
        <v/>
      </c>
      <c r="R682" s="34" t="n"/>
    </row>
    <row r="683">
      <c r="A683" s="30">
        <f>IF(OR(班表!$A27="",30&gt;DAY(EOMONTH(DATE(班表!$E$2,班表!$G$2,1),0))),"",DATE(班表!$E$2,班表!$G$2,30))</f>
        <v/>
      </c>
      <c r="B683" s="29">
        <f>IF($A683="","",INDEX(設定!$L$5:$L$11,WEEKDAY($A683,1)))</f>
        <v/>
      </c>
      <c r="C683" s="29">
        <f>IF($A683="","",班表!$A27)</f>
        <v/>
      </c>
      <c r="D683" s="29">
        <f>IF($C683="","",班表!$B27)</f>
        <v/>
      </c>
      <c r="E683" s="29">
        <f>IF($C683="","",班表!$C27)</f>
        <v/>
      </c>
      <c r="F683" s="29">
        <f>IF($C683="","",班表!AG27)</f>
        <v/>
      </c>
      <c r="G683" s="31">
        <f>IF($F683="","",IFERROR(INDEX(設定!$D$5:$D$20,MATCH($F683,設定!$B$5:$B$20,0)),""))</f>
        <v/>
      </c>
      <c r="H683" s="31">
        <f>IF($F683="","",IFERROR(INDEX(設定!$E$5:$E$20,MATCH($F683,設定!$B$5:$B$20,0)),""))</f>
        <v/>
      </c>
      <c r="I683" s="31">
        <f>IFERROR(INDEX(打卡匯入!$C$3:$C$1002,MATCH($C683&amp;"|"&amp;DAY($A683),打卡匯入!$E$3:$E$1002,0)),"")</f>
        <v/>
      </c>
      <c r="J683" s="31">
        <f>IFERROR(INDEX(打卡匯入!$D$3:$D$1002,MATCH($C683&amp;"|"&amp;DAY($A683),打卡匯入!$E$3:$E$1002,0)),"")</f>
        <v/>
      </c>
      <c r="K683" s="32">
        <f>IF(OR($I683="",$J683=""),"",IFERROR(INDEX(設定!$F$5:$F$20,MATCH($F683,設定!$B$5:$B$20,0)),0))</f>
        <v/>
      </c>
      <c r="L683" s="33">
        <f>IF(OR($I683="",$J683=""),"",ROUND(($J683-$I683)*24-$K683/60,2))</f>
        <v/>
      </c>
      <c r="M683" s="29">
        <f>IF($C683="","",IF(AND(COUNTIF(設定!$B$14:$B$20,$F683)&gt;0,$I683&lt;&gt;""),"假日出勤",IF(AND(COUNTIF(設定!$B$5:$B$13,$F683)&gt;0,$I683=""),"未打卡",IF($I683="","",IF($N683&gt;0,"遲到",IF($O683&gt;0,"早退","正常"))))))</f>
        <v/>
      </c>
      <c r="N683" s="32">
        <f>IF(OR($C683="",$G683="",$I683=""),0,IF(ROUND(($I683-$G683)*1440,0)&gt;設定!$C$28,ROUND(($I683-$G683)*1440,0),0))</f>
        <v/>
      </c>
      <c r="O683" s="32">
        <f>IF(OR($C683="",$H683="",$J683=""),0,IF(ROUND(($H683-$J683)*1440,0)&gt;設定!$C$28,ROUND(($H683-$J683)*1440,0),0))</f>
        <v/>
      </c>
      <c r="P683" s="33">
        <f>IF($L683="",0,IF(($L683-IFERROR(INDEX(設定!$G$5:$G$20,MATCH($F683,設定!$B$5:$B$20,0)),0))*60&gt;=設定!$C$26,ROUND(FLOOR(($L683-IFERROR(INDEX(設定!$G$5:$G$20,MATCH($F683,設定!$B$5:$B$20,0)),0))*60,設定!$C$27)/60,2),0))</f>
        <v/>
      </c>
      <c r="Q683" s="29">
        <f>IF(OR($C683="",$P683=0),"",IF($F683="國","國定假日",IF($B683="日","例假",IF($B683="六","休息日","平日"))))</f>
        <v/>
      </c>
      <c r="R683" s="34" t="n"/>
    </row>
    <row r="684">
      <c r="A684" s="30">
        <f>IF(OR(班表!$A27="",31&gt;DAY(EOMONTH(DATE(班表!$E$2,班表!$G$2,1),0))),"",DATE(班表!$E$2,班表!$G$2,31))</f>
        <v/>
      </c>
      <c r="B684" s="29">
        <f>IF($A684="","",INDEX(設定!$L$5:$L$11,WEEKDAY($A684,1)))</f>
        <v/>
      </c>
      <c r="C684" s="29">
        <f>IF($A684="","",班表!$A27)</f>
        <v/>
      </c>
      <c r="D684" s="29">
        <f>IF($C684="","",班表!$B27)</f>
        <v/>
      </c>
      <c r="E684" s="29">
        <f>IF($C684="","",班表!$C27)</f>
        <v/>
      </c>
      <c r="F684" s="29">
        <f>IF($C684="","",班表!AH27)</f>
        <v/>
      </c>
      <c r="G684" s="31">
        <f>IF($F684="","",IFERROR(INDEX(設定!$D$5:$D$20,MATCH($F684,設定!$B$5:$B$20,0)),""))</f>
        <v/>
      </c>
      <c r="H684" s="31">
        <f>IF($F684="","",IFERROR(INDEX(設定!$E$5:$E$20,MATCH($F684,設定!$B$5:$B$20,0)),""))</f>
        <v/>
      </c>
      <c r="I684" s="31">
        <f>IFERROR(INDEX(打卡匯入!$C$3:$C$1002,MATCH($C684&amp;"|"&amp;DAY($A684),打卡匯入!$E$3:$E$1002,0)),"")</f>
        <v/>
      </c>
      <c r="J684" s="31">
        <f>IFERROR(INDEX(打卡匯入!$D$3:$D$1002,MATCH($C684&amp;"|"&amp;DAY($A684),打卡匯入!$E$3:$E$1002,0)),"")</f>
        <v/>
      </c>
      <c r="K684" s="32">
        <f>IF(OR($I684="",$J684=""),"",IFERROR(INDEX(設定!$F$5:$F$20,MATCH($F684,設定!$B$5:$B$20,0)),0))</f>
        <v/>
      </c>
      <c r="L684" s="33">
        <f>IF(OR($I684="",$J684=""),"",ROUND(($J684-$I684)*24-$K684/60,2))</f>
        <v/>
      </c>
      <c r="M684" s="29">
        <f>IF($C684="","",IF(AND(COUNTIF(設定!$B$14:$B$20,$F684)&gt;0,$I684&lt;&gt;""),"假日出勤",IF(AND(COUNTIF(設定!$B$5:$B$13,$F684)&gt;0,$I684=""),"未打卡",IF($I684="","",IF($N684&gt;0,"遲到",IF($O684&gt;0,"早退","正常"))))))</f>
        <v/>
      </c>
      <c r="N684" s="32">
        <f>IF(OR($C684="",$G684="",$I684=""),0,IF(ROUND(($I684-$G684)*1440,0)&gt;設定!$C$28,ROUND(($I684-$G684)*1440,0),0))</f>
        <v/>
      </c>
      <c r="O684" s="32">
        <f>IF(OR($C684="",$H684="",$J684=""),0,IF(ROUND(($H684-$J684)*1440,0)&gt;設定!$C$28,ROUND(($H684-$J684)*1440,0),0))</f>
        <v/>
      </c>
      <c r="P684" s="33">
        <f>IF($L684="",0,IF(($L684-IFERROR(INDEX(設定!$G$5:$G$20,MATCH($F684,設定!$B$5:$B$20,0)),0))*60&gt;=設定!$C$26,ROUND(FLOOR(($L684-IFERROR(INDEX(設定!$G$5:$G$20,MATCH($F684,設定!$B$5:$B$20,0)),0))*60,設定!$C$27)/60,2),0))</f>
        <v/>
      </c>
      <c r="Q684" s="29">
        <f>IF(OR($C684="",$P684=0),"",IF($F684="國","國定假日",IF($B684="日","例假",IF($B684="六","休息日","平日"))))</f>
        <v/>
      </c>
      <c r="R684" s="34" t="n"/>
    </row>
    <row r="685">
      <c r="A685" s="30">
        <f>IF(OR(班表!$A28="",1&gt;DAY(EOMONTH(DATE(班表!$E$2,班表!$G$2,1),0))),"",DATE(班表!$E$2,班表!$G$2,1))</f>
        <v/>
      </c>
      <c r="B685" s="29">
        <f>IF($A685="","",INDEX(設定!$L$5:$L$11,WEEKDAY($A685,1)))</f>
        <v/>
      </c>
      <c r="C685" s="29">
        <f>IF($A685="","",班表!$A28)</f>
        <v/>
      </c>
      <c r="D685" s="29">
        <f>IF($C685="","",班表!$B28)</f>
        <v/>
      </c>
      <c r="E685" s="29">
        <f>IF($C685="","",班表!$C28)</f>
        <v/>
      </c>
      <c r="F685" s="29">
        <f>IF($C685="","",班表!D28)</f>
        <v/>
      </c>
      <c r="G685" s="31">
        <f>IF($F685="","",IFERROR(INDEX(設定!$D$5:$D$20,MATCH($F685,設定!$B$5:$B$20,0)),""))</f>
        <v/>
      </c>
      <c r="H685" s="31">
        <f>IF($F685="","",IFERROR(INDEX(設定!$E$5:$E$20,MATCH($F685,設定!$B$5:$B$20,0)),""))</f>
        <v/>
      </c>
      <c r="I685" s="31">
        <f>IFERROR(INDEX(打卡匯入!$C$3:$C$1002,MATCH($C685&amp;"|"&amp;DAY($A685),打卡匯入!$E$3:$E$1002,0)),"")</f>
        <v/>
      </c>
      <c r="J685" s="31">
        <f>IFERROR(INDEX(打卡匯入!$D$3:$D$1002,MATCH($C685&amp;"|"&amp;DAY($A685),打卡匯入!$E$3:$E$1002,0)),"")</f>
        <v/>
      </c>
      <c r="K685" s="32">
        <f>IF(OR($I685="",$J685=""),"",IFERROR(INDEX(設定!$F$5:$F$20,MATCH($F685,設定!$B$5:$B$20,0)),0))</f>
        <v/>
      </c>
      <c r="L685" s="33">
        <f>IF(OR($I685="",$J685=""),"",ROUND(($J685-$I685)*24-$K685/60,2))</f>
        <v/>
      </c>
      <c r="M685" s="29">
        <f>IF($C685="","",IF(AND(COUNTIF(設定!$B$14:$B$20,$F685)&gt;0,$I685&lt;&gt;""),"假日出勤",IF(AND(COUNTIF(設定!$B$5:$B$13,$F685)&gt;0,$I685=""),"未打卡",IF($I685="","",IF($N685&gt;0,"遲到",IF($O685&gt;0,"早退","正常"))))))</f>
        <v/>
      </c>
      <c r="N685" s="32">
        <f>IF(OR($C685="",$G685="",$I685=""),0,IF(ROUND(($I685-$G685)*1440,0)&gt;設定!$C$28,ROUND(($I685-$G685)*1440,0),0))</f>
        <v/>
      </c>
      <c r="O685" s="32">
        <f>IF(OR($C685="",$H685="",$J685=""),0,IF(ROUND(($H685-$J685)*1440,0)&gt;設定!$C$28,ROUND(($H685-$J685)*1440,0),0))</f>
        <v/>
      </c>
      <c r="P685" s="33">
        <f>IF($L685="",0,IF(($L685-IFERROR(INDEX(設定!$G$5:$G$20,MATCH($F685,設定!$B$5:$B$20,0)),0))*60&gt;=設定!$C$26,ROUND(FLOOR(($L685-IFERROR(INDEX(設定!$G$5:$G$20,MATCH($F685,設定!$B$5:$B$20,0)),0))*60,設定!$C$27)/60,2),0))</f>
        <v/>
      </c>
      <c r="Q685" s="29">
        <f>IF(OR($C685="",$P685=0),"",IF($F685="國","國定假日",IF($B685="日","例假",IF($B685="六","休息日","平日"))))</f>
        <v/>
      </c>
      <c r="R685" s="34" t="n"/>
    </row>
    <row r="686">
      <c r="A686" s="30">
        <f>IF(OR(班表!$A28="",2&gt;DAY(EOMONTH(DATE(班表!$E$2,班表!$G$2,1),0))),"",DATE(班表!$E$2,班表!$G$2,2))</f>
        <v/>
      </c>
      <c r="B686" s="29">
        <f>IF($A686="","",INDEX(設定!$L$5:$L$11,WEEKDAY($A686,1)))</f>
        <v/>
      </c>
      <c r="C686" s="29">
        <f>IF($A686="","",班表!$A28)</f>
        <v/>
      </c>
      <c r="D686" s="29">
        <f>IF($C686="","",班表!$B28)</f>
        <v/>
      </c>
      <c r="E686" s="29">
        <f>IF($C686="","",班表!$C28)</f>
        <v/>
      </c>
      <c r="F686" s="29">
        <f>IF($C686="","",班表!E28)</f>
        <v/>
      </c>
      <c r="G686" s="31">
        <f>IF($F686="","",IFERROR(INDEX(設定!$D$5:$D$20,MATCH($F686,設定!$B$5:$B$20,0)),""))</f>
        <v/>
      </c>
      <c r="H686" s="31">
        <f>IF($F686="","",IFERROR(INDEX(設定!$E$5:$E$20,MATCH($F686,設定!$B$5:$B$20,0)),""))</f>
        <v/>
      </c>
      <c r="I686" s="31">
        <f>IFERROR(INDEX(打卡匯入!$C$3:$C$1002,MATCH($C686&amp;"|"&amp;DAY($A686),打卡匯入!$E$3:$E$1002,0)),"")</f>
        <v/>
      </c>
      <c r="J686" s="31">
        <f>IFERROR(INDEX(打卡匯入!$D$3:$D$1002,MATCH($C686&amp;"|"&amp;DAY($A686),打卡匯入!$E$3:$E$1002,0)),"")</f>
        <v/>
      </c>
      <c r="K686" s="32">
        <f>IF(OR($I686="",$J686=""),"",IFERROR(INDEX(設定!$F$5:$F$20,MATCH($F686,設定!$B$5:$B$20,0)),0))</f>
        <v/>
      </c>
      <c r="L686" s="33">
        <f>IF(OR($I686="",$J686=""),"",ROUND(($J686-$I686)*24-$K686/60,2))</f>
        <v/>
      </c>
      <c r="M686" s="29">
        <f>IF($C686="","",IF(AND(COUNTIF(設定!$B$14:$B$20,$F686)&gt;0,$I686&lt;&gt;""),"假日出勤",IF(AND(COUNTIF(設定!$B$5:$B$13,$F686)&gt;0,$I686=""),"未打卡",IF($I686="","",IF($N686&gt;0,"遲到",IF($O686&gt;0,"早退","正常"))))))</f>
        <v/>
      </c>
      <c r="N686" s="32">
        <f>IF(OR($C686="",$G686="",$I686=""),0,IF(ROUND(($I686-$G686)*1440,0)&gt;設定!$C$28,ROUND(($I686-$G686)*1440,0),0))</f>
        <v/>
      </c>
      <c r="O686" s="32">
        <f>IF(OR($C686="",$H686="",$J686=""),0,IF(ROUND(($H686-$J686)*1440,0)&gt;設定!$C$28,ROUND(($H686-$J686)*1440,0),0))</f>
        <v/>
      </c>
      <c r="P686" s="33">
        <f>IF($L686="",0,IF(($L686-IFERROR(INDEX(設定!$G$5:$G$20,MATCH($F686,設定!$B$5:$B$20,0)),0))*60&gt;=設定!$C$26,ROUND(FLOOR(($L686-IFERROR(INDEX(設定!$G$5:$G$20,MATCH($F686,設定!$B$5:$B$20,0)),0))*60,設定!$C$27)/60,2),0))</f>
        <v/>
      </c>
      <c r="Q686" s="29">
        <f>IF(OR($C686="",$P686=0),"",IF($F686="國","國定假日",IF($B686="日","例假",IF($B686="六","休息日","平日"))))</f>
        <v/>
      </c>
      <c r="R686" s="34" t="n"/>
    </row>
    <row r="687">
      <c r="A687" s="30">
        <f>IF(OR(班表!$A28="",3&gt;DAY(EOMONTH(DATE(班表!$E$2,班表!$G$2,1),0))),"",DATE(班表!$E$2,班表!$G$2,3))</f>
        <v/>
      </c>
      <c r="B687" s="29">
        <f>IF($A687="","",INDEX(設定!$L$5:$L$11,WEEKDAY($A687,1)))</f>
        <v/>
      </c>
      <c r="C687" s="29">
        <f>IF($A687="","",班表!$A28)</f>
        <v/>
      </c>
      <c r="D687" s="29">
        <f>IF($C687="","",班表!$B28)</f>
        <v/>
      </c>
      <c r="E687" s="29">
        <f>IF($C687="","",班表!$C28)</f>
        <v/>
      </c>
      <c r="F687" s="29">
        <f>IF($C687="","",班表!F28)</f>
        <v/>
      </c>
      <c r="G687" s="31">
        <f>IF($F687="","",IFERROR(INDEX(設定!$D$5:$D$20,MATCH($F687,設定!$B$5:$B$20,0)),""))</f>
        <v/>
      </c>
      <c r="H687" s="31">
        <f>IF($F687="","",IFERROR(INDEX(設定!$E$5:$E$20,MATCH($F687,設定!$B$5:$B$20,0)),""))</f>
        <v/>
      </c>
      <c r="I687" s="31">
        <f>IFERROR(INDEX(打卡匯入!$C$3:$C$1002,MATCH($C687&amp;"|"&amp;DAY($A687),打卡匯入!$E$3:$E$1002,0)),"")</f>
        <v/>
      </c>
      <c r="J687" s="31">
        <f>IFERROR(INDEX(打卡匯入!$D$3:$D$1002,MATCH($C687&amp;"|"&amp;DAY($A687),打卡匯入!$E$3:$E$1002,0)),"")</f>
        <v/>
      </c>
      <c r="K687" s="32">
        <f>IF(OR($I687="",$J687=""),"",IFERROR(INDEX(設定!$F$5:$F$20,MATCH($F687,設定!$B$5:$B$20,0)),0))</f>
        <v/>
      </c>
      <c r="L687" s="33">
        <f>IF(OR($I687="",$J687=""),"",ROUND(($J687-$I687)*24-$K687/60,2))</f>
        <v/>
      </c>
      <c r="M687" s="29">
        <f>IF($C687="","",IF(AND(COUNTIF(設定!$B$14:$B$20,$F687)&gt;0,$I687&lt;&gt;""),"假日出勤",IF(AND(COUNTIF(設定!$B$5:$B$13,$F687)&gt;0,$I687=""),"未打卡",IF($I687="","",IF($N687&gt;0,"遲到",IF($O687&gt;0,"早退","正常"))))))</f>
        <v/>
      </c>
      <c r="N687" s="32">
        <f>IF(OR($C687="",$G687="",$I687=""),0,IF(ROUND(($I687-$G687)*1440,0)&gt;設定!$C$28,ROUND(($I687-$G687)*1440,0),0))</f>
        <v/>
      </c>
      <c r="O687" s="32">
        <f>IF(OR($C687="",$H687="",$J687=""),0,IF(ROUND(($H687-$J687)*1440,0)&gt;設定!$C$28,ROUND(($H687-$J687)*1440,0),0))</f>
        <v/>
      </c>
      <c r="P687" s="33">
        <f>IF($L687="",0,IF(($L687-IFERROR(INDEX(設定!$G$5:$G$20,MATCH($F687,設定!$B$5:$B$20,0)),0))*60&gt;=設定!$C$26,ROUND(FLOOR(($L687-IFERROR(INDEX(設定!$G$5:$G$20,MATCH($F687,設定!$B$5:$B$20,0)),0))*60,設定!$C$27)/60,2),0))</f>
        <v/>
      </c>
      <c r="Q687" s="29">
        <f>IF(OR($C687="",$P687=0),"",IF($F687="國","國定假日",IF($B687="日","例假",IF($B687="六","休息日","平日"))))</f>
        <v/>
      </c>
      <c r="R687" s="34" t="n"/>
    </row>
    <row r="688">
      <c r="A688" s="30">
        <f>IF(OR(班表!$A28="",4&gt;DAY(EOMONTH(DATE(班表!$E$2,班表!$G$2,1),0))),"",DATE(班表!$E$2,班表!$G$2,4))</f>
        <v/>
      </c>
      <c r="B688" s="29">
        <f>IF($A688="","",INDEX(設定!$L$5:$L$11,WEEKDAY($A688,1)))</f>
        <v/>
      </c>
      <c r="C688" s="29">
        <f>IF($A688="","",班表!$A28)</f>
        <v/>
      </c>
      <c r="D688" s="29">
        <f>IF($C688="","",班表!$B28)</f>
        <v/>
      </c>
      <c r="E688" s="29">
        <f>IF($C688="","",班表!$C28)</f>
        <v/>
      </c>
      <c r="F688" s="29">
        <f>IF($C688="","",班表!G28)</f>
        <v/>
      </c>
      <c r="G688" s="31">
        <f>IF($F688="","",IFERROR(INDEX(設定!$D$5:$D$20,MATCH($F688,設定!$B$5:$B$20,0)),""))</f>
        <v/>
      </c>
      <c r="H688" s="31">
        <f>IF($F688="","",IFERROR(INDEX(設定!$E$5:$E$20,MATCH($F688,設定!$B$5:$B$20,0)),""))</f>
        <v/>
      </c>
      <c r="I688" s="31">
        <f>IFERROR(INDEX(打卡匯入!$C$3:$C$1002,MATCH($C688&amp;"|"&amp;DAY($A688),打卡匯入!$E$3:$E$1002,0)),"")</f>
        <v/>
      </c>
      <c r="J688" s="31">
        <f>IFERROR(INDEX(打卡匯入!$D$3:$D$1002,MATCH($C688&amp;"|"&amp;DAY($A688),打卡匯入!$E$3:$E$1002,0)),"")</f>
        <v/>
      </c>
      <c r="K688" s="32">
        <f>IF(OR($I688="",$J688=""),"",IFERROR(INDEX(設定!$F$5:$F$20,MATCH($F688,設定!$B$5:$B$20,0)),0))</f>
        <v/>
      </c>
      <c r="L688" s="33">
        <f>IF(OR($I688="",$J688=""),"",ROUND(($J688-$I688)*24-$K688/60,2))</f>
        <v/>
      </c>
      <c r="M688" s="29">
        <f>IF($C688="","",IF(AND(COUNTIF(設定!$B$14:$B$20,$F688)&gt;0,$I688&lt;&gt;""),"假日出勤",IF(AND(COUNTIF(設定!$B$5:$B$13,$F688)&gt;0,$I688=""),"未打卡",IF($I688="","",IF($N688&gt;0,"遲到",IF($O688&gt;0,"早退","正常"))))))</f>
        <v/>
      </c>
      <c r="N688" s="32">
        <f>IF(OR($C688="",$G688="",$I688=""),0,IF(ROUND(($I688-$G688)*1440,0)&gt;設定!$C$28,ROUND(($I688-$G688)*1440,0),0))</f>
        <v/>
      </c>
      <c r="O688" s="32">
        <f>IF(OR($C688="",$H688="",$J688=""),0,IF(ROUND(($H688-$J688)*1440,0)&gt;設定!$C$28,ROUND(($H688-$J688)*1440,0),0))</f>
        <v/>
      </c>
      <c r="P688" s="33">
        <f>IF($L688="",0,IF(($L688-IFERROR(INDEX(設定!$G$5:$G$20,MATCH($F688,設定!$B$5:$B$20,0)),0))*60&gt;=設定!$C$26,ROUND(FLOOR(($L688-IFERROR(INDEX(設定!$G$5:$G$20,MATCH($F688,設定!$B$5:$B$20,0)),0))*60,設定!$C$27)/60,2),0))</f>
        <v/>
      </c>
      <c r="Q688" s="29">
        <f>IF(OR($C688="",$P688=0),"",IF($F688="國","國定假日",IF($B688="日","例假",IF($B688="六","休息日","平日"))))</f>
        <v/>
      </c>
      <c r="R688" s="34" t="n"/>
    </row>
    <row r="689">
      <c r="A689" s="30">
        <f>IF(OR(班表!$A28="",5&gt;DAY(EOMONTH(DATE(班表!$E$2,班表!$G$2,1),0))),"",DATE(班表!$E$2,班表!$G$2,5))</f>
        <v/>
      </c>
      <c r="B689" s="29">
        <f>IF($A689="","",INDEX(設定!$L$5:$L$11,WEEKDAY($A689,1)))</f>
        <v/>
      </c>
      <c r="C689" s="29">
        <f>IF($A689="","",班表!$A28)</f>
        <v/>
      </c>
      <c r="D689" s="29">
        <f>IF($C689="","",班表!$B28)</f>
        <v/>
      </c>
      <c r="E689" s="29">
        <f>IF($C689="","",班表!$C28)</f>
        <v/>
      </c>
      <c r="F689" s="29">
        <f>IF($C689="","",班表!H28)</f>
        <v/>
      </c>
      <c r="G689" s="31">
        <f>IF($F689="","",IFERROR(INDEX(設定!$D$5:$D$20,MATCH($F689,設定!$B$5:$B$20,0)),""))</f>
        <v/>
      </c>
      <c r="H689" s="31">
        <f>IF($F689="","",IFERROR(INDEX(設定!$E$5:$E$20,MATCH($F689,設定!$B$5:$B$20,0)),""))</f>
        <v/>
      </c>
      <c r="I689" s="31">
        <f>IFERROR(INDEX(打卡匯入!$C$3:$C$1002,MATCH($C689&amp;"|"&amp;DAY($A689),打卡匯入!$E$3:$E$1002,0)),"")</f>
        <v/>
      </c>
      <c r="J689" s="31">
        <f>IFERROR(INDEX(打卡匯入!$D$3:$D$1002,MATCH($C689&amp;"|"&amp;DAY($A689),打卡匯入!$E$3:$E$1002,0)),"")</f>
        <v/>
      </c>
      <c r="K689" s="32">
        <f>IF(OR($I689="",$J689=""),"",IFERROR(INDEX(設定!$F$5:$F$20,MATCH($F689,設定!$B$5:$B$20,0)),0))</f>
        <v/>
      </c>
      <c r="L689" s="33">
        <f>IF(OR($I689="",$J689=""),"",ROUND(($J689-$I689)*24-$K689/60,2))</f>
        <v/>
      </c>
      <c r="M689" s="29">
        <f>IF($C689="","",IF(AND(COUNTIF(設定!$B$14:$B$20,$F689)&gt;0,$I689&lt;&gt;""),"假日出勤",IF(AND(COUNTIF(設定!$B$5:$B$13,$F689)&gt;0,$I689=""),"未打卡",IF($I689="","",IF($N689&gt;0,"遲到",IF($O689&gt;0,"早退","正常"))))))</f>
        <v/>
      </c>
      <c r="N689" s="32">
        <f>IF(OR($C689="",$G689="",$I689=""),0,IF(ROUND(($I689-$G689)*1440,0)&gt;設定!$C$28,ROUND(($I689-$G689)*1440,0),0))</f>
        <v/>
      </c>
      <c r="O689" s="32">
        <f>IF(OR($C689="",$H689="",$J689=""),0,IF(ROUND(($H689-$J689)*1440,0)&gt;設定!$C$28,ROUND(($H689-$J689)*1440,0),0))</f>
        <v/>
      </c>
      <c r="P689" s="33">
        <f>IF($L689="",0,IF(($L689-IFERROR(INDEX(設定!$G$5:$G$20,MATCH($F689,設定!$B$5:$B$20,0)),0))*60&gt;=設定!$C$26,ROUND(FLOOR(($L689-IFERROR(INDEX(設定!$G$5:$G$20,MATCH($F689,設定!$B$5:$B$20,0)),0))*60,設定!$C$27)/60,2),0))</f>
        <v/>
      </c>
      <c r="Q689" s="29">
        <f>IF(OR($C689="",$P689=0),"",IF($F689="國","國定假日",IF($B689="日","例假",IF($B689="六","休息日","平日"))))</f>
        <v/>
      </c>
      <c r="R689" s="34" t="n"/>
    </row>
    <row r="690">
      <c r="A690" s="30">
        <f>IF(OR(班表!$A28="",6&gt;DAY(EOMONTH(DATE(班表!$E$2,班表!$G$2,1),0))),"",DATE(班表!$E$2,班表!$G$2,6))</f>
        <v/>
      </c>
      <c r="B690" s="29">
        <f>IF($A690="","",INDEX(設定!$L$5:$L$11,WEEKDAY($A690,1)))</f>
        <v/>
      </c>
      <c r="C690" s="29">
        <f>IF($A690="","",班表!$A28)</f>
        <v/>
      </c>
      <c r="D690" s="29">
        <f>IF($C690="","",班表!$B28)</f>
        <v/>
      </c>
      <c r="E690" s="29">
        <f>IF($C690="","",班表!$C28)</f>
        <v/>
      </c>
      <c r="F690" s="29">
        <f>IF($C690="","",班表!I28)</f>
        <v/>
      </c>
      <c r="G690" s="31">
        <f>IF($F690="","",IFERROR(INDEX(設定!$D$5:$D$20,MATCH($F690,設定!$B$5:$B$20,0)),""))</f>
        <v/>
      </c>
      <c r="H690" s="31">
        <f>IF($F690="","",IFERROR(INDEX(設定!$E$5:$E$20,MATCH($F690,設定!$B$5:$B$20,0)),""))</f>
        <v/>
      </c>
      <c r="I690" s="31">
        <f>IFERROR(INDEX(打卡匯入!$C$3:$C$1002,MATCH($C690&amp;"|"&amp;DAY($A690),打卡匯入!$E$3:$E$1002,0)),"")</f>
        <v/>
      </c>
      <c r="J690" s="31">
        <f>IFERROR(INDEX(打卡匯入!$D$3:$D$1002,MATCH($C690&amp;"|"&amp;DAY($A690),打卡匯入!$E$3:$E$1002,0)),"")</f>
        <v/>
      </c>
      <c r="K690" s="32">
        <f>IF(OR($I690="",$J690=""),"",IFERROR(INDEX(設定!$F$5:$F$20,MATCH($F690,設定!$B$5:$B$20,0)),0))</f>
        <v/>
      </c>
      <c r="L690" s="33">
        <f>IF(OR($I690="",$J690=""),"",ROUND(($J690-$I690)*24-$K690/60,2))</f>
        <v/>
      </c>
      <c r="M690" s="29">
        <f>IF($C690="","",IF(AND(COUNTIF(設定!$B$14:$B$20,$F690)&gt;0,$I690&lt;&gt;""),"假日出勤",IF(AND(COUNTIF(設定!$B$5:$B$13,$F690)&gt;0,$I690=""),"未打卡",IF($I690="","",IF($N690&gt;0,"遲到",IF($O690&gt;0,"早退","正常"))))))</f>
        <v/>
      </c>
      <c r="N690" s="32">
        <f>IF(OR($C690="",$G690="",$I690=""),0,IF(ROUND(($I690-$G690)*1440,0)&gt;設定!$C$28,ROUND(($I690-$G690)*1440,0),0))</f>
        <v/>
      </c>
      <c r="O690" s="32">
        <f>IF(OR($C690="",$H690="",$J690=""),0,IF(ROUND(($H690-$J690)*1440,0)&gt;設定!$C$28,ROUND(($H690-$J690)*1440,0),0))</f>
        <v/>
      </c>
      <c r="P690" s="33">
        <f>IF($L690="",0,IF(($L690-IFERROR(INDEX(設定!$G$5:$G$20,MATCH($F690,設定!$B$5:$B$20,0)),0))*60&gt;=設定!$C$26,ROUND(FLOOR(($L690-IFERROR(INDEX(設定!$G$5:$G$20,MATCH($F690,設定!$B$5:$B$20,0)),0))*60,設定!$C$27)/60,2),0))</f>
        <v/>
      </c>
      <c r="Q690" s="29">
        <f>IF(OR($C690="",$P690=0),"",IF($F690="國","國定假日",IF($B690="日","例假",IF($B690="六","休息日","平日"))))</f>
        <v/>
      </c>
      <c r="R690" s="34" t="n"/>
    </row>
    <row r="691">
      <c r="A691" s="30">
        <f>IF(OR(班表!$A28="",7&gt;DAY(EOMONTH(DATE(班表!$E$2,班表!$G$2,1),0))),"",DATE(班表!$E$2,班表!$G$2,7))</f>
        <v/>
      </c>
      <c r="B691" s="29">
        <f>IF($A691="","",INDEX(設定!$L$5:$L$11,WEEKDAY($A691,1)))</f>
        <v/>
      </c>
      <c r="C691" s="29">
        <f>IF($A691="","",班表!$A28)</f>
        <v/>
      </c>
      <c r="D691" s="29">
        <f>IF($C691="","",班表!$B28)</f>
        <v/>
      </c>
      <c r="E691" s="29">
        <f>IF($C691="","",班表!$C28)</f>
        <v/>
      </c>
      <c r="F691" s="29">
        <f>IF($C691="","",班表!J28)</f>
        <v/>
      </c>
      <c r="G691" s="31">
        <f>IF($F691="","",IFERROR(INDEX(設定!$D$5:$D$20,MATCH($F691,設定!$B$5:$B$20,0)),""))</f>
        <v/>
      </c>
      <c r="H691" s="31">
        <f>IF($F691="","",IFERROR(INDEX(設定!$E$5:$E$20,MATCH($F691,設定!$B$5:$B$20,0)),""))</f>
        <v/>
      </c>
      <c r="I691" s="31">
        <f>IFERROR(INDEX(打卡匯入!$C$3:$C$1002,MATCH($C691&amp;"|"&amp;DAY($A691),打卡匯入!$E$3:$E$1002,0)),"")</f>
        <v/>
      </c>
      <c r="J691" s="31">
        <f>IFERROR(INDEX(打卡匯入!$D$3:$D$1002,MATCH($C691&amp;"|"&amp;DAY($A691),打卡匯入!$E$3:$E$1002,0)),"")</f>
        <v/>
      </c>
      <c r="K691" s="32">
        <f>IF(OR($I691="",$J691=""),"",IFERROR(INDEX(設定!$F$5:$F$20,MATCH($F691,設定!$B$5:$B$20,0)),0))</f>
        <v/>
      </c>
      <c r="L691" s="33">
        <f>IF(OR($I691="",$J691=""),"",ROUND(($J691-$I691)*24-$K691/60,2))</f>
        <v/>
      </c>
      <c r="M691" s="29">
        <f>IF($C691="","",IF(AND(COUNTIF(設定!$B$14:$B$20,$F691)&gt;0,$I691&lt;&gt;""),"假日出勤",IF(AND(COUNTIF(設定!$B$5:$B$13,$F691)&gt;0,$I691=""),"未打卡",IF($I691="","",IF($N691&gt;0,"遲到",IF($O691&gt;0,"早退","正常"))))))</f>
        <v/>
      </c>
      <c r="N691" s="32">
        <f>IF(OR($C691="",$G691="",$I691=""),0,IF(ROUND(($I691-$G691)*1440,0)&gt;設定!$C$28,ROUND(($I691-$G691)*1440,0),0))</f>
        <v/>
      </c>
      <c r="O691" s="32">
        <f>IF(OR($C691="",$H691="",$J691=""),0,IF(ROUND(($H691-$J691)*1440,0)&gt;設定!$C$28,ROUND(($H691-$J691)*1440,0),0))</f>
        <v/>
      </c>
      <c r="P691" s="33">
        <f>IF($L691="",0,IF(($L691-IFERROR(INDEX(設定!$G$5:$G$20,MATCH($F691,設定!$B$5:$B$20,0)),0))*60&gt;=設定!$C$26,ROUND(FLOOR(($L691-IFERROR(INDEX(設定!$G$5:$G$20,MATCH($F691,設定!$B$5:$B$20,0)),0))*60,設定!$C$27)/60,2),0))</f>
        <v/>
      </c>
      <c r="Q691" s="29">
        <f>IF(OR($C691="",$P691=0),"",IF($F691="國","國定假日",IF($B691="日","例假",IF($B691="六","休息日","平日"))))</f>
        <v/>
      </c>
      <c r="R691" s="34" t="n"/>
    </row>
    <row r="692">
      <c r="A692" s="30">
        <f>IF(OR(班表!$A28="",8&gt;DAY(EOMONTH(DATE(班表!$E$2,班表!$G$2,1),0))),"",DATE(班表!$E$2,班表!$G$2,8))</f>
        <v/>
      </c>
      <c r="B692" s="29">
        <f>IF($A692="","",INDEX(設定!$L$5:$L$11,WEEKDAY($A692,1)))</f>
        <v/>
      </c>
      <c r="C692" s="29">
        <f>IF($A692="","",班表!$A28)</f>
        <v/>
      </c>
      <c r="D692" s="29">
        <f>IF($C692="","",班表!$B28)</f>
        <v/>
      </c>
      <c r="E692" s="29">
        <f>IF($C692="","",班表!$C28)</f>
        <v/>
      </c>
      <c r="F692" s="29">
        <f>IF($C692="","",班表!K28)</f>
        <v/>
      </c>
      <c r="G692" s="31">
        <f>IF($F692="","",IFERROR(INDEX(設定!$D$5:$D$20,MATCH($F692,設定!$B$5:$B$20,0)),""))</f>
        <v/>
      </c>
      <c r="H692" s="31">
        <f>IF($F692="","",IFERROR(INDEX(設定!$E$5:$E$20,MATCH($F692,設定!$B$5:$B$20,0)),""))</f>
        <v/>
      </c>
      <c r="I692" s="31">
        <f>IFERROR(INDEX(打卡匯入!$C$3:$C$1002,MATCH($C692&amp;"|"&amp;DAY($A692),打卡匯入!$E$3:$E$1002,0)),"")</f>
        <v/>
      </c>
      <c r="J692" s="31">
        <f>IFERROR(INDEX(打卡匯入!$D$3:$D$1002,MATCH($C692&amp;"|"&amp;DAY($A692),打卡匯入!$E$3:$E$1002,0)),"")</f>
        <v/>
      </c>
      <c r="K692" s="32">
        <f>IF(OR($I692="",$J692=""),"",IFERROR(INDEX(設定!$F$5:$F$20,MATCH($F692,設定!$B$5:$B$20,0)),0))</f>
        <v/>
      </c>
      <c r="L692" s="33">
        <f>IF(OR($I692="",$J692=""),"",ROUND(($J692-$I692)*24-$K692/60,2))</f>
        <v/>
      </c>
      <c r="M692" s="29">
        <f>IF($C692="","",IF(AND(COUNTIF(設定!$B$14:$B$20,$F692)&gt;0,$I692&lt;&gt;""),"假日出勤",IF(AND(COUNTIF(設定!$B$5:$B$13,$F692)&gt;0,$I692=""),"未打卡",IF($I692="","",IF($N692&gt;0,"遲到",IF($O692&gt;0,"早退","正常"))))))</f>
        <v/>
      </c>
      <c r="N692" s="32">
        <f>IF(OR($C692="",$G692="",$I692=""),0,IF(ROUND(($I692-$G692)*1440,0)&gt;設定!$C$28,ROUND(($I692-$G692)*1440,0),0))</f>
        <v/>
      </c>
      <c r="O692" s="32">
        <f>IF(OR($C692="",$H692="",$J692=""),0,IF(ROUND(($H692-$J692)*1440,0)&gt;設定!$C$28,ROUND(($H692-$J692)*1440,0),0))</f>
        <v/>
      </c>
      <c r="P692" s="33">
        <f>IF($L692="",0,IF(($L692-IFERROR(INDEX(設定!$G$5:$G$20,MATCH($F692,設定!$B$5:$B$20,0)),0))*60&gt;=設定!$C$26,ROUND(FLOOR(($L692-IFERROR(INDEX(設定!$G$5:$G$20,MATCH($F692,設定!$B$5:$B$20,0)),0))*60,設定!$C$27)/60,2),0))</f>
        <v/>
      </c>
      <c r="Q692" s="29">
        <f>IF(OR($C692="",$P692=0),"",IF($F692="國","國定假日",IF($B692="日","例假",IF($B692="六","休息日","平日"))))</f>
        <v/>
      </c>
      <c r="R692" s="34" t="n"/>
    </row>
    <row r="693">
      <c r="A693" s="30">
        <f>IF(OR(班表!$A28="",9&gt;DAY(EOMONTH(DATE(班表!$E$2,班表!$G$2,1),0))),"",DATE(班表!$E$2,班表!$G$2,9))</f>
        <v/>
      </c>
      <c r="B693" s="29">
        <f>IF($A693="","",INDEX(設定!$L$5:$L$11,WEEKDAY($A693,1)))</f>
        <v/>
      </c>
      <c r="C693" s="29">
        <f>IF($A693="","",班表!$A28)</f>
        <v/>
      </c>
      <c r="D693" s="29">
        <f>IF($C693="","",班表!$B28)</f>
        <v/>
      </c>
      <c r="E693" s="29">
        <f>IF($C693="","",班表!$C28)</f>
        <v/>
      </c>
      <c r="F693" s="29">
        <f>IF($C693="","",班表!L28)</f>
        <v/>
      </c>
      <c r="G693" s="31">
        <f>IF($F693="","",IFERROR(INDEX(設定!$D$5:$D$20,MATCH($F693,設定!$B$5:$B$20,0)),""))</f>
        <v/>
      </c>
      <c r="H693" s="31">
        <f>IF($F693="","",IFERROR(INDEX(設定!$E$5:$E$20,MATCH($F693,設定!$B$5:$B$20,0)),""))</f>
        <v/>
      </c>
      <c r="I693" s="31">
        <f>IFERROR(INDEX(打卡匯入!$C$3:$C$1002,MATCH($C693&amp;"|"&amp;DAY($A693),打卡匯入!$E$3:$E$1002,0)),"")</f>
        <v/>
      </c>
      <c r="J693" s="31">
        <f>IFERROR(INDEX(打卡匯入!$D$3:$D$1002,MATCH($C693&amp;"|"&amp;DAY($A693),打卡匯入!$E$3:$E$1002,0)),"")</f>
        <v/>
      </c>
      <c r="K693" s="32">
        <f>IF(OR($I693="",$J693=""),"",IFERROR(INDEX(設定!$F$5:$F$20,MATCH($F693,設定!$B$5:$B$20,0)),0))</f>
        <v/>
      </c>
      <c r="L693" s="33">
        <f>IF(OR($I693="",$J693=""),"",ROUND(($J693-$I693)*24-$K693/60,2))</f>
        <v/>
      </c>
      <c r="M693" s="29">
        <f>IF($C693="","",IF(AND(COUNTIF(設定!$B$14:$B$20,$F693)&gt;0,$I693&lt;&gt;""),"假日出勤",IF(AND(COUNTIF(設定!$B$5:$B$13,$F693)&gt;0,$I693=""),"未打卡",IF($I693="","",IF($N693&gt;0,"遲到",IF($O693&gt;0,"早退","正常"))))))</f>
        <v/>
      </c>
      <c r="N693" s="32">
        <f>IF(OR($C693="",$G693="",$I693=""),0,IF(ROUND(($I693-$G693)*1440,0)&gt;設定!$C$28,ROUND(($I693-$G693)*1440,0),0))</f>
        <v/>
      </c>
      <c r="O693" s="32">
        <f>IF(OR($C693="",$H693="",$J693=""),0,IF(ROUND(($H693-$J693)*1440,0)&gt;設定!$C$28,ROUND(($H693-$J693)*1440,0),0))</f>
        <v/>
      </c>
      <c r="P693" s="33">
        <f>IF($L693="",0,IF(($L693-IFERROR(INDEX(設定!$G$5:$G$20,MATCH($F693,設定!$B$5:$B$20,0)),0))*60&gt;=設定!$C$26,ROUND(FLOOR(($L693-IFERROR(INDEX(設定!$G$5:$G$20,MATCH($F693,設定!$B$5:$B$20,0)),0))*60,設定!$C$27)/60,2),0))</f>
        <v/>
      </c>
      <c r="Q693" s="29">
        <f>IF(OR($C693="",$P693=0),"",IF($F693="國","國定假日",IF($B693="日","例假",IF($B693="六","休息日","平日"))))</f>
        <v/>
      </c>
      <c r="R693" s="34" t="n"/>
    </row>
    <row r="694">
      <c r="A694" s="30">
        <f>IF(OR(班表!$A28="",10&gt;DAY(EOMONTH(DATE(班表!$E$2,班表!$G$2,1),0))),"",DATE(班表!$E$2,班表!$G$2,10))</f>
        <v/>
      </c>
      <c r="B694" s="29">
        <f>IF($A694="","",INDEX(設定!$L$5:$L$11,WEEKDAY($A694,1)))</f>
        <v/>
      </c>
      <c r="C694" s="29">
        <f>IF($A694="","",班表!$A28)</f>
        <v/>
      </c>
      <c r="D694" s="29">
        <f>IF($C694="","",班表!$B28)</f>
        <v/>
      </c>
      <c r="E694" s="29">
        <f>IF($C694="","",班表!$C28)</f>
        <v/>
      </c>
      <c r="F694" s="29">
        <f>IF($C694="","",班表!M28)</f>
        <v/>
      </c>
      <c r="G694" s="31">
        <f>IF($F694="","",IFERROR(INDEX(設定!$D$5:$D$20,MATCH($F694,設定!$B$5:$B$20,0)),""))</f>
        <v/>
      </c>
      <c r="H694" s="31">
        <f>IF($F694="","",IFERROR(INDEX(設定!$E$5:$E$20,MATCH($F694,設定!$B$5:$B$20,0)),""))</f>
        <v/>
      </c>
      <c r="I694" s="31">
        <f>IFERROR(INDEX(打卡匯入!$C$3:$C$1002,MATCH($C694&amp;"|"&amp;DAY($A694),打卡匯入!$E$3:$E$1002,0)),"")</f>
        <v/>
      </c>
      <c r="J694" s="31">
        <f>IFERROR(INDEX(打卡匯入!$D$3:$D$1002,MATCH($C694&amp;"|"&amp;DAY($A694),打卡匯入!$E$3:$E$1002,0)),"")</f>
        <v/>
      </c>
      <c r="K694" s="32">
        <f>IF(OR($I694="",$J694=""),"",IFERROR(INDEX(設定!$F$5:$F$20,MATCH($F694,設定!$B$5:$B$20,0)),0))</f>
        <v/>
      </c>
      <c r="L694" s="33">
        <f>IF(OR($I694="",$J694=""),"",ROUND(($J694-$I694)*24-$K694/60,2))</f>
        <v/>
      </c>
      <c r="M694" s="29">
        <f>IF($C694="","",IF(AND(COUNTIF(設定!$B$14:$B$20,$F694)&gt;0,$I694&lt;&gt;""),"假日出勤",IF(AND(COUNTIF(設定!$B$5:$B$13,$F694)&gt;0,$I694=""),"未打卡",IF($I694="","",IF($N694&gt;0,"遲到",IF($O694&gt;0,"早退","正常"))))))</f>
        <v/>
      </c>
      <c r="N694" s="32">
        <f>IF(OR($C694="",$G694="",$I694=""),0,IF(ROUND(($I694-$G694)*1440,0)&gt;設定!$C$28,ROUND(($I694-$G694)*1440,0),0))</f>
        <v/>
      </c>
      <c r="O694" s="32">
        <f>IF(OR($C694="",$H694="",$J694=""),0,IF(ROUND(($H694-$J694)*1440,0)&gt;設定!$C$28,ROUND(($H694-$J694)*1440,0),0))</f>
        <v/>
      </c>
      <c r="P694" s="33">
        <f>IF($L694="",0,IF(($L694-IFERROR(INDEX(設定!$G$5:$G$20,MATCH($F694,設定!$B$5:$B$20,0)),0))*60&gt;=設定!$C$26,ROUND(FLOOR(($L694-IFERROR(INDEX(設定!$G$5:$G$20,MATCH($F694,設定!$B$5:$B$20,0)),0))*60,設定!$C$27)/60,2),0))</f>
        <v/>
      </c>
      <c r="Q694" s="29">
        <f>IF(OR($C694="",$P694=0),"",IF($F694="國","國定假日",IF($B694="日","例假",IF($B694="六","休息日","平日"))))</f>
        <v/>
      </c>
      <c r="R694" s="34" t="n"/>
    </row>
    <row r="695">
      <c r="A695" s="30">
        <f>IF(OR(班表!$A28="",11&gt;DAY(EOMONTH(DATE(班表!$E$2,班表!$G$2,1),0))),"",DATE(班表!$E$2,班表!$G$2,11))</f>
        <v/>
      </c>
      <c r="B695" s="29">
        <f>IF($A695="","",INDEX(設定!$L$5:$L$11,WEEKDAY($A695,1)))</f>
        <v/>
      </c>
      <c r="C695" s="29">
        <f>IF($A695="","",班表!$A28)</f>
        <v/>
      </c>
      <c r="D695" s="29">
        <f>IF($C695="","",班表!$B28)</f>
        <v/>
      </c>
      <c r="E695" s="29">
        <f>IF($C695="","",班表!$C28)</f>
        <v/>
      </c>
      <c r="F695" s="29">
        <f>IF($C695="","",班表!N28)</f>
        <v/>
      </c>
      <c r="G695" s="31">
        <f>IF($F695="","",IFERROR(INDEX(設定!$D$5:$D$20,MATCH($F695,設定!$B$5:$B$20,0)),""))</f>
        <v/>
      </c>
      <c r="H695" s="31">
        <f>IF($F695="","",IFERROR(INDEX(設定!$E$5:$E$20,MATCH($F695,設定!$B$5:$B$20,0)),""))</f>
        <v/>
      </c>
      <c r="I695" s="31">
        <f>IFERROR(INDEX(打卡匯入!$C$3:$C$1002,MATCH($C695&amp;"|"&amp;DAY($A695),打卡匯入!$E$3:$E$1002,0)),"")</f>
        <v/>
      </c>
      <c r="J695" s="31">
        <f>IFERROR(INDEX(打卡匯入!$D$3:$D$1002,MATCH($C695&amp;"|"&amp;DAY($A695),打卡匯入!$E$3:$E$1002,0)),"")</f>
        <v/>
      </c>
      <c r="K695" s="32">
        <f>IF(OR($I695="",$J695=""),"",IFERROR(INDEX(設定!$F$5:$F$20,MATCH($F695,設定!$B$5:$B$20,0)),0))</f>
        <v/>
      </c>
      <c r="L695" s="33">
        <f>IF(OR($I695="",$J695=""),"",ROUND(($J695-$I695)*24-$K695/60,2))</f>
        <v/>
      </c>
      <c r="M695" s="29">
        <f>IF($C695="","",IF(AND(COUNTIF(設定!$B$14:$B$20,$F695)&gt;0,$I695&lt;&gt;""),"假日出勤",IF(AND(COUNTIF(設定!$B$5:$B$13,$F695)&gt;0,$I695=""),"未打卡",IF($I695="","",IF($N695&gt;0,"遲到",IF($O695&gt;0,"早退","正常"))))))</f>
        <v/>
      </c>
      <c r="N695" s="32">
        <f>IF(OR($C695="",$G695="",$I695=""),0,IF(ROUND(($I695-$G695)*1440,0)&gt;設定!$C$28,ROUND(($I695-$G695)*1440,0),0))</f>
        <v/>
      </c>
      <c r="O695" s="32">
        <f>IF(OR($C695="",$H695="",$J695=""),0,IF(ROUND(($H695-$J695)*1440,0)&gt;設定!$C$28,ROUND(($H695-$J695)*1440,0),0))</f>
        <v/>
      </c>
      <c r="P695" s="33">
        <f>IF($L695="",0,IF(($L695-IFERROR(INDEX(設定!$G$5:$G$20,MATCH($F695,設定!$B$5:$B$20,0)),0))*60&gt;=設定!$C$26,ROUND(FLOOR(($L695-IFERROR(INDEX(設定!$G$5:$G$20,MATCH($F695,設定!$B$5:$B$20,0)),0))*60,設定!$C$27)/60,2),0))</f>
        <v/>
      </c>
      <c r="Q695" s="29">
        <f>IF(OR($C695="",$P695=0),"",IF($F695="國","國定假日",IF($B695="日","例假",IF($B695="六","休息日","平日"))))</f>
        <v/>
      </c>
      <c r="R695" s="34" t="n"/>
    </row>
    <row r="696">
      <c r="A696" s="30">
        <f>IF(OR(班表!$A28="",12&gt;DAY(EOMONTH(DATE(班表!$E$2,班表!$G$2,1),0))),"",DATE(班表!$E$2,班表!$G$2,12))</f>
        <v/>
      </c>
      <c r="B696" s="29">
        <f>IF($A696="","",INDEX(設定!$L$5:$L$11,WEEKDAY($A696,1)))</f>
        <v/>
      </c>
      <c r="C696" s="29">
        <f>IF($A696="","",班表!$A28)</f>
        <v/>
      </c>
      <c r="D696" s="29">
        <f>IF($C696="","",班表!$B28)</f>
        <v/>
      </c>
      <c r="E696" s="29">
        <f>IF($C696="","",班表!$C28)</f>
        <v/>
      </c>
      <c r="F696" s="29">
        <f>IF($C696="","",班表!O28)</f>
        <v/>
      </c>
      <c r="G696" s="31">
        <f>IF($F696="","",IFERROR(INDEX(設定!$D$5:$D$20,MATCH($F696,設定!$B$5:$B$20,0)),""))</f>
        <v/>
      </c>
      <c r="H696" s="31">
        <f>IF($F696="","",IFERROR(INDEX(設定!$E$5:$E$20,MATCH($F696,設定!$B$5:$B$20,0)),""))</f>
        <v/>
      </c>
      <c r="I696" s="31">
        <f>IFERROR(INDEX(打卡匯入!$C$3:$C$1002,MATCH($C696&amp;"|"&amp;DAY($A696),打卡匯入!$E$3:$E$1002,0)),"")</f>
        <v/>
      </c>
      <c r="J696" s="31">
        <f>IFERROR(INDEX(打卡匯入!$D$3:$D$1002,MATCH($C696&amp;"|"&amp;DAY($A696),打卡匯入!$E$3:$E$1002,0)),"")</f>
        <v/>
      </c>
      <c r="K696" s="32">
        <f>IF(OR($I696="",$J696=""),"",IFERROR(INDEX(設定!$F$5:$F$20,MATCH($F696,設定!$B$5:$B$20,0)),0))</f>
        <v/>
      </c>
      <c r="L696" s="33">
        <f>IF(OR($I696="",$J696=""),"",ROUND(($J696-$I696)*24-$K696/60,2))</f>
        <v/>
      </c>
      <c r="M696" s="29">
        <f>IF($C696="","",IF(AND(COUNTIF(設定!$B$14:$B$20,$F696)&gt;0,$I696&lt;&gt;""),"假日出勤",IF(AND(COUNTIF(設定!$B$5:$B$13,$F696)&gt;0,$I696=""),"未打卡",IF($I696="","",IF($N696&gt;0,"遲到",IF($O696&gt;0,"早退","正常"))))))</f>
        <v/>
      </c>
      <c r="N696" s="32">
        <f>IF(OR($C696="",$G696="",$I696=""),0,IF(ROUND(($I696-$G696)*1440,0)&gt;設定!$C$28,ROUND(($I696-$G696)*1440,0),0))</f>
        <v/>
      </c>
      <c r="O696" s="32">
        <f>IF(OR($C696="",$H696="",$J696=""),0,IF(ROUND(($H696-$J696)*1440,0)&gt;設定!$C$28,ROUND(($H696-$J696)*1440,0),0))</f>
        <v/>
      </c>
      <c r="P696" s="33">
        <f>IF($L696="",0,IF(($L696-IFERROR(INDEX(設定!$G$5:$G$20,MATCH($F696,設定!$B$5:$B$20,0)),0))*60&gt;=設定!$C$26,ROUND(FLOOR(($L696-IFERROR(INDEX(設定!$G$5:$G$20,MATCH($F696,設定!$B$5:$B$20,0)),0))*60,設定!$C$27)/60,2),0))</f>
        <v/>
      </c>
      <c r="Q696" s="29">
        <f>IF(OR($C696="",$P696=0),"",IF($F696="國","國定假日",IF($B696="日","例假",IF($B696="六","休息日","平日"))))</f>
        <v/>
      </c>
      <c r="R696" s="34" t="n"/>
    </row>
    <row r="697">
      <c r="A697" s="30">
        <f>IF(OR(班表!$A28="",13&gt;DAY(EOMONTH(DATE(班表!$E$2,班表!$G$2,1),0))),"",DATE(班表!$E$2,班表!$G$2,13))</f>
        <v/>
      </c>
      <c r="B697" s="29">
        <f>IF($A697="","",INDEX(設定!$L$5:$L$11,WEEKDAY($A697,1)))</f>
        <v/>
      </c>
      <c r="C697" s="29">
        <f>IF($A697="","",班表!$A28)</f>
        <v/>
      </c>
      <c r="D697" s="29">
        <f>IF($C697="","",班表!$B28)</f>
        <v/>
      </c>
      <c r="E697" s="29">
        <f>IF($C697="","",班表!$C28)</f>
        <v/>
      </c>
      <c r="F697" s="29">
        <f>IF($C697="","",班表!P28)</f>
        <v/>
      </c>
      <c r="G697" s="31">
        <f>IF($F697="","",IFERROR(INDEX(設定!$D$5:$D$20,MATCH($F697,設定!$B$5:$B$20,0)),""))</f>
        <v/>
      </c>
      <c r="H697" s="31">
        <f>IF($F697="","",IFERROR(INDEX(設定!$E$5:$E$20,MATCH($F697,設定!$B$5:$B$20,0)),""))</f>
        <v/>
      </c>
      <c r="I697" s="31">
        <f>IFERROR(INDEX(打卡匯入!$C$3:$C$1002,MATCH($C697&amp;"|"&amp;DAY($A697),打卡匯入!$E$3:$E$1002,0)),"")</f>
        <v/>
      </c>
      <c r="J697" s="31">
        <f>IFERROR(INDEX(打卡匯入!$D$3:$D$1002,MATCH($C697&amp;"|"&amp;DAY($A697),打卡匯入!$E$3:$E$1002,0)),"")</f>
        <v/>
      </c>
      <c r="K697" s="32">
        <f>IF(OR($I697="",$J697=""),"",IFERROR(INDEX(設定!$F$5:$F$20,MATCH($F697,設定!$B$5:$B$20,0)),0))</f>
        <v/>
      </c>
      <c r="L697" s="33">
        <f>IF(OR($I697="",$J697=""),"",ROUND(($J697-$I697)*24-$K697/60,2))</f>
        <v/>
      </c>
      <c r="M697" s="29">
        <f>IF($C697="","",IF(AND(COUNTIF(設定!$B$14:$B$20,$F697)&gt;0,$I697&lt;&gt;""),"假日出勤",IF(AND(COUNTIF(設定!$B$5:$B$13,$F697)&gt;0,$I697=""),"未打卡",IF($I697="","",IF($N697&gt;0,"遲到",IF($O697&gt;0,"早退","正常"))))))</f>
        <v/>
      </c>
      <c r="N697" s="32">
        <f>IF(OR($C697="",$G697="",$I697=""),0,IF(ROUND(($I697-$G697)*1440,0)&gt;設定!$C$28,ROUND(($I697-$G697)*1440,0),0))</f>
        <v/>
      </c>
      <c r="O697" s="32">
        <f>IF(OR($C697="",$H697="",$J697=""),0,IF(ROUND(($H697-$J697)*1440,0)&gt;設定!$C$28,ROUND(($H697-$J697)*1440,0),0))</f>
        <v/>
      </c>
      <c r="P697" s="33">
        <f>IF($L697="",0,IF(($L697-IFERROR(INDEX(設定!$G$5:$G$20,MATCH($F697,設定!$B$5:$B$20,0)),0))*60&gt;=設定!$C$26,ROUND(FLOOR(($L697-IFERROR(INDEX(設定!$G$5:$G$20,MATCH($F697,設定!$B$5:$B$20,0)),0))*60,設定!$C$27)/60,2),0))</f>
        <v/>
      </c>
      <c r="Q697" s="29">
        <f>IF(OR($C697="",$P697=0),"",IF($F697="國","國定假日",IF($B697="日","例假",IF($B697="六","休息日","平日"))))</f>
        <v/>
      </c>
      <c r="R697" s="34" t="n"/>
    </row>
    <row r="698">
      <c r="A698" s="30">
        <f>IF(OR(班表!$A28="",14&gt;DAY(EOMONTH(DATE(班表!$E$2,班表!$G$2,1),0))),"",DATE(班表!$E$2,班表!$G$2,14))</f>
        <v/>
      </c>
      <c r="B698" s="29">
        <f>IF($A698="","",INDEX(設定!$L$5:$L$11,WEEKDAY($A698,1)))</f>
        <v/>
      </c>
      <c r="C698" s="29">
        <f>IF($A698="","",班表!$A28)</f>
        <v/>
      </c>
      <c r="D698" s="29">
        <f>IF($C698="","",班表!$B28)</f>
        <v/>
      </c>
      <c r="E698" s="29">
        <f>IF($C698="","",班表!$C28)</f>
        <v/>
      </c>
      <c r="F698" s="29">
        <f>IF($C698="","",班表!Q28)</f>
        <v/>
      </c>
      <c r="G698" s="31">
        <f>IF($F698="","",IFERROR(INDEX(設定!$D$5:$D$20,MATCH($F698,設定!$B$5:$B$20,0)),""))</f>
        <v/>
      </c>
      <c r="H698" s="31">
        <f>IF($F698="","",IFERROR(INDEX(設定!$E$5:$E$20,MATCH($F698,設定!$B$5:$B$20,0)),""))</f>
        <v/>
      </c>
      <c r="I698" s="31">
        <f>IFERROR(INDEX(打卡匯入!$C$3:$C$1002,MATCH($C698&amp;"|"&amp;DAY($A698),打卡匯入!$E$3:$E$1002,0)),"")</f>
        <v/>
      </c>
      <c r="J698" s="31">
        <f>IFERROR(INDEX(打卡匯入!$D$3:$D$1002,MATCH($C698&amp;"|"&amp;DAY($A698),打卡匯入!$E$3:$E$1002,0)),"")</f>
        <v/>
      </c>
      <c r="K698" s="32">
        <f>IF(OR($I698="",$J698=""),"",IFERROR(INDEX(設定!$F$5:$F$20,MATCH($F698,設定!$B$5:$B$20,0)),0))</f>
        <v/>
      </c>
      <c r="L698" s="33">
        <f>IF(OR($I698="",$J698=""),"",ROUND(($J698-$I698)*24-$K698/60,2))</f>
        <v/>
      </c>
      <c r="M698" s="29">
        <f>IF($C698="","",IF(AND(COUNTIF(設定!$B$14:$B$20,$F698)&gt;0,$I698&lt;&gt;""),"假日出勤",IF(AND(COUNTIF(設定!$B$5:$B$13,$F698)&gt;0,$I698=""),"未打卡",IF($I698="","",IF($N698&gt;0,"遲到",IF($O698&gt;0,"早退","正常"))))))</f>
        <v/>
      </c>
      <c r="N698" s="32">
        <f>IF(OR($C698="",$G698="",$I698=""),0,IF(ROUND(($I698-$G698)*1440,0)&gt;設定!$C$28,ROUND(($I698-$G698)*1440,0),0))</f>
        <v/>
      </c>
      <c r="O698" s="32">
        <f>IF(OR($C698="",$H698="",$J698=""),0,IF(ROUND(($H698-$J698)*1440,0)&gt;設定!$C$28,ROUND(($H698-$J698)*1440,0),0))</f>
        <v/>
      </c>
      <c r="P698" s="33">
        <f>IF($L698="",0,IF(($L698-IFERROR(INDEX(設定!$G$5:$G$20,MATCH($F698,設定!$B$5:$B$20,0)),0))*60&gt;=設定!$C$26,ROUND(FLOOR(($L698-IFERROR(INDEX(設定!$G$5:$G$20,MATCH($F698,設定!$B$5:$B$20,0)),0))*60,設定!$C$27)/60,2),0))</f>
        <v/>
      </c>
      <c r="Q698" s="29">
        <f>IF(OR($C698="",$P698=0),"",IF($F698="國","國定假日",IF($B698="日","例假",IF($B698="六","休息日","平日"))))</f>
        <v/>
      </c>
      <c r="R698" s="34" t="n"/>
    </row>
    <row r="699">
      <c r="A699" s="30">
        <f>IF(OR(班表!$A28="",15&gt;DAY(EOMONTH(DATE(班表!$E$2,班表!$G$2,1),0))),"",DATE(班表!$E$2,班表!$G$2,15))</f>
        <v/>
      </c>
      <c r="B699" s="29">
        <f>IF($A699="","",INDEX(設定!$L$5:$L$11,WEEKDAY($A699,1)))</f>
        <v/>
      </c>
      <c r="C699" s="29">
        <f>IF($A699="","",班表!$A28)</f>
        <v/>
      </c>
      <c r="D699" s="29">
        <f>IF($C699="","",班表!$B28)</f>
        <v/>
      </c>
      <c r="E699" s="29">
        <f>IF($C699="","",班表!$C28)</f>
        <v/>
      </c>
      <c r="F699" s="29">
        <f>IF($C699="","",班表!R28)</f>
        <v/>
      </c>
      <c r="G699" s="31">
        <f>IF($F699="","",IFERROR(INDEX(設定!$D$5:$D$20,MATCH($F699,設定!$B$5:$B$20,0)),""))</f>
        <v/>
      </c>
      <c r="H699" s="31">
        <f>IF($F699="","",IFERROR(INDEX(設定!$E$5:$E$20,MATCH($F699,設定!$B$5:$B$20,0)),""))</f>
        <v/>
      </c>
      <c r="I699" s="31">
        <f>IFERROR(INDEX(打卡匯入!$C$3:$C$1002,MATCH($C699&amp;"|"&amp;DAY($A699),打卡匯入!$E$3:$E$1002,0)),"")</f>
        <v/>
      </c>
      <c r="J699" s="31">
        <f>IFERROR(INDEX(打卡匯入!$D$3:$D$1002,MATCH($C699&amp;"|"&amp;DAY($A699),打卡匯入!$E$3:$E$1002,0)),"")</f>
        <v/>
      </c>
      <c r="K699" s="32">
        <f>IF(OR($I699="",$J699=""),"",IFERROR(INDEX(設定!$F$5:$F$20,MATCH($F699,設定!$B$5:$B$20,0)),0))</f>
        <v/>
      </c>
      <c r="L699" s="33">
        <f>IF(OR($I699="",$J699=""),"",ROUND(($J699-$I699)*24-$K699/60,2))</f>
        <v/>
      </c>
      <c r="M699" s="29">
        <f>IF($C699="","",IF(AND(COUNTIF(設定!$B$14:$B$20,$F699)&gt;0,$I699&lt;&gt;""),"假日出勤",IF(AND(COUNTIF(設定!$B$5:$B$13,$F699)&gt;0,$I699=""),"未打卡",IF($I699="","",IF($N699&gt;0,"遲到",IF($O699&gt;0,"早退","正常"))))))</f>
        <v/>
      </c>
      <c r="N699" s="32">
        <f>IF(OR($C699="",$G699="",$I699=""),0,IF(ROUND(($I699-$G699)*1440,0)&gt;設定!$C$28,ROUND(($I699-$G699)*1440,0),0))</f>
        <v/>
      </c>
      <c r="O699" s="32">
        <f>IF(OR($C699="",$H699="",$J699=""),0,IF(ROUND(($H699-$J699)*1440,0)&gt;設定!$C$28,ROUND(($H699-$J699)*1440,0),0))</f>
        <v/>
      </c>
      <c r="P699" s="33">
        <f>IF($L699="",0,IF(($L699-IFERROR(INDEX(設定!$G$5:$G$20,MATCH($F699,設定!$B$5:$B$20,0)),0))*60&gt;=設定!$C$26,ROUND(FLOOR(($L699-IFERROR(INDEX(設定!$G$5:$G$20,MATCH($F699,設定!$B$5:$B$20,0)),0))*60,設定!$C$27)/60,2),0))</f>
        <v/>
      </c>
      <c r="Q699" s="29">
        <f>IF(OR($C699="",$P699=0),"",IF($F699="國","國定假日",IF($B699="日","例假",IF($B699="六","休息日","平日"))))</f>
        <v/>
      </c>
      <c r="R699" s="34" t="n"/>
    </row>
    <row r="700">
      <c r="A700" s="30">
        <f>IF(OR(班表!$A28="",16&gt;DAY(EOMONTH(DATE(班表!$E$2,班表!$G$2,1),0))),"",DATE(班表!$E$2,班表!$G$2,16))</f>
        <v/>
      </c>
      <c r="B700" s="29">
        <f>IF($A700="","",INDEX(設定!$L$5:$L$11,WEEKDAY($A700,1)))</f>
        <v/>
      </c>
      <c r="C700" s="29">
        <f>IF($A700="","",班表!$A28)</f>
        <v/>
      </c>
      <c r="D700" s="29">
        <f>IF($C700="","",班表!$B28)</f>
        <v/>
      </c>
      <c r="E700" s="29">
        <f>IF($C700="","",班表!$C28)</f>
        <v/>
      </c>
      <c r="F700" s="29">
        <f>IF($C700="","",班表!S28)</f>
        <v/>
      </c>
      <c r="G700" s="31">
        <f>IF($F700="","",IFERROR(INDEX(設定!$D$5:$D$20,MATCH($F700,設定!$B$5:$B$20,0)),""))</f>
        <v/>
      </c>
      <c r="H700" s="31">
        <f>IF($F700="","",IFERROR(INDEX(設定!$E$5:$E$20,MATCH($F700,設定!$B$5:$B$20,0)),""))</f>
        <v/>
      </c>
      <c r="I700" s="31">
        <f>IFERROR(INDEX(打卡匯入!$C$3:$C$1002,MATCH($C700&amp;"|"&amp;DAY($A700),打卡匯入!$E$3:$E$1002,0)),"")</f>
        <v/>
      </c>
      <c r="J700" s="31">
        <f>IFERROR(INDEX(打卡匯入!$D$3:$D$1002,MATCH($C700&amp;"|"&amp;DAY($A700),打卡匯入!$E$3:$E$1002,0)),"")</f>
        <v/>
      </c>
      <c r="K700" s="32">
        <f>IF(OR($I700="",$J700=""),"",IFERROR(INDEX(設定!$F$5:$F$20,MATCH($F700,設定!$B$5:$B$20,0)),0))</f>
        <v/>
      </c>
      <c r="L700" s="33">
        <f>IF(OR($I700="",$J700=""),"",ROUND(($J700-$I700)*24-$K700/60,2))</f>
        <v/>
      </c>
      <c r="M700" s="29">
        <f>IF($C700="","",IF(AND(COUNTIF(設定!$B$14:$B$20,$F700)&gt;0,$I700&lt;&gt;""),"假日出勤",IF(AND(COUNTIF(設定!$B$5:$B$13,$F700)&gt;0,$I700=""),"未打卡",IF($I700="","",IF($N700&gt;0,"遲到",IF($O700&gt;0,"早退","正常"))))))</f>
        <v/>
      </c>
      <c r="N700" s="32">
        <f>IF(OR($C700="",$G700="",$I700=""),0,IF(ROUND(($I700-$G700)*1440,0)&gt;設定!$C$28,ROUND(($I700-$G700)*1440,0),0))</f>
        <v/>
      </c>
      <c r="O700" s="32">
        <f>IF(OR($C700="",$H700="",$J700=""),0,IF(ROUND(($H700-$J700)*1440,0)&gt;設定!$C$28,ROUND(($H700-$J700)*1440,0),0))</f>
        <v/>
      </c>
      <c r="P700" s="33">
        <f>IF($L700="",0,IF(($L700-IFERROR(INDEX(設定!$G$5:$G$20,MATCH($F700,設定!$B$5:$B$20,0)),0))*60&gt;=設定!$C$26,ROUND(FLOOR(($L700-IFERROR(INDEX(設定!$G$5:$G$20,MATCH($F700,設定!$B$5:$B$20,0)),0))*60,設定!$C$27)/60,2),0))</f>
        <v/>
      </c>
      <c r="Q700" s="29">
        <f>IF(OR($C700="",$P700=0),"",IF($F700="國","國定假日",IF($B700="日","例假",IF($B700="六","休息日","平日"))))</f>
        <v/>
      </c>
      <c r="R700" s="34" t="n"/>
    </row>
    <row r="701">
      <c r="A701" s="30">
        <f>IF(OR(班表!$A28="",17&gt;DAY(EOMONTH(DATE(班表!$E$2,班表!$G$2,1),0))),"",DATE(班表!$E$2,班表!$G$2,17))</f>
        <v/>
      </c>
      <c r="B701" s="29">
        <f>IF($A701="","",INDEX(設定!$L$5:$L$11,WEEKDAY($A701,1)))</f>
        <v/>
      </c>
      <c r="C701" s="29">
        <f>IF($A701="","",班表!$A28)</f>
        <v/>
      </c>
      <c r="D701" s="29">
        <f>IF($C701="","",班表!$B28)</f>
        <v/>
      </c>
      <c r="E701" s="29">
        <f>IF($C701="","",班表!$C28)</f>
        <v/>
      </c>
      <c r="F701" s="29">
        <f>IF($C701="","",班表!T28)</f>
        <v/>
      </c>
      <c r="G701" s="31">
        <f>IF($F701="","",IFERROR(INDEX(設定!$D$5:$D$20,MATCH($F701,設定!$B$5:$B$20,0)),""))</f>
        <v/>
      </c>
      <c r="H701" s="31">
        <f>IF($F701="","",IFERROR(INDEX(設定!$E$5:$E$20,MATCH($F701,設定!$B$5:$B$20,0)),""))</f>
        <v/>
      </c>
      <c r="I701" s="31">
        <f>IFERROR(INDEX(打卡匯入!$C$3:$C$1002,MATCH($C701&amp;"|"&amp;DAY($A701),打卡匯入!$E$3:$E$1002,0)),"")</f>
        <v/>
      </c>
      <c r="J701" s="31">
        <f>IFERROR(INDEX(打卡匯入!$D$3:$D$1002,MATCH($C701&amp;"|"&amp;DAY($A701),打卡匯入!$E$3:$E$1002,0)),"")</f>
        <v/>
      </c>
      <c r="K701" s="32">
        <f>IF(OR($I701="",$J701=""),"",IFERROR(INDEX(設定!$F$5:$F$20,MATCH($F701,設定!$B$5:$B$20,0)),0))</f>
        <v/>
      </c>
      <c r="L701" s="33">
        <f>IF(OR($I701="",$J701=""),"",ROUND(($J701-$I701)*24-$K701/60,2))</f>
        <v/>
      </c>
      <c r="M701" s="29">
        <f>IF($C701="","",IF(AND(COUNTIF(設定!$B$14:$B$20,$F701)&gt;0,$I701&lt;&gt;""),"假日出勤",IF(AND(COUNTIF(設定!$B$5:$B$13,$F701)&gt;0,$I701=""),"未打卡",IF($I701="","",IF($N701&gt;0,"遲到",IF($O701&gt;0,"早退","正常"))))))</f>
        <v/>
      </c>
      <c r="N701" s="32">
        <f>IF(OR($C701="",$G701="",$I701=""),0,IF(ROUND(($I701-$G701)*1440,0)&gt;設定!$C$28,ROUND(($I701-$G701)*1440,0),0))</f>
        <v/>
      </c>
      <c r="O701" s="32">
        <f>IF(OR($C701="",$H701="",$J701=""),0,IF(ROUND(($H701-$J701)*1440,0)&gt;設定!$C$28,ROUND(($H701-$J701)*1440,0),0))</f>
        <v/>
      </c>
      <c r="P701" s="33">
        <f>IF($L701="",0,IF(($L701-IFERROR(INDEX(設定!$G$5:$G$20,MATCH($F701,設定!$B$5:$B$20,0)),0))*60&gt;=設定!$C$26,ROUND(FLOOR(($L701-IFERROR(INDEX(設定!$G$5:$G$20,MATCH($F701,設定!$B$5:$B$20,0)),0))*60,設定!$C$27)/60,2),0))</f>
        <v/>
      </c>
      <c r="Q701" s="29">
        <f>IF(OR($C701="",$P701=0),"",IF($F701="國","國定假日",IF($B701="日","例假",IF($B701="六","休息日","平日"))))</f>
        <v/>
      </c>
      <c r="R701" s="34" t="n"/>
    </row>
    <row r="702">
      <c r="A702" s="30">
        <f>IF(OR(班表!$A28="",18&gt;DAY(EOMONTH(DATE(班表!$E$2,班表!$G$2,1),0))),"",DATE(班表!$E$2,班表!$G$2,18))</f>
        <v/>
      </c>
      <c r="B702" s="29">
        <f>IF($A702="","",INDEX(設定!$L$5:$L$11,WEEKDAY($A702,1)))</f>
        <v/>
      </c>
      <c r="C702" s="29">
        <f>IF($A702="","",班表!$A28)</f>
        <v/>
      </c>
      <c r="D702" s="29">
        <f>IF($C702="","",班表!$B28)</f>
        <v/>
      </c>
      <c r="E702" s="29">
        <f>IF($C702="","",班表!$C28)</f>
        <v/>
      </c>
      <c r="F702" s="29">
        <f>IF($C702="","",班表!U28)</f>
        <v/>
      </c>
      <c r="G702" s="31">
        <f>IF($F702="","",IFERROR(INDEX(設定!$D$5:$D$20,MATCH($F702,設定!$B$5:$B$20,0)),""))</f>
        <v/>
      </c>
      <c r="H702" s="31">
        <f>IF($F702="","",IFERROR(INDEX(設定!$E$5:$E$20,MATCH($F702,設定!$B$5:$B$20,0)),""))</f>
        <v/>
      </c>
      <c r="I702" s="31">
        <f>IFERROR(INDEX(打卡匯入!$C$3:$C$1002,MATCH($C702&amp;"|"&amp;DAY($A702),打卡匯入!$E$3:$E$1002,0)),"")</f>
        <v/>
      </c>
      <c r="J702" s="31">
        <f>IFERROR(INDEX(打卡匯入!$D$3:$D$1002,MATCH($C702&amp;"|"&amp;DAY($A702),打卡匯入!$E$3:$E$1002,0)),"")</f>
        <v/>
      </c>
      <c r="K702" s="32">
        <f>IF(OR($I702="",$J702=""),"",IFERROR(INDEX(設定!$F$5:$F$20,MATCH($F702,設定!$B$5:$B$20,0)),0))</f>
        <v/>
      </c>
      <c r="L702" s="33">
        <f>IF(OR($I702="",$J702=""),"",ROUND(($J702-$I702)*24-$K702/60,2))</f>
        <v/>
      </c>
      <c r="M702" s="29">
        <f>IF($C702="","",IF(AND(COUNTIF(設定!$B$14:$B$20,$F702)&gt;0,$I702&lt;&gt;""),"假日出勤",IF(AND(COUNTIF(設定!$B$5:$B$13,$F702)&gt;0,$I702=""),"未打卡",IF($I702="","",IF($N702&gt;0,"遲到",IF($O702&gt;0,"早退","正常"))))))</f>
        <v/>
      </c>
      <c r="N702" s="32">
        <f>IF(OR($C702="",$G702="",$I702=""),0,IF(ROUND(($I702-$G702)*1440,0)&gt;設定!$C$28,ROUND(($I702-$G702)*1440,0),0))</f>
        <v/>
      </c>
      <c r="O702" s="32">
        <f>IF(OR($C702="",$H702="",$J702=""),0,IF(ROUND(($H702-$J702)*1440,0)&gt;設定!$C$28,ROUND(($H702-$J702)*1440,0),0))</f>
        <v/>
      </c>
      <c r="P702" s="33">
        <f>IF($L702="",0,IF(($L702-IFERROR(INDEX(設定!$G$5:$G$20,MATCH($F702,設定!$B$5:$B$20,0)),0))*60&gt;=設定!$C$26,ROUND(FLOOR(($L702-IFERROR(INDEX(設定!$G$5:$G$20,MATCH($F702,設定!$B$5:$B$20,0)),0))*60,設定!$C$27)/60,2),0))</f>
        <v/>
      </c>
      <c r="Q702" s="29">
        <f>IF(OR($C702="",$P702=0),"",IF($F702="國","國定假日",IF($B702="日","例假",IF($B702="六","休息日","平日"))))</f>
        <v/>
      </c>
      <c r="R702" s="34" t="n"/>
    </row>
    <row r="703">
      <c r="A703" s="30">
        <f>IF(OR(班表!$A28="",19&gt;DAY(EOMONTH(DATE(班表!$E$2,班表!$G$2,1),0))),"",DATE(班表!$E$2,班表!$G$2,19))</f>
        <v/>
      </c>
      <c r="B703" s="29">
        <f>IF($A703="","",INDEX(設定!$L$5:$L$11,WEEKDAY($A703,1)))</f>
        <v/>
      </c>
      <c r="C703" s="29">
        <f>IF($A703="","",班表!$A28)</f>
        <v/>
      </c>
      <c r="D703" s="29">
        <f>IF($C703="","",班表!$B28)</f>
        <v/>
      </c>
      <c r="E703" s="29">
        <f>IF($C703="","",班表!$C28)</f>
        <v/>
      </c>
      <c r="F703" s="29">
        <f>IF($C703="","",班表!V28)</f>
        <v/>
      </c>
      <c r="G703" s="31">
        <f>IF($F703="","",IFERROR(INDEX(設定!$D$5:$D$20,MATCH($F703,設定!$B$5:$B$20,0)),""))</f>
        <v/>
      </c>
      <c r="H703" s="31">
        <f>IF($F703="","",IFERROR(INDEX(設定!$E$5:$E$20,MATCH($F703,設定!$B$5:$B$20,0)),""))</f>
        <v/>
      </c>
      <c r="I703" s="31">
        <f>IFERROR(INDEX(打卡匯入!$C$3:$C$1002,MATCH($C703&amp;"|"&amp;DAY($A703),打卡匯入!$E$3:$E$1002,0)),"")</f>
        <v/>
      </c>
      <c r="J703" s="31">
        <f>IFERROR(INDEX(打卡匯入!$D$3:$D$1002,MATCH($C703&amp;"|"&amp;DAY($A703),打卡匯入!$E$3:$E$1002,0)),"")</f>
        <v/>
      </c>
      <c r="K703" s="32">
        <f>IF(OR($I703="",$J703=""),"",IFERROR(INDEX(設定!$F$5:$F$20,MATCH($F703,設定!$B$5:$B$20,0)),0))</f>
        <v/>
      </c>
      <c r="L703" s="33">
        <f>IF(OR($I703="",$J703=""),"",ROUND(($J703-$I703)*24-$K703/60,2))</f>
        <v/>
      </c>
      <c r="M703" s="29">
        <f>IF($C703="","",IF(AND(COUNTIF(設定!$B$14:$B$20,$F703)&gt;0,$I703&lt;&gt;""),"假日出勤",IF(AND(COUNTIF(設定!$B$5:$B$13,$F703)&gt;0,$I703=""),"未打卡",IF($I703="","",IF($N703&gt;0,"遲到",IF($O703&gt;0,"早退","正常"))))))</f>
        <v/>
      </c>
      <c r="N703" s="32">
        <f>IF(OR($C703="",$G703="",$I703=""),0,IF(ROUND(($I703-$G703)*1440,0)&gt;設定!$C$28,ROUND(($I703-$G703)*1440,0),0))</f>
        <v/>
      </c>
      <c r="O703" s="32">
        <f>IF(OR($C703="",$H703="",$J703=""),0,IF(ROUND(($H703-$J703)*1440,0)&gt;設定!$C$28,ROUND(($H703-$J703)*1440,0),0))</f>
        <v/>
      </c>
      <c r="P703" s="33">
        <f>IF($L703="",0,IF(($L703-IFERROR(INDEX(設定!$G$5:$G$20,MATCH($F703,設定!$B$5:$B$20,0)),0))*60&gt;=設定!$C$26,ROUND(FLOOR(($L703-IFERROR(INDEX(設定!$G$5:$G$20,MATCH($F703,設定!$B$5:$B$20,0)),0))*60,設定!$C$27)/60,2),0))</f>
        <v/>
      </c>
      <c r="Q703" s="29">
        <f>IF(OR($C703="",$P703=0),"",IF($F703="國","國定假日",IF($B703="日","例假",IF($B703="六","休息日","平日"))))</f>
        <v/>
      </c>
      <c r="R703" s="34" t="n"/>
    </row>
    <row r="704">
      <c r="A704" s="30">
        <f>IF(OR(班表!$A28="",20&gt;DAY(EOMONTH(DATE(班表!$E$2,班表!$G$2,1),0))),"",DATE(班表!$E$2,班表!$G$2,20))</f>
        <v/>
      </c>
      <c r="B704" s="29">
        <f>IF($A704="","",INDEX(設定!$L$5:$L$11,WEEKDAY($A704,1)))</f>
        <v/>
      </c>
      <c r="C704" s="29">
        <f>IF($A704="","",班表!$A28)</f>
        <v/>
      </c>
      <c r="D704" s="29">
        <f>IF($C704="","",班表!$B28)</f>
        <v/>
      </c>
      <c r="E704" s="29">
        <f>IF($C704="","",班表!$C28)</f>
        <v/>
      </c>
      <c r="F704" s="29">
        <f>IF($C704="","",班表!W28)</f>
        <v/>
      </c>
      <c r="G704" s="31">
        <f>IF($F704="","",IFERROR(INDEX(設定!$D$5:$D$20,MATCH($F704,設定!$B$5:$B$20,0)),""))</f>
        <v/>
      </c>
      <c r="H704" s="31">
        <f>IF($F704="","",IFERROR(INDEX(設定!$E$5:$E$20,MATCH($F704,設定!$B$5:$B$20,0)),""))</f>
        <v/>
      </c>
      <c r="I704" s="31">
        <f>IFERROR(INDEX(打卡匯入!$C$3:$C$1002,MATCH($C704&amp;"|"&amp;DAY($A704),打卡匯入!$E$3:$E$1002,0)),"")</f>
        <v/>
      </c>
      <c r="J704" s="31">
        <f>IFERROR(INDEX(打卡匯入!$D$3:$D$1002,MATCH($C704&amp;"|"&amp;DAY($A704),打卡匯入!$E$3:$E$1002,0)),"")</f>
        <v/>
      </c>
      <c r="K704" s="32">
        <f>IF(OR($I704="",$J704=""),"",IFERROR(INDEX(設定!$F$5:$F$20,MATCH($F704,設定!$B$5:$B$20,0)),0))</f>
        <v/>
      </c>
      <c r="L704" s="33">
        <f>IF(OR($I704="",$J704=""),"",ROUND(($J704-$I704)*24-$K704/60,2))</f>
        <v/>
      </c>
      <c r="M704" s="29">
        <f>IF($C704="","",IF(AND(COUNTIF(設定!$B$14:$B$20,$F704)&gt;0,$I704&lt;&gt;""),"假日出勤",IF(AND(COUNTIF(設定!$B$5:$B$13,$F704)&gt;0,$I704=""),"未打卡",IF($I704="","",IF($N704&gt;0,"遲到",IF($O704&gt;0,"早退","正常"))))))</f>
        <v/>
      </c>
      <c r="N704" s="32">
        <f>IF(OR($C704="",$G704="",$I704=""),0,IF(ROUND(($I704-$G704)*1440,0)&gt;設定!$C$28,ROUND(($I704-$G704)*1440,0),0))</f>
        <v/>
      </c>
      <c r="O704" s="32">
        <f>IF(OR($C704="",$H704="",$J704=""),0,IF(ROUND(($H704-$J704)*1440,0)&gt;設定!$C$28,ROUND(($H704-$J704)*1440,0),0))</f>
        <v/>
      </c>
      <c r="P704" s="33">
        <f>IF($L704="",0,IF(($L704-IFERROR(INDEX(設定!$G$5:$G$20,MATCH($F704,設定!$B$5:$B$20,0)),0))*60&gt;=設定!$C$26,ROUND(FLOOR(($L704-IFERROR(INDEX(設定!$G$5:$G$20,MATCH($F704,設定!$B$5:$B$20,0)),0))*60,設定!$C$27)/60,2),0))</f>
        <v/>
      </c>
      <c r="Q704" s="29">
        <f>IF(OR($C704="",$P704=0),"",IF($F704="國","國定假日",IF($B704="日","例假",IF($B704="六","休息日","平日"))))</f>
        <v/>
      </c>
      <c r="R704" s="34" t="n"/>
    </row>
    <row r="705">
      <c r="A705" s="30">
        <f>IF(OR(班表!$A28="",21&gt;DAY(EOMONTH(DATE(班表!$E$2,班表!$G$2,1),0))),"",DATE(班表!$E$2,班表!$G$2,21))</f>
        <v/>
      </c>
      <c r="B705" s="29">
        <f>IF($A705="","",INDEX(設定!$L$5:$L$11,WEEKDAY($A705,1)))</f>
        <v/>
      </c>
      <c r="C705" s="29">
        <f>IF($A705="","",班表!$A28)</f>
        <v/>
      </c>
      <c r="D705" s="29">
        <f>IF($C705="","",班表!$B28)</f>
        <v/>
      </c>
      <c r="E705" s="29">
        <f>IF($C705="","",班表!$C28)</f>
        <v/>
      </c>
      <c r="F705" s="29">
        <f>IF($C705="","",班表!X28)</f>
        <v/>
      </c>
      <c r="G705" s="31">
        <f>IF($F705="","",IFERROR(INDEX(設定!$D$5:$D$20,MATCH($F705,設定!$B$5:$B$20,0)),""))</f>
        <v/>
      </c>
      <c r="H705" s="31">
        <f>IF($F705="","",IFERROR(INDEX(設定!$E$5:$E$20,MATCH($F705,設定!$B$5:$B$20,0)),""))</f>
        <v/>
      </c>
      <c r="I705" s="31">
        <f>IFERROR(INDEX(打卡匯入!$C$3:$C$1002,MATCH($C705&amp;"|"&amp;DAY($A705),打卡匯入!$E$3:$E$1002,0)),"")</f>
        <v/>
      </c>
      <c r="J705" s="31">
        <f>IFERROR(INDEX(打卡匯入!$D$3:$D$1002,MATCH($C705&amp;"|"&amp;DAY($A705),打卡匯入!$E$3:$E$1002,0)),"")</f>
        <v/>
      </c>
      <c r="K705" s="32">
        <f>IF(OR($I705="",$J705=""),"",IFERROR(INDEX(設定!$F$5:$F$20,MATCH($F705,設定!$B$5:$B$20,0)),0))</f>
        <v/>
      </c>
      <c r="L705" s="33">
        <f>IF(OR($I705="",$J705=""),"",ROUND(($J705-$I705)*24-$K705/60,2))</f>
        <v/>
      </c>
      <c r="M705" s="29">
        <f>IF($C705="","",IF(AND(COUNTIF(設定!$B$14:$B$20,$F705)&gt;0,$I705&lt;&gt;""),"假日出勤",IF(AND(COUNTIF(設定!$B$5:$B$13,$F705)&gt;0,$I705=""),"未打卡",IF($I705="","",IF($N705&gt;0,"遲到",IF($O705&gt;0,"早退","正常"))))))</f>
        <v/>
      </c>
      <c r="N705" s="32">
        <f>IF(OR($C705="",$G705="",$I705=""),0,IF(ROUND(($I705-$G705)*1440,0)&gt;設定!$C$28,ROUND(($I705-$G705)*1440,0),0))</f>
        <v/>
      </c>
      <c r="O705" s="32">
        <f>IF(OR($C705="",$H705="",$J705=""),0,IF(ROUND(($H705-$J705)*1440,0)&gt;設定!$C$28,ROUND(($H705-$J705)*1440,0),0))</f>
        <v/>
      </c>
      <c r="P705" s="33">
        <f>IF($L705="",0,IF(($L705-IFERROR(INDEX(設定!$G$5:$G$20,MATCH($F705,設定!$B$5:$B$20,0)),0))*60&gt;=設定!$C$26,ROUND(FLOOR(($L705-IFERROR(INDEX(設定!$G$5:$G$20,MATCH($F705,設定!$B$5:$B$20,0)),0))*60,設定!$C$27)/60,2),0))</f>
        <v/>
      </c>
      <c r="Q705" s="29">
        <f>IF(OR($C705="",$P705=0),"",IF($F705="國","國定假日",IF($B705="日","例假",IF($B705="六","休息日","平日"))))</f>
        <v/>
      </c>
      <c r="R705" s="34" t="n"/>
    </row>
    <row r="706">
      <c r="A706" s="30">
        <f>IF(OR(班表!$A28="",22&gt;DAY(EOMONTH(DATE(班表!$E$2,班表!$G$2,1),0))),"",DATE(班表!$E$2,班表!$G$2,22))</f>
        <v/>
      </c>
      <c r="B706" s="29">
        <f>IF($A706="","",INDEX(設定!$L$5:$L$11,WEEKDAY($A706,1)))</f>
        <v/>
      </c>
      <c r="C706" s="29">
        <f>IF($A706="","",班表!$A28)</f>
        <v/>
      </c>
      <c r="D706" s="29">
        <f>IF($C706="","",班表!$B28)</f>
        <v/>
      </c>
      <c r="E706" s="29">
        <f>IF($C706="","",班表!$C28)</f>
        <v/>
      </c>
      <c r="F706" s="29">
        <f>IF($C706="","",班表!Y28)</f>
        <v/>
      </c>
      <c r="G706" s="31">
        <f>IF($F706="","",IFERROR(INDEX(設定!$D$5:$D$20,MATCH($F706,設定!$B$5:$B$20,0)),""))</f>
        <v/>
      </c>
      <c r="H706" s="31">
        <f>IF($F706="","",IFERROR(INDEX(設定!$E$5:$E$20,MATCH($F706,設定!$B$5:$B$20,0)),""))</f>
        <v/>
      </c>
      <c r="I706" s="31">
        <f>IFERROR(INDEX(打卡匯入!$C$3:$C$1002,MATCH($C706&amp;"|"&amp;DAY($A706),打卡匯入!$E$3:$E$1002,0)),"")</f>
        <v/>
      </c>
      <c r="J706" s="31">
        <f>IFERROR(INDEX(打卡匯入!$D$3:$D$1002,MATCH($C706&amp;"|"&amp;DAY($A706),打卡匯入!$E$3:$E$1002,0)),"")</f>
        <v/>
      </c>
      <c r="K706" s="32">
        <f>IF(OR($I706="",$J706=""),"",IFERROR(INDEX(設定!$F$5:$F$20,MATCH($F706,設定!$B$5:$B$20,0)),0))</f>
        <v/>
      </c>
      <c r="L706" s="33">
        <f>IF(OR($I706="",$J706=""),"",ROUND(($J706-$I706)*24-$K706/60,2))</f>
        <v/>
      </c>
      <c r="M706" s="29">
        <f>IF($C706="","",IF(AND(COUNTIF(設定!$B$14:$B$20,$F706)&gt;0,$I706&lt;&gt;""),"假日出勤",IF(AND(COUNTIF(設定!$B$5:$B$13,$F706)&gt;0,$I706=""),"未打卡",IF($I706="","",IF($N706&gt;0,"遲到",IF($O706&gt;0,"早退","正常"))))))</f>
        <v/>
      </c>
      <c r="N706" s="32">
        <f>IF(OR($C706="",$G706="",$I706=""),0,IF(ROUND(($I706-$G706)*1440,0)&gt;設定!$C$28,ROUND(($I706-$G706)*1440,0),0))</f>
        <v/>
      </c>
      <c r="O706" s="32">
        <f>IF(OR($C706="",$H706="",$J706=""),0,IF(ROUND(($H706-$J706)*1440,0)&gt;設定!$C$28,ROUND(($H706-$J706)*1440,0),0))</f>
        <v/>
      </c>
      <c r="P706" s="33">
        <f>IF($L706="",0,IF(($L706-IFERROR(INDEX(設定!$G$5:$G$20,MATCH($F706,設定!$B$5:$B$20,0)),0))*60&gt;=設定!$C$26,ROUND(FLOOR(($L706-IFERROR(INDEX(設定!$G$5:$G$20,MATCH($F706,設定!$B$5:$B$20,0)),0))*60,設定!$C$27)/60,2),0))</f>
        <v/>
      </c>
      <c r="Q706" s="29">
        <f>IF(OR($C706="",$P706=0),"",IF($F706="國","國定假日",IF($B706="日","例假",IF($B706="六","休息日","平日"))))</f>
        <v/>
      </c>
      <c r="R706" s="34" t="n"/>
    </row>
    <row r="707">
      <c r="A707" s="30">
        <f>IF(OR(班表!$A28="",23&gt;DAY(EOMONTH(DATE(班表!$E$2,班表!$G$2,1),0))),"",DATE(班表!$E$2,班表!$G$2,23))</f>
        <v/>
      </c>
      <c r="B707" s="29">
        <f>IF($A707="","",INDEX(設定!$L$5:$L$11,WEEKDAY($A707,1)))</f>
        <v/>
      </c>
      <c r="C707" s="29">
        <f>IF($A707="","",班表!$A28)</f>
        <v/>
      </c>
      <c r="D707" s="29">
        <f>IF($C707="","",班表!$B28)</f>
        <v/>
      </c>
      <c r="E707" s="29">
        <f>IF($C707="","",班表!$C28)</f>
        <v/>
      </c>
      <c r="F707" s="29">
        <f>IF($C707="","",班表!Z28)</f>
        <v/>
      </c>
      <c r="G707" s="31">
        <f>IF($F707="","",IFERROR(INDEX(設定!$D$5:$D$20,MATCH($F707,設定!$B$5:$B$20,0)),""))</f>
        <v/>
      </c>
      <c r="H707" s="31">
        <f>IF($F707="","",IFERROR(INDEX(設定!$E$5:$E$20,MATCH($F707,設定!$B$5:$B$20,0)),""))</f>
        <v/>
      </c>
      <c r="I707" s="31">
        <f>IFERROR(INDEX(打卡匯入!$C$3:$C$1002,MATCH($C707&amp;"|"&amp;DAY($A707),打卡匯入!$E$3:$E$1002,0)),"")</f>
        <v/>
      </c>
      <c r="J707" s="31">
        <f>IFERROR(INDEX(打卡匯入!$D$3:$D$1002,MATCH($C707&amp;"|"&amp;DAY($A707),打卡匯入!$E$3:$E$1002,0)),"")</f>
        <v/>
      </c>
      <c r="K707" s="32">
        <f>IF(OR($I707="",$J707=""),"",IFERROR(INDEX(設定!$F$5:$F$20,MATCH($F707,設定!$B$5:$B$20,0)),0))</f>
        <v/>
      </c>
      <c r="L707" s="33">
        <f>IF(OR($I707="",$J707=""),"",ROUND(($J707-$I707)*24-$K707/60,2))</f>
        <v/>
      </c>
      <c r="M707" s="29">
        <f>IF($C707="","",IF(AND(COUNTIF(設定!$B$14:$B$20,$F707)&gt;0,$I707&lt;&gt;""),"假日出勤",IF(AND(COUNTIF(設定!$B$5:$B$13,$F707)&gt;0,$I707=""),"未打卡",IF($I707="","",IF($N707&gt;0,"遲到",IF($O707&gt;0,"早退","正常"))))))</f>
        <v/>
      </c>
      <c r="N707" s="32">
        <f>IF(OR($C707="",$G707="",$I707=""),0,IF(ROUND(($I707-$G707)*1440,0)&gt;設定!$C$28,ROUND(($I707-$G707)*1440,0),0))</f>
        <v/>
      </c>
      <c r="O707" s="32">
        <f>IF(OR($C707="",$H707="",$J707=""),0,IF(ROUND(($H707-$J707)*1440,0)&gt;設定!$C$28,ROUND(($H707-$J707)*1440,0),0))</f>
        <v/>
      </c>
      <c r="P707" s="33">
        <f>IF($L707="",0,IF(($L707-IFERROR(INDEX(設定!$G$5:$G$20,MATCH($F707,設定!$B$5:$B$20,0)),0))*60&gt;=設定!$C$26,ROUND(FLOOR(($L707-IFERROR(INDEX(設定!$G$5:$G$20,MATCH($F707,設定!$B$5:$B$20,0)),0))*60,設定!$C$27)/60,2),0))</f>
        <v/>
      </c>
      <c r="Q707" s="29">
        <f>IF(OR($C707="",$P707=0),"",IF($F707="國","國定假日",IF($B707="日","例假",IF($B707="六","休息日","平日"))))</f>
        <v/>
      </c>
      <c r="R707" s="34" t="n"/>
    </row>
    <row r="708">
      <c r="A708" s="30">
        <f>IF(OR(班表!$A28="",24&gt;DAY(EOMONTH(DATE(班表!$E$2,班表!$G$2,1),0))),"",DATE(班表!$E$2,班表!$G$2,24))</f>
        <v/>
      </c>
      <c r="B708" s="29">
        <f>IF($A708="","",INDEX(設定!$L$5:$L$11,WEEKDAY($A708,1)))</f>
        <v/>
      </c>
      <c r="C708" s="29">
        <f>IF($A708="","",班表!$A28)</f>
        <v/>
      </c>
      <c r="D708" s="29">
        <f>IF($C708="","",班表!$B28)</f>
        <v/>
      </c>
      <c r="E708" s="29">
        <f>IF($C708="","",班表!$C28)</f>
        <v/>
      </c>
      <c r="F708" s="29">
        <f>IF($C708="","",班表!AA28)</f>
        <v/>
      </c>
      <c r="G708" s="31">
        <f>IF($F708="","",IFERROR(INDEX(設定!$D$5:$D$20,MATCH($F708,設定!$B$5:$B$20,0)),""))</f>
        <v/>
      </c>
      <c r="H708" s="31">
        <f>IF($F708="","",IFERROR(INDEX(設定!$E$5:$E$20,MATCH($F708,設定!$B$5:$B$20,0)),""))</f>
        <v/>
      </c>
      <c r="I708" s="31">
        <f>IFERROR(INDEX(打卡匯入!$C$3:$C$1002,MATCH($C708&amp;"|"&amp;DAY($A708),打卡匯入!$E$3:$E$1002,0)),"")</f>
        <v/>
      </c>
      <c r="J708" s="31">
        <f>IFERROR(INDEX(打卡匯入!$D$3:$D$1002,MATCH($C708&amp;"|"&amp;DAY($A708),打卡匯入!$E$3:$E$1002,0)),"")</f>
        <v/>
      </c>
      <c r="K708" s="32">
        <f>IF(OR($I708="",$J708=""),"",IFERROR(INDEX(設定!$F$5:$F$20,MATCH($F708,設定!$B$5:$B$20,0)),0))</f>
        <v/>
      </c>
      <c r="L708" s="33">
        <f>IF(OR($I708="",$J708=""),"",ROUND(($J708-$I708)*24-$K708/60,2))</f>
        <v/>
      </c>
      <c r="M708" s="29">
        <f>IF($C708="","",IF(AND(COUNTIF(設定!$B$14:$B$20,$F708)&gt;0,$I708&lt;&gt;""),"假日出勤",IF(AND(COUNTIF(設定!$B$5:$B$13,$F708)&gt;0,$I708=""),"未打卡",IF($I708="","",IF($N708&gt;0,"遲到",IF($O708&gt;0,"早退","正常"))))))</f>
        <v/>
      </c>
      <c r="N708" s="32">
        <f>IF(OR($C708="",$G708="",$I708=""),0,IF(ROUND(($I708-$G708)*1440,0)&gt;設定!$C$28,ROUND(($I708-$G708)*1440,0),0))</f>
        <v/>
      </c>
      <c r="O708" s="32">
        <f>IF(OR($C708="",$H708="",$J708=""),0,IF(ROUND(($H708-$J708)*1440,0)&gt;設定!$C$28,ROUND(($H708-$J708)*1440,0),0))</f>
        <v/>
      </c>
      <c r="P708" s="33">
        <f>IF($L708="",0,IF(($L708-IFERROR(INDEX(設定!$G$5:$G$20,MATCH($F708,設定!$B$5:$B$20,0)),0))*60&gt;=設定!$C$26,ROUND(FLOOR(($L708-IFERROR(INDEX(設定!$G$5:$G$20,MATCH($F708,設定!$B$5:$B$20,0)),0))*60,設定!$C$27)/60,2),0))</f>
        <v/>
      </c>
      <c r="Q708" s="29">
        <f>IF(OR($C708="",$P708=0),"",IF($F708="國","國定假日",IF($B708="日","例假",IF($B708="六","休息日","平日"))))</f>
        <v/>
      </c>
      <c r="R708" s="34" t="n"/>
    </row>
    <row r="709">
      <c r="A709" s="30">
        <f>IF(OR(班表!$A28="",25&gt;DAY(EOMONTH(DATE(班表!$E$2,班表!$G$2,1),0))),"",DATE(班表!$E$2,班表!$G$2,25))</f>
        <v/>
      </c>
      <c r="B709" s="29">
        <f>IF($A709="","",INDEX(設定!$L$5:$L$11,WEEKDAY($A709,1)))</f>
        <v/>
      </c>
      <c r="C709" s="29">
        <f>IF($A709="","",班表!$A28)</f>
        <v/>
      </c>
      <c r="D709" s="29">
        <f>IF($C709="","",班表!$B28)</f>
        <v/>
      </c>
      <c r="E709" s="29">
        <f>IF($C709="","",班表!$C28)</f>
        <v/>
      </c>
      <c r="F709" s="29">
        <f>IF($C709="","",班表!AB28)</f>
        <v/>
      </c>
      <c r="G709" s="31">
        <f>IF($F709="","",IFERROR(INDEX(設定!$D$5:$D$20,MATCH($F709,設定!$B$5:$B$20,0)),""))</f>
        <v/>
      </c>
      <c r="H709" s="31">
        <f>IF($F709="","",IFERROR(INDEX(設定!$E$5:$E$20,MATCH($F709,設定!$B$5:$B$20,0)),""))</f>
        <v/>
      </c>
      <c r="I709" s="31">
        <f>IFERROR(INDEX(打卡匯入!$C$3:$C$1002,MATCH($C709&amp;"|"&amp;DAY($A709),打卡匯入!$E$3:$E$1002,0)),"")</f>
        <v/>
      </c>
      <c r="J709" s="31">
        <f>IFERROR(INDEX(打卡匯入!$D$3:$D$1002,MATCH($C709&amp;"|"&amp;DAY($A709),打卡匯入!$E$3:$E$1002,0)),"")</f>
        <v/>
      </c>
      <c r="K709" s="32">
        <f>IF(OR($I709="",$J709=""),"",IFERROR(INDEX(設定!$F$5:$F$20,MATCH($F709,設定!$B$5:$B$20,0)),0))</f>
        <v/>
      </c>
      <c r="L709" s="33">
        <f>IF(OR($I709="",$J709=""),"",ROUND(($J709-$I709)*24-$K709/60,2))</f>
        <v/>
      </c>
      <c r="M709" s="29">
        <f>IF($C709="","",IF(AND(COUNTIF(設定!$B$14:$B$20,$F709)&gt;0,$I709&lt;&gt;""),"假日出勤",IF(AND(COUNTIF(設定!$B$5:$B$13,$F709)&gt;0,$I709=""),"未打卡",IF($I709="","",IF($N709&gt;0,"遲到",IF($O709&gt;0,"早退","正常"))))))</f>
        <v/>
      </c>
      <c r="N709" s="32">
        <f>IF(OR($C709="",$G709="",$I709=""),0,IF(ROUND(($I709-$G709)*1440,0)&gt;設定!$C$28,ROUND(($I709-$G709)*1440,0),0))</f>
        <v/>
      </c>
      <c r="O709" s="32">
        <f>IF(OR($C709="",$H709="",$J709=""),0,IF(ROUND(($H709-$J709)*1440,0)&gt;設定!$C$28,ROUND(($H709-$J709)*1440,0),0))</f>
        <v/>
      </c>
      <c r="P709" s="33">
        <f>IF($L709="",0,IF(($L709-IFERROR(INDEX(設定!$G$5:$G$20,MATCH($F709,設定!$B$5:$B$20,0)),0))*60&gt;=設定!$C$26,ROUND(FLOOR(($L709-IFERROR(INDEX(設定!$G$5:$G$20,MATCH($F709,設定!$B$5:$B$20,0)),0))*60,設定!$C$27)/60,2),0))</f>
        <v/>
      </c>
      <c r="Q709" s="29">
        <f>IF(OR($C709="",$P709=0),"",IF($F709="國","國定假日",IF($B709="日","例假",IF($B709="六","休息日","平日"))))</f>
        <v/>
      </c>
      <c r="R709" s="34" t="n"/>
    </row>
    <row r="710">
      <c r="A710" s="30">
        <f>IF(OR(班表!$A28="",26&gt;DAY(EOMONTH(DATE(班表!$E$2,班表!$G$2,1),0))),"",DATE(班表!$E$2,班表!$G$2,26))</f>
        <v/>
      </c>
      <c r="B710" s="29">
        <f>IF($A710="","",INDEX(設定!$L$5:$L$11,WEEKDAY($A710,1)))</f>
        <v/>
      </c>
      <c r="C710" s="29">
        <f>IF($A710="","",班表!$A28)</f>
        <v/>
      </c>
      <c r="D710" s="29">
        <f>IF($C710="","",班表!$B28)</f>
        <v/>
      </c>
      <c r="E710" s="29">
        <f>IF($C710="","",班表!$C28)</f>
        <v/>
      </c>
      <c r="F710" s="29">
        <f>IF($C710="","",班表!AC28)</f>
        <v/>
      </c>
      <c r="G710" s="31">
        <f>IF($F710="","",IFERROR(INDEX(設定!$D$5:$D$20,MATCH($F710,設定!$B$5:$B$20,0)),""))</f>
        <v/>
      </c>
      <c r="H710" s="31">
        <f>IF($F710="","",IFERROR(INDEX(設定!$E$5:$E$20,MATCH($F710,設定!$B$5:$B$20,0)),""))</f>
        <v/>
      </c>
      <c r="I710" s="31">
        <f>IFERROR(INDEX(打卡匯入!$C$3:$C$1002,MATCH($C710&amp;"|"&amp;DAY($A710),打卡匯入!$E$3:$E$1002,0)),"")</f>
        <v/>
      </c>
      <c r="J710" s="31">
        <f>IFERROR(INDEX(打卡匯入!$D$3:$D$1002,MATCH($C710&amp;"|"&amp;DAY($A710),打卡匯入!$E$3:$E$1002,0)),"")</f>
        <v/>
      </c>
      <c r="K710" s="32">
        <f>IF(OR($I710="",$J710=""),"",IFERROR(INDEX(設定!$F$5:$F$20,MATCH($F710,設定!$B$5:$B$20,0)),0))</f>
        <v/>
      </c>
      <c r="L710" s="33">
        <f>IF(OR($I710="",$J710=""),"",ROUND(($J710-$I710)*24-$K710/60,2))</f>
        <v/>
      </c>
      <c r="M710" s="29">
        <f>IF($C710="","",IF(AND(COUNTIF(設定!$B$14:$B$20,$F710)&gt;0,$I710&lt;&gt;""),"假日出勤",IF(AND(COUNTIF(設定!$B$5:$B$13,$F710)&gt;0,$I710=""),"未打卡",IF($I710="","",IF($N710&gt;0,"遲到",IF($O710&gt;0,"早退","正常"))))))</f>
        <v/>
      </c>
      <c r="N710" s="32">
        <f>IF(OR($C710="",$G710="",$I710=""),0,IF(ROUND(($I710-$G710)*1440,0)&gt;設定!$C$28,ROUND(($I710-$G710)*1440,0),0))</f>
        <v/>
      </c>
      <c r="O710" s="32">
        <f>IF(OR($C710="",$H710="",$J710=""),0,IF(ROUND(($H710-$J710)*1440,0)&gt;設定!$C$28,ROUND(($H710-$J710)*1440,0),0))</f>
        <v/>
      </c>
      <c r="P710" s="33">
        <f>IF($L710="",0,IF(($L710-IFERROR(INDEX(設定!$G$5:$G$20,MATCH($F710,設定!$B$5:$B$20,0)),0))*60&gt;=設定!$C$26,ROUND(FLOOR(($L710-IFERROR(INDEX(設定!$G$5:$G$20,MATCH($F710,設定!$B$5:$B$20,0)),0))*60,設定!$C$27)/60,2),0))</f>
        <v/>
      </c>
      <c r="Q710" s="29">
        <f>IF(OR($C710="",$P710=0),"",IF($F710="國","國定假日",IF($B710="日","例假",IF($B710="六","休息日","平日"))))</f>
        <v/>
      </c>
      <c r="R710" s="34" t="n"/>
    </row>
    <row r="711">
      <c r="A711" s="30">
        <f>IF(OR(班表!$A28="",27&gt;DAY(EOMONTH(DATE(班表!$E$2,班表!$G$2,1),0))),"",DATE(班表!$E$2,班表!$G$2,27))</f>
        <v/>
      </c>
      <c r="B711" s="29">
        <f>IF($A711="","",INDEX(設定!$L$5:$L$11,WEEKDAY($A711,1)))</f>
        <v/>
      </c>
      <c r="C711" s="29">
        <f>IF($A711="","",班表!$A28)</f>
        <v/>
      </c>
      <c r="D711" s="29">
        <f>IF($C711="","",班表!$B28)</f>
        <v/>
      </c>
      <c r="E711" s="29">
        <f>IF($C711="","",班表!$C28)</f>
        <v/>
      </c>
      <c r="F711" s="29">
        <f>IF($C711="","",班表!AD28)</f>
        <v/>
      </c>
      <c r="G711" s="31">
        <f>IF($F711="","",IFERROR(INDEX(設定!$D$5:$D$20,MATCH($F711,設定!$B$5:$B$20,0)),""))</f>
        <v/>
      </c>
      <c r="H711" s="31">
        <f>IF($F711="","",IFERROR(INDEX(設定!$E$5:$E$20,MATCH($F711,設定!$B$5:$B$20,0)),""))</f>
        <v/>
      </c>
      <c r="I711" s="31">
        <f>IFERROR(INDEX(打卡匯入!$C$3:$C$1002,MATCH($C711&amp;"|"&amp;DAY($A711),打卡匯入!$E$3:$E$1002,0)),"")</f>
        <v/>
      </c>
      <c r="J711" s="31">
        <f>IFERROR(INDEX(打卡匯入!$D$3:$D$1002,MATCH($C711&amp;"|"&amp;DAY($A711),打卡匯入!$E$3:$E$1002,0)),"")</f>
        <v/>
      </c>
      <c r="K711" s="32">
        <f>IF(OR($I711="",$J711=""),"",IFERROR(INDEX(設定!$F$5:$F$20,MATCH($F711,設定!$B$5:$B$20,0)),0))</f>
        <v/>
      </c>
      <c r="L711" s="33">
        <f>IF(OR($I711="",$J711=""),"",ROUND(($J711-$I711)*24-$K711/60,2))</f>
        <v/>
      </c>
      <c r="M711" s="29">
        <f>IF($C711="","",IF(AND(COUNTIF(設定!$B$14:$B$20,$F711)&gt;0,$I711&lt;&gt;""),"假日出勤",IF(AND(COUNTIF(設定!$B$5:$B$13,$F711)&gt;0,$I711=""),"未打卡",IF($I711="","",IF($N711&gt;0,"遲到",IF($O711&gt;0,"早退","正常"))))))</f>
        <v/>
      </c>
      <c r="N711" s="32">
        <f>IF(OR($C711="",$G711="",$I711=""),0,IF(ROUND(($I711-$G711)*1440,0)&gt;設定!$C$28,ROUND(($I711-$G711)*1440,0),0))</f>
        <v/>
      </c>
      <c r="O711" s="32">
        <f>IF(OR($C711="",$H711="",$J711=""),0,IF(ROUND(($H711-$J711)*1440,0)&gt;設定!$C$28,ROUND(($H711-$J711)*1440,0),0))</f>
        <v/>
      </c>
      <c r="P711" s="33">
        <f>IF($L711="",0,IF(($L711-IFERROR(INDEX(設定!$G$5:$G$20,MATCH($F711,設定!$B$5:$B$20,0)),0))*60&gt;=設定!$C$26,ROUND(FLOOR(($L711-IFERROR(INDEX(設定!$G$5:$G$20,MATCH($F711,設定!$B$5:$B$20,0)),0))*60,設定!$C$27)/60,2),0))</f>
        <v/>
      </c>
      <c r="Q711" s="29">
        <f>IF(OR($C711="",$P711=0),"",IF($F711="國","國定假日",IF($B711="日","例假",IF($B711="六","休息日","平日"))))</f>
        <v/>
      </c>
      <c r="R711" s="34" t="n"/>
    </row>
    <row r="712">
      <c r="A712" s="30">
        <f>IF(OR(班表!$A28="",28&gt;DAY(EOMONTH(DATE(班表!$E$2,班表!$G$2,1),0))),"",DATE(班表!$E$2,班表!$G$2,28))</f>
        <v/>
      </c>
      <c r="B712" s="29">
        <f>IF($A712="","",INDEX(設定!$L$5:$L$11,WEEKDAY($A712,1)))</f>
        <v/>
      </c>
      <c r="C712" s="29">
        <f>IF($A712="","",班表!$A28)</f>
        <v/>
      </c>
      <c r="D712" s="29">
        <f>IF($C712="","",班表!$B28)</f>
        <v/>
      </c>
      <c r="E712" s="29">
        <f>IF($C712="","",班表!$C28)</f>
        <v/>
      </c>
      <c r="F712" s="29">
        <f>IF($C712="","",班表!AE28)</f>
        <v/>
      </c>
      <c r="G712" s="31">
        <f>IF($F712="","",IFERROR(INDEX(設定!$D$5:$D$20,MATCH($F712,設定!$B$5:$B$20,0)),""))</f>
        <v/>
      </c>
      <c r="H712" s="31">
        <f>IF($F712="","",IFERROR(INDEX(設定!$E$5:$E$20,MATCH($F712,設定!$B$5:$B$20,0)),""))</f>
        <v/>
      </c>
      <c r="I712" s="31">
        <f>IFERROR(INDEX(打卡匯入!$C$3:$C$1002,MATCH($C712&amp;"|"&amp;DAY($A712),打卡匯入!$E$3:$E$1002,0)),"")</f>
        <v/>
      </c>
      <c r="J712" s="31">
        <f>IFERROR(INDEX(打卡匯入!$D$3:$D$1002,MATCH($C712&amp;"|"&amp;DAY($A712),打卡匯入!$E$3:$E$1002,0)),"")</f>
        <v/>
      </c>
      <c r="K712" s="32">
        <f>IF(OR($I712="",$J712=""),"",IFERROR(INDEX(設定!$F$5:$F$20,MATCH($F712,設定!$B$5:$B$20,0)),0))</f>
        <v/>
      </c>
      <c r="L712" s="33">
        <f>IF(OR($I712="",$J712=""),"",ROUND(($J712-$I712)*24-$K712/60,2))</f>
        <v/>
      </c>
      <c r="M712" s="29">
        <f>IF($C712="","",IF(AND(COUNTIF(設定!$B$14:$B$20,$F712)&gt;0,$I712&lt;&gt;""),"假日出勤",IF(AND(COUNTIF(設定!$B$5:$B$13,$F712)&gt;0,$I712=""),"未打卡",IF($I712="","",IF($N712&gt;0,"遲到",IF($O712&gt;0,"早退","正常"))))))</f>
        <v/>
      </c>
      <c r="N712" s="32">
        <f>IF(OR($C712="",$G712="",$I712=""),0,IF(ROUND(($I712-$G712)*1440,0)&gt;設定!$C$28,ROUND(($I712-$G712)*1440,0),0))</f>
        <v/>
      </c>
      <c r="O712" s="32">
        <f>IF(OR($C712="",$H712="",$J712=""),0,IF(ROUND(($H712-$J712)*1440,0)&gt;設定!$C$28,ROUND(($H712-$J712)*1440,0),0))</f>
        <v/>
      </c>
      <c r="P712" s="33">
        <f>IF($L712="",0,IF(($L712-IFERROR(INDEX(設定!$G$5:$G$20,MATCH($F712,設定!$B$5:$B$20,0)),0))*60&gt;=設定!$C$26,ROUND(FLOOR(($L712-IFERROR(INDEX(設定!$G$5:$G$20,MATCH($F712,設定!$B$5:$B$20,0)),0))*60,設定!$C$27)/60,2),0))</f>
        <v/>
      </c>
      <c r="Q712" s="29">
        <f>IF(OR($C712="",$P712=0),"",IF($F712="國","國定假日",IF($B712="日","例假",IF($B712="六","休息日","平日"))))</f>
        <v/>
      </c>
      <c r="R712" s="34" t="n"/>
    </row>
    <row r="713">
      <c r="A713" s="30">
        <f>IF(OR(班表!$A28="",29&gt;DAY(EOMONTH(DATE(班表!$E$2,班表!$G$2,1),0))),"",DATE(班表!$E$2,班表!$G$2,29))</f>
        <v/>
      </c>
      <c r="B713" s="29">
        <f>IF($A713="","",INDEX(設定!$L$5:$L$11,WEEKDAY($A713,1)))</f>
        <v/>
      </c>
      <c r="C713" s="29">
        <f>IF($A713="","",班表!$A28)</f>
        <v/>
      </c>
      <c r="D713" s="29">
        <f>IF($C713="","",班表!$B28)</f>
        <v/>
      </c>
      <c r="E713" s="29">
        <f>IF($C713="","",班表!$C28)</f>
        <v/>
      </c>
      <c r="F713" s="29">
        <f>IF($C713="","",班表!AF28)</f>
        <v/>
      </c>
      <c r="G713" s="31">
        <f>IF($F713="","",IFERROR(INDEX(設定!$D$5:$D$20,MATCH($F713,設定!$B$5:$B$20,0)),""))</f>
        <v/>
      </c>
      <c r="H713" s="31">
        <f>IF($F713="","",IFERROR(INDEX(設定!$E$5:$E$20,MATCH($F713,設定!$B$5:$B$20,0)),""))</f>
        <v/>
      </c>
      <c r="I713" s="31">
        <f>IFERROR(INDEX(打卡匯入!$C$3:$C$1002,MATCH($C713&amp;"|"&amp;DAY($A713),打卡匯入!$E$3:$E$1002,0)),"")</f>
        <v/>
      </c>
      <c r="J713" s="31">
        <f>IFERROR(INDEX(打卡匯入!$D$3:$D$1002,MATCH($C713&amp;"|"&amp;DAY($A713),打卡匯入!$E$3:$E$1002,0)),"")</f>
        <v/>
      </c>
      <c r="K713" s="32">
        <f>IF(OR($I713="",$J713=""),"",IFERROR(INDEX(設定!$F$5:$F$20,MATCH($F713,設定!$B$5:$B$20,0)),0))</f>
        <v/>
      </c>
      <c r="L713" s="33">
        <f>IF(OR($I713="",$J713=""),"",ROUND(($J713-$I713)*24-$K713/60,2))</f>
        <v/>
      </c>
      <c r="M713" s="29">
        <f>IF($C713="","",IF(AND(COUNTIF(設定!$B$14:$B$20,$F713)&gt;0,$I713&lt;&gt;""),"假日出勤",IF(AND(COUNTIF(設定!$B$5:$B$13,$F713)&gt;0,$I713=""),"未打卡",IF($I713="","",IF($N713&gt;0,"遲到",IF($O713&gt;0,"早退","正常"))))))</f>
        <v/>
      </c>
      <c r="N713" s="32">
        <f>IF(OR($C713="",$G713="",$I713=""),0,IF(ROUND(($I713-$G713)*1440,0)&gt;設定!$C$28,ROUND(($I713-$G713)*1440,0),0))</f>
        <v/>
      </c>
      <c r="O713" s="32">
        <f>IF(OR($C713="",$H713="",$J713=""),0,IF(ROUND(($H713-$J713)*1440,0)&gt;設定!$C$28,ROUND(($H713-$J713)*1440,0),0))</f>
        <v/>
      </c>
      <c r="P713" s="33">
        <f>IF($L713="",0,IF(($L713-IFERROR(INDEX(設定!$G$5:$G$20,MATCH($F713,設定!$B$5:$B$20,0)),0))*60&gt;=設定!$C$26,ROUND(FLOOR(($L713-IFERROR(INDEX(設定!$G$5:$G$20,MATCH($F713,設定!$B$5:$B$20,0)),0))*60,設定!$C$27)/60,2),0))</f>
        <v/>
      </c>
      <c r="Q713" s="29">
        <f>IF(OR($C713="",$P713=0),"",IF($F713="國","國定假日",IF($B713="日","例假",IF($B713="六","休息日","平日"))))</f>
        <v/>
      </c>
      <c r="R713" s="34" t="n"/>
    </row>
    <row r="714">
      <c r="A714" s="30">
        <f>IF(OR(班表!$A28="",30&gt;DAY(EOMONTH(DATE(班表!$E$2,班表!$G$2,1),0))),"",DATE(班表!$E$2,班表!$G$2,30))</f>
        <v/>
      </c>
      <c r="B714" s="29">
        <f>IF($A714="","",INDEX(設定!$L$5:$L$11,WEEKDAY($A714,1)))</f>
        <v/>
      </c>
      <c r="C714" s="29">
        <f>IF($A714="","",班表!$A28)</f>
        <v/>
      </c>
      <c r="D714" s="29">
        <f>IF($C714="","",班表!$B28)</f>
        <v/>
      </c>
      <c r="E714" s="29">
        <f>IF($C714="","",班表!$C28)</f>
        <v/>
      </c>
      <c r="F714" s="29">
        <f>IF($C714="","",班表!AG28)</f>
        <v/>
      </c>
      <c r="G714" s="31">
        <f>IF($F714="","",IFERROR(INDEX(設定!$D$5:$D$20,MATCH($F714,設定!$B$5:$B$20,0)),""))</f>
        <v/>
      </c>
      <c r="H714" s="31">
        <f>IF($F714="","",IFERROR(INDEX(設定!$E$5:$E$20,MATCH($F714,設定!$B$5:$B$20,0)),""))</f>
        <v/>
      </c>
      <c r="I714" s="31">
        <f>IFERROR(INDEX(打卡匯入!$C$3:$C$1002,MATCH($C714&amp;"|"&amp;DAY($A714),打卡匯入!$E$3:$E$1002,0)),"")</f>
        <v/>
      </c>
      <c r="J714" s="31">
        <f>IFERROR(INDEX(打卡匯入!$D$3:$D$1002,MATCH($C714&amp;"|"&amp;DAY($A714),打卡匯入!$E$3:$E$1002,0)),"")</f>
        <v/>
      </c>
      <c r="K714" s="32">
        <f>IF(OR($I714="",$J714=""),"",IFERROR(INDEX(設定!$F$5:$F$20,MATCH($F714,設定!$B$5:$B$20,0)),0))</f>
        <v/>
      </c>
      <c r="L714" s="33">
        <f>IF(OR($I714="",$J714=""),"",ROUND(($J714-$I714)*24-$K714/60,2))</f>
        <v/>
      </c>
      <c r="M714" s="29">
        <f>IF($C714="","",IF(AND(COUNTIF(設定!$B$14:$B$20,$F714)&gt;0,$I714&lt;&gt;""),"假日出勤",IF(AND(COUNTIF(設定!$B$5:$B$13,$F714)&gt;0,$I714=""),"未打卡",IF($I714="","",IF($N714&gt;0,"遲到",IF($O714&gt;0,"早退","正常"))))))</f>
        <v/>
      </c>
      <c r="N714" s="32">
        <f>IF(OR($C714="",$G714="",$I714=""),0,IF(ROUND(($I714-$G714)*1440,0)&gt;設定!$C$28,ROUND(($I714-$G714)*1440,0),0))</f>
        <v/>
      </c>
      <c r="O714" s="32">
        <f>IF(OR($C714="",$H714="",$J714=""),0,IF(ROUND(($H714-$J714)*1440,0)&gt;設定!$C$28,ROUND(($H714-$J714)*1440,0),0))</f>
        <v/>
      </c>
      <c r="P714" s="33">
        <f>IF($L714="",0,IF(($L714-IFERROR(INDEX(設定!$G$5:$G$20,MATCH($F714,設定!$B$5:$B$20,0)),0))*60&gt;=設定!$C$26,ROUND(FLOOR(($L714-IFERROR(INDEX(設定!$G$5:$G$20,MATCH($F714,設定!$B$5:$B$20,0)),0))*60,設定!$C$27)/60,2),0))</f>
        <v/>
      </c>
      <c r="Q714" s="29">
        <f>IF(OR($C714="",$P714=0),"",IF($F714="國","國定假日",IF($B714="日","例假",IF($B714="六","休息日","平日"))))</f>
        <v/>
      </c>
      <c r="R714" s="34" t="n"/>
    </row>
    <row r="715">
      <c r="A715" s="30">
        <f>IF(OR(班表!$A28="",31&gt;DAY(EOMONTH(DATE(班表!$E$2,班表!$G$2,1),0))),"",DATE(班表!$E$2,班表!$G$2,31))</f>
        <v/>
      </c>
      <c r="B715" s="29">
        <f>IF($A715="","",INDEX(設定!$L$5:$L$11,WEEKDAY($A715,1)))</f>
        <v/>
      </c>
      <c r="C715" s="29">
        <f>IF($A715="","",班表!$A28)</f>
        <v/>
      </c>
      <c r="D715" s="29">
        <f>IF($C715="","",班表!$B28)</f>
        <v/>
      </c>
      <c r="E715" s="29">
        <f>IF($C715="","",班表!$C28)</f>
        <v/>
      </c>
      <c r="F715" s="29">
        <f>IF($C715="","",班表!AH28)</f>
        <v/>
      </c>
      <c r="G715" s="31">
        <f>IF($F715="","",IFERROR(INDEX(設定!$D$5:$D$20,MATCH($F715,設定!$B$5:$B$20,0)),""))</f>
        <v/>
      </c>
      <c r="H715" s="31">
        <f>IF($F715="","",IFERROR(INDEX(設定!$E$5:$E$20,MATCH($F715,設定!$B$5:$B$20,0)),""))</f>
        <v/>
      </c>
      <c r="I715" s="31">
        <f>IFERROR(INDEX(打卡匯入!$C$3:$C$1002,MATCH($C715&amp;"|"&amp;DAY($A715),打卡匯入!$E$3:$E$1002,0)),"")</f>
        <v/>
      </c>
      <c r="J715" s="31">
        <f>IFERROR(INDEX(打卡匯入!$D$3:$D$1002,MATCH($C715&amp;"|"&amp;DAY($A715),打卡匯入!$E$3:$E$1002,0)),"")</f>
        <v/>
      </c>
      <c r="K715" s="32">
        <f>IF(OR($I715="",$J715=""),"",IFERROR(INDEX(設定!$F$5:$F$20,MATCH($F715,設定!$B$5:$B$20,0)),0))</f>
        <v/>
      </c>
      <c r="L715" s="33">
        <f>IF(OR($I715="",$J715=""),"",ROUND(($J715-$I715)*24-$K715/60,2))</f>
        <v/>
      </c>
      <c r="M715" s="29">
        <f>IF($C715="","",IF(AND(COUNTIF(設定!$B$14:$B$20,$F715)&gt;0,$I715&lt;&gt;""),"假日出勤",IF(AND(COUNTIF(設定!$B$5:$B$13,$F715)&gt;0,$I715=""),"未打卡",IF($I715="","",IF($N715&gt;0,"遲到",IF($O715&gt;0,"早退","正常"))))))</f>
        <v/>
      </c>
      <c r="N715" s="32">
        <f>IF(OR($C715="",$G715="",$I715=""),0,IF(ROUND(($I715-$G715)*1440,0)&gt;設定!$C$28,ROUND(($I715-$G715)*1440,0),0))</f>
        <v/>
      </c>
      <c r="O715" s="32">
        <f>IF(OR($C715="",$H715="",$J715=""),0,IF(ROUND(($H715-$J715)*1440,0)&gt;設定!$C$28,ROUND(($H715-$J715)*1440,0),0))</f>
        <v/>
      </c>
      <c r="P715" s="33">
        <f>IF($L715="",0,IF(($L715-IFERROR(INDEX(設定!$G$5:$G$20,MATCH($F715,設定!$B$5:$B$20,0)),0))*60&gt;=設定!$C$26,ROUND(FLOOR(($L715-IFERROR(INDEX(設定!$G$5:$G$20,MATCH($F715,設定!$B$5:$B$20,0)),0))*60,設定!$C$27)/60,2),0))</f>
        <v/>
      </c>
      <c r="Q715" s="29">
        <f>IF(OR($C715="",$P715=0),"",IF($F715="國","國定假日",IF($B715="日","例假",IF($B715="六","休息日","平日"))))</f>
        <v/>
      </c>
      <c r="R715" s="34" t="n"/>
    </row>
    <row r="716">
      <c r="A716" s="30">
        <f>IF(OR(班表!$A29="",1&gt;DAY(EOMONTH(DATE(班表!$E$2,班表!$G$2,1),0))),"",DATE(班表!$E$2,班表!$G$2,1))</f>
        <v/>
      </c>
      <c r="B716" s="29">
        <f>IF($A716="","",INDEX(設定!$L$5:$L$11,WEEKDAY($A716,1)))</f>
        <v/>
      </c>
      <c r="C716" s="29">
        <f>IF($A716="","",班表!$A29)</f>
        <v/>
      </c>
      <c r="D716" s="29">
        <f>IF($C716="","",班表!$B29)</f>
        <v/>
      </c>
      <c r="E716" s="29">
        <f>IF($C716="","",班表!$C29)</f>
        <v/>
      </c>
      <c r="F716" s="29">
        <f>IF($C716="","",班表!D29)</f>
        <v/>
      </c>
      <c r="G716" s="31">
        <f>IF($F716="","",IFERROR(INDEX(設定!$D$5:$D$20,MATCH($F716,設定!$B$5:$B$20,0)),""))</f>
        <v/>
      </c>
      <c r="H716" s="31">
        <f>IF($F716="","",IFERROR(INDEX(設定!$E$5:$E$20,MATCH($F716,設定!$B$5:$B$20,0)),""))</f>
        <v/>
      </c>
      <c r="I716" s="31">
        <f>IFERROR(INDEX(打卡匯入!$C$3:$C$1002,MATCH($C716&amp;"|"&amp;DAY($A716),打卡匯入!$E$3:$E$1002,0)),"")</f>
        <v/>
      </c>
      <c r="J716" s="31">
        <f>IFERROR(INDEX(打卡匯入!$D$3:$D$1002,MATCH($C716&amp;"|"&amp;DAY($A716),打卡匯入!$E$3:$E$1002,0)),"")</f>
        <v/>
      </c>
      <c r="K716" s="32">
        <f>IF(OR($I716="",$J716=""),"",IFERROR(INDEX(設定!$F$5:$F$20,MATCH($F716,設定!$B$5:$B$20,0)),0))</f>
        <v/>
      </c>
      <c r="L716" s="33">
        <f>IF(OR($I716="",$J716=""),"",ROUND(($J716-$I716)*24-$K716/60,2))</f>
        <v/>
      </c>
      <c r="M716" s="29">
        <f>IF($C716="","",IF(AND(COUNTIF(設定!$B$14:$B$20,$F716)&gt;0,$I716&lt;&gt;""),"假日出勤",IF(AND(COUNTIF(設定!$B$5:$B$13,$F716)&gt;0,$I716=""),"未打卡",IF($I716="","",IF($N716&gt;0,"遲到",IF($O716&gt;0,"早退","正常"))))))</f>
        <v/>
      </c>
      <c r="N716" s="32">
        <f>IF(OR($C716="",$G716="",$I716=""),0,IF(ROUND(($I716-$G716)*1440,0)&gt;設定!$C$28,ROUND(($I716-$G716)*1440,0),0))</f>
        <v/>
      </c>
      <c r="O716" s="32">
        <f>IF(OR($C716="",$H716="",$J716=""),0,IF(ROUND(($H716-$J716)*1440,0)&gt;設定!$C$28,ROUND(($H716-$J716)*1440,0),0))</f>
        <v/>
      </c>
      <c r="P716" s="33">
        <f>IF($L716="",0,IF(($L716-IFERROR(INDEX(設定!$G$5:$G$20,MATCH($F716,設定!$B$5:$B$20,0)),0))*60&gt;=設定!$C$26,ROUND(FLOOR(($L716-IFERROR(INDEX(設定!$G$5:$G$20,MATCH($F716,設定!$B$5:$B$20,0)),0))*60,設定!$C$27)/60,2),0))</f>
        <v/>
      </c>
      <c r="Q716" s="29">
        <f>IF(OR($C716="",$P716=0),"",IF($F716="國","國定假日",IF($B716="日","例假",IF($B716="六","休息日","平日"))))</f>
        <v/>
      </c>
      <c r="R716" s="34" t="n"/>
    </row>
    <row r="717">
      <c r="A717" s="30">
        <f>IF(OR(班表!$A29="",2&gt;DAY(EOMONTH(DATE(班表!$E$2,班表!$G$2,1),0))),"",DATE(班表!$E$2,班表!$G$2,2))</f>
        <v/>
      </c>
      <c r="B717" s="29">
        <f>IF($A717="","",INDEX(設定!$L$5:$L$11,WEEKDAY($A717,1)))</f>
        <v/>
      </c>
      <c r="C717" s="29">
        <f>IF($A717="","",班表!$A29)</f>
        <v/>
      </c>
      <c r="D717" s="29">
        <f>IF($C717="","",班表!$B29)</f>
        <v/>
      </c>
      <c r="E717" s="29">
        <f>IF($C717="","",班表!$C29)</f>
        <v/>
      </c>
      <c r="F717" s="29">
        <f>IF($C717="","",班表!E29)</f>
        <v/>
      </c>
      <c r="G717" s="31">
        <f>IF($F717="","",IFERROR(INDEX(設定!$D$5:$D$20,MATCH($F717,設定!$B$5:$B$20,0)),""))</f>
        <v/>
      </c>
      <c r="H717" s="31">
        <f>IF($F717="","",IFERROR(INDEX(設定!$E$5:$E$20,MATCH($F717,設定!$B$5:$B$20,0)),""))</f>
        <v/>
      </c>
      <c r="I717" s="31">
        <f>IFERROR(INDEX(打卡匯入!$C$3:$C$1002,MATCH($C717&amp;"|"&amp;DAY($A717),打卡匯入!$E$3:$E$1002,0)),"")</f>
        <v/>
      </c>
      <c r="J717" s="31">
        <f>IFERROR(INDEX(打卡匯入!$D$3:$D$1002,MATCH($C717&amp;"|"&amp;DAY($A717),打卡匯入!$E$3:$E$1002,0)),"")</f>
        <v/>
      </c>
      <c r="K717" s="32">
        <f>IF(OR($I717="",$J717=""),"",IFERROR(INDEX(設定!$F$5:$F$20,MATCH($F717,設定!$B$5:$B$20,0)),0))</f>
        <v/>
      </c>
      <c r="L717" s="33">
        <f>IF(OR($I717="",$J717=""),"",ROUND(($J717-$I717)*24-$K717/60,2))</f>
        <v/>
      </c>
      <c r="M717" s="29">
        <f>IF($C717="","",IF(AND(COUNTIF(設定!$B$14:$B$20,$F717)&gt;0,$I717&lt;&gt;""),"假日出勤",IF(AND(COUNTIF(設定!$B$5:$B$13,$F717)&gt;0,$I717=""),"未打卡",IF($I717="","",IF($N717&gt;0,"遲到",IF($O717&gt;0,"早退","正常"))))))</f>
        <v/>
      </c>
      <c r="N717" s="32">
        <f>IF(OR($C717="",$G717="",$I717=""),0,IF(ROUND(($I717-$G717)*1440,0)&gt;設定!$C$28,ROUND(($I717-$G717)*1440,0),0))</f>
        <v/>
      </c>
      <c r="O717" s="32">
        <f>IF(OR($C717="",$H717="",$J717=""),0,IF(ROUND(($H717-$J717)*1440,0)&gt;設定!$C$28,ROUND(($H717-$J717)*1440,0),0))</f>
        <v/>
      </c>
      <c r="P717" s="33">
        <f>IF($L717="",0,IF(($L717-IFERROR(INDEX(設定!$G$5:$G$20,MATCH($F717,設定!$B$5:$B$20,0)),0))*60&gt;=設定!$C$26,ROUND(FLOOR(($L717-IFERROR(INDEX(設定!$G$5:$G$20,MATCH($F717,設定!$B$5:$B$20,0)),0))*60,設定!$C$27)/60,2),0))</f>
        <v/>
      </c>
      <c r="Q717" s="29">
        <f>IF(OR($C717="",$P717=0),"",IF($F717="國","國定假日",IF($B717="日","例假",IF($B717="六","休息日","平日"))))</f>
        <v/>
      </c>
      <c r="R717" s="34" t="n"/>
    </row>
    <row r="718">
      <c r="A718" s="30">
        <f>IF(OR(班表!$A29="",3&gt;DAY(EOMONTH(DATE(班表!$E$2,班表!$G$2,1),0))),"",DATE(班表!$E$2,班表!$G$2,3))</f>
        <v/>
      </c>
      <c r="B718" s="29">
        <f>IF($A718="","",INDEX(設定!$L$5:$L$11,WEEKDAY($A718,1)))</f>
        <v/>
      </c>
      <c r="C718" s="29">
        <f>IF($A718="","",班表!$A29)</f>
        <v/>
      </c>
      <c r="D718" s="29">
        <f>IF($C718="","",班表!$B29)</f>
        <v/>
      </c>
      <c r="E718" s="29">
        <f>IF($C718="","",班表!$C29)</f>
        <v/>
      </c>
      <c r="F718" s="29">
        <f>IF($C718="","",班表!F29)</f>
        <v/>
      </c>
      <c r="G718" s="31">
        <f>IF($F718="","",IFERROR(INDEX(設定!$D$5:$D$20,MATCH($F718,設定!$B$5:$B$20,0)),""))</f>
        <v/>
      </c>
      <c r="H718" s="31">
        <f>IF($F718="","",IFERROR(INDEX(設定!$E$5:$E$20,MATCH($F718,設定!$B$5:$B$20,0)),""))</f>
        <v/>
      </c>
      <c r="I718" s="31">
        <f>IFERROR(INDEX(打卡匯入!$C$3:$C$1002,MATCH($C718&amp;"|"&amp;DAY($A718),打卡匯入!$E$3:$E$1002,0)),"")</f>
        <v/>
      </c>
      <c r="J718" s="31">
        <f>IFERROR(INDEX(打卡匯入!$D$3:$D$1002,MATCH($C718&amp;"|"&amp;DAY($A718),打卡匯入!$E$3:$E$1002,0)),"")</f>
        <v/>
      </c>
      <c r="K718" s="32">
        <f>IF(OR($I718="",$J718=""),"",IFERROR(INDEX(設定!$F$5:$F$20,MATCH($F718,設定!$B$5:$B$20,0)),0))</f>
        <v/>
      </c>
      <c r="L718" s="33">
        <f>IF(OR($I718="",$J718=""),"",ROUND(($J718-$I718)*24-$K718/60,2))</f>
        <v/>
      </c>
      <c r="M718" s="29">
        <f>IF($C718="","",IF(AND(COUNTIF(設定!$B$14:$B$20,$F718)&gt;0,$I718&lt;&gt;""),"假日出勤",IF(AND(COUNTIF(設定!$B$5:$B$13,$F718)&gt;0,$I718=""),"未打卡",IF($I718="","",IF($N718&gt;0,"遲到",IF($O718&gt;0,"早退","正常"))))))</f>
        <v/>
      </c>
      <c r="N718" s="32">
        <f>IF(OR($C718="",$G718="",$I718=""),0,IF(ROUND(($I718-$G718)*1440,0)&gt;設定!$C$28,ROUND(($I718-$G718)*1440,0),0))</f>
        <v/>
      </c>
      <c r="O718" s="32">
        <f>IF(OR($C718="",$H718="",$J718=""),0,IF(ROUND(($H718-$J718)*1440,0)&gt;設定!$C$28,ROUND(($H718-$J718)*1440,0),0))</f>
        <v/>
      </c>
      <c r="P718" s="33">
        <f>IF($L718="",0,IF(($L718-IFERROR(INDEX(設定!$G$5:$G$20,MATCH($F718,設定!$B$5:$B$20,0)),0))*60&gt;=設定!$C$26,ROUND(FLOOR(($L718-IFERROR(INDEX(設定!$G$5:$G$20,MATCH($F718,設定!$B$5:$B$20,0)),0))*60,設定!$C$27)/60,2),0))</f>
        <v/>
      </c>
      <c r="Q718" s="29">
        <f>IF(OR($C718="",$P718=0),"",IF($F718="國","國定假日",IF($B718="日","例假",IF($B718="六","休息日","平日"))))</f>
        <v/>
      </c>
      <c r="R718" s="34" t="n"/>
    </row>
    <row r="719">
      <c r="A719" s="30">
        <f>IF(OR(班表!$A29="",4&gt;DAY(EOMONTH(DATE(班表!$E$2,班表!$G$2,1),0))),"",DATE(班表!$E$2,班表!$G$2,4))</f>
        <v/>
      </c>
      <c r="B719" s="29">
        <f>IF($A719="","",INDEX(設定!$L$5:$L$11,WEEKDAY($A719,1)))</f>
        <v/>
      </c>
      <c r="C719" s="29">
        <f>IF($A719="","",班表!$A29)</f>
        <v/>
      </c>
      <c r="D719" s="29">
        <f>IF($C719="","",班表!$B29)</f>
        <v/>
      </c>
      <c r="E719" s="29">
        <f>IF($C719="","",班表!$C29)</f>
        <v/>
      </c>
      <c r="F719" s="29">
        <f>IF($C719="","",班表!G29)</f>
        <v/>
      </c>
      <c r="G719" s="31">
        <f>IF($F719="","",IFERROR(INDEX(設定!$D$5:$D$20,MATCH($F719,設定!$B$5:$B$20,0)),""))</f>
        <v/>
      </c>
      <c r="H719" s="31">
        <f>IF($F719="","",IFERROR(INDEX(設定!$E$5:$E$20,MATCH($F719,設定!$B$5:$B$20,0)),""))</f>
        <v/>
      </c>
      <c r="I719" s="31">
        <f>IFERROR(INDEX(打卡匯入!$C$3:$C$1002,MATCH($C719&amp;"|"&amp;DAY($A719),打卡匯入!$E$3:$E$1002,0)),"")</f>
        <v/>
      </c>
      <c r="J719" s="31">
        <f>IFERROR(INDEX(打卡匯入!$D$3:$D$1002,MATCH($C719&amp;"|"&amp;DAY($A719),打卡匯入!$E$3:$E$1002,0)),"")</f>
        <v/>
      </c>
      <c r="K719" s="32">
        <f>IF(OR($I719="",$J719=""),"",IFERROR(INDEX(設定!$F$5:$F$20,MATCH($F719,設定!$B$5:$B$20,0)),0))</f>
        <v/>
      </c>
      <c r="L719" s="33">
        <f>IF(OR($I719="",$J719=""),"",ROUND(($J719-$I719)*24-$K719/60,2))</f>
        <v/>
      </c>
      <c r="M719" s="29">
        <f>IF($C719="","",IF(AND(COUNTIF(設定!$B$14:$B$20,$F719)&gt;0,$I719&lt;&gt;""),"假日出勤",IF(AND(COUNTIF(設定!$B$5:$B$13,$F719)&gt;0,$I719=""),"未打卡",IF($I719="","",IF($N719&gt;0,"遲到",IF($O719&gt;0,"早退","正常"))))))</f>
        <v/>
      </c>
      <c r="N719" s="32">
        <f>IF(OR($C719="",$G719="",$I719=""),0,IF(ROUND(($I719-$G719)*1440,0)&gt;設定!$C$28,ROUND(($I719-$G719)*1440,0),0))</f>
        <v/>
      </c>
      <c r="O719" s="32">
        <f>IF(OR($C719="",$H719="",$J719=""),0,IF(ROUND(($H719-$J719)*1440,0)&gt;設定!$C$28,ROUND(($H719-$J719)*1440,0),0))</f>
        <v/>
      </c>
      <c r="P719" s="33">
        <f>IF($L719="",0,IF(($L719-IFERROR(INDEX(設定!$G$5:$G$20,MATCH($F719,設定!$B$5:$B$20,0)),0))*60&gt;=設定!$C$26,ROUND(FLOOR(($L719-IFERROR(INDEX(設定!$G$5:$G$20,MATCH($F719,設定!$B$5:$B$20,0)),0))*60,設定!$C$27)/60,2),0))</f>
        <v/>
      </c>
      <c r="Q719" s="29">
        <f>IF(OR($C719="",$P719=0),"",IF($F719="國","國定假日",IF($B719="日","例假",IF($B719="六","休息日","平日"))))</f>
        <v/>
      </c>
      <c r="R719" s="34" t="n"/>
    </row>
    <row r="720">
      <c r="A720" s="30">
        <f>IF(OR(班表!$A29="",5&gt;DAY(EOMONTH(DATE(班表!$E$2,班表!$G$2,1),0))),"",DATE(班表!$E$2,班表!$G$2,5))</f>
        <v/>
      </c>
      <c r="B720" s="29">
        <f>IF($A720="","",INDEX(設定!$L$5:$L$11,WEEKDAY($A720,1)))</f>
        <v/>
      </c>
      <c r="C720" s="29">
        <f>IF($A720="","",班表!$A29)</f>
        <v/>
      </c>
      <c r="D720" s="29">
        <f>IF($C720="","",班表!$B29)</f>
        <v/>
      </c>
      <c r="E720" s="29">
        <f>IF($C720="","",班表!$C29)</f>
        <v/>
      </c>
      <c r="F720" s="29">
        <f>IF($C720="","",班表!H29)</f>
        <v/>
      </c>
      <c r="G720" s="31">
        <f>IF($F720="","",IFERROR(INDEX(設定!$D$5:$D$20,MATCH($F720,設定!$B$5:$B$20,0)),""))</f>
        <v/>
      </c>
      <c r="H720" s="31">
        <f>IF($F720="","",IFERROR(INDEX(設定!$E$5:$E$20,MATCH($F720,設定!$B$5:$B$20,0)),""))</f>
        <v/>
      </c>
      <c r="I720" s="31">
        <f>IFERROR(INDEX(打卡匯入!$C$3:$C$1002,MATCH($C720&amp;"|"&amp;DAY($A720),打卡匯入!$E$3:$E$1002,0)),"")</f>
        <v/>
      </c>
      <c r="J720" s="31">
        <f>IFERROR(INDEX(打卡匯入!$D$3:$D$1002,MATCH($C720&amp;"|"&amp;DAY($A720),打卡匯入!$E$3:$E$1002,0)),"")</f>
        <v/>
      </c>
      <c r="K720" s="32">
        <f>IF(OR($I720="",$J720=""),"",IFERROR(INDEX(設定!$F$5:$F$20,MATCH($F720,設定!$B$5:$B$20,0)),0))</f>
        <v/>
      </c>
      <c r="L720" s="33">
        <f>IF(OR($I720="",$J720=""),"",ROUND(($J720-$I720)*24-$K720/60,2))</f>
        <v/>
      </c>
      <c r="M720" s="29">
        <f>IF($C720="","",IF(AND(COUNTIF(設定!$B$14:$B$20,$F720)&gt;0,$I720&lt;&gt;""),"假日出勤",IF(AND(COUNTIF(設定!$B$5:$B$13,$F720)&gt;0,$I720=""),"未打卡",IF($I720="","",IF($N720&gt;0,"遲到",IF($O720&gt;0,"早退","正常"))))))</f>
        <v/>
      </c>
      <c r="N720" s="32">
        <f>IF(OR($C720="",$G720="",$I720=""),0,IF(ROUND(($I720-$G720)*1440,0)&gt;設定!$C$28,ROUND(($I720-$G720)*1440,0),0))</f>
        <v/>
      </c>
      <c r="O720" s="32">
        <f>IF(OR($C720="",$H720="",$J720=""),0,IF(ROUND(($H720-$J720)*1440,0)&gt;設定!$C$28,ROUND(($H720-$J720)*1440,0),0))</f>
        <v/>
      </c>
      <c r="P720" s="33">
        <f>IF($L720="",0,IF(($L720-IFERROR(INDEX(設定!$G$5:$G$20,MATCH($F720,設定!$B$5:$B$20,0)),0))*60&gt;=設定!$C$26,ROUND(FLOOR(($L720-IFERROR(INDEX(設定!$G$5:$G$20,MATCH($F720,設定!$B$5:$B$20,0)),0))*60,設定!$C$27)/60,2),0))</f>
        <v/>
      </c>
      <c r="Q720" s="29">
        <f>IF(OR($C720="",$P720=0),"",IF($F720="國","國定假日",IF($B720="日","例假",IF($B720="六","休息日","平日"))))</f>
        <v/>
      </c>
      <c r="R720" s="34" t="n"/>
    </row>
    <row r="721">
      <c r="A721" s="30">
        <f>IF(OR(班表!$A29="",6&gt;DAY(EOMONTH(DATE(班表!$E$2,班表!$G$2,1),0))),"",DATE(班表!$E$2,班表!$G$2,6))</f>
        <v/>
      </c>
      <c r="B721" s="29">
        <f>IF($A721="","",INDEX(設定!$L$5:$L$11,WEEKDAY($A721,1)))</f>
        <v/>
      </c>
      <c r="C721" s="29">
        <f>IF($A721="","",班表!$A29)</f>
        <v/>
      </c>
      <c r="D721" s="29">
        <f>IF($C721="","",班表!$B29)</f>
        <v/>
      </c>
      <c r="E721" s="29">
        <f>IF($C721="","",班表!$C29)</f>
        <v/>
      </c>
      <c r="F721" s="29">
        <f>IF($C721="","",班表!I29)</f>
        <v/>
      </c>
      <c r="G721" s="31">
        <f>IF($F721="","",IFERROR(INDEX(設定!$D$5:$D$20,MATCH($F721,設定!$B$5:$B$20,0)),""))</f>
        <v/>
      </c>
      <c r="H721" s="31">
        <f>IF($F721="","",IFERROR(INDEX(設定!$E$5:$E$20,MATCH($F721,設定!$B$5:$B$20,0)),""))</f>
        <v/>
      </c>
      <c r="I721" s="31">
        <f>IFERROR(INDEX(打卡匯入!$C$3:$C$1002,MATCH($C721&amp;"|"&amp;DAY($A721),打卡匯入!$E$3:$E$1002,0)),"")</f>
        <v/>
      </c>
      <c r="J721" s="31">
        <f>IFERROR(INDEX(打卡匯入!$D$3:$D$1002,MATCH($C721&amp;"|"&amp;DAY($A721),打卡匯入!$E$3:$E$1002,0)),"")</f>
        <v/>
      </c>
      <c r="K721" s="32">
        <f>IF(OR($I721="",$J721=""),"",IFERROR(INDEX(設定!$F$5:$F$20,MATCH($F721,設定!$B$5:$B$20,0)),0))</f>
        <v/>
      </c>
      <c r="L721" s="33">
        <f>IF(OR($I721="",$J721=""),"",ROUND(($J721-$I721)*24-$K721/60,2))</f>
        <v/>
      </c>
      <c r="M721" s="29">
        <f>IF($C721="","",IF(AND(COUNTIF(設定!$B$14:$B$20,$F721)&gt;0,$I721&lt;&gt;""),"假日出勤",IF(AND(COUNTIF(設定!$B$5:$B$13,$F721)&gt;0,$I721=""),"未打卡",IF($I721="","",IF($N721&gt;0,"遲到",IF($O721&gt;0,"早退","正常"))))))</f>
        <v/>
      </c>
      <c r="N721" s="32">
        <f>IF(OR($C721="",$G721="",$I721=""),0,IF(ROUND(($I721-$G721)*1440,0)&gt;設定!$C$28,ROUND(($I721-$G721)*1440,0),0))</f>
        <v/>
      </c>
      <c r="O721" s="32">
        <f>IF(OR($C721="",$H721="",$J721=""),0,IF(ROUND(($H721-$J721)*1440,0)&gt;設定!$C$28,ROUND(($H721-$J721)*1440,0),0))</f>
        <v/>
      </c>
      <c r="P721" s="33">
        <f>IF($L721="",0,IF(($L721-IFERROR(INDEX(設定!$G$5:$G$20,MATCH($F721,設定!$B$5:$B$20,0)),0))*60&gt;=設定!$C$26,ROUND(FLOOR(($L721-IFERROR(INDEX(設定!$G$5:$G$20,MATCH($F721,設定!$B$5:$B$20,0)),0))*60,設定!$C$27)/60,2),0))</f>
        <v/>
      </c>
      <c r="Q721" s="29">
        <f>IF(OR($C721="",$P721=0),"",IF($F721="國","國定假日",IF($B721="日","例假",IF($B721="六","休息日","平日"))))</f>
        <v/>
      </c>
      <c r="R721" s="34" t="n"/>
    </row>
    <row r="722">
      <c r="A722" s="30">
        <f>IF(OR(班表!$A29="",7&gt;DAY(EOMONTH(DATE(班表!$E$2,班表!$G$2,1),0))),"",DATE(班表!$E$2,班表!$G$2,7))</f>
        <v/>
      </c>
      <c r="B722" s="29">
        <f>IF($A722="","",INDEX(設定!$L$5:$L$11,WEEKDAY($A722,1)))</f>
        <v/>
      </c>
      <c r="C722" s="29">
        <f>IF($A722="","",班表!$A29)</f>
        <v/>
      </c>
      <c r="D722" s="29">
        <f>IF($C722="","",班表!$B29)</f>
        <v/>
      </c>
      <c r="E722" s="29">
        <f>IF($C722="","",班表!$C29)</f>
        <v/>
      </c>
      <c r="F722" s="29">
        <f>IF($C722="","",班表!J29)</f>
        <v/>
      </c>
      <c r="G722" s="31">
        <f>IF($F722="","",IFERROR(INDEX(設定!$D$5:$D$20,MATCH($F722,設定!$B$5:$B$20,0)),""))</f>
        <v/>
      </c>
      <c r="H722" s="31">
        <f>IF($F722="","",IFERROR(INDEX(設定!$E$5:$E$20,MATCH($F722,設定!$B$5:$B$20,0)),""))</f>
        <v/>
      </c>
      <c r="I722" s="31">
        <f>IFERROR(INDEX(打卡匯入!$C$3:$C$1002,MATCH($C722&amp;"|"&amp;DAY($A722),打卡匯入!$E$3:$E$1002,0)),"")</f>
        <v/>
      </c>
      <c r="J722" s="31">
        <f>IFERROR(INDEX(打卡匯入!$D$3:$D$1002,MATCH($C722&amp;"|"&amp;DAY($A722),打卡匯入!$E$3:$E$1002,0)),"")</f>
        <v/>
      </c>
      <c r="K722" s="32">
        <f>IF(OR($I722="",$J722=""),"",IFERROR(INDEX(設定!$F$5:$F$20,MATCH($F722,設定!$B$5:$B$20,0)),0))</f>
        <v/>
      </c>
      <c r="L722" s="33">
        <f>IF(OR($I722="",$J722=""),"",ROUND(($J722-$I722)*24-$K722/60,2))</f>
        <v/>
      </c>
      <c r="M722" s="29">
        <f>IF($C722="","",IF(AND(COUNTIF(設定!$B$14:$B$20,$F722)&gt;0,$I722&lt;&gt;""),"假日出勤",IF(AND(COUNTIF(設定!$B$5:$B$13,$F722)&gt;0,$I722=""),"未打卡",IF($I722="","",IF($N722&gt;0,"遲到",IF($O722&gt;0,"早退","正常"))))))</f>
        <v/>
      </c>
      <c r="N722" s="32">
        <f>IF(OR($C722="",$G722="",$I722=""),0,IF(ROUND(($I722-$G722)*1440,0)&gt;設定!$C$28,ROUND(($I722-$G722)*1440,0),0))</f>
        <v/>
      </c>
      <c r="O722" s="32">
        <f>IF(OR($C722="",$H722="",$J722=""),0,IF(ROUND(($H722-$J722)*1440,0)&gt;設定!$C$28,ROUND(($H722-$J722)*1440,0),0))</f>
        <v/>
      </c>
      <c r="P722" s="33">
        <f>IF($L722="",0,IF(($L722-IFERROR(INDEX(設定!$G$5:$G$20,MATCH($F722,設定!$B$5:$B$20,0)),0))*60&gt;=設定!$C$26,ROUND(FLOOR(($L722-IFERROR(INDEX(設定!$G$5:$G$20,MATCH($F722,設定!$B$5:$B$20,0)),0))*60,設定!$C$27)/60,2),0))</f>
        <v/>
      </c>
      <c r="Q722" s="29">
        <f>IF(OR($C722="",$P722=0),"",IF($F722="國","國定假日",IF($B722="日","例假",IF($B722="六","休息日","平日"))))</f>
        <v/>
      </c>
      <c r="R722" s="34" t="n"/>
    </row>
    <row r="723">
      <c r="A723" s="30">
        <f>IF(OR(班表!$A29="",8&gt;DAY(EOMONTH(DATE(班表!$E$2,班表!$G$2,1),0))),"",DATE(班表!$E$2,班表!$G$2,8))</f>
        <v/>
      </c>
      <c r="B723" s="29">
        <f>IF($A723="","",INDEX(設定!$L$5:$L$11,WEEKDAY($A723,1)))</f>
        <v/>
      </c>
      <c r="C723" s="29">
        <f>IF($A723="","",班表!$A29)</f>
        <v/>
      </c>
      <c r="D723" s="29">
        <f>IF($C723="","",班表!$B29)</f>
        <v/>
      </c>
      <c r="E723" s="29">
        <f>IF($C723="","",班表!$C29)</f>
        <v/>
      </c>
      <c r="F723" s="29">
        <f>IF($C723="","",班表!K29)</f>
        <v/>
      </c>
      <c r="G723" s="31">
        <f>IF($F723="","",IFERROR(INDEX(設定!$D$5:$D$20,MATCH($F723,設定!$B$5:$B$20,0)),""))</f>
        <v/>
      </c>
      <c r="H723" s="31">
        <f>IF($F723="","",IFERROR(INDEX(設定!$E$5:$E$20,MATCH($F723,設定!$B$5:$B$20,0)),""))</f>
        <v/>
      </c>
      <c r="I723" s="31">
        <f>IFERROR(INDEX(打卡匯入!$C$3:$C$1002,MATCH($C723&amp;"|"&amp;DAY($A723),打卡匯入!$E$3:$E$1002,0)),"")</f>
        <v/>
      </c>
      <c r="J723" s="31">
        <f>IFERROR(INDEX(打卡匯入!$D$3:$D$1002,MATCH($C723&amp;"|"&amp;DAY($A723),打卡匯入!$E$3:$E$1002,0)),"")</f>
        <v/>
      </c>
      <c r="K723" s="32">
        <f>IF(OR($I723="",$J723=""),"",IFERROR(INDEX(設定!$F$5:$F$20,MATCH($F723,設定!$B$5:$B$20,0)),0))</f>
        <v/>
      </c>
      <c r="L723" s="33">
        <f>IF(OR($I723="",$J723=""),"",ROUND(($J723-$I723)*24-$K723/60,2))</f>
        <v/>
      </c>
      <c r="M723" s="29">
        <f>IF($C723="","",IF(AND(COUNTIF(設定!$B$14:$B$20,$F723)&gt;0,$I723&lt;&gt;""),"假日出勤",IF(AND(COUNTIF(設定!$B$5:$B$13,$F723)&gt;0,$I723=""),"未打卡",IF($I723="","",IF($N723&gt;0,"遲到",IF($O723&gt;0,"早退","正常"))))))</f>
        <v/>
      </c>
      <c r="N723" s="32">
        <f>IF(OR($C723="",$G723="",$I723=""),0,IF(ROUND(($I723-$G723)*1440,0)&gt;設定!$C$28,ROUND(($I723-$G723)*1440,0),0))</f>
        <v/>
      </c>
      <c r="O723" s="32">
        <f>IF(OR($C723="",$H723="",$J723=""),0,IF(ROUND(($H723-$J723)*1440,0)&gt;設定!$C$28,ROUND(($H723-$J723)*1440,0),0))</f>
        <v/>
      </c>
      <c r="P723" s="33">
        <f>IF($L723="",0,IF(($L723-IFERROR(INDEX(設定!$G$5:$G$20,MATCH($F723,設定!$B$5:$B$20,0)),0))*60&gt;=設定!$C$26,ROUND(FLOOR(($L723-IFERROR(INDEX(設定!$G$5:$G$20,MATCH($F723,設定!$B$5:$B$20,0)),0))*60,設定!$C$27)/60,2),0))</f>
        <v/>
      </c>
      <c r="Q723" s="29">
        <f>IF(OR($C723="",$P723=0),"",IF($F723="國","國定假日",IF($B723="日","例假",IF($B723="六","休息日","平日"))))</f>
        <v/>
      </c>
      <c r="R723" s="34" t="n"/>
    </row>
    <row r="724">
      <c r="A724" s="30">
        <f>IF(OR(班表!$A29="",9&gt;DAY(EOMONTH(DATE(班表!$E$2,班表!$G$2,1),0))),"",DATE(班表!$E$2,班表!$G$2,9))</f>
        <v/>
      </c>
      <c r="B724" s="29">
        <f>IF($A724="","",INDEX(設定!$L$5:$L$11,WEEKDAY($A724,1)))</f>
        <v/>
      </c>
      <c r="C724" s="29">
        <f>IF($A724="","",班表!$A29)</f>
        <v/>
      </c>
      <c r="D724" s="29">
        <f>IF($C724="","",班表!$B29)</f>
        <v/>
      </c>
      <c r="E724" s="29">
        <f>IF($C724="","",班表!$C29)</f>
        <v/>
      </c>
      <c r="F724" s="29">
        <f>IF($C724="","",班表!L29)</f>
        <v/>
      </c>
      <c r="G724" s="31">
        <f>IF($F724="","",IFERROR(INDEX(設定!$D$5:$D$20,MATCH($F724,設定!$B$5:$B$20,0)),""))</f>
        <v/>
      </c>
      <c r="H724" s="31">
        <f>IF($F724="","",IFERROR(INDEX(設定!$E$5:$E$20,MATCH($F724,設定!$B$5:$B$20,0)),""))</f>
        <v/>
      </c>
      <c r="I724" s="31">
        <f>IFERROR(INDEX(打卡匯入!$C$3:$C$1002,MATCH($C724&amp;"|"&amp;DAY($A724),打卡匯入!$E$3:$E$1002,0)),"")</f>
        <v/>
      </c>
      <c r="J724" s="31">
        <f>IFERROR(INDEX(打卡匯入!$D$3:$D$1002,MATCH($C724&amp;"|"&amp;DAY($A724),打卡匯入!$E$3:$E$1002,0)),"")</f>
        <v/>
      </c>
      <c r="K724" s="32">
        <f>IF(OR($I724="",$J724=""),"",IFERROR(INDEX(設定!$F$5:$F$20,MATCH($F724,設定!$B$5:$B$20,0)),0))</f>
        <v/>
      </c>
      <c r="L724" s="33">
        <f>IF(OR($I724="",$J724=""),"",ROUND(($J724-$I724)*24-$K724/60,2))</f>
        <v/>
      </c>
      <c r="M724" s="29">
        <f>IF($C724="","",IF(AND(COUNTIF(設定!$B$14:$B$20,$F724)&gt;0,$I724&lt;&gt;""),"假日出勤",IF(AND(COUNTIF(設定!$B$5:$B$13,$F724)&gt;0,$I724=""),"未打卡",IF($I724="","",IF($N724&gt;0,"遲到",IF($O724&gt;0,"早退","正常"))))))</f>
        <v/>
      </c>
      <c r="N724" s="32">
        <f>IF(OR($C724="",$G724="",$I724=""),0,IF(ROUND(($I724-$G724)*1440,0)&gt;設定!$C$28,ROUND(($I724-$G724)*1440,0),0))</f>
        <v/>
      </c>
      <c r="O724" s="32">
        <f>IF(OR($C724="",$H724="",$J724=""),0,IF(ROUND(($H724-$J724)*1440,0)&gt;設定!$C$28,ROUND(($H724-$J724)*1440,0),0))</f>
        <v/>
      </c>
      <c r="P724" s="33">
        <f>IF($L724="",0,IF(($L724-IFERROR(INDEX(設定!$G$5:$G$20,MATCH($F724,設定!$B$5:$B$20,0)),0))*60&gt;=設定!$C$26,ROUND(FLOOR(($L724-IFERROR(INDEX(設定!$G$5:$G$20,MATCH($F724,設定!$B$5:$B$20,0)),0))*60,設定!$C$27)/60,2),0))</f>
        <v/>
      </c>
      <c r="Q724" s="29">
        <f>IF(OR($C724="",$P724=0),"",IF($F724="國","國定假日",IF($B724="日","例假",IF($B724="六","休息日","平日"))))</f>
        <v/>
      </c>
      <c r="R724" s="34" t="n"/>
    </row>
    <row r="725">
      <c r="A725" s="30">
        <f>IF(OR(班表!$A29="",10&gt;DAY(EOMONTH(DATE(班表!$E$2,班表!$G$2,1),0))),"",DATE(班表!$E$2,班表!$G$2,10))</f>
        <v/>
      </c>
      <c r="B725" s="29">
        <f>IF($A725="","",INDEX(設定!$L$5:$L$11,WEEKDAY($A725,1)))</f>
        <v/>
      </c>
      <c r="C725" s="29">
        <f>IF($A725="","",班表!$A29)</f>
        <v/>
      </c>
      <c r="D725" s="29">
        <f>IF($C725="","",班表!$B29)</f>
        <v/>
      </c>
      <c r="E725" s="29">
        <f>IF($C725="","",班表!$C29)</f>
        <v/>
      </c>
      <c r="F725" s="29">
        <f>IF($C725="","",班表!M29)</f>
        <v/>
      </c>
      <c r="G725" s="31">
        <f>IF($F725="","",IFERROR(INDEX(設定!$D$5:$D$20,MATCH($F725,設定!$B$5:$B$20,0)),""))</f>
        <v/>
      </c>
      <c r="H725" s="31">
        <f>IF($F725="","",IFERROR(INDEX(設定!$E$5:$E$20,MATCH($F725,設定!$B$5:$B$20,0)),""))</f>
        <v/>
      </c>
      <c r="I725" s="31">
        <f>IFERROR(INDEX(打卡匯入!$C$3:$C$1002,MATCH($C725&amp;"|"&amp;DAY($A725),打卡匯入!$E$3:$E$1002,0)),"")</f>
        <v/>
      </c>
      <c r="J725" s="31">
        <f>IFERROR(INDEX(打卡匯入!$D$3:$D$1002,MATCH($C725&amp;"|"&amp;DAY($A725),打卡匯入!$E$3:$E$1002,0)),"")</f>
        <v/>
      </c>
      <c r="K725" s="32">
        <f>IF(OR($I725="",$J725=""),"",IFERROR(INDEX(設定!$F$5:$F$20,MATCH($F725,設定!$B$5:$B$20,0)),0))</f>
        <v/>
      </c>
      <c r="L725" s="33">
        <f>IF(OR($I725="",$J725=""),"",ROUND(($J725-$I725)*24-$K725/60,2))</f>
        <v/>
      </c>
      <c r="M725" s="29">
        <f>IF($C725="","",IF(AND(COUNTIF(設定!$B$14:$B$20,$F725)&gt;0,$I725&lt;&gt;""),"假日出勤",IF(AND(COUNTIF(設定!$B$5:$B$13,$F725)&gt;0,$I725=""),"未打卡",IF($I725="","",IF($N725&gt;0,"遲到",IF($O725&gt;0,"早退","正常"))))))</f>
        <v/>
      </c>
      <c r="N725" s="32">
        <f>IF(OR($C725="",$G725="",$I725=""),0,IF(ROUND(($I725-$G725)*1440,0)&gt;設定!$C$28,ROUND(($I725-$G725)*1440,0),0))</f>
        <v/>
      </c>
      <c r="O725" s="32">
        <f>IF(OR($C725="",$H725="",$J725=""),0,IF(ROUND(($H725-$J725)*1440,0)&gt;設定!$C$28,ROUND(($H725-$J725)*1440,0),0))</f>
        <v/>
      </c>
      <c r="P725" s="33">
        <f>IF($L725="",0,IF(($L725-IFERROR(INDEX(設定!$G$5:$G$20,MATCH($F725,設定!$B$5:$B$20,0)),0))*60&gt;=設定!$C$26,ROUND(FLOOR(($L725-IFERROR(INDEX(設定!$G$5:$G$20,MATCH($F725,設定!$B$5:$B$20,0)),0))*60,設定!$C$27)/60,2),0))</f>
        <v/>
      </c>
      <c r="Q725" s="29">
        <f>IF(OR($C725="",$P725=0),"",IF($F725="國","國定假日",IF($B725="日","例假",IF($B725="六","休息日","平日"))))</f>
        <v/>
      </c>
      <c r="R725" s="34" t="n"/>
    </row>
    <row r="726">
      <c r="A726" s="30">
        <f>IF(OR(班表!$A29="",11&gt;DAY(EOMONTH(DATE(班表!$E$2,班表!$G$2,1),0))),"",DATE(班表!$E$2,班表!$G$2,11))</f>
        <v/>
      </c>
      <c r="B726" s="29">
        <f>IF($A726="","",INDEX(設定!$L$5:$L$11,WEEKDAY($A726,1)))</f>
        <v/>
      </c>
      <c r="C726" s="29">
        <f>IF($A726="","",班表!$A29)</f>
        <v/>
      </c>
      <c r="D726" s="29">
        <f>IF($C726="","",班表!$B29)</f>
        <v/>
      </c>
      <c r="E726" s="29">
        <f>IF($C726="","",班表!$C29)</f>
        <v/>
      </c>
      <c r="F726" s="29">
        <f>IF($C726="","",班表!N29)</f>
        <v/>
      </c>
      <c r="G726" s="31">
        <f>IF($F726="","",IFERROR(INDEX(設定!$D$5:$D$20,MATCH($F726,設定!$B$5:$B$20,0)),""))</f>
        <v/>
      </c>
      <c r="H726" s="31">
        <f>IF($F726="","",IFERROR(INDEX(設定!$E$5:$E$20,MATCH($F726,設定!$B$5:$B$20,0)),""))</f>
        <v/>
      </c>
      <c r="I726" s="31">
        <f>IFERROR(INDEX(打卡匯入!$C$3:$C$1002,MATCH($C726&amp;"|"&amp;DAY($A726),打卡匯入!$E$3:$E$1002,0)),"")</f>
        <v/>
      </c>
      <c r="J726" s="31">
        <f>IFERROR(INDEX(打卡匯入!$D$3:$D$1002,MATCH($C726&amp;"|"&amp;DAY($A726),打卡匯入!$E$3:$E$1002,0)),"")</f>
        <v/>
      </c>
      <c r="K726" s="32">
        <f>IF(OR($I726="",$J726=""),"",IFERROR(INDEX(設定!$F$5:$F$20,MATCH($F726,設定!$B$5:$B$20,0)),0))</f>
        <v/>
      </c>
      <c r="L726" s="33">
        <f>IF(OR($I726="",$J726=""),"",ROUND(($J726-$I726)*24-$K726/60,2))</f>
        <v/>
      </c>
      <c r="M726" s="29">
        <f>IF($C726="","",IF(AND(COUNTIF(設定!$B$14:$B$20,$F726)&gt;0,$I726&lt;&gt;""),"假日出勤",IF(AND(COUNTIF(設定!$B$5:$B$13,$F726)&gt;0,$I726=""),"未打卡",IF($I726="","",IF($N726&gt;0,"遲到",IF($O726&gt;0,"早退","正常"))))))</f>
        <v/>
      </c>
      <c r="N726" s="32">
        <f>IF(OR($C726="",$G726="",$I726=""),0,IF(ROUND(($I726-$G726)*1440,0)&gt;設定!$C$28,ROUND(($I726-$G726)*1440,0),0))</f>
        <v/>
      </c>
      <c r="O726" s="32">
        <f>IF(OR($C726="",$H726="",$J726=""),0,IF(ROUND(($H726-$J726)*1440,0)&gt;設定!$C$28,ROUND(($H726-$J726)*1440,0),0))</f>
        <v/>
      </c>
      <c r="P726" s="33">
        <f>IF($L726="",0,IF(($L726-IFERROR(INDEX(設定!$G$5:$G$20,MATCH($F726,設定!$B$5:$B$20,0)),0))*60&gt;=設定!$C$26,ROUND(FLOOR(($L726-IFERROR(INDEX(設定!$G$5:$G$20,MATCH($F726,設定!$B$5:$B$20,0)),0))*60,設定!$C$27)/60,2),0))</f>
        <v/>
      </c>
      <c r="Q726" s="29">
        <f>IF(OR($C726="",$P726=0),"",IF($F726="國","國定假日",IF($B726="日","例假",IF($B726="六","休息日","平日"))))</f>
        <v/>
      </c>
      <c r="R726" s="34" t="n"/>
    </row>
    <row r="727">
      <c r="A727" s="30">
        <f>IF(OR(班表!$A29="",12&gt;DAY(EOMONTH(DATE(班表!$E$2,班表!$G$2,1),0))),"",DATE(班表!$E$2,班表!$G$2,12))</f>
        <v/>
      </c>
      <c r="B727" s="29">
        <f>IF($A727="","",INDEX(設定!$L$5:$L$11,WEEKDAY($A727,1)))</f>
        <v/>
      </c>
      <c r="C727" s="29">
        <f>IF($A727="","",班表!$A29)</f>
        <v/>
      </c>
      <c r="D727" s="29">
        <f>IF($C727="","",班表!$B29)</f>
        <v/>
      </c>
      <c r="E727" s="29">
        <f>IF($C727="","",班表!$C29)</f>
        <v/>
      </c>
      <c r="F727" s="29">
        <f>IF($C727="","",班表!O29)</f>
        <v/>
      </c>
      <c r="G727" s="31">
        <f>IF($F727="","",IFERROR(INDEX(設定!$D$5:$D$20,MATCH($F727,設定!$B$5:$B$20,0)),""))</f>
        <v/>
      </c>
      <c r="H727" s="31">
        <f>IF($F727="","",IFERROR(INDEX(設定!$E$5:$E$20,MATCH($F727,設定!$B$5:$B$20,0)),""))</f>
        <v/>
      </c>
      <c r="I727" s="31">
        <f>IFERROR(INDEX(打卡匯入!$C$3:$C$1002,MATCH($C727&amp;"|"&amp;DAY($A727),打卡匯入!$E$3:$E$1002,0)),"")</f>
        <v/>
      </c>
      <c r="J727" s="31">
        <f>IFERROR(INDEX(打卡匯入!$D$3:$D$1002,MATCH($C727&amp;"|"&amp;DAY($A727),打卡匯入!$E$3:$E$1002,0)),"")</f>
        <v/>
      </c>
      <c r="K727" s="32">
        <f>IF(OR($I727="",$J727=""),"",IFERROR(INDEX(設定!$F$5:$F$20,MATCH($F727,設定!$B$5:$B$20,0)),0))</f>
        <v/>
      </c>
      <c r="L727" s="33">
        <f>IF(OR($I727="",$J727=""),"",ROUND(($J727-$I727)*24-$K727/60,2))</f>
        <v/>
      </c>
      <c r="M727" s="29">
        <f>IF($C727="","",IF(AND(COUNTIF(設定!$B$14:$B$20,$F727)&gt;0,$I727&lt;&gt;""),"假日出勤",IF(AND(COUNTIF(設定!$B$5:$B$13,$F727)&gt;0,$I727=""),"未打卡",IF($I727="","",IF($N727&gt;0,"遲到",IF($O727&gt;0,"早退","正常"))))))</f>
        <v/>
      </c>
      <c r="N727" s="32">
        <f>IF(OR($C727="",$G727="",$I727=""),0,IF(ROUND(($I727-$G727)*1440,0)&gt;設定!$C$28,ROUND(($I727-$G727)*1440,0),0))</f>
        <v/>
      </c>
      <c r="O727" s="32">
        <f>IF(OR($C727="",$H727="",$J727=""),0,IF(ROUND(($H727-$J727)*1440,0)&gt;設定!$C$28,ROUND(($H727-$J727)*1440,0),0))</f>
        <v/>
      </c>
      <c r="P727" s="33">
        <f>IF($L727="",0,IF(($L727-IFERROR(INDEX(設定!$G$5:$G$20,MATCH($F727,設定!$B$5:$B$20,0)),0))*60&gt;=設定!$C$26,ROUND(FLOOR(($L727-IFERROR(INDEX(設定!$G$5:$G$20,MATCH($F727,設定!$B$5:$B$20,0)),0))*60,設定!$C$27)/60,2),0))</f>
        <v/>
      </c>
      <c r="Q727" s="29">
        <f>IF(OR($C727="",$P727=0),"",IF($F727="國","國定假日",IF($B727="日","例假",IF($B727="六","休息日","平日"))))</f>
        <v/>
      </c>
      <c r="R727" s="34" t="n"/>
    </row>
    <row r="728">
      <c r="A728" s="30">
        <f>IF(OR(班表!$A29="",13&gt;DAY(EOMONTH(DATE(班表!$E$2,班表!$G$2,1),0))),"",DATE(班表!$E$2,班表!$G$2,13))</f>
        <v/>
      </c>
      <c r="B728" s="29">
        <f>IF($A728="","",INDEX(設定!$L$5:$L$11,WEEKDAY($A728,1)))</f>
        <v/>
      </c>
      <c r="C728" s="29">
        <f>IF($A728="","",班表!$A29)</f>
        <v/>
      </c>
      <c r="D728" s="29">
        <f>IF($C728="","",班表!$B29)</f>
        <v/>
      </c>
      <c r="E728" s="29">
        <f>IF($C728="","",班表!$C29)</f>
        <v/>
      </c>
      <c r="F728" s="29">
        <f>IF($C728="","",班表!P29)</f>
        <v/>
      </c>
      <c r="G728" s="31">
        <f>IF($F728="","",IFERROR(INDEX(設定!$D$5:$D$20,MATCH($F728,設定!$B$5:$B$20,0)),""))</f>
        <v/>
      </c>
      <c r="H728" s="31">
        <f>IF($F728="","",IFERROR(INDEX(設定!$E$5:$E$20,MATCH($F728,設定!$B$5:$B$20,0)),""))</f>
        <v/>
      </c>
      <c r="I728" s="31">
        <f>IFERROR(INDEX(打卡匯入!$C$3:$C$1002,MATCH($C728&amp;"|"&amp;DAY($A728),打卡匯入!$E$3:$E$1002,0)),"")</f>
        <v/>
      </c>
      <c r="J728" s="31">
        <f>IFERROR(INDEX(打卡匯入!$D$3:$D$1002,MATCH($C728&amp;"|"&amp;DAY($A728),打卡匯入!$E$3:$E$1002,0)),"")</f>
        <v/>
      </c>
      <c r="K728" s="32">
        <f>IF(OR($I728="",$J728=""),"",IFERROR(INDEX(設定!$F$5:$F$20,MATCH($F728,設定!$B$5:$B$20,0)),0))</f>
        <v/>
      </c>
      <c r="L728" s="33">
        <f>IF(OR($I728="",$J728=""),"",ROUND(($J728-$I728)*24-$K728/60,2))</f>
        <v/>
      </c>
      <c r="M728" s="29">
        <f>IF($C728="","",IF(AND(COUNTIF(設定!$B$14:$B$20,$F728)&gt;0,$I728&lt;&gt;""),"假日出勤",IF(AND(COUNTIF(設定!$B$5:$B$13,$F728)&gt;0,$I728=""),"未打卡",IF($I728="","",IF($N728&gt;0,"遲到",IF($O728&gt;0,"早退","正常"))))))</f>
        <v/>
      </c>
      <c r="N728" s="32">
        <f>IF(OR($C728="",$G728="",$I728=""),0,IF(ROUND(($I728-$G728)*1440,0)&gt;設定!$C$28,ROUND(($I728-$G728)*1440,0),0))</f>
        <v/>
      </c>
      <c r="O728" s="32">
        <f>IF(OR($C728="",$H728="",$J728=""),0,IF(ROUND(($H728-$J728)*1440,0)&gt;設定!$C$28,ROUND(($H728-$J728)*1440,0),0))</f>
        <v/>
      </c>
      <c r="P728" s="33">
        <f>IF($L728="",0,IF(($L728-IFERROR(INDEX(設定!$G$5:$G$20,MATCH($F728,設定!$B$5:$B$20,0)),0))*60&gt;=設定!$C$26,ROUND(FLOOR(($L728-IFERROR(INDEX(設定!$G$5:$G$20,MATCH($F728,設定!$B$5:$B$20,0)),0))*60,設定!$C$27)/60,2),0))</f>
        <v/>
      </c>
      <c r="Q728" s="29">
        <f>IF(OR($C728="",$P728=0),"",IF($F728="國","國定假日",IF($B728="日","例假",IF($B728="六","休息日","平日"))))</f>
        <v/>
      </c>
      <c r="R728" s="34" t="n"/>
    </row>
    <row r="729">
      <c r="A729" s="30">
        <f>IF(OR(班表!$A29="",14&gt;DAY(EOMONTH(DATE(班表!$E$2,班表!$G$2,1),0))),"",DATE(班表!$E$2,班表!$G$2,14))</f>
        <v/>
      </c>
      <c r="B729" s="29">
        <f>IF($A729="","",INDEX(設定!$L$5:$L$11,WEEKDAY($A729,1)))</f>
        <v/>
      </c>
      <c r="C729" s="29">
        <f>IF($A729="","",班表!$A29)</f>
        <v/>
      </c>
      <c r="D729" s="29">
        <f>IF($C729="","",班表!$B29)</f>
        <v/>
      </c>
      <c r="E729" s="29">
        <f>IF($C729="","",班表!$C29)</f>
        <v/>
      </c>
      <c r="F729" s="29">
        <f>IF($C729="","",班表!Q29)</f>
        <v/>
      </c>
      <c r="G729" s="31">
        <f>IF($F729="","",IFERROR(INDEX(設定!$D$5:$D$20,MATCH($F729,設定!$B$5:$B$20,0)),""))</f>
        <v/>
      </c>
      <c r="H729" s="31">
        <f>IF($F729="","",IFERROR(INDEX(設定!$E$5:$E$20,MATCH($F729,設定!$B$5:$B$20,0)),""))</f>
        <v/>
      </c>
      <c r="I729" s="31">
        <f>IFERROR(INDEX(打卡匯入!$C$3:$C$1002,MATCH($C729&amp;"|"&amp;DAY($A729),打卡匯入!$E$3:$E$1002,0)),"")</f>
        <v/>
      </c>
      <c r="J729" s="31">
        <f>IFERROR(INDEX(打卡匯入!$D$3:$D$1002,MATCH($C729&amp;"|"&amp;DAY($A729),打卡匯入!$E$3:$E$1002,0)),"")</f>
        <v/>
      </c>
      <c r="K729" s="32">
        <f>IF(OR($I729="",$J729=""),"",IFERROR(INDEX(設定!$F$5:$F$20,MATCH($F729,設定!$B$5:$B$20,0)),0))</f>
        <v/>
      </c>
      <c r="L729" s="33">
        <f>IF(OR($I729="",$J729=""),"",ROUND(($J729-$I729)*24-$K729/60,2))</f>
        <v/>
      </c>
      <c r="M729" s="29">
        <f>IF($C729="","",IF(AND(COUNTIF(設定!$B$14:$B$20,$F729)&gt;0,$I729&lt;&gt;""),"假日出勤",IF(AND(COUNTIF(設定!$B$5:$B$13,$F729)&gt;0,$I729=""),"未打卡",IF($I729="","",IF($N729&gt;0,"遲到",IF($O729&gt;0,"早退","正常"))))))</f>
        <v/>
      </c>
      <c r="N729" s="32">
        <f>IF(OR($C729="",$G729="",$I729=""),0,IF(ROUND(($I729-$G729)*1440,0)&gt;設定!$C$28,ROUND(($I729-$G729)*1440,0),0))</f>
        <v/>
      </c>
      <c r="O729" s="32">
        <f>IF(OR($C729="",$H729="",$J729=""),0,IF(ROUND(($H729-$J729)*1440,0)&gt;設定!$C$28,ROUND(($H729-$J729)*1440,0),0))</f>
        <v/>
      </c>
      <c r="P729" s="33">
        <f>IF($L729="",0,IF(($L729-IFERROR(INDEX(設定!$G$5:$G$20,MATCH($F729,設定!$B$5:$B$20,0)),0))*60&gt;=設定!$C$26,ROUND(FLOOR(($L729-IFERROR(INDEX(設定!$G$5:$G$20,MATCH($F729,設定!$B$5:$B$20,0)),0))*60,設定!$C$27)/60,2),0))</f>
        <v/>
      </c>
      <c r="Q729" s="29">
        <f>IF(OR($C729="",$P729=0),"",IF($F729="國","國定假日",IF($B729="日","例假",IF($B729="六","休息日","平日"))))</f>
        <v/>
      </c>
      <c r="R729" s="34" t="n"/>
    </row>
    <row r="730">
      <c r="A730" s="30">
        <f>IF(OR(班表!$A29="",15&gt;DAY(EOMONTH(DATE(班表!$E$2,班表!$G$2,1),0))),"",DATE(班表!$E$2,班表!$G$2,15))</f>
        <v/>
      </c>
      <c r="B730" s="29">
        <f>IF($A730="","",INDEX(設定!$L$5:$L$11,WEEKDAY($A730,1)))</f>
        <v/>
      </c>
      <c r="C730" s="29">
        <f>IF($A730="","",班表!$A29)</f>
        <v/>
      </c>
      <c r="D730" s="29">
        <f>IF($C730="","",班表!$B29)</f>
        <v/>
      </c>
      <c r="E730" s="29">
        <f>IF($C730="","",班表!$C29)</f>
        <v/>
      </c>
      <c r="F730" s="29">
        <f>IF($C730="","",班表!R29)</f>
        <v/>
      </c>
      <c r="G730" s="31">
        <f>IF($F730="","",IFERROR(INDEX(設定!$D$5:$D$20,MATCH($F730,設定!$B$5:$B$20,0)),""))</f>
        <v/>
      </c>
      <c r="H730" s="31">
        <f>IF($F730="","",IFERROR(INDEX(設定!$E$5:$E$20,MATCH($F730,設定!$B$5:$B$20,0)),""))</f>
        <v/>
      </c>
      <c r="I730" s="31">
        <f>IFERROR(INDEX(打卡匯入!$C$3:$C$1002,MATCH($C730&amp;"|"&amp;DAY($A730),打卡匯入!$E$3:$E$1002,0)),"")</f>
        <v/>
      </c>
      <c r="J730" s="31">
        <f>IFERROR(INDEX(打卡匯入!$D$3:$D$1002,MATCH($C730&amp;"|"&amp;DAY($A730),打卡匯入!$E$3:$E$1002,0)),"")</f>
        <v/>
      </c>
      <c r="K730" s="32">
        <f>IF(OR($I730="",$J730=""),"",IFERROR(INDEX(設定!$F$5:$F$20,MATCH($F730,設定!$B$5:$B$20,0)),0))</f>
        <v/>
      </c>
      <c r="L730" s="33">
        <f>IF(OR($I730="",$J730=""),"",ROUND(($J730-$I730)*24-$K730/60,2))</f>
        <v/>
      </c>
      <c r="M730" s="29">
        <f>IF($C730="","",IF(AND(COUNTIF(設定!$B$14:$B$20,$F730)&gt;0,$I730&lt;&gt;""),"假日出勤",IF(AND(COUNTIF(設定!$B$5:$B$13,$F730)&gt;0,$I730=""),"未打卡",IF($I730="","",IF($N730&gt;0,"遲到",IF($O730&gt;0,"早退","正常"))))))</f>
        <v/>
      </c>
      <c r="N730" s="32">
        <f>IF(OR($C730="",$G730="",$I730=""),0,IF(ROUND(($I730-$G730)*1440,0)&gt;設定!$C$28,ROUND(($I730-$G730)*1440,0),0))</f>
        <v/>
      </c>
      <c r="O730" s="32">
        <f>IF(OR($C730="",$H730="",$J730=""),0,IF(ROUND(($H730-$J730)*1440,0)&gt;設定!$C$28,ROUND(($H730-$J730)*1440,0),0))</f>
        <v/>
      </c>
      <c r="P730" s="33">
        <f>IF($L730="",0,IF(($L730-IFERROR(INDEX(設定!$G$5:$G$20,MATCH($F730,設定!$B$5:$B$20,0)),0))*60&gt;=設定!$C$26,ROUND(FLOOR(($L730-IFERROR(INDEX(設定!$G$5:$G$20,MATCH($F730,設定!$B$5:$B$20,0)),0))*60,設定!$C$27)/60,2),0))</f>
        <v/>
      </c>
      <c r="Q730" s="29">
        <f>IF(OR($C730="",$P730=0),"",IF($F730="國","國定假日",IF($B730="日","例假",IF($B730="六","休息日","平日"))))</f>
        <v/>
      </c>
      <c r="R730" s="34" t="n"/>
    </row>
    <row r="731">
      <c r="A731" s="30">
        <f>IF(OR(班表!$A29="",16&gt;DAY(EOMONTH(DATE(班表!$E$2,班表!$G$2,1),0))),"",DATE(班表!$E$2,班表!$G$2,16))</f>
        <v/>
      </c>
      <c r="B731" s="29">
        <f>IF($A731="","",INDEX(設定!$L$5:$L$11,WEEKDAY($A731,1)))</f>
        <v/>
      </c>
      <c r="C731" s="29">
        <f>IF($A731="","",班表!$A29)</f>
        <v/>
      </c>
      <c r="D731" s="29">
        <f>IF($C731="","",班表!$B29)</f>
        <v/>
      </c>
      <c r="E731" s="29">
        <f>IF($C731="","",班表!$C29)</f>
        <v/>
      </c>
      <c r="F731" s="29">
        <f>IF($C731="","",班表!S29)</f>
        <v/>
      </c>
      <c r="G731" s="31">
        <f>IF($F731="","",IFERROR(INDEX(設定!$D$5:$D$20,MATCH($F731,設定!$B$5:$B$20,0)),""))</f>
        <v/>
      </c>
      <c r="H731" s="31">
        <f>IF($F731="","",IFERROR(INDEX(設定!$E$5:$E$20,MATCH($F731,設定!$B$5:$B$20,0)),""))</f>
        <v/>
      </c>
      <c r="I731" s="31">
        <f>IFERROR(INDEX(打卡匯入!$C$3:$C$1002,MATCH($C731&amp;"|"&amp;DAY($A731),打卡匯入!$E$3:$E$1002,0)),"")</f>
        <v/>
      </c>
      <c r="J731" s="31">
        <f>IFERROR(INDEX(打卡匯入!$D$3:$D$1002,MATCH($C731&amp;"|"&amp;DAY($A731),打卡匯入!$E$3:$E$1002,0)),"")</f>
        <v/>
      </c>
      <c r="K731" s="32">
        <f>IF(OR($I731="",$J731=""),"",IFERROR(INDEX(設定!$F$5:$F$20,MATCH($F731,設定!$B$5:$B$20,0)),0))</f>
        <v/>
      </c>
      <c r="L731" s="33">
        <f>IF(OR($I731="",$J731=""),"",ROUND(($J731-$I731)*24-$K731/60,2))</f>
        <v/>
      </c>
      <c r="M731" s="29">
        <f>IF($C731="","",IF(AND(COUNTIF(設定!$B$14:$B$20,$F731)&gt;0,$I731&lt;&gt;""),"假日出勤",IF(AND(COUNTIF(設定!$B$5:$B$13,$F731)&gt;0,$I731=""),"未打卡",IF($I731="","",IF($N731&gt;0,"遲到",IF($O731&gt;0,"早退","正常"))))))</f>
        <v/>
      </c>
      <c r="N731" s="32">
        <f>IF(OR($C731="",$G731="",$I731=""),0,IF(ROUND(($I731-$G731)*1440,0)&gt;設定!$C$28,ROUND(($I731-$G731)*1440,0),0))</f>
        <v/>
      </c>
      <c r="O731" s="32">
        <f>IF(OR($C731="",$H731="",$J731=""),0,IF(ROUND(($H731-$J731)*1440,0)&gt;設定!$C$28,ROUND(($H731-$J731)*1440,0),0))</f>
        <v/>
      </c>
      <c r="P731" s="33">
        <f>IF($L731="",0,IF(($L731-IFERROR(INDEX(設定!$G$5:$G$20,MATCH($F731,設定!$B$5:$B$20,0)),0))*60&gt;=設定!$C$26,ROUND(FLOOR(($L731-IFERROR(INDEX(設定!$G$5:$G$20,MATCH($F731,設定!$B$5:$B$20,0)),0))*60,設定!$C$27)/60,2),0))</f>
        <v/>
      </c>
      <c r="Q731" s="29">
        <f>IF(OR($C731="",$P731=0),"",IF($F731="國","國定假日",IF($B731="日","例假",IF($B731="六","休息日","平日"))))</f>
        <v/>
      </c>
      <c r="R731" s="34" t="n"/>
    </row>
    <row r="732">
      <c r="A732" s="30">
        <f>IF(OR(班表!$A29="",17&gt;DAY(EOMONTH(DATE(班表!$E$2,班表!$G$2,1),0))),"",DATE(班表!$E$2,班表!$G$2,17))</f>
        <v/>
      </c>
      <c r="B732" s="29">
        <f>IF($A732="","",INDEX(設定!$L$5:$L$11,WEEKDAY($A732,1)))</f>
        <v/>
      </c>
      <c r="C732" s="29">
        <f>IF($A732="","",班表!$A29)</f>
        <v/>
      </c>
      <c r="D732" s="29">
        <f>IF($C732="","",班表!$B29)</f>
        <v/>
      </c>
      <c r="E732" s="29">
        <f>IF($C732="","",班表!$C29)</f>
        <v/>
      </c>
      <c r="F732" s="29">
        <f>IF($C732="","",班表!T29)</f>
        <v/>
      </c>
      <c r="G732" s="31">
        <f>IF($F732="","",IFERROR(INDEX(設定!$D$5:$D$20,MATCH($F732,設定!$B$5:$B$20,0)),""))</f>
        <v/>
      </c>
      <c r="H732" s="31">
        <f>IF($F732="","",IFERROR(INDEX(設定!$E$5:$E$20,MATCH($F732,設定!$B$5:$B$20,0)),""))</f>
        <v/>
      </c>
      <c r="I732" s="31">
        <f>IFERROR(INDEX(打卡匯入!$C$3:$C$1002,MATCH($C732&amp;"|"&amp;DAY($A732),打卡匯入!$E$3:$E$1002,0)),"")</f>
        <v/>
      </c>
      <c r="J732" s="31">
        <f>IFERROR(INDEX(打卡匯入!$D$3:$D$1002,MATCH($C732&amp;"|"&amp;DAY($A732),打卡匯入!$E$3:$E$1002,0)),"")</f>
        <v/>
      </c>
      <c r="K732" s="32">
        <f>IF(OR($I732="",$J732=""),"",IFERROR(INDEX(設定!$F$5:$F$20,MATCH($F732,設定!$B$5:$B$20,0)),0))</f>
        <v/>
      </c>
      <c r="L732" s="33">
        <f>IF(OR($I732="",$J732=""),"",ROUND(($J732-$I732)*24-$K732/60,2))</f>
        <v/>
      </c>
      <c r="M732" s="29">
        <f>IF($C732="","",IF(AND(COUNTIF(設定!$B$14:$B$20,$F732)&gt;0,$I732&lt;&gt;""),"假日出勤",IF(AND(COUNTIF(設定!$B$5:$B$13,$F732)&gt;0,$I732=""),"未打卡",IF($I732="","",IF($N732&gt;0,"遲到",IF($O732&gt;0,"早退","正常"))))))</f>
        <v/>
      </c>
      <c r="N732" s="32">
        <f>IF(OR($C732="",$G732="",$I732=""),0,IF(ROUND(($I732-$G732)*1440,0)&gt;設定!$C$28,ROUND(($I732-$G732)*1440,0),0))</f>
        <v/>
      </c>
      <c r="O732" s="32">
        <f>IF(OR($C732="",$H732="",$J732=""),0,IF(ROUND(($H732-$J732)*1440,0)&gt;設定!$C$28,ROUND(($H732-$J732)*1440,0),0))</f>
        <v/>
      </c>
      <c r="P732" s="33">
        <f>IF($L732="",0,IF(($L732-IFERROR(INDEX(設定!$G$5:$G$20,MATCH($F732,設定!$B$5:$B$20,0)),0))*60&gt;=設定!$C$26,ROUND(FLOOR(($L732-IFERROR(INDEX(設定!$G$5:$G$20,MATCH($F732,設定!$B$5:$B$20,0)),0))*60,設定!$C$27)/60,2),0))</f>
        <v/>
      </c>
      <c r="Q732" s="29">
        <f>IF(OR($C732="",$P732=0),"",IF($F732="國","國定假日",IF($B732="日","例假",IF($B732="六","休息日","平日"))))</f>
        <v/>
      </c>
      <c r="R732" s="34" t="n"/>
    </row>
    <row r="733">
      <c r="A733" s="30">
        <f>IF(OR(班表!$A29="",18&gt;DAY(EOMONTH(DATE(班表!$E$2,班表!$G$2,1),0))),"",DATE(班表!$E$2,班表!$G$2,18))</f>
        <v/>
      </c>
      <c r="B733" s="29">
        <f>IF($A733="","",INDEX(設定!$L$5:$L$11,WEEKDAY($A733,1)))</f>
        <v/>
      </c>
      <c r="C733" s="29">
        <f>IF($A733="","",班表!$A29)</f>
        <v/>
      </c>
      <c r="D733" s="29">
        <f>IF($C733="","",班表!$B29)</f>
        <v/>
      </c>
      <c r="E733" s="29">
        <f>IF($C733="","",班表!$C29)</f>
        <v/>
      </c>
      <c r="F733" s="29">
        <f>IF($C733="","",班表!U29)</f>
        <v/>
      </c>
      <c r="G733" s="31">
        <f>IF($F733="","",IFERROR(INDEX(設定!$D$5:$D$20,MATCH($F733,設定!$B$5:$B$20,0)),""))</f>
        <v/>
      </c>
      <c r="H733" s="31">
        <f>IF($F733="","",IFERROR(INDEX(設定!$E$5:$E$20,MATCH($F733,設定!$B$5:$B$20,0)),""))</f>
        <v/>
      </c>
      <c r="I733" s="31">
        <f>IFERROR(INDEX(打卡匯入!$C$3:$C$1002,MATCH($C733&amp;"|"&amp;DAY($A733),打卡匯入!$E$3:$E$1002,0)),"")</f>
        <v/>
      </c>
      <c r="J733" s="31">
        <f>IFERROR(INDEX(打卡匯入!$D$3:$D$1002,MATCH($C733&amp;"|"&amp;DAY($A733),打卡匯入!$E$3:$E$1002,0)),"")</f>
        <v/>
      </c>
      <c r="K733" s="32">
        <f>IF(OR($I733="",$J733=""),"",IFERROR(INDEX(設定!$F$5:$F$20,MATCH($F733,設定!$B$5:$B$20,0)),0))</f>
        <v/>
      </c>
      <c r="L733" s="33">
        <f>IF(OR($I733="",$J733=""),"",ROUND(($J733-$I733)*24-$K733/60,2))</f>
        <v/>
      </c>
      <c r="M733" s="29">
        <f>IF($C733="","",IF(AND(COUNTIF(設定!$B$14:$B$20,$F733)&gt;0,$I733&lt;&gt;""),"假日出勤",IF(AND(COUNTIF(設定!$B$5:$B$13,$F733)&gt;0,$I733=""),"未打卡",IF($I733="","",IF($N733&gt;0,"遲到",IF($O733&gt;0,"早退","正常"))))))</f>
        <v/>
      </c>
      <c r="N733" s="32">
        <f>IF(OR($C733="",$G733="",$I733=""),0,IF(ROUND(($I733-$G733)*1440,0)&gt;設定!$C$28,ROUND(($I733-$G733)*1440,0),0))</f>
        <v/>
      </c>
      <c r="O733" s="32">
        <f>IF(OR($C733="",$H733="",$J733=""),0,IF(ROUND(($H733-$J733)*1440,0)&gt;設定!$C$28,ROUND(($H733-$J733)*1440,0),0))</f>
        <v/>
      </c>
      <c r="P733" s="33">
        <f>IF($L733="",0,IF(($L733-IFERROR(INDEX(設定!$G$5:$G$20,MATCH($F733,設定!$B$5:$B$20,0)),0))*60&gt;=設定!$C$26,ROUND(FLOOR(($L733-IFERROR(INDEX(設定!$G$5:$G$20,MATCH($F733,設定!$B$5:$B$20,0)),0))*60,設定!$C$27)/60,2),0))</f>
        <v/>
      </c>
      <c r="Q733" s="29">
        <f>IF(OR($C733="",$P733=0),"",IF($F733="國","國定假日",IF($B733="日","例假",IF($B733="六","休息日","平日"))))</f>
        <v/>
      </c>
      <c r="R733" s="34" t="n"/>
    </row>
    <row r="734">
      <c r="A734" s="30">
        <f>IF(OR(班表!$A29="",19&gt;DAY(EOMONTH(DATE(班表!$E$2,班表!$G$2,1),0))),"",DATE(班表!$E$2,班表!$G$2,19))</f>
        <v/>
      </c>
      <c r="B734" s="29">
        <f>IF($A734="","",INDEX(設定!$L$5:$L$11,WEEKDAY($A734,1)))</f>
        <v/>
      </c>
      <c r="C734" s="29">
        <f>IF($A734="","",班表!$A29)</f>
        <v/>
      </c>
      <c r="D734" s="29">
        <f>IF($C734="","",班表!$B29)</f>
        <v/>
      </c>
      <c r="E734" s="29">
        <f>IF($C734="","",班表!$C29)</f>
        <v/>
      </c>
      <c r="F734" s="29">
        <f>IF($C734="","",班表!V29)</f>
        <v/>
      </c>
      <c r="G734" s="31">
        <f>IF($F734="","",IFERROR(INDEX(設定!$D$5:$D$20,MATCH($F734,設定!$B$5:$B$20,0)),""))</f>
        <v/>
      </c>
      <c r="H734" s="31">
        <f>IF($F734="","",IFERROR(INDEX(設定!$E$5:$E$20,MATCH($F734,設定!$B$5:$B$20,0)),""))</f>
        <v/>
      </c>
      <c r="I734" s="31">
        <f>IFERROR(INDEX(打卡匯入!$C$3:$C$1002,MATCH($C734&amp;"|"&amp;DAY($A734),打卡匯入!$E$3:$E$1002,0)),"")</f>
        <v/>
      </c>
      <c r="J734" s="31">
        <f>IFERROR(INDEX(打卡匯入!$D$3:$D$1002,MATCH($C734&amp;"|"&amp;DAY($A734),打卡匯入!$E$3:$E$1002,0)),"")</f>
        <v/>
      </c>
      <c r="K734" s="32">
        <f>IF(OR($I734="",$J734=""),"",IFERROR(INDEX(設定!$F$5:$F$20,MATCH($F734,設定!$B$5:$B$20,0)),0))</f>
        <v/>
      </c>
      <c r="L734" s="33">
        <f>IF(OR($I734="",$J734=""),"",ROUND(($J734-$I734)*24-$K734/60,2))</f>
        <v/>
      </c>
      <c r="M734" s="29">
        <f>IF($C734="","",IF(AND(COUNTIF(設定!$B$14:$B$20,$F734)&gt;0,$I734&lt;&gt;""),"假日出勤",IF(AND(COUNTIF(設定!$B$5:$B$13,$F734)&gt;0,$I734=""),"未打卡",IF($I734="","",IF($N734&gt;0,"遲到",IF($O734&gt;0,"早退","正常"))))))</f>
        <v/>
      </c>
      <c r="N734" s="32">
        <f>IF(OR($C734="",$G734="",$I734=""),0,IF(ROUND(($I734-$G734)*1440,0)&gt;設定!$C$28,ROUND(($I734-$G734)*1440,0),0))</f>
        <v/>
      </c>
      <c r="O734" s="32">
        <f>IF(OR($C734="",$H734="",$J734=""),0,IF(ROUND(($H734-$J734)*1440,0)&gt;設定!$C$28,ROUND(($H734-$J734)*1440,0),0))</f>
        <v/>
      </c>
      <c r="P734" s="33">
        <f>IF($L734="",0,IF(($L734-IFERROR(INDEX(設定!$G$5:$G$20,MATCH($F734,設定!$B$5:$B$20,0)),0))*60&gt;=設定!$C$26,ROUND(FLOOR(($L734-IFERROR(INDEX(設定!$G$5:$G$20,MATCH($F734,設定!$B$5:$B$20,0)),0))*60,設定!$C$27)/60,2),0))</f>
        <v/>
      </c>
      <c r="Q734" s="29">
        <f>IF(OR($C734="",$P734=0),"",IF($F734="國","國定假日",IF($B734="日","例假",IF($B734="六","休息日","平日"))))</f>
        <v/>
      </c>
      <c r="R734" s="34" t="n"/>
    </row>
    <row r="735">
      <c r="A735" s="30">
        <f>IF(OR(班表!$A29="",20&gt;DAY(EOMONTH(DATE(班表!$E$2,班表!$G$2,1),0))),"",DATE(班表!$E$2,班表!$G$2,20))</f>
        <v/>
      </c>
      <c r="B735" s="29">
        <f>IF($A735="","",INDEX(設定!$L$5:$L$11,WEEKDAY($A735,1)))</f>
        <v/>
      </c>
      <c r="C735" s="29">
        <f>IF($A735="","",班表!$A29)</f>
        <v/>
      </c>
      <c r="D735" s="29">
        <f>IF($C735="","",班表!$B29)</f>
        <v/>
      </c>
      <c r="E735" s="29">
        <f>IF($C735="","",班表!$C29)</f>
        <v/>
      </c>
      <c r="F735" s="29">
        <f>IF($C735="","",班表!W29)</f>
        <v/>
      </c>
      <c r="G735" s="31">
        <f>IF($F735="","",IFERROR(INDEX(設定!$D$5:$D$20,MATCH($F735,設定!$B$5:$B$20,0)),""))</f>
        <v/>
      </c>
      <c r="H735" s="31">
        <f>IF($F735="","",IFERROR(INDEX(設定!$E$5:$E$20,MATCH($F735,設定!$B$5:$B$20,0)),""))</f>
        <v/>
      </c>
      <c r="I735" s="31">
        <f>IFERROR(INDEX(打卡匯入!$C$3:$C$1002,MATCH($C735&amp;"|"&amp;DAY($A735),打卡匯入!$E$3:$E$1002,0)),"")</f>
        <v/>
      </c>
      <c r="J735" s="31">
        <f>IFERROR(INDEX(打卡匯入!$D$3:$D$1002,MATCH($C735&amp;"|"&amp;DAY($A735),打卡匯入!$E$3:$E$1002,0)),"")</f>
        <v/>
      </c>
      <c r="K735" s="32">
        <f>IF(OR($I735="",$J735=""),"",IFERROR(INDEX(設定!$F$5:$F$20,MATCH($F735,設定!$B$5:$B$20,0)),0))</f>
        <v/>
      </c>
      <c r="L735" s="33">
        <f>IF(OR($I735="",$J735=""),"",ROUND(($J735-$I735)*24-$K735/60,2))</f>
        <v/>
      </c>
      <c r="M735" s="29">
        <f>IF($C735="","",IF(AND(COUNTIF(設定!$B$14:$B$20,$F735)&gt;0,$I735&lt;&gt;""),"假日出勤",IF(AND(COUNTIF(設定!$B$5:$B$13,$F735)&gt;0,$I735=""),"未打卡",IF($I735="","",IF($N735&gt;0,"遲到",IF($O735&gt;0,"早退","正常"))))))</f>
        <v/>
      </c>
      <c r="N735" s="32">
        <f>IF(OR($C735="",$G735="",$I735=""),0,IF(ROUND(($I735-$G735)*1440,0)&gt;設定!$C$28,ROUND(($I735-$G735)*1440,0),0))</f>
        <v/>
      </c>
      <c r="O735" s="32">
        <f>IF(OR($C735="",$H735="",$J735=""),0,IF(ROUND(($H735-$J735)*1440,0)&gt;設定!$C$28,ROUND(($H735-$J735)*1440,0),0))</f>
        <v/>
      </c>
      <c r="P735" s="33">
        <f>IF($L735="",0,IF(($L735-IFERROR(INDEX(設定!$G$5:$G$20,MATCH($F735,設定!$B$5:$B$20,0)),0))*60&gt;=設定!$C$26,ROUND(FLOOR(($L735-IFERROR(INDEX(設定!$G$5:$G$20,MATCH($F735,設定!$B$5:$B$20,0)),0))*60,設定!$C$27)/60,2),0))</f>
        <v/>
      </c>
      <c r="Q735" s="29">
        <f>IF(OR($C735="",$P735=0),"",IF($F735="國","國定假日",IF($B735="日","例假",IF($B735="六","休息日","平日"))))</f>
        <v/>
      </c>
      <c r="R735" s="34" t="n"/>
    </row>
    <row r="736">
      <c r="A736" s="30">
        <f>IF(OR(班表!$A29="",21&gt;DAY(EOMONTH(DATE(班表!$E$2,班表!$G$2,1),0))),"",DATE(班表!$E$2,班表!$G$2,21))</f>
        <v/>
      </c>
      <c r="B736" s="29">
        <f>IF($A736="","",INDEX(設定!$L$5:$L$11,WEEKDAY($A736,1)))</f>
        <v/>
      </c>
      <c r="C736" s="29">
        <f>IF($A736="","",班表!$A29)</f>
        <v/>
      </c>
      <c r="D736" s="29">
        <f>IF($C736="","",班表!$B29)</f>
        <v/>
      </c>
      <c r="E736" s="29">
        <f>IF($C736="","",班表!$C29)</f>
        <v/>
      </c>
      <c r="F736" s="29">
        <f>IF($C736="","",班表!X29)</f>
        <v/>
      </c>
      <c r="G736" s="31">
        <f>IF($F736="","",IFERROR(INDEX(設定!$D$5:$D$20,MATCH($F736,設定!$B$5:$B$20,0)),""))</f>
        <v/>
      </c>
      <c r="H736" s="31">
        <f>IF($F736="","",IFERROR(INDEX(設定!$E$5:$E$20,MATCH($F736,設定!$B$5:$B$20,0)),""))</f>
        <v/>
      </c>
      <c r="I736" s="31">
        <f>IFERROR(INDEX(打卡匯入!$C$3:$C$1002,MATCH($C736&amp;"|"&amp;DAY($A736),打卡匯入!$E$3:$E$1002,0)),"")</f>
        <v/>
      </c>
      <c r="J736" s="31">
        <f>IFERROR(INDEX(打卡匯入!$D$3:$D$1002,MATCH($C736&amp;"|"&amp;DAY($A736),打卡匯入!$E$3:$E$1002,0)),"")</f>
        <v/>
      </c>
      <c r="K736" s="32">
        <f>IF(OR($I736="",$J736=""),"",IFERROR(INDEX(設定!$F$5:$F$20,MATCH($F736,設定!$B$5:$B$20,0)),0))</f>
        <v/>
      </c>
      <c r="L736" s="33">
        <f>IF(OR($I736="",$J736=""),"",ROUND(($J736-$I736)*24-$K736/60,2))</f>
        <v/>
      </c>
      <c r="M736" s="29">
        <f>IF($C736="","",IF(AND(COUNTIF(設定!$B$14:$B$20,$F736)&gt;0,$I736&lt;&gt;""),"假日出勤",IF(AND(COUNTIF(設定!$B$5:$B$13,$F736)&gt;0,$I736=""),"未打卡",IF($I736="","",IF($N736&gt;0,"遲到",IF($O736&gt;0,"早退","正常"))))))</f>
        <v/>
      </c>
      <c r="N736" s="32">
        <f>IF(OR($C736="",$G736="",$I736=""),0,IF(ROUND(($I736-$G736)*1440,0)&gt;設定!$C$28,ROUND(($I736-$G736)*1440,0),0))</f>
        <v/>
      </c>
      <c r="O736" s="32">
        <f>IF(OR($C736="",$H736="",$J736=""),0,IF(ROUND(($H736-$J736)*1440,0)&gt;設定!$C$28,ROUND(($H736-$J736)*1440,0),0))</f>
        <v/>
      </c>
      <c r="P736" s="33">
        <f>IF($L736="",0,IF(($L736-IFERROR(INDEX(設定!$G$5:$G$20,MATCH($F736,設定!$B$5:$B$20,0)),0))*60&gt;=設定!$C$26,ROUND(FLOOR(($L736-IFERROR(INDEX(設定!$G$5:$G$20,MATCH($F736,設定!$B$5:$B$20,0)),0))*60,設定!$C$27)/60,2),0))</f>
        <v/>
      </c>
      <c r="Q736" s="29">
        <f>IF(OR($C736="",$P736=0),"",IF($F736="國","國定假日",IF($B736="日","例假",IF($B736="六","休息日","平日"))))</f>
        <v/>
      </c>
      <c r="R736" s="34" t="n"/>
    </row>
    <row r="737">
      <c r="A737" s="30">
        <f>IF(OR(班表!$A29="",22&gt;DAY(EOMONTH(DATE(班表!$E$2,班表!$G$2,1),0))),"",DATE(班表!$E$2,班表!$G$2,22))</f>
        <v/>
      </c>
      <c r="B737" s="29">
        <f>IF($A737="","",INDEX(設定!$L$5:$L$11,WEEKDAY($A737,1)))</f>
        <v/>
      </c>
      <c r="C737" s="29">
        <f>IF($A737="","",班表!$A29)</f>
        <v/>
      </c>
      <c r="D737" s="29">
        <f>IF($C737="","",班表!$B29)</f>
        <v/>
      </c>
      <c r="E737" s="29">
        <f>IF($C737="","",班表!$C29)</f>
        <v/>
      </c>
      <c r="F737" s="29">
        <f>IF($C737="","",班表!Y29)</f>
        <v/>
      </c>
      <c r="G737" s="31">
        <f>IF($F737="","",IFERROR(INDEX(設定!$D$5:$D$20,MATCH($F737,設定!$B$5:$B$20,0)),""))</f>
        <v/>
      </c>
      <c r="H737" s="31">
        <f>IF($F737="","",IFERROR(INDEX(設定!$E$5:$E$20,MATCH($F737,設定!$B$5:$B$20,0)),""))</f>
        <v/>
      </c>
      <c r="I737" s="31">
        <f>IFERROR(INDEX(打卡匯入!$C$3:$C$1002,MATCH($C737&amp;"|"&amp;DAY($A737),打卡匯入!$E$3:$E$1002,0)),"")</f>
        <v/>
      </c>
      <c r="J737" s="31">
        <f>IFERROR(INDEX(打卡匯入!$D$3:$D$1002,MATCH($C737&amp;"|"&amp;DAY($A737),打卡匯入!$E$3:$E$1002,0)),"")</f>
        <v/>
      </c>
      <c r="K737" s="32">
        <f>IF(OR($I737="",$J737=""),"",IFERROR(INDEX(設定!$F$5:$F$20,MATCH($F737,設定!$B$5:$B$20,0)),0))</f>
        <v/>
      </c>
      <c r="L737" s="33">
        <f>IF(OR($I737="",$J737=""),"",ROUND(($J737-$I737)*24-$K737/60,2))</f>
        <v/>
      </c>
      <c r="M737" s="29">
        <f>IF($C737="","",IF(AND(COUNTIF(設定!$B$14:$B$20,$F737)&gt;0,$I737&lt;&gt;""),"假日出勤",IF(AND(COUNTIF(設定!$B$5:$B$13,$F737)&gt;0,$I737=""),"未打卡",IF($I737="","",IF($N737&gt;0,"遲到",IF($O737&gt;0,"早退","正常"))))))</f>
        <v/>
      </c>
      <c r="N737" s="32">
        <f>IF(OR($C737="",$G737="",$I737=""),0,IF(ROUND(($I737-$G737)*1440,0)&gt;設定!$C$28,ROUND(($I737-$G737)*1440,0),0))</f>
        <v/>
      </c>
      <c r="O737" s="32">
        <f>IF(OR($C737="",$H737="",$J737=""),0,IF(ROUND(($H737-$J737)*1440,0)&gt;設定!$C$28,ROUND(($H737-$J737)*1440,0),0))</f>
        <v/>
      </c>
      <c r="P737" s="33">
        <f>IF($L737="",0,IF(($L737-IFERROR(INDEX(設定!$G$5:$G$20,MATCH($F737,設定!$B$5:$B$20,0)),0))*60&gt;=設定!$C$26,ROUND(FLOOR(($L737-IFERROR(INDEX(設定!$G$5:$G$20,MATCH($F737,設定!$B$5:$B$20,0)),0))*60,設定!$C$27)/60,2),0))</f>
        <v/>
      </c>
      <c r="Q737" s="29">
        <f>IF(OR($C737="",$P737=0),"",IF($F737="國","國定假日",IF($B737="日","例假",IF($B737="六","休息日","平日"))))</f>
        <v/>
      </c>
      <c r="R737" s="34" t="n"/>
    </row>
    <row r="738">
      <c r="A738" s="30">
        <f>IF(OR(班表!$A29="",23&gt;DAY(EOMONTH(DATE(班表!$E$2,班表!$G$2,1),0))),"",DATE(班表!$E$2,班表!$G$2,23))</f>
        <v/>
      </c>
      <c r="B738" s="29">
        <f>IF($A738="","",INDEX(設定!$L$5:$L$11,WEEKDAY($A738,1)))</f>
        <v/>
      </c>
      <c r="C738" s="29">
        <f>IF($A738="","",班表!$A29)</f>
        <v/>
      </c>
      <c r="D738" s="29">
        <f>IF($C738="","",班表!$B29)</f>
        <v/>
      </c>
      <c r="E738" s="29">
        <f>IF($C738="","",班表!$C29)</f>
        <v/>
      </c>
      <c r="F738" s="29">
        <f>IF($C738="","",班表!Z29)</f>
        <v/>
      </c>
      <c r="G738" s="31">
        <f>IF($F738="","",IFERROR(INDEX(設定!$D$5:$D$20,MATCH($F738,設定!$B$5:$B$20,0)),""))</f>
        <v/>
      </c>
      <c r="H738" s="31">
        <f>IF($F738="","",IFERROR(INDEX(設定!$E$5:$E$20,MATCH($F738,設定!$B$5:$B$20,0)),""))</f>
        <v/>
      </c>
      <c r="I738" s="31">
        <f>IFERROR(INDEX(打卡匯入!$C$3:$C$1002,MATCH($C738&amp;"|"&amp;DAY($A738),打卡匯入!$E$3:$E$1002,0)),"")</f>
        <v/>
      </c>
      <c r="J738" s="31">
        <f>IFERROR(INDEX(打卡匯入!$D$3:$D$1002,MATCH($C738&amp;"|"&amp;DAY($A738),打卡匯入!$E$3:$E$1002,0)),"")</f>
        <v/>
      </c>
      <c r="K738" s="32">
        <f>IF(OR($I738="",$J738=""),"",IFERROR(INDEX(設定!$F$5:$F$20,MATCH($F738,設定!$B$5:$B$20,0)),0))</f>
        <v/>
      </c>
      <c r="L738" s="33">
        <f>IF(OR($I738="",$J738=""),"",ROUND(($J738-$I738)*24-$K738/60,2))</f>
        <v/>
      </c>
      <c r="M738" s="29">
        <f>IF($C738="","",IF(AND(COUNTIF(設定!$B$14:$B$20,$F738)&gt;0,$I738&lt;&gt;""),"假日出勤",IF(AND(COUNTIF(設定!$B$5:$B$13,$F738)&gt;0,$I738=""),"未打卡",IF($I738="","",IF($N738&gt;0,"遲到",IF($O738&gt;0,"早退","正常"))))))</f>
        <v/>
      </c>
      <c r="N738" s="32">
        <f>IF(OR($C738="",$G738="",$I738=""),0,IF(ROUND(($I738-$G738)*1440,0)&gt;設定!$C$28,ROUND(($I738-$G738)*1440,0),0))</f>
        <v/>
      </c>
      <c r="O738" s="32">
        <f>IF(OR($C738="",$H738="",$J738=""),0,IF(ROUND(($H738-$J738)*1440,0)&gt;設定!$C$28,ROUND(($H738-$J738)*1440,0),0))</f>
        <v/>
      </c>
      <c r="P738" s="33">
        <f>IF($L738="",0,IF(($L738-IFERROR(INDEX(設定!$G$5:$G$20,MATCH($F738,設定!$B$5:$B$20,0)),0))*60&gt;=設定!$C$26,ROUND(FLOOR(($L738-IFERROR(INDEX(設定!$G$5:$G$20,MATCH($F738,設定!$B$5:$B$20,0)),0))*60,設定!$C$27)/60,2),0))</f>
        <v/>
      </c>
      <c r="Q738" s="29">
        <f>IF(OR($C738="",$P738=0),"",IF($F738="國","國定假日",IF($B738="日","例假",IF($B738="六","休息日","平日"))))</f>
        <v/>
      </c>
      <c r="R738" s="34" t="n"/>
    </row>
    <row r="739">
      <c r="A739" s="30">
        <f>IF(OR(班表!$A29="",24&gt;DAY(EOMONTH(DATE(班表!$E$2,班表!$G$2,1),0))),"",DATE(班表!$E$2,班表!$G$2,24))</f>
        <v/>
      </c>
      <c r="B739" s="29">
        <f>IF($A739="","",INDEX(設定!$L$5:$L$11,WEEKDAY($A739,1)))</f>
        <v/>
      </c>
      <c r="C739" s="29">
        <f>IF($A739="","",班表!$A29)</f>
        <v/>
      </c>
      <c r="D739" s="29">
        <f>IF($C739="","",班表!$B29)</f>
        <v/>
      </c>
      <c r="E739" s="29">
        <f>IF($C739="","",班表!$C29)</f>
        <v/>
      </c>
      <c r="F739" s="29">
        <f>IF($C739="","",班表!AA29)</f>
        <v/>
      </c>
      <c r="G739" s="31">
        <f>IF($F739="","",IFERROR(INDEX(設定!$D$5:$D$20,MATCH($F739,設定!$B$5:$B$20,0)),""))</f>
        <v/>
      </c>
      <c r="H739" s="31">
        <f>IF($F739="","",IFERROR(INDEX(設定!$E$5:$E$20,MATCH($F739,設定!$B$5:$B$20,0)),""))</f>
        <v/>
      </c>
      <c r="I739" s="31">
        <f>IFERROR(INDEX(打卡匯入!$C$3:$C$1002,MATCH($C739&amp;"|"&amp;DAY($A739),打卡匯入!$E$3:$E$1002,0)),"")</f>
        <v/>
      </c>
      <c r="J739" s="31">
        <f>IFERROR(INDEX(打卡匯入!$D$3:$D$1002,MATCH($C739&amp;"|"&amp;DAY($A739),打卡匯入!$E$3:$E$1002,0)),"")</f>
        <v/>
      </c>
      <c r="K739" s="32">
        <f>IF(OR($I739="",$J739=""),"",IFERROR(INDEX(設定!$F$5:$F$20,MATCH($F739,設定!$B$5:$B$20,0)),0))</f>
        <v/>
      </c>
      <c r="L739" s="33">
        <f>IF(OR($I739="",$J739=""),"",ROUND(($J739-$I739)*24-$K739/60,2))</f>
        <v/>
      </c>
      <c r="M739" s="29">
        <f>IF($C739="","",IF(AND(COUNTIF(設定!$B$14:$B$20,$F739)&gt;0,$I739&lt;&gt;""),"假日出勤",IF(AND(COUNTIF(設定!$B$5:$B$13,$F739)&gt;0,$I739=""),"未打卡",IF($I739="","",IF($N739&gt;0,"遲到",IF($O739&gt;0,"早退","正常"))))))</f>
        <v/>
      </c>
      <c r="N739" s="32">
        <f>IF(OR($C739="",$G739="",$I739=""),0,IF(ROUND(($I739-$G739)*1440,0)&gt;設定!$C$28,ROUND(($I739-$G739)*1440,0),0))</f>
        <v/>
      </c>
      <c r="O739" s="32">
        <f>IF(OR($C739="",$H739="",$J739=""),0,IF(ROUND(($H739-$J739)*1440,0)&gt;設定!$C$28,ROUND(($H739-$J739)*1440,0),0))</f>
        <v/>
      </c>
      <c r="P739" s="33">
        <f>IF($L739="",0,IF(($L739-IFERROR(INDEX(設定!$G$5:$G$20,MATCH($F739,設定!$B$5:$B$20,0)),0))*60&gt;=設定!$C$26,ROUND(FLOOR(($L739-IFERROR(INDEX(設定!$G$5:$G$20,MATCH($F739,設定!$B$5:$B$20,0)),0))*60,設定!$C$27)/60,2),0))</f>
        <v/>
      </c>
      <c r="Q739" s="29">
        <f>IF(OR($C739="",$P739=0),"",IF($F739="國","國定假日",IF($B739="日","例假",IF($B739="六","休息日","平日"))))</f>
        <v/>
      </c>
      <c r="R739" s="34" t="n"/>
    </row>
    <row r="740">
      <c r="A740" s="30">
        <f>IF(OR(班表!$A29="",25&gt;DAY(EOMONTH(DATE(班表!$E$2,班表!$G$2,1),0))),"",DATE(班表!$E$2,班表!$G$2,25))</f>
        <v/>
      </c>
      <c r="B740" s="29">
        <f>IF($A740="","",INDEX(設定!$L$5:$L$11,WEEKDAY($A740,1)))</f>
        <v/>
      </c>
      <c r="C740" s="29">
        <f>IF($A740="","",班表!$A29)</f>
        <v/>
      </c>
      <c r="D740" s="29">
        <f>IF($C740="","",班表!$B29)</f>
        <v/>
      </c>
      <c r="E740" s="29">
        <f>IF($C740="","",班表!$C29)</f>
        <v/>
      </c>
      <c r="F740" s="29">
        <f>IF($C740="","",班表!AB29)</f>
        <v/>
      </c>
      <c r="G740" s="31">
        <f>IF($F740="","",IFERROR(INDEX(設定!$D$5:$D$20,MATCH($F740,設定!$B$5:$B$20,0)),""))</f>
        <v/>
      </c>
      <c r="H740" s="31">
        <f>IF($F740="","",IFERROR(INDEX(設定!$E$5:$E$20,MATCH($F740,設定!$B$5:$B$20,0)),""))</f>
        <v/>
      </c>
      <c r="I740" s="31">
        <f>IFERROR(INDEX(打卡匯入!$C$3:$C$1002,MATCH($C740&amp;"|"&amp;DAY($A740),打卡匯入!$E$3:$E$1002,0)),"")</f>
        <v/>
      </c>
      <c r="J740" s="31">
        <f>IFERROR(INDEX(打卡匯入!$D$3:$D$1002,MATCH($C740&amp;"|"&amp;DAY($A740),打卡匯入!$E$3:$E$1002,0)),"")</f>
        <v/>
      </c>
      <c r="K740" s="32">
        <f>IF(OR($I740="",$J740=""),"",IFERROR(INDEX(設定!$F$5:$F$20,MATCH($F740,設定!$B$5:$B$20,0)),0))</f>
        <v/>
      </c>
      <c r="L740" s="33">
        <f>IF(OR($I740="",$J740=""),"",ROUND(($J740-$I740)*24-$K740/60,2))</f>
        <v/>
      </c>
      <c r="M740" s="29">
        <f>IF($C740="","",IF(AND(COUNTIF(設定!$B$14:$B$20,$F740)&gt;0,$I740&lt;&gt;""),"假日出勤",IF(AND(COUNTIF(設定!$B$5:$B$13,$F740)&gt;0,$I740=""),"未打卡",IF($I740="","",IF($N740&gt;0,"遲到",IF($O740&gt;0,"早退","正常"))))))</f>
        <v/>
      </c>
      <c r="N740" s="32">
        <f>IF(OR($C740="",$G740="",$I740=""),0,IF(ROUND(($I740-$G740)*1440,0)&gt;設定!$C$28,ROUND(($I740-$G740)*1440,0),0))</f>
        <v/>
      </c>
      <c r="O740" s="32">
        <f>IF(OR($C740="",$H740="",$J740=""),0,IF(ROUND(($H740-$J740)*1440,0)&gt;設定!$C$28,ROUND(($H740-$J740)*1440,0),0))</f>
        <v/>
      </c>
      <c r="P740" s="33">
        <f>IF($L740="",0,IF(($L740-IFERROR(INDEX(設定!$G$5:$G$20,MATCH($F740,設定!$B$5:$B$20,0)),0))*60&gt;=設定!$C$26,ROUND(FLOOR(($L740-IFERROR(INDEX(設定!$G$5:$G$20,MATCH($F740,設定!$B$5:$B$20,0)),0))*60,設定!$C$27)/60,2),0))</f>
        <v/>
      </c>
      <c r="Q740" s="29">
        <f>IF(OR($C740="",$P740=0),"",IF($F740="國","國定假日",IF($B740="日","例假",IF($B740="六","休息日","平日"))))</f>
        <v/>
      </c>
      <c r="R740" s="34" t="n"/>
    </row>
    <row r="741">
      <c r="A741" s="30">
        <f>IF(OR(班表!$A29="",26&gt;DAY(EOMONTH(DATE(班表!$E$2,班表!$G$2,1),0))),"",DATE(班表!$E$2,班表!$G$2,26))</f>
        <v/>
      </c>
      <c r="B741" s="29">
        <f>IF($A741="","",INDEX(設定!$L$5:$L$11,WEEKDAY($A741,1)))</f>
        <v/>
      </c>
      <c r="C741" s="29">
        <f>IF($A741="","",班表!$A29)</f>
        <v/>
      </c>
      <c r="D741" s="29">
        <f>IF($C741="","",班表!$B29)</f>
        <v/>
      </c>
      <c r="E741" s="29">
        <f>IF($C741="","",班表!$C29)</f>
        <v/>
      </c>
      <c r="F741" s="29">
        <f>IF($C741="","",班表!AC29)</f>
        <v/>
      </c>
      <c r="G741" s="31">
        <f>IF($F741="","",IFERROR(INDEX(設定!$D$5:$D$20,MATCH($F741,設定!$B$5:$B$20,0)),""))</f>
        <v/>
      </c>
      <c r="H741" s="31">
        <f>IF($F741="","",IFERROR(INDEX(設定!$E$5:$E$20,MATCH($F741,設定!$B$5:$B$20,0)),""))</f>
        <v/>
      </c>
      <c r="I741" s="31">
        <f>IFERROR(INDEX(打卡匯入!$C$3:$C$1002,MATCH($C741&amp;"|"&amp;DAY($A741),打卡匯入!$E$3:$E$1002,0)),"")</f>
        <v/>
      </c>
      <c r="J741" s="31">
        <f>IFERROR(INDEX(打卡匯入!$D$3:$D$1002,MATCH($C741&amp;"|"&amp;DAY($A741),打卡匯入!$E$3:$E$1002,0)),"")</f>
        <v/>
      </c>
      <c r="K741" s="32">
        <f>IF(OR($I741="",$J741=""),"",IFERROR(INDEX(設定!$F$5:$F$20,MATCH($F741,設定!$B$5:$B$20,0)),0))</f>
        <v/>
      </c>
      <c r="L741" s="33">
        <f>IF(OR($I741="",$J741=""),"",ROUND(($J741-$I741)*24-$K741/60,2))</f>
        <v/>
      </c>
      <c r="M741" s="29">
        <f>IF($C741="","",IF(AND(COUNTIF(設定!$B$14:$B$20,$F741)&gt;0,$I741&lt;&gt;""),"假日出勤",IF(AND(COUNTIF(設定!$B$5:$B$13,$F741)&gt;0,$I741=""),"未打卡",IF($I741="","",IF($N741&gt;0,"遲到",IF($O741&gt;0,"早退","正常"))))))</f>
        <v/>
      </c>
      <c r="N741" s="32">
        <f>IF(OR($C741="",$G741="",$I741=""),0,IF(ROUND(($I741-$G741)*1440,0)&gt;設定!$C$28,ROUND(($I741-$G741)*1440,0),0))</f>
        <v/>
      </c>
      <c r="O741" s="32">
        <f>IF(OR($C741="",$H741="",$J741=""),0,IF(ROUND(($H741-$J741)*1440,0)&gt;設定!$C$28,ROUND(($H741-$J741)*1440,0),0))</f>
        <v/>
      </c>
      <c r="P741" s="33">
        <f>IF($L741="",0,IF(($L741-IFERROR(INDEX(設定!$G$5:$G$20,MATCH($F741,設定!$B$5:$B$20,0)),0))*60&gt;=設定!$C$26,ROUND(FLOOR(($L741-IFERROR(INDEX(設定!$G$5:$G$20,MATCH($F741,設定!$B$5:$B$20,0)),0))*60,設定!$C$27)/60,2),0))</f>
        <v/>
      </c>
      <c r="Q741" s="29">
        <f>IF(OR($C741="",$P741=0),"",IF($F741="國","國定假日",IF($B741="日","例假",IF($B741="六","休息日","平日"))))</f>
        <v/>
      </c>
      <c r="R741" s="34" t="n"/>
    </row>
    <row r="742">
      <c r="A742" s="30">
        <f>IF(OR(班表!$A29="",27&gt;DAY(EOMONTH(DATE(班表!$E$2,班表!$G$2,1),0))),"",DATE(班表!$E$2,班表!$G$2,27))</f>
        <v/>
      </c>
      <c r="B742" s="29">
        <f>IF($A742="","",INDEX(設定!$L$5:$L$11,WEEKDAY($A742,1)))</f>
        <v/>
      </c>
      <c r="C742" s="29">
        <f>IF($A742="","",班表!$A29)</f>
        <v/>
      </c>
      <c r="D742" s="29">
        <f>IF($C742="","",班表!$B29)</f>
        <v/>
      </c>
      <c r="E742" s="29">
        <f>IF($C742="","",班表!$C29)</f>
        <v/>
      </c>
      <c r="F742" s="29">
        <f>IF($C742="","",班表!AD29)</f>
        <v/>
      </c>
      <c r="G742" s="31">
        <f>IF($F742="","",IFERROR(INDEX(設定!$D$5:$D$20,MATCH($F742,設定!$B$5:$B$20,0)),""))</f>
        <v/>
      </c>
      <c r="H742" s="31">
        <f>IF($F742="","",IFERROR(INDEX(設定!$E$5:$E$20,MATCH($F742,設定!$B$5:$B$20,0)),""))</f>
        <v/>
      </c>
      <c r="I742" s="31">
        <f>IFERROR(INDEX(打卡匯入!$C$3:$C$1002,MATCH($C742&amp;"|"&amp;DAY($A742),打卡匯入!$E$3:$E$1002,0)),"")</f>
        <v/>
      </c>
      <c r="J742" s="31">
        <f>IFERROR(INDEX(打卡匯入!$D$3:$D$1002,MATCH($C742&amp;"|"&amp;DAY($A742),打卡匯入!$E$3:$E$1002,0)),"")</f>
        <v/>
      </c>
      <c r="K742" s="32">
        <f>IF(OR($I742="",$J742=""),"",IFERROR(INDEX(設定!$F$5:$F$20,MATCH($F742,設定!$B$5:$B$20,0)),0))</f>
        <v/>
      </c>
      <c r="L742" s="33">
        <f>IF(OR($I742="",$J742=""),"",ROUND(($J742-$I742)*24-$K742/60,2))</f>
        <v/>
      </c>
      <c r="M742" s="29">
        <f>IF($C742="","",IF(AND(COUNTIF(設定!$B$14:$B$20,$F742)&gt;0,$I742&lt;&gt;""),"假日出勤",IF(AND(COUNTIF(設定!$B$5:$B$13,$F742)&gt;0,$I742=""),"未打卡",IF($I742="","",IF($N742&gt;0,"遲到",IF($O742&gt;0,"早退","正常"))))))</f>
        <v/>
      </c>
      <c r="N742" s="32">
        <f>IF(OR($C742="",$G742="",$I742=""),0,IF(ROUND(($I742-$G742)*1440,0)&gt;設定!$C$28,ROUND(($I742-$G742)*1440,0),0))</f>
        <v/>
      </c>
      <c r="O742" s="32">
        <f>IF(OR($C742="",$H742="",$J742=""),0,IF(ROUND(($H742-$J742)*1440,0)&gt;設定!$C$28,ROUND(($H742-$J742)*1440,0),0))</f>
        <v/>
      </c>
      <c r="P742" s="33">
        <f>IF($L742="",0,IF(($L742-IFERROR(INDEX(設定!$G$5:$G$20,MATCH($F742,設定!$B$5:$B$20,0)),0))*60&gt;=設定!$C$26,ROUND(FLOOR(($L742-IFERROR(INDEX(設定!$G$5:$G$20,MATCH($F742,設定!$B$5:$B$20,0)),0))*60,設定!$C$27)/60,2),0))</f>
        <v/>
      </c>
      <c r="Q742" s="29">
        <f>IF(OR($C742="",$P742=0),"",IF($F742="國","國定假日",IF($B742="日","例假",IF($B742="六","休息日","平日"))))</f>
        <v/>
      </c>
      <c r="R742" s="34" t="n"/>
    </row>
    <row r="743">
      <c r="A743" s="30">
        <f>IF(OR(班表!$A29="",28&gt;DAY(EOMONTH(DATE(班表!$E$2,班表!$G$2,1),0))),"",DATE(班表!$E$2,班表!$G$2,28))</f>
        <v/>
      </c>
      <c r="B743" s="29">
        <f>IF($A743="","",INDEX(設定!$L$5:$L$11,WEEKDAY($A743,1)))</f>
        <v/>
      </c>
      <c r="C743" s="29">
        <f>IF($A743="","",班表!$A29)</f>
        <v/>
      </c>
      <c r="D743" s="29">
        <f>IF($C743="","",班表!$B29)</f>
        <v/>
      </c>
      <c r="E743" s="29">
        <f>IF($C743="","",班表!$C29)</f>
        <v/>
      </c>
      <c r="F743" s="29">
        <f>IF($C743="","",班表!AE29)</f>
        <v/>
      </c>
      <c r="G743" s="31">
        <f>IF($F743="","",IFERROR(INDEX(設定!$D$5:$D$20,MATCH($F743,設定!$B$5:$B$20,0)),""))</f>
        <v/>
      </c>
      <c r="H743" s="31">
        <f>IF($F743="","",IFERROR(INDEX(設定!$E$5:$E$20,MATCH($F743,設定!$B$5:$B$20,0)),""))</f>
        <v/>
      </c>
      <c r="I743" s="31">
        <f>IFERROR(INDEX(打卡匯入!$C$3:$C$1002,MATCH($C743&amp;"|"&amp;DAY($A743),打卡匯入!$E$3:$E$1002,0)),"")</f>
        <v/>
      </c>
      <c r="J743" s="31">
        <f>IFERROR(INDEX(打卡匯入!$D$3:$D$1002,MATCH($C743&amp;"|"&amp;DAY($A743),打卡匯入!$E$3:$E$1002,0)),"")</f>
        <v/>
      </c>
      <c r="K743" s="32">
        <f>IF(OR($I743="",$J743=""),"",IFERROR(INDEX(設定!$F$5:$F$20,MATCH($F743,設定!$B$5:$B$20,0)),0))</f>
        <v/>
      </c>
      <c r="L743" s="33">
        <f>IF(OR($I743="",$J743=""),"",ROUND(($J743-$I743)*24-$K743/60,2))</f>
        <v/>
      </c>
      <c r="M743" s="29">
        <f>IF($C743="","",IF(AND(COUNTIF(設定!$B$14:$B$20,$F743)&gt;0,$I743&lt;&gt;""),"假日出勤",IF(AND(COUNTIF(設定!$B$5:$B$13,$F743)&gt;0,$I743=""),"未打卡",IF($I743="","",IF($N743&gt;0,"遲到",IF($O743&gt;0,"早退","正常"))))))</f>
        <v/>
      </c>
      <c r="N743" s="32">
        <f>IF(OR($C743="",$G743="",$I743=""),0,IF(ROUND(($I743-$G743)*1440,0)&gt;設定!$C$28,ROUND(($I743-$G743)*1440,0),0))</f>
        <v/>
      </c>
      <c r="O743" s="32">
        <f>IF(OR($C743="",$H743="",$J743=""),0,IF(ROUND(($H743-$J743)*1440,0)&gt;設定!$C$28,ROUND(($H743-$J743)*1440,0),0))</f>
        <v/>
      </c>
      <c r="P743" s="33">
        <f>IF($L743="",0,IF(($L743-IFERROR(INDEX(設定!$G$5:$G$20,MATCH($F743,設定!$B$5:$B$20,0)),0))*60&gt;=設定!$C$26,ROUND(FLOOR(($L743-IFERROR(INDEX(設定!$G$5:$G$20,MATCH($F743,設定!$B$5:$B$20,0)),0))*60,設定!$C$27)/60,2),0))</f>
        <v/>
      </c>
      <c r="Q743" s="29">
        <f>IF(OR($C743="",$P743=0),"",IF($F743="國","國定假日",IF($B743="日","例假",IF($B743="六","休息日","平日"))))</f>
        <v/>
      </c>
      <c r="R743" s="34" t="n"/>
    </row>
    <row r="744">
      <c r="A744" s="30">
        <f>IF(OR(班表!$A29="",29&gt;DAY(EOMONTH(DATE(班表!$E$2,班表!$G$2,1),0))),"",DATE(班表!$E$2,班表!$G$2,29))</f>
        <v/>
      </c>
      <c r="B744" s="29">
        <f>IF($A744="","",INDEX(設定!$L$5:$L$11,WEEKDAY($A744,1)))</f>
        <v/>
      </c>
      <c r="C744" s="29">
        <f>IF($A744="","",班表!$A29)</f>
        <v/>
      </c>
      <c r="D744" s="29">
        <f>IF($C744="","",班表!$B29)</f>
        <v/>
      </c>
      <c r="E744" s="29">
        <f>IF($C744="","",班表!$C29)</f>
        <v/>
      </c>
      <c r="F744" s="29">
        <f>IF($C744="","",班表!AF29)</f>
        <v/>
      </c>
      <c r="G744" s="31">
        <f>IF($F744="","",IFERROR(INDEX(設定!$D$5:$D$20,MATCH($F744,設定!$B$5:$B$20,0)),""))</f>
        <v/>
      </c>
      <c r="H744" s="31">
        <f>IF($F744="","",IFERROR(INDEX(設定!$E$5:$E$20,MATCH($F744,設定!$B$5:$B$20,0)),""))</f>
        <v/>
      </c>
      <c r="I744" s="31">
        <f>IFERROR(INDEX(打卡匯入!$C$3:$C$1002,MATCH($C744&amp;"|"&amp;DAY($A744),打卡匯入!$E$3:$E$1002,0)),"")</f>
        <v/>
      </c>
      <c r="J744" s="31">
        <f>IFERROR(INDEX(打卡匯入!$D$3:$D$1002,MATCH($C744&amp;"|"&amp;DAY($A744),打卡匯入!$E$3:$E$1002,0)),"")</f>
        <v/>
      </c>
      <c r="K744" s="32">
        <f>IF(OR($I744="",$J744=""),"",IFERROR(INDEX(設定!$F$5:$F$20,MATCH($F744,設定!$B$5:$B$20,0)),0))</f>
        <v/>
      </c>
      <c r="L744" s="33">
        <f>IF(OR($I744="",$J744=""),"",ROUND(($J744-$I744)*24-$K744/60,2))</f>
        <v/>
      </c>
      <c r="M744" s="29">
        <f>IF($C744="","",IF(AND(COUNTIF(設定!$B$14:$B$20,$F744)&gt;0,$I744&lt;&gt;""),"假日出勤",IF(AND(COUNTIF(設定!$B$5:$B$13,$F744)&gt;0,$I744=""),"未打卡",IF($I744="","",IF($N744&gt;0,"遲到",IF($O744&gt;0,"早退","正常"))))))</f>
        <v/>
      </c>
      <c r="N744" s="32">
        <f>IF(OR($C744="",$G744="",$I744=""),0,IF(ROUND(($I744-$G744)*1440,0)&gt;設定!$C$28,ROUND(($I744-$G744)*1440,0),0))</f>
        <v/>
      </c>
      <c r="O744" s="32">
        <f>IF(OR($C744="",$H744="",$J744=""),0,IF(ROUND(($H744-$J744)*1440,0)&gt;設定!$C$28,ROUND(($H744-$J744)*1440,0),0))</f>
        <v/>
      </c>
      <c r="P744" s="33">
        <f>IF($L744="",0,IF(($L744-IFERROR(INDEX(設定!$G$5:$G$20,MATCH($F744,設定!$B$5:$B$20,0)),0))*60&gt;=設定!$C$26,ROUND(FLOOR(($L744-IFERROR(INDEX(設定!$G$5:$G$20,MATCH($F744,設定!$B$5:$B$20,0)),0))*60,設定!$C$27)/60,2),0))</f>
        <v/>
      </c>
      <c r="Q744" s="29">
        <f>IF(OR($C744="",$P744=0),"",IF($F744="國","國定假日",IF($B744="日","例假",IF($B744="六","休息日","平日"))))</f>
        <v/>
      </c>
      <c r="R744" s="34" t="n"/>
    </row>
    <row r="745">
      <c r="A745" s="30">
        <f>IF(OR(班表!$A29="",30&gt;DAY(EOMONTH(DATE(班表!$E$2,班表!$G$2,1),0))),"",DATE(班表!$E$2,班表!$G$2,30))</f>
        <v/>
      </c>
      <c r="B745" s="29">
        <f>IF($A745="","",INDEX(設定!$L$5:$L$11,WEEKDAY($A745,1)))</f>
        <v/>
      </c>
      <c r="C745" s="29">
        <f>IF($A745="","",班表!$A29)</f>
        <v/>
      </c>
      <c r="D745" s="29">
        <f>IF($C745="","",班表!$B29)</f>
        <v/>
      </c>
      <c r="E745" s="29">
        <f>IF($C745="","",班表!$C29)</f>
        <v/>
      </c>
      <c r="F745" s="29">
        <f>IF($C745="","",班表!AG29)</f>
        <v/>
      </c>
      <c r="G745" s="31">
        <f>IF($F745="","",IFERROR(INDEX(設定!$D$5:$D$20,MATCH($F745,設定!$B$5:$B$20,0)),""))</f>
        <v/>
      </c>
      <c r="H745" s="31">
        <f>IF($F745="","",IFERROR(INDEX(設定!$E$5:$E$20,MATCH($F745,設定!$B$5:$B$20,0)),""))</f>
        <v/>
      </c>
      <c r="I745" s="31">
        <f>IFERROR(INDEX(打卡匯入!$C$3:$C$1002,MATCH($C745&amp;"|"&amp;DAY($A745),打卡匯入!$E$3:$E$1002,0)),"")</f>
        <v/>
      </c>
      <c r="J745" s="31">
        <f>IFERROR(INDEX(打卡匯入!$D$3:$D$1002,MATCH($C745&amp;"|"&amp;DAY($A745),打卡匯入!$E$3:$E$1002,0)),"")</f>
        <v/>
      </c>
      <c r="K745" s="32">
        <f>IF(OR($I745="",$J745=""),"",IFERROR(INDEX(設定!$F$5:$F$20,MATCH($F745,設定!$B$5:$B$20,0)),0))</f>
        <v/>
      </c>
      <c r="L745" s="33">
        <f>IF(OR($I745="",$J745=""),"",ROUND(($J745-$I745)*24-$K745/60,2))</f>
        <v/>
      </c>
      <c r="M745" s="29">
        <f>IF($C745="","",IF(AND(COUNTIF(設定!$B$14:$B$20,$F745)&gt;0,$I745&lt;&gt;""),"假日出勤",IF(AND(COUNTIF(設定!$B$5:$B$13,$F745)&gt;0,$I745=""),"未打卡",IF($I745="","",IF($N745&gt;0,"遲到",IF($O745&gt;0,"早退","正常"))))))</f>
        <v/>
      </c>
      <c r="N745" s="32">
        <f>IF(OR($C745="",$G745="",$I745=""),0,IF(ROUND(($I745-$G745)*1440,0)&gt;設定!$C$28,ROUND(($I745-$G745)*1440,0),0))</f>
        <v/>
      </c>
      <c r="O745" s="32">
        <f>IF(OR($C745="",$H745="",$J745=""),0,IF(ROUND(($H745-$J745)*1440,0)&gt;設定!$C$28,ROUND(($H745-$J745)*1440,0),0))</f>
        <v/>
      </c>
      <c r="P745" s="33">
        <f>IF($L745="",0,IF(($L745-IFERROR(INDEX(設定!$G$5:$G$20,MATCH($F745,設定!$B$5:$B$20,0)),0))*60&gt;=設定!$C$26,ROUND(FLOOR(($L745-IFERROR(INDEX(設定!$G$5:$G$20,MATCH($F745,設定!$B$5:$B$20,0)),0))*60,設定!$C$27)/60,2),0))</f>
        <v/>
      </c>
      <c r="Q745" s="29">
        <f>IF(OR($C745="",$P745=0),"",IF($F745="國","國定假日",IF($B745="日","例假",IF($B745="六","休息日","平日"))))</f>
        <v/>
      </c>
      <c r="R745" s="34" t="n"/>
    </row>
    <row r="746">
      <c r="A746" s="30">
        <f>IF(OR(班表!$A29="",31&gt;DAY(EOMONTH(DATE(班表!$E$2,班表!$G$2,1),0))),"",DATE(班表!$E$2,班表!$G$2,31))</f>
        <v/>
      </c>
      <c r="B746" s="29">
        <f>IF($A746="","",INDEX(設定!$L$5:$L$11,WEEKDAY($A746,1)))</f>
        <v/>
      </c>
      <c r="C746" s="29">
        <f>IF($A746="","",班表!$A29)</f>
        <v/>
      </c>
      <c r="D746" s="29">
        <f>IF($C746="","",班表!$B29)</f>
        <v/>
      </c>
      <c r="E746" s="29">
        <f>IF($C746="","",班表!$C29)</f>
        <v/>
      </c>
      <c r="F746" s="29">
        <f>IF($C746="","",班表!AH29)</f>
        <v/>
      </c>
      <c r="G746" s="31">
        <f>IF($F746="","",IFERROR(INDEX(設定!$D$5:$D$20,MATCH($F746,設定!$B$5:$B$20,0)),""))</f>
        <v/>
      </c>
      <c r="H746" s="31">
        <f>IF($F746="","",IFERROR(INDEX(設定!$E$5:$E$20,MATCH($F746,設定!$B$5:$B$20,0)),""))</f>
        <v/>
      </c>
      <c r="I746" s="31">
        <f>IFERROR(INDEX(打卡匯入!$C$3:$C$1002,MATCH($C746&amp;"|"&amp;DAY($A746),打卡匯入!$E$3:$E$1002,0)),"")</f>
        <v/>
      </c>
      <c r="J746" s="31">
        <f>IFERROR(INDEX(打卡匯入!$D$3:$D$1002,MATCH($C746&amp;"|"&amp;DAY($A746),打卡匯入!$E$3:$E$1002,0)),"")</f>
        <v/>
      </c>
      <c r="K746" s="32">
        <f>IF(OR($I746="",$J746=""),"",IFERROR(INDEX(設定!$F$5:$F$20,MATCH($F746,設定!$B$5:$B$20,0)),0))</f>
        <v/>
      </c>
      <c r="L746" s="33">
        <f>IF(OR($I746="",$J746=""),"",ROUND(($J746-$I746)*24-$K746/60,2))</f>
        <v/>
      </c>
      <c r="M746" s="29">
        <f>IF($C746="","",IF(AND(COUNTIF(設定!$B$14:$B$20,$F746)&gt;0,$I746&lt;&gt;""),"假日出勤",IF(AND(COUNTIF(設定!$B$5:$B$13,$F746)&gt;0,$I746=""),"未打卡",IF($I746="","",IF($N746&gt;0,"遲到",IF($O746&gt;0,"早退","正常"))))))</f>
        <v/>
      </c>
      <c r="N746" s="32">
        <f>IF(OR($C746="",$G746="",$I746=""),0,IF(ROUND(($I746-$G746)*1440,0)&gt;設定!$C$28,ROUND(($I746-$G746)*1440,0),0))</f>
        <v/>
      </c>
      <c r="O746" s="32">
        <f>IF(OR($C746="",$H746="",$J746=""),0,IF(ROUND(($H746-$J746)*1440,0)&gt;設定!$C$28,ROUND(($H746-$J746)*1440,0),0))</f>
        <v/>
      </c>
      <c r="P746" s="33">
        <f>IF($L746="",0,IF(($L746-IFERROR(INDEX(設定!$G$5:$G$20,MATCH($F746,設定!$B$5:$B$20,0)),0))*60&gt;=設定!$C$26,ROUND(FLOOR(($L746-IFERROR(INDEX(設定!$G$5:$G$20,MATCH($F746,設定!$B$5:$B$20,0)),0))*60,設定!$C$27)/60,2),0))</f>
        <v/>
      </c>
      <c r="Q746" s="29">
        <f>IF(OR($C746="",$P746=0),"",IF($F746="國","國定假日",IF($B746="日","例假",IF($B746="六","休息日","平日"))))</f>
        <v/>
      </c>
      <c r="R746" s="34" t="n"/>
    </row>
    <row r="747">
      <c r="A747" s="30">
        <f>IF(OR(班表!$A30="",1&gt;DAY(EOMONTH(DATE(班表!$E$2,班表!$G$2,1),0))),"",DATE(班表!$E$2,班表!$G$2,1))</f>
        <v/>
      </c>
      <c r="B747" s="29">
        <f>IF($A747="","",INDEX(設定!$L$5:$L$11,WEEKDAY($A747,1)))</f>
        <v/>
      </c>
      <c r="C747" s="29">
        <f>IF($A747="","",班表!$A30)</f>
        <v/>
      </c>
      <c r="D747" s="29">
        <f>IF($C747="","",班表!$B30)</f>
        <v/>
      </c>
      <c r="E747" s="29">
        <f>IF($C747="","",班表!$C30)</f>
        <v/>
      </c>
      <c r="F747" s="29">
        <f>IF($C747="","",班表!D30)</f>
        <v/>
      </c>
      <c r="G747" s="31">
        <f>IF($F747="","",IFERROR(INDEX(設定!$D$5:$D$20,MATCH($F747,設定!$B$5:$B$20,0)),""))</f>
        <v/>
      </c>
      <c r="H747" s="31">
        <f>IF($F747="","",IFERROR(INDEX(設定!$E$5:$E$20,MATCH($F747,設定!$B$5:$B$20,0)),""))</f>
        <v/>
      </c>
      <c r="I747" s="31">
        <f>IFERROR(INDEX(打卡匯入!$C$3:$C$1002,MATCH($C747&amp;"|"&amp;DAY($A747),打卡匯入!$E$3:$E$1002,0)),"")</f>
        <v/>
      </c>
      <c r="J747" s="31">
        <f>IFERROR(INDEX(打卡匯入!$D$3:$D$1002,MATCH($C747&amp;"|"&amp;DAY($A747),打卡匯入!$E$3:$E$1002,0)),"")</f>
        <v/>
      </c>
      <c r="K747" s="32">
        <f>IF(OR($I747="",$J747=""),"",IFERROR(INDEX(設定!$F$5:$F$20,MATCH($F747,設定!$B$5:$B$20,0)),0))</f>
        <v/>
      </c>
      <c r="L747" s="33">
        <f>IF(OR($I747="",$J747=""),"",ROUND(($J747-$I747)*24-$K747/60,2))</f>
        <v/>
      </c>
      <c r="M747" s="29">
        <f>IF($C747="","",IF(AND(COUNTIF(設定!$B$14:$B$20,$F747)&gt;0,$I747&lt;&gt;""),"假日出勤",IF(AND(COUNTIF(設定!$B$5:$B$13,$F747)&gt;0,$I747=""),"未打卡",IF($I747="","",IF($N747&gt;0,"遲到",IF($O747&gt;0,"早退","正常"))))))</f>
        <v/>
      </c>
      <c r="N747" s="32">
        <f>IF(OR($C747="",$G747="",$I747=""),0,IF(ROUND(($I747-$G747)*1440,0)&gt;設定!$C$28,ROUND(($I747-$G747)*1440,0),0))</f>
        <v/>
      </c>
      <c r="O747" s="32">
        <f>IF(OR($C747="",$H747="",$J747=""),0,IF(ROUND(($H747-$J747)*1440,0)&gt;設定!$C$28,ROUND(($H747-$J747)*1440,0),0))</f>
        <v/>
      </c>
      <c r="P747" s="33">
        <f>IF($L747="",0,IF(($L747-IFERROR(INDEX(設定!$G$5:$G$20,MATCH($F747,設定!$B$5:$B$20,0)),0))*60&gt;=設定!$C$26,ROUND(FLOOR(($L747-IFERROR(INDEX(設定!$G$5:$G$20,MATCH($F747,設定!$B$5:$B$20,0)),0))*60,設定!$C$27)/60,2),0))</f>
        <v/>
      </c>
      <c r="Q747" s="29">
        <f>IF(OR($C747="",$P747=0),"",IF($F747="國","國定假日",IF($B747="日","例假",IF($B747="六","休息日","平日"))))</f>
        <v/>
      </c>
      <c r="R747" s="34" t="n"/>
    </row>
    <row r="748">
      <c r="A748" s="30">
        <f>IF(OR(班表!$A30="",2&gt;DAY(EOMONTH(DATE(班表!$E$2,班表!$G$2,1),0))),"",DATE(班表!$E$2,班表!$G$2,2))</f>
        <v/>
      </c>
      <c r="B748" s="29">
        <f>IF($A748="","",INDEX(設定!$L$5:$L$11,WEEKDAY($A748,1)))</f>
        <v/>
      </c>
      <c r="C748" s="29">
        <f>IF($A748="","",班表!$A30)</f>
        <v/>
      </c>
      <c r="D748" s="29">
        <f>IF($C748="","",班表!$B30)</f>
        <v/>
      </c>
      <c r="E748" s="29">
        <f>IF($C748="","",班表!$C30)</f>
        <v/>
      </c>
      <c r="F748" s="29">
        <f>IF($C748="","",班表!E30)</f>
        <v/>
      </c>
      <c r="G748" s="31">
        <f>IF($F748="","",IFERROR(INDEX(設定!$D$5:$D$20,MATCH($F748,設定!$B$5:$B$20,0)),""))</f>
        <v/>
      </c>
      <c r="H748" s="31">
        <f>IF($F748="","",IFERROR(INDEX(設定!$E$5:$E$20,MATCH($F748,設定!$B$5:$B$20,0)),""))</f>
        <v/>
      </c>
      <c r="I748" s="31">
        <f>IFERROR(INDEX(打卡匯入!$C$3:$C$1002,MATCH($C748&amp;"|"&amp;DAY($A748),打卡匯入!$E$3:$E$1002,0)),"")</f>
        <v/>
      </c>
      <c r="J748" s="31">
        <f>IFERROR(INDEX(打卡匯入!$D$3:$D$1002,MATCH($C748&amp;"|"&amp;DAY($A748),打卡匯入!$E$3:$E$1002,0)),"")</f>
        <v/>
      </c>
      <c r="K748" s="32">
        <f>IF(OR($I748="",$J748=""),"",IFERROR(INDEX(設定!$F$5:$F$20,MATCH($F748,設定!$B$5:$B$20,0)),0))</f>
        <v/>
      </c>
      <c r="L748" s="33">
        <f>IF(OR($I748="",$J748=""),"",ROUND(($J748-$I748)*24-$K748/60,2))</f>
        <v/>
      </c>
      <c r="M748" s="29">
        <f>IF($C748="","",IF(AND(COUNTIF(設定!$B$14:$B$20,$F748)&gt;0,$I748&lt;&gt;""),"假日出勤",IF(AND(COUNTIF(設定!$B$5:$B$13,$F748)&gt;0,$I748=""),"未打卡",IF($I748="","",IF($N748&gt;0,"遲到",IF($O748&gt;0,"早退","正常"))))))</f>
        <v/>
      </c>
      <c r="N748" s="32">
        <f>IF(OR($C748="",$G748="",$I748=""),0,IF(ROUND(($I748-$G748)*1440,0)&gt;設定!$C$28,ROUND(($I748-$G748)*1440,0),0))</f>
        <v/>
      </c>
      <c r="O748" s="32">
        <f>IF(OR($C748="",$H748="",$J748=""),0,IF(ROUND(($H748-$J748)*1440,0)&gt;設定!$C$28,ROUND(($H748-$J748)*1440,0),0))</f>
        <v/>
      </c>
      <c r="P748" s="33">
        <f>IF($L748="",0,IF(($L748-IFERROR(INDEX(設定!$G$5:$G$20,MATCH($F748,設定!$B$5:$B$20,0)),0))*60&gt;=設定!$C$26,ROUND(FLOOR(($L748-IFERROR(INDEX(設定!$G$5:$G$20,MATCH($F748,設定!$B$5:$B$20,0)),0))*60,設定!$C$27)/60,2),0))</f>
        <v/>
      </c>
      <c r="Q748" s="29">
        <f>IF(OR($C748="",$P748=0),"",IF($F748="國","國定假日",IF($B748="日","例假",IF($B748="六","休息日","平日"))))</f>
        <v/>
      </c>
      <c r="R748" s="34" t="n"/>
    </row>
    <row r="749">
      <c r="A749" s="30">
        <f>IF(OR(班表!$A30="",3&gt;DAY(EOMONTH(DATE(班表!$E$2,班表!$G$2,1),0))),"",DATE(班表!$E$2,班表!$G$2,3))</f>
        <v/>
      </c>
      <c r="B749" s="29">
        <f>IF($A749="","",INDEX(設定!$L$5:$L$11,WEEKDAY($A749,1)))</f>
        <v/>
      </c>
      <c r="C749" s="29">
        <f>IF($A749="","",班表!$A30)</f>
        <v/>
      </c>
      <c r="D749" s="29">
        <f>IF($C749="","",班表!$B30)</f>
        <v/>
      </c>
      <c r="E749" s="29">
        <f>IF($C749="","",班表!$C30)</f>
        <v/>
      </c>
      <c r="F749" s="29">
        <f>IF($C749="","",班表!F30)</f>
        <v/>
      </c>
      <c r="G749" s="31">
        <f>IF($F749="","",IFERROR(INDEX(設定!$D$5:$D$20,MATCH($F749,設定!$B$5:$B$20,0)),""))</f>
        <v/>
      </c>
      <c r="H749" s="31">
        <f>IF($F749="","",IFERROR(INDEX(設定!$E$5:$E$20,MATCH($F749,設定!$B$5:$B$20,0)),""))</f>
        <v/>
      </c>
      <c r="I749" s="31">
        <f>IFERROR(INDEX(打卡匯入!$C$3:$C$1002,MATCH($C749&amp;"|"&amp;DAY($A749),打卡匯入!$E$3:$E$1002,0)),"")</f>
        <v/>
      </c>
      <c r="J749" s="31">
        <f>IFERROR(INDEX(打卡匯入!$D$3:$D$1002,MATCH($C749&amp;"|"&amp;DAY($A749),打卡匯入!$E$3:$E$1002,0)),"")</f>
        <v/>
      </c>
      <c r="K749" s="32">
        <f>IF(OR($I749="",$J749=""),"",IFERROR(INDEX(設定!$F$5:$F$20,MATCH($F749,設定!$B$5:$B$20,0)),0))</f>
        <v/>
      </c>
      <c r="L749" s="33">
        <f>IF(OR($I749="",$J749=""),"",ROUND(($J749-$I749)*24-$K749/60,2))</f>
        <v/>
      </c>
      <c r="M749" s="29">
        <f>IF($C749="","",IF(AND(COUNTIF(設定!$B$14:$B$20,$F749)&gt;0,$I749&lt;&gt;""),"假日出勤",IF(AND(COUNTIF(設定!$B$5:$B$13,$F749)&gt;0,$I749=""),"未打卡",IF($I749="","",IF($N749&gt;0,"遲到",IF($O749&gt;0,"早退","正常"))))))</f>
        <v/>
      </c>
      <c r="N749" s="32">
        <f>IF(OR($C749="",$G749="",$I749=""),0,IF(ROUND(($I749-$G749)*1440,0)&gt;設定!$C$28,ROUND(($I749-$G749)*1440,0),0))</f>
        <v/>
      </c>
      <c r="O749" s="32">
        <f>IF(OR($C749="",$H749="",$J749=""),0,IF(ROUND(($H749-$J749)*1440,0)&gt;設定!$C$28,ROUND(($H749-$J749)*1440,0),0))</f>
        <v/>
      </c>
      <c r="P749" s="33">
        <f>IF($L749="",0,IF(($L749-IFERROR(INDEX(設定!$G$5:$G$20,MATCH($F749,設定!$B$5:$B$20,0)),0))*60&gt;=設定!$C$26,ROUND(FLOOR(($L749-IFERROR(INDEX(設定!$G$5:$G$20,MATCH($F749,設定!$B$5:$B$20,0)),0))*60,設定!$C$27)/60,2),0))</f>
        <v/>
      </c>
      <c r="Q749" s="29">
        <f>IF(OR($C749="",$P749=0),"",IF($F749="國","國定假日",IF($B749="日","例假",IF($B749="六","休息日","平日"))))</f>
        <v/>
      </c>
      <c r="R749" s="34" t="n"/>
    </row>
    <row r="750">
      <c r="A750" s="30">
        <f>IF(OR(班表!$A30="",4&gt;DAY(EOMONTH(DATE(班表!$E$2,班表!$G$2,1),0))),"",DATE(班表!$E$2,班表!$G$2,4))</f>
        <v/>
      </c>
      <c r="B750" s="29">
        <f>IF($A750="","",INDEX(設定!$L$5:$L$11,WEEKDAY($A750,1)))</f>
        <v/>
      </c>
      <c r="C750" s="29">
        <f>IF($A750="","",班表!$A30)</f>
        <v/>
      </c>
      <c r="D750" s="29">
        <f>IF($C750="","",班表!$B30)</f>
        <v/>
      </c>
      <c r="E750" s="29">
        <f>IF($C750="","",班表!$C30)</f>
        <v/>
      </c>
      <c r="F750" s="29">
        <f>IF($C750="","",班表!G30)</f>
        <v/>
      </c>
      <c r="G750" s="31">
        <f>IF($F750="","",IFERROR(INDEX(設定!$D$5:$D$20,MATCH($F750,設定!$B$5:$B$20,0)),""))</f>
        <v/>
      </c>
      <c r="H750" s="31">
        <f>IF($F750="","",IFERROR(INDEX(設定!$E$5:$E$20,MATCH($F750,設定!$B$5:$B$20,0)),""))</f>
        <v/>
      </c>
      <c r="I750" s="31">
        <f>IFERROR(INDEX(打卡匯入!$C$3:$C$1002,MATCH($C750&amp;"|"&amp;DAY($A750),打卡匯入!$E$3:$E$1002,0)),"")</f>
        <v/>
      </c>
      <c r="J750" s="31">
        <f>IFERROR(INDEX(打卡匯入!$D$3:$D$1002,MATCH($C750&amp;"|"&amp;DAY($A750),打卡匯入!$E$3:$E$1002,0)),"")</f>
        <v/>
      </c>
      <c r="K750" s="32">
        <f>IF(OR($I750="",$J750=""),"",IFERROR(INDEX(設定!$F$5:$F$20,MATCH($F750,設定!$B$5:$B$20,0)),0))</f>
        <v/>
      </c>
      <c r="L750" s="33">
        <f>IF(OR($I750="",$J750=""),"",ROUND(($J750-$I750)*24-$K750/60,2))</f>
        <v/>
      </c>
      <c r="M750" s="29">
        <f>IF($C750="","",IF(AND(COUNTIF(設定!$B$14:$B$20,$F750)&gt;0,$I750&lt;&gt;""),"假日出勤",IF(AND(COUNTIF(設定!$B$5:$B$13,$F750)&gt;0,$I750=""),"未打卡",IF($I750="","",IF($N750&gt;0,"遲到",IF($O750&gt;0,"早退","正常"))))))</f>
        <v/>
      </c>
      <c r="N750" s="32">
        <f>IF(OR($C750="",$G750="",$I750=""),0,IF(ROUND(($I750-$G750)*1440,0)&gt;設定!$C$28,ROUND(($I750-$G750)*1440,0),0))</f>
        <v/>
      </c>
      <c r="O750" s="32">
        <f>IF(OR($C750="",$H750="",$J750=""),0,IF(ROUND(($H750-$J750)*1440,0)&gt;設定!$C$28,ROUND(($H750-$J750)*1440,0),0))</f>
        <v/>
      </c>
      <c r="P750" s="33">
        <f>IF($L750="",0,IF(($L750-IFERROR(INDEX(設定!$G$5:$G$20,MATCH($F750,設定!$B$5:$B$20,0)),0))*60&gt;=設定!$C$26,ROUND(FLOOR(($L750-IFERROR(INDEX(設定!$G$5:$G$20,MATCH($F750,設定!$B$5:$B$20,0)),0))*60,設定!$C$27)/60,2),0))</f>
        <v/>
      </c>
      <c r="Q750" s="29">
        <f>IF(OR($C750="",$P750=0),"",IF($F750="國","國定假日",IF($B750="日","例假",IF($B750="六","休息日","平日"))))</f>
        <v/>
      </c>
      <c r="R750" s="34" t="n"/>
    </row>
    <row r="751">
      <c r="A751" s="30">
        <f>IF(OR(班表!$A30="",5&gt;DAY(EOMONTH(DATE(班表!$E$2,班表!$G$2,1),0))),"",DATE(班表!$E$2,班表!$G$2,5))</f>
        <v/>
      </c>
      <c r="B751" s="29">
        <f>IF($A751="","",INDEX(設定!$L$5:$L$11,WEEKDAY($A751,1)))</f>
        <v/>
      </c>
      <c r="C751" s="29">
        <f>IF($A751="","",班表!$A30)</f>
        <v/>
      </c>
      <c r="D751" s="29">
        <f>IF($C751="","",班表!$B30)</f>
        <v/>
      </c>
      <c r="E751" s="29">
        <f>IF($C751="","",班表!$C30)</f>
        <v/>
      </c>
      <c r="F751" s="29">
        <f>IF($C751="","",班表!H30)</f>
        <v/>
      </c>
      <c r="G751" s="31">
        <f>IF($F751="","",IFERROR(INDEX(設定!$D$5:$D$20,MATCH($F751,設定!$B$5:$B$20,0)),""))</f>
        <v/>
      </c>
      <c r="H751" s="31">
        <f>IF($F751="","",IFERROR(INDEX(設定!$E$5:$E$20,MATCH($F751,設定!$B$5:$B$20,0)),""))</f>
        <v/>
      </c>
      <c r="I751" s="31">
        <f>IFERROR(INDEX(打卡匯入!$C$3:$C$1002,MATCH($C751&amp;"|"&amp;DAY($A751),打卡匯入!$E$3:$E$1002,0)),"")</f>
        <v/>
      </c>
      <c r="J751" s="31">
        <f>IFERROR(INDEX(打卡匯入!$D$3:$D$1002,MATCH($C751&amp;"|"&amp;DAY($A751),打卡匯入!$E$3:$E$1002,0)),"")</f>
        <v/>
      </c>
      <c r="K751" s="32">
        <f>IF(OR($I751="",$J751=""),"",IFERROR(INDEX(設定!$F$5:$F$20,MATCH($F751,設定!$B$5:$B$20,0)),0))</f>
        <v/>
      </c>
      <c r="L751" s="33">
        <f>IF(OR($I751="",$J751=""),"",ROUND(($J751-$I751)*24-$K751/60,2))</f>
        <v/>
      </c>
      <c r="M751" s="29">
        <f>IF($C751="","",IF(AND(COUNTIF(設定!$B$14:$B$20,$F751)&gt;0,$I751&lt;&gt;""),"假日出勤",IF(AND(COUNTIF(設定!$B$5:$B$13,$F751)&gt;0,$I751=""),"未打卡",IF($I751="","",IF($N751&gt;0,"遲到",IF($O751&gt;0,"早退","正常"))))))</f>
        <v/>
      </c>
      <c r="N751" s="32">
        <f>IF(OR($C751="",$G751="",$I751=""),0,IF(ROUND(($I751-$G751)*1440,0)&gt;設定!$C$28,ROUND(($I751-$G751)*1440,0),0))</f>
        <v/>
      </c>
      <c r="O751" s="32">
        <f>IF(OR($C751="",$H751="",$J751=""),0,IF(ROUND(($H751-$J751)*1440,0)&gt;設定!$C$28,ROUND(($H751-$J751)*1440,0),0))</f>
        <v/>
      </c>
      <c r="P751" s="33">
        <f>IF($L751="",0,IF(($L751-IFERROR(INDEX(設定!$G$5:$G$20,MATCH($F751,設定!$B$5:$B$20,0)),0))*60&gt;=設定!$C$26,ROUND(FLOOR(($L751-IFERROR(INDEX(設定!$G$5:$G$20,MATCH($F751,設定!$B$5:$B$20,0)),0))*60,設定!$C$27)/60,2),0))</f>
        <v/>
      </c>
      <c r="Q751" s="29">
        <f>IF(OR($C751="",$P751=0),"",IF($F751="國","國定假日",IF($B751="日","例假",IF($B751="六","休息日","平日"))))</f>
        <v/>
      </c>
      <c r="R751" s="34" t="n"/>
    </row>
    <row r="752">
      <c r="A752" s="30">
        <f>IF(OR(班表!$A30="",6&gt;DAY(EOMONTH(DATE(班表!$E$2,班表!$G$2,1),0))),"",DATE(班表!$E$2,班表!$G$2,6))</f>
        <v/>
      </c>
      <c r="B752" s="29">
        <f>IF($A752="","",INDEX(設定!$L$5:$L$11,WEEKDAY($A752,1)))</f>
        <v/>
      </c>
      <c r="C752" s="29">
        <f>IF($A752="","",班表!$A30)</f>
        <v/>
      </c>
      <c r="D752" s="29">
        <f>IF($C752="","",班表!$B30)</f>
        <v/>
      </c>
      <c r="E752" s="29">
        <f>IF($C752="","",班表!$C30)</f>
        <v/>
      </c>
      <c r="F752" s="29">
        <f>IF($C752="","",班表!I30)</f>
        <v/>
      </c>
      <c r="G752" s="31">
        <f>IF($F752="","",IFERROR(INDEX(設定!$D$5:$D$20,MATCH($F752,設定!$B$5:$B$20,0)),""))</f>
        <v/>
      </c>
      <c r="H752" s="31">
        <f>IF($F752="","",IFERROR(INDEX(設定!$E$5:$E$20,MATCH($F752,設定!$B$5:$B$20,0)),""))</f>
        <v/>
      </c>
      <c r="I752" s="31">
        <f>IFERROR(INDEX(打卡匯入!$C$3:$C$1002,MATCH($C752&amp;"|"&amp;DAY($A752),打卡匯入!$E$3:$E$1002,0)),"")</f>
        <v/>
      </c>
      <c r="J752" s="31">
        <f>IFERROR(INDEX(打卡匯入!$D$3:$D$1002,MATCH($C752&amp;"|"&amp;DAY($A752),打卡匯入!$E$3:$E$1002,0)),"")</f>
        <v/>
      </c>
      <c r="K752" s="32">
        <f>IF(OR($I752="",$J752=""),"",IFERROR(INDEX(設定!$F$5:$F$20,MATCH($F752,設定!$B$5:$B$20,0)),0))</f>
        <v/>
      </c>
      <c r="L752" s="33">
        <f>IF(OR($I752="",$J752=""),"",ROUND(($J752-$I752)*24-$K752/60,2))</f>
        <v/>
      </c>
      <c r="M752" s="29">
        <f>IF($C752="","",IF(AND(COUNTIF(設定!$B$14:$B$20,$F752)&gt;0,$I752&lt;&gt;""),"假日出勤",IF(AND(COUNTIF(設定!$B$5:$B$13,$F752)&gt;0,$I752=""),"未打卡",IF($I752="","",IF($N752&gt;0,"遲到",IF($O752&gt;0,"早退","正常"))))))</f>
        <v/>
      </c>
      <c r="N752" s="32">
        <f>IF(OR($C752="",$G752="",$I752=""),0,IF(ROUND(($I752-$G752)*1440,0)&gt;設定!$C$28,ROUND(($I752-$G752)*1440,0),0))</f>
        <v/>
      </c>
      <c r="O752" s="32">
        <f>IF(OR($C752="",$H752="",$J752=""),0,IF(ROUND(($H752-$J752)*1440,0)&gt;設定!$C$28,ROUND(($H752-$J752)*1440,0),0))</f>
        <v/>
      </c>
      <c r="P752" s="33">
        <f>IF($L752="",0,IF(($L752-IFERROR(INDEX(設定!$G$5:$G$20,MATCH($F752,設定!$B$5:$B$20,0)),0))*60&gt;=設定!$C$26,ROUND(FLOOR(($L752-IFERROR(INDEX(設定!$G$5:$G$20,MATCH($F752,設定!$B$5:$B$20,0)),0))*60,設定!$C$27)/60,2),0))</f>
        <v/>
      </c>
      <c r="Q752" s="29">
        <f>IF(OR($C752="",$P752=0),"",IF($F752="國","國定假日",IF($B752="日","例假",IF($B752="六","休息日","平日"))))</f>
        <v/>
      </c>
      <c r="R752" s="34" t="n"/>
    </row>
    <row r="753">
      <c r="A753" s="30">
        <f>IF(OR(班表!$A30="",7&gt;DAY(EOMONTH(DATE(班表!$E$2,班表!$G$2,1),0))),"",DATE(班表!$E$2,班表!$G$2,7))</f>
        <v/>
      </c>
      <c r="B753" s="29">
        <f>IF($A753="","",INDEX(設定!$L$5:$L$11,WEEKDAY($A753,1)))</f>
        <v/>
      </c>
      <c r="C753" s="29">
        <f>IF($A753="","",班表!$A30)</f>
        <v/>
      </c>
      <c r="D753" s="29">
        <f>IF($C753="","",班表!$B30)</f>
        <v/>
      </c>
      <c r="E753" s="29">
        <f>IF($C753="","",班表!$C30)</f>
        <v/>
      </c>
      <c r="F753" s="29">
        <f>IF($C753="","",班表!J30)</f>
        <v/>
      </c>
      <c r="G753" s="31">
        <f>IF($F753="","",IFERROR(INDEX(設定!$D$5:$D$20,MATCH($F753,設定!$B$5:$B$20,0)),""))</f>
        <v/>
      </c>
      <c r="H753" s="31">
        <f>IF($F753="","",IFERROR(INDEX(設定!$E$5:$E$20,MATCH($F753,設定!$B$5:$B$20,0)),""))</f>
        <v/>
      </c>
      <c r="I753" s="31">
        <f>IFERROR(INDEX(打卡匯入!$C$3:$C$1002,MATCH($C753&amp;"|"&amp;DAY($A753),打卡匯入!$E$3:$E$1002,0)),"")</f>
        <v/>
      </c>
      <c r="J753" s="31">
        <f>IFERROR(INDEX(打卡匯入!$D$3:$D$1002,MATCH($C753&amp;"|"&amp;DAY($A753),打卡匯入!$E$3:$E$1002,0)),"")</f>
        <v/>
      </c>
      <c r="K753" s="32">
        <f>IF(OR($I753="",$J753=""),"",IFERROR(INDEX(設定!$F$5:$F$20,MATCH($F753,設定!$B$5:$B$20,0)),0))</f>
        <v/>
      </c>
      <c r="L753" s="33">
        <f>IF(OR($I753="",$J753=""),"",ROUND(($J753-$I753)*24-$K753/60,2))</f>
        <v/>
      </c>
      <c r="M753" s="29">
        <f>IF($C753="","",IF(AND(COUNTIF(設定!$B$14:$B$20,$F753)&gt;0,$I753&lt;&gt;""),"假日出勤",IF(AND(COUNTIF(設定!$B$5:$B$13,$F753)&gt;0,$I753=""),"未打卡",IF($I753="","",IF($N753&gt;0,"遲到",IF($O753&gt;0,"早退","正常"))))))</f>
        <v/>
      </c>
      <c r="N753" s="32">
        <f>IF(OR($C753="",$G753="",$I753=""),0,IF(ROUND(($I753-$G753)*1440,0)&gt;設定!$C$28,ROUND(($I753-$G753)*1440,0),0))</f>
        <v/>
      </c>
      <c r="O753" s="32">
        <f>IF(OR($C753="",$H753="",$J753=""),0,IF(ROUND(($H753-$J753)*1440,0)&gt;設定!$C$28,ROUND(($H753-$J753)*1440,0),0))</f>
        <v/>
      </c>
      <c r="P753" s="33">
        <f>IF($L753="",0,IF(($L753-IFERROR(INDEX(設定!$G$5:$G$20,MATCH($F753,設定!$B$5:$B$20,0)),0))*60&gt;=設定!$C$26,ROUND(FLOOR(($L753-IFERROR(INDEX(設定!$G$5:$G$20,MATCH($F753,設定!$B$5:$B$20,0)),0))*60,設定!$C$27)/60,2),0))</f>
        <v/>
      </c>
      <c r="Q753" s="29">
        <f>IF(OR($C753="",$P753=0),"",IF($F753="國","國定假日",IF($B753="日","例假",IF($B753="六","休息日","平日"))))</f>
        <v/>
      </c>
      <c r="R753" s="34" t="n"/>
    </row>
    <row r="754">
      <c r="A754" s="30">
        <f>IF(OR(班表!$A30="",8&gt;DAY(EOMONTH(DATE(班表!$E$2,班表!$G$2,1),0))),"",DATE(班表!$E$2,班表!$G$2,8))</f>
        <v/>
      </c>
      <c r="B754" s="29">
        <f>IF($A754="","",INDEX(設定!$L$5:$L$11,WEEKDAY($A754,1)))</f>
        <v/>
      </c>
      <c r="C754" s="29">
        <f>IF($A754="","",班表!$A30)</f>
        <v/>
      </c>
      <c r="D754" s="29">
        <f>IF($C754="","",班表!$B30)</f>
        <v/>
      </c>
      <c r="E754" s="29">
        <f>IF($C754="","",班表!$C30)</f>
        <v/>
      </c>
      <c r="F754" s="29">
        <f>IF($C754="","",班表!K30)</f>
        <v/>
      </c>
      <c r="G754" s="31">
        <f>IF($F754="","",IFERROR(INDEX(設定!$D$5:$D$20,MATCH($F754,設定!$B$5:$B$20,0)),""))</f>
        <v/>
      </c>
      <c r="H754" s="31">
        <f>IF($F754="","",IFERROR(INDEX(設定!$E$5:$E$20,MATCH($F754,設定!$B$5:$B$20,0)),""))</f>
        <v/>
      </c>
      <c r="I754" s="31">
        <f>IFERROR(INDEX(打卡匯入!$C$3:$C$1002,MATCH($C754&amp;"|"&amp;DAY($A754),打卡匯入!$E$3:$E$1002,0)),"")</f>
        <v/>
      </c>
      <c r="J754" s="31">
        <f>IFERROR(INDEX(打卡匯入!$D$3:$D$1002,MATCH($C754&amp;"|"&amp;DAY($A754),打卡匯入!$E$3:$E$1002,0)),"")</f>
        <v/>
      </c>
      <c r="K754" s="32">
        <f>IF(OR($I754="",$J754=""),"",IFERROR(INDEX(設定!$F$5:$F$20,MATCH($F754,設定!$B$5:$B$20,0)),0))</f>
        <v/>
      </c>
      <c r="L754" s="33">
        <f>IF(OR($I754="",$J754=""),"",ROUND(($J754-$I754)*24-$K754/60,2))</f>
        <v/>
      </c>
      <c r="M754" s="29">
        <f>IF($C754="","",IF(AND(COUNTIF(設定!$B$14:$B$20,$F754)&gt;0,$I754&lt;&gt;""),"假日出勤",IF(AND(COUNTIF(設定!$B$5:$B$13,$F754)&gt;0,$I754=""),"未打卡",IF($I754="","",IF($N754&gt;0,"遲到",IF($O754&gt;0,"早退","正常"))))))</f>
        <v/>
      </c>
      <c r="N754" s="32">
        <f>IF(OR($C754="",$G754="",$I754=""),0,IF(ROUND(($I754-$G754)*1440,0)&gt;設定!$C$28,ROUND(($I754-$G754)*1440,0),0))</f>
        <v/>
      </c>
      <c r="O754" s="32">
        <f>IF(OR($C754="",$H754="",$J754=""),0,IF(ROUND(($H754-$J754)*1440,0)&gt;設定!$C$28,ROUND(($H754-$J754)*1440,0),0))</f>
        <v/>
      </c>
      <c r="P754" s="33">
        <f>IF($L754="",0,IF(($L754-IFERROR(INDEX(設定!$G$5:$G$20,MATCH($F754,設定!$B$5:$B$20,0)),0))*60&gt;=設定!$C$26,ROUND(FLOOR(($L754-IFERROR(INDEX(設定!$G$5:$G$20,MATCH($F754,設定!$B$5:$B$20,0)),0))*60,設定!$C$27)/60,2),0))</f>
        <v/>
      </c>
      <c r="Q754" s="29">
        <f>IF(OR($C754="",$P754=0),"",IF($F754="國","國定假日",IF($B754="日","例假",IF($B754="六","休息日","平日"))))</f>
        <v/>
      </c>
      <c r="R754" s="34" t="n"/>
    </row>
    <row r="755">
      <c r="A755" s="30">
        <f>IF(OR(班表!$A30="",9&gt;DAY(EOMONTH(DATE(班表!$E$2,班表!$G$2,1),0))),"",DATE(班表!$E$2,班表!$G$2,9))</f>
        <v/>
      </c>
      <c r="B755" s="29">
        <f>IF($A755="","",INDEX(設定!$L$5:$L$11,WEEKDAY($A755,1)))</f>
        <v/>
      </c>
      <c r="C755" s="29">
        <f>IF($A755="","",班表!$A30)</f>
        <v/>
      </c>
      <c r="D755" s="29">
        <f>IF($C755="","",班表!$B30)</f>
        <v/>
      </c>
      <c r="E755" s="29">
        <f>IF($C755="","",班表!$C30)</f>
        <v/>
      </c>
      <c r="F755" s="29">
        <f>IF($C755="","",班表!L30)</f>
        <v/>
      </c>
      <c r="G755" s="31">
        <f>IF($F755="","",IFERROR(INDEX(設定!$D$5:$D$20,MATCH($F755,設定!$B$5:$B$20,0)),""))</f>
        <v/>
      </c>
      <c r="H755" s="31">
        <f>IF($F755="","",IFERROR(INDEX(設定!$E$5:$E$20,MATCH($F755,設定!$B$5:$B$20,0)),""))</f>
        <v/>
      </c>
      <c r="I755" s="31">
        <f>IFERROR(INDEX(打卡匯入!$C$3:$C$1002,MATCH($C755&amp;"|"&amp;DAY($A755),打卡匯入!$E$3:$E$1002,0)),"")</f>
        <v/>
      </c>
      <c r="J755" s="31">
        <f>IFERROR(INDEX(打卡匯入!$D$3:$D$1002,MATCH($C755&amp;"|"&amp;DAY($A755),打卡匯入!$E$3:$E$1002,0)),"")</f>
        <v/>
      </c>
      <c r="K755" s="32">
        <f>IF(OR($I755="",$J755=""),"",IFERROR(INDEX(設定!$F$5:$F$20,MATCH($F755,設定!$B$5:$B$20,0)),0))</f>
        <v/>
      </c>
      <c r="L755" s="33">
        <f>IF(OR($I755="",$J755=""),"",ROUND(($J755-$I755)*24-$K755/60,2))</f>
        <v/>
      </c>
      <c r="M755" s="29">
        <f>IF($C755="","",IF(AND(COUNTIF(設定!$B$14:$B$20,$F755)&gt;0,$I755&lt;&gt;""),"假日出勤",IF(AND(COUNTIF(設定!$B$5:$B$13,$F755)&gt;0,$I755=""),"未打卡",IF($I755="","",IF($N755&gt;0,"遲到",IF($O755&gt;0,"早退","正常"))))))</f>
        <v/>
      </c>
      <c r="N755" s="32">
        <f>IF(OR($C755="",$G755="",$I755=""),0,IF(ROUND(($I755-$G755)*1440,0)&gt;設定!$C$28,ROUND(($I755-$G755)*1440,0),0))</f>
        <v/>
      </c>
      <c r="O755" s="32">
        <f>IF(OR($C755="",$H755="",$J755=""),0,IF(ROUND(($H755-$J755)*1440,0)&gt;設定!$C$28,ROUND(($H755-$J755)*1440,0),0))</f>
        <v/>
      </c>
      <c r="P755" s="33">
        <f>IF($L755="",0,IF(($L755-IFERROR(INDEX(設定!$G$5:$G$20,MATCH($F755,設定!$B$5:$B$20,0)),0))*60&gt;=設定!$C$26,ROUND(FLOOR(($L755-IFERROR(INDEX(設定!$G$5:$G$20,MATCH($F755,設定!$B$5:$B$20,0)),0))*60,設定!$C$27)/60,2),0))</f>
        <v/>
      </c>
      <c r="Q755" s="29">
        <f>IF(OR($C755="",$P755=0),"",IF($F755="國","國定假日",IF($B755="日","例假",IF($B755="六","休息日","平日"))))</f>
        <v/>
      </c>
      <c r="R755" s="34" t="n"/>
    </row>
    <row r="756">
      <c r="A756" s="30">
        <f>IF(OR(班表!$A30="",10&gt;DAY(EOMONTH(DATE(班表!$E$2,班表!$G$2,1),0))),"",DATE(班表!$E$2,班表!$G$2,10))</f>
        <v/>
      </c>
      <c r="B756" s="29">
        <f>IF($A756="","",INDEX(設定!$L$5:$L$11,WEEKDAY($A756,1)))</f>
        <v/>
      </c>
      <c r="C756" s="29">
        <f>IF($A756="","",班表!$A30)</f>
        <v/>
      </c>
      <c r="D756" s="29">
        <f>IF($C756="","",班表!$B30)</f>
        <v/>
      </c>
      <c r="E756" s="29">
        <f>IF($C756="","",班表!$C30)</f>
        <v/>
      </c>
      <c r="F756" s="29">
        <f>IF($C756="","",班表!M30)</f>
        <v/>
      </c>
      <c r="G756" s="31">
        <f>IF($F756="","",IFERROR(INDEX(設定!$D$5:$D$20,MATCH($F756,設定!$B$5:$B$20,0)),""))</f>
        <v/>
      </c>
      <c r="H756" s="31">
        <f>IF($F756="","",IFERROR(INDEX(設定!$E$5:$E$20,MATCH($F756,設定!$B$5:$B$20,0)),""))</f>
        <v/>
      </c>
      <c r="I756" s="31">
        <f>IFERROR(INDEX(打卡匯入!$C$3:$C$1002,MATCH($C756&amp;"|"&amp;DAY($A756),打卡匯入!$E$3:$E$1002,0)),"")</f>
        <v/>
      </c>
      <c r="J756" s="31">
        <f>IFERROR(INDEX(打卡匯入!$D$3:$D$1002,MATCH($C756&amp;"|"&amp;DAY($A756),打卡匯入!$E$3:$E$1002,0)),"")</f>
        <v/>
      </c>
      <c r="K756" s="32">
        <f>IF(OR($I756="",$J756=""),"",IFERROR(INDEX(設定!$F$5:$F$20,MATCH($F756,設定!$B$5:$B$20,0)),0))</f>
        <v/>
      </c>
      <c r="L756" s="33">
        <f>IF(OR($I756="",$J756=""),"",ROUND(($J756-$I756)*24-$K756/60,2))</f>
        <v/>
      </c>
      <c r="M756" s="29">
        <f>IF($C756="","",IF(AND(COUNTIF(設定!$B$14:$B$20,$F756)&gt;0,$I756&lt;&gt;""),"假日出勤",IF(AND(COUNTIF(設定!$B$5:$B$13,$F756)&gt;0,$I756=""),"未打卡",IF($I756="","",IF($N756&gt;0,"遲到",IF($O756&gt;0,"早退","正常"))))))</f>
        <v/>
      </c>
      <c r="N756" s="32">
        <f>IF(OR($C756="",$G756="",$I756=""),0,IF(ROUND(($I756-$G756)*1440,0)&gt;設定!$C$28,ROUND(($I756-$G756)*1440,0),0))</f>
        <v/>
      </c>
      <c r="O756" s="32">
        <f>IF(OR($C756="",$H756="",$J756=""),0,IF(ROUND(($H756-$J756)*1440,0)&gt;設定!$C$28,ROUND(($H756-$J756)*1440,0),0))</f>
        <v/>
      </c>
      <c r="P756" s="33">
        <f>IF($L756="",0,IF(($L756-IFERROR(INDEX(設定!$G$5:$G$20,MATCH($F756,設定!$B$5:$B$20,0)),0))*60&gt;=設定!$C$26,ROUND(FLOOR(($L756-IFERROR(INDEX(設定!$G$5:$G$20,MATCH($F756,設定!$B$5:$B$20,0)),0))*60,設定!$C$27)/60,2),0))</f>
        <v/>
      </c>
      <c r="Q756" s="29">
        <f>IF(OR($C756="",$P756=0),"",IF($F756="國","國定假日",IF($B756="日","例假",IF($B756="六","休息日","平日"))))</f>
        <v/>
      </c>
      <c r="R756" s="34" t="n"/>
    </row>
    <row r="757">
      <c r="A757" s="30">
        <f>IF(OR(班表!$A30="",11&gt;DAY(EOMONTH(DATE(班表!$E$2,班表!$G$2,1),0))),"",DATE(班表!$E$2,班表!$G$2,11))</f>
        <v/>
      </c>
      <c r="B757" s="29">
        <f>IF($A757="","",INDEX(設定!$L$5:$L$11,WEEKDAY($A757,1)))</f>
        <v/>
      </c>
      <c r="C757" s="29">
        <f>IF($A757="","",班表!$A30)</f>
        <v/>
      </c>
      <c r="D757" s="29">
        <f>IF($C757="","",班表!$B30)</f>
        <v/>
      </c>
      <c r="E757" s="29">
        <f>IF($C757="","",班表!$C30)</f>
        <v/>
      </c>
      <c r="F757" s="29">
        <f>IF($C757="","",班表!N30)</f>
        <v/>
      </c>
      <c r="G757" s="31">
        <f>IF($F757="","",IFERROR(INDEX(設定!$D$5:$D$20,MATCH($F757,設定!$B$5:$B$20,0)),""))</f>
        <v/>
      </c>
      <c r="H757" s="31">
        <f>IF($F757="","",IFERROR(INDEX(設定!$E$5:$E$20,MATCH($F757,設定!$B$5:$B$20,0)),""))</f>
        <v/>
      </c>
      <c r="I757" s="31">
        <f>IFERROR(INDEX(打卡匯入!$C$3:$C$1002,MATCH($C757&amp;"|"&amp;DAY($A757),打卡匯入!$E$3:$E$1002,0)),"")</f>
        <v/>
      </c>
      <c r="J757" s="31">
        <f>IFERROR(INDEX(打卡匯入!$D$3:$D$1002,MATCH($C757&amp;"|"&amp;DAY($A757),打卡匯入!$E$3:$E$1002,0)),"")</f>
        <v/>
      </c>
      <c r="K757" s="32">
        <f>IF(OR($I757="",$J757=""),"",IFERROR(INDEX(設定!$F$5:$F$20,MATCH($F757,設定!$B$5:$B$20,0)),0))</f>
        <v/>
      </c>
      <c r="L757" s="33">
        <f>IF(OR($I757="",$J757=""),"",ROUND(($J757-$I757)*24-$K757/60,2))</f>
        <v/>
      </c>
      <c r="M757" s="29">
        <f>IF($C757="","",IF(AND(COUNTIF(設定!$B$14:$B$20,$F757)&gt;0,$I757&lt;&gt;""),"假日出勤",IF(AND(COUNTIF(設定!$B$5:$B$13,$F757)&gt;0,$I757=""),"未打卡",IF($I757="","",IF($N757&gt;0,"遲到",IF($O757&gt;0,"早退","正常"))))))</f>
        <v/>
      </c>
      <c r="N757" s="32">
        <f>IF(OR($C757="",$G757="",$I757=""),0,IF(ROUND(($I757-$G757)*1440,0)&gt;設定!$C$28,ROUND(($I757-$G757)*1440,0),0))</f>
        <v/>
      </c>
      <c r="O757" s="32">
        <f>IF(OR($C757="",$H757="",$J757=""),0,IF(ROUND(($H757-$J757)*1440,0)&gt;設定!$C$28,ROUND(($H757-$J757)*1440,0),0))</f>
        <v/>
      </c>
      <c r="P757" s="33">
        <f>IF($L757="",0,IF(($L757-IFERROR(INDEX(設定!$G$5:$G$20,MATCH($F757,設定!$B$5:$B$20,0)),0))*60&gt;=設定!$C$26,ROUND(FLOOR(($L757-IFERROR(INDEX(設定!$G$5:$G$20,MATCH($F757,設定!$B$5:$B$20,0)),0))*60,設定!$C$27)/60,2),0))</f>
        <v/>
      </c>
      <c r="Q757" s="29">
        <f>IF(OR($C757="",$P757=0),"",IF($F757="國","國定假日",IF($B757="日","例假",IF($B757="六","休息日","平日"))))</f>
        <v/>
      </c>
      <c r="R757" s="34" t="n"/>
    </row>
    <row r="758">
      <c r="A758" s="30">
        <f>IF(OR(班表!$A30="",12&gt;DAY(EOMONTH(DATE(班表!$E$2,班表!$G$2,1),0))),"",DATE(班表!$E$2,班表!$G$2,12))</f>
        <v/>
      </c>
      <c r="B758" s="29">
        <f>IF($A758="","",INDEX(設定!$L$5:$L$11,WEEKDAY($A758,1)))</f>
        <v/>
      </c>
      <c r="C758" s="29">
        <f>IF($A758="","",班表!$A30)</f>
        <v/>
      </c>
      <c r="D758" s="29">
        <f>IF($C758="","",班表!$B30)</f>
        <v/>
      </c>
      <c r="E758" s="29">
        <f>IF($C758="","",班表!$C30)</f>
        <v/>
      </c>
      <c r="F758" s="29">
        <f>IF($C758="","",班表!O30)</f>
        <v/>
      </c>
      <c r="G758" s="31">
        <f>IF($F758="","",IFERROR(INDEX(設定!$D$5:$D$20,MATCH($F758,設定!$B$5:$B$20,0)),""))</f>
        <v/>
      </c>
      <c r="H758" s="31">
        <f>IF($F758="","",IFERROR(INDEX(設定!$E$5:$E$20,MATCH($F758,設定!$B$5:$B$20,0)),""))</f>
        <v/>
      </c>
      <c r="I758" s="31">
        <f>IFERROR(INDEX(打卡匯入!$C$3:$C$1002,MATCH($C758&amp;"|"&amp;DAY($A758),打卡匯入!$E$3:$E$1002,0)),"")</f>
        <v/>
      </c>
      <c r="J758" s="31">
        <f>IFERROR(INDEX(打卡匯入!$D$3:$D$1002,MATCH($C758&amp;"|"&amp;DAY($A758),打卡匯入!$E$3:$E$1002,0)),"")</f>
        <v/>
      </c>
      <c r="K758" s="32">
        <f>IF(OR($I758="",$J758=""),"",IFERROR(INDEX(設定!$F$5:$F$20,MATCH($F758,設定!$B$5:$B$20,0)),0))</f>
        <v/>
      </c>
      <c r="L758" s="33">
        <f>IF(OR($I758="",$J758=""),"",ROUND(($J758-$I758)*24-$K758/60,2))</f>
        <v/>
      </c>
      <c r="M758" s="29">
        <f>IF($C758="","",IF(AND(COUNTIF(設定!$B$14:$B$20,$F758)&gt;0,$I758&lt;&gt;""),"假日出勤",IF(AND(COUNTIF(設定!$B$5:$B$13,$F758)&gt;0,$I758=""),"未打卡",IF($I758="","",IF($N758&gt;0,"遲到",IF($O758&gt;0,"早退","正常"))))))</f>
        <v/>
      </c>
      <c r="N758" s="32">
        <f>IF(OR($C758="",$G758="",$I758=""),0,IF(ROUND(($I758-$G758)*1440,0)&gt;設定!$C$28,ROUND(($I758-$G758)*1440,0),0))</f>
        <v/>
      </c>
      <c r="O758" s="32">
        <f>IF(OR($C758="",$H758="",$J758=""),0,IF(ROUND(($H758-$J758)*1440,0)&gt;設定!$C$28,ROUND(($H758-$J758)*1440,0),0))</f>
        <v/>
      </c>
      <c r="P758" s="33">
        <f>IF($L758="",0,IF(($L758-IFERROR(INDEX(設定!$G$5:$G$20,MATCH($F758,設定!$B$5:$B$20,0)),0))*60&gt;=設定!$C$26,ROUND(FLOOR(($L758-IFERROR(INDEX(設定!$G$5:$G$20,MATCH($F758,設定!$B$5:$B$20,0)),0))*60,設定!$C$27)/60,2),0))</f>
        <v/>
      </c>
      <c r="Q758" s="29">
        <f>IF(OR($C758="",$P758=0),"",IF($F758="國","國定假日",IF($B758="日","例假",IF($B758="六","休息日","平日"))))</f>
        <v/>
      </c>
      <c r="R758" s="34" t="n"/>
    </row>
    <row r="759">
      <c r="A759" s="30">
        <f>IF(OR(班表!$A30="",13&gt;DAY(EOMONTH(DATE(班表!$E$2,班表!$G$2,1),0))),"",DATE(班表!$E$2,班表!$G$2,13))</f>
        <v/>
      </c>
      <c r="B759" s="29">
        <f>IF($A759="","",INDEX(設定!$L$5:$L$11,WEEKDAY($A759,1)))</f>
        <v/>
      </c>
      <c r="C759" s="29">
        <f>IF($A759="","",班表!$A30)</f>
        <v/>
      </c>
      <c r="D759" s="29">
        <f>IF($C759="","",班表!$B30)</f>
        <v/>
      </c>
      <c r="E759" s="29">
        <f>IF($C759="","",班表!$C30)</f>
        <v/>
      </c>
      <c r="F759" s="29">
        <f>IF($C759="","",班表!P30)</f>
        <v/>
      </c>
      <c r="G759" s="31">
        <f>IF($F759="","",IFERROR(INDEX(設定!$D$5:$D$20,MATCH($F759,設定!$B$5:$B$20,0)),""))</f>
        <v/>
      </c>
      <c r="H759" s="31">
        <f>IF($F759="","",IFERROR(INDEX(設定!$E$5:$E$20,MATCH($F759,設定!$B$5:$B$20,0)),""))</f>
        <v/>
      </c>
      <c r="I759" s="31">
        <f>IFERROR(INDEX(打卡匯入!$C$3:$C$1002,MATCH($C759&amp;"|"&amp;DAY($A759),打卡匯入!$E$3:$E$1002,0)),"")</f>
        <v/>
      </c>
      <c r="J759" s="31">
        <f>IFERROR(INDEX(打卡匯入!$D$3:$D$1002,MATCH($C759&amp;"|"&amp;DAY($A759),打卡匯入!$E$3:$E$1002,0)),"")</f>
        <v/>
      </c>
      <c r="K759" s="32">
        <f>IF(OR($I759="",$J759=""),"",IFERROR(INDEX(設定!$F$5:$F$20,MATCH($F759,設定!$B$5:$B$20,0)),0))</f>
        <v/>
      </c>
      <c r="L759" s="33">
        <f>IF(OR($I759="",$J759=""),"",ROUND(($J759-$I759)*24-$K759/60,2))</f>
        <v/>
      </c>
      <c r="M759" s="29">
        <f>IF($C759="","",IF(AND(COUNTIF(設定!$B$14:$B$20,$F759)&gt;0,$I759&lt;&gt;""),"假日出勤",IF(AND(COUNTIF(設定!$B$5:$B$13,$F759)&gt;0,$I759=""),"未打卡",IF($I759="","",IF($N759&gt;0,"遲到",IF($O759&gt;0,"早退","正常"))))))</f>
        <v/>
      </c>
      <c r="N759" s="32">
        <f>IF(OR($C759="",$G759="",$I759=""),0,IF(ROUND(($I759-$G759)*1440,0)&gt;設定!$C$28,ROUND(($I759-$G759)*1440,0),0))</f>
        <v/>
      </c>
      <c r="O759" s="32">
        <f>IF(OR($C759="",$H759="",$J759=""),0,IF(ROUND(($H759-$J759)*1440,0)&gt;設定!$C$28,ROUND(($H759-$J759)*1440,0),0))</f>
        <v/>
      </c>
      <c r="P759" s="33">
        <f>IF($L759="",0,IF(($L759-IFERROR(INDEX(設定!$G$5:$G$20,MATCH($F759,設定!$B$5:$B$20,0)),0))*60&gt;=設定!$C$26,ROUND(FLOOR(($L759-IFERROR(INDEX(設定!$G$5:$G$20,MATCH($F759,設定!$B$5:$B$20,0)),0))*60,設定!$C$27)/60,2),0))</f>
        <v/>
      </c>
      <c r="Q759" s="29">
        <f>IF(OR($C759="",$P759=0),"",IF($F759="國","國定假日",IF($B759="日","例假",IF($B759="六","休息日","平日"))))</f>
        <v/>
      </c>
      <c r="R759" s="34" t="n"/>
    </row>
    <row r="760">
      <c r="A760" s="30">
        <f>IF(OR(班表!$A30="",14&gt;DAY(EOMONTH(DATE(班表!$E$2,班表!$G$2,1),0))),"",DATE(班表!$E$2,班表!$G$2,14))</f>
        <v/>
      </c>
      <c r="B760" s="29">
        <f>IF($A760="","",INDEX(設定!$L$5:$L$11,WEEKDAY($A760,1)))</f>
        <v/>
      </c>
      <c r="C760" s="29">
        <f>IF($A760="","",班表!$A30)</f>
        <v/>
      </c>
      <c r="D760" s="29">
        <f>IF($C760="","",班表!$B30)</f>
        <v/>
      </c>
      <c r="E760" s="29">
        <f>IF($C760="","",班表!$C30)</f>
        <v/>
      </c>
      <c r="F760" s="29">
        <f>IF($C760="","",班表!Q30)</f>
        <v/>
      </c>
      <c r="G760" s="31">
        <f>IF($F760="","",IFERROR(INDEX(設定!$D$5:$D$20,MATCH($F760,設定!$B$5:$B$20,0)),""))</f>
        <v/>
      </c>
      <c r="H760" s="31">
        <f>IF($F760="","",IFERROR(INDEX(設定!$E$5:$E$20,MATCH($F760,設定!$B$5:$B$20,0)),""))</f>
        <v/>
      </c>
      <c r="I760" s="31">
        <f>IFERROR(INDEX(打卡匯入!$C$3:$C$1002,MATCH($C760&amp;"|"&amp;DAY($A760),打卡匯入!$E$3:$E$1002,0)),"")</f>
        <v/>
      </c>
      <c r="J760" s="31">
        <f>IFERROR(INDEX(打卡匯入!$D$3:$D$1002,MATCH($C760&amp;"|"&amp;DAY($A760),打卡匯入!$E$3:$E$1002,0)),"")</f>
        <v/>
      </c>
      <c r="K760" s="32">
        <f>IF(OR($I760="",$J760=""),"",IFERROR(INDEX(設定!$F$5:$F$20,MATCH($F760,設定!$B$5:$B$20,0)),0))</f>
        <v/>
      </c>
      <c r="L760" s="33">
        <f>IF(OR($I760="",$J760=""),"",ROUND(($J760-$I760)*24-$K760/60,2))</f>
        <v/>
      </c>
      <c r="M760" s="29">
        <f>IF($C760="","",IF(AND(COUNTIF(設定!$B$14:$B$20,$F760)&gt;0,$I760&lt;&gt;""),"假日出勤",IF(AND(COUNTIF(設定!$B$5:$B$13,$F760)&gt;0,$I760=""),"未打卡",IF($I760="","",IF($N760&gt;0,"遲到",IF($O760&gt;0,"早退","正常"))))))</f>
        <v/>
      </c>
      <c r="N760" s="32">
        <f>IF(OR($C760="",$G760="",$I760=""),0,IF(ROUND(($I760-$G760)*1440,0)&gt;設定!$C$28,ROUND(($I760-$G760)*1440,0),0))</f>
        <v/>
      </c>
      <c r="O760" s="32">
        <f>IF(OR($C760="",$H760="",$J760=""),0,IF(ROUND(($H760-$J760)*1440,0)&gt;設定!$C$28,ROUND(($H760-$J760)*1440,0),0))</f>
        <v/>
      </c>
      <c r="P760" s="33">
        <f>IF($L760="",0,IF(($L760-IFERROR(INDEX(設定!$G$5:$G$20,MATCH($F760,設定!$B$5:$B$20,0)),0))*60&gt;=設定!$C$26,ROUND(FLOOR(($L760-IFERROR(INDEX(設定!$G$5:$G$20,MATCH($F760,設定!$B$5:$B$20,0)),0))*60,設定!$C$27)/60,2),0))</f>
        <v/>
      </c>
      <c r="Q760" s="29">
        <f>IF(OR($C760="",$P760=0),"",IF($F760="國","國定假日",IF($B760="日","例假",IF($B760="六","休息日","平日"))))</f>
        <v/>
      </c>
      <c r="R760" s="34" t="n"/>
    </row>
    <row r="761">
      <c r="A761" s="30">
        <f>IF(OR(班表!$A30="",15&gt;DAY(EOMONTH(DATE(班表!$E$2,班表!$G$2,1),0))),"",DATE(班表!$E$2,班表!$G$2,15))</f>
        <v/>
      </c>
      <c r="B761" s="29">
        <f>IF($A761="","",INDEX(設定!$L$5:$L$11,WEEKDAY($A761,1)))</f>
        <v/>
      </c>
      <c r="C761" s="29">
        <f>IF($A761="","",班表!$A30)</f>
        <v/>
      </c>
      <c r="D761" s="29">
        <f>IF($C761="","",班表!$B30)</f>
        <v/>
      </c>
      <c r="E761" s="29">
        <f>IF($C761="","",班表!$C30)</f>
        <v/>
      </c>
      <c r="F761" s="29">
        <f>IF($C761="","",班表!R30)</f>
        <v/>
      </c>
      <c r="G761" s="31">
        <f>IF($F761="","",IFERROR(INDEX(設定!$D$5:$D$20,MATCH($F761,設定!$B$5:$B$20,0)),""))</f>
        <v/>
      </c>
      <c r="H761" s="31">
        <f>IF($F761="","",IFERROR(INDEX(設定!$E$5:$E$20,MATCH($F761,設定!$B$5:$B$20,0)),""))</f>
        <v/>
      </c>
      <c r="I761" s="31">
        <f>IFERROR(INDEX(打卡匯入!$C$3:$C$1002,MATCH($C761&amp;"|"&amp;DAY($A761),打卡匯入!$E$3:$E$1002,0)),"")</f>
        <v/>
      </c>
      <c r="J761" s="31">
        <f>IFERROR(INDEX(打卡匯入!$D$3:$D$1002,MATCH($C761&amp;"|"&amp;DAY($A761),打卡匯入!$E$3:$E$1002,0)),"")</f>
        <v/>
      </c>
      <c r="K761" s="32">
        <f>IF(OR($I761="",$J761=""),"",IFERROR(INDEX(設定!$F$5:$F$20,MATCH($F761,設定!$B$5:$B$20,0)),0))</f>
        <v/>
      </c>
      <c r="L761" s="33">
        <f>IF(OR($I761="",$J761=""),"",ROUND(($J761-$I761)*24-$K761/60,2))</f>
        <v/>
      </c>
      <c r="M761" s="29">
        <f>IF($C761="","",IF(AND(COUNTIF(設定!$B$14:$B$20,$F761)&gt;0,$I761&lt;&gt;""),"假日出勤",IF(AND(COUNTIF(設定!$B$5:$B$13,$F761)&gt;0,$I761=""),"未打卡",IF($I761="","",IF($N761&gt;0,"遲到",IF($O761&gt;0,"早退","正常"))))))</f>
        <v/>
      </c>
      <c r="N761" s="32">
        <f>IF(OR($C761="",$G761="",$I761=""),0,IF(ROUND(($I761-$G761)*1440,0)&gt;設定!$C$28,ROUND(($I761-$G761)*1440,0),0))</f>
        <v/>
      </c>
      <c r="O761" s="32">
        <f>IF(OR($C761="",$H761="",$J761=""),0,IF(ROUND(($H761-$J761)*1440,0)&gt;設定!$C$28,ROUND(($H761-$J761)*1440,0),0))</f>
        <v/>
      </c>
      <c r="P761" s="33">
        <f>IF($L761="",0,IF(($L761-IFERROR(INDEX(設定!$G$5:$G$20,MATCH($F761,設定!$B$5:$B$20,0)),0))*60&gt;=設定!$C$26,ROUND(FLOOR(($L761-IFERROR(INDEX(設定!$G$5:$G$20,MATCH($F761,設定!$B$5:$B$20,0)),0))*60,設定!$C$27)/60,2),0))</f>
        <v/>
      </c>
      <c r="Q761" s="29">
        <f>IF(OR($C761="",$P761=0),"",IF($F761="國","國定假日",IF($B761="日","例假",IF($B761="六","休息日","平日"))))</f>
        <v/>
      </c>
      <c r="R761" s="34" t="n"/>
    </row>
    <row r="762">
      <c r="A762" s="30">
        <f>IF(OR(班表!$A30="",16&gt;DAY(EOMONTH(DATE(班表!$E$2,班表!$G$2,1),0))),"",DATE(班表!$E$2,班表!$G$2,16))</f>
        <v/>
      </c>
      <c r="B762" s="29">
        <f>IF($A762="","",INDEX(設定!$L$5:$L$11,WEEKDAY($A762,1)))</f>
        <v/>
      </c>
      <c r="C762" s="29">
        <f>IF($A762="","",班表!$A30)</f>
        <v/>
      </c>
      <c r="D762" s="29">
        <f>IF($C762="","",班表!$B30)</f>
        <v/>
      </c>
      <c r="E762" s="29">
        <f>IF($C762="","",班表!$C30)</f>
        <v/>
      </c>
      <c r="F762" s="29">
        <f>IF($C762="","",班表!S30)</f>
        <v/>
      </c>
      <c r="G762" s="31">
        <f>IF($F762="","",IFERROR(INDEX(設定!$D$5:$D$20,MATCH($F762,設定!$B$5:$B$20,0)),""))</f>
        <v/>
      </c>
      <c r="H762" s="31">
        <f>IF($F762="","",IFERROR(INDEX(設定!$E$5:$E$20,MATCH($F762,設定!$B$5:$B$20,0)),""))</f>
        <v/>
      </c>
      <c r="I762" s="31">
        <f>IFERROR(INDEX(打卡匯入!$C$3:$C$1002,MATCH($C762&amp;"|"&amp;DAY($A762),打卡匯入!$E$3:$E$1002,0)),"")</f>
        <v/>
      </c>
      <c r="J762" s="31">
        <f>IFERROR(INDEX(打卡匯入!$D$3:$D$1002,MATCH($C762&amp;"|"&amp;DAY($A762),打卡匯入!$E$3:$E$1002,0)),"")</f>
        <v/>
      </c>
      <c r="K762" s="32">
        <f>IF(OR($I762="",$J762=""),"",IFERROR(INDEX(設定!$F$5:$F$20,MATCH($F762,設定!$B$5:$B$20,0)),0))</f>
        <v/>
      </c>
      <c r="L762" s="33">
        <f>IF(OR($I762="",$J762=""),"",ROUND(($J762-$I762)*24-$K762/60,2))</f>
        <v/>
      </c>
      <c r="M762" s="29">
        <f>IF($C762="","",IF(AND(COUNTIF(設定!$B$14:$B$20,$F762)&gt;0,$I762&lt;&gt;""),"假日出勤",IF(AND(COUNTIF(設定!$B$5:$B$13,$F762)&gt;0,$I762=""),"未打卡",IF($I762="","",IF($N762&gt;0,"遲到",IF($O762&gt;0,"早退","正常"))))))</f>
        <v/>
      </c>
      <c r="N762" s="32">
        <f>IF(OR($C762="",$G762="",$I762=""),0,IF(ROUND(($I762-$G762)*1440,0)&gt;設定!$C$28,ROUND(($I762-$G762)*1440,0),0))</f>
        <v/>
      </c>
      <c r="O762" s="32">
        <f>IF(OR($C762="",$H762="",$J762=""),0,IF(ROUND(($H762-$J762)*1440,0)&gt;設定!$C$28,ROUND(($H762-$J762)*1440,0),0))</f>
        <v/>
      </c>
      <c r="P762" s="33">
        <f>IF($L762="",0,IF(($L762-IFERROR(INDEX(設定!$G$5:$G$20,MATCH($F762,設定!$B$5:$B$20,0)),0))*60&gt;=設定!$C$26,ROUND(FLOOR(($L762-IFERROR(INDEX(設定!$G$5:$G$20,MATCH($F762,設定!$B$5:$B$20,0)),0))*60,設定!$C$27)/60,2),0))</f>
        <v/>
      </c>
      <c r="Q762" s="29">
        <f>IF(OR($C762="",$P762=0),"",IF($F762="國","國定假日",IF($B762="日","例假",IF($B762="六","休息日","平日"))))</f>
        <v/>
      </c>
      <c r="R762" s="34" t="n"/>
    </row>
    <row r="763">
      <c r="A763" s="30">
        <f>IF(OR(班表!$A30="",17&gt;DAY(EOMONTH(DATE(班表!$E$2,班表!$G$2,1),0))),"",DATE(班表!$E$2,班表!$G$2,17))</f>
        <v/>
      </c>
      <c r="B763" s="29">
        <f>IF($A763="","",INDEX(設定!$L$5:$L$11,WEEKDAY($A763,1)))</f>
        <v/>
      </c>
      <c r="C763" s="29">
        <f>IF($A763="","",班表!$A30)</f>
        <v/>
      </c>
      <c r="D763" s="29">
        <f>IF($C763="","",班表!$B30)</f>
        <v/>
      </c>
      <c r="E763" s="29">
        <f>IF($C763="","",班表!$C30)</f>
        <v/>
      </c>
      <c r="F763" s="29">
        <f>IF($C763="","",班表!T30)</f>
        <v/>
      </c>
      <c r="G763" s="31">
        <f>IF($F763="","",IFERROR(INDEX(設定!$D$5:$D$20,MATCH($F763,設定!$B$5:$B$20,0)),""))</f>
        <v/>
      </c>
      <c r="H763" s="31">
        <f>IF($F763="","",IFERROR(INDEX(設定!$E$5:$E$20,MATCH($F763,設定!$B$5:$B$20,0)),""))</f>
        <v/>
      </c>
      <c r="I763" s="31">
        <f>IFERROR(INDEX(打卡匯入!$C$3:$C$1002,MATCH($C763&amp;"|"&amp;DAY($A763),打卡匯入!$E$3:$E$1002,0)),"")</f>
        <v/>
      </c>
      <c r="J763" s="31">
        <f>IFERROR(INDEX(打卡匯入!$D$3:$D$1002,MATCH($C763&amp;"|"&amp;DAY($A763),打卡匯入!$E$3:$E$1002,0)),"")</f>
        <v/>
      </c>
      <c r="K763" s="32">
        <f>IF(OR($I763="",$J763=""),"",IFERROR(INDEX(設定!$F$5:$F$20,MATCH($F763,設定!$B$5:$B$20,0)),0))</f>
        <v/>
      </c>
      <c r="L763" s="33">
        <f>IF(OR($I763="",$J763=""),"",ROUND(($J763-$I763)*24-$K763/60,2))</f>
        <v/>
      </c>
      <c r="M763" s="29">
        <f>IF($C763="","",IF(AND(COUNTIF(設定!$B$14:$B$20,$F763)&gt;0,$I763&lt;&gt;""),"假日出勤",IF(AND(COUNTIF(設定!$B$5:$B$13,$F763)&gt;0,$I763=""),"未打卡",IF($I763="","",IF($N763&gt;0,"遲到",IF($O763&gt;0,"早退","正常"))))))</f>
        <v/>
      </c>
      <c r="N763" s="32">
        <f>IF(OR($C763="",$G763="",$I763=""),0,IF(ROUND(($I763-$G763)*1440,0)&gt;設定!$C$28,ROUND(($I763-$G763)*1440,0),0))</f>
        <v/>
      </c>
      <c r="O763" s="32">
        <f>IF(OR($C763="",$H763="",$J763=""),0,IF(ROUND(($H763-$J763)*1440,0)&gt;設定!$C$28,ROUND(($H763-$J763)*1440,0),0))</f>
        <v/>
      </c>
      <c r="P763" s="33">
        <f>IF($L763="",0,IF(($L763-IFERROR(INDEX(設定!$G$5:$G$20,MATCH($F763,設定!$B$5:$B$20,0)),0))*60&gt;=設定!$C$26,ROUND(FLOOR(($L763-IFERROR(INDEX(設定!$G$5:$G$20,MATCH($F763,設定!$B$5:$B$20,0)),0))*60,設定!$C$27)/60,2),0))</f>
        <v/>
      </c>
      <c r="Q763" s="29">
        <f>IF(OR($C763="",$P763=0),"",IF($F763="國","國定假日",IF($B763="日","例假",IF($B763="六","休息日","平日"))))</f>
        <v/>
      </c>
      <c r="R763" s="34" t="n"/>
    </row>
    <row r="764">
      <c r="A764" s="30">
        <f>IF(OR(班表!$A30="",18&gt;DAY(EOMONTH(DATE(班表!$E$2,班表!$G$2,1),0))),"",DATE(班表!$E$2,班表!$G$2,18))</f>
        <v/>
      </c>
      <c r="B764" s="29">
        <f>IF($A764="","",INDEX(設定!$L$5:$L$11,WEEKDAY($A764,1)))</f>
        <v/>
      </c>
      <c r="C764" s="29">
        <f>IF($A764="","",班表!$A30)</f>
        <v/>
      </c>
      <c r="D764" s="29">
        <f>IF($C764="","",班表!$B30)</f>
        <v/>
      </c>
      <c r="E764" s="29">
        <f>IF($C764="","",班表!$C30)</f>
        <v/>
      </c>
      <c r="F764" s="29">
        <f>IF($C764="","",班表!U30)</f>
        <v/>
      </c>
      <c r="G764" s="31">
        <f>IF($F764="","",IFERROR(INDEX(設定!$D$5:$D$20,MATCH($F764,設定!$B$5:$B$20,0)),""))</f>
        <v/>
      </c>
      <c r="H764" s="31">
        <f>IF($F764="","",IFERROR(INDEX(設定!$E$5:$E$20,MATCH($F764,設定!$B$5:$B$20,0)),""))</f>
        <v/>
      </c>
      <c r="I764" s="31">
        <f>IFERROR(INDEX(打卡匯入!$C$3:$C$1002,MATCH($C764&amp;"|"&amp;DAY($A764),打卡匯入!$E$3:$E$1002,0)),"")</f>
        <v/>
      </c>
      <c r="J764" s="31">
        <f>IFERROR(INDEX(打卡匯入!$D$3:$D$1002,MATCH($C764&amp;"|"&amp;DAY($A764),打卡匯入!$E$3:$E$1002,0)),"")</f>
        <v/>
      </c>
      <c r="K764" s="32">
        <f>IF(OR($I764="",$J764=""),"",IFERROR(INDEX(設定!$F$5:$F$20,MATCH($F764,設定!$B$5:$B$20,0)),0))</f>
        <v/>
      </c>
      <c r="L764" s="33">
        <f>IF(OR($I764="",$J764=""),"",ROUND(($J764-$I764)*24-$K764/60,2))</f>
        <v/>
      </c>
      <c r="M764" s="29">
        <f>IF($C764="","",IF(AND(COUNTIF(設定!$B$14:$B$20,$F764)&gt;0,$I764&lt;&gt;""),"假日出勤",IF(AND(COUNTIF(設定!$B$5:$B$13,$F764)&gt;0,$I764=""),"未打卡",IF($I764="","",IF($N764&gt;0,"遲到",IF($O764&gt;0,"早退","正常"))))))</f>
        <v/>
      </c>
      <c r="N764" s="32">
        <f>IF(OR($C764="",$G764="",$I764=""),0,IF(ROUND(($I764-$G764)*1440,0)&gt;設定!$C$28,ROUND(($I764-$G764)*1440,0),0))</f>
        <v/>
      </c>
      <c r="O764" s="32">
        <f>IF(OR($C764="",$H764="",$J764=""),0,IF(ROUND(($H764-$J764)*1440,0)&gt;設定!$C$28,ROUND(($H764-$J764)*1440,0),0))</f>
        <v/>
      </c>
      <c r="P764" s="33">
        <f>IF($L764="",0,IF(($L764-IFERROR(INDEX(設定!$G$5:$G$20,MATCH($F764,設定!$B$5:$B$20,0)),0))*60&gt;=設定!$C$26,ROUND(FLOOR(($L764-IFERROR(INDEX(設定!$G$5:$G$20,MATCH($F764,設定!$B$5:$B$20,0)),0))*60,設定!$C$27)/60,2),0))</f>
        <v/>
      </c>
      <c r="Q764" s="29">
        <f>IF(OR($C764="",$P764=0),"",IF($F764="國","國定假日",IF($B764="日","例假",IF($B764="六","休息日","平日"))))</f>
        <v/>
      </c>
      <c r="R764" s="34" t="n"/>
    </row>
    <row r="765">
      <c r="A765" s="30">
        <f>IF(OR(班表!$A30="",19&gt;DAY(EOMONTH(DATE(班表!$E$2,班表!$G$2,1),0))),"",DATE(班表!$E$2,班表!$G$2,19))</f>
        <v/>
      </c>
      <c r="B765" s="29">
        <f>IF($A765="","",INDEX(設定!$L$5:$L$11,WEEKDAY($A765,1)))</f>
        <v/>
      </c>
      <c r="C765" s="29">
        <f>IF($A765="","",班表!$A30)</f>
        <v/>
      </c>
      <c r="D765" s="29">
        <f>IF($C765="","",班表!$B30)</f>
        <v/>
      </c>
      <c r="E765" s="29">
        <f>IF($C765="","",班表!$C30)</f>
        <v/>
      </c>
      <c r="F765" s="29">
        <f>IF($C765="","",班表!V30)</f>
        <v/>
      </c>
      <c r="G765" s="31">
        <f>IF($F765="","",IFERROR(INDEX(設定!$D$5:$D$20,MATCH($F765,設定!$B$5:$B$20,0)),""))</f>
        <v/>
      </c>
      <c r="H765" s="31">
        <f>IF($F765="","",IFERROR(INDEX(設定!$E$5:$E$20,MATCH($F765,設定!$B$5:$B$20,0)),""))</f>
        <v/>
      </c>
      <c r="I765" s="31">
        <f>IFERROR(INDEX(打卡匯入!$C$3:$C$1002,MATCH($C765&amp;"|"&amp;DAY($A765),打卡匯入!$E$3:$E$1002,0)),"")</f>
        <v/>
      </c>
      <c r="J765" s="31">
        <f>IFERROR(INDEX(打卡匯入!$D$3:$D$1002,MATCH($C765&amp;"|"&amp;DAY($A765),打卡匯入!$E$3:$E$1002,0)),"")</f>
        <v/>
      </c>
      <c r="K765" s="32">
        <f>IF(OR($I765="",$J765=""),"",IFERROR(INDEX(設定!$F$5:$F$20,MATCH($F765,設定!$B$5:$B$20,0)),0))</f>
        <v/>
      </c>
      <c r="L765" s="33">
        <f>IF(OR($I765="",$J765=""),"",ROUND(($J765-$I765)*24-$K765/60,2))</f>
        <v/>
      </c>
      <c r="M765" s="29">
        <f>IF($C765="","",IF(AND(COUNTIF(設定!$B$14:$B$20,$F765)&gt;0,$I765&lt;&gt;""),"假日出勤",IF(AND(COUNTIF(設定!$B$5:$B$13,$F765)&gt;0,$I765=""),"未打卡",IF($I765="","",IF($N765&gt;0,"遲到",IF($O765&gt;0,"早退","正常"))))))</f>
        <v/>
      </c>
      <c r="N765" s="32">
        <f>IF(OR($C765="",$G765="",$I765=""),0,IF(ROUND(($I765-$G765)*1440,0)&gt;設定!$C$28,ROUND(($I765-$G765)*1440,0),0))</f>
        <v/>
      </c>
      <c r="O765" s="32">
        <f>IF(OR($C765="",$H765="",$J765=""),0,IF(ROUND(($H765-$J765)*1440,0)&gt;設定!$C$28,ROUND(($H765-$J765)*1440,0),0))</f>
        <v/>
      </c>
      <c r="P765" s="33">
        <f>IF($L765="",0,IF(($L765-IFERROR(INDEX(設定!$G$5:$G$20,MATCH($F765,設定!$B$5:$B$20,0)),0))*60&gt;=設定!$C$26,ROUND(FLOOR(($L765-IFERROR(INDEX(設定!$G$5:$G$20,MATCH($F765,設定!$B$5:$B$20,0)),0))*60,設定!$C$27)/60,2),0))</f>
        <v/>
      </c>
      <c r="Q765" s="29">
        <f>IF(OR($C765="",$P765=0),"",IF($F765="國","國定假日",IF($B765="日","例假",IF($B765="六","休息日","平日"))))</f>
        <v/>
      </c>
      <c r="R765" s="34" t="n"/>
    </row>
    <row r="766">
      <c r="A766" s="30">
        <f>IF(OR(班表!$A30="",20&gt;DAY(EOMONTH(DATE(班表!$E$2,班表!$G$2,1),0))),"",DATE(班表!$E$2,班表!$G$2,20))</f>
        <v/>
      </c>
      <c r="B766" s="29">
        <f>IF($A766="","",INDEX(設定!$L$5:$L$11,WEEKDAY($A766,1)))</f>
        <v/>
      </c>
      <c r="C766" s="29">
        <f>IF($A766="","",班表!$A30)</f>
        <v/>
      </c>
      <c r="D766" s="29">
        <f>IF($C766="","",班表!$B30)</f>
        <v/>
      </c>
      <c r="E766" s="29">
        <f>IF($C766="","",班表!$C30)</f>
        <v/>
      </c>
      <c r="F766" s="29">
        <f>IF($C766="","",班表!W30)</f>
        <v/>
      </c>
      <c r="G766" s="31">
        <f>IF($F766="","",IFERROR(INDEX(設定!$D$5:$D$20,MATCH($F766,設定!$B$5:$B$20,0)),""))</f>
        <v/>
      </c>
      <c r="H766" s="31">
        <f>IF($F766="","",IFERROR(INDEX(設定!$E$5:$E$20,MATCH($F766,設定!$B$5:$B$20,0)),""))</f>
        <v/>
      </c>
      <c r="I766" s="31">
        <f>IFERROR(INDEX(打卡匯入!$C$3:$C$1002,MATCH($C766&amp;"|"&amp;DAY($A766),打卡匯入!$E$3:$E$1002,0)),"")</f>
        <v/>
      </c>
      <c r="J766" s="31">
        <f>IFERROR(INDEX(打卡匯入!$D$3:$D$1002,MATCH($C766&amp;"|"&amp;DAY($A766),打卡匯入!$E$3:$E$1002,0)),"")</f>
        <v/>
      </c>
      <c r="K766" s="32">
        <f>IF(OR($I766="",$J766=""),"",IFERROR(INDEX(設定!$F$5:$F$20,MATCH($F766,設定!$B$5:$B$20,0)),0))</f>
        <v/>
      </c>
      <c r="L766" s="33">
        <f>IF(OR($I766="",$J766=""),"",ROUND(($J766-$I766)*24-$K766/60,2))</f>
        <v/>
      </c>
      <c r="M766" s="29">
        <f>IF($C766="","",IF(AND(COUNTIF(設定!$B$14:$B$20,$F766)&gt;0,$I766&lt;&gt;""),"假日出勤",IF(AND(COUNTIF(設定!$B$5:$B$13,$F766)&gt;0,$I766=""),"未打卡",IF($I766="","",IF($N766&gt;0,"遲到",IF($O766&gt;0,"早退","正常"))))))</f>
        <v/>
      </c>
      <c r="N766" s="32">
        <f>IF(OR($C766="",$G766="",$I766=""),0,IF(ROUND(($I766-$G766)*1440,0)&gt;設定!$C$28,ROUND(($I766-$G766)*1440,0),0))</f>
        <v/>
      </c>
      <c r="O766" s="32">
        <f>IF(OR($C766="",$H766="",$J766=""),0,IF(ROUND(($H766-$J766)*1440,0)&gt;設定!$C$28,ROUND(($H766-$J766)*1440,0),0))</f>
        <v/>
      </c>
      <c r="P766" s="33">
        <f>IF($L766="",0,IF(($L766-IFERROR(INDEX(設定!$G$5:$G$20,MATCH($F766,設定!$B$5:$B$20,0)),0))*60&gt;=設定!$C$26,ROUND(FLOOR(($L766-IFERROR(INDEX(設定!$G$5:$G$20,MATCH($F766,設定!$B$5:$B$20,0)),0))*60,設定!$C$27)/60,2),0))</f>
        <v/>
      </c>
      <c r="Q766" s="29">
        <f>IF(OR($C766="",$P766=0),"",IF($F766="國","國定假日",IF($B766="日","例假",IF($B766="六","休息日","平日"))))</f>
        <v/>
      </c>
      <c r="R766" s="34" t="n"/>
    </row>
    <row r="767">
      <c r="A767" s="30">
        <f>IF(OR(班表!$A30="",21&gt;DAY(EOMONTH(DATE(班表!$E$2,班表!$G$2,1),0))),"",DATE(班表!$E$2,班表!$G$2,21))</f>
        <v/>
      </c>
      <c r="B767" s="29">
        <f>IF($A767="","",INDEX(設定!$L$5:$L$11,WEEKDAY($A767,1)))</f>
        <v/>
      </c>
      <c r="C767" s="29">
        <f>IF($A767="","",班表!$A30)</f>
        <v/>
      </c>
      <c r="D767" s="29">
        <f>IF($C767="","",班表!$B30)</f>
        <v/>
      </c>
      <c r="E767" s="29">
        <f>IF($C767="","",班表!$C30)</f>
        <v/>
      </c>
      <c r="F767" s="29">
        <f>IF($C767="","",班表!X30)</f>
        <v/>
      </c>
      <c r="G767" s="31">
        <f>IF($F767="","",IFERROR(INDEX(設定!$D$5:$D$20,MATCH($F767,設定!$B$5:$B$20,0)),""))</f>
        <v/>
      </c>
      <c r="H767" s="31">
        <f>IF($F767="","",IFERROR(INDEX(設定!$E$5:$E$20,MATCH($F767,設定!$B$5:$B$20,0)),""))</f>
        <v/>
      </c>
      <c r="I767" s="31">
        <f>IFERROR(INDEX(打卡匯入!$C$3:$C$1002,MATCH($C767&amp;"|"&amp;DAY($A767),打卡匯入!$E$3:$E$1002,0)),"")</f>
        <v/>
      </c>
      <c r="J767" s="31">
        <f>IFERROR(INDEX(打卡匯入!$D$3:$D$1002,MATCH($C767&amp;"|"&amp;DAY($A767),打卡匯入!$E$3:$E$1002,0)),"")</f>
        <v/>
      </c>
      <c r="K767" s="32">
        <f>IF(OR($I767="",$J767=""),"",IFERROR(INDEX(設定!$F$5:$F$20,MATCH($F767,設定!$B$5:$B$20,0)),0))</f>
        <v/>
      </c>
      <c r="L767" s="33">
        <f>IF(OR($I767="",$J767=""),"",ROUND(($J767-$I767)*24-$K767/60,2))</f>
        <v/>
      </c>
      <c r="M767" s="29">
        <f>IF($C767="","",IF(AND(COUNTIF(設定!$B$14:$B$20,$F767)&gt;0,$I767&lt;&gt;""),"假日出勤",IF(AND(COUNTIF(設定!$B$5:$B$13,$F767)&gt;0,$I767=""),"未打卡",IF($I767="","",IF($N767&gt;0,"遲到",IF($O767&gt;0,"早退","正常"))))))</f>
        <v/>
      </c>
      <c r="N767" s="32">
        <f>IF(OR($C767="",$G767="",$I767=""),0,IF(ROUND(($I767-$G767)*1440,0)&gt;設定!$C$28,ROUND(($I767-$G767)*1440,0),0))</f>
        <v/>
      </c>
      <c r="O767" s="32">
        <f>IF(OR($C767="",$H767="",$J767=""),0,IF(ROUND(($H767-$J767)*1440,0)&gt;設定!$C$28,ROUND(($H767-$J767)*1440,0),0))</f>
        <v/>
      </c>
      <c r="P767" s="33">
        <f>IF($L767="",0,IF(($L767-IFERROR(INDEX(設定!$G$5:$G$20,MATCH($F767,設定!$B$5:$B$20,0)),0))*60&gt;=設定!$C$26,ROUND(FLOOR(($L767-IFERROR(INDEX(設定!$G$5:$G$20,MATCH($F767,設定!$B$5:$B$20,0)),0))*60,設定!$C$27)/60,2),0))</f>
        <v/>
      </c>
      <c r="Q767" s="29">
        <f>IF(OR($C767="",$P767=0),"",IF($F767="國","國定假日",IF($B767="日","例假",IF($B767="六","休息日","平日"))))</f>
        <v/>
      </c>
      <c r="R767" s="34" t="n"/>
    </row>
    <row r="768">
      <c r="A768" s="30">
        <f>IF(OR(班表!$A30="",22&gt;DAY(EOMONTH(DATE(班表!$E$2,班表!$G$2,1),0))),"",DATE(班表!$E$2,班表!$G$2,22))</f>
        <v/>
      </c>
      <c r="B768" s="29">
        <f>IF($A768="","",INDEX(設定!$L$5:$L$11,WEEKDAY($A768,1)))</f>
        <v/>
      </c>
      <c r="C768" s="29">
        <f>IF($A768="","",班表!$A30)</f>
        <v/>
      </c>
      <c r="D768" s="29">
        <f>IF($C768="","",班表!$B30)</f>
        <v/>
      </c>
      <c r="E768" s="29">
        <f>IF($C768="","",班表!$C30)</f>
        <v/>
      </c>
      <c r="F768" s="29">
        <f>IF($C768="","",班表!Y30)</f>
        <v/>
      </c>
      <c r="G768" s="31">
        <f>IF($F768="","",IFERROR(INDEX(設定!$D$5:$D$20,MATCH($F768,設定!$B$5:$B$20,0)),""))</f>
        <v/>
      </c>
      <c r="H768" s="31">
        <f>IF($F768="","",IFERROR(INDEX(設定!$E$5:$E$20,MATCH($F768,設定!$B$5:$B$20,0)),""))</f>
        <v/>
      </c>
      <c r="I768" s="31">
        <f>IFERROR(INDEX(打卡匯入!$C$3:$C$1002,MATCH($C768&amp;"|"&amp;DAY($A768),打卡匯入!$E$3:$E$1002,0)),"")</f>
        <v/>
      </c>
      <c r="J768" s="31">
        <f>IFERROR(INDEX(打卡匯入!$D$3:$D$1002,MATCH($C768&amp;"|"&amp;DAY($A768),打卡匯入!$E$3:$E$1002,0)),"")</f>
        <v/>
      </c>
      <c r="K768" s="32">
        <f>IF(OR($I768="",$J768=""),"",IFERROR(INDEX(設定!$F$5:$F$20,MATCH($F768,設定!$B$5:$B$20,0)),0))</f>
        <v/>
      </c>
      <c r="L768" s="33">
        <f>IF(OR($I768="",$J768=""),"",ROUND(($J768-$I768)*24-$K768/60,2))</f>
        <v/>
      </c>
      <c r="M768" s="29">
        <f>IF($C768="","",IF(AND(COUNTIF(設定!$B$14:$B$20,$F768)&gt;0,$I768&lt;&gt;""),"假日出勤",IF(AND(COUNTIF(設定!$B$5:$B$13,$F768)&gt;0,$I768=""),"未打卡",IF($I768="","",IF($N768&gt;0,"遲到",IF($O768&gt;0,"早退","正常"))))))</f>
        <v/>
      </c>
      <c r="N768" s="32">
        <f>IF(OR($C768="",$G768="",$I768=""),0,IF(ROUND(($I768-$G768)*1440,0)&gt;設定!$C$28,ROUND(($I768-$G768)*1440,0),0))</f>
        <v/>
      </c>
      <c r="O768" s="32">
        <f>IF(OR($C768="",$H768="",$J768=""),0,IF(ROUND(($H768-$J768)*1440,0)&gt;設定!$C$28,ROUND(($H768-$J768)*1440,0),0))</f>
        <v/>
      </c>
      <c r="P768" s="33">
        <f>IF($L768="",0,IF(($L768-IFERROR(INDEX(設定!$G$5:$G$20,MATCH($F768,設定!$B$5:$B$20,0)),0))*60&gt;=設定!$C$26,ROUND(FLOOR(($L768-IFERROR(INDEX(設定!$G$5:$G$20,MATCH($F768,設定!$B$5:$B$20,0)),0))*60,設定!$C$27)/60,2),0))</f>
        <v/>
      </c>
      <c r="Q768" s="29">
        <f>IF(OR($C768="",$P768=0),"",IF($F768="國","國定假日",IF($B768="日","例假",IF($B768="六","休息日","平日"))))</f>
        <v/>
      </c>
      <c r="R768" s="34" t="n"/>
    </row>
    <row r="769">
      <c r="A769" s="30">
        <f>IF(OR(班表!$A30="",23&gt;DAY(EOMONTH(DATE(班表!$E$2,班表!$G$2,1),0))),"",DATE(班表!$E$2,班表!$G$2,23))</f>
        <v/>
      </c>
      <c r="B769" s="29">
        <f>IF($A769="","",INDEX(設定!$L$5:$L$11,WEEKDAY($A769,1)))</f>
        <v/>
      </c>
      <c r="C769" s="29">
        <f>IF($A769="","",班表!$A30)</f>
        <v/>
      </c>
      <c r="D769" s="29">
        <f>IF($C769="","",班表!$B30)</f>
        <v/>
      </c>
      <c r="E769" s="29">
        <f>IF($C769="","",班表!$C30)</f>
        <v/>
      </c>
      <c r="F769" s="29">
        <f>IF($C769="","",班表!Z30)</f>
        <v/>
      </c>
      <c r="G769" s="31">
        <f>IF($F769="","",IFERROR(INDEX(設定!$D$5:$D$20,MATCH($F769,設定!$B$5:$B$20,0)),""))</f>
        <v/>
      </c>
      <c r="H769" s="31">
        <f>IF($F769="","",IFERROR(INDEX(設定!$E$5:$E$20,MATCH($F769,設定!$B$5:$B$20,0)),""))</f>
        <v/>
      </c>
      <c r="I769" s="31">
        <f>IFERROR(INDEX(打卡匯入!$C$3:$C$1002,MATCH($C769&amp;"|"&amp;DAY($A769),打卡匯入!$E$3:$E$1002,0)),"")</f>
        <v/>
      </c>
      <c r="J769" s="31">
        <f>IFERROR(INDEX(打卡匯入!$D$3:$D$1002,MATCH($C769&amp;"|"&amp;DAY($A769),打卡匯入!$E$3:$E$1002,0)),"")</f>
        <v/>
      </c>
      <c r="K769" s="32">
        <f>IF(OR($I769="",$J769=""),"",IFERROR(INDEX(設定!$F$5:$F$20,MATCH($F769,設定!$B$5:$B$20,0)),0))</f>
        <v/>
      </c>
      <c r="L769" s="33">
        <f>IF(OR($I769="",$J769=""),"",ROUND(($J769-$I769)*24-$K769/60,2))</f>
        <v/>
      </c>
      <c r="M769" s="29">
        <f>IF($C769="","",IF(AND(COUNTIF(設定!$B$14:$B$20,$F769)&gt;0,$I769&lt;&gt;""),"假日出勤",IF(AND(COUNTIF(設定!$B$5:$B$13,$F769)&gt;0,$I769=""),"未打卡",IF($I769="","",IF($N769&gt;0,"遲到",IF($O769&gt;0,"早退","正常"))))))</f>
        <v/>
      </c>
      <c r="N769" s="32">
        <f>IF(OR($C769="",$G769="",$I769=""),0,IF(ROUND(($I769-$G769)*1440,0)&gt;設定!$C$28,ROUND(($I769-$G769)*1440,0),0))</f>
        <v/>
      </c>
      <c r="O769" s="32">
        <f>IF(OR($C769="",$H769="",$J769=""),0,IF(ROUND(($H769-$J769)*1440,0)&gt;設定!$C$28,ROUND(($H769-$J769)*1440,0),0))</f>
        <v/>
      </c>
      <c r="P769" s="33">
        <f>IF($L769="",0,IF(($L769-IFERROR(INDEX(設定!$G$5:$G$20,MATCH($F769,設定!$B$5:$B$20,0)),0))*60&gt;=設定!$C$26,ROUND(FLOOR(($L769-IFERROR(INDEX(設定!$G$5:$G$20,MATCH($F769,設定!$B$5:$B$20,0)),0))*60,設定!$C$27)/60,2),0))</f>
        <v/>
      </c>
      <c r="Q769" s="29">
        <f>IF(OR($C769="",$P769=0),"",IF($F769="國","國定假日",IF($B769="日","例假",IF($B769="六","休息日","平日"))))</f>
        <v/>
      </c>
      <c r="R769" s="34" t="n"/>
    </row>
    <row r="770">
      <c r="A770" s="30">
        <f>IF(OR(班表!$A30="",24&gt;DAY(EOMONTH(DATE(班表!$E$2,班表!$G$2,1),0))),"",DATE(班表!$E$2,班表!$G$2,24))</f>
        <v/>
      </c>
      <c r="B770" s="29">
        <f>IF($A770="","",INDEX(設定!$L$5:$L$11,WEEKDAY($A770,1)))</f>
        <v/>
      </c>
      <c r="C770" s="29">
        <f>IF($A770="","",班表!$A30)</f>
        <v/>
      </c>
      <c r="D770" s="29">
        <f>IF($C770="","",班表!$B30)</f>
        <v/>
      </c>
      <c r="E770" s="29">
        <f>IF($C770="","",班表!$C30)</f>
        <v/>
      </c>
      <c r="F770" s="29">
        <f>IF($C770="","",班表!AA30)</f>
        <v/>
      </c>
      <c r="G770" s="31">
        <f>IF($F770="","",IFERROR(INDEX(設定!$D$5:$D$20,MATCH($F770,設定!$B$5:$B$20,0)),""))</f>
        <v/>
      </c>
      <c r="H770" s="31">
        <f>IF($F770="","",IFERROR(INDEX(設定!$E$5:$E$20,MATCH($F770,設定!$B$5:$B$20,0)),""))</f>
        <v/>
      </c>
      <c r="I770" s="31">
        <f>IFERROR(INDEX(打卡匯入!$C$3:$C$1002,MATCH($C770&amp;"|"&amp;DAY($A770),打卡匯入!$E$3:$E$1002,0)),"")</f>
        <v/>
      </c>
      <c r="J770" s="31">
        <f>IFERROR(INDEX(打卡匯入!$D$3:$D$1002,MATCH($C770&amp;"|"&amp;DAY($A770),打卡匯入!$E$3:$E$1002,0)),"")</f>
        <v/>
      </c>
      <c r="K770" s="32">
        <f>IF(OR($I770="",$J770=""),"",IFERROR(INDEX(設定!$F$5:$F$20,MATCH($F770,設定!$B$5:$B$20,0)),0))</f>
        <v/>
      </c>
      <c r="L770" s="33">
        <f>IF(OR($I770="",$J770=""),"",ROUND(($J770-$I770)*24-$K770/60,2))</f>
        <v/>
      </c>
      <c r="M770" s="29">
        <f>IF($C770="","",IF(AND(COUNTIF(設定!$B$14:$B$20,$F770)&gt;0,$I770&lt;&gt;""),"假日出勤",IF(AND(COUNTIF(設定!$B$5:$B$13,$F770)&gt;0,$I770=""),"未打卡",IF($I770="","",IF($N770&gt;0,"遲到",IF($O770&gt;0,"早退","正常"))))))</f>
        <v/>
      </c>
      <c r="N770" s="32">
        <f>IF(OR($C770="",$G770="",$I770=""),0,IF(ROUND(($I770-$G770)*1440,0)&gt;設定!$C$28,ROUND(($I770-$G770)*1440,0),0))</f>
        <v/>
      </c>
      <c r="O770" s="32">
        <f>IF(OR($C770="",$H770="",$J770=""),0,IF(ROUND(($H770-$J770)*1440,0)&gt;設定!$C$28,ROUND(($H770-$J770)*1440,0),0))</f>
        <v/>
      </c>
      <c r="P770" s="33">
        <f>IF($L770="",0,IF(($L770-IFERROR(INDEX(設定!$G$5:$G$20,MATCH($F770,設定!$B$5:$B$20,0)),0))*60&gt;=設定!$C$26,ROUND(FLOOR(($L770-IFERROR(INDEX(設定!$G$5:$G$20,MATCH($F770,設定!$B$5:$B$20,0)),0))*60,設定!$C$27)/60,2),0))</f>
        <v/>
      </c>
      <c r="Q770" s="29">
        <f>IF(OR($C770="",$P770=0),"",IF($F770="國","國定假日",IF($B770="日","例假",IF($B770="六","休息日","平日"))))</f>
        <v/>
      </c>
      <c r="R770" s="34" t="n"/>
    </row>
    <row r="771">
      <c r="A771" s="30">
        <f>IF(OR(班表!$A30="",25&gt;DAY(EOMONTH(DATE(班表!$E$2,班表!$G$2,1),0))),"",DATE(班表!$E$2,班表!$G$2,25))</f>
        <v/>
      </c>
      <c r="B771" s="29">
        <f>IF($A771="","",INDEX(設定!$L$5:$L$11,WEEKDAY($A771,1)))</f>
        <v/>
      </c>
      <c r="C771" s="29">
        <f>IF($A771="","",班表!$A30)</f>
        <v/>
      </c>
      <c r="D771" s="29">
        <f>IF($C771="","",班表!$B30)</f>
        <v/>
      </c>
      <c r="E771" s="29">
        <f>IF($C771="","",班表!$C30)</f>
        <v/>
      </c>
      <c r="F771" s="29">
        <f>IF($C771="","",班表!AB30)</f>
        <v/>
      </c>
      <c r="G771" s="31">
        <f>IF($F771="","",IFERROR(INDEX(設定!$D$5:$D$20,MATCH($F771,設定!$B$5:$B$20,0)),""))</f>
        <v/>
      </c>
      <c r="H771" s="31">
        <f>IF($F771="","",IFERROR(INDEX(設定!$E$5:$E$20,MATCH($F771,設定!$B$5:$B$20,0)),""))</f>
        <v/>
      </c>
      <c r="I771" s="31">
        <f>IFERROR(INDEX(打卡匯入!$C$3:$C$1002,MATCH($C771&amp;"|"&amp;DAY($A771),打卡匯入!$E$3:$E$1002,0)),"")</f>
        <v/>
      </c>
      <c r="J771" s="31">
        <f>IFERROR(INDEX(打卡匯入!$D$3:$D$1002,MATCH($C771&amp;"|"&amp;DAY($A771),打卡匯入!$E$3:$E$1002,0)),"")</f>
        <v/>
      </c>
      <c r="K771" s="32">
        <f>IF(OR($I771="",$J771=""),"",IFERROR(INDEX(設定!$F$5:$F$20,MATCH($F771,設定!$B$5:$B$20,0)),0))</f>
        <v/>
      </c>
      <c r="L771" s="33">
        <f>IF(OR($I771="",$J771=""),"",ROUND(($J771-$I771)*24-$K771/60,2))</f>
        <v/>
      </c>
      <c r="M771" s="29">
        <f>IF($C771="","",IF(AND(COUNTIF(設定!$B$14:$B$20,$F771)&gt;0,$I771&lt;&gt;""),"假日出勤",IF(AND(COUNTIF(設定!$B$5:$B$13,$F771)&gt;0,$I771=""),"未打卡",IF($I771="","",IF($N771&gt;0,"遲到",IF($O771&gt;0,"早退","正常"))))))</f>
        <v/>
      </c>
      <c r="N771" s="32">
        <f>IF(OR($C771="",$G771="",$I771=""),0,IF(ROUND(($I771-$G771)*1440,0)&gt;設定!$C$28,ROUND(($I771-$G771)*1440,0),0))</f>
        <v/>
      </c>
      <c r="O771" s="32">
        <f>IF(OR($C771="",$H771="",$J771=""),0,IF(ROUND(($H771-$J771)*1440,0)&gt;設定!$C$28,ROUND(($H771-$J771)*1440,0),0))</f>
        <v/>
      </c>
      <c r="P771" s="33">
        <f>IF($L771="",0,IF(($L771-IFERROR(INDEX(設定!$G$5:$G$20,MATCH($F771,設定!$B$5:$B$20,0)),0))*60&gt;=設定!$C$26,ROUND(FLOOR(($L771-IFERROR(INDEX(設定!$G$5:$G$20,MATCH($F771,設定!$B$5:$B$20,0)),0))*60,設定!$C$27)/60,2),0))</f>
        <v/>
      </c>
      <c r="Q771" s="29">
        <f>IF(OR($C771="",$P771=0),"",IF($F771="國","國定假日",IF($B771="日","例假",IF($B771="六","休息日","平日"))))</f>
        <v/>
      </c>
      <c r="R771" s="34" t="n"/>
    </row>
    <row r="772">
      <c r="A772" s="30">
        <f>IF(OR(班表!$A30="",26&gt;DAY(EOMONTH(DATE(班表!$E$2,班表!$G$2,1),0))),"",DATE(班表!$E$2,班表!$G$2,26))</f>
        <v/>
      </c>
      <c r="B772" s="29">
        <f>IF($A772="","",INDEX(設定!$L$5:$L$11,WEEKDAY($A772,1)))</f>
        <v/>
      </c>
      <c r="C772" s="29">
        <f>IF($A772="","",班表!$A30)</f>
        <v/>
      </c>
      <c r="D772" s="29">
        <f>IF($C772="","",班表!$B30)</f>
        <v/>
      </c>
      <c r="E772" s="29">
        <f>IF($C772="","",班表!$C30)</f>
        <v/>
      </c>
      <c r="F772" s="29">
        <f>IF($C772="","",班表!AC30)</f>
        <v/>
      </c>
      <c r="G772" s="31">
        <f>IF($F772="","",IFERROR(INDEX(設定!$D$5:$D$20,MATCH($F772,設定!$B$5:$B$20,0)),""))</f>
        <v/>
      </c>
      <c r="H772" s="31">
        <f>IF($F772="","",IFERROR(INDEX(設定!$E$5:$E$20,MATCH($F772,設定!$B$5:$B$20,0)),""))</f>
        <v/>
      </c>
      <c r="I772" s="31">
        <f>IFERROR(INDEX(打卡匯入!$C$3:$C$1002,MATCH($C772&amp;"|"&amp;DAY($A772),打卡匯入!$E$3:$E$1002,0)),"")</f>
        <v/>
      </c>
      <c r="J772" s="31">
        <f>IFERROR(INDEX(打卡匯入!$D$3:$D$1002,MATCH($C772&amp;"|"&amp;DAY($A772),打卡匯入!$E$3:$E$1002,0)),"")</f>
        <v/>
      </c>
      <c r="K772" s="32">
        <f>IF(OR($I772="",$J772=""),"",IFERROR(INDEX(設定!$F$5:$F$20,MATCH($F772,設定!$B$5:$B$20,0)),0))</f>
        <v/>
      </c>
      <c r="L772" s="33">
        <f>IF(OR($I772="",$J772=""),"",ROUND(($J772-$I772)*24-$K772/60,2))</f>
        <v/>
      </c>
      <c r="M772" s="29">
        <f>IF($C772="","",IF(AND(COUNTIF(設定!$B$14:$B$20,$F772)&gt;0,$I772&lt;&gt;""),"假日出勤",IF(AND(COUNTIF(設定!$B$5:$B$13,$F772)&gt;0,$I772=""),"未打卡",IF($I772="","",IF($N772&gt;0,"遲到",IF($O772&gt;0,"早退","正常"))))))</f>
        <v/>
      </c>
      <c r="N772" s="32">
        <f>IF(OR($C772="",$G772="",$I772=""),0,IF(ROUND(($I772-$G772)*1440,0)&gt;設定!$C$28,ROUND(($I772-$G772)*1440,0),0))</f>
        <v/>
      </c>
      <c r="O772" s="32">
        <f>IF(OR($C772="",$H772="",$J772=""),0,IF(ROUND(($H772-$J772)*1440,0)&gt;設定!$C$28,ROUND(($H772-$J772)*1440,0),0))</f>
        <v/>
      </c>
      <c r="P772" s="33">
        <f>IF($L772="",0,IF(($L772-IFERROR(INDEX(設定!$G$5:$G$20,MATCH($F772,設定!$B$5:$B$20,0)),0))*60&gt;=設定!$C$26,ROUND(FLOOR(($L772-IFERROR(INDEX(設定!$G$5:$G$20,MATCH($F772,設定!$B$5:$B$20,0)),0))*60,設定!$C$27)/60,2),0))</f>
        <v/>
      </c>
      <c r="Q772" s="29">
        <f>IF(OR($C772="",$P772=0),"",IF($F772="國","國定假日",IF($B772="日","例假",IF($B772="六","休息日","平日"))))</f>
        <v/>
      </c>
      <c r="R772" s="34" t="n"/>
    </row>
    <row r="773">
      <c r="A773" s="30">
        <f>IF(OR(班表!$A30="",27&gt;DAY(EOMONTH(DATE(班表!$E$2,班表!$G$2,1),0))),"",DATE(班表!$E$2,班表!$G$2,27))</f>
        <v/>
      </c>
      <c r="B773" s="29">
        <f>IF($A773="","",INDEX(設定!$L$5:$L$11,WEEKDAY($A773,1)))</f>
        <v/>
      </c>
      <c r="C773" s="29">
        <f>IF($A773="","",班表!$A30)</f>
        <v/>
      </c>
      <c r="D773" s="29">
        <f>IF($C773="","",班表!$B30)</f>
        <v/>
      </c>
      <c r="E773" s="29">
        <f>IF($C773="","",班表!$C30)</f>
        <v/>
      </c>
      <c r="F773" s="29">
        <f>IF($C773="","",班表!AD30)</f>
        <v/>
      </c>
      <c r="G773" s="31">
        <f>IF($F773="","",IFERROR(INDEX(設定!$D$5:$D$20,MATCH($F773,設定!$B$5:$B$20,0)),""))</f>
        <v/>
      </c>
      <c r="H773" s="31">
        <f>IF($F773="","",IFERROR(INDEX(設定!$E$5:$E$20,MATCH($F773,設定!$B$5:$B$20,0)),""))</f>
        <v/>
      </c>
      <c r="I773" s="31">
        <f>IFERROR(INDEX(打卡匯入!$C$3:$C$1002,MATCH($C773&amp;"|"&amp;DAY($A773),打卡匯入!$E$3:$E$1002,0)),"")</f>
        <v/>
      </c>
      <c r="J773" s="31">
        <f>IFERROR(INDEX(打卡匯入!$D$3:$D$1002,MATCH($C773&amp;"|"&amp;DAY($A773),打卡匯入!$E$3:$E$1002,0)),"")</f>
        <v/>
      </c>
      <c r="K773" s="32">
        <f>IF(OR($I773="",$J773=""),"",IFERROR(INDEX(設定!$F$5:$F$20,MATCH($F773,設定!$B$5:$B$20,0)),0))</f>
        <v/>
      </c>
      <c r="L773" s="33">
        <f>IF(OR($I773="",$J773=""),"",ROUND(($J773-$I773)*24-$K773/60,2))</f>
        <v/>
      </c>
      <c r="M773" s="29">
        <f>IF($C773="","",IF(AND(COUNTIF(設定!$B$14:$B$20,$F773)&gt;0,$I773&lt;&gt;""),"假日出勤",IF(AND(COUNTIF(設定!$B$5:$B$13,$F773)&gt;0,$I773=""),"未打卡",IF($I773="","",IF($N773&gt;0,"遲到",IF($O773&gt;0,"早退","正常"))))))</f>
        <v/>
      </c>
      <c r="N773" s="32">
        <f>IF(OR($C773="",$G773="",$I773=""),0,IF(ROUND(($I773-$G773)*1440,0)&gt;設定!$C$28,ROUND(($I773-$G773)*1440,0),0))</f>
        <v/>
      </c>
      <c r="O773" s="32">
        <f>IF(OR($C773="",$H773="",$J773=""),0,IF(ROUND(($H773-$J773)*1440,0)&gt;設定!$C$28,ROUND(($H773-$J773)*1440,0),0))</f>
        <v/>
      </c>
      <c r="P773" s="33">
        <f>IF($L773="",0,IF(($L773-IFERROR(INDEX(設定!$G$5:$G$20,MATCH($F773,設定!$B$5:$B$20,0)),0))*60&gt;=設定!$C$26,ROUND(FLOOR(($L773-IFERROR(INDEX(設定!$G$5:$G$20,MATCH($F773,設定!$B$5:$B$20,0)),0))*60,設定!$C$27)/60,2),0))</f>
        <v/>
      </c>
      <c r="Q773" s="29">
        <f>IF(OR($C773="",$P773=0),"",IF($F773="國","國定假日",IF($B773="日","例假",IF($B773="六","休息日","平日"))))</f>
        <v/>
      </c>
      <c r="R773" s="34" t="n"/>
    </row>
    <row r="774">
      <c r="A774" s="30">
        <f>IF(OR(班表!$A30="",28&gt;DAY(EOMONTH(DATE(班表!$E$2,班表!$G$2,1),0))),"",DATE(班表!$E$2,班表!$G$2,28))</f>
        <v/>
      </c>
      <c r="B774" s="29">
        <f>IF($A774="","",INDEX(設定!$L$5:$L$11,WEEKDAY($A774,1)))</f>
        <v/>
      </c>
      <c r="C774" s="29">
        <f>IF($A774="","",班表!$A30)</f>
        <v/>
      </c>
      <c r="D774" s="29">
        <f>IF($C774="","",班表!$B30)</f>
        <v/>
      </c>
      <c r="E774" s="29">
        <f>IF($C774="","",班表!$C30)</f>
        <v/>
      </c>
      <c r="F774" s="29">
        <f>IF($C774="","",班表!AE30)</f>
        <v/>
      </c>
      <c r="G774" s="31">
        <f>IF($F774="","",IFERROR(INDEX(設定!$D$5:$D$20,MATCH($F774,設定!$B$5:$B$20,0)),""))</f>
        <v/>
      </c>
      <c r="H774" s="31">
        <f>IF($F774="","",IFERROR(INDEX(設定!$E$5:$E$20,MATCH($F774,設定!$B$5:$B$20,0)),""))</f>
        <v/>
      </c>
      <c r="I774" s="31">
        <f>IFERROR(INDEX(打卡匯入!$C$3:$C$1002,MATCH($C774&amp;"|"&amp;DAY($A774),打卡匯入!$E$3:$E$1002,0)),"")</f>
        <v/>
      </c>
      <c r="J774" s="31">
        <f>IFERROR(INDEX(打卡匯入!$D$3:$D$1002,MATCH($C774&amp;"|"&amp;DAY($A774),打卡匯入!$E$3:$E$1002,0)),"")</f>
        <v/>
      </c>
      <c r="K774" s="32">
        <f>IF(OR($I774="",$J774=""),"",IFERROR(INDEX(設定!$F$5:$F$20,MATCH($F774,設定!$B$5:$B$20,0)),0))</f>
        <v/>
      </c>
      <c r="L774" s="33">
        <f>IF(OR($I774="",$J774=""),"",ROUND(($J774-$I774)*24-$K774/60,2))</f>
        <v/>
      </c>
      <c r="M774" s="29">
        <f>IF($C774="","",IF(AND(COUNTIF(設定!$B$14:$B$20,$F774)&gt;0,$I774&lt;&gt;""),"假日出勤",IF(AND(COUNTIF(設定!$B$5:$B$13,$F774)&gt;0,$I774=""),"未打卡",IF($I774="","",IF($N774&gt;0,"遲到",IF($O774&gt;0,"早退","正常"))))))</f>
        <v/>
      </c>
      <c r="N774" s="32">
        <f>IF(OR($C774="",$G774="",$I774=""),0,IF(ROUND(($I774-$G774)*1440,0)&gt;設定!$C$28,ROUND(($I774-$G774)*1440,0),0))</f>
        <v/>
      </c>
      <c r="O774" s="32">
        <f>IF(OR($C774="",$H774="",$J774=""),0,IF(ROUND(($H774-$J774)*1440,0)&gt;設定!$C$28,ROUND(($H774-$J774)*1440,0),0))</f>
        <v/>
      </c>
      <c r="P774" s="33">
        <f>IF($L774="",0,IF(($L774-IFERROR(INDEX(設定!$G$5:$G$20,MATCH($F774,設定!$B$5:$B$20,0)),0))*60&gt;=設定!$C$26,ROUND(FLOOR(($L774-IFERROR(INDEX(設定!$G$5:$G$20,MATCH($F774,設定!$B$5:$B$20,0)),0))*60,設定!$C$27)/60,2),0))</f>
        <v/>
      </c>
      <c r="Q774" s="29">
        <f>IF(OR($C774="",$P774=0),"",IF($F774="國","國定假日",IF($B774="日","例假",IF($B774="六","休息日","平日"))))</f>
        <v/>
      </c>
      <c r="R774" s="34" t="n"/>
    </row>
    <row r="775">
      <c r="A775" s="30">
        <f>IF(OR(班表!$A30="",29&gt;DAY(EOMONTH(DATE(班表!$E$2,班表!$G$2,1),0))),"",DATE(班表!$E$2,班表!$G$2,29))</f>
        <v/>
      </c>
      <c r="B775" s="29">
        <f>IF($A775="","",INDEX(設定!$L$5:$L$11,WEEKDAY($A775,1)))</f>
        <v/>
      </c>
      <c r="C775" s="29">
        <f>IF($A775="","",班表!$A30)</f>
        <v/>
      </c>
      <c r="D775" s="29">
        <f>IF($C775="","",班表!$B30)</f>
        <v/>
      </c>
      <c r="E775" s="29">
        <f>IF($C775="","",班表!$C30)</f>
        <v/>
      </c>
      <c r="F775" s="29">
        <f>IF($C775="","",班表!AF30)</f>
        <v/>
      </c>
      <c r="G775" s="31">
        <f>IF($F775="","",IFERROR(INDEX(設定!$D$5:$D$20,MATCH($F775,設定!$B$5:$B$20,0)),""))</f>
        <v/>
      </c>
      <c r="H775" s="31">
        <f>IF($F775="","",IFERROR(INDEX(設定!$E$5:$E$20,MATCH($F775,設定!$B$5:$B$20,0)),""))</f>
        <v/>
      </c>
      <c r="I775" s="31">
        <f>IFERROR(INDEX(打卡匯入!$C$3:$C$1002,MATCH($C775&amp;"|"&amp;DAY($A775),打卡匯入!$E$3:$E$1002,0)),"")</f>
        <v/>
      </c>
      <c r="J775" s="31">
        <f>IFERROR(INDEX(打卡匯入!$D$3:$D$1002,MATCH($C775&amp;"|"&amp;DAY($A775),打卡匯入!$E$3:$E$1002,0)),"")</f>
        <v/>
      </c>
      <c r="K775" s="32">
        <f>IF(OR($I775="",$J775=""),"",IFERROR(INDEX(設定!$F$5:$F$20,MATCH($F775,設定!$B$5:$B$20,0)),0))</f>
        <v/>
      </c>
      <c r="L775" s="33">
        <f>IF(OR($I775="",$J775=""),"",ROUND(($J775-$I775)*24-$K775/60,2))</f>
        <v/>
      </c>
      <c r="M775" s="29">
        <f>IF($C775="","",IF(AND(COUNTIF(設定!$B$14:$B$20,$F775)&gt;0,$I775&lt;&gt;""),"假日出勤",IF(AND(COUNTIF(設定!$B$5:$B$13,$F775)&gt;0,$I775=""),"未打卡",IF($I775="","",IF($N775&gt;0,"遲到",IF($O775&gt;0,"早退","正常"))))))</f>
        <v/>
      </c>
      <c r="N775" s="32">
        <f>IF(OR($C775="",$G775="",$I775=""),0,IF(ROUND(($I775-$G775)*1440,0)&gt;設定!$C$28,ROUND(($I775-$G775)*1440,0),0))</f>
        <v/>
      </c>
      <c r="O775" s="32">
        <f>IF(OR($C775="",$H775="",$J775=""),0,IF(ROUND(($H775-$J775)*1440,0)&gt;設定!$C$28,ROUND(($H775-$J775)*1440,0),0))</f>
        <v/>
      </c>
      <c r="P775" s="33">
        <f>IF($L775="",0,IF(($L775-IFERROR(INDEX(設定!$G$5:$G$20,MATCH($F775,設定!$B$5:$B$20,0)),0))*60&gt;=設定!$C$26,ROUND(FLOOR(($L775-IFERROR(INDEX(設定!$G$5:$G$20,MATCH($F775,設定!$B$5:$B$20,0)),0))*60,設定!$C$27)/60,2),0))</f>
        <v/>
      </c>
      <c r="Q775" s="29">
        <f>IF(OR($C775="",$P775=0),"",IF($F775="國","國定假日",IF($B775="日","例假",IF($B775="六","休息日","平日"))))</f>
        <v/>
      </c>
      <c r="R775" s="34" t="n"/>
    </row>
    <row r="776">
      <c r="A776" s="30">
        <f>IF(OR(班表!$A30="",30&gt;DAY(EOMONTH(DATE(班表!$E$2,班表!$G$2,1),0))),"",DATE(班表!$E$2,班表!$G$2,30))</f>
        <v/>
      </c>
      <c r="B776" s="29">
        <f>IF($A776="","",INDEX(設定!$L$5:$L$11,WEEKDAY($A776,1)))</f>
        <v/>
      </c>
      <c r="C776" s="29">
        <f>IF($A776="","",班表!$A30)</f>
        <v/>
      </c>
      <c r="D776" s="29">
        <f>IF($C776="","",班表!$B30)</f>
        <v/>
      </c>
      <c r="E776" s="29">
        <f>IF($C776="","",班表!$C30)</f>
        <v/>
      </c>
      <c r="F776" s="29">
        <f>IF($C776="","",班表!AG30)</f>
        <v/>
      </c>
      <c r="G776" s="31">
        <f>IF($F776="","",IFERROR(INDEX(設定!$D$5:$D$20,MATCH($F776,設定!$B$5:$B$20,0)),""))</f>
        <v/>
      </c>
      <c r="H776" s="31">
        <f>IF($F776="","",IFERROR(INDEX(設定!$E$5:$E$20,MATCH($F776,設定!$B$5:$B$20,0)),""))</f>
        <v/>
      </c>
      <c r="I776" s="31">
        <f>IFERROR(INDEX(打卡匯入!$C$3:$C$1002,MATCH($C776&amp;"|"&amp;DAY($A776),打卡匯入!$E$3:$E$1002,0)),"")</f>
        <v/>
      </c>
      <c r="J776" s="31">
        <f>IFERROR(INDEX(打卡匯入!$D$3:$D$1002,MATCH($C776&amp;"|"&amp;DAY($A776),打卡匯入!$E$3:$E$1002,0)),"")</f>
        <v/>
      </c>
      <c r="K776" s="32">
        <f>IF(OR($I776="",$J776=""),"",IFERROR(INDEX(設定!$F$5:$F$20,MATCH($F776,設定!$B$5:$B$20,0)),0))</f>
        <v/>
      </c>
      <c r="L776" s="33">
        <f>IF(OR($I776="",$J776=""),"",ROUND(($J776-$I776)*24-$K776/60,2))</f>
        <v/>
      </c>
      <c r="M776" s="29">
        <f>IF($C776="","",IF(AND(COUNTIF(設定!$B$14:$B$20,$F776)&gt;0,$I776&lt;&gt;""),"假日出勤",IF(AND(COUNTIF(設定!$B$5:$B$13,$F776)&gt;0,$I776=""),"未打卡",IF($I776="","",IF($N776&gt;0,"遲到",IF($O776&gt;0,"早退","正常"))))))</f>
        <v/>
      </c>
      <c r="N776" s="32">
        <f>IF(OR($C776="",$G776="",$I776=""),0,IF(ROUND(($I776-$G776)*1440,0)&gt;設定!$C$28,ROUND(($I776-$G776)*1440,0),0))</f>
        <v/>
      </c>
      <c r="O776" s="32">
        <f>IF(OR($C776="",$H776="",$J776=""),0,IF(ROUND(($H776-$J776)*1440,0)&gt;設定!$C$28,ROUND(($H776-$J776)*1440,0),0))</f>
        <v/>
      </c>
      <c r="P776" s="33">
        <f>IF($L776="",0,IF(($L776-IFERROR(INDEX(設定!$G$5:$G$20,MATCH($F776,設定!$B$5:$B$20,0)),0))*60&gt;=設定!$C$26,ROUND(FLOOR(($L776-IFERROR(INDEX(設定!$G$5:$G$20,MATCH($F776,設定!$B$5:$B$20,0)),0))*60,設定!$C$27)/60,2),0))</f>
        <v/>
      </c>
      <c r="Q776" s="29">
        <f>IF(OR($C776="",$P776=0),"",IF($F776="國","國定假日",IF($B776="日","例假",IF($B776="六","休息日","平日"))))</f>
        <v/>
      </c>
      <c r="R776" s="34" t="n"/>
    </row>
    <row r="777">
      <c r="A777" s="30">
        <f>IF(OR(班表!$A30="",31&gt;DAY(EOMONTH(DATE(班表!$E$2,班表!$G$2,1),0))),"",DATE(班表!$E$2,班表!$G$2,31))</f>
        <v/>
      </c>
      <c r="B777" s="29">
        <f>IF($A777="","",INDEX(設定!$L$5:$L$11,WEEKDAY($A777,1)))</f>
        <v/>
      </c>
      <c r="C777" s="29">
        <f>IF($A777="","",班表!$A30)</f>
        <v/>
      </c>
      <c r="D777" s="29">
        <f>IF($C777="","",班表!$B30)</f>
        <v/>
      </c>
      <c r="E777" s="29">
        <f>IF($C777="","",班表!$C30)</f>
        <v/>
      </c>
      <c r="F777" s="29">
        <f>IF($C777="","",班表!AH30)</f>
        <v/>
      </c>
      <c r="G777" s="31">
        <f>IF($F777="","",IFERROR(INDEX(設定!$D$5:$D$20,MATCH($F777,設定!$B$5:$B$20,0)),""))</f>
        <v/>
      </c>
      <c r="H777" s="31">
        <f>IF($F777="","",IFERROR(INDEX(設定!$E$5:$E$20,MATCH($F777,設定!$B$5:$B$20,0)),""))</f>
        <v/>
      </c>
      <c r="I777" s="31">
        <f>IFERROR(INDEX(打卡匯入!$C$3:$C$1002,MATCH($C777&amp;"|"&amp;DAY($A777),打卡匯入!$E$3:$E$1002,0)),"")</f>
        <v/>
      </c>
      <c r="J777" s="31">
        <f>IFERROR(INDEX(打卡匯入!$D$3:$D$1002,MATCH($C777&amp;"|"&amp;DAY($A777),打卡匯入!$E$3:$E$1002,0)),"")</f>
        <v/>
      </c>
      <c r="K777" s="32">
        <f>IF(OR($I777="",$J777=""),"",IFERROR(INDEX(設定!$F$5:$F$20,MATCH($F777,設定!$B$5:$B$20,0)),0))</f>
        <v/>
      </c>
      <c r="L777" s="33">
        <f>IF(OR($I777="",$J777=""),"",ROUND(($J777-$I777)*24-$K777/60,2))</f>
        <v/>
      </c>
      <c r="M777" s="29">
        <f>IF($C777="","",IF(AND(COUNTIF(設定!$B$14:$B$20,$F777)&gt;0,$I777&lt;&gt;""),"假日出勤",IF(AND(COUNTIF(設定!$B$5:$B$13,$F777)&gt;0,$I777=""),"未打卡",IF($I777="","",IF($N777&gt;0,"遲到",IF($O777&gt;0,"早退","正常"))))))</f>
        <v/>
      </c>
      <c r="N777" s="32">
        <f>IF(OR($C777="",$G777="",$I777=""),0,IF(ROUND(($I777-$G777)*1440,0)&gt;設定!$C$28,ROUND(($I777-$G777)*1440,0),0))</f>
        <v/>
      </c>
      <c r="O777" s="32">
        <f>IF(OR($C777="",$H777="",$J777=""),0,IF(ROUND(($H777-$J777)*1440,0)&gt;設定!$C$28,ROUND(($H777-$J777)*1440,0),0))</f>
        <v/>
      </c>
      <c r="P777" s="33">
        <f>IF($L777="",0,IF(($L777-IFERROR(INDEX(設定!$G$5:$G$20,MATCH($F777,設定!$B$5:$B$20,0)),0))*60&gt;=設定!$C$26,ROUND(FLOOR(($L777-IFERROR(INDEX(設定!$G$5:$G$20,MATCH($F777,設定!$B$5:$B$20,0)),0))*60,設定!$C$27)/60,2),0))</f>
        <v/>
      </c>
      <c r="Q777" s="29">
        <f>IF(OR($C777="",$P777=0),"",IF($F777="國","國定假日",IF($B777="日","例假",IF($B777="六","休息日","平日"))))</f>
        <v/>
      </c>
      <c r="R777" s="34" t="n"/>
    </row>
    <row r="778">
      <c r="A778" s="30">
        <f>IF(OR(班表!$A31="",1&gt;DAY(EOMONTH(DATE(班表!$E$2,班表!$G$2,1),0))),"",DATE(班表!$E$2,班表!$G$2,1))</f>
        <v/>
      </c>
      <c r="B778" s="29">
        <f>IF($A778="","",INDEX(設定!$L$5:$L$11,WEEKDAY($A778,1)))</f>
        <v/>
      </c>
      <c r="C778" s="29">
        <f>IF($A778="","",班表!$A31)</f>
        <v/>
      </c>
      <c r="D778" s="29">
        <f>IF($C778="","",班表!$B31)</f>
        <v/>
      </c>
      <c r="E778" s="29">
        <f>IF($C778="","",班表!$C31)</f>
        <v/>
      </c>
      <c r="F778" s="29">
        <f>IF($C778="","",班表!D31)</f>
        <v/>
      </c>
      <c r="G778" s="31">
        <f>IF($F778="","",IFERROR(INDEX(設定!$D$5:$D$20,MATCH($F778,設定!$B$5:$B$20,0)),""))</f>
        <v/>
      </c>
      <c r="H778" s="31">
        <f>IF($F778="","",IFERROR(INDEX(設定!$E$5:$E$20,MATCH($F778,設定!$B$5:$B$20,0)),""))</f>
        <v/>
      </c>
      <c r="I778" s="31">
        <f>IFERROR(INDEX(打卡匯入!$C$3:$C$1002,MATCH($C778&amp;"|"&amp;DAY($A778),打卡匯入!$E$3:$E$1002,0)),"")</f>
        <v/>
      </c>
      <c r="J778" s="31">
        <f>IFERROR(INDEX(打卡匯入!$D$3:$D$1002,MATCH($C778&amp;"|"&amp;DAY($A778),打卡匯入!$E$3:$E$1002,0)),"")</f>
        <v/>
      </c>
      <c r="K778" s="32">
        <f>IF(OR($I778="",$J778=""),"",IFERROR(INDEX(設定!$F$5:$F$20,MATCH($F778,設定!$B$5:$B$20,0)),0))</f>
        <v/>
      </c>
      <c r="L778" s="33">
        <f>IF(OR($I778="",$J778=""),"",ROUND(($J778-$I778)*24-$K778/60,2))</f>
        <v/>
      </c>
      <c r="M778" s="29">
        <f>IF($C778="","",IF(AND(COUNTIF(設定!$B$14:$B$20,$F778)&gt;0,$I778&lt;&gt;""),"假日出勤",IF(AND(COUNTIF(設定!$B$5:$B$13,$F778)&gt;0,$I778=""),"未打卡",IF($I778="","",IF($N778&gt;0,"遲到",IF($O778&gt;0,"早退","正常"))))))</f>
        <v/>
      </c>
      <c r="N778" s="32">
        <f>IF(OR($C778="",$G778="",$I778=""),0,IF(ROUND(($I778-$G778)*1440,0)&gt;設定!$C$28,ROUND(($I778-$G778)*1440,0),0))</f>
        <v/>
      </c>
      <c r="O778" s="32">
        <f>IF(OR($C778="",$H778="",$J778=""),0,IF(ROUND(($H778-$J778)*1440,0)&gt;設定!$C$28,ROUND(($H778-$J778)*1440,0),0))</f>
        <v/>
      </c>
      <c r="P778" s="33">
        <f>IF($L778="",0,IF(($L778-IFERROR(INDEX(設定!$G$5:$G$20,MATCH($F778,設定!$B$5:$B$20,0)),0))*60&gt;=設定!$C$26,ROUND(FLOOR(($L778-IFERROR(INDEX(設定!$G$5:$G$20,MATCH($F778,設定!$B$5:$B$20,0)),0))*60,設定!$C$27)/60,2),0))</f>
        <v/>
      </c>
      <c r="Q778" s="29">
        <f>IF(OR($C778="",$P778=0),"",IF($F778="國","國定假日",IF($B778="日","例假",IF($B778="六","休息日","平日"))))</f>
        <v/>
      </c>
      <c r="R778" s="34" t="n"/>
    </row>
    <row r="779">
      <c r="A779" s="30">
        <f>IF(OR(班表!$A31="",2&gt;DAY(EOMONTH(DATE(班表!$E$2,班表!$G$2,1),0))),"",DATE(班表!$E$2,班表!$G$2,2))</f>
        <v/>
      </c>
      <c r="B779" s="29">
        <f>IF($A779="","",INDEX(設定!$L$5:$L$11,WEEKDAY($A779,1)))</f>
        <v/>
      </c>
      <c r="C779" s="29">
        <f>IF($A779="","",班表!$A31)</f>
        <v/>
      </c>
      <c r="D779" s="29">
        <f>IF($C779="","",班表!$B31)</f>
        <v/>
      </c>
      <c r="E779" s="29">
        <f>IF($C779="","",班表!$C31)</f>
        <v/>
      </c>
      <c r="F779" s="29">
        <f>IF($C779="","",班表!E31)</f>
        <v/>
      </c>
      <c r="G779" s="31">
        <f>IF($F779="","",IFERROR(INDEX(設定!$D$5:$D$20,MATCH($F779,設定!$B$5:$B$20,0)),""))</f>
        <v/>
      </c>
      <c r="H779" s="31">
        <f>IF($F779="","",IFERROR(INDEX(設定!$E$5:$E$20,MATCH($F779,設定!$B$5:$B$20,0)),""))</f>
        <v/>
      </c>
      <c r="I779" s="31">
        <f>IFERROR(INDEX(打卡匯入!$C$3:$C$1002,MATCH($C779&amp;"|"&amp;DAY($A779),打卡匯入!$E$3:$E$1002,0)),"")</f>
        <v/>
      </c>
      <c r="J779" s="31">
        <f>IFERROR(INDEX(打卡匯入!$D$3:$D$1002,MATCH($C779&amp;"|"&amp;DAY($A779),打卡匯入!$E$3:$E$1002,0)),"")</f>
        <v/>
      </c>
      <c r="K779" s="32">
        <f>IF(OR($I779="",$J779=""),"",IFERROR(INDEX(設定!$F$5:$F$20,MATCH($F779,設定!$B$5:$B$20,0)),0))</f>
        <v/>
      </c>
      <c r="L779" s="33">
        <f>IF(OR($I779="",$J779=""),"",ROUND(($J779-$I779)*24-$K779/60,2))</f>
        <v/>
      </c>
      <c r="M779" s="29">
        <f>IF($C779="","",IF(AND(COUNTIF(設定!$B$14:$B$20,$F779)&gt;0,$I779&lt;&gt;""),"假日出勤",IF(AND(COUNTIF(設定!$B$5:$B$13,$F779)&gt;0,$I779=""),"未打卡",IF($I779="","",IF($N779&gt;0,"遲到",IF($O779&gt;0,"早退","正常"))))))</f>
        <v/>
      </c>
      <c r="N779" s="32">
        <f>IF(OR($C779="",$G779="",$I779=""),0,IF(ROUND(($I779-$G779)*1440,0)&gt;設定!$C$28,ROUND(($I779-$G779)*1440,0),0))</f>
        <v/>
      </c>
      <c r="O779" s="32">
        <f>IF(OR($C779="",$H779="",$J779=""),0,IF(ROUND(($H779-$J779)*1440,0)&gt;設定!$C$28,ROUND(($H779-$J779)*1440,0),0))</f>
        <v/>
      </c>
      <c r="P779" s="33">
        <f>IF($L779="",0,IF(($L779-IFERROR(INDEX(設定!$G$5:$G$20,MATCH($F779,設定!$B$5:$B$20,0)),0))*60&gt;=設定!$C$26,ROUND(FLOOR(($L779-IFERROR(INDEX(設定!$G$5:$G$20,MATCH($F779,設定!$B$5:$B$20,0)),0))*60,設定!$C$27)/60,2),0))</f>
        <v/>
      </c>
      <c r="Q779" s="29">
        <f>IF(OR($C779="",$P779=0),"",IF($F779="國","國定假日",IF($B779="日","例假",IF($B779="六","休息日","平日"))))</f>
        <v/>
      </c>
      <c r="R779" s="34" t="n"/>
    </row>
    <row r="780">
      <c r="A780" s="30">
        <f>IF(OR(班表!$A31="",3&gt;DAY(EOMONTH(DATE(班表!$E$2,班表!$G$2,1),0))),"",DATE(班表!$E$2,班表!$G$2,3))</f>
        <v/>
      </c>
      <c r="B780" s="29">
        <f>IF($A780="","",INDEX(設定!$L$5:$L$11,WEEKDAY($A780,1)))</f>
        <v/>
      </c>
      <c r="C780" s="29">
        <f>IF($A780="","",班表!$A31)</f>
        <v/>
      </c>
      <c r="D780" s="29">
        <f>IF($C780="","",班表!$B31)</f>
        <v/>
      </c>
      <c r="E780" s="29">
        <f>IF($C780="","",班表!$C31)</f>
        <v/>
      </c>
      <c r="F780" s="29">
        <f>IF($C780="","",班表!F31)</f>
        <v/>
      </c>
      <c r="G780" s="31">
        <f>IF($F780="","",IFERROR(INDEX(設定!$D$5:$D$20,MATCH($F780,設定!$B$5:$B$20,0)),""))</f>
        <v/>
      </c>
      <c r="H780" s="31">
        <f>IF($F780="","",IFERROR(INDEX(設定!$E$5:$E$20,MATCH($F780,設定!$B$5:$B$20,0)),""))</f>
        <v/>
      </c>
      <c r="I780" s="31">
        <f>IFERROR(INDEX(打卡匯入!$C$3:$C$1002,MATCH($C780&amp;"|"&amp;DAY($A780),打卡匯入!$E$3:$E$1002,0)),"")</f>
        <v/>
      </c>
      <c r="J780" s="31">
        <f>IFERROR(INDEX(打卡匯入!$D$3:$D$1002,MATCH($C780&amp;"|"&amp;DAY($A780),打卡匯入!$E$3:$E$1002,0)),"")</f>
        <v/>
      </c>
      <c r="K780" s="32">
        <f>IF(OR($I780="",$J780=""),"",IFERROR(INDEX(設定!$F$5:$F$20,MATCH($F780,設定!$B$5:$B$20,0)),0))</f>
        <v/>
      </c>
      <c r="L780" s="33">
        <f>IF(OR($I780="",$J780=""),"",ROUND(($J780-$I780)*24-$K780/60,2))</f>
        <v/>
      </c>
      <c r="M780" s="29">
        <f>IF($C780="","",IF(AND(COUNTIF(設定!$B$14:$B$20,$F780)&gt;0,$I780&lt;&gt;""),"假日出勤",IF(AND(COUNTIF(設定!$B$5:$B$13,$F780)&gt;0,$I780=""),"未打卡",IF($I780="","",IF($N780&gt;0,"遲到",IF($O780&gt;0,"早退","正常"))))))</f>
        <v/>
      </c>
      <c r="N780" s="32">
        <f>IF(OR($C780="",$G780="",$I780=""),0,IF(ROUND(($I780-$G780)*1440,0)&gt;設定!$C$28,ROUND(($I780-$G780)*1440,0),0))</f>
        <v/>
      </c>
      <c r="O780" s="32">
        <f>IF(OR($C780="",$H780="",$J780=""),0,IF(ROUND(($H780-$J780)*1440,0)&gt;設定!$C$28,ROUND(($H780-$J780)*1440,0),0))</f>
        <v/>
      </c>
      <c r="P780" s="33">
        <f>IF($L780="",0,IF(($L780-IFERROR(INDEX(設定!$G$5:$G$20,MATCH($F780,設定!$B$5:$B$20,0)),0))*60&gt;=設定!$C$26,ROUND(FLOOR(($L780-IFERROR(INDEX(設定!$G$5:$G$20,MATCH($F780,設定!$B$5:$B$20,0)),0))*60,設定!$C$27)/60,2),0))</f>
        <v/>
      </c>
      <c r="Q780" s="29">
        <f>IF(OR($C780="",$P780=0),"",IF($F780="國","國定假日",IF($B780="日","例假",IF($B780="六","休息日","平日"))))</f>
        <v/>
      </c>
      <c r="R780" s="34" t="n"/>
    </row>
    <row r="781">
      <c r="A781" s="30">
        <f>IF(OR(班表!$A31="",4&gt;DAY(EOMONTH(DATE(班表!$E$2,班表!$G$2,1),0))),"",DATE(班表!$E$2,班表!$G$2,4))</f>
        <v/>
      </c>
      <c r="B781" s="29">
        <f>IF($A781="","",INDEX(設定!$L$5:$L$11,WEEKDAY($A781,1)))</f>
        <v/>
      </c>
      <c r="C781" s="29">
        <f>IF($A781="","",班表!$A31)</f>
        <v/>
      </c>
      <c r="D781" s="29">
        <f>IF($C781="","",班表!$B31)</f>
        <v/>
      </c>
      <c r="E781" s="29">
        <f>IF($C781="","",班表!$C31)</f>
        <v/>
      </c>
      <c r="F781" s="29">
        <f>IF($C781="","",班表!G31)</f>
        <v/>
      </c>
      <c r="G781" s="31">
        <f>IF($F781="","",IFERROR(INDEX(設定!$D$5:$D$20,MATCH($F781,設定!$B$5:$B$20,0)),""))</f>
        <v/>
      </c>
      <c r="H781" s="31">
        <f>IF($F781="","",IFERROR(INDEX(設定!$E$5:$E$20,MATCH($F781,設定!$B$5:$B$20,0)),""))</f>
        <v/>
      </c>
      <c r="I781" s="31">
        <f>IFERROR(INDEX(打卡匯入!$C$3:$C$1002,MATCH($C781&amp;"|"&amp;DAY($A781),打卡匯入!$E$3:$E$1002,0)),"")</f>
        <v/>
      </c>
      <c r="J781" s="31">
        <f>IFERROR(INDEX(打卡匯入!$D$3:$D$1002,MATCH($C781&amp;"|"&amp;DAY($A781),打卡匯入!$E$3:$E$1002,0)),"")</f>
        <v/>
      </c>
      <c r="K781" s="32">
        <f>IF(OR($I781="",$J781=""),"",IFERROR(INDEX(設定!$F$5:$F$20,MATCH($F781,設定!$B$5:$B$20,0)),0))</f>
        <v/>
      </c>
      <c r="L781" s="33">
        <f>IF(OR($I781="",$J781=""),"",ROUND(($J781-$I781)*24-$K781/60,2))</f>
        <v/>
      </c>
      <c r="M781" s="29">
        <f>IF($C781="","",IF(AND(COUNTIF(設定!$B$14:$B$20,$F781)&gt;0,$I781&lt;&gt;""),"假日出勤",IF(AND(COUNTIF(設定!$B$5:$B$13,$F781)&gt;0,$I781=""),"未打卡",IF($I781="","",IF($N781&gt;0,"遲到",IF($O781&gt;0,"早退","正常"))))))</f>
        <v/>
      </c>
      <c r="N781" s="32">
        <f>IF(OR($C781="",$G781="",$I781=""),0,IF(ROUND(($I781-$G781)*1440,0)&gt;設定!$C$28,ROUND(($I781-$G781)*1440,0),0))</f>
        <v/>
      </c>
      <c r="O781" s="32">
        <f>IF(OR($C781="",$H781="",$J781=""),0,IF(ROUND(($H781-$J781)*1440,0)&gt;設定!$C$28,ROUND(($H781-$J781)*1440,0),0))</f>
        <v/>
      </c>
      <c r="P781" s="33">
        <f>IF($L781="",0,IF(($L781-IFERROR(INDEX(設定!$G$5:$G$20,MATCH($F781,設定!$B$5:$B$20,0)),0))*60&gt;=設定!$C$26,ROUND(FLOOR(($L781-IFERROR(INDEX(設定!$G$5:$G$20,MATCH($F781,設定!$B$5:$B$20,0)),0))*60,設定!$C$27)/60,2),0))</f>
        <v/>
      </c>
      <c r="Q781" s="29">
        <f>IF(OR($C781="",$P781=0),"",IF($F781="國","國定假日",IF($B781="日","例假",IF($B781="六","休息日","平日"))))</f>
        <v/>
      </c>
      <c r="R781" s="34" t="n"/>
    </row>
    <row r="782">
      <c r="A782" s="30">
        <f>IF(OR(班表!$A31="",5&gt;DAY(EOMONTH(DATE(班表!$E$2,班表!$G$2,1),0))),"",DATE(班表!$E$2,班表!$G$2,5))</f>
        <v/>
      </c>
      <c r="B782" s="29">
        <f>IF($A782="","",INDEX(設定!$L$5:$L$11,WEEKDAY($A782,1)))</f>
        <v/>
      </c>
      <c r="C782" s="29">
        <f>IF($A782="","",班表!$A31)</f>
        <v/>
      </c>
      <c r="D782" s="29">
        <f>IF($C782="","",班表!$B31)</f>
        <v/>
      </c>
      <c r="E782" s="29">
        <f>IF($C782="","",班表!$C31)</f>
        <v/>
      </c>
      <c r="F782" s="29">
        <f>IF($C782="","",班表!H31)</f>
        <v/>
      </c>
      <c r="G782" s="31">
        <f>IF($F782="","",IFERROR(INDEX(設定!$D$5:$D$20,MATCH($F782,設定!$B$5:$B$20,0)),""))</f>
        <v/>
      </c>
      <c r="H782" s="31">
        <f>IF($F782="","",IFERROR(INDEX(設定!$E$5:$E$20,MATCH($F782,設定!$B$5:$B$20,0)),""))</f>
        <v/>
      </c>
      <c r="I782" s="31">
        <f>IFERROR(INDEX(打卡匯入!$C$3:$C$1002,MATCH($C782&amp;"|"&amp;DAY($A782),打卡匯入!$E$3:$E$1002,0)),"")</f>
        <v/>
      </c>
      <c r="J782" s="31">
        <f>IFERROR(INDEX(打卡匯入!$D$3:$D$1002,MATCH($C782&amp;"|"&amp;DAY($A782),打卡匯入!$E$3:$E$1002,0)),"")</f>
        <v/>
      </c>
      <c r="K782" s="32">
        <f>IF(OR($I782="",$J782=""),"",IFERROR(INDEX(設定!$F$5:$F$20,MATCH($F782,設定!$B$5:$B$20,0)),0))</f>
        <v/>
      </c>
      <c r="L782" s="33">
        <f>IF(OR($I782="",$J782=""),"",ROUND(($J782-$I782)*24-$K782/60,2))</f>
        <v/>
      </c>
      <c r="M782" s="29">
        <f>IF($C782="","",IF(AND(COUNTIF(設定!$B$14:$B$20,$F782)&gt;0,$I782&lt;&gt;""),"假日出勤",IF(AND(COUNTIF(設定!$B$5:$B$13,$F782)&gt;0,$I782=""),"未打卡",IF($I782="","",IF($N782&gt;0,"遲到",IF($O782&gt;0,"早退","正常"))))))</f>
        <v/>
      </c>
      <c r="N782" s="32">
        <f>IF(OR($C782="",$G782="",$I782=""),0,IF(ROUND(($I782-$G782)*1440,0)&gt;設定!$C$28,ROUND(($I782-$G782)*1440,0),0))</f>
        <v/>
      </c>
      <c r="O782" s="32">
        <f>IF(OR($C782="",$H782="",$J782=""),0,IF(ROUND(($H782-$J782)*1440,0)&gt;設定!$C$28,ROUND(($H782-$J782)*1440,0),0))</f>
        <v/>
      </c>
      <c r="P782" s="33">
        <f>IF($L782="",0,IF(($L782-IFERROR(INDEX(設定!$G$5:$G$20,MATCH($F782,設定!$B$5:$B$20,0)),0))*60&gt;=設定!$C$26,ROUND(FLOOR(($L782-IFERROR(INDEX(設定!$G$5:$G$20,MATCH($F782,設定!$B$5:$B$20,0)),0))*60,設定!$C$27)/60,2),0))</f>
        <v/>
      </c>
      <c r="Q782" s="29">
        <f>IF(OR($C782="",$P782=0),"",IF($F782="國","國定假日",IF($B782="日","例假",IF($B782="六","休息日","平日"))))</f>
        <v/>
      </c>
      <c r="R782" s="34" t="n"/>
    </row>
    <row r="783">
      <c r="A783" s="30">
        <f>IF(OR(班表!$A31="",6&gt;DAY(EOMONTH(DATE(班表!$E$2,班表!$G$2,1),0))),"",DATE(班表!$E$2,班表!$G$2,6))</f>
        <v/>
      </c>
      <c r="B783" s="29">
        <f>IF($A783="","",INDEX(設定!$L$5:$L$11,WEEKDAY($A783,1)))</f>
        <v/>
      </c>
      <c r="C783" s="29">
        <f>IF($A783="","",班表!$A31)</f>
        <v/>
      </c>
      <c r="D783" s="29">
        <f>IF($C783="","",班表!$B31)</f>
        <v/>
      </c>
      <c r="E783" s="29">
        <f>IF($C783="","",班表!$C31)</f>
        <v/>
      </c>
      <c r="F783" s="29">
        <f>IF($C783="","",班表!I31)</f>
        <v/>
      </c>
      <c r="G783" s="31">
        <f>IF($F783="","",IFERROR(INDEX(設定!$D$5:$D$20,MATCH($F783,設定!$B$5:$B$20,0)),""))</f>
        <v/>
      </c>
      <c r="H783" s="31">
        <f>IF($F783="","",IFERROR(INDEX(設定!$E$5:$E$20,MATCH($F783,設定!$B$5:$B$20,0)),""))</f>
        <v/>
      </c>
      <c r="I783" s="31">
        <f>IFERROR(INDEX(打卡匯入!$C$3:$C$1002,MATCH($C783&amp;"|"&amp;DAY($A783),打卡匯入!$E$3:$E$1002,0)),"")</f>
        <v/>
      </c>
      <c r="J783" s="31">
        <f>IFERROR(INDEX(打卡匯入!$D$3:$D$1002,MATCH($C783&amp;"|"&amp;DAY($A783),打卡匯入!$E$3:$E$1002,0)),"")</f>
        <v/>
      </c>
      <c r="K783" s="32">
        <f>IF(OR($I783="",$J783=""),"",IFERROR(INDEX(設定!$F$5:$F$20,MATCH($F783,設定!$B$5:$B$20,0)),0))</f>
        <v/>
      </c>
      <c r="L783" s="33">
        <f>IF(OR($I783="",$J783=""),"",ROUND(($J783-$I783)*24-$K783/60,2))</f>
        <v/>
      </c>
      <c r="M783" s="29">
        <f>IF($C783="","",IF(AND(COUNTIF(設定!$B$14:$B$20,$F783)&gt;0,$I783&lt;&gt;""),"假日出勤",IF(AND(COUNTIF(設定!$B$5:$B$13,$F783)&gt;0,$I783=""),"未打卡",IF($I783="","",IF($N783&gt;0,"遲到",IF($O783&gt;0,"早退","正常"))))))</f>
        <v/>
      </c>
      <c r="N783" s="32">
        <f>IF(OR($C783="",$G783="",$I783=""),0,IF(ROUND(($I783-$G783)*1440,0)&gt;設定!$C$28,ROUND(($I783-$G783)*1440,0),0))</f>
        <v/>
      </c>
      <c r="O783" s="32">
        <f>IF(OR($C783="",$H783="",$J783=""),0,IF(ROUND(($H783-$J783)*1440,0)&gt;設定!$C$28,ROUND(($H783-$J783)*1440,0),0))</f>
        <v/>
      </c>
      <c r="P783" s="33">
        <f>IF($L783="",0,IF(($L783-IFERROR(INDEX(設定!$G$5:$G$20,MATCH($F783,設定!$B$5:$B$20,0)),0))*60&gt;=設定!$C$26,ROUND(FLOOR(($L783-IFERROR(INDEX(設定!$G$5:$G$20,MATCH($F783,設定!$B$5:$B$20,0)),0))*60,設定!$C$27)/60,2),0))</f>
        <v/>
      </c>
      <c r="Q783" s="29">
        <f>IF(OR($C783="",$P783=0),"",IF($F783="國","國定假日",IF($B783="日","例假",IF($B783="六","休息日","平日"))))</f>
        <v/>
      </c>
      <c r="R783" s="34" t="n"/>
    </row>
    <row r="784">
      <c r="A784" s="30">
        <f>IF(OR(班表!$A31="",7&gt;DAY(EOMONTH(DATE(班表!$E$2,班表!$G$2,1),0))),"",DATE(班表!$E$2,班表!$G$2,7))</f>
        <v/>
      </c>
      <c r="B784" s="29">
        <f>IF($A784="","",INDEX(設定!$L$5:$L$11,WEEKDAY($A784,1)))</f>
        <v/>
      </c>
      <c r="C784" s="29">
        <f>IF($A784="","",班表!$A31)</f>
        <v/>
      </c>
      <c r="D784" s="29">
        <f>IF($C784="","",班表!$B31)</f>
        <v/>
      </c>
      <c r="E784" s="29">
        <f>IF($C784="","",班表!$C31)</f>
        <v/>
      </c>
      <c r="F784" s="29">
        <f>IF($C784="","",班表!J31)</f>
        <v/>
      </c>
      <c r="G784" s="31">
        <f>IF($F784="","",IFERROR(INDEX(設定!$D$5:$D$20,MATCH($F784,設定!$B$5:$B$20,0)),""))</f>
        <v/>
      </c>
      <c r="H784" s="31">
        <f>IF($F784="","",IFERROR(INDEX(設定!$E$5:$E$20,MATCH($F784,設定!$B$5:$B$20,0)),""))</f>
        <v/>
      </c>
      <c r="I784" s="31">
        <f>IFERROR(INDEX(打卡匯入!$C$3:$C$1002,MATCH($C784&amp;"|"&amp;DAY($A784),打卡匯入!$E$3:$E$1002,0)),"")</f>
        <v/>
      </c>
      <c r="J784" s="31">
        <f>IFERROR(INDEX(打卡匯入!$D$3:$D$1002,MATCH($C784&amp;"|"&amp;DAY($A784),打卡匯入!$E$3:$E$1002,0)),"")</f>
        <v/>
      </c>
      <c r="K784" s="32">
        <f>IF(OR($I784="",$J784=""),"",IFERROR(INDEX(設定!$F$5:$F$20,MATCH($F784,設定!$B$5:$B$20,0)),0))</f>
        <v/>
      </c>
      <c r="L784" s="33">
        <f>IF(OR($I784="",$J784=""),"",ROUND(($J784-$I784)*24-$K784/60,2))</f>
        <v/>
      </c>
      <c r="M784" s="29">
        <f>IF($C784="","",IF(AND(COUNTIF(設定!$B$14:$B$20,$F784)&gt;0,$I784&lt;&gt;""),"假日出勤",IF(AND(COUNTIF(設定!$B$5:$B$13,$F784)&gt;0,$I784=""),"未打卡",IF($I784="","",IF($N784&gt;0,"遲到",IF($O784&gt;0,"早退","正常"))))))</f>
        <v/>
      </c>
      <c r="N784" s="32">
        <f>IF(OR($C784="",$G784="",$I784=""),0,IF(ROUND(($I784-$G784)*1440,0)&gt;設定!$C$28,ROUND(($I784-$G784)*1440,0),0))</f>
        <v/>
      </c>
      <c r="O784" s="32">
        <f>IF(OR($C784="",$H784="",$J784=""),0,IF(ROUND(($H784-$J784)*1440,0)&gt;設定!$C$28,ROUND(($H784-$J784)*1440,0),0))</f>
        <v/>
      </c>
      <c r="P784" s="33">
        <f>IF($L784="",0,IF(($L784-IFERROR(INDEX(設定!$G$5:$G$20,MATCH($F784,設定!$B$5:$B$20,0)),0))*60&gt;=設定!$C$26,ROUND(FLOOR(($L784-IFERROR(INDEX(設定!$G$5:$G$20,MATCH($F784,設定!$B$5:$B$20,0)),0))*60,設定!$C$27)/60,2),0))</f>
        <v/>
      </c>
      <c r="Q784" s="29">
        <f>IF(OR($C784="",$P784=0),"",IF($F784="國","國定假日",IF($B784="日","例假",IF($B784="六","休息日","平日"))))</f>
        <v/>
      </c>
      <c r="R784" s="34" t="n"/>
    </row>
    <row r="785">
      <c r="A785" s="30">
        <f>IF(OR(班表!$A31="",8&gt;DAY(EOMONTH(DATE(班表!$E$2,班表!$G$2,1),0))),"",DATE(班表!$E$2,班表!$G$2,8))</f>
        <v/>
      </c>
      <c r="B785" s="29">
        <f>IF($A785="","",INDEX(設定!$L$5:$L$11,WEEKDAY($A785,1)))</f>
        <v/>
      </c>
      <c r="C785" s="29">
        <f>IF($A785="","",班表!$A31)</f>
        <v/>
      </c>
      <c r="D785" s="29">
        <f>IF($C785="","",班表!$B31)</f>
        <v/>
      </c>
      <c r="E785" s="29">
        <f>IF($C785="","",班表!$C31)</f>
        <v/>
      </c>
      <c r="F785" s="29">
        <f>IF($C785="","",班表!K31)</f>
        <v/>
      </c>
      <c r="G785" s="31">
        <f>IF($F785="","",IFERROR(INDEX(設定!$D$5:$D$20,MATCH($F785,設定!$B$5:$B$20,0)),""))</f>
        <v/>
      </c>
      <c r="H785" s="31">
        <f>IF($F785="","",IFERROR(INDEX(設定!$E$5:$E$20,MATCH($F785,設定!$B$5:$B$20,0)),""))</f>
        <v/>
      </c>
      <c r="I785" s="31">
        <f>IFERROR(INDEX(打卡匯入!$C$3:$C$1002,MATCH($C785&amp;"|"&amp;DAY($A785),打卡匯入!$E$3:$E$1002,0)),"")</f>
        <v/>
      </c>
      <c r="J785" s="31">
        <f>IFERROR(INDEX(打卡匯入!$D$3:$D$1002,MATCH($C785&amp;"|"&amp;DAY($A785),打卡匯入!$E$3:$E$1002,0)),"")</f>
        <v/>
      </c>
      <c r="K785" s="32">
        <f>IF(OR($I785="",$J785=""),"",IFERROR(INDEX(設定!$F$5:$F$20,MATCH($F785,設定!$B$5:$B$20,0)),0))</f>
        <v/>
      </c>
      <c r="L785" s="33">
        <f>IF(OR($I785="",$J785=""),"",ROUND(($J785-$I785)*24-$K785/60,2))</f>
        <v/>
      </c>
      <c r="M785" s="29">
        <f>IF($C785="","",IF(AND(COUNTIF(設定!$B$14:$B$20,$F785)&gt;0,$I785&lt;&gt;""),"假日出勤",IF(AND(COUNTIF(設定!$B$5:$B$13,$F785)&gt;0,$I785=""),"未打卡",IF($I785="","",IF($N785&gt;0,"遲到",IF($O785&gt;0,"早退","正常"))))))</f>
        <v/>
      </c>
      <c r="N785" s="32">
        <f>IF(OR($C785="",$G785="",$I785=""),0,IF(ROUND(($I785-$G785)*1440,0)&gt;設定!$C$28,ROUND(($I785-$G785)*1440,0),0))</f>
        <v/>
      </c>
      <c r="O785" s="32">
        <f>IF(OR($C785="",$H785="",$J785=""),0,IF(ROUND(($H785-$J785)*1440,0)&gt;設定!$C$28,ROUND(($H785-$J785)*1440,0),0))</f>
        <v/>
      </c>
      <c r="P785" s="33">
        <f>IF($L785="",0,IF(($L785-IFERROR(INDEX(設定!$G$5:$G$20,MATCH($F785,設定!$B$5:$B$20,0)),0))*60&gt;=設定!$C$26,ROUND(FLOOR(($L785-IFERROR(INDEX(設定!$G$5:$G$20,MATCH($F785,設定!$B$5:$B$20,0)),0))*60,設定!$C$27)/60,2),0))</f>
        <v/>
      </c>
      <c r="Q785" s="29">
        <f>IF(OR($C785="",$P785=0),"",IF($F785="國","國定假日",IF($B785="日","例假",IF($B785="六","休息日","平日"))))</f>
        <v/>
      </c>
      <c r="R785" s="34" t="n"/>
    </row>
    <row r="786">
      <c r="A786" s="30">
        <f>IF(OR(班表!$A31="",9&gt;DAY(EOMONTH(DATE(班表!$E$2,班表!$G$2,1),0))),"",DATE(班表!$E$2,班表!$G$2,9))</f>
        <v/>
      </c>
      <c r="B786" s="29">
        <f>IF($A786="","",INDEX(設定!$L$5:$L$11,WEEKDAY($A786,1)))</f>
        <v/>
      </c>
      <c r="C786" s="29">
        <f>IF($A786="","",班表!$A31)</f>
        <v/>
      </c>
      <c r="D786" s="29">
        <f>IF($C786="","",班表!$B31)</f>
        <v/>
      </c>
      <c r="E786" s="29">
        <f>IF($C786="","",班表!$C31)</f>
        <v/>
      </c>
      <c r="F786" s="29">
        <f>IF($C786="","",班表!L31)</f>
        <v/>
      </c>
      <c r="G786" s="31">
        <f>IF($F786="","",IFERROR(INDEX(設定!$D$5:$D$20,MATCH($F786,設定!$B$5:$B$20,0)),""))</f>
        <v/>
      </c>
      <c r="H786" s="31">
        <f>IF($F786="","",IFERROR(INDEX(設定!$E$5:$E$20,MATCH($F786,設定!$B$5:$B$20,0)),""))</f>
        <v/>
      </c>
      <c r="I786" s="31">
        <f>IFERROR(INDEX(打卡匯入!$C$3:$C$1002,MATCH($C786&amp;"|"&amp;DAY($A786),打卡匯入!$E$3:$E$1002,0)),"")</f>
        <v/>
      </c>
      <c r="J786" s="31">
        <f>IFERROR(INDEX(打卡匯入!$D$3:$D$1002,MATCH($C786&amp;"|"&amp;DAY($A786),打卡匯入!$E$3:$E$1002,0)),"")</f>
        <v/>
      </c>
      <c r="K786" s="32">
        <f>IF(OR($I786="",$J786=""),"",IFERROR(INDEX(設定!$F$5:$F$20,MATCH($F786,設定!$B$5:$B$20,0)),0))</f>
        <v/>
      </c>
      <c r="L786" s="33">
        <f>IF(OR($I786="",$J786=""),"",ROUND(($J786-$I786)*24-$K786/60,2))</f>
        <v/>
      </c>
      <c r="M786" s="29">
        <f>IF($C786="","",IF(AND(COUNTIF(設定!$B$14:$B$20,$F786)&gt;0,$I786&lt;&gt;""),"假日出勤",IF(AND(COUNTIF(設定!$B$5:$B$13,$F786)&gt;0,$I786=""),"未打卡",IF($I786="","",IF($N786&gt;0,"遲到",IF($O786&gt;0,"早退","正常"))))))</f>
        <v/>
      </c>
      <c r="N786" s="32">
        <f>IF(OR($C786="",$G786="",$I786=""),0,IF(ROUND(($I786-$G786)*1440,0)&gt;設定!$C$28,ROUND(($I786-$G786)*1440,0),0))</f>
        <v/>
      </c>
      <c r="O786" s="32">
        <f>IF(OR($C786="",$H786="",$J786=""),0,IF(ROUND(($H786-$J786)*1440,0)&gt;設定!$C$28,ROUND(($H786-$J786)*1440,0),0))</f>
        <v/>
      </c>
      <c r="P786" s="33">
        <f>IF($L786="",0,IF(($L786-IFERROR(INDEX(設定!$G$5:$G$20,MATCH($F786,設定!$B$5:$B$20,0)),0))*60&gt;=設定!$C$26,ROUND(FLOOR(($L786-IFERROR(INDEX(設定!$G$5:$G$20,MATCH($F786,設定!$B$5:$B$20,0)),0))*60,設定!$C$27)/60,2),0))</f>
        <v/>
      </c>
      <c r="Q786" s="29">
        <f>IF(OR($C786="",$P786=0),"",IF($F786="國","國定假日",IF($B786="日","例假",IF($B786="六","休息日","平日"))))</f>
        <v/>
      </c>
      <c r="R786" s="34" t="n"/>
    </row>
    <row r="787">
      <c r="A787" s="30">
        <f>IF(OR(班表!$A31="",10&gt;DAY(EOMONTH(DATE(班表!$E$2,班表!$G$2,1),0))),"",DATE(班表!$E$2,班表!$G$2,10))</f>
        <v/>
      </c>
      <c r="B787" s="29">
        <f>IF($A787="","",INDEX(設定!$L$5:$L$11,WEEKDAY($A787,1)))</f>
        <v/>
      </c>
      <c r="C787" s="29">
        <f>IF($A787="","",班表!$A31)</f>
        <v/>
      </c>
      <c r="D787" s="29">
        <f>IF($C787="","",班表!$B31)</f>
        <v/>
      </c>
      <c r="E787" s="29">
        <f>IF($C787="","",班表!$C31)</f>
        <v/>
      </c>
      <c r="F787" s="29">
        <f>IF($C787="","",班表!M31)</f>
        <v/>
      </c>
      <c r="G787" s="31">
        <f>IF($F787="","",IFERROR(INDEX(設定!$D$5:$D$20,MATCH($F787,設定!$B$5:$B$20,0)),""))</f>
        <v/>
      </c>
      <c r="H787" s="31">
        <f>IF($F787="","",IFERROR(INDEX(設定!$E$5:$E$20,MATCH($F787,設定!$B$5:$B$20,0)),""))</f>
        <v/>
      </c>
      <c r="I787" s="31">
        <f>IFERROR(INDEX(打卡匯入!$C$3:$C$1002,MATCH($C787&amp;"|"&amp;DAY($A787),打卡匯入!$E$3:$E$1002,0)),"")</f>
        <v/>
      </c>
      <c r="J787" s="31">
        <f>IFERROR(INDEX(打卡匯入!$D$3:$D$1002,MATCH($C787&amp;"|"&amp;DAY($A787),打卡匯入!$E$3:$E$1002,0)),"")</f>
        <v/>
      </c>
      <c r="K787" s="32">
        <f>IF(OR($I787="",$J787=""),"",IFERROR(INDEX(設定!$F$5:$F$20,MATCH($F787,設定!$B$5:$B$20,0)),0))</f>
        <v/>
      </c>
      <c r="L787" s="33">
        <f>IF(OR($I787="",$J787=""),"",ROUND(($J787-$I787)*24-$K787/60,2))</f>
        <v/>
      </c>
      <c r="M787" s="29">
        <f>IF($C787="","",IF(AND(COUNTIF(設定!$B$14:$B$20,$F787)&gt;0,$I787&lt;&gt;""),"假日出勤",IF(AND(COUNTIF(設定!$B$5:$B$13,$F787)&gt;0,$I787=""),"未打卡",IF($I787="","",IF($N787&gt;0,"遲到",IF($O787&gt;0,"早退","正常"))))))</f>
        <v/>
      </c>
      <c r="N787" s="32">
        <f>IF(OR($C787="",$G787="",$I787=""),0,IF(ROUND(($I787-$G787)*1440,0)&gt;設定!$C$28,ROUND(($I787-$G787)*1440,0),0))</f>
        <v/>
      </c>
      <c r="O787" s="32">
        <f>IF(OR($C787="",$H787="",$J787=""),0,IF(ROUND(($H787-$J787)*1440,0)&gt;設定!$C$28,ROUND(($H787-$J787)*1440,0),0))</f>
        <v/>
      </c>
      <c r="P787" s="33">
        <f>IF($L787="",0,IF(($L787-IFERROR(INDEX(設定!$G$5:$G$20,MATCH($F787,設定!$B$5:$B$20,0)),0))*60&gt;=設定!$C$26,ROUND(FLOOR(($L787-IFERROR(INDEX(設定!$G$5:$G$20,MATCH($F787,設定!$B$5:$B$20,0)),0))*60,設定!$C$27)/60,2),0))</f>
        <v/>
      </c>
      <c r="Q787" s="29">
        <f>IF(OR($C787="",$P787=0),"",IF($F787="國","國定假日",IF($B787="日","例假",IF($B787="六","休息日","平日"))))</f>
        <v/>
      </c>
      <c r="R787" s="34" t="n"/>
    </row>
    <row r="788">
      <c r="A788" s="30">
        <f>IF(OR(班表!$A31="",11&gt;DAY(EOMONTH(DATE(班表!$E$2,班表!$G$2,1),0))),"",DATE(班表!$E$2,班表!$G$2,11))</f>
        <v/>
      </c>
      <c r="B788" s="29">
        <f>IF($A788="","",INDEX(設定!$L$5:$L$11,WEEKDAY($A788,1)))</f>
        <v/>
      </c>
      <c r="C788" s="29">
        <f>IF($A788="","",班表!$A31)</f>
        <v/>
      </c>
      <c r="D788" s="29">
        <f>IF($C788="","",班表!$B31)</f>
        <v/>
      </c>
      <c r="E788" s="29">
        <f>IF($C788="","",班表!$C31)</f>
        <v/>
      </c>
      <c r="F788" s="29">
        <f>IF($C788="","",班表!N31)</f>
        <v/>
      </c>
      <c r="G788" s="31">
        <f>IF($F788="","",IFERROR(INDEX(設定!$D$5:$D$20,MATCH($F788,設定!$B$5:$B$20,0)),""))</f>
        <v/>
      </c>
      <c r="H788" s="31">
        <f>IF($F788="","",IFERROR(INDEX(設定!$E$5:$E$20,MATCH($F788,設定!$B$5:$B$20,0)),""))</f>
        <v/>
      </c>
      <c r="I788" s="31">
        <f>IFERROR(INDEX(打卡匯入!$C$3:$C$1002,MATCH($C788&amp;"|"&amp;DAY($A788),打卡匯入!$E$3:$E$1002,0)),"")</f>
        <v/>
      </c>
      <c r="J788" s="31">
        <f>IFERROR(INDEX(打卡匯入!$D$3:$D$1002,MATCH($C788&amp;"|"&amp;DAY($A788),打卡匯入!$E$3:$E$1002,0)),"")</f>
        <v/>
      </c>
      <c r="K788" s="32">
        <f>IF(OR($I788="",$J788=""),"",IFERROR(INDEX(設定!$F$5:$F$20,MATCH($F788,設定!$B$5:$B$20,0)),0))</f>
        <v/>
      </c>
      <c r="L788" s="33">
        <f>IF(OR($I788="",$J788=""),"",ROUND(($J788-$I788)*24-$K788/60,2))</f>
        <v/>
      </c>
      <c r="M788" s="29">
        <f>IF($C788="","",IF(AND(COUNTIF(設定!$B$14:$B$20,$F788)&gt;0,$I788&lt;&gt;""),"假日出勤",IF(AND(COUNTIF(設定!$B$5:$B$13,$F788)&gt;0,$I788=""),"未打卡",IF($I788="","",IF($N788&gt;0,"遲到",IF($O788&gt;0,"早退","正常"))))))</f>
        <v/>
      </c>
      <c r="N788" s="32">
        <f>IF(OR($C788="",$G788="",$I788=""),0,IF(ROUND(($I788-$G788)*1440,0)&gt;設定!$C$28,ROUND(($I788-$G788)*1440,0),0))</f>
        <v/>
      </c>
      <c r="O788" s="32">
        <f>IF(OR($C788="",$H788="",$J788=""),0,IF(ROUND(($H788-$J788)*1440,0)&gt;設定!$C$28,ROUND(($H788-$J788)*1440,0),0))</f>
        <v/>
      </c>
      <c r="P788" s="33">
        <f>IF($L788="",0,IF(($L788-IFERROR(INDEX(設定!$G$5:$G$20,MATCH($F788,設定!$B$5:$B$20,0)),0))*60&gt;=設定!$C$26,ROUND(FLOOR(($L788-IFERROR(INDEX(設定!$G$5:$G$20,MATCH($F788,設定!$B$5:$B$20,0)),0))*60,設定!$C$27)/60,2),0))</f>
        <v/>
      </c>
      <c r="Q788" s="29">
        <f>IF(OR($C788="",$P788=0),"",IF($F788="國","國定假日",IF($B788="日","例假",IF($B788="六","休息日","平日"))))</f>
        <v/>
      </c>
      <c r="R788" s="34" t="n"/>
    </row>
    <row r="789">
      <c r="A789" s="30">
        <f>IF(OR(班表!$A31="",12&gt;DAY(EOMONTH(DATE(班表!$E$2,班表!$G$2,1),0))),"",DATE(班表!$E$2,班表!$G$2,12))</f>
        <v/>
      </c>
      <c r="B789" s="29">
        <f>IF($A789="","",INDEX(設定!$L$5:$L$11,WEEKDAY($A789,1)))</f>
        <v/>
      </c>
      <c r="C789" s="29">
        <f>IF($A789="","",班表!$A31)</f>
        <v/>
      </c>
      <c r="D789" s="29">
        <f>IF($C789="","",班表!$B31)</f>
        <v/>
      </c>
      <c r="E789" s="29">
        <f>IF($C789="","",班表!$C31)</f>
        <v/>
      </c>
      <c r="F789" s="29">
        <f>IF($C789="","",班表!O31)</f>
        <v/>
      </c>
      <c r="G789" s="31">
        <f>IF($F789="","",IFERROR(INDEX(設定!$D$5:$D$20,MATCH($F789,設定!$B$5:$B$20,0)),""))</f>
        <v/>
      </c>
      <c r="H789" s="31">
        <f>IF($F789="","",IFERROR(INDEX(設定!$E$5:$E$20,MATCH($F789,設定!$B$5:$B$20,0)),""))</f>
        <v/>
      </c>
      <c r="I789" s="31">
        <f>IFERROR(INDEX(打卡匯入!$C$3:$C$1002,MATCH($C789&amp;"|"&amp;DAY($A789),打卡匯入!$E$3:$E$1002,0)),"")</f>
        <v/>
      </c>
      <c r="J789" s="31">
        <f>IFERROR(INDEX(打卡匯入!$D$3:$D$1002,MATCH($C789&amp;"|"&amp;DAY($A789),打卡匯入!$E$3:$E$1002,0)),"")</f>
        <v/>
      </c>
      <c r="K789" s="32">
        <f>IF(OR($I789="",$J789=""),"",IFERROR(INDEX(設定!$F$5:$F$20,MATCH($F789,設定!$B$5:$B$20,0)),0))</f>
        <v/>
      </c>
      <c r="L789" s="33">
        <f>IF(OR($I789="",$J789=""),"",ROUND(($J789-$I789)*24-$K789/60,2))</f>
        <v/>
      </c>
      <c r="M789" s="29">
        <f>IF($C789="","",IF(AND(COUNTIF(設定!$B$14:$B$20,$F789)&gt;0,$I789&lt;&gt;""),"假日出勤",IF(AND(COUNTIF(設定!$B$5:$B$13,$F789)&gt;0,$I789=""),"未打卡",IF($I789="","",IF($N789&gt;0,"遲到",IF($O789&gt;0,"早退","正常"))))))</f>
        <v/>
      </c>
      <c r="N789" s="32">
        <f>IF(OR($C789="",$G789="",$I789=""),0,IF(ROUND(($I789-$G789)*1440,0)&gt;設定!$C$28,ROUND(($I789-$G789)*1440,0),0))</f>
        <v/>
      </c>
      <c r="O789" s="32">
        <f>IF(OR($C789="",$H789="",$J789=""),0,IF(ROUND(($H789-$J789)*1440,0)&gt;設定!$C$28,ROUND(($H789-$J789)*1440,0),0))</f>
        <v/>
      </c>
      <c r="P789" s="33">
        <f>IF($L789="",0,IF(($L789-IFERROR(INDEX(設定!$G$5:$G$20,MATCH($F789,設定!$B$5:$B$20,0)),0))*60&gt;=設定!$C$26,ROUND(FLOOR(($L789-IFERROR(INDEX(設定!$G$5:$G$20,MATCH($F789,設定!$B$5:$B$20,0)),0))*60,設定!$C$27)/60,2),0))</f>
        <v/>
      </c>
      <c r="Q789" s="29">
        <f>IF(OR($C789="",$P789=0),"",IF($F789="國","國定假日",IF($B789="日","例假",IF($B789="六","休息日","平日"))))</f>
        <v/>
      </c>
      <c r="R789" s="34" t="n"/>
    </row>
    <row r="790">
      <c r="A790" s="30">
        <f>IF(OR(班表!$A31="",13&gt;DAY(EOMONTH(DATE(班表!$E$2,班表!$G$2,1),0))),"",DATE(班表!$E$2,班表!$G$2,13))</f>
        <v/>
      </c>
      <c r="B790" s="29">
        <f>IF($A790="","",INDEX(設定!$L$5:$L$11,WEEKDAY($A790,1)))</f>
        <v/>
      </c>
      <c r="C790" s="29">
        <f>IF($A790="","",班表!$A31)</f>
        <v/>
      </c>
      <c r="D790" s="29">
        <f>IF($C790="","",班表!$B31)</f>
        <v/>
      </c>
      <c r="E790" s="29">
        <f>IF($C790="","",班表!$C31)</f>
        <v/>
      </c>
      <c r="F790" s="29">
        <f>IF($C790="","",班表!P31)</f>
        <v/>
      </c>
      <c r="G790" s="31">
        <f>IF($F790="","",IFERROR(INDEX(設定!$D$5:$D$20,MATCH($F790,設定!$B$5:$B$20,0)),""))</f>
        <v/>
      </c>
      <c r="H790" s="31">
        <f>IF($F790="","",IFERROR(INDEX(設定!$E$5:$E$20,MATCH($F790,設定!$B$5:$B$20,0)),""))</f>
        <v/>
      </c>
      <c r="I790" s="31">
        <f>IFERROR(INDEX(打卡匯入!$C$3:$C$1002,MATCH($C790&amp;"|"&amp;DAY($A790),打卡匯入!$E$3:$E$1002,0)),"")</f>
        <v/>
      </c>
      <c r="J790" s="31">
        <f>IFERROR(INDEX(打卡匯入!$D$3:$D$1002,MATCH($C790&amp;"|"&amp;DAY($A790),打卡匯入!$E$3:$E$1002,0)),"")</f>
        <v/>
      </c>
      <c r="K790" s="32">
        <f>IF(OR($I790="",$J790=""),"",IFERROR(INDEX(設定!$F$5:$F$20,MATCH($F790,設定!$B$5:$B$20,0)),0))</f>
        <v/>
      </c>
      <c r="L790" s="33">
        <f>IF(OR($I790="",$J790=""),"",ROUND(($J790-$I790)*24-$K790/60,2))</f>
        <v/>
      </c>
      <c r="M790" s="29">
        <f>IF($C790="","",IF(AND(COUNTIF(設定!$B$14:$B$20,$F790)&gt;0,$I790&lt;&gt;""),"假日出勤",IF(AND(COUNTIF(設定!$B$5:$B$13,$F790)&gt;0,$I790=""),"未打卡",IF($I790="","",IF($N790&gt;0,"遲到",IF($O790&gt;0,"早退","正常"))))))</f>
        <v/>
      </c>
      <c r="N790" s="32">
        <f>IF(OR($C790="",$G790="",$I790=""),0,IF(ROUND(($I790-$G790)*1440,0)&gt;設定!$C$28,ROUND(($I790-$G790)*1440,0),0))</f>
        <v/>
      </c>
      <c r="O790" s="32">
        <f>IF(OR($C790="",$H790="",$J790=""),0,IF(ROUND(($H790-$J790)*1440,0)&gt;設定!$C$28,ROUND(($H790-$J790)*1440,0),0))</f>
        <v/>
      </c>
      <c r="P790" s="33">
        <f>IF($L790="",0,IF(($L790-IFERROR(INDEX(設定!$G$5:$G$20,MATCH($F790,設定!$B$5:$B$20,0)),0))*60&gt;=設定!$C$26,ROUND(FLOOR(($L790-IFERROR(INDEX(設定!$G$5:$G$20,MATCH($F790,設定!$B$5:$B$20,0)),0))*60,設定!$C$27)/60,2),0))</f>
        <v/>
      </c>
      <c r="Q790" s="29">
        <f>IF(OR($C790="",$P790=0),"",IF($F790="國","國定假日",IF($B790="日","例假",IF($B790="六","休息日","平日"))))</f>
        <v/>
      </c>
      <c r="R790" s="34" t="n"/>
    </row>
    <row r="791">
      <c r="A791" s="30">
        <f>IF(OR(班表!$A31="",14&gt;DAY(EOMONTH(DATE(班表!$E$2,班表!$G$2,1),0))),"",DATE(班表!$E$2,班表!$G$2,14))</f>
        <v/>
      </c>
      <c r="B791" s="29">
        <f>IF($A791="","",INDEX(設定!$L$5:$L$11,WEEKDAY($A791,1)))</f>
        <v/>
      </c>
      <c r="C791" s="29">
        <f>IF($A791="","",班表!$A31)</f>
        <v/>
      </c>
      <c r="D791" s="29">
        <f>IF($C791="","",班表!$B31)</f>
        <v/>
      </c>
      <c r="E791" s="29">
        <f>IF($C791="","",班表!$C31)</f>
        <v/>
      </c>
      <c r="F791" s="29">
        <f>IF($C791="","",班表!Q31)</f>
        <v/>
      </c>
      <c r="G791" s="31">
        <f>IF($F791="","",IFERROR(INDEX(設定!$D$5:$D$20,MATCH($F791,設定!$B$5:$B$20,0)),""))</f>
        <v/>
      </c>
      <c r="H791" s="31">
        <f>IF($F791="","",IFERROR(INDEX(設定!$E$5:$E$20,MATCH($F791,設定!$B$5:$B$20,0)),""))</f>
        <v/>
      </c>
      <c r="I791" s="31">
        <f>IFERROR(INDEX(打卡匯入!$C$3:$C$1002,MATCH($C791&amp;"|"&amp;DAY($A791),打卡匯入!$E$3:$E$1002,0)),"")</f>
        <v/>
      </c>
      <c r="J791" s="31">
        <f>IFERROR(INDEX(打卡匯入!$D$3:$D$1002,MATCH($C791&amp;"|"&amp;DAY($A791),打卡匯入!$E$3:$E$1002,0)),"")</f>
        <v/>
      </c>
      <c r="K791" s="32">
        <f>IF(OR($I791="",$J791=""),"",IFERROR(INDEX(設定!$F$5:$F$20,MATCH($F791,設定!$B$5:$B$20,0)),0))</f>
        <v/>
      </c>
      <c r="L791" s="33">
        <f>IF(OR($I791="",$J791=""),"",ROUND(($J791-$I791)*24-$K791/60,2))</f>
        <v/>
      </c>
      <c r="M791" s="29">
        <f>IF($C791="","",IF(AND(COUNTIF(設定!$B$14:$B$20,$F791)&gt;0,$I791&lt;&gt;""),"假日出勤",IF(AND(COUNTIF(設定!$B$5:$B$13,$F791)&gt;0,$I791=""),"未打卡",IF($I791="","",IF($N791&gt;0,"遲到",IF($O791&gt;0,"早退","正常"))))))</f>
        <v/>
      </c>
      <c r="N791" s="32">
        <f>IF(OR($C791="",$G791="",$I791=""),0,IF(ROUND(($I791-$G791)*1440,0)&gt;設定!$C$28,ROUND(($I791-$G791)*1440,0),0))</f>
        <v/>
      </c>
      <c r="O791" s="32">
        <f>IF(OR($C791="",$H791="",$J791=""),0,IF(ROUND(($H791-$J791)*1440,0)&gt;設定!$C$28,ROUND(($H791-$J791)*1440,0),0))</f>
        <v/>
      </c>
      <c r="P791" s="33">
        <f>IF($L791="",0,IF(($L791-IFERROR(INDEX(設定!$G$5:$G$20,MATCH($F791,設定!$B$5:$B$20,0)),0))*60&gt;=設定!$C$26,ROUND(FLOOR(($L791-IFERROR(INDEX(設定!$G$5:$G$20,MATCH($F791,設定!$B$5:$B$20,0)),0))*60,設定!$C$27)/60,2),0))</f>
        <v/>
      </c>
      <c r="Q791" s="29">
        <f>IF(OR($C791="",$P791=0),"",IF($F791="國","國定假日",IF($B791="日","例假",IF($B791="六","休息日","平日"))))</f>
        <v/>
      </c>
      <c r="R791" s="34" t="n"/>
    </row>
    <row r="792">
      <c r="A792" s="30">
        <f>IF(OR(班表!$A31="",15&gt;DAY(EOMONTH(DATE(班表!$E$2,班表!$G$2,1),0))),"",DATE(班表!$E$2,班表!$G$2,15))</f>
        <v/>
      </c>
      <c r="B792" s="29">
        <f>IF($A792="","",INDEX(設定!$L$5:$L$11,WEEKDAY($A792,1)))</f>
        <v/>
      </c>
      <c r="C792" s="29">
        <f>IF($A792="","",班表!$A31)</f>
        <v/>
      </c>
      <c r="D792" s="29">
        <f>IF($C792="","",班表!$B31)</f>
        <v/>
      </c>
      <c r="E792" s="29">
        <f>IF($C792="","",班表!$C31)</f>
        <v/>
      </c>
      <c r="F792" s="29">
        <f>IF($C792="","",班表!R31)</f>
        <v/>
      </c>
      <c r="G792" s="31">
        <f>IF($F792="","",IFERROR(INDEX(設定!$D$5:$D$20,MATCH($F792,設定!$B$5:$B$20,0)),""))</f>
        <v/>
      </c>
      <c r="H792" s="31">
        <f>IF($F792="","",IFERROR(INDEX(設定!$E$5:$E$20,MATCH($F792,設定!$B$5:$B$20,0)),""))</f>
        <v/>
      </c>
      <c r="I792" s="31">
        <f>IFERROR(INDEX(打卡匯入!$C$3:$C$1002,MATCH($C792&amp;"|"&amp;DAY($A792),打卡匯入!$E$3:$E$1002,0)),"")</f>
        <v/>
      </c>
      <c r="J792" s="31">
        <f>IFERROR(INDEX(打卡匯入!$D$3:$D$1002,MATCH($C792&amp;"|"&amp;DAY($A792),打卡匯入!$E$3:$E$1002,0)),"")</f>
        <v/>
      </c>
      <c r="K792" s="32">
        <f>IF(OR($I792="",$J792=""),"",IFERROR(INDEX(設定!$F$5:$F$20,MATCH($F792,設定!$B$5:$B$20,0)),0))</f>
        <v/>
      </c>
      <c r="L792" s="33">
        <f>IF(OR($I792="",$J792=""),"",ROUND(($J792-$I792)*24-$K792/60,2))</f>
        <v/>
      </c>
      <c r="M792" s="29">
        <f>IF($C792="","",IF(AND(COUNTIF(設定!$B$14:$B$20,$F792)&gt;0,$I792&lt;&gt;""),"假日出勤",IF(AND(COUNTIF(設定!$B$5:$B$13,$F792)&gt;0,$I792=""),"未打卡",IF($I792="","",IF($N792&gt;0,"遲到",IF($O792&gt;0,"早退","正常"))))))</f>
        <v/>
      </c>
      <c r="N792" s="32">
        <f>IF(OR($C792="",$G792="",$I792=""),0,IF(ROUND(($I792-$G792)*1440,0)&gt;設定!$C$28,ROUND(($I792-$G792)*1440,0),0))</f>
        <v/>
      </c>
      <c r="O792" s="32">
        <f>IF(OR($C792="",$H792="",$J792=""),0,IF(ROUND(($H792-$J792)*1440,0)&gt;設定!$C$28,ROUND(($H792-$J792)*1440,0),0))</f>
        <v/>
      </c>
      <c r="P792" s="33">
        <f>IF($L792="",0,IF(($L792-IFERROR(INDEX(設定!$G$5:$G$20,MATCH($F792,設定!$B$5:$B$20,0)),0))*60&gt;=設定!$C$26,ROUND(FLOOR(($L792-IFERROR(INDEX(設定!$G$5:$G$20,MATCH($F792,設定!$B$5:$B$20,0)),0))*60,設定!$C$27)/60,2),0))</f>
        <v/>
      </c>
      <c r="Q792" s="29">
        <f>IF(OR($C792="",$P792=0),"",IF($F792="國","國定假日",IF($B792="日","例假",IF($B792="六","休息日","平日"))))</f>
        <v/>
      </c>
      <c r="R792" s="34" t="n"/>
    </row>
    <row r="793">
      <c r="A793" s="30">
        <f>IF(OR(班表!$A31="",16&gt;DAY(EOMONTH(DATE(班表!$E$2,班表!$G$2,1),0))),"",DATE(班表!$E$2,班表!$G$2,16))</f>
        <v/>
      </c>
      <c r="B793" s="29">
        <f>IF($A793="","",INDEX(設定!$L$5:$L$11,WEEKDAY($A793,1)))</f>
        <v/>
      </c>
      <c r="C793" s="29">
        <f>IF($A793="","",班表!$A31)</f>
        <v/>
      </c>
      <c r="D793" s="29">
        <f>IF($C793="","",班表!$B31)</f>
        <v/>
      </c>
      <c r="E793" s="29">
        <f>IF($C793="","",班表!$C31)</f>
        <v/>
      </c>
      <c r="F793" s="29">
        <f>IF($C793="","",班表!S31)</f>
        <v/>
      </c>
      <c r="G793" s="31">
        <f>IF($F793="","",IFERROR(INDEX(設定!$D$5:$D$20,MATCH($F793,設定!$B$5:$B$20,0)),""))</f>
        <v/>
      </c>
      <c r="H793" s="31">
        <f>IF($F793="","",IFERROR(INDEX(設定!$E$5:$E$20,MATCH($F793,設定!$B$5:$B$20,0)),""))</f>
        <v/>
      </c>
      <c r="I793" s="31">
        <f>IFERROR(INDEX(打卡匯入!$C$3:$C$1002,MATCH($C793&amp;"|"&amp;DAY($A793),打卡匯入!$E$3:$E$1002,0)),"")</f>
        <v/>
      </c>
      <c r="J793" s="31">
        <f>IFERROR(INDEX(打卡匯入!$D$3:$D$1002,MATCH($C793&amp;"|"&amp;DAY($A793),打卡匯入!$E$3:$E$1002,0)),"")</f>
        <v/>
      </c>
      <c r="K793" s="32">
        <f>IF(OR($I793="",$J793=""),"",IFERROR(INDEX(設定!$F$5:$F$20,MATCH($F793,設定!$B$5:$B$20,0)),0))</f>
        <v/>
      </c>
      <c r="L793" s="33">
        <f>IF(OR($I793="",$J793=""),"",ROUND(($J793-$I793)*24-$K793/60,2))</f>
        <v/>
      </c>
      <c r="M793" s="29">
        <f>IF($C793="","",IF(AND(COUNTIF(設定!$B$14:$B$20,$F793)&gt;0,$I793&lt;&gt;""),"假日出勤",IF(AND(COUNTIF(設定!$B$5:$B$13,$F793)&gt;0,$I793=""),"未打卡",IF($I793="","",IF($N793&gt;0,"遲到",IF($O793&gt;0,"早退","正常"))))))</f>
        <v/>
      </c>
      <c r="N793" s="32">
        <f>IF(OR($C793="",$G793="",$I793=""),0,IF(ROUND(($I793-$G793)*1440,0)&gt;設定!$C$28,ROUND(($I793-$G793)*1440,0),0))</f>
        <v/>
      </c>
      <c r="O793" s="32">
        <f>IF(OR($C793="",$H793="",$J793=""),0,IF(ROUND(($H793-$J793)*1440,0)&gt;設定!$C$28,ROUND(($H793-$J793)*1440,0),0))</f>
        <v/>
      </c>
      <c r="P793" s="33">
        <f>IF($L793="",0,IF(($L793-IFERROR(INDEX(設定!$G$5:$G$20,MATCH($F793,設定!$B$5:$B$20,0)),0))*60&gt;=設定!$C$26,ROUND(FLOOR(($L793-IFERROR(INDEX(設定!$G$5:$G$20,MATCH($F793,設定!$B$5:$B$20,0)),0))*60,設定!$C$27)/60,2),0))</f>
        <v/>
      </c>
      <c r="Q793" s="29">
        <f>IF(OR($C793="",$P793=0),"",IF($F793="國","國定假日",IF($B793="日","例假",IF($B793="六","休息日","平日"))))</f>
        <v/>
      </c>
      <c r="R793" s="34" t="n"/>
    </row>
    <row r="794">
      <c r="A794" s="30">
        <f>IF(OR(班表!$A31="",17&gt;DAY(EOMONTH(DATE(班表!$E$2,班表!$G$2,1),0))),"",DATE(班表!$E$2,班表!$G$2,17))</f>
        <v/>
      </c>
      <c r="B794" s="29">
        <f>IF($A794="","",INDEX(設定!$L$5:$L$11,WEEKDAY($A794,1)))</f>
        <v/>
      </c>
      <c r="C794" s="29">
        <f>IF($A794="","",班表!$A31)</f>
        <v/>
      </c>
      <c r="D794" s="29">
        <f>IF($C794="","",班表!$B31)</f>
        <v/>
      </c>
      <c r="E794" s="29">
        <f>IF($C794="","",班表!$C31)</f>
        <v/>
      </c>
      <c r="F794" s="29">
        <f>IF($C794="","",班表!T31)</f>
        <v/>
      </c>
      <c r="G794" s="31">
        <f>IF($F794="","",IFERROR(INDEX(設定!$D$5:$D$20,MATCH($F794,設定!$B$5:$B$20,0)),""))</f>
        <v/>
      </c>
      <c r="H794" s="31">
        <f>IF($F794="","",IFERROR(INDEX(設定!$E$5:$E$20,MATCH($F794,設定!$B$5:$B$20,0)),""))</f>
        <v/>
      </c>
      <c r="I794" s="31">
        <f>IFERROR(INDEX(打卡匯入!$C$3:$C$1002,MATCH($C794&amp;"|"&amp;DAY($A794),打卡匯入!$E$3:$E$1002,0)),"")</f>
        <v/>
      </c>
      <c r="J794" s="31">
        <f>IFERROR(INDEX(打卡匯入!$D$3:$D$1002,MATCH($C794&amp;"|"&amp;DAY($A794),打卡匯入!$E$3:$E$1002,0)),"")</f>
        <v/>
      </c>
      <c r="K794" s="32">
        <f>IF(OR($I794="",$J794=""),"",IFERROR(INDEX(設定!$F$5:$F$20,MATCH($F794,設定!$B$5:$B$20,0)),0))</f>
        <v/>
      </c>
      <c r="L794" s="33">
        <f>IF(OR($I794="",$J794=""),"",ROUND(($J794-$I794)*24-$K794/60,2))</f>
        <v/>
      </c>
      <c r="M794" s="29">
        <f>IF($C794="","",IF(AND(COUNTIF(設定!$B$14:$B$20,$F794)&gt;0,$I794&lt;&gt;""),"假日出勤",IF(AND(COUNTIF(設定!$B$5:$B$13,$F794)&gt;0,$I794=""),"未打卡",IF($I794="","",IF($N794&gt;0,"遲到",IF($O794&gt;0,"早退","正常"))))))</f>
        <v/>
      </c>
      <c r="N794" s="32">
        <f>IF(OR($C794="",$G794="",$I794=""),0,IF(ROUND(($I794-$G794)*1440,0)&gt;設定!$C$28,ROUND(($I794-$G794)*1440,0),0))</f>
        <v/>
      </c>
      <c r="O794" s="32">
        <f>IF(OR($C794="",$H794="",$J794=""),0,IF(ROUND(($H794-$J794)*1440,0)&gt;設定!$C$28,ROUND(($H794-$J794)*1440,0),0))</f>
        <v/>
      </c>
      <c r="P794" s="33">
        <f>IF($L794="",0,IF(($L794-IFERROR(INDEX(設定!$G$5:$G$20,MATCH($F794,設定!$B$5:$B$20,0)),0))*60&gt;=設定!$C$26,ROUND(FLOOR(($L794-IFERROR(INDEX(設定!$G$5:$G$20,MATCH($F794,設定!$B$5:$B$20,0)),0))*60,設定!$C$27)/60,2),0))</f>
        <v/>
      </c>
      <c r="Q794" s="29">
        <f>IF(OR($C794="",$P794=0),"",IF($F794="國","國定假日",IF($B794="日","例假",IF($B794="六","休息日","平日"))))</f>
        <v/>
      </c>
      <c r="R794" s="34" t="n"/>
    </row>
    <row r="795">
      <c r="A795" s="30">
        <f>IF(OR(班表!$A31="",18&gt;DAY(EOMONTH(DATE(班表!$E$2,班表!$G$2,1),0))),"",DATE(班表!$E$2,班表!$G$2,18))</f>
        <v/>
      </c>
      <c r="B795" s="29">
        <f>IF($A795="","",INDEX(設定!$L$5:$L$11,WEEKDAY($A795,1)))</f>
        <v/>
      </c>
      <c r="C795" s="29">
        <f>IF($A795="","",班表!$A31)</f>
        <v/>
      </c>
      <c r="D795" s="29">
        <f>IF($C795="","",班表!$B31)</f>
        <v/>
      </c>
      <c r="E795" s="29">
        <f>IF($C795="","",班表!$C31)</f>
        <v/>
      </c>
      <c r="F795" s="29">
        <f>IF($C795="","",班表!U31)</f>
        <v/>
      </c>
      <c r="G795" s="31">
        <f>IF($F795="","",IFERROR(INDEX(設定!$D$5:$D$20,MATCH($F795,設定!$B$5:$B$20,0)),""))</f>
        <v/>
      </c>
      <c r="H795" s="31">
        <f>IF($F795="","",IFERROR(INDEX(設定!$E$5:$E$20,MATCH($F795,設定!$B$5:$B$20,0)),""))</f>
        <v/>
      </c>
      <c r="I795" s="31">
        <f>IFERROR(INDEX(打卡匯入!$C$3:$C$1002,MATCH($C795&amp;"|"&amp;DAY($A795),打卡匯入!$E$3:$E$1002,0)),"")</f>
        <v/>
      </c>
      <c r="J795" s="31">
        <f>IFERROR(INDEX(打卡匯入!$D$3:$D$1002,MATCH($C795&amp;"|"&amp;DAY($A795),打卡匯入!$E$3:$E$1002,0)),"")</f>
        <v/>
      </c>
      <c r="K795" s="32">
        <f>IF(OR($I795="",$J795=""),"",IFERROR(INDEX(設定!$F$5:$F$20,MATCH($F795,設定!$B$5:$B$20,0)),0))</f>
        <v/>
      </c>
      <c r="L795" s="33">
        <f>IF(OR($I795="",$J795=""),"",ROUND(($J795-$I795)*24-$K795/60,2))</f>
        <v/>
      </c>
      <c r="M795" s="29">
        <f>IF($C795="","",IF(AND(COUNTIF(設定!$B$14:$B$20,$F795)&gt;0,$I795&lt;&gt;""),"假日出勤",IF(AND(COUNTIF(設定!$B$5:$B$13,$F795)&gt;0,$I795=""),"未打卡",IF($I795="","",IF($N795&gt;0,"遲到",IF($O795&gt;0,"早退","正常"))))))</f>
        <v/>
      </c>
      <c r="N795" s="32">
        <f>IF(OR($C795="",$G795="",$I795=""),0,IF(ROUND(($I795-$G795)*1440,0)&gt;設定!$C$28,ROUND(($I795-$G795)*1440,0),0))</f>
        <v/>
      </c>
      <c r="O795" s="32">
        <f>IF(OR($C795="",$H795="",$J795=""),0,IF(ROUND(($H795-$J795)*1440,0)&gt;設定!$C$28,ROUND(($H795-$J795)*1440,0),0))</f>
        <v/>
      </c>
      <c r="P795" s="33">
        <f>IF($L795="",0,IF(($L795-IFERROR(INDEX(設定!$G$5:$G$20,MATCH($F795,設定!$B$5:$B$20,0)),0))*60&gt;=設定!$C$26,ROUND(FLOOR(($L795-IFERROR(INDEX(設定!$G$5:$G$20,MATCH($F795,設定!$B$5:$B$20,0)),0))*60,設定!$C$27)/60,2),0))</f>
        <v/>
      </c>
      <c r="Q795" s="29">
        <f>IF(OR($C795="",$P795=0),"",IF($F795="國","國定假日",IF($B795="日","例假",IF($B795="六","休息日","平日"))))</f>
        <v/>
      </c>
      <c r="R795" s="34" t="n"/>
    </row>
    <row r="796">
      <c r="A796" s="30">
        <f>IF(OR(班表!$A31="",19&gt;DAY(EOMONTH(DATE(班表!$E$2,班表!$G$2,1),0))),"",DATE(班表!$E$2,班表!$G$2,19))</f>
        <v/>
      </c>
      <c r="B796" s="29">
        <f>IF($A796="","",INDEX(設定!$L$5:$L$11,WEEKDAY($A796,1)))</f>
        <v/>
      </c>
      <c r="C796" s="29">
        <f>IF($A796="","",班表!$A31)</f>
        <v/>
      </c>
      <c r="D796" s="29">
        <f>IF($C796="","",班表!$B31)</f>
        <v/>
      </c>
      <c r="E796" s="29">
        <f>IF($C796="","",班表!$C31)</f>
        <v/>
      </c>
      <c r="F796" s="29">
        <f>IF($C796="","",班表!V31)</f>
        <v/>
      </c>
      <c r="G796" s="31">
        <f>IF($F796="","",IFERROR(INDEX(設定!$D$5:$D$20,MATCH($F796,設定!$B$5:$B$20,0)),""))</f>
        <v/>
      </c>
      <c r="H796" s="31">
        <f>IF($F796="","",IFERROR(INDEX(設定!$E$5:$E$20,MATCH($F796,設定!$B$5:$B$20,0)),""))</f>
        <v/>
      </c>
      <c r="I796" s="31">
        <f>IFERROR(INDEX(打卡匯入!$C$3:$C$1002,MATCH($C796&amp;"|"&amp;DAY($A796),打卡匯入!$E$3:$E$1002,0)),"")</f>
        <v/>
      </c>
      <c r="J796" s="31">
        <f>IFERROR(INDEX(打卡匯入!$D$3:$D$1002,MATCH($C796&amp;"|"&amp;DAY($A796),打卡匯入!$E$3:$E$1002,0)),"")</f>
        <v/>
      </c>
      <c r="K796" s="32">
        <f>IF(OR($I796="",$J796=""),"",IFERROR(INDEX(設定!$F$5:$F$20,MATCH($F796,設定!$B$5:$B$20,0)),0))</f>
        <v/>
      </c>
      <c r="L796" s="33">
        <f>IF(OR($I796="",$J796=""),"",ROUND(($J796-$I796)*24-$K796/60,2))</f>
        <v/>
      </c>
      <c r="M796" s="29">
        <f>IF($C796="","",IF(AND(COUNTIF(設定!$B$14:$B$20,$F796)&gt;0,$I796&lt;&gt;""),"假日出勤",IF(AND(COUNTIF(設定!$B$5:$B$13,$F796)&gt;0,$I796=""),"未打卡",IF($I796="","",IF($N796&gt;0,"遲到",IF($O796&gt;0,"早退","正常"))))))</f>
        <v/>
      </c>
      <c r="N796" s="32">
        <f>IF(OR($C796="",$G796="",$I796=""),0,IF(ROUND(($I796-$G796)*1440,0)&gt;設定!$C$28,ROUND(($I796-$G796)*1440,0),0))</f>
        <v/>
      </c>
      <c r="O796" s="32">
        <f>IF(OR($C796="",$H796="",$J796=""),0,IF(ROUND(($H796-$J796)*1440,0)&gt;設定!$C$28,ROUND(($H796-$J796)*1440,0),0))</f>
        <v/>
      </c>
      <c r="P796" s="33">
        <f>IF($L796="",0,IF(($L796-IFERROR(INDEX(設定!$G$5:$G$20,MATCH($F796,設定!$B$5:$B$20,0)),0))*60&gt;=設定!$C$26,ROUND(FLOOR(($L796-IFERROR(INDEX(設定!$G$5:$G$20,MATCH($F796,設定!$B$5:$B$20,0)),0))*60,設定!$C$27)/60,2),0))</f>
        <v/>
      </c>
      <c r="Q796" s="29">
        <f>IF(OR($C796="",$P796=0),"",IF($F796="國","國定假日",IF($B796="日","例假",IF($B796="六","休息日","平日"))))</f>
        <v/>
      </c>
      <c r="R796" s="34" t="n"/>
    </row>
    <row r="797">
      <c r="A797" s="30">
        <f>IF(OR(班表!$A31="",20&gt;DAY(EOMONTH(DATE(班表!$E$2,班表!$G$2,1),0))),"",DATE(班表!$E$2,班表!$G$2,20))</f>
        <v/>
      </c>
      <c r="B797" s="29">
        <f>IF($A797="","",INDEX(設定!$L$5:$L$11,WEEKDAY($A797,1)))</f>
        <v/>
      </c>
      <c r="C797" s="29">
        <f>IF($A797="","",班表!$A31)</f>
        <v/>
      </c>
      <c r="D797" s="29">
        <f>IF($C797="","",班表!$B31)</f>
        <v/>
      </c>
      <c r="E797" s="29">
        <f>IF($C797="","",班表!$C31)</f>
        <v/>
      </c>
      <c r="F797" s="29">
        <f>IF($C797="","",班表!W31)</f>
        <v/>
      </c>
      <c r="G797" s="31">
        <f>IF($F797="","",IFERROR(INDEX(設定!$D$5:$D$20,MATCH($F797,設定!$B$5:$B$20,0)),""))</f>
        <v/>
      </c>
      <c r="H797" s="31">
        <f>IF($F797="","",IFERROR(INDEX(設定!$E$5:$E$20,MATCH($F797,設定!$B$5:$B$20,0)),""))</f>
        <v/>
      </c>
      <c r="I797" s="31">
        <f>IFERROR(INDEX(打卡匯入!$C$3:$C$1002,MATCH($C797&amp;"|"&amp;DAY($A797),打卡匯入!$E$3:$E$1002,0)),"")</f>
        <v/>
      </c>
      <c r="J797" s="31">
        <f>IFERROR(INDEX(打卡匯入!$D$3:$D$1002,MATCH($C797&amp;"|"&amp;DAY($A797),打卡匯入!$E$3:$E$1002,0)),"")</f>
        <v/>
      </c>
      <c r="K797" s="32">
        <f>IF(OR($I797="",$J797=""),"",IFERROR(INDEX(設定!$F$5:$F$20,MATCH($F797,設定!$B$5:$B$20,0)),0))</f>
        <v/>
      </c>
      <c r="L797" s="33">
        <f>IF(OR($I797="",$J797=""),"",ROUND(($J797-$I797)*24-$K797/60,2))</f>
        <v/>
      </c>
      <c r="M797" s="29">
        <f>IF($C797="","",IF(AND(COUNTIF(設定!$B$14:$B$20,$F797)&gt;0,$I797&lt;&gt;""),"假日出勤",IF(AND(COUNTIF(設定!$B$5:$B$13,$F797)&gt;0,$I797=""),"未打卡",IF($I797="","",IF($N797&gt;0,"遲到",IF($O797&gt;0,"早退","正常"))))))</f>
        <v/>
      </c>
      <c r="N797" s="32">
        <f>IF(OR($C797="",$G797="",$I797=""),0,IF(ROUND(($I797-$G797)*1440,0)&gt;設定!$C$28,ROUND(($I797-$G797)*1440,0),0))</f>
        <v/>
      </c>
      <c r="O797" s="32">
        <f>IF(OR($C797="",$H797="",$J797=""),0,IF(ROUND(($H797-$J797)*1440,0)&gt;設定!$C$28,ROUND(($H797-$J797)*1440,0),0))</f>
        <v/>
      </c>
      <c r="P797" s="33">
        <f>IF($L797="",0,IF(($L797-IFERROR(INDEX(設定!$G$5:$G$20,MATCH($F797,設定!$B$5:$B$20,0)),0))*60&gt;=設定!$C$26,ROUND(FLOOR(($L797-IFERROR(INDEX(設定!$G$5:$G$20,MATCH($F797,設定!$B$5:$B$20,0)),0))*60,設定!$C$27)/60,2),0))</f>
        <v/>
      </c>
      <c r="Q797" s="29">
        <f>IF(OR($C797="",$P797=0),"",IF($F797="國","國定假日",IF($B797="日","例假",IF($B797="六","休息日","平日"))))</f>
        <v/>
      </c>
      <c r="R797" s="34" t="n"/>
    </row>
    <row r="798">
      <c r="A798" s="30">
        <f>IF(OR(班表!$A31="",21&gt;DAY(EOMONTH(DATE(班表!$E$2,班表!$G$2,1),0))),"",DATE(班表!$E$2,班表!$G$2,21))</f>
        <v/>
      </c>
      <c r="B798" s="29">
        <f>IF($A798="","",INDEX(設定!$L$5:$L$11,WEEKDAY($A798,1)))</f>
        <v/>
      </c>
      <c r="C798" s="29">
        <f>IF($A798="","",班表!$A31)</f>
        <v/>
      </c>
      <c r="D798" s="29">
        <f>IF($C798="","",班表!$B31)</f>
        <v/>
      </c>
      <c r="E798" s="29">
        <f>IF($C798="","",班表!$C31)</f>
        <v/>
      </c>
      <c r="F798" s="29">
        <f>IF($C798="","",班表!X31)</f>
        <v/>
      </c>
      <c r="G798" s="31">
        <f>IF($F798="","",IFERROR(INDEX(設定!$D$5:$D$20,MATCH($F798,設定!$B$5:$B$20,0)),""))</f>
        <v/>
      </c>
      <c r="H798" s="31">
        <f>IF($F798="","",IFERROR(INDEX(設定!$E$5:$E$20,MATCH($F798,設定!$B$5:$B$20,0)),""))</f>
        <v/>
      </c>
      <c r="I798" s="31">
        <f>IFERROR(INDEX(打卡匯入!$C$3:$C$1002,MATCH($C798&amp;"|"&amp;DAY($A798),打卡匯入!$E$3:$E$1002,0)),"")</f>
        <v/>
      </c>
      <c r="J798" s="31">
        <f>IFERROR(INDEX(打卡匯入!$D$3:$D$1002,MATCH($C798&amp;"|"&amp;DAY($A798),打卡匯入!$E$3:$E$1002,0)),"")</f>
        <v/>
      </c>
      <c r="K798" s="32">
        <f>IF(OR($I798="",$J798=""),"",IFERROR(INDEX(設定!$F$5:$F$20,MATCH($F798,設定!$B$5:$B$20,0)),0))</f>
        <v/>
      </c>
      <c r="L798" s="33">
        <f>IF(OR($I798="",$J798=""),"",ROUND(($J798-$I798)*24-$K798/60,2))</f>
        <v/>
      </c>
      <c r="M798" s="29">
        <f>IF($C798="","",IF(AND(COUNTIF(設定!$B$14:$B$20,$F798)&gt;0,$I798&lt;&gt;""),"假日出勤",IF(AND(COUNTIF(設定!$B$5:$B$13,$F798)&gt;0,$I798=""),"未打卡",IF($I798="","",IF($N798&gt;0,"遲到",IF($O798&gt;0,"早退","正常"))))))</f>
        <v/>
      </c>
      <c r="N798" s="32">
        <f>IF(OR($C798="",$G798="",$I798=""),0,IF(ROUND(($I798-$G798)*1440,0)&gt;設定!$C$28,ROUND(($I798-$G798)*1440,0),0))</f>
        <v/>
      </c>
      <c r="O798" s="32">
        <f>IF(OR($C798="",$H798="",$J798=""),0,IF(ROUND(($H798-$J798)*1440,0)&gt;設定!$C$28,ROUND(($H798-$J798)*1440,0),0))</f>
        <v/>
      </c>
      <c r="P798" s="33">
        <f>IF($L798="",0,IF(($L798-IFERROR(INDEX(設定!$G$5:$G$20,MATCH($F798,設定!$B$5:$B$20,0)),0))*60&gt;=設定!$C$26,ROUND(FLOOR(($L798-IFERROR(INDEX(設定!$G$5:$G$20,MATCH($F798,設定!$B$5:$B$20,0)),0))*60,設定!$C$27)/60,2),0))</f>
        <v/>
      </c>
      <c r="Q798" s="29">
        <f>IF(OR($C798="",$P798=0),"",IF($F798="國","國定假日",IF($B798="日","例假",IF($B798="六","休息日","平日"))))</f>
        <v/>
      </c>
      <c r="R798" s="34" t="n"/>
    </row>
    <row r="799">
      <c r="A799" s="30">
        <f>IF(OR(班表!$A31="",22&gt;DAY(EOMONTH(DATE(班表!$E$2,班表!$G$2,1),0))),"",DATE(班表!$E$2,班表!$G$2,22))</f>
        <v/>
      </c>
      <c r="B799" s="29">
        <f>IF($A799="","",INDEX(設定!$L$5:$L$11,WEEKDAY($A799,1)))</f>
        <v/>
      </c>
      <c r="C799" s="29">
        <f>IF($A799="","",班表!$A31)</f>
        <v/>
      </c>
      <c r="D799" s="29">
        <f>IF($C799="","",班表!$B31)</f>
        <v/>
      </c>
      <c r="E799" s="29">
        <f>IF($C799="","",班表!$C31)</f>
        <v/>
      </c>
      <c r="F799" s="29">
        <f>IF($C799="","",班表!Y31)</f>
        <v/>
      </c>
      <c r="G799" s="31">
        <f>IF($F799="","",IFERROR(INDEX(設定!$D$5:$D$20,MATCH($F799,設定!$B$5:$B$20,0)),""))</f>
        <v/>
      </c>
      <c r="H799" s="31">
        <f>IF($F799="","",IFERROR(INDEX(設定!$E$5:$E$20,MATCH($F799,設定!$B$5:$B$20,0)),""))</f>
        <v/>
      </c>
      <c r="I799" s="31">
        <f>IFERROR(INDEX(打卡匯入!$C$3:$C$1002,MATCH($C799&amp;"|"&amp;DAY($A799),打卡匯入!$E$3:$E$1002,0)),"")</f>
        <v/>
      </c>
      <c r="J799" s="31">
        <f>IFERROR(INDEX(打卡匯入!$D$3:$D$1002,MATCH($C799&amp;"|"&amp;DAY($A799),打卡匯入!$E$3:$E$1002,0)),"")</f>
        <v/>
      </c>
      <c r="K799" s="32">
        <f>IF(OR($I799="",$J799=""),"",IFERROR(INDEX(設定!$F$5:$F$20,MATCH($F799,設定!$B$5:$B$20,0)),0))</f>
        <v/>
      </c>
      <c r="L799" s="33">
        <f>IF(OR($I799="",$J799=""),"",ROUND(($J799-$I799)*24-$K799/60,2))</f>
        <v/>
      </c>
      <c r="M799" s="29">
        <f>IF($C799="","",IF(AND(COUNTIF(設定!$B$14:$B$20,$F799)&gt;0,$I799&lt;&gt;""),"假日出勤",IF(AND(COUNTIF(設定!$B$5:$B$13,$F799)&gt;0,$I799=""),"未打卡",IF($I799="","",IF($N799&gt;0,"遲到",IF($O799&gt;0,"早退","正常"))))))</f>
        <v/>
      </c>
      <c r="N799" s="32">
        <f>IF(OR($C799="",$G799="",$I799=""),0,IF(ROUND(($I799-$G799)*1440,0)&gt;設定!$C$28,ROUND(($I799-$G799)*1440,0),0))</f>
        <v/>
      </c>
      <c r="O799" s="32">
        <f>IF(OR($C799="",$H799="",$J799=""),0,IF(ROUND(($H799-$J799)*1440,0)&gt;設定!$C$28,ROUND(($H799-$J799)*1440,0),0))</f>
        <v/>
      </c>
      <c r="P799" s="33">
        <f>IF($L799="",0,IF(($L799-IFERROR(INDEX(設定!$G$5:$G$20,MATCH($F799,設定!$B$5:$B$20,0)),0))*60&gt;=設定!$C$26,ROUND(FLOOR(($L799-IFERROR(INDEX(設定!$G$5:$G$20,MATCH($F799,設定!$B$5:$B$20,0)),0))*60,設定!$C$27)/60,2),0))</f>
        <v/>
      </c>
      <c r="Q799" s="29">
        <f>IF(OR($C799="",$P799=0),"",IF($F799="國","國定假日",IF($B799="日","例假",IF($B799="六","休息日","平日"))))</f>
        <v/>
      </c>
      <c r="R799" s="34" t="n"/>
    </row>
    <row r="800">
      <c r="A800" s="30">
        <f>IF(OR(班表!$A31="",23&gt;DAY(EOMONTH(DATE(班表!$E$2,班表!$G$2,1),0))),"",DATE(班表!$E$2,班表!$G$2,23))</f>
        <v/>
      </c>
      <c r="B800" s="29">
        <f>IF($A800="","",INDEX(設定!$L$5:$L$11,WEEKDAY($A800,1)))</f>
        <v/>
      </c>
      <c r="C800" s="29">
        <f>IF($A800="","",班表!$A31)</f>
        <v/>
      </c>
      <c r="D800" s="29">
        <f>IF($C800="","",班表!$B31)</f>
        <v/>
      </c>
      <c r="E800" s="29">
        <f>IF($C800="","",班表!$C31)</f>
        <v/>
      </c>
      <c r="F800" s="29">
        <f>IF($C800="","",班表!Z31)</f>
        <v/>
      </c>
      <c r="G800" s="31">
        <f>IF($F800="","",IFERROR(INDEX(設定!$D$5:$D$20,MATCH($F800,設定!$B$5:$B$20,0)),""))</f>
        <v/>
      </c>
      <c r="H800" s="31">
        <f>IF($F800="","",IFERROR(INDEX(設定!$E$5:$E$20,MATCH($F800,設定!$B$5:$B$20,0)),""))</f>
        <v/>
      </c>
      <c r="I800" s="31">
        <f>IFERROR(INDEX(打卡匯入!$C$3:$C$1002,MATCH($C800&amp;"|"&amp;DAY($A800),打卡匯入!$E$3:$E$1002,0)),"")</f>
        <v/>
      </c>
      <c r="J800" s="31">
        <f>IFERROR(INDEX(打卡匯入!$D$3:$D$1002,MATCH($C800&amp;"|"&amp;DAY($A800),打卡匯入!$E$3:$E$1002,0)),"")</f>
        <v/>
      </c>
      <c r="K800" s="32">
        <f>IF(OR($I800="",$J800=""),"",IFERROR(INDEX(設定!$F$5:$F$20,MATCH($F800,設定!$B$5:$B$20,0)),0))</f>
        <v/>
      </c>
      <c r="L800" s="33">
        <f>IF(OR($I800="",$J800=""),"",ROUND(($J800-$I800)*24-$K800/60,2))</f>
        <v/>
      </c>
      <c r="M800" s="29">
        <f>IF($C800="","",IF(AND(COUNTIF(設定!$B$14:$B$20,$F800)&gt;0,$I800&lt;&gt;""),"假日出勤",IF(AND(COUNTIF(設定!$B$5:$B$13,$F800)&gt;0,$I800=""),"未打卡",IF($I800="","",IF($N800&gt;0,"遲到",IF($O800&gt;0,"早退","正常"))))))</f>
        <v/>
      </c>
      <c r="N800" s="32">
        <f>IF(OR($C800="",$G800="",$I800=""),0,IF(ROUND(($I800-$G800)*1440,0)&gt;設定!$C$28,ROUND(($I800-$G800)*1440,0),0))</f>
        <v/>
      </c>
      <c r="O800" s="32">
        <f>IF(OR($C800="",$H800="",$J800=""),0,IF(ROUND(($H800-$J800)*1440,0)&gt;設定!$C$28,ROUND(($H800-$J800)*1440,0),0))</f>
        <v/>
      </c>
      <c r="P800" s="33">
        <f>IF($L800="",0,IF(($L800-IFERROR(INDEX(設定!$G$5:$G$20,MATCH($F800,設定!$B$5:$B$20,0)),0))*60&gt;=設定!$C$26,ROUND(FLOOR(($L800-IFERROR(INDEX(設定!$G$5:$G$20,MATCH($F800,設定!$B$5:$B$20,0)),0))*60,設定!$C$27)/60,2),0))</f>
        <v/>
      </c>
      <c r="Q800" s="29">
        <f>IF(OR($C800="",$P800=0),"",IF($F800="國","國定假日",IF($B800="日","例假",IF($B800="六","休息日","平日"))))</f>
        <v/>
      </c>
      <c r="R800" s="34" t="n"/>
    </row>
    <row r="801">
      <c r="A801" s="30">
        <f>IF(OR(班表!$A31="",24&gt;DAY(EOMONTH(DATE(班表!$E$2,班表!$G$2,1),0))),"",DATE(班表!$E$2,班表!$G$2,24))</f>
        <v/>
      </c>
      <c r="B801" s="29">
        <f>IF($A801="","",INDEX(設定!$L$5:$L$11,WEEKDAY($A801,1)))</f>
        <v/>
      </c>
      <c r="C801" s="29">
        <f>IF($A801="","",班表!$A31)</f>
        <v/>
      </c>
      <c r="D801" s="29">
        <f>IF($C801="","",班表!$B31)</f>
        <v/>
      </c>
      <c r="E801" s="29">
        <f>IF($C801="","",班表!$C31)</f>
        <v/>
      </c>
      <c r="F801" s="29">
        <f>IF($C801="","",班表!AA31)</f>
        <v/>
      </c>
      <c r="G801" s="31">
        <f>IF($F801="","",IFERROR(INDEX(設定!$D$5:$D$20,MATCH($F801,設定!$B$5:$B$20,0)),""))</f>
        <v/>
      </c>
      <c r="H801" s="31">
        <f>IF($F801="","",IFERROR(INDEX(設定!$E$5:$E$20,MATCH($F801,設定!$B$5:$B$20,0)),""))</f>
        <v/>
      </c>
      <c r="I801" s="31">
        <f>IFERROR(INDEX(打卡匯入!$C$3:$C$1002,MATCH($C801&amp;"|"&amp;DAY($A801),打卡匯入!$E$3:$E$1002,0)),"")</f>
        <v/>
      </c>
      <c r="J801" s="31">
        <f>IFERROR(INDEX(打卡匯入!$D$3:$D$1002,MATCH($C801&amp;"|"&amp;DAY($A801),打卡匯入!$E$3:$E$1002,0)),"")</f>
        <v/>
      </c>
      <c r="K801" s="32">
        <f>IF(OR($I801="",$J801=""),"",IFERROR(INDEX(設定!$F$5:$F$20,MATCH($F801,設定!$B$5:$B$20,0)),0))</f>
        <v/>
      </c>
      <c r="L801" s="33">
        <f>IF(OR($I801="",$J801=""),"",ROUND(($J801-$I801)*24-$K801/60,2))</f>
        <v/>
      </c>
      <c r="M801" s="29">
        <f>IF($C801="","",IF(AND(COUNTIF(設定!$B$14:$B$20,$F801)&gt;0,$I801&lt;&gt;""),"假日出勤",IF(AND(COUNTIF(設定!$B$5:$B$13,$F801)&gt;0,$I801=""),"未打卡",IF($I801="","",IF($N801&gt;0,"遲到",IF($O801&gt;0,"早退","正常"))))))</f>
        <v/>
      </c>
      <c r="N801" s="32">
        <f>IF(OR($C801="",$G801="",$I801=""),0,IF(ROUND(($I801-$G801)*1440,0)&gt;設定!$C$28,ROUND(($I801-$G801)*1440,0),0))</f>
        <v/>
      </c>
      <c r="O801" s="32">
        <f>IF(OR($C801="",$H801="",$J801=""),0,IF(ROUND(($H801-$J801)*1440,0)&gt;設定!$C$28,ROUND(($H801-$J801)*1440,0),0))</f>
        <v/>
      </c>
      <c r="P801" s="33">
        <f>IF($L801="",0,IF(($L801-IFERROR(INDEX(設定!$G$5:$G$20,MATCH($F801,設定!$B$5:$B$20,0)),0))*60&gt;=設定!$C$26,ROUND(FLOOR(($L801-IFERROR(INDEX(設定!$G$5:$G$20,MATCH($F801,設定!$B$5:$B$20,0)),0))*60,設定!$C$27)/60,2),0))</f>
        <v/>
      </c>
      <c r="Q801" s="29">
        <f>IF(OR($C801="",$P801=0),"",IF($F801="國","國定假日",IF($B801="日","例假",IF($B801="六","休息日","平日"))))</f>
        <v/>
      </c>
      <c r="R801" s="34" t="n"/>
    </row>
    <row r="802">
      <c r="A802" s="30">
        <f>IF(OR(班表!$A31="",25&gt;DAY(EOMONTH(DATE(班表!$E$2,班表!$G$2,1),0))),"",DATE(班表!$E$2,班表!$G$2,25))</f>
        <v/>
      </c>
      <c r="B802" s="29">
        <f>IF($A802="","",INDEX(設定!$L$5:$L$11,WEEKDAY($A802,1)))</f>
        <v/>
      </c>
      <c r="C802" s="29">
        <f>IF($A802="","",班表!$A31)</f>
        <v/>
      </c>
      <c r="D802" s="29">
        <f>IF($C802="","",班表!$B31)</f>
        <v/>
      </c>
      <c r="E802" s="29">
        <f>IF($C802="","",班表!$C31)</f>
        <v/>
      </c>
      <c r="F802" s="29">
        <f>IF($C802="","",班表!AB31)</f>
        <v/>
      </c>
      <c r="G802" s="31">
        <f>IF($F802="","",IFERROR(INDEX(設定!$D$5:$D$20,MATCH($F802,設定!$B$5:$B$20,0)),""))</f>
        <v/>
      </c>
      <c r="H802" s="31">
        <f>IF($F802="","",IFERROR(INDEX(設定!$E$5:$E$20,MATCH($F802,設定!$B$5:$B$20,0)),""))</f>
        <v/>
      </c>
      <c r="I802" s="31">
        <f>IFERROR(INDEX(打卡匯入!$C$3:$C$1002,MATCH($C802&amp;"|"&amp;DAY($A802),打卡匯入!$E$3:$E$1002,0)),"")</f>
        <v/>
      </c>
      <c r="J802" s="31">
        <f>IFERROR(INDEX(打卡匯入!$D$3:$D$1002,MATCH($C802&amp;"|"&amp;DAY($A802),打卡匯入!$E$3:$E$1002,0)),"")</f>
        <v/>
      </c>
      <c r="K802" s="32">
        <f>IF(OR($I802="",$J802=""),"",IFERROR(INDEX(設定!$F$5:$F$20,MATCH($F802,設定!$B$5:$B$20,0)),0))</f>
        <v/>
      </c>
      <c r="L802" s="33">
        <f>IF(OR($I802="",$J802=""),"",ROUND(($J802-$I802)*24-$K802/60,2))</f>
        <v/>
      </c>
      <c r="M802" s="29">
        <f>IF($C802="","",IF(AND(COUNTIF(設定!$B$14:$B$20,$F802)&gt;0,$I802&lt;&gt;""),"假日出勤",IF(AND(COUNTIF(設定!$B$5:$B$13,$F802)&gt;0,$I802=""),"未打卡",IF($I802="","",IF($N802&gt;0,"遲到",IF($O802&gt;0,"早退","正常"))))))</f>
        <v/>
      </c>
      <c r="N802" s="32">
        <f>IF(OR($C802="",$G802="",$I802=""),0,IF(ROUND(($I802-$G802)*1440,0)&gt;設定!$C$28,ROUND(($I802-$G802)*1440,0),0))</f>
        <v/>
      </c>
      <c r="O802" s="32">
        <f>IF(OR($C802="",$H802="",$J802=""),0,IF(ROUND(($H802-$J802)*1440,0)&gt;設定!$C$28,ROUND(($H802-$J802)*1440,0),0))</f>
        <v/>
      </c>
      <c r="P802" s="33">
        <f>IF($L802="",0,IF(($L802-IFERROR(INDEX(設定!$G$5:$G$20,MATCH($F802,設定!$B$5:$B$20,0)),0))*60&gt;=設定!$C$26,ROUND(FLOOR(($L802-IFERROR(INDEX(設定!$G$5:$G$20,MATCH($F802,設定!$B$5:$B$20,0)),0))*60,設定!$C$27)/60,2),0))</f>
        <v/>
      </c>
      <c r="Q802" s="29">
        <f>IF(OR($C802="",$P802=0),"",IF($F802="國","國定假日",IF($B802="日","例假",IF($B802="六","休息日","平日"))))</f>
        <v/>
      </c>
      <c r="R802" s="34" t="n"/>
    </row>
    <row r="803">
      <c r="A803" s="30">
        <f>IF(OR(班表!$A31="",26&gt;DAY(EOMONTH(DATE(班表!$E$2,班表!$G$2,1),0))),"",DATE(班表!$E$2,班表!$G$2,26))</f>
        <v/>
      </c>
      <c r="B803" s="29">
        <f>IF($A803="","",INDEX(設定!$L$5:$L$11,WEEKDAY($A803,1)))</f>
        <v/>
      </c>
      <c r="C803" s="29">
        <f>IF($A803="","",班表!$A31)</f>
        <v/>
      </c>
      <c r="D803" s="29">
        <f>IF($C803="","",班表!$B31)</f>
        <v/>
      </c>
      <c r="E803" s="29">
        <f>IF($C803="","",班表!$C31)</f>
        <v/>
      </c>
      <c r="F803" s="29">
        <f>IF($C803="","",班表!AC31)</f>
        <v/>
      </c>
      <c r="G803" s="31">
        <f>IF($F803="","",IFERROR(INDEX(設定!$D$5:$D$20,MATCH($F803,設定!$B$5:$B$20,0)),""))</f>
        <v/>
      </c>
      <c r="H803" s="31">
        <f>IF($F803="","",IFERROR(INDEX(設定!$E$5:$E$20,MATCH($F803,設定!$B$5:$B$20,0)),""))</f>
        <v/>
      </c>
      <c r="I803" s="31">
        <f>IFERROR(INDEX(打卡匯入!$C$3:$C$1002,MATCH($C803&amp;"|"&amp;DAY($A803),打卡匯入!$E$3:$E$1002,0)),"")</f>
        <v/>
      </c>
      <c r="J803" s="31">
        <f>IFERROR(INDEX(打卡匯入!$D$3:$D$1002,MATCH($C803&amp;"|"&amp;DAY($A803),打卡匯入!$E$3:$E$1002,0)),"")</f>
        <v/>
      </c>
      <c r="K803" s="32">
        <f>IF(OR($I803="",$J803=""),"",IFERROR(INDEX(設定!$F$5:$F$20,MATCH($F803,設定!$B$5:$B$20,0)),0))</f>
        <v/>
      </c>
      <c r="L803" s="33">
        <f>IF(OR($I803="",$J803=""),"",ROUND(($J803-$I803)*24-$K803/60,2))</f>
        <v/>
      </c>
      <c r="M803" s="29">
        <f>IF($C803="","",IF(AND(COUNTIF(設定!$B$14:$B$20,$F803)&gt;0,$I803&lt;&gt;""),"假日出勤",IF(AND(COUNTIF(設定!$B$5:$B$13,$F803)&gt;0,$I803=""),"未打卡",IF($I803="","",IF($N803&gt;0,"遲到",IF($O803&gt;0,"早退","正常"))))))</f>
        <v/>
      </c>
      <c r="N803" s="32">
        <f>IF(OR($C803="",$G803="",$I803=""),0,IF(ROUND(($I803-$G803)*1440,0)&gt;設定!$C$28,ROUND(($I803-$G803)*1440,0),0))</f>
        <v/>
      </c>
      <c r="O803" s="32">
        <f>IF(OR($C803="",$H803="",$J803=""),0,IF(ROUND(($H803-$J803)*1440,0)&gt;設定!$C$28,ROUND(($H803-$J803)*1440,0),0))</f>
        <v/>
      </c>
      <c r="P803" s="33">
        <f>IF($L803="",0,IF(($L803-IFERROR(INDEX(設定!$G$5:$G$20,MATCH($F803,設定!$B$5:$B$20,0)),0))*60&gt;=設定!$C$26,ROUND(FLOOR(($L803-IFERROR(INDEX(設定!$G$5:$G$20,MATCH($F803,設定!$B$5:$B$20,0)),0))*60,設定!$C$27)/60,2),0))</f>
        <v/>
      </c>
      <c r="Q803" s="29">
        <f>IF(OR($C803="",$P803=0),"",IF($F803="國","國定假日",IF($B803="日","例假",IF($B803="六","休息日","平日"))))</f>
        <v/>
      </c>
      <c r="R803" s="34" t="n"/>
    </row>
    <row r="804">
      <c r="A804" s="30">
        <f>IF(OR(班表!$A31="",27&gt;DAY(EOMONTH(DATE(班表!$E$2,班表!$G$2,1),0))),"",DATE(班表!$E$2,班表!$G$2,27))</f>
        <v/>
      </c>
      <c r="B804" s="29">
        <f>IF($A804="","",INDEX(設定!$L$5:$L$11,WEEKDAY($A804,1)))</f>
        <v/>
      </c>
      <c r="C804" s="29">
        <f>IF($A804="","",班表!$A31)</f>
        <v/>
      </c>
      <c r="D804" s="29">
        <f>IF($C804="","",班表!$B31)</f>
        <v/>
      </c>
      <c r="E804" s="29">
        <f>IF($C804="","",班表!$C31)</f>
        <v/>
      </c>
      <c r="F804" s="29">
        <f>IF($C804="","",班表!AD31)</f>
        <v/>
      </c>
      <c r="G804" s="31">
        <f>IF($F804="","",IFERROR(INDEX(設定!$D$5:$D$20,MATCH($F804,設定!$B$5:$B$20,0)),""))</f>
        <v/>
      </c>
      <c r="H804" s="31">
        <f>IF($F804="","",IFERROR(INDEX(設定!$E$5:$E$20,MATCH($F804,設定!$B$5:$B$20,0)),""))</f>
        <v/>
      </c>
      <c r="I804" s="31">
        <f>IFERROR(INDEX(打卡匯入!$C$3:$C$1002,MATCH($C804&amp;"|"&amp;DAY($A804),打卡匯入!$E$3:$E$1002,0)),"")</f>
        <v/>
      </c>
      <c r="J804" s="31">
        <f>IFERROR(INDEX(打卡匯入!$D$3:$D$1002,MATCH($C804&amp;"|"&amp;DAY($A804),打卡匯入!$E$3:$E$1002,0)),"")</f>
        <v/>
      </c>
      <c r="K804" s="32">
        <f>IF(OR($I804="",$J804=""),"",IFERROR(INDEX(設定!$F$5:$F$20,MATCH($F804,設定!$B$5:$B$20,0)),0))</f>
        <v/>
      </c>
      <c r="L804" s="33">
        <f>IF(OR($I804="",$J804=""),"",ROUND(($J804-$I804)*24-$K804/60,2))</f>
        <v/>
      </c>
      <c r="M804" s="29">
        <f>IF($C804="","",IF(AND(COUNTIF(設定!$B$14:$B$20,$F804)&gt;0,$I804&lt;&gt;""),"假日出勤",IF(AND(COUNTIF(設定!$B$5:$B$13,$F804)&gt;0,$I804=""),"未打卡",IF($I804="","",IF($N804&gt;0,"遲到",IF($O804&gt;0,"早退","正常"))))))</f>
        <v/>
      </c>
      <c r="N804" s="32">
        <f>IF(OR($C804="",$G804="",$I804=""),0,IF(ROUND(($I804-$G804)*1440,0)&gt;設定!$C$28,ROUND(($I804-$G804)*1440,0),0))</f>
        <v/>
      </c>
      <c r="O804" s="32">
        <f>IF(OR($C804="",$H804="",$J804=""),0,IF(ROUND(($H804-$J804)*1440,0)&gt;設定!$C$28,ROUND(($H804-$J804)*1440,0),0))</f>
        <v/>
      </c>
      <c r="P804" s="33">
        <f>IF($L804="",0,IF(($L804-IFERROR(INDEX(設定!$G$5:$G$20,MATCH($F804,設定!$B$5:$B$20,0)),0))*60&gt;=設定!$C$26,ROUND(FLOOR(($L804-IFERROR(INDEX(設定!$G$5:$G$20,MATCH($F804,設定!$B$5:$B$20,0)),0))*60,設定!$C$27)/60,2),0))</f>
        <v/>
      </c>
      <c r="Q804" s="29">
        <f>IF(OR($C804="",$P804=0),"",IF($F804="國","國定假日",IF($B804="日","例假",IF($B804="六","休息日","平日"))))</f>
        <v/>
      </c>
      <c r="R804" s="34" t="n"/>
    </row>
    <row r="805">
      <c r="A805" s="30">
        <f>IF(OR(班表!$A31="",28&gt;DAY(EOMONTH(DATE(班表!$E$2,班表!$G$2,1),0))),"",DATE(班表!$E$2,班表!$G$2,28))</f>
        <v/>
      </c>
      <c r="B805" s="29">
        <f>IF($A805="","",INDEX(設定!$L$5:$L$11,WEEKDAY($A805,1)))</f>
        <v/>
      </c>
      <c r="C805" s="29">
        <f>IF($A805="","",班表!$A31)</f>
        <v/>
      </c>
      <c r="D805" s="29">
        <f>IF($C805="","",班表!$B31)</f>
        <v/>
      </c>
      <c r="E805" s="29">
        <f>IF($C805="","",班表!$C31)</f>
        <v/>
      </c>
      <c r="F805" s="29">
        <f>IF($C805="","",班表!AE31)</f>
        <v/>
      </c>
      <c r="G805" s="31">
        <f>IF($F805="","",IFERROR(INDEX(設定!$D$5:$D$20,MATCH($F805,設定!$B$5:$B$20,0)),""))</f>
        <v/>
      </c>
      <c r="H805" s="31">
        <f>IF($F805="","",IFERROR(INDEX(設定!$E$5:$E$20,MATCH($F805,設定!$B$5:$B$20,0)),""))</f>
        <v/>
      </c>
      <c r="I805" s="31">
        <f>IFERROR(INDEX(打卡匯入!$C$3:$C$1002,MATCH($C805&amp;"|"&amp;DAY($A805),打卡匯入!$E$3:$E$1002,0)),"")</f>
        <v/>
      </c>
      <c r="J805" s="31">
        <f>IFERROR(INDEX(打卡匯入!$D$3:$D$1002,MATCH($C805&amp;"|"&amp;DAY($A805),打卡匯入!$E$3:$E$1002,0)),"")</f>
        <v/>
      </c>
      <c r="K805" s="32">
        <f>IF(OR($I805="",$J805=""),"",IFERROR(INDEX(設定!$F$5:$F$20,MATCH($F805,設定!$B$5:$B$20,0)),0))</f>
        <v/>
      </c>
      <c r="L805" s="33">
        <f>IF(OR($I805="",$J805=""),"",ROUND(($J805-$I805)*24-$K805/60,2))</f>
        <v/>
      </c>
      <c r="M805" s="29">
        <f>IF($C805="","",IF(AND(COUNTIF(設定!$B$14:$B$20,$F805)&gt;0,$I805&lt;&gt;""),"假日出勤",IF(AND(COUNTIF(設定!$B$5:$B$13,$F805)&gt;0,$I805=""),"未打卡",IF($I805="","",IF($N805&gt;0,"遲到",IF($O805&gt;0,"早退","正常"))))))</f>
        <v/>
      </c>
      <c r="N805" s="32">
        <f>IF(OR($C805="",$G805="",$I805=""),0,IF(ROUND(($I805-$G805)*1440,0)&gt;設定!$C$28,ROUND(($I805-$G805)*1440,0),0))</f>
        <v/>
      </c>
      <c r="O805" s="32">
        <f>IF(OR($C805="",$H805="",$J805=""),0,IF(ROUND(($H805-$J805)*1440,0)&gt;設定!$C$28,ROUND(($H805-$J805)*1440,0),0))</f>
        <v/>
      </c>
      <c r="P805" s="33">
        <f>IF($L805="",0,IF(($L805-IFERROR(INDEX(設定!$G$5:$G$20,MATCH($F805,設定!$B$5:$B$20,0)),0))*60&gt;=設定!$C$26,ROUND(FLOOR(($L805-IFERROR(INDEX(設定!$G$5:$G$20,MATCH($F805,設定!$B$5:$B$20,0)),0))*60,設定!$C$27)/60,2),0))</f>
        <v/>
      </c>
      <c r="Q805" s="29">
        <f>IF(OR($C805="",$P805=0),"",IF($F805="國","國定假日",IF($B805="日","例假",IF($B805="六","休息日","平日"))))</f>
        <v/>
      </c>
      <c r="R805" s="34" t="n"/>
    </row>
    <row r="806">
      <c r="A806" s="30">
        <f>IF(OR(班表!$A31="",29&gt;DAY(EOMONTH(DATE(班表!$E$2,班表!$G$2,1),0))),"",DATE(班表!$E$2,班表!$G$2,29))</f>
        <v/>
      </c>
      <c r="B806" s="29">
        <f>IF($A806="","",INDEX(設定!$L$5:$L$11,WEEKDAY($A806,1)))</f>
        <v/>
      </c>
      <c r="C806" s="29">
        <f>IF($A806="","",班表!$A31)</f>
        <v/>
      </c>
      <c r="D806" s="29">
        <f>IF($C806="","",班表!$B31)</f>
        <v/>
      </c>
      <c r="E806" s="29">
        <f>IF($C806="","",班表!$C31)</f>
        <v/>
      </c>
      <c r="F806" s="29">
        <f>IF($C806="","",班表!AF31)</f>
        <v/>
      </c>
      <c r="G806" s="31">
        <f>IF($F806="","",IFERROR(INDEX(設定!$D$5:$D$20,MATCH($F806,設定!$B$5:$B$20,0)),""))</f>
        <v/>
      </c>
      <c r="H806" s="31">
        <f>IF($F806="","",IFERROR(INDEX(設定!$E$5:$E$20,MATCH($F806,設定!$B$5:$B$20,0)),""))</f>
        <v/>
      </c>
      <c r="I806" s="31">
        <f>IFERROR(INDEX(打卡匯入!$C$3:$C$1002,MATCH($C806&amp;"|"&amp;DAY($A806),打卡匯入!$E$3:$E$1002,0)),"")</f>
        <v/>
      </c>
      <c r="J806" s="31">
        <f>IFERROR(INDEX(打卡匯入!$D$3:$D$1002,MATCH($C806&amp;"|"&amp;DAY($A806),打卡匯入!$E$3:$E$1002,0)),"")</f>
        <v/>
      </c>
      <c r="K806" s="32">
        <f>IF(OR($I806="",$J806=""),"",IFERROR(INDEX(設定!$F$5:$F$20,MATCH($F806,設定!$B$5:$B$20,0)),0))</f>
        <v/>
      </c>
      <c r="L806" s="33">
        <f>IF(OR($I806="",$J806=""),"",ROUND(($J806-$I806)*24-$K806/60,2))</f>
        <v/>
      </c>
      <c r="M806" s="29">
        <f>IF($C806="","",IF(AND(COUNTIF(設定!$B$14:$B$20,$F806)&gt;0,$I806&lt;&gt;""),"假日出勤",IF(AND(COUNTIF(設定!$B$5:$B$13,$F806)&gt;0,$I806=""),"未打卡",IF($I806="","",IF($N806&gt;0,"遲到",IF($O806&gt;0,"早退","正常"))))))</f>
        <v/>
      </c>
      <c r="N806" s="32">
        <f>IF(OR($C806="",$G806="",$I806=""),0,IF(ROUND(($I806-$G806)*1440,0)&gt;設定!$C$28,ROUND(($I806-$G806)*1440,0),0))</f>
        <v/>
      </c>
      <c r="O806" s="32">
        <f>IF(OR($C806="",$H806="",$J806=""),0,IF(ROUND(($H806-$J806)*1440,0)&gt;設定!$C$28,ROUND(($H806-$J806)*1440,0),0))</f>
        <v/>
      </c>
      <c r="P806" s="33">
        <f>IF($L806="",0,IF(($L806-IFERROR(INDEX(設定!$G$5:$G$20,MATCH($F806,設定!$B$5:$B$20,0)),0))*60&gt;=設定!$C$26,ROUND(FLOOR(($L806-IFERROR(INDEX(設定!$G$5:$G$20,MATCH($F806,設定!$B$5:$B$20,0)),0))*60,設定!$C$27)/60,2),0))</f>
        <v/>
      </c>
      <c r="Q806" s="29">
        <f>IF(OR($C806="",$P806=0),"",IF($F806="國","國定假日",IF($B806="日","例假",IF($B806="六","休息日","平日"))))</f>
        <v/>
      </c>
      <c r="R806" s="34" t="n"/>
    </row>
    <row r="807">
      <c r="A807" s="30">
        <f>IF(OR(班表!$A31="",30&gt;DAY(EOMONTH(DATE(班表!$E$2,班表!$G$2,1),0))),"",DATE(班表!$E$2,班表!$G$2,30))</f>
        <v/>
      </c>
      <c r="B807" s="29">
        <f>IF($A807="","",INDEX(設定!$L$5:$L$11,WEEKDAY($A807,1)))</f>
        <v/>
      </c>
      <c r="C807" s="29">
        <f>IF($A807="","",班表!$A31)</f>
        <v/>
      </c>
      <c r="D807" s="29">
        <f>IF($C807="","",班表!$B31)</f>
        <v/>
      </c>
      <c r="E807" s="29">
        <f>IF($C807="","",班表!$C31)</f>
        <v/>
      </c>
      <c r="F807" s="29">
        <f>IF($C807="","",班表!AG31)</f>
        <v/>
      </c>
      <c r="G807" s="31">
        <f>IF($F807="","",IFERROR(INDEX(設定!$D$5:$D$20,MATCH($F807,設定!$B$5:$B$20,0)),""))</f>
        <v/>
      </c>
      <c r="H807" s="31">
        <f>IF($F807="","",IFERROR(INDEX(設定!$E$5:$E$20,MATCH($F807,設定!$B$5:$B$20,0)),""))</f>
        <v/>
      </c>
      <c r="I807" s="31">
        <f>IFERROR(INDEX(打卡匯入!$C$3:$C$1002,MATCH($C807&amp;"|"&amp;DAY($A807),打卡匯入!$E$3:$E$1002,0)),"")</f>
        <v/>
      </c>
      <c r="J807" s="31">
        <f>IFERROR(INDEX(打卡匯入!$D$3:$D$1002,MATCH($C807&amp;"|"&amp;DAY($A807),打卡匯入!$E$3:$E$1002,0)),"")</f>
        <v/>
      </c>
      <c r="K807" s="32">
        <f>IF(OR($I807="",$J807=""),"",IFERROR(INDEX(設定!$F$5:$F$20,MATCH($F807,設定!$B$5:$B$20,0)),0))</f>
        <v/>
      </c>
      <c r="L807" s="33">
        <f>IF(OR($I807="",$J807=""),"",ROUND(($J807-$I807)*24-$K807/60,2))</f>
        <v/>
      </c>
      <c r="M807" s="29">
        <f>IF($C807="","",IF(AND(COUNTIF(設定!$B$14:$B$20,$F807)&gt;0,$I807&lt;&gt;""),"假日出勤",IF(AND(COUNTIF(設定!$B$5:$B$13,$F807)&gt;0,$I807=""),"未打卡",IF($I807="","",IF($N807&gt;0,"遲到",IF($O807&gt;0,"早退","正常"))))))</f>
        <v/>
      </c>
      <c r="N807" s="32">
        <f>IF(OR($C807="",$G807="",$I807=""),0,IF(ROUND(($I807-$G807)*1440,0)&gt;設定!$C$28,ROUND(($I807-$G807)*1440,0),0))</f>
        <v/>
      </c>
      <c r="O807" s="32">
        <f>IF(OR($C807="",$H807="",$J807=""),0,IF(ROUND(($H807-$J807)*1440,0)&gt;設定!$C$28,ROUND(($H807-$J807)*1440,0),0))</f>
        <v/>
      </c>
      <c r="P807" s="33">
        <f>IF($L807="",0,IF(($L807-IFERROR(INDEX(設定!$G$5:$G$20,MATCH($F807,設定!$B$5:$B$20,0)),0))*60&gt;=設定!$C$26,ROUND(FLOOR(($L807-IFERROR(INDEX(設定!$G$5:$G$20,MATCH($F807,設定!$B$5:$B$20,0)),0))*60,設定!$C$27)/60,2),0))</f>
        <v/>
      </c>
      <c r="Q807" s="29">
        <f>IF(OR($C807="",$P807=0),"",IF($F807="國","國定假日",IF($B807="日","例假",IF($B807="六","休息日","平日"))))</f>
        <v/>
      </c>
      <c r="R807" s="34" t="n"/>
    </row>
    <row r="808">
      <c r="A808" s="30">
        <f>IF(OR(班表!$A31="",31&gt;DAY(EOMONTH(DATE(班表!$E$2,班表!$G$2,1),0))),"",DATE(班表!$E$2,班表!$G$2,31))</f>
        <v/>
      </c>
      <c r="B808" s="29">
        <f>IF($A808="","",INDEX(設定!$L$5:$L$11,WEEKDAY($A808,1)))</f>
        <v/>
      </c>
      <c r="C808" s="29">
        <f>IF($A808="","",班表!$A31)</f>
        <v/>
      </c>
      <c r="D808" s="29">
        <f>IF($C808="","",班表!$B31)</f>
        <v/>
      </c>
      <c r="E808" s="29">
        <f>IF($C808="","",班表!$C31)</f>
        <v/>
      </c>
      <c r="F808" s="29">
        <f>IF($C808="","",班表!AH31)</f>
        <v/>
      </c>
      <c r="G808" s="31">
        <f>IF($F808="","",IFERROR(INDEX(設定!$D$5:$D$20,MATCH($F808,設定!$B$5:$B$20,0)),""))</f>
        <v/>
      </c>
      <c r="H808" s="31">
        <f>IF($F808="","",IFERROR(INDEX(設定!$E$5:$E$20,MATCH($F808,設定!$B$5:$B$20,0)),""))</f>
        <v/>
      </c>
      <c r="I808" s="31">
        <f>IFERROR(INDEX(打卡匯入!$C$3:$C$1002,MATCH($C808&amp;"|"&amp;DAY($A808),打卡匯入!$E$3:$E$1002,0)),"")</f>
        <v/>
      </c>
      <c r="J808" s="31">
        <f>IFERROR(INDEX(打卡匯入!$D$3:$D$1002,MATCH($C808&amp;"|"&amp;DAY($A808),打卡匯入!$E$3:$E$1002,0)),"")</f>
        <v/>
      </c>
      <c r="K808" s="32">
        <f>IF(OR($I808="",$J808=""),"",IFERROR(INDEX(設定!$F$5:$F$20,MATCH($F808,設定!$B$5:$B$20,0)),0))</f>
        <v/>
      </c>
      <c r="L808" s="33">
        <f>IF(OR($I808="",$J808=""),"",ROUND(($J808-$I808)*24-$K808/60,2))</f>
        <v/>
      </c>
      <c r="M808" s="29">
        <f>IF($C808="","",IF(AND(COUNTIF(設定!$B$14:$B$20,$F808)&gt;0,$I808&lt;&gt;""),"假日出勤",IF(AND(COUNTIF(設定!$B$5:$B$13,$F808)&gt;0,$I808=""),"未打卡",IF($I808="","",IF($N808&gt;0,"遲到",IF($O808&gt;0,"早退","正常"))))))</f>
        <v/>
      </c>
      <c r="N808" s="32">
        <f>IF(OR($C808="",$G808="",$I808=""),0,IF(ROUND(($I808-$G808)*1440,0)&gt;設定!$C$28,ROUND(($I808-$G808)*1440,0),0))</f>
        <v/>
      </c>
      <c r="O808" s="32">
        <f>IF(OR($C808="",$H808="",$J808=""),0,IF(ROUND(($H808-$J808)*1440,0)&gt;設定!$C$28,ROUND(($H808-$J808)*1440,0),0))</f>
        <v/>
      </c>
      <c r="P808" s="33">
        <f>IF($L808="",0,IF(($L808-IFERROR(INDEX(設定!$G$5:$G$20,MATCH($F808,設定!$B$5:$B$20,0)),0))*60&gt;=設定!$C$26,ROUND(FLOOR(($L808-IFERROR(INDEX(設定!$G$5:$G$20,MATCH($F808,設定!$B$5:$B$20,0)),0))*60,設定!$C$27)/60,2),0))</f>
        <v/>
      </c>
      <c r="Q808" s="29">
        <f>IF(OR($C808="",$P808=0),"",IF($F808="國","國定假日",IF($B808="日","例假",IF($B808="六","休息日","平日"))))</f>
        <v/>
      </c>
      <c r="R808" s="34" t="n"/>
    </row>
    <row r="809">
      <c r="A809" s="30">
        <f>IF(OR(班表!$A32="",1&gt;DAY(EOMONTH(DATE(班表!$E$2,班表!$G$2,1),0))),"",DATE(班表!$E$2,班表!$G$2,1))</f>
        <v/>
      </c>
      <c r="B809" s="29">
        <f>IF($A809="","",INDEX(設定!$L$5:$L$11,WEEKDAY($A809,1)))</f>
        <v/>
      </c>
      <c r="C809" s="29">
        <f>IF($A809="","",班表!$A32)</f>
        <v/>
      </c>
      <c r="D809" s="29">
        <f>IF($C809="","",班表!$B32)</f>
        <v/>
      </c>
      <c r="E809" s="29">
        <f>IF($C809="","",班表!$C32)</f>
        <v/>
      </c>
      <c r="F809" s="29">
        <f>IF($C809="","",班表!D32)</f>
        <v/>
      </c>
      <c r="G809" s="31">
        <f>IF($F809="","",IFERROR(INDEX(設定!$D$5:$D$20,MATCH($F809,設定!$B$5:$B$20,0)),""))</f>
        <v/>
      </c>
      <c r="H809" s="31">
        <f>IF($F809="","",IFERROR(INDEX(設定!$E$5:$E$20,MATCH($F809,設定!$B$5:$B$20,0)),""))</f>
        <v/>
      </c>
      <c r="I809" s="31">
        <f>IFERROR(INDEX(打卡匯入!$C$3:$C$1002,MATCH($C809&amp;"|"&amp;DAY($A809),打卡匯入!$E$3:$E$1002,0)),"")</f>
        <v/>
      </c>
      <c r="J809" s="31">
        <f>IFERROR(INDEX(打卡匯入!$D$3:$D$1002,MATCH($C809&amp;"|"&amp;DAY($A809),打卡匯入!$E$3:$E$1002,0)),"")</f>
        <v/>
      </c>
      <c r="K809" s="32">
        <f>IF(OR($I809="",$J809=""),"",IFERROR(INDEX(設定!$F$5:$F$20,MATCH($F809,設定!$B$5:$B$20,0)),0))</f>
        <v/>
      </c>
      <c r="L809" s="33">
        <f>IF(OR($I809="",$J809=""),"",ROUND(($J809-$I809)*24-$K809/60,2))</f>
        <v/>
      </c>
      <c r="M809" s="29">
        <f>IF($C809="","",IF(AND(COUNTIF(設定!$B$14:$B$20,$F809)&gt;0,$I809&lt;&gt;""),"假日出勤",IF(AND(COUNTIF(設定!$B$5:$B$13,$F809)&gt;0,$I809=""),"未打卡",IF($I809="","",IF($N809&gt;0,"遲到",IF($O809&gt;0,"早退","正常"))))))</f>
        <v/>
      </c>
      <c r="N809" s="32">
        <f>IF(OR($C809="",$G809="",$I809=""),0,IF(ROUND(($I809-$G809)*1440,0)&gt;設定!$C$28,ROUND(($I809-$G809)*1440,0),0))</f>
        <v/>
      </c>
      <c r="O809" s="32">
        <f>IF(OR($C809="",$H809="",$J809=""),0,IF(ROUND(($H809-$J809)*1440,0)&gt;設定!$C$28,ROUND(($H809-$J809)*1440,0),0))</f>
        <v/>
      </c>
      <c r="P809" s="33">
        <f>IF($L809="",0,IF(($L809-IFERROR(INDEX(設定!$G$5:$G$20,MATCH($F809,設定!$B$5:$B$20,0)),0))*60&gt;=設定!$C$26,ROUND(FLOOR(($L809-IFERROR(INDEX(設定!$G$5:$G$20,MATCH($F809,設定!$B$5:$B$20,0)),0))*60,設定!$C$27)/60,2),0))</f>
        <v/>
      </c>
      <c r="Q809" s="29">
        <f>IF(OR($C809="",$P809=0),"",IF($F809="國","國定假日",IF($B809="日","例假",IF($B809="六","休息日","平日"))))</f>
        <v/>
      </c>
      <c r="R809" s="34" t="n"/>
    </row>
    <row r="810">
      <c r="A810" s="30">
        <f>IF(OR(班表!$A32="",2&gt;DAY(EOMONTH(DATE(班表!$E$2,班表!$G$2,1),0))),"",DATE(班表!$E$2,班表!$G$2,2))</f>
        <v/>
      </c>
      <c r="B810" s="29">
        <f>IF($A810="","",INDEX(設定!$L$5:$L$11,WEEKDAY($A810,1)))</f>
        <v/>
      </c>
      <c r="C810" s="29">
        <f>IF($A810="","",班表!$A32)</f>
        <v/>
      </c>
      <c r="D810" s="29">
        <f>IF($C810="","",班表!$B32)</f>
        <v/>
      </c>
      <c r="E810" s="29">
        <f>IF($C810="","",班表!$C32)</f>
        <v/>
      </c>
      <c r="F810" s="29">
        <f>IF($C810="","",班表!E32)</f>
        <v/>
      </c>
      <c r="G810" s="31">
        <f>IF($F810="","",IFERROR(INDEX(設定!$D$5:$D$20,MATCH($F810,設定!$B$5:$B$20,0)),""))</f>
        <v/>
      </c>
      <c r="H810" s="31">
        <f>IF($F810="","",IFERROR(INDEX(設定!$E$5:$E$20,MATCH($F810,設定!$B$5:$B$20,0)),""))</f>
        <v/>
      </c>
      <c r="I810" s="31">
        <f>IFERROR(INDEX(打卡匯入!$C$3:$C$1002,MATCH($C810&amp;"|"&amp;DAY($A810),打卡匯入!$E$3:$E$1002,0)),"")</f>
        <v/>
      </c>
      <c r="J810" s="31">
        <f>IFERROR(INDEX(打卡匯入!$D$3:$D$1002,MATCH($C810&amp;"|"&amp;DAY($A810),打卡匯入!$E$3:$E$1002,0)),"")</f>
        <v/>
      </c>
      <c r="K810" s="32">
        <f>IF(OR($I810="",$J810=""),"",IFERROR(INDEX(設定!$F$5:$F$20,MATCH($F810,設定!$B$5:$B$20,0)),0))</f>
        <v/>
      </c>
      <c r="L810" s="33">
        <f>IF(OR($I810="",$J810=""),"",ROUND(($J810-$I810)*24-$K810/60,2))</f>
        <v/>
      </c>
      <c r="M810" s="29">
        <f>IF($C810="","",IF(AND(COUNTIF(設定!$B$14:$B$20,$F810)&gt;0,$I810&lt;&gt;""),"假日出勤",IF(AND(COUNTIF(設定!$B$5:$B$13,$F810)&gt;0,$I810=""),"未打卡",IF($I810="","",IF($N810&gt;0,"遲到",IF($O810&gt;0,"早退","正常"))))))</f>
        <v/>
      </c>
      <c r="N810" s="32">
        <f>IF(OR($C810="",$G810="",$I810=""),0,IF(ROUND(($I810-$G810)*1440,0)&gt;設定!$C$28,ROUND(($I810-$G810)*1440,0),0))</f>
        <v/>
      </c>
      <c r="O810" s="32">
        <f>IF(OR($C810="",$H810="",$J810=""),0,IF(ROUND(($H810-$J810)*1440,0)&gt;設定!$C$28,ROUND(($H810-$J810)*1440,0),0))</f>
        <v/>
      </c>
      <c r="P810" s="33">
        <f>IF($L810="",0,IF(($L810-IFERROR(INDEX(設定!$G$5:$G$20,MATCH($F810,設定!$B$5:$B$20,0)),0))*60&gt;=設定!$C$26,ROUND(FLOOR(($L810-IFERROR(INDEX(設定!$G$5:$G$20,MATCH($F810,設定!$B$5:$B$20,0)),0))*60,設定!$C$27)/60,2),0))</f>
        <v/>
      </c>
      <c r="Q810" s="29">
        <f>IF(OR($C810="",$P810=0),"",IF($F810="國","國定假日",IF($B810="日","例假",IF($B810="六","休息日","平日"))))</f>
        <v/>
      </c>
      <c r="R810" s="34" t="n"/>
    </row>
    <row r="811">
      <c r="A811" s="30">
        <f>IF(OR(班表!$A32="",3&gt;DAY(EOMONTH(DATE(班表!$E$2,班表!$G$2,1),0))),"",DATE(班表!$E$2,班表!$G$2,3))</f>
        <v/>
      </c>
      <c r="B811" s="29">
        <f>IF($A811="","",INDEX(設定!$L$5:$L$11,WEEKDAY($A811,1)))</f>
        <v/>
      </c>
      <c r="C811" s="29">
        <f>IF($A811="","",班表!$A32)</f>
        <v/>
      </c>
      <c r="D811" s="29">
        <f>IF($C811="","",班表!$B32)</f>
        <v/>
      </c>
      <c r="E811" s="29">
        <f>IF($C811="","",班表!$C32)</f>
        <v/>
      </c>
      <c r="F811" s="29">
        <f>IF($C811="","",班表!F32)</f>
        <v/>
      </c>
      <c r="G811" s="31">
        <f>IF($F811="","",IFERROR(INDEX(設定!$D$5:$D$20,MATCH($F811,設定!$B$5:$B$20,0)),""))</f>
        <v/>
      </c>
      <c r="H811" s="31">
        <f>IF($F811="","",IFERROR(INDEX(設定!$E$5:$E$20,MATCH($F811,設定!$B$5:$B$20,0)),""))</f>
        <v/>
      </c>
      <c r="I811" s="31">
        <f>IFERROR(INDEX(打卡匯入!$C$3:$C$1002,MATCH($C811&amp;"|"&amp;DAY($A811),打卡匯入!$E$3:$E$1002,0)),"")</f>
        <v/>
      </c>
      <c r="J811" s="31">
        <f>IFERROR(INDEX(打卡匯入!$D$3:$D$1002,MATCH($C811&amp;"|"&amp;DAY($A811),打卡匯入!$E$3:$E$1002,0)),"")</f>
        <v/>
      </c>
      <c r="K811" s="32">
        <f>IF(OR($I811="",$J811=""),"",IFERROR(INDEX(設定!$F$5:$F$20,MATCH($F811,設定!$B$5:$B$20,0)),0))</f>
        <v/>
      </c>
      <c r="L811" s="33">
        <f>IF(OR($I811="",$J811=""),"",ROUND(($J811-$I811)*24-$K811/60,2))</f>
        <v/>
      </c>
      <c r="M811" s="29">
        <f>IF($C811="","",IF(AND(COUNTIF(設定!$B$14:$B$20,$F811)&gt;0,$I811&lt;&gt;""),"假日出勤",IF(AND(COUNTIF(設定!$B$5:$B$13,$F811)&gt;0,$I811=""),"未打卡",IF($I811="","",IF($N811&gt;0,"遲到",IF($O811&gt;0,"早退","正常"))))))</f>
        <v/>
      </c>
      <c r="N811" s="32">
        <f>IF(OR($C811="",$G811="",$I811=""),0,IF(ROUND(($I811-$G811)*1440,0)&gt;設定!$C$28,ROUND(($I811-$G811)*1440,0),0))</f>
        <v/>
      </c>
      <c r="O811" s="32">
        <f>IF(OR($C811="",$H811="",$J811=""),0,IF(ROUND(($H811-$J811)*1440,0)&gt;設定!$C$28,ROUND(($H811-$J811)*1440,0),0))</f>
        <v/>
      </c>
      <c r="P811" s="33">
        <f>IF($L811="",0,IF(($L811-IFERROR(INDEX(設定!$G$5:$G$20,MATCH($F811,設定!$B$5:$B$20,0)),0))*60&gt;=設定!$C$26,ROUND(FLOOR(($L811-IFERROR(INDEX(設定!$G$5:$G$20,MATCH($F811,設定!$B$5:$B$20,0)),0))*60,設定!$C$27)/60,2),0))</f>
        <v/>
      </c>
      <c r="Q811" s="29">
        <f>IF(OR($C811="",$P811=0),"",IF($F811="國","國定假日",IF($B811="日","例假",IF($B811="六","休息日","平日"))))</f>
        <v/>
      </c>
      <c r="R811" s="34" t="n"/>
    </row>
    <row r="812">
      <c r="A812" s="30">
        <f>IF(OR(班表!$A32="",4&gt;DAY(EOMONTH(DATE(班表!$E$2,班表!$G$2,1),0))),"",DATE(班表!$E$2,班表!$G$2,4))</f>
        <v/>
      </c>
      <c r="B812" s="29">
        <f>IF($A812="","",INDEX(設定!$L$5:$L$11,WEEKDAY($A812,1)))</f>
        <v/>
      </c>
      <c r="C812" s="29">
        <f>IF($A812="","",班表!$A32)</f>
        <v/>
      </c>
      <c r="D812" s="29">
        <f>IF($C812="","",班表!$B32)</f>
        <v/>
      </c>
      <c r="E812" s="29">
        <f>IF($C812="","",班表!$C32)</f>
        <v/>
      </c>
      <c r="F812" s="29">
        <f>IF($C812="","",班表!G32)</f>
        <v/>
      </c>
      <c r="G812" s="31">
        <f>IF($F812="","",IFERROR(INDEX(設定!$D$5:$D$20,MATCH($F812,設定!$B$5:$B$20,0)),""))</f>
        <v/>
      </c>
      <c r="H812" s="31">
        <f>IF($F812="","",IFERROR(INDEX(設定!$E$5:$E$20,MATCH($F812,設定!$B$5:$B$20,0)),""))</f>
        <v/>
      </c>
      <c r="I812" s="31">
        <f>IFERROR(INDEX(打卡匯入!$C$3:$C$1002,MATCH($C812&amp;"|"&amp;DAY($A812),打卡匯入!$E$3:$E$1002,0)),"")</f>
        <v/>
      </c>
      <c r="J812" s="31">
        <f>IFERROR(INDEX(打卡匯入!$D$3:$D$1002,MATCH($C812&amp;"|"&amp;DAY($A812),打卡匯入!$E$3:$E$1002,0)),"")</f>
        <v/>
      </c>
      <c r="K812" s="32">
        <f>IF(OR($I812="",$J812=""),"",IFERROR(INDEX(設定!$F$5:$F$20,MATCH($F812,設定!$B$5:$B$20,0)),0))</f>
        <v/>
      </c>
      <c r="L812" s="33">
        <f>IF(OR($I812="",$J812=""),"",ROUND(($J812-$I812)*24-$K812/60,2))</f>
        <v/>
      </c>
      <c r="M812" s="29">
        <f>IF($C812="","",IF(AND(COUNTIF(設定!$B$14:$B$20,$F812)&gt;0,$I812&lt;&gt;""),"假日出勤",IF(AND(COUNTIF(設定!$B$5:$B$13,$F812)&gt;0,$I812=""),"未打卡",IF($I812="","",IF($N812&gt;0,"遲到",IF($O812&gt;0,"早退","正常"))))))</f>
        <v/>
      </c>
      <c r="N812" s="32">
        <f>IF(OR($C812="",$G812="",$I812=""),0,IF(ROUND(($I812-$G812)*1440,0)&gt;設定!$C$28,ROUND(($I812-$G812)*1440,0),0))</f>
        <v/>
      </c>
      <c r="O812" s="32">
        <f>IF(OR($C812="",$H812="",$J812=""),0,IF(ROUND(($H812-$J812)*1440,0)&gt;設定!$C$28,ROUND(($H812-$J812)*1440,0),0))</f>
        <v/>
      </c>
      <c r="P812" s="33">
        <f>IF($L812="",0,IF(($L812-IFERROR(INDEX(設定!$G$5:$G$20,MATCH($F812,設定!$B$5:$B$20,0)),0))*60&gt;=設定!$C$26,ROUND(FLOOR(($L812-IFERROR(INDEX(設定!$G$5:$G$20,MATCH($F812,設定!$B$5:$B$20,0)),0))*60,設定!$C$27)/60,2),0))</f>
        <v/>
      </c>
      <c r="Q812" s="29">
        <f>IF(OR($C812="",$P812=0),"",IF($F812="國","國定假日",IF($B812="日","例假",IF($B812="六","休息日","平日"))))</f>
        <v/>
      </c>
      <c r="R812" s="34" t="n"/>
    </row>
    <row r="813">
      <c r="A813" s="30">
        <f>IF(OR(班表!$A32="",5&gt;DAY(EOMONTH(DATE(班表!$E$2,班表!$G$2,1),0))),"",DATE(班表!$E$2,班表!$G$2,5))</f>
        <v/>
      </c>
      <c r="B813" s="29">
        <f>IF($A813="","",INDEX(設定!$L$5:$L$11,WEEKDAY($A813,1)))</f>
        <v/>
      </c>
      <c r="C813" s="29">
        <f>IF($A813="","",班表!$A32)</f>
        <v/>
      </c>
      <c r="D813" s="29">
        <f>IF($C813="","",班表!$B32)</f>
        <v/>
      </c>
      <c r="E813" s="29">
        <f>IF($C813="","",班表!$C32)</f>
        <v/>
      </c>
      <c r="F813" s="29">
        <f>IF($C813="","",班表!H32)</f>
        <v/>
      </c>
      <c r="G813" s="31">
        <f>IF($F813="","",IFERROR(INDEX(設定!$D$5:$D$20,MATCH($F813,設定!$B$5:$B$20,0)),""))</f>
        <v/>
      </c>
      <c r="H813" s="31">
        <f>IF($F813="","",IFERROR(INDEX(設定!$E$5:$E$20,MATCH($F813,設定!$B$5:$B$20,0)),""))</f>
        <v/>
      </c>
      <c r="I813" s="31">
        <f>IFERROR(INDEX(打卡匯入!$C$3:$C$1002,MATCH($C813&amp;"|"&amp;DAY($A813),打卡匯入!$E$3:$E$1002,0)),"")</f>
        <v/>
      </c>
      <c r="J813" s="31">
        <f>IFERROR(INDEX(打卡匯入!$D$3:$D$1002,MATCH($C813&amp;"|"&amp;DAY($A813),打卡匯入!$E$3:$E$1002,0)),"")</f>
        <v/>
      </c>
      <c r="K813" s="32">
        <f>IF(OR($I813="",$J813=""),"",IFERROR(INDEX(設定!$F$5:$F$20,MATCH($F813,設定!$B$5:$B$20,0)),0))</f>
        <v/>
      </c>
      <c r="L813" s="33">
        <f>IF(OR($I813="",$J813=""),"",ROUND(($J813-$I813)*24-$K813/60,2))</f>
        <v/>
      </c>
      <c r="M813" s="29">
        <f>IF($C813="","",IF(AND(COUNTIF(設定!$B$14:$B$20,$F813)&gt;0,$I813&lt;&gt;""),"假日出勤",IF(AND(COUNTIF(設定!$B$5:$B$13,$F813)&gt;0,$I813=""),"未打卡",IF($I813="","",IF($N813&gt;0,"遲到",IF($O813&gt;0,"早退","正常"))))))</f>
        <v/>
      </c>
      <c r="N813" s="32">
        <f>IF(OR($C813="",$G813="",$I813=""),0,IF(ROUND(($I813-$G813)*1440,0)&gt;設定!$C$28,ROUND(($I813-$G813)*1440,0),0))</f>
        <v/>
      </c>
      <c r="O813" s="32">
        <f>IF(OR($C813="",$H813="",$J813=""),0,IF(ROUND(($H813-$J813)*1440,0)&gt;設定!$C$28,ROUND(($H813-$J813)*1440,0),0))</f>
        <v/>
      </c>
      <c r="P813" s="33">
        <f>IF($L813="",0,IF(($L813-IFERROR(INDEX(設定!$G$5:$G$20,MATCH($F813,設定!$B$5:$B$20,0)),0))*60&gt;=設定!$C$26,ROUND(FLOOR(($L813-IFERROR(INDEX(設定!$G$5:$G$20,MATCH($F813,設定!$B$5:$B$20,0)),0))*60,設定!$C$27)/60,2),0))</f>
        <v/>
      </c>
      <c r="Q813" s="29">
        <f>IF(OR($C813="",$P813=0),"",IF($F813="國","國定假日",IF($B813="日","例假",IF($B813="六","休息日","平日"))))</f>
        <v/>
      </c>
      <c r="R813" s="34" t="n"/>
    </row>
    <row r="814">
      <c r="A814" s="30">
        <f>IF(OR(班表!$A32="",6&gt;DAY(EOMONTH(DATE(班表!$E$2,班表!$G$2,1),0))),"",DATE(班表!$E$2,班表!$G$2,6))</f>
        <v/>
      </c>
      <c r="B814" s="29">
        <f>IF($A814="","",INDEX(設定!$L$5:$L$11,WEEKDAY($A814,1)))</f>
        <v/>
      </c>
      <c r="C814" s="29">
        <f>IF($A814="","",班表!$A32)</f>
        <v/>
      </c>
      <c r="D814" s="29">
        <f>IF($C814="","",班表!$B32)</f>
        <v/>
      </c>
      <c r="E814" s="29">
        <f>IF($C814="","",班表!$C32)</f>
        <v/>
      </c>
      <c r="F814" s="29">
        <f>IF($C814="","",班表!I32)</f>
        <v/>
      </c>
      <c r="G814" s="31">
        <f>IF($F814="","",IFERROR(INDEX(設定!$D$5:$D$20,MATCH($F814,設定!$B$5:$B$20,0)),""))</f>
        <v/>
      </c>
      <c r="H814" s="31">
        <f>IF($F814="","",IFERROR(INDEX(設定!$E$5:$E$20,MATCH($F814,設定!$B$5:$B$20,0)),""))</f>
        <v/>
      </c>
      <c r="I814" s="31">
        <f>IFERROR(INDEX(打卡匯入!$C$3:$C$1002,MATCH($C814&amp;"|"&amp;DAY($A814),打卡匯入!$E$3:$E$1002,0)),"")</f>
        <v/>
      </c>
      <c r="J814" s="31">
        <f>IFERROR(INDEX(打卡匯入!$D$3:$D$1002,MATCH($C814&amp;"|"&amp;DAY($A814),打卡匯入!$E$3:$E$1002,0)),"")</f>
        <v/>
      </c>
      <c r="K814" s="32">
        <f>IF(OR($I814="",$J814=""),"",IFERROR(INDEX(設定!$F$5:$F$20,MATCH($F814,設定!$B$5:$B$20,0)),0))</f>
        <v/>
      </c>
      <c r="L814" s="33">
        <f>IF(OR($I814="",$J814=""),"",ROUND(($J814-$I814)*24-$K814/60,2))</f>
        <v/>
      </c>
      <c r="M814" s="29">
        <f>IF($C814="","",IF(AND(COUNTIF(設定!$B$14:$B$20,$F814)&gt;0,$I814&lt;&gt;""),"假日出勤",IF(AND(COUNTIF(設定!$B$5:$B$13,$F814)&gt;0,$I814=""),"未打卡",IF($I814="","",IF($N814&gt;0,"遲到",IF($O814&gt;0,"早退","正常"))))))</f>
        <v/>
      </c>
      <c r="N814" s="32">
        <f>IF(OR($C814="",$G814="",$I814=""),0,IF(ROUND(($I814-$G814)*1440,0)&gt;設定!$C$28,ROUND(($I814-$G814)*1440,0),0))</f>
        <v/>
      </c>
      <c r="O814" s="32">
        <f>IF(OR($C814="",$H814="",$J814=""),0,IF(ROUND(($H814-$J814)*1440,0)&gt;設定!$C$28,ROUND(($H814-$J814)*1440,0),0))</f>
        <v/>
      </c>
      <c r="P814" s="33">
        <f>IF($L814="",0,IF(($L814-IFERROR(INDEX(設定!$G$5:$G$20,MATCH($F814,設定!$B$5:$B$20,0)),0))*60&gt;=設定!$C$26,ROUND(FLOOR(($L814-IFERROR(INDEX(設定!$G$5:$G$20,MATCH($F814,設定!$B$5:$B$20,0)),0))*60,設定!$C$27)/60,2),0))</f>
        <v/>
      </c>
      <c r="Q814" s="29">
        <f>IF(OR($C814="",$P814=0),"",IF($F814="國","國定假日",IF($B814="日","例假",IF($B814="六","休息日","平日"))))</f>
        <v/>
      </c>
      <c r="R814" s="34" t="n"/>
    </row>
    <row r="815">
      <c r="A815" s="30">
        <f>IF(OR(班表!$A32="",7&gt;DAY(EOMONTH(DATE(班表!$E$2,班表!$G$2,1),0))),"",DATE(班表!$E$2,班表!$G$2,7))</f>
        <v/>
      </c>
      <c r="B815" s="29">
        <f>IF($A815="","",INDEX(設定!$L$5:$L$11,WEEKDAY($A815,1)))</f>
        <v/>
      </c>
      <c r="C815" s="29">
        <f>IF($A815="","",班表!$A32)</f>
        <v/>
      </c>
      <c r="D815" s="29">
        <f>IF($C815="","",班表!$B32)</f>
        <v/>
      </c>
      <c r="E815" s="29">
        <f>IF($C815="","",班表!$C32)</f>
        <v/>
      </c>
      <c r="F815" s="29">
        <f>IF($C815="","",班表!J32)</f>
        <v/>
      </c>
      <c r="G815" s="31">
        <f>IF($F815="","",IFERROR(INDEX(設定!$D$5:$D$20,MATCH($F815,設定!$B$5:$B$20,0)),""))</f>
        <v/>
      </c>
      <c r="H815" s="31">
        <f>IF($F815="","",IFERROR(INDEX(設定!$E$5:$E$20,MATCH($F815,設定!$B$5:$B$20,0)),""))</f>
        <v/>
      </c>
      <c r="I815" s="31">
        <f>IFERROR(INDEX(打卡匯入!$C$3:$C$1002,MATCH($C815&amp;"|"&amp;DAY($A815),打卡匯入!$E$3:$E$1002,0)),"")</f>
        <v/>
      </c>
      <c r="J815" s="31">
        <f>IFERROR(INDEX(打卡匯入!$D$3:$D$1002,MATCH($C815&amp;"|"&amp;DAY($A815),打卡匯入!$E$3:$E$1002,0)),"")</f>
        <v/>
      </c>
      <c r="K815" s="32">
        <f>IF(OR($I815="",$J815=""),"",IFERROR(INDEX(設定!$F$5:$F$20,MATCH($F815,設定!$B$5:$B$20,0)),0))</f>
        <v/>
      </c>
      <c r="L815" s="33">
        <f>IF(OR($I815="",$J815=""),"",ROUND(($J815-$I815)*24-$K815/60,2))</f>
        <v/>
      </c>
      <c r="M815" s="29">
        <f>IF($C815="","",IF(AND(COUNTIF(設定!$B$14:$B$20,$F815)&gt;0,$I815&lt;&gt;""),"假日出勤",IF(AND(COUNTIF(設定!$B$5:$B$13,$F815)&gt;0,$I815=""),"未打卡",IF($I815="","",IF($N815&gt;0,"遲到",IF($O815&gt;0,"早退","正常"))))))</f>
        <v/>
      </c>
      <c r="N815" s="32">
        <f>IF(OR($C815="",$G815="",$I815=""),0,IF(ROUND(($I815-$G815)*1440,0)&gt;設定!$C$28,ROUND(($I815-$G815)*1440,0),0))</f>
        <v/>
      </c>
      <c r="O815" s="32">
        <f>IF(OR($C815="",$H815="",$J815=""),0,IF(ROUND(($H815-$J815)*1440,0)&gt;設定!$C$28,ROUND(($H815-$J815)*1440,0),0))</f>
        <v/>
      </c>
      <c r="P815" s="33">
        <f>IF($L815="",0,IF(($L815-IFERROR(INDEX(設定!$G$5:$G$20,MATCH($F815,設定!$B$5:$B$20,0)),0))*60&gt;=設定!$C$26,ROUND(FLOOR(($L815-IFERROR(INDEX(設定!$G$5:$G$20,MATCH($F815,設定!$B$5:$B$20,0)),0))*60,設定!$C$27)/60,2),0))</f>
        <v/>
      </c>
      <c r="Q815" s="29">
        <f>IF(OR($C815="",$P815=0),"",IF($F815="國","國定假日",IF($B815="日","例假",IF($B815="六","休息日","平日"))))</f>
        <v/>
      </c>
      <c r="R815" s="34" t="n"/>
    </row>
    <row r="816">
      <c r="A816" s="30">
        <f>IF(OR(班表!$A32="",8&gt;DAY(EOMONTH(DATE(班表!$E$2,班表!$G$2,1),0))),"",DATE(班表!$E$2,班表!$G$2,8))</f>
        <v/>
      </c>
      <c r="B816" s="29">
        <f>IF($A816="","",INDEX(設定!$L$5:$L$11,WEEKDAY($A816,1)))</f>
        <v/>
      </c>
      <c r="C816" s="29">
        <f>IF($A816="","",班表!$A32)</f>
        <v/>
      </c>
      <c r="D816" s="29">
        <f>IF($C816="","",班表!$B32)</f>
        <v/>
      </c>
      <c r="E816" s="29">
        <f>IF($C816="","",班表!$C32)</f>
        <v/>
      </c>
      <c r="F816" s="29">
        <f>IF($C816="","",班表!K32)</f>
        <v/>
      </c>
      <c r="G816" s="31">
        <f>IF($F816="","",IFERROR(INDEX(設定!$D$5:$D$20,MATCH($F816,設定!$B$5:$B$20,0)),""))</f>
        <v/>
      </c>
      <c r="H816" s="31">
        <f>IF($F816="","",IFERROR(INDEX(設定!$E$5:$E$20,MATCH($F816,設定!$B$5:$B$20,0)),""))</f>
        <v/>
      </c>
      <c r="I816" s="31">
        <f>IFERROR(INDEX(打卡匯入!$C$3:$C$1002,MATCH($C816&amp;"|"&amp;DAY($A816),打卡匯入!$E$3:$E$1002,0)),"")</f>
        <v/>
      </c>
      <c r="J816" s="31">
        <f>IFERROR(INDEX(打卡匯入!$D$3:$D$1002,MATCH($C816&amp;"|"&amp;DAY($A816),打卡匯入!$E$3:$E$1002,0)),"")</f>
        <v/>
      </c>
      <c r="K816" s="32">
        <f>IF(OR($I816="",$J816=""),"",IFERROR(INDEX(設定!$F$5:$F$20,MATCH($F816,設定!$B$5:$B$20,0)),0))</f>
        <v/>
      </c>
      <c r="L816" s="33">
        <f>IF(OR($I816="",$J816=""),"",ROUND(($J816-$I816)*24-$K816/60,2))</f>
        <v/>
      </c>
      <c r="M816" s="29">
        <f>IF($C816="","",IF(AND(COUNTIF(設定!$B$14:$B$20,$F816)&gt;0,$I816&lt;&gt;""),"假日出勤",IF(AND(COUNTIF(設定!$B$5:$B$13,$F816)&gt;0,$I816=""),"未打卡",IF($I816="","",IF($N816&gt;0,"遲到",IF($O816&gt;0,"早退","正常"))))))</f>
        <v/>
      </c>
      <c r="N816" s="32">
        <f>IF(OR($C816="",$G816="",$I816=""),0,IF(ROUND(($I816-$G816)*1440,0)&gt;設定!$C$28,ROUND(($I816-$G816)*1440,0),0))</f>
        <v/>
      </c>
      <c r="O816" s="32">
        <f>IF(OR($C816="",$H816="",$J816=""),0,IF(ROUND(($H816-$J816)*1440,0)&gt;設定!$C$28,ROUND(($H816-$J816)*1440,0),0))</f>
        <v/>
      </c>
      <c r="P816" s="33">
        <f>IF($L816="",0,IF(($L816-IFERROR(INDEX(設定!$G$5:$G$20,MATCH($F816,設定!$B$5:$B$20,0)),0))*60&gt;=設定!$C$26,ROUND(FLOOR(($L816-IFERROR(INDEX(設定!$G$5:$G$20,MATCH($F816,設定!$B$5:$B$20,0)),0))*60,設定!$C$27)/60,2),0))</f>
        <v/>
      </c>
      <c r="Q816" s="29">
        <f>IF(OR($C816="",$P816=0),"",IF($F816="國","國定假日",IF($B816="日","例假",IF($B816="六","休息日","平日"))))</f>
        <v/>
      </c>
      <c r="R816" s="34" t="n"/>
    </row>
    <row r="817">
      <c r="A817" s="30">
        <f>IF(OR(班表!$A32="",9&gt;DAY(EOMONTH(DATE(班表!$E$2,班表!$G$2,1),0))),"",DATE(班表!$E$2,班表!$G$2,9))</f>
        <v/>
      </c>
      <c r="B817" s="29">
        <f>IF($A817="","",INDEX(設定!$L$5:$L$11,WEEKDAY($A817,1)))</f>
        <v/>
      </c>
      <c r="C817" s="29">
        <f>IF($A817="","",班表!$A32)</f>
        <v/>
      </c>
      <c r="D817" s="29">
        <f>IF($C817="","",班表!$B32)</f>
        <v/>
      </c>
      <c r="E817" s="29">
        <f>IF($C817="","",班表!$C32)</f>
        <v/>
      </c>
      <c r="F817" s="29">
        <f>IF($C817="","",班表!L32)</f>
        <v/>
      </c>
      <c r="G817" s="31">
        <f>IF($F817="","",IFERROR(INDEX(設定!$D$5:$D$20,MATCH($F817,設定!$B$5:$B$20,0)),""))</f>
        <v/>
      </c>
      <c r="H817" s="31">
        <f>IF($F817="","",IFERROR(INDEX(設定!$E$5:$E$20,MATCH($F817,設定!$B$5:$B$20,0)),""))</f>
        <v/>
      </c>
      <c r="I817" s="31">
        <f>IFERROR(INDEX(打卡匯入!$C$3:$C$1002,MATCH($C817&amp;"|"&amp;DAY($A817),打卡匯入!$E$3:$E$1002,0)),"")</f>
        <v/>
      </c>
      <c r="J817" s="31">
        <f>IFERROR(INDEX(打卡匯入!$D$3:$D$1002,MATCH($C817&amp;"|"&amp;DAY($A817),打卡匯入!$E$3:$E$1002,0)),"")</f>
        <v/>
      </c>
      <c r="K817" s="32">
        <f>IF(OR($I817="",$J817=""),"",IFERROR(INDEX(設定!$F$5:$F$20,MATCH($F817,設定!$B$5:$B$20,0)),0))</f>
        <v/>
      </c>
      <c r="L817" s="33">
        <f>IF(OR($I817="",$J817=""),"",ROUND(($J817-$I817)*24-$K817/60,2))</f>
        <v/>
      </c>
      <c r="M817" s="29">
        <f>IF($C817="","",IF(AND(COUNTIF(設定!$B$14:$B$20,$F817)&gt;0,$I817&lt;&gt;""),"假日出勤",IF(AND(COUNTIF(設定!$B$5:$B$13,$F817)&gt;0,$I817=""),"未打卡",IF($I817="","",IF($N817&gt;0,"遲到",IF($O817&gt;0,"早退","正常"))))))</f>
        <v/>
      </c>
      <c r="N817" s="32">
        <f>IF(OR($C817="",$G817="",$I817=""),0,IF(ROUND(($I817-$G817)*1440,0)&gt;設定!$C$28,ROUND(($I817-$G817)*1440,0),0))</f>
        <v/>
      </c>
      <c r="O817" s="32">
        <f>IF(OR($C817="",$H817="",$J817=""),0,IF(ROUND(($H817-$J817)*1440,0)&gt;設定!$C$28,ROUND(($H817-$J817)*1440,0),0))</f>
        <v/>
      </c>
      <c r="P817" s="33">
        <f>IF($L817="",0,IF(($L817-IFERROR(INDEX(設定!$G$5:$G$20,MATCH($F817,設定!$B$5:$B$20,0)),0))*60&gt;=設定!$C$26,ROUND(FLOOR(($L817-IFERROR(INDEX(設定!$G$5:$G$20,MATCH($F817,設定!$B$5:$B$20,0)),0))*60,設定!$C$27)/60,2),0))</f>
        <v/>
      </c>
      <c r="Q817" s="29">
        <f>IF(OR($C817="",$P817=0),"",IF($F817="國","國定假日",IF($B817="日","例假",IF($B817="六","休息日","平日"))))</f>
        <v/>
      </c>
      <c r="R817" s="34" t="n"/>
    </row>
    <row r="818">
      <c r="A818" s="30">
        <f>IF(OR(班表!$A32="",10&gt;DAY(EOMONTH(DATE(班表!$E$2,班表!$G$2,1),0))),"",DATE(班表!$E$2,班表!$G$2,10))</f>
        <v/>
      </c>
      <c r="B818" s="29">
        <f>IF($A818="","",INDEX(設定!$L$5:$L$11,WEEKDAY($A818,1)))</f>
        <v/>
      </c>
      <c r="C818" s="29">
        <f>IF($A818="","",班表!$A32)</f>
        <v/>
      </c>
      <c r="D818" s="29">
        <f>IF($C818="","",班表!$B32)</f>
        <v/>
      </c>
      <c r="E818" s="29">
        <f>IF($C818="","",班表!$C32)</f>
        <v/>
      </c>
      <c r="F818" s="29">
        <f>IF($C818="","",班表!M32)</f>
        <v/>
      </c>
      <c r="G818" s="31">
        <f>IF($F818="","",IFERROR(INDEX(設定!$D$5:$D$20,MATCH($F818,設定!$B$5:$B$20,0)),""))</f>
        <v/>
      </c>
      <c r="H818" s="31">
        <f>IF($F818="","",IFERROR(INDEX(設定!$E$5:$E$20,MATCH($F818,設定!$B$5:$B$20,0)),""))</f>
        <v/>
      </c>
      <c r="I818" s="31">
        <f>IFERROR(INDEX(打卡匯入!$C$3:$C$1002,MATCH($C818&amp;"|"&amp;DAY($A818),打卡匯入!$E$3:$E$1002,0)),"")</f>
        <v/>
      </c>
      <c r="J818" s="31">
        <f>IFERROR(INDEX(打卡匯入!$D$3:$D$1002,MATCH($C818&amp;"|"&amp;DAY($A818),打卡匯入!$E$3:$E$1002,0)),"")</f>
        <v/>
      </c>
      <c r="K818" s="32">
        <f>IF(OR($I818="",$J818=""),"",IFERROR(INDEX(設定!$F$5:$F$20,MATCH($F818,設定!$B$5:$B$20,0)),0))</f>
        <v/>
      </c>
      <c r="L818" s="33">
        <f>IF(OR($I818="",$J818=""),"",ROUND(($J818-$I818)*24-$K818/60,2))</f>
        <v/>
      </c>
      <c r="M818" s="29">
        <f>IF($C818="","",IF(AND(COUNTIF(設定!$B$14:$B$20,$F818)&gt;0,$I818&lt;&gt;""),"假日出勤",IF(AND(COUNTIF(設定!$B$5:$B$13,$F818)&gt;0,$I818=""),"未打卡",IF($I818="","",IF($N818&gt;0,"遲到",IF($O818&gt;0,"早退","正常"))))))</f>
        <v/>
      </c>
      <c r="N818" s="32">
        <f>IF(OR($C818="",$G818="",$I818=""),0,IF(ROUND(($I818-$G818)*1440,0)&gt;設定!$C$28,ROUND(($I818-$G818)*1440,0),0))</f>
        <v/>
      </c>
      <c r="O818" s="32">
        <f>IF(OR($C818="",$H818="",$J818=""),0,IF(ROUND(($H818-$J818)*1440,0)&gt;設定!$C$28,ROUND(($H818-$J818)*1440,0),0))</f>
        <v/>
      </c>
      <c r="P818" s="33">
        <f>IF($L818="",0,IF(($L818-IFERROR(INDEX(設定!$G$5:$G$20,MATCH($F818,設定!$B$5:$B$20,0)),0))*60&gt;=設定!$C$26,ROUND(FLOOR(($L818-IFERROR(INDEX(設定!$G$5:$G$20,MATCH($F818,設定!$B$5:$B$20,0)),0))*60,設定!$C$27)/60,2),0))</f>
        <v/>
      </c>
      <c r="Q818" s="29">
        <f>IF(OR($C818="",$P818=0),"",IF($F818="國","國定假日",IF($B818="日","例假",IF($B818="六","休息日","平日"))))</f>
        <v/>
      </c>
      <c r="R818" s="34" t="n"/>
    </row>
    <row r="819">
      <c r="A819" s="30">
        <f>IF(OR(班表!$A32="",11&gt;DAY(EOMONTH(DATE(班表!$E$2,班表!$G$2,1),0))),"",DATE(班表!$E$2,班表!$G$2,11))</f>
        <v/>
      </c>
      <c r="B819" s="29">
        <f>IF($A819="","",INDEX(設定!$L$5:$L$11,WEEKDAY($A819,1)))</f>
        <v/>
      </c>
      <c r="C819" s="29">
        <f>IF($A819="","",班表!$A32)</f>
        <v/>
      </c>
      <c r="D819" s="29">
        <f>IF($C819="","",班表!$B32)</f>
        <v/>
      </c>
      <c r="E819" s="29">
        <f>IF($C819="","",班表!$C32)</f>
        <v/>
      </c>
      <c r="F819" s="29">
        <f>IF($C819="","",班表!N32)</f>
        <v/>
      </c>
      <c r="G819" s="31">
        <f>IF($F819="","",IFERROR(INDEX(設定!$D$5:$D$20,MATCH($F819,設定!$B$5:$B$20,0)),""))</f>
        <v/>
      </c>
      <c r="H819" s="31">
        <f>IF($F819="","",IFERROR(INDEX(設定!$E$5:$E$20,MATCH($F819,設定!$B$5:$B$20,0)),""))</f>
        <v/>
      </c>
      <c r="I819" s="31">
        <f>IFERROR(INDEX(打卡匯入!$C$3:$C$1002,MATCH($C819&amp;"|"&amp;DAY($A819),打卡匯入!$E$3:$E$1002,0)),"")</f>
        <v/>
      </c>
      <c r="J819" s="31">
        <f>IFERROR(INDEX(打卡匯入!$D$3:$D$1002,MATCH($C819&amp;"|"&amp;DAY($A819),打卡匯入!$E$3:$E$1002,0)),"")</f>
        <v/>
      </c>
      <c r="K819" s="32">
        <f>IF(OR($I819="",$J819=""),"",IFERROR(INDEX(設定!$F$5:$F$20,MATCH($F819,設定!$B$5:$B$20,0)),0))</f>
        <v/>
      </c>
      <c r="L819" s="33">
        <f>IF(OR($I819="",$J819=""),"",ROUND(($J819-$I819)*24-$K819/60,2))</f>
        <v/>
      </c>
      <c r="M819" s="29">
        <f>IF($C819="","",IF(AND(COUNTIF(設定!$B$14:$B$20,$F819)&gt;0,$I819&lt;&gt;""),"假日出勤",IF(AND(COUNTIF(設定!$B$5:$B$13,$F819)&gt;0,$I819=""),"未打卡",IF($I819="","",IF($N819&gt;0,"遲到",IF($O819&gt;0,"早退","正常"))))))</f>
        <v/>
      </c>
      <c r="N819" s="32">
        <f>IF(OR($C819="",$G819="",$I819=""),0,IF(ROUND(($I819-$G819)*1440,0)&gt;設定!$C$28,ROUND(($I819-$G819)*1440,0),0))</f>
        <v/>
      </c>
      <c r="O819" s="32">
        <f>IF(OR($C819="",$H819="",$J819=""),0,IF(ROUND(($H819-$J819)*1440,0)&gt;設定!$C$28,ROUND(($H819-$J819)*1440,0),0))</f>
        <v/>
      </c>
      <c r="P819" s="33">
        <f>IF($L819="",0,IF(($L819-IFERROR(INDEX(設定!$G$5:$G$20,MATCH($F819,設定!$B$5:$B$20,0)),0))*60&gt;=設定!$C$26,ROUND(FLOOR(($L819-IFERROR(INDEX(設定!$G$5:$G$20,MATCH($F819,設定!$B$5:$B$20,0)),0))*60,設定!$C$27)/60,2),0))</f>
        <v/>
      </c>
      <c r="Q819" s="29">
        <f>IF(OR($C819="",$P819=0),"",IF($F819="國","國定假日",IF($B819="日","例假",IF($B819="六","休息日","平日"))))</f>
        <v/>
      </c>
      <c r="R819" s="34" t="n"/>
    </row>
    <row r="820">
      <c r="A820" s="30">
        <f>IF(OR(班表!$A32="",12&gt;DAY(EOMONTH(DATE(班表!$E$2,班表!$G$2,1),0))),"",DATE(班表!$E$2,班表!$G$2,12))</f>
        <v/>
      </c>
      <c r="B820" s="29">
        <f>IF($A820="","",INDEX(設定!$L$5:$L$11,WEEKDAY($A820,1)))</f>
        <v/>
      </c>
      <c r="C820" s="29">
        <f>IF($A820="","",班表!$A32)</f>
        <v/>
      </c>
      <c r="D820" s="29">
        <f>IF($C820="","",班表!$B32)</f>
        <v/>
      </c>
      <c r="E820" s="29">
        <f>IF($C820="","",班表!$C32)</f>
        <v/>
      </c>
      <c r="F820" s="29">
        <f>IF($C820="","",班表!O32)</f>
        <v/>
      </c>
      <c r="G820" s="31">
        <f>IF($F820="","",IFERROR(INDEX(設定!$D$5:$D$20,MATCH($F820,設定!$B$5:$B$20,0)),""))</f>
        <v/>
      </c>
      <c r="H820" s="31">
        <f>IF($F820="","",IFERROR(INDEX(設定!$E$5:$E$20,MATCH($F820,設定!$B$5:$B$20,0)),""))</f>
        <v/>
      </c>
      <c r="I820" s="31">
        <f>IFERROR(INDEX(打卡匯入!$C$3:$C$1002,MATCH($C820&amp;"|"&amp;DAY($A820),打卡匯入!$E$3:$E$1002,0)),"")</f>
        <v/>
      </c>
      <c r="J820" s="31">
        <f>IFERROR(INDEX(打卡匯入!$D$3:$D$1002,MATCH($C820&amp;"|"&amp;DAY($A820),打卡匯入!$E$3:$E$1002,0)),"")</f>
        <v/>
      </c>
      <c r="K820" s="32">
        <f>IF(OR($I820="",$J820=""),"",IFERROR(INDEX(設定!$F$5:$F$20,MATCH($F820,設定!$B$5:$B$20,0)),0))</f>
        <v/>
      </c>
      <c r="L820" s="33">
        <f>IF(OR($I820="",$J820=""),"",ROUND(($J820-$I820)*24-$K820/60,2))</f>
        <v/>
      </c>
      <c r="M820" s="29">
        <f>IF($C820="","",IF(AND(COUNTIF(設定!$B$14:$B$20,$F820)&gt;0,$I820&lt;&gt;""),"假日出勤",IF(AND(COUNTIF(設定!$B$5:$B$13,$F820)&gt;0,$I820=""),"未打卡",IF($I820="","",IF($N820&gt;0,"遲到",IF($O820&gt;0,"早退","正常"))))))</f>
        <v/>
      </c>
      <c r="N820" s="32">
        <f>IF(OR($C820="",$G820="",$I820=""),0,IF(ROUND(($I820-$G820)*1440,0)&gt;設定!$C$28,ROUND(($I820-$G820)*1440,0),0))</f>
        <v/>
      </c>
      <c r="O820" s="32">
        <f>IF(OR($C820="",$H820="",$J820=""),0,IF(ROUND(($H820-$J820)*1440,0)&gt;設定!$C$28,ROUND(($H820-$J820)*1440,0),0))</f>
        <v/>
      </c>
      <c r="P820" s="33">
        <f>IF($L820="",0,IF(($L820-IFERROR(INDEX(設定!$G$5:$G$20,MATCH($F820,設定!$B$5:$B$20,0)),0))*60&gt;=設定!$C$26,ROUND(FLOOR(($L820-IFERROR(INDEX(設定!$G$5:$G$20,MATCH($F820,設定!$B$5:$B$20,0)),0))*60,設定!$C$27)/60,2),0))</f>
        <v/>
      </c>
      <c r="Q820" s="29">
        <f>IF(OR($C820="",$P820=0),"",IF($F820="國","國定假日",IF($B820="日","例假",IF($B820="六","休息日","平日"))))</f>
        <v/>
      </c>
      <c r="R820" s="34" t="n"/>
    </row>
    <row r="821">
      <c r="A821" s="30">
        <f>IF(OR(班表!$A32="",13&gt;DAY(EOMONTH(DATE(班表!$E$2,班表!$G$2,1),0))),"",DATE(班表!$E$2,班表!$G$2,13))</f>
        <v/>
      </c>
      <c r="B821" s="29">
        <f>IF($A821="","",INDEX(設定!$L$5:$L$11,WEEKDAY($A821,1)))</f>
        <v/>
      </c>
      <c r="C821" s="29">
        <f>IF($A821="","",班表!$A32)</f>
        <v/>
      </c>
      <c r="D821" s="29">
        <f>IF($C821="","",班表!$B32)</f>
        <v/>
      </c>
      <c r="E821" s="29">
        <f>IF($C821="","",班表!$C32)</f>
        <v/>
      </c>
      <c r="F821" s="29">
        <f>IF($C821="","",班表!P32)</f>
        <v/>
      </c>
      <c r="G821" s="31">
        <f>IF($F821="","",IFERROR(INDEX(設定!$D$5:$D$20,MATCH($F821,設定!$B$5:$B$20,0)),""))</f>
        <v/>
      </c>
      <c r="H821" s="31">
        <f>IF($F821="","",IFERROR(INDEX(設定!$E$5:$E$20,MATCH($F821,設定!$B$5:$B$20,0)),""))</f>
        <v/>
      </c>
      <c r="I821" s="31">
        <f>IFERROR(INDEX(打卡匯入!$C$3:$C$1002,MATCH($C821&amp;"|"&amp;DAY($A821),打卡匯入!$E$3:$E$1002,0)),"")</f>
        <v/>
      </c>
      <c r="J821" s="31">
        <f>IFERROR(INDEX(打卡匯入!$D$3:$D$1002,MATCH($C821&amp;"|"&amp;DAY($A821),打卡匯入!$E$3:$E$1002,0)),"")</f>
        <v/>
      </c>
      <c r="K821" s="32">
        <f>IF(OR($I821="",$J821=""),"",IFERROR(INDEX(設定!$F$5:$F$20,MATCH($F821,設定!$B$5:$B$20,0)),0))</f>
        <v/>
      </c>
      <c r="L821" s="33">
        <f>IF(OR($I821="",$J821=""),"",ROUND(($J821-$I821)*24-$K821/60,2))</f>
        <v/>
      </c>
      <c r="M821" s="29">
        <f>IF($C821="","",IF(AND(COUNTIF(設定!$B$14:$B$20,$F821)&gt;0,$I821&lt;&gt;""),"假日出勤",IF(AND(COUNTIF(設定!$B$5:$B$13,$F821)&gt;0,$I821=""),"未打卡",IF($I821="","",IF($N821&gt;0,"遲到",IF($O821&gt;0,"早退","正常"))))))</f>
        <v/>
      </c>
      <c r="N821" s="32">
        <f>IF(OR($C821="",$G821="",$I821=""),0,IF(ROUND(($I821-$G821)*1440,0)&gt;設定!$C$28,ROUND(($I821-$G821)*1440,0),0))</f>
        <v/>
      </c>
      <c r="O821" s="32">
        <f>IF(OR($C821="",$H821="",$J821=""),0,IF(ROUND(($H821-$J821)*1440,0)&gt;設定!$C$28,ROUND(($H821-$J821)*1440,0),0))</f>
        <v/>
      </c>
      <c r="P821" s="33">
        <f>IF($L821="",0,IF(($L821-IFERROR(INDEX(設定!$G$5:$G$20,MATCH($F821,設定!$B$5:$B$20,0)),0))*60&gt;=設定!$C$26,ROUND(FLOOR(($L821-IFERROR(INDEX(設定!$G$5:$G$20,MATCH($F821,設定!$B$5:$B$20,0)),0))*60,設定!$C$27)/60,2),0))</f>
        <v/>
      </c>
      <c r="Q821" s="29">
        <f>IF(OR($C821="",$P821=0),"",IF($F821="國","國定假日",IF($B821="日","例假",IF($B821="六","休息日","平日"))))</f>
        <v/>
      </c>
      <c r="R821" s="34" t="n"/>
    </row>
    <row r="822">
      <c r="A822" s="30">
        <f>IF(OR(班表!$A32="",14&gt;DAY(EOMONTH(DATE(班表!$E$2,班表!$G$2,1),0))),"",DATE(班表!$E$2,班表!$G$2,14))</f>
        <v/>
      </c>
      <c r="B822" s="29">
        <f>IF($A822="","",INDEX(設定!$L$5:$L$11,WEEKDAY($A822,1)))</f>
        <v/>
      </c>
      <c r="C822" s="29">
        <f>IF($A822="","",班表!$A32)</f>
        <v/>
      </c>
      <c r="D822" s="29">
        <f>IF($C822="","",班表!$B32)</f>
        <v/>
      </c>
      <c r="E822" s="29">
        <f>IF($C822="","",班表!$C32)</f>
        <v/>
      </c>
      <c r="F822" s="29">
        <f>IF($C822="","",班表!Q32)</f>
        <v/>
      </c>
      <c r="G822" s="31">
        <f>IF($F822="","",IFERROR(INDEX(設定!$D$5:$D$20,MATCH($F822,設定!$B$5:$B$20,0)),""))</f>
        <v/>
      </c>
      <c r="H822" s="31">
        <f>IF($F822="","",IFERROR(INDEX(設定!$E$5:$E$20,MATCH($F822,設定!$B$5:$B$20,0)),""))</f>
        <v/>
      </c>
      <c r="I822" s="31">
        <f>IFERROR(INDEX(打卡匯入!$C$3:$C$1002,MATCH($C822&amp;"|"&amp;DAY($A822),打卡匯入!$E$3:$E$1002,0)),"")</f>
        <v/>
      </c>
      <c r="J822" s="31">
        <f>IFERROR(INDEX(打卡匯入!$D$3:$D$1002,MATCH($C822&amp;"|"&amp;DAY($A822),打卡匯入!$E$3:$E$1002,0)),"")</f>
        <v/>
      </c>
      <c r="K822" s="32">
        <f>IF(OR($I822="",$J822=""),"",IFERROR(INDEX(設定!$F$5:$F$20,MATCH($F822,設定!$B$5:$B$20,0)),0))</f>
        <v/>
      </c>
      <c r="L822" s="33">
        <f>IF(OR($I822="",$J822=""),"",ROUND(($J822-$I822)*24-$K822/60,2))</f>
        <v/>
      </c>
      <c r="M822" s="29">
        <f>IF($C822="","",IF(AND(COUNTIF(設定!$B$14:$B$20,$F822)&gt;0,$I822&lt;&gt;""),"假日出勤",IF(AND(COUNTIF(設定!$B$5:$B$13,$F822)&gt;0,$I822=""),"未打卡",IF($I822="","",IF($N822&gt;0,"遲到",IF($O822&gt;0,"早退","正常"))))))</f>
        <v/>
      </c>
      <c r="N822" s="32">
        <f>IF(OR($C822="",$G822="",$I822=""),0,IF(ROUND(($I822-$G822)*1440,0)&gt;設定!$C$28,ROUND(($I822-$G822)*1440,0),0))</f>
        <v/>
      </c>
      <c r="O822" s="32">
        <f>IF(OR($C822="",$H822="",$J822=""),0,IF(ROUND(($H822-$J822)*1440,0)&gt;設定!$C$28,ROUND(($H822-$J822)*1440,0),0))</f>
        <v/>
      </c>
      <c r="P822" s="33">
        <f>IF($L822="",0,IF(($L822-IFERROR(INDEX(設定!$G$5:$G$20,MATCH($F822,設定!$B$5:$B$20,0)),0))*60&gt;=設定!$C$26,ROUND(FLOOR(($L822-IFERROR(INDEX(設定!$G$5:$G$20,MATCH($F822,設定!$B$5:$B$20,0)),0))*60,設定!$C$27)/60,2),0))</f>
        <v/>
      </c>
      <c r="Q822" s="29">
        <f>IF(OR($C822="",$P822=0),"",IF($F822="國","國定假日",IF($B822="日","例假",IF($B822="六","休息日","平日"))))</f>
        <v/>
      </c>
      <c r="R822" s="34" t="n"/>
    </row>
    <row r="823">
      <c r="A823" s="30">
        <f>IF(OR(班表!$A32="",15&gt;DAY(EOMONTH(DATE(班表!$E$2,班表!$G$2,1),0))),"",DATE(班表!$E$2,班表!$G$2,15))</f>
        <v/>
      </c>
      <c r="B823" s="29">
        <f>IF($A823="","",INDEX(設定!$L$5:$L$11,WEEKDAY($A823,1)))</f>
        <v/>
      </c>
      <c r="C823" s="29">
        <f>IF($A823="","",班表!$A32)</f>
        <v/>
      </c>
      <c r="D823" s="29">
        <f>IF($C823="","",班表!$B32)</f>
        <v/>
      </c>
      <c r="E823" s="29">
        <f>IF($C823="","",班表!$C32)</f>
        <v/>
      </c>
      <c r="F823" s="29">
        <f>IF($C823="","",班表!R32)</f>
        <v/>
      </c>
      <c r="G823" s="31">
        <f>IF($F823="","",IFERROR(INDEX(設定!$D$5:$D$20,MATCH($F823,設定!$B$5:$B$20,0)),""))</f>
        <v/>
      </c>
      <c r="H823" s="31">
        <f>IF($F823="","",IFERROR(INDEX(設定!$E$5:$E$20,MATCH($F823,設定!$B$5:$B$20,0)),""))</f>
        <v/>
      </c>
      <c r="I823" s="31">
        <f>IFERROR(INDEX(打卡匯入!$C$3:$C$1002,MATCH($C823&amp;"|"&amp;DAY($A823),打卡匯入!$E$3:$E$1002,0)),"")</f>
        <v/>
      </c>
      <c r="J823" s="31">
        <f>IFERROR(INDEX(打卡匯入!$D$3:$D$1002,MATCH($C823&amp;"|"&amp;DAY($A823),打卡匯入!$E$3:$E$1002,0)),"")</f>
        <v/>
      </c>
      <c r="K823" s="32">
        <f>IF(OR($I823="",$J823=""),"",IFERROR(INDEX(設定!$F$5:$F$20,MATCH($F823,設定!$B$5:$B$20,0)),0))</f>
        <v/>
      </c>
      <c r="L823" s="33">
        <f>IF(OR($I823="",$J823=""),"",ROUND(($J823-$I823)*24-$K823/60,2))</f>
        <v/>
      </c>
      <c r="M823" s="29">
        <f>IF($C823="","",IF(AND(COUNTIF(設定!$B$14:$B$20,$F823)&gt;0,$I823&lt;&gt;""),"假日出勤",IF(AND(COUNTIF(設定!$B$5:$B$13,$F823)&gt;0,$I823=""),"未打卡",IF($I823="","",IF($N823&gt;0,"遲到",IF($O823&gt;0,"早退","正常"))))))</f>
        <v/>
      </c>
      <c r="N823" s="32">
        <f>IF(OR($C823="",$G823="",$I823=""),0,IF(ROUND(($I823-$G823)*1440,0)&gt;設定!$C$28,ROUND(($I823-$G823)*1440,0),0))</f>
        <v/>
      </c>
      <c r="O823" s="32">
        <f>IF(OR($C823="",$H823="",$J823=""),0,IF(ROUND(($H823-$J823)*1440,0)&gt;設定!$C$28,ROUND(($H823-$J823)*1440,0),0))</f>
        <v/>
      </c>
      <c r="P823" s="33">
        <f>IF($L823="",0,IF(($L823-IFERROR(INDEX(設定!$G$5:$G$20,MATCH($F823,設定!$B$5:$B$20,0)),0))*60&gt;=設定!$C$26,ROUND(FLOOR(($L823-IFERROR(INDEX(設定!$G$5:$G$20,MATCH($F823,設定!$B$5:$B$20,0)),0))*60,設定!$C$27)/60,2),0))</f>
        <v/>
      </c>
      <c r="Q823" s="29">
        <f>IF(OR($C823="",$P823=0),"",IF($F823="國","國定假日",IF($B823="日","例假",IF($B823="六","休息日","平日"))))</f>
        <v/>
      </c>
      <c r="R823" s="34" t="n"/>
    </row>
    <row r="824">
      <c r="A824" s="30">
        <f>IF(OR(班表!$A32="",16&gt;DAY(EOMONTH(DATE(班表!$E$2,班表!$G$2,1),0))),"",DATE(班表!$E$2,班表!$G$2,16))</f>
        <v/>
      </c>
      <c r="B824" s="29">
        <f>IF($A824="","",INDEX(設定!$L$5:$L$11,WEEKDAY($A824,1)))</f>
        <v/>
      </c>
      <c r="C824" s="29">
        <f>IF($A824="","",班表!$A32)</f>
        <v/>
      </c>
      <c r="D824" s="29">
        <f>IF($C824="","",班表!$B32)</f>
        <v/>
      </c>
      <c r="E824" s="29">
        <f>IF($C824="","",班表!$C32)</f>
        <v/>
      </c>
      <c r="F824" s="29">
        <f>IF($C824="","",班表!S32)</f>
        <v/>
      </c>
      <c r="G824" s="31">
        <f>IF($F824="","",IFERROR(INDEX(設定!$D$5:$D$20,MATCH($F824,設定!$B$5:$B$20,0)),""))</f>
        <v/>
      </c>
      <c r="H824" s="31">
        <f>IF($F824="","",IFERROR(INDEX(設定!$E$5:$E$20,MATCH($F824,設定!$B$5:$B$20,0)),""))</f>
        <v/>
      </c>
      <c r="I824" s="31">
        <f>IFERROR(INDEX(打卡匯入!$C$3:$C$1002,MATCH($C824&amp;"|"&amp;DAY($A824),打卡匯入!$E$3:$E$1002,0)),"")</f>
        <v/>
      </c>
      <c r="J824" s="31">
        <f>IFERROR(INDEX(打卡匯入!$D$3:$D$1002,MATCH($C824&amp;"|"&amp;DAY($A824),打卡匯入!$E$3:$E$1002,0)),"")</f>
        <v/>
      </c>
      <c r="K824" s="32">
        <f>IF(OR($I824="",$J824=""),"",IFERROR(INDEX(設定!$F$5:$F$20,MATCH($F824,設定!$B$5:$B$20,0)),0))</f>
        <v/>
      </c>
      <c r="L824" s="33">
        <f>IF(OR($I824="",$J824=""),"",ROUND(($J824-$I824)*24-$K824/60,2))</f>
        <v/>
      </c>
      <c r="M824" s="29">
        <f>IF($C824="","",IF(AND(COUNTIF(設定!$B$14:$B$20,$F824)&gt;0,$I824&lt;&gt;""),"假日出勤",IF(AND(COUNTIF(設定!$B$5:$B$13,$F824)&gt;0,$I824=""),"未打卡",IF($I824="","",IF($N824&gt;0,"遲到",IF($O824&gt;0,"早退","正常"))))))</f>
        <v/>
      </c>
      <c r="N824" s="32">
        <f>IF(OR($C824="",$G824="",$I824=""),0,IF(ROUND(($I824-$G824)*1440,0)&gt;設定!$C$28,ROUND(($I824-$G824)*1440,0),0))</f>
        <v/>
      </c>
      <c r="O824" s="32">
        <f>IF(OR($C824="",$H824="",$J824=""),0,IF(ROUND(($H824-$J824)*1440,0)&gt;設定!$C$28,ROUND(($H824-$J824)*1440,0),0))</f>
        <v/>
      </c>
      <c r="P824" s="33">
        <f>IF($L824="",0,IF(($L824-IFERROR(INDEX(設定!$G$5:$G$20,MATCH($F824,設定!$B$5:$B$20,0)),0))*60&gt;=設定!$C$26,ROUND(FLOOR(($L824-IFERROR(INDEX(設定!$G$5:$G$20,MATCH($F824,設定!$B$5:$B$20,0)),0))*60,設定!$C$27)/60,2),0))</f>
        <v/>
      </c>
      <c r="Q824" s="29">
        <f>IF(OR($C824="",$P824=0),"",IF($F824="國","國定假日",IF($B824="日","例假",IF($B824="六","休息日","平日"))))</f>
        <v/>
      </c>
      <c r="R824" s="34" t="n"/>
    </row>
    <row r="825">
      <c r="A825" s="30">
        <f>IF(OR(班表!$A32="",17&gt;DAY(EOMONTH(DATE(班表!$E$2,班表!$G$2,1),0))),"",DATE(班表!$E$2,班表!$G$2,17))</f>
        <v/>
      </c>
      <c r="B825" s="29">
        <f>IF($A825="","",INDEX(設定!$L$5:$L$11,WEEKDAY($A825,1)))</f>
        <v/>
      </c>
      <c r="C825" s="29">
        <f>IF($A825="","",班表!$A32)</f>
        <v/>
      </c>
      <c r="D825" s="29">
        <f>IF($C825="","",班表!$B32)</f>
        <v/>
      </c>
      <c r="E825" s="29">
        <f>IF($C825="","",班表!$C32)</f>
        <v/>
      </c>
      <c r="F825" s="29">
        <f>IF($C825="","",班表!T32)</f>
        <v/>
      </c>
      <c r="G825" s="31">
        <f>IF($F825="","",IFERROR(INDEX(設定!$D$5:$D$20,MATCH($F825,設定!$B$5:$B$20,0)),""))</f>
        <v/>
      </c>
      <c r="H825" s="31">
        <f>IF($F825="","",IFERROR(INDEX(設定!$E$5:$E$20,MATCH($F825,設定!$B$5:$B$20,0)),""))</f>
        <v/>
      </c>
      <c r="I825" s="31">
        <f>IFERROR(INDEX(打卡匯入!$C$3:$C$1002,MATCH($C825&amp;"|"&amp;DAY($A825),打卡匯入!$E$3:$E$1002,0)),"")</f>
        <v/>
      </c>
      <c r="J825" s="31">
        <f>IFERROR(INDEX(打卡匯入!$D$3:$D$1002,MATCH($C825&amp;"|"&amp;DAY($A825),打卡匯入!$E$3:$E$1002,0)),"")</f>
        <v/>
      </c>
      <c r="K825" s="32">
        <f>IF(OR($I825="",$J825=""),"",IFERROR(INDEX(設定!$F$5:$F$20,MATCH($F825,設定!$B$5:$B$20,0)),0))</f>
        <v/>
      </c>
      <c r="L825" s="33">
        <f>IF(OR($I825="",$J825=""),"",ROUND(($J825-$I825)*24-$K825/60,2))</f>
        <v/>
      </c>
      <c r="M825" s="29">
        <f>IF($C825="","",IF(AND(COUNTIF(設定!$B$14:$B$20,$F825)&gt;0,$I825&lt;&gt;""),"假日出勤",IF(AND(COUNTIF(設定!$B$5:$B$13,$F825)&gt;0,$I825=""),"未打卡",IF($I825="","",IF($N825&gt;0,"遲到",IF($O825&gt;0,"早退","正常"))))))</f>
        <v/>
      </c>
      <c r="N825" s="32">
        <f>IF(OR($C825="",$G825="",$I825=""),0,IF(ROUND(($I825-$G825)*1440,0)&gt;設定!$C$28,ROUND(($I825-$G825)*1440,0),0))</f>
        <v/>
      </c>
      <c r="O825" s="32">
        <f>IF(OR($C825="",$H825="",$J825=""),0,IF(ROUND(($H825-$J825)*1440,0)&gt;設定!$C$28,ROUND(($H825-$J825)*1440,0),0))</f>
        <v/>
      </c>
      <c r="P825" s="33">
        <f>IF($L825="",0,IF(($L825-IFERROR(INDEX(設定!$G$5:$G$20,MATCH($F825,設定!$B$5:$B$20,0)),0))*60&gt;=設定!$C$26,ROUND(FLOOR(($L825-IFERROR(INDEX(設定!$G$5:$G$20,MATCH($F825,設定!$B$5:$B$20,0)),0))*60,設定!$C$27)/60,2),0))</f>
        <v/>
      </c>
      <c r="Q825" s="29">
        <f>IF(OR($C825="",$P825=0),"",IF($F825="國","國定假日",IF($B825="日","例假",IF($B825="六","休息日","平日"))))</f>
        <v/>
      </c>
      <c r="R825" s="34" t="n"/>
    </row>
    <row r="826">
      <c r="A826" s="30">
        <f>IF(OR(班表!$A32="",18&gt;DAY(EOMONTH(DATE(班表!$E$2,班表!$G$2,1),0))),"",DATE(班表!$E$2,班表!$G$2,18))</f>
        <v/>
      </c>
      <c r="B826" s="29">
        <f>IF($A826="","",INDEX(設定!$L$5:$L$11,WEEKDAY($A826,1)))</f>
        <v/>
      </c>
      <c r="C826" s="29">
        <f>IF($A826="","",班表!$A32)</f>
        <v/>
      </c>
      <c r="D826" s="29">
        <f>IF($C826="","",班表!$B32)</f>
        <v/>
      </c>
      <c r="E826" s="29">
        <f>IF($C826="","",班表!$C32)</f>
        <v/>
      </c>
      <c r="F826" s="29">
        <f>IF($C826="","",班表!U32)</f>
        <v/>
      </c>
      <c r="G826" s="31">
        <f>IF($F826="","",IFERROR(INDEX(設定!$D$5:$D$20,MATCH($F826,設定!$B$5:$B$20,0)),""))</f>
        <v/>
      </c>
      <c r="H826" s="31">
        <f>IF($F826="","",IFERROR(INDEX(設定!$E$5:$E$20,MATCH($F826,設定!$B$5:$B$20,0)),""))</f>
        <v/>
      </c>
      <c r="I826" s="31">
        <f>IFERROR(INDEX(打卡匯入!$C$3:$C$1002,MATCH($C826&amp;"|"&amp;DAY($A826),打卡匯入!$E$3:$E$1002,0)),"")</f>
        <v/>
      </c>
      <c r="J826" s="31">
        <f>IFERROR(INDEX(打卡匯入!$D$3:$D$1002,MATCH($C826&amp;"|"&amp;DAY($A826),打卡匯入!$E$3:$E$1002,0)),"")</f>
        <v/>
      </c>
      <c r="K826" s="32">
        <f>IF(OR($I826="",$J826=""),"",IFERROR(INDEX(設定!$F$5:$F$20,MATCH($F826,設定!$B$5:$B$20,0)),0))</f>
        <v/>
      </c>
      <c r="L826" s="33">
        <f>IF(OR($I826="",$J826=""),"",ROUND(($J826-$I826)*24-$K826/60,2))</f>
        <v/>
      </c>
      <c r="M826" s="29">
        <f>IF($C826="","",IF(AND(COUNTIF(設定!$B$14:$B$20,$F826)&gt;0,$I826&lt;&gt;""),"假日出勤",IF(AND(COUNTIF(設定!$B$5:$B$13,$F826)&gt;0,$I826=""),"未打卡",IF($I826="","",IF($N826&gt;0,"遲到",IF($O826&gt;0,"早退","正常"))))))</f>
        <v/>
      </c>
      <c r="N826" s="32">
        <f>IF(OR($C826="",$G826="",$I826=""),0,IF(ROUND(($I826-$G826)*1440,0)&gt;設定!$C$28,ROUND(($I826-$G826)*1440,0),0))</f>
        <v/>
      </c>
      <c r="O826" s="32">
        <f>IF(OR($C826="",$H826="",$J826=""),0,IF(ROUND(($H826-$J826)*1440,0)&gt;設定!$C$28,ROUND(($H826-$J826)*1440,0),0))</f>
        <v/>
      </c>
      <c r="P826" s="33">
        <f>IF($L826="",0,IF(($L826-IFERROR(INDEX(設定!$G$5:$G$20,MATCH($F826,設定!$B$5:$B$20,0)),0))*60&gt;=設定!$C$26,ROUND(FLOOR(($L826-IFERROR(INDEX(設定!$G$5:$G$20,MATCH($F826,設定!$B$5:$B$20,0)),0))*60,設定!$C$27)/60,2),0))</f>
        <v/>
      </c>
      <c r="Q826" s="29">
        <f>IF(OR($C826="",$P826=0),"",IF($F826="國","國定假日",IF($B826="日","例假",IF($B826="六","休息日","平日"))))</f>
        <v/>
      </c>
      <c r="R826" s="34" t="n"/>
    </row>
    <row r="827">
      <c r="A827" s="30">
        <f>IF(OR(班表!$A32="",19&gt;DAY(EOMONTH(DATE(班表!$E$2,班表!$G$2,1),0))),"",DATE(班表!$E$2,班表!$G$2,19))</f>
        <v/>
      </c>
      <c r="B827" s="29">
        <f>IF($A827="","",INDEX(設定!$L$5:$L$11,WEEKDAY($A827,1)))</f>
        <v/>
      </c>
      <c r="C827" s="29">
        <f>IF($A827="","",班表!$A32)</f>
        <v/>
      </c>
      <c r="D827" s="29">
        <f>IF($C827="","",班表!$B32)</f>
        <v/>
      </c>
      <c r="E827" s="29">
        <f>IF($C827="","",班表!$C32)</f>
        <v/>
      </c>
      <c r="F827" s="29">
        <f>IF($C827="","",班表!V32)</f>
        <v/>
      </c>
      <c r="G827" s="31">
        <f>IF($F827="","",IFERROR(INDEX(設定!$D$5:$D$20,MATCH($F827,設定!$B$5:$B$20,0)),""))</f>
        <v/>
      </c>
      <c r="H827" s="31">
        <f>IF($F827="","",IFERROR(INDEX(設定!$E$5:$E$20,MATCH($F827,設定!$B$5:$B$20,0)),""))</f>
        <v/>
      </c>
      <c r="I827" s="31">
        <f>IFERROR(INDEX(打卡匯入!$C$3:$C$1002,MATCH($C827&amp;"|"&amp;DAY($A827),打卡匯入!$E$3:$E$1002,0)),"")</f>
        <v/>
      </c>
      <c r="J827" s="31">
        <f>IFERROR(INDEX(打卡匯入!$D$3:$D$1002,MATCH($C827&amp;"|"&amp;DAY($A827),打卡匯入!$E$3:$E$1002,0)),"")</f>
        <v/>
      </c>
      <c r="K827" s="32">
        <f>IF(OR($I827="",$J827=""),"",IFERROR(INDEX(設定!$F$5:$F$20,MATCH($F827,設定!$B$5:$B$20,0)),0))</f>
        <v/>
      </c>
      <c r="L827" s="33">
        <f>IF(OR($I827="",$J827=""),"",ROUND(($J827-$I827)*24-$K827/60,2))</f>
        <v/>
      </c>
      <c r="M827" s="29">
        <f>IF($C827="","",IF(AND(COUNTIF(設定!$B$14:$B$20,$F827)&gt;0,$I827&lt;&gt;""),"假日出勤",IF(AND(COUNTIF(設定!$B$5:$B$13,$F827)&gt;0,$I827=""),"未打卡",IF($I827="","",IF($N827&gt;0,"遲到",IF($O827&gt;0,"早退","正常"))))))</f>
        <v/>
      </c>
      <c r="N827" s="32">
        <f>IF(OR($C827="",$G827="",$I827=""),0,IF(ROUND(($I827-$G827)*1440,0)&gt;設定!$C$28,ROUND(($I827-$G827)*1440,0),0))</f>
        <v/>
      </c>
      <c r="O827" s="32">
        <f>IF(OR($C827="",$H827="",$J827=""),0,IF(ROUND(($H827-$J827)*1440,0)&gt;設定!$C$28,ROUND(($H827-$J827)*1440,0),0))</f>
        <v/>
      </c>
      <c r="P827" s="33">
        <f>IF($L827="",0,IF(($L827-IFERROR(INDEX(設定!$G$5:$G$20,MATCH($F827,設定!$B$5:$B$20,0)),0))*60&gt;=設定!$C$26,ROUND(FLOOR(($L827-IFERROR(INDEX(設定!$G$5:$G$20,MATCH($F827,設定!$B$5:$B$20,0)),0))*60,設定!$C$27)/60,2),0))</f>
        <v/>
      </c>
      <c r="Q827" s="29">
        <f>IF(OR($C827="",$P827=0),"",IF($F827="國","國定假日",IF($B827="日","例假",IF($B827="六","休息日","平日"))))</f>
        <v/>
      </c>
      <c r="R827" s="34" t="n"/>
    </row>
    <row r="828">
      <c r="A828" s="30">
        <f>IF(OR(班表!$A32="",20&gt;DAY(EOMONTH(DATE(班表!$E$2,班表!$G$2,1),0))),"",DATE(班表!$E$2,班表!$G$2,20))</f>
        <v/>
      </c>
      <c r="B828" s="29">
        <f>IF($A828="","",INDEX(設定!$L$5:$L$11,WEEKDAY($A828,1)))</f>
        <v/>
      </c>
      <c r="C828" s="29">
        <f>IF($A828="","",班表!$A32)</f>
        <v/>
      </c>
      <c r="D828" s="29">
        <f>IF($C828="","",班表!$B32)</f>
        <v/>
      </c>
      <c r="E828" s="29">
        <f>IF($C828="","",班表!$C32)</f>
        <v/>
      </c>
      <c r="F828" s="29">
        <f>IF($C828="","",班表!W32)</f>
        <v/>
      </c>
      <c r="G828" s="31">
        <f>IF($F828="","",IFERROR(INDEX(設定!$D$5:$D$20,MATCH($F828,設定!$B$5:$B$20,0)),""))</f>
        <v/>
      </c>
      <c r="H828" s="31">
        <f>IF($F828="","",IFERROR(INDEX(設定!$E$5:$E$20,MATCH($F828,設定!$B$5:$B$20,0)),""))</f>
        <v/>
      </c>
      <c r="I828" s="31">
        <f>IFERROR(INDEX(打卡匯入!$C$3:$C$1002,MATCH($C828&amp;"|"&amp;DAY($A828),打卡匯入!$E$3:$E$1002,0)),"")</f>
        <v/>
      </c>
      <c r="J828" s="31">
        <f>IFERROR(INDEX(打卡匯入!$D$3:$D$1002,MATCH($C828&amp;"|"&amp;DAY($A828),打卡匯入!$E$3:$E$1002,0)),"")</f>
        <v/>
      </c>
      <c r="K828" s="32">
        <f>IF(OR($I828="",$J828=""),"",IFERROR(INDEX(設定!$F$5:$F$20,MATCH($F828,設定!$B$5:$B$20,0)),0))</f>
        <v/>
      </c>
      <c r="L828" s="33">
        <f>IF(OR($I828="",$J828=""),"",ROUND(($J828-$I828)*24-$K828/60,2))</f>
        <v/>
      </c>
      <c r="M828" s="29">
        <f>IF($C828="","",IF(AND(COUNTIF(設定!$B$14:$B$20,$F828)&gt;0,$I828&lt;&gt;""),"假日出勤",IF(AND(COUNTIF(設定!$B$5:$B$13,$F828)&gt;0,$I828=""),"未打卡",IF($I828="","",IF($N828&gt;0,"遲到",IF($O828&gt;0,"早退","正常"))))))</f>
        <v/>
      </c>
      <c r="N828" s="32">
        <f>IF(OR($C828="",$G828="",$I828=""),0,IF(ROUND(($I828-$G828)*1440,0)&gt;設定!$C$28,ROUND(($I828-$G828)*1440,0),0))</f>
        <v/>
      </c>
      <c r="O828" s="32">
        <f>IF(OR($C828="",$H828="",$J828=""),0,IF(ROUND(($H828-$J828)*1440,0)&gt;設定!$C$28,ROUND(($H828-$J828)*1440,0),0))</f>
        <v/>
      </c>
      <c r="P828" s="33">
        <f>IF($L828="",0,IF(($L828-IFERROR(INDEX(設定!$G$5:$G$20,MATCH($F828,設定!$B$5:$B$20,0)),0))*60&gt;=設定!$C$26,ROUND(FLOOR(($L828-IFERROR(INDEX(設定!$G$5:$G$20,MATCH($F828,設定!$B$5:$B$20,0)),0))*60,設定!$C$27)/60,2),0))</f>
        <v/>
      </c>
      <c r="Q828" s="29">
        <f>IF(OR($C828="",$P828=0),"",IF($F828="國","國定假日",IF($B828="日","例假",IF($B828="六","休息日","平日"))))</f>
        <v/>
      </c>
      <c r="R828" s="34" t="n"/>
    </row>
    <row r="829">
      <c r="A829" s="30">
        <f>IF(OR(班表!$A32="",21&gt;DAY(EOMONTH(DATE(班表!$E$2,班表!$G$2,1),0))),"",DATE(班表!$E$2,班表!$G$2,21))</f>
        <v/>
      </c>
      <c r="B829" s="29">
        <f>IF($A829="","",INDEX(設定!$L$5:$L$11,WEEKDAY($A829,1)))</f>
        <v/>
      </c>
      <c r="C829" s="29">
        <f>IF($A829="","",班表!$A32)</f>
        <v/>
      </c>
      <c r="D829" s="29">
        <f>IF($C829="","",班表!$B32)</f>
        <v/>
      </c>
      <c r="E829" s="29">
        <f>IF($C829="","",班表!$C32)</f>
        <v/>
      </c>
      <c r="F829" s="29">
        <f>IF($C829="","",班表!X32)</f>
        <v/>
      </c>
      <c r="G829" s="31">
        <f>IF($F829="","",IFERROR(INDEX(設定!$D$5:$D$20,MATCH($F829,設定!$B$5:$B$20,0)),""))</f>
        <v/>
      </c>
      <c r="H829" s="31">
        <f>IF($F829="","",IFERROR(INDEX(設定!$E$5:$E$20,MATCH($F829,設定!$B$5:$B$20,0)),""))</f>
        <v/>
      </c>
      <c r="I829" s="31">
        <f>IFERROR(INDEX(打卡匯入!$C$3:$C$1002,MATCH($C829&amp;"|"&amp;DAY($A829),打卡匯入!$E$3:$E$1002,0)),"")</f>
        <v/>
      </c>
      <c r="J829" s="31">
        <f>IFERROR(INDEX(打卡匯入!$D$3:$D$1002,MATCH($C829&amp;"|"&amp;DAY($A829),打卡匯入!$E$3:$E$1002,0)),"")</f>
        <v/>
      </c>
      <c r="K829" s="32">
        <f>IF(OR($I829="",$J829=""),"",IFERROR(INDEX(設定!$F$5:$F$20,MATCH($F829,設定!$B$5:$B$20,0)),0))</f>
        <v/>
      </c>
      <c r="L829" s="33">
        <f>IF(OR($I829="",$J829=""),"",ROUND(($J829-$I829)*24-$K829/60,2))</f>
        <v/>
      </c>
      <c r="M829" s="29">
        <f>IF($C829="","",IF(AND(COUNTIF(設定!$B$14:$B$20,$F829)&gt;0,$I829&lt;&gt;""),"假日出勤",IF(AND(COUNTIF(設定!$B$5:$B$13,$F829)&gt;0,$I829=""),"未打卡",IF($I829="","",IF($N829&gt;0,"遲到",IF($O829&gt;0,"早退","正常"))))))</f>
        <v/>
      </c>
      <c r="N829" s="32">
        <f>IF(OR($C829="",$G829="",$I829=""),0,IF(ROUND(($I829-$G829)*1440,0)&gt;設定!$C$28,ROUND(($I829-$G829)*1440,0),0))</f>
        <v/>
      </c>
      <c r="O829" s="32">
        <f>IF(OR($C829="",$H829="",$J829=""),0,IF(ROUND(($H829-$J829)*1440,0)&gt;設定!$C$28,ROUND(($H829-$J829)*1440,0),0))</f>
        <v/>
      </c>
      <c r="P829" s="33">
        <f>IF($L829="",0,IF(($L829-IFERROR(INDEX(設定!$G$5:$G$20,MATCH($F829,設定!$B$5:$B$20,0)),0))*60&gt;=設定!$C$26,ROUND(FLOOR(($L829-IFERROR(INDEX(設定!$G$5:$G$20,MATCH($F829,設定!$B$5:$B$20,0)),0))*60,設定!$C$27)/60,2),0))</f>
        <v/>
      </c>
      <c r="Q829" s="29">
        <f>IF(OR($C829="",$P829=0),"",IF($F829="國","國定假日",IF($B829="日","例假",IF($B829="六","休息日","平日"))))</f>
        <v/>
      </c>
      <c r="R829" s="34" t="n"/>
    </row>
    <row r="830">
      <c r="A830" s="30">
        <f>IF(OR(班表!$A32="",22&gt;DAY(EOMONTH(DATE(班表!$E$2,班表!$G$2,1),0))),"",DATE(班表!$E$2,班表!$G$2,22))</f>
        <v/>
      </c>
      <c r="B830" s="29">
        <f>IF($A830="","",INDEX(設定!$L$5:$L$11,WEEKDAY($A830,1)))</f>
        <v/>
      </c>
      <c r="C830" s="29">
        <f>IF($A830="","",班表!$A32)</f>
        <v/>
      </c>
      <c r="D830" s="29">
        <f>IF($C830="","",班表!$B32)</f>
        <v/>
      </c>
      <c r="E830" s="29">
        <f>IF($C830="","",班表!$C32)</f>
        <v/>
      </c>
      <c r="F830" s="29">
        <f>IF($C830="","",班表!Y32)</f>
        <v/>
      </c>
      <c r="G830" s="31">
        <f>IF($F830="","",IFERROR(INDEX(設定!$D$5:$D$20,MATCH($F830,設定!$B$5:$B$20,0)),""))</f>
        <v/>
      </c>
      <c r="H830" s="31">
        <f>IF($F830="","",IFERROR(INDEX(設定!$E$5:$E$20,MATCH($F830,設定!$B$5:$B$20,0)),""))</f>
        <v/>
      </c>
      <c r="I830" s="31">
        <f>IFERROR(INDEX(打卡匯入!$C$3:$C$1002,MATCH($C830&amp;"|"&amp;DAY($A830),打卡匯入!$E$3:$E$1002,0)),"")</f>
        <v/>
      </c>
      <c r="J830" s="31">
        <f>IFERROR(INDEX(打卡匯入!$D$3:$D$1002,MATCH($C830&amp;"|"&amp;DAY($A830),打卡匯入!$E$3:$E$1002,0)),"")</f>
        <v/>
      </c>
      <c r="K830" s="32">
        <f>IF(OR($I830="",$J830=""),"",IFERROR(INDEX(設定!$F$5:$F$20,MATCH($F830,設定!$B$5:$B$20,0)),0))</f>
        <v/>
      </c>
      <c r="L830" s="33">
        <f>IF(OR($I830="",$J830=""),"",ROUND(($J830-$I830)*24-$K830/60,2))</f>
        <v/>
      </c>
      <c r="M830" s="29">
        <f>IF($C830="","",IF(AND(COUNTIF(設定!$B$14:$B$20,$F830)&gt;0,$I830&lt;&gt;""),"假日出勤",IF(AND(COUNTIF(設定!$B$5:$B$13,$F830)&gt;0,$I830=""),"未打卡",IF($I830="","",IF($N830&gt;0,"遲到",IF($O830&gt;0,"早退","正常"))))))</f>
        <v/>
      </c>
      <c r="N830" s="32">
        <f>IF(OR($C830="",$G830="",$I830=""),0,IF(ROUND(($I830-$G830)*1440,0)&gt;設定!$C$28,ROUND(($I830-$G830)*1440,0),0))</f>
        <v/>
      </c>
      <c r="O830" s="32">
        <f>IF(OR($C830="",$H830="",$J830=""),0,IF(ROUND(($H830-$J830)*1440,0)&gt;設定!$C$28,ROUND(($H830-$J830)*1440,0),0))</f>
        <v/>
      </c>
      <c r="P830" s="33">
        <f>IF($L830="",0,IF(($L830-IFERROR(INDEX(設定!$G$5:$G$20,MATCH($F830,設定!$B$5:$B$20,0)),0))*60&gt;=設定!$C$26,ROUND(FLOOR(($L830-IFERROR(INDEX(設定!$G$5:$G$20,MATCH($F830,設定!$B$5:$B$20,0)),0))*60,設定!$C$27)/60,2),0))</f>
        <v/>
      </c>
      <c r="Q830" s="29">
        <f>IF(OR($C830="",$P830=0),"",IF($F830="國","國定假日",IF($B830="日","例假",IF($B830="六","休息日","平日"))))</f>
        <v/>
      </c>
      <c r="R830" s="34" t="n"/>
    </row>
    <row r="831">
      <c r="A831" s="30">
        <f>IF(OR(班表!$A32="",23&gt;DAY(EOMONTH(DATE(班表!$E$2,班表!$G$2,1),0))),"",DATE(班表!$E$2,班表!$G$2,23))</f>
        <v/>
      </c>
      <c r="B831" s="29">
        <f>IF($A831="","",INDEX(設定!$L$5:$L$11,WEEKDAY($A831,1)))</f>
        <v/>
      </c>
      <c r="C831" s="29">
        <f>IF($A831="","",班表!$A32)</f>
        <v/>
      </c>
      <c r="D831" s="29">
        <f>IF($C831="","",班表!$B32)</f>
        <v/>
      </c>
      <c r="E831" s="29">
        <f>IF($C831="","",班表!$C32)</f>
        <v/>
      </c>
      <c r="F831" s="29">
        <f>IF($C831="","",班表!Z32)</f>
        <v/>
      </c>
      <c r="G831" s="31">
        <f>IF($F831="","",IFERROR(INDEX(設定!$D$5:$D$20,MATCH($F831,設定!$B$5:$B$20,0)),""))</f>
        <v/>
      </c>
      <c r="H831" s="31">
        <f>IF($F831="","",IFERROR(INDEX(設定!$E$5:$E$20,MATCH($F831,設定!$B$5:$B$20,0)),""))</f>
        <v/>
      </c>
      <c r="I831" s="31">
        <f>IFERROR(INDEX(打卡匯入!$C$3:$C$1002,MATCH($C831&amp;"|"&amp;DAY($A831),打卡匯入!$E$3:$E$1002,0)),"")</f>
        <v/>
      </c>
      <c r="J831" s="31">
        <f>IFERROR(INDEX(打卡匯入!$D$3:$D$1002,MATCH($C831&amp;"|"&amp;DAY($A831),打卡匯入!$E$3:$E$1002,0)),"")</f>
        <v/>
      </c>
      <c r="K831" s="32">
        <f>IF(OR($I831="",$J831=""),"",IFERROR(INDEX(設定!$F$5:$F$20,MATCH($F831,設定!$B$5:$B$20,0)),0))</f>
        <v/>
      </c>
      <c r="L831" s="33">
        <f>IF(OR($I831="",$J831=""),"",ROUND(($J831-$I831)*24-$K831/60,2))</f>
        <v/>
      </c>
      <c r="M831" s="29">
        <f>IF($C831="","",IF(AND(COUNTIF(設定!$B$14:$B$20,$F831)&gt;0,$I831&lt;&gt;""),"假日出勤",IF(AND(COUNTIF(設定!$B$5:$B$13,$F831)&gt;0,$I831=""),"未打卡",IF($I831="","",IF($N831&gt;0,"遲到",IF($O831&gt;0,"早退","正常"))))))</f>
        <v/>
      </c>
      <c r="N831" s="32">
        <f>IF(OR($C831="",$G831="",$I831=""),0,IF(ROUND(($I831-$G831)*1440,0)&gt;設定!$C$28,ROUND(($I831-$G831)*1440,0),0))</f>
        <v/>
      </c>
      <c r="O831" s="32">
        <f>IF(OR($C831="",$H831="",$J831=""),0,IF(ROUND(($H831-$J831)*1440,0)&gt;設定!$C$28,ROUND(($H831-$J831)*1440,0),0))</f>
        <v/>
      </c>
      <c r="P831" s="33">
        <f>IF($L831="",0,IF(($L831-IFERROR(INDEX(設定!$G$5:$G$20,MATCH($F831,設定!$B$5:$B$20,0)),0))*60&gt;=設定!$C$26,ROUND(FLOOR(($L831-IFERROR(INDEX(設定!$G$5:$G$20,MATCH($F831,設定!$B$5:$B$20,0)),0))*60,設定!$C$27)/60,2),0))</f>
        <v/>
      </c>
      <c r="Q831" s="29">
        <f>IF(OR($C831="",$P831=0),"",IF($F831="國","國定假日",IF($B831="日","例假",IF($B831="六","休息日","平日"))))</f>
        <v/>
      </c>
      <c r="R831" s="34" t="n"/>
    </row>
    <row r="832">
      <c r="A832" s="30">
        <f>IF(OR(班表!$A32="",24&gt;DAY(EOMONTH(DATE(班表!$E$2,班表!$G$2,1),0))),"",DATE(班表!$E$2,班表!$G$2,24))</f>
        <v/>
      </c>
      <c r="B832" s="29">
        <f>IF($A832="","",INDEX(設定!$L$5:$L$11,WEEKDAY($A832,1)))</f>
        <v/>
      </c>
      <c r="C832" s="29">
        <f>IF($A832="","",班表!$A32)</f>
        <v/>
      </c>
      <c r="D832" s="29">
        <f>IF($C832="","",班表!$B32)</f>
        <v/>
      </c>
      <c r="E832" s="29">
        <f>IF($C832="","",班表!$C32)</f>
        <v/>
      </c>
      <c r="F832" s="29">
        <f>IF($C832="","",班表!AA32)</f>
        <v/>
      </c>
      <c r="G832" s="31">
        <f>IF($F832="","",IFERROR(INDEX(設定!$D$5:$D$20,MATCH($F832,設定!$B$5:$B$20,0)),""))</f>
        <v/>
      </c>
      <c r="H832" s="31">
        <f>IF($F832="","",IFERROR(INDEX(設定!$E$5:$E$20,MATCH($F832,設定!$B$5:$B$20,0)),""))</f>
        <v/>
      </c>
      <c r="I832" s="31">
        <f>IFERROR(INDEX(打卡匯入!$C$3:$C$1002,MATCH($C832&amp;"|"&amp;DAY($A832),打卡匯入!$E$3:$E$1002,0)),"")</f>
        <v/>
      </c>
      <c r="J832" s="31">
        <f>IFERROR(INDEX(打卡匯入!$D$3:$D$1002,MATCH($C832&amp;"|"&amp;DAY($A832),打卡匯入!$E$3:$E$1002,0)),"")</f>
        <v/>
      </c>
      <c r="K832" s="32">
        <f>IF(OR($I832="",$J832=""),"",IFERROR(INDEX(設定!$F$5:$F$20,MATCH($F832,設定!$B$5:$B$20,0)),0))</f>
        <v/>
      </c>
      <c r="L832" s="33">
        <f>IF(OR($I832="",$J832=""),"",ROUND(($J832-$I832)*24-$K832/60,2))</f>
        <v/>
      </c>
      <c r="M832" s="29">
        <f>IF($C832="","",IF(AND(COUNTIF(設定!$B$14:$B$20,$F832)&gt;0,$I832&lt;&gt;""),"假日出勤",IF(AND(COUNTIF(設定!$B$5:$B$13,$F832)&gt;0,$I832=""),"未打卡",IF($I832="","",IF($N832&gt;0,"遲到",IF($O832&gt;0,"早退","正常"))))))</f>
        <v/>
      </c>
      <c r="N832" s="32">
        <f>IF(OR($C832="",$G832="",$I832=""),0,IF(ROUND(($I832-$G832)*1440,0)&gt;設定!$C$28,ROUND(($I832-$G832)*1440,0),0))</f>
        <v/>
      </c>
      <c r="O832" s="32">
        <f>IF(OR($C832="",$H832="",$J832=""),0,IF(ROUND(($H832-$J832)*1440,0)&gt;設定!$C$28,ROUND(($H832-$J832)*1440,0),0))</f>
        <v/>
      </c>
      <c r="P832" s="33">
        <f>IF($L832="",0,IF(($L832-IFERROR(INDEX(設定!$G$5:$G$20,MATCH($F832,設定!$B$5:$B$20,0)),0))*60&gt;=設定!$C$26,ROUND(FLOOR(($L832-IFERROR(INDEX(設定!$G$5:$G$20,MATCH($F832,設定!$B$5:$B$20,0)),0))*60,設定!$C$27)/60,2),0))</f>
        <v/>
      </c>
      <c r="Q832" s="29">
        <f>IF(OR($C832="",$P832=0),"",IF($F832="國","國定假日",IF($B832="日","例假",IF($B832="六","休息日","平日"))))</f>
        <v/>
      </c>
      <c r="R832" s="34" t="n"/>
    </row>
    <row r="833">
      <c r="A833" s="30">
        <f>IF(OR(班表!$A32="",25&gt;DAY(EOMONTH(DATE(班表!$E$2,班表!$G$2,1),0))),"",DATE(班表!$E$2,班表!$G$2,25))</f>
        <v/>
      </c>
      <c r="B833" s="29">
        <f>IF($A833="","",INDEX(設定!$L$5:$L$11,WEEKDAY($A833,1)))</f>
        <v/>
      </c>
      <c r="C833" s="29">
        <f>IF($A833="","",班表!$A32)</f>
        <v/>
      </c>
      <c r="D833" s="29">
        <f>IF($C833="","",班表!$B32)</f>
        <v/>
      </c>
      <c r="E833" s="29">
        <f>IF($C833="","",班表!$C32)</f>
        <v/>
      </c>
      <c r="F833" s="29">
        <f>IF($C833="","",班表!AB32)</f>
        <v/>
      </c>
      <c r="G833" s="31">
        <f>IF($F833="","",IFERROR(INDEX(設定!$D$5:$D$20,MATCH($F833,設定!$B$5:$B$20,0)),""))</f>
        <v/>
      </c>
      <c r="H833" s="31">
        <f>IF($F833="","",IFERROR(INDEX(設定!$E$5:$E$20,MATCH($F833,設定!$B$5:$B$20,0)),""))</f>
        <v/>
      </c>
      <c r="I833" s="31">
        <f>IFERROR(INDEX(打卡匯入!$C$3:$C$1002,MATCH($C833&amp;"|"&amp;DAY($A833),打卡匯入!$E$3:$E$1002,0)),"")</f>
        <v/>
      </c>
      <c r="J833" s="31">
        <f>IFERROR(INDEX(打卡匯入!$D$3:$D$1002,MATCH($C833&amp;"|"&amp;DAY($A833),打卡匯入!$E$3:$E$1002,0)),"")</f>
        <v/>
      </c>
      <c r="K833" s="32">
        <f>IF(OR($I833="",$J833=""),"",IFERROR(INDEX(設定!$F$5:$F$20,MATCH($F833,設定!$B$5:$B$20,0)),0))</f>
        <v/>
      </c>
      <c r="L833" s="33">
        <f>IF(OR($I833="",$J833=""),"",ROUND(($J833-$I833)*24-$K833/60,2))</f>
        <v/>
      </c>
      <c r="M833" s="29">
        <f>IF($C833="","",IF(AND(COUNTIF(設定!$B$14:$B$20,$F833)&gt;0,$I833&lt;&gt;""),"假日出勤",IF(AND(COUNTIF(設定!$B$5:$B$13,$F833)&gt;0,$I833=""),"未打卡",IF($I833="","",IF($N833&gt;0,"遲到",IF($O833&gt;0,"早退","正常"))))))</f>
        <v/>
      </c>
      <c r="N833" s="32">
        <f>IF(OR($C833="",$G833="",$I833=""),0,IF(ROUND(($I833-$G833)*1440,0)&gt;設定!$C$28,ROUND(($I833-$G833)*1440,0),0))</f>
        <v/>
      </c>
      <c r="O833" s="32">
        <f>IF(OR($C833="",$H833="",$J833=""),0,IF(ROUND(($H833-$J833)*1440,0)&gt;設定!$C$28,ROUND(($H833-$J833)*1440,0),0))</f>
        <v/>
      </c>
      <c r="P833" s="33">
        <f>IF($L833="",0,IF(($L833-IFERROR(INDEX(設定!$G$5:$G$20,MATCH($F833,設定!$B$5:$B$20,0)),0))*60&gt;=設定!$C$26,ROUND(FLOOR(($L833-IFERROR(INDEX(設定!$G$5:$G$20,MATCH($F833,設定!$B$5:$B$20,0)),0))*60,設定!$C$27)/60,2),0))</f>
        <v/>
      </c>
      <c r="Q833" s="29">
        <f>IF(OR($C833="",$P833=0),"",IF($F833="國","國定假日",IF($B833="日","例假",IF($B833="六","休息日","平日"))))</f>
        <v/>
      </c>
      <c r="R833" s="34" t="n"/>
    </row>
    <row r="834">
      <c r="A834" s="30">
        <f>IF(OR(班表!$A32="",26&gt;DAY(EOMONTH(DATE(班表!$E$2,班表!$G$2,1),0))),"",DATE(班表!$E$2,班表!$G$2,26))</f>
        <v/>
      </c>
      <c r="B834" s="29">
        <f>IF($A834="","",INDEX(設定!$L$5:$L$11,WEEKDAY($A834,1)))</f>
        <v/>
      </c>
      <c r="C834" s="29">
        <f>IF($A834="","",班表!$A32)</f>
        <v/>
      </c>
      <c r="D834" s="29">
        <f>IF($C834="","",班表!$B32)</f>
        <v/>
      </c>
      <c r="E834" s="29">
        <f>IF($C834="","",班表!$C32)</f>
        <v/>
      </c>
      <c r="F834" s="29">
        <f>IF($C834="","",班表!AC32)</f>
        <v/>
      </c>
      <c r="G834" s="31">
        <f>IF($F834="","",IFERROR(INDEX(設定!$D$5:$D$20,MATCH($F834,設定!$B$5:$B$20,0)),""))</f>
        <v/>
      </c>
      <c r="H834" s="31">
        <f>IF($F834="","",IFERROR(INDEX(設定!$E$5:$E$20,MATCH($F834,設定!$B$5:$B$20,0)),""))</f>
        <v/>
      </c>
      <c r="I834" s="31">
        <f>IFERROR(INDEX(打卡匯入!$C$3:$C$1002,MATCH($C834&amp;"|"&amp;DAY($A834),打卡匯入!$E$3:$E$1002,0)),"")</f>
        <v/>
      </c>
      <c r="J834" s="31">
        <f>IFERROR(INDEX(打卡匯入!$D$3:$D$1002,MATCH($C834&amp;"|"&amp;DAY($A834),打卡匯入!$E$3:$E$1002,0)),"")</f>
        <v/>
      </c>
      <c r="K834" s="32">
        <f>IF(OR($I834="",$J834=""),"",IFERROR(INDEX(設定!$F$5:$F$20,MATCH($F834,設定!$B$5:$B$20,0)),0))</f>
        <v/>
      </c>
      <c r="L834" s="33">
        <f>IF(OR($I834="",$J834=""),"",ROUND(($J834-$I834)*24-$K834/60,2))</f>
        <v/>
      </c>
      <c r="M834" s="29">
        <f>IF($C834="","",IF(AND(COUNTIF(設定!$B$14:$B$20,$F834)&gt;0,$I834&lt;&gt;""),"假日出勤",IF(AND(COUNTIF(設定!$B$5:$B$13,$F834)&gt;0,$I834=""),"未打卡",IF($I834="","",IF($N834&gt;0,"遲到",IF($O834&gt;0,"早退","正常"))))))</f>
        <v/>
      </c>
      <c r="N834" s="32">
        <f>IF(OR($C834="",$G834="",$I834=""),0,IF(ROUND(($I834-$G834)*1440,0)&gt;設定!$C$28,ROUND(($I834-$G834)*1440,0),0))</f>
        <v/>
      </c>
      <c r="O834" s="32">
        <f>IF(OR($C834="",$H834="",$J834=""),0,IF(ROUND(($H834-$J834)*1440,0)&gt;設定!$C$28,ROUND(($H834-$J834)*1440,0),0))</f>
        <v/>
      </c>
      <c r="P834" s="33">
        <f>IF($L834="",0,IF(($L834-IFERROR(INDEX(設定!$G$5:$G$20,MATCH($F834,設定!$B$5:$B$20,0)),0))*60&gt;=設定!$C$26,ROUND(FLOOR(($L834-IFERROR(INDEX(設定!$G$5:$G$20,MATCH($F834,設定!$B$5:$B$20,0)),0))*60,設定!$C$27)/60,2),0))</f>
        <v/>
      </c>
      <c r="Q834" s="29">
        <f>IF(OR($C834="",$P834=0),"",IF($F834="國","國定假日",IF($B834="日","例假",IF($B834="六","休息日","平日"))))</f>
        <v/>
      </c>
      <c r="R834" s="34" t="n"/>
    </row>
    <row r="835">
      <c r="A835" s="30">
        <f>IF(OR(班表!$A32="",27&gt;DAY(EOMONTH(DATE(班表!$E$2,班表!$G$2,1),0))),"",DATE(班表!$E$2,班表!$G$2,27))</f>
        <v/>
      </c>
      <c r="B835" s="29">
        <f>IF($A835="","",INDEX(設定!$L$5:$L$11,WEEKDAY($A835,1)))</f>
        <v/>
      </c>
      <c r="C835" s="29">
        <f>IF($A835="","",班表!$A32)</f>
        <v/>
      </c>
      <c r="D835" s="29">
        <f>IF($C835="","",班表!$B32)</f>
        <v/>
      </c>
      <c r="E835" s="29">
        <f>IF($C835="","",班表!$C32)</f>
        <v/>
      </c>
      <c r="F835" s="29">
        <f>IF($C835="","",班表!AD32)</f>
        <v/>
      </c>
      <c r="G835" s="31">
        <f>IF($F835="","",IFERROR(INDEX(設定!$D$5:$D$20,MATCH($F835,設定!$B$5:$B$20,0)),""))</f>
        <v/>
      </c>
      <c r="H835" s="31">
        <f>IF($F835="","",IFERROR(INDEX(設定!$E$5:$E$20,MATCH($F835,設定!$B$5:$B$20,0)),""))</f>
        <v/>
      </c>
      <c r="I835" s="31">
        <f>IFERROR(INDEX(打卡匯入!$C$3:$C$1002,MATCH($C835&amp;"|"&amp;DAY($A835),打卡匯入!$E$3:$E$1002,0)),"")</f>
        <v/>
      </c>
      <c r="J835" s="31">
        <f>IFERROR(INDEX(打卡匯入!$D$3:$D$1002,MATCH($C835&amp;"|"&amp;DAY($A835),打卡匯入!$E$3:$E$1002,0)),"")</f>
        <v/>
      </c>
      <c r="K835" s="32">
        <f>IF(OR($I835="",$J835=""),"",IFERROR(INDEX(設定!$F$5:$F$20,MATCH($F835,設定!$B$5:$B$20,0)),0))</f>
        <v/>
      </c>
      <c r="L835" s="33">
        <f>IF(OR($I835="",$J835=""),"",ROUND(($J835-$I835)*24-$K835/60,2))</f>
        <v/>
      </c>
      <c r="M835" s="29">
        <f>IF($C835="","",IF(AND(COUNTIF(設定!$B$14:$B$20,$F835)&gt;0,$I835&lt;&gt;""),"假日出勤",IF(AND(COUNTIF(設定!$B$5:$B$13,$F835)&gt;0,$I835=""),"未打卡",IF($I835="","",IF($N835&gt;0,"遲到",IF($O835&gt;0,"早退","正常"))))))</f>
        <v/>
      </c>
      <c r="N835" s="32">
        <f>IF(OR($C835="",$G835="",$I835=""),0,IF(ROUND(($I835-$G835)*1440,0)&gt;設定!$C$28,ROUND(($I835-$G835)*1440,0),0))</f>
        <v/>
      </c>
      <c r="O835" s="32">
        <f>IF(OR($C835="",$H835="",$J835=""),0,IF(ROUND(($H835-$J835)*1440,0)&gt;設定!$C$28,ROUND(($H835-$J835)*1440,0),0))</f>
        <v/>
      </c>
      <c r="P835" s="33">
        <f>IF($L835="",0,IF(($L835-IFERROR(INDEX(設定!$G$5:$G$20,MATCH($F835,設定!$B$5:$B$20,0)),0))*60&gt;=設定!$C$26,ROUND(FLOOR(($L835-IFERROR(INDEX(設定!$G$5:$G$20,MATCH($F835,設定!$B$5:$B$20,0)),0))*60,設定!$C$27)/60,2),0))</f>
        <v/>
      </c>
      <c r="Q835" s="29">
        <f>IF(OR($C835="",$P835=0),"",IF($F835="國","國定假日",IF($B835="日","例假",IF($B835="六","休息日","平日"))))</f>
        <v/>
      </c>
      <c r="R835" s="34" t="n"/>
    </row>
    <row r="836">
      <c r="A836" s="30">
        <f>IF(OR(班表!$A32="",28&gt;DAY(EOMONTH(DATE(班表!$E$2,班表!$G$2,1),0))),"",DATE(班表!$E$2,班表!$G$2,28))</f>
        <v/>
      </c>
      <c r="B836" s="29">
        <f>IF($A836="","",INDEX(設定!$L$5:$L$11,WEEKDAY($A836,1)))</f>
        <v/>
      </c>
      <c r="C836" s="29">
        <f>IF($A836="","",班表!$A32)</f>
        <v/>
      </c>
      <c r="D836" s="29">
        <f>IF($C836="","",班表!$B32)</f>
        <v/>
      </c>
      <c r="E836" s="29">
        <f>IF($C836="","",班表!$C32)</f>
        <v/>
      </c>
      <c r="F836" s="29">
        <f>IF($C836="","",班表!AE32)</f>
        <v/>
      </c>
      <c r="G836" s="31">
        <f>IF($F836="","",IFERROR(INDEX(設定!$D$5:$D$20,MATCH($F836,設定!$B$5:$B$20,0)),""))</f>
        <v/>
      </c>
      <c r="H836" s="31">
        <f>IF($F836="","",IFERROR(INDEX(設定!$E$5:$E$20,MATCH($F836,設定!$B$5:$B$20,0)),""))</f>
        <v/>
      </c>
      <c r="I836" s="31">
        <f>IFERROR(INDEX(打卡匯入!$C$3:$C$1002,MATCH($C836&amp;"|"&amp;DAY($A836),打卡匯入!$E$3:$E$1002,0)),"")</f>
        <v/>
      </c>
      <c r="J836" s="31">
        <f>IFERROR(INDEX(打卡匯入!$D$3:$D$1002,MATCH($C836&amp;"|"&amp;DAY($A836),打卡匯入!$E$3:$E$1002,0)),"")</f>
        <v/>
      </c>
      <c r="K836" s="32">
        <f>IF(OR($I836="",$J836=""),"",IFERROR(INDEX(設定!$F$5:$F$20,MATCH($F836,設定!$B$5:$B$20,0)),0))</f>
        <v/>
      </c>
      <c r="L836" s="33">
        <f>IF(OR($I836="",$J836=""),"",ROUND(($J836-$I836)*24-$K836/60,2))</f>
        <v/>
      </c>
      <c r="M836" s="29">
        <f>IF($C836="","",IF(AND(COUNTIF(設定!$B$14:$B$20,$F836)&gt;0,$I836&lt;&gt;""),"假日出勤",IF(AND(COUNTIF(設定!$B$5:$B$13,$F836)&gt;0,$I836=""),"未打卡",IF($I836="","",IF($N836&gt;0,"遲到",IF($O836&gt;0,"早退","正常"))))))</f>
        <v/>
      </c>
      <c r="N836" s="32">
        <f>IF(OR($C836="",$G836="",$I836=""),0,IF(ROUND(($I836-$G836)*1440,0)&gt;設定!$C$28,ROUND(($I836-$G836)*1440,0),0))</f>
        <v/>
      </c>
      <c r="O836" s="32">
        <f>IF(OR($C836="",$H836="",$J836=""),0,IF(ROUND(($H836-$J836)*1440,0)&gt;設定!$C$28,ROUND(($H836-$J836)*1440,0),0))</f>
        <v/>
      </c>
      <c r="P836" s="33">
        <f>IF($L836="",0,IF(($L836-IFERROR(INDEX(設定!$G$5:$G$20,MATCH($F836,設定!$B$5:$B$20,0)),0))*60&gt;=設定!$C$26,ROUND(FLOOR(($L836-IFERROR(INDEX(設定!$G$5:$G$20,MATCH($F836,設定!$B$5:$B$20,0)),0))*60,設定!$C$27)/60,2),0))</f>
        <v/>
      </c>
      <c r="Q836" s="29">
        <f>IF(OR($C836="",$P836=0),"",IF($F836="國","國定假日",IF($B836="日","例假",IF($B836="六","休息日","平日"))))</f>
        <v/>
      </c>
      <c r="R836" s="34" t="n"/>
    </row>
    <row r="837">
      <c r="A837" s="30">
        <f>IF(OR(班表!$A32="",29&gt;DAY(EOMONTH(DATE(班表!$E$2,班表!$G$2,1),0))),"",DATE(班表!$E$2,班表!$G$2,29))</f>
        <v/>
      </c>
      <c r="B837" s="29">
        <f>IF($A837="","",INDEX(設定!$L$5:$L$11,WEEKDAY($A837,1)))</f>
        <v/>
      </c>
      <c r="C837" s="29">
        <f>IF($A837="","",班表!$A32)</f>
        <v/>
      </c>
      <c r="D837" s="29">
        <f>IF($C837="","",班表!$B32)</f>
        <v/>
      </c>
      <c r="E837" s="29">
        <f>IF($C837="","",班表!$C32)</f>
        <v/>
      </c>
      <c r="F837" s="29">
        <f>IF($C837="","",班表!AF32)</f>
        <v/>
      </c>
      <c r="G837" s="31">
        <f>IF($F837="","",IFERROR(INDEX(設定!$D$5:$D$20,MATCH($F837,設定!$B$5:$B$20,0)),""))</f>
        <v/>
      </c>
      <c r="H837" s="31">
        <f>IF($F837="","",IFERROR(INDEX(設定!$E$5:$E$20,MATCH($F837,設定!$B$5:$B$20,0)),""))</f>
        <v/>
      </c>
      <c r="I837" s="31">
        <f>IFERROR(INDEX(打卡匯入!$C$3:$C$1002,MATCH($C837&amp;"|"&amp;DAY($A837),打卡匯入!$E$3:$E$1002,0)),"")</f>
        <v/>
      </c>
      <c r="J837" s="31">
        <f>IFERROR(INDEX(打卡匯入!$D$3:$D$1002,MATCH($C837&amp;"|"&amp;DAY($A837),打卡匯入!$E$3:$E$1002,0)),"")</f>
        <v/>
      </c>
      <c r="K837" s="32">
        <f>IF(OR($I837="",$J837=""),"",IFERROR(INDEX(設定!$F$5:$F$20,MATCH($F837,設定!$B$5:$B$20,0)),0))</f>
        <v/>
      </c>
      <c r="L837" s="33">
        <f>IF(OR($I837="",$J837=""),"",ROUND(($J837-$I837)*24-$K837/60,2))</f>
        <v/>
      </c>
      <c r="M837" s="29">
        <f>IF($C837="","",IF(AND(COUNTIF(設定!$B$14:$B$20,$F837)&gt;0,$I837&lt;&gt;""),"假日出勤",IF(AND(COUNTIF(設定!$B$5:$B$13,$F837)&gt;0,$I837=""),"未打卡",IF($I837="","",IF($N837&gt;0,"遲到",IF($O837&gt;0,"早退","正常"))))))</f>
        <v/>
      </c>
      <c r="N837" s="32">
        <f>IF(OR($C837="",$G837="",$I837=""),0,IF(ROUND(($I837-$G837)*1440,0)&gt;設定!$C$28,ROUND(($I837-$G837)*1440,0),0))</f>
        <v/>
      </c>
      <c r="O837" s="32">
        <f>IF(OR($C837="",$H837="",$J837=""),0,IF(ROUND(($H837-$J837)*1440,0)&gt;設定!$C$28,ROUND(($H837-$J837)*1440,0),0))</f>
        <v/>
      </c>
      <c r="P837" s="33">
        <f>IF($L837="",0,IF(($L837-IFERROR(INDEX(設定!$G$5:$G$20,MATCH($F837,設定!$B$5:$B$20,0)),0))*60&gt;=設定!$C$26,ROUND(FLOOR(($L837-IFERROR(INDEX(設定!$G$5:$G$20,MATCH($F837,設定!$B$5:$B$20,0)),0))*60,設定!$C$27)/60,2),0))</f>
        <v/>
      </c>
      <c r="Q837" s="29">
        <f>IF(OR($C837="",$P837=0),"",IF($F837="國","國定假日",IF($B837="日","例假",IF($B837="六","休息日","平日"))))</f>
        <v/>
      </c>
      <c r="R837" s="34" t="n"/>
    </row>
    <row r="838">
      <c r="A838" s="30">
        <f>IF(OR(班表!$A32="",30&gt;DAY(EOMONTH(DATE(班表!$E$2,班表!$G$2,1),0))),"",DATE(班表!$E$2,班表!$G$2,30))</f>
        <v/>
      </c>
      <c r="B838" s="29">
        <f>IF($A838="","",INDEX(設定!$L$5:$L$11,WEEKDAY($A838,1)))</f>
        <v/>
      </c>
      <c r="C838" s="29">
        <f>IF($A838="","",班表!$A32)</f>
        <v/>
      </c>
      <c r="D838" s="29">
        <f>IF($C838="","",班表!$B32)</f>
        <v/>
      </c>
      <c r="E838" s="29">
        <f>IF($C838="","",班表!$C32)</f>
        <v/>
      </c>
      <c r="F838" s="29">
        <f>IF($C838="","",班表!AG32)</f>
        <v/>
      </c>
      <c r="G838" s="31">
        <f>IF($F838="","",IFERROR(INDEX(設定!$D$5:$D$20,MATCH($F838,設定!$B$5:$B$20,0)),""))</f>
        <v/>
      </c>
      <c r="H838" s="31">
        <f>IF($F838="","",IFERROR(INDEX(設定!$E$5:$E$20,MATCH($F838,設定!$B$5:$B$20,0)),""))</f>
        <v/>
      </c>
      <c r="I838" s="31">
        <f>IFERROR(INDEX(打卡匯入!$C$3:$C$1002,MATCH($C838&amp;"|"&amp;DAY($A838),打卡匯入!$E$3:$E$1002,0)),"")</f>
        <v/>
      </c>
      <c r="J838" s="31">
        <f>IFERROR(INDEX(打卡匯入!$D$3:$D$1002,MATCH($C838&amp;"|"&amp;DAY($A838),打卡匯入!$E$3:$E$1002,0)),"")</f>
        <v/>
      </c>
      <c r="K838" s="32">
        <f>IF(OR($I838="",$J838=""),"",IFERROR(INDEX(設定!$F$5:$F$20,MATCH($F838,設定!$B$5:$B$20,0)),0))</f>
        <v/>
      </c>
      <c r="L838" s="33">
        <f>IF(OR($I838="",$J838=""),"",ROUND(($J838-$I838)*24-$K838/60,2))</f>
        <v/>
      </c>
      <c r="M838" s="29">
        <f>IF($C838="","",IF(AND(COUNTIF(設定!$B$14:$B$20,$F838)&gt;0,$I838&lt;&gt;""),"假日出勤",IF(AND(COUNTIF(設定!$B$5:$B$13,$F838)&gt;0,$I838=""),"未打卡",IF($I838="","",IF($N838&gt;0,"遲到",IF($O838&gt;0,"早退","正常"))))))</f>
        <v/>
      </c>
      <c r="N838" s="32">
        <f>IF(OR($C838="",$G838="",$I838=""),0,IF(ROUND(($I838-$G838)*1440,0)&gt;設定!$C$28,ROUND(($I838-$G838)*1440,0),0))</f>
        <v/>
      </c>
      <c r="O838" s="32">
        <f>IF(OR($C838="",$H838="",$J838=""),0,IF(ROUND(($H838-$J838)*1440,0)&gt;設定!$C$28,ROUND(($H838-$J838)*1440,0),0))</f>
        <v/>
      </c>
      <c r="P838" s="33">
        <f>IF($L838="",0,IF(($L838-IFERROR(INDEX(設定!$G$5:$G$20,MATCH($F838,設定!$B$5:$B$20,0)),0))*60&gt;=設定!$C$26,ROUND(FLOOR(($L838-IFERROR(INDEX(設定!$G$5:$G$20,MATCH($F838,設定!$B$5:$B$20,0)),0))*60,設定!$C$27)/60,2),0))</f>
        <v/>
      </c>
      <c r="Q838" s="29">
        <f>IF(OR($C838="",$P838=0),"",IF($F838="國","國定假日",IF($B838="日","例假",IF($B838="六","休息日","平日"))))</f>
        <v/>
      </c>
      <c r="R838" s="34" t="n"/>
    </row>
    <row r="839">
      <c r="A839" s="30">
        <f>IF(OR(班表!$A32="",31&gt;DAY(EOMONTH(DATE(班表!$E$2,班表!$G$2,1),0))),"",DATE(班表!$E$2,班表!$G$2,31))</f>
        <v/>
      </c>
      <c r="B839" s="29">
        <f>IF($A839="","",INDEX(設定!$L$5:$L$11,WEEKDAY($A839,1)))</f>
        <v/>
      </c>
      <c r="C839" s="29">
        <f>IF($A839="","",班表!$A32)</f>
        <v/>
      </c>
      <c r="D839" s="29">
        <f>IF($C839="","",班表!$B32)</f>
        <v/>
      </c>
      <c r="E839" s="29">
        <f>IF($C839="","",班表!$C32)</f>
        <v/>
      </c>
      <c r="F839" s="29">
        <f>IF($C839="","",班表!AH32)</f>
        <v/>
      </c>
      <c r="G839" s="31">
        <f>IF($F839="","",IFERROR(INDEX(設定!$D$5:$D$20,MATCH($F839,設定!$B$5:$B$20,0)),""))</f>
        <v/>
      </c>
      <c r="H839" s="31">
        <f>IF($F839="","",IFERROR(INDEX(設定!$E$5:$E$20,MATCH($F839,設定!$B$5:$B$20,0)),""))</f>
        <v/>
      </c>
      <c r="I839" s="31">
        <f>IFERROR(INDEX(打卡匯入!$C$3:$C$1002,MATCH($C839&amp;"|"&amp;DAY($A839),打卡匯入!$E$3:$E$1002,0)),"")</f>
        <v/>
      </c>
      <c r="J839" s="31">
        <f>IFERROR(INDEX(打卡匯入!$D$3:$D$1002,MATCH($C839&amp;"|"&amp;DAY($A839),打卡匯入!$E$3:$E$1002,0)),"")</f>
        <v/>
      </c>
      <c r="K839" s="32">
        <f>IF(OR($I839="",$J839=""),"",IFERROR(INDEX(設定!$F$5:$F$20,MATCH($F839,設定!$B$5:$B$20,0)),0))</f>
        <v/>
      </c>
      <c r="L839" s="33">
        <f>IF(OR($I839="",$J839=""),"",ROUND(($J839-$I839)*24-$K839/60,2))</f>
        <v/>
      </c>
      <c r="M839" s="29">
        <f>IF($C839="","",IF(AND(COUNTIF(設定!$B$14:$B$20,$F839)&gt;0,$I839&lt;&gt;""),"假日出勤",IF(AND(COUNTIF(設定!$B$5:$B$13,$F839)&gt;0,$I839=""),"未打卡",IF($I839="","",IF($N839&gt;0,"遲到",IF($O839&gt;0,"早退","正常"))))))</f>
        <v/>
      </c>
      <c r="N839" s="32">
        <f>IF(OR($C839="",$G839="",$I839=""),0,IF(ROUND(($I839-$G839)*1440,0)&gt;設定!$C$28,ROUND(($I839-$G839)*1440,0),0))</f>
        <v/>
      </c>
      <c r="O839" s="32">
        <f>IF(OR($C839="",$H839="",$J839=""),0,IF(ROUND(($H839-$J839)*1440,0)&gt;設定!$C$28,ROUND(($H839-$J839)*1440,0),0))</f>
        <v/>
      </c>
      <c r="P839" s="33">
        <f>IF($L839="",0,IF(($L839-IFERROR(INDEX(設定!$G$5:$G$20,MATCH($F839,設定!$B$5:$B$20,0)),0))*60&gt;=設定!$C$26,ROUND(FLOOR(($L839-IFERROR(INDEX(設定!$G$5:$G$20,MATCH($F839,設定!$B$5:$B$20,0)),0))*60,設定!$C$27)/60,2),0))</f>
        <v/>
      </c>
      <c r="Q839" s="29">
        <f>IF(OR($C839="",$P839=0),"",IF($F839="國","國定假日",IF($B839="日","例假",IF($B839="六","休息日","平日"))))</f>
        <v/>
      </c>
      <c r="R839" s="34" t="n"/>
    </row>
    <row r="840">
      <c r="A840" s="30">
        <f>IF(OR(班表!$A33="",1&gt;DAY(EOMONTH(DATE(班表!$E$2,班表!$G$2,1),0))),"",DATE(班表!$E$2,班表!$G$2,1))</f>
        <v/>
      </c>
      <c r="B840" s="29">
        <f>IF($A840="","",INDEX(設定!$L$5:$L$11,WEEKDAY($A840,1)))</f>
        <v/>
      </c>
      <c r="C840" s="29">
        <f>IF($A840="","",班表!$A33)</f>
        <v/>
      </c>
      <c r="D840" s="29">
        <f>IF($C840="","",班表!$B33)</f>
        <v/>
      </c>
      <c r="E840" s="29">
        <f>IF($C840="","",班表!$C33)</f>
        <v/>
      </c>
      <c r="F840" s="29">
        <f>IF($C840="","",班表!D33)</f>
        <v/>
      </c>
      <c r="G840" s="31">
        <f>IF($F840="","",IFERROR(INDEX(設定!$D$5:$D$20,MATCH($F840,設定!$B$5:$B$20,0)),""))</f>
        <v/>
      </c>
      <c r="H840" s="31">
        <f>IF($F840="","",IFERROR(INDEX(設定!$E$5:$E$20,MATCH($F840,設定!$B$5:$B$20,0)),""))</f>
        <v/>
      </c>
      <c r="I840" s="31">
        <f>IFERROR(INDEX(打卡匯入!$C$3:$C$1002,MATCH($C840&amp;"|"&amp;DAY($A840),打卡匯入!$E$3:$E$1002,0)),"")</f>
        <v/>
      </c>
      <c r="J840" s="31">
        <f>IFERROR(INDEX(打卡匯入!$D$3:$D$1002,MATCH($C840&amp;"|"&amp;DAY($A840),打卡匯入!$E$3:$E$1002,0)),"")</f>
        <v/>
      </c>
      <c r="K840" s="32">
        <f>IF(OR($I840="",$J840=""),"",IFERROR(INDEX(設定!$F$5:$F$20,MATCH($F840,設定!$B$5:$B$20,0)),0))</f>
        <v/>
      </c>
      <c r="L840" s="33">
        <f>IF(OR($I840="",$J840=""),"",ROUND(($J840-$I840)*24-$K840/60,2))</f>
        <v/>
      </c>
      <c r="M840" s="29">
        <f>IF($C840="","",IF(AND(COUNTIF(設定!$B$14:$B$20,$F840)&gt;0,$I840&lt;&gt;""),"假日出勤",IF(AND(COUNTIF(設定!$B$5:$B$13,$F840)&gt;0,$I840=""),"未打卡",IF($I840="","",IF($N840&gt;0,"遲到",IF($O840&gt;0,"早退","正常"))))))</f>
        <v/>
      </c>
      <c r="N840" s="32">
        <f>IF(OR($C840="",$G840="",$I840=""),0,IF(ROUND(($I840-$G840)*1440,0)&gt;設定!$C$28,ROUND(($I840-$G840)*1440,0),0))</f>
        <v/>
      </c>
      <c r="O840" s="32">
        <f>IF(OR($C840="",$H840="",$J840=""),0,IF(ROUND(($H840-$J840)*1440,0)&gt;設定!$C$28,ROUND(($H840-$J840)*1440,0),0))</f>
        <v/>
      </c>
      <c r="P840" s="33">
        <f>IF($L840="",0,IF(($L840-IFERROR(INDEX(設定!$G$5:$G$20,MATCH($F840,設定!$B$5:$B$20,0)),0))*60&gt;=設定!$C$26,ROUND(FLOOR(($L840-IFERROR(INDEX(設定!$G$5:$G$20,MATCH($F840,設定!$B$5:$B$20,0)),0))*60,設定!$C$27)/60,2),0))</f>
        <v/>
      </c>
      <c r="Q840" s="29">
        <f>IF(OR($C840="",$P840=0),"",IF($F840="國","國定假日",IF($B840="日","例假",IF($B840="六","休息日","平日"))))</f>
        <v/>
      </c>
      <c r="R840" s="34" t="n"/>
    </row>
    <row r="841">
      <c r="A841" s="30">
        <f>IF(OR(班表!$A33="",2&gt;DAY(EOMONTH(DATE(班表!$E$2,班表!$G$2,1),0))),"",DATE(班表!$E$2,班表!$G$2,2))</f>
        <v/>
      </c>
      <c r="B841" s="29">
        <f>IF($A841="","",INDEX(設定!$L$5:$L$11,WEEKDAY($A841,1)))</f>
        <v/>
      </c>
      <c r="C841" s="29">
        <f>IF($A841="","",班表!$A33)</f>
        <v/>
      </c>
      <c r="D841" s="29">
        <f>IF($C841="","",班表!$B33)</f>
        <v/>
      </c>
      <c r="E841" s="29">
        <f>IF($C841="","",班表!$C33)</f>
        <v/>
      </c>
      <c r="F841" s="29">
        <f>IF($C841="","",班表!E33)</f>
        <v/>
      </c>
      <c r="G841" s="31">
        <f>IF($F841="","",IFERROR(INDEX(設定!$D$5:$D$20,MATCH($F841,設定!$B$5:$B$20,0)),""))</f>
        <v/>
      </c>
      <c r="H841" s="31">
        <f>IF($F841="","",IFERROR(INDEX(設定!$E$5:$E$20,MATCH($F841,設定!$B$5:$B$20,0)),""))</f>
        <v/>
      </c>
      <c r="I841" s="31">
        <f>IFERROR(INDEX(打卡匯入!$C$3:$C$1002,MATCH($C841&amp;"|"&amp;DAY($A841),打卡匯入!$E$3:$E$1002,0)),"")</f>
        <v/>
      </c>
      <c r="J841" s="31">
        <f>IFERROR(INDEX(打卡匯入!$D$3:$D$1002,MATCH($C841&amp;"|"&amp;DAY($A841),打卡匯入!$E$3:$E$1002,0)),"")</f>
        <v/>
      </c>
      <c r="K841" s="32">
        <f>IF(OR($I841="",$J841=""),"",IFERROR(INDEX(設定!$F$5:$F$20,MATCH($F841,設定!$B$5:$B$20,0)),0))</f>
        <v/>
      </c>
      <c r="L841" s="33">
        <f>IF(OR($I841="",$J841=""),"",ROUND(($J841-$I841)*24-$K841/60,2))</f>
        <v/>
      </c>
      <c r="M841" s="29">
        <f>IF($C841="","",IF(AND(COUNTIF(設定!$B$14:$B$20,$F841)&gt;0,$I841&lt;&gt;""),"假日出勤",IF(AND(COUNTIF(設定!$B$5:$B$13,$F841)&gt;0,$I841=""),"未打卡",IF($I841="","",IF($N841&gt;0,"遲到",IF($O841&gt;0,"早退","正常"))))))</f>
        <v/>
      </c>
      <c r="N841" s="32">
        <f>IF(OR($C841="",$G841="",$I841=""),0,IF(ROUND(($I841-$G841)*1440,0)&gt;設定!$C$28,ROUND(($I841-$G841)*1440,0),0))</f>
        <v/>
      </c>
      <c r="O841" s="32">
        <f>IF(OR($C841="",$H841="",$J841=""),0,IF(ROUND(($H841-$J841)*1440,0)&gt;設定!$C$28,ROUND(($H841-$J841)*1440,0),0))</f>
        <v/>
      </c>
      <c r="P841" s="33">
        <f>IF($L841="",0,IF(($L841-IFERROR(INDEX(設定!$G$5:$G$20,MATCH($F841,設定!$B$5:$B$20,0)),0))*60&gt;=設定!$C$26,ROUND(FLOOR(($L841-IFERROR(INDEX(設定!$G$5:$G$20,MATCH($F841,設定!$B$5:$B$20,0)),0))*60,設定!$C$27)/60,2),0))</f>
        <v/>
      </c>
      <c r="Q841" s="29">
        <f>IF(OR($C841="",$P841=0),"",IF($F841="國","國定假日",IF($B841="日","例假",IF($B841="六","休息日","平日"))))</f>
        <v/>
      </c>
      <c r="R841" s="34" t="n"/>
    </row>
    <row r="842">
      <c r="A842" s="30">
        <f>IF(OR(班表!$A33="",3&gt;DAY(EOMONTH(DATE(班表!$E$2,班表!$G$2,1),0))),"",DATE(班表!$E$2,班表!$G$2,3))</f>
        <v/>
      </c>
      <c r="B842" s="29">
        <f>IF($A842="","",INDEX(設定!$L$5:$L$11,WEEKDAY($A842,1)))</f>
        <v/>
      </c>
      <c r="C842" s="29">
        <f>IF($A842="","",班表!$A33)</f>
        <v/>
      </c>
      <c r="D842" s="29">
        <f>IF($C842="","",班表!$B33)</f>
        <v/>
      </c>
      <c r="E842" s="29">
        <f>IF($C842="","",班表!$C33)</f>
        <v/>
      </c>
      <c r="F842" s="29">
        <f>IF($C842="","",班表!F33)</f>
        <v/>
      </c>
      <c r="G842" s="31">
        <f>IF($F842="","",IFERROR(INDEX(設定!$D$5:$D$20,MATCH($F842,設定!$B$5:$B$20,0)),""))</f>
        <v/>
      </c>
      <c r="H842" s="31">
        <f>IF($F842="","",IFERROR(INDEX(設定!$E$5:$E$20,MATCH($F842,設定!$B$5:$B$20,0)),""))</f>
        <v/>
      </c>
      <c r="I842" s="31">
        <f>IFERROR(INDEX(打卡匯入!$C$3:$C$1002,MATCH($C842&amp;"|"&amp;DAY($A842),打卡匯入!$E$3:$E$1002,0)),"")</f>
        <v/>
      </c>
      <c r="J842" s="31">
        <f>IFERROR(INDEX(打卡匯入!$D$3:$D$1002,MATCH($C842&amp;"|"&amp;DAY($A842),打卡匯入!$E$3:$E$1002,0)),"")</f>
        <v/>
      </c>
      <c r="K842" s="32">
        <f>IF(OR($I842="",$J842=""),"",IFERROR(INDEX(設定!$F$5:$F$20,MATCH($F842,設定!$B$5:$B$20,0)),0))</f>
        <v/>
      </c>
      <c r="L842" s="33">
        <f>IF(OR($I842="",$J842=""),"",ROUND(($J842-$I842)*24-$K842/60,2))</f>
        <v/>
      </c>
      <c r="M842" s="29">
        <f>IF($C842="","",IF(AND(COUNTIF(設定!$B$14:$B$20,$F842)&gt;0,$I842&lt;&gt;""),"假日出勤",IF(AND(COUNTIF(設定!$B$5:$B$13,$F842)&gt;0,$I842=""),"未打卡",IF($I842="","",IF($N842&gt;0,"遲到",IF($O842&gt;0,"早退","正常"))))))</f>
        <v/>
      </c>
      <c r="N842" s="32">
        <f>IF(OR($C842="",$G842="",$I842=""),0,IF(ROUND(($I842-$G842)*1440,0)&gt;設定!$C$28,ROUND(($I842-$G842)*1440,0),0))</f>
        <v/>
      </c>
      <c r="O842" s="32">
        <f>IF(OR($C842="",$H842="",$J842=""),0,IF(ROUND(($H842-$J842)*1440,0)&gt;設定!$C$28,ROUND(($H842-$J842)*1440,0),0))</f>
        <v/>
      </c>
      <c r="P842" s="33">
        <f>IF($L842="",0,IF(($L842-IFERROR(INDEX(設定!$G$5:$G$20,MATCH($F842,設定!$B$5:$B$20,0)),0))*60&gt;=設定!$C$26,ROUND(FLOOR(($L842-IFERROR(INDEX(設定!$G$5:$G$20,MATCH($F842,設定!$B$5:$B$20,0)),0))*60,設定!$C$27)/60,2),0))</f>
        <v/>
      </c>
      <c r="Q842" s="29">
        <f>IF(OR($C842="",$P842=0),"",IF($F842="國","國定假日",IF($B842="日","例假",IF($B842="六","休息日","平日"))))</f>
        <v/>
      </c>
      <c r="R842" s="34" t="n"/>
    </row>
    <row r="843">
      <c r="A843" s="30">
        <f>IF(OR(班表!$A33="",4&gt;DAY(EOMONTH(DATE(班表!$E$2,班表!$G$2,1),0))),"",DATE(班表!$E$2,班表!$G$2,4))</f>
        <v/>
      </c>
      <c r="B843" s="29">
        <f>IF($A843="","",INDEX(設定!$L$5:$L$11,WEEKDAY($A843,1)))</f>
        <v/>
      </c>
      <c r="C843" s="29">
        <f>IF($A843="","",班表!$A33)</f>
        <v/>
      </c>
      <c r="D843" s="29">
        <f>IF($C843="","",班表!$B33)</f>
        <v/>
      </c>
      <c r="E843" s="29">
        <f>IF($C843="","",班表!$C33)</f>
        <v/>
      </c>
      <c r="F843" s="29">
        <f>IF($C843="","",班表!G33)</f>
        <v/>
      </c>
      <c r="G843" s="31">
        <f>IF($F843="","",IFERROR(INDEX(設定!$D$5:$D$20,MATCH($F843,設定!$B$5:$B$20,0)),""))</f>
        <v/>
      </c>
      <c r="H843" s="31">
        <f>IF($F843="","",IFERROR(INDEX(設定!$E$5:$E$20,MATCH($F843,設定!$B$5:$B$20,0)),""))</f>
        <v/>
      </c>
      <c r="I843" s="31">
        <f>IFERROR(INDEX(打卡匯入!$C$3:$C$1002,MATCH($C843&amp;"|"&amp;DAY($A843),打卡匯入!$E$3:$E$1002,0)),"")</f>
        <v/>
      </c>
      <c r="J843" s="31">
        <f>IFERROR(INDEX(打卡匯入!$D$3:$D$1002,MATCH($C843&amp;"|"&amp;DAY($A843),打卡匯入!$E$3:$E$1002,0)),"")</f>
        <v/>
      </c>
      <c r="K843" s="32">
        <f>IF(OR($I843="",$J843=""),"",IFERROR(INDEX(設定!$F$5:$F$20,MATCH($F843,設定!$B$5:$B$20,0)),0))</f>
        <v/>
      </c>
      <c r="L843" s="33">
        <f>IF(OR($I843="",$J843=""),"",ROUND(($J843-$I843)*24-$K843/60,2))</f>
        <v/>
      </c>
      <c r="M843" s="29">
        <f>IF($C843="","",IF(AND(COUNTIF(設定!$B$14:$B$20,$F843)&gt;0,$I843&lt;&gt;""),"假日出勤",IF(AND(COUNTIF(設定!$B$5:$B$13,$F843)&gt;0,$I843=""),"未打卡",IF($I843="","",IF($N843&gt;0,"遲到",IF($O843&gt;0,"早退","正常"))))))</f>
        <v/>
      </c>
      <c r="N843" s="32">
        <f>IF(OR($C843="",$G843="",$I843=""),0,IF(ROUND(($I843-$G843)*1440,0)&gt;設定!$C$28,ROUND(($I843-$G843)*1440,0),0))</f>
        <v/>
      </c>
      <c r="O843" s="32">
        <f>IF(OR($C843="",$H843="",$J843=""),0,IF(ROUND(($H843-$J843)*1440,0)&gt;設定!$C$28,ROUND(($H843-$J843)*1440,0),0))</f>
        <v/>
      </c>
      <c r="P843" s="33">
        <f>IF($L843="",0,IF(($L843-IFERROR(INDEX(設定!$G$5:$G$20,MATCH($F843,設定!$B$5:$B$20,0)),0))*60&gt;=設定!$C$26,ROUND(FLOOR(($L843-IFERROR(INDEX(設定!$G$5:$G$20,MATCH($F843,設定!$B$5:$B$20,0)),0))*60,設定!$C$27)/60,2),0))</f>
        <v/>
      </c>
      <c r="Q843" s="29">
        <f>IF(OR($C843="",$P843=0),"",IF($F843="國","國定假日",IF($B843="日","例假",IF($B843="六","休息日","平日"))))</f>
        <v/>
      </c>
      <c r="R843" s="34" t="n"/>
    </row>
    <row r="844">
      <c r="A844" s="30">
        <f>IF(OR(班表!$A33="",5&gt;DAY(EOMONTH(DATE(班表!$E$2,班表!$G$2,1),0))),"",DATE(班表!$E$2,班表!$G$2,5))</f>
        <v/>
      </c>
      <c r="B844" s="29">
        <f>IF($A844="","",INDEX(設定!$L$5:$L$11,WEEKDAY($A844,1)))</f>
        <v/>
      </c>
      <c r="C844" s="29">
        <f>IF($A844="","",班表!$A33)</f>
        <v/>
      </c>
      <c r="D844" s="29">
        <f>IF($C844="","",班表!$B33)</f>
        <v/>
      </c>
      <c r="E844" s="29">
        <f>IF($C844="","",班表!$C33)</f>
        <v/>
      </c>
      <c r="F844" s="29">
        <f>IF($C844="","",班表!H33)</f>
        <v/>
      </c>
      <c r="G844" s="31">
        <f>IF($F844="","",IFERROR(INDEX(設定!$D$5:$D$20,MATCH($F844,設定!$B$5:$B$20,0)),""))</f>
        <v/>
      </c>
      <c r="H844" s="31">
        <f>IF($F844="","",IFERROR(INDEX(設定!$E$5:$E$20,MATCH($F844,設定!$B$5:$B$20,0)),""))</f>
        <v/>
      </c>
      <c r="I844" s="31">
        <f>IFERROR(INDEX(打卡匯入!$C$3:$C$1002,MATCH($C844&amp;"|"&amp;DAY($A844),打卡匯入!$E$3:$E$1002,0)),"")</f>
        <v/>
      </c>
      <c r="J844" s="31">
        <f>IFERROR(INDEX(打卡匯入!$D$3:$D$1002,MATCH($C844&amp;"|"&amp;DAY($A844),打卡匯入!$E$3:$E$1002,0)),"")</f>
        <v/>
      </c>
      <c r="K844" s="32">
        <f>IF(OR($I844="",$J844=""),"",IFERROR(INDEX(設定!$F$5:$F$20,MATCH($F844,設定!$B$5:$B$20,0)),0))</f>
        <v/>
      </c>
      <c r="L844" s="33">
        <f>IF(OR($I844="",$J844=""),"",ROUND(($J844-$I844)*24-$K844/60,2))</f>
        <v/>
      </c>
      <c r="M844" s="29">
        <f>IF($C844="","",IF(AND(COUNTIF(設定!$B$14:$B$20,$F844)&gt;0,$I844&lt;&gt;""),"假日出勤",IF(AND(COUNTIF(設定!$B$5:$B$13,$F844)&gt;0,$I844=""),"未打卡",IF($I844="","",IF($N844&gt;0,"遲到",IF($O844&gt;0,"早退","正常"))))))</f>
        <v/>
      </c>
      <c r="N844" s="32">
        <f>IF(OR($C844="",$G844="",$I844=""),0,IF(ROUND(($I844-$G844)*1440,0)&gt;設定!$C$28,ROUND(($I844-$G844)*1440,0),0))</f>
        <v/>
      </c>
      <c r="O844" s="32">
        <f>IF(OR($C844="",$H844="",$J844=""),0,IF(ROUND(($H844-$J844)*1440,0)&gt;設定!$C$28,ROUND(($H844-$J844)*1440,0),0))</f>
        <v/>
      </c>
      <c r="P844" s="33">
        <f>IF($L844="",0,IF(($L844-IFERROR(INDEX(設定!$G$5:$G$20,MATCH($F844,設定!$B$5:$B$20,0)),0))*60&gt;=設定!$C$26,ROUND(FLOOR(($L844-IFERROR(INDEX(設定!$G$5:$G$20,MATCH($F844,設定!$B$5:$B$20,0)),0))*60,設定!$C$27)/60,2),0))</f>
        <v/>
      </c>
      <c r="Q844" s="29">
        <f>IF(OR($C844="",$P844=0),"",IF($F844="國","國定假日",IF($B844="日","例假",IF($B844="六","休息日","平日"))))</f>
        <v/>
      </c>
      <c r="R844" s="34" t="n"/>
    </row>
    <row r="845">
      <c r="A845" s="30">
        <f>IF(OR(班表!$A33="",6&gt;DAY(EOMONTH(DATE(班表!$E$2,班表!$G$2,1),0))),"",DATE(班表!$E$2,班表!$G$2,6))</f>
        <v/>
      </c>
      <c r="B845" s="29">
        <f>IF($A845="","",INDEX(設定!$L$5:$L$11,WEEKDAY($A845,1)))</f>
        <v/>
      </c>
      <c r="C845" s="29">
        <f>IF($A845="","",班表!$A33)</f>
        <v/>
      </c>
      <c r="D845" s="29">
        <f>IF($C845="","",班表!$B33)</f>
        <v/>
      </c>
      <c r="E845" s="29">
        <f>IF($C845="","",班表!$C33)</f>
        <v/>
      </c>
      <c r="F845" s="29">
        <f>IF($C845="","",班表!I33)</f>
        <v/>
      </c>
      <c r="G845" s="31">
        <f>IF($F845="","",IFERROR(INDEX(設定!$D$5:$D$20,MATCH($F845,設定!$B$5:$B$20,0)),""))</f>
        <v/>
      </c>
      <c r="H845" s="31">
        <f>IF($F845="","",IFERROR(INDEX(設定!$E$5:$E$20,MATCH($F845,設定!$B$5:$B$20,0)),""))</f>
        <v/>
      </c>
      <c r="I845" s="31">
        <f>IFERROR(INDEX(打卡匯入!$C$3:$C$1002,MATCH($C845&amp;"|"&amp;DAY($A845),打卡匯入!$E$3:$E$1002,0)),"")</f>
        <v/>
      </c>
      <c r="J845" s="31">
        <f>IFERROR(INDEX(打卡匯入!$D$3:$D$1002,MATCH($C845&amp;"|"&amp;DAY($A845),打卡匯入!$E$3:$E$1002,0)),"")</f>
        <v/>
      </c>
      <c r="K845" s="32">
        <f>IF(OR($I845="",$J845=""),"",IFERROR(INDEX(設定!$F$5:$F$20,MATCH($F845,設定!$B$5:$B$20,0)),0))</f>
        <v/>
      </c>
      <c r="L845" s="33">
        <f>IF(OR($I845="",$J845=""),"",ROUND(($J845-$I845)*24-$K845/60,2))</f>
        <v/>
      </c>
      <c r="M845" s="29">
        <f>IF($C845="","",IF(AND(COUNTIF(設定!$B$14:$B$20,$F845)&gt;0,$I845&lt;&gt;""),"假日出勤",IF(AND(COUNTIF(設定!$B$5:$B$13,$F845)&gt;0,$I845=""),"未打卡",IF($I845="","",IF($N845&gt;0,"遲到",IF($O845&gt;0,"早退","正常"))))))</f>
        <v/>
      </c>
      <c r="N845" s="32">
        <f>IF(OR($C845="",$G845="",$I845=""),0,IF(ROUND(($I845-$G845)*1440,0)&gt;設定!$C$28,ROUND(($I845-$G845)*1440,0),0))</f>
        <v/>
      </c>
      <c r="O845" s="32">
        <f>IF(OR($C845="",$H845="",$J845=""),0,IF(ROUND(($H845-$J845)*1440,0)&gt;設定!$C$28,ROUND(($H845-$J845)*1440,0),0))</f>
        <v/>
      </c>
      <c r="P845" s="33">
        <f>IF($L845="",0,IF(($L845-IFERROR(INDEX(設定!$G$5:$G$20,MATCH($F845,設定!$B$5:$B$20,0)),0))*60&gt;=設定!$C$26,ROUND(FLOOR(($L845-IFERROR(INDEX(設定!$G$5:$G$20,MATCH($F845,設定!$B$5:$B$20,0)),0))*60,設定!$C$27)/60,2),0))</f>
        <v/>
      </c>
      <c r="Q845" s="29">
        <f>IF(OR($C845="",$P845=0),"",IF($F845="國","國定假日",IF($B845="日","例假",IF($B845="六","休息日","平日"))))</f>
        <v/>
      </c>
      <c r="R845" s="34" t="n"/>
    </row>
    <row r="846">
      <c r="A846" s="30">
        <f>IF(OR(班表!$A33="",7&gt;DAY(EOMONTH(DATE(班表!$E$2,班表!$G$2,1),0))),"",DATE(班表!$E$2,班表!$G$2,7))</f>
        <v/>
      </c>
      <c r="B846" s="29">
        <f>IF($A846="","",INDEX(設定!$L$5:$L$11,WEEKDAY($A846,1)))</f>
        <v/>
      </c>
      <c r="C846" s="29">
        <f>IF($A846="","",班表!$A33)</f>
        <v/>
      </c>
      <c r="D846" s="29">
        <f>IF($C846="","",班表!$B33)</f>
        <v/>
      </c>
      <c r="E846" s="29">
        <f>IF($C846="","",班表!$C33)</f>
        <v/>
      </c>
      <c r="F846" s="29">
        <f>IF($C846="","",班表!J33)</f>
        <v/>
      </c>
      <c r="G846" s="31">
        <f>IF($F846="","",IFERROR(INDEX(設定!$D$5:$D$20,MATCH($F846,設定!$B$5:$B$20,0)),""))</f>
        <v/>
      </c>
      <c r="H846" s="31">
        <f>IF($F846="","",IFERROR(INDEX(設定!$E$5:$E$20,MATCH($F846,設定!$B$5:$B$20,0)),""))</f>
        <v/>
      </c>
      <c r="I846" s="31">
        <f>IFERROR(INDEX(打卡匯入!$C$3:$C$1002,MATCH($C846&amp;"|"&amp;DAY($A846),打卡匯入!$E$3:$E$1002,0)),"")</f>
        <v/>
      </c>
      <c r="J846" s="31">
        <f>IFERROR(INDEX(打卡匯入!$D$3:$D$1002,MATCH($C846&amp;"|"&amp;DAY($A846),打卡匯入!$E$3:$E$1002,0)),"")</f>
        <v/>
      </c>
      <c r="K846" s="32">
        <f>IF(OR($I846="",$J846=""),"",IFERROR(INDEX(設定!$F$5:$F$20,MATCH($F846,設定!$B$5:$B$20,0)),0))</f>
        <v/>
      </c>
      <c r="L846" s="33">
        <f>IF(OR($I846="",$J846=""),"",ROUND(($J846-$I846)*24-$K846/60,2))</f>
        <v/>
      </c>
      <c r="M846" s="29">
        <f>IF($C846="","",IF(AND(COUNTIF(設定!$B$14:$B$20,$F846)&gt;0,$I846&lt;&gt;""),"假日出勤",IF(AND(COUNTIF(設定!$B$5:$B$13,$F846)&gt;0,$I846=""),"未打卡",IF($I846="","",IF($N846&gt;0,"遲到",IF($O846&gt;0,"早退","正常"))))))</f>
        <v/>
      </c>
      <c r="N846" s="32">
        <f>IF(OR($C846="",$G846="",$I846=""),0,IF(ROUND(($I846-$G846)*1440,0)&gt;設定!$C$28,ROUND(($I846-$G846)*1440,0),0))</f>
        <v/>
      </c>
      <c r="O846" s="32">
        <f>IF(OR($C846="",$H846="",$J846=""),0,IF(ROUND(($H846-$J846)*1440,0)&gt;設定!$C$28,ROUND(($H846-$J846)*1440,0),0))</f>
        <v/>
      </c>
      <c r="P846" s="33">
        <f>IF($L846="",0,IF(($L846-IFERROR(INDEX(設定!$G$5:$G$20,MATCH($F846,設定!$B$5:$B$20,0)),0))*60&gt;=設定!$C$26,ROUND(FLOOR(($L846-IFERROR(INDEX(設定!$G$5:$G$20,MATCH($F846,設定!$B$5:$B$20,0)),0))*60,設定!$C$27)/60,2),0))</f>
        <v/>
      </c>
      <c r="Q846" s="29">
        <f>IF(OR($C846="",$P846=0),"",IF($F846="國","國定假日",IF($B846="日","例假",IF($B846="六","休息日","平日"))))</f>
        <v/>
      </c>
      <c r="R846" s="34" t="n"/>
    </row>
    <row r="847">
      <c r="A847" s="30">
        <f>IF(OR(班表!$A33="",8&gt;DAY(EOMONTH(DATE(班表!$E$2,班表!$G$2,1),0))),"",DATE(班表!$E$2,班表!$G$2,8))</f>
        <v/>
      </c>
      <c r="B847" s="29">
        <f>IF($A847="","",INDEX(設定!$L$5:$L$11,WEEKDAY($A847,1)))</f>
        <v/>
      </c>
      <c r="C847" s="29">
        <f>IF($A847="","",班表!$A33)</f>
        <v/>
      </c>
      <c r="D847" s="29">
        <f>IF($C847="","",班表!$B33)</f>
        <v/>
      </c>
      <c r="E847" s="29">
        <f>IF($C847="","",班表!$C33)</f>
        <v/>
      </c>
      <c r="F847" s="29">
        <f>IF($C847="","",班表!K33)</f>
        <v/>
      </c>
      <c r="G847" s="31">
        <f>IF($F847="","",IFERROR(INDEX(設定!$D$5:$D$20,MATCH($F847,設定!$B$5:$B$20,0)),""))</f>
        <v/>
      </c>
      <c r="H847" s="31">
        <f>IF($F847="","",IFERROR(INDEX(設定!$E$5:$E$20,MATCH($F847,設定!$B$5:$B$20,0)),""))</f>
        <v/>
      </c>
      <c r="I847" s="31">
        <f>IFERROR(INDEX(打卡匯入!$C$3:$C$1002,MATCH($C847&amp;"|"&amp;DAY($A847),打卡匯入!$E$3:$E$1002,0)),"")</f>
        <v/>
      </c>
      <c r="J847" s="31">
        <f>IFERROR(INDEX(打卡匯入!$D$3:$D$1002,MATCH($C847&amp;"|"&amp;DAY($A847),打卡匯入!$E$3:$E$1002,0)),"")</f>
        <v/>
      </c>
      <c r="K847" s="32">
        <f>IF(OR($I847="",$J847=""),"",IFERROR(INDEX(設定!$F$5:$F$20,MATCH($F847,設定!$B$5:$B$20,0)),0))</f>
        <v/>
      </c>
      <c r="L847" s="33">
        <f>IF(OR($I847="",$J847=""),"",ROUND(($J847-$I847)*24-$K847/60,2))</f>
        <v/>
      </c>
      <c r="M847" s="29">
        <f>IF($C847="","",IF(AND(COUNTIF(設定!$B$14:$B$20,$F847)&gt;0,$I847&lt;&gt;""),"假日出勤",IF(AND(COUNTIF(設定!$B$5:$B$13,$F847)&gt;0,$I847=""),"未打卡",IF($I847="","",IF($N847&gt;0,"遲到",IF($O847&gt;0,"早退","正常"))))))</f>
        <v/>
      </c>
      <c r="N847" s="32">
        <f>IF(OR($C847="",$G847="",$I847=""),0,IF(ROUND(($I847-$G847)*1440,0)&gt;設定!$C$28,ROUND(($I847-$G847)*1440,0),0))</f>
        <v/>
      </c>
      <c r="O847" s="32">
        <f>IF(OR($C847="",$H847="",$J847=""),0,IF(ROUND(($H847-$J847)*1440,0)&gt;設定!$C$28,ROUND(($H847-$J847)*1440,0),0))</f>
        <v/>
      </c>
      <c r="P847" s="33">
        <f>IF($L847="",0,IF(($L847-IFERROR(INDEX(設定!$G$5:$G$20,MATCH($F847,設定!$B$5:$B$20,0)),0))*60&gt;=設定!$C$26,ROUND(FLOOR(($L847-IFERROR(INDEX(設定!$G$5:$G$20,MATCH($F847,設定!$B$5:$B$20,0)),0))*60,設定!$C$27)/60,2),0))</f>
        <v/>
      </c>
      <c r="Q847" s="29">
        <f>IF(OR($C847="",$P847=0),"",IF($F847="國","國定假日",IF($B847="日","例假",IF($B847="六","休息日","平日"))))</f>
        <v/>
      </c>
      <c r="R847" s="34" t="n"/>
    </row>
    <row r="848">
      <c r="A848" s="30">
        <f>IF(OR(班表!$A33="",9&gt;DAY(EOMONTH(DATE(班表!$E$2,班表!$G$2,1),0))),"",DATE(班表!$E$2,班表!$G$2,9))</f>
        <v/>
      </c>
      <c r="B848" s="29">
        <f>IF($A848="","",INDEX(設定!$L$5:$L$11,WEEKDAY($A848,1)))</f>
        <v/>
      </c>
      <c r="C848" s="29">
        <f>IF($A848="","",班表!$A33)</f>
        <v/>
      </c>
      <c r="D848" s="29">
        <f>IF($C848="","",班表!$B33)</f>
        <v/>
      </c>
      <c r="E848" s="29">
        <f>IF($C848="","",班表!$C33)</f>
        <v/>
      </c>
      <c r="F848" s="29">
        <f>IF($C848="","",班表!L33)</f>
        <v/>
      </c>
      <c r="G848" s="31">
        <f>IF($F848="","",IFERROR(INDEX(設定!$D$5:$D$20,MATCH($F848,設定!$B$5:$B$20,0)),""))</f>
        <v/>
      </c>
      <c r="H848" s="31">
        <f>IF($F848="","",IFERROR(INDEX(設定!$E$5:$E$20,MATCH($F848,設定!$B$5:$B$20,0)),""))</f>
        <v/>
      </c>
      <c r="I848" s="31">
        <f>IFERROR(INDEX(打卡匯入!$C$3:$C$1002,MATCH($C848&amp;"|"&amp;DAY($A848),打卡匯入!$E$3:$E$1002,0)),"")</f>
        <v/>
      </c>
      <c r="J848" s="31">
        <f>IFERROR(INDEX(打卡匯入!$D$3:$D$1002,MATCH($C848&amp;"|"&amp;DAY($A848),打卡匯入!$E$3:$E$1002,0)),"")</f>
        <v/>
      </c>
      <c r="K848" s="32">
        <f>IF(OR($I848="",$J848=""),"",IFERROR(INDEX(設定!$F$5:$F$20,MATCH($F848,設定!$B$5:$B$20,0)),0))</f>
        <v/>
      </c>
      <c r="L848" s="33">
        <f>IF(OR($I848="",$J848=""),"",ROUND(($J848-$I848)*24-$K848/60,2))</f>
        <v/>
      </c>
      <c r="M848" s="29">
        <f>IF($C848="","",IF(AND(COUNTIF(設定!$B$14:$B$20,$F848)&gt;0,$I848&lt;&gt;""),"假日出勤",IF(AND(COUNTIF(設定!$B$5:$B$13,$F848)&gt;0,$I848=""),"未打卡",IF($I848="","",IF($N848&gt;0,"遲到",IF($O848&gt;0,"早退","正常"))))))</f>
        <v/>
      </c>
      <c r="N848" s="32">
        <f>IF(OR($C848="",$G848="",$I848=""),0,IF(ROUND(($I848-$G848)*1440,0)&gt;設定!$C$28,ROUND(($I848-$G848)*1440,0),0))</f>
        <v/>
      </c>
      <c r="O848" s="32">
        <f>IF(OR($C848="",$H848="",$J848=""),0,IF(ROUND(($H848-$J848)*1440,0)&gt;設定!$C$28,ROUND(($H848-$J848)*1440,0),0))</f>
        <v/>
      </c>
      <c r="P848" s="33">
        <f>IF($L848="",0,IF(($L848-IFERROR(INDEX(設定!$G$5:$G$20,MATCH($F848,設定!$B$5:$B$20,0)),0))*60&gt;=設定!$C$26,ROUND(FLOOR(($L848-IFERROR(INDEX(設定!$G$5:$G$20,MATCH($F848,設定!$B$5:$B$20,0)),0))*60,設定!$C$27)/60,2),0))</f>
        <v/>
      </c>
      <c r="Q848" s="29">
        <f>IF(OR($C848="",$P848=0),"",IF($F848="國","國定假日",IF($B848="日","例假",IF($B848="六","休息日","平日"))))</f>
        <v/>
      </c>
      <c r="R848" s="34" t="n"/>
    </row>
    <row r="849">
      <c r="A849" s="30">
        <f>IF(OR(班表!$A33="",10&gt;DAY(EOMONTH(DATE(班表!$E$2,班表!$G$2,1),0))),"",DATE(班表!$E$2,班表!$G$2,10))</f>
        <v/>
      </c>
      <c r="B849" s="29">
        <f>IF($A849="","",INDEX(設定!$L$5:$L$11,WEEKDAY($A849,1)))</f>
        <v/>
      </c>
      <c r="C849" s="29">
        <f>IF($A849="","",班表!$A33)</f>
        <v/>
      </c>
      <c r="D849" s="29">
        <f>IF($C849="","",班表!$B33)</f>
        <v/>
      </c>
      <c r="E849" s="29">
        <f>IF($C849="","",班表!$C33)</f>
        <v/>
      </c>
      <c r="F849" s="29">
        <f>IF($C849="","",班表!M33)</f>
        <v/>
      </c>
      <c r="G849" s="31">
        <f>IF($F849="","",IFERROR(INDEX(設定!$D$5:$D$20,MATCH($F849,設定!$B$5:$B$20,0)),""))</f>
        <v/>
      </c>
      <c r="H849" s="31">
        <f>IF($F849="","",IFERROR(INDEX(設定!$E$5:$E$20,MATCH($F849,設定!$B$5:$B$20,0)),""))</f>
        <v/>
      </c>
      <c r="I849" s="31">
        <f>IFERROR(INDEX(打卡匯入!$C$3:$C$1002,MATCH($C849&amp;"|"&amp;DAY($A849),打卡匯入!$E$3:$E$1002,0)),"")</f>
        <v/>
      </c>
      <c r="J849" s="31">
        <f>IFERROR(INDEX(打卡匯入!$D$3:$D$1002,MATCH($C849&amp;"|"&amp;DAY($A849),打卡匯入!$E$3:$E$1002,0)),"")</f>
        <v/>
      </c>
      <c r="K849" s="32">
        <f>IF(OR($I849="",$J849=""),"",IFERROR(INDEX(設定!$F$5:$F$20,MATCH($F849,設定!$B$5:$B$20,0)),0))</f>
        <v/>
      </c>
      <c r="L849" s="33">
        <f>IF(OR($I849="",$J849=""),"",ROUND(($J849-$I849)*24-$K849/60,2))</f>
        <v/>
      </c>
      <c r="M849" s="29">
        <f>IF($C849="","",IF(AND(COUNTIF(設定!$B$14:$B$20,$F849)&gt;0,$I849&lt;&gt;""),"假日出勤",IF(AND(COUNTIF(設定!$B$5:$B$13,$F849)&gt;0,$I849=""),"未打卡",IF($I849="","",IF($N849&gt;0,"遲到",IF($O849&gt;0,"早退","正常"))))))</f>
        <v/>
      </c>
      <c r="N849" s="32">
        <f>IF(OR($C849="",$G849="",$I849=""),0,IF(ROUND(($I849-$G849)*1440,0)&gt;設定!$C$28,ROUND(($I849-$G849)*1440,0),0))</f>
        <v/>
      </c>
      <c r="O849" s="32">
        <f>IF(OR($C849="",$H849="",$J849=""),0,IF(ROUND(($H849-$J849)*1440,0)&gt;設定!$C$28,ROUND(($H849-$J849)*1440,0),0))</f>
        <v/>
      </c>
      <c r="P849" s="33">
        <f>IF($L849="",0,IF(($L849-IFERROR(INDEX(設定!$G$5:$G$20,MATCH($F849,設定!$B$5:$B$20,0)),0))*60&gt;=設定!$C$26,ROUND(FLOOR(($L849-IFERROR(INDEX(設定!$G$5:$G$20,MATCH($F849,設定!$B$5:$B$20,0)),0))*60,設定!$C$27)/60,2),0))</f>
        <v/>
      </c>
      <c r="Q849" s="29">
        <f>IF(OR($C849="",$P849=0),"",IF($F849="國","國定假日",IF($B849="日","例假",IF($B849="六","休息日","平日"))))</f>
        <v/>
      </c>
      <c r="R849" s="34" t="n"/>
    </row>
    <row r="850">
      <c r="A850" s="30">
        <f>IF(OR(班表!$A33="",11&gt;DAY(EOMONTH(DATE(班表!$E$2,班表!$G$2,1),0))),"",DATE(班表!$E$2,班表!$G$2,11))</f>
        <v/>
      </c>
      <c r="B850" s="29">
        <f>IF($A850="","",INDEX(設定!$L$5:$L$11,WEEKDAY($A850,1)))</f>
        <v/>
      </c>
      <c r="C850" s="29">
        <f>IF($A850="","",班表!$A33)</f>
        <v/>
      </c>
      <c r="D850" s="29">
        <f>IF($C850="","",班表!$B33)</f>
        <v/>
      </c>
      <c r="E850" s="29">
        <f>IF($C850="","",班表!$C33)</f>
        <v/>
      </c>
      <c r="F850" s="29">
        <f>IF($C850="","",班表!N33)</f>
        <v/>
      </c>
      <c r="G850" s="31">
        <f>IF($F850="","",IFERROR(INDEX(設定!$D$5:$D$20,MATCH($F850,設定!$B$5:$B$20,0)),""))</f>
        <v/>
      </c>
      <c r="H850" s="31">
        <f>IF($F850="","",IFERROR(INDEX(設定!$E$5:$E$20,MATCH($F850,設定!$B$5:$B$20,0)),""))</f>
        <v/>
      </c>
      <c r="I850" s="31">
        <f>IFERROR(INDEX(打卡匯入!$C$3:$C$1002,MATCH($C850&amp;"|"&amp;DAY($A850),打卡匯入!$E$3:$E$1002,0)),"")</f>
        <v/>
      </c>
      <c r="J850" s="31">
        <f>IFERROR(INDEX(打卡匯入!$D$3:$D$1002,MATCH($C850&amp;"|"&amp;DAY($A850),打卡匯入!$E$3:$E$1002,0)),"")</f>
        <v/>
      </c>
      <c r="K850" s="32">
        <f>IF(OR($I850="",$J850=""),"",IFERROR(INDEX(設定!$F$5:$F$20,MATCH($F850,設定!$B$5:$B$20,0)),0))</f>
        <v/>
      </c>
      <c r="L850" s="33">
        <f>IF(OR($I850="",$J850=""),"",ROUND(($J850-$I850)*24-$K850/60,2))</f>
        <v/>
      </c>
      <c r="M850" s="29">
        <f>IF($C850="","",IF(AND(COUNTIF(設定!$B$14:$B$20,$F850)&gt;0,$I850&lt;&gt;""),"假日出勤",IF(AND(COUNTIF(設定!$B$5:$B$13,$F850)&gt;0,$I850=""),"未打卡",IF($I850="","",IF($N850&gt;0,"遲到",IF($O850&gt;0,"早退","正常"))))))</f>
        <v/>
      </c>
      <c r="N850" s="32">
        <f>IF(OR($C850="",$G850="",$I850=""),0,IF(ROUND(($I850-$G850)*1440,0)&gt;設定!$C$28,ROUND(($I850-$G850)*1440,0),0))</f>
        <v/>
      </c>
      <c r="O850" s="32">
        <f>IF(OR($C850="",$H850="",$J850=""),0,IF(ROUND(($H850-$J850)*1440,0)&gt;設定!$C$28,ROUND(($H850-$J850)*1440,0),0))</f>
        <v/>
      </c>
      <c r="P850" s="33">
        <f>IF($L850="",0,IF(($L850-IFERROR(INDEX(設定!$G$5:$G$20,MATCH($F850,設定!$B$5:$B$20,0)),0))*60&gt;=設定!$C$26,ROUND(FLOOR(($L850-IFERROR(INDEX(設定!$G$5:$G$20,MATCH($F850,設定!$B$5:$B$20,0)),0))*60,設定!$C$27)/60,2),0))</f>
        <v/>
      </c>
      <c r="Q850" s="29">
        <f>IF(OR($C850="",$P850=0),"",IF($F850="國","國定假日",IF($B850="日","例假",IF($B850="六","休息日","平日"))))</f>
        <v/>
      </c>
      <c r="R850" s="34" t="n"/>
    </row>
    <row r="851">
      <c r="A851" s="30">
        <f>IF(OR(班表!$A33="",12&gt;DAY(EOMONTH(DATE(班表!$E$2,班表!$G$2,1),0))),"",DATE(班表!$E$2,班表!$G$2,12))</f>
        <v/>
      </c>
      <c r="B851" s="29">
        <f>IF($A851="","",INDEX(設定!$L$5:$L$11,WEEKDAY($A851,1)))</f>
        <v/>
      </c>
      <c r="C851" s="29">
        <f>IF($A851="","",班表!$A33)</f>
        <v/>
      </c>
      <c r="D851" s="29">
        <f>IF($C851="","",班表!$B33)</f>
        <v/>
      </c>
      <c r="E851" s="29">
        <f>IF($C851="","",班表!$C33)</f>
        <v/>
      </c>
      <c r="F851" s="29">
        <f>IF($C851="","",班表!O33)</f>
        <v/>
      </c>
      <c r="G851" s="31">
        <f>IF($F851="","",IFERROR(INDEX(設定!$D$5:$D$20,MATCH($F851,設定!$B$5:$B$20,0)),""))</f>
        <v/>
      </c>
      <c r="H851" s="31">
        <f>IF($F851="","",IFERROR(INDEX(設定!$E$5:$E$20,MATCH($F851,設定!$B$5:$B$20,0)),""))</f>
        <v/>
      </c>
      <c r="I851" s="31">
        <f>IFERROR(INDEX(打卡匯入!$C$3:$C$1002,MATCH($C851&amp;"|"&amp;DAY($A851),打卡匯入!$E$3:$E$1002,0)),"")</f>
        <v/>
      </c>
      <c r="J851" s="31">
        <f>IFERROR(INDEX(打卡匯入!$D$3:$D$1002,MATCH($C851&amp;"|"&amp;DAY($A851),打卡匯入!$E$3:$E$1002,0)),"")</f>
        <v/>
      </c>
      <c r="K851" s="32">
        <f>IF(OR($I851="",$J851=""),"",IFERROR(INDEX(設定!$F$5:$F$20,MATCH($F851,設定!$B$5:$B$20,0)),0))</f>
        <v/>
      </c>
      <c r="L851" s="33">
        <f>IF(OR($I851="",$J851=""),"",ROUND(($J851-$I851)*24-$K851/60,2))</f>
        <v/>
      </c>
      <c r="M851" s="29">
        <f>IF($C851="","",IF(AND(COUNTIF(設定!$B$14:$B$20,$F851)&gt;0,$I851&lt;&gt;""),"假日出勤",IF(AND(COUNTIF(設定!$B$5:$B$13,$F851)&gt;0,$I851=""),"未打卡",IF($I851="","",IF($N851&gt;0,"遲到",IF($O851&gt;0,"早退","正常"))))))</f>
        <v/>
      </c>
      <c r="N851" s="32">
        <f>IF(OR($C851="",$G851="",$I851=""),0,IF(ROUND(($I851-$G851)*1440,0)&gt;設定!$C$28,ROUND(($I851-$G851)*1440,0),0))</f>
        <v/>
      </c>
      <c r="O851" s="32">
        <f>IF(OR($C851="",$H851="",$J851=""),0,IF(ROUND(($H851-$J851)*1440,0)&gt;設定!$C$28,ROUND(($H851-$J851)*1440,0),0))</f>
        <v/>
      </c>
      <c r="P851" s="33">
        <f>IF($L851="",0,IF(($L851-IFERROR(INDEX(設定!$G$5:$G$20,MATCH($F851,設定!$B$5:$B$20,0)),0))*60&gt;=設定!$C$26,ROUND(FLOOR(($L851-IFERROR(INDEX(設定!$G$5:$G$20,MATCH($F851,設定!$B$5:$B$20,0)),0))*60,設定!$C$27)/60,2),0))</f>
        <v/>
      </c>
      <c r="Q851" s="29">
        <f>IF(OR($C851="",$P851=0),"",IF($F851="國","國定假日",IF($B851="日","例假",IF($B851="六","休息日","平日"))))</f>
        <v/>
      </c>
      <c r="R851" s="34" t="n"/>
    </row>
    <row r="852">
      <c r="A852" s="30">
        <f>IF(OR(班表!$A33="",13&gt;DAY(EOMONTH(DATE(班表!$E$2,班表!$G$2,1),0))),"",DATE(班表!$E$2,班表!$G$2,13))</f>
        <v/>
      </c>
      <c r="B852" s="29">
        <f>IF($A852="","",INDEX(設定!$L$5:$L$11,WEEKDAY($A852,1)))</f>
        <v/>
      </c>
      <c r="C852" s="29">
        <f>IF($A852="","",班表!$A33)</f>
        <v/>
      </c>
      <c r="D852" s="29">
        <f>IF($C852="","",班表!$B33)</f>
        <v/>
      </c>
      <c r="E852" s="29">
        <f>IF($C852="","",班表!$C33)</f>
        <v/>
      </c>
      <c r="F852" s="29">
        <f>IF($C852="","",班表!P33)</f>
        <v/>
      </c>
      <c r="G852" s="31">
        <f>IF($F852="","",IFERROR(INDEX(設定!$D$5:$D$20,MATCH($F852,設定!$B$5:$B$20,0)),""))</f>
        <v/>
      </c>
      <c r="H852" s="31">
        <f>IF($F852="","",IFERROR(INDEX(設定!$E$5:$E$20,MATCH($F852,設定!$B$5:$B$20,0)),""))</f>
        <v/>
      </c>
      <c r="I852" s="31">
        <f>IFERROR(INDEX(打卡匯入!$C$3:$C$1002,MATCH($C852&amp;"|"&amp;DAY($A852),打卡匯入!$E$3:$E$1002,0)),"")</f>
        <v/>
      </c>
      <c r="J852" s="31">
        <f>IFERROR(INDEX(打卡匯入!$D$3:$D$1002,MATCH($C852&amp;"|"&amp;DAY($A852),打卡匯入!$E$3:$E$1002,0)),"")</f>
        <v/>
      </c>
      <c r="K852" s="32">
        <f>IF(OR($I852="",$J852=""),"",IFERROR(INDEX(設定!$F$5:$F$20,MATCH($F852,設定!$B$5:$B$20,0)),0))</f>
        <v/>
      </c>
      <c r="L852" s="33">
        <f>IF(OR($I852="",$J852=""),"",ROUND(($J852-$I852)*24-$K852/60,2))</f>
        <v/>
      </c>
      <c r="M852" s="29">
        <f>IF($C852="","",IF(AND(COUNTIF(設定!$B$14:$B$20,$F852)&gt;0,$I852&lt;&gt;""),"假日出勤",IF(AND(COUNTIF(設定!$B$5:$B$13,$F852)&gt;0,$I852=""),"未打卡",IF($I852="","",IF($N852&gt;0,"遲到",IF($O852&gt;0,"早退","正常"))))))</f>
        <v/>
      </c>
      <c r="N852" s="32">
        <f>IF(OR($C852="",$G852="",$I852=""),0,IF(ROUND(($I852-$G852)*1440,0)&gt;設定!$C$28,ROUND(($I852-$G852)*1440,0),0))</f>
        <v/>
      </c>
      <c r="O852" s="32">
        <f>IF(OR($C852="",$H852="",$J852=""),0,IF(ROUND(($H852-$J852)*1440,0)&gt;設定!$C$28,ROUND(($H852-$J852)*1440,0),0))</f>
        <v/>
      </c>
      <c r="P852" s="33">
        <f>IF($L852="",0,IF(($L852-IFERROR(INDEX(設定!$G$5:$G$20,MATCH($F852,設定!$B$5:$B$20,0)),0))*60&gt;=設定!$C$26,ROUND(FLOOR(($L852-IFERROR(INDEX(設定!$G$5:$G$20,MATCH($F852,設定!$B$5:$B$20,0)),0))*60,設定!$C$27)/60,2),0))</f>
        <v/>
      </c>
      <c r="Q852" s="29">
        <f>IF(OR($C852="",$P852=0),"",IF($F852="國","國定假日",IF($B852="日","例假",IF($B852="六","休息日","平日"))))</f>
        <v/>
      </c>
      <c r="R852" s="34" t="n"/>
    </row>
    <row r="853">
      <c r="A853" s="30">
        <f>IF(OR(班表!$A33="",14&gt;DAY(EOMONTH(DATE(班表!$E$2,班表!$G$2,1),0))),"",DATE(班表!$E$2,班表!$G$2,14))</f>
        <v/>
      </c>
      <c r="B853" s="29">
        <f>IF($A853="","",INDEX(設定!$L$5:$L$11,WEEKDAY($A853,1)))</f>
        <v/>
      </c>
      <c r="C853" s="29">
        <f>IF($A853="","",班表!$A33)</f>
        <v/>
      </c>
      <c r="D853" s="29">
        <f>IF($C853="","",班表!$B33)</f>
        <v/>
      </c>
      <c r="E853" s="29">
        <f>IF($C853="","",班表!$C33)</f>
        <v/>
      </c>
      <c r="F853" s="29">
        <f>IF($C853="","",班表!Q33)</f>
        <v/>
      </c>
      <c r="G853" s="31">
        <f>IF($F853="","",IFERROR(INDEX(設定!$D$5:$D$20,MATCH($F853,設定!$B$5:$B$20,0)),""))</f>
        <v/>
      </c>
      <c r="H853" s="31">
        <f>IF($F853="","",IFERROR(INDEX(設定!$E$5:$E$20,MATCH($F853,設定!$B$5:$B$20,0)),""))</f>
        <v/>
      </c>
      <c r="I853" s="31">
        <f>IFERROR(INDEX(打卡匯入!$C$3:$C$1002,MATCH($C853&amp;"|"&amp;DAY($A853),打卡匯入!$E$3:$E$1002,0)),"")</f>
        <v/>
      </c>
      <c r="J853" s="31">
        <f>IFERROR(INDEX(打卡匯入!$D$3:$D$1002,MATCH($C853&amp;"|"&amp;DAY($A853),打卡匯入!$E$3:$E$1002,0)),"")</f>
        <v/>
      </c>
      <c r="K853" s="32">
        <f>IF(OR($I853="",$J853=""),"",IFERROR(INDEX(設定!$F$5:$F$20,MATCH($F853,設定!$B$5:$B$20,0)),0))</f>
        <v/>
      </c>
      <c r="L853" s="33">
        <f>IF(OR($I853="",$J853=""),"",ROUND(($J853-$I853)*24-$K853/60,2))</f>
        <v/>
      </c>
      <c r="M853" s="29">
        <f>IF($C853="","",IF(AND(COUNTIF(設定!$B$14:$B$20,$F853)&gt;0,$I853&lt;&gt;""),"假日出勤",IF(AND(COUNTIF(設定!$B$5:$B$13,$F853)&gt;0,$I853=""),"未打卡",IF($I853="","",IF($N853&gt;0,"遲到",IF($O853&gt;0,"早退","正常"))))))</f>
        <v/>
      </c>
      <c r="N853" s="32">
        <f>IF(OR($C853="",$G853="",$I853=""),0,IF(ROUND(($I853-$G853)*1440,0)&gt;設定!$C$28,ROUND(($I853-$G853)*1440,0),0))</f>
        <v/>
      </c>
      <c r="O853" s="32">
        <f>IF(OR($C853="",$H853="",$J853=""),0,IF(ROUND(($H853-$J853)*1440,0)&gt;設定!$C$28,ROUND(($H853-$J853)*1440,0),0))</f>
        <v/>
      </c>
      <c r="P853" s="33">
        <f>IF($L853="",0,IF(($L853-IFERROR(INDEX(設定!$G$5:$G$20,MATCH($F853,設定!$B$5:$B$20,0)),0))*60&gt;=設定!$C$26,ROUND(FLOOR(($L853-IFERROR(INDEX(設定!$G$5:$G$20,MATCH($F853,設定!$B$5:$B$20,0)),0))*60,設定!$C$27)/60,2),0))</f>
        <v/>
      </c>
      <c r="Q853" s="29">
        <f>IF(OR($C853="",$P853=0),"",IF($F853="國","國定假日",IF($B853="日","例假",IF($B853="六","休息日","平日"))))</f>
        <v/>
      </c>
      <c r="R853" s="34" t="n"/>
    </row>
    <row r="854">
      <c r="A854" s="30">
        <f>IF(OR(班表!$A33="",15&gt;DAY(EOMONTH(DATE(班表!$E$2,班表!$G$2,1),0))),"",DATE(班表!$E$2,班表!$G$2,15))</f>
        <v/>
      </c>
      <c r="B854" s="29">
        <f>IF($A854="","",INDEX(設定!$L$5:$L$11,WEEKDAY($A854,1)))</f>
        <v/>
      </c>
      <c r="C854" s="29">
        <f>IF($A854="","",班表!$A33)</f>
        <v/>
      </c>
      <c r="D854" s="29">
        <f>IF($C854="","",班表!$B33)</f>
        <v/>
      </c>
      <c r="E854" s="29">
        <f>IF($C854="","",班表!$C33)</f>
        <v/>
      </c>
      <c r="F854" s="29">
        <f>IF($C854="","",班表!R33)</f>
        <v/>
      </c>
      <c r="G854" s="31">
        <f>IF($F854="","",IFERROR(INDEX(設定!$D$5:$D$20,MATCH($F854,設定!$B$5:$B$20,0)),""))</f>
        <v/>
      </c>
      <c r="H854" s="31">
        <f>IF($F854="","",IFERROR(INDEX(設定!$E$5:$E$20,MATCH($F854,設定!$B$5:$B$20,0)),""))</f>
        <v/>
      </c>
      <c r="I854" s="31">
        <f>IFERROR(INDEX(打卡匯入!$C$3:$C$1002,MATCH($C854&amp;"|"&amp;DAY($A854),打卡匯入!$E$3:$E$1002,0)),"")</f>
        <v/>
      </c>
      <c r="J854" s="31">
        <f>IFERROR(INDEX(打卡匯入!$D$3:$D$1002,MATCH($C854&amp;"|"&amp;DAY($A854),打卡匯入!$E$3:$E$1002,0)),"")</f>
        <v/>
      </c>
      <c r="K854" s="32">
        <f>IF(OR($I854="",$J854=""),"",IFERROR(INDEX(設定!$F$5:$F$20,MATCH($F854,設定!$B$5:$B$20,0)),0))</f>
        <v/>
      </c>
      <c r="L854" s="33">
        <f>IF(OR($I854="",$J854=""),"",ROUND(($J854-$I854)*24-$K854/60,2))</f>
        <v/>
      </c>
      <c r="M854" s="29">
        <f>IF($C854="","",IF(AND(COUNTIF(設定!$B$14:$B$20,$F854)&gt;0,$I854&lt;&gt;""),"假日出勤",IF(AND(COUNTIF(設定!$B$5:$B$13,$F854)&gt;0,$I854=""),"未打卡",IF($I854="","",IF($N854&gt;0,"遲到",IF($O854&gt;0,"早退","正常"))))))</f>
        <v/>
      </c>
      <c r="N854" s="32">
        <f>IF(OR($C854="",$G854="",$I854=""),0,IF(ROUND(($I854-$G854)*1440,0)&gt;設定!$C$28,ROUND(($I854-$G854)*1440,0),0))</f>
        <v/>
      </c>
      <c r="O854" s="32">
        <f>IF(OR($C854="",$H854="",$J854=""),0,IF(ROUND(($H854-$J854)*1440,0)&gt;設定!$C$28,ROUND(($H854-$J854)*1440,0),0))</f>
        <v/>
      </c>
      <c r="P854" s="33">
        <f>IF($L854="",0,IF(($L854-IFERROR(INDEX(設定!$G$5:$G$20,MATCH($F854,設定!$B$5:$B$20,0)),0))*60&gt;=設定!$C$26,ROUND(FLOOR(($L854-IFERROR(INDEX(設定!$G$5:$G$20,MATCH($F854,設定!$B$5:$B$20,0)),0))*60,設定!$C$27)/60,2),0))</f>
        <v/>
      </c>
      <c r="Q854" s="29">
        <f>IF(OR($C854="",$P854=0),"",IF($F854="國","國定假日",IF($B854="日","例假",IF($B854="六","休息日","平日"))))</f>
        <v/>
      </c>
      <c r="R854" s="34" t="n"/>
    </row>
    <row r="855">
      <c r="A855" s="30">
        <f>IF(OR(班表!$A33="",16&gt;DAY(EOMONTH(DATE(班表!$E$2,班表!$G$2,1),0))),"",DATE(班表!$E$2,班表!$G$2,16))</f>
        <v/>
      </c>
      <c r="B855" s="29">
        <f>IF($A855="","",INDEX(設定!$L$5:$L$11,WEEKDAY($A855,1)))</f>
        <v/>
      </c>
      <c r="C855" s="29">
        <f>IF($A855="","",班表!$A33)</f>
        <v/>
      </c>
      <c r="D855" s="29">
        <f>IF($C855="","",班表!$B33)</f>
        <v/>
      </c>
      <c r="E855" s="29">
        <f>IF($C855="","",班表!$C33)</f>
        <v/>
      </c>
      <c r="F855" s="29">
        <f>IF($C855="","",班表!S33)</f>
        <v/>
      </c>
      <c r="G855" s="31">
        <f>IF($F855="","",IFERROR(INDEX(設定!$D$5:$D$20,MATCH($F855,設定!$B$5:$B$20,0)),""))</f>
        <v/>
      </c>
      <c r="H855" s="31">
        <f>IF($F855="","",IFERROR(INDEX(設定!$E$5:$E$20,MATCH($F855,設定!$B$5:$B$20,0)),""))</f>
        <v/>
      </c>
      <c r="I855" s="31">
        <f>IFERROR(INDEX(打卡匯入!$C$3:$C$1002,MATCH($C855&amp;"|"&amp;DAY($A855),打卡匯入!$E$3:$E$1002,0)),"")</f>
        <v/>
      </c>
      <c r="J855" s="31">
        <f>IFERROR(INDEX(打卡匯入!$D$3:$D$1002,MATCH($C855&amp;"|"&amp;DAY($A855),打卡匯入!$E$3:$E$1002,0)),"")</f>
        <v/>
      </c>
      <c r="K855" s="32">
        <f>IF(OR($I855="",$J855=""),"",IFERROR(INDEX(設定!$F$5:$F$20,MATCH($F855,設定!$B$5:$B$20,0)),0))</f>
        <v/>
      </c>
      <c r="L855" s="33">
        <f>IF(OR($I855="",$J855=""),"",ROUND(($J855-$I855)*24-$K855/60,2))</f>
        <v/>
      </c>
      <c r="M855" s="29">
        <f>IF($C855="","",IF(AND(COUNTIF(設定!$B$14:$B$20,$F855)&gt;0,$I855&lt;&gt;""),"假日出勤",IF(AND(COUNTIF(設定!$B$5:$B$13,$F855)&gt;0,$I855=""),"未打卡",IF($I855="","",IF($N855&gt;0,"遲到",IF($O855&gt;0,"早退","正常"))))))</f>
        <v/>
      </c>
      <c r="N855" s="32">
        <f>IF(OR($C855="",$G855="",$I855=""),0,IF(ROUND(($I855-$G855)*1440,0)&gt;設定!$C$28,ROUND(($I855-$G855)*1440,0),0))</f>
        <v/>
      </c>
      <c r="O855" s="32">
        <f>IF(OR($C855="",$H855="",$J855=""),0,IF(ROUND(($H855-$J855)*1440,0)&gt;設定!$C$28,ROUND(($H855-$J855)*1440,0),0))</f>
        <v/>
      </c>
      <c r="P855" s="33">
        <f>IF($L855="",0,IF(($L855-IFERROR(INDEX(設定!$G$5:$G$20,MATCH($F855,設定!$B$5:$B$20,0)),0))*60&gt;=設定!$C$26,ROUND(FLOOR(($L855-IFERROR(INDEX(設定!$G$5:$G$20,MATCH($F855,設定!$B$5:$B$20,0)),0))*60,設定!$C$27)/60,2),0))</f>
        <v/>
      </c>
      <c r="Q855" s="29">
        <f>IF(OR($C855="",$P855=0),"",IF($F855="國","國定假日",IF($B855="日","例假",IF($B855="六","休息日","平日"))))</f>
        <v/>
      </c>
      <c r="R855" s="34" t="n"/>
    </row>
    <row r="856">
      <c r="A856" s="30">
        <f>IF(OR(班表!$A33="",17&gt;DAY(EOMONTH(DATE(班表!$E$2,班表!$G$2,1),0))),"",DATE(班表!$E$2,班表!$G$2,17))</f>
        <v/>
      </c>
      <c r="B856" s="29">
        <f>IF($A856="","",INDEX(設定!$L$5:$L$11,WEEKDAY($A856,1)))</f>
        <v/>
      </c>
      <c r="C856" s="29">
        <f>IF($A856="","",班表!$A33)</f>
        <v/>
      </c>
      <c r="D856" s="29">
        <f>IF($C856="","",班表!$B33)</f>
        <v/>
      </c>
      <c r="E856" s="29">
        <f>IF($C856="","",班表!$C33)</f>
        <v/>
      </c>
      <c r="F856" s="29">
        <f>IF($C856="","",班表!T33)</f>
        <v/>
      </c>
      <c r="G856" s="31">
        <f>IF($F856="","",IFERROR(INDEX(設定!$D$5:$D$20,MATCH($F856,設定!$B$5:$B$20,0)),""))</f>
        <v/>
      </c>
      <c r="H856" s="31">
        <f>IF($F856="","",IFERROR(INDEX(設定!$E$5:$E$20,MATCH($F856,設定!$B$5:$B$20,0)),""))</f>
        <v/>
      </c>
      <c r="I856" s="31">
        <f>IFERROR(INDEX(打卡匯入!$C$3:$C$1002,MATCH($C856&amp;"|"&amp;DAY($A856),打卡匯入!$E$3:$E$1002,0)),"")</f>
        <v/>
      </c>
      <c r="J856" s="31">
        <f>IFERROR(INDEX(打卡匯入!$D$3:$D$1002,MATCH($C856&amp;"|"&amp;DAY($A856),打卡匯入!$E$3:$E$1002,0)),"")</f>
        <v/>
      </c>
      <c r="K856" s="32">
        <f>IF(OR($I856="",$J856=""),"",IFERROR(INDEX(設定!$F$5:$F$20,MATCH($F856,設定!$B$5:$B$20,0)),0))</f>
        <v/>
      </c>
      <c r="L856" s="33">
        <f>IF(OR($I856="",$J856=""),"",ROUND(($J856-$I856)*24-$K856/60,2))</f>
        <v/>
      </c>
      <c r="M856" s="29">
        <f>IF($C856="","",IF(AND(COUNTIF(設定!$B$14:$B$20,$F856)&gt;0,$I856&lt;&gt;""),"假日出勤",IF(AND(COUNTIF(設定!$B$5:$B$13,$F856)&gt;0,$I856=""),"未打卡",IF($I856="","",IF($N856&gt;0,"遲到",IF($O856&gt;0,"早退","正常"))))))</f>
        <v/>
      </c>
      <c r="N856" s="32">
        <f>IF(OR($C856="",$G856="",$I856=""),0,IF(ROUND(($I856-$G856)*1440,0)&gt;設定!$C$28,ROUND(($I856-$G856)*1440,0),0))</f>
        <v/>
      </c>
      <c r="O856" s="32">
        <f>IF(OR($C856="",$H856="",$J856=""),0,IF(ROUND(($H856-$J856)*1440,0)&gt;設定!$C$28,ROUND(($H856-$J856)*1440,0),0))</f>
        <v/>
      </c>
      <c r="P856" s="33">
        <f>IF($L856="",0,IF(($L856-IFERROR(INDEX(設定!$G$5:$G$20,MATCH($F856,設定!$B$5:$B$20,0)),0))*60&gt;=設定!$C$26,ROUND(FLOOR(($L856-IFERROR(INDEX(設定!$G$5:$G$20,MATCH($F856,設定!$B$5:$B$20,0)),0))*60,設定!$C$27)/60,2),0))</f>
        <v/>
      </c>
      <c r="Q856" s="29">
        <f>IF(OR($C856="",$P856=0),"",IF($F856="國","國定假日",IF($B856="日","例假",IF($B856="六","休息日","平日"))))</f>
        <v/>
      </c>
      <c r="R856" s="34" t="n"/>
    </row>
    <row r="857">
      <c r="A857" s="30">
        <f>IF(OR(班表!$A33="",18&gt;DAY(EOMONTH(DATE(班表!$E$2,班表!$G$2,1),0))),"",DATE(班表!$E$2,班表!$G$2,18))</f>
        <v/>
      </c>
      <c r="B857" s="29">
        <f>IF($A857="","",INDEX(設定!$L$5:$L$11,WEEKDAY($A857,1)))</f>
        <v/>
      </c>
      <c r="C857" s="29">
        <f>IF($A857="","",班表!$A33)</f>
        <v/>
      </c>
      <c r="D857" s="29">
        <f>IF($C857="","",班表!$B33)</f>
        <v/>
      </c>
      <c r="E857" s="29">
        <f>IF($C857="","",班表!$C33)</f>
        <v/>
      </c>
      <c r="F857" s="29">
        <f>IF($C857="","",班表!U33)</f>
        <v/>
      </c>
      <c r="G857" s="31">
        <f>IF($F857="","",IFERROR(INDEX(設定!$D$5:$D$20,MATCH($F857,設定!$B$5:$B$20,0)),""))</f>
        <v/>
      </c>
      <c r="H857" s="31">
        <f>IF($F857="","",IFERROR(INDEX(設定!$E$5:$E$20,MATCH($F857,設定!$B$5:$B$20,0)),""))</f>
        <v/>
      </c>
      <c r="I857" s="31">
        <f>IFERROR(INDEX(打卡匯入!$C$3:$C$1002,MATCH($C857&amp;"|"&amp;DAY($A857),打卡匯入!$E$3:$E$1002,0)),"")</f>
        <v/>
      </c>
      <c r="J857" s="31">
        <f>IFERROR(INDEX(打卡匯入!$D$3:$D$1002,MATCH($C857&amp;"|"&amp;DAY($A857),打卡匯入!$E$3:$E$1002,0)),"")</f>
        <v/>
      </c>
      <c r="K857" s="32">
        <f>IF(OR($I857="",$J857=""),"",IFERROR(INDEX(設定!$F$5:$F$20,MATCH($F857,設定!$B$5:$B$20,0)),0))</f>
        <v/>
      </c>
      <c r="L857" s="33">
        <f>IF(OR($I857="",$J857=""),"",ROUND(($J857-$I857)*24-$K857/60,2))</f>
        <v/>
      </c>
      <c r="M857" s="29">
        <f>IF($C857="","",IF(AND(COUNTIF(設定!$B$14:$B$20,$F857)&gt;0,$I857&lt;&gt;""),"假日出勤",IF(AND(COUNTIF(設定!$B$5:$B$13,$F857)&gt;0,$I857=""),"未打卡",IF($I857="","",IF($N857&gt;0,"遲到",IF($O857&gt;0,"早退","正常"))))))</f>
        <v/>
      </c>
      <c r="N857" s="32">
        <f>IF(OR($C857="",$G857="",$I857=""),0,IF(ROUND(($I857-$G857)*1440,0)&gt;設定!$C$28,ROUND(($I857-$G857)*1440,0),0))</f>
        <v/>
      </c>
      <c r="O857" s="32">
        <f>IF(OR($C857="",$H857="",$J857=""),0,IF(ROUND(($H857-$J857)*1440,0)&gt;設定!$C$28,ROUND(($H857-$J857)*1440,0),0))</f>
        <v/>
      </c>
      <c r="P857" s="33">
        <f>IF($L857="",0,IF(($L857-IFERROR(INDEX(設定!$G$5:$G$20,MATCH($F857,設定!$B$5:$B$20,0)),0))*60&gt;=設定!$C$26,ROUND(FLOOR(($L857-IFERROR(INDEX(設定!$G$5:$G$20,MATCH($F857,設定!$B$5:$B$20,0)),0))*60,設定!$C$27)/60,2),0))</f>
        <v/>
      </c>
      <c r="Q857" s="29">
        <f>IF(OR($C857="",$P857=0),"",IF($F857="國","國定假日",IF($B857="日","例假",IF($B857="六","休息日","平日"))))</f>
        <v/>
      </c>
      <c r="R857" s="34" t="n"/>
    </row>
    <row r="858">
      <c r="A858" s="30">
        <f>IF(OR(班表!$A33="",19&gt;DAY(EOMONTH(DATE(班表!$E$2,班表!$G$2,1),0))),"",DATE(班表!$E$2,班表!$G$2,19))</f>
        <v/>
      </c>
      <c r="B858" s="29">
        <f>IF($A858="","",INDEX(設定!$L$5:$L$11,WEEKDAY($A858,1)))</f>
        <v/>
      </c>
      <c r="C858" s="29">
        <f>IF($A858="","",班表!$A33)</f>
        <v/>
      </c>
      <c r="D858" s="29">
        <f>IF($C858="","",班表!$B33)</f>
        <v/>
      </c>
      <c r="E858" s="29">
        <f>IF($C858="","",班表!$C33)</f>
        <v/>
      </c>
      <c r="F858" s="29">
        <f>IF($C858="","",班表!V33)</f>
        <v/>
      </c>
      <c r="G858" s="31">
        <f>IF($F858="","",IFERROR(INDEX(設定!$D$5:$D$20,MATCH($F858,設定!$B$5:$B$20,0)),""))</f>
        <v/>
      </c>
      <c r="H858" s="31">
        <f>IF($F858="","",IFERROR(INDEX(設定!$E$5:$E$20,MATCH($F858,設定!$B$5:$B$20,0)),""))</f>
        <v/>
      </c>
      <c r="I858" s="31">
        <f>IFERROR(INDEX(打卡匯入!$C$3:$C$1002,MATCH($C858&amp;"|"&amp;DAY($A858),打卡匯入!$E$3:$E$1002,0)),"")</f>
        <v/>
      </c>
      <c r="J858" s="31">
        <f>IFERROR(INDEX(打卡匯入!$D$3:$D$1002,MATCH($C858&amp;"|"&amp;DAY($A858),打卡匯入!$E$3:$E$1002,0)),"")</f>
        <v/>
      </c>
      <c r="K858" s="32">
        <f>IF(OR($I858="",$J858=""),"",IFERROR(INDEX(設定!$F$5:$F$20,MATCH($F858,設定!$B$5:$B$20,0)),0))</f>
        <v/>
      </c>
      <c r="L858" s="33">
        <f>IF(OR($I858="",$J858=""),"",ROUND(($J858-$I858)*24-$K858/60,2))</f>
        <v/>
      </c>
      <c r="M858" s="29">
        <f>IF($C858="","",IF(AND(COUNTIF(設定!$B$14:$B$20,$F858)&gt;0,$I858&lt;&gt;""),"假日出勤",IF(AND(COUNTIF(設定!$B$5:$B$13,$F858)&gt;0,$I858=""),"未打卡",IF($I858="","",IF($N858&gt;0,"遲到",IF($O858&gt;0,"早退","正常"))))))</f>
        <v/>
      </c>
      <c r="N858" s="32">
        <f>IF(OR($C858="",$G858="",$I858=""),0,IF(ROUND(($I858-$G858)*1440,0)&gt;設定!$C$28,ROUND(($I858-$G858)*1440,0),0))</f>
        <v/>
      </c>
      <c r="O858" s="32">
        <f>IF(OR($C858="",$H858="",$J858=""),0,IF(ROUND(($H858-$J858)*1440,0)&gt;設定!$C$28,ROUND(($H858-$J858)*1440,0),0))</f>
        <v/>
      </c>
      <c r="P858" s="33">
        <f>IF($L858="",0,IF(($L858-IFERROR(INDEX(設定!$G$5:$G$20,MATCH($F858,設定!$B$5:$B$20,0)),0))*60&gt;=設定!$C$26,ROUND(FLOOR(($L858-IFERROR(INDEX(設定!$G$5:$G$20,MATCH($F858,設定!$B$5:$B$20,0)),0))*60,設定!$C$27)/60,2),0))</f>
        <v/>
      </c>
      <c r="Q858" s="29">
        <f>IF(OR($C858="",$P858=0),"",IF($F858="國","國定假日",IF($B858="日","例假",IF($B858="六","休息日","平日"))))</f>
        <v/>
      </c>
      <c r="R858" s="34" t="n"/>
    </row>
    <row r="859">
      <c r="A859" s="30">
        <f>IF(OR(班表!$A33="",20&gt;DAY(EOMONTH(DATE(班表!$E$2,班表!$G$2,1),0))),"",DATE(班表!$E$2,班表!$G$2,20))</f>
        <v/>
      </c>
      <c r="B859" s="29">
        <f>IF($A859="","",INDEX(設定!$L$5:$L$11,WEEKDAY($A859,1)))</f>
        <v/>
      </c>
      <c r="C859" s="29">
        <f>IF($A859="","",班表!$A33)</f>
        <v/>
      </c>
      <c r="D859" s="29">
        <f>IF($C859="","",班表!$B33)</f>
        <v/>
      </c>
      <c r="E859" s="29">
        <f>IF($C859="","",班表!$C33)</f>
        <v/>
      </c>
      <c r="F859" s="29">
        <f>IF($C859="","",班表!W33)</f>
        <v/>
      </c>
      <c r="G859" s="31">
        <f>IF($F859="","",IFERROR(INDEX(設定!$D$5:$D$20,MATCH($F859,設定!$B$5:$B$20,0)),""))</f>
        <v/>
      </c>
      <c r="H859" s="31">
        <f>IF($F859="","",IFERROR(INDEX(設定!$E$5:$E$20,MATCH($F859,設定!$B$5:$B$20,0)),""))</f>
        <v/>
      </c>
      <c r="I859" s="31">
        <f>IFERROR(INDEX(打卡匯入!$C$3:$C$1002,MATCH($C859&amp;"|"&amp;DAY($A859),打卡匯入!$E$3:$E$1002,0)),"")</f>
        <v/>
      </c>
      <c r="J859" s="31">
        <f>IFERROR(INDEX(打卡匯入!$D$3:$D$1002,MATCH($C859&amp;"|"&amp;DAY($A859),打卡匯入!$E$3:$E$1002,0)),"")</f>
        <v/>
      </c>
      <c r="K859" s="32">
        <f>IF(OR($I859="",$J859=""),"",IFERROR(INDEX(設定!$F$5:$F$20,MATCH($F859,設定!$B$5:$B$20,0)),0))</f>
        <v/>
      </c>
      <c r="L859" s="33">
        <f>IF(OR($I859="",$J859=""),"",ROUND(($J859-$I859)*24-$K859/60,2))</f>
        <v/>
      </c>
      <c r="M859" s="29">
        <f>IF($C859="","",IF(AND(COUNTIF(設定!$B$14:$B$20,$F859)&gt;0,$I859&lt;&gt;""),"假日出勤",IF(AND(COUNTIF(設定!$B$5:$B$13,$F859)&gt;0,$I859=""),"未打卡",IF($I859="","",IF($N859&gt;0,"遲到",IF($O859&gt;0,"早退","正常"))))))</f>
        <v/>
      </c>
      <c r="N859" s="32">
        <f>IF(OR($C859="",$G859="",$I859=""),0,IF(ROUND(($I859-$G859)*1440,0)&gt;設定!$C$28,ROUND(($I859-$G859)*1440,0),0))</f>
        <v/>
      </c>
      <c r="O859" s="32">
        <f>IF(OR($C859="",$H859="",$J859=""),0,IF(ROUND(($H859-$J859)*1440,0)&gt;設定!$C$28,ROUND(($H859-$J859)*1440,0),0))</f>
        <v/>
      </c>
      <c r="P859" s="33">
        <f>IF($L859="",0,IF(($L859-IFERROR(INDEX(設定!$G$5:$G$20,MATCH($F859,設定!$B$5:$B$20,0)),0))*60&gt;=設定!$C$26,ROUND(FLOOR(($L859-IFERROR(INDEX(設定!$G$5:$G$20,MATCH($F859,設定!$B$5:$B$20,0)),0))*60,設定!$C$27)/60,2),0))</f>
        <v/>
      </c>
      <c r="Q859" s="29">
        <f>IF(OR($C859="",$P859=0),"",IF($F859="國","國定假日",IF($B859="日","例假",IF($B859="六","休息日","平日"))))</f>
        <v/>
      </c>
      <c r="R859" s="34" t="n"/>
    </row>
    <row r="860">
      <c r="A860" s="30">
        <f>IF(OR(班表!$A33="",21&gt;DAY(EOMONTH(DATE(班表!$E$2,班表!$G$2,1),0))),"",DATE(班表!$E$2,班表!$G$2,21))</f>
        <v/>
      </c>
      <c r="B860" s="29">
        <f>IF($A860="","",INDEX(設定!$L$5:$L$11,WEEKDAY($A860,1)))</f>
        <v/>
      </c>
      <c r="C860" s="29">
        <f>IF($A860="","",班表!$A33)</f>
        <v/>
      </c>
      <c r="D860" s="29">
        <f>IF($C860="","",班表!$B33)</f>
        <v/>
      </c>
      <c r="E860" s="29">
        <f>IF($C860="","",班表!$C33)</f>
        <v/>
      </c>
      <c r="F860" s="29">
        <f>IF($C860="","",班表!X33)</f>
        <v/>
      </c>
      <c r="G860" s="31">
        <f>IF($F860="","",IFERROR(INDEX(設定!$D$5:$D$20,MATCH($F860,設定!$B$5:$B$20,0)),""))</f>
        <v/>
      </c>
      <c r="H860" s="31">
        <f>IF($F860="","",IFERROR(INDEX(設定!$E$5:$E$20,MATCH($F860,設定!$B$5:$B$20,0)),""))</f>
        <v/>
      </c>
      <c r="I860" s="31">
        <f>IFERROR(INDEX(打卡匯入!$C$3:$C$1002,MATCH($C860&amp;"|"&amp;DAY($A860),打卡匯入!$E$3:$E$1002,0)),"")</f>
        <v/>
      </c>
      <c r="J860" s="31">
        <f>IFERROR(INDEX(打卡匯入!$D$3:$D$1002,MATCH($C860&amp;"|"&amp;DAY($A860),打卡匯入!$E$3:$E$1002,0)),"")</f>
        <v/>
      </c>
      <c r="K860" s="32">
        <f>IF(OR($I860="",$J860=""),"",IFERROR(INDEX(設定!$F$5:$F$20,MATCH($F860,設定!$B$5:$B$20,0)),0))</f>
        <v/>
      </c>
      <c r="L860" s="33">
        <f>IF(OR($I860="",$J860=""),"",ROUND(($J860-$I860)*24-$K860/60,2))</f>
        <v/>
      </c>
      <c r="M860" s="29">
        <f>IF($C860="","",IF(AND(COUNTIF(設定!$B$14:$B$20,$F860)&gt;0,$I860&lt;&gt;""),"假日出勤",IF(AND(COUNTIF(設定!$B$5:$B$13,$F860)&gt;0,$I860=""),"未打卡",IF($I860="","",IF($N860&gt;0,"遲到",IF($O860&gt;0,"早退","正常"))))))</f>
        <v/>
      </c>
      <c r="N860" s="32">
        <f>IF(OR($C860="",$G860="",$I860=""),0,IF(ROUND(($I860-$G860)*1440,0)&gt;設定!$C$28,ROUND(($I860-$G860)*1440,0),0))</f>
        <v/>
      </c>
      <c r="O860" s="32">
        <f>IF(OR($C860="",$H860="",$J860=""),0,IF(ROUND(($H860-$J860)*1440,0)&gt;設定!$C$28,ROUND(($H860-$J860)*1440,0),0))</f>
        <v/>
      </c>
      <c r="P860" s="33">
        <f>IF($L860="",0,IF(($L860-IFERROR(INDEX(設定!$G$5:$G$20,MATCH($F860,設定!$B$5:$B$20,0)),0))*60&gt;=設定!$C$26,ROUND(FLOOR(($L860-IFERROR(INDEX(設定!$G$5:$G$20,MATCH($F860,設定!$B$5:$B$20,0)),0))*60,設定!$C$27)/60,2),0))</f>
        <v/>
      </c>
      <c r="Q860" s="29">
        <f>IF(OR($C860="",$P860=0),"",IF($F860="國","國定假日",IF($B860="日","例假",IF($B860="六","休息日","平日"))))</f>
        <v/>
      </c>
      <c r="R860" s="34" t="n"/>
    </row>
    <row r="861">
      <c r="A861" s="30">
        <f>IF(OR(班表!$A33="",22&gt;DAY(EOMONTH(DATE(班表!$E$2,班表!$G$2,1),0))),"",DATE(班表!$E$2,班表!$G$2,22))</f>
        <v/>
      </c>
      <c r="B861" s="29">
        <f>IF($A861="","",INDEX(設定!$L$5:$L$11,WEEKDAY($A861,1)))</f>
        <v/>
      </c>
      <c r="C861" s="29">
        <f>IF($A861="","",班表!$A33)</f>
        <v/>
      </c>
      <c r="D861" s="29">
        <f>IF($C861="","",班表!$B33)</f>
        <v/>
      </c>
      <c r="E861" s="29">
        <f>IF($C861="","",班表!$C33)</f>
        <v/>
      </c>
      <c r="F861" s="29">
        <f>IF($C861="","",班表!Y33)</f>
        <v/>
      </c>
      <c r="G861" s="31">
        <f>IF($F861="","",IFERROR(INDEX(設定!$D$5:$D$20,MATCH($F861,設定!$B$5:$B$20,0)),""))</f>
        <v/>
      </c>
      <c r="H861" s="31">
        <f>IF($F861="","",IFERROR(INDEX(設定!$E$5:$E$20,MATCH($F861,設定!$B$5:$B$20,0)),""))</f>
        <v/>
      </c>
      <c r="I861" s="31">
        <f>IFERROR(INDEX(打卡匯入!$C$3:$C$1002,MATCH($C861&amp;"|"&amp;DAY($A861),打卡匯入!$E$3:$E$1002,0)),"")</f>
        <v/>
      </c>
      <c r="J861" s="31">
        <f>IFERROR(INDEX(打卡匯入!$D$3:$D$1002,MATCH($C861&amp;"|"&amp;DAY($A861),打卡匯入!$E$3:$E$1002,0)),"")</f>
        <v/>
      </c>
      <c r="K861" s="32">
        <f>IF(OR($I861="",$J861=""),"",IFERROR(INDEX(設定!$F$5:$F$20,MATCH($F861,設定!$B$5:$B$20,0)),0))</f>
        <v/>
      </c>
      <c r="L861" s="33">
        <f>IF(OR($I861="",$J861=""),"",ROUND(($J861-$I861)*24-$K861/60,2))</f>
        <v/>
      </c>
      <c r="M861" s="29">
        <f>IF($C861="","",IF(AND(COUNTIF(設定!$B$14:$B$20,$F861)&gt;0,$I861&lt;&gt;""),"假日出勤",IF(AND(COUNTIF(設定!$B$5:$B$13,$F861)&gt;0,$I861=""),"未打卡",IF($I861="","",IF($N861&gt;0,"遲到",IF($O861&gt;0,"早退","正常"))))))</f>
        <v/>
      </c>
      <c r="N861" s="32">
        <f>IF(OR($C861="",$G861="",$I861=""),0,IF(ROUND(($I861-$G861)*1440,0)&gt;設定!$C$28,ROUND(($I861-$G861)*1440,0),0))</f>
        <v/>
      </c>
      <c r="O861" s="32">
        <f>IF(OR($C861="",$H861="",$J861=""),0,IF(ROUND(($H861-$J861)*1440,0)&gt;設定!$C$28,ROUND(($H861-$J861)*1440,0),0))</f>
        <v/>
      </c>
      <c r="P861" s="33">
        <f>IF($L861="",0,IF(($L861-IFERROR(INDEX(設定!$G$5:$G$20,MATCH($F861,設定!$B$5:$B$20,0)),0))*60&gt;=設定!$C$26,ROUND(FLOOR(($L861-IFERROR(INDEX(設定!$G$5:$G$20,MATCH($F861,設定!$B$5:$B$20,0)),0))*60,設定!$C$27)/60,2),0))</f>
        <v/>
      </c>
      <c r="Q861" s="29">
        <f>IF(OR($C861="",$P861=0),"",IF($F861="國","國定假日",IF($B861="日","例假",IF($B861="六","休息日","平日"))))</f>
        <v/>
      </c>
      <c r="R861" s="34" t="n"/>
    </row>
    <row r="862">
      <c r="A862" s="30">
        <f>IF(OR(班表!$A33="",23&gt;DAY(EOMONTH(DATE(班表!$E$2,班表!$G$2,1),0))),"",DATE(班表!$E$2,班表!$G$2,23))</f>
        <v/>
      </c>
      <c r="B862" s="29">
        <f>IF($A862="","",INDEX(設定!$L$5:$L$11,WEEKDAY($A862,1)))</f>
        <v/>
      </c>
      <c r="C862" s="29">
        <f>IF($A862="","",班表!$A33)</f>
        <v/>
      </c>
      <c r="D862" s="29">
        <f>IF($C862="","",班表!$B33)</f>
        <v/>
      </c>
      <c r="E862" s="29">
        <f>IF($C862="","",班表!$C33)</f>
        <v/>
      </c>
      <c r="F862" s="29">
        <f>IF($C862="","",班表!Z33)</f>
        <v/>
      </c>
      <c r="G862" s="31">
        <f>IF($F862="","",IFERROR(INDEX(設定!$D$5:$D$20,MATCH($F862,設定!$B$5:$B$20,0)),""))</f>
        <v/>
      </c>
      <c r="H862" s="31">
        <f>IF($F862="","",IFERROR(INDEX(設定!$E$5:$E$20,MATCH($F862,設定!$B$5:$B$20,0)),""))</f>
        <v/>
      </c>
      <c r="I862" s="31">
        <f>IFERROR(INDEX(打卡匯入!$C$3:$C$1002,MATCH($C862&amp;"|"&amp;DAY($A862),打卡匯入!$E$3:$E$1002,0)),"")</f>
        <v/>
      </c>
      <c r="J862" s="31">
        <f>IFERROR(INDEX(打卡匯入!$D$3:$D$1002,MATCH($C862&amp;"|"&amp;DAY($A862),打卡匯入!$E$3:$E$1002,0)),"")</f>
        <v/>
      </c>
      <c r="K862" s="32">
        <f>IF(OR($I862="",$J862=""),"",IFERROR(INDEX(設定!$F$5:$F$20,MATCH($F862,設定!$B$5:$B$20,0)),0))</f>
        <v/>
      </c>
      <c r="L862" s="33">
        <f>IF(OR($I862="",$J862=""),"",ROUND(($J862-$I862)*24-$K862/60,2))</f>
        <v/>
      </c>
      <c r="M862" s="29">
        <f>IF($C862="","",IF(AND(COUNTIF(設定!$B$14:$B$20,$F862)&gt;0,$I862&lt;&gt;""),"假日出勤",IF(AND(COUNTIF(設定!$B$5:$B$13,$F862)&gt;0,$I862=""),"未打卡",IF($I862="","",IF($N862&gt;0,"遲到",IF($O862&gt;0,"早退","正常"))))))</f>
        <v/>
      </c>
      <c r="N862" s="32">
        <f>IF(OR($C862="",$G862="",$I862=""),0,IF(ROUND(($I862-$G862)*1440,0)&gt;設定!$C$28,ROUND(($I862-$G862)*1440,0),0))</f>
        <v/>
      </c>
      <c r="O862" s="32">
        <f>IF(OR($C862="",$H862="",$J862=""),0,IF(ROUND(($H862-$J862)*1440,0)&gt;設定!$C$28,ROUND(($H862-$J862)*1440,0),0))</f>
        <v/>
      </c>
      <c r="P862" s="33">
        <f>IF($L862="",0,IF(($L862-IFERROR(INDEX(設定!$G$5:$G$20,MATCH($F862,設定!$B$5:$B$20,0)),0))*60&gt;=設定!$C$26,ROUND(FLOOR(($L862-IFERROR(INDEX(設定!$G$5:$G$20,MATCH($F862,設定!$B$5:$B$20,0)),0))*60,設定!$C$27)/60,2),0))</f>
        <v/>
      </c>
      <c r="Q862" s="29">
        <f>IF(OR($C862="",$P862=0),"",IF($F862="國","國定假日",IF($B862="日","例假",IF($B862="六","休息日","平日"))))</f>
        <v/>
      </c>
      <c r="R862" s="34" t="n"/>
    </row>
    <row r="863">
      <c r="A863" s="30">
        <f>IF(OR(班表!$A33="",24&gt;DAY(EOMONTH(DATE(班表!$E$2,班表!$G$2,1),0))),"",DATE(班表!$E$2,班表!$G$2,24))</f>
        <v/>
      </c>
      <c r="B863" s="29">
        <f>IF($A863="","",INDEX(設定!$L$5:$L$11,WEEKDAY($A863,1)))</f>
        <v/>
      </c>
      <c r="C863" s="29">
        <f>IF($A863="","",班表!$A33)</f>
        <v/>
      </c>
      <c r="D863" s="29">
        <f>IF($C863="","",班表!$B33)</f>
        <v/>
      </c>
      <c r="E863" s="29">
        <f>IF($C863="","",班表!$C33)</f>
        <v/>
      </c>
      <c r="F863" s="29">
        <f>IF($C863="","",班表!AA33)</f>
        <v/>
      </c>
      <c r="G863" s="31">
        <f>IF($F863="","",IFERROR(INDEX(設定!$D$5:$D$20,MATCH($F863,設定!$B$5:$B$20,0)),""))</f>
        <v/>
      </c>
      <c r="H863" s="31">
        <f>IF($F863="","",IFERROR(INDEX(設定!$E$5:$E$20,MATCH($F863,設定!$B$5:$B$20,0)),""))</f>
        <v/>
      </c>
      <c r="I863" s="31">
        <f>IFERROR(INDEX(打卡匯入!$C$3:$C$1002,MATCH($C863&amp;"|"&amp;DAY($A863),打卡匯入!$E$3:$E$1002,0)),"")</f>
        <v/>
      </c>
      <c r="J863" s="31">
        <f>IFERROR(INDEX(打卡匯入!$D$3:$D$1002,MATCH($C863&amp;"|"&amp;DAY($A863),打卡匯入!$E$3:$E$1002,0)),"")</f>
        <v/>
      </c>
      <c r="K863" s="32">
        <f>IF(OR($I863="",$J863=""),"",IFERROR(INDEX(設定!$F$5:$F$20,MATCH($F863,設定!$B$5:$B$20,0)),0))</f>
        <v/>
      </c>
      <c r="L863" s="33">
        <f>IF(OR($I863="",$J863=""),"",ROUND(($J863-$I863)*24-$K863/60,2))</f>
        <v/>
      </c>
      <c r="M863" s="29">
        <f>IF($C863="","",IF(AND(COUNTIF(設定!$B$14:$B$20,$F863)&gt;0,$I863&lt;&gt;""),"假日出勤",IF(AND(COUNTIF(設定!$B$5:$B$13,$F863)&gt;0,$I863=""),"未打卡",IF($I863="","",IF($N863&gt;0,"遲到",IF($O863&gt;0,"早退","正常"))))))</f>
        <v/>
      </c>
      <c r="N863" s="32">
        <f>IF(OR($C863="",$G863="",$I863=""),0,IF(ROUND(($I863-$G863)*1440,0)&gt;設定!$C$28,ROUND(($I863-$G863)*1440,0),0))</f>
        <v/>
      </c>
      <c r="O863" s="32">
        <f>IF(OR($C863="",$H863="",$J863=""),0,IF(ROUND(($H863-$J863)*1440,0)&gt;設定!$C$28,ROUND(($H863-$J863)*1440,0),0))</f>
        <v/>
      </c>
      <c r="P863" s="33">
        <f>IF($L863="",0,IF(($L863-IFERROR(INDEX(設定!$G$5:$G$20,MATCH($F863,設定!$B$5:$B$20,0)),0))*60&gt;=設定!$C$26,ROUND(FLOOR(($L863-IFERROR(INDEX(設定!$G$5:$G$20,MATCH($F863,設定!$B$5:$B$20,0)),0))*60,設定!$C$27)/60,2),0))</f>
        <v/>
      </c>
      <c r="Q863" s="29">
        <f>IF(OR($C863="",$P863=0),"",IF($F863="國","國定假日",IF($B863="日","例假",IF($B863="六","休息日","平日"))))</f>
        <v/>
      </c>
      <c r="R863" s="34" t="n"/>
    </row>
    <row r="864">
      <c r="A864" s="30">
        <f>IF(OR(班表!$A33="",25&gt;DAY(EOMONTH(DATE(班表!$E$2,班表!$G$2,1),0))),"",DATE(班表!$E$2,班表!$G$2,25))</f>
        <v/>
      </c>
      <c r="B864" s="29">
        <f>IF($A864="","",INDEX(設定!$L$5:$L$11,WEEKDAY($A864,1)))</f>
        <v/>
      </c>
      <c r="C864" s="29">
        <f>IF($A864="","",班表!$A33)</f>
        <v/>
      </c>
      <c r="D864" s="29">
        <f>IF($C864="","",班表!$B33)</f>
        <v/>
      </c>
      <c r="E864" s="29">
        <f>IF($C864="","",班表!$C33)</f>
        <v/>
      </c>
      <c r="F864" s="29">
        <f>IF($C864="","",班表!AB33)</f>
        <v/>
      </c>
      <c r="G864" s="31">
        <f>IF($F864="","",IFERROR(INDEX(設定!$D$5:$D$20,MATCH($F864,設定!$B$5:$B$20,0)),""))</f>
        <v/>
      </c>
      <c r="H864" s="31">
        <f>IF($F864="","",IFERROR(INDEX(設定!$E$5:$E$20,MATCH($F864,設定!$B$5:$B$20,0)),""))</f>
        <v/>
      </c>
      <c r="I864" s="31">
        <f>IFERROR(INDEX(打卡匯入!$C$3:$C$1002,MATCH($C864&amp;"|"&amp;DAY($A864),打卡匯入!$E$3:$E$1002,0)),"")</f>
        <v/>
      </c>
      <c r="J864" s="31">
        <f>IFERROR(INDEX(打卡匯入!$D$3:$D$1002,MATCH($C864&amp;"|"&amp;DAY($A864),打卡匯入!$E$3:$E$1002,0)),"")</f>
        <v/>
      </c>
      <c r="K864" s="32">
        <f>IF(OR($I864="",$J864=""),"",IFERROR(INDEX(設定!$F$5:$F$20,MATCH($F864,設定!$B$5:$B$20,0)),0))</f>
        <v/>
      </c>
      <c r="L864" s="33">
        <f>IF(OR($I864="",$J864=""),"",ROUND(($J864-$I864)*24-$K864/60,2))</f>
        <v/>
      </c>
      <c r="M864" s="29">
        <f>IF($C864="","",IF(AND(COUNTIF(設定!$B$14:$B$20,$F864)&gt;0,$I864&lt;&gt;""),"假日出勤",IF(AND(COUNTIF(設定!$B$5:$B$13,$F864)&gt;0,$I864=""),"未打卡",IF($I864="","",IF($N864&gt;0,"遲到",IF($O864&gt;0,"早退","正常"))))))</f>
        <v/>
      </c>
      <c r="N864" s="32">
        <f>IF(OR($C864="",$G864="",$I864=""),0,IF(ROUND(($I864-$G864)*1440,0)&gt;設定!$C$28,ROUND(($I864-$G864)*1440,0),0))</f>
        <v/>
      </c>
      <c r="O864" s="32">
        <f>IF(OR($C864="",$H864="",$J864=""),0,IF(ROUND(($H864-$J864)*1440,0)&gt;設定!$C$28,ROUND(($H864-$J864)*1440,0),0))</f>
        <v/>
      </c>
      <c r="P864" s="33">
        <f>IF($L864="",0,IF(($L864-IFERROR(INDEX(設定!$G$5:$G$20,MATCH($F864,設定!$B$5:$B$20,0)),0))*60&gt;=設定!$C$26,ROUND(FLOOR(($L864-IFERROR(INDEX(設定!$G$5:$G$20,MATCH($F864,設定!$B$5:$B$20,0)),0))*60,設定!$C$27)/60,2),0))</f>
        <v/>
      </c>
      <c r="Q864" s="29">
        <f>IF(OR($C864="",$P864=0),"",IF($F864="國","國定假日",IF($B864="日","例假",IF($B864="六","休息日","平日"))))</f>
        <v/>
      </c>
      <c r="R864" s="34" t="n"/>
    </row>
    <row r="865">
      <c r="A865" s="30">
        <f>IF(OR(班表!$A33="",26&gt;DAY(EOMONTH(DATE(班表!$E$2,班表!$G$2,1),0))),"",DATE(班表!$E$2,班表!$G$2,26))</f>
        <v/>
      </c>
      <c r="B865" s="29">
        <f>IF($A865="","",INDEX(設定!$L$5:$L$11,WEEKDAY($A865,1)))</f>
        <v/>
      </c>
      <c r="C865" s="29">
        <f>IF($A865="","",班表!$A33)</f>
        <v/>
      </c>
      <c r="D865" s="29">
        <f>IF($C865="","",班表!$B33)</f>
        <v/>
      </c>
      <c r="E865" s="29">
        <f>IF($C865="","",班表!$C33)</f>
        <v/>
      </c>
      <c r="F865" s="29">
        <f>IF($C865="","",班表!AC33)</f>
        <v/>
      </c>
      <c r="G865" s="31">
        <f>IF($F865="","",IFERROR(INDEX(設定!$D$5:$D$20,MATCH($F865,設定!$B$5:$B$20,0)),""))</f>
        <v/>
      </c>
      <c r="H865" s="31">
        <f>IF($F865="","",IFERROR(INDEX(設定!$E$5:$E$20,MATCH($F865,設定!$B$5:$B$20,0)),""))</f>
        <v/>
      </c>
      <c r="I865" s="31">
        <f>IFERROR(INDEX(打卡匯入!$C$3:$C$1002,MATCH($C865&amp;"|"&amp;DAY($A865),打卡匯入!$E$3:$E$1002,0)),"")</f>
        <v/>
      </c>
      <c r="J865" s="31">
        <f>IFERROR(INDEX(打卡匯入!$D$3:$D$1002,MATCH($C865&amp;"|"&amp;DAY($A865),打卡匯入!$E$3:$E$1002,0)),"")</f>
        <v/>
      </c>
      <c r="K865" s="32">
        <f>IF(OR($I865="",$J865=""),"",IFERROR(INDEX(設定!$F$5:$F$20,MATCH($F865,設定!$B$5:$B$20,0)),0))</f>
        <v/>
      </c>
      <c r="L865" s="33">
        <f>IF(OR($I865="",$J865=""),"",ROUND(($J865-$I865)*24-$K865/60,2))</f>
        <v/>
      </c>
      <c r="M865" s="29">
        <f>IF($C865="","",IF(AND(COUNTIF(設定!$B$14:$B$20,$F865)&gt;0,$I865&lt;&gt;""),"假日出勤",IF(AND(COUNTIF(設定!$B$5:$B$13,$F865)&gt;0,$I865=""),"未打卡",IF($I865="","",IF($N865&gt;0,"遲到",IF($O865&gt;0,"早退","正常"))))))</f>
        <v/>
      </c>
      <c r="N865" s="32">
        <f>IF(OR($C865="",$G865="",$I865=""),0,IF(ROUND(($I865-$G865)*1440,0)&gt;設定!$C$28,ROUND(($I865-$G865)*1440,0),0))</f>
        <v/>
      </c>
      <c r="O865" s="32">
        <f>IF(OR($C865="",$H865="",$J865=""),0,IF(ROUND(($H865-$J865)*1440,0)&gt;設定!$C$28,ROUND(($H865-$J865)*1440,0),0))</f>
        <v/>
      </c>
      <c r="P865" s="33">
        <f>IF($L865="",0,IF(($L865-IFERROR(INDEX(設定!$G$5:$G$20,MATCH($F865,設定!$B$5:$B$20,0)),0))*60&gt;=設定!$C$26,ROUND(FLOOR(($L865-IFERROR(INDEX(設定!$G$5:$G$20,MATCH($F865,設定!$B$5:$B$20,0)),0))*60,設定!$C$27)/60,2),0))</f>
        <v/>
      </c>
      <c r="Q865" s="29">
        <f>IF(OR($C865="",$P865=0),"",IF($F865="國","國定假日",IF($B865="日","例假",IF($B865="六","休息日","平日"))))</f>
        <v/>
      </c>
      <c r="R865" s="34" t="n"/>
    </row>
    <row r="866">
      <c r="A866" s="30">
        <f>IF(OR(班表!$A33="",27&gt;DAY(EOMONTH(DATE(班表!$E$2,班表!$G$2,1),0))),"",DATE(班表!$E$2,班表!$G$2,27))</f>
        <v/>
      </c>
      <c r="B866" s="29">
        <f>IF($A866="","",INDEX(設定!$L$5:$L$11,WEEKDAY($A866,1)))</f>
        <v/>
      </c>
      <c r="C866" s="29">
        <f>IF($A866="","",班表!$A33)</f>
        <v/>
      </c>
      <c r="D866" s="29">
        <f>IF($C866="","",班表!$B33)</f>
        <v/>
      </c>
      <c r="E866" s="29">
        <f>IF($C866="","",班表!$C33)</f>
        <v/>
      </c>
      <c r="F866" s="29">
        <f>IF($C866="","",班表!AD33)</f>
        <v/>
      </c>
      <c r="G866" s="31">
        <f>IF($F866="","",IFERROR(INDEX(設定!$D$5:$D$20,MATCH($F866,設定!$B$5:$B$20,0)),""))</f>
        <v/>
      </c>
      <c r="H866" s="31">
        <f>IF($F866="","",IFERROR(INDEX(設定!$E$5:$E$20,MATCH($F866,設定!$B$5:$B$20,0)),""))</f>
        <v/>
      </c>
      <c r="I866" s="31">
        <f>IFERROR(INDEX(打卡匯入!$C$3:$C$1002,MATCH($C866&amp;"|"&amp;DAY($A866),打卡匯入!$E$3:$E$1002,0)),"")</f>
        <v/>
      </c>
      <c r="J866" s="31">
        <f>IFERROR(INDEX(打卡匯入!$D$3:$D$1002,MATCH($C866&amp;"|"&amp;DAY($A866),打卡匯入!$E$3:$E$1002,0)),"")</f>
        <v/>
      </c>
      <c r="K866" s="32">
        <f>IF(OR($I866="",$J866=""),"",IFERROR(INDEX(設定!$F$5:$F$20,MATCH($F866,設定!$B$5:$B$20,0)),0))</f>
        <v/>
      </c>
      <c r="L866" s="33">
        <f>IF(OR($I866="",$J866=""),"",ROUND(($J866-$I866)*24-$K866/60,2))</f>
        <v/>
      </c>
      <c r="M866" s="29">
        <f>IF($C866="","",IF(AND(COUNTIF(設定!$B$14:$B$20,$F866)&gt;0,$I866&lt;&gt;""),"假日出勤",IF(AND(COUNTIF(設定!$B$5:$B$13,$F866)&gt;0,$I866=""),"未打卡",IF($I866="","",IF($N866&gt;0,"遲到",IF($O866&gt;0,"早退","正常"))))))</f>
        <v/>
      </c>
      <c r="N866" s="32">
        <f>IF(OR($C866="",$G866="",$I866=""),0,IF(ROUND(($I866-$G866)*1440,0)&gt;設定!$C$28,ROUND(($I866-$G866)*1440,0),0))</f>
        <v/>
      </c>
      <c r="O866" s="32">
        <f>IF(OR($C866="",$H866="",$J866=""),0,IF(ROUND(($H866-$J866)*1440,0)&gt;設定!$C$28,ROUND(($H866-$J866)*1440,0),0))</f>
        <v/>
      </c>
      <c r="P866" s="33">
        <f>IF($L866="",0,IF(($L866-IFERROR(INDEX(設定!$G$5:$G$20,MATCH($F866,設定!$B$5:$B$20,0)),0))*60&gt;=設定!$C$26,ROUND(FLOOR(($L866-IFERROR(INDEX(設定!$G$5:$G$20,MATCH($F866,設定!$B$5:$B$20,0)),0))*60,設定!$C$27)/60,2),0))</f>
        <v/>
      </c>
      <c r="Q866" s="29">
        <f>IF(OR($C866="",$P866=0),"",IF($F866="國","國定假日",IF($B866="日","例假",IF($B866="六","休息日","平日"))))</f>
        <v/>
      </c>
      <c r="R866" s="34" t="n"/>
    </row>
    <row r="867">
      <c r="A867" s="30">
        <f>IF(OR(班表!$A33="",28&gt;DAY(EOMONTH(DATE(班表!$E$2,班表!$G$2,1),0))),"",DATE(班表!$E$2,班表!$G$2,28))</f>
        <v/>
      </c>
      <c r="B867" s="29">
        <f>IF($A867="","",INDEX(設定!$L$5:$L$11,WEEKDAY($A867,1)))</f>
        <v/>
      </c>
      <c r="C867" s="29">
        <f>IF($A867="","",班表!$A33)</f>
        <v/>
      </c>
      <c r="D867" s="29">
        <f>IF($C867="","",班表!$B33)</f>
        <v/>
      </c>
      <c r="E867" s="29">
        <f>IF($C867="","",班表!$C33)</f>
        <v/>
      </c>
      <c r="F867" s="29">
        <f>IF($C867="","",班表!AE33)</f>
        <v/>
      </c>
      <c r="G867" s="31">
        <f>IF($F867="","",IFERROR(INDEX(設定!$D$5:$D$20,MATCH($F867,設定!$B$5:$B$20,0)),""))</f>
        <v/>
      </c>
      <c r="H867" s="31">
        <f>IF($F867="","",IFERROR(INDEX(設定!$E$5:$E$20,MATCH($F867,設定!$B$5:$B$20,0)),""))</f>
        <v/>
      </c>
      <c r="I867" s="31">
        <f>IFERROR(INDEX(打卡匯入!$C$3:$C$1002,MATCH($C867&amp;"|"&amp;DAY($A867),打卡匯入!$E$3:$E$1002,0)),"")</f>
        <v/>
      </c>
      <c r="J867" s="31">
        <f>IFERROR(INDEX(打卡匯入!$D$3:$D$1002,MATCH($C867&amp;"|"&amp;DAY($A867),打卡匯入!$E$3:$E$1002,0)),"")</f>
        <v/>
      </c>
      <c r="K867" s="32">
        <f>IF(OR($I867="",$J867=""),"",IFERROR(INDEX(設定!$F$5:$F$20,MATCH($F867,設定!$B$5:$B$20,0)),0))</f>
        <v/>
      </c>
      <c r="L867" s="33">
        <f>IF(OR($I867="",$J867=""),"",ROUND(($J867-$I867)*24-$K867/60,2))</f>
        <v/>
      </c>
      <c r="M867" s="29">
        <f>IF($C867="","",IF(AND(COUNTIF(設定!$B$14:$B$20,$F867)&gt;0,$I867&lt;&gt;""),"假日出勤",IF(AND(COUNTIF(設定!$B$5:$B$13,$F867)&gt;0,$I867=""),"未打卡",IF($I867="","",IF($N867&gt;0,"遲到",IF($O867&gt;0,"早退","正常"))))))</f>
        <v/>
      </c>
      <c r="N867" s="32">
        <f>IF(OR($C867="",$G867="",$I867=""),0,IF(ROUND(($I867-$G867)*1440,0)&gt;設定!$C$28,ROUND(($I867-$G867)*1440,0),0))</f>
        <v/>
      </c>
      <c r="O867" s="32">
        <f>IF(OR($C867="",$H867="",$J867=""),0,IF(ROUND(($H867-$J867)*1440,0)&gt;設定!$C$28,ROUND(($H867-$J867)*1440,0),0))</f>
        <v/>
      </c>
      <c r="P867" s="33">
        <f>IF($L867="",0,IF(($L867-IFERROR(INDEX(設定!$G$5:$G$20,MATCH($F867,設定!$B$5:$B$20,0)),0))*60&gt;=設定!$C$26,ROUND(FLOOR(($L867-IFERROR(INDEX(設定!$G$5:$G$20,MATCH($F867,設定!$B$5:$B$20,0)),0))*60,設定!$C$27)/60,2),0))</f>
        <v/>
      </c>
      <c r="Q867" s="29">
        <f>IF(OR($C867="",$P867=0),"",IF($F867="國","國定假日",IF($B867="日","例假",IF($B867="六","休息日","平日"))))</f>
        <v/>
      </c>
      <c r="R867" s="34" t="n"/>
    </row>
    <row r="868">
      <c r="A868" s="30">
        <f>IF(OR(班表!$A33="",29&gt;DAY(EOMONTH(DATE(班表!$E$2,班表!$G$2,1),0))),"",DATE(班表!$E$2,班表!$G$2,29))</f>
        <v/>
      </c>
      <c r="B868" s="29">
        <f>IF($A868="","",INDEX(設定!$L$5:$L$11,WEEKDAY($A868,1)))</f>
        <v/>
      </c>
      <c r="C868" s="29">
        <f>IF($A868="","",班表!$A33)</f>
        <v/>
      </c>
      <c r="D868" s="29">
        <f>IF($C868="","",班表!$B33)</f>
        <v/>
      </c>
      <c r="E868" s="29">
        <f>IF($C868="","",班表!$C33)</f>
        <v/>
      </c>
      <c r="F868" s="29">
        <f>IF($C868="","",班表!AF33)</f>
        <v/>
      </c>
      <c r="G868" s="31">
        <f>IF($F868="","",IFERROR(INDEX(設定!$D$5:$D$20,MATCH($F868,設定!$B$5:$B$20,0)),""))</f>
        <v/>
      </c>
      <c r="H868" s="31">
        <f>IF($F868="","",IFERROR(INDEX(設定!$E$5:$E$20,MATCH($F868,設定!$B$5:$B$20,0)),""))</f>
        <v/>
      </c>
      <c r="I868" s="31">
        <f>IFERROR(INDEX(打卡匯入!$C$3:$C$1002,MATCH($C868&amp;"|"&amp;DAY($A868),打卡匯入!$E$3:$E$1002,0)),"")</f>
        <v/>
      </c>
      <c r="J868" s="31">
        <f>IFERROR(INDEX(打卡匯入!$D$3:$D$1002,MATCH($C868&amp;"|"&amp;DAY($A868),打卡匯入!$E$3:$E$1002,0)),"")</f>
        <v/>
      </c>
      <c r="K868" s="32">
        <f>IF(OR($I868="",$J868=""),"",IFERROR(INDEX(設定!$F$5:$F$20,MATCH($F868,設定!$B$5:$B$20,0)),0))</f>
        <v/>
      </c>
      <c r="L868" s="33">
        <f>IF(OR($I868="",$J868=""),"",ROUND(($J868-$I868)*24-$K868/60,2))</f>
        <v/>
      </c>
      <c r="M868" s="29">
        <f>IF($C868="","",IF(AND(COUNTIF(設定!$B$14:$B$20,$F868)&gt;0,$I868&lt;&gt;""),"假日出勤",IF(AND(COUNTIF(設定!$B$5:$B$13,$F868)&gt;0,$I868=""),"未打卡",IF($I868="","",IF($N868&gt;0,"遲到",IF($O868&gt;0,"早退","正常"))))))</f>
        <v/>
      </c>
      <c r="N868" s="32">
        <f>IF(OR($C868="",$G868="",$I868=""),0,IF(ROUND(($I868-$G868)*1440,0)&gt;設定!$C$28,ROUND(($I868-$G868)*1440,0),0))</f>
        <v/>
      </c>
      <c r="O868" s="32">
        <f>IF(OR($C868="",$H868="",$J868=""),0,IF(ROUND(($H868-$J868)*1440,0)&gt;設定!$C$28,ROUND(($H868-$J868)*1440,0),0))</f>
        <v/>
      </c>
      <c r="P868" s="33">
        <f>IF($L868="",0,IF(($L868-IFERROR(INDEX(設定!$G$5:$G$20,MATCH($F868,設定!$B$5:$B$20,0)),0))*60&gt;=設定!$C$26,ROUND(FLOOR(($L868-IFERROR(INDEX(設定!$G$5:$G$20,MATCH($F868,設定!$B$5:$B$20,0)),0))*60,設定!$C$27)/60,2),0))</f>
        <v/>
      </c>
      <c r="Q868" s="29">
        <f>IF(OR($C868="",$P868=0),"",IF($F868="國","國定假日",IF($B868="日","例假",IF($B868="六","休息日","平日"))))</f>
        <v/>
      </c>
      <c r="R868" s="34" t="n"/>
    </row>
    <row r="869">
      <c r="A869" s="30">
        <f>IF(OR(班表!$A33="",30&gt;DAY(EOMONTH(DATE(班表!$E$2,班表!$G$2,1),0))),"",DATE(班表!$E$2,班表!$G$2,30))</f>
        <v/>
      </c>
      <c r="B869" s="29">
        <f>IF($A869="","",INDEX(設定!$L$5:$L$11,WEEKDAY($A869,1)))</f>
        <v/>
      </c>
      <c r="C869" s="29">
        <f>IF($A869="","",班表!$A33)</f>
        <v/>
      </c>
      <c r="D869" s="29">
        <f>IF($C869="","",班表!$B33)</f>
        <v/>
      </c>
      <c r="E869" s="29">
        <f>IF($C869="","",班表!$C33)</f>
        <v/>
      </c>
      <c r="F869" s="29">
        <f>IF($C869="","",班表!AG33)</f>
        <v/>
      </c>
      <c r="G869" s="31">
        <f>IF($F869="","",IFERROR(INDEX(設定!$D$5:$D$20,MATCH($F869,設定!$B$5:$B$20,0)),""))</f>
        <v/>
      </c>
      <c r="H869" s="31">
        <f>IF($F869="","",IFERROR(INDEX(設定!$E$5:$E$20,MATCH($F869,設定!$B$5:$B$20,0)),""))</f>
        <v/>
      </c>
      <c r="I869" s="31">
        <f>IFERROR(INDEX(打卡匯入!$C$3:$C$1002,MATCH($C869&amp;"|"&amp;DAY($A869),打卡匯入!$E$3:$E$1002,0)),"")</f>
        <v/>
      </c>
      <c r="J869" s="31">
        <f>IFERROR(INDEX(打卡匯入!$D$3:$D$1002,MATCH($C869&amp;"|"&amp;DAY($A869),打卡匯入!$E$3:$E$1002,0)),"")</f>
        <v/>
      </c>
      <c r="K869" s="32">
        <f>IF(OR($I869="",$J869=""),"",IFERROR(INDEX(設定!$F$5:$F$20,MATCH($F869,設定!$B$5:$B$20,0)),0))</f>
        <v/>
      </c>
      <c r="L869" s="33">
        <f>IF(OR($I869="",$J869=""),"",ROUND(($J869-$I869)*24-$K869/60,2))</f>
        <v/>
      </c>
      <c r="M869" s="29">
        <f>IF($C869="","",IF(AND(COUNTIF(設定!$B$14:$B$20,$F869)&gt;0,$I869&lt;&gt;""),"假日出勤",IF(AND(COUNTIF(設定!$B$5:$B$13,$F869)&gt;0,$I869=""),"未打卡",IF($I869="","",IF($N869&gt;0,"遲到",IF($O869&gt;0,"早退","正常"))))))</f>
        <v/>
      </c>
      <c r="N869" s="32">
        <f>IF(OR($C869="",$G869="",$I869=""),0,IF(ROUND(($I869-$G869)*1440,0)&gt;設定!$C$28,ROUND(($I869-$G869)*1440,0),0))</f>
        <v/>
      </c>
      <c r="O869" s="32">
        <f>IF(OR($C869="",$H869="",$J869=""),0,IF(ROUND(($H869-$J869)*1440,0)&gt;設定!$C$28,ROUND(($H869-$J869)*1440,0),0))</f>
        <v/>
      </c>
      <c r="P869" s="33">
        <f>IF($L869="",0,IF(($L869-IFERROR(INDEX(設定!$G$5:$G$20,MATCH($F869,設定!$B$5:$B$20,0)),0))*60&gt;=設定!$C$26,ROUND(FLOOR(($L869-IFERROR(INDEX(設定!$G$5:$G$20,MATCH($F869,設定!$B$5:$B$20,0)),0))*60,設定!$C$27)/60,2),0))</f>
        <v/>
      </c>
      <c r="Q869" s="29">
        <f>IF(OR($C869="",$P869=0),"",IF($F869="國","國定假日",IF($B869="日","例假",IF($B869="六","休息日","平日"))))</f>
        <v/>
      </c>
      <c r="R869" s="34" t="n"/>
    </row>
    <row r="870">
      <c r="A870" s="30">
        <f>IF(OR(班表!$A33="",31&gt;DAY(EOMONTH(DATE(班表!$E$2,班表!$G$2,1),0))),"",DATE(班表!$E$2,班表!$G$2,31))</f>
        <v/>
      </c>
      <c r="B870" s="29">
        <f>IF($A870="","",INDEX(設定!$L$5:$L$11,WEEKDAY($A870,1)))</f>
        <v/>
      </c>
      <c r="C870" s="29">
        <f>IF($A870="","",班表!$A33)</f>
        <v/>
      </c>
      <c r="D870" s="29">
        <f>IF($C870="","",班表!$B33)</f>
        <v/>
      </c>
      <c r="E870" s="29">
        <f>IF($C870="","",班表!$C33)</f>
        <v/>
      </c>
      <c r="F870" s="29">
        <f>IF($C870="","",班表!AH33)</f>
        <v/>
      </c>
      <c r="G870" s="31">
        <f>IF($F870="","",IFERROR(INDEX(設定!$D$5:$D$20,MATCH($F870,設定!$B$5:$B$20,0)),""))</f>
        <v/>
      </c>
      <c r="H870" s="31">
        <f>IF($F870="","",IFERROR(INDEX(設定!$E$5:$E$20,MATCH($F870,設定!$B$5:$B$20,0)),""))</f>
        <v/>
      </c>
      <c r="I870" s="31">
        <f>IFERROR(INDEX(打卡匯入!$C$3:$C$1002,MATCH($C870&amp;"|"&amp;DAY($A870),打卡匯入!$E$3:$E$1002,0)),"")</f>
        <v/>
      </c>
      <c r="J870" s="31">
        <f>IFERROR(INDEX(打卡匯入!$D$3:$D$1002,MATCH($C870&amp;"|"&amp;DAY($A870),打卡匯入!$E$3:$E$1002,0)),"")</f>
        <v/>
      </c>
      <c r="K870" s="32">
        <f>IF(OR($I870="",$J870=""),"",IFERROR(INDEX(設定!$F$5:$F$20,MATCH($F870,設定!$B$5:$B$20,0)),0))</f>
        <v/>
      </c>
      <c r="L870" s="33">
        <f>IF(OR($I870="",$J870=""),"",ROUND(($J870-$I870)*24-$K870/60,2))</f>
        <v/>
      </c>
      <c r="M870" s="29">
        <f>IF($C870="","",IF(AND(COUNTIF(設定!$B$14:$B$20,$F870)&gt;0,$I870&lt;&gt;""),"假日出勤",IF(AND(COUNTIF(設定!$B$5:$B$13,$F870)&gt;0,$I870=""),"未打卡",IF($I870="","",IF($N870&gt;0,"遲到",IF($O870&gt;0,"早退","正常"))))))</f>
        <v/>
      </c>
      <c r="N870" s="32">
        <f>IF(OR($C870="",$G870="",$I870=""),0,IF(ROUND(($I870-$G870)*1440,0)&gt;設定!$C$28,ROUND(($I870-$G870)*1440,0),0))</f>
        <v/>
      </c>
      <c r="O870" s="32">
        <f>IF(OR($C870="",$H870="",$J870=""),0,IF(ROUND(($H870-$J870)*1440,0)&gt;設定!$C$28,ROUND(($H870-$J870)*1440,0),0))</f>
        <v/>
      </c>
      <c r="P870" s="33">
        <f>IF($L870="",0,IF(($L870-IFERROR(INDEX(設定!$G$5:$G$20,MATCH($F870,設定!$B$5:$B$20,0)),0))*60&gt;=設定!$C$26,ROUND(FLOOR(($L870-IFERROR(INDEX(設定!$G$5:$G$20,MATCH($F870,設定!$B$5:$B$20,0)),0))*60,設定!$C$27)/60,2),0))</f>
        <v/>
      </c>
      <c r="Q870" s="29">
        <f>IF(OR($C870="",$P870=0),"",IF($F870="國","國定假日",IF($B870="日","例假",IF($B870="六","休息日","平日"))))</f>
        <v/>
      </c>
      <c r="R870" s="34" t="n"/>
    </row>
    <row r="871">
      <c r="A871" s="30">
        <f>IF(OR(班表!$A34="",1&gt;DAY(EOMONTH(DATE(班表!$E$2,班表!$G$2,1),0))),"",DATE(班表!$E$2,班表!$G$2,1))</f>
        <v/>
      </c>
      <c r="B871" s="29">
        <f>IF($A871="","",INDEX(設定!$L$5:$L$11,WEEKDAY($A871,1)))</f>
        <v/>
      </c>
      <c r="C871" s="29">
        <f>IF($A871="","",班表!$A34)</f>
        <v/>
      </c>
      <c r="D871" s="29">
        <f>IF($C871="","",班表!$B34)</f>
        <v/>
      </c>
      <c r="E871" s="29">
        <f>IF($C871="","",班表!$C34)</f>
        <v/>
      </c>
      <c r="F871" s="29">
        <f>IF($C871="","",班表!D34)</f>
        <v/>
      </c>
      <c r="G871" s="31">
        <f>IF($F871="","",IFERROR(INDEX(設定!$D$5:$D$20,MATCH($F871,設定!$B$5:$B$20,0)),""))</f>
        <v/>
      </c>
      <c r="H871" s="31">
        <f>IF($F871="","",IFERROR(INDEX(設定!$E$5:$E$20,MATCH($F871,設定!$B$5:$B$20,0)),""))</f>
        <v/>
      </c>
      <c r="I871" s="31">
        <f>IFERROR(INDEX(打卡匯入!$C$3:$C$1002,MATCH($C871&amp;"|"&amp;DAY($A871),打卡匯入!$E$3:$E$1002,0)),"")</f>
        <v/>
      </c>
      <c r="J871" s="31">
        <f>IFERROR(INDEX(打卡匯入!$D$3:$D$1002,MATCH($C871&amp;"|"&amp;DAY($A871),打卡匯入!$E$3:$E$1002,0)),"")</f>
        <v/>
      </c>
      <c r="K871" s="32">
        <f>IF(OR($I871="",$J871=""),"",IFERROR(INDEX(設定!$F$5:$F$20,MATCH($F871,設定!$B$5:$B$20,0)),0))</f>
        <v/>
      </c>
      <c r="L871" s="33">
        <f>IF(OR($I871="",$J871=""),"",ROUND(($J871-$I871)*24-$K871/60,2))</f>
        <v/>
      </c>
      <c r="M871" s="29">
        <f>IF($C871="","",IF(AND(COUNTIF(設定!$B$14:$B$20,$F871)&gt;0,$I871&lt;&gt;""),"假日出勤",IF(AND(COUNTIF(設定!$B$5:$B$13,$F871)&gt;0,$I871=""),"未打卡",IF($I871="","",IF($N871&gt;0,"遲到",IF($O871&gt;0,"早退","正常"))))))</f>
        <v/>
      </c>
      <c r="N871" s="32">
        <f>IF(OR($C871="",$G871="",$I871=""),0,IF(ROUND(($I871-$G871)*1440,0)&gt;設定!$C$28,ROUND(($I871-$G871)*1440,0),0))</f>
        <v/>
      </c>
      <c r="O871" s="32">
        <f>IF(OR($C871="",$H871="",$J871=""),0,IF(ROUND(($H871-$J871)*1440,0)&gt;設定!$C$28,ROUND(($H871-$J871)*1440,0),0))</f>
        <v/>
      </c>
      <c r="P871" s="33">
        <f>IF($L871="",0,IF(($L871-IFERROR(INDEX(設定!$G$5:$G$20,MATCH($F871,設定!$B$5:$B$20,0)),0))*60&gt;=設定!$C$26,ROUND(FLOOR(($L871-IFERROR(INDEX(設定!$G$5:$G$20,MATCH($F871,設定!$B$5:$B$20,0)),0))*60,設定!$C$27)/60,2),0))</f>
        <v/>
      </c>
      <c r="Q871" s="29">
        <f>IF(OR($C871="",$P871=0),"",IF($F871="國","國定假日",IF($B871="日","例假",IF($B871="六","休息日","平日"))))</f>
        <v/>
      </c>
      <c r="R871" s="34" t="n"/>
    </row>
    <row r="872">
      <c r="A872" s="30">
        <f>IF(OR(班表!$A34="",2&gt;DAY(EOMONTH(DATE(班表!$E$2,班表!$G$2,1),0))),"",DATE(班表!$E$2,班表!$G$2,2))</f>
        <v/>
      </c>
      <c r="B872" s="29">
        <f>IF($A872="","",INDEX(設定!$L$5:$L$11,WEEKDAY($A872,1)))</f>
        <v/>
      </c>
      <c r="C872" s="29">
        <f>IF($A872="","",班表!$A34)</f>
        <v/>
      </c>
      <c r="D872" s="29">
        <f>IF($C872="","",班表!$B34)</f>
        <v/>
      </c>
      <c r="E872" s="29">
        <f>IF($C872="","",班表!$C34)</f>
        <v/>
      </c>
      <c r="F872" s="29">
        <f>IF($C872="","",班表!E34)</f>
        <v/>
      </c>
      <c r="G872" s="31">
        <f>IF($F872="","",IFERROR(INDEX(設定!$D$5:$D$20,MATCH($F872,設定!$B$5:$B$20,0)),""))</f>
        <v/>
      </c>
      <c r="H872" s="31">
        <f>IF($F872="","",IFERROR(INDEX(設定!$E$5:$E$20,MATCH($F872,設定!$B$5:$B$20,0)),""))</f>
        <v/>
      </c>
      <c r="I872" s="31">
        <f>IFERROR(INDEX(打卡匯入!$C$3:$C$1002,MATCH($C872&amp;"|"&amp;DAY($A872),打卡匯入!$E$3:$E$1002,0)),"")</f>
        <v/>
      </c>
      <c r="J872" s="31">
        <f>IFERROR(INDEX(打卡匯入!$D$3:$D$1002,MATCH($C872&amp;"|"&amp;DAY($A872),打卡匯入!$E$3:$E$1002,0)),"")</f>
        <v/>
      </c>
      <c r="K872" s="32">
        <f>IF(OR($I872="",$J872=""),"",IFERROR(INDEX(設定!$F$5:$F$20,MATCH($F872,設定!$B$5:$B$20,0)),0))</f>
        <v/>
      </c>
      <c r="L872" s="33">
        <f>IF(OR($I872="",$J872=""),"",ROUND(($J872-$I872)*24-$K872/60,2))</f>
        <v/>
      </c>
      <c r="M872" s="29">
        <f>IF($C872="","",IF(AND(COUNTIF(設定!$B$14:$B$20,$F872)&gt;0,$I872&lt;&gt;""),"假日出勤",IF(AND(COUNTIF(設定!$B$5:$B$13,$F872)&gt;0,$I872=""),"未打卡",IF($I872="","",IF($N872&gt;0,"遲到",IF($O872&gt;0,"早退","正常"))))))</f>
        <v/>
      </c>
      <c r="N872" s="32">
        <f>IF(OR($C872="",$G872="",$I872=""),0,IF(ROUND(($I872-$G872)*1440,0)&gt;設定!$C$28,ROUND(($I872-$G872)*1440,0),0))</f>
        <v/>
      </c>
      <c r="O872" s="32">
        <f>IF(OR($C872="",$H872="",$J872=""),0,IF(ROUND(($H872-$J872)*1440,0)&gt;設定!$C$28,ROUND(($H872-$J872)*1440,0),0))</f>
        <v/>
      </c>
      <c r="P872" s="33">
        <f>IF($L872="",0,IF(($L872-IFERROR(INDEX(設定!$G$5:$G$20,MATCH($F872,設定!$B$5:$B$20,0)),0))*60&gt;=設定!$C$26,ROUND(FLOOR(($L872-IFERROR(INDEX(設定!$G$5:$G$20,MATCH($F872,設定!$B$5:$B$20,0)),0))*60,設定!$C$27)/60,2),0))</f>
        <v/>
      </c>
      <c r="Q872" s="29">
        <f>IF(OR($C872="",$P872=0),"",IF($F872="國","國定假日",IF($B872="日","例假",IF($B872="六","休息日","平日"))))</f>
        <v/>
      </c>
      <c r="R872" s="34" t="n"/>
    </row>
    <row r="873">
      <c r="A873" s="30">
        <f>IF(OR(班表!$A34="",3&gt;DAY(EOMONTH(DATE(班表!$E$2,班表!$G$2,1),0))),"",DATE(班表!$E$2,班表!$G$2,3))</f>
        <v/>
      </c>
      <c r="B873" s="29">
        <f>IF($A873="","",INDEX(設定!$L$5:$L$11,WEEKDAY($A873,1)))</f>
        <v/>
      </c>
      <c r="C873" s="29">
        <f>IF($A873="","",班表!$A34)</f>
        <v/>
      </c>
      <c r="D873" s="29">
        <f>IF($C873="","",班表!$B34)</f>
        <v/>
      </c>
      <c r="E873" s="29">
        <f>IF($C873="","",班表!$C34)</f>
        <v/>
      </c>
      <c r="F873" s="29">
        <f>IF($C873="","",班表!F34)</f>
        <v/>
      </c>
      <c r="G873" s="31">
        <f>IF($F873="","",IFERROR(INDEX(設定!$D$5:$D$20,MATCH($F873,設定!$B$5:$B$20,0)),""))</f>
        <v/>
      </c>
      <c r="H873" s="31">
        <f>IF($F873="","",IFERROR(INDEX(設定!$E$5:$E$20,MATCH($F873,設定!$B$5:$B$20,0)),""))</f>
        <v/>
      </c>
      <c r="I873" s="31">
        <f>IFERROR(INDEX(打卡匯入!$C$3:$C$1002,MATCH($C873&amp;"|"&amp;DAY($A873),打卡匯入!$E$3:$E$1002,0)),"")</f>
        <v/>
      </c>
      <c r="J873" s="31">
        <f>IFERROR(INDEX(打卡匯入!$D$3:$D$1002,MATCH($C873&amp;"|"&amp;DAY($A873),打卡匯入!$E$3:$E$1002,0)),"")</f>
        <v/>
      </c>
      <c r="K873" s="32">
        <f>IF(OR($I873="",$J873=""),"",IFERROR(INDEX(設定!$F$5:$F$20,MATCH($F873,設定!$B$5:$B$20,0)),0))</f>
        <v/>
      </c>
      <c r="L873" s="33">
        <f>IF(OR($I873="",$J873=""),"",ROUND(($J873-$I873)*24-$K873/60,2))</f>
        <v/>
      </c>
      <c r="M873" s="29">
        <f>IF($C873="","",IF(AND(COUNTIF(設定!$B$14:$B$20,$F873)&gt;0,$I873&lt;&gt;""),"假日出勤",IF(AND(COUNTIF(設定!$B$5:$B$13,$F873)&gt;0,$I873=""),"未打卡",IF($I873="","",IF($N873&gt;0,"遲到",IF($O873&gt;0,"早退","正常"))))))</f>
        <v/>
      </c>
      <c r="N873" s="32">
        <f>IF(OR($C873="",$G873="",$I873=""),0,IF(ROUND(($I873-$G873)*1440,0)&gt;設定!$C$28,ROUND(($I873-$G873)*1440,0),0))</f>
        <v/>
      </c>
      <c r="O873" s="32">
        <f>IF(OR($C873="",$H873="",$J873=""),0,IF(ROUND(($H873-$J873)*1440,0)&gt;設定!$C$28,ROUND(($H873-$J873)*1440,0),0))</f>
        <v/>
      </c>
      <c r="P873" s="33">
        <f>IF($L873="",0,IF(($L873-IFERROR(INDEX(設定!$G$5:$G$20,MATCH($F873,設定!$B$5:$B$20,0)),0))*60&gt;=設定!$C$26,ROUND(FLOOR(($L873-IFERROR(INDEX(設定!$G$5:$G$20,MATCH($F873,設定!$B$5:$B$20,0)),0))*60,設定!$C$27)/60,2),0))</f>
        <v/>
      </c>
      <c r="Q873" s="29">
        <f>IF(OR($C873="",$P873=0),"",IF($F873="國","國定假日",IF($B873="日","例假",IF($B873="六","休息日","平日"))))</f>
        <v/>
      </c>
      <c r="R873" s="34" t="n"/>
    </row>
    <row r="874">
      <c r="A874" s="30">
        <f>IF(OR(班表!$A34="",4&gt;DAY(EOMONTH(DATE(班表!$E$2,班表!$G$2,1),0))),"",DATE(班表!$E$2,班表!$G$2,4))</f>
        <v/>
      </c>
      <c r="B874" s="29">
        <f>IF($A874="","",INDEX(設定!$L$5:$L$11,WEEKDAY($A874,1)))</f>
        <v/>
      </c>
      <c r="C874" s="29">
        <f>IF($A874="","",班表!$A34)</f>
        <v/>
      </c>
      <c r="D874" s="29">
        <f>IF($C874="","",班表!$B34)</f>
        <v/>
      </c>
      <c r="E874" s="29">
        <f>IF($C874="","",班表!$C34)</f>
        <v/>
      </c>
      <c r="F874" s="29">
        <f>IF($C874="","",班表!G34)</f>
        <v/>
      </c>
      <c r="G874" s="31">
        <f>IF($F874="","",IFERROR(INDEX(設定!$D$5:$D$20,MATCH($F874,設定!$B$5:$B$20,0)),""))</f>
        <v/>
      </c>
      <c r="H874" s="31">
        <f>IF($F874="","",IFERROR(INDEX(設定!$E$5:$E$20,MATCH($F874,設定!$B$5:$B$20,0)),""))</f>
        <v/>
      </c>
      <c r="I874" s="31">
        <f>IFERROR(INDEX(打卡匯入!$C$3:$C$1002,MATCH($C874&amp;"|"&amp;DAY($A874),打卡匯入!$E$3:$E$1002,0)),"")</f>
        <v/>
      </c>
      <c r="J874" s="31">
        <f>IFERROR(INDEX(打卡匯入!$D$3:$D$1002,MATCH($C874&amp;"|"&amp;DAY($A874),打卡匯入!$E$3:$E$1002,0)),"")</f>
        <v/>
      </c>
      <c r="K874" s="32">
        <f>IF(OR($I874="",$J874=""),"",IFERROR(INDEX(設定!$F$5:$F$20,MATCH($F874,設定!$B$5:$B$20,0)),0))</f>
        <v/>
      </c>
      <c r="L874" s="33">
        <f>IF(OR($I874="",$J874=""),"",ROUND(($J874-$I874)*24-$K874/60,2))</f>
        <v/>
      </c>
      <c r="M874" s="29">
        <f>IF($C874="","",IF(AND(COUNTIF(設定!$B$14:$B$20,$F874)&gt;0,$I874&lt;&gt;""),"假日出勤",IF(AND(COUNTIF(設定!$B$5:$B$13,$F874)&gt;0,$I874=""),"未打卡",IF($I874="","",IF($N874&gt;0,"遲到",IF($O874&gt;0,"早退","正常"))))))</f>
        <v/>
      </c>
      <c r="N874" s="32">
        <f>IF(OR($C874="",$G874="",$I874=""),0,IF(ROUND(($I874-$G874)*1440,0)&gt;設定!$C$28,ROUND(($I874-$G874)*1440,0),0))</f>
        <v/>
      </c>
      <c r="O874" s="32">
        <f>IF(OR($C874="",$H874="",$J874=""),0,IF(ROUND(($H874-$J874)*1440,0)&gt;設定!$C$28,ROUND(($H874-$J874)*1440,0),0))</f>
        <v/>
      </c>
      <c r="P874" s="33">
        <f>IF($L874="",0,IF(($L874-IFERROR(INDEX(設定!$G$5:$G$20,MATCH($F874,設定!$B$5:$B$20,0)),0))*60&gt;=設定!$C$26,ROUND(FLOOR(($L874-IFERROR(INDEX(設定!$G$5:$G$20,MATCH($F874,設定!$B$5:$B$20,0)),0))*60,設定!$C$27)/60,2),0))</f>
        <v/>
      </c>
      <c r="Q874" s="29">
        <f>IF(OR($C874="",$P874=0),"",IF($F874="國","國定假日",IF($B874="日","例假",IF($B874="六","休息日","平日"))))</f>
        <v/>
      </c>
      <c r="R874" s="34" t="n"/>
    </row>
    <row r="875">
      <c r="A875" s="30">
        <f>IF(OR(班表!$A34="",5&gt;DAY(EOMONTH(DATE(班表!$E$2,班表!$G$2,1),0))),"",DATE(班表!$E$2,班表!$G$2,5))</f>
        <v/>
      </c>
      <c r="B875" s="29">
        <f>IF($A875="","",INDEX(設定!$L$5:$L$11,WEEKDAY($A875,1)))</f>
        <v/>
      </c>
      <c r="C875" s="29">
        <f>IF($A875="","",班表!$A34)</f>
        <v/>
      </c>
      <c r="D875" s="29">
        <f>IF($C875="","",班表!$B34)</f>
        <v/>
      </c>
      <c r="E875" s="29">
        <f>IF($C875="","",班表!$C34)</f>
        <v/>
      </c>
      <c r="F875" s="29">
        <f>IF($C875="","",班表!H34)</f>
        <v/>
      </c>
      <c r="G875" s="31">
        <f>IF($F875="","",IFERROR(INDEX(設定!$D$5:$D$20,MATCH($F875,設定!$B$5:$B$20,0)),""))</f>
        <v/>
      </c>
      <c r="H875" s="31">
        <f>IF($F875="","",IFERROR(INDEX(設定!$E$5:$E$20,MATCH($F875,設定!$B$5:$B$20,0)),""))</f>
        <v/>
      </c>
      <c r="I875" s="31">
        <f>IFERROR(INDEX(打卡匯入!$C$3:$C$1002,MATCH($C875&amp;"|"&amp;DAY($A875),打卡匯入!$E$3:$E$1002,0)),"")</f>
        <v/>
      </c>
      <c r="J875" s="31">
        <f>IFERROR(INDEX(打卡匯入!$D$3:$D$1002,MATCH($C875&amp;"|"&amp;DAY($A875),打卡匯入!$E$3:$E$1002,0)),"")</f>
        <v/>
      </c>
      <c r="K875" s="32">
        <f>IF(OR($I875="",$J875=""),"",IFERROR(INDEX(設定!$F$5:$F$20,MATCH($F875,設定!$B$5:$B$20,0)),0))</f>
        <v/>
      </c>
      <c r="L875" s="33">
        <f>IF(OR($I875="",$J875=""),"",ROUND(($J875-$I875)*24-$K875/60,2))</f>
        <v/>
      </c>
      <c r="M875" s="29">
        <f>IF($C875="","",IF(AND(COUNTIF(設定!$B$14:$B$20,$F875)&gt;0,$I875&lt;&gt;""),"假日出勤",IF(AND(COUNTIF(設定!$B$5:$B$13,$F875)&gt;0,$I875=""),"未打卡",IF($I875="","",IF($N875&gt;0,"遲到",IF($O875&gt;0,"早退","正常"))))))</f>
        <v/>
      </c>
      <c r="N875" s="32">
        <f>IF(OR($C875="",$G875="",$I875=""),0,IF(ROUND(($I875-$G875)*1440,0)&gt;設定!$C$28,ROUND(($I875-$G875)*1440,0),0))</f>
        <v/>
      </c>
      <c r="O875" s="32">
        <f>IF(OR($C875="",$H875="",$J875=""),0,IF(ROUND(($H875-$J875)*1440,0)&gt;設定!$C$28,ROUND(($H875-$J875)*1440,0),0))</f>
        <v/>
      </c>
      <c r="P875" s="33">
        <f>IF($L875="",0,IF(($L875-IFERROR(INDEX(設定!$G$5:$G$20,MATCH($F875,設定!$B$5:$B$20,0)),0))*60&gt;=設定!$C$26,ROUND(FLOOR(($L875-IFERROR(INDEX(設定!$G$5:$G$20,MATCH($F875,設定!$B$5:$B$20,0)),0))*60,設定!$C$27)/60,2),0))</f>
        <v/>
      </c>
      <c r="Q875" s="29">
        <f>IF(OR($C875="",$P875=0),"",IF($F875="國","國定假日",IF($B875="日","例假",IF($B875="六","休息日","平日"))))</f>
        <v/>
      </c>
      <c r="R875" s="34" t="n"/>
    </row>
    <row r="876">
      <c r="A876" s="30">
        <f>IF(OR(班表!$A34="",6&gt;DAY(EOMONTH(DATE(班表!$E$2,班表!$G$2,1),0))),"",DATE(班表!$E$2,班表!$G$2,6))</f>
        <v/>
      </c>
      <c r="B876" s="29">
        <f>IF($A876="","",INDEX(設定!$L$5:$L$11,WEEKDAY($A876,1)))</f>
        <v/>
      </c>
      <c r="C876" s="29">
        <f>IF($A876="","",班表!$A34)</f>
        <v/>
      </c>
      <c r="D876" s="29">
        <f>IF($C876="","",班表!$B34)</f>
        <v/>
      </c>
      <c r="E876" s="29">
        <f>IF($C876="","",班表!$C34)</f>
        <v/>
      </c>
      <c r="F876" s="29">
        <f>IF($C876="","",班表!I34)</f>
        <v/>
      </c>
      <c r="G876" s="31">
        <f>IF($F876="","",IFERROR(INDEX(設定!$D$5:$D$20,MATCH($F876,設定!$B$5:$B$20,0)),""))</f>
        <v/>
      </c>
      <c r="H876" s="31">
        <f>IF($F876="","",IFERROR(INDEX(設定!$E$5:$E$20,MATCH($F876,設定!$B$5:$B$20,0)),""))</f>
        <v/>
      </c>
      <c r="I876" s="31">
        <f>IFERROR(INDEX(打卡匯入!$C$3:$C$1002,MATCH($C876&amp;"|"&amp;DAY($A876),打卡匯入!$E$3:$E$1002,0)),"")</f>
        <v/>
      </c>
      <c r="J876" s="31">
        <f>IFERROR(INDEX(打卡匯入!$D$3:$D$1002,MATCH($C876&amp;"|"&amp;DAY($A876),打卡匯入!$E$3:$E$1002,0)),"")</f>
        <v/>
      </c>
      <c r="K876" s="32">
        <f>IF(OR($I876="",$J876=""),"",IFERROR(INDEX(設定!$F$5:$F$20,MATCH($F876,設定!$B$5:$B$20,0)),0))</f>
        <v/>
      </c>
      <c r="L876" s="33">
        <f>IF(OR($I876="",$J876=""),"",ROUND(($J876-$I876)*24-$K876/60,2))</f>
        <v/>
      </c>
      <c r="M876" s="29">
        <f>IF($C876="","",IF(AND(COUNTIF(設定!$B$14:$B$20,$F876)&gt;0,$I876&lt;&gt;""),"假日出勤",IF(AND(COUNTIF(設定!$B$5:$B$13,$F876)&gt;0,$I876=""),"未打卡",IF($I876="","",IF($N876&gt;0,"遲到",IF($O876&gt;0,"早退","正常"))))))</f>
        <v/>
      </c>
      <c r="N876" s="32">
        <f>IF(OR($C876="",$G876="",$I876=""),0,IF(ROUND(($I876-$G876)*1440,0)&gt;設定!$C$28,ROUND(($I876-$G876)*1440,0),0))</f>
        <v/>
      </c>
      <c r="O876" s="32">
        <f>IF(OR($C876="",$H876="",$J876=""),0,IF(ROUND(($H876-$J876)*1440,0)&gt;設定!$C$28,ROUND(($H876-$J876)*1440,0),0))</f>
        <v/>
      </c>
      <c r="P876" s="33">
        <f>IF($L876="",0,IF(($L876-IFERROR(INDEX(設定!$G$5:$G$20,MATCH($F876,設定!$B$5:$B$20,0)),0))*60&gt;=設定!$C$26,ROUND(FLOOR(($L876-IFERROR(INDEX(設定!$G$5:$G$20,MATCH($F876,設定!$B$5:$B$20,0)),0))*60,設定!$C$27)/60,2),0))</f>
        <v/>
      </c>
      <c r="Q876" s="29">
        <f>IF(OR($C876="",$P876=0),"",IF($F876="國","國定假日",IF($B876="日","例假",IF($B876="六","休息日","平日"))))</f>
        <v/>
      </c>
      <c r="R876" s="34" t="n"/>
    </row>
    <row r="877">
      <c r="A877" s="30">
        <f>IF(OR(班表!$A34="",7&gt;DAY(EOMONTH(DATE(班表!$E$2,班表!$G$2,1),0))),"",DATE(班表!$E$2,班表!$G$2,7))</f>
        <v/>
      </c>
      <c r="B877" s="29">
        <f>IF($A877="","",INDEX(設定!$L$5:$L$11,WEEKDAY($A877,1)))</f>
        <v/>
      </c>
      <c r="C877" s="29">
        <f>IF($A877="","",班表!$A34)</f>
        <v/>
      </c>
      <c r="D877" s="29">
        <f>IF($C877="","",班表!$B34)</f>
        <v/>
      </c>
      <c r="E877" s="29">
        <f>IF($C877="","",班表!$C34)</f>
        <v/>
      </c>
      <c r="F877" s="29">
        <f>IF($C877="","",班表!J34)</f>
        <v/>
      </c>
      <c r="G877" s="31">
        <f>IF($F877="","",IFERROR(INDEX(設定!$D$5:$D$20,MATCH($F877,設定!$B$5:$B$20,0)),""))</f>
        <v/>
      </c>
      <c r="H877" s="31">
        <f>IF($F877="","",IFERROR(INDEX(設定!$E$5:$E$20,MATCH($F877,設定!$B$5:$B$20,0)),""))</f>
        <v/>
      </c>
      <c r="I877" s="31">
        <f>IFERROR(INDEX(打卡匯入!$C$3:$C$1002,MATCH($C877&amp;"|"&amp;DAY($A877),打卡匯入!$E$3:$E$1002,0)),"")</f>
        <v/>
      </c>
      <c r="J877" s="31">
        <f>IFERROR(INDEX(打卡匯入!$D$3:$D$1002,MATCH($C877&amp;"|"&amp;DAY($A877),打卡匯入!$E$3:$E$1002,0)),"")</f>
        <v/>
      </c>
      <c r="K877" s="32">
        <f>IF(OR($I877="",$J877=""),"",IFERROR(INDEX(設定!$F$5:$F$20,MATCH($F877,設定!$B$5:$B$20,0)),0))</f>
        <v/>
      </c>
      <c r="L877" s="33">
        <f>IF(OR($I877="",$J877=""),"",ROUND(($J877-$I877)*24-$K877/60,2))</f>
        <v/>
      </c>
      <c r="M877" s="29">
        <f>IF($C877="","",IF(AND(COUNTIF(設定!$B$14:$B$20,$F877)&gt;0,$I877&lt;&gt;""),"假日出勤",IF(AND(COUNTIF(設定!$B$5:$B$13,$F877)&gt;0,$I877=""),"未打卡",IF($I877="","",IF($N877&gt;0,"遲到",IF($O877&gt;0,"早退","正常"))))))</f>
        <v/>
      </c>
      <c r="N877" s="32">
        <f>IF(OR($C877="",$G877="",$I877=""),0,IF(ROUND(($I877-$G877)*1440,0)&gt;設定!$C$28,ROUND(($I877-$G877)*1440,0),0))</f>
        <v/>
      </c>
      <c r="O877" s="32">
        <f>IF(OR($C877="",$H877="",$J877=""),0,IF(ROUND(($H877-$J877)*1440,0)&gt;設定!$C$28,ROUND(($H877-$J877)*1440,0),0))</f>
        <v/>
      </c>
      <c r="P877" s="33">
        <f>IF($L877="",0,IF(($L877-IFERROR(INDEX(設定!$G$5:$G$20,MATCH($F877,設定!$B$5:$B$20,0)),0))*60&gt;=設定!$C$26,ROUND(FLOOR(($L877-IFERROR(INDEX(設定!$G$5:$G$20,MATCH($F877,設定!$B$5:$B$20,0)),0))*60,設定!$C$27)/60,2),0))</f>
        <v/>
      </c>
      <c r="Q877" s="29">
        <f>IF(OR($C877="",$P877=0),"",IF($F877="國","國定假日",IF($B877="日","例假",IF($B877="六","休息日","平日"))))</f>
        <v/>
      </c>
      <c r="R877" s="34" t="n"/>
    </row>
    <row r="878">
      <c r="A878" s="30">
        <f>IF(OR(班表!$A34="",8&gt;DAY(EOMONTH(DATE(班表!$E$2,班表!$G$2,1),0))),"",DATE(班表!$E$2,班表!$G$2,8))</f>
        <v/>
      </c>
      <c r="B878" s="29">
        <f>IF($A878="","",INDEX(設定!$L$5:$L$11,WEEKDAY($A878,1)))</f>
        <v/>
      </c>
      <c r="C878" s="29">
        <f>IF($A878="","",班表!$A34)</f>
        <v/>
      </c>
      <c r="D878" s="29">
        <f>IF($C878="","",班表!$B34)</f>
        <v/>
      </c>
      <c r="E878" s="29">
        <f>IF($C878="","",班表!$C34)</f>
        <v/>
      </c>
      <c r="F878" s="29">
        <f>IF($C878="","",班表!K34)</f>
        <v/>
      </c>
      <c r="G878" s="31">
        <f>IF($F878="","",IFERROR(INDEX(設定!$D$5:$D$20,MATCH($F878,設定!$B$5:$B$20,0)),""))</f>
        <v/>
      </c>
      <c r="H878" s="31">
        <f>IF($F878="","",IFERROR(INDEX(設定!$E$5:$E$20,MATCH($F878,設定!$B$5:$B$20,0)),""))</f>
        <v/>
      </c>
      <c r="I878" s="31">
        <f>IFERROR(INDEX(打卡匯入!$C$3:$C$1002,MATCH($C878&amp;"|"&amp;DAY($A878),打卡匯入!$E$3:$E$1002,0)),"")</f>
        <v/>
      </c>
      <c r="J878" s="31">
        <f>IFERROR(INDEX(打卡匯入!$D$3:$D$1002,MATCH($C878&amp;"|"&amp;DAY($A878),打卡匯入!$E$3:$E$1002,0)),"")</f>
        <v/>
      </c>
      <c r="K878" s="32">
        <f>IF(OR($I878="",$J878=""),"",IFERROR(INDEX(設定!$F$5:$F$20,MATCH($F878,設定!$B$5:$B$20,0)),0))</f>
        <v/>
      </c>
      <c r="L878" s="33">
        <f>IF(OR($I878="",$J878=""),"",ROUND(($J878-$I878)*24-$K878/60,2))</f>
        <v/>
      </c>
      <c r="M878" s="29">
        <f>IF($C878="","",IF(AND(COUNTIF(設定!$B$14:$B$20,$F878)&gt;0,$I878&lt;&gt;""),"假日出勤",IF(AND(COUNTIF(設定!$B$5:$B$13,$F878)&gt;0,$I878=""),"未打卡",IF($I878="","",IF($N878&gt;0,"遲到",IF($O878&gt;0,"早退","正常"))))))</f>
        <v/>
      </c>
      <c r="N878" s="32">
        <f>IF(OR($C878="",$G878="",$I878=""),0,IF(ROUND(($I878-$G878)*1440,0)&gt;設定!$C$28,ROUND(($I878-$G878)*1440,0),0))</f>
        <v/>
      </c>
      <c r="O878" s="32">
        <f>IF(OR($C878="",$H878="",$J878=""),0,IF(ROUND(($H878-$J878)*1440,0)&gt;設定!$C$28,ROUND(($H878-$J878)*1440,0),0))</f>
        <v/>
      </c>
      <c r="P878" s="33">
        <f>IF($L878="",0,IF(($L878-IFERROR(INDEX(設定!$G$5:$G$20,MATCH($F878,設定!$B$5:$B$20,0)),0))*60&gt;=設定!$C$26,ROUND(FLOOR(($L878-IFERROR(INDEX(設定!$G$5:$G$20,MATCH($F878,設定!$B$5:$B$20,0)),0))*60,設定!$C$27)/60,2),0))</f>
        <v/>
      </c>
      <c r="Q878" s="29">
        <f>IF(OR($C878="",$P878=0),"",IF($F878="國","國定假日",IF($B878="日","例假",IF($B878="六","休息日","平日"))))</f>
        <v/>
      </c>
      <c r="R878" s="34" t="n"/>
    </row>
    <row r="879">
      <c r="A879" s="30">
        <f>IF(OR(班表!$A34="",9&gt;DAY(EOMONTH(DATE(班表!$E$2,班表!$G$2,1),0))),"",DATE(班表!$E$2,班表!$G$2,9))</f>
        <v/>
      </c>
      <c r="B879" s="29">
        <f>IF($A879="","",INDEX(設定!$L$5:$L$11,WEEKDAY($A879,1)))</f>
        <v/>
      </c>
      <c r="C879" s="29">
        <f>IF($A879="","",班表!$A34)</f>
        <v/>
      </c>
      <c r="D879" s="29">
        <f>IF($C879="","",班表!$B34)</f>
        <v/>
      </c>
      <c r="E879" s="29">
        <f>IF($C879="","",班表!$C34)</f>
        <v/>
      </c>
      <c r="F879" s="29">
        <f>IF($C879="","",班表!L34)</f>
        <v/>
      </c>
      <c r="G879" s="31">
        <f>IF($F879="","",IFERROR(INDEX(設定!$D$5:$D$20,MATCH($F879,設定!$B$5:$B$20,0)),""))</f>
        <v/>
      </c>
      <c r="H879" s="31">
        <f>IF($F879="","",IFERROR(INDEX(設定!$E$5:$E$20,MATCH($F879,設定!$B$5:$B$20,0)),""))</f>
        <v/>
      </c>
      <c r="I879" s="31">
        <f>IFERROR(INDEX(打卡匯入!$C$3:$C$1002,MATCH($C879&amp;"|"&amp;DAY($A879),打卡匯入!$E$3:$E$1002,0)),"")</f>
        <v/>
      </c>
      <c r="J879" s="31">
        <f>IFERROR(INDEX(打卡匯入!$D$3:$D$1002,MATCH($C879&amp;"|"&amp;DAY($A879),打卡匯入!$E$3:$E$1002,0)),"")</f>
        <v/>
      </c>
      <c r="K879" s="32">
        <f>IF(OR($I879="",$J879=""),"",IFERROR(INDEX(設定!$F$5:$F$20,MATCH($F879,設定!$B$5:$B$20,0)),0))</f>
        <v/>
      </c>
      <c r="L879" s="33">
        <f>IF(OR($I879="",$J879=""),"",ROUND(($J879-$I879)*24-$K879/60,2))</f>
        <v/>
      </c>
      <c r="M879" s="29">
        <f>IF($C879="","",IF(AND(COUNTIF(設定!$B$14:$B$20,$F879)&gt;0,$I879&lt;&gt;""),"假日出勤",IF(AND(COUNTIF(設定!$B$5:$B$13,$F879)&gt;0,$I879=""),"未打卡",IF($I879="","",IF($N879&gt;0,"遲到",IF($O879&gt;0,"早退","正常"))))))</f>
        <v/>
      </c>
      <c r="N879" s="32">
        <f>IF(OR($C879="",$G879="",$I879=""),0,IF(ROUND(($I879-$G879)*1440,0)&gt;設定!$C$28,ROUND(($I879-$G879)*1440,0),0))</f>
        <v/>
      </c>
      <c r="O879" s="32">
        <f>IF(OR($C879="",$H879="",$J879=""),0,IF(ROUND(($H879-$J879)*1440,0)&gt;設定!$C$28,ROUND(($H879-$J879)*1440,0),0))</f>
        <v/>
      </c>
      <c r="P879" s="33">
        <f>IF($L879="",0,IF(($L879-IFERROR(INDEX(設定!$G$5:$G$20,MATCH($F879,設定!$B$5:$B$20,0)),0))*60&gt;=設定!$C$26,ROUND(FLOOR(($L879-IFERROR(INDEX(設定!$G$5:$G$20,MATCH($F879,設定!$B$5:$B$20,0)),0))*60,設定!$C$27)/60,2),0))</f>
        <v/>
      </c>
      <c r="Q879" s="29">
        <f>IF(OR($C879="",$P879=0),"",IF($F879="國","國定假日",IF($B879="日","例假",IF($B879="六","休息日","平日"))))</f>
        <v/>
      </c>
      <c r="R879" s="34" t="n"/>
    </row>
    <row r="880">
      <c r="A880" s="30">
        <f>IF(OR(班表!$A34="",10&gt;DAY(EOMONTH(DATE(班表!$E$2,班表!$G$2,1),0))),"",DATE(班表!$E$2,班表!$G$2,10))</f>
        <v/>
      </c>
      <c r="B880" s="29">
        <f>IF($A880="","",INDEX(設定!$L$5:$L$11,WEEKDAY($A880,1)))</f>
        <v/>
      </c>
      <c r="C880" s="29">
        <f>IF($A880="","",班表!$A34)</f>
        <v/>
      </c>
      <c r="D880" s="29">
        <f>IF($C880="","",班表!$B34)</f>
        <v/>
      </c>
      <c r="E880" s="29">
        <f>IF($C880="","",班表!$C34)</f>
        <v/>
      </c>
      <c r="F880" s="29">
        <f>IF($C880="","",班表!M34)</f>
        <v/>
      </c>
      <c r="G880" s="31">
        <f>IF($F880="","",IFERROR(INDEX(設定!$D$5:$D$20,MATCH($F880,設定!$B$5:$B$20,0)),""))</f>
        <v/>
      </c>
      <c r="H880" s="31">
        <f>IF($F880="","",IFERROR(INDEX(設定!$E$5:$E$20,MATCH($F880,設定!$B$5:$B$20,0)),""))</f>
        <v/>
      </c>
      <c r="I880" s="31">
        <f>IFERROR(INDEX(打卡匯入!$C$3:$C$1002,MATCH($C880&amp;"|"&amp;DAY($A880),打卡匯入!$E$3:$E$1002,0)),"")</f>
        <v/>
      </c>
      <c r="J880" s="31">
        <f>IFERROR(INDEX(打卡匯入!$D$3:$D$1002,MATCH($C880&amp;"|"&amp;DAY($A880),打卡匯入!$E$3:$E$1002,0)),"")</f>
        <v/>
      </c>
      <c r="K880" s="32">
        <f>IF(OR($I880="",$J880=""),"",IFERROR(INDEX(設定!$F$5:$F$20,MATCH($F880,設定!$B$5:$B$20,0)),0))</f>
        <v/>
      </c>
      <c r="L880" s="33">
        <f>IF(OR($I880="",$J880=""),"",ROUND(($J880-$I880)*24-$K880/60,2))</f>
        <v/>
      </c>
      <c r="M880" s="29">
        <f>IF($C880="","",IF(AND(COUNTIF(設定!$B$14:$B$20,$F880)&gt;0,$I880&lt;&gt;""),"假日出勤",IF(AND(COUNTIF(設定!$B$5:$B$13,$F880)&gt;0,$I880=""),"未打卡",IF($I880="","",IF($N880&gt;0,"遲到",IF($O880&gt;0,"早退","正常"))))))</f>
        <v/>
      </c>
      <c r="N880" s="32">
        <f>IF(OR($C880="",$G880="",$I880=""),0,IF(ROUND(($I880-$G880)*1440,0)&gt;設定!$C$28,ROUND(($I880-$G880)*1440,0),0))</f>
        <v/>
      </c>
      <c r="O880" s="32">
        <f>IF(OR($C880="",$H880="",$J880=""),0,IF(ROUND(($H880-$J880)*1440,0)&gt;設定!$C$28,ROUND(($H880-$J880)*1440,0),0))</f>
        <v/>
      </c>
      <c r="P880" s="33">
        <f>IF($L880="",0,IF(($L880-IFERROR(INDEX(設定!$G$5:$G$20,MATCH($F880,設定!$B$5:$B$20,0)),0))*60&gt;=設定!$C$26,ROUND(FLOOR(($L880-IFERROR(INDEX(設定!$G$5:$G$20,MATCH($F880,設定!$B$5:$B$20,0)),0))*60,設定!$C$27)/60,2),0))</f>
        <v/>
      </c>
      <c r="Q880" s="29">
        <f>IF(OR($C880="",$P880=0),"",IF($F880="國","國定假日",IF($B880="日","例假",IF($B880="六","休息日","平日"))))</f>
        <v/>
      </c>
      <c r="R880" s="34" t="n"/>
    </row>
    <row r="881">
      <c r="A881" s="30">
        <f>IF(OR(班表!$A34="",11&gt;DAY(EOMONTH(DATE(班表!$E$2,班表!$G$2,1),0))),"",DATE(班表!$E$2,班表!$G$2,11))</f>
        <v/>
      </c>
      <c r="B881" s="29">
        <f>IF($A881="","",INDEX(設定!$L$5:$L$11,WEEKDAY($A881,1)))</f>
        <v/>
      </c>
      <c r="C881" s="29">
        <f>IF($A881="","",班表!$A34)</f>
        <v/>
      </c>
      <c r="D881" s="29">
        <f>IF($C881="","",班表!$B34)</f>
        <v/>
      </c>
      <c r="E881" s="29">
        <f>IF($C881="","",班表!$C34)</f>
        <v/>
      </c>
      <c r="F881" s="29">
        <f>IF($C881="","",班表!N34)</f>
        <v/>
      </c>
      <c r="G881" s="31">
        <f>IF($F881="","",IFERROR(INDEX(設定!$D$5:$D$20,MATCH($F881,設定!$B$5:$B$20,0)),""))</f>
        <v/>
      </c>
      <c r="H881" s="31">
        <f>IF($F881="","",IFERROR(INDEX(設定!$E$5:$E$20,MATCH($F881,設定!$B$5:$B$20,0)),""))</f>
        <v/>
      </c>
      <c r="I881" s="31">
        <f>IFERROR(INDEX(打卡匯入!$C$3:$C$1002,MATCH($C881&amp;"|"&amp;DAY($A881),打卡匯入!$E$3:$E$1002,0)),"")</f>
        <v/>
      </c>
      <c r="J881" s="31">
        <f>IFERROR(INDEX(打卡匯入!$D$3:$D$1002,MATCH($C881&amp;"|"&amp;DAY($A881),打卡匯入!$E$3:$E$1002,0)),"")</f>
        <v/>
      </c>
      <c r="K881" s="32">
        <f>IF(OR($I881="",$J881=""),"",IFERROR(INDEX(設定!$F$5:$F$20,MATCH($F881,設定!$B$5:$B$20,0)),0))</f>
        <v/>
      </c>
      <c r="L881" s="33">
        <f>IF(OR($I881="",$J881=""),"",ROUND(($J881-$I881)*24-$K881/60,2))</f>
        <v/>
      </c>
      <c r="M881" s="29">
        <f>IF($C881="","",IF(AND(COUNTIF(設定!$B$14:$B$20,$F881)&gt;0,$I881&lt;&gt;""),"假日出勤",IF(AND(COUNTIF(設定!$B$5:$B$13,$F881)&gt;0,$I881=""),"未打卡",IF($I881="","",IF($N881&gt;0,"遲到",IF($O881&gt;0,"早退","正常"))))))</f>
        <v/>
      </c>
      <c r="N881" s="32">
        <f>IF(OR($C881="",$G881="",$I881=""),0,IF(ROUND(($I881-$G881)*1440,0)&gt;設定!$C$28,ROUND(($I881-$G881)*1440,0),0))</f>
        <v/>
      </c>
      <c r="O881" s="32">
        <f>IF(OR($C881="",$H881="",$J881=""),0,IF(ROUND(($H881-$J881)*1440,0)&gt;設定!$C$28,ROUND(($H881-$J881)*1440,0),0))</f>
        <v/>
      </c>
      <c r="P881" s="33">
        <f>IF($L881="",0,IF(($L881-IFERROR(INDEX(設定!$G$5:$G$20,MATCH($F881,設定!$B$5:$B$20,0)),0))*60&gt;=設定!$C$26,ROUND(FLOOR(($L881-IFERROR(INDEX(設定!$G$5:$G$20,MATCH($F881,設定!$B$5:$B$20,0)),0))*60,設定!$C$27)/60,2),0))</f>
        <v/>
      </c>
      <c r="Q881" s="29">
        <f>IF(OR($C881="",$P881=0),"",IF($F881="國","國定假日",IF($B881="日","例假",IF($B881="六","休息日","平日"))))</f>
        <v/>
      </c>
      <c r="R881" s="34" t="n"/>
    </row>
    <row r="882">
      <c r="A882" s="30">
        <f>IF(OR(班表!$A34="",12&gt;DAY(EOMONTH(DATE(班表!$E$2,班表!$G$2,1),0))),"",DATE(班表!$E$2,班表!$G$2,12))</f>
        <v/>
      </c>
      <c r="B882" s="29">
        <f>IF($A882="","",INDEX(設定!$L$5:$L$11,WEEKDAY($A882,1)))</f>
        <v/>
      </c>
      <c r="C882" s="29">
        <f>IF($A882="","",班表!$A34)</f>
        <v/>
      </c>
      <c r="D882" s="29">
        <f>IF($C882="","",班表!$B34)</f>
        <v/>
      </c>
      <c r="E882" s="29">
        <f>IF($C882="","",班表!$C34)</f>
        <v/>
      </c>
      <c r="F882" s="29">
        <f>IF($C882="","",班表!O34)</f>
        <v/>
      </c>
      <c r="G882" s="31">
        <f>IF($F882="","",IFERROR(INDEX(設定!$D$5:$D$20,MATCH($F882,設定!$B$5:$B$20,0)),""))</f>
        <v/>
      </c>
      <c r="H882" s="31">
        <f>IF($F882="","",IFERROR(INDEX(設定!$E$5:$E$20,MATCH($F882,設定!$B$5:$B$20,0)),""))</f>
        <v/>
      </c>
      <c r="I882" s="31">
        <f>IFERROR(INDEX(打卡匯入!$C$3:$C$1002,MATCH($C882&amp;"|"&amp;DAY($A882),打卡匯入!$E$3:$E$1002,0)),"")</f>
        <v/>
      </c>
      <c r="J882" s="31">
        <f>IFERROR(INDEX(打卡匯入!$D$3:$D$1002,MATCH($C882&amp;"|"&amp;DAY($A882),打卡匯入!$E$3:$E$1002,0)),"")</f>
        <v/>
      </c>
      <c r="K882" s="32">
        <f>IF(OR($I882="",$J882=""),"",IFERROR(INDEX(設定!$F$5:$F$20,MATCH($F882,設定!$B$5:$B$20,0)),0))</f>
        <v/>
      </c>
      <c r="L882" s="33">
        <f>IF(OR($I882="",$J882=""),"",ROUND(($J882-$I882)*24-$K882/60,2))</f>
        <v/>
      </c>
      <c r="M882" s="29">
        <f>IF($C882="","",IF(AND(COUNTIF(設定!$B$14:$B$20,$F882)&gt;0,$I882&lt;&gt;""),"假日出勤",IF(AND(COUNTIF(設定!$B$5:$B$13,$F882)&gt;0,$I882=""),"未打卡",IF($I882="","",IF($N882&gt;0,"遲到",IF($O882&gt;0,"早退","正常"))))))</f>
        <v/>
      </c>
      <c r="N882" s="32">
        <f>IF(OR($C882="",$G882="",$I882=""),0,IF(ROUND(($I882-$G882)*1440,0)&gt;設定!$C$28,ROUND(($I882-$G882)*1440,0),0))</f>
        <v/>
      </c>
      <c r="O882" s="32">
        <f>IF(OR($C882="",$H882="",$J882=""),0,IF(ROUND(($H882-$J882)*1440,0)&gt;設定!$C$28,ROUND(($H882-$J882)*1440,0),0))</f>
        <v/>
      </c>
      <c r="P882" s="33">
        <f>IF($L882="",0,IF(($L882-IFERROR(INDEX(設定!$G$5:$G$20,MATCH($F882,設定!$B$5:$B$20,0)),0))*60&gt;=設定!$C$26,ROUND(FLOOR(($L882-IFERROR(INDEX(設定!$G$5:$G$20,MATCH($F882,設定!$B$5:$B$20,0)),0))*60,設定!$C$27)/60,2),0))</f>
        <v/>
      </c>
      <c r="Q882" s="29">
        <f>IF(OR($C882="",$P882=0),"",IF($F882="國","國定假日",IF($B882="日","例假",IF($B882="六","休息日","平日"))))</f>
        <v/>
      </c>
      <c r="R882" s="34" t="n"/>
    </row>
    <row r="883">
      <c r="A883" s="30">
        <f>IF(OR(班表!$A34="",13&gt;DAY(EOMONTH(DATE(班表!$E$2,班表!$G$2,1),0))),"",DATE(班表!$E$2,班表!$G$2,13))</f>
        <v/>
      </c>
      <c r="B883" s="29">
        <f>IF($A883="","",INDEX(設定!$L$5:$L$11,WEEKDAY($A883,1)))</f>
        <v/>
      </c>
      <c r="C883" s="29">
        <f>IF($A883="","",班表!$A34)</f>
        <v/>
      </c>
      <c r="D883" s="29">
        <f>IF($C883="","",班表!$B34)</f>
        <v/>
      </c>
      <c r="E883" s="29">
        <f>IF($C883="","",班表!$C34)</f>
        <v/>
      </c>
      <c r="F883" s="29">
        <f>IF($C883="","",班表!P34)</f>
        <v/>
      </c>
      <c r="G883" s="31">
        <f>IF($F883="","",IFERROR(INDEX(設定!$D$5:$D$20,MATCH($F883,設定!$B$5:$B$20,0)),""))</f>
        <v/>
      </c>
      <c r="H883" s="31">
        <f>IF($F883="","",IFERROR(INDEX(設定!$E$5:$E$20,MATCH($F883,設定!$B$5:$B$20,0)),""))</f>
        <v/>
      </c>
      <c r="I883" s="31">
        <f>IFERROR(INDEX(打卡匯入!$C$3:$C$1002,MATCH($C883&amp;"|"&amp;DAY($A883),打卡匯入!$E$3:$E$1002,0)),"")</f>
        <v/>
      </c>
      <c r="J883" s="31">
        <f>IFERROR(INDEX(打卡匯入!$D$3:$D$1002,MATCH($C883&amp;"|"&amp;DAY($A883),打卡匯入!$E$3:$E$1002,0)),"")</f>
        <v/>
      </c>
      <c r="K883" s="32">
        <f>IF(OR($I883="",$J883=""),"",IFERROR(INDEX(設定!$F$5:$F$20,MATCH($F883,設定!$B$5:$B$20,0)),0))</f>
        <v/>
      </c>
      <c r="L883" s="33">
        <f>IF(OR($I883="",$J883=""),"",ROUND(($J883-$I883)*24-$K883/60,2))</f>
        <v/>
      </c>
      <c r="M883" s="29">
        <f>IF($C883="","",IF(AND(COUNTIF(設定!$B$14:$B$20,$F883)&gt;0,$I883&lt;&gt;""),"假日出勤",IF(AND(COUNTIF(設定!$B$5:$B$13,$F883)&gt;0,$I883=""),"未打卡",IF($I883="","",IF($N883&gt;0,"遲到",IF($O883&gt;0,"早退","正常"))))))</f>
        <v/>
      </c>
      <c r="N883" s="32">
        <f>IF(OR($C883="",$G883="",$I883=""),0,IF(ROUND(($I883-$G883)*1440,0)&gt;設定!$C$28,ROUND(($I883-$G883)*1440,0),0))</f>
        <v/>
      </c>
      <c r="O883" s="32">
        <f>IF(OR($C883="",$H883="",$J883=""),0,IF(ROUND(($H883-$J883)*1440,0)&gt;設定!$C$28,ROUND(($H883-$J883)*1440,0),0))</f>
        <v/>
      </c>
      <c r="P883" s="33">
        <f>IF($L883="",0,IF(($L883-IFERROR(INDEX(設定!$G$5:$G$20,MATCH($F883,設定!$B$5:$B$20,0)),0))*60&gt;=設定!$C$26,ROUND(FLOOR(($L883-IFERROR(INDEX(設定!$G$5:$G$20,MATCH($F883,設定!$B$5:$B$20,0)),0))*60,設定!$C$27)/60,2),0))</f>
        <v/>
      </c>
      <c r="Q883" s="29">
        <f>IF(OR($C883="",$P883=0),"",IF($F883="國","國定假日",IF($B883="日","例假",IF($B883="六","休息日","平日"))))</f>
        <v/>
      </c>
      <c r="R883" s="34" t="n"/>
    </row>
    <row r="884">
      <c r="A884" s="30">
        <f>IF(OR(班表!$A34="",14&gt;DAY(EOMONTH(DATE(班表!$E$2,班表!$G$2,1),0))),"",DATE(班表!$E$2,班表!$G$2,14))</f>
        <v/>
      </c>
      <c r="B884" s="29">
        <f>IF($A884="","",INDEX(設定!$L$5:$L$11,WEEKDAY($A884,1)))</f>
        <v/>
      </c>
      <c r="C884" s="29">
        <f>IF($A884="","",班表!$A34)</f>
        <v/>
      </c>
      <c r="D884" s="29">
        <f>IF($C884="","",班表!$B34)</f>
        <v/>
      </c>
      <c r="E884" s="29">
        <f>IF($C884="","",班表!$C34)</f>
        <v/>
      </c>
      <c r="F884" s="29">
        <f>IF($C884="","",班表!Q34)</f>
        <v/>
      </c>
      <c r="G884" s="31">
        <f>IF($F884="","",IFERROR(INDEX(設定!$D$5:$D$20,MATCH($F884,設定!$B$5:$B$20,0)),""))</f>
        <v/>
      </c>
      <c r="H884" s="31">
        <f>IF($F884="","",IFERROR(INDEX(設定!$E$5:$E$20,MATCH($F884,設定!$B$5:$B$20,0)),""))</f>
        <v/>
      </c>
      <c r="I884" s="31">
        <f>IFERROR(INDEX(打卡匯入!$C$3:$C$1002,MATCH($C884&amp;"|"&amp;DAY($A884),打卡匯入!$E$3:$E$1002,0)),"")</f>
        <v/>
      </c>
      <c r="J884" s="31">
        <f>IFERROR(INDEX(打卡匯入!$D$3:$D$1002,MATCH($C884&amp;"|"&amp;DAY($A884),打卡匯入!$E$3:$E$1002,0)),"")</f>
        <v/>
      </c>
      <c r="K884" s="32">
        <f>IF(OR($I884="",$J884=""),"",IFERROR(INDEX(設定!$F$5:$F$20,MATCH($F884,設定!$B$5:$B$20,0)),0))</f>
        <v/>
      </c>
      <c r="L884" s="33">
        <f>IF(OR($I884="",$J884=""),"",ROUND(($J884-$I884)*24-$K884/60,2))</f>
        <v/>
      </c>
      <c r="M884" s="29">
        <f>IF($C884="","",IF(AND(COUNTIF(設定!$B$14:$B$20,$F884)&gt;0,$I884&lt;&gt;""),"假日出勤",IF(AND(COUNTIF(設定!$B$5:$B$13,$F884)&gt;0,$I884=""),"未打卡",IF($I884="","",IF($N884&gt;0,"遲到",IF($O884&gt;0,"早退","正常"))))))</f>
        <v/>
      </c>
      <c r="N884" s="32">
        <f>IF(OR($C884="",$G884="",$I884=""),0,IF(ROUND(($I884-$G884)*1440,0)&gt;設定!$C$28,ROUND(($I884-$G884)*1440,0),0))</f>
        <v/>
      </c>
      <c r="O884" s="32">
        <f>IF(OR($C884="",$H884="",$J884=""),0,IF(ROUND(($H884-$J884)*1440,0)&gt;設定!$C$28,ROUND(($H884-$J884)*1440,0),0))</f>
        <v/>
      </c>
      <c r="P884" s="33">
        <f>IF($L884="",0,IF(($L884-IFERROR(INDEX(設定!$G$5:$G$20,MATCH($F884,設定!$B$5:$B$20,0)),0))*60&gt;=設定!$C$26,ROUND(FLOOR(($L884-IFERROR(INDEX(設定!$G$5:$G$20,MATCH($F884,設定!$B$5:$B$20,0)),0))*60,設定!$C$27)/60,2),0))</f>
        <v/>
      </c>
      <c r="Q884" s="29">
        <f>IF(OR($C884="",$P884=0),"",IF($F884="國","國定假日",IF($B884="日","例假",IF($B884="六","休息日","平日"))))</f>
        <v/>
      </c>
      <c r="R884" s="34" t="n"/>
    </row>
    <row r="885">
      <c r="A885" s="30">
        <f>IF(OR(班表!$A34="",15&gt;DAY(EOMONTH(DATE(班表!$E$2,班表!$G$2,1),0))),"",DATE(班表!$E$2,班表!$G$2,15))</f>
        <v/>
      </c>
      <c r="B885" s="29">
        <f>IF($A885="","",INDEX(設定!$L$5:$L$11,WEEKDAY($A885,1)))</f>
        <v/>
      </c>
      <c r="C885" s="29">
        <f>IF($A885="","",班表!$A34)</f>
        <v/>
      </c>
      <c r="D885" s="29">
        <f>IF($C885="","",班表!$B34)</f>
        <v/>
      </c>
      <c r="E885" s="29">
        <f>IF($C885="","",班表!$C34)</f>
        <v/>
      </c>
      <c r="F885" s="29">
        <f>IF($C885="","",班表!R34)</f>
        <v/>
      </c>
      <c r="G885" s="31">
        <f>IF($F885="","",IFERROR(INDEX(設定!$D$5:$D$20,MATCH($F885,設定!$B$5:$B$20,0)),""))</f>
        <v/>
      </c>
      <c r="H885" s="31">
        <f>IF($F885="","",IFERROR(INDEX(設定!$E$5:$E$20,MATCH($F885,設定!$B$5:$B$20,0)),""))</f>
        <v/>
      </c>
      <c r="I885" s="31">
        <f>IFERROR(INDEX(打卡匯入!$C$3:$C$1002,MATCH($C885&amp;"|"&amp;DAY($A885),打卡匯入!$E$3:$E$1002,0)),"")</f>
        <v/>
      </c>
      <c r="J885" s="31">
        <f>IFERROR(INDEX(打卡匯入!$D$3:$D$1002,MATCH($C885&amp;"|"&amp;DAY($A885),打卡匯入!$E$3:$E$1002,0)),"")</f>
        <v/>
      </c>
      <c r="K885" s="32">
        <f>IF(OR($I885="",$J885=""),"",IFERROR(INDEX(設定!$F$5:$F$20,MATCH($F885,設定!$B$5:$B$20,0)),0))</f>
        <v/>
      </c>
      <c r="L885" s="33">
        <f>IF(OR($I885="",$J885=""),"",ROUND(($J885-$I885)*24-$K885/60,2))</f>
        <v/>
      </c>
      <c r="M885" s="29">
        <f>IF($C885="","",IF(AND(COUNTIF(設定!$B$14:$B$20,$F885)&gt;0,$I885&lt;&gt;""),"假日出勤",IF(AND(COUNTIF(設定!$B$5:$B$13,$F885)&gt;0,$I885=""),"未打卡",IF($I885="","",IF($N885&gt;0,"遲到",IF($O885&gt;0,"早退","正常"))))))</f>
        <v/>
      </c>
      <c r="N885" s="32">
        <f>IF(OR($C885="",$G885="",$I885=""),0,IF(ROUND(($I885-$G885)*1440,0)&gt;設定!$C$28,ROUND(($I885-$G885)*1440,0),0))</f>
        <v/>
      </c>
      <c r="O885" s="32">
        <f>IF(OR($C885="",$H885="",$J885=""),0,IF(ROUND(($H885-$J885)*1440,0)&gt;設定!$C$28,ROUND(($H885-$J885)*1440,0),0))</f>
        <v/>
      </c>
      <c r="P885" s="33">
        <f>IF($L885="",0,IF(($L885-IFERROR(INDEX(設定!$G$5:$G$20,MATCH($F885,設定!$B$5:$B$20,0)),0))*60&gt;=設定!$C$26,ROUND(FLOOR(($L885-IFERROR(INDEX(設定!$G$5:$G$20,MATCH($F885,設定!$B$5:$B$20,0)),0))*60,設定!$C$27)/60,2),0))</f>
        <v/>
      </c>
      <c r="Q885" s="29">
        <f>IF(OR($C885="",$P885=0),"",IF($F885="國","國定假日",IF($B885="日","例假",IF($B885="六","休息日","平日"))))</f>
        <v/>
      </c>
      <c r="R885" s="34" t="n"/>
    </row>
    <row r="886">
      <c r="A886" s="30">
        <f>IF(OR(班表!$A34="",16&gt;DAY(EOMONTH(DATE(班表!$E$2,班表!$G$2,1),0))),"",DATE(班表!$E$2,班表!$G$2,16))</f>
        <v/>
      </c>
      <c r="B886" s="29">
        <f>IF($A886="","",INDEX(設定!$L$5:$L$11,WEEKDAY($A886,1)))</f>
        <v/>
      </c>
      <c r="C886" s="29">
        <f>IF($A886="","",班表!$A34)</f>
        <v/>
      </c>
      <c r="D886" s="29">
        <f>IF($C886="","",班表!$B34)</f>
        <v/>
      </c>
      <c r="E886" s="29">
        <f>IF($C886="","",班表!$C34)</f>
        <v/>
      </c>
      <c r="F886" s="29">
        <f>IF($C886="","",班表!S34)</f>
        <v/>
      </c>
      <c r="G886" s="31">
        <f>IF($F886="","",IFERROR(INDEX(設定!$D$5:$D$20,MATCH($F886,設定!$B$5:$B$20,0)),""))</f>
        <v/>
      </c>
      <c r="H886" s="31">
        <f>IF($F886="","",IFERROR(INDEX(設定!$E$5:$E$20,MATCH($F886,設定!$B$5:$B$20,0)),""))</f>
        <v/>
      </c>
      <c r="I886" s="31">
        <f>IFERROR(INDEX(打卡匯入!$C$3:$C$1002,MATCH($C886&amp;"|"&amp;DAY($A886),打卡匯入!$E$3:$E$1002,0)),"")</f>
        <v/>
      </c>
      <c r="J886" s="31">
        <f>IFERROR(INDEX(打卡匯入!$D$3:$D$1002,MATCH($C886&amp;"|"&amp;DAY($A886),打卡匯入!$E$3:$E$1002,0)),"")</f>
        <v/>
      </c>
      <c r="K886" s="32">
        <f>IF(OR($I886="",$J886=""),"",IFERROR(INDEX(設定!$F$5:$F$20,MATCH($F886,設定!$B$5:$B$20,0)),0))</f>
        <v/>
      </c>
      <c r="L886" s="33">
        <f>IF(OR($I886="",$J886=""),"",ROUND(($J886-$I886)*24-$K886/60,2))</f>
        <v/>
      </c>
      <c r="M886" s="29">
        <f>IF($C886="","",IF(AND(COUNTIF(設定!$B$14:$B$20,$F886)&gt;0,$I886&lt;&gt;""),"假日出勤",IF(AND(COUNTIF(設定!$B$5:$B$13,$F886)&gt;0,$I886=""),"未打卡",IF($I886="","",IF($N886&gt;0,"遲到",IF($O886&gt;0,"早退","正常"))))))</f>
        <v/>
      </c>
      <c r="N886" s="32">
        <f>IF(OR($C886="",$G886="",$I886=""),0,IF(ROUND(($I886-$G886)*1440,0)&gt;設定!$C$28,ROUND(($I886-$G886)*1440,0),0))</f>
        <v/>
      </c>
      <c r="O886" s="32">
        <f>IF(OR($C886="",$H886="",$J886=""),0,IF(ROUND(($H886-$J886)*1440,0)&gt;設定!$C$28,ROUND(($H886-$J886)*1440,0),0))</f>
        <v/>
      </c>
      <c r="P886" s="33">
        <f>IF($L886="",0,IF(($L886-IFERROR(INDEX(設定!$G$5:$G$20,MATCH($F886,設定!$B$5:$B$20,0)),0))*60&gt;=設定!$C$26,ROUND(FLOOR(($L886-IFERROR(INDEX(設定!$G$5:$G$20,MATCH($F886,設定!$B$5:$B$20,0)),0))*60,設定!$C$27)/60,2),0))</f>
        <v/>
      </c>
      <c r="Q886" s="29">
        <f>IF(OR($C886="",$P886=0),"",IF($F886="國","國定假日",IF($B886="日","例假",IF($B886="六","休息日","平日"))))</f>
        <v/>
      </c>
      <c r="R886" s="34" t="n"/>
    </row>
    <row r="887">
      <c r="A887" s="30">
        <f>IF(OR(班表!$A34="",17&gt;DAY(EOMONTH(DATE(班表!$E$2,班表!$G$2,1),0))),"",DATE(班表!$E$2,班表!$G$2,17))</f>
        <v/>
      </c>
      <c r="B887" s="29">
        <f>IF($A887="","",INDEX(設定!$L$5:$L$11,WEEKDAY($A887,1)))</f>
        <v/>
      </c>
      <c r="C887" s="29">
        <f>IF($A887="","",班表!$A34)</f>
        <v/>
      </c>
      <c r="D887" s="29">
        <f>IF($C887="","",班表!$B34)</f>
        <v/>
      </c>
      <c r="E887" s="29">
        <f>IF($C887="","",班表!$C34)</f>
        <v/>
      </c>
      <c r="F887" s="29">
        <f>IF($C887="","",班表!T34)</f>
        <v/>
      </c>
      <c r="G887" s="31">
        <f>IF($F887="","",IFERROR(INDEX(設定!$D$5:$D$20,MATCH($F887,設定!$B$5:$B$20,0)),""))</f>
        <v/>
      </c>
      <c r="H887" s="31">
        <f>IF($F887="","",IFERROR(INDEX(設定!$E$5:$E$20,MATCH($F887,設定!$B$5:$B$20,0)),""))</f>
        <v/>
      </c>
      <c r="I887" s="31">
        <f>IFERROR(INDEX(打卡匯入!$C$3:$C$1002,MATCH($C887&amp;"|"&amp;DAY($A887),打卡匯入!$E$3:$E$1002,0)),"")</f>
        <v/>
      </c>
      <c r="J887" s="31">
        <f>IFERROR(INDEX(打卡匯入!$D$3:$D$1002,MATCH($C887&amp;"|"&amp;DAY($A887),打卡匯入!$E$3:$E$1002,0)),"")</f>
        <v/>
      </c>
      <c r="K887" s="32">
        <f>IF(OR($I887="",$J887=""),"",IFERROR(INDEX(設定!$F$5:$F$20,MATCH($F887,設定!$B$5:$B$20,0)),0))</f>
        <v/>
      </c>
      <c r="L887" s="33">
        <f>IF(OR($I887="",$J887=""),"",ROUND(($J887-$I887)*24-$K887/60,2))</f>
        <v/>
      </c>
      <c r="M887" s="29">
        <f>IF($C887="","",IF(AND(COUNTIF(設定!$B$14:$B$20,$F887)&gt;0,$I887&lt;&gt;""),"假日出勤",IF(AND(COUNTIF(設定!$B$5:$B$13,$F887)&gt;0,$I887=""),"未打卡",IF($I887="","",IF($N887&gt;0,"遲到",IF($O887&gt;0,"早退","正常"))))))</f>
        <v/>
      </c>
      <c r="N887" s="32">
        <f>IF(OR($C887="",$G887="",$I887=""),0,IF(ROUND(($I887-$G887)*1440,0)&gt;設定!$C$28,ROUND(($I887-$G887)*1440,0),0))</f>
        <v/>
      </c>
      <c r="O887" s="32">
        <f>IF(OR($C887="",$H887="",$J887=""),0,IF(ROUND(($H887-$J887)*1440,0)&gt;設定!$C$28,ROUND(($H887-$J887)*1440,0),0))</f>
        <v/>
      </c>
      <c r="P887" s="33">
        <f>IF($L887="",0,IF(($L887-IFERROR(INDEX(設定!$G$5:$G$20,MATCH($F887,設定!$B$5:$B$20,0)),0))*60&gt;=設定!$C$26,ROUND(FLOOR(($L887-IFERROR(INDEX(設定!$G$5:$G$20,MATCH($F887,設定!$B$5:$B$20,0)),0))*60,設定!$C$27)/60,2),0))</f>
        <v/>
      </c>
      <c r="Q887" s="29">
        <f>IF(OR($C887="",$P887=0),"",IF($F887="國","國定假日",IF($B887="日","例假",IF($B887="六","休息日","平日"))))</f>
        <v/>
      </c>
      <c r="R887" s="34" t="n"/>
    </row>
    <row r="888">
      <c r="A888" s="30">
        <f>IF(OR(班表!$A34="",18&gt;DAY(EOMONTH(DATE(班表!$E$2,班表!$G$2,1),0))),"",DATE(班表!$E$2,班表!$G$2,18))</f>
        <v/>
      </c>
      <c r="B888" s="29">
        <f>IF($A888="","",INDEX(設定!$L$5:$L$11,WEEKDAY($A888,1)))</f>
        <v/>
      </c>
      <c r="C888" s="29">
        <f>IF($A888="","",班表!$A34)</f>
        <v/>
      </c>
      <c r="D888" s="29">
        <f>IF($C888="","",班表!$B34)</f>
        <v/>
      </c>
      <c r="E888" s="29">
        <f>IF($C888="","",班表!$C34)</f>
        <v/>
      </c>
      <c r="F888" s="29">
        <f>IF($C888="","",班表!U34)</f>
        <v/>
      </c>
      <c r="G888" s="31">
        <f>IF($F888="","",IFERROR(INDEX(設定!$D$5:$D$20,MATCH($F888,設定!$B$5:$B$20,0)),""))</f>
        <v/>
      </c>
      <c r="H888" s="31">
        <f>IF($F888="","",IFERROR(INDEX(設定!$E$5:$E$20,MATCH($F888,設定!$B$5:$B$20,0)),""))</f>
        <v/>
      </c>
      <c r="I888" s="31">
        <f>IFERROR(INDEX(打卡匯入!$C$3:$C$1002,MATCH($C888&amp;"|"&amp;DAY($A888),打卡匯入!$E$3:$E$1002,0)),"")</f>
        <v/>
      </c>
      <c r="J888" s="31">
        <f>IFERROR(INDEX(打卡匯入!$D$3:$D$1002,MATCH($C888&amp;"|"&amp;DAY($A888),打卡匯入!$E$3:$E$1002,0)),"")</f>
        <v/>
      </c>
      <c r="K888" s="32">
        <f>IF(OR($I888="",$J888=""),"",IFERROR(INDEX(設定!$F$5:$F$20,MATCH($F888,設定!$B$5:$B$20,0)),0))</f>
        <v/>
      </c>
      <c r="L888" s="33">
        <f>IF(OR($I888="",$J888=""),"",ROUND(($J888-$I888)*24-$K888/60,2))</f>
        <v/>
      </c>
      <c r="M888" s="29">
        <f>IF($C888="","",IF(AND(COUNTIF(設定!$B$14:$B$20,$F888)&gt;0,$I888&lt;&gt;""),"假日出勤",IF(AND(COUNTIF(設定!$B$5:$B$13,$F888)&gt;0,$I888=""),"未打卡",IF($I888="","",IF($N888&gt;0,"遲到",IF($O888&gt;0,"早退","正常"))))))</f>
        <v/>
      </c>
      <c r="N888" s="32">
        <f>IF(OR($C888="",$G888="",$I888=""),0,IF(ROUND(($I888-$G888)*1440,0)&gt;設定!$C$28,ROUND(($I888-$G888)*1440,0),0))</f>
        <v/>
      </c>
      <c r="O888" s="32">
        <f>IF(OR($C888="",$H888="",$J888=""),0,IF(ROUND(($H888-$J888)*1440,0)&gt;設定!$C$28,ROUND(($H888-$J888)*1440,0),0))</f>
        <v/>
      </c>
      <c r="P888" s="33">
        <f>IF($L888="",0,IF(($L888-IFERROR(INDEX(設定!$G$5:$G$20,MATCH($F888,設定!$B$5:$B$20,0)),0))*60&gt;=設定!$C$26,ROUND(FLOOR(($L888-IFERROR(INDEX(設定!$G$5:$G$20,MATCH($F888,設定!$B$5:$B$20,0)),0))*60,設定!$C$27)/60,2),0))</f>
        <v/>
      </c>
      <c r="Q888" s="29">
        <f>IF(OR($C888="",$P888=0),"",IF($F888="國","國定假日",IF($B888="日","例假",IF($B888="六","休息日","平日"))))</f>
        <v/>
      </c>
      <c r="R888" s="34" t="n"/>
    </row>
    <row r="889">
      <c r="A889" s="30">
        <f>IF(OR(班表!$A34="",19&gt;DAY(EOMONTH(DATE(班表!$E$2,班表!$G$2,1),0))),"",DATE(班表!$E$2,班表!$G$2,19))</f>
        <v/>
      </c>
      <c r="B889" s="29">
        <f>IF($A889="","",INDEX(設定!$L$5:$L$11,WEEKDAY($A889,1)))</f>
        <v/>
      </c>
      <c r="C889" s="29">
        <f>IF($A889="","",班表!$A34)</f>
        <v/>
      </c>
      <c r="D889" s="29">
        <f>IF($C889="","",班表!$B34)</f>
        <v/>
      </c>
      <c r="E889" s="29">
        <f>IF($C889="","",班表!$C34)</f>
        <v/>
      </c>
      <c r="F889" s="29">
        <f>IF($C889="","",班表!V34)</f>
        <v/>
      </c>
      <c r="G889" s="31">
        <f>IF($F889="","",IFERROR(INDEX(設定!$D$5:$D$20,MATCH($F889,設定!$B$5:$B$20,0)),""))</f>
        <v/>
      </c>
      <c r="H889" s="31">
        <f>IF($F889="","",IFERROR(INDEX(設定!$E$5:$E$20,MATCH($F889,設定!$B$5:$B$20,0)),""))</f>
        <v/>
      </c>
      <c r="I889" s="31">
        <f>IFERROR(INDEX(打卡匯入!$C$3:$C$1002,MATCH($C889&amp;"|"&amp;DAY($A889),打卡匯入!$E$3:$E$1002,0)),"")</f>
        <v/>
      </c>
      <c r="J889" s="31">
        <f>IFERROR(INDEX(打卡匯入!$D$3:$D$1002,MATCH($C889&amp;"|"&amp;DAY($A889),打卡匯入!$E$3:$E$1002,0)),"")</f>
        <v/>
      </c>
      <c r="K889" s="32">
        <f>IF(OR($I889="",$J889=""),"",IFERROR(INDEX(設定!$F$5:$F$20,MATCH($F889,設定!$B$5:$B$20,0)),0))</f>
        <v/>
      </c>
      <c r="L889" s="33">
        <f>IF(OR($I889="",$J889=""),"",ROUND(($J889-$I889)*24-$K889/60,2))</f>
        <v/>
      </c>
      <c r="M889" s="29">
        <f>IF($C889="","",IF(AND(COUNTIF(設定!$B$14:$B$20,$F889)&gt;0,$I889&lt;&gt;""),"假日出勤",IF(AND(COUNTIF(設定!$B$5:$B$13,$F889)&gt;0,$I889=""),"未打卡",IF($I889="","",IF($N889&gt;0,"遲到",IF($O889&gt;0,"早退","正常"))))))</f>
        <v/>
      </c>
      <c r="N889" s="32">
        <f>IF(OR($C889="",$G889="",$I889=""),0,IF(ROUND(($I889-$G889)*1440,0)&gt;設定!$C$28,ROUND(($I889-$G889)*1440,0),0))</f>
        <v/>
      </c>
      <c r="O889" s="32">
        <f>IF(OR($C889="",$H889="",$J889=""),0,IF(ROUND(($H889-$J889)*1440,0)&gt;設定!$C$28,ROUND(($H889-$J889)*1440,0),0))</f>
        <v/>
      </c>
      <c r="P889" s="33">
        <f>IF($L889="",0,IF(($L889-IFERROR(INDEX(設定!$G$5:$G$20,MATCH($F889,設定!$B$5:$B$20,0)),0))*60&gt;=設定!$C$26,ROUND(FLOOR(($L889-IFERROR(INDEX(設定!$G$5:$G$20,MATCH($F889,設定!$B$5:$B$20,0)),0))*60,設定!$C$27)/60,2),0))</f>
        <v/>
      </c>
      <c r="Q889" s="29">
        <f>IF(OR($C889="",$P889=0),"",IF($F889="國","國定假日",IF($B889="日","例假",IF($B889="六","休息日","平日"))))</f>
        <v/>
      </c>
      <c r="R889" s="34" t="n"/>
    </row>
    <row r="890">
      <c r="A890" s="30">
        <f>IF(OR(班表!$A34="",20&gt;DAY(EOMONTH(DATE(班表!$E$2,班表!$G$2,1),0))),"",DATE(班表!$E$2,班表!$G$2,20))</f>
        <v/>
      </c>
      <c r="B890" s="29">
        <f>IF($A890="","",INDEX(設定!$L$5:$L$11,WEEKDAY($A890,1)))</f>
        <v/>
      </c>
      <c r="C890" s="29">
        <f>IF($A890="","",班表!$A34)</f>
        <v/>
      </c>
      <c r="D890" s="29">
        <f>IF($C890="","",班表!$B34)</f>
        <v/>
      </c>
      <c r="E890" s="29">
        <f>IF($C890="","",班表!$C34)</f>
        <v/>
      </c>
      <c r="F890" s="29">
        <f>IF($C890="","",班表!W34)</f>
        <v/>
      </c>
      <c r="G890" s="31">
        <f>IF($F890="","",IFERROR(INDEX(設定!$D$5:$D$20,MATCH($F890,設定!$B$5:$B$20,0)),""))</f>
        <v/>
      </c>
      <c r="H890" s="31">
        <f>IF($F890="","",IFERROR(INDEX(設定!$E$5:$E$20,MATCH($F890,設定!$B$5:$B$20,0)),""))</f>
        <v/>
      </c>
      <c r="I890" s="31">
        <f>IFERROR(INDEX(打卡匯入!$C$3:$C$1002,MATCH($C890&amp;"|"&amp;DAY($A890),打卡匯入!$E$3:$E$1002,0)),"")</f>
        <v/>
      </c>
      <c r="J890" s="31">
        <f>IFERROR(INDEX(打卡匯入!$D$3:$D$1002,MATCH($C890&amp;"|"&amp;DAY($A890),打卡匯入!$E$3:$E$1002,0)),"")</f>
        <v/>
      </c>
      <c r="K890" s="32">
        <f>IF(OR($I890="",$J890=""),"",IFERROR(INDEX(設定!$F$5:$F$20,MATCH($F890,設定!$B$5:$B$20,0)),0))</f>
        <v/>
      </c>
      <c r="L890" s="33">
        <f>IF(OR($I890="",$J890=""),"",ROUND(($J890-$I890)*24-$K890/60,2))</f>
        <v/>
      </c>
      <c r="M890" s="29">
        <f>IF($C890="","",IF(AND(COUNTIF(設定!$B$14:$B$20,$F890)&gt;0,$I890&lt;&gt;""),"假日出勤",IF(AND(COUNTIF(設定!$B$5:$B$13,$F890)&gt;0,$I890=""),"未打卡",IF($I890="","",IF($N890&gt;0,"遲到",IF($O890&gt;0,"早退","正常"))))))</f>
        <v/>
      </c>
      <c r="N890" s="32">
        <f>IF(OR($C890="",$G890="",$I890=""),0,IF(ROUND(($I890-$G890)*1440,0)&gt;設定!$C$28,ROUND(($I890-$G890)*1440,0),0))</f>
        <v/>
      </c>
      <c r="O890" s="32">
        <f>IF(OR($C890="",$H890="",$J890=""),0,IF(ROUND(($H890-$J890)*1440,0)&gt;設定!$C$28,ROUND(($H890-$J890)*1440,0),0))</f>
        <v/>
      </c>
      <c r="P890" s="33">
        <f>IF($L890="",0,IF(($L890-IFERROR(INDEX(設定!$G$5:$G$20,MATCH($F890,設定!$B$5:$B$20,0)),0))*60&gt;=設定!$C$26,ROUND(FLOOR(($L890-IFERROR(INDEX(設定!$G$5:$G$20,MATCH($F890,設定!$B$5:$B$20,0)),0))*60,設定!$C$27)/60,2),0))</f>
        <v/>
      </c>
      <c r="Q890" s="29">
        <f>IF(OR($C890="",$P890=0),"",IF($F890="國","國定假日",IF($B890="日","例假",IF($B890="六","休息日","平日"))))</f>
        <v/>
      </c>
      <c r="R890" s="34" t="n"/>
    </row>
    <row r="891">
      <c r="A891" s="30">
        <f>IF(OR(班表!$A34="",21&gt;DAY(EOMONTH(DATE(班表!$E$2,班表!$G$2,1),0))),"",DATE(班表!$E$2,班表!$G$2,21))</f>
        <v/>
      </c>
      <c r="B891" s="29">
        <f>IF($A891="","",INDEX(設定!$L$5:$L$11,WEEKDAY($A891,1)))</f>
        <v/>
      </c>
      <c r="C891" s="29">
        <f>IF($A891="","",班表!$A34)</f>
        <v/>
      </c>
      <c r="D891" s="29">
        <f>IF($C891="","",班表!$B34)</f>
        <v/>
      </c>
      <c r="E891" s="29">
        <f>IF($C891="","",班表!$C34)</f>
        <v/>
      </c>
      <c r="F891" s="29">
        <f>IF($C891="","",班表!X34)</f>
        <v/>
      </c>
      <c r="G891" s="31">
        <f>IF($F891="","",IFERROR(INDEX(設定!$D$5:$D$20,MATCH($F891,設定!$B$5:$B$20,0)),""))</f>
        <v/>
      </c>
      <c r="H891" s="31">
        <f>IF($F891="","",IFERROR(INDEX(設定!$E$5:$E$20,MATCH($F891,設定!$B$5:$B$20,0)),""))</f>
        <v/>
      </c>
      <c r="I891" s="31">
        <f>IFERROR(INDEX(打卡匯入!$C$3:$C$1002,MATCH($C891&amp;"|"&amp;DAY($A891),打卡匯入!$E$3:$E$1002,0)),"")</f>
        <v/>
      </c>
      <c r="J891" s="31">
        <f>IFERROR(INDEX(打卡匯入!$D$3:$D$1002,MATCH($C891&amp;"|"&amp;DAY($A891),打卡匯入!$E$3:$E$1002,0)),"")</f>
        <v/>
      </c>
      <c r="K891" s="32">
        <f>IF(OR($I891="",$J891=""),"",IFERROR(INDEX(設定!$F$5:$F$20,MATCH($F891,設定!$B$5:$B$20,0)),0))</f>
        <v/>
      </c>
      <c r="L891" s="33">
        <f>IF(OR($I891="",$J891=""),"",ROUND(($J891-$I891)*24-$K891/60,2))</f>
        <v/>
      </c>
      <c r="M891" s="29">
        <f>IF($C891="","",IF(AND(COUNTIF(設定!$B$14:$B$20,$F891)&gt;0,$I891&lt;&gt;""),"假日出勤",IF(AND(COUNTIF(設定!$B$5:$B$13,$F891)&gt;0,$I891=""),"未打卡",IF($I891="","",IF($N891&gt;0,"遲到",IF($O891&gt;0,"早退","正常"))))))</f>
        <v/>
      </c>
      <c r="N891" s="32">
        <f>IF(OR($C891="",$G891="",$I891=""),0,IF(ROUND(($I891-$G891)*1440,0)&gt;設定!$C$28,ROUND(($I891-$G891)*1440,0),0))</f>
        <v/>
      </c>
      <c r="O891" s="32">
        <f>IF(OR($C891="",$H891="",$J891=""),0,IF(ROUND(($H891-$J891)*1440,0)&gt;設定!$C$28,ROUND(($H891-$J891)*1440,0),0))</f>
        <v/>
      </c>
      <c r="P891" s="33">
        <f>IF($L891="",0,IF(($L891-IFERROR(INDEX(設定!$G$5:$G$20,MATCH($F891,設定!$B$5:$B$20,0)),0))*60&gt;=設定!$C$26,ROUND(FLOOR(($L891-IFERROR(INDEX(設定!$G$5:$G$20,MATCH($F891,設定!$B$5:$B$20,0)),0))*60,設定!$C$27)/60,2),0))</f>
        <v/>
      </c>
      <c r="Q891" s="29">
        <f>IF(OR($C891="",$P891=0),"",IF($F891="國","國定假日",IF($B891="日","例假",IF($B891="六","休息日","平日"))))</f>
        <v/>
      </c>
      <c r="R891" s="34" t="n"/>
    </row>
    <row r="892">
      <c r="A892" s="30">
        <f>IF(OR(班表!$A34="",22&gt;DAY(EOMONTH(DATE(班表!$E$2,班表!$G$2,1),0))),"",DATE(班表!$E$2,班表!$G$2,22))</f>
        <v/>
      </c>
      <c r="B892" s="29">
        <f>IF($A892="","",INDEX(設定!$L$5:$L$11,WEEKDAY($A892,1)))</f>
        <v/>
      </c>
      <c r="C892" s="29">
        <f>IF($A892="","",班表!$A34)</f>
        <v/>
      </c>
      <c r="D892" s="29">
        <f>IF($C892="","",班表!$B34)</f>
        <v/>
      </c>
      <c r="E892" s="29">
        <f>IF($C892="","",班表!$C34)</f>
        <v/>
      </c>
      <c r="F892" s="29">
        <f>IF($C892="","",班表!Y34)</f>
        <v/>
      </c>
      <c r="G892" s="31">
        <f>IF($F892="","",IFERROR(INDEX(設定!$D$5:$D$20,MATCH($F892,設定!$B$5:$B$20,0)),""))</f>
        <v/>
      </c>
      <c r="H892" s="31">
        <f>IF($F892="","",IFERROR(INDEX(設定!$E$5:$E$20,MATCH($F892,設定!$B$5:$B$20,0)),""))</f>
        <v/>
      </c>
      <c r="I892" s="31">
        <f>IFERROR(INDEX(打卡匯入!$C$3:$C$1002,MATCH($C892&amp;"|"&amp;DAY($A892),打卡匯入!$E$3:$E$1002,0)),"")</f>
        <v/>
      </c>
      <c r="J892" s="31">
        <f>IFERROR(INDEX(打卡匯入!$D$3:$D$1002,MATCH($C892&amp;"|"&amp;DAY($A892),打卡匯入!$E$3:$E$1002,0)),"")</f>
        <v/>
      </c>
      <c r="K892" s="32">
        <f>IF(OR($I892="",$J892=""),"",IFERROR(INDEX(設定!$F$5:$F$20,MATCH($F892,設定!$B$5:$B$20,0)),0))</f>
        <v/>
      </c>
      <c r="L892" s="33">
        <f>IF(OR($I892="",$J892=""),"",ROUND(($J892-$I892)*24-$K892/60,2))</f>
        <v/>
      </c>
      <c r="M892" s="29">
        <f>IF($C892="","",IF(AND(COUNTIF(設定!$B$14:$B$20,$F892)&gt;0,$I892&lt;&gt;""),"假日出勤",IF(AND(COUNTIF(設定!$B$5:$B$13,$F892)&gt;0,$I892=""),"未打卡",IF($I892="","",IF($N892&gt;0,"遲到",IF($O892&gt;0,"早退","正常"))))))</f>
        <v/>
      </c>
      <c r="N892" s="32">
        <f>IF(OR($C892="",$G892="",$I892=""),0,IF(ROUND(($I892-$G892)*1440,0)&gt;設定!$C$28,ROUND(($I892-$G892)*1440,0),0))</f>
        <v/>
      </c>
      <c r="O892" s="32">
        <f>IF(OR($C892="",$H892="",$J892=""),0,IF(ROUND(($H892-$J892)*1440,0)&gt;設定!$C$28,ROUND(($H892-$J892)*1440,0),0))</f>
        <v/>
      </c>
      <c r="P892" s="33">
        <f>IF($L892="",0,IF(($L892-IFERROR(INDEX(設定!$G$5:$G$20,MATCH($F892,設定!$B$5:$B$20,0)),0))*60&gt;=設定!$C$26,ROUND(FLOOR(($L892-IFERROR(INDEX(設定!$G$5:$G$20,MATCH($F892,設定!$B$5:$B$20,0)),0))*60,設定!$C$27)/60,2),0))</f>
        <v/>
      </c>
      <c r="Q892" s="29">
        <f>IF(OR($C892="",$P892=0),"",IF($F892="國","國定假日",IF($B892="日","例假",IF($B892="六","休息日","平日"))))</f>
        <v/>
      </c>
      <c r="R892" s="34" t="n"/>
    </row>
    <row r="893">
      <c r="A893" s="30">
        <f>IF(OR(班表!$A34="",23&gt;DAY(EOMONTH(DATE(班表!$E$2,班表!$G$2,1),0))),"",DATE(班表!$E$2,班表!$G$2,23))</f>
        <v/>
      </c>
      <c r="B893" s="29">
        <f>IF($A893="","",INDEX(設定!$L$5:$L$11,WEEKDAY($A893,1)))</f>
        <v/>
      </c>
      <c r="C893" s="29">
        <f>IF($A893="","",班表!$A34)</f>
        <v/>
      </c>
      <c r="D893" s="29">
        <f>IF($C893="","",班表!$B34)</f>
        <v/>
      </c>
      <c r="E893" s="29">
        <f>IF($C893="","",班表!$C34)</f>
        <v/>
      </c>
      <c r="F893" s="29">
        <f>IF($C893="","",班表!Z34)</f>
        <v/>
      </c>
      <c r="G893" s="31">
        <f>IF($F893="","",IFERROR(INDEX(設定!$D$5:$D$20,MATCH($F893,設定!$B$5:$B$20,0)),""))</f>
        <v/>
      </c>
      <c r="H893" s="31">
        <f>IF($F893="","",IFERROR(INDEX(設定!$E$5:$E$20,MATCH($F893,設定!$B$5:$B$20,0)),""))</f>
        <v/>
      </c>
      <c r="I893" s="31">
        <f>IFERROR(INDEX(打卡匯入!$C$3:$C$1002,MATCH($C893&amp;"|"&amp;DAY($A893),打卡匯入!$E$3:$E$1002,0)),"")</f>
        <v/>
      </c>
      <c r="J893" s="31">
        <f>IFERROR(INDEX(打卡匯入!$D$3:$D$1002,MATCH($C893&amp;"|"&amp;DAY($A893),打卡匯入!$E$3:$E$1002,0)),"")</f>
        <v/>
      </c>
      <c r="K893" s="32">
        <f>IF(OR($I893="",$J893=""),"",IFERROR(INDEX(設定!$F$5:$F$20,MATCH($F893,設定!$B$5:$B$20,0)),0))</f>
        <v/>
      </c>
      <c r="L893" s="33">
        <f>IF(OR($I893="",$J893=""),"",ROUND(($J893-$I893)*24-$K893/60,2))</f>
        <v/>
      </c>
      <c r="M893" s="29">
        <f>IF($C893="","",IF(AND(COUNTIF(設定!$B$14:$B$20,$F893)&gt;0,$I893&lt;&gt;""),"假日出勤",IF(AND(COUNTIF(設定!$B$5:$B$13,$F893)&gt;0,$I893=""),"未打卡",IF($I893="","",IF($N893&gt;0,"遲到",IF($O893&gt;0,"早退","正常"))))))</f>
        <v/>
      </c>
      <c r="N893" s="32">
        <f>IF(OR($C893="",$G893="",$I893=""),0,IF(ROUND(($I893-$G893)*1440,0)&gt;設定!$C$28,ROUND(($I893-$G893)*1440,0),0))</f>
        <v/>
      </c>
      <c r="O893" s="32">
        <f>IF(OR($C893="",$H893="",$J893=""),0,IF(ROUND(($H893-$J893)*1440,0)&gt;設定!$C$28,ROUND(($H893-$J893)*1440,0),0))</f>
        <v/>
      </c>
      <c r="P893" s="33">
        <f>IF($L893="",0,IF(($L893-IFERROR(INDEX(設定!$G$5:$G$20,MATCH($F893,設定!$B$5:$B$20,0)),0))*60&gt;=設定!$C$26,ROUND(FLOOR(($L893-IFERROR(INDEX(設定!$G$5:$G$20,MATCH($F893,設定!$B$5:$B$20,0)),0))*60,設定!$C$27)/60,2),0))</f>
        <v/>
      </c>
      <c r="Q893" s="29">
        <f>IF(OR($C893="",$P893=0),"",IF($F893="國","國定假日",IF($B893="日","例假",IF($B893="六","休息日","平日"))))</f>
        <v/>
      </c>
      <c r="R893" s="34" t="n"/>
    </row>
    <row r="894">
      <c r="A894" s="30">
        <f>IF(OR(班表!$A34="",24&gt;DAY(EOMONTH(DATE(班表!$E$2,班表!$G$2,1),0))),"",DATE(班表!$E$2,班表!$G$2,24))</f>
        <v/>
      </c>
      <c r="B894" s="29">
        <f>IF($A894="","",INDEX(設定!$L$5:$L$11,WEEKDAY($A894,1)))</f>
        <v/>
      </c>
      <c r="C894" s="29">
        <f>IF($A894="","",班表!$A34)</f>
        <v/>
      </c>
      <c r="D894" s="29">
        <f>IF($C894="","",班表!$B34)</f>
        <v/>
      </c>
      <c r="E894" s="29">
        <f>IF($C894="","",班表!$C34)</f>
        <v/>
      </c>
      <c r="F894" s="29">
        <f>IF($C894="","",班表!AA34)</f>
        <v/>
      </c>
      <c r="G894" s="31">
        <f>IF($F894="","",IFERROR(INDEX(設定!$D$5:$D$20,MATCH($F894,設定!$B$5:$B$20,0)),""))</f>
        <v/>
      </c>
      <c r="H894" s="31">
        <f>IF($F894="","",IFERROR(INDEX(設定!$E$5:$E$20,MATCH($F894,設定!$B$5:$B$20,0)),""))</f>
        <v/>
      </c>
      <c r="I894" s="31">
        <f>IFERROR(INDEX(打卡匯入!$C$3:$C$1002,MATCH($C894&amp;"|"&amp;DAY($A894),打卡匯入!$E$3:$E$1002,0)),"")</f>
        <v/>
      </c>
      <c r="J894" s="31">
        <f>IFERROR(INDEX(打卡匯入!$D$3:$D$1002,MATCH($C894&amp;"|"&amp;DAY($A894),打卡匯入!$E$3:$E$1002,0)),"")</f>
        <v/>
      </c>
      <c r="K894" s="32">
        <f>IF(OR($I894="",$J894=""),"",IFERROR(INDEX(設定!$F$5:$F$20,MATCH($F894,設定!$B$5:$B$20,0)),0))</f>
        <v/>
      </c>
      <c r="L894" s="33">
        <f>IF(OR($I894="",$J894=""),"",ROUND(($J894-$I894)*24-$K894/60,2))</f>
        <v/>
      </c>
      <c r="M894" s="29">
        <f>IF($C894="","",IF(AND(COUNTIF(設定!$B$14:$B$20,$F894)&gt;0,$I894&lt;&gt;""),"假日出勤",IF(AND(COUNTIF(設定!$B$5:$B$13,$F894)&gt;0,$I894=""),"未打卡",IF($I894="","",IF($N894&gt;0,"遲到",IF($O894&gt;0,"早退","正常"))))))</f>
        <v/>
      </c>
      <c r="N894" s="32">
        <f>IF(OR($C894="",$G894="",$I894=""),0,IF(ROUND(($I894-$G894)*1440,0)&gt;設定!$C$28,ROUND(($I894-$G894)*1440,0),0))</f>
        <v/>
      </c>
      <c r="O894" s="32">
        <f>IF(OR($C894="",$H894="",$J894=""),0,IF(ROUND(($H894-$J894)*1440,0)&gt;設定!$C$28,ROUND(($H894-$J894)*1440,0),0))</f>
        <v/>
      </c>
      <c r="P894" s="33">
        <f>IF($L894="",0,IF(($L894-IFERROR(INDEX(設定!$G$5:$G$20,MATCH($F894,設定!$B$5:$B$20,0)),0))*60&gt;=設定!$C$26,ROUND(FLOOR(($L894-IFERROR(INDEX(設定!$G$5:$G$20,MATCH($F894,設定!$B$5:$B$20,0)),0))*60,設定!$C$27)/60,2),0))</f>
        <v/>
      </c>
      <c r="Q894" s="29">
        <f>IF(OR($C894="",$P894=0),"",IF($F894="國","國定假日",IF($B894="日","例假",IF($B894="六","休息日","平日"))))</f>
        <v/>
      </c>
      <c r="R894" s="34" t="n"/>
    </row>
    <row r="895">
      <c r="A895" s="30">
        <f>IF(OR(班表!$A34="",25&gt;DAY(EOMONTH(DATE(班表!$E$2,班表!$G$2,1),0))),"",DATE(班表!$E$2,班表!$G$2,25))</f>
        <v/>
      </c>
      <c r="B895" s="29">
        <f>IF($A895="","",INDEX(設定!$L$5:$L$11,WEEKDAY($A895,1)))</f>
        <v/>
      </c>
      <c r="C895" s="29">
        <f>IF($A895="","",班表!$A34)</f>
        <v/>
      </c>
      <c r="D895" s="29">
        <f>IF($C895="","",班表!$B34)</f>
        <v/>
      </c>
      <c r="E895" s="29">
        <f>IF($C895="","",班表!$C34)</f>
        <v/>
      </c>
      <c r="F895" s="29">
        <f>IF($C895="","",班表!AB34)</f>
        <v/>
      </c>
      <c r="G895" s="31">
        <f>IF($F895="","",IFERROR(INDEX(設定!$D$5:$D$20,MATCH($F895,設定!$B$5:$B$20,0)),""))</f>
        <v/>
      </c>
      <c r="H895" s="31">
        <f>IF($F895="","",IFERROR(INDEX(設定!$E$5:$E$20,MATCH($F895,設定!$B$5:$B$20,0)),""))</f>
        <v/>
      </c>
      <c r="I895" s="31">
        <f>IFERROR(INDEX(打卡匯入!$C$3:$C$1002,MATCH($C895&amp;"|"&amp;DAY($A895),打卡匯入!$E$3:$E$1002,0)),"")</f>
        <v/>
      </c>
      <c r="J895" s="31">
        <f>IFERROR(INDEX(打卡匯入!$D$3:$D$1002,MATCH($C895&amp;"|"&amp;DAY($A895),打卡匯入!$E$3:$E$1002,0)),"")</f>
        <v/>
      </c>
      <c r="K895" s="32">
        <f>IF(OR($I895="",$J895=""),"",IFERROR(INDEX(設定!$F$5:$F$20,MATCH($F895,設定!$B$5:$B$20,0)),0))</f>
        <v/>
      </c>
      <c r="L895" s="33">
        <f>IF(OR($I895="",$J895=""),"",ROUND(($J895-$I895)*24-$K895/60,2))</f>
        <v/>
      </c>
      <c r="M895" s="29">
        <f>IF($C895="","",IF(AND(COUNTIF(設定!$B$14:$B$20,$F895)&gt;0,$I895&lt;&gt;""),"假日出勤",IF(AND(COUNTIF(設定!$B$5:$B$13,$F895)&gt;0,$I895=""),"未打卡",IF($I895="","",IF($N895&gt;0,"遲到",IF($O895&gt;0,"早退","正常"))))))</f>
        <v/>
      </c>
      <c r="N895" s="32">
        <f>IF(OR($C895="",$G895="",$I895=""),0,IF(ROUND(($I895-$G895)*1440,0)&gt;設定!$C$28,ROUND(($I895-$G895)*1440,0),0))</f>
        <v/>
      </c>
      <c r="O895" s="32">
        <f>IF(OR($C895="",$H895="",$J895=""),0,IF(ROUND(($H895-$J895)*1440,0)&gt;設定!$C$28,ROUND(($H895-$J895)*1440,0),0))</f>
        <v/>
      </c>
      <c r="P895" s="33">
        <f>IF($L895="",0,IF(($L895-IFERROR(INDEX(設定!$G$5:$G$20,MATCH($F895,設定!$B$5:$B$20,0)),0))*60&gt;=設定!$C$26,ROUND(FLOOR(($L895-IFERROR(INDEX(設定!$G$5:$G$20,MATCH($F895,設定!$B$5:$B$20,0)),0))*60,設定!$C$27)/60,2),0))</f>
        <v/>
      </c>
      <c r="Q895" s="29">
        <f>IF(OR($C895="",$P895=0),"",IF($F895="國","國定假日",IF($B895="日","例假",IF($B895="六","休息日","平日"))))</f>
        <v/>
      </c>
      <c r="R895" s="34" t="n"/>
    </row>
    <row r="896">
      <c r="A896" s="30">
        <f>IF(OR(班表!$A34="",26&gt;DAY(EOMONTH(DATE(班表!$E$2,班表!$G$2,1),0))),"",DATE(班表!$E$2,班表!$G$2,26))</f>
        <v/>
      </c>
      <c r="B896" s="29">
        <f>IF($A896="","",INDEX(設定!$L$5:$L$11,WEEKDAY($A896,1)))</f>
        <v/>
      </c>
      <c r="C896" s="29">
        <f>IF($A896="","",班表!$A34)</f>
        <v/>
      </c>
      <c r="D896" s="29">
        <f>IF($C896="","",班表!$B34)</f>
        <v/>
      </c>
      <c r="E896" s="29">
        <f>IF($C896="","",班表!$C34)</f>
        <v/>
      </c>
      <c r="F896" s="29">
        <f>IF($C896="","",班表!AC34)</f>
        <v/>
      </c>
      <c r="G896" s="31">
        <f>IF($F896="","",IFERROR(INDEX(設定!$D$5:$D$20,MATCH($F896,設定!$B$5:$B$20,0)),""))</f>
        <v/>
      </c>
      <c r="H896" s="31">
        <f>IF($F896="","",IFERROR(INDEX(設定!$E$5:$E$20,MATCH($F896,設定!$B$5:$B$20,0)),""))</f>
        <v/>
      </c>
      <c r="I896" s="31">
        <f>IFERROR(INDEX(打卡匯入!$C$3:$C$1002,MATCH($C896&amp;"|"&amp;DAY($A896),打卡匯入!$E$3:$E$1002,0)),"")</f>
        <v/>
      </c>
      <c r="J896" s="31">
        <f>IFERROR(INDEX(打卡匯入!$D$3:$D$1002,MATCH($C896&amp;"|"&amp;DAY($A896),打卡匯入!$E$3:$E$1002,0)),"")</f>
        <v/>
      </c>
      <c r="K896" s="32">
        <f>IF(OR($I896="",$J896=""),"",IFERROR(INDEX(設定!$F$5:$F$20,MATCH($F896,設定!$B$5:$B$20,0)),0))</f>
        <v/>
      </c>
      <c r="L896" s="33">
        <f>IF(OR($I896="",$J896=""),"",ROUND(($J896-$I896)*24-$K896/60,2))</f>
        <v/>
      </c>
      <c r="M896" s="29">
        <f>IF($C896="","",IF(AND(COUNTIF(設定!$B$14:$B$20,$F896)&gt;0,$I896&lt;&gt;""),"假日出勤",IF(AND(COUNTIF(設定!$B$5:$B$13,$F896)&gt;0,$I896=""),"未打卡",IF($I896="","",IF($N896&gt;0,"遲到",IF($O896&gt;0,"早退","正常"))))))</f>
        <v/>
      </c>
      <c r="N896" s="32">
        <f>IF(OR($C896="",$G896="",$I896=""),0,IF(ROUND(($I896-$G896)*1440,0)&gt;設定!$C$28,ROUND(($I896-$G896)*1440,0),0))</f>
        <v/>
      </c>
      <c r="O896" s="32">
        <f>IF(OR($C896="",$H896="",$J896=""),0,IF(ROUND(($H896-$J896)*1440,0)&gt;設定!$C$28,ROUND(($H896-$J896)*1440,0),0))</f>
        <v/>
      </c>
      <c r="P896" s="33">
        <f>IF($L896="",0,IF(($L896-IFERROR(INDEX(設定!$G$5:$G$20,MATCH($F896,設定!$B$5:$B$20,0)),0))*60&gt;=設定!$C$26,ROUND(FLOOR(($L896-IFERROR(INDEX(設定!$G$5:$G$20,MATCH($F896,設定!$B$5:$B$20,0)),0))*60,設定!$C$27)/60,2),0))</f>
        <v/>
      </c>
      <c r="Q896" s="29">
        <f>IF(OR($C896="",$P896=0),"",IF($F896="國","國定假日",IF($B896="日","例假",IF($B896="六","休息日","平日"))))</f>
        <v/>
      </c>
      <c r="R896" s="34" t="n"/>
    </row>
    <row r="897">
      <c r="A897" s="30">
        <f>IF(OR(班表!$A34="",27&gt;DAY(EOMONTH(DATE(班表!$E$2,班表!$G$2,1),0))),"",DATE(班表!$E$2,班表!$G$2,27))</f>
        <v/>
      </c>
      <c r="B897" s="29">
        <f>IF($A897="","",INDEX(設定!$L$5:$L$11,WEEKDAY($A897,1)))</f>
        <v/>
      </c>
      <c r="C897" s="29">
        <f>IF($A897="","",班表!$A34)</f>
        <v/>
      </c>
      <c r="D897" s="29">
        <f>IF($C897="","",班表!$B34)</f>
        <v/>
      </c>
      <c r="E897" s="29">
        <f>IF($C897="","",班表!$C34)</f>
        <v/>
      </c>
      <c r="F897" s="29">
        <f>IF($C897="","",班表!AD34)</f>
        <v/>
      </c>
      <c r="G897" s="31">
        <f>IF($F897="","",IFERROR(INDEX(設定!$D$5:$D$20,MATCH($F897,設定!$B$5:$B$20,0)),""))</f>
        <v/>
      </c>
      <c r="H897" s="31">
        <f>IF($F897="","",IFERROR(INDEX(設定!$E$5:$E$20,MATCH($F897,設定!$B$5:$B$20,0)),""))</f>
        <v/>
      </c>
      <c r="I897" s="31">
        <f>IFERROR(INDEX(打卡匯入!$C$3:$C$1002,MATCH($C897&amp;"|"&amp;DAY($A897),打卡匯入!$E$3:$E$1002,0)),"")</f>
        <v/>
      </c>
      <c r="J897" s="31">
        <f>IFERROR(INDEX(打卡匯入!$D$3:$D$1002,MATCH($C897&amp;"|"&amp;DAY($A897),打卡匯入!$E$3:$E$1002,0)),"")</f>
        <v/>
      </c>
      <c r="K897" s="32">
        <f>IF(OR($I897="",$J897=""),"",IFERROR(INDEX(設定!$F$5:$F$20,MATCH($F897,設定!$B$5:$B$20,0)),0))</f>
        <v/>
      </c>
      <c r="L897" s="33">
        <f>IF(OR($I897="",$J897=""),"",ROUND(($J897-$I897)*24-$K897/60,2))</f>
        <v/>
      </c>
      <c r="M897" s="29">
        <f>IF($C897="","",IF(AND(COUNTIF(設定!$B$14:$B$20,$F897)&gt;0,$I897&lt;&gt;""),"假日出勤",IF(AND(COUNTIF(設定!$B$5:$B$13,$F897)&gt;0,$I897=""),"未打卡",IF($I897="","",IF($N897&gt;0,"遲到",IF($O897&gt;0,"早退","正常"))))))</f>
        <v/>
      </c>
      <c r="N897" s="32">
        <f>IF(OR($C897="",$G897="",$I897=""),0,IF(ROUND(($I897-$G897)*1440,0)&gt;設定!$C$28,ROUND(($I897-$G897)*1440,0),0))</f>
        <v/>
      </c>
      <c r="O897" s="32">
        <f>IF(OR($C897="",$H897="",$J897=""),0,IF(ROUND(($H897-$J897)*1440,0)&gt;設定!$C$28,ROUND(($H897-$J897)*1440,0),0))</f>
        <v/>
      </c>
      <c r="P897" s="33">
        <f>IF($L897="",0,IF(($L897-IFERROR(INDEX(設定!$G$5:$G$20,MATCH($F897,設定!$B$5:$B$20,0)),0))*60&gt;=設定!$C$26,ROUND(FLOOR(($L897-IFERROR(INDEX(設定!$G$5:$G$20,MATCH($F897,設定!$B$5:$B$20,0)),0))*60,設定!$C$27)/60,2),0))</f>
        <v/>
      </c>
      <c r="Q897" s="29">
        <f>IF(OR($C897="",$P897=0),"",IF($F897="國","國定假日",IF($B897="日","例假",IF($B897="六","休息日","平日"))))</f>
        <v/>
      </c>
      <c r="R897" s="34" t="n"/>
    </row>
    <row r="898">
      <c r="A898" s="30">
        <f>IF(OR(班表!$A34="",28&gt;DAY(EOMONTH(DATE(班表!$E$2,班表!$G$2,1),0))),"",DATE(班表!$E$2,班表!$G$2,28))</f>
        <v/>
      </c>
      <c r="B898" s="29">
        <f>IF($A898="","",INDEX(設定!$L$5:$L$11,WEEKDAY($A898,1)))</f>
        <v/>
      </c>
      <c r="C898" s="29">
        <f>IF($A898="","",班表!$A34)</f>
        <v/>
      </c>
      <c r="D898" s="29">
        <f>IF($C898="","",班表!$B34)</f>
        <v/>
      </c>
      <c r="E898" s="29">
        <f>IF($C898="","",班表!$C34)</f>
        <v/>
      </c>
      <c r="F898" s="29">
        <f>IF($C898="","",班表!AE34)</f>
        <v/>
      </c>
      <c r="G898" s="31">
        <f>IF($F898="","",IFERROR(INDEX(設定!$D$5:$D$20,MATCH($F898,設定!$B$5:$B$20,0)),""))</f>
        <v/>
      </c>
      <c r="H898" s="31">
        <f>IF($F898="","",IFERROR(INDEX(設定!$E$5:$E$20,MATCH($F898,設定!$B$5:$B$20,0)),""))</f>
        <v/>
      </c>
      <c r="I898" s="31">
        <f>IFERROR(INDEX(打卡匯入!$C$3:$C$1002,MATCH($C898&amp;"|"&amp;DAY($A898),打卡匯入!$E$3:$E$1002,0)),"")</f>
        <v/>
      </c>
      <c r="J898" s="31">
        <f>IFERROR(INDEX(打卡匯入!$D$3:$D$1002,MATCH($C898&amp;"|"&amp;DAY($A898),打卡匯入!$E$3:$E$1002,0)),"")</f>
        <v/>
      </c>
      <c r="K898" s="32">
        <f>IF(OR($I898="",$J898=""),"",IFERROR(INDEX(設定!$F$5:$F$20,MATCH($F898,設定!$B$5:$B$20,0)),0))</f>
        <v/>
      </c>
      <c r="L898" s="33">
        <f>IF(OR($I898="",$J898=""),"",ROUND(($J898-$I898)*24-$K898/60,2))</f>
        <v/>
      </c>
      <c r="M898" s="29">
        <f>IF($C898="","",IF(AND(COUNTIF(設定!$B$14:$B$20,$F898)&gt;0,$I898&lt;&gt;""),"假日出勤",IF(AND(COUNTIF(設定!$B$5:$B$13,$F898)&gt;0,$I898=""),"未打卡",IF($I898="","",IF($N898&gt;0,"遲到",IF($O898&gt;0,"早退","正常"))))))</f>
        <v/>
      </c>
      <c r="N898" s="32">
        <f>IF(OR($C898="",$G898="",$I898=""),0,IF(ROUND(($I898-$G898)*1440,0)&gt;設定!$C$28,ROUND(($I898-$G898)*1440,0),0))</f>
        <v/>
      </c>
      <c r="O898" s="32">
        <f>IF(OR($C898="",$H898="",$J898=""),0,IF(ROUND(($H898-$J898)*1440,0)&gt;設定!$C$28,ROUND(($H898-$J898)*1440,0),0))</f>
        <v/>
      </c>
      <c r="P898" s="33">
        <f>IF($L898="",0,IF(($L898-IFERROR(INDEX(設定!$G$5:$G$20,MATCH($F898,設定!$B$5:$B$20,0)),0))*60&gt;=設定!$C$26,ROUND(FLOOR(($L898-IFERROR(INDEX(設定!$G$5:$G$20,MATCH($F898,設定!$B$5:$B$20,0)),0))*60,設定!$C$27)/60,2),0))</f>
        <v/>
      </c>
      <c r="Q898" s="29">
        <f>IF(OR($C898="",$P898=0),"",IF($F898="國","國定假日",IF($B898="日","例假",IF($B898="六","休息日","平日"))))</f>
        <v/>
      </c>
      <c r="R898" s="34" t="n"/>
    </row>
    <row r="899">
      <c r="A899" s="30">
        <f>IF(OR(班表!$A34="",29&gt;DAY(EOMONTH(DATE(班表!$E$2,班表!$G$2,1),0))),"",DATE(班表!$E$2,班表!$G$2,29))</f>
        <v/>
      </c>
      <c r="B899" s="29">
        <f>IF($A899="","",INDEX(設定!$L$5:$L$11,WEEKDAY($A899,1)))</f>
        <v/>
      </c>
      <c r="C899" s="29">
        <f>IF($A899="","",班表!$A34)</f>
        <v/>
      </c>
      <c r="D899" s="29">
        <f>IF($C899="","",班表!$B34)</f>
        <v/>
      </c>
      <c r="E899" s="29">
        <f>IF($C899="","",班表!$C34)</f>
        <v/>
      </c>
      <c r="F899" s="29">
        <f>IF($C899="","",班表!AF34)</f>
        <v/>
      </c>
      <c r="G899" s="31">
        <f>IF($F899="","",IFERROR(INDEX(設定!$D$5:$D$20,MATCH($F899,設定!$B$5:$B$20,0)),""))</f>
        <v/>
      </c>
      <c r="H899" s="31">
        <f>IF($F899="","",IFERROR(INDEX(設定!$E$5:$E$20,MATCH($F899,設定!$B$5:$B$20,0)),""))</f>
        <v/>
      </c>
      <c r="I899" s="31">
        <f>IFERROR(INDEX(打卡匯入!$C$3:$C$1002,MATCH($C899&amp;"|"&amp;DAY($A899),打卡匯入!$E$3:$E$1002,0)),"")</f>
        <v/>
      </c>
      <c r="J899" s="31">
        <f>IFERROR(INDEX(打卡匯入!$D$3:$D$1002,MATCH($C899&amp;"|"&amp;DAY($A899),打卡匯入!$E$3:$E$1002,0)),"")</f>
        <v/>
      </c>
      <c r="K899" s="32">
        <f>IF(OR($I899="",$J899=""),"",IFERROR(INDEX(設定!$F$5:$F$20,MATCH($F899,設定!$B$5:$B$20,0)),0))</f>
        <v/>
      </c>
      <c r="L899" s="33">
        <f>IF(OR($I899="",$J899=""),"",ROUND(($J899-$I899)*24-$K899/60,2))</f>
        <v/>
      </c>
      <c r="M899" s="29">
        <f>IF($C899="","",IF(AND(COUNTIF(設定!$B$14:$B$20,$F899)&gt;0,$I899&lt;&gt;""),"假日出勤",IF(AND(COUNTIF(設定!$B$5:$B$13,$F899)&gt;0,$I899=""),"未打卡",IF($I899="","",IF($N899&gt;0,"遲到",IF($O899&gt;0,"早退","正常"))))))</f>
        <v/>
      </c>
      <c r="N899" s="32">
        <f>IF(OR($C899="",$G899="",$I899=""),0,IF(ROUND(($I899-$G899)*1440,0)&gt;設定!$C$28,ROUND(($I899-$G899)*1440,0),0))</f>
        <v/>
      </c>
      <c r="O899" s="32">
        <f>IF(OR($C899="",$H899="",$J899=""),0,IF(ROUND(($H899-$J899)*1440,0)&gt;設定!$C$28,ROUND(($H899-$J899)*1440,0),0))</f>
        <v/>
      </c>
      <c r="P899" s="33">
        <f>IF($L899="",0,IF(($L899-IFERROR(INDEX(設定!$G$5:$G$20,MATCH($F899,設定!$B$5:$B$20,0)),0))*60&gt;=設定!$C$26,ROUND(FLOOR(($L899-IFERROR(INDEX(設定!$G$5:$G$20,MATCH($F899,設定!$B$5:$B$20,0)),0))*60,設定!$C$27)/60,2),0))</f>
        <v/>
      </c>
      <c r="Q899" s="29">
        <f>IF(OR($C899="",$P899=0),"",IF($F899="國","國定假日",IF($B899="日","例假",IF($B899="六","休息日","平日"))))</f>
        <v/>
      </c>
      <c r="R899" s="34" t="n"/>
    </row>
    <row r="900">
      <c r="A900" s="30">
        <f>IF(OR(班表!$A34="",30&gt;DAY(EOMONTH(DATE(班表!$E$2,班表!$G$2,1),0))),"",DATE(班表!$E$2,班表!$G$2,30))</f>
        <v/>
      </c>
      <c r="B900" s="29">
        <f>IF($A900="","",INDEX(設定!$L$5:$L$11,WEEKDAY($A900,1)))</f>
        <v/>
      </c>
      <c r="C900" s="29">
        <f>IF($A900="","",班表!$A34)</f>
        <v/>
      </c>
      <c r="D900" s="29">
        <f>IF($C900="","",班表!$B34)</f>
        <v/>
      </c>
      <c r="E900" s="29">
        <f>IF($C900="","",班表!$C34)</f>
        <v/>
      </c>
      <c r="F900" s="29">
        <f>IF($C900="","",班表!AG34)</f>
        <v/>
      </c>
      <c r="G900" s="31">
        <f>IF($F900="","",IFERROR(INDEX(設定!$D$5:$D$20,MATCH($F900,設定!$B$5:$B$20,0)),""))</f>
        <v/>
      </c>
      <c r="H900" s="31">
        <f>IF($F900="","",IFERROR(INDEX(設定!$E$5:$E$20,MATCH($F900,設定!$B$5:$B$20,0)),""))</f>
        <v/>
      </c>
      <c r="I900" s="31">
        <f>IFERROR(INDEX(打卡匯入!$C$3:$C$1002,MATCH($C900&amp;"|"&amp;DAY($A900),打卡匯入!$E$3:$E$1002,0)),"")</f>
        <v/>
      </c>
      <c r="J900" s="31">
        <f>IFERROR(INDEX(打卡匯入!$D$3:$D$1002,MATCH($C900&amp;"|"&amp;DAY($A900),打卡匯入!$E$3:$E$1002,0)),"")</f>
        <v/>
      </c>
      <c r="K900" s="32">
        <f>IF(OR($I900="",$J900=""),"",IFERROR(INDEX(設定!$F$5:$F$20,MATCH($F900,設定!$B$5:$B$20,0)),0))</f>
        <v/>
      </c>
      <c r="L900" s="33">
        <f>IF(OR($I900="",$J900=""),"",ROUND(($J900-$I900)*24-$K900/60,2))</f>
        <v/>
      </c>
      <c r="M900" s="29">
        <f>IF($C900="","",IF(AND(COUNTIF(設定!$B$14:$B$20,$F900)&gt;0,$I900&lt;&gt;""),"假日出勤",IF(AND(COUNTIF(設定!$B$5:$B$13,$F900)&gt;0,$I900=""),"未打卡",IF($I900="","",IF($N900&gt;0,"遲到",IF($O900&gt;0,"早退","正常"))))))</f>
        <v/>
      </c>
      <c r="N900" s="32">
        <f>IF(OR($C900="",$G900="",$I900=""),0,IF(ROUND(($I900-$G900)*1440,0)&gt;設定!$C$28,ROUND(($I900-$G900)*1440,0),0))</f>
        <v/>
      </c>
      <c r="O900" s="32">
        <f>IF(OR($C900="",$H900="",$J900=""),0,IF(ROUND(($H900-$J900)*1440,0)&gt;設定!$C$28,ROUND(($H900-$J900)*1440,0),0))</f>
        <v/>
      </c>
      <c r="P900" s="33">
        <f>IF($L900="",0,IF(($L900-IFERROR(INDEX(設定!$G$5:$G$20,MATCH($F900,設定!$B$5:$B$20,0)),0))*60&gt;=設定!$C$26,ROUND(FLOOR(($L900-IFERROR(INDEX(設定!$G$5:$G$20,MATCH($F900,設定!$B$5:$B$20,0)),0))*60,設定!$C$27)/60,2),0))</f>
        <v/>
      </c>
      <c r="Q900" s="29">
        <f>IF(OR($C900="",$P900=0),"",IF($F900="國","國定假日",IF($B900="日","例假",IF($B900="六","休息日","平日"))))</f>
        <v/>
      </c>
      <c r="R900" s="34" t="n"/>
    </row>
    <row r="901">
      <c r="A901" s="30">
        <f>IF(OR(班表!$A34="",31&gt;DAY(EOMONTH(DATE(班表!$E$2,班表!$G$2,1),0))),"",DATE(班表!$E$2,班表!$G$2,31))</f>
        <v/>
      </c>
      <c r="B901" s="29">
        <f>IF($A901="","",INDEX(設定!$L$5:$L$11,WEEKDAY($A901,1)))</f>
        <v/>
      </c>
      <c r="C901" s="29">
        <f>IF($A901="","",班表!$A34)</f>
        <v/>
      </c>
      <c r="D901" s="29">
        <f>IF($C901="","",班表!$B34)</f>
        <v/>
      </c>
      <c r="E901" s="29">
        <f>IF($C901="","",班表!$C34)</f>
        <v/>
      </c>
      <c r="F901" s="29">
        <f>IF($C901="","",班表!AH34)</f>
        <v/>
      </c>
      <c r="G901" s="31">
        <f>IF($F901="","",IFERROR(INDEX(設定!$D$5:$D$20,MATCH($F901,設定!$B$5:$B$20,0)),""))</f>
        <v/>
      </c>
      <c r="H901" s="31">
        <f>IF($F901="","",IFERROR(INDEX(設定!$E$5:$E$20,MATCH($F901,設定!$B$5:$B$20,0)),""))</f>
        <v/>
      </c>
      <c r="I901" s="31">
        <f>IFERROR(INDEX(打卡匯入!$C$3:$C$1002,MATCH($C901&amp;"|"&amp;DAY($A901),打卡匯入!$E$3:$E$1002,0)),"")</f>
        <v/>
      </c>
      <c r="J901" s="31">
        <f>IFERROR(INDEX(打卡匯入!$D$3:$D$1002,MATCH($C901&amp;"|"&amp;DAY($A901),打卡匯入!$E$3:$E$1002,0)),"")</f>
        <v/>
      </c>
      <c r="K901" s="32">
        <f>IF(OR($I901="",$J901=""),"",IFERROR(INDEX(設定!$F$5:$F$20,MATCH($F901,設定!$B$5:$B$20,0)),0))</f>
        <v/>
      </c>
      <c r="L901" s="33">
        <f>IF(OR($I901="",$J901=""),"",ROUND(($J901-$I901)*24-$K901/60,2))</f>
        <v/>
      </c>
      <c r="M901" s="29">
        <f>IF($C901="","",IF(AND(COUNTIF(設定!$B$14:$B$20,$F901)&gt;0,$I901&lt;&gt;""),"假日出勤",IF(AND(COUNTIF(設定!$B$5:$B$13,$F901)&gt;0,$I901=""),"未打卡",IF($I901="","",IF($N901&gt;0,"遲到",IF($O901&gt;0,"早退","正常"))))))</f>
        <v/>
      </c>
      <c r="N901" s="32">
        <f>IF(OR($C901="",$G901="",$I901=""),0,IF(ROUND(($I901-$G901)*1440,0)&gt;設定!$C$28,ROUND(($I901-$G901)*1440,0),0))</f>
        <v/>
      </c>
      <c r="O901" s="32">
        <f>IF(OR($C901="",$H901="",$J901=""),0,IF(ROUND(($H901-$J901)*1440,0)&gt;設定!$C$28,ROUND(($H901-$J901)*1440,0),0))</f>
        <v/>
      </c>
      <c r="P901" s="33">
        <f>IF($L901="",0,IF(($L901-IFERROR(INDEX(設定!$G$5:$G$20,MATCH($F901,設定!$B$5:$B$20,0)),0))*60&gt;=設定!$C$26,ROUND(FLOOR(($L901-IFERROR(INDEX(設定!$G$5:$G$20,MATCH($F901,設定!$B$5:$B$20,0)),0))*60,設定!$C$27)/60,2),0))</f>
        <v/>
      </c>
      <c r="Q901" s="29">
        <f>IF(OR($C901="",$P901=0),"",IF($F901="國","國定假日",IF($B901="日","例假",IF($B901="六","休息日","平日"))))</f>
        <v/>
      </c>
      <c r="R901" s="34" t="n"/>
    </row>
    <row r="902">
      <c r="A902" s="30">
        <f>IF(OR(班表!$A35="",1&gt;DAY(EOMONTH(DATE(班表!$E$2,班表!$G$2,1),0))),"",DATE(班表!$E$2,班表!$G$2,1))</f>
        <v/>
      </c>
      <c r="B902" s="29">
        <f>IF($A902="","",INDEX(設定!$L$5:$L$11,WEEKDAY($A902,1)))</f>
        <v/>
      </c>
      <c r="C902" s="29">
        <f>IF($A902="","",班表!$A35)</f>
        <v/>
      </c>
      <c r="D902" s="29">
        <f>IF($C902="","",班表!$B35)</f>
        <v/>
      </c>
      <c r="E902" s="29">
        <f>IF($C902="","",班表!$C35)</f>
        <v/>
      </c>
      <c r="F902" s="29">
        <f>IF($C902="","",班表!D35)</f>
        <v/>
      </c>
      <c r="G902" s="31">
        <f>IF($F902="","",IFERROR(INDEX(設定!$D$5:$D$20,MATCH($F902,設定!$B$5:$B$20,0)),""))</f>
        <v/>
      </c>
      <c r="H902" s="31">
        <f>IF($F902="","",IFERROR(INDEX(設定!$E$5:$E$20,MATCH($F902,設定!$B$5:$B$20,0)),""))</f>
        <v/>
      </c>
      <c r="I902" s="31">
        <f>IFERROR(INDEX(打卡匯入!$C$3:$C$1002,MATCH($C902&amp;"|"&amp;DAY($A902),打卡匯入!$E$3:$E$1002,0)),"")</f>
        <v/>
      </c>
      <c r="J902" s="31">
        <f>IFERROR(INDEX(打卡匯入!$D$3:$D$1002,MATCH($C902&amp;"|"&amp;DAY($A902),打卡匯入!$E$3:$E$1002,0)),"")</f>
        <v/>
      </c>
      <c r="K902" s="32">
        <f>IF(OR($I902="",$J902=""),"",IFERROR(INDEX(設定!$F$5:$F$20,MATCH($F902,設定!$B$5:$B$20,0)),0))</f>
        <v/>
      </c>
      <c r="L902" s="33">
        <f>IF(OR($I902="",$J902=""),"",ROUND(($J902-$I902)*24-$K902/60,2))</f>
        <v/>
      </c>
      <c r="M902" s="29">
        <f>IF($C902="","",IF(AND(COUNTIF(設定!$B$14:$B$20,$F902)&gt;0,$I902&lt;&gt;""),"假日出勤",IF(AND(COUNTIF(設定!$B$5:$B$13,$F902)&gt;0,$I902=""),"未打卡",IF($I902="","",IF($N902&gt;0,"遲到",IF($O902&gt;0,"早退","正常"))))))</f>
        <v/>
      </c>
      <c r="N902" s="32">
        <f>IF(OR($C902="",$G902="",$I902=""),0,IF(ROUND(($I902-$G902)*1440,0)&gt;設定!$C$28,ROUND(($I902-$G902)*1440,0),0))</f>
        <v/>
      </c>
      <c r="O902" s="32">
        <f>IF(OR($C902="",$H902="",$J902=""),0,IF(ROUND(($H902-$J902)*1440,0)&gt;設定!$C$28,ROUND(($H902-$J902)*1440,0),0))</f>
        <v/>
      </c>
      <c r="P902" s="33">
        <f>IF($L902="",0,IF(($L902-IFERROR(INDEX(設定!$G$5:$G$20,MATCH($F902,設定!$B$5:$B$20,0)),0))*60&gt;=設定!$C$26,ROUND(FLOOR(($L902-IFERROR(INDEX(設定!$G$5:$G$20,MATCH($F902,設定!$B$5:$B$20,0)),0))*60,設定!$C$27)/60,2),0))</f>
        <v/>
      </c>
      <c r="Q902" s="29">
        <f>IF(OR($C902="",$P902=0),"",IF($F902="國","國定假日",IF($B902="日","例假",IF($B902="六","休息日","平日"))))</f>
        <v/>
      </c>
      <c r="R902" s="34" t="n"/>
    </row>
    <row r="903">
      <c r="A903" s="30">
        <f>IF(OR(班表!$A35="",2&gt;DAY(EOMONTH(DATE(班表!$E$2,班表!$G$2,1),0))),"",DATE(班表!$E$2,班表!$G$2,2))</f>
        <v/>
      </c>
      <c r="B903" s="29">
        <f>IF($A903="","",INDEX(設定!$L$5:$L$11,WEEKDAY($A903,1)))</f>
        <v/>
      </c>
      <c r="C903" s="29">
        <f>IF($A903="","",班表!$A35)</f>
        <v/>
      </c>
      <c r="D903" s="29">
        <f>IF($C903="","",班表!$B35)</f>
        <v/>
      </c>
      <c r="E903" s="29">
        <f>IF($C903="","",班表!$C35)</f>
        <v/>
      </c>
      <c r="F903" s="29">
        <f>IF($C903="","",班表!E35)</f>
        <v/>
      </c>
      <c r="G903" s="31">
        <f>IF($F903="","",IFERROR(INDEX(設定!$D$5:$D$20,MATCH($F903,設定!$B$5:$B$20,0)),""))</f>
        <v/>
      </c>
      <c r="H903" s="31">
        <f>IF($F903="","",IFERROR(INDEX(設定!$E$5:$E$20,MATCH($F903,設定!$B$5:$B$20,0)),""))</f>
        <v/>
      </c>
      <c r="I903" s="31">
        <f>IFERROR(INDEX(打卡匯入!$C$3:$C$1002,MATCH($C903&amp;"|"&amp;DAY($A903),打卡匯入!$E$3:$E$1002,0)),"")</f>
        <v/>
      </c>
      <c r="J903" s="31">
        <f>IFERROR(INDEX(打卡匯入!$D$3:$D$1002,MATCH($C903&amp;"|"&amp;DAY($A903),打卡匯入!$E$3:$E$1002,0)),"")</f>
        <v/>
      </c>
      <c r="K903" s="32">
        <f>IF(OR($I903="",$J903=""),"",IFERROR(INDEX(設定!$F$5:$F$20,MATCH($F903,設定!$B$5:$B$20,0)),0))</f>
        <v/>
      </c>
      <c r="L903" s="33">
        <f>IF(OR($I903="",$J903=""),"",ROUND(($J903-$I903)*24-$K903/60,2))</f>
        <v/>
      </c>
      <c r="M903" s="29">
        <f>IF($C903="","",IF(AND(COUNTIF(設定!$B$14:$B$20,$F903)&gt;0,$I903&lt;&gt;""),"假日出勤",IF(AND(COUNTIF(設定!$B$5:$B$13,$F903)&gt;0,$I903=""),"未打卡",IF($I903="","",IF($N903&gt;0,"遲到",IF($O903&gt;0,"早退","正常"))))))</f>
        <v/>
      </c>
      <c r="N903" s="32">
        <f>IF(OR($C903="",$G903="",$I903=""),0,IF(ROUND(($I903-$G903)*1440,0)&gt;設定!$C$28,ROUND(($I903-$G903)*1440,0),0))</f>
        <v/>
      </c>
      <c r="O903" s="32">
        <f>IF(OR($C903="",$H903="",$J903=""),0,IF(ROUND(($H903-$J903)*1440,0)&gt;設定!$C$28,ROUND(($H903-$J903)*1440,0),0))</f>
        <v/>
      </c>
      <c r="P903" s="33">
        <f>IF($L903="",0,IF(($L903-IFERROR(INDEX(設定!$G$5:$G$20,MATCH($F903,設定!$B$5:$B$20,0)),0))*60&gt;=設定!$C$26,ROUND(FLOOR(($L903-IFERROR(INDEX(設定!$G$5:$G$20,MATCH($F903,設定!$B$5:$B$20,0)),0))*60,設定!$C$27)/60,2),0))</f>
        <v/>
      </c>
      <c r="Q903" s="29">
        <f>IF(OR($C903="",$P903=0),"",IF($F903="國","國定假日",IF($B903="日","例假",IF($B903="六","休息日","平日"))))</f>
        <v/>
      </c>
      <c r="R903" s="34" t="n"/>
    </row>
    <row r="904">
      <c r="A904" s="30">
        <f>IF(OR(班表!$A35="",3&gt;DAY(EOMONTH(DATE(班表!$E$2,班表!$G$2,1),0))),"",DATE(班表!$E$2,班表!$G$2,3))</f>
        <v/>
      </c>
      <c r="B904" s="29">
        <f>IF($A904="","",INDEX(設定!$L$5:$L$11,WEEKDAY($A904,1)))</f>
        <v/>
      </c>
      <c r="C904" s="29">
        <f>IF($A904="","",班表!$A35)</f>
        <v/>
      </c>
      <c r="D904" s="29">
        <f>IF($C904="","",班表!$B35)</f>
        <v/>
      </c>
      <c r="E904" s="29">
        <f>IF($C904="","",班表!$C35)</f>
        <v/>
      </c>
      <c r="F904" s="29">
        <f>IF($C904="","",班表!F35)</f>
        <v/>
      </c>
      <c r="G904" s="31">
        <f>IF($F904="","",IFERROR(INDEX(設定!$D$5:$D$20,MATCH($F904,設定!$B$5:$B$20,0)),""))</f>
        <v/>
      </c>
      <c r="H904" s="31">
        <f>IF($F904="","",IFERROR(INDEX(設定!$E$5:$E$20,MATCH($F904,設定!$B$5:$B$20,0)),""))</f>
        <v/>
      </c>
      <c r="I904" s="31">
        <f>IFERROR(INDEX(打卡匯入!$C$3:$C$1002,MATCH($C904&amp;"|"&amp;DAY($A904),打卡匯入!$E$3:$E$1002,0)),"")</f>
        <v/>
      </c>
      <c r="J904" s="31">
        <f>IFERROR(INDEX(打卡匯入!$D$3:$D$1002,MATCH($C904&amp;"|"&amp;DAY($A904),打卡匯入!$E$3:$E$1002,0)),"")</f>
        <v/>
      </c>
      <c r="K904" s="32">
        <f>IF(OR($I904="",$J904=""),"",IFERROR(INDEX(設定!$F$5:$F$20,MATCH($F904,設定!$B$5:$B$20,0)),0))</f>
        <v/>
      </c>
      <c r="L904" s="33">
        <f>IF(OR($I904="",$J904=""),"",ROUND(($J904-$I904)*24-$K904/60,2))</f>
        <v/>
      </c>
      <c r="M904" s="29">
        <f>IF($C904="","",IF(AND(COUNTIF(設定!$B$14:$B$20,$F904)&gt;0,$I904&lt;&gt;""),"假日出勤",IF(AND(COUNTIF(設定!$B$5:$B$13,$F904)&gt;0,$I904=""),"未打卡",IF($I904="","",IF($N904&gt;0,"遲到",IF($O904&gt;0,"早退","正常"))))))</f>
        <v/>
      </c>
      <c r="N904" s="32">
        <f>IF(OR($C904="",$G904="",$I904=""),0,IF(ROUND(($I904-$G904)*1440,0)&gt;設定!$C$28,ROUND(($I904-$G904)*1440,0),0))</f>
        <v/>
      </c>
      <c r="O904" s="32">
        <f>IF(OR($C904="",$H904="",$J904=""),0,IF(ROUND(($H904-$J904)*1440,0)&gt;設定!$C$28,ROUND(($H904-$J904)*1440,0),0))</f>
        <v/>
      </c>
      <c r="P904" s="33">
        <f>IF($L904="",0,IF(($L904-IFERROR(INDEX(設定!$G$5:$G$20,MATCH($F904,設定!$B$5:$B$20,0)),0))*60&gt;=設定!$C$26,ROUND(FLOOR(($L904-IFERROR(INDEX(設定!$G$5:$G$20,MATCH($F904,設定!$B$5:$B$20,0)),0))*60,設定!$C$27)/60,2),0))</f>
        <v/>
      </c>
      <c r="Q904" s="29">
        <f>IF(OR($C904="",$P904=0),"",IF($F904="國","國定假日",IF($B904="日","例假",IF($B904="六","休息日","平日"))))</f>
        <v/>
      </c>
      <c r="R904" s="34" t="n"/>
    </row>
    <row r="905">
      <c r="A905" s="30">
        <f>IF(OR(班表!$A35="",4&gt;DAY(EOMONTH(DATE(班表!$E$2,班表!$G$2,1),0))),"",DATE(班表!$E$2,班表!$G$2,4))</f>
        <v/>
      </c>
      <c r="B905" s="29">
        <f>IF($A905="","",INDEX(設定!$L$5:$L$11,WEEKDAY($A905,1)))</f>
        <v/>
      </c>
      <c r="C905" s="29">
        <f>IF($A905="","",班表!$A35)</f>
        <v/>
      </c>
      <c r="D905" s="29">
        <f>IF($C905="","",班表!$B35)</f>
        <v/>
      </c>
      <c r="E905" s="29">
        <f>IF($C905="","",班表!$C35)</f>
        <v/>
      </c>
      <c r="F905" s="29">
        <f>IF($C905="","",班表!G35)</f>
        <v/>
      </c>
      <c r="G905" s="31">
        <f>IF($F905="","",IFERROR(INDEX(設定!$D$5:$D$20,MATCH($F905,設定!$B$5:$B$20,0)),""))</f>
        <v/>
      </c>
      <c r="H905" s="31">
        <f>IF($F905="","",IFERROR(INDEX(設定!$E$5:$E$20,MATCH($F905,設定!$B$5:$B$20,0)),""))</f>
        <v/>
      </c>
      <c r="I905" s="31">
        <f>IFERROR(INDEX(打卡匯入!$C$3:$C$1002,MATCH($C905&amp;"|"&amp;DAY($A905),打卡匯入!$E$3:$E$1002,0)),"")</f>
        <v/>
      </c>
      <c r="J905" s="31">
        <f>IFERROR(INDEX(打卡匯入!$D$3:$D$1002,MATCH($C905&amp;"|"&amp;DAY($A905),打卡匯入!$E$3:$E$1002,0)),"")</f>
        <v/>
      </c>
      <c r="K905" s="32">
        <f>IF(OR($I905="",$J905=""),"",IFERROR(INDEX(設定!$F$5:$F$20,MATCH($F905,設定!$B$5:$B$20,0)),0))</f>
        <v/>
      </c>
      <c r="L905" s="33">
        <f>IF(OR($I905="",$J905=""),"",ROUND(($J905-$I905)*24-$K905/60,2))</f>
        <v/>
      </c>
      <c r="M905" s="29">
        <f>IF($C905="","",IF(AND(COUNTIF(設定!$B$14:$B$20,$F905)&gt;0,$I905&lt;&gt;""),"假日出勤",IF(AND(COUNTIF(設定!$B$5:$B$13,$F905)&gt;0,$I905=""),"未打卡",IF($I905="","",IF($N905&gt;0,"遲到",IF($O905&gt;0,"早退","正常"))))))</f>
        <v/>
      </c>
      <c r="N905" s="32">
        <f>IF(OR($C905="",$G905="",$I905=""),0,IF(ROUND(($I905-$G905)*1440,0)&gt;設定!$C$28,ROUND(($I905-$G905)*1440,0),0))</f>
        <v/>
      </c>
      <c r="O905" s="32">
        <f>IF(OR($C905="",$H905="",$J905=""),0,IF(ROUND(($H905-$J905)*1440,0)&gt;設定!$C$28,ROUND(($H905-$J905)*1440,0),0))</f>
        <v/>
      </c>
      <c r="P905" s="33">
        <f>IF($L905="",0,IF(($L905-IFERROR(INDEX(設定!$G$5:$G$20,MATCH($F905,設定!$B$5:$B$20,0)),0))*60&gt;=設定!$C$26,ROUND(FLOOR(($L905-IFERROR(INDEX(設定!$G$5:$G$20,MATCH($F905,設定!$B$5:$B$20,0)),0))*60,設定!$C$27)/60,2),0))</f>
        <v/>
      </c>
      <c r="Q905" s="29">
        <f>IF(OR($C905="",$P905=0),"",IF($F905="國","國定假日",IF($B905="日","例假",IF($B905="六","休息日","平日"))))</f>
        <v/>
      </c>
      <c r="R905" s="34" t="n"/>
    </row>
    <row r="906">
      <c r="A906" s="30">
        <f>IF(OR(班表!$A35="",5&gt;DAY(EOMONTH(DATE(班表!$E$2,班表!$G$2,1),0))),"",DATE(班表!$E$2,班表!$G$2,5))</f>
        <v/>
      </c>
      <c r="B906" s="29">
        <f>IF($A906="","",INDEX(設定!$L$5:$L$11,WEEKDAY($A906,1)))</f>
        <v/>
      </c>
      <c r="C906" s="29">
        <f>IF($A906="","",班表!$A35)</f>
        <v/>
      </c>
      <c r="D906" s="29">
        <f>IF($C906="","",班表!$B35)</f>
        <v/>
      </c>
      <c r="E906" s="29">
        <f>IF($C906="","",班表!$C35)</f>
        <v/>
      </c>
      <c r="F906" s="29">
        <f>IF($C906="","",班表!H35)</f>
        <v/>
      </c>
      <c r="G906" s="31">
        <f>IF($F906="","",IFERROR(INDEX(設定!$D$5:$D$20,MATCH($F906,設定!$B$5:$B$20,0)),""))</f>
        <v/>
      </c>
      <c r="H906" s="31">
        <f>IF($F906="","",IFERROR(INDEX(設定!$E$5:$E$20,MATCH($F906,設定!$B$5:$B$20,0)),""))</f>
        <v/>
      </c>
      <c r="I906" s="31">
        <f>IFERROR(INDEX(打卡匯入!$C$3:$C$1002,MATCH($C906&amp;"|"&amp;DAY($A906),打卡匯入!$E$3:$E$1002,0)),"")</f>
        <v/>
      </c>
      <c r="J906" s="31">
        <f>IFERROR(INDEX(打卡匯入!$D$3:$D$1002,MATCH($C906&amp;"|"&amp;DAY($A906),打卡匯入!$E$3:$E$1002,0)),"")</f>
        <v/>
      </c>
      <c r="K906" s="32">
        <f>IF(OR($I906="",$J906=""),"",IFERROR(INDEX(設定!$F$5:$F$20,MATCH($F906,設定!$B$5:$B$20,0)),0))</f>
        <v/>
      </c>
      <c r="L906" s="33">
        <f>IF(OR($I906="",$J906=""),"",ROUND(($J906-$I906)*24-$K906/60,2))</f>
        <v/>
      </c>
      <c r="M906" s="29">
        <f>IF($C906="","",IF(AND(COUNTIF(設定!$B$14:$B$20,$F906)&gt;0,$I906&lt;&gt;""),"假日出勤",IF(AND(COUNTIF(設定!$B$5:$B$13,$F906)&gt;0,$I906=""),"未打卡",IF($I906="","",IF($N906&gt;0,"遲到",IF($O906&gt;0,"早退","正常"))))))</f>
        <v/>
      </c>
      <c r="N906" s="32">
        <f>IF(OR($C906="",$G906="",$I906=""),0,IF(ROUND(($I906-$G906)*1440,0)&gt;設定!$C$28,ROUND(($I906-$G906)*1440,0),0))</f>
        <v/>
      </c>
      <c r="O906" s="32">
        <f>IF(OR($C906="",$H906="",$J906=""),0,IF(ROUND(($H906-$J906)*1440,0)&gt;設定!$C$28,ROUND(($H906-$J906)*1440,0),0))</f>
        <v/>
      </c>
      <c r="P906" s="33">
        <f>IF($L906="",0,IF(($L906-IFERROR(INDEX(設定!$G$5:$G$20,MATCH($F906,設定!$B$5:$B$20,0)),0))*60&gt;=設定!$C$26,ROUND(FLOOR(($L906-IFERROR(INDEX(設定!$G$5:$G$20,MATCH($F906,設定!$B$5:$B$20,0)),0))*60,設定!$C$27)/60,2),0))</f>
        <v/>
      </c>
      <c r="Q906" s="29">
        <f>IF(OR($C906="",$P906=0),"",IF($F906="國","國定假日",IF($B906="日","例假",IF($B906="六","休息日","平日"))))</f>
        <v/>
      </c>
      <c r="R906" s="34" t="n"/>
    </row>
    <row r="907">
      <c r="A907" s="30">
        <f>IF(OR(班表!$A35="",6&gt;DAY(EOMONTH(DATE(班表!$E$2,班表!$G$2,1),0))),"",DATE(班表!$E$2,班表!$G$2,6))</f>
        <v/>
      </c>
      <c r="B907" s="29">
        <f>IF($A907="","",INDEX(設定!$L$5:$L$11,WEEKDAY($A907,1)))</f>
        <v/>
      </c>
      <c r="C907" s="29">
        <f>IF($A907="","",班表!$A35)</f>
        <v/>
      </c>
      <c r="D907" s="29">
        <f>IF($C907="","",班表!$B35)</f>
        <v/>
      </c>
      <c r="E907" s="29">
        <f>IF($C907="","",班表!$C35)</f>
        <v/>
      </c>
      <c r="F907" s="29">
        <f>IF($C907="","",班表!I35)</f>
        <v/>
      </c>
      <c r="G907" s="31">
        <f>IF($F907="","",IFERROR(INDEX(設定!$D$5:$D$20,MATCH($F907,設定!$B$5:$B$20,0)),""))</f>
        <v/>
      </c>
      <c r="H907" s="31">
        <f>IF($F907="","",IFERROR(INDEX(設定!$E$5:$E$20,MATCH($F907,設定!$B$5:$B$20,0)),""))</f>
        <v/>
      </c>
      <c r="I907" s="31">
        <f>IFERROR(INDEX(打卡匯入!$C$3:$C$1002,MATCH($C907&amp;"|"&amp;DAY($A907),打卡匯入!$E$3:$E$1002,0)),"")</f>
        <v/>
      </c>
      <c r="J907" s="31">
        <f>IFERROR(INDEX(打卡匯入!$D$3:$D$1002,MATCH($C907&amp;"|"&amp;DAY($A907),打卡匯入!$E$3:$E$1002,0)),"")</f>
        <v/>
      </c>
      <c r="K907" s="32">
        <f>IF(OR($I907="",$J907=""),"",IFERROR(INDEX(設定!$F$5:$F$20,MATCH($F907,設定!$B$5:$B$20,0)),0))</f>
        <v/>
      </c>
      <c r="L907" s="33">
        <f>IF(OR($I907="",$J907=""),"",ROUND(($J907-$I907)*24-$K907/60,2))</f>
        <v/>
      </c>
      <c r="M907" s="29">
        <f>IF($C907="","",IF(AND(COUNTIF(設定!$B$14:$B$20,$F907)&gt;0,$I907&lt;&gt;""),"假日出勤",IF(AND(COUNTIF(設定!$B$5:$B$13,$F907)&gt;0,$I907=""),"未打卡",IF($I907="","",IF($N907&gt;0,"遲到",IF($O907&gt;0,"早退","正常"))))))</f>
        <v/>
      </c>
      <c r="N907" s="32">
        <f>IF(OR($C907="",$G907="",$I907=""),0,IF(ROUND(($I907-$G907)*1440,0)&gt;設定!$C$28,ROUND(($I907-$G907)*1440,0),0))</f>
        <v/>
      </c>
      <c r="O907" s="32">
        <f>IF(OR($C907="",$H907="",$J907=""),0,IF(ROUND(($H907-$J907)*1440,0)&gt;設定!$C$28,ROUND(($H907-$J907)*1440,0),0))</f>
        <v/>
      </c>
      <c r="P907" s="33">
        <f>IF($L907="",0,IF(($L907-IFERROR(INDEX(設定!$G$5:$G$20,MATCH($F907,設定!$B$5:$B$20,0)),0))*60&gt;=設定!$C$26,ROUND(FLOOR(($L907-IFERROR(INDEX(設定!$G$5:$G$20,MATCH($F907,設定!$B$5:$B$20,0)),0))*60,設定!$C$27)/60,2),0))</f>
        <v/>
      </c>
      <c r="Q907" s="29">
        <f>IF(OR($C907="",$P907=0),"",IF($F907="國","國定假日",IF($B907="日","例假",IF($B907="六","休息日","平日"))))</f>
        <v/>
      </c>
      <c r="R907" s="34" t="n"/>
    </row>
    <row r="908">
      <c r="A908" s="30">
        <f>IF(OR(班表!$A35="",7&gt;DAY(EOMONTH(DATE(班表!$E$2,班表!$G$2,1),0))),"",DATE(班表!$E$2,班表!$G$2,7))</f>
        <v/>
      </c>
      <c r="B908" s="29">
        <f>IF($A908="","",INDEX(設定!$L$5:$L$11,WEEKDAY($A908,1)))</f>
        <v/>
      </c>
      <c r="C908" s="29">
        <f>IF($A908="","",班表!$A35)</f>
        <v/>
      </c>
      <c r="D908" s="29">
        <f>IF($C908="","",班表!$B35)</f>
        <v/>
      </c>
      <c r="E908" s="29">
        <f>IF($C908="","",班表!$C35)</f>
        <v/>
      </c>
      <c r="F908" s="29">
        <f>IF($C908="","",班表!J35)</f>
        <v/>
      </c>
      <c r="G908" s="31">
        <f>IF($F908="","",IFERROR(INDEX(設定!$D$5:$D$20,MATCH($F908,設定!$B$5:$B$20,0)),""))</f>
        <v/>
      </c>
      <c r="H908" s="31">
        <f>IF($F908="","",IFERROR(INDEX(設定!$E$5:$E$20,MATCH($F908,設定!$B$5:$B$20,0)),""))</f>
        <v/>
      </c>
      <c r="I908" s="31">
        <f>IFERROR(INDEX(打卡匯入!$C$3:$C$1002,MATCH($C908&amp;"|"&amp;DAY($A908),打卡匯入!$E$3:$E$1002,0)),"")</f>
        <v/>
      </c>
      <c r="J908" s="31">
        <f>IFERROR(INDEX(打卡匯入!$D$3:$D$1002,MATCH($C908&amp;"|"&amp;DAY($A908),打卡匯入!$E$3:$E$1002,0)),"")</f>
        <v/>
      </c>
      <c r="K908" s="32">
        <f>IF(OR($I908="",$J908=""),"",IFERROR(INDEX(設定!$F$5:$F$20,MATCH($F908,設定!$B$5:$B$20,0)),0))</f>
        <v/>
      </c>
      <c r="L908" s="33">
        <f>IF(OR($I908="",$J908=""),"",ROUND(($J908-$I908)*24-$K908/60,2))</f>
        <v/>
      </c>
      <c r="M908" s="29">
        <f>IF($C908="","",IF(AND(COUNTIF(設定!$B$14:$B$20,$F908)&gt;0,$I908&lt;&gt;""),"假日出勤",IF(AND(COUNTIF(設定!$B$5:$B$13,$F908)&gt;0,$I908=""),"未打卡",IF($I908="","",IF($N908&gt;0,"遲到",IF($O908&gt;0,"早退","正常"))))))</f>
        <v/>
      </c>
      <c r="N908" s="32">
        <f>IF(OR($C908="",$G908="",$I908=""),0,IF(ROUND(($I908-$G908)*1440,0)&gt;設定!$C$28,ROUND(($I908-$G908)*1440,0),0))</f>
        <v/>
      </c>
      <c r="O908" s="32">
        <f>IF(OR($C908="",$H908="",$J908=""),0,IF(ROUND(($H908-$J908)*1440,0)&gt;設定!$C$28,ROUND(($H908-$J908)*1440,0),0))</f>
        <v/>
      </c>
      <c r="P908" s="33">
        <f>IF($L908="",0,IF(($L908-IFERROR(INDEX(設定!$G$5:$G$20,MATCH($F908,設定!$B$5:$B$20,0)),0))*60&gt;=設定!$C$26,ROUND(FLOOR(($L908-IFERROR(INDEX(設定!$G$5:$G$20,MATCH($F908,設定!$B$5:$B$20,0)),0))*60,設定!$C$27)/60,2),0))</f>
        <v/>
      </c>
      <c r="Q908" s="29">
        <f>IF(OR($C908="",$P908=0),"",IF($F908="國","國定假日",IF($B908="日","例假",IF($B908="六","休息日","平日"))))</f>
        <v/>
      </c>
      <c r="R908" s="34" t="n"/>
    </row>
    <row r="909">
      <c r="A909" s="30">
        <f>IF(OR(班表!$A35="",8&gt;DAY(EOMONTH(DATE(班表!$E$2,班表!$G$2,1),0))),"",DATE(班表!$E$2,班表!$G$2,8))</f>
        <v/>
      </c>
      <c r="B909" s="29">
        <f>IF($A909="","",INDEX(設定!$L$5:$L$11,WEEKDAY($A909,1)))</f>
        <v/>
      </c>
      <c r="C909" s="29">
        <f>IF($A909="","",班表!$A35)</f>
        <v/>
      </c>
      <c r="D909" s="29">
        <f>IF($C909="","",班表!$B35)</f>
        <v/>
      </c>
      <c r="E909" s="29">
        <f>IF($C909="","",班表!$C35)</f>
        <v/>
      </c>
      <c r="F909" s="29">
        <f>IF($C909="","",班表!K35)</f>
        <v/>
      </c>
      <c r="G909" s="31">
        <f>IF($F909="","",IFERROR(INDEX(設定!$D$5:$D$20,MATCH($F909,設定!$B$5:$B$20,0)),""))</f>
        <v/>
      </c>
      <c r="H909" s="31">
        <f>IF($F909="","",IFERROR(INDEX(設定!$E$5:$E$20,MATCH($F909,設定!$B$5:$B$20,0)),""))</f>
        <v/>
      </c>
      <c r="I909" s="31">
        <f>IFERROR(INDEX(打卡匯入!$C$3:$C$1002,MATCH($C909&amp;"|"&amp;DAY($A909),打卡匯入!$E$3:$E$1002,0)),"")</f>
        <v/>
      </c>
      <c r="J909" s="31">
        <f>IFERROR(INDEX(打卡匯入!$D$3:$D$1002,MATCH($C909&amp;"|"&amp;DAY($A909),打卡匯入!$E$3:$E$1002,0)),"")</f>
        <v/>
      </c>
      <c r="K909" s="32">
        <f>IF(OR($I909="",$J909=""),"",IFERROR(INDEX(設定!$F$5:$F$20,MATCH($F909,設定!$B$5:$B$20,0)),0))</f>
        <v/>
      </c>
      <c r="L909" s="33">
        <f>IF(OR($I909="",$J909=""),"",ROUND(($J909-$I909)*24-$K909/60,2))</f>
        <v/>
      </c>
      <c r="M909" s="29">
        <f>IF($C909="","",IF(AND(COUNTIF(設定!$B$14:$B$20,$F909)&gt;0,$I909&lt;&gt;""),"假日出勤",IF(AND(COUNTIF(設定!$B$5:$B$13,$F909)&gt;0,$I909=""),"未打卡",IF($I909="","",IF($N909&gt;0,"遲到",IF($O909&gt;0,"早退","正常"))))))</f>
        <v/>
      </c>
      <c r="N909" s="32">
        <f>IF(OR($C909="",$G909="",$I909=""),0,IF(ROUND(($I909-$G909)*1440,0)&gt;設定!$C$28,ROUND(($I909-$G909)*1440,0),0))</f>
        <v/>
      </c>
      <c r="O909" s="32">
        <f>IF(OR($C909="",$H909="",$J909=""),0,IF(ROUND(($H909-$J909)*1440,0)&gt;設定!$C$28,ROUND(($H909-$J909)*1440,0),0))</f>
        <v/>
      </c>
      <c r="P909" s="33">
        <f>IF($L909="",0,IF(($L909-IFERROR(INDEX(設定!$G$5:$G$20,MATCH($F909,設定!$B$5:$B$20,0)),0))*60&gt;=設定!$C$26,ROUND(FLOOR(($L909-IFERROR(INDEX(設定!$G$5:$G$20,MATCH($F909,設定!$B$5:$B$20,0)),0))*60,設定!$C$27)/60,2),0))</f>
        <v/>
      </c>
      <c r="Q909" s="29">
        <f>IF(OR($C909="",$P909=0),"",IF($F909="國","國定假日",IF($B909="日","例假",IF($B909="六","休息日","平日"))))</f>
        <v/>
      </c>
      <c r="R909" s="34" t="n"/>
    </row>
    <row r="910">
      <c r="A910" s="30">
        <f>IF(OR(班表!$A35="",9&gt;DAY(EOMONTH(DATE(班表!$E$2,班表!$G$2,1),0))),"",DATE(班表!$E$2,班表!$G$2,9))</f>
        <v/>
      </c>
      <c r="B910" s="29">
        <f>IF($A910="","",INDEX(設定!$L$5:$L$11,WEEKDAY($A910,1)))</f>
        <v/>
      </c>
      <c r="C910" s="29">
        <f>IF($A910="","",班表!$A35)</f>
        <v/>
      </c>
      <c r="D910" s="29">
        <f>IF($C910="","",班表!$B35)</f>
        <v/>
      </c>
      <c r="E910" s="29">
        <f>IF($C910="","",班表!$C35)</f>
        <v/>
      </c>
      <c r="F910" s="29">
        <f>IF($C910="","",班表!L35)</f>
        <v/>
      </c>
      <c r="G910" s="31">
        <f>IF($F910="","",IFERROR(INDEX(設定!$D$5:$D$20,MATCH($F910,設定!$B$5:$B$20,0)),""))</f>
        <v/>
      </c>
      <c r="H910" s="31">
        <f>IF($F910="","",IFERROR(INDEX(設定!$E$5:$E$20,MATCH($F910,設定!$B$5:$B$20,0)),""))</f>
        <v/>
      </c>
      <c r="I910" s="31">
        <f>IFERROR(INDEX(打卡匯入!$C$3:$C$1002,MATCH($C910&amp;"|"&amp;DAY($A910),打卡匯入!$E$3:$E$1002,0)),"")</f>
        <v/>
      </c>
      <c r="J910" s="31">
        <f>IFERROR(INDEX(打卡匯入!$D$3:$D$1002,MATCH($C910&amp;"|"&amp;DAY($A910),打卡匯入!$E$3:$E$1002,0)),"")</f>
        <v/>
      </c>
      <c r="K910" s="32">
        <f>IF(OR($I910="",$J910=""),"",IFERROR(INDEX(設定!$F$5:$F$20,MATCH($F910,設定!$B$5:$B$20,0)),0))</f>
        <v/>
      </c>
      <c r="L910" s="33">
        <f>IF(OR($I910="",$J910=""),"",ROUND(($J910-$I910)*24-$K910/60,2))</f>
        <v/>
      </c>
      <c r="M910" s="29">
        <f>IF($C910="","",IF(AND(COUNTIF(設定!$B$14:$B$20,$F910)&gt;0,$I910&lt;&gt;""),"假日出勤",IF(AND(COUNTIF(設定!$B$5:$B$13,$F910)&gt;0,$I910=""),"未打卡",IF($I910="","",IF($N910&gt;0,"遲到",IF($O910&gt;0,"早退","正常"))))))</f>
        <v/>
      </c>
      <c r="N910" s="32">
        <f>IF(OR($C910="",$G910="",$I910=""),0,IF(ROUND(($I910-$G910)*1440,0)&gt;設定!$C$28,ROUND(($I910-$G910)*1440,0),0))</f>
        <v/>
      </c>
      <c r="O910" s="32">
        <f>IF(OR($C910="",$H910="",$J910=""),0,IF(ROUND(($H910-$J910)*1440,0)&gt;設定!$C$28,ROUND(($H910-$J910)*1440,0),0))</f>
        <v/>
      </c>
      <c r="P910" s="33">
        <f>IF($L910="",0,IF(($L910-IFERROR(INDEX(設定!$G$5:$G$20,MATCH($F910,設定!$B$5:$B$20,0)),0))*60&gt;=設定!$C$26,ROUND(FLOOR(($L910-IFERROR(INDEX(設定!$G$5:$G$20,MATCH($F910,設定!$B$5:$B$20,0)),0))*60,設定!$C$27)/60,2),0))</f>
        <v/>
      </c>
      <c r="Q910" s="29">
        <f>IF(OR($C910="",$P910=0),"",IF($F910="國","國定假日",IF($B910="日","例假",IF($B910="六","休息日","平日"))))</f>
        <v/>
      </c>
      <c r="R910" s="34" t="n"/>
    </row>
    <row r="911">
      <c r="A911" s="30">
        <f>IF(OR(班表!$A35="",10&gt;DAY(EOMONTH(DATE(班表!$E$2,班表!$G$2,1),0))),"",DATE(班表!$E$2,班表!$G$2,10))</f>
        <v/>
      </c>
      <c r="B911" s="29">
        <f>IF($A911="","",INDEX(設定!$L$5:$L$11,WEEKDAY($A911,1)))</f>
        <v/>
      </c>
      <c r="C911" s="29">
        <f>IF($A911="","",班表!$A35)</f>
        <v/>
      </c>
      <c r="D911" s="29">
        <f>IF($C911="","",班表!$B35)</f>
        <v/>
      </c>
      <c r="E911" s="29">
        <f>IF($C911="","",班表!$C35)</f>
        <v/>
      </c>
      <c r="F911" s="29">
        <f>IF($C911="","",班表!M35)</f>
        <v/>
      </c>
      <c r="G911" s="31">
        <f>IF($F911="","",IFERROR(INDEX(設定!$D$5:$D$20,MATCH($F911,設定!$B$5:$B$20,0)),""))</f>
        <v/>
      </c>
      <c r="H911" s="31">
        <f>IF($F911="","",IFERROR(INDEX(設定!$E$5:$E$20,MATCH($F911,設定!$B$5:$B$20,0)),""))</f>
        <v/>
      </c>
      <c r="I911" s="31">
        <f>IFERROR(INDEX(打卡匯入!$C$3:$C$1002,MATCH($C911&amp;"|"&amp;DAY($A911),打卡匯入!$E$3:$E$1002,0)),"")</f>
        <v/>
      </c>
      <c r="J911" s="31">
        <f>IFERROR(INDEX(打卡匯入!$D$3:$D$1002,MATCH($C911&amp;"|"&amp;DAY($A911),打卡匯入!$E$3:$E$1002,0)),"")</f>
        <v/>
      </c>
      <c r="K911" s="32">
        <f>IF(OR($I911="",$J911=""),"",IFERROR(INDEX(設定!$F$5:$F$20,MATCH($F911,設定!$B$5:$B$20,0)),0))</f>
        <v/>
      </c>
      <c r="L911" s="33">
        <f>IF(OR($I911="",$J911=""),"",ROUND(($J911-$I911)*24-$K911/60,2))</f>
        <v/>
      </c>
      <c r="M911" s="29">
        <f>IF($C911="","",IF(AND(COUNTIF(設定!$B$14:$B$20,$F911)&gt;0,$I911&lt;&gt;""),"假日出勤",IF(AND(COUNTIF(設定!$B$5:$B$13,$F911)&gt;0,$I911=""),"未打卡",IF($I911="","",IF($N911&gt;0,"遲到",IF($O911&gt;0,"早退","正常"))))))</f>
        <v/>
      </c>
      <c r="N911" s="32">
        <f>IF(OR($C911="",$G911="",$I911=""),0,IF(ROUND(($I911-$G911)*1440,0)&gt;設定!$C$28,ROUND(($I911-$G911)*1440,0),0))</f>
        <v/>
      </c>
      <c r="O911" s="32">
        <f>IF(OR($C911="",$H911="",$J911=""),0,IF(ROUND(($H911-$J911)*1440,0)&gt;設定!$C$28,ROUND(($H911-$J911)*1440,0),0))</f>
        <v/>
      </c>
      <c r="P911" s="33">
        <f>IF($L911="",0,IF(($L911-IFERROR(INDEX(設定!$G$5:$G$20,MATCH($F911,設定!$B$5:$B$20,0)),0))*60&gt;=設定!$C$26,ROUND(FLOOR(($L911-IFERROR(INDEX(設定!$G$5:$G$20,MATCH($F911,設定!$B$5:$B$20,0)),0))*60,設定!$C$27)/60,2),0))</f>
        <v/>
      </c>
      <c r="Q911" s="29">
        <f>IF(OR($C911="",$P911=0),"",IF($F911="國","國定假日",IF($B911="日","例假",IF($B911="六","休息日","平日"))))</f>
        <v/>
      </c>
      <c r="R911" s="34" t="n"/>
    </row>
    <row r="912">
      <c r="A912" s="30">
        <f>IF(OR(班表!$A35="",11&gt;DAY(EOMONTH(DATE(班表!$E$2,班表!$G$2,1),0))),"",DATE(班表!$E$2,班表!$G$2,11))</f>
        <v/>
      </c>
      <c r="B912" s="29">
        <f>IF($A912="","",INDEX(設定!$L$5:$L$11,WEEKDAY($A912,1)))</f>
        <v/>
      </c>
      <c r="C912" s="29">
        <f>IF($A912="","",班表!$A35)</f>
        <v/>
      </c>
      <c r="D912" s="29">
        <f>IF($C912="","",班表!$B35)</f>
        <v/>
      </c>
      <c r="E912" s="29">
        <f>IF($C912="","",班表!$C35)</f>
        <v/>
      </c>
      <c r="F912" s="29">
        <f>IF($C912="","",班表!N35)</f>
        <v/>
      </c>
      <c r="G912" s="31">
        <f>IF($F912="","",IFERROR(INDEX(設定!$D$5:$D$20,MATCH($F912,設定!$B$5:$B$20,0)),""))</f>
        <v/>
      </c>
      <c r="H912" s="31">
        <f>IF($F912="","",IFERROR(INDEX(設定!$E$5:$E$20,MATCH($F912,設定!$B$5:$B$20,0)),""))</f>
        <v/>
      </c>
      <c r="I912" s="31">
        <f>IFERROR(INDEX(打卡匯入!$C$3:$C$1002,MATCH($C912&amp;"|"&amp;DAY($A912),打卡匯入!$E$3:$E$1002,0)),"")</f>
        <v/>
      </c>
      <c r="J912" s="31">
        <f>IFERROR(INDEX(打卡匯入!$D$3:$D$1002,MATCH($C912&amp;"|"&amp;DAY($A912),打卡匯入!$E$3:$E$1002,0)),"")</f>
        <v/>
      </c>
      <c r="K912" s="32">
        <f>IF(OR($I912="",$J912=""),"",IFERROR(INDEX(設定!$F$5:$F$20,MATCH($F912,設定!$B$5:$B$20,0)),0))</f>
        <v/>
      </c>
      <c r="L912" s="33">
        <f>IF(OR($I912="",$J912=""),"",ROUND(($J912-$I912)*24-$K912/60,2))</f>
        <v/>
      </c>
      <c r="M912" s="29">
        <f>IF($C912="","",IF(AND(COUNTIF(設定!$B$14:$B$20,$F912)&gt;0,$I912&lt;&gt;""),"假日出勤",IF(AND(COUNTIF(設定!$B$5:$B$13,$F912)&gt;0,$I912=""),"未打卡",IF($I912="","",IF($N912&gt;0,"遲到",IF($O912&gt;0,"早退","正常"))))))</f>
        <v/>
      </c>
      <c r="N912" s="32">
        <f>IF(OR($C912="",$G912="",$I912=""),0,IF(ROUND(($I912-$G912)*1440,0)&gt;設定!$C$28,ROUND(($I912-$G912)*1440,0),0))</f>
        <v/>
      </c>
      <c r="O912" s="32">
        <f>IF(OR($C912="",$H912="",$J912=""),0,IF(ROUND(($H912-$J912)*1440,0)&gt;設定!$C$28,ROUND(($H912-$J912)*1440,0),0))</f>
        <v/>
      </c>
      <c r="P912" s="33">
        <f>IF($L912="",0,IF(($L912-IFERROR(INDEX(設定!$G$5:$G$20,MATCH($F912,設定!$B$5:$B$20,0)),0))*60&gt;=設定!$C$26,ROUND(FLOOR(($L912-IFERROR(INDEX(設定!$G$5:$G$20,MATCH($F912,設定!$B$5:$B$20,0)),0))*60,設定!$C$27)/60,2),0))</f>
        <v/>
      </c>
      <c r="Q912" s="29">
        <f>IF(OR($C912="",$P912=0),"",IF($F912="國","國定假日",IF($B912="日","例假",IF($B912="六","休息日","平日"))))</f>
        <v/>
      </c>
      <c r="R912" s="34" t="n"/>
    </row>
    <row r="913">
      <c r="A913" s="30">
        <f>IF(OR(班表!$A35="",12&gt;DAY(EOMONTH(DATE(班表!$E$2,班表!$G$2,1),0))),"",DATE(班表!$E$2,班表!$G$2,12))</f>
        <v/>
      </c>
      <c r="B913" s="29">
        <f>IF($A913="","",INDEX(設定!$L$5:$L$11,WEEKDAY($A913,1)))</f>
        <v/>
      </c>
      <c r="C913" s="29">
        <f>IF($A913="","",班表!$A35)</f>
        <v/>
      </c>
      <c r="D913" s="29">
        <f>IF($C913="","",班表!$B35)</f>
        <v/>
      </c>
      <c r="E913" s="29">
        <f>IF($C913="","",班表!$C35)</f>
        <v/>
      </c>
      <c r="F913" s="29">
        <f>IF($C913="","",班表!O35)</f>
        <v/>
      </c>
      <c r="G913" s="31">
        <f>IF($F913="","",IFERROR(INDEX(設定!$D$5:$D$20,MATCH($F913,設定!$B$5:$B$20,0)),""))</f>
        <v/>
      </c>
      <c r="H913" s="31">
        <f>IF($F913="","",IFERROR(INDEX(設定!$E$5:$E$20,MATCH($F913,設定!$B$5:$B$20,0)),""))</f>
        <v/>
      </c>
      <c r="I913" s="31">
        <f>IFERROR(INDEX(打卡匯入!$C$3:$C$1002,MATCH($C913&amp;"|"&amp;DAY($A913),打卡匯入!$E$3:$E$1002,0)),"")</f>
        <v/>
      </c>
      <c r="J913" s="31">
        <f>IFERROR(INDEX(打卡匯入!$D$3:$D$1002,MATCH($C913&amp;"|"&amp;DAY($A913),打卡匯入!$E$3:$E$1002,0)),"")</f>
        <v/>
      </c>
      <c r="K913" s="32">
        <f>IF(OR($I913="",$J913=""),"",IFERROR(INDEX(設定!$F$5:$F$20,MATCH($F913,設定!$B$5:$B$20,0)),0))</f>
        <v/>
      </c>
      <c r="L913" s="33">
        <f>IF(OR($I913="",$J913=""),"",ROUND(($J913-$I913)*24-$K913/60,2))</f>
        <v/>
      </c>
      <c r="M913" s="29">
        <f>IF($C913="","",IF(AND(COUNTIF(設定!$B$14:$B$20,$F913)&gt;0,$I913&lt;&gt;""),"假日出勤",IF(AND(COUNTIF(設定!$B$5:$B$13,$F913)&gt;0,$I913=""),"未打卡",IF($I913="","",IF($N913&gt;0,"遲到",IF($O913&gt;0,"早退","正常"))))))</f>
        <v/>
      </c>
      <c r="N913" s="32">
        <f>IF(OR($C913="",$G913="",$I913=""),0,IF(ROUND(($I913-$G913)*1440,0)&gt;設定!$C$28,ROUND(($I913-$G913)*1440,0),0))</f>
        <v/>
      </c>
      <c r="O913" s="32">
        <f>IF(OR($C913="",$H913="",$J913=""),0,IF(ROUND(($H913-$J913)*1440,0)&gt;設定!$C$28,ROUND(($H913-$J913)*1440,0),0))</f>
        <v/>
      </c>
      <c r="P913" s="33">
        <f>IF($L913="",0,IF(($L913-IFERROR(INDEX(設定!$G$5:$G$20,MATCH($F913,設定!$B$5:$B$20,0)),0))*60&gt;=設定!$C$26,ROUND(FLOOR(($L913-IFERROR(INDEX(設定!$G$5:$G$20,MATCH($F913,設定!$B$5:$B$20,0)),0))*60,設定!$C$27)/60,2),0))</f>
        <v/>
      </c>
      <c r="Q913" s="29">
        <f>IF(OR($C913="",$P913=0),"",IF($F913="國","國定假日",IF($B913="日","例假",IF($B913="六","休息日","平日"))))</f>
        <v/>
      </c>
      <c r="R913" s="34" t="n"/>
    </row>
    <row r="914">
      <c r="A914" s="30">
        <f>IF(OR(班表!$A35="",13&gt;DAY(EOMONTH(DATE(班表!$E$2,班表!$G$2,1),0))),"",DATE(班表!$E$2,班表!$G$2,13))</f>
        <v/>
      </c>
      <c r="B914" s="29">
        <f>IF($A914="","",INDEX(設定!$L$5:$L$11,WEEKDAY($A914,1)))</f>
        <v/>
      </c>
      <c r="C914" s="29">
        <f>IF($A914="","",班表!$A35)</f>
        <v/>
      </c>
      <c r="D914" s="29">
        <f>IF($C914="","",班表!$B35)</f>
        <v/>
      </c>
      <c r="E914" s="29">
        <f>IF($C914="","",班表!$C35)</f>
        <v/>
      </c>
      <c r="F914" s="29">
        <f>IF($C914="","",班表!P35)</f>
        <v/>
      </c>
      <c r="G914" s="31">
        <f>IF($F914="","",IFERROR(INDEX(設定!$D$5:$D$20,MATCH($F914,設定!$B$5:$B$20,0)),""))</f>
        <v/>
      </c>
      <c r="H914" s="31">
        <f>IF($F914="","",IFERROR(INDEX(設定!$E$5:$E$20,MATCH($F914,設定!$B$5:$B$20,0)),""))</f>
        <v/>
      </c>
      <c r="I914" s="31">
        <f>IFERROR(INDEX(打卡匯入!$C$3:$C$1002,MATCH($C914&amp;"|"&amp;DAY($A914),打卡匯入!$E$3:$E$1002,0)),"")</f>
        <v/>
      </c>
      <c r="J914" s="31">
        <f>IFERROR(INDEX(打卡匯入!$D$3:$D$1002,MATCH($C914&amp;"|"&amp;DAY($A914),打卡匯入!$E$3:$E$1002,0)),"")</f>
        <v/>
      </c>
      <c r="K914" s="32">
        <f>IF(OR($I914="",$J914=""),"",IFERROR(INDEX(設定!$F$5:$F$20,MATCH($F914,設定!$B$5:$B$20,0)),0))</f>
        <v/>
      </c>
      <c r="L914" s="33">
        <f>IF(OR($I914="",$J914=""),"",ROUND(($J914-$I914)*24-$K914/60,2))</f>
        <v/>
      </c>
      <c r="M914" s="29">
        <f>IF($C914="","",IF(AND(COUNTIF(設定!$B$14:$B$20,$F914)&gt;0,$I914&lt;&gt;""),"假日出勤",IF(AND(COUNTIF(設定!$B$5:$B$13,$F914)&gt;0,$I914=""),"未打卡",IF($I914="","",IF($N914&gt;0,"遲到",IF($O914&gt;0,"早退","正常"))))))</f>
        <v/>
      </c>
      <c r="N914" s="32">
        <f>IF(OR($C914="",$G914="",$I914=""),0,IF(ROUND(($I914-$G914)*1440,0)&gt;設定!$C$28,ROUND(($I914-$G914)*1440,0),0))</f>
        <v/>
      </c>
      <c r="O914" s="32">
        <f>IF(OR($C914="",$H914="",$J914=""),0,IF(ROUND(($H914-$J914)*1440,0)&gt;設定!$C$28,ROUND(($H914-$J914)*1440,0),0))</f>
        <v/>
      </c>
      <c r="P914" s="33">
        <f>IF($L914="",0,IF(($L914-IFERROR(INDEX(設定!$G$5:$G$20,MATCH($F914,設定!$B$5:$B$20,0)),0))*60&gt;=設定!$C$26,ROUND(FLOOR(($L914-IFERROR(INDEX(設定!$G$5:$G$20,MATCH($F914,設定!$B$5:$B$20,0)),0))*60,設定!$C$27)/60,2),0))</f>
        <v/>
      </c>
      <c r="Q914" s="29">
        <f>IF(OR($C914="",$P914=0),"",IF($F914="國","國定假日",IF($B914="日","例假",IF($B914="六","休息日","平日"))))</f>
        <v/>
      </c>
      <c r="R914" s="34" t="n"/>
    </row>
    <row r="915">
      <c r="A915" s="30">
        <f>IF(OR(班表!$A35="",14&gt;DAY(EOMONTH(DATE(班表!$E$2,班表!$G$2,1),0))),"",DATE(班表!$E$2,班表!$G$2,14))</f>
        <v/>
      </c>
      <c r="B915" s="29">
        <f>IF($A915="","",INDEX(設定!$L$5:$L$11,WEEKDAY($A915,1)))</f>
        <v/>
      </c>
      <c r="C915" s="29">
        <f>IF($A915="","",班表!$A35)</f>
        <v/>
      </c>
      <c r="D915" s="29">
        <f>IF($C915="","",班表!$B35)</f>
        <v/>
      </c>
      <c r="E915" s="29">
        <f>IF($C915="","",班表!$C35)</f>
        <v/>
      </c>
      <c r="F915" s="29">
        <f>IF($C915="","",班表!Q35)</f>
        <v/>
      </c>
      <c r="G915" s="31">
        <f>IF($F915="","",IFERROR(INDEX(設定!$D$5:$D$20,MATCH($F915,設定!$B$5:$B$20,0)),""))</f>
        <v/>
      </c>
      <c r="H915" s="31">
        <f>IF($F915="","",IFERROR(INDEX(設定!$E$5:$E$20,MATCH($F915,設定!$B$5:$B$20,0)),""))</f>
        <v/>
      </c>
      <c r="I915" s="31">
        <f>IFERROR(INDEX(打卡匯入!$C$3:$C$1002,MATCH($C915&amp;"|"&amp;DAY($A915),打卡匯入!$E$3:$E$1002,0)),"")</f>
        <v/>
      </c>
      <c r="J915" s="31">
        <f>IFERROR(INDEX(打卡匯入!$D$3:$D$1002,MATCH($C915&amp;"|"&amp;DAY($A915),打卡匯入!$E$3:$E$1002,0)),"")</f>
        <v/>
      </c>
      <c r="K915" s="32">
        <f>IF(OR($I915="",$J915=""),"",IFERROR(INDEX(設定!$F$5:$F$20,MATCH($F915,設定!$B$5:$B$20,0)),0))</f>
        <v/>
      </c>
      <c r="L915" s="33">
        <f>IF(OR($I915="",$J915=""),"",ROUND(($J915-$I915)*24-$K915/60,2))</f>
        <v/>
      </c>
      <c r="M915" s="29">
        <f>IF($C915="","",IF(AND(COUNTIF(設定!$B$14:$B$20,$F915)&gt;0,$I915&lt;&gt;""),"假日出勤",IF(AND(COUNTIF(設定!$B$5:$B$13,$F915)&gt;0,$I915=""),"未打卡",IF($I915="","",IF($N915&gt;0,"遲到",IF($O915&gt;0,"早退","正常"))))))</f>
        <v/>
      </c>
      <c r="N915" s="32">
        <f>IF(OR($C915="",$G915="",$I915=""),0,IF(ROUND(($I915-$G915)*1440,0)&gt;設定!$C$28,ROUND(($I915-$G915)*1440,0),0))</f>
        <v/>
      </c>
      <c r="O915" s="32">
        <f>IF(OR($C915="",$H915="",$J915=""),0,IF(ROUND(($H915-$J915)*1440,0)&gt;設定!$C$28,ROUND(($H915-$J915)*1440,0),0))</f>
        <v/>
      </c>
      <c r="P915" s="33">
        <f>IF($L915="",0,IF(($L915-IFERROR(INDEX(設定!$G$5:$G$20,MATCH($F915,設定!$B$5:$B$20,0)),0))*60&gt;=設定!$C$26,ROUND(FLOOR(($L915-IFERROR(INDEX(設定!$G$5:$G$20,MATCH($F915,設定!$B$5:$B$20,0)),0))*60,設定!$C$27)/60,2),0))</f>
        <v/>
      </c>
      <c r="Q915" s="29">
        <f>IF(OR($C915="",$P915=0),"",IF($F915="國","國定假日",IF($B915="日","例假",IF($B915="六","休息日","平日"))))</f>
        <v/>
      </c>
      <c r="R915" s="34" t="n"/>
    </row>
    <row r="916">
      <c r="A916" s="30">
        <f>IF(OR(班表!$A35="",15&gt;DAY(EOMONTH(DATE(班表!$E$2,班表!$G$2,1),0))),"",DATE(班表!$E$2,班表!$G$2,15))</f>
        <v/>
      </c>
      <c r="B916" s="29">
        <f>IF($A916="","",INDEX(設定!$L$5:$L$11,WEEKDAY($A916,1)))</f>
        <v/>
      </c>
      <c r="C916" s="29">
        <f>IF($A916="","",班表!$A35)</f>
        <v/>
      </c>
      <c r="D916" s="29">
        <f>IF($C916="","",班表!$B35)</f>
        <v/>
      </c>
      <c r="E916" s="29">
        <f>IF($C916="","",班表!$C35)</f>
        <v/>
      </c>
      <c r="F916" s="29">
        <f>IF($C916="","",班表!R35)</f>
        <v/>
      </c>
      <c r="G916" s="31">
        <f>IF($F916="","",IFERROR(INDEX(設定!$D$5:$D$20,MATCH($F916,設定!$B$5:$B$20,0)),""))</f>
        <v/>
      </c>
      <c r="H916" s="31">
        <f>IF($F916="","",IFERROR(INDEX(設定!$E$5:$E$20,MATCH($F916,設定!$B$5:$B$20,0)),""))</f>
        <v/>
      </c>
      <c r="I916" s="31">
        <f>IFERROR(INDEX(打卡匯入!$C$3:$C$1002,MATCH($C916&amp;"|"&amp;DAY($A916),打卡匯入!$E$3:$E$1002,0)),"")</f>
        <v/>
      </c>
      <c r="J916" s="31">
        <f>IFERROR(INDEX(打卡匯入!$D$3:$D$1002,MATCH($C916&amp;"|"&amp;DAY($A916),打卡匯入!$E$3:$E$1002,0)),"")</f>
        <v/>
      </c>
      <c r="K916" s="32">
        <f>IF(OR($I916="",$J916=""),"",IFERROR(INDEX(設定!$F$5:$F$20,MATCH($F916,設定!$B$5:$B$20,0)),0))</f>
        <v/>
      </c>
      <c r="L916" s="33">
        <f>IF(OR($I916="",$J916=""),"",ROUND(($J916-$I916)*24-$K916/60,2))</f>
        <v/>
      </c>
      <c r="M916" s="29">
        <f>IF($C916="","",IF(AND(COUNTIF(設定!$B$14:$B$20,$F916)&gt;0,$I916&lt;&gt;""),"假日出勤",IF(AND(COUNTIF(設定!$B$5:$B$13,$F916)&gt;0,$I916=""),"未打卡",IF($I916="","",IF($N916&gt;0,"遲到",IF($O916&gt;0,"早退","正常"))))))</f>
        <v/>
      </c>
      <c r="N916" s="32">
        <f>IF(OR($C916="",$G916="",$I916=""),0,IF(ROUND(($I916-$G916)*1440,0)&gt;設定!$C$28,ROUND(($I916-$G916)*1440,0),0))</f>
        <v/>
      </c>
      <c r="O916" s="32">
        <f>IF(OR($C916="",$H916="",$J916=""),0,IF(ROUND(($H916-$J916)*1440,0)&gt;設定!$C$28,ROUND(($H916-$J916)*1440,0),0))</f>
        <v/>
      </c>
      <c r="P916" s="33">
        <f>IF($L916="",0,IF(($L916-IFERROR(INDEX(設定!$G$5:$G$20,MATCH($F916,設定!$B$5:$B$20,0)),0))*60&gt;=設定!$C$26,ROUND(FLOOR(($L916-IFERROR(INDEX(設定!$G$5:$G$20,MATCH($F916,設定!$B$5:$B$20,0)),0))*60,設定!$C$27)/60,2),0))</f>
        <v/>
      </c>
      <c r="Q916" s="29">
        <f>IF(OR($C916="",$P916=0),"",IF($F916="國","國定假日",IF($B916="日","例假",IF($B916="六","休息日","平日"))))</f>
        <v/>
      </c>
      <c r="R916" s="34" t="n"/>
    </row>
    <row r="917">
      <c r="A917" s="30">
        <f>IF(OR(班表!$A35="",16&gt;DAY(EOMONTH(DATE(班表!$E$2,班表!$G$2,1),0))),"",DATE(班表!$E$2,班表!$G$2,16))</f>
        <v/>
      </c>
      <c r="B917" s="29">
        <f>IF($A917="","",INDEX(設定!$L$5:$L$11,WEEKDAY($A917,1)))</f>
        <v/>
      </c>
      <c r="C917" s="29">
        <f>IF($A917="","",班表!$A35)</f>
        <v/>
      </c>
      <c r="D917" s="29">
        <f>IF($C917="","",班表!$B35)</f>
        <v/>
      </c>
      <c r="E917" s="29">
        <f>IF($C917="","",班表!$C35)</f>
        <v/>
      </c>
      <c r="F917" s="29">
        <f>IF($C917="","",班表!S35)</f>
        <v/>
      </c>
      <c r="G917" s="31">
        <f>IF($F917="","",IFERROR(INDEX(設定!$D$5:$D$20,MATCH($F917,設定!$B$5:$B$20,0)),""))</f>
        <v/>
      </c>
      <c r="H917" s="31">
        <f>IF($F917="","",IFERROR(INDEX(設定!$E$5:$E$20,MATCH($F917,設定!$B$5:$B$20,0)),""))</f>
        <v/>
      </c>
      <c r="I917" s="31">
        <f>IFERROR(INDEX(打卡匯入!$C$3:$C$1002,MATCH($C917&amp;"|"&amp;DAY($A917),打卡匯入!$E$3:$E$1002,0)),"")</f>
        <v/>
      </c>
      <c r="J917" s="31">
        <f>IFERROR(INDEX(打卡匯入!$D$3:$D$1002,MATCH($C917&amp;"|"&amp;DAY($A917),打卡匯入!$E$3:$E$1002,0)),"")</f>
        <v/>
      </c>
      <c r="K917" s="32">
        <f>IF(OR($I917="",$J917=""),"",IFERROR(INDEX(設定!$F$5:$F$20,MATCH($F917,設定!$B$5:$B$20,0)),0))</f>
        <v/>
      </c>
      <c r="L917" s="33">
        <f>IF(OR($I917="",$J917=""),"",ROUND(($J917-$I917)*24-$K917/60,2))</f>
        <v/>
      </c>
      <c r="M917" s="29">
        <f>IF($C917="","",IF(AND(COUNTIF(設定!$B$14:$B$20,$F917)&gt;0,$I917&lt;&gt;""),"假日出勤",IF(AND(COUNTIF(設定!$B$5:$B$13,$F917)&gt;0,$I917=""),"未打卡",IF($I917="","",IF($N917&gt;0,"遲到",IF($O917&gt;0,"早退","正常"))))))</f>
        <v/>
      </c>
      <c r="N917" s="32">
        <f>IF(OR($C917="",$G917="",$I917=""),0,IF(ROUND(($I917-$G917)*1440,0)&gt;設定!$C$28,ROUND(($I917-$G917)*1440,0),0))</f>
        <v/>
      </c>
      <c r="O917" s="32">
        <f>IF(OR($C917="",$H917="",$J917=""),0,IF(ROUND(($H917-$J917)*1440,0)&gt;設定!$C$28,ROUND(($H917-$J917)*1440,0),0))</f>
        <v/>
      </c>
      <c r="P917" s="33">
        <f>IF($L917="",0,IF(($L917-IFERROR(INDEX(設定!$G$5:$G$20,MATCH($F917,設定!$B$5:$B$20,0)),0))*60&gt;=設定!$C$26,ROUND(FLOOR(($L917-IFERROR(INDEX(設定!$G$5:$G$20,MATCH($F917,設定!$B$5:$B$20,0)),0))*60,設定!$C$27)/60,2),0))</f>
        <v/>
      </c>
      <c r="Q917" s="29">
        <f>IF(OR($C917="",$P917=0),"",IF($F917="國","國定假日",IF($B917="日","例假",IF($B917="六","休息日","平日"))))</f>
        <v/>
      </c>
      <c r="R917" s="34" t="n"/>
    </row>
    <row r="918">
      <c r="A918" s="30">
        <f>IF(OR(班表!$A35="",17&gt;DAY(EOMONTH(DATE(班表!$E$2,班表!$G$2,1),0))),"",DATE(班表!$E$2,班表!$G$2,17))</f>
        <v/>
      </c>
      <c r="B918" s="29">
        <f>IF($A918="","",INDEX(設定!$L$5:$L$11,WEEKDAY($A918,1)))</f>
        <v/>
      </c>
      <c r="C918" s="29">
        <f>IF($A918="","",班表!$A35)</f>
        <v/>
      </c>
      <c r="D918" s="29">
        <f>IF($C918="","",班表!$B35)</f>
        <v/>
      </c>
      <c r="E918" s="29">
        <f>IF($C918="","",班表!$C35)</f>
        <v/>
      </c>
      <c r="F918" s="29">
        <f>IF($C918="","",班表!T35)</f>
        <v/>
      </c>
      <c r="G918" s="31">
        <f>IF($F918="","",IFERROR(INDEX(設定!$D$5:$D$20,MATCH($F918,設定!$B$5:$B$20,0)),""))</f>
        <v/>
      </c>
      <c r="H918" s="31">
        <f>IF($F918="","",IFERROR(INDEX(設定!$E$5:$E$20,MATCH($F918,設定!$B$5:$B$20,0)),""))</f>
        <v/>
      </c>
      <c r="I918" s="31">
        <f>IFERROR(INDEX(打卡匯入!$C$3:$C$1002,MATCH($C918&amp;"|"&amp;DAY($A918),打卡匯入!$E$3:$E$1002,0)),"")</f>
        <v/>
      </c>
      <c r="J918" s="31">
        <f>IFERROR(INDEX(打卡匯入!$D$3:$D$1002,MATCH($C918&amp;"|"&amp;DAY($A918),打卡匯入!$E$3:$E$1002,0)),"")</f>
        <v/>
      </c>
      <c r="K918" s="32">
        <f>IF(OR($I918="",$J918=""),"",IFERROR(INDEX(設定!$F$5:$F$20,MATCH($F918,設定!$B$5:$B$20,0)),0))</f>
        <v/>
      </c>
      <c r="L918" s="33">
        <f>IF(OR($I918="",$J918=""),"",ROUND(($J918-$I918)*24-$K918/60,2))</f>
        <v/>
      </c>
      <c r="M918" s="29">
        <f>IF($C918="","",IF(AND(COUNTIF(設定!$B$14:$B$20,$F918)&gt;0,$I918&lt;&gt;""),"假日出勤",IF(AND(COUNTIF(設定!$B$5:$B$13,$F918)&gt;0,$I918=""),"未打卡",IF($I918="","",IF($N918&gt;0,"遲到",IF($O918&gt;0,"早退","正常"))))))</f>
        <v/>
      </c>
      <c r="N918" s="32">
        <f>IF(OR($C918="",$G918="",$I918=""),0,IF(ROUND(($I918-$G918)*1440,0)&gt;設定!$C$28,ROUND(($I918-$G918)*1440,0),0))</f>
        <v/>
      </c>
      <c r="O918" s="32">
        <f>IF(OR($C918="",$H918="",$J918=""),0,IF(ROUND(($H918-$J918)*1440,0)&gt;設定!$C$28,ROUND(($H918-$J918)*1440,0),0))</f>
        <v/>
      </c>
      <c r="P918" s="33">
        <f>IF($L918="",0,IF(($L918-IFERROR(INDEX(設定!$G$5:$G$20,MATCH($F918,設定!$B$5:$B$20,0)),0))*60&gt;=設定!$C$26,ROUND(FLOOR(($L918-IFERROR(INDEX(設定!$G$5:$G$20,MATCH($F918,設定!$B$5:$B$20,0)),0))*60,設定!$C$27)/60,2),0))</f>
        <v/>
      </c>
      <c r="Q918" s="29">
        <f>IF(OR($C918="",$P918=0),"",IF($F918="國","國定假日",IF($B918="日","例假",IF($B918="六","休息日","平日"))))</f>
        <v/>
      </c>
      <c r="R918" s="34" t="n"/>
    </row>
    <row r="919">
      <c r="A919" s="30">
        <f>IF(OR(班表!$A35="",18&gt;DAY(EOMONTH(DATE(班表!$E$2,班表!$G$2,1),0))),"",DATE(班表!$E$2,班表!$G$2,18))</f>
        <v/>
      </c>
      <c r="B919" s="29">
        <f>IF($A919="","",INDEX(設定!$L$5:$L$11,WEEKDAY($A919,1)))</f>
        <v/>
      </c>
      <c r="C919" s="29">
        <f>IF($A919="","",班表!$A35)</f>
        <v/>
      </c>
      <c r="D919" s="29">
        <f>IF($C919="","",班表!$B35)</f>
        <v/>
      </c>
      <c r="E919" s="29">
        <f>IF($C919="","",班表!$C35)</f>
        <v/>
      </c>
      <c r="F919" s="29">
        <f>IF($C919="","",班表!U35)</f>
        <v/>
      </c>
      <c r="G919" s="31">
        <f>IF($F919="","",IFERROR(INDEX(設定!$D$5:$D$20,MATCH($F919,設定!$B$5:$B$20,0)),""))</f>
        <v/>
      </c>
      <c r="H919" s="31">
        <f>IF($F919="","",IFERROR(INDEX(設定!$E$5:$E$20,MATCH($F919,設定!$B$5:$B$20,0)),""))</f>
        <v/>
      </c>
      <c r="I919" s="31">
        <f>IFERROR(INDEX(打卡匯入!$C$3:$C$1002,MATCH($C919&amp;"|"&amp;DAY($A919),打卡匯入!$E$3:$E$1002,0)),"")</f>
        <v/>
      </c>
      <c r="J919" s="31">
        <f>IFERROR(INDEX(打卡匯入!$D$3:$D$1002,MATCH($C919&amp;"|"&amp;DAY($A919),打卡匯入!$E$3:$E$1002,0)),"")</f>
        <v/>
      </c>
      <c r="K919" s="32">
        <f>IF(OR($I919="",$J919=""),"",IFERROR(INDEX(設定!$F$5:$F$20,MATCH($F919,設定!$B$5:$B$20,0)),0))</f>
        <v/>
      </c>
      <c r="L919" s="33">
        <f>IF(OR($I919="",$J919=""),"",ROUND(($J919-$I919)*24-$K919/60,2))</f>
        <v/>
      </c>
      <c r="M919" s="29">
        <f>IF($C919="","",IF(AND(COUNTIF(設定!$B$14:$B$20,$F919)&gt;0,$I919&lt;&gt;""),"假日出勤",IF(AND(COUNTIF(設定!$B$5:$B$13,$F919)&gt;0,$I919=""),"未打卡",IF($I919="","",IF($N919&gt;0,"遲到",IF($O919&gt;0,"早退","正常"))))))</f>
        <v/>
      </c>
      <c r="N919" s="32">
        <f>IF(OR($C919="",$G919="",$I919=""),0,IF(ROUND(($I919-$G919)*1440,0)&gt;設定!$C$28,ROUND(($I919-$G919)*1440,0),0))</f>
        <v/>
      </c>
      <c r="O919" s="32">
        <f>IF(OR($C919="",$H919="",$J919=""),0,IF(ROUND(($H919-$J919)*1440,0)&gt;設定!$C$28,ROUND(($H919-$J919)*1440,0),0))</f>
        <v/>
      </c>
      <c r="P919" s="33">
        <f>IF($L919="",0,IF(($L919-IFERROR(INDEX(設定!$G$5:$G$20,MATCH($F919,設定!$B$5:$B$20,0)),0))*60&gt;=設定!$C$26,ROUND(FLOOR(($L919-IFERROR(INDEX(設定!$G$5:$G$20,MATCH($F919,設定!$B$5:$B$20,0)),0))*60,設定!$C$27)/60,2),0))</f>
        <v/>
      </c>
      <c r="Q919" s="29">
        <f>IF(OR($C919="",$P919=0),"",IF($F919="國","國定假日",IF($B919="日","例假",IF($B919="六","休息日","平日"))))</f>
        <v/>
      </c>
      <c r="R919" s="34" t="n"/>
    </row>
    <row r="920">
      <c r="A920" s="30">
        <f>IF(OR(班表!$A35="",19&gt;DAY(EOMONTH(DATE(班表!$E$2,班表!$G$2,1),0))),"",DATE(班表!$E$2,班表!$G$2,19))</f>
        <v/>
      </c>
      <c r="B920" s="29">
        <f>IF($A920="","",INDEX(設定!$L$5:$L$11,WEEKDAY($A920,1)))</f>
        <v/>
      </c>
      <c r="C920" s="29">
        <f>IF($A920="","",班表!$A35)</f>
        <v/>
      </c>
      <c r="D920" s="29">
        <f>IF($C920="","",班表!$B35)</f>
        <v/>
      </c>
      <c r="E920" s="29">
        <f>IF($C920="","",班表!$C35)</f>
        <v/>
      </c>
      <c r="F920" s="29">
        <f>IF($C920="","",班表!V35)</f>
        <v/>
      </c>
      <c r="G920" s="31">
        <f>IF($F920="","",IFERROR(INDEX(設定!$D$5:$D$20,MATCH($F920,設定!$B$5:$B$20,0)),""))</f>
        <v/>
      </c>
      <c r="H920" s="31">
        <f>IF($F920="","",IFERROR(INDEX(設定!$E$5:$E$20,MATCH($F920,設定!$B$5:$B$20,0)),""))</f>
        <v/>
      </c>
      <c r="I920" s="31">
        <f>IFERROR(INDEX(打卡匯入!$C$3:$C$1002,MATCH($C920&amp;"|"&amp;DAY($A920),打卡匯入!$E$3:$E$1002,0)),"")</f>
        <v/>
      </c>
      <c r="J920" s="31">
        <f>IFERROR(INDEX(打卡匯入!$D$3:$D$1002,MATCH($C920&amp;"|"&amp;DAY($A920),打卡匯入!$E$3:$E$1002,0)),"")</f>
        <v/>
      </c>
      <c r="K920" s="32">
        <f>IF(OR($I920="",$J920=""),"",IFERROR(INDEX(設定!$F$5:$F$20,MATCH($F920,設定!$B$5:$B$20,0)),0))</f>
        <v/>
      </c>
      <c r="L920" s="33">
        <f>IF(OR($I920="",$J920=""),"",ROUND(($J920-$I920)*24-$K920/60,2))</f>
        <v/>
      </c>
      <c r="M920" s="29">
        <f>IF($C920="","",IF(AND(COUNTIF(設定!$B$14:$B$20,$F920)&gt;0,$I920&lt;&gt;""),"假日出勤",IF(AND(COUNTIF(設定!$B$5:$B$13,$F920)&gt;0,$I920=""),"未打卡",IF($I920="","",IF($N920&gt;0,"遲到",IF($O920&gt;0,"早退","正常"))))))</f>
        <v/>
      </c>
      <c r="N920" s="32">
        <f>IF(OR($C920="",$G920="",$I920=""),0,IF(ROUND(($I920-$G920)*1440,0)&gt;設定!$C$28,ROUND(($I920-$G920)*1440,0),0))</f>
        <v/>
      </c>
      <c r="O920" s="32">
        <f>IF(OR($C920="",$H920="",$J920=""),0,IF(ROUND(($H920-$J920)*1440,0)&gt;設定!$C$28,ROUND(($H920-$J920)*1440,0),0))</f>
        <v/>
      </c>
      <c r="P920" s="33">
        <f>IF($L920="",0,IF(($L920-IFERROR(INDEX(設定!$G$5:$G$20,MATCH($F920,設定!$B$5:$B$20,0)),0))*60&gt;=設定!$C$26,ROUND(FLOOR(($L920-IFERROR(INDEX(設定!$G$5:$G$20,MATCH($F920,設定!$B$5:$B$20,0)),0))*60,設定!$C$27)/60,2),0))</f>
        <v/>
      </c>
      <c r="Q920" s="29">
        <f>IF(OR($C920="",$P920=0),"",IF($F920="國","國定假日",IF($B920="日","例假",IF($B920="六","休息日","平日"))))</f>
        <v/>
      </c>
      <c r="R920" s="34" t="n"/>
    </row>
    <row r="921">
      <c r="A921" s="30">
        <f>IF(OR(班表!$A35="",20&gt;DAY(EOMONTH(DATE(班表!$E$2,班表!$G$2,1),0))),"",DATE(班表!$E$2,班表!$G$2,20))</f>
        <v/>
      </c>
      <c r="B921" s="29">
        <f>IF($A921="","",INDEX(設定!$L$5:$L$11,WEEKDAY($A921,1)))</f>
        <v/>
      </c>
      <c r="C921" s="29">
        <f>IF($A921="","",班表!$A35)</f>
        <v/>
      </c>
      <c r="D921" s="29">
        <f>IF($C921="","",班表!$B35)</f>
        <v/>
      </c>
      <c r="E921" s="29">
        <f>IF($C921="","",班表!$C35)</f>
        <v/>
      </c>
      <c r="F921" s="29">
        <f>IF($C921="","",班表!W35)</f>
        <v/>
      </c>
      <c r="G921" s="31">
        <f>IF($F921="","",IFERROR(INDEX(設定!$D$5:$D$20,MATCH($F921,設定!$B$5:$B$20,0)),""))</f>
        <v/>
      </c>
      <c r="H921" s="31">
        <f>IF($F921="","",IFERROR(INDEX(設定!$E$5:$E$20,MATCH($F921,設定!$B$5:$B$20,0)),""))</f>
        <v/>
      </c>
      <c r="I921" s="31">
        <f>IFERROR(INDEX(打卡匯入!$C$3:$C$1002,MATCH($C921&amp;"|"&amp;DAY($A921),打卡匯入!$E$3:$E$1002,0)),"")</f>
        <v/>
      </c>
      <c r="J921" s="31">
        <f>IFERROR(INDEX(打卡匯入!$D$3:$D$1002,MATCH($C921&amp;"|"&amp;DAY($A921),打卡匯入!$E$3:$E$1002,0)),"")</f>
        <v/>
      </c>
      <c r="K921" s="32">
        <f>IF(OR($I921="",$J921=""),"",IFERROR(INDEX(設定!$F$5:$F$20,MATCH($F921,設定!$B$5:$B$20,0)),0))</f>
        <v/>
      </c>
      <c r="L921" s="33">
        <f>IF(OR($I921="",$J921=""),"",ROUND(($J921-$I921)*24-$K921/60,2))</f>
        <v/>
      </c>
      <c r="M921" s="29">
        <f>IF($C921="","",IF(AND(COUNTIF(設定!$B$14:$B$20,$F921)&gt;0,$I921&lt;&gt;""),"假日出勤",IF(AND(COUNTIF(設定!$B$5:$B$13,$F921)&gt;0,$I921=""),"未打卡",IF($I921="","",IF($N921&gt;0,"遲到",IF($O921&gt;0,"早退","正常"))))))</f>
        <v/>
      </c>
      <c r="N921" s="32">
        <f>IF(OR($C921="",$G921="",$I921=""),0,IF(ROUND(($I921-$G921)*1440,0)&gt;設定!$C$28,ROUND(($I921-$G921)*1440,0),0))</f>
        <v/>
      </c>
      <c r="O921" s="32">
        <f>IF(OR($C921="",$H921="",$J921=""),0,IF(ROUND(($H921-$J921)*1440,0)&gt;設定!$C$28,ROUND(($H921-$J921)*1440,0),0))</f>
        <v/>
      </c>
      <c r="P921" s="33">
        <f>IF($L921="",0,IF(($L921-IFERROR(INDEX(設定!$G$5:$G$20,MATCH($F921,設定!$B$5:$B$20,0)),0))*60&gt;=設定!$C$26,ROUND(FLOOR(($L921-IFERROR(INDEX(設定!$G$5:$G$20,MATCH($F921,設定!$B$5:$B$20,0)),0))*60,設定!$C$27)/60,2),0))</f>
        <v/>
      </c>
      <c r="Q921" s="29">
        <f>IF(OR($C921="",$P921=0),"",IF($F921="國","國定假日",IF($B921="日","例假",IF($B921="六","休息日","平日"))))</f>
        <v/>
      </c>
      <c r="R921" s="34" t="n"/>
    </row>
    <row r="922">
      <c r="A922" s="30">
        <f>IF(OR(班表!$A35="",21&gt;DAY(EOMONTH(DATE(班表!$E$2,班表!$G$2,1),0))),"",DATE(班表!$E$2,班表!$G$2,21))</f>
        <v/>
      </c>
      <c r="B922" s="29">
        <f>IF($A922="","",INDEX(設定!$L$5:$L$11,WEEKDAY($A922,1)))</f>
        <v/>
      </c>
      <c r="C922" s="29">
        <f>IF($A922="","",班表!$A35)</f>
        <v/>
      </c>
      <c r="D922" s="29">
        <f>IF($C922="","",班表!$B35)</f>
        <v/>
      </c>
      <c r="E922" s="29">
        <f>IF($C922="","",班表!$C35)</f>
        <v/>
      </c>
      <c r="F922" s="29">
        <f>IF($C922="","",班表!X35)</f>
        <v/>
      </c>
      <c r="G922" s="31">
        <f>IF($F922="","",IFERROR(INDEX(設定!$D$5:$D$20,MATCH($F922,設定!$B$5:$B$20,0)),""))</f>
        <v/>
      </c>
      <c r="H922" s="31">
        <f>IF($F922="","",IFERROR(INDEX(設定!$E$5:$E$20,MATCH($F922,設定!$B$5:$B$20,0)),""))</f>
        <v/>
      </c>
      <c r="I922" s="31">
        <f>IFERROR(INDEX(打卡匯入!$C$3:$C$1002,MATCH($C922&amp;"|"&amp;DAY($A922),打卡匯入!$E$3:$E$1002,0)),"")</f>
        <v/>
      </c>
      <c r="J922" s="31">
        <f>IFERROR(INDEX(打卡匯入!$D$3:$D$1002,MATCH($C922&amp;"|"&amp;DAY($A922),打卡匯入!$E$3:$E$1002,0)),"")</f>
        <v/>
      </c>
      <c r="K922" s="32">
        <f>IF(OR($I922="",$J922=""),"",IFERROR(INDEX(設定!$F$5:$F$20,MATCH($F922,設定!$B$5:$B$20,0)),0))</f>
        <v/>
      </c>
      <c r="L922" s="33">
        <f>IF(OR($I922="",$J922=""),"",ROUND(($J922-$I922)*24-$K922/60,2))</f>
        <v/>
      </c>
      <c r="M922" s="29">
        <f>IF($C922="","",IF(AND(COUNTIF(設定!$B$14:$B$20,$F922)&gt;0,$I922&lt;&gt;""),"假日出勤",IF(AND(COUNTIF(設定!$B$5:$B$13,$F922)&gt;0,$I922=""),"未打卡",IF($I922="","",IF($N922&gt;0,"遲到",IF($O922&gt;0,"早退","正常"))))))</f>
        <v/>
      </c>
      <c r="N922" s="32">
        <f>IF(OR($C922="",$G922="",$I922=""),0,IF(ROUND(($I922-$G922)*1440,0)&gt;設定!$C$28,ROUND(($I922-$G922)*1440,0),0))</f>
        <v/>
      </c>
      <c r="O922" s="32">
        <f>IF(OR($C922="",$H922="",$J922=""),0,IF(ROUND(($H922-$J922)*1440,0)&gt;設定!$C$28,ROUND(($H922-$J922)*1440,0),0))</f>
        <v/>
      </c>
      <c r="P922" s="33">
        <f>IF($L922="",0,IF(($L922-IFERROR(INDEX(設定!$G$5:$G$20,MATCH($F922,設定!$B$5:$B$20,0)),0))*60&gt;=設定!$C$26,ROUND(FLOOR(($L922-IFERROR(INDEX(設定!$G$5:$G$20,MATCH($F922,設定!$B$5:$B$20,0)),0))*60,設定!$C$27)/60,2),0))</f>
        <v/>
      </c>
      <c r="Q922" s="29">
        <f>IF(OR($C922="",$P922=0),"",IF($F922="國","國定假日",IF($B922="日","例假",IF($B922="六","休息日","平日"))))</f>
        <v/>
      </c>
      <c r="R922" s="34" t="n"/>
    </row>
    <row r="923">
      <c r="A923" s="30">
        <f>IF(OR(班表!$A35="",22&gt;DAY(EOMONTH(DATE(班表!$E$2,班表!$G$2,1),0))),"",DATE(班表!$E$2,班表!$G$2,22))</f>
        <v/>
      </c>
      <c r="B923" s="29">
        <f>IF($A923="","",INDEX(設定!$L$5:$L$11,WEEKDAY($A923,1)))</f>
        <v/>
      </c>
      <c r="C923" s="29">
        <f>IF($A923="","",班表!$A35)</f>
        <v/>
      </c>
      <c r="D923" s="29">
        <f>IF($C923="","",班表!$B35)</f>
        <v/>
      </c>
      <c r="E923" s="29">
        <f>IF($C923="","",班表!$C35)</f>
        <v/>
      </c>
      <c r="F923" s="29">
        <f>IF($C923="","",班表!Y35)</f>
        <v/>
      </c>
      <c r="G923" s="31">
        <f>IF($F923="","",IFERROR(INDEX(設定!$D$5:$D$20,MATCH($F923,設定!$B$5:$B$20,0)),""))</f>
        <v/>
      </c>
      <c r="H923" s="31">
        <f>IF($F923="","",IFERROR(INDEX(設定!$E$5:$E$20,MATCH($F923,設定!$B$5:$B$20,0)),""))</f>
        <v/>
      </c>
      <c r="I923" s="31">
        <f>IFERROR(INDEX(打卡匯入!$C$3:$C$1002,MATCH($C923&amp;"|"&amp;DAY($A923),打卡匯入!$E$3:$E$1002,0)),"")</f>
        <v/>
      </c>
      <c r="J923" s="31">
        <f>IFERROR(INDEX(打卡匯入!$D$3:$D$1002,MATCH($C923&amp;"|"&amp;DAY($A923),打卡匯入!$E$3:$E$1002,0)),"")</f>
        <v/>
      </c>
      <c r="K923" s="32">
        <f>IF(OR($I923="",$J923=""),"",IFERROR(INDEX(設定!$F$5:$F$20,MATCH($F923,設定!$B$5:$B$20,0)),0))</f>
        <v/>
      </c>
      <c r="L923" s="33">
        <f>IF(OR($I923="",$J923=""),"",ROUND(($J923-$I923)*24-$K923/60,2))</f>
        <v/>
      </c>
      <c r="M923" s="29">
        <f>IF($C923="","",IF(AND(COUNTIF(設定!$B$14:$B$20,$F923)&gt;0,$I923&lt;&gt;""),"假日出勤",IF(AND(COUNTIF(設定!$B$5:$B$13,$F923)&gt;0,$I923=""),"未打卡",IF($I923="","",IF($N923&gt;0,"遲到",IF($O923&gt;0,"早退","正常"))))))</f>
        <v/>
      </c>
      <c r="N923" s="32">
        <f>IF(OR($C923="",$G923="",$I923=""),0,IF(ROUND(($I923-$G923)*1440,0)&gt;設定!$C$28,ROUND(($I923-$G923)*1440,0),0))</f>
        <v/>
      </c>
      <c r="O923" s="32">
        <f>IF(OR($C923="",$H923="",$J923=""),0,IF(ROUND(($H923-$J923)*1440,0)&gt;設定!$C$28,ROUND(($H923-$J923)*1440,0),0))</f>
        <v/>
      </c>
      <c r="P923" s="33">
        <f>IF($L923="",0,IF(($L923-IFERROR(INDEX(設定!$G$5:$G$20,MATCH($F923,設定!$B$5:$B$20,0)),0))*60&gt;=設定!$C$26,ROUND(FLOOR(($L923-IFERROR(INDEX(設定!$G$5:$G$20,MATCH($F923,設定!$B$5:$B$20,0)),0))*60,設定!$C$27)/60,2),0))</f>
        <v/>
      </c>
      <c r="Q923" s="29">
        <f>IF(OR($C923="",$P923=0),"",IF($F923="國","國定假日",IF($B923="日","例假",IF($B923="六","休息日","平日"))))</f>
        <v/>
      </c>
      <c r="R923" s="34" t="n"/>
    </row>
    <row r="924">
      <c r="A924" s="30">
        <f>IF(OR(班表!$A35="",23&gt;DAY(EOMONTH(DATE(班表!$E$2,班表!$G$2,1),0))),"",DATE(班表!$E$2,班表!$G$2,23))</f>
        <v/>
      </c>
      <c r="B924" s="29">
        <f>IF($A924="","",INDEX(設定!$L$5:$L$11,WEEKDAY($A924,1)))</f>
        <v/>
      </c>
      <c r="C924" s="29">
        <f>IF($A924="","",班表!$A35)</f>
        <v/>
      </c>
      <c r="D924" s="29">
        <f>IF($C924="","",班表!$B35)</f>
        <v/>
      </c>
      <c r="E924" s="29">
        <f>IF($C924="","",班表!$C35)</f>
        <v/>
      </c>
      <c r="F924" s="29">
        <f>IF($C924="","",班表!Z35)</f>
        <v/>
      </c>
      <c r="G924" s="31">
        <f>IF($F924="","",IFERROR(INDEX(設定!$D$5:$D$20,MATCH($F924,設定!$B$5:$B$20,0)),""))</f>
        <v/>
      </c>
      <c r="H924" s="31">
        <f>IF($F924="","",IFERROR(INDEX(設定!$E$5:$E$20,MATCH($F924,設定!$B$5:$B$20,0)),""))</f>
        <v/>
      </c>
      <c r="I924" s="31">
        <f>IFERROR(INDEX(打卡匯入!$C$3:$C$1002,MATCH($C924&amp;"|"&amp;DAY($A924),打卡匯入!$E$3:$E$1002,0)),"")</f>
        <v/>
      </c>
      <c r="J924" s="31">
        <f>IFERROR(INDEX(打卡匯入!$D$3:$D$1002,MATCH($C924&amp;"|"&amp;DAY($A924),打卡匯入!$E$3:$E$1002,0)),"")</f>
        <v/>
      </c>
      <c r="K924" s="32">
        <f>IF(OR($I924="",$J924=""),"",IFERROR(INDEX(設定!$F$5:$F$20,MATCH($F924,設定!$B$5:$B$20,0)),0))</f>
        <v/>
      </c>
      <c r="L924" s="33">
        <f>IF(OR($I924="",$J924=""),"",ROUND(($J924-$I924)*24-$K924/60,2))</f>
        <v/>
      </c>
      <c r="M924" s="29">
        <f>IF($C924="","",IF(AND(COUNTIF(設定!$B$14:$B$20,$F924)&gt;0,$I924&lt;&gt;""),"假日出勤",IF(AND(COUNTIF(設定!$B$5:$B$13,$F924)&gt;0,$I924=""),"未打卡",IF($I924="","",IF($N924&gt;0,"遲到",IF($O924&gt;0,"早退","正常"))))))</f>
        <v/>
      </c>
      <c r="N924" s="32">
        <f>IF(OR($C924="",$G924="",$I924=""),0,IF(ROUND(($I924-$G924)*1440,0)&gt;設定!$C$28,ROUND(($I924-$G924)*1440,0),0))</f>
        <v/>
      </c>
      <c r="O924" s="32">
        <f>IF(OR($C924="",$H924="",$J924=""),0,IF(ROUND(($H924-$J924)*1440,0)&gt;設定!$C$28,ROUND(($H924-$J924)*1440,0),0))</f>
        <v/>
      </c>
      <c r="P924" s="33">
        <f>IF($L924="",0,IF(($L924-IFERROR(INDEX(設定!$G$5:$G$20,MATCH($F924,設定!$B$5:$B$20,0)),0))*60&gt;=設定!$C$26,ROUND(FLOOR(($L924-IFERROR(INDEX(設定!$G$5:$G$20,MATCH($F924,設定!$B$5:$B$20,0)),0))*60,設定!$C$27)/60,2),0))</f>
        <v/>
      </c>
      <c r="Q924" s="29">
        <f>IF(OR($C924="",$P924=0),"",IF($F924="國","國定假日",IF($B924="日","例假",IF($B924="六","休息日","平日"))))</f>
        <v/>
      </c>
      <c r="R924" s="34" t="n"/>
    </row>
    <row r="925">
      <c r="A925" s="30">
        <f>IF(OR(班表!$A35="",24&gt;DAY(EOMONTH(DATE(班表!$E$2,班表!$G$2,1),0))),"",DATE(班表!$E$2,班表!$G$2,24))</f>
        <v/>
      </c>
      <c r="B925" s="29">
        <f>IF($A925="","",INDEX(設定!$L$5:$L$11,WEEKDAY($A925,1)))</f>
        <v/>
      </c>
      <c r="C925" s="29">
        <f>IF($A925="","",班表!$A35)</f>
        <v/>
      </c>
      <c r="D925" s="29">
        <f>IF($C925="","",班表!$B35)</f>
        <v/>
      </c>
      <c r="E925" s="29">
        <f>IF($C925="","",班表!$C35)</f>
        <v/>
      </c>
      <c r="F925" s="29">
        <f>IF($C925="","",班表!AA35)</f>
        <v/>
      </c>
      <c r="G925" s="31">
        <f>IF($F925="","",IFERROR(INDEX(設定!$D$5:$D$20,MATCH($F925,設定!$B$5:$B$20,0)),""))</f>
        <v/>
      </c>
      <c r="H925" s="31">
        <f>IF($F925="","",IFERROR(INDEX(設定!$E$5:$E$20,MATCH($F925,設定!$B$5:$B$20,0)),""))</f>
        <v/>
      </c>
      <c r="I925" s="31">
        <f>IFERROR(INDEX(打卡匯入!$C$3:$C$1002,MATCH($C925&amp;"|"&amp;DAY($A925),打卡匯入!$E$3:$E$1002,0)),"")</f>
        <v/>
      </c>
      <c r="J925" s="31">
        <f>IFERROR(INDEX(打卡匯入!$D$3:$D$1002,MATCH($C925&amp;"|"&amp;DAY($A925),打卡匯入!$E$3:$E$1002,0)),"")</f>
        <v/>
      </c>
      <c r="K925" s="32">
        <f>IF(OR($I925="",$J925=""),"",IFERROR(INDEX(設定!$F$5:$F$20,MATCH($F925,設定!$B$5:$B$20,0)),0))</f>
        <v/>
      </c>
      <c r="L925" s="33">
        <f>IF(OR($I925="",$J925=""),"",ROUND(($J925-$I925)*24-$K925/60,2))</f>
        <v/>
      </c>
      <c r="M925" s="29">
        <f>IF($C925="","",IF(AND(COUNTIF(設定!$B$14:$B$20,$F925)&gt;0,$I925&lt;&gt;""),"假日出勤",IF(AND(COUNTIF(設定!$B$5:$B$13,$F925)&gt;0,$I925=""),"未打卡",IF($I925="","",IF($N925&gt;0,"遲到",IF($O925&gt;0,"早退","正常"))))))</f>
        <v/>
      </c>
      <c r="N925" s="32">
        <f>IF(OR($C925="",$G925="",$I925=""),0,IF(ROUND(($I925-$G925)*1440,0)&gt;設定!$C$28,ROUND(($I925-$G925)*1440,0),0))</f>
        <v/>
      </c>
      <c r="O925" s="32">
        <f>IF(OR($C925="",$H925="",$J925=""),0,IF(ROUND(($H925-$J925)*1440,0)&gt;設定!$C$28,ROUND(($H925-$J925)*1440,0),0))</f>
        <v/>
      </c>
      <c r="P925" s="33">
        <f>IF($L925="",0,IF(($L925-IFERROR(INDEX(設定!$G$5:$G$20,MATCH($F925,設定!$B$5:$B$20,0)),0))*60&gt;=設定!$C$26,ROUND(FLOOR(($L925-IFERROR(INDEX(設定!$G$5:$G$20,MATCH($F925,設定!$B$5:$B$20,0)),0))*60,設定!$C$27)/60,2),0))</f>
        <v/>
      </c>
      <c r="Q925" s="29">
        <f>IF(OR($C925="",$P925=0),"",IF($F925="國","國定假日",IF($B925="日","例假",IF($B925="六","休息日","平日"))))</f>
        <v/>
      </c>
      <c r="R925" s="34" t="n"/>
    </row>
    <row r="926">
      <c r="A926" s="30">
        <f>IF(OR(班表!$A35="",25&gt;DAY(EOMONTH(DATE(班表!$E$2,班表!$G$2,1),0))),"",DATE(班表!$E$2,班表!$G$2,25))</f>
        <v/>
      </c>
      <c r="B926" s="29">
        <f>IF($A926="","",INDEX(設定!$L$5:$L$11,WEEKDAY($A926,1)))</f>
        <v/>
      </c>
      <c r="C926" s="29">
        <f>IF($A926="","",班表!$A35)</f>
        <v/>
      </c>
      <c r="D926" s="29">
        <f>IF($C926="","",班表!$B35)</f>
        <v/>
      </c>
      <c r="E926" s="29">
        <f>IF($C926="","",班表!$C35)</f>
        <v/>
      </c>
      <c r="F926" s="29">
        <f>IF($C926="","",班表!AB35)</f>
        <v/>
      </c>
      <c r="G926" s="31">
        <f>IF($F926="","",IFERROR(INDEX(設定!$D$5:$D$20,MATCH($F926,設定!$B$5:$B$20,0)),""))</f>
        <v/>
      </c>
      <c r="H926" s="31">
        <f>IF($F926="","",IFERROR(INDEX(設定!$E$5:$E$20,MATCH($F926,設定!$B$5:$B$20,0)),""))</f>
        <v/>
      </c>
      <c r="I926" s="31">
        <f>IFERROR(INDEX(打卡匯入!$C$3:$C$1002,MATCH($C926&amp;"|"&amp;DAY($A926),打卡匯入!$E$3:$E$1002,0)),"")</f>
        <v/>
      </c>
      <c r="J926" s="31">
        <f>IFERROR(INDEX(打卡匯入!$D$3:$D$1002,MATCH($C926&amp;"|"&amp;DAY($A926),打卡匯入!$E$3:$E$1002,0)),"")</f>
        <v/>
      </c>
      <c r="K926" s="32">
        <f>IF(OR($I926="",$J926=""),"",IFERROR(INDEX(設定!$F$5:$F$20,MATCH($F926,設定!$B$5:$B$20,0)),0))</f>
        <v/>
      </c>
      <c r="L926" s="33">
        <f>IF(OR($I926="",$J926=""),"",ROUND(($J926-$I926)*24-$K926/60,2))</f>
        <v/>
      </c>
      <c r="M926" s="29">
        <f>IF($C926="","",IF(AND(COUNTIF(設定!$B$14:$B$20,$F926)&gt;0,$I926&lt;&gt;""),"假日出勤",IF(AND(COUNTIF(設定!$B$5:$B$13,$F926)&gt;0,$I926=""),"未打卡",IF($I926="","",IF($N926&gt;0,"遲到",IF($O926&gt;0,"早退","正常"))))))</f>
        <v/>
      </c>
      <c r="N926" s="32">
        <f>IF(OR($C926="",$G926="",$I926=""),0,IF(ROUND(($I926-$G926)*1440,0)&gt;設定!$C$28,ROUND(($I926-$G926)*1440,0),0))</f>
        <v/>
      </c>
      <c r="O926" s="32">
        <f>IF(OR($C926="",$H926="",$J926=""),0,IF(ROUND(($H926-$J926)*1440,0)&gt;設定!$C$28,ROUND(($H926-$J926)*1440,0),0))</f>
        <v/>
      </c>
      <c r="P926" s="33">
        <f>IF($L926="",0,IF(($L926-IFERROR(INDEX(設定!$G$5:$G$20,MATCH($F926,設定!$B$5:$B$20,0)),0))*60&gt;=設定!$C$26,ROUND(FLOOR(($L926-IFERROR(INDEX(設定!$G$5:$G$20,MATCH($F926,設定!$B$5:$B$20,0)),0))*60,設定!$C$27)/60,2),0))</f>
        <v/>
      </c>
      <c r="Q926" s="29">
        <f>IF(OR($C926="",$P926=0),"",IF($F926="國","國定假日",IF($B926="日","例假",IF($B926="六","休息日","平日"))))</f>
        <v/>
      </c>
      <c r="R926" s="34" t="n"/>
    </row>
    <row r="927">
      <c r="A927" s="30">
        <f>IF(OR(班表!$A35="",26&gt;DAY(EOMONTH(DATE(班表!$E$2,班表!$G$2,1),0))),"",DATE(班表!$E$2,班表!$G$2,26))</f>
        <v/>
      </c>
      <c r="B927" s="29">
        <f>IF($A927="","",INDEX(設定!$L$5:$L$11,WEEKDAY($A927,1)))</f>
        <v/>
      </c>
      <c r="C927" s="29">
        <f>IF($A927="","",班表!$A35)</f>
        <v/>
      </c>
      <c r="D927" s="29">
        <f>IF($C927="","",班表!$B35)</f>
        <v/>
      </c>
      <c r="E927" s="29">
        <f>IF($C927="","",班表!$C35)</f>
        <v/>
      </c>
      <c r="F927" s="29">
        <f>IF($C927="","",班表!AC35)</f>
        <v/>
      </c>
      <c r="G927" s="31">
        <f>IF($F927="","",IFERROR(INDEX(設定!$D$5:$D$20,MATCH($F927,設定!$B$5:$B$20,0)),""))</f>
        <v/>
      </c>
      <c r="H927" s="31">
        <f>IF($F927="","",IFERROR(INDEX(設定!$E$5:$E$20,MATCH($F927,設定!$B$5:$B$20,0)),""))</f>
        <v/>
      </c>
      <c r="I927" s="31">
        <f>IFERROR(INDEX(打卡匯入!$C$3:$C$1002,MATCH($C927&amp;"|"&amp;DAY($A927),打卡匯入!$E$3:$E$1002,0)),"")</f>
        <v/>
      </c>
      <c r="J927" s="31">
        <f>IFERROR(INDEX(打卡匯入!$D$3:$D$1002,MATCH($C927&amp;"|"&amp;DAY($A927),打卡匯入!$E$3:$E$1002,0)),"")</f>
        <v/>
      </c>
      <c r="K927" s="32">
        <f>IF(OR($I927="",$J927=""),"",IFERROR(INDEX(設定!$F$5:$F$20,MATCH($F927,設定!$B$5:$B$20,0)),0))</f>
        <v/>
      </c>
      <c r="L927" s="33">
        <f>IF(OR($I927="",$J927=""),"",ROUND(($J927-$I927)*24-$K927/60,2))</f>
        <v/>
      </c>
      <c r="M927" s="29">
        <f>IF($C927="","",IF(AND(COUNTIF(設定!$B$14:$B$20,$F927)&gt;0,$I927&lt;&gt;""),"假日出勤",IF(AND(COUNTIF(設定!$B$5:$B$13,$F927)&gt;0,$I927=""),"未打卡",IF($I927="","",IF($N927&gt;0,"遲到",IF($O927&gt;0,"早退","正常"))))))</f>
        <v/>
      </c>
      <c r="N927" s="32">
        <f>IF(OR($C927="",$G927="",$I927=""),0,IF(ROUND(($I927-$G927)*1440,0)&gt;設定!$C$28,ROUND(($I927-$G927)*1440,0),0))</f>
        <v/>
      </c>
      <c r="O927" s="32">
        <f>IF(OR($C927="",$H927="",$J927=""),0,IF(ROUND(($H927-$J927)*1440,0)&gt;設定!$C$28,ROUND(($H927-$J927)*1440,0),0))</f>
        <v/>
      </c>
      <c r="P927" s="33">
        <f>IF($L927="",0,IF(($L927-IFERROR(INDEX(設定!$G$5:$G$20,MATCH($F927,設定!$B$5:$B$20,0)),0))*60&gt;=設定!$C$26,ROUND(FLOOR(($L927-IFERROR(INDEX(設定!$G$5:$G$20,MATCH($F927,設定!$B$5:$B$20,0)),0))*60,設定!$C$27)/60,2),0))</f>
        <v/>
      </c>
      <c r="Q927" s="29">
        <f>IF(OR($C927="",$P927=0),"",IF($F927="國","國定假日",IF($B927="日","例假",IF($B927="六","休息日","平日"))))</f>
        <v/>
      </c>
      <c r="R927" s="34" t="n"/>
    </row>
    <row r="928">
      <c r="A928" s="30">
        <f>IF(OR(班表!$A35="",27&gt;DAY(EOMONTH(DATE(班表!$E$2,班表!$G$2,1),0))),"",DATE(班表!$E$2,班表!$G$2,27))</f>
        <v/>
      </c>
      <c r="B928" s="29">
        <f>IF($A928="","",INDEX(設定!$L$5:$L$11,WEEKDAY($A928,1)))</f>
        <v/>
      </c>
      <c r="C928" s="29">
        <f>IF($A928="","",班表!$A35)</f>
        <v/>
      </c>
      <c r="D928" s="29">
        <f>IF($C928="","",班表!$B35)</f>
        <v/>
      </c>
      <c r="E928" s="29">
        <f>IF($C928="","",班表!$C35)</f>
        <v/>
      </c>
      <c r="F928" s="29">
        <f>IF($C928="","",班表!AD35)</f>
        <v/>
      </c>
      <c r="G928" s="31">
        <f>IF($F928="","",IFERROR(INDEX(設定!$D$5:$D$20,MATCH($F928,設定!$B$5:$B$20,0)),""))</f>
        <v/>
      </c>
      <c r="H928" s="31">
        <f>IF($F928="","",IFERROR(INDEX(設定!$E$5:$E$20,MATCH($F928,設定!$B$5:$B$20,0)),""))</f>
        <v/>
      </c>
      <c r="I928" s="31">
        <f>IFERROR(INDEX(打卡匯入!$C$3:$C$1002,MATCH($C928&amp;"|"&amp;DAY($A928),打卡匯入!$E$3:$E$1002,0)),"")</f>
        <v/>
      </c>
      <c r="J928" s="31">
        <f>IFERROR(INDEX(打卡匯入!$D$3:$D$1002,MATCH($C928&amp;"|"&amp;DAY($A928),打卡匯入!$E$3:$E$1002,0)),"")</f>
        <v/>
      </c>
      <c r="K928" s="32">
        <f>IF(OR($I928="",$J928=""),"",IFERROR(INDEX(設定!$F$5:$F$20,MATCH($F928,設定!$B$5:$B$20,0)),0))</f>
        <v/>
      </c>
      <c r="L928" s="33">
        <f>IF(OR($I928="",$J928=""),"",ROUND(($J928-$I928)*24-$K928/60,2))</f>
        <v/>
      </c>
      <c r="M928" s="29">
        <f>IF($C928="","",IF(AND(COUNTIF(設定!$B$14:$B$20,$F928)&gt;0,$I928&lt;&gt;""),"假日出勤",IF(AND(COUNTIF(設定!$B$5:$B$13,$F928)&gt;0,$I928=""),"未打卡",IF($I928="","",IF($N928&gt;0,"遲到",IF($O928&gt;0,"早退","正常"))))))</f>
        <v/>
      </c>
      <c r="N928" s="32">
        <f>IF(OR($C928="",$G928="",$I928=""),0,IF(ROUND(($I928-$G928)*1440,0)&gt;設定!$C$28,ROUND(($I928-$G928)*1440,0),0))</f>
        <v/>
      </c>
      <c r="O928" s="32">
        <f>IF(OR($C928="",$H928="",$J928=""),0,IF(ROUND(($H928-$J928)*1440,0)&gt;設定!$C$28,ROUND(($H928-$J928)*1440,0),0))</f>
        <v/>
      </c>
      <c r="P928" s="33">
        <f>IF($L928="",0,IF(($L928-IFERROR(INDEX(設定!$G$5:$G$20,MATCH($F928,設定!$B$5:$B$20,0)),0))*60&gt;=設定!$C$26,ROUND(FLOOR(($L928-IFERROR(INDEX(設定!$G$5:$G$20,MATCH($F928,設定!$B$5:$B$20,0)),0))*60,設定!$C$27)/60,2),0))</f>
        <v/>
      </c>
      <c r="Q928" s="29">
        <f>IF(OR($C928="",$P928=0),"",IF($F928="國","國定假日",IF($B928="日","例假",IF($B928="六","休息日","平日"))))</f>
        <v/>
      </c>
      <c r="R928" s="34" t="n"/>
    </row>
    <row r="929">
      <c r="A929" s="30">
        <f>IF(OR(班表!$A35="",28&gt;DAY(EOMONTH(DATE(班表!$E$2,班表!$G$2,1),0))),"",DATE(班表!$E$2,班表!$G$2,28))</f>
        <v/>
      </c>
      <c r="B929" s="29">
        <f>IF($A929="","",INDEX(設定!$L$5:$L$11,WEEKDAY($A929,1)))</f>
        <v/>
      </c>
      <c r="C929" s="29">
        <f>IF($A929="","",班表!$A35)</f>
        <v/>
      </c>
      <c r="D929" s="29">
        <f>IF($C929="","",班表!$B35)</f>
        <v/>
      </c>
      <c r="E929" s="29">
        <f>IF($C929="","",班表!$C35)</f>
        <v/>
      </c>
      <c r="F929" s="29">
        <f>IF($C929="","",班表!AE35)</f>
        <v/>
      </c>
      <c r="G929" s="31">
        <f>IF($F929="","",IFERROR(INDEX(設定!$D$5:$D$20,MATCH($F929,設定!$B$5:$B$20,0)),""))</f>
        <v/>
      </c>
      <c r="H929" s="31">
        <f>IF($F929="","",IFERROR(INDEX(設定!$E$5:$E$20,MATCH($F929,設定!$B$5:$B$20,0)),""))</f>
        <v/>
      </c>
      <c r="I929" s="31">
        <f>IFERROR(INDEX(打卡匯入!$C$3:$C$1002,MATCH($C929&amp;"|"&amp;DAY($A929),打卡匯入!$E$3:$E$1002,0)),"")</f>
        <v/>
      </c>
      <c r="J929" s="31">
        <f>IFERROR(INDEX(打卡匯入!$D$3:$D$1002,MATCH($C929&amp;"|"&amp;DAY($A929),打卡匯入!$E$3:$E$1002,0)),"")</f>
        <v/>
      </c>
      <c r="K929" s="32">
        <f>IF(OR($I929="",$J929=""),"",IFERROR(INDEX(設定!$F$5:$F$20,MATCH($F929,設定!$B$5:$B$20,0)),0))</f>
        <v/>
      </c>
      <c r="L929" s="33">
        <f>IF(OR($I929="",$J929=""),"",ROUND(($J929-$I929)*24-$K929/60,2))</f>
        <v/>
      </c>
      <c r="M929" s="29">
        <f>IF($C929="","",IF(AND(COUNTIF(設定!$B$14:$B$20,$F929)&gt;0,$I929&lt;&gt;""),"假日出勤",IF(AND(COUNTIF(設定!$B$5:$B$13,$F929)&gt;0,$I929=""),"未打卡",IF($I929="","",IF($N929&gt;0,"遲到",IF($O929&gt;0,"早退","正常"))))))</f>
        <v/>
      </c>
      <c r="N929" s="32">
        <f>IF(OR($C929="",$G929="",$I929=""),0,IF(ROUND(($I929-$G929)*1440,0)&gt;設定!$C$28,ROUND(($I929-$G929)*1440,0),0))</f>
        <v/>
      </c>
      <c r="O929" s="32">
        <f>IF(OR($C929="",$H929="",$J929=""),0,IF(ROUND(($H929-$J929)*1440,0)&gt;設定!$C$28,ROUND(($H929-$J929)*1440,0),0))</f>
        <v/>
      </c>
      <c r="P929" s="33">
        <f>IF($L929="",0,IF(($L929-IFERROR(INDEX(設定!$G$5:$G$20,MATCH($F929,設定!$B$5:$B$20,0)),0))*60&gt;=設定!$C$26,ROUND(FLOOR(($L929-IFERROR(INDEX(設定!$G$5:$G$20,MATCH($F929,設定!$B$5:$B$20,0)),0))*60,設定!$C$27)/60,2),0))</f>
        <v/>
      </c>
      <c r="Q929" s="29">
        <f>IF(OR($C929="",$P929=0),"",IF($F929="國","國定假日",IF($B929="日","例假",IF($B929="六","休息日","平日"))))</f>
        <v/>
      </c>
      <c r="R929" s="34" t="n"/>
    </row>
    <row r="930">
      <c r="A930" s="30">
        <f>IF(OR(班表!$A35="",29&gt;DAY(EOMONTH(DATE(班表!$E$2,班表!$G$2,1),0))),"",DATE(班表!$E$2,班表!$G$2,29))</f>
        <v/>
      </c>
      <c r="B930" s="29">
        <f>IF($A930="","",INDEX(設定!$L$5:$L$11,WEEKDAY($A930,1)))</f>
        <v/>
      </c>
      <c r="C930" s="29">
        <f>IF($A930="","",班表!$A35)</f>
        <v/>
      </c>
      <c r="D930" s="29">
        <f>IF($C930="","",班表!$B35)</f>
        <v/>
      </c>
      <c r="E930" s="29">
        <f>IF($C930="","",班表!$C35)</f>
        <v/>
      </c>
      <c r="F930" s="29">
        <f>IF($C930="","",班表!AF35)</f>
        <v/>
      </c>
      <c r="G930" s="31">
        <f>IF($F930="","",IFERROR(INDEX(設定!$D$5:$D$20,MATCH($F930,設定!$B$5:$B$20,0)),""))</f>
        <v/>
      </c>
      <c r="H930" s="31">
        <f>IF($F930="","",IFERROR(INDEX(設定!$E$5:$E$20,MATCH($F930,設定!$B$5:$B$20,0)),""))</f>
        <v/>
      </c>
      <c r="I930" s="31">
        <f>IFERROR(INDEX(打卡匯入!$C$3:$C$1002,MATCH($C930&amp;"|"&amp;DAY($A930),打卡匯入!$E$3:$E$1002,0)),"")</f>
        <v/>
      </c>
      <c r="J930" s="31">
        <f>IFERROR(INDEX(打卡匯入!$D$3:$D$1002,MATCH($C930&amp;"|"&amp;DAY($A930),打卡匯入!$E$3:$E$1002,0)),"")</f>
        <v/>
      </c>
      <c r="K930" s="32">
        <f>IF(OR($I930="",$J930=""),"",IFERROR(INDEX(設定!$F$5:$F$20,MATCH($F930,設定!$B$5:$B$20,0)),0))</f>
        <v/>
      </c>
      <c r="L930" s="33">
        <f>IF(OR($I930="",$J930=""),"",ROUND(($J930-$I930)*24-$K930/60,2))</f>
        <v/>
      </c>
      <c r="M930" s="29">
        <f>IF($C930="","",IF(AND(COUNTIF(設定!$B$14:$B$20,$F930)&gt;0,$I930&lt;&gt;""),"假日出勤",IF(AND(COUNTIF(設定!$B$5:$B$13,$F930)&gt;0,$I930=""),"未打卡",IF($I930="","",IF($N930&gt;0,"遲到",IF($O930&gt;0,"早退","正常"))))))</f>
        <v/>
      </c>
      <c r="N930" s="32">
        <f>IF(OR($C930="",$G930="",$I930=""),0,IF(ROUND(($I930-$G930)*1440,0)&gt;設定!$C$28,ROUND(($I930-$G930)*1440,0),0))</f>
        <v/>
      </c>
      <c r="O930" s="32">
        <f>IF(OR($C930="",$H930="",$J930=""),0,IF(ROUND(($H930-$J930)*1440,0)&gt;設定!$C$28,ROUND(($H930-$J930)*1440,0),0))</f>
        <v/>
      </c>
      <c r="P930" s="33">
        <f>IF($L930="",0,IF(($L930-IFERROR(INDEX(設定!$G$5:$G$20,MATCH($F930,設定!$B$5:$B$20,0)),0))*60&gt;=設定!$C$26,ROUND(FLOOR(($L930-IFERROR(INDEX(設定!$G$5:$G$20,MATCH($F930,設定!$B$5:$B$20,0)),0))*60,設定!$C$27)/60,2),0))</f>
        <v/>
      </c>
      <c r="Q930" s="29">
        <f>IF(OR($C930="",$P930=0),"",IF($F930="國","國定假日",IF($B930="日","例假",IF($B930="六","休息日","平日"))))</f>
        <v/>
      </c>
      <c r="R930" s="34" t="n"/>
    </row>
    <row r="931">
      <c r="A931" s="30">
        <f>IF(OR(班表!$A35="",30&gt;DAY(EOMONTH(DATE(班表!$E$2,班表!$G$2,1),0))),"",DATE(班表!$E$2,班表!$G$2,30))</f>
        <v/>
      </c>
      <c r="B931" s="29">
        <f>IF($A931="","",INDEX(設定!$L$5:$L$11,WEEKDAY($A931,1)))</f>
        <v/>
      </c>
      <c r="C931" s="29">
        <f>IF($A931="","",班表!$A35)</f>
        <v/>
      </c>
      <c r="D931" s="29">
        <f>IF($C931="","",班表!$B35)</f>
        <v/>
      </c>
      <c r="E931" s="29">
        <f>IF($C931="","",班表!$C35)</f>
        <v/>
      </c>
      <c r="F931" s="29">
        <f>IF($C931="","",班表!AG35)</f>
        <v/>
      </c>
      <c r="G931" s="31">
        <f>IF($F931="","",IFERROR(INDEX(設定!$D$5:$D$20,MATCH($F931,設定!$B$5:$B$20,0)),""))</f>
        <v/>
      </c>
      <c r="H931" s="31">
        <f>IF($F931="","",IFERROR(INDEX(設定!$E$5:$E$20,MATCH($F931,設定!$B$5:$B$20,0)),""))</f>
        <v/>
      </c>
      <c r="I931" s="31">
        <f>IFERROR(INDEX(打卡匯入!$C$3:$C$1002,MATCH($C931&amp;"|"&amp;DAY($A931),打卡匯入!$E$3:$E$1002,0)),"")</f>
        <v/>
      </c>
      <c r="J931" s="31">
        <f>IFERROR(INDEX(打卡匯入!$D$3:$D$1002,MATCH($C931&amp;"|"&amp;DAY($A931),打卡匯入!$E$3:$E$1002,0)),"")</f>
        <v/>
      </c>
      <c r="K931" s="32">
        <f>IF(OR($I931="",$J931=""),"",IFERROR(INDEX(設定!$F$5:$F$20,MATCH($F931,設定!$B$5:$B$20,0)),0))</f>
        <v/>
      </c>
      <c r="L931" s="33">
        <f>IF(OR($I931="",$J931=""),"",ROUND(($J931-$I931)*24-$K931/60,2))</f>
        <v/>
      </c>
      <c r="M931" s="29">
        <f>IF($C931="","",IF(AND(COUNTIF(設定!$B$14:$B$20,$F931)&gt;0,$I931&lt;&gt;""),"假日出勤",IF(AND(COUNTIF(設定!$B$5:$B$13,$F931)&gt;0,$I931=""),"未打卡",IF($I931="","",IF($N931&gt;0,"遲到",IF($O931&gt;0,"早退","正常"))))))</f>
        <v/>
      </c>
      <c r="N931" s="32">
        <f>IF(OR($C931="",$G931="",$I931=""),0,IF(ROUND(($I931-$G931)*1440,0)&gt;設定!$C$28,ROUND(($I931-$G931)*1440,0),0))</f>
        <v/>
      </c>
      <c r="O931" s="32">
        <f>IF(OR($C931="",$H931="",$J931=""),0,IF(ROUND(($H931-$J931)*1440,0)&gt;設定!$C$28,ROUND(($H931-$J931)*1440,0),0))</f>
        <v/>
      </c>
      <c r="P931" s="33">
        <f>IF($L931="",0,IF(($L931-IFERROR(INDEX(設定!$G$5:$G$20,MATCH($F931,設定!$B$5:$B$20,0)),0))*60&gt;=設定!$C$26,ROUND(FLOOR(($L931-IFERROR(INDEX(設定!$G$5:$G$20,MATCH($F931,設定!$B$5:$B$20,0)),0))*60,設定!$C$27)/60,2),0))</f>
        <v/>
      </c>
      <c r="Q931" s="29">
        <f>IF(OR($C931="",$P931=0),"",IF($F931="國","國定假日",IF($B931="日","例假",IF($B931="六","休息日","平日"))))</f>
        <v/>
      </c>
      <c r="R931" s="34" t="n"/>
    </row>
    <row r="932">
      <c r="A932" s="30">
        <f>IF(OR(班表!$A35="",31&gt;DAY(EOMONTH(DATE(班表!$E$2,班表!$G$2,1),0))),"",DATE(班表!$E$2,班表!$G$2,31))</f>
        <v/>
      </c>
      <c r="B932" s="29">
        <f>IF($A932="","",INDEX(設定!$L$5:$L$11,WEEKDAY($A932,1)))</f>
        <v/>
      </c>
      <c r="C932" s="29">
        <f>IF($A932="","",班表!$A35)</f>
        <v/>
      </c>
      <c r="D932" s="29">
        <f>IF($C932="","",班表!$B35)</f>
        <v/>
      </c>
      <c r="E932" s="29">
        <f>IF($C932="","",班表!$C35)</f>
        <v/>
      </c>
      <c r="F932" s="29">
        <f>IF($C932="","",班表!AH35)</f>
        <v/>
      </c>
      <c r="G932" s="31">
        <f>IF($F932="","",IFERROR(INDEX(設定!$D$5:$D$20,MATCH($F932,設定!$B$5:$B$20,0)),""))</f>
        <v/>
      </c>
      <c r="H932" s="31">
        <f>IF($F932="","",IFERROR(INDEX(設定!$E$5:$E$20,MATCH($F932,設定!$B$5:$B$20,0)),""))</f>
        <v/>
      </c>
      <c r="I932" s="31">
        <f>IFERROR(INDEX(打卡匯入!$C$3:$C$1002,MATCH($C932&amp;"|"&amp;DAY($A932),打卡匯入!$E$3:$E$1002,0)),"")</f>
        <v/>
      </c>
      <c r="J932" s="31">
        <f>IFERROR(INDEX(打卡匯入!$D$3:$D$1002,MATCH($C932&amp;"|"&amp;DAY($A932),打卡匯入!$E$3:$E$1002,0)),"")</f>
        <v/>
      </c>
      <c r="K932" s="32">
        <f>IF(OR($I932="",$J932=""),"",IFERROR(INDEX(設定!$F$5:$F$20,MATCH($F932,設定!$B$5:$B$20,0)),0))</f>
        <v/>
      </c>
      <c r="L932" s="33">
        <f>IF(OR($I932="",$J932=""),"",ROUND(($J932-$I932)*24-$K932/60,2))</f>
        <v/>
      </c>
      <c r="M932" s="29">
        <f>IF($C932="","",IF(AND(COUNTIF(設定!$B$14:$B$20,$F932)&gt;0,$I932&lt;&gt;""),"假日出勤",IF(AND(COUNTIF(設定!$B$5:$B$13,$F932)&gt;0,$I932=""),"未打卡",IF($I932="","",IF($N932&gt;0,"遲到",IF($O932&gt;0,"早退","正常"))))))</f>
        <v/>
      </c>
      <c r="N932" s="32">
        <f>IF(OR($C932="",$G932="",$I932=""),0,IF(ROUND(($I932-$G932)*1440,0)&gt;設定!$C$28,ROUND(($I932-$G932)*1440,0),0))</f>
        <v/>
      </c>
      <c r="O932" s="32">
        <f>IF(OR($C932="",$H932="",$J932=""),0,IF(ROUND(($H932-$J932)*1440,0)&gt;設定!$C$28,ROUND(($H932-$J932)*1440,0),0))</f>
        <v/>
      </c>
      <c r="P932" s="33">
        <f>IF($L932="",0,IF(($L932-IFERROR(INDEX(設定!$G$5:$G$20,MATCH($F932,設定!$B$5:$B$20,0)),0))*60&gt;=設定!$C$26,ROUND(FLOOR(($L932-IFERROR(INDEX(設定!$G$5:$G$20,MATCH($F932,設定!$B$5:$B$20,0)),0))*60,設定!$C$27)/60,2),0))</f>
        <v/>
      </c>
      <c r="Q932" s="29">
        <f>IF(OR($C932="",$P932=0),"",IF($F932="國","國定假日",IF($B932="日","例假",IF($B932="六","休息日","平日"))))</f>
        <v/>
      </c>
      <c r="R932" s="34" t="n"/>
    </row>
  </sheetData>
  <autoFilter ref="A2:R932"/>
  <mergeCells count="1">
    <mergeCell ref="A1:R1"/>
  </mergeCells>
  <conditionalFormatting sqref="A3:R932">
    <cfRule type="expression" priority="1" dxfId="0" stopIfTrue="1">
      <formula>AND($C3&lt;&gt;"",$M3&lt;&gt;"",$M3&lt;&gt;"正常")</formula>
    </cfRule>
    <cfRule type="expression" priority="2" dxfId="5">
      <formula>AND($C3&lt;&gt;"",$P3&gt;0)</formula>
    </cfRule>
  </conditionalFormatting>
  <conditionalFormatting sqref="M3:M932">
    <cfRule type="expression" priority="3" dxfId="4">
      <formula>AND($M3&lt;&gt;"",$M3&lt;&gt;"正常")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9" customWidth="1" min="4" max="4"/>
    <col width="9" customWidth="1" min="5" max="5"/>
    <col width="8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月結統計(全自動,不需手填)</t>
        </is>
      </c>
    </row>
    <row r="2">
      <c r="A2" s="20" t="inlineStr">
        <is>
          <t>院所</t>
        </is>
      </c>
      <c r="B2" s="35">
        <f>班表!B2</f>
        <v/>
      </c>
      <c r="C2" s="20" t="inlineStr">
        <is>
          <t>期間</t>
        </is>
      </c>
      <c r="D2" s="35">
        <f>班表!E2&amp;"年"&amp;班表!G2&amp;"月"</f>
        <v/>
      </c>
    </row>
    <row r="4" ht="30" customHeight="1">
      <c r="A4" s="5" t="inlineStr">
        <is>
          <t>員工編號</t>
        </is>
      </c>
      <c r="B4" s="5" t="inlineStr">
        <is>
          <t>姓名</t>
        </is>
      </c>
      <c r="C4" s="5" t="inlineStr">
        <is>
          <t>職類</t>
        </is>
      </c>
      <c r="D4" s="5" t="inlineStr">
        <is>
          <t>出勤天數</t>
        </is>
      </c>
      <c r="E4" s="5" t="inlineStr">
        <is>
          <t>排班工時</t>
        </is>
      </c>
      <c r="F4" s="5" t="inlineStr">
        <is>
          <t>總診次</t>
        </is>
      </c>
      <c r="G4" s="5" t="inlineStr">
        <is>
          <t>排休</t>
        </is>
      </c>
      <c r="H4" s="5" t="inlineStr">
        <is>
          <t>特休</t>
        </is>
      </c>
      <c r="I4" s="5" t="inlineStr">
        <is>
          <t>病假</t>
        </is>
      </c>
      <c r="J4" s="5" t="inlineStr">
        <is>
          <t>事假</t>
        </is>
      </c>
      <c r="K4" s="5" t="inlineStr">
        <is>
          <t>公假</t>
        </is>
      </c>
      <c r="L4" s="5" t="inlineStr">
        <is>
          <t>國定假日</t>
        </is>
      </c>
      <c r="M4" s="5" t="inlineStr">
        <is>
          <t>支援他院</t>
        </is>
      </c>
      <c r="N4" s="5" t="inlineStr">
        <is>
          <t>加班時數</t>
        </is>
      </c>
      <c r="O4" s="5" t="inlineStr">
        <is>
          <t>實際工時</t>
        </is>
      </c>
      <c r="P4" s="5" t="inlineStr">
        <is>
          <t>遲到次數</t>
        </is>
      </c>
      <c r="Q4" s="5" t="inlineStr">
        <is>
          <t>早退次數</t>
        </is>
      </c>
      <c r="R4" s="5" t="inlineStr">
        <is>
          <t>未打卡</t>
        </is>
      </c>
      <c r="S4" s="5" t="inlineStr">
        <is>
          <t>排班完整度檢核</t>
        </is>
      </c>
    </row>
    <row r="5">
      <c r="A5" s="11">
        <f>IF(班表!$A6="","",班表!$A6)</f>
        <v/>
      </c>
      <c r="B5" s="11">
        <f>IF($A5="","",班表!$B6)</f>
        <v/>
      </c>
      <c r="C5" s="11">
        <f>IF($A5="","",班表!$C6)</f>
        <v/>
      </c>
      <c r="D5" s="11">
        <f>IF($A5="","",SUMPRODUCT(COUNTIF(班表!$D6:$AH6,設定!$B$5:$B$20),設定!$I$5:$I$20))</f>
        <v/>
      </c>
      <c r="E5" s="36">
        <f>IF($A5="","",SUMPRODUCT(COUNTIF(班表!$D6:$AH6,設定!$B$5:$B$20),設定!$G$5:$G$20))</f>
        <v/>
      </c>
      <c r="F5" s="11">
        <f>IF($A5="","",SUMPRODUCT(COUNTIF(班表!$D6:$AH6,設定!$B$5:$B$20),設定!$H$5:$H$20))</f>
        <v/>
      </c>
      <c r="G5" s="11">
        <f>IF($A5="","",COUNTIF(班表!$D6:$AH6,"OFF"))</f>
        <v/>
      </c>
      <c r="H5" s="11">
        <f>IF($A5="","",COUNTIF(班表!$D6:$AH6,"特"))</f>
        <v/>
      </c>
      <c r="I5" s="11">
        <f>IF($A5="","",COUNTIF(班表!$D6:$AH6,"病"))</f>
        <v/>
      </c>
      <c r="J5" s="11">
        <f>IF($A5="","",COUNTIF(班表!$D6:$AH6,"事"))</f>
        <v/>
      </c>
      <c r="K5" s="11">
        <f>IF($A5="","",COUNTIF(班表!$D6:$AH6,"公"))</f>
        <v/>
      </c>
      <c r="L5" s="11">
        <f>IF($A5="","",COUNTIF(班表!$D6:$AH6,"國"))</f>
        <v/>
      </c>
      <c r="M5" s="11">
        <f>IF($A5="","",COUNTIF(班表!$D6:$AH6,"支"))</f>
        <v/>
      </c>
      <c r="N5" s="36">
        <f>IF($A5="","",SUMIF(出勤紀錄!$C$3:$C$932,$A5,出勤紀錄!$P$3:$P$932))</f>
        <v/>
      </c>
      <c r="O5" s="36">
        <f>IF($A5="","",$E5+$N5)</f>
        <v/>
      </c>
      <c r="P5" s="11">
        <f>IF($A5="","",COUNTIFS(出勤紀錄!$C$3:$C$932,$A5,出勤紀錄!$M$3:$M$932,"遲到"))</f>
        <v/>
      </c>
      <c r="Q5" s="11">
        <f>IF($A5="","",COUNTIFS(出勤紀錄!$C$3:$C$932,$A5,出勤紀錄!$M$3:$M$932,"早退"))</f>
        <v/>
      </c>
      <c r="R5" s="11">
        <f>IF($A5="","",COUNTIFS(出勤紀錄!$C$3:$C$932,$A5,出勤紀錄!$M$3:$M$932,"未打卡"))</f>
        <v/>
      </c>
      <c r="S5" s="11">
        <f>IF($A5="","",IF(COUNTA(班表!$D6:$AH6)=DAY(EOMONTH(DATE(班表!$E$2,班表!$G$2,1),0)),"OK","⚠ 缺"&amp;(DAY(EOMONTH(DATE(班表!$E$2,班表!$G$2,1),0))-COUNTA(班表!$D6:$AH6))&amp;"天"))</f>
        <v/>
      </c>
    </row>
    <row r="6">
      <c r="A6" s="11">
        <f>IF(班表!$A7="","",班表!$A7)</f>
        <v/>
      </c>
      <c r="B6" s="11">
        <f>IF($A6="","",班表!$B7)</f>
        <v/>
      </c>
      <c r="C6" s="11">
        <f>IF($A6="","",班表!$C7)</f>
        <v/>
      </c>
      <c r="D6" s="11">
        <f>IF($A6="","",SUMPRODUCT(COUNTIF(班表!$D7:$AH7,設定!$B$5:$B$20),設定!$I$5:$I$20))</f>
        <v/>
      </c>
      <c r="E6" s="36">
        <f>IF($A6="","",SUMPRODUCT(COUNTIF(班表!$D7:$AH7,設定!$B$5:$B$20),設定!$G$5:$G$20))</f>
        <v/>
      </c>
      <c r="F6" s="11">
        <f>IF($A6="","",SUMPRODUCT(COUNTIF(班表!$D7:$AH7,設定!$B$5:$B$20),設定!$H$5:$H$20))</f>
        <v/>
      </c>
      <c r="G6" s="11">
        <f>IF($A6="","",COUNTIF(班表!$D7:$AH7,"OFF"))</f>
        <v/>
      </c>
      <c r="H6" s="11">
        <f>IF($A6="","",COUNTIF(班表!$D7:$AH7,"特"))</f>
        <v/>
      </c>
      <c r="I6" s="11">
        <f>IF($A6="","",COUNTIF(班表!$D7:$AH7,"病"))</f>
        <v/>
      </c>
      <c r="J6" s="11">
        <f>IF($A6="","",COUNTIF(班表!$D7:$AH7,"事"))</f>
        <v/>
      </c>
      <c r="K6" s="11">
        <f>IF($A6="","",COUNTIF(班表!$D7:$AH7,"公"))</f>
        <v/>
      </c>
      <c r="L6" s="11">
        <f>IF($A6="","",COUNTIF(班表!$D7:$AH7,"國"))</f>
        <v/>
      </c>
      <c r="M6" s="11">
        <f>IF($A6="","",COUNTIF(班表!$D7:$AH7,"支"))</f>
        <v/>
      </c>
      <c r="N6" s="36">
        <f>IF($A6="","",SUMIF(出勤紀錄!$C$3:$C$932,$A6,出勤紀錄!$P$3:$P$932))</f>
        <v/>
      </c>
      <c r="O6" s="36">
        <f>IF($A6="","",$E6+$N6)</f>
        <v/>
      </c>
      <c r="P6" s="11">
        <f>IF($A6="","",COUNTIFS(出勤紀錄!$C$3:$C$932,$A6,出勤紀錄!$M$3:$M$932,"遲到"))</f>
        <v/>
      </c>
      <c r="Q6" s="11">
        <f>IF($A6="","",COUNTIFS(出勤紀錄!$C$3:$C$932,$A6,出勤紀錄!$M$3:$M$932,"早退"))</f>
        <v/>
      </c>
      <c r="R6" s="11">
        <f>IF($A6="","",COUNTIFS(出勤紀錄!$C$3:$C$932,$A6,出勤紀錄!$M$3:$M$932,"未打卡"))</f>
        <v/>
      </c>
      <c r="S6" s="11">
        <f>IF($A6="","",IF(COUNTA(班表!$D7:$AH7)=DAY(EOMONTH(DATE(班表!$E$2,班表!$G$2,1),0)),"OK","⚠ 缺"&amp;(DAY(EOMONTH(DATE(班表!$E$2,班表!$G$2,1),0))-COUNTA(班表!$D7:$AH7))&amp;"天"))</f>
        <v/>
      </c>
    </row>
    <row r="7">
      <c r="A7" s="11">
        <f>IF(班表!$A8="","",班表!$A8)</f>
        <v/>
      </c>
      <c r="B7" s="11">
        <f>IF($A7="","",班表!$B8)</f>
        <v/>
      </c>
      <c r="C7" s="11">
        <f>IF($A7="","",班表!$C8)</f>
        <v/>
      </c>
      <c r="D7" s="11">
        <f>IF($A7="","",SUMPRODUCT(COUNTIF(班表!$D8:$AH8,設定!$B$5:$B$20),設定!$I$5:$I$20))</f>
        <v/>
      </c>
      <c r="E7" s="36">
        <f>IF($A7="","",SUMPRODUCT(COUNTIF(班表!$D8:$AH8,設定!$B$5:$B$20),設定!$G$5:$G$20))</f>
        <v/>
      </c>
      <c r="F7" s="11">
        <f>IF($A7="","",SUMPRODUCT(COUNTIF(班表!$D8:$AH8,設定!$B$5:$B$20),設定!$H$5:$H$20))</f>
        <v/>
      </c>
      <c r="G7" s="11">
        <f>IF($A7="","",COUNTIF(班表!$D8:$AH8,"OFF"))</f>
        <v/>
      </c>
      <c r="H7" s="11">
        <f>IF($A7="","",COUNTIF(班表!$D8:$AH8,"特"))</f>
        <v/>
      </c>
      <c r="I7" s="11">
        <f>IF($A7="","",COUNTIF(班表!$D8:$AH8,"病"))</f>
        <v/>
      </c>
      <c r="J7" s="11">
        <f>IF($A7="","",COUNTIF(班表!$D8:$AH8,"事"))</f>
        <v/>
      </c>
      <c r="K7" s="11">
        <f>IF($A7="","",COUNTIF(班表!$D8:$AH8,"公"))</f>
        <v/>
      </c>
      <c r="L7" s="11">
        <f>IF($A7="","",COUNTIF(班表!$D8:$AH8,"國"))</f>
        <v/>
      </c>
      <c r="M7" s="11">
        <f>IF($A7="","",COUNTIF(班表!$D8:$AH8,"支"))</f>
        <v/>
      </c>
      <c r="N7" s="36">
        <f>IF($A7="","",SUMIF(出勤紀錄!$C$3:$C$932,$A7,出勤紀錄!$P$3:$P$932))</f>
        <v/>
      </c>
      <c r="O7" s="36">
        <f>IF($A7="","",$E7+$N7)</f>
        <v/>
      </c>
      <c r="P7" s="11">
        <f>IF($A7="","",COUNTIFS(出勤紀錄!$C$3:$C$932,$A7,出勤紀錄!$M$3:$M$932,"遲到"))</f>
        <v/>
      </c>
      <c r="Q7" s="11">
        <f>IF($A7="","",COUNTIFS(出勤紀錄!$C$3:$C$932,$A7,出勤紀錄!$M$3:$M$932,"早退"))</f>
        <v/>
      </c>
      <c r="R7" s="11">
        <f>IF($A7="","",COUNTIFS(出勤紀錄!$C$3:$C$932,$A7,出勤紀錄!$M$3:$M$932,"未打卡"))</f>
        <v/>
      </c>
      <c r="S7" s="11">
        <f>IF($A7="","",IF(COUNTA(班表!$D8:$AH8)=DAY(EOMONTH(DATE(班表!$E$2,班表!$G$2,1),0)),"OK","⚠ 缺"&amp;(DAY(EOMONTH(DATE(班表!$E$2,班表!$G$2,1),0))-COUNTA(班表!$D8:$AH8))&amp;"天"))</f>
        <v/>
      </c>
    </row>
    <row r="8">
      <c r="A8" s="11">
        <f>IF(班表!$A9="","",班表!$A9)</f>
        <v/>
      </c>
      <c r="B8" s="11">
        <f>IF($A8="","",班表!$B9)</f>
        <v/>
      </c>
      <c r="C8" s="11">
        <f>IF($A8="","",班表!$C9)</f>
        <v/>
      </c>
      <c r="D8" s="11">
        <f>IF($A8="","",SUMPRODUCT(COUNTIF(班表!$D9:$AH9,設定!$B$5:$B$20),設定!$I$5:$I$20))</f>
        <v/>
      </c>
      <c r="E8" s="36">
        <f>IF($A8="","",SUMPRODUCT(COUNTIF(班表!$D9:$AH9,設定!$B$5:$B$20),設定!$G$5:$G$20))</f>
        <v/>
      </c>
      <c r="F8" s="11">
        <f>IF($A8="","",SUMPRODUCT(COUNTIF(班表!$D9:$AH9,設定!$B$5:$B$20),設定!$H$5:$H$20))</f>
        <v/>
      </c>
      <c r="G8" s="11">
        <f>IF($A8="","",COUNTIF(班表!$D9:$AH9,"OFF"))</f>
        <v/>
      </c>
      <c r="H8" s="11">
        <f>IF($A8="","",COUNTIF(班表!$D9:$AH9,"特"))</f>
        <v/>
      </c>
      <c r="I8" s="11">
        <f>IF($A8="","",COUNTIF(班表!$D9:$AH9,"病"))</f>
        <v/>
      </c>
      <c r="J8" s="11">
        <f>IF($A8="","",COUNTIF(班表!$D9:$AH9,"事"))</f>
        <v/>
      </c>
      <c r="K8" s="11">
        <f>IF($A8="","",COUNTIF(班表!$D9:$AH9,"公"))</f>
        <v/>
      </c>
      <c r="L8" s="11">
        <f>IF($A8="","",COUNTIF(班表!$D9:$AH9,"國"))</f>
        <v/>
      </c>
      <c r="M8" s="11">
        <f>IF($A8="","",COUNTIF(班表!$D9:$AH9,"支"))</f>
        <v/>
      </c>
      <c r="N8" s="36">
        <f>IF($A8="","",SUMIF(出勤紀錄!$C$3:$C$932,$A8,出勤紀錄!$P$3:$P$932))</f>
        <v/>
      </c>
      <c r="O8" s="36">
        <f>IF($A8="","",$E8+$N8)</f>
        <v/>
      </c>
      <c r="P8" s="11">
        <f>IF($A8="","",COUNTIFS(出勤紀錄!$C$3:$C$932,$A8,出勤紀錄!$M$3:$M$932,"遲到"))</f>
        <v/>
      </c>
      <c r="Q8" s="11">
        <f>IF($A8="","",COUNTIFS(出勤紀錄!$C$3:$C$932,$A8,出勤紀錄!$M$3:$M$932,"早退"))</f>
        <v/>
      </c>
      <c r="R8" s="11">
        <f>IF($A8="","",COUNTIFS(出勤紀錄!$C$3:$C$932,$A8,出勤紀錄!$M$3:$M$932,"未打卡"))</f>
        <v/>
      </c>
      <c r="S8" s="11">
        <f>IF($A8="","",IF(COUNTA(班表!$D9:$AH9)=DAY(EOMONTH(DATE(班表!$E$2,班表!$G$2,1),0)),"OK","⚠ 缺"&amp;(DAY(EOMONTH(DATE(班表!$E$2,班表!$G$2,1),0))-COUNTA(班表!$D9:$AH9))&amp;"天"))</f>
        <v/>
      </c>
    </row>
    <row r="9">
      <c r="A9" s="11">
        <f>IF(班表!$A10="","",班表!$A10)</f>
        <v/>
      </c>
      <c r="B9" s="11">
        <f>IF($A9="","",班表!$B10)</f>
        <v/>
      </c>
      <c r="C9" s="11">
        <f>IF($A9="","",班表!$C10)</f>
        <v/>
      </c>
      <c r="D9" s="11">
        <f>IF($A9="","",SUMPRODUCT(COUNTIF(班表!$D10:$AH10,設定!$B$5:$B$20),設定!$I$5:$I$20))</f>
        <v/>
      </c>
      <c r="E9" s="36">
        <f>IF($A9="","",SUMPRODUCT(COUNTIF(班表!$D10:$AH10,設定!$B$5:$B$20),設定!$G$5:$G$20))</f>
        <v/>
      </c>
      <c r="F9" s="11">
        <f>IF($A9="","",SUMPRODUCT(COUNTIF(班表!$D10:$AH10,設定!$B$5:$B$20),設定!$H$5:$H$20))</f>
        <v/>
      </c>
      <c r="G9" s="11">
        <f>IF($A9="","",COUNTIF(班表!$D10:$AH10,"OFF"))</f>
        <v/>
      </c>
      <c r="H9" s="11">
        <f>IF($A9="","",COUNTIF(班表!$D10:$AH10,"特"))</f>
        <v/>
      </c>
      <c r="I9" s="11">
        <f>IF($A9="","",COUNTIF(班表!$D10:$AH10,"病"))</f>
        <v/>
      </c>
      <c r="J9" s="11">
        <f>IF($A9="","",COUNTIF(班表!$D10:$AH10,"事"))</f>
        <v/>
      </c>
      <c r="K9" s="11">
        <f>IF($A9="","",COUNTIF(班表!$D10:$AH10,"公"))</f>
        <v/>
      </c>
      <c r="L9" s="11">
        <f>IF($A9="","",COUNTIF(班表!$D10:$AH10,"國"))</f>
        <v/>
      </c>
      <c r="M9" s="11">
        <f>IF($A9="","",COUNTIF(班表!$D10:$AH10,"支"))</f>
        <v/>
      </c>
      <c r="N9" s="36">
        <f>IF($A9="","",SUMIF(出勤紀錄!$C$3:$C$932,$A9,出勤紀錄!$P$3:$P$932))</f>
        <v/>
      </c>
      <c r="O9" s="36">
        <f>IF($A9="","",$E9+$N9)</f>
        <v/>
      </c>
      <c r="P9" s="11">
        <f>IF($A9="","",COUNTIFS(出勤紀錄!$C$3:$C$932,$A9,出勤紀錄!$M$3:$M$932,"遲到"))</f>
        <v/>
      </c>
      <c r="Q9" s="11">
        <f>IF($A9="","",COUNTIFS(出勤紀錄!$C$3:$C$932,$A9,出勤紀錄!$M$3:$M$932,"早退"))</f>
        <v/>
      </c>
      <c r="R9" s="11">
        <f>IF($A9="","",COUNTIFS(出勤紀錄!$C$3:$C$932,$A9,出勤紀錄!$M$3:$M$932,"未打卡"))</f>
        <v/>
      </c>
      <c r="S9" s="11">
        <f>IF($A9="","",IF(COUNTA(班表!$D10:$AH10)=DAY(EOMONTH(DATE(班表!$E$2,班表!$G$2,1),0)),"OK","⚠ 缺"&amp;(DAY(EOMONTH(DATE(班表!$E$2,班表!$G$2,1),0))-COUNTA(班表!$D10:$AH10))&amp;"天"))</f>
        <v/>
      </c>
    </row>
    <row r="10">
      <c r="A10" s="11">
        <f>IF(班表!$A11="","",班表!$A11)</f>
        <v/>
      </c>
      <c r="B10" s="11">
        <f>IF($A10="","",班表!$B11)</f>
        <v/>
      </c>
      <c r="C10" s="11">
        <f>IF($A10="","",班表!$C11)</f>
        <v/>
      </c>
      <c r="D10" s="11">
        <f>IF($A10="","",SUMPRODUCT(COUNTIF(班表!$D11:$AH11,設定!$B$5:$B$20),設定!$I$5:$I$20))</f>
        <v/>
      </c>
      <c r="E10" s="36">
        <f>IF($A10="","",SUMPRODUCT(COUNTIF(班表!$D11:$AH11,設定!$B$5:$B$20),設定!$G$5:$G$20))</f>
        <v/>
      </c>
      <c r="F10" s="11">
        <f>IF($A10="","",SUMPRODUCT(COUNTIF(班表!$D11:$AH11,設定!$B$5:$B$20),設定!$H$5:$H$20))</f>
        <v/>
      </c>
      <c r="G10" s="11">
        <f>IF($A10="","",COUNTIF(班表!$D11:$AH11,"OFF"))</f>
        <v/>
      </c>
      <c r="H10" s="11">
        <f>IF($A10="","",COUNTIF(班表!$D11:$AH11,"特"))</f>
        <v/>
      </c>
      <c r="I10" s="11">
        <f>IF($A10="","",COUNTIF(班表!$D11:$AH11,"病"))</f>
        <v/>
      </c>
      <c r="J10" s="11">
        <f>IF($A10="","",COUNTIF(班表!$D11:$AH11,"事"))</f>
        <v/>
      </c>
      <c r="K10" s="11">
        <f>IF($A10="","",COUNTIF(班表!$D11:$AH11,"公"))</f>
        <v/>
      </c>
      <c r="L10" s="11">
        <f>IF($A10="","",COUNTIF(班表!$D11:$AH11,"國"))</f>
        <v/>
      </c>
      <c r="M10" s="11">
        <f>IF($A10="","",COUNTIF(班表!$D11:$AH11,"支"))</f>
        <v/>
      </c>
      <c r="N10" s="36">
        <f>IF($A10="","",SUMIF(出勤紀錄!$C$3:$C$932,$A10,出勤紀錄!$P$3:$P$932))</f>
        <v/>
      </c>
      <c r="O10" s="36">
        <f>IF($A10="","",$E10+$N10)</f>
        <v/>
      </c>
      <c r="P10" s="11">
        <f>IF($A10="","",COUNTIFS(出勤紀錄!$C$3:$C$932,$A10,出勤紀錄!$M$3:$M$932,"遲到"))</f>
        <v/>
      </c>
      <c r="Q10" s="11">
        <f>IF($A10="","",COUNTIFS(出勤紀錄!$C$3:$C$932,$A10,出勤紀錄!$M$3:$M$932,"早退"))</f>
        <v/>
      </c>
      <c r="R10" s="11">
        <f>IF($A10="","",COUNTIFS(出勤紀錄!$C$3:$C$932,$A10,出勤紀錄!$M$3:$M$932,"未打卡"))</f>
        <v/>
      </c>
      <c r="S10" s="11">
        <f>IF($A10="","",IF(COUNTA(班表!$D11:$AH11)=DAY(EOMONTH(DATE(班表!$E$2,班表!$G$2,1),0)),"OK","⚠ 缺"&amp;(DAY(EOMONTH(DATE(班表!$E$2,班表!$G$2,1),0))-COUNTA(班表!$D11:$AH11))&amp;"天"))</f>
        <v/>
      </c>
    </row>
    <row r="11">
      <c r="A11" s="11">
        <f>IF(班表!$A12="","",班表!$A12)</f>
        <v/>
      </c>
      <c r="B11" s="11">
        <f>IF($A11="","",班表!$B12)</f>
        <v/>
      </c>
      <c r="C11" s="11">
        <f>IF($A11="","",班表!$C12)</f>
        <v/>
      </c>
      <c r="D11" s="11">
        <f>IF($A11="","",SUMPRODUCT(COUNTIF(班表!$D12:$AH12,設定!$B$5:$B$20),設定!$I$5:$I$20))</f>
        <v/>
      </c>
      <c r="E11" s="36">
        <f>IF($A11="","",SUMPRODUCT(COUNTIF(班表!$D12:$AH12,設定!$B$5:$B$20),設定!$G$5:$G$20))</f>
        <v/>
      </c>
      <c r="F11" s="11">
        <f>IF($A11="","",SUMPRODUCT(COUNTIF(班表!$D12:$AH12,設定!$B$5:$B$20),設定!$H$5:$H$20))</f>
        <v/>
      </c>
      <c r="G11" s="11">
        <f>IF($A11="","",COUNTIF(班表!$D12:$AH12,"OFF"))</f>
        <v/>
      </c>
      <c r="H11" s="11">
        <f>IF($A11="","",COUNTIF(班表!$D12:$AH12,"特"))</f>
        <v/>
      </c>
      <c r="I11" s="11">
        <f>IF($A11="","",COUNTIF(班表!$D12:$AH12,"病"))</f>
        <v/>
      </c>
      <c r="J11" s="11">
        <f>IF($A11="","",COUNTIF(班表!$D12:$AH12,"事"))</f>
        <v/>
      </c>
      <c r="K11" s="11">
        <f>IF($A11="","",COUNTIF(班表!$D12:$AH12,"公"))</f>
        <v/>
      </c>
      <c r="L11" s="11">
        <f>IF($A11="","",COUNTIF(班表!$D12:$AH12,"國"))</f>
        <v/>
      </c>
      <c r="M11" s="11">
        <f>IF($A11="","",COUNTIF(班表!$D12:$AH12,"支"))</f>
        <v/>
      </c>
      <c r="N11" s="36">
        <f>IF($A11="","",SUMIF(出勤紀錄!$C$3:$C$932,$A11,出勤紀錄!$P$3:$P$932))</f>
        <v/>
      </c>
      <c r="O11" s="36">
        <f>IF($A11="","",$E11+$N11)</f>
        <v/>
      </c>
      <c r="P11" s="11">
        <f>IF($A11="","",COUNTIFS(出勤紀錄!$C$3:$C$932,$A11,出勤紀錄!$M$3:$M$932,"遲到"))</f>
        <v/>
      </c>
      <c r="Q11" s="11">
        <f>IF($A11="","",COUNTIFS(出勤紀錄!$C$3:$C$932,$A11,出勤紀錄!$M$3:$M$932,"早退"))</f>
        <v/>
      </c>
      <c r="R11" s="11">
        <f>IF($A11="","",COUNTIFS(出勤紀錄!$C$3:$C$932,$A11,出勤紀錄!$M$3:$M$932,"未打卡"))</f>
        <v/>
      </c>
      <c r="S11" s="11">
        <f>IF($A11="","",IF(COUNTA(班表!$D12:$AH12)=DAY(EOMONTH(DATE(班表!$E$2,班表!$G$2,1),0)),"OK","⚠ 缺"&amp;(DAY(EOMONTH(DATE(班表!$E$2,班表!$G$2,1),0))-COUNTA(班表!$D12:$AH12))&amp;"天"))</f>
        <v/>
      </c>
    </row>
    <row r="12">
      <c r="A12" s="11">
        <f>IF(班表!$A13="","",班表!$A13)</f>
        <v/>
      </c>
      <c r="B12" s="11">
        <f>IF($A12="","",班表!$B13)</f>
        <v/>
      </c>
      <c r="C12" s="11">
        <f>IF($A12="","",班表!$C13)</f>
        <v/>
      </c>
      <c r="D12" s="11">
        <f>IF($A12="","",SUMPRODUCT(COUNTIF(班表!$D13:$AH13,設定!$B$5:$B$20),設定!$I$5:$I$20))</f>
        <v/>
      </c>
      <c r="E12" s="36">
        <f>IF($A12="","",SUMPRODUCT(COUNTIF(班表!$D13:$AH13,設定!$B$5:$B$20),設定!$G$5:$G$20))</f>
        <v/>
      </c>
      <c r="F12" s="11">
        <f>IF($A12="","",SUMPRODUCT(COUNTIF(班表!$D13:$AH13,設定!$B$5:$B$20),設定!$H$5:$H$20))</f>
        <v/>
      </c>
      <c r="G12" s="11">
        <f>IF($A12="","",COUNTIF(班表!$D13:$AH13,"OFF"))</f>
        <v/>
      </c>
      <c r="H12" s="11">
        <f>IF($A12="","",COUNTIF(班表!$D13:$AH13,"特"))</f>
        <v/>
      </c>
      <c r="I12" s="11">
        <f>IF($A12="","",COUNTIF(班表!$D13:$AH13,"病"))</f>
        <v/>
      </c>
      <c r="J12" s="11">
        <f>IF($A12="","",COUNTIF(班表!$D13:$AH13,"事"))</f>
        <v/>
      </c>
      <c r="K12" s="11">
        <f>IF($A12="","",COUNTIF(班表!$D13:$AH13,"公"))</f>
        <v/>
      </c>
      <c r="L12" s="11">
        <f>IF($A12="","",COUNTIF(班表!$D13:$AH13,"國"))</f>
        <v/>
      </c>
      <c r="M12" s="11">
        <f>IF($A12="","",COUNTIF(班表!$D13:$AH13,"支"))</f>
        <v/>
      </c>
      <c r="N12" s="36">
        <f>IF($A12="","",SUMIF(出勤紀錄!$C$3:$C$932,$A12,出勤紀錄!$P$3:$P$932))</f>
        <v/>
      </c>
      <c r="O12" s="36">
        <f>IF($A12="","",$E12+$N12)</f>
        <v/>
      </c>
      <c r="P12" s="11">
        <f>IF($A12="","",COUNTIFS(出勤紀錄!$C$3:$C$932,$A12,出勤紀錄!$M$3:$M$932,"遲到"))</f>
        <v/>
      </c>
      <c r="Q12" s="11">
        <f>IF($A12="","",COUNTIFS(出勤紀錄!$C$3:$C$932,$A12,出勤紀錄!$M$3:$M$932,"早退"))</f>
        <v/>
      </c>
      <c r="R12" s="11">
        <f>IF($A12="","",COUNTIFS(出勤紀錄!$C$3:$C$932,$A12,出勤紀錄!$M$3:$M$932,"未打卡"))</f>
        <v/>
      </c>
      <c r="S12" s="11">
        <f>IF($A12="","",IF(COUNTA(班表!$D13:$AH13)=DAY(EOMONTH(DATE(班表!$E$2,班表!$G$2,1),0)),"OK","⚠ 缺"&amp;(DAY(EOMONTH(DATE(班表!$E$2,班表!$G$2,1),0))-COUNTA(班表!$D13:$AH13))&amp;"天"))</f>
        <v/>
      </c>
    </row>
    <row r="13">
      <c r="A13" s="11">
        <f>IF(班表!$A14="","",班表!$A14)</f>
        <v/>
      </c>
      <c r="B13" s="11">
        <f>IF($A13="","",班表!$B14)</f>
        <v/>
      </c>
      <c r="C13" s="11">
        <f>IF($A13="","",班表!$C14)</f>
        <v/>
      </c>
      <c r="D13" s="11">
        <f>IF($A13="","",SUMPRODUCT(COUNTIF(班表!$D14:$AH14,設定!$B$5:$B$20),設定!$I$5:$I$20))</f>
        <v/>
      </c>
      <c r="E13" s="36">
        <f>IF($A13="","",SUMPRODUCT(COUNTIF(班表!$D14:$AH14,設定!$B$5:$B$20),設定!$G$5:$G$20))</f>
        <v/>
      </c>
      <c r="F13" s="11">
        <f>IF($A13="","",SUMPRODUCT(COUNTIF(班表!$D14:$AH14,設定!$B$5:$B$20),設定!$H$5:$H$20))</f>
        <v/>
      </c>
      <c r="G13" s="11">
        <f>IF($A13="","",COUNTIF(班表!$D14:$AH14,"OFF"))</f>
        <v/>
      </c>
      <c r="H13" s="11">
        <f>IF($A13="","",COUNTIF(班表!$D14:$AH14,"特"))</f>
        <v/>
      </c>
      <c r="I13" s="11">
        <f>IF($A13="","",COUNTIF(班表!$D14:$AH14,"病"))</f>
        <v/>
      </c>
      <c r="J13" s="11">
        <f>IF($A13="","",COUNTIF(班表!$D14:$AH14,"事"))</f>
        <v/>
      </c>
      <c r="K13" s="11">
        <f>IF($A13="","",COUNTIF(班表!$D14:$AH14,"公"))</f>
        <v/>
      </c>
      <c r="L13" s="11">
        <f>IF($A13="","",COUNTIF(班表!$D14:$AH14,"國"))</f>
        <v/>
      </c>
      <c r="M13" s="11">
        <f>IF($A13="","",COUNTIF(班表!$D14:$AH14,"支"))</f>
        <v/>
      </c>
      <c r="N13" s="36">
        <f>IF($A13="","",SUMIF(出勤紀錄!$C$3:$C$932,$A13,出勤紀錄!$P$3:$P$932))</f>
        <v/>
      </c>
      <c r="O13" s="36">
        <f>IF($A13="","",$E13+$N13)</f>
        <v/>
      </c>
      <c r="P13" s="11">
        <f>IF($A13="","",COUNTIFS(出勤紀錄!$C$3:$C$932,$A13,出勤紀錄!$M$3:$M$932,"遲到"))</f>
        <v/>
      </c>
      <c r="Q13" s="11">
        <f>IF($A13="","",COUNTIFS(出勤紀錄!$C$3:$C$932,$A13,出勤紀錄!$M$3:$M$932,"早退"))</f>
        <v/>
      </c>
      <c r="R13" s="11">
        <f>IF($A13="","",COUNTIFS(出勤紀錄!$C$3:$C$932,$A13,出勤紀錄!$M$3:$M$932,"未打卡"))</f>
        <v/>
      </c>
      <c r="S13" s="11">
        <f>IF($A13="","",IF(COUNTA(班表!$D14:$AH14)=DAY(EOMONTH(DATE(班表!$E$2,班表!$G$2,1),0)),"OK","⚠ 缺"&amp;(DAY(EOMONTH(DATE(班表!$E$2,班表!$G$2,1),0))-COUNTA(班表!$D14:$AH14))&amp;"天"))</f>
        <v/>
      </c>
    </row>
    <row r="14">
      <c r="A14" s="11">
        <f>IF(班表!$A15="","",班表!$A15)</f>
        <v/>
      </c>
      <c r="B14" s="11">
        <f>IF($A14="","",班表!$B15)</f>
        <v/>
      </c>
      <c r="C14" s="11">
        <f>IF($A14="","",班表!$C15)</f>
        <v/>
      </c>
      <c r="D14" s="11">
        <f>IF($A14="","",SUMPRODUCT(COUNTIF(班表!$D15:$AH15,設定!$B$5:$B$20),設定!$I$5:$I$20))</f>
        <v/>
      </c>
      <c r="E14" s="36">
        <f>IF($A14="","",SUMPRODUCT(COUNTIF(班表!$D15:$AH15,設定!$B$5:$B$20),設定!$G$5:$G$20))</f>
        <v/>
      </c>
      <c r="F14" s="11">
        <f>IF($A14="","",SUMPRODUCT(COUNTIF(班表!$D15:$AH15,設定!$B$5:$B$20),設定!$H$5:$H$20))</f>
        <v/>
      </c>
      <c r="G14" s="11">
        <f>IF($A14="","",COUNTIF(班表!$D15:$AH15,"OFF"))</f>
        <v/>
      </c>
      <c r="H14" s="11">
        <f>IF($A14="","",COUNTIF(班表!$D15:$AH15,"特"))</f>
        <v/>
      </c>
      <c r="I14" s="11">
        <f>IF($A14="","",COUNTIF(班表!$D15:$AH15,"病"))</f>
        <v/>
      </c>
      <c r="J14" s="11">
        <f>IF($A14="","",COUNTIF(班表!$D15:$AH15,"事"))</f>
        <v/>
      </c>
      <c r="K14" s="11">
        <f>IF($A14="","",COUNTIF(班表!$D15:$AH15,"公"))</f>
        <v/>
      </c>
      <c r="L14" s="11">
        <f>IF($A14="","",COUNTIF(班表!$D15:$AH15,"國"))</f>
        <v/>
      </c>
      <c r="M14" s="11">
        <f>IF($A14="","",COUNTIF(班表!$D15:$AH15,"支"))</f>
        <v/>
      </c>
      <c r="N14" s="36">
        <f>IF($A14="","",SUMIF(出勤紀錄!$C$3:$C$932,$A14,出勤紀錄!$P$3:$P$932))</f>
        <v/>
      </c>
      <c r="O14" s="36">
        <f>IF($A14="","",$E14+$N14)</f>
        <v/>
      </c>
      <c r="P14" s="11">
        <f>IF($A14="","",COUNTIFS(出勤紀錄!$C$3:$C$932,$A14,出勤紀錄!$M$3:$M$932,"遲到"))</f>
        <v/>
      </c>
      <c r="Q14" s="11">
        <f>IF($A14="","",COUNTIFS(出勤紀錄!$C$3:$C$932,$A14,出勤紀錄!$M$3:$M$932,"早退"))</f>
        <v/>
      </c>
      <c r="R14" s="11">
        <f>IF($A14="","",COUNTIFS(出勤紀錄!$C$3:$C$932,$A14,出勤紀錄!$M$3:$M$932,"未打卡"))</f>
        <v/>
      </c>
      <c r="S14" s="11">
        <f>IF($A14="","",IF(COUNTA(班表!$D15:$AH15)=DAY(EOMONTH(DATE(班表!$E$2,班表!$G$2,1),0)),"OK","⚠ 缺"&amp;(DAY(EOMONTH(DATE(班表!$E$2,班表!$G$2,1),0))-COUNTA(班表!$D15:$AH15))&amp;"天"))</f>
        <v/>
      </c>
    </row>
    <row r="15">
      <c r="A15" s="11">
        <f>IF(班表!$A16="","",班表!$A16)</f>
        <v/>
      </c>
      <c r="B15" s="11">
        <f>IF($A15="","",班表!$B16)</f>
        <v/>
      </c>
      <c r="C15" s="11">
        <f>IF($A15="","",班表!$C16)</f>
        <v/>
      </c>
      <c r="D15" s="11">
        <f>IF($A15="","",SUMPRODUCT(COUNTIF(班表!$D16:$AH16,設定!$B$5:$B$20),設定!$I$5:$I$20))</f>
        <v/>
      </c>
      <c r="E15" s="36">
        <f>IF($A15="","",SUMPRODUCT(COUNTIF(班表!$D16:$AH16,設定!$B$5:$B$20),設定!$G$5:$G$20))</f>
        <v/>
      </c>
      <c r="F15" s="11">
        <f>IF($A15="","",SUMPRODUCT(COUNTIF(班表!$D16:$AH16,設定!$B$5:$B$20),設定!$H$5:$H$20))</f>
        <v/>
      </c>
      <c r="G15" s="11">
        <f>IF($A15="","",COUNTIF(班表!$D16:$AH16,"OFF"))</f>
        <v/>
      </c>
      <c r="H15" s="11">
        <f>IF($A15="","",COUNTIF(班表!$D16:$AH16,"特"))</f>
        <v/>
      </c>
      <c r="I15" s="11">
        <f>IF($A15="","",COUNTIF(班表!$D16:$AH16,"病"))</f>
        <v/>
      </c>
      <c r="J15" s="11">
        <f>IF($A15="","",COUNTIF(班表!$D16:$AH16,"事"))</f>
        <v/>
      </c>
      <c r="K15" s="11">
        <f>IF($A15="","",COUNTIF(班表!$D16:$AH16,"公"))</f>
        <v/>
      </c>
      <c r="L15" s="11">
        <f>IF($A15="","",COUNTIF(班表!$D16:$AH16,"國"))</f>
        <v/>
      </c>
      <c r="M15" s="11">
        <f>IF($A15="","",COUNTIF(班表!$D16:$AH16,"支"))</f>
        <v/>
      </c>
      <c r="N15" s="36">
        <f>IF($A15="","",SUMIF(出勤紀錄!$C$3:$C$932,$A15,出勤紀錄!$P$3:$P$932))</f>
        <v/>
      </c>
      <c r="O15" s="36">
        <f>IF($A15="","",$E15+$N15)</f>
        <v/>
      </c>
      <c r="P15" s="11">
        <f>IF($A15="","",COUNTIFS(出勤紀錄!$C$3:$C$932,$A15,出勤紀錄!$M$3:$M$932,"遲到"))</f>
        <v/>
      </c>
      <c r="Q15" s="11">
        <f>IF($A15="","",COUNTIFS(出勤紀錄!$C$3:$C$932,$A15,出勤紀錄!$M$3:$M$932,"早退"))</f>
        <v/>
      </c>
      <c r="R15" s="11">
        <f>IF($A15="","",COUNTIFS(出勤紀錄!$C$3:$C$932,$A15,出勤紀錄!$M$3:$M$932,"未打卡"))</f>
        <v/>
      </c>
      <c r="S15" s="11">
        <f>IF($A15="","",IF(COUNTA(班表!$D16:$AH16)=DAY(EOMONTH(DATE(班表!$E$2,班表!$G$2,1),0)),"OK","⚠ 缺"&amp;(DAY(EOMONTH(DATE(班表!$E$2,班表!$G$2,1),0))-COUNTA(班表!$D16:$AH16))&amp;"天"))</f>
        <v/>
      </c>
    </row>
    <row r="16">
      <c r="A16" s="11">
        <f>IF(班表!$A17="","",班表!$A17)</f>
        <v/>
      </c>
      <c r="B16" s="11">
        <f>IF($A16="","",班表!$B17)</f>
        <v/>
      </c>
      <c r="C16" s="11">
        <f>IF($A16="","",班表!$C17)</f>
        <v/>
      </c>
      <c r="D16" s="11">
        <f>IF($A16="","",SUMPRODUCT(COUNTIF(班表!$D17:$AH17,設定!$B$5:$B$20),設定!$I$5:$I$20))</f>
        <v/>
      </c>
      <c r="E16" s="36">
        <f>IF($A16="","",SUMPRODUCT(COUNTIF(班表!$D17:$AH17,設定!$B$5:$B$20),設定!$G$5:$G$20))</f>
        <v/>
      </c>
      <c r="F16" s="11">
        <f>IF($A16="","",SUMPRODUCT(COUNTIF(班表!$D17:$AH17,設定!$B$5:$B$20),設定!$H$5:$H$20))</f>
        <v/>
      </c>
      <c r="G16" s="11">
        <f>IF($A16="","",COUNTIF(班表!$D17:$AH17,"OFF"))</f>
        <v/>
      </c>
      <c r="H16" s="11">
        <f>IF($A16="","",COUNTIF(班表!$D17:$AH17,"特"))</f>
        <v/>
      </c>
      <c r="I16" s="11">
        <f>IF($A16="","",COUNTIF(班表!$D17:$AH17,"病"))</f>
        <v/>
      </c>
      <c r="J16" s="11">
        <f>IF($A16="","",COUNTIF(班表!$D17:$AH17,"事"))</f>
        <v/>
      </c>
      <c r="K16" s="11">
        <f>IF($A16="","",COUNTIF(班表!$D17:$AH17,"公"))</f>
        <v/>
      </c>
      <c r="L16" s="11">
        <f>IF($A16="","",COUNTIF(班表!$D17:$AH17,"國"))</f>
        <v/>
      </c>
      <c r="M16" s="11">
        <f>IF($A16="","",COUNTIF(班表!$D17:$AH17,"支"))</f>
        <v/>
      </c>
      <c r="N16" s="36">
        <f>IF($A16="","",SUMIF(出勤紀錄!$C$3:$C$932,$A16,出勤紀錄!$P$3:$P$932))</f>
        <v/>
      </c>
      <c r="O16" s="36">
        <f>IF($A16="","",$E16+$N16)</f>
        <v/>
      </c>
      <c r="P16" s="11">
        <f>IF($A16="","",COUNTIFS(出勤紀錄!$C$3:$C$932,$A16,出勤紀錄!$M$3:$M$932,"遲到"))</f>
        <v/>
      </c>
      <c r="Q16" s="11">
        <f>IF($A16="","",COUNTIFS(出勤紀錄!$C$3:$C$932,$A16,出勤紀錄!$M$3:$M$932,"早退"))</f>
        <v/>
      </c>
      <c r="R16" s="11">
        <f>IF($A16="","",COUNTIFS(出勤紀錄!$C$3:$C$932,$A16,出勤紀錄!$M$3:$M$932,"未打卡"))</f>
        <v/>
      </c>
      <c r="S16" s="11">
        <f>IF($A16="","",IF(COUNTA(班表!$D17:$AH17)=DAY(EOMONTH(DATE(班表!$E$2,班表!$G$2,1),0)),"OK","⚠ 缺"&amp;(DAY(EOMONTH(DATE(班表!$E$2,班表!$G$2,1),0))-COUNTA(班表!$D17:$AH17))&amp;"天"))</f>
        <v/>
      </c>
    </row>
    <row r="17">
      <c r="A17" s="11">
        <f>IF(班表!$A18="","",班表!$A18)</f>
        <v/>
      </c>
      <c r="B17" s="11">
        <f>IF($A17="","",班表!$B18)</f>
        <v/>
      </c>
      <c r="C17" s="11">
        <f>IF($A17="","",班表!$C18)</f>
        <v/>
      </c>
      <c r="D17" s="11">
        <f>IF($A17="","",SUMPRODUCT(COUNTIF(班表!$D18:$AH18,設定!$B$5:$B$20),設定!$I$5:$I$20))</f>
        <v/>
      </c>
      <c r="E17" s="36">
        <f>IF($A17="","",SUMPRODUCT(COUNTIF(班表!$D18:$AH18,設定!$B$5:$B$20),設定!$G$5:$G$20))</f>
        <v/>
      </c>
      <c r="F17" s="11">
        <f>IF($A17="","",SUMPRODUCT(COUNTIF(班表!$D18:$AH18,設定!$B$5:$B$20),設定!$H$5:$H$20))</f>
        <v/>
      </c>
      <c r="G17" s="11">
        <f>IF($A17="","",COUNTIF(班表!$D18:$AH18,"OFF"))</f>
        <v/>
      </c>
      <c r="H17" s="11">
        <f>IF($A17="","",COUNTIF(班表!$D18:$AH18,"特"))</f>
        <v/>
      </c>
      <c r="I17" s="11">
        <f>IF($A17="","",COUNTIF(班表!$D18:$AH18,"病"))</f>
        <v/>
      </c>
      <c r="J17" s="11">
        <f>IF($A17="","",COUNTIF(班表!$D18:$AH18,"事"))</f>
        <v/>
      </c>
      <c r="K17" s="11">
        <f>IF($A17="","",COUNTIF(班表!$D18:$AH18,"公"))</f>
        <v/>
      </c>
      <c r="L17" s="11">
        <f>IF($A17="","",COUNTIF(班表!$D18:$AH18,"國"))</f>
        <v/>
      </c>
      <c r="M17" s="11">
        <f>IF($A17="","",COUNTIF(班表!$D18:$AH18,"支"))</f>
        <v/>
      </c>
      <c r="N17" s="36">
        <f>IF($A17="","",SUMIF(出勤紀錄!$C$3:$C$932,$A17,出勤紀錄!$P$3:$P$932))</f>
        <v/>
      </c>
      <c r="O17" s="36">
        <f>IF($A17="","",$E17+$N17)</f>
        <v/>
      </c>
      <c r="P17" s="11">
        <f>IF($A17="","",COUNTIFS(出勤紀錄!$C$3:$C$932,$A17,出勤紀錄!$M$3:$M$932,"遲到"))</f>
        <v/>
      </c>
      <c r="Q17" s="11">
        <f>IF($A17="","",COUNTIFS(出勤紀錄!$C$3:$C$932,$A17,出勤紀錄!$M$3:$M$932,"早退"))</f>
        <v/>
      </c>
      <c r="R17" s="11">
        <f>IF($A17="","",COUNTIFS(出勤紀錄!$C$3:$C$932,$A17,出勤紀錄!$M$3:$M$932,"未打卡"))</f>
        <v/>
      </c>
      <c r="S17" s="11">
        <f>IF($A17="","",IF(COUNTA(班表!$D18:$AH18)=DAY(EOMONTH(DATE(班表!$E$2,班表!$G$2,1),0)),"OK","⚠ 缺"&amp;(DAY(EOMONTH(DATE(班表!$E$2,班表!$G$2,1),0))-COUNTA(班表!$D18:$AH18))&amp;"天"))</f>
        <v/>
      </c>
    </row>
    <row r="18">
      <c r="A18" s="11">
        <f>IF(班表!$A19="","",班表!$A19)</f>
        <v/>
      </c>
      <c r="B18" s="11">
        <f>IF($A18="","",班表!$B19)</f>
        <v/>
      </c>
      <c r="C18" s="11">
        <f>IF($A18="","",班表!$C19)</f>
        <v/>
      </c>
      <c r="D18" s="11">
        <f>IF($A18="","",SUMPRODUCT(COUNTIF(班表!$D19:$AH19,設定!$B$5:$B$20),設定!$I$5:$I$20))</f>
        <v/>
      </c>
      <c r="E18" s="36">
        <f>IF($A18="","",SUMPRODUCT(COUNTIF(班表!$D19:$AH19,設定!$B$5:$B$20),設定!$G$5:$G$20))</f>
        <v/>
      </c>
      <c r="F18" s="11">
        <f>IF($A18="","",SUMPRODUCT(COUNTIF(班表!$D19:$AH19,設定!$B$5:$B$20),設定!$H$5:$H$20))</f>
        <v/>
      </c>
      <c r="G18" s="11">
        <f>IF($A18="","",COUNTIF(班表!$D19:$AH19,"OFF"))</f>
        <v/>
      </c>
      <c r="H18" s="11">
        <f>IF($A18="","",COUNTIF(班表!$D19:$AH19,"特"))</f>
        <v/>
      </c>
      <c r="I18" s="11">
        <f>IF($A18="","",COUNTIF(班表!$D19:$AH19,"病"))</f>
        <v/>
      </c>
      <c r="J18" s="11">
        <f>IF($A18="","",COUNTIF(班表!$D19:$AH19,"事"))</f>
        <v/>
      </c>
      <c r="K18" s="11">
        <f>IF($A18="","",COUNTIF(班表!$D19:$AH19,"公"))</f>
        <v/>
      </c>
      <c r="L18" s="11">
        <f>IF($A18="","",COUNTIF(班表!$D19:$AH19,"國"))</f>
        <v/>
      </c>
      <c r="M18" s="11">
        <f>IF($A18="","",COUNTIF(班表!$D19:$AH19,"支"))</f>
        <v/>
      </c>
      <c r="N18" s="36">
        <f>IF($A18="","",SUMIF(出勤紀錄!$C$3:$C$932,$A18,出勤紀錄!$P$3:$P$932))</f>
        <v/>
      </c>
      <c r="O18" s="36">
        <f>IF($A18="","",$E18+$N18)</f>
        <v/>
      </c>
      <c r="P18" s="11">
        <f>IF($A18="","",COUNTIFS(出勤紀錄!$C$3:$C$932,$A18,出勤紀錄!$M$3:$M$932,"遲到"))</f>
        <v/>
      </c>
      <c r="Q18" s="11">
        <f>IF($A18="","",COUNTIFS(出勤紀錄!$C$3:$C$932,$A18,出勤紀錄!$M$3:$M$932,"早退"))</f>
        <v/>
      </c>
      <c r="R18" s="11">
        <f>IF($A18="","",COUNTIFS(出勤紀錄!$C$3:$C$932,$A18,出勤紀錄!$M$3:$M$932,"未打卡"))</f>
        <v/>
      </c>
      <c r="S18" s="11">
        <f>IF($A18="","",IF(COUNTA(班表!$D19:$AH19)=DAY(EOMONTH(DATE(班表!$E$2,班表!$G$2,1),0)),"OK","⚠ 缺"&amp;(DAY(EOMONTH(DATE(班表!$E$2,班表!$G$2,1),0))-COUNTA(班表!$D19:$AH19))&amp;"天"))</f>
        <v/>
      </c>
    </row>
    <row r="19">
      <c r="A19" s="11">
        <f>IF(班表!$A20="","",班表!$A20)</f>
        <v/>
      </c>
      <c r="B19" s="11">
        <f>IF($A19="","",班表!$B20)</f>
        <v/>
      </c>
      <c r="C19" s="11">
        <f>IF($A19="","",班表!$C20)</f>
        <v/>
      </c>
      <c r="D19" s="11">
        <f>IF($A19="","",SUMPRODUCT(COUNTIF(班表!$D20:$AH20,設定!$B$5:$B$20),設定!$I$5:$I$20))</f>
        <v/>
      </c>
      <c r="E19" s="36">
        <f>IF($A19="","",SUMPRODUCT(COUNTIF(班表!$D20:$AH20,設定!$B$5:$B$20),設定!$G$5:$G$20))</f>
        <v/>
      </c>
      <c r="F19" s="11">
        <f>IF($A19="","",SUMPRODUCT(COUNTIF(班表!$D20:$AH20,設定!$B$5:$B$20),設定!$H$5:$H$20))</f>
        <v/>
      </c>
      <c r="G19" s="11">
        <f>IF($A19="","",COUNTIF(班表!$D20:$AH20,"OFF"))</f>
        <v/>
      </c>
      <c r="H19" s="11">
        <f>IF($A19="","",COUNTIF(班表!$D20:$AH20,"特"))</f>
        <v/>
      </c>
      <c r="I19" s="11">
        <f>IF($A19="","",COUNTIF(班表!$D20:$AH20,"病"))</f>
        <v/>
      </c>
      <c r="J19" s="11">
        <f>IF($A19="","",COUNTIF(班表!$D20:$AH20,"事"))</f>
        <v/>
      </c>
      <c r="K19" s="11">
        <f>IF($A19="","",COUNTIF(班表!$D20:$AH20,"公"))</f>
        <v/>
      </c>
      <c r="L19" s="11">
        <f>IF($A19="","",COUNTIF(班表!$D20:$AH20,"國"))</f>
        <v/>
      </c>
      <c r="M19" s="11">
        <f>IF($A19="","",COUNTIF(班表!$D20:$AH20,"支"))</f>
        <v/>
      </c>
      <c r="N19" s="36">
        <f>IF($A19="","",SUMIF(出勤紀錄!$C$3:$C$932,$A19,出勤紀錄!$P$3:$P$932))</f>
        <v/>
      </c>
      <c r="O19" s="36">
        <f>IF($A19="","",$E19+$N19)</f>
        <v/>
      </c>
      <c r="P19" s="11">
        <f>IF($A19="","",COUNTIFS(出勤紀錄!$C$3:$C$932,$A19,出勤紀錄!$M$3:$M$932,"遲到"))</f>
        <v/>
      </c>
      <c r="Q19" s="11">
        <f>IF($A19="","",COUNTIFS(出勤紀錄!$C$3:$C$932,$A19,出勤紀錄!$M$3:$M$932,"早退"))</f>
        <v/>
      </c>
      <c r="R19" s="11">
        <f>IF($A19="","",COUNTIFS(出勤紀錄!$C$3:$C$932,$A19,出勤紀錄!$M$3:$M$932,"未打卡"))</f>
        <v/>
      </c>
      <c r="S19" s="11">
        <f>IF($A19="","",IF(COUNTA(班表!$D20:$AH20)=DAY(EOMONTH(DATE(班表!$E$2,班表!$G$2,1),0)),"OK","⚠ 缺"&amp;(DAY(EOMONTH(DATE(班表!$E$2,班表!$G$2,1),0))-COUNTA(班表!$D20:$AH20))&amp;"天"))</f>
        <v/>
      </c>
    </row>
    <row r="20">
      <c r="A20" s="11">
        <f>IF(班表!$A21="","",班表!$A21)</f>
        <v/>
      </c>
      <c r="B20" s="11">
        <f>IF($A20="","",班表!$B21)</f>
        <v/>
      </c>
      <c r="C20" s="11">
        <f>IF($A20="","",班表!$C21)</f>
        <v/>
      </c>
      <c r="D20" s="11">
        <f>IF($A20="","",SUMPRODUCT(COUNTIF(班表!$D21:$AH21,設定!$B$5:$B$20),設定!$I$5:$I$20))</f>
        <v/>
      </c>
      <c r="E20" s="36">
        <f>IF($A20="","",SUMPRODUCT(COUNTIF(班表!$D21:$AH21,設定!$B$5:$B$20),設定!$G$5:$G$20))</f>
        <v/>
      </c>
      <c r="F20" s="11">
        <f>IF($A20="","",SUMPRODUCT(COUNTIF(班表!$D21:$AH21,設定!$B$5:$B$20),設定!$H$5:$H$20))</f>
        <v/>
      </c>
      <c r="G20" s="11">
        <f>IF($A20="","",COUNTIF(班表!$D21:$AH21,"OFF"))</f>
        <v/>
      </c>
      <c r="H20" s="11">
        <f>IF($A20="","",COUNTIF(班表!$D21:$AH21,"特"))</f>
        <v/>
      </c>
      <c r="I20" s="11">
        <f>IF($A20="","",COUNTIF(班表!$D21:$AH21,"病"))</f>
        <v/>
      </c>
      <c r="J20" s="11">
        <f>IF($A20="","",COUNTIF(班表!$D21:$AH21,"事"))</f>
        <v/>
      </c>
      <c r="K20" s="11">
        <f>IF($A20="","",COUNTIF(班表!$D21:$AH21,"公"))</f>
        <v/>
      </c>
      <c r="L20" s="11">
        <f>IF($A20="","",COUNTIF(班表!$D21:$AH21,"國"))</f>
        <v/>
      </c>
      <c r="M20" s="11">
        <f>IF($A20="","",COUNTIF(班表!$D21:$AH21,"支"))</f>
        <v/>
      </c>
      <c r="N20" s="36">
        <f>IF($A20="","",SUMIF(出勤紀錄!$C$3:$C$932,$A20,出勤紀錄!$P$3:$P$932))</f>
        <v/>
      </c>
      <c r="O20" s="36">
        <f>IF($A20="","",$E20+$N20)</f>
        <v/>
      </c>
      <c r="P20" s="11">
        <f>IF($A20="","",COUNTIFS(出勤紀錄!$C$3:$C$932,$A20,出勤紀錄!$M$3:$M$932,"遲到"))</f>
        <v/>
      </c>
      <c r="Q20" s="11">
        <f>IF($A20="","",COUNTIFS(出勤紀錄!$C$3:$C$932,$A20,出勤紀錄!$M$3:$M$932,"早退"))</f>
        <v/>
      </c>
      <c r="R20" s="11">
        <f>IF($A20="","",COUNTIFS(出勤紀錄!$C$3:$C$932,$A20,出勤紀錄!$M$3:$M$932,"未打卡"))</f>
        <v/>
      </c>
      <c r="S20" s="11">
        <f>IF($A20="","",IF(COUNTA(班表!$D21:$AH21)=DAY(EOMONTH(DATE(班表!$E$2,班表!$G$2,1),0)),"OK","⚠ 缺"&amp;(DAY(EOMONTH(DATE(班表!$E$2,班表!$G$2,1),0))-COUNTA(班表!$D21:$AH21))&amp;"天"))</f>
        <v/>
      </c>
    </row>
    <row r="21">
      <c r="A21" s="11">
        <f>IF(班表!$A22="","",班表!$A22)</f>
        <v/>
      </c>
      <c r="B21" s="11">
        <f>IF($A21="","",班表!$B22)</f>
        <v/>
      </c>
      <c r="C21" s="11">
        <f>IF($A21="","",班表!$C22)</f>
        <v/>
      </c>
      <c r="D21" s="11">
        <f>IF($A21="","",SUMPRODUCT(COUNTIF(班表!$D22:$AH22,設定!$B$5:$B$20),設定!$I$5:$I$20))</f>
        <v/>
      </c>
      <c r="E21" s="36">
        <f>IF($A21="","",SUMPRODUCT(COUNTIF(班表!$D22:$AH22,設定!$B$5:$B$20),設定!$G$5:$G$20))</f>
        <v/>
      </c>
      <c r="F21" s="11">
        <f>IF($A21="","",SUMPRODUCT(COUNTIF(班表!$D22:$AH22,設定!$B$5:$B$20),設定!$H$5:$H$20))</f>
        <v/>
      </c>
      <c r="G21" s="11">
        <f>IF($A21="","",COUNTIF(班表!$D22:$AH22,"OFF"))</f>
        <v/>
      </c>
      <c r="H21" s="11">
        <f>IF($A21="","",COUNTIF(班表!$D22:$AH22,"特"))</f>
        <v/>
      </c>
      <c r="I21" s="11">
        <f>IF($A21="","",COUNTIF(班表!$D22:$AH22,"病"))</f>
        <v/>
      </c>
      <c r="J21" s="11">
        <f>IF($A21="","",COUNTIF(班表!$D22:$AH22,"事"))</f>
        <v/>
      </c>
      <c r="K21" s="11">
        <f>IF($A21="","",COUNTIF(班表!$D22:$AH22,"公"))</f>
        <v/>
      </c>
      <c r="L21" s="11">
        <f>IF($A21="","",COUNTIF(班表!$D22:$AH22,"國"))</f>
        <v/>
      </c>
      <c r="M21" s="11">
        <f>IF($A21="","",COUNTIF(班表!$D22:$AH22,"支"))</f>
        <v/>
      </c>
      <c r="N21" s="36">
        <f>IF($A21="","",SUMIF(出勤紀錄!$C$3:$C$932,$A21,出勤紀錄!$P$3:$P$932))</f>
        <v/>
      </c>
      <c r="O21" s="36">
        <f>IF($A21="","",$E21+$N21)</f>
        <v/>
      </c>
      <c r="P21" s="11">
        <f>IF($A21="","",COUNTIFS(出勤紀錄!$C$3:$C$932,$A21,出勤紀錄!$M$3:$M$932,"遲到"))</f>
        <v/>
      </c>
      <c r="Q21" s="11">
        <f>IF($A21="","",COUNTIFS(出勤紀錄!$C$3:$C$932,$A21,出勤紀錄!$M$3:$M$932,"早退"))</f>
        <v/>
      </c>
      <c r="R21" s="11">
        <f>IF($A21="","",COUNTIFS(出勤紀錄!$C$3:$C$932,$A21,出勤紀錄!$M$3:$M$932,"未打卡"))</f>
        <v/>
      </c>
      <c r="S21" s="11">
        <f>IF($A21="","",IF(COUNTA(班表!$D22:$AH22)=DAY(EOMONTH(DATE(班表!$E$2,班表!$G$2,1),0)),"OK","⚠ 缺"&amp;(DAY(EOMONTH(DATE(班表!$E$2,班表!$G$2,1),0))-COUNTA(班表!$D22:$AH22))&amp;"天"))</f>
        <v/>
      </c>
    </row>
    <row r="22">
      <c r="A22" s="11">
        <f>IF(班表!$A23="","",班表!$A23)</f>
        <v/>
      </c>
      <c r="B22" s="11">
        <f>IF($A22="","",班表!$B23)</f>
        <v/>
      </c>
      <c r="C22" s="11">
        <f>IF($A22="","",班表!$C23)</f>
        <v/>
      </c>
      <c r="D22" s="11">
        <f>IF($A22="","",SUMPRODUCT(COUNTIF(班表!$D23:$AH23,設定!$B$5:$B$20),設定!$I$5:$I$20))</f>
        <v/>
      </c>
      <c r="E22" s="36">
        <f>IF($A22="","",SUMPRODUCT(COUNTIF(班表!$D23:$AH23,設定!$B$5:$B$20),設定!$G$5:$G$20))</f>
        <v/>
      </c>
      <c r="F22" s="11">
        <f>IF($A22="","",SUMPRODUCT(COUNTIF(班表!$D23:$AH23,設定!$B$5:$B$20),設定!$H$5:$H$20))</f>
        <v/>
      </c>
      <c r="G22" s="11">
        <f>IF($A22="","",COUNTIF(班表!$D23:$AH23,"OFF"))</f>
        <v/>
      </c>
      <c r="H22" s="11">
        <f>IF($A22="","",COUNTIF(班表!$D23:$AH23,"特"))</f>
        <v/>
      </c>
      <c r="I22" s="11">
        <f>IF($A22="","",COUNTIF(班表!$D23:$AH23,"病"))</f>
        <v/>
      </c>
      <c r="J22" s="11">
        <f>IF($A22="","",COUNTIF(班表!$D23:$AH23,"事"))</f>
        <v/>
      </c>
      <c r="K22" s="11">
        <f>IF($A22="","",COUNTIF(班表!$D23:$AH23,"公"))</f>
        <v/>
      </c>
      <c r="L22" s="11">
        <f>IF($A22="","",COUNTIF(班表!$D23:$AH23,"國"))</f>
        <v/>
      </c>
      <c r="M22" s="11">
        <f>IF($A22="","",COUNTIF(班表!$D23:$AH23,"支"))</f>
        <v/>
      </c>
      <c r="N22" s="36">
        <f>IF($A22="","",SUMIF(出勤紀錄!$C$3:$C$932,$A22,出勤紀錄!$P$3:$P$932))</f>
        <v/>
      </c>
      <c r="O22" s="36">
        <f>IF($A22="","",$E22+$N22)</f>
        <v/>
      </c>
      <c r="P22" s="11">
        <f>IF($A22="","",COUNTIFS(出勤紀錄!$C$3:$C$932,$A22,出勤紀錄!$M$3:$M$932,"遲到"))</f>
        <v/>
      </c>
      <c r="Q22" s="11">
        <f>IF($A22="","",COUNTIFS(出勤紀錄!$C$3:$C$932,$A22,出勤紀錄!$M$3:$M$932,"早退"))</f>
        <v/>
      </c>
      <c r="R22" s="11">
        <f>IF($A22="","",COUNTIFS(出勤紀錄!$C$3:$C$932,$A22,出勤紀錄!$M$3:$M$932,"未打卡"))</f>
        <v/>
      </c>
      <c r="S22" s="11">
        <f>IF($A22="","",IF(COUNTA(班表!$D23:$AH23)=DAY(EOMONTH(DATE(班表!$E$2,班表!$G$2,1),0)),"OK","⚠ 缺"&amp;(DAY(EOMONTH(DATE(班表!$E$2,班表!$G$2,1),0))-COUNTA(班表!$D23:$AH23))&amp;"天"))</f>
        <v/>
      </c>
    </row>
    <row r="23">
      <c r="A23" s="11">
        <f>IF(班表!$A24="","",班表!$A24)</f>
        <v/>
      </c>
      <c r="B23" s="11">
        <f>IF($A23="","",班表!$B24)</f>
        <v/>
      </c>
      <c r="C23" s="11">
        <f>IF($A23="","",班表!$C24)</f>
        <v/>
      </c>
      <c r="D23" s="11">
        <f>IF($A23="","",SUMPRODUCT(COUNTIF(班表!$D24:$AH24,設定!$B$5:$B$20),設定!$I$5:$I$20))</f>
        <v/>
      </c>
      <c r="E23" s="36">
        <f>IF($A23="","",SUMPRODUCT(COUNTIF(班表!$D24:$AH24,設定!$B$5:$B$20),設定!$G$5:$G$20))</f>
        <v/>
      </c>
      <c r="F23" s="11">
        <f>IF($A23="","",SUMPRODUCT(COUNTIF(班表!$D24:$AH24,設定!$B$5:$B$20),設定!$H$5:$H$20))</f>
        <v/>
      </c>
      <c r="G23" s="11">
        <f>IF($A23="","",COUNTIF(班表!$D24:$AH24,"OFF"))</f>
        <v/>
      </c>
      <c r="H23" s="11">
        <f>IF($A23="","",COUNTIF(班表!$D24:$AH24,"特"))</f>
        <v/>
      </c>
      <c r="I23" s="11">
        <f>IF($A23="","",COUNTIF(班表!$D24:$AH24,"病"))</f>
        <v/>
      </c>
      <c r="J23" s="11">
        <f>IF($A23="","",COUNTIF(班表!$D24:$AH24,"事"))</f>
        <v/>
      </c>
      <c r="K23" s="11">
        <f>IF($A23="","",COUNTIF(班表!$D24:$AH24,"公"))</f>
        <v/>
      </c>
      <c r="L23" s="11">
        <f>IF($A23="","",COUNTIF(班表!$D24:$AH24,"國"))</f>
        <v/>
      </c>
      <c r="M23" s="11">
        <f>IF($A23="","",COUNTIF(班表!$D24:$AH24,"支"))</f>
        <v/>
      </c>
      <c r="N23" s="36">
        <f>IF($A23="","",SUMIF(出勤紀錄!$C$3:$C$932,$A23,出勤紀錄!$P$3:$P$932))</f>
        <v/>
      </c>
      <c r="O23" s="36">
        <f>IF($A23="","",$E23+$N23)</f>
        <v/>
      </c>
      <c r="P23" s="11">
        <f>IF($A23="","",COUNTIFS(出勤紀錄!$C$3:$C$932,$A23,出勤紀錄!$M$3:$M$932,"遲到"))</f>
        <v/>
      </c>
      <c r="Q23" s="11">
        <f>IF($A23="","",COUNTIFS(出勤紀錄!$C$3:$C$932,$A23,出勤紀錄!$M$3:$M$932,"早退"))</f>
        <v/>
      </c>
      <c r="R23" s="11">
        <f>IF($A23="","",COUNTIFS(出勤紀錄!$C$3:$C$932,$A23,出勤紀錄!$M$3:$M$932,"未打卡"))</f>
        <v/>
      </c>
      <c r="S23" s="11">
        <f>IF($A23="","",IF(COUNTA(班表!$D24:$AH24)=DAY(EOMONTH(DATE(班表!$E$2,班表!$G$2,1),0)),"OK","⚠ 缺"&amp;(DAY(EOMONTH(DATE(班表!$E$2,班表!$G$2,1),0))-COUNTA(班表!$D24:$AH24))&amp;"天"))</f>
        <v/>
      </c>
    </row>
    <row r="24">
      <c r="A24" s="11">
        <f>IF(班表!$A25="","",班表!$A25)</f>
        <v/>
      </c>
      <c r="B24" s="11">
        <f>IF($A24="","",班表!$B25)</f>
        <v/>
      </c>
      <c r="C24" s="11">
        <f>IF($A24="","",班表!$C25)</f>
        <v/>
      </c>
      <c r="D24" s="11">
        <f>IF($A24="","",SUMPRODUCT(COUNTIF(班表!$D25:$AH25,設定!$B$5:$B$20),設定!$I$5:$I$20))</f>
        <v/>
      </c>
      <c r="E24" s="36">
        <f>IF($A24="","",SUMPRODUCT(COUNTIF(班表!$D25:$AH25,設定!$B$5:$B$20),設定!$G$5:$G$20))</f>
        <v/>
      </c>
      <c r="F24" s="11">
        <f>IF($A24="","",SUMPRODUCT(COUNTIF(班表!$D25:$AH25,設定!$B$5:$B$20),設定!$H$5:$H$20))</f>
        <v/>
      </c>
      <c r="G24" s="11">
        <f>IF($A24="","",COUNTIF(班表!$D25:$AH25,"OFF"))</f>
        <v/>
      </c>
      <c r="H24" s="11">
        <f>IF($A24="","",COUNTIF(班表!$D25:$AH25,"特"))</f>
        <v/>
      </c>
      <c r="I24" s="11">
        <f>IF($A24="","",COUNTIF(班表!$D25:$AH25,"病"))</f>
        <v/>
      </c>
      <c r="J24" s="11">
        <f>IF($A24="","",COUNTIF(班表!$D25:$AH25,"事"))</f>
        <v/>
      </c>
      <c r="K24" s="11">
        <f>IF($A24="","",COUNTIF(班表!$D25:$AH25,"公"))</f>
        <v/>
      </c>
      <c r="L24" s="11">
        <f>IF($A24="","",COUNTIF(班表!$D25:$AH25,"國"))</f>
        <v/>
      </c>
      <c r="M24" s="11">
        <f>IF($A24="","",COUNTIF(班表!$D25:$AH25,"支"))</f>
        <v/>
      </c>
      <c r="N24" s="36">
        <f>IF($A24="","",SUMIF(出勤紀錄!$C$3:$C$932,$A24,出勤紀錄!$P$3:$P$932))</f>
        <v/>
      </c>
      <c r="O24" s="36">
        <f>IF($A24="","",$E24+$N24)</f>
        <v/>
      </c>
      <c r="P24" s="11">
        <f>IF($A24="","",COUNTIFS(出勤紀錄!$C$3:$C$932,$A24,出勤紀錄!$M$3:$M$932,"遲到"))</f>
        <v/>
      </c>
      <c r="Q24" s="11">
        <f>IF($A24="","",COUNTIFS(出勤紀錄!$C$3:$C$932,$A24,出勤紀錄!$M$3:$M$932,"早退"))</f>
        <v/>
      </c>
      <c r="R24" s="11">
        <f>IF($A24="","",COUNTIFS(出勤紀錄!$C$3:$C$932,$A24,出勤紀錄!$M$3:$M$932,"未打卡"))</f>
        <v/>
      </c>
      <c r="S24" s="11">
        <f>IF($A24="","",IF(COUNTA(班表!$D25:$AH25)=DAY(EOMONTH(DATE(班表!$E$2,班表!$G$2,1),0)),"OK","⚠ 缺"&amp;(DAY(EOMONTH(DATE(班表!$E$2,班表!$G$2,1),0))-COUNTA(班表!$D25:$AH25))&amp;"天"))</f>
        <v/>
      </c>
    </row>
    <row r="25">
      <c r="A25" s="11">
        <f>IF(班表!$A26="","",班表!$A26)</f>
        <v/>
      </c>
      <c r="B25" s="11">
        <f>IF($A25="","",班表!$B26)</f>
        <v/>
      </c>
      <c r="C25" s="11">
        <f>IF($A25="","",班表!$C26)</f>
        <v/>
      </c>
      <c r="D25" s="11">
        <f>IF($A25="","",SUMPRODUCT(COUNTIF(班表!$D26:$AH26,設定!$B$5:$B$20),設定!$I$5:$I$20))</f>
        <v/>
      </c>
      <c r="E25" s="36">
        <f>IF($A25="","",SUMPRODUCT(COUNTIF(班表!$D26:$AH26,設定!$B$5:$B$20),設定!$G$5:$G$20))</f>
        <v/>
      </c>
      <c r="F25" s="11">
        <f>IF($A25="","",SUMPRODUCT(COUNTIF(班表!$D26:$AH26,設定!$B$5:$B$20),設定!$H$5:$H$20))</f>
        <v/>
      </c>
      <c r="G25" s="11">
        <f>IF($A25="","",COUNTIF(班表!$D26:$AH26,"OFF"))</f>
        <v/>
      </c>
      <c r="H25" s="11">
        <f>IF($A25="","",COUNTIF(班表!$D26:$AH26,"特"))</f>
        <v/>
      </c>
      <c r="I25" s="11">
        <f>IF($A25="","",COUNTIF(班表!$D26:$AH26,"病"))</f>
        <v/>
      </c>
      <c r="J25" s="11">
        <f>IF($A25="","",COUNTIF(班表!$D26:$AH26,"事"))</f>
        <v/>
      </c>
      <c r="K25" s="11">
        <f>IF($A25="","",COUNTIF(班表!$D26:$AH26,"公"))</f>
        <v/>
      </c>
      <c r="L25" s="11">
        <f>IF($A25="","",COUNTIF(班表!$D26:$AH26,"國"))</f>
        <v/>
      </c>
      <c r="M25" s="11">
        <f>IF($A25="","",COUNTIF(班表!$D26:$AH26,"支"))</f>
        <v/>
      </c>
      <c r="N25" s="36">
        <f>IF($A25="","",SUMIF(出勤紀錄!$C$3:$C$932,$A25,出勤紀錄!$P$3:$P$932))</f>
        <v/>
      </c>
      <c r="O25" s="36">
        <f>IF($A25="","",$E25+$N25)</f>
        <v/>
      </c>
      <c r="P25" s="11">
        <f>IF($A25="","",COUNTIFS(出勤紀錄!$C$3:$C$932,$A25,出勤紀錄!$M$3:$M$932,"遲到"))</f>
        <v/>
      </c>
      <c r="Q25" s="11">
        <f>IF($A25="","",COUNTIFS(出勤紀錄!$C$3:$C$932,$A25,出勤紀錄!$M$3:$M$932,"早退"))</f>
        <v/>
      </c>
      <c r="R25" s="11">
        <f>IF($A25="","",COUNTIFS(出勤紀錄!$C$3:$C$932,$A25,出勤紀錄!$M$3:$M$932,"未打卡"))</f>
        <v/>
      </c>
      <c r="S25" s="11">
        <f>IF($A25="","",IF(COUNTA(班表!$D26:$AH26)=DAY(EOMONTH(DATE(班表!$E$2,班表!$G$2,1),0)),"OK","⚠ 缺"&amp;(DAY(EOMONTH(DATE(班表!$E$2,班表!$G$2,1),0))-COUNTA(班表!$D26:$AH26))&amp;"天"))</f>
        <v/>
      </c>
    </row>
    <row r="26">
      <c r="A26" s="11">
        <f>IF(班表!$A27="","",班表!$A27)</f>
        <v/>
      </c>
      <c r="B26" s="11">
        <f>IF($A26="","",班表!$B27)</f>
        <v/>
      </c>
      <c r="C26" s="11">
        <f>IF($A26="","",班表!$C27)</f>
        <v/>
      </c>
      <c r="D26" s="11">
        <f>IF($A26="","",SUMPRODUCT(COUNTIF(班表!$D27:$AH27,設定!$B$5:$B$20),設定!$I$5:$I$20))</f>
        <v/>
      </c>
      <c r="E26" s="36">
        <f>IF($A26="","",SUMPRODUCT(COUNTIF(班表!$D27:$AH27,設定!$B$5:$B$20),設定!$G$5:$G$20))</f>
        <v/>
      </c>
      <c r="F26" s="11">
        <f>IF($A26="","",SUMPRODUCT(COUNTIF(班表!$D27:$AH27,設定!$B$5:$B$20),設定!$H$5:$H$20))</f>
        <v/>
      </c>
      <c r="G26" s="11">
        <f>IF($A26="","",COUNTIF(班表!$D27:$AH27,"OFF"))</f>
        <v/>
      </c>
      <c r="H26" s="11">
        <f>IF($A26="","",COUNTIF(班表!$D27:$AH27,"特"))</f>
        <v/>
      </c>
      <c r="I26" s="11">
        <f>IF($A26="","",COUNTIF(班表!$D27:$AH27,"病"))</f>
        <v/>
      </c>
      <c r="J26" s="11">
        <f>IF($A26="","",COUNTIF(班表!$D27:$AH27,"事"))</f>
        <v/>
      </c>
      <c r="K26" s="11">
        <f>IF($A26="","",COUNTIF(班表!$D27:$AH27,"公"))</f>
        <v/>
      </c>
      <c r="L26" s="11">
        <f>IF($A26="","",COUNTIF(班表!$D27:$AH27,"國"))</f>
        <v/>
      </c>
      <c r="M26" s="11">
        <f>IF($A26="","",COUNTIF(班表!$D27:$AH27,"支"))</f>
        <v/>
      </c>
      <c r="N26" s="36">
        <f>IF($A26="","",SUMIF(出勤紀錄!$C$3:$C$932,$A26,出勤紀錄!$P$3:$P$932))</f>
        <v/>
      </c>
      <c r="O26" s="36">
        <f>IF($A26="","",$E26+$N26)</f>
        <v/>
      </c>
      <c r="P26" s="11">
        <f>IF($A26="","",COUNTIFS(出勤紀錄!$C$3:$C$932,$A26,出勤紀錄!$M$3:$M$932,"遲到"))</f>
        <v/>
      </c>
      <c r="Q26" s="11">
        <f>IF($A26="","",COUNTIFS(出勤紀錄!$C$3:$C$932,$A26,出勤紀錄!$M$3:$M$932,"早退"))</f>
        <v/>
      </c>
      <c r="R26" s="11">
        <f>IF($A26="","",COUNTIFS(出勤紀錄!$C$3:$C$932,$A26,出勤紀錄!$M$3:$M$932,"未打卡"))</f>
        <v/>
      </c>
      <c r="S26" s="11">
        <f>IF($A26="","",IF(COUNTA(班表!$D27:$AH27)=DAY(EOMONTH(DATE(班表!$E$2,班表!$G$2,1),0)),"OK","⚠ 缺"&amp;(DAY(EOMONTH(DATE(班表!$E$2,班表!$G$2,1),0))-COUNTA(班表!$D27:$AH27))&amp;"天"))</f>
        <v/>
      </c>
    </row>
    <row r="27">
      <c r="A27" s="11">
        <f>IF(班表!$A28="","",班表!$A28)</f>
        <v/>
      </c>
      <c r="B27" s="11">
        <f>IF($A27="","",班表!$B28)</f>
        <v/>
      </c>
      <c r="C27" s="11">
        <f>IF($A27="","",班表!$C28)</f>
        <v/>
      </c>
      <c r="D27" s="11">
        <f>IF($A27="","",SUMPRODUCT(COUNTIF(班表!$D28:$AH28,設定!$B$5:$B$20),設定!$I$5:$I$20))</f>
        <v/>
      </c>
      <c r="E27" s="36">
        <f>IF($A27="","",SUMPRODUCT(COUNTIF(班表!$D28:$AH28,設定!$B$5:$B$20),設定!$G$5:$G$20))</f>
        <v/>
      </c>
      <c r="F27" s="11">
        <f>IF($A27="","",SUMPRODUCT(COUNTIF(班表!$D28:$AH28,設定!$B$5:$B$20),設定!$H$5:$H$20))</f>
        <v/>
      </c>
      <c r="G27" s="11">
        <f>IF($A27="","",COUNTIF(班表!$D28:$AH28,"OFF"))</f>
        <v/>
      </c>
      <c r="H27" s="11">
        <f>IF($A27="","",COUNTIF(班表!$D28:$AH28,"特"))</f>
        <v/>
      </c>
      <c r="I27" s="11">
        <f>IF($A27="","",COUNTIF(班表!$D28:$AH28,"病"))</f>
        <v/>
      </c>
      <c r="J27" s="11">
        <f>IF($A27="","",COUNTIF(班表!$D28:$AH28,"事"))</f>
        <v/>
      </c>
      <c r="K27" s="11">
        <f>IF($A27="","",COUNTIF(班表!$D28:$AH28,"公"))</f>
        <v/>
      </c>
      <c r="L27" s="11">
        <f>IF($A27="","",COUNTIF(班表!$D28:$AH28,"國"))</f>
        <v/>
      </c>
      <c r="M27" s="11">
        <f>IF($A27="","",COUNTIF(班表!$D28:$AH28,"支"))</f>
        <v/>
      </c>
      <c r="N27" s="36">
        <f>IF($A27="","",SUMIF(出勤紀錄!$C$3:$C$932,$A27,出勤紀錄!$P$3:$P$932))</f>
        <v/>
      </c>
      <c r="O27" s="36">
        <f>IF($A27="","",$E27+$N27)</f>
        <v/>
      </c>
      <c r="P27" s="11">
        <f>IF($A27="","",COUNTIFS(出勤紀錄!$C$3:$C$932,$A27,出勤紀錄!$M$3:$M$932,"遲到"))</f>
        <v/>
      </c>
      <c r="Q27" s="11">
        <f>IF($A27="","",COUNTIFS(出勤紀錄!$C$3:$C$932,$A27,出勤紀錄!$M$3:$M$932,"早退"))</f>
        <v/>
      </c>
      <c r="R27" s="11">
        <f>IF($A27="","",COUNTIFS(出勤紀錄!$C$3:$C$932,$A27,出勤紀錄!$M$3:$M$932,"未打卡"))</f>
        <v/>
      </c>
      <c r="S27" s="11">
        <f>IF($A27="","",IF(COUNTA(班表!$D28:$AH28)=DAY(EOMONTH(DATE(班表!$E$2,班表!$G$2,1),0)),"OK","⚠ 缺"&amp;(DAY(EOMONTH(DATE(班表!$E$2,班表!$G$2,1),0))-COUNTA(班表!$D28:$AH28))&amp;"天"))</f>
        <v/>
      </c>
    </row>
    <row r="28">
      <c r="A28" s="11">
        <f>IF(班表!$A29="","",班表!$A29)</f>
        <v/>
      </c>
      <c r="B28" s="11">
        <f>IF($A28="","",班表!$B29)</f>
        <v/>
      </c>
      <c r="C28" s="11">
        <f>IF($A28="","",班表!$C29)</f>
        <v/>
      </c>
      <c r="D28" s="11">
        <f>IF($A28="","",SUMPRODUCT(COUNTIF(班表!$D29:$AH29,設定!$B$5:$B$20),設定!$I$5:$I$20))</f>
        <v/>
      </c>
      <c r="E28" s="36">
        <f>IF($A28="","",SUMPRODUCT(COUNTIF(班表!$D29:$AH29,設定!$B$5:$B$20),設定!$G$5:$G$20))</f>
        <v/>
      </c>
      <c r="F28" s="11">
        <f>IF($A28="","",SUMPRODUCT(COUNTIF(班表!$D29:$AH29,設定!$B$5:$B$20),設定!$H$5:$H$20))</f>
        <v/>
      </c>
      <c r="G28" s="11">
        <f>IF($A28="","",COUNTIF(班表!$D29:$AH29,"OFF"))</f>
        <v/>
      </c>
      <c r="H28" s="11">
        <f>IF($A28="","",COUNTIF(班表!$D29:$AH29,"特"))</f>
        <v/>
      </c>
      <c r="I28" s="11">
        <f>IF($A28="","",COUNTIF(班表!$D29:$AH29,"病"))</f>
        <v/>
      </c>
      <c r="J28" s="11">
        <f>IF($A28="","",COUNTIF(班表!$D29:$AH29,"事"))</f>
        <v/>
      </c>
      <c r="K28" s="11">
        <f>IF($A28="","",COUNTIF(班表!$D29:$AH29,"公"))</f>
        <v/>
      </c>
      <c r="L28" s="11">
        <f>IF($A28="","",COUNTIF(班表!$D29:$AH29,"國"))</f>
        <v/>
      </c>
      <c r="M28" s="11">
        <f>IF($A28="","",COUNTIF(班表!$D29:$AH29,"支"))</f>
        <v/>
      </c>
      <c r="N28" s="36">
        <f>IF($A28="","",SUMIF(出勤紀錄!$C$3:$C$932,$A28,出勤紀錄!$P$3:$P$932))</f>
        <v/>
      </c>
      <c r="O28" s="36">
        <f>IF($A28="","",$E28+$N28)</f>
        <v/>
      </c>
      <c r="P28" s="11">
        <f>IF($A28="","",COUNTIFS(出勤紀錄!$C$3:$C$932,$A28,出勤紀錄!$M$3:$M$932,"遲到"))</f>
        <v/>
      </c>
      <c r="Q28" s="11">
        <f>IF($A28="","",COUNTIFS(出勤紀錄!$C$3:$C$932,$A28,出勤紀錄!$M$3:$M$932,"早退"))</f>
        <v/>
      </c>
      <c r="R28" s="11">
        <f>IF($A28="","",COUNTIFS(出勤紀錄!$C$3:$C$932,$A28,出勤紀錄!$M$3:$M$932,"未打卡"))</f>
        <v/>
      </c>
      <c r="S28" s="11">
        <f>IF($A28="","",IF(COUNTA(班表!$D29:$AH29)=DAY(EOMONTH(DATE(班表!$E$2,班表!$G$2,1),0)),"OK","⚠ 缺"&amp;(DAY(EOMONTH(DATE(班表!$E$2,班表!$G$2,1),0))-COUNTA(班表!$D29:$AH29))&amp;"天"))</f>
        <v/>
      </c>
    </row>
    <row r="29">
      <c r="A29" s="11">
        <f>IF(班表!$A30="","",班表!$A30)</f>
        <v/>
      </c>
      <c r="B29" s="11">
        <f>IF($A29="","",班表!$B30)</f>
        <v/>
      </c>
      <c r="C29" s="11">
        <f>IF($A29="","",班表!$C30)</f>
        <v/>
      </c>
      <c r="D29" s="11">
        <f>IF($A29="","",SUMPRODUCT(COUNTIF(班表!$D30:$AH30,設定!$B$5:$B$20),設定!$I$5:$I$20))</f>
        <v/>
      </c>
      <c r="E29" s="36">
        <f>IF($A29="","",SUMPRODUCT(COUNTIF(班表!$D30:$AH30,設定!$B$5:$B$20),設定!$G$5:$G$20))</f>
        <v/>
      </c>
      <c r="F29" s="11">
        <f>IF($A29="","",SUMPRODUCT(COUNTIF(班表!$D30:$AH30,設定!$B$5:$B$20),設定!$H$5:$H$20))</f>
        <v/>
      </c>
      <c r="G29" s="11">
        <f>IF($A29="","",COUNTIF(班表!$D30:$AH30,"OFF"))</f>
        <v/>
      </c>
      <c r="H29" s="11">
        <f>IF($A29="","",COUNTIF(班表!$D30:$AH30,"特"))</f>
        <v/>
      </c>
      <c r="I29" s="11">
        <f>IF($A29="","",COUNTIF(班表!$D30:$AH30,"病"))</f>
        <v/>
      </c>
      <c r="J29" s="11">
        <f>IF($A29="","",COUNTIF(班表!$D30:$AH30,"事"))</f>
        <v/>
      </c>
      <c r="K29" s="11">
        <f>IF($A29="","",COUNTIF(班表!$D30:$AH30,"公"))</f>
        <v/>
      </c>
      <c r="L29" s="11">
        <f>IF($A29="","",COUNTIF(班表!$D30:$AH30,"國"))</f>
        <v/>
      </c>
      <c r="M29" s="11">
        <f>IF($A29="","",COUNTIF(班表!$D30:$AH30,"支"))</f>
        <v/>
      </c>
      <c r="N29" s="36">
        <f>IF($A29="","",SUMIF(出勤紀錄!$C$3:$C$932,$A29,出勤紀錄!$P$3:$P$932))</f>
        <v/>
      </c>
      <c r="O29" s="36">
        <f>IF($A29="","",$E29+$N29)</f>
        <v/>
      </c>
      <c r="P29" s="11">
        <f>IF($A29="","",COUNTIFS(出勤紀錄!$C$3:$C$932,$A29,出勤紀錄!$M$3:$M$932,"遲到"))</f>
        <v/>
      </c>
      <c r="Q29" s="11">
        <f>IF($A29="","",COUNTIFS(出勤紀錄!$C$3:$C$932,$A29,出勤紀錄!$M$3:$M$932,"早退"))</f>
        <v/>
      </c>
      <c r="R29" s="11">
        <f>IF($A29="","",COUNTIFS(出勤紀錄!$C$3:$C$932,$A29,出勤紀錄!$M$3:$M$932,"未打卡"))</f>
        <v/>
      </c>
      <c r="S29" s="11">
        <f>IF($A29="","",IF(COUNTA(班表!$D30:$AH30)=DAY(EOMONTH(DATE(班表!$E$2,班表!$G$2,1),0)),"OK","⚠ 缺"&amp;(DAY(EOMONTH(DATE(班表!$E$2,班表!$G$2,1),0))-COUNTA(班表!$D30:$AH30))&amp;"天"))</f>
        <v/>
      </c>
    </row>
    <row r="30">
      <c r="A30" s="11">
        <f>IF(班表!$A31="","",班表!$A31)</f>
        <v/>
      </c>
      <c r="B30" s="11">
        <f>IF($A30="","",班表!$B31)</f>
        <v/>
      </c>
      <c r="C30" s="11">
        <f>IF($A30="","",班表!$C31)</f>
        <v/>
      </c>
      <c r="D30" s="11">
        <f>IF($A30="","",SUMPRODUCT(COUNTIF(班表!$D31:$AH31,設定!$B$5:$B$20),設定!$I$5:$I$20))</f>
        <v/>
      </c>
      <c r="E30" s="36">
        <f>IF($A30="","",SUMPRODUCT(COUNTIF(班表!$D31:$AH31,設定!$B$5:$B$20),設定!$G$5:$G$20))</f>
        <v/>
      </c>
      <c r="F30" s="11">
        <f>IF($A30="","",SUMPRODUCT(COUNTIF(班表!$D31:$AH31,設定!$B$5:$B$20),設定!$H$5:$H$20))</f>
        <v/>
      </c>
      <c r="G30" s="11">
        <f>IF($A30="","",COUNTIF(班表!$D31:$AH31,"OFF"))</f>
        <v/>
      </c>
      <c r="H30" s="11">
        <f>IF($A30="","",COUNTIF(班表!$D31:$AH31,"特"))</f>
        <v/>
      </c>
      <c r="I30" s="11">
        <f>IF($A30="","",COUNTIF(班表!$D31:$AH31,"病"))</f>
        <v/>
      </c>
      <c r="J30" s="11">
        <f>IF($A30="","",COUNTIF(班表!$D31:$AH31,"事"))</f>
        <v/>
      </c>
      <c r="K30" s="11">
        <f>IF($A30="","",COUNTIF(班表!$D31:$AH31,"公"))</f>
        <v/>
      </c>
      <c r="L30" s="11">
        <f>IF($A30="","",COUNTIF(班表!$D31:$AH31,"國"))</f>
        <v/>
      </c>
      <c r="M30" s="11">
        <f>IF($A30="","",COUNTIF(班表!$D31:$AH31,"支"))</f>
        <v/>
      </c>
      <c r="N30" s="36">
        <f>IF($A30="","",SUMIF(出勤紀錄!$C$3:$C$932,$A30,出勤紀錄!$P$3:$P$932))</f>
        <v/>
      </c>
      <c r="O30" s="36">
        <f>IF($A30="","",$E30+$N30)</f>
        <v/>
      </c>
      <c r="P30" s="11">
        <f>IF($A30="","",COUNTIFS(出勤紀錄!$C$3:$C$932,$A30,出勤紀錄!$M$3:$M$932,"遲到"))</f>
        <v/>
      </c>
      <c r="Q30" s="11">
        <f>IF($A30="","",COUNTIFS(出勤紀錄!$C$3:$C$932,$A30,出勤紀錄!$M$3:$M$932,"早退"))</f>
        <v/>
      </c>
      <c r="R30" s="11">
        <f>IF($A30="","",COUNTIFS(出勤紀錄!$C$3:$C$932,$A30,出勤紀錄!$M$3:$M$932,"未打卡"))</f>
        <v/>
      </c>
      <c r="S30" s="11">
        <f>IF($A30="","",IF(COUNTA(班表!$D31:$AH31)=DAY(EOMONTH(DATE(班表!$E$2,班表!$G$2,1),0)),"OK","⚠ 缺"&amp;(DAY(EOMONTH(DATE(班表!$E$2,班表!$G$2,1),0))-COUNTA(班表!$D31:$AH31))&amp;"天"))</f>
        <v/>
      </c>
    </row>
    <row r="31">
      <c r="A31" s="11">
        <f>IF(班表!$A32="","",班表!$A32)</f>
        <v/>
      </c>
      <c r="B31" s="11">
        <f>IF($A31="","",班表!$B32)</f>
        <v/>
      </c>
      <c r="C31" s="11">
        <f>IF($A31="","",班表!$C32)</f>
        <v/>
      </c>
      <c r="D31" s="11">
        <f>IF($A31="","",SUMPRODUCT(COUNTIF(班表!$D32:$AH32,設定!$B$5:$B$20),設定!$I$5:$I$20))</f>
        <v/>
      </c>
      <c r="E31" s="36">
        <f>IF($A31="","",SUMPRODUCT(COUNTIF(班表!$D32:$AH32,設定!$B$5:$B$20),設定!$G$5:$G$20))</f>
        <v/>
      </c>
      <c r="F31" s="11">
        <f>IF($A31="","",SUMPRODUCT(COUNTIF(班表!$D32:$AH32,設定!$B$5:$B$20),設定!$H$5:$H$20))</f>
        <v/>
      </c>
      <c r="G31" s="11">
        <f>IF($A31="","",COUNTIF(班表!$D32:$AH32,"OFF"))</f>
        <v/>
      </c>
      <c r="H31" s="11">
        <f>IF($A31="","",COUNTIF(班表!$D32:$AH32,"特"))</f>
        <v/>
      </c>
      <c r="I31" s="11">
        <f>IF($A31="","",COUNTIF(班表!$D32:$AH32,"病"))</f>
        <v/>
      </c>
      <c r="J31" s="11">
        <f>IF($A31="","",COUNTIF(班表!$D32:$AH32,"事"))</f>
        <v/>
      </c>
      <c r="K31" s="11">
        <f>IF($A31="","",COUNTIF(班表!$D32:$AH32,"公"))</f>
        <v/>
      </c>
      <c r="L31" s="11">
        <f>IF($A31="","",COUNTIF(班表!$D32:$AH32,"國"))</f>
        <v/>
      </c>
      <c r="M31" s="11">
        <f>IF($A31="","",COUNTIF(班表!$D32:$AH32,"支"))</f>
        <v/>
      </c>
      <c r="N31" s="36">
        <f>IF($A31="","",SUMIF(出勤紀錄!$C$3:$C$932,$A31,出勤紀錄!$P$3:$P$932))</f>
        <v/>
      </c>
      <c r="O31" s="36">
        <f>IF($A31="","",$E31+$N31)</f>
        <v/>
      </c>
      <c r="P31" s="11">
        <f>IF($A31="","",COUNTIFS(出勤紀錄!$C$3:$C$932,$A31,出勤紀錄!$M$3:$M$932,"遲到"))</f>
        <v/>
      </c>
      <c r="Q31" s="11">
        <f>IF($A31="","",COUNTIFS(出勤紀錄!$C$3:$C$932,$A31,出勤紀錄!$M$3:$M$932,"早退"))</f>
        <v/>
      </c>
      <c r="R31" s="11">
        <f>IF($A31="","",COUNTIFS(出勤紀錄!$C$3:$C$932,$A31,出勤紀錄!$M$3:$M$932,"未打卡"))</f>
        <v/>
      </c>
      <c r="S31" s="11">
        <f>IF($A31="","",IF(COUNTA(班表!$D32:$AH32)=DAY(EOMONTH(DATE(班表!$E$2,班表!$G$2,1),0)),"OK","⚠ 缺"&amp;(DAY(EOMONTH(DATE(班表!$E$2,班表!$G$2,1),0))-COUNTA(班表!$D32:$AH32))&amp;"天"))</f>
        <v/>
      </c>
    </row>
    <row r="32">
      <c r="A32" s="11">
        <f>IF(班表!$A33="","",班表!$A33)</f>
        <v/>
      </c>
      <c r="B32" s="11">
        <f>IF($A32="","",班表!$B33)</f>
        <v/>
      </c>
      <c r="C32" s="11">
        <f>IF($A32="","",班表!$C33)</f>
        <v/>
      </c>
      <c r="D32" s="11">
        <f>IF($A32="","",SUMPRODUCT(COUNTIF(班表!$D33:$AH33,設定!$B$5:$B$20),設定!$I$5:$I$20))</f>
        <v/>
      </c>
      <c r="E32" s="36">
        <f>IF($A32="","",SUMPRODUCT(COUNTIF(班表!$D33:$AH33,設定!$B$5:$B$20),設定!$G$5:$G$20))</f>
        <v/>
      </c>
      <c r="F32" s="11">
        <f>IF($A32="","",SUMPRODUCT(COUNTIF(班表!$D33:$AH33,設定!$B$5:$B$20),設定!$H$5:$H$20))</f>
        <v/>
      </c>
      <c r="G32" s="11">
        <f>IF($A32="","",COUNTIF(班表!$D33:$AH33,"OFF"))</f>
        <v/>
      </c>
      <c r="H32" s="11">
        <f>IF($A32="","",COUNTIF(班表!$D33:$AH33,"特"))</f>
        <v/>
      </c>
      <c r="I32" s="11">
        <f>IF($A32="","",COUNTIF(班表!$D33:$AH33,"病"))</f>
        <v/>
      </c>
      <c r="J32" s="11">
        <f>IF($A32="","",COUNTIF(班表!$D33:$AH33,"事"))</f>
        <v/>
      </c>
      <c r="K32" s="11">
        <f>IF($A32="","",COUNTIF(班表!$D33:$AH33,"公"))</f>
        <v/>
      </c>
      <c r="L32" s="11">
        <f>IF($A32="","",COUNTIF(班表!$D33:$AH33,"國"))</f>
        <v/>
      </c>
      <c r="M32" s="11">
        <f>IF($A32="","",COUNTIF(班表!$D33:$AH33,"支"))</f>
        <v/>
      </c>
      <c r="N32" s="36">
        <f>IF($A32="","",SUMIF(出勤紀錄!$C$3:$C$932,$A32,出勤紀錄!$P$3:$P$932))</f>
        <v/>
      </c>
      <c r="O32" s="36">
        <f>IF($A32="","",$E32+$N32)</f>
        <v/>
      </c>
      <c r="P32" s="11">
        <f>IF($A32="","",COUNTIFS(出勤紀錄!$C$3:$C$932,$A32,出勤紀錄!$M$3:$M$932,"遲到"))</f>
        <v/>
      </c>
      <c r="Q32" s="11">
        <f>IF($A32="","",COUNTIFS(出勤紀錄!$C$3:$C$932,$A32,出勤紀錄!$M$3:$M$932,"早退"))</f>
        <v/>
      </c>
      <c r="R32" s="11">
        <f>IF($A32="","",COUNTIFS(出勤紀錄!$C$3:$C$932,$A32,出勤紀錄!$M$3:$M$932,"未打卡"))</f>
        <v/>
      </c>
      <c r="S32" s="11">
        <f>IF($A32="","",IF(COUNTA(班表!$D33:$AH33)=DAY(EOMONTH(DATE(班表!$E$2,班表!$G$2,1),0)),"OK","⚠ 缺"&amp;(DAY(EOMONTH(DATE(班表!$E$2,班表!$G$2,1),0))-COUNTA(班表!$D33:$AH33))&amp;"天"))</f>
        <v/>
      </c>
    </row>
    <row r="33">
      <c r="A33" s="11">
        <f>IF(班表!$A34="","",班表!$A34)</f>
        <v/>
      </c>
      <c r="B33" s="11">
        <f>IF($A33="","",班表!$B34)</f>
        <v/>
      </c>
      <c r="C33" s="11">
        <f>IF($A33="","",班表!$C34)</f>
        <v/>
      </c>
      <c r="D33" s="11">
        <f>IF($A33="","",SUMPRODUCT(COUNTIF(班表!$D34:$AH34,設定!$B$5:$B$20),設定!$I$5:$I$20))</f>
        <v/>
      </c>
      <c r="E33" s="36">
        <f>IF($A33="","",SUMPRODUCT(COUNTIF(班表!$D34:$AH34,設定!$B$5:$B$20),設定!$G$5:$G$20))</f>
        <v/>
      </c>
      <c r="F33" s="11">
        <f>IF($A33="","",SUMPRODUCT(COUNTIF(班表!$D34:$AH34,設定!$B$5:$B$20),設定!$H$5:$H$20))</f>
        <v/>
      </c>
      <c r="G33" s="11">
        <f>IF($A33="","",COUNTIF(班表!$D34:$AH34,"OFF"))</f>
        <v/>
      </c>
      <c r="H33" s="11">
        <f>IF($A33="","",COUNTIF(班表!$D34:$AH34,"特"))</f>
        <v/>
      </c>
      <c r="I33" s="11">
        <f>IF($A33="","",COUNTIF(班表!$D34:$AH34,"病"))</f>
        <v/>
      </c>
      <c r="J33" s="11">
        <f>IF($A33="","",COUNTIF(班表!$D34:$AH34,"事"))</f>
        <v/>
      </c>
      <c r="K33" s="11">
        <f>IF($A33="","",COUNTIF(班表!$D34:$AH34,"公"))</f>
        <v/>
      </c>
      <c r="L33" s="11">
        <f>IF($A33="","",COUNTIF(班表!$D34:$AH34,"國"))</f>
        <v/>
      </c>
      <c r="M33" s="11">
        <f>IF($A33="","",COUNTIF(班表!$D34:$AH34,"支"))</f>
        <v/>
      </c>
      <c r="N33" s="36">
        <f>IF($A33="","",SUMIF(出勤紀錄!$C$3:$C$932,$A33,出勤紀錄!$P$3:$P$932))</f>
        <v/>
      </c>
      <c r="O33" s="36">
        <f>IF($A33="","",$E33+$N33)</f>
        <v/>
      </c>
      <c r="P33" s="11">
        <f>IF($A33="","",COUNTIFS(出勤紀錄!$C$3:$C$932,$A33,出勤紀錄!$M$3:$M$932,"遲到"))</f>
        <v/>
      </c>
      <c r="Q33" s="11">
        <f>IF($A33="","",COUNTIFS(出勤紀錄!$C$3:$C$932,$A33,出勤紀錄!$M$3:$M$932,"早退"))</f>
        <v/>
      </c>
      <c r="R33" s="11">
        <f>IF($A33="","",COUNTIFS(出勤紀錄!$C$3:$C$932,$A33,出勤紀錄!$M$3:$M$932,"未打卡"))</f>
        <v/>
      </c>
      <c r="S33" s="11">
        <f>IF($A33="","",IF(COUNTA(班表!$D34:$AH34)=DAY(EOMONTH(DATE(班表!$E$2,班表!$G$2,1),0)),"OK","⚠ 缺"&amp;(DAY(EOMONTH(DATE(班表!$E$2,班表!$G$2,1),0))-COUNTA(班表!$D34:$AH34))&amp;"天"))</f>
        <v/>
      </c>
    </row>
    <row r="34">
      <c r="A34" s="11">
        <f>IF(班表!$A35="","",班表!$A35)</f>
        <v/>
      </c>
      <c r="B34" s="11">
        <f>IF($A34="","",班表!$B35)</f>
        <v/>
      </c>
      <c r="C34" s="11">
        <f>IF($A34="","",班表!$C35)</f>
        <v/>
      </c>
      <c r="D34" s="11">
        <f>IF($A34="","",SUMPRODUCT(COUNTIF(班表!$D35:$AH35,設定!$B$5:$B$20),設定!$I$5:$I$20))</f>
        <v/>
      </c>
      <c r="E34" s="36">
        <f>IF($A34="","",SUMPRODUCT(COUNTIF(班表!$D35:$AH35,設定!$B$5:$B$20),設定!$G$5:$G$20))</f>
        <v/>
      </c>
      <c r="F34" s="11">
        <f>IF($A34="","",SUMPRODUCT(COUNTIF(班表!$D35:$AH35,設定!$B$5:$B$20),設定!$H$5:$H$20))</f>
        <v/>
      </c>
      <c r="G34" s="11">
        <f>IF($A34="","",COUNTIF(班表!$D35:$AH35,"OFF"))</f>
        <v/>
      </c>
      <c r="H34" s="11">
        <f>IF($A34="","",COUNTIF(班表!$D35:$AH35,"特"))</f>
        <v/>
      </c>
      <c r="I34" s="11">
        <f>IF($A34="","",COUNTIF(班表!$D35:$AH35,"病"))</f>
        <v/>
      </c>
      <c r="J34" s="11">
        <f>IF($A34="","",COUNTIF(班表!$D35:$AH35,"事"))</f>
        <v/>
      </c>
      <c r="K34" s="11">
        <f>IF($A34="","",COUNTIF(班表!$D35:$AH35,"公"))</f>
        <v/>
      </c>
      <c r="L34" s="11">
        <f>IF($A34="","",COUNTIF(班表!$D35:$AH35,"國"))</f>
        <v/>
      </c>
      <c r="M34" s="11">
        <f>IF($A34="","",COUNTIF(班表!$D35:$AH35,"支"))</f>
        <v/>
      </c>
      <c r="N34" s="36">
        <f>IF($A34="","",SUMIF(出勤紀錄!$C$3:$C$932,$A34,出勤紀錄!$P$3:$P$932))</f>
        <v/>
      </c>
      <c r="O34" s="36">
        <f>IF($A34="","",$E34+$N34)</f>
        <v/>
      </c>
      <c r="P34" s="11">
        <f>IF($A34="","",COUNTIFS(出勤紀錄!$C$3:$C$932,$A34,出勤紀錄!$M$3:$M$932,"遲到"))</f>
        <v/>
      </c>
      <c r="Q34" s="11">
        <f>IF($A34="","",COUNTIFS(出勤紀錄!$C$3:$C$932,$A34,出勤紀錄!$M$3:$M$932,"早退"))</f>
        <v/>
      </c>
      <c r="R34" s="11">
        <f>IF($A34="","",COUNTIFS(出勤紀錄!$C$3:$C$932,$A34,出勤紀錄!$M$3:$M$932,"未打卡"))</f>
        <v/>
      </c>
      <c r="S34" s="11">
        <f>IF($A34="","",IF(COUNTA(班表!$D35:$AH35)=DAY(EOMONTH(DATE(班表!$E$2,班表!$G$2,1),0)),"OK","⚠ 缺"&amp;(DAY(EOMONTH(DATE(班表!$E$2,班表!$G$2,1),0))-COUNTA(班表!$D35:$AH35))&amp;"天"))</f>
        <v/>
      </c>
    </row>
    <row r="35">
      <c r="A35" s="20" t="inlineStr">
        <is>
          <t>合計</t>
        </is>
      </c>
      <c r="B35" s="16" t="n"/>
      <c r="C35" s="17" t="n"/>
      <c r="D35" s="20">
        <f>SUM(D5:D34)</f>
        <v/>
      </c>
      <c r="E35" s="37">
        <f>SUM(E5:E34)</f>
        <v/>
      </c>
      <c r="F35" s="20">
        <f>SUM(F5:F34)</f>
        <v/>
      </c>
      <c r="G35" s="20">
        <f>SUM(G5:G34)</f>
        <v/>
      </c>
      <c r="H35" s="20">
        <f>SUM(H5:H34)</f>
        <v/>
      </c>
      <c r="I35" s="20">
        <f>SUM(I5:I34)</f>
        <v/>
      </c>
      <c r="J35" s="20">
        <f>SUM(J5:J34)</f>
        <v/>
      </c>
      <c r="K35" s="20">
        <f>SUM(K5:K34)</f>
        <v/>
      </c>
      <c r="L35" s="20">
        <f>SUM(L5:L34)</f>
        <v/>
      </c>
      <c r="M35" s="20">
        <f>SUM(M5:M34)</f>
        <v/>
      </c>
      <c r="N35" s="37">
        <f>SUM(N5:N34)</f>
        <v/>
      </c>
      <c r="O35" s="37">
        <f>SUM(O5:O34)</f>
        <v/>
      </c>
      <c r="P35" s="20">
        <f>SUM(P5:P34)</f>
        <v/>
      </c>
      <c r="Q35" s="20">
        <f>SUM(Q5:Q34)</f>
        <v/>
      </c>
      <c r="R35" s="20">
        <f>SUM(R5:R34)</f>
        <v/>
      </c>
      <c r="S35" s="38" t="inlineStr"/>
    </row>
    <row r="37">
      <c r="A37" s="12" t="inlineStr">
        <is>
          <t>※ 出勤天數/排班工時/總診次:依「設定」分頁的班別代碼權重自動加總,改權重這裡就會跟著變。</t>
        </is>
      </c>
    </row>
    <row r="38">
      <c r="A38" s="12" t="inlineStr">
        <is>
          <t>※ 加班時數:由「出勤紀錄」P 欄加總而來。不使用打卡匯入的院所,可直接把 N 欄公式覆蓋為手動數字。</t>
        </is>
      </c>
    </row>
    <row r="39">
      <c r="A39" s="12" t="inlineStr">
        <is>
          <t>※ 加班時數為「實際工時 − 排班工時」,尚未依勞基法第 24 條換算加班費率,薪資請另行計算。</t>
        </is>
      </c>
    </row>
    <row r="40">
      <c r="A40" s="12" t="inlineStr">
        <is>
          <t>※ 遲到/早退/未打卡次數:由「出勤紀錄」的出勤異常欄計次,有值會標色,月結前應逐筆處理完。</t>
        </is>
      </c>
    </row>
    <row r="41">
      <c r="A41" s="12" t="inlineStr">
        <is>
          <t>※ 排班完整度檢核顯示「⚠ 缺 N 天」代表該員當月還有 N 天沒排班,交表前要補完。</t>
        </is>
      </c>
    </row>
  </sheetData>
  <mergeCells count="2">
    <mergeCell ref="A35:C35"/>
    <mergeCell ref="A1:S1"/>
  </mergeCells>
  <conditionalFormatting sqref="S5:S34">
    <cfRule type="expression" priority="1" dxfId="4">
      <formula>AND($A5&lt;&gt;"",S5&lt;&gt;"OK")</formula>
    </cfRule>
  </conditionalFormatting>
  <conditionalFormatting sqref="P5:P34">
    <cfRule type="expression" priority="2" dxfId="0">
      <formula>AND($A5&lt;&gt;"",P5&gt;0)</formula>
    </cfRule>
  </conditionalFormatting>
  <conditionalFormatting sqref="Q5:Q34">
    <cfRule type="expression" priority="3" dxfId="0">
      <formula>AND($A5&lt;&gt;"",Q5&gt;0)</formula>
    </cfRule>
  </conditionalFormatting>
  <conditionalFormatting sqref="R5:R34">
    <cfRule type="expression" priority="4" dxfId="0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2026-09-02T09:26:07Z</dcterms:created>
  <dcterms:modified xsi:type="dcterms:W3CDTF">2026-09-02T09:26:10Z</dcterms:modified>
</cp:coreProperties>
</file>